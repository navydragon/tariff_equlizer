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4" windowWidth="28757" windowHeight="12583"/>
  </bookViews>
  <sheets>
    <sheet name="Справочник ИХ" sheetId="4" r:id="rId1"/>
    <sheet name="ЕТСНГ" sheetId="5" r:id="rId2"/>
    <sheet name="Лист1" sheetId="1" r:id="rId3"/>
    <sheet name="Лист2" sheetId="2" r:id="rId4"/>
    <sheet name="Лист3" sheetId="3" r:id="rId5"/>
  </sheets>
  <externalReferences>
    <externalReference r:id="rId6"/>
  </externalReferences>
  <definedNames>
    <definedName name="________cvb5" hidden="1">{"'Sheet1'!$A$1:$G$96","'Sheet1'!$A$1:$H$96"}</definedName>
    <definedName name="________nm7" hidden="1">{"'Sheet1'!$A$1:$G$96","'Sheet1'!$A$1:$H$96"}</definedName>
    <definedName name="________nm8" hidden="1">{"'Sheet1'!$A$1:$G$96","'Sheet1'!$A$1:$H$96"}</definedName>
    <definedName name="________sdf2" hidden="1">{"'Sheet1'!$A$1:$G$96","'Sheet1'!$A$1:$H$96"}</definedName>
    <definedName name="______cvb5" hidden="1">{"'Sheet1'!$A$1:$G$96","'Sheet1'!$A$1:$H$96"}</definedName>
    <definedName name="______nm7" hidden="1">{"'Sheet1'!$A$1:$G$96","'Sheet1'!$A$1:$H$96"}</definedName>
    <definedName name="______nm8" hidden="1">{"'Sheet1'!$A$1:$G$96","'Sheet1'!$A$1:$H$96"}</definedName>
    <definedName name="______sdf2" hidden="1">{"'Sheet1'!$A$1:$G$96","'Sheet1'!$A$1:$H$96"}</definedName>
    <definedName name="_____a1" hidden="1">{"'Sheet1'!$A$1:$G$96","'Sheet1'!$A$1:$H$96"}</definedName>
    <definedName name="_____a2" hidden="1">{"'Sheet1'!$A$1:$G$96","'Sheet1'!$A$1:$H$96"}</definedName>
    <definedName name="_____cvb5" hidden="1">{"'Sheet1'!$A$1:$G$96","'Sheet1'!$A$1:$H$96"}</definedName>
    <definedName name="_____nm7" hidden="1">{"'Sheet1'!$A$1:$G$96","'Sheet1'!$A$1:$H$96"}</definedName>
    <definedName name="_____nm8" hidden="1">{"'Sheet1'!$A$1:$G$96","'Sheet1'!$A$1:$H$96"}</definedName>
    <definedName name="_____q1" hidden="1">{"'Sheet1'!$A$1:$G$96","'Sheet1'!$A$1:$H$96"}</definedName>
    <definedName name="_____q2" hidden="1">{"'Sheet1'!$A$1:$G$96","'Sheet1'!$A$1:$H$96"}</definedName>
    <definedName name="_____q3" hidden="1">{"'Sheet1'!$A$1:$G$96","'Sheet1'!$A$1:$H$96"}</definedName>
    <definedName name="_____q4" hidden="1">{"'Sheet1'!$A$1:$G$96","'Sheet1'!$A$1:$H$96"}</definedName>
    <definedName name="_____q5" hidden="1">{"'Sheet1'!$A$1:$G$96","'Sheet1'!$A$1:$H$96"}</definedName>
    <definedName name="_____q6" hidden="1">{"'Sheet1'!$A$1:$G$96","'Sheet1'!$A$1:$H$96"}</definedName>
    <definedName name="_____q8" hidden="1">{"'Sheet1'!$A$1:$G$96","'Sheet1'!$A$1:$H$96"}</definedName>
    <definedName name="_____q9" hidden="1">{"'Sheet1'!$A$1:$G$96","'Sheet1'!$A$1:$H$96"}</definedName>
    <definedName name="_____sdf2" hidden="1">{"'Sheet1'!$A$1:$G$96","'Sheet1'!$A$1:$H$96"}</definedName>
    <definedName name="_____x1" hidden="1">{"'Sheet1'!$A$1:$G$96","'Sheet1'!$A$1:$H$96"}</definedName>
    <definedName name="_____x2" hidden="1">{"'Sheet1'!$A$1:$G$96","'Sheet1'!$A$1:$H$96"}</definedName>
    <definedName name="_____z1" hidden="1">{"'Sheet1'!$A$1:$G$96","'Sheet1'!$A$1:$H$96"}</definedName>
    <definedName name="_____z3" hidden="1">{"'Sheet1'!$A$1:$G$96","'Sheet1'!$A$1:$H$96"}</definedName>
    <definedName name="_____z4" hidden="1">{"'Sheet1'!$A$1:$G$96","'Sheet1'!$A$1:$H$96"}</definedName>
    <definedName name="____a1" hidden="1">{"'Sheet1'!$A$1:$G$96","'Sheet1'!$A$1:$H$96"}</definedName>
    <definedName name="____a2" hidden="1">{"'Sheet1'!$A$1:$G$96","'Sheet1'!$A$1:$H$96"}</definedName>
    <definedName name="____cvb5" hidden="1">{"'Sheet1'!$A$1:$G$96","'Sheet1'!$A$1:$H$96"}</definedName>
    <definedName name="____nm7" hidden="1">{"'Sheet1'!$A$1:$G$96","'Sheet1'!$A$1:$H$96"}</definedName>
    <definedName name="____nm8" hidden="1">{"'Sheet1'!$A$1:$G$96","'Sheet1'!$A$1:$H$96"}</definedName>
    <definedName name="____q1" hidden="1">{"'Sheet1'!$A$1:$G$96","'Sheet1'!$A$1:$H$96"}</definedName>
    <definedName name="____q2" hidden="1">{"'Sheet1'!$A$1:$G$96","'Sheet1'!$A$1:$H$96"}</definedName>
    <definedName name="____q3" hidden="1">{"'Sheet1'!$A$1:$G$96","'Sheet1'!$A$1:$H$96"}</definedName>
    <definedName name="____q4" hidden="1">{"'Sheet1'!$A$1:$G$96","'Sheet1'!$A$1:$H$96"}</definedName>
    <definedName name="____q5" hidden="1">{"'Sheet1'!$A$1:$G$96","'Sheet1'!$A$1:$H$96"}</definedName>
    <definedName name="____q6" hidden="1">{"'Sheet1'!$A$1:$G$96","'Sheet1'!$A$1:$H$96"}</definedName>
    <definedName name="____q8" hidden="1">{"'Sheet1'!$A$1:$G$96","'Sheet1'!$A$1:$H$96"}</definedName>
    <definedName name="____q9" hidden="1">{"'Sheet1'!$A$1:$G$96","'Sheet1'!$A$1:$H$96"}</definedName>
    <definedName name="____sdf2" hidden="1">{"'Sheet1'!$A$1:$G$96","'Sheet1'!$A$1:$H$96"}</definedName>
    <definedName name="____x1" hidden="1">{"'Sheet1'!$A$1:$G$96","'Sheet1'!$A$1:$H$96"}</definedName>
    <definedName name="____x2" hidden="1">{"'Sheet1'!$A$1:$G$96","'Sheet1'!$A$1:$H$96"}</definedName>
    <definedName name="____z1" hidden="1">{"'Sheet1'!$A$1:$G$96","'Sheet1'!$A$1:$H$96"}</definedName>
    <definedName name="____z3" hidden="1">{"'Sheet1'!$A$1:$G$96","'Sheet1'!$A$1:$H$96"}</definedName>
    <definedName name="____z4" hidden="1">{"'Sheet1'!$A$1:$G$96","'Sheet1'!$A$1:$H$96"}</definedName>
    <definedName name="___a1" hidden="1">{"'Sheet1'!$A$1:$G$96","'Sheet1'!$A$1:$H$96"}</definedName>
    <definedName name="___a2" hidden="1">{"'Sheet1'!$A$1:$G$96","'Sheet1'!$A$1:$H$96"}</definedName>
    <definedName name="___cvb5" hidden="1">{"'Sheet1'!$A$1:$G$96","'Sheet1'!$A$1:$H$96"}</definedName>
    <definedName name="___nm7" hidden="1">{"'Sheet1'!$A$1:$G$96","'Sheet1'!$A$1:$H$96"}</definedName>
    <definedName name="___nm8" hidden="1">{"'Sheet1'!$A$1:$G$96","'Sheet1'!$A$1:$H$96"}</definedName>
    <definedName name="___q1" hidden="1">{"'Sheet1'!$A$1:$G$96","'Sheet1'!$A$1:$H$96"}</definedName>
    <definedName name="___q2" hidden="1">{"'Sheet1'!$A$1:$G$96","'Sheet1'!$A$1:$H$96"}</definedName>
    <definedName name="___q3" hidden="1">{"'Sheet1'!$A$1:$G$96","'Sheet1'!$A$1:$H$96"}</definedName>
    <definedName name="___q4" hidden="1">{"'Sheet1'!$A$1:$G$96","'Sheet1'!$A$1:$H$96"}</definedName>
    <definedName name="___q5" hidden="1">{"'Sheet1'!$A$1:$G$96","'Sheet1'!$A$1:$H$96"}</definedName>
    <definedName name="___q6" hidden="1">{"'Sheet1'!$A$1:$G$96","'Sheet1'!$A$1:$H$96"}</definedName>
    <definedName name="___q8" hidden="1">{"'Sheet1'!$A$1:$G$96","'Sheet1'!$A$1:$H$96"}</definedName>
    <definedName name="___q9" hidden="1">{"'Sheet1'!$A$1:$G$96","'Sheet1'!$A$1:$H$96"}</definedName>
    <definedName name="___sdf2" hidden="1">{"'Sheet1'!$A$1:$G$96","'Sheet1'!$A$1:$H$96"}</definedName>
    <definedName name="___x1" hidden="1">{"'Sheet1'!$A$1:$G$96","'Sheet1'!$A$1:$H$96"}</definedName>
    <definedName name="___x2" hidden="1">{"'Sheet1'!$A$1:$G$96","'Sheet1'!$A$1:$H$96"}</definedName>
    <definedName name="___z1" hidden="1">{"'Sheet1'!$A$1:$G$96","'Sheet1'!$A$1:$H$96"}</definedName>
    <definedName name="___z3" hidden="1">{"'Sheet1'!$A$1:$G$96","'Sheet1'!$A$1:$H$96"}</definedName>
    <definedName name="___z4" hidden="1">{"'Sheet1'!$A$1:$G$96","'Sheet1'!$A$1:$H$96"}</definedName>
    <definedName name="__a1" hidden="1">{"'Sheet1'!$A$1:$G$96","'Sheet1'!$A$1:$H$96"}</definedName>
    <definedName name="__a2" hidden="1">{"'Sheet1'!$A$1:$G$96","'Sheet1'!$A$1:$H$96"}</definedName>
    <definedName name="__cvb5" hidden="1">{"'Sheet1'!$A$1:$G$96","'Sheet1'!$A$1:$H$96"}</definedName>
    <definedName name="__g7" hidden="1">{"'Sheet1'!$A$1:$G$96","'Sheet1'!$A$1:$H$96"}</definedName>
    <definedName name="__nm7" hidden="1">{"'Sheet1'!$A$1:$G$96","'Sheet1'!$A$1:$H$96"}</definedName>
    <definedName name="__nm8" hidden="1">{"'Sheet1'!$A$1:$G$96","'Sheet1'!$A$1:$H$96"}</definedName>
    <definedName name="__q1" hidden="1">{"'Sheet1'!$A$1:$G$96","'Sheet1'!$A$1:$H$96"}</definedName>
    <definedName name="__q10" hidden="1">{"'Sheet1'!$A$1:$G$96","'Sheet1'!$A$1:$H$96"}</definedName>
    <definedName name="__q2" hidden="1">{"'Sheet1'!$A$1:$G$96","'Sheet1'!$A$1:$H$96"}</definedName>
    <definedName name="__q3" hidden="1">{"'Sheet1'!$A$1:$G$96","'Sheet1'!$A$1:$H$96"}</definedName>
    <definedName name="__q4" hidden="1">{"'Sheet1'!$A$1:$G$96","'Sheet1'!$A$1:$H$96"}</definedName>
    <definedName name="__q5" hidden="1">{"'Sheet1'!$A$1:$G$96","'Sheet1'!$A$1:$H$96"}</definedName>
    <definedName name="__q6" hidden="1">{"'Sheet1'!$A$1:$G$96","'Sheet1'!$A$1:$H$96"}</definedName>
    <definedName name="__q8" hidden="1">{"'Sheet1'!$A$1:$G$96","'Sheet1'!$A$1:$H$96"}</definedName>
    <definedName name="__q9" hidden="1">{"'Sheet1'!$A$1:$G$96","'Sheet1'!$A$1:$H$96"}</definedName>
    <definedName name="__sdf2" hidden="1">{"'Sheet1'!$A$1:$G$96","'Sheet1'!$A$1:$H$96"}</definedName>
    <definedName name="__x1" hidden="1">{"'Sheet1'!$A$1:$G$96","'Sheet1'!$A$1:$H$96"}</definedName>
    <definedName name="__x2" hidden="1">{"'Sheet1'!$A$1:$G$96","'Sheet1'!$A$1:$H$96"}</definedName>
    <definedName name="__z1" hidden="1">{"'Sheet1'!$A$1:$G$96","'Sheet1'!$A$1:$H$96"}</definedName>
    <definedName name="__z3" hidden="1">{"'Sheet1'!$A$1:$G$96","'Sheet1'!$A$1:$H$96"}</definedName>
    <definedName name="__z4" hidden="1">{"'Sheet1'!$A$1:$G$96","'Sheet1'!$A$1:$H$96"}</definedName>
    <definedName name="_a1" hidden="1">{"'Sheet1'!$A$1:$G$96","'Sheet1'!$A$1:$H$96"}</definedName>
    <definedName name="_a2" hidden="1">{"'Sheet1'!$A$1:$G$96","'Sheet1'!$A$1:$H$96"}</definedName>
    <definedName name="_a3" hidden="1">{"'Sheet1'!$A$1:$G$96","'Sheet1'!$A$1:$H$96"}</definedName>
    <definedName name="_cvb5" hidden="1">{"'Sheet1'!$A$1:$G$96","'Sheet1'!$A$1:$H$96"}</definedName>
    <definedName name="_g7" hidden="1">{"'Sheet1'!$A$1:$G$96","'Sheet1'!$A$1:$H$96"}</definedName>
    <definedName name="_nm7" hidden="1">{"'Sheet1'!$A$1:$G$96","'Sheet1'!$A$1:$H$96"}</definedName>
    <definedName name="_nm8" hidden="1">{"'Sheet1'!$A$1:$G$96","'Sheet1'!$A$1:$H$96"}</definedName>
    <definedName name="_Order1" hidden="1">255</definedName>
    <definedName name="_q1" hidden="1">{"'Sheet1'!$A$1:$G$96","'Sheet1'!$A$1:$H$96"}</definedName>
    <definedName name="_q10" hidden="1">{"'Sheet1'!$A$1:$G$96","'Sheet1'!$A$1:$H$96"}</definedName>
    <definedName name="_q2" hidden="1">{"'Sheet1'!$A$1:$G$96","'Sheet1'!$A$1:$H$96"}</definedName>
    <definedName name="_q3" hidden="1">{"'Sheet1'!$A$1:$G$96","'Sheet1'!$A$1:$H$96"}</definedName>
    <definedName name="_q4" hidden="1">{"'Sheet1'!$A$1:$G$96","'Sheet1'!$A$1:$H$96"}</definedName>
    <definedName name="_q5" hidden="1">{"'Sheet1'!$A$1:$G$96","'Sheet1'!$A$1:$H$96"}</definedName>
    <definedName name="_q6" hidden="1">{"'Sheet1'!$A$1:$G$96","'Sheet1'!$A$1:$H$96"}</definedName>
    <definedName name="_q8" hidden="1">{"'Sheet1'!$A$1:$G$96","'Sheet1'!$A$1:$H$96"}</definedName>
    <definedName name="_q9" hidden="1">{"'Sheet1'!$A$1:$G$96","'Sheet1'!$A$1:$H$96"}</definedName>
    <definedName name="_sdf2" hidden="1">{"'Sheet1'!$A$1:$G$96","'Sheet1'!$A$1:$H$96"}</definedName>
    <definedName name="_x1" hidden="1">{"'Sheet1'!$A$1:$G$96","'Sheet1'!$A$1:$H$96"}</definedName>
    <definedName name="_x2" hidden="1">{"'Sheet1'!$A$1:$G$96","'Sheet1'!$A$1:$H$96"}</definedName>
    <definedName name="_z1" hidden="1">{"'Sheet1'!$A$1:$G$96","'Sheet1'!$A$1:$H$96"}</definedName>
    <definedName name="_z3" hidden="1">{"'Sheet1'!$A$1:$G$96","'Sheet1'!$A$1:$H$96"}</definedName>
    <definedName name="_z4" hidden="1">{"'Sheet1'!$A$1:$G$96","'Sheet1'!$A$1:$H$96"}</definedName>
    <definedName name="_xlnm._FilterDatabase" localSheetId="1" hidden="1">ЕТСНГ!$A$1:$G$4836</definedName>
    <definedName name="_xlnm._FilterDatabase" localSheetId="0" hidden="1">'Справочник ИХ'!$A$1:$D$272</definedName>
    <definedName name="aaaaaaaaaaaaaaa" hidden="1">{#N/A,#N/A,TRUE,"Лист2"}</definedName>
    <definedName name="aas" hidden="1">{"'Sheet1'!$A$1:$G$96","'Sheet1'!$A$1:$H$96"}</definedName>
    <definedName name="ad" hidden="1">{"'Sheet1'!$A$1:$G$96","'Sheet1'!$A$1:$H$96"}</definedName>
    <definedName name="as" hidden="1">{"'Sheet1'!$A$1:$G$96","'Sheet1'!$A$1:$H$96"}</definedName>
    <definedName name="AS2DocOpenMode" hidden="1">"AS2DocumentEdit"</definedName>
    <definedName name="asdd" hidden="1">{"'Sheet1'!$A$1:$G$96","'Sheet1'!$A$1:$H$96"}</definedName>
    <definedName name="asfd4" hidden="1">{"'Sheet1'!$A$1:$G$96","'Sheet1'!$A$1:$H$96"}</definedName>
    <definedName name="asfd41" hidden="1">{"'Sheet1'!$A$1:$G$96","'Sheet1'!$A$1:$H$96"}</definedName>
    <definedName name="ASFD412" hidden="1">{"'Sheet1'!$A$1:$G$96","'Sheet1'!$A$1:$H$96"}</definedName>
    <definedName name="asss" hidden="1">{"'Sheet1'!$A$1:$G$96","'Sheet1'!$A$1:$H$96"}</definedName>
    <definedName name="BEx95RDPDM0IMG4GIA3TFU923AXU" hidden="1">#REF!</definedName>
    <definedName name="BEx9EQWQ3OLNH8MKW6S4LGJHQJ41" hidden="1">#REF!</definedName>
    <definedName name="BExCV6ZH78AXA757TKAXSW06Y17S" hidden="1">#REF!</definedName>
    <definedName name="BExEZ6FIFM0TDMIYDQXYHM1RQCGQ" hidden="1">#REF!</definedName>
    <definedName name="BExOLM3OA8IMUUGK26XY4NJKGLE8" hidden="1">#REF!</definedName>
    <definedName name="bnvhjgjk" hidden="1">{0,0}</definedName>
    <definedName name="cfhg" hidden="1">{"'Sheet1'!$A$1:$G$96","'Sheet1'!$A$1:$H$96"}</definedName>
    <definedName name="cv" hidden="1">{0,0}</definedName>
    <definedName name="cx" hidden="1">{"'Sheet1'!$A$1:$G$96","'Sheet1'!$A$1:$H$96"}</definedName>
    <definedName name="cz" hidden="1">{"'Sheet1'!$A$1:$G$96","'Sheet1'!$A$1:$H$96"}</definedName>
    <definedName name="d" hidden="1">{"'Sheet1'!$A$1:$G$96","'Sheet1'!$A$1:$H$96"}</definedName>
    <definedName name="df" hidden="1">{"'Sheet1'!$A$1:$G$96","'Sheet1'!$A$1:$H$96"}</definedName>
    <definedName name="dfd" hidden="1">{"'Sheet1'!$A$1:$G$96","'Sheet1'!$A$1:$H$96"}</definedName>
    <definedName name="dfdf" hidden="1">{"'Sheet1'!$A$1:$G$96","'Sheet1'!$A$1:$H$96"}</definedName>
    <definedName name="dfgbfd" hidden="1">{"'Sheet1'!$A$1:$G$96","'Sheet1'!$A$1:$H$96"}</definedName>
    <definedName name="dfgdfgfdg" hidden="1">{"'Sheet1'!$A$1:$G$96","'Sheet1'!$A$1:$H$96"}</definedName>
    <definedName name="dfgdgdfg" hidden="1">{"'Sheet1'!$A$1:$G$96","'Sheet1'!$A$1:$H$96"}</definedName>
    <definedName name="dfgdgfhg" hidden="1">{"'Sheet1'!$A$1:$G$96","'Sheet1'!$A$1:$H$96"}</definedName>
    <definedName name="dgb" hidden="1">{0,0}</definedName>
    <definedName name="ds" hidden="1">{"'Sheet1'!$A$1:$G$96","'Sheet1'!$A$1:$H$96"}</definedName>
    <definedName name="dsa" hidden="1">{"'Sheet1'!$A$1:$G$96","'Sheet1'!$A$1:$H$96"}</definedName>
    <definedName name="dsf" hidden="1">{"'Sheet1'!$A$1:$G$96","'Sheet1'!$A$1:$H$96"}</definedName>
    <definedName name="e" hidden="1">{"'Sheet1'!$A$1:$G$96","'Sheet1'!$A$1:$H$96"}</definedName>
    <definedName name="eh" hidden="1">{0,0}</definedName>
    <definedName name="er" hidden="1">{"'Sheet1'!$A$1:$G$96","'Sheet1'!$A$1:$H$96"}</definedName>
    <definedName name="ererer" hidden="1">{"'Sheet1'!$A$1:$G$96","'Sheet1'!$A$1:$H$96"}</definedName>
    <definedName name="et" hidden="1">{0,0}</definedName>
    <definedName name="f" hidden="1">{"'Sheet1'!$A$1:$G$96","'Sheet1'!$A$1:$H$96"}</definedName>
    <definedName name="fd" hidden="1">{"'Sheet1'!$A$1:$G$96","'Sheet1'!$A$1:$H$96"}</definedName>
    <definedName name="fds" hidden="1">{"'Sheet1'!$A$1:$G$96","'Sheet1'!$A$1:$H$96"}</definedName>
    <definedName name="ff" hidden="1">{"'Sheet1'!$A$1:$G$96","'Sheet1'!$A$1:$H$96"}</definedName>
    <definedName name="ffffff" hidden="1">{0,0}</definedName>
    <definedName name="fg" hidden="1">{"'Sheet1'!$A$1:$G$96","'Sheet1'!$A$1:$H$96"}</definedName>
    <definedName name="fgbh" hidden="1">{"'Sheet1'!$A$1:$G$96","'Sheet1'!$A$1:$H$96"}</definedName>
    <definedName name="fgbhfg" hidden="1">{"'Sheet1'!$A$1:$G$96","'Sheet1'!$A$1:$H$96"}</definedName>
    <definedName name="fgghfthd" hidden="1">{"'Sheet1'!$A$1:$G$96","'Sheet1'!$A$1:$H$96"}</definedName>
    <definedName name="fghgfjhfj" hidden="1">{"'Sheet1'!$A$1:$G$96","'Sheet1'!$A$1:$H$96"}</definedName>
    <definedName name="fhdhdjf" hidden="1">{"'Sheet1'!$A$1:$G$96","'Sheet1'!$A$1:$H$96"}</definedName>
    <definedName name="fhgdetyryu" hidden="1">{0,0}</definedName>
    <definedName name="fhgdgg" hidden="1">{"'Sheet1'!$A$1:$G$96","'Sheet1'!$A$1:$H$96"}</definedName>
    <definedName name="fruytui" hidden="1">{0,0}</definedName>
    <definedName name="fs" hidden="1">{"'Sheet1'!$A$1:$G$96","'Sheet1'!$A$1:$H$96"}</definedName>
    <definedName name="fsfewfewrf" hidden="1">#REF!</definedName>
    <definedName name="g" hidden="1">{"'Sheet1'!$A$1:$G$96","'Sheet1'!$A$1:$H$96"}</definedName>
    <definedName name="gfbhfg" hidden="1">{"'Sheet1'!$A$1:$G$96","'Sheet1'!$A$1:$H$96"}</definedName>
    <definedName name="gfcgxdfg" hidden="1">{"'Sheet1'!$A$1:$G$96","'Sheet1'!$A$1:$H$96"}</definedName>
    <definedName name="gfd" hidden="1">{"'Sheet1'!$A$1:$G$96","'Sheet1'!$A$1:$H$96"}</definedName>
    <definedName name="gfhgfjnnhy" hidden="1">{"'Sheet1'!$A$1:$G$96","'Sheet1'!$A$1:$H$96"}</definedName>
    <definedName name="ggfv" hidden="1">{"'Sheet1'!$A$1:$G$96","'Sheet1'!$A$1:$H$96"}</definedName>
    <definedName name="gggggg" hidden="1">{"'Sheet1'!$A$1:$G$96","'Sheet1'!$A$1:$H$96"}</definedName>
    <definedName name="ggggggggggggg" hidden="1">{#N/A,#N/A,TRUE,"Лист2"}</definedName>
    <definedName name="ghdfhgj" hidden="1">{"'Sheet1'!$A$1:$G$96","'Sheet1'!$A$1:$H$96"}</definedName>
    <definedName name="ghfghfj" hidden="1">{0,0}</definedName>
    <definedName name="ghfhjg" hidden="1">{0,0}</definedName>
    <definedName name="ghfhjgjh" hidden="1">{0,0}</definedName>
    <definedName name="ghjk8" hidden="1">{"'Sheet1'!$A$1:$G$96","'Sheet1'!$A$1:$H$96"}</definedName>
    <definedName name="gj" hidden="1">{"'Sheet1'!$A$1:$G$96","'Sheet1'!$A$1:$H$96"}</definedName>
    <definedName name="gvxgdfgd" hidden="1">{"'Sheet1'!$A$1:$G$96","'Sheet1'!$A$1:$H$96"}</definedName>
    <definedName name="h" hidden="1">{"'Sheet1'!$A$1:$G$96","'Sheet1'!$A$1:$H$96"}</definedName>
    <definedName name="he" hidden="1">{"'Sheet1'!$A$1:$G$96","'Sheet1'!$A$1:$H$96"}</definedName>
    <definedName name="hf" hidden="1">{"'Sheet1'!$A$1:$G$96","'Sheet1'!$A$1:$H$96"}</definedName>
    <definedName name="hfx" hidden="1">{"'Sheet1'!$A$1:$G$96","'Sheet1'!$A$1:$H$96"}</definedName>
    <definedName name="hgc" hidden="1">{"'Sheet1'!$A$1:$G$96","'Sheet1'!$A$1:$H$96"}</definedName>
    <definedName name="hgf" hidden="1">{"'Sheet1'!$A$1:$G$96","'Sheet1'!$A$1:$H$96"}</definedName>
    <definedName name="hhh" hidden="1">{"'Sheet1'!$A$1:$G$96","'Sheet1'!$A$1:$H$96"}</definedName>
    <definedName name="hj" hidden="1">{"'Sheet1'!$A$1:$G$96","'Sheet1'!$A$1:$H$96"}</definedName>
    <definedName name="hjghjhjk" hidden="1">{0,0}</definedName>
    <definedName name="hjgjkghjk" hidden="1">{0,0}</definedName>
    <definedName name="hjgjkh" hidden="1">{0,0}</definedName>
    <definedName name="htfr" hidden="1">{"'Sheet1'!$A$1:$G$96","'Sheet1'!$A$1:$H$96"}</definedName>
    <definedName name="HTML_CodePage" hidden="1">1252</definedName>
    <definedName name="HTML_Control" hidden="1">{"'Sheet1'!$A$1:$G$96","'Sheet1'!$A$1:$H$96"}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i" hidden="1">{#N/A,#N/A,TRUE,"Лист2"}</definedName>
    <definedName name="iiiii" hidden="1">{0,0}</definedName>
    <definedName name="io" hidden="1">{"'Sheet1'!$A$1:$G$96","'Sheet1'!$A$1:$H$96"}</definedName>
    <definedName name="iyu" hidden="1">{"'Sheet1'!$A$1:$G$96","'Sheet1'!$A$1:$H$96"}</definedName>
    <definedName name="j" hidden="1">{"'Sheet1'!$A$1:$G$96","'Sheet1'!$A$1:$H$96"}</definedName>
    <definedName name="jgd" hidden="1">{"'Sheet1'!$A$1:$G$96","'Sheet1'!$A$1:$H$96"}</definedName>
    <definedName name="jgh" hidden="1">{"'Sheet1'!$A$1:$G$96","'Sheet1'!$A$1:$H$96"}</definedName>
    <definedName name="jhfghjgjkg" hidden="1">{0,0}</definedName>
    <definedName name="jhfhjgjk" hidden="1">{0,0}</definedName>
    <definedName name="jhgfhjgjk" hidden="1">{0,0}</definedName>
    <definedName name="jhv" hidden="1">{"'Sheet1'!$A$1:$G$96","'Sheet1'!$A$1:$H$96"}</definedName>
    <definedName name="jk" hidden="1">{#N/A,#N/A,TRUE,"Лист2"}</definedName>
    <definedName name="jkhkjujk" hidden="1">{"'Sheet1'!$A$1:$G$96","'Sheet1'!$A$1:$H$96"}</definedName>
    <definedName name="jkkkkkkk\" hidden="1">{"'Sheet1'!$A$1:$G$96","'Sheet1'!$A$1:$H$96"}</definedName>
    <definedName name="jutyj" hidden="1">{"'Sheet1'!$A$1:$G$96","'Sheet1'!$A$1:$H$96"}</definedName>
    <definedName name="jytd" hidden="1">{"'Sheet1'!$A$1:$G$96","'Sheet1'!$A$1:$H$96"}</definedName>
    <definedName name="k" hidden="1">{"'Sheet1'!$A$1:$G$96","'Sheet1'!$A$1:$H$96"}</definedName>
    <definedName name="khgf" hidden="1">{"'Sheet1'!$A$1:$G$96","'Sheet1'!$A$1:$H$96"}</definedName>
    <definedName name="kjh" hidden="1">{"'Sheet1'!$A$1:$G$96","'Sheet1'!$A$1:$H$96"}</definedName>
    <definedName name="kkk" hidden="1">{"'Sheet1'!$A$1:$G$96","'Sheet1'!$A$1:$H$96"}</definedName>
    <definedName name="l" hidden="1">{"'Sheet1'!$A$1:$G$96","'Sheet1'!$A$1:$H$96"}</definedName>
    <definedName name="lh" hidden="1">{"'Sheet1'!$A$1:$G$96","'Sheet1'!$A$1:$H$96"}</definedName>
    <definedName name="liujg" hidden="1">{"'Sheet1'!$A$1:$G$96","'Sheet1'!$A$1:$H$96"}</definedName>
    <definedName name="ljh" hidden="1">{"'Sheet1'!$A$1:$G$96","'Sheet1'!$A$1:$H$96"}</definedName>
    <definedName name="lkj" hidden="1">{"'Sheet1'!$A$1:$G$96","'Sheet1'!$A$1:$H$96"}</definedName>
    <definedName name="lll" hidden="1">{"'Sheet1'!$A$1:$G$96","'Sheet1'!$A$1:$H$96"}</definedName>
    <definedName name="lu" hidden="1">{"'Sheet1'!$A$1:$G$96","'Sheet1'!$A$1:$H$96"}</definedName>
    <definedName name="lui" hidden="1">{"'Sheet1'!$A$1:$G$96","'Sheet1'!$A$1:$H$96"}</definedName>
    <definedName name="mnb" hidden="1">{"'Sheet1'!$A$1:$G$96","'Sheet1'!$A$1:$H$96"}</definedName>
    <definedName name="nbv" hidden="1">{"'Sheet1'!$A$1:$G$96","'Sheet1'!$A$1:$H$96"}</definedName>
    <definedName name="oi" hidden="1">{"'Sheet1'!$A$1:$G$96","'Sheet1'!$A$1:$H$96"}</definedName>
    <definedName name="oiu" hidden="1">{"'Sheet1'!$A$1:$G$96","'Sheet1'!$A$1:$H$96"}</definedName>
    <definedName name="oug" hidden="1">{"'Sheet1'!$A$1:$G$96","'Sheet1'!$A$1:$H$96"}</definedName>
    <definedName name="pi" hidden="1">{"'Sheet1'!$A$1:$G$96","'Sheet1'!$A$1:$H$96"}</definedName>
    <definedName name="q" hidden="1">{"'Sheet1'!$A$1:$G$96","'Sheet1'!$A$1:$H$96"}</definedName>
    <definedName name="qb" hidden="1">{0,0}</definedName>
    <definedName name="qd" hidden="1">{0,0}</definedName>
    <definedName name="qq" hidden="1">{"'Sheet1'!$A$1:$G$96","'Sheet1'!$A$1:$H$96"}</definedName>
    <definedName name="qw" hidden="1">{"'Sheet1'!$A$1:$G$96","'Sheet1'!$A$1:$H$96"}</definedName>
    <definedName name="reryy" hidden="1">{0,0}</definedName>
    <definedName name="rg" hidden="1">{"'Sheet1'!$A$1:$G$96","'Sheet1'!$A$1:$H$96"}</definedName>
    <definedName name="rhyftghgfh" hidden="1">{"'Sheet1'!$A$1:$G$96","'Sheet1'!$A$1:$H$96"}</definedName>
    <definedName name="rk" hidden="1">{0,0}</definedName>
    <definedName name="rt" hidden="1">{"'Sheet1'!$A$1:$G$96","'Sheet1'!$A$1:$H$96"}</definedName>
    <definedName name="rtg" hidden="1">{"'Sheet1'!$A$1:$G$96","'Sheet1'!$A$1:$H$96"}</definedName>
    <definedName name="rtthsf" hidden="1">{0,0}</definedName>
    <definedName name="ry" hidden="1">{0,0}</definedName>
    <definedName name="ryt" hidden="1">{0,0}</definedName>
    <definedName name="s" hidden="1">{"'Sheet1'!$A$1:$G$96","'Sheet1'!$A$1:$H$96"}</definedName>
    <definedName name="sd" hidden="1">{"'Sheet1'!$A$1:$G$96","'Sheet1'!$A$1:$H$96"}</definedName>
    <definedName name="sdd" hidden="1">{"'Sheet1'!$A$1:$G$96","'Sheet1'!$A$1:$H$96"}</definedName>
    <definedName name="sddd" hidden="1">{"'Sheet1'!$A$1:$G$96","'Sheet1'!$A$1:$H$96"}</definedName>
    <definedName name="segsrfd" hidden="1">{"'Sheet1'!$A$1:$G$96","'Sheet1'!$A$1:$H$96"}</definedName>
    <definedName name="ssa" hidden="1">{"'Sheet1'!$A$1:$G$96","'Sheet1'!$A$1:$H$96"}</definedName>
    <definedName name="sth" hidden="1">{0,0}</definedName>
    <definedName name="t" hidden="1">{"'Sheet1'!$A$1:$G$96","'Sheet1'!$A$1:$H$96"}</definedName>
    <definedName name="tdghv" hidden="1">{0,0}</definedName>
    <definedName name="TextRefCopyRangeCount" hidden="1">182</definedName>
    <definedName name="tr" hidden="1">{0,0}</definedName>
    <definedName name="ty" hidden="1">{"'Sheet1'!$A$1:$G$96","'Sheet1'!$A$1:$H$96"}</definedName>
    <definedName name="tyy" hidden="1">{"'Sheet1'!$A$1:$G$96","'Sheet1'!$A$1:$H$96"}</definedName>
    <definedName name="ui" hidden="1">{"'Sheet1'!$A$1:$G$96","'Sheet1'!$A$1:$H$96"}</definedName>
    <definedName name="uuiy" hidden="1">{0,0}</definedName>
    <definedName name="vcbnvm" hidden="1">{0,0}</definedName>
    <definedName name="vhjgbmh" hidden="1">{0,0}</definedName>
    <definedName name="vthntkm" hidden="1">{#N/A,#N/A,TRUE,"Лист2"}</definedName>
    <definedName name="vx" hidden="1">{"'Sheet1'!$A$1:$G$96","'Sheet1'!$A$1:$H$96"}</definedName>
    <definedName name="we" hidden="1">{"'Sheet1'!$A$1:$G$96","'Sheet1'!$A$1:$H$96"}</definedName>
    <definedName name="weer" hidden="1">{"'Sheet1'!$A$1:$G$96","'Sheet1'!$A$1:$H$96"}</definedName>
    <definedName name="werw4" hidden="1">{"'Sheet1'!$A$1:$G$96","'Sheet1'!$A$1:$H$96"}</definedName>
    <definedName name="wj" hidden="1">{0,0}</definedName>
    <definedName name="wrn.Aging._.and._.Trend._.Analysis." hidden="1">{#N/A,#N/A,FALSE,"Aging Summary";#N/A,#N/A,FALSE,"Ratio Analysis";#N/A,#N/A,FALSE,"Test 120 Day Accts";#N/A,#N/A,FALSE,"Tickmarks"}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est." hidden="1">{"Valuation_Common",#N/A,FALSE,"Valuation"}</definedName>
    <definedName name="wrn.Без._.наших._.расчетов." hidden="1">{"Без наших расчетов",#N/A,FALSE,"Метод накопления активов"}</definedName>
    <definedName name="wrn.Затратный." hidden="1">{#N/A,#N/A,TRUE,"Затратный"}</definedName>
    <definedName name="wrn.ку." hidden="1">{#N/A,#N/A,TRUE,"Лист2"}</definedName>
    <definedName name="wrn.лпл." hidden="1">{#N/A,#N/A,FALSE,"Лист6"}</definedName>
    <definedName name="wrn.Прогнозы." hidden="1">{#N/A,#N/A,TRUE,"Прогнозы";#N/A,#N/A,TRUE,"ДДП"}</definedName>
    <definedName name="ww" hidden="1">{"'Sheet1'!$A$1:$G$96","'Sheet1'!$A$1:$H$96"}</definedName>
    <definedName name="XRefCopyRangeCount" hidden="1">1</definedName>
    <definedName name="y" hidden="1">{"'Sheet1'!$A$1:$G$96","'Sheet1'!$A$1:$H$96"}</definedName>
    <definedName name="yf" hidden="1">{"'Sheet1'!$A$1:$G$96","'Sheet1'!$A$1:$H$96"}</definedName>
    <definedName name="yt" hidden="1">{"'Sheet1'!$A$1:$G$96","'Sheet1'!$A$1:$H$96"}</definedName>
    <definedName name="yu" hidden="1">{"'Sheet1'!$A$1:$G$96","'Sheet1'!$A$1:$H$96"}</definedName>
    <definedName name="yui" hidden="1">{"'Sheet1'!$A$1:$G$96","'Sheet1'!$A$1:$H$96"}</definedName>
    <definedName name="Z_0DD4EB58_0647_11D5_A6F7_00508B654A95_.wvu.Cols" hidden="1">#REF!,#REF!,#REF!,#REF!,#REF!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901DD601_3312_11D5_8F89_00010215A1CA_.wvu.Rows" hidden="1">#REF!,#REF!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D4FBBAF2_ED2F_11D4_A6F7_00508B6540C5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а" hidden="1">{#N/A,#N/A,TRUE,"Лист2"}</definedName>
    <definedName name="а1" hidden="1">{"'Sheet1'!$A$1:$G$96","'Sheet1'!$A$1:$H$96"}</definedName>
    <definedName name="а117" hidden="1">{0,0}</definedName>
    <definedName name="а140" hidden="1">{0,0}</definedName>
    <definedName name="а163" hidden="1">{0,0}</definedName>
    <definedName name="а186" hidden="1">{0,0}</definedName>
    <definedName name="а19" hidden="1">{0,0}</definedName>
    <definedName name="а2" hidden="1">{"'Sheet1'!$A$1:$G$96","'Sheet1'!$A$1:$H$96"}</definedName>
    <definedName name="а48" hidden="1">{0,0}</definedName>
    <definedName name="а71" hidden="1">{0,0}</definedName>
    <definedName name="а94" hidden="1">{0,0}</definedName>
    <definedName name="аа" hidden="1">{0,0}</definedName>
    <definedName name="ааа" hidden="1">{0,0}</definedName>
    <definedName name="ааааа11111" hidden="1">{"'Sheet1'!$A$1:$G$96","'Sheet1'!$A$1:$H$96"}</definedName>
    <definedName name="ааааааааар" hidden="1">{0,0}</definedName>
    <definedName name="ааппп" hidden="1">{"Valuation_Common",#N/A,FALSE,"Valuation"}</definedName>
    <definedName name="авг.опер.Н" hidden="1">{"'Sheet1'!$A$1:$G$96","'Sheet1'!$A$1:$H$96"}</definedName>
    <definedName name="авепо" hidden="1">{"Valuation_Common",#N/A,FALSE,"Valuation"}</definedName>
    <definedName name="авпарпар" hidden="1">{"'Sheet1'!$A$1:$G$96","'Sheet1'!$A$1:$H$96"}</definedName>
    <definedName name="авпекго" hidden="1">{"'Sheet1'!$A$1:$G$96","'Sheet1'!$A$1:$H$96"}</definedName>
    <definedName name="аврекр" hidden="1">{0,FALSE}</definedName>
    <definedName name="ак" hidden="1">{0,0}</definedName>
    <definedName name="акрароо" hidden="1">{"'Sheet1'!$A$1:$G$96","'Sheet1'!$A$1:$H$96"}</definedName>
    <definedName name="актрпаотап" hidden="1">{0,0}</definedName>
    <definedName name="амит" hidden="1">{"'Sheet1'!$A$1:$G$96","'Sheet1'!$A$1:$H$96"}</definedName>
    <definedName name="анализ" hidden="1">{#N/A,#N/A,TRUE,"Лист2"}</definedName>
    <definedName name="апарпогрлролбодболюолюлбсрвкекн" hidden="1">{"'Sheet1'!$A$1:$G$96","'Sheet1'!$A$1:$H$96"}</definedName>
    <definedName name="апер" hidden="1">{"'Sheet1'!$A$1:$G$96","'Sheet1'!$A$1:$H$96"}</definedName>
    <definedName name="апоа" hidden="1">{"'Sheet1'!$A$1:$G$96","'Sheet1'!$A$1:$H$96"}</definedName>
    <definedName name="апорапоап" hidden="1">{0,0}</definedName>
    <definedName name="апорапрап" hidden="1">{0,0}</definedName>
    <definedName name="аппрр" hidden="1">{"Valuation_Common",#N/A,FALSE,"Valuation"}</definedName>
    <definedName name="апр" hidden="1">{#N/A,#N/A,TRUE,"Лист2"}</definedName>
    <definedName name="аправ" hidden="1">{"'Sheet1'!$A$1:$G$96","'Sheet1'!$A$1:$H$96"}</definedName>
    <definedName name="апрварукнруква" hidden="1">{0,0}</definedName>
    <definedName name="апрпоонгеш" hidden="1">{"'Sheet1'!$A$1:$G$96","'Sheet1'!$A$1:$H$96"}</definedName>
    <definedName name="араго" hidden="1">{"'Sheet1'!$A$1:$G$96","'Sheet1'!$A$1:$H$96"}</definedName>
    <definedName name="ариавр" hidden="1">{0,0}</definedName>
    <definedName name="аркер" hidden="1">{0,0}</definedName>
    <definedName name="арппр" hidden="1">{"'Sheet1'!$A$1:$G$96","'Sheet1'!$A$1:$H$96"}</definedName>
    <definedName name="б" hidden="1">{"'Sheet1'!$A$1:$G$96","'Sheet1'!$A$1:$H$96"}</definedName>
    <definedName name="ббб" hidden="1">{0,0}</definedName>
    <definedName name="бд" hidden="1">{0,0}</definedName>
    <definedName name="блро" hidden="1">{"'Sheet1'!$A$1:$G$96","'Sheet1'!$A$1:$H$96"}</definedName>
    <definedName name="брикеты" hidden="1">{"'Sheet1'!$A$1:$G$96","'Sheet1'!$A$1:$H$96"}</definedName>
    <definedName name="бть" hidden="1">{"'Sheet1'!$A$1:$G$96","'Sheet1'!$A$1:$H$96"}</definedName>
    <definedName name="бюджет" hidden="1">{#N/A,#N/A,TRUE,"Лист2"}</definedName>
    <definedName name="в" hidden="1">{"'Sheet1'!$A$1:$G$96","'Sheet1'!$A$1:$H$96"}</definedName>
    <definedName name="в2" hidden="1">{"'Sheet1'!$A$1:$G$96","'Sheet1'!$A$1:$H$96"}</definedName>
    <definedName name="ва" hidden="1">{"'Sheet1'!$A$1:$G$96","'Sheet1'!$A$1:$H$96"}</definedName>
    <definedName name="вае" hidden="1">{"'Sheet1'!$A$1:$G$96","'Sheet1'!$A$1:$H$96"}</definedName>
    <definedName name="вап3" hidden="1">{"'Sheet1'!$A$1:$G$96","'Sheet1'!$A$1:$H$96"}</definedName>
    <definedName name="вапва" hidden="1">{#N/A,#N/A,TRUE,"Лист2"}</definedName>
    <definedName name="вапвап" hidden="1">{#N/A,#N/A,TRUE,"Лист2"}</definedName>
    <definedName name="ваыкпав" hidden="1">{#N/A,#N/A,TRUE,"Лист2"}</definedName>
    <definedName name="вввв" hidden="1">{"'Sheet1'!$A$1:$G$96","'Sheet1'!$A$1:$H$96"}</definedName>
    <definedName name="ввввв" hidden="1">{0,0}</definedName>
    <definedName name="ви" hidden="1">{"'Sheet1'!$A$1:$G$96","'Sheet1'!$A$1:$H$96"}</definedName>
    <definedName name="вк" hidden="1">{0,0}</definedName>
    <definedName name="вп" hidden="1">{"'Sheet1'!$A$1:$G$96","'Sheet1'!$A$1:$H$96"}</definedName>
    <definedName name="впарпк" hidden="1">{0,0}</definedName>
    <definedName name="впвене" hidden="1">{"'Sheet1'!$A$1:$G$96","'Sheet1'!$A$1:$H$96"}</definedName>
    <definedName name="впкупукп" hidden="1">#REF!</definedName>
    <definedName name="впр" hidden="1">{#N/A,#N/A,TRUE,"Лист2"}</definedName>
    <definedName name="впрапр" hidden="1">{"'Sheet1'!$A$1:$G$96","'Sheet1'!$A$1:$H$96"}</definedName>
    <definedName name="врпо" hidden="1">{0,FALSE}</definedName>
    <definedName name="Вспом." hidden="1">{"'Sheet1'!$A$1:$G$96","'Sheet1'!$A$1:$H$96"}</definedName>
    <definedName name="ву" hidden="1">{#N/A,#N/A,TRUE,"Лист2"}</definedName>
    <definedName name="вы" hidden="1">{0,0}</definedName>
    <definedName name="ггггггг" hidden="1">{0,0}</definedName>
    <definedName name="гзщхшщхщз" hidden="1">{"'Sheet1'!$A$1:$G$96","'Sheet1'!$A$1:$H$96"}</definedName>
    <definedName name="го" hidden="1">{0,0}</definedName>
    <definedName name="год" hidden="1">{#N/A,#N/A,TRUE,"Лист2"}</definedName>
    <definedName name="ГОК" hidden="1">{"'Sheet1'!$A$1:$G$96","'Sheet1'!$A$1:$H$96"}</definedName>
    <definedName name="график" hidden="1">{#N/A,#N/A,TRUE,"Лист2"}</definedName>
    <definedName name="д" hidden="1">{"'Sheet1'!$A$1:$G$96","'Sheet1'!$A$1:$H$96"}</definedName>
    <definedName name="да" hidden="1">{#N/A,#N/A,TRUE,"Лист2"}</definedName>
    <definedName name="движение" hidden="1">{#N/A,#N/A,TRUE,"Лист2"}</definedName>
    <definedName name="ддддддддд" hidden="1">{"Valuation_Common",#N/A,FALSE,"Valuation"}</definedName>
    <definedName name="джплрджрлдпаорлдпа" hidden="1">{#N/A,#N/A,TRUE,"Лист2"}</definedName>
    <definedName name="джррапр" hidden="1">{"'Sheet1'!$A$1:$G$96","'Sheet1'!$A$1:$H$96"}</definedName>
    <definedName name="ДК" hidden="1">{"'Sheet1'!$A$1:$G$96","'Sheet1'!$A$1:$H$96"}</definedName>
    <definedName name="дл" hidden="1">{0,0}</definedName>
    <definedName name="документ10" hidden="1">{"'Sheet1'!$A$1:$G$96","'Sheet1'!$A$1:$H$96"}</definedName>
    <definedName name="дщ" hidden="1">{0,0}</definedName>
    <definedName name="ё" hidden="1">{"'Sheet1'!$A$1:$G$96","'Sheet1'!$A$1:$H$96"}</definedName>
    <definedName name="ее" hidden="1">{0,0}</definedName>
    <definedName name="еееее" hidden="1">{0,0}</definedName>
    <definedName name="екнкн" hidden="1">{#N/A,#N/A,TRUE,"Лист2"}</definedName>
    <definedName name="ен" hidden="1">{"'Sheet1'!$A$1:$G$96","'Sheet1'!$A$1:$H$96"}</definedName>
    <definedName name="еп" hidden="1">{0,0}</definedName>
    <definedName name="еркенрвавсм" hidden="1">{0,0}</definedName>
    <definedName name="ернкеара" hidden="1">{0,0}</definedName>
    <definedName name="еу" hidden="1">{0,0}</definedName>
    <definedName name="ж" hidden="1">{"'Sheet1'!$A$1:$G$96","'Sheet1'!$A$1:$H$96"}</definedName>
    <definedName name="ж." hidden="1">{0,0}</definedName>
    <definedName name="жд" hidden="1">{"'Sheet1'!$A$1:$G$96","'Sheet1'!$A$1:$H$96"}</definedName>
    <definedName name="жьлрджеьлрджаеьрлджеа" hidden="1">{#N/A,#N/A,TRUE,"Лист2"}</definedName>
    <definedName name="зз" hidden="1">{"'Sheet1'!$A$1:$G$96","'Sheet1'!$A$1:$H$96"}</definedName>
    <definedName name="зззз" hidden="1">{0,0}</definedName>
    <definedName name="зх" hidden="1">{0,0}</definedName>
    <definedName name="зщ" hidden="1">{"'Sheet1'!$A$1:$G$96","'Sheet1'!$A$1:$H$96"}</definedName>
    <definedName name="и" hidden="1">{"'Sheet1'!$A$1:$G$96","'Sheet1'!$A$1:$H$96"}</definedName>
    <definedName name="ии" hidden="1">{"'Sheet1'!$A$1:$G$96","'Sheet1'!$A$1:$H$96"}</definedName>
    <definedName name="иии" hidden="1">{"'Sheet1'!$A$1:$G$96","'Sheet1'!$A$1:$H$96"}</definedName>
    <definedName name="иииии" hidden="1">{#N/A,#N/A,TRUE,"Лист2"}</definedName>
    <definedName name="им" hidden="1">{"'Sheet1'!$A$1:$G$96","'Sheet1'!$A$1:$H$96"}</definedName>
    <definedName name="имитм" hidden="1">{#N/A,#N/A,TRUE,"Лист2"}</definedName>
    <definedName name="ит6" hidden="1">{"'Sheet1'!$A$1:$G$96","'Sheet1'!$A$1:$H$96"}</definedName>
    <definedName name="ит7" hidden="1">{"'Sheet1'!$A$1:$G$96","'Sheet1'!$A$1:$H$96"}</definedName>
    <definedName name="июль" hidden="1">{#N/A,#N/A,TRUE,"Лист2"}</definedName>
    <definedName name="июль.06" hidden="1">{#N/A,#N/A,TRUE,"Лист2"}</definedName>
    <definedName name="ияч" hidden="1">{"'Sheet1'!$A$1:$G$96","'Sheet1'!$A$1:$H$96"}</definedName>
    <definedName name="й" hidden="1">{"'Sheet1'!$A$1:$G$96","'Sheet1'!$A$1:$H$96"}</definedName>
    <definedName name="ййй" hidden="1">{"'Sheet1'!$A$1:$G$96","'Sheet1'!$A$1:$H$96"}</definedName>
    <definedName name="йййй" hidden="1">{0,0}</definedName>
    <definedName name="ййййй" hidden="1">{0,0}</definedName>
    <definedName name="ййййййййййй" hidden="1">{0,0}</definedName>
    <definedName name="йф" hidden="1">{0,0}</definedName>
    <definedName name="йц" hidden="1">{"'Sheet1'!$A$1:$G$96","'Sheet1'!$A$1:$H$96"}</definedName>
    <definedName name="йцу" hidden="1">{"'Sheet1'!$A$1:$G$96","'Sheet1'!$A$1:$H$96"}</definedName>
    <definedName name="к" hidden="1">{#N/A,#N/A,TRUE,"Лист2"}</definedName>
    <definedName name="как" hidden="1">{"'Sheet1'!$A$1:$G$96","'Sheet1'!$A$1:$H$96"}</definedName>
    <definedName name="кв" hidden="1">{"'Sheet1'!$A$1:$G$96","'Sheet1'!$A$1:$H$96"}</definedName>
    <definedName name="ке54" hidden="1">{"'Sheet1'!$A$1:$G$96","'Sheet1'!$A$1:$H$96"}</definedName>
    <definedName name="кеку" hidden="1">{0,0}</definedName>
    <definedName name="кенкен" hidden="1">{0,0}</definedName>
    <definedName name="кеуке" hidden="1">{0,0}</definedName>
    <definedName name="Кира" hidden="1">{"'Sheet1'!$A$1:$G$96","'Sheet1'!$A$1:$H$96"}</definedName>
    <definedName name="ккк" hidden="1">{"'Sheet1'!$A$1:$G$96","'Sheet1'!$A$1:$H$96"}</definedName>
    <definedName name="кккк" hidden="1">{"'Sheet1'!$A$1:$G$96","'Sheet1'!$A$1:$H$96"}</definedName>
    <definedName name="ккккк" hidden="1">{#N/A,#N/A,TRUE,"Лист2"}</definedName>
    <definedName name="кккккк" hidden="1">{#N/A,#N/A,TRUE,"Лист2"}</definedName>
    <definedName name="ккккккк" hidden="1">{0,0}</definedName>
    <definedName name="кн54куеуцфваы" hidden="1">{0,0}</definedName>
    <definedName name="кну4ну" hidden="1">{0,0}</definedName>
    <definedName name="конц" hidden="1">{"'Sheet1'!$A$1:$G$96","'Sheet1'!$A$1:$H$96"}</definedName>
    <definedName name="концент" hidden="1">{"'Sheet1'!$A$1:$G$96","'Sheet1'!$A$1:$H$96"}</definedName>
    <definedName name="копия2" hidden="1">{#N/A,#N/A,FALSE,"Aging Summary";#N/A,#N/A,FALSE,"Ratio Analysis";#N/A,#N/A,FALSE,"Test 120 Day Accts";#N/A,#N/A,FALSE,"Tickmarks"}</definedName>
    <definedName name="кпвкпвар" hidden="1">{#N/A,#N/A,TRUE,"Лист2"}</definedName>
    <definedName name="КР" hidden="1">{"'Sheet1'!$A$1:$G$96","'Sheet1'!$A$1:$H$96"}</definedName>
    <definedName name="ку" hidden="1">{"'Sheet1'!$A$1:$G$96","'Sheet1'!$A$1:$H$96"}</definedName>
    <definedName name="куеапкыу" hidden="1">{0,0}</definedName>
    <definedName name="купеукп" hidden="1">{#N/A,#N/A,TRUE,"Лист2"}</definedName>
    <definedName name="куцкцукцуа" hidden="1">{#N/A,#N/A,TRUE,"Лист2"}</definedName>
    <definedName name="л" hidden="1">{"'Sheet1'!$A$1:$G$96","'Sheet1'!$A$1:$H$96"}</definedName>
    <definedName name="Лг" hidden="1">{"'Sheet1'!$A$1:$G$96","'Sheet1'!$A$1:$H$96"}</definedName>
    <definedName name="ЛГОК" hidden="1">{"'Sheet1'!$A$1:$G$96","'Sheet1'!$A$1:$H$96"}</definedName>
    <definedName name="лдукоелджкулелджукл" hidden="1">{"'Sheet1'!$A$1:$G$96","'Sheet1'!$A$1:$H$96"}</definedName>
    <definedName name="ЛЕБЕД." hidden="1">{"'Sheet1'!$A$1:$G$96","'Sheet1'!$A$1:$H$96"}</definedName>
    <definedName name="лист" hidden="1">{#N/A,#N/A,TRUE,"Лист2"}</definedName>
    <definedName name="лл" hidden="1">{"'Sheet1'!$A$1:$G$96","'Sheet1'!$A$1:$H$96"}</definedName>
    <definedName name="ллл" hidden="1">{"'Sheet1'!$A$1:$G$96","'Sheet1'!$A$1:$H$96"}</definedName>
    <definedName name="лллллллллллл" hidden="1">{"Valuation_Common",#N/A,FALSE,"Valuation"}</definedName>
    <definedName name="ллоорлоорплло" hidden="1">{"'Sheet1'!$A$1:$G$96","'Sheet1'!$A$1:$H$96"}</definedName>
    <definedName name="ло" hidden="1">{"'Sheet1'!$A$1:$G$96","'Sheet1'!$A$1:$H$96"}</definedName>
    <definedName name="лоло" hidden="1">{"'Sheet1'!$A$1:$G$96","'Sheet1'!$A$1:$H$96"}</definedName>
    <definedName name="лорплол" hidden="1">{"'Sheet1'!$A$1:$G$96","'Sheet1'!$A$1:$H$96"}</definedName>
    <definedName name="Ля" hidden="1">{"'Sheet1'!$A$1:$G$96","'Sheet1'!$A$1:$H$96"}</definedName>
    <definedName name="м" hidden="1">{0,0}</definedName>
    <definedName name="март2" hidden="1">{#N/A,#N/A,TRUE,"Лист2"}</definedName>
    <definedName name="мвпвп" hidden="1">#REF!</definedName>
    <definedName name="мп" hidden="1">{0,0}</definedName>
    <definedName name="налоги" hidden="1">{"'Sheet1'!$A$1:$G$96","'Sheet1'!$A$1:$H$96"}</definedName>
    <definedName name="налоги2" hidden="1">{"'Sheet1'!$A$1:$G$96","'Sheet1'!$A$1:$H$96"}</definedName>
    <definedName name="нгн" hidden="1">{0,0}</definedName>
    <definedName name="не" hidden="1">{"'Sheet1'!$A$1:$G$96","'Sheet1'!$A$1:$H$96"}</definedName>
    <definedName name="неогепартве" hidden="1">{0,0}</definedName>
    <definedName name="нет" hidden="1">{"'Sheet1'!$A$1:$G$96","'Sheet1'!$A$1:$H$96"}</definedName>
    <definedName name="ни" hidden="1">{#N/A,#N/A,TRUE,"Лист2"}</definedName>
    <definedName name="нке" hidden="1">{0,0}</definedName>
    <definedName name="нкуекнуке" hidden="1">{"'Sheet1'!$A$1:$G$96","'Sheet1'!$A$1:$H$96"}</definedName>
    <definedName name="ннннннн" hidden="1">{0,0}</definedName>
    <definedName name="ннор" hidden="1">{0,0}</definedName>
    <definedName name="ннро" hidden="1">{"'Sheet1'!$A$1:$G$96","'Sheet1'!$A$1:$H$96"}</definedName>
    <definedName name="нов" hidden="1">{#N/A,#N/A,TRUE,"Лист2"}</definedName>
    <definedName name="новое" hidden="1">{"'Sheet1'!$A$1:$G$96","'Sheet1'!$A$1:$H$96"}</definedName>
    <definedName name="нпа" hidden="1">{"'Sheet1'!$A$1:$G$96","'Sheet1'!$A$1:$H$96"}</definedName>
    <definedName name="нр" hidden="1">{0,0}</definedName>
    <definedName name="нрп" hidden="1">{0,0}</definedName>
    <definedName name="нукекпецуц" hidden="1">{#N/A,#N/A,TRUE,"Лист2"}</definedName>
    <definedName name="о" hidden="1">{"'Sheet1'!$A$1:$G$96","'Sheet1'!$A$1:$H$96"}</definedName>
    <definedName name="од" hidden="1">{"Valuation_Common",#N/A,FALSE,"Valuation"}</definedName>
    <definedName name="окт" hidden="1">{"'Sheet1'!$A$1:$G$96","'Sheet1'!$A$1:$H$96"}</definedName>
    <definedName name="окт." hidden="1">{"'Sheet1'!$A$1:$G$96","'Sheet1'!$A$1:$H$96"}</definedName>
    <definedName name="ол" hidden="1">{#N/A,#N/A,TRUE,"Лист2"}</definedName>
    <definedName name="олдж" hidden="1">{"Valuation_Common",#N/A,FALSE,"Valuation"}</definedName>
    <definedName name="олдыкоелдвкопрлпотрр" hidden="1">{"'Sheet1'!$A$1:$G$96","'Sheet1'!$A$1:$H$96"}</definedName>
    <definedName name="олл" hidden="1">{"'Sheet1'!$A$1:$G$96","'Sheet1'!$A$1:$H$96"}</definedName>
    <definedName name="ооо" hidden="1">{"'Sheet1'!$A$1:$G$96","'Sheet1'!$A$1:$H$96"}</definedName>
    <definedName name="оооо" hidden="1">{#N/A,#N/A,TRUE,"Лист2"}</definedName>
    <definedName name="оооооо" hidden="1">{0,0}</definedName>
    <definedName name="опроло" hidden="1">{"'Sheet1'!$A$1:$G$96","'Sheet1'!$A$1:$H$96"}</definedName>
    <definedName name="орлрл" hidden="1">{"'Sheet1'!$A$1:$G$96","'Sheet1'!$A$1:$H$96"}</definedName>
    <definedName name="оро" hidden="1">{#N/A,#N/A,TRUE,"Лист2"}</definedName>
    <definedName name="Отклонение2" hidden="1">{#N/A,#N/A,TRUE,"Лист2"}</definedName>
    <definedName name="п" hidden="1">{"'Sheet1'!$A$1:$G$96","'Sheet1'!$A$1:$H$96"}</definedName>
    <definedName name="п3" hidden="1">{"'Sheet1'!$A$1:$G$96","'Sheet1'!$A$1:$H$96"}</definedName>
    <definedName name="па" hidden="1">{"'Sheet1'!$A$1:$G$96","'Sheet1'!$A$1:$H$96"}</definedName>
    <definedName name="паорп" hidden="1">{"'Sheet1'!$A$1:$G$96","'Sheet1'!$A$1:$H$96"}</definedName>
    <definedName name="паотпариапр" hidden="1">{0,0}</definedName>
    <definedName name="папр" hidden="1">{0,0}</definedName>
    <definedName name="параприва" hidden="1">{0,0}</definedName>
    <definedName name="парнр" hidden="1">{"'Sheet1'!$A$1:$G$96","'Sheet1'!$A$1:$H$96"}</definedName>
    <definedName name="паропар" hidden="1">{"'Sheet1'!$A$1:$G$96","'Sheet1'!$A$1:$H$96"}</definedName>
    <definedName name="пдд" hidden="1">{"'Sheet1'!$A$1:$G$96","'Sheet1'!$A$1:$H$96"}</definedName>
    <definedName name="пе" hidden="1">{"'Sheet1'!$A$1:$G$96","'Sheet1'!$A$1:$H$96"}</definedName>
    <definedName name="Перечень" hidden="1">{"'Sheet1'!$A$1:$G$96","'Sheet1'!$A$1:$H$96"}</definedName>
    <definedName name="перл" hidden="1">{"'Sheet1'!$A$1:$G$96","'Sheet1'!$A$1:$H$96"}</definedName>
    <definedName name="пив" hidden="1">{0,FALSE}</definedName>
    <definedName name="пит" hidden="1">{"'Sheet1'!$A$1:$G$96","'Sheet1'!$A$1:$H$96"}</definedName>
    <definedName name="поапо" hidden="1">{"'Sheet1'!$A$1:$G$96","'Sheet1'!$A$1:$H$96"}</definedName>
    <definedName name="поп" hidden="1">{0,0}</definedName>
    <definedName name="ппарпротимр" hidden="1">{"'Sheet1'!$A$1:$G$96","'Sheet1'!$A$1:$H$96"}</definedName>
    <definedName name="пппп" hidden="1">{"'Sheet1'!$A$1:$G$96","'Sheet1'!$A$1:$H$96"}</definedName>
    <definedName name="пппппп" hidden="1">{"'Sheet1'!$A$1:$G$96","'Sheet1'!$A$1:$H$96"}</definedName>
    <definedName name="привет" hidden="1">{"Valuation_Common",#N/A,FALSE,"Valuation"}</definedName>
    <definedName name="про" hidden="1">{"'Sheet1'!$A$1:$G$96","'Sheet1'!$A$1:$H$96"}</definedName>
    <definedName name="проч.упр." hidden="1">{"'Sheet1'!$A$1:$G$96","'Sheet1'!$A$1:$H$96"}</definedName>
    <definedName name="прпар" hidden="1">{0,FALSE}</definedName>
    <definedName name="прть" hidden="1">{"'Sheet1'!$A$1:$G$96","'Sheet1'!$A$1:$H$96"}</definedName>
    <definedName name="прь" hidden="1">{"'Sheet1'!$A$1:$G$96","'Sheet1'!$A$1:$H$96"}</definedName>
    <definedName name="птпао" hidden="1">{0,FALSE}</definedName>
    <definedName name="пыпыппывапа" hidden="1">#REF!,#REF!,#REF!</definedName>
    <definedName name="р" hidden="1">{#N/A,#N/A,TRUE,"Лист2"}</definedName>
    <definedName name="р1" hidden="1">{"'Sheet1'!$A$1:$G$96","'Sheet1'!$A$1:$H$96"}</definedName>
    <definedName name="раарпр" hidden="1">{"'Sheet1'!$A$1:$G$96","'Sheet1'!$A$1:$H$96"}</definedName>
    <definedName name="Разное" hidden="1">{"Valuation_Common",#N/A,FALSE,"Valuation"}</definedName>
    <definedName name="рве" hidden="1">{0,0}</definedName>
    <definedName name="рлрглр" hidden="1">{"'Sheet1'!$A$1:$G$96","'Sheet1'!$A$1:$H$96"}</definedName>
    <definedName name="ро" hidden="1">{#N/A,#N/A,TRUE,"Лист2"}</definedName>
    <definedName name="рог" hidden="1">{"'Sheet1'!$A$1:$G$96","'Sheet1'!$A$1:$H$96"}</definedName>
    <definedName name="рололб" hidden="1">{"'Sheet1'!$A$1:$G$96","'Sheet1'!$A$1:$H$96"}</definedName>
    <definedName name="ролро" hidden="1">{"'Sheet1'!$A$1:$G$96","'Sheet1'!$A$1:$H$96"}</definedName>
    <definedName name="ролрод" hidden="1">{"'Sheet1'!$A$1:$G$96","'Sheet1'!$A$1:$H$96"}</definedName>
    <definedName name="ролролопл" hidden="1">{"'Sheet1'!$A$1:$G$96","'Sheet1'!$A$1:$H$96"}</definedName>
    <definedName name="роооо" hidden="1">{"'Sheet1'!$A$1:$G$96","'Sheet1'!$A$1:$H$96"}</definedName>
    <definedName name="рот" hidden="1">{#N/A,#N/A,TRUE,"Лист2"}</definedName>
    <definedName name="рп" hidden="1">{0,0}</definedName>
    <definedName name="рпгшгп" hidden="1">{"'Sheet1'!$A$1:$G$96","'Sheet1'!$A$1:$H$96"}</definedName>
    <definedName name="рпопро" hidden="1">{#N/A,#N/A,TRUE,"Лист2"}</definedName>
    <definedName name="ррр" hidden="1">{"'Sheet1'!$A$1:$G$96","'Sheet1'!$A$1:$H$96"}</definedName>
    <definedName name="рррр" hidden="1">{#N/A,#N/A,TRUE,"Лист2"}</definedName>
    <definedName name="рррррррррр" hidden="1">{"Valuation_Common",#N/A,FALSE,"Valuation"}</definedName>
    <definedName name="рт" hidden="1">{0,0}</definedName>
    <definedName name="с9" hidden="1">{0,0}</definedName>
    <definedName name="см" hidden="1">{"'Sheet1'!$A$1:$G$96","'Sheet1'!$A$1:$H$96"}</definedName>
    <definedName name="смисм" hidden="1">{0,FALSE}</definedName>
    <definedName name="сталь" hidden="1">{#N/A,#N/A,TRUE,"Лист2"}</definedName>
    <definedName name="стр.911" hidden="1">{#N/A,#N/A,FALSE,"Aging Summary";#N/A,#N/A,FALSE,"Ratio Analysis";#N/A,#N/A,FALSE,"Test 120 Day Accts";#N/A,#N/A,FALSE,"Tickmarks"}</definedName>
    <definedName name="т" hidden="1">{#N/A,#N/A,TRUE,"Лист2"}</definedName>
    <definedName name="т5" hidden="1">{"'Sheet1'!$A$1:$G$96","'Sheet1'!$A$1:$H$96"}</definedName>
    <definedName name="т7" hidden="1">{"'Sheet1'!$A$1:$G$96","'Sheet1'!$A$1:$H$96"}</definedName>
    <definedName name="тро" hidden="1">{"'Sheet1'!$A$1:$G$96","'Sheet1'!$A$1:$H$96"}</definedName>
    <definedName name="тт" hidden="1">{0,0}</definedName>
    <definedName name="ттт" hidden="1">{"Valuation_Common",#N/A,FALSE,"Valuation"}</definedName>
    <definedName name="ттттт" hidden="1">{0,0}</definedName>
    <definedName name="ттттттттттттллллл" hidden="1">{"Valuation_Common",#N/A,FALSE,"Valuation"}</definedName>
    <definedName name="ть" hidden="1">{0,0}</definedName>
    <definedName name="тю" hidden="1">{"'Sheet1'!$A$1:$G$96","'Sheet1'!$A$1:$H$96"}</definedName>
    <definedName name="у" hidden="1">{"'Sheet1'!$A$1:$G$96","'Sheet1'!$A$1:$H$96"}</definedName>
    <definedName name="укекнкуе" hidden="1">{"'Sheet1'!$A$1:$G$96","'Sheet1'!$A$1:$H$96"}</definedName>
    <definedName name="укепкунерпр" hidden="1">{#N/A,#N/A,TRUE,"Лист2"}</definedName>
    <definedName name="укук" hidden="1">{"'Sheet1'!$A$1:$G$96","'Sheet1'!$A$1:$H$96"}</definedName>
    <definedName name="укууавампа" hidden="1">{#N/A,#N/A,TRUE,"Лист2"}</definedName>
    <definedName name="укыи" hidden="1">{0,0}</definedName>
    <definedName name="ууу" hidden="1">{"'Sheet1'!$A$1:$G$96","'Sheet1'!$A$1:$H$96"}</definedName>
    <definedName name="уууу" hidden="1">{0,0}</definedName>
    <definedName name="уууууууууууууу" hidden="1">{0,0}</definedName>
    <definedName name="уцк" hidden="1">{0,0}</definedName>
    <definedName name="ф2" hidden="1">{#N/A,#N/A,TRUE,"Лист2"}</definedName>
    <definedName name="ф3" hidden="1">{#N/A,#N/A,TRUE,"Лист2"}</definedName>
    <definedName name="ф8" hidden="1">{#N/A,#N/A,TRUE,"Лист2"}</definedName>
    <definedName name="ф9" hidden="1">{"'Sheet1'!$A$1:$G$96","'Sheet1'!$A$1:$H$96"}</definedName>
    <definedName name="фв" hidden="1">{#N/A,#N/A,TRUE,"Лист2"}</definedName>
    <definedName name="фф" hidden="1">{"'Sheet1'!$A$1:$G$96","'Sheet1'!$A$1:$H$96"}</definedName>
    <definedName name="фы3" hidden="1">{"'Sheet1'!$A$1:$G$96","'Sheet1'!$A$1:$H$96"}</definedName>
    <definedName name="фыава4" hidden="1">{"'Sheet1'!$A$1:$G$96","'Sheet1'!$A$1:$H$96"}</definedName>
    <definedName name="фыв3" hidden="1">{"'Sheet1'!$A$1:$G$96","'Sheet1'!$A$1:$H$96"}</definedName>
    <definedName name="фывфыв" hidden="1">{0,0}</definedName>
    <definedName name="Х2" hidden="1">{"'Sheet1'!$A$1:$G$96","'Sheet1'!$A$1:$H$96"}</definedName>
    <definedName name="ц" hidden="1">{#N/A,#N/A,TRUE,"Лист2"}</definedName>
    <definedName name="цйуцйуй" hidden="1">{"'Sheet1'!$A$1:$G$96","'Sheet1'!$A$1:$H$96"}</definedName>
    <definedName name="цу21ыйцывсыуфв" hidden="1">{0,0}</definedName>
    <definedName name="цукй" hidden="1">{"'Sheet1'!$A$1:$G$96","'Sheet1'!$A$1:$H$96"}</definedName>
    <definedName name="ццццц" hidden="1">{0,0}</definedName>
    <definedName name="цы" hidden="1">{0,0}</definedName>
    <definedName name="чс" hidden="1">{"'Sheet1'!$A$1:$G$96","'Sheet1'!$A$1:$H$96"}</definedName>
    <definedName name="чса" hidden="1">{"'Sheet1'!$A$1:$G$96","'Sheet1'!$A$1:$H$96"}</definedName>
    <definedName name="чч" hidden="1">{0,0}</definedName>
    <definedName name="чя" hidden="1">{0,0}</definedName>
    <definedName name="шгщшхзщхзхэхщэщз" hidden="1">{#N/A,#N/A,TRUE,"Лист2"}</definedName>
    <definedName name="шшшшшшшшш" hidden="1">{0,0}</definedName>
    <definedName name="щд" hidden="1">{0,0}</definedName>
    <definedName name="щщ" hidden="1">{0,0}</definedName>
    <definedName name="щщщщщщ" hidden="1">{0,0}</definedName>
    <definedName name="ы" hidden="1">{"'Sheet1'!$A$1:$G$96","'Sheet1'!$A$1:$H$96"}</definedName>
    <definedName name="ыапв" hidden="1">{#N/A,#N/A,TRUE,"Лист2"}</definedName>
    <definedName name="ывавп" hidden="1">{#N/A,#N/A,TRUE,"Лист2"}</definedName>
    <definedName name="ывавьыиатьиыатьпива" hidden="1">{#N/A,#N/A,TRUE,"Лист2"}</definedName>
    <definedName name="ывапаыв" hidden="1">{#N/A,#N/A,TRUE,"Лист2"}</definedName>
    <definedName name="ывапр6" hidden="1">{"'Sheet1'!$A$1:$G$96","'Sheet1'!$A$1:$H$96"}</definedName>
    <definedName name="ыекнрпер" hidden="1">{0,FALSE}</definedName>
    <definedName name="ырпропао" hidden="1">{"'Sheet1'!$A$1:$G$96","'Sheet1'!$A$1:$H$96"}</definedName>
    <definedName name="ыупквариав" hidden="1">{0,0}</definedName>
    <definedName name="ыч" hidden="1">{0,0}</definedName>
    <definedName name="ь" hidden="1">{"'Sheet1'!$A$1:$G$96","'Sheet1'!$A$1:$H$96"}</definedName>
    <definedName name="ьпр" hidden="1">{0,0}</definedName>
    <definedName name="ьт" hidden="1">{0,0}</definedName>
    <definedName name="ью." hidden="1">{"'Sheet1'!$A$1:$G$96","'Sheet1'!$A$1:$H$96"}</definedName>
    <definedName name="э" hidden="1">{0,0}</definedName>
    <definedName name="ю" hidden="1">{"'Sheet1'!$A$1:$G$96","'Sheet1'!$A$1:$H$96"}</definedName>
    <definedName name="юю" hidden="1">{"Valuation_Common",#N/A,FALSE,"Valuation"}</definedName>
    <definedName name="я" hidden="1">{"'Sheet1'!$A$1:$G$96","'Sheet1'!$A$1:$H$96"}</definedName>
    <definedName name="яч" hidden="1">{0,0}</definedName>
  </definedNames>
  <calcPr calcId="125725"/>
</workbook>
</file>

<file path=xl/calcChain.xml><?xml version="1.0" encoding="utf-8"?>
<calcChain xmlns="http://schemas.openxmlformats.org/spreadsheetml/2006/main">
  <c r="D4836" i="5"/>
  <c r="B4836"/>
  <c r="B4835"/>
  <c r="B4834"/>
  <c r="D4834" s="1"/>
  <c r="B4833"/>
  <c r="D4833" s="1"/>
  <c r="D4832"/>
  <c r="B4832"/>
  <c r="B4831"/>
  <c r="B4830"/>
  <c r="D4830" s="1"/>
  <c r="B4829"/>
  <c r="D4829" s="1"/>
  <c r="D4828"/>
  <c r="B4828"/>
  <c r="B4827"/>
  <c r="B4826"/>
  <c r="D4826" s="1"/>
  <c r="B4825"/>
  <c r="D4825" s="1"/>
  <c r="D4824"/>
  <c r="B4824"/>
  <c r="B4823"/>
  <c r="B4822"/>
  <c r="D4822" s="1"/>
  <c r="B4821"/>
  <c r="D4821" s="1"/>
  <c r="D4820"/>
  <c r="B4820"/>
  <c r="B4819"/>
  <c r="B4818"/>
  <c r="D4818" s="1"/>
  <c r="B4817"/>
  <c r="D4817" s="1"/>
  <c r="D4816"/>
  <c r="B4816"/>
  <c r="B4815"/>
  <c r="B4814"/>
  <c r="D4814" s="1"/>
  <c r="B4813"/>
  <c r="D4813" s="1"/>
  <c r="D4812"/>
  <c r="B4812"/>
  <c r="B4811"/>
  <c r="B4810"/>
  <c r="D4810" s="1"/>
  <c r="B4809"/>
  <c r="D4809" s="1"/>
  <c r="D4808"/>
  <c r="B4808"/>
  <c r="B4807"/>
  <c r="B4806"/>
  <c r="D4806" s="1"/>
  <c r="B4805"/>
  <c r="D4805" s="1"/>
  <c r="D4804"/>
  <c r="B4804"/>
  <c r="B4803"/>
  <c r="B4802"/>
  <c r="D4802" s="1"/>
  <c r="B4801"/>
  <c r="D4801" s="1"/>
  <c r="D4800"/>
  <c r="B4800"/>
  <c r="B4799"/>
  <c r="B4798"/>
  <c r="D4798" s="1"/>
  <c r="B4797"/>
  <c r="D4797" s="1"/>
  <c r="D4796"/>
  <c r="B4796"/>
  <c r="B4795"/>
  <c r="B4794"/>
  <c r="D4794" s="1"/>
  <c r="B4793"/>
  <c r="D4793" s="1"/>
  <c r="D4792"/>
  <c r="B4792"/>
  <c r="B4791"/>
  <c r="B4790"/>
  <c r="D4790" s="1"/>
  <c r="B4789"/>
  <c r="D4789" s="1"/>
  <c r="D4788"/>
  <c r="B4788"/>
  <c r="B4787"/>
  <c r="B4786"/>
  <c r="D4786" s="1"/>
  <c r="B4785"/>
  <c r="D4785" s="1"/>
  <c r="D4784"/>
  <c r="B4784"/>
  <c r="B4783"/>
  <c r="B4782"/>
  <c r="D4782" s="1"/>
  <c r="B4781"/>
  <c r="D4781" s="1"/>
  <c r="D4780"/>
  <c r="B4780"/>
  <c r="B4779"/>
  <c r="B4778"/>
  <c r="D4778" s="1"/>
  <c r="B4777"/>
  <c r="D4777" s="1"/>
  <c r="D4776"/>
  <c r="B4776"/>
  <c r="B4775"/>
  <c r="B4774"/>
  <c r="D4774" s="1"/>
  <c r="B4773"/>
  <c r="D4773" s="1"/>
  <c r="D4772"/>
  <c r="B4772"/>
  <c r="B4771"/>
  <c r="B4770"/>
  <c r="D4770" s="1"/>
  <c r="B4769"/>
  <c r="D4769" s="1"/>
  <c r="D4768"/>
  <c r="B4768"/>
  <c r="D4767"/>
  <c r="B4767"/>
  <c r="B4766"/>
  <c r="B4765"/>
  <c r="D4765" s="1"/>
  <c r="D4764"/>
  <c r="B4764"/>
  <c r="D4763"/>
  <c r="B4763"/>
  <c r="B4762"/>
  <c r="B4761"/>
  <c r="D4761" s="1"/>
  <c r="D4760"/>
  <c r="B4760"/>
  <c r="D4759"/>
  <c r="B4759"/>
  <c r="B4758"/>
  <c r="B4757"/>
  <c r="D4757" s="1"/>
  <c r="D4756"/>
  <c r="B4756"/>
  <c r="D4755"/>
  <c r="B4755"/>
  <c r="B4754"/>
  <c r="B4753"/>
  <c r="D4753" s="1"/>
  <c r="D4752"/>
  <c r="B4752"/>
  <c r="D4751"/>
  <c r="B4751"/>
  <c r="B4750"/>
  <c r="B4749"/>
  <c r="D4749" s="1"/>
  <c r="D4748"/>
  <c r="B4748"/>
  <c r="D4747"/>
  <c r="B4747"/>
  <c r="B4746"/>
  <c r="D4745"/>
  <c r="B4745"/>
  <c r="D4744"/>
  <c r="B4744"/>
  <c r="D4743"/>
  <c r="B4743"/>
  <c r="B4742"/>
  <c r="D4741"/>
  <c r="B4741"/>
  <c r="D4740"/>
  <c r="B4740"/>
  <c r="B4739"/>
  <c r="D4739" s="1"/>
  <c r="B4738"/>
  <c r="D4737"/>
  <c r="B4737"/>
  <c r="D4736"/>
  <c r="B4736"/>
  <c r="B4735"/>
  <c r="D4735" s="1"/>
  <c r="B4734"/>
  <c r="D4733"/>
  <c r="B4733"/>
  <c r="D4732"/>
  <c r="B4732"/>
  <c r="D4731"/>
  <c r="B4731"/>
  <c r="B4730"/>
  <c r="D4729"/>
  <c r="B4729"/>
  <c r="D4728"/>
  <c r="B4728"/>
  <c r="D4727"/>
  <c r="B4727"/>
  <c r="B4726"/>
  <c r="D4725"/>
  <c r="B4725"/>
  <c r="D4724"/>
  <c r="B4724"/>
  <c r="B4723"/>
  <c r="D4723" s="1"/>
  <c r="B4722"/>
  <c r="D4721"/>
  <c r="B4721"/>
  <c r="D4720"/>
  <c r="B4720"/>
  <c r="B4719"/>
  <c r="D4719" s="1"/>
  <c r="B4718"/>
  <c r="D4717"/>
  <c r="B4717"/>
  <c r="D4716"/>
  <c r="B4716"/>
  <c r="D4715"/>
  <c r="B4715"/>
  <c r="B4714"/>
  <c r="D4713"/>
  <c r="B4713"/>
  <c r="D4712"/>
  <c r="B4712"/>
  <c r="D4711"/>
  <c r="B4711"/>
  <c r="B4710"/>
  <c r="D4709"/>
  <c r="B4709"/>
  <c r="D4708"/>
  <c r="B4708"/>
  <c r="B4707"/>
  <c r="D4707" s="1"/>
  <c r="B4706"/>
  <c r="D4705"/>
  <c r="B4705"/>
  <c r="D4704"/>
  <c r="B4704"/>
  <c r="B4703"/>
  <c r="D4703" s="1"/>
  <c r="B4702"/>
  <c r="D4701"/>
  <c r="B4701"/>
  <c r="D4700"/>
  <c r="B4700"/>
  <c r="D4699"/>
  <c r="B4699"/>
  <c r="B4698"/>
  <c r="D4697"/>
  <c r="B4697"/>
  <c r="D4696"/>
  <c r="B4696"/>
  <c r="D4695"/>
  <c r="B4695"/>
  <c r="B4694"/>
  <c r="D4693"/>
  <c r="B4693"/>
  <c r="D4692"/>
  <c r="B4692"/>
  <c r="B4691"/>
  <c r="D4691" s="1"/>
  <c r="B4690"/>
  <c r="D4689"/>
  <c r="B4689"/>
  <c r="D4688"/>
  <c r="B4688"/>
  <c r="B4687"/>
  <c r="D4687" s="1"/>
  <c r="B4686"/>
  <c r="D4686" s="1"/>
  <c r="D4685"/>
  <c r="B4685"/>
  <c r="B4684"/>
  <c r="D4684" s="1"/>
  <c r="D4683"/>
  <c r="B4683"/>
  <c r="B4682"/>
  <c r="D4682" s="1"/>
  <c r="D4681"/>
  <c r="B4681"/>
  <c r="D4680"/>
  <c r="B4680"/>
  <c r="B4679"/>
  <c r="D4679" s="1"/>
  <c r="B4678"/>
  <c r="D4678" s="1"/>
  <c r="D4677"/>
  <c r="B4677"/>
  <c r="B4676"/>
  <c r="D4676" s="1"/>
  <c r="D4675"/>
  <c r="B4675"/>
  <c r="B4674"/>
  <c r="D4674" s="1"/>
  <c r="D4673"/>
  <c r="B4673"/>
  <c r="D4672"/>
  <c r="B4672"/>
  <c r="B4671"/>
  <c r="D4671" s="1"/>
  <c r="B4670"/>
  <c r="D4670" s="1"/>
  <c r="D4669"/>
  <c r="B4669"/>
  <c r="B4668"/>
  <c r="D4668" s="1"/>
  <c r="D4667"/>
  <c r="B4667"/>
  <c r="B4666"/>
  <c r="D4666" s="1"/>
  <c r="D4665"/>
  <c r="B4665"/>
  <c r="D4664"/>
  <c r="B4664"/>
  <c r="B4663"/>
  <c r="D4663" s="1"/>
  <c r="B4662"/>
  <c r="D4662" s="1"/>
  <c r="D4661"/>
  <c r="B4661"/>
  <c r="B4660"/>
  <c r="D4660" s="1"/>
  <c r="D4659"/>
  <c r="B4659"/>
  <c r="B4658"/>
  <c r="D4658" s="1"/>
  <c r="D4657"/>
  <c r="B4657"/>
  <c r="D4656"/>
  <c r="B4656"/>
  <c r="B4655"/>
  <c r="D4655" s="1"/>
  <c r="B4654"/>
  <c r="D4654" s="1"/>
  <c r="D4653"/>
  <c r="B4653"/>
  <c r="B4652"/>
  <c r="D4652" s="1"/>
  <c r="D4651"/>
  <c r="B4651"/>
  <c r="B4650"/>
  <c r="D4650" s="1"/>
  <c r="D4649"/>
  <c r="B4649"/>
  <c r="D4648"/>
  <c r="B4648"/>
  <c r="B4647"/>
  <c r="D4647" s="1"/>
  <c r="B4646"/>
  <c r="D4646" s="1"/>
  <c r="D4645"/>
  <c r="B4645"/>
  <c r="B4644"/>
  <c r="D4644" s="1"/>
  <c r="D4643"/>
  <c r="B4643"/>
  <c r="B4642"/>
  <c r="D4642" s="1"/>
  <c r="D4641"/>
  <c r="B4641"/>
  <c r="D4640"/>
  <c r="B4640"/>
  <c r="B4639"/>
  <c r="D4639" s="1"/>
  <c r="B4638"/>
  <c r="D4638" s="1"/>
  <c r="D4637"/>
  <c r="B4637"/>
  <c r="B4636"/>
  <c r="D4636" s="1"/>
  <c r="D4635"/>
  <c r="B4635"/>
  <c r="B4634"/>
  <c r="D4634" s="1"/>
  <c r="D4633"/>
  <c r="B4633"/>
  <c r="D4632"/>
  <c r="B4632"/>
  <c r="B4631"/>
  <c r="D4631" s="1"/>
  <c r="B4630"/>
  <c r="D4630" s="1"/>
  <c r="D4629"/>
  <c r="B4629"/>
  <c r="B4628"/>
  <c r="D4628" s="1"/>
  <c r="D4627"/>
  <c r="B4627"/>
  <c r="B4626"/>
  <c r="D4626" s="1"/>
  <c r="D4625"/>
  <c r="B4625"/>
  <c r="D4624"/>
  <c r="B4624"/>
  <c r="B4623"/>
  <c r="D4623" s="1"/>
  <c r="B4622"/>
  <c r="D4622" s="1"/>
  <c r="D4621"/>
  <c r="B4621"/>
  <c r="B4620"/>
  <c r="D4620" s="1"/>
  <c r="D4619"/>
  <c r="B4619"/>
  <c r="B4618"/>
  <c r="D4618" s="1"/>
  <c r="D4617"/>
  <c r="B4617"/>
  <c r="D4616"/>
  <c r="B4616"/>
  <c r="B4615"/>
  <c r="D4615" s="1"/>
  <c r="B4614"/>
  <c r="D4614" s="1"/>
  <c r="D4613"/>
  <c r="B4613"/>
  <c r="B4612"/>
  <c r="D4612" s="1"/>
  <c r="D4611"/>
  <c r="B4611"/>
  <c r="B4610"/>
  <c r="D4610" s="1"/>
  <c r="D4609"/>
  <c r="B4609"/>
  <c r="E4608"/>
  <c r="D4608"/>
  <c r="B4608"/>
  <c r="B4607"/>
  <c r="D4607" s="1"/>
  <c r="B4606"/>
  <c r="D4606" s="1"/>
  <c r="D4605"/>
  <c r="B4605"/>
  <c r="B4604"/>
  <c r="D4604" s="1"/>
  <c r="D4603"/>
  <c r="B4603"/>
  <c r="B4602"/>
  <c r="D4602" s="1"/>
  <c r="D4601"/>
  <c r="B4601"/>
  <c r="D4600"/>
  <c r="B4600"/>
  <c r="B4599"/>
  <c r="D4599" s="1"/>
  <c r="B4598"/>
  <c r="D4598" s="1"/>
  <c r="D4597"/>
  <c r="B4597"/>
  <c r="B4596"/>
  <c r="D4596" s="1"/>
  <c r="D4595"/>
  <c r="B4595"/>
  <c r="B4594"/>
  <c r="D4594" s="1"/>
  <c r="D4593"/>
  <c r="B4593"/>
  <c r="D4592"/>
  <c r="B4592"/>
  <c r="B4591"/>
  <c r="D4591" s="1"/>
  <c r="B4590"/>
  <c r="D4590" s="1"/>
  <c r="D4589"/>
  <c r="B4589"/>
  <c r="B4588"/>
  <c r="D4588" s="1"/>
  <c r="D4587"/>
  <c r="B4587"/>
  <c r="B4586"/>
  <c r="D4586" s="1"/>
  <c r="D4585"/>
  <c r="B4585"/>
  <c r="D4584"/>
  <c r="B4584"/>
  <c r="B4583"/>
  <c r="D4583" s="1"/>
  <c r="B4582"/>
  <c r="D4582" s="1"/>
  <c r="D4581"/>
  <c r="B4581"/>
  <c r="B4580"/>
  <c r="D4580" s="1"/>
  <c r="D4579"/>
  <c r="B4579"/>
  <c r="B4578"/>
  <c r="D4578" s="1"/>
  <c r="D4577"/>
  <c r="B4577"/>
  <c r="D4576"/>
  <c r="B4576"/>
  <c r="B4575"/>
  <c r="D4575" s="1"/>
  <c r="B4574"/>
  <c r="D4574" s="1"/>
  <c r="D4573"/>
  <c r="B4573"/>
  <c r="B4572"/>
  <c r="D4572" s="1"/>
  <c r="D4571"/>
  <c r="B4571"/>
  <c r="B4570"/>
  <c r="D4570" s="1"/>
  <c r="D4569"/>
  <c r="B4569"/>
  <c r="D4568"/>
  <c r="B4568"/>
  <c r="B4567"/>
  <c r="D4567" s="1"/>
  <c r="B4566"/>
  <c r="D4566" s="1"/>
  <c r="D4565"/>
  <c r="B4565"/>
  <c r="B4564"/>
  <c r="D4564" s="1"/>
  <c r="D4563"/>
  <c r="B4563"/>
  <c r="B4562"/>
  <c r="D4562" s="1"/>
  <c r="D4561"/>
  <c r="B4561"/>
  <c r="D4560"/>
  <c r="B4560"/>
  <c r="B4559"/>
  <c r="D4559" s="1"/>
  <c r="B4558"/>
  <c r="D4558" s="1"/>
  <c r="D4557"/>
  <c r="B4557"/>
  <c r="B4556"/>
  <c r="D4556" s="1"/>
  <c r="D4555"/>
  <c r="B4555"/>
  <c r="B4554"/>
  <c r="D4554" s="1"/>
  <c r="D4553"/>
  <c r="B4553"/>
  <c r="D4552"/>
  <c r="B4552"/>
  <c r="B4551"/>
  <c r="D4551" s="1"/>
  <c r="B4550"/>
  <c r="D4550" s="1"/>
  <c r="D4549"/>
  <c r="B4549"/>
  <c r="B4548"/>
  <c r="D4548" s="1"/>
  <c r="D4547"/>
  <c r="B4547"/>
  <c r="B4546"/>
  <c r="D4546" s="1"/>
  <c r="D4545"/>
  <c r="B4545"/>
  <c r="D4544"/>
  <c r="B4544"/>
  <c r="B4543"/>
  <c r="D4543" s="1"/>
  <c r="B4542"/>
  <c r="D4542" s="1"/>
  <c r="D4541"/>
  <c r="B4541"/>
  <c r="B4540"/>
  <c r="D4540" s="1"/>
  <c r="D4539"/>
  <c r="B4539"/>
  <c r="B4538"/>
  <c r="D4538" s="1"/>
  <c r="D4537"/>
  <c r="B4537"/>
  <c r="D4536"/>
  <c r="B4536"/>
  <c r="E4535"/>
  <c r="D4535"/>
  <c r="B4535"/>
  <c r="B4534"/>
  <c r="D4534" s="1"/>
  <c r="D4533"/>
  <c r="B4533"/>
  <c r="D4532"/>
  <c r="B4532"/>
  <c r="D4531"/>
  <c r="B4531"/>
  <c r="B4530"/>
  <c r="D4530" s="1"/>
  <c r="D4529"/>
  <c r="B4529"/>
  <c r="D4528"/>
  <c r="B4528"/>
  <c r="D4527"/>
  <c r="B4527"/>
  <c r="B4526"/>
  <c r="D4526" s="1"/>
  <c r="D4525"/>
  <c r="B4525"/>
  <c r="D4524"/>
  <c r="B4524"/>
  <c r="D4523"/>
  <c r="B4523"/>
  <c r="B4522"/>
  <c r="D4522" s="1"/>
  <c r="D4521"/>
  <c r="B4521"/>
  <c r="D4520"/>
  <c r="B4520"/>
  <c r="D4519"/>
  <c r="B4519"/>
  <c r="B4518"/>
  <c r="D4518" s="1"/>
  <c r="D4517"/>
  <c r="B4517"/>
  <c r="D4516"/>
  <c r="B4516"/>
  <c r="D4515"/>
  <c r="B4515"/>
  <c r="B4514"/>
  <c r="D4514" s="1"/>
  <c r="D4513"/>
  <c r="B4513"/>
  <c r="D4512"/>
  <c r="B4512"/>
  <c r="D4511"/>
  <c r="B4511"/>
  <c r="B4510"/>
  <c r="D4510" s="1"/>
  <c r="D4509"/>
  <c r="B4509"/>
  <c r="D4508"/>
  <c r="B4508"/>
  <c r="D4507"/>
  <c r="B4507"/>
  <c r="B4506"/>
  <c r="D4506" s="1"/>
  <c r="D4505"/>
  <c r="B4505"/>
  <c r="D4504"/>
  <c r="B4504"/>
  <c r="D4503"/>
  <c r="B4503"/>
  <c r="B4502"/>
  <c r="D4502" s="1"/>
  <c r="D4501"/>
  <c r="B4501"/>
  <c r="D4500"/>
  <c r="B4500"/>
  <c r="D4499"/>
  <c r="B4499"/>
  <c r="B4498"/>
  <c r="D4498" s="1"/>
  <c r="D4497"/>
  <c r="B4497"/>
  <c r="D4496"/>
  <c r="B4496"/>
  <c r="D4495"/>
  <c r="B4495"/>
  <c r="B4494"/>
  <c r="D4494" s="1"/>
  <c r="D4493"/>
  <c r="B4493"/>
  <c r="D4492"/>
  <c r="B4492"/>
  <c r="D4491"/>
  <c r="B4491"/>
  <c r="B4490"/>
  <c r="D4490" s="1"/>
  <c r="D4489"/>
  <c r="B4489"/>
  <c r="D4488"/>
  <c r="B4488"/>
  <c r="D4487"/>
  <c r="B4487"/>
  <c r="B4486"/>
  <c r="D4486" s="1"/>
  <c r="D4485"/>
  <c r="B4485"/>
  <c r="D4484"/>
  <c r="B4484"/>
  <c r="D4483"/>
  <c r="B4483"/>
  <c r="B4482"/>
  <c r="D4482" s="1"/>
  <c r="D4481"/>
  <c r="B4481"/>
  <c r="D4480"/>
  <c r="B4480"/>
  <c r="D4479"/>
  <c r="B4479"/>
  <c r="B4478"/>
  <c r="D4478" s="1"/>
  <c r="D4477"/>
  <c r="B4477"/>
  <c r="D4476"/>
  <c r="B4476"/>
  <c r="D4475"/>
  <c r="B4475"/>
  <c r="B4474"/>
  <c r="D4474" s="1"/>
  <c r="D4473"/>
  <c r="B4473"/>
  <c r="D4472"/>
  <c r="B4472"/>
  <c r="B4471"/>
  <c r="D4471" s="1"/>
  <c r="B4470"/>
  <c r="D4470" s="1"/>
  <c r="D4469"/>
  <c r="B4469"/>
  <c r="D4468"/>
  <c r="B4468"/>
  <c r="D4467"/>
  <c r="B4467"/>
  <c r="B4466"/>
  <c r="D4466" s="1"/>
  <c r="D4465"/>
  <c r="B4465"/>
  <c r="D4464"/>
  <c r="B4464"/>
  <c r="D4463"/>
  <c r="B4463"/>
  <c r="B4462"/>
  <c r="D4462" s="1"/>
  <c r="D4461"/>
  <c r="B4461"/>
  <c r="E4460"/>
  <c r="D4460"/>
  <c r="B4460"/>
  <c r="D4459"/>
  <c r="B4459"/>
  <c r="B4458"/>
  <c r="D4458" s="1"/>
  <c r="D4457"/>
  <c r="B4457"/>
  <c r="D4456"/>
  <c r="B4456"/>
  <c r="D4455"/>
  <c r="B4455"/>
  <c r="B4454"/>
  <c r="D4454" s="1"/>
  <c r="D4453"/>
  <c r="B4453"/>
  <c r="D4452"/>
  <c r="B4452"/>
  <c r="D4451"/>
  <c r="B4451"/>
  <c r="B4450"/>
  <c r="D4450" s="1"/>
  <c r="D4449"/>
  <c r="B4449"/>
  <c r="D4448"/>
  <c r="B4448"/>
  <c r="B4447"/>
  <c r="D4447" s="1"/>
  <c r="B4446"/>
  <c r="D4446" s="1"/>
  <c r="D4445"/>
  <c r="B4445"/>
  <c r="D4444"/>
  <c r="B4444"/>
  <c r="D4443"/>
  <c r="B4443"/>
  <c r="B4442"/>
  <c r="D4442" s="1"/>
  <c r="D4441"/>
  <c r="B4441"/>
  <c r="D4440"/>
  <c r="B4440"/>
  <c r="D4439"/>
  <c r="B4439"/>
  <c r="B4438"/>
  <c r="D4438" s="1"/>
  <c r="D4437"/>
  <c r="B4437"/>
  <c r="D4436"/>
  <c r="B4436"/>
  <c r="D4435"/>
  <c r="B4435"/>
  <c r="B4434"/>
  <c r="D4434" s="1"/>
  <c r="D4433"/>
  <c r="B4433"/>
  <c r="D4432"/>
  <c r="B4432"/>
  <c r="D4431"/>
  <c r="B4431"/>
  <c r="B4430"/>
  <c r="D4430" s="1"/>
  <c r="D4429"/>
  <c r="B4429"/>
  <c r="B4428"/>
  <c r="D4428" s="1"/>
  <c r="D4427"/>
  <c r="B4427"/>
  <c r="B4426"/>
  <c r="D4426" s="1"/>
  <c r="D4425"/>
  <c r="B4425"/>
  <c r="D4424"/>
  <c r="B4424"/>
  <c r="D4423"/>
  <c r="B4423"/>
  <c r="B4422"/>
  <c r="D4422" s="1"/>
  <c r="D4421"/>
  <c r="B4421"/>
  <c r="D4420"/>
  <c r="B4420"/>
  <c r="D4419"/>
  <c r="B4419"/>
  <c r="B4418"/>
  <c r="D4418" s="1"/>
  <c r="D4417"/>
  <c r="B4417"/>
  <c r="D4416"/>
  <c r="B4416"/>
  <c r="D4415"/>
  <c r="B4415"/>
  <c r="B4414"/>
  <c r="D4414" s="1"/>
  <c r="D4413"/>
  <c r="B4413"/>
  <c r="D4412"/>
  <c r="B4412"/>
  <c r="D4411"/>
  <c r="B4411"/>
  <c r="B4410"/>
  <c r="D4410" s="1"/>
  <c r="D4409"/>
  <c r="B4409"/>
  <c r="D4408"/>
  <c r="B4408"/>
  <c r="D4407"/>
  <c r="B4407"/>
  <c r="B4406"/>
  <c r="D4406" s="1"/>
  <c r="D4405"/>
  <c r="B4405"/>
  <c r="B4404"/>
  <c r="D4404" s="1"/>
  <c r="D4403"/>
  <c r="B4403"/>
  <c r="B4402"/>
  <c r="D4402" s="1"/>
  <c r="D4401"/>
  <c r="B4401"/>
  <c r="D4400"/>
  <c r="B4400"/>
  <c r="B4399"/>
  <c r="D4399" s="1"/>
  <c r="B4398"/>
  <c r="D4398" s="1"/>
  <c r="D4397"/>
  <c r="B4397"/>
  <c r="D4396"/>
  <c r="B4396"/>
  <c r="D4395"/>
  <c r="B4395"/>
  <c r="B4394"/>
  <c r="D4394" s="1"/>
  <c r="D4393"/>
  <c r="B4393"/>
  <c r="D4392"/>
  <c r="B4392"/>
  <c r="D4391"/>
  <c r="B4391"/>
  <c r="B4390"/>
  <c r="D4390" s="1"/>
  <c r="D4389"/>
  <c r="B4389"/>
  <c r="D4388"/>
  <c r="B4388"/>
  <c r="D4387"/>
  <c r="B4387"/>
  <c r="B4386"/>
  <c r="D4386" s="1"/>
  <c r="D4385"/>
  <c r="B4385"/>
  <c r="D4384"/>
  <c r="B4384"/>
  <c r="D4383"/>
  <c r="B4383"/>
  <c r="B4382"/>
  <c r="D4382" s="1"/>
  <c r="D4381"/>
  <c r="B4381"/>
  <c r="D4380"/>
  <c r="B4380"/>
  <c r="D4379"/>
  <c r="B4379"/>
  <c r="B4378"/>
  <c r="D4378" s="1"/>
  <c r="D4377"/>
  <c r="B4377"/>
  <c r="D4376"/>
  <c r="B4376"/>
  <c r="D4375"/>
  <c r="B4375"/>
  <c r="B4374"/>
  <c r="D4374" s="1"/>
  <c r="D4373"/>
  <c r="B4373"/>
  <c r="B4372"/>
  <c r="D4372" s="1"/>
  <c r="D4371"/>
  <c r="B4371"/>
  <c r="B4370"/>
  <c r="D4370" s="1"/>
  <c r="D4369"/>
  <c r="B4369"/>
  <c r="D4368"/>
  <c r="B4368"/>
  <c r="B4367"/>
  <c r="D4367" s="1"/>
  <c r="B4366"/>
  <c r="D4366" s="1"/>
  <c r="D4365"/>
  <c r="B4365"/>
  <c r="D4364"/>
  <c r="B4364"/>
  <c r="D4363"/>
  <c r="B4363"/>
  <c r="B4362"/>
  <c r="D4362" s="1"/>
  <c r="D4361"/>
  <c r="B4361"/>
  <c r="D4360"/>
  <c r="B4360"/>
  <c r="D4359"/>
  <c r="B4359"/>
  <c r="B4358"/>
  <c r="D4358" s="1"/>
  <c r="D4357"/>
  <c r="B4357"/>
  <c r="D4356"/>
  <c r="B4356"/>
  <c r="D4355"/>
  <c r="B4355"/>
  <c r="B4354"/>
  <c r="D4354" s="1"/>
  <c r="D4353"/>
  <c r="B4353"/>
  <c r="D4352"/>
  <c r="B4352"/>
  <c r="D4351"/>
  <c r="B4351"/>
  <c r="B4350"/>
  <c r="D4350" s="1"/>
  <c r="D4349"/>
  <c r="B4349"/>
  <c r="D4348"/>
  <c r="B4348"/>
  <c r="D4347"/>
  <c r="B4347"/>
  <c r="B4346"/>
  <c r="D4346" s="1"/>
  <c r="D4345"/>
  <c r="B4345"/>
  <c r="D4344"/>
  <c r="B4344"/>
  <c r="D4343"/>
  <c r="B4343"/>
  <c r="B4342"/>
  <c r="D4342" s="1"/>
  <c r="D4341"/>
  <c r="B4341"/>
  <c r="B4340"/>
  <c r="D4340" s="1"/>
  <c r="D4339"/>
  <c r="B4339"/>
  <c r="B4338"/>
  <c r="D4338" s="1"/>
  <c r="D4337"/>
  <c r="B4337"/>
  <c r="D4336"/>
  <c r="B4336"/>
  <c r="B4335"/>
  <c r="D4335" s="1"/>
  <c r="B4334"/>
  <c r="D4334" s="1"/>
  <c r="D4333"/>
  <c r="B4333"/>
  <c r="D4332"/>
  <c r="B4332"/>
  <c r="D4331"/>
  <c r="B4331"/>
  <c r="B4330"/>
  <c r="D4330" s="1"/>
  <c r="D4329"/>
  <c r="B4329"/>
  <c r="D4328"/>
  <c r="B4328"/>
  <c r="D4327"/>
  <c r="B4327"/>
  <c r="B4326"/>
  <c r="D4326" s="1"/>
  <c r="D4325"/>
  <c r="B4325"/>
  <c r="D4324"/>
  <c r="B4324"/>
  <c r="D4323"/>
  <c r="B4323"/>
  <c r="D4322"/>
  <c r="B4322"/>
  <c r="D4321"/>
  <c r="B4321"/>
  <c r="B4320"/>
  <c r="D4320" s="1"/>
  <c r="D4319"/>
  <c r="B4319"/>
  <c r="D4318"/>
  <c r="B4318"/>
  <c r="D4317"/>
  <c r="B4317"/>
  <c r="B4316"/>
  <c r="D4316" s="1"/>
  <c r="D4315"/>
  <c r="B4315"/>
  <c r="D4314"/>
  <c r="B4314"/>
  <c r="D4313"/>
  <c r="B4313"/>
  <c r="B4312"/>
  <c r="D4312" s="1"/>
  <c r="D4311"/>
  <c r="B4311"/>
  <c r="D4310"/>
  <c r="B4310"/>
  <c r="D4309"/>
  <c r="B4309"/>
  <c r="B4308"/>
  <c r="D4308" s="1"/>
  <c r="D4307"/>
  <c r="B4307"/>
  <c r="D4306"/>
  <c r="B4306"/>
  <c r="D4305"/>
  <c r="B4305"/>
  <c r="B4304"/>
  <c r="D4304" s="1"/>
  <c r="D4303"/>
  <c r="B4303"/>
  <c r="D4302"/>
  <c r="B4302"/>
  <c r="D4301"/>
  <c r="B4301"/>
  <c r="B4300"/>
  <c r="D4300" s="1"/>
  <c r="D4299"/>
  <c r="B4299"/>
  <c r="D4298"/>
  <c r="B4298"/>
  <c r="D4297"/>
  <c r="B4297"/>
  <c r="B4296"/>
  <c r="D4296" s="1"/>
  <c r="D4295"/>
  <c r="B4295"/>
  <c r="D4294"/>
  <c r="B4294"/>
  <c r="D4293"/>
  <c r="B4293"/>
  <c r="B4292"/>
  <c r="D4292" s="1"/>
  <c r="D4291"/>
  <c r="B4291"/>
  <c r="D4290"/>
  <c r="B4290"/>
  <c r="D4289"/>
  <c r="B4289"/>
  <c r="B4288"/>
  <c r="D4288" s="1"/>
  <c r="D4287"/>
  <c r="B4287"/>
  <c r="D4286"/>
  <c r="B4286"/>
  <c r="D4285"/>
  <c r="B4285"/>
  <c r="B4284"/>
  <c r="D4284" s="1"/>
  <c r="D4283"/>
  <c r="B4283"/>
  <c r="D4282"/>
  <c r="B4282"/>
  <c r="D4281"/>
  <c r="B4281"/>
  <c r="B4280"/>
  <c r="D4280" s="1"/>
  <c r="D4279"/>
  <c r="B4279"/>
  <c r="D4278"/>
  <c r="B4278"/>
  <c r="D4277"/>
  <c r="B4277"/>
  <c r="B4276"/>
  <c r="D4276" s="1"/>
  <c r="D4275"/>
  <c r="B4275"/>
  <c r="D4274"/>
  <c r="B4274"/>
  <c r="D4273"/>
  <c r="B4273"/>
  <c r="B4272"/>
  <c r="D4272" s="1"/>
  <c r="D4271"/>
  <c r="B4271"/>
  <c r="D4270"/>
  <c r="B4270"/>
  <c r="D4269"/>
  <c r="B4269"/>
  <c r="B4268"/>
  <c r="D4268" s="1"/>
  <c r="D4267"/>
  <c r="B4267"/>
  <c r="D4266"/>
  <c r="B4266"/>
  <c r="D4265"/>
  <c r="B4265"/>
  <c r="B4264"/>
  <c r="D4264" s="1"/>
  <c r="D4263"/>
  <c r="B4263"/>
  <c r="D4262"/>
  <c r="B4262"/>
  <c r="D4261"/>
  <c r="B4261"/>
  <c r="B4260"/>
  <c r="D4260" s="1"/>
  <c r="D4259"/>
  <c r="B4259"/>
  <c r="D4258"/>
  <c r="B4258"/>
  <c r="D4257"/>
  <c r="B4257"/>
  <c r="B4256"/>
  <c r="D4256" s="1"/>
  <c r="D4255"/>
  <c r="B4255"/>
  <c r="D4254"/>
  <c r="B4254"/>
  <c r="D4253"/>
  <c r="B4253"/>
  <c r="B4252"/>
  <c r="D4252" s="1"/>
  <c r="D4251"/>
  <c r="B4251"/>
  <c r="D4250"/>
  <c r="B4250"/>
  <c r="D4249"/>
  <c r="B4249"/>
  <c r="B4248"/>
  <c r="D4248" s="1"/>
  <c r="D4247"/>
  <c r="B4247"/>
  <c r="D4246"/>
  <c r="B4246"/>
  <c r="D4245"/>
  <c r="B4245"/>
  <c r="B4244"/>
  <c r="D4244" s="1"/>
  <c r="D4243"/>
  <c r="B4243"/>
  <c r="D4242"/>
  <c r="B4242"/>
  <c r="D4241"/>
  <c r="B4241"/>
  <c r="B4240"/>
  <c r="D4240" s="1"/>
  <c r="D4239"/>
  <c r="B4239"/>
  <c r="D4238"/>
  <c r="B4238"/>
  <c r="D4237"/>
  <c r="B4237"/>
  <c r="B4236"/>
  <c r="D4236" s="1"/>
  <c r="D4235"/>
  <c r="B4235"/>
  <c r="D4234"/>
  <c r="B4234"/>
  <c r="D4233"/>
  <c r="B4233"/>
  <c r="B4232"/>
  <c r="D4232" s="1"/>
  <c r="D4231"/>
  <c r="B4231"/>
  <c r="D4230"/>
  <c r="B4230"/>
  <c r="D4229"/>
  <c r="B4229"/>
  <c r="B4228"/>
  <c r="D4228" s="1"/>
  <c r="D4227"/>
  <c r="B4227"/>
  <c r="D4226"/>
  <c r="B4226"/>
  <c r="D4225"/>
  <c r="B4225"/>
  <c r="B4224"/>
  <c r="D4224" s="1"/>
  <c r="D4223"/>
  <c r="B4223"/>
  <c r="D4222"/>
  <c r="B4222"/>
  <c r="D4221"/>
  <c r="B4221"/>
  <c r="B4220"/>
  <c r="D4220" s="1"/>
  <c r="D4219"/>
  <c r="B4219"/>
  <c r="D4218"/>
  <c r="B4218"/>
  <c r="D4217"/>
  <c r="B4217"/>
  <c r="B4216"/>
  <c r="D4216" s="1"/>
  <c r="D4215"/>
  <c r="B4215"/>
  <c r="D4214"/>
  <c r="B4214"/>
  <c r="D4213"/>
  <c r="B4213"/>
  <c r="B4212"/>
  <c r="D4212" s="1"/>
  <c r="D4211"/>
  <c r="B4211"/>
  <c r="D4210"/>
  <c r="B4210"/>
  <c r="E4209"/>
  <c r="D4209"/>
  <c r="B4209"/>
  <c r="B4208"/>
  <c r="D4207"/>
  <c r="B4207"/>
  <c r="D4206"/>
  <c r="B4206"/>
  <c r="B4205"/>
  <c r="B4204"/>
  <c r="D4204" s="1"/>
  <c r="D4203"/>
  <c r="B4203"/>
  <c r="B4202"/>
  <c r="D4201"/>
  <c r="B4201"/>
  <c r="B4200"/>
  <c r="D4199"/>
  <c r="B4199"/>
  <c r="D4198"/>
  <c r="B4198"/>
  <c r="B4197"/>
  <c r="B4196"/>
  <c r="D4196" s="1"/>
  <c r="D4195"/>
  <c r="B4195"/>
  <c r="B4194"/>
  <c r="D4193"/>
  <c r="B4193"/>
  <c r="B4192"/>
  <c r="D4191"/>
  <c r="B4191"/>
  <c r="D4190"/>
  <c r="B4190"/>
  <c r="B4189"/>
  <c r="B4188"/>
  <c r="D4188" s="1"/>
  <c r="D4187"/>
  <c r="B4187"/>
  <c r="B4186"/>
  <c r="D4185"/>
  <c r="B4185"/>
  <c r="B4184"/>
  <c r="D4183"/>
  <c r="B4183"/>
  <c r="D4182"/>
  <c r="B4182"/>
  <c r="B4181"/>
  <c r="B4180"/>
  <c r="D4180" s="1"/>
  <c r="D4179"/>
  <c r="B4179"/>
  <c r="B4178"/>
  <c r="D4178" s="1"/>
  <c r="B4177"/>
  <c r="D4177" s="1"/>
  <c r="B4176"/>
  <c r="D4175"/>
  <c r="B4175"/>
  <c r="D4174"/>
  <c r="B4174"/>
  <c r="B4173"/>
  <c r="B4172"/>
  <c r="D4172" s="1"/>
  <c r="D4171"/>
  <c r="B4171"/>
  <c r="B4170"/>
  <c r="D4170" s="1"/>
  <c r="B4169"/>
  <c r="D4169" s="1"/>
  <c r="B4168"/>
  <c r="D4167"/>
  <c r="B4167"/>
  <c r="D4166"/>
  <c r="B4166"/>
  <c r="B4165"/>
  <c r="B4164"/>
  <c r="D4164" s="1"/>
  <c r="D4163"/>
  <c r="B4163"/>
  <c r="B4162"/>
  <c r="D4162" s="1"/>
  <c r="B4161"/>
  <c r="D4161" s="1"/>
  <c r="B4160"/>
  <c r="D4159"/>
  <c r="B4159"/>
  <c r="D4158"/>
  <c r="B4158"/>
  <c r="B4157"/>
  <c r="B4156"/>
  <c r="D4156" s="1"/>
  <c r="D4155"/>
  <c r="B4155"/>
  <c r="B4154"/>
  <c r="D4154" s="1"/>
  <c r="B4153"/>
  <c r="D4153" s="1"/>
  <c r="B4152"/>
  <c r="D4151"/>
  <c r="B4151"/>
  <c r="D4150"/>
  <c r="B4150"/>
  <c r="B4149"/>
  <c r="B4148"/>
  <c r="D4148" s="1"/>
  <c r="D4147"/>
  <c r="B4147"/>
  <c r="B4146"/>
  <c r="D4146" s="1"/>
  <c r="B4145"/>
  <c r="D4145" s="1"/>
  <c r="B4144"/>
  <c r="D4143"/>
  <c r="B4143"/>
  <c r="D4142"/>
  <c r="B4142"/>
  <c r="B4141"/>
  <c r="B4140"/>
  <c r="D4140" s="1"/>
  <c r="D4139"/>
  <c r="B4139"/>
  <c r="B4138"/>
  <c r="D4138" s="1"/>
  <c r="B4137"/>
  <c r="D4137" s="1"/>
  <c r="B4136"/>
  <c r="D4135"/>
  <c r="B4135"/>
  <c r="D4134"/>
  <c r="B4134"/>
  <c r="B4133"/>
  <c r="B4132"/>
  <c r="D4132" s="1"/>
  <c r="D4131"/>
  <c r="B4131"/>
  <c r="B4130"/>
  <c r="D4130" s="1"/>
  <c r="D4129"/>
  <c r="B4129"/>
  <c r="B4128"/>
  <c r="D4127"/>
  <c r="B4127"/>
  <c r="D4126"/>
  <c r="B4126"/>
  <c r="B4125"/>
  <c r="B4124"/>
  <c r="D4124" s="1"/>
  <c r="D4123"/>
  <c r="B4123"/>
  <c r="B4122"/>
  <c r="D4122" s="1"/>
  <c r="D4121"/>
  <c r="B4121"/>
  <c r="B4120"/>
  <c r="D4119"/>
  <c r="B4119"/>
  <c r="D4118"/>
  <c r="B4118"/>
  <c r="B4117"/>
  <c r="B4116"/>
  <c r="D4116" s="1"/>
  <c r="D4115"/>
  <c r="B4115"/>
  <c r="B4114"/>
  <c r="D4114" s="1"/>
  <c r="D4113"/>
  <c r="B4113"/>
  <c r="B4112"/>
  <c r="B4111"/>
  <c r="D4111" s="1"/>
  <c r="D4110"/>
  <c r="B4110"/>
  <c r="B4109"/>
  <c r="D4109" s="1"/>
  <c r="D4108"/>
  <c r="B4108"/>
  <c r="B4107"/>
  <c r="D4107" s="1"/>
  <c r="D4106"/>
  <c r="B4106"/>
  <c r="D4105"/>
  <c r="B4105"/>
  <c r="B4104"/>
  <c r="B4103"/>
  <c r="D4103" s="1"/>
  <c r="D4102"/>
  <c r="B4102"/>
  <c r="B4101"/>
  <c r="D4101" s="1"/>
  <c r="D4100"/>
  <c r="B4100"/>
  <c r="B4099"/>
  <c r="D4099" s="1"/>
  <c r="D4098"/>
  <c r="B4098"/>
  <c r="D4097"/>
  <c r="B4097"/>
  <c r="B4096"/>
  <c r="B4095"/>
  <c r="D4095" s="1"/>
  <c r="D4094"/>
  <c r="B4094"/>
  <c r="B4093"/>
  <c r="D4093" s="1"/>
  <c r="D4092"/>
  <c r="B4092"/>
  <c r="B4091"/>
  <c r="D4091" s="1"/>
  <c r="D4090"/>
  <c r="B4090"/>
  <c r="D4089"/>
  <c r="B4089"/>
  <c r="B4088"/>
  <c r="B4087"/>
  <c r="D4087" s="1"/>
  <c r="D4086"/>
  <c r="B4086"/>
  <c r="B4085"/>
  <c r="D4085" s="1"/>
  <c r="D4084"/>
  <c r="B4084"/>
  <c r="B4083"/>
  <c r="D4083" s="1"/>
  <c r="D4082"/>
  <c r="B4082"/>
  <c r="D4081"/>
  <c r="B4081"/>
  <c r="B4080"/>
  <c r="B4079"/>
  <c r="D4079" s="1"/>
  <c r="D4078"/>
  <c r="B4078"/>
  <c r="B4077"/>
  <c r="D4077" s="1"/>
  <c r="D4076"/>
  <c r="B4076"/>
  <c r="B4075"/>
  <c r="D4075" s="1"/>
  <c r="D4074"/>
  <c r="B4074"/>
  <c r="D4073"/>
  <c r="B4073"/>
  <c r="B4072"/>
  <c r="B4071"/>
  <c r="D4071" s="1"/>
  <c r="D4070"/>
  <c r="B4070"/>
  <c r="B4069"/>
  <c r="D4069" s="1"/>
  <c r="D4068"/>
  <c r="B4068"/>
  <c r="B4067"/>
  <c r="D4067" s="1"/>
  <c r="D4066"/>
  <c r="B4066"/>
  <c r="D4065"/>
  <c r="B4065"/>
  <c r="B4064"/>
  <c r="E4063"/>
  <c r="D4063"/>
  <c r="B4063"/>
  <c r="B4062"/>
  <c r="B4061"/>
  <c r="D4061" s="1"/>
  <c r="D4060"/>
  <c r="B4060"/>
  <c r="B4059"/>
  <c r="D4059" s="1"/>
  <c r="D4058"/>
  <c r="B4058"/>
  <c r="B4057"/>
  <c r="D4057" s="1"/>
  <c r="D4056"/>
  <c r="B4056"/>
  <c r="D4055"/>
  <c r="B4055"/>
  <c r="B4054"/>
  <c r="B4053"/>
  <c r="D4053" s="1"/>
  <c r="D4052"/>
  <c r="B4052"/>
  <c r="B4051"/>
  <c r="D4051" s="1"/>
  <c r="D4050"/>
  <c r="B4050"/>
  <c r="B4049"/>
  <c r="D4049" s="1"/>
  <c r="D4048"/>
  <c r="B4048"/>
  <c r="D4047"/>
  <c r="B4047"/>
  <c r="B4046"/>
  <c r="B4045"/>
  <c r="D4045" s="1"/>
  <c r="D4044"/>
  <c r="B4044"/>
  <c r="B4043"/>
  <c r="D4043" s="1"/>
  <c r="D4042"/>
  <c r="B4042"/>
  <c r="B4041"/>
  <c r="D4041" s="1"/>
  <c r="D4040"/>
  <c r="B4040"/>
  <c r="D4039"/>
  <c r="B4039"/>
  <c r="B4038"/>
  <c r="B4037"/>
  <c r="D4037" s="1"/>
  <c r="D4036"/>
  <c r="B4036"/>
  <c r="B4035"/>
  <c r="D4035" s="1"/>
  <c r="D4034"/>
  <c r="B4034"/>
  <c r="B4033"/>
  <c r="D4033" s="1"/>
  <c r="D4032"/>
  <c r="B4032"/>
  <c r="D4031"/>
  <c r="B4031"/>
  <c r="B4030"/>
  <c r="B4029"/>
  <c r="D4029" s="1"/>
  <c r="D4028"/>
  <c r="B4028"/>
  <c r="B4027"/>
  <c r="D4027" s="1"/>
  <c r="D4026"/>
  <c r="B4026"/>
  <c r="B4025"/>
  <c r="D4025" s="1"/>
  <c r="D4024"/>
  <c r="B4024"/>
  <c r="D4023"/>
  <c r="B4023"/>
  <c r="B4022"/>
  <c r="B4021"/>
  <c r="D4021" s="1"/>
  <c r="E4020"/>
  <c r="D4020"/>
  <c r="B4020"/>
  <c r="B4019"/>
  <c r="D4018"/>
  <c r="B4018"/>
  <c r="B4017"/>
  <c r="D4017" s="1"/>
  <c r="D4016"/>
  <c r="B4016"/>
  <c r="B4015"/>
  <c r="D4015" s="1"/>
  <c r="D4014"/>
  <c r="B4014"/>
  <c r="D4013"/>
  <c r="B4013"/>
  <c r="B4012"/>
  <c r="B4011"/>
  <c r="D4011" s="1"/>
  <c r="D4010"/>
  <c r="B4010"/>
  <c r="B4009"/>
  <c r="D4009" s="1"/>
  <c r="D4008"/>
  <c r="B4008"/>
  <c r="B4007"/>
  <c r="D4007" s="1"/>
  <c r="D4006"/>
  <c r="B4006"/>
  <c r="D4005"/>
  <c r="B4005"/>
  <c r="B4004"/>
  <c r="B4003"/>
  <c r="D4003" s="1"/>
  <c r="D4002"/>
  <c r="B4002"/>
  <c r="B4001"/>
  <c r="D4001" s="1"/>
  <c r="D4000"/>
  <c r="B4000"/>
  <c r="B3999"/>
  <c r="D3999" s="1"/>
  <c r="D3998"/>
  <c r="B3998"/>
  <c r="D3997"/>
  <c r="B3997"/>
  <c r="B3996"/>
  <c r="B3995"/>
  <c r="D3995" s="1"/>
  <c r="D3994"/>
  <c r="B3994"/>
  <c r="B3993"/>
  <c r="D3993" s="1"/>
  <c r="D3992"/>
  <c r="B3992"/>
  <c r="B3991"/>
  <c r="D3991" s="1"/>
  <c r="D3990"/>
  <c r="B3990"/>
  <c r="D3989"/>
  <c r="B3989"/>
  <c r="B3988"/>
  <c r="B3987"/>
  <c r="D3987" s="1"/>
  <c r="D3986"/>
  <c r="B3986"/>
  <c r="B3985"/>
  <c r="D3985" s="1"/>
  <c r="D3984"/>
  <c r="B3984"/>
  <c r="B3983"/>
  <c r="D3983" s="1"/>
  <c r="D3982"/>
  <c r="B3982"/>
  <c r="D3981"/>
  <c r="B3981"/>
  <c r="B3980"/>
  <c r="B3979"/>
  <c r="D3979" s="1"/>
  <c r="D3978"/>
  <c r="B3978"/>
  <c r="B3977"/>
  <c r="D3977" s="1"/>
  <c r="D3976"/>
  <c r="B3976"/>
  <c r="B3975"/>
  <c r="D3975" s="1"/>
  <c r="D3974"/>
  <c r="B3974"/>
  <c r="D3973"/>
  <c r="B3973"/>
  <c r="B3972"/>
  <c r="B3971"/>
  <c r="D3971" s="1"/>
  <c r="D3970"/>
  <c r="B3970"/>
  <c r="B3969"/>
  <c r="D3969" s="1"/>
  <c r="D3968"/>
  <c r="B3968"/>
  <c r="B3967"/>
  <c r="D3967" s="1"/>
  <c r="D3966"/>
  <c r="B3966"/>
  <c r="D3965"/>
  <c r="B3965"/>
  <c r="B3964"/>
  <c r="B3963"/>
  <c r="D3963" s="1"/>
  <c r="D3962"/>
  <c r="B3962"/>
  <c r="B3961"/>
  <c r="D3961" s="1"/>
  <c r="D3960"/>
  <c r="B3960"/>
  <c r="B3959"/>
  <c r="D3959" s="1"/>
  <c r="D3958"/>
  <c r="B3958"/>
  <c r="D3957"/>
  <c r="B3957"/>
  <c r="B3956"/>
  <c r="B3955"/>
  <c r="D3955" s="1"/>
  <c r="D3954"/>
  <c r="B3954"/>
  <c r="B3953"/>
  <c r="D3953" s="1"/>
  <c r="D3952"/>
  <c r="B3952"/>
  <c r="B3951"/>
  <c r="D3951" s="1"/>
  <c r="D3950"/>
  <c r="B3950"/>
  <c r="D3949"/>
  <c r="B3949"/>
  <c r="B3948"/>
  <c r="B3947"/>
  <c r="D3947" s="1"/>
  <c r="D3946"/>
  <c r="B3946"/>
  <c r="B3945"/>
  <c r="D3945" s="1"/>
  <c r="D3944"/>
  <c r="B3944"/>
  <c r="B3943"/>
  <c r="D3943" s="1"/>
  <c r="D3942"/>
  <c r="B3942"/>
  <c r="D3941"/>
  <c r="B3941"/>
  <c r="B3940"/>
  <c r="B3939"/>
  <c r="D3939" s="1"/>
  <c r="D3938"/>
  <c r="B3938"/>
  <c r="B3937"/>
  <c r="D3937" s="1"/>
  <c r="D3936"/>
  <c r="B3936"/>
  <c r="B3935"/>
  <c r="D3935" s="1"/>
  <c r="D3934"/>
  <c r="B3934"/>
  <c r="D3933"/>
  <c r="B3933"/>
  <c r="B3932"/>
  <c r="B3931"/>
  <c r="D3931" s="1"/>
  <c r="D3930"/>
  <c r="B3930"/>
  <c r="B3929"/>
  <c r="D3929" s="1"/>
  <c r="D3928"/>
  <c r="B3928"/>
  <c r="B3927"/>
  <c r="D3927" s="1"/>
  <c r="D3926"/>
  <c r="B3926"/>
  <c r="D3925"/>
  <c r="B3925"/>
  <c r="B3924"/>
  <c r="B3923"/>
  <c r="D3923" s="1"/>
  <c r="D3922"/>
  <c r="B3922"/>
  <c r="B3921"/>
  <c r="D3921" s="1"/>
  <c r="D3920"/>
  <c r="B3920"/>
  <c r="B3919"/>
  <c r="D3919" s="1"/>
  <c r="D3918"/>
  <c r="B3918"/>
  <c r="D3917"/>
  <c r="B3917"/>
  <c r="E3916"/>
  <c r="D3916"/>
  <c r="B3916"/>
  <c r="B3915"/>
  <c r="D3915" s="1"/>
  <c r="D3914"/>
  <c r="B3914"/>
  <c r="D3913"/>
  <c r="B3913"/>
  <c r="D3912"/>
  <c r="B3912"/>
  <c r="B3911"/>
  <c r="D3911" s="1"/>
  <c r="D3910"/>
  <c r="B3910"/>
  <c r="D3909"/>
  <c r="B3909"/>
  <c r="D3908"/>
  <c r="B3908"/>
  <c r="B3907"/>
  <c r="D3907" s="1"/>
  <c r="D3906"/>
  <c r="B3906"/>
  <c r="D3905"/>
  <c r="B3905"/>
  <c r="D3904"/>
  <c r="B3904"/>
  <c r="B3903"/>
  <c r="D3903" s="1"/>
  <c r="D3902"/>
  <c r="B3902"/>
  <c r="D3901"/>
  <c r="B3901"/>
  <c r="D3900"/>
  <c r="B3900"/>
  <c r="B3899"/>
  <c r="D3899" s="1"/>
  <c r="D3898"/>
  <c r="B3898"/>
  <c r="D3897"/>
  <c r="B3897"/>
  <c r="D3896"/>
  <c r="B3896"/>
  <c r="B3895"/>
  <c r="D3895" s="1"/>
  <c r="D3894"/>
  <c r="B3894"/>
  <c r="E3893"/>
  <c r="D3893"/>
  <c r="B3893"/>
  <c r="D3892"/>
  <c r="B3892"/>
  <c r="B3891"/>
  <c r="D3891" s="1"/>
  <c r="D3890"/>
  <c r="B3890"/>
  <c r="D3889"/>
  <c r="B3889"/>
  <c r="D3888"/>
  <c r="B3888"/>
  <c r="B3887"/>
  <c r="D3887" s="1"/>
  <c r="D3886"/>
  <c r="B3886"/>
  <c r="D3885"/>
  <c r="B3885"/>
  <c r="D3884"/>
  <c r="B3884"/>
  <c r="B3883"/>
  <c r="D3883" s="1"/>
  <c r="D3882"/>
  <c r="B3882"/>
  <c r="D3881"/>
  <c r="B3881"/>
  <c r="D3880"/>
  <c r="B3880"/>
  <c r="B3879"/>
  <c r="D3879" s="1"/>
  <c r="D3878"/>
  <c r="B3878"/>
  <c r="D3877"/>
  <c r="B3877"/>
  <c r="D3876"/>
  <c r="B3876"/>
  <c r="B3875"/>
  <c r="D3875" s="1"/>
  <c r="D3874"/>
  <c r="B3874"/>
  <c r="D3873"/>
  <c r="B3873"/>
  <c r="D3872"/>
  <c r="B3872"/>
  <c r="B3871"/>
  <c r="D3871" s="1"/>
  <c r="D3870"/>
  <c r="B3870"/>
  <c r="D3869"/>
  <c r="B3869"/>
  <c r="D3868"/>
  <c r="B3868"/>
  <c r="B3867"/>
  <c r="D3867" s="1"/>
  <c r="D3866"/>
  <c r="B3866"/>
  <c r="D3865"/>
  <c r="B3865"/>
  <c r="D3864"/>
  <c r="B3864"/>
  <c r="B3863"/>
  <c r="D3863" s="1"/>
  <c r="D3862"/>
  <c r="B3862"/>
  <c r="D3861"/>
  <c r="B3861"/>
  <c r="D3860"/>
  <c r="B3860"/>
  <c r="B3859"/>
  <c r="D3859" s="1"/>
  <c r="D3858"/>
  <c r="B3858"/>
  <c r="D3857"/>
  <c r="B3857"/>
  <c r="D3856"/>
  <c r="B3856"/>
  <c r="B3855"/>
  <c r="D3855" s="1"/>
  <c r="D3854"/>
  <c r="B3854"/>
  <c r="D3853"/>
  <c r="B3853"/>
  <c r="D3852"/>
  <c r="B3852"/>
  <c r="E3851"/>
  <c r="D3851"/>
  <c r="B3851"/>
  <c r="D3850"/>
  <c r="B3850"/>
  <c r="D3849"/>
  <c r="B3849"/>
  <c r="B3848"/>
  <c r="B3847"/>
  <c r="D3847" s="1"/>
  <c r="D3846"/>
  <c r="B3846"/>
  <c r="B3845"/>
  <c r="D3845" s="1"/>
  <c r="D3844"/>
  <c r="B3844"/>
  <c r="B3843"/>
  <c r="D3843" s="1"/>
  <c r="D3842"/>
  <c r="B3842"/>
  <c r="D3841"/>
  <c r="B3841"/>
  <c r="B3840"/>
  <c r="B3839"/>
  <c r="D3839" s="1"/>
  <c r="D3838"/>
  <c r="B3838"/>
  <c r="B3837"/>
  <c r="D3837" s="1"/>
  <c r="D3836"/>
  <c r="B3836"/>
  <c r="B3835"/>
  <c r="D3835" s="1"/>
  <c r="D3834"/>
  <c r="B3834"/>
  <c r="D3833"/>
  <c r="B3833"/>
  <c r="B3832"/>
  <c r="B3831"/>
  <c r="D3831" s="1"/>
  <c r="D3830"/>
  <c r="B3830"/>
  <c r="B3829"/>
  <c r="D3829" s="1"/>
  <c r="D3828"/>
  <c r="B3828"/>
  <c r="B3827"/>
  <c r="D3827" s="1"/>
  <c r="D3826"/>
  <c r="B3826"/>
  <c r="D3825"/>
  <c r="B3825"/>
  <c r="B3824"/>
  <c r="B3823"/>
  <c r="D3823" s="1"/>
  <c r="D3822"/>
  <c r="B3822"/>
  <c r="B3821"/>
  <c r="D3821" s="1"/>
  <c r="D3820"/>
  <c r="B3820"/>
  <c r="B3819"/>
  <c r="D3819" s="1"/>
  <c r="D3818"/>
  <c r="B3818"/>
  <c r="D3817"/>
  <c r="B3817"/>
  <c r="B3816"/>
  <c r="B3815"/>
  <c r="D3815" s="1"/>
  <c r="D3814"/>
  <c r="B3814"/>
  <c r="B3813"/>
  <c r="D3813" s="1"/>
  <c r="D3812"/>
  <c r="B3812"/>
  <c r="B3811"/>
  <c r="D3811" s="1"/>
  <c r="D3810"/>
  <c r="B3810"/>
  <c r="D3809"/>
  <c r="B3809"/>
  <c r="B3808"/>
  <c r="B3807"/>
  <c r="D3807" s="1"/>
  <c r="D3806"/>
  <c r="B3806"/>
  <c r="B3805"/>
  <c r="D3805" s="1"/>
  <c r="D3804"/>
  <c r="B3804"/>
  <c r="B3803"/>
  <c r="D3803" s="1"/>
  <c r="D3802"/>
  <c r="B3802"/>
  <c r="D3801"/>
  <c r="B3801"/>
  <c r="B3800"/>
  <c r="B3799"/>
  <c r="D3799" s="1"/>
  <c r="D3798"/>
  <c r="B3798"/>
  <c r="B3797"/>
  <c r="D3797" s="1"/>
  <c r="D3796"/>
  <c r="B3796"/>
  <c r="E3795"/>
  <c r="D3795"/>
  <c r="B3795"/>
  <c r="D3794"/>
  <c r="B3794"/>
  <c r="D3793"/>
  <c r="B3793"/>
  <c r="D3792"/>
  <c r="B3792"/>
  <c r="B3791"/>
  <c r="D3791" s="1"/>
  <c r="D3790"/>
  <c r="B3790"/>
  <c r="D3789"/>
  <c r="B3789"/>
  <c r="D3788"/>
  <c r="B3788"/>
  <c r="B3787"/>
  <c r="D3787" s="1"/>
  <c r="D3786"/>
  <c r="B3786"/>
  <c r="D3785"/>
  <c r="B3785"/>
  <c r="D3784"/>
  <c r="B3784"/>
  <c r="B3783"/>
  <c r="D3783" s="1"/>
  <c r="D3782"/>
  <c r="B3782"/>
  <c r="D3781"/>
  <c r="B3781"/>
  <c r="D3780"/>
  <c r="B3780"/>
  <c r="B3779"/>
  <c r="D3779" s="1"/>
  <c r="D3778"/>
  <c r="B3778"/>
  <c r="D3777"/>
  <c r="B3777"/>
  <c r="D3776"/>
  <c r="B3776"/>
  <c r="B3775"/>
  <c r="D3775" s="1"/>
  <c r="D3774"/>
  <c r="B3774"/>
  <c r="D3773"/>
  <c r="B3773"/>
  <c r="D3772"/>
  <c r="B3772"/>
  <c r="B3771"/>
  <c r="D3771" s="1"/>
  <c r="D3770"/>
  <c r="B3770"/>
  <c r="D3769"/>
  <c r="B3769"/>
  <c r="D3768"/>
  <c r="B3768"/>
  <c r="B3767"/>
  <c r="D3767" s="1"/>
  <c r="D3766"/>
  <c r="B3766"/>
  <c r="D3765"/>
  <c r="B3765"/>
  <c r="D3764"/>
  <c r="B3764"/>
  <c r="B3763"/>
  <c r="D3763" s="1"/>
  <c r="D3762"/>
  <c r="B3762"/>
  <c r="D3761"/>
  <c r="B3761"/>
  <c r="D3760"/>
  <c r="B3760"/>
  <c r="B3759"/>
  <c r="D3759" s="1"/>
  <c r="D3758"/>
  <c r="B3758"/>
  <c r="D3757"/>
  <c r="B3757"/>
  <c r="D3756"/>
  <c r="B3756"/>
  <c r="B3755"/>
  <c r="D3755" s="1"/>
  <c r="D3754"/>
  <c r="B3754"/>
  <c r="D3753"/>
  <c r="B3753"/>
  <c r="D3752"/>
  <c r="B3752"/>
  <c r="B3751"/>
  <c r="D3751" s="1"/>
  <c r="E3750"/>
  <c r="D3750"/>
  <c r="B3750"/>
  <c r="D3749"/>
  <c r="B3749"/>
  <c r="D3748"/>
  <c r="B3748"/>
  <c r="B3747"/>
  <c r="D3747" s="1"/>
  <c r="D3746"/>
  <c r="B3746"/>
  <c r="D3745"/>
  <c r="B3745"/>
  <c r="D3744"/>
  <c r="B3744"/>
  <c r="B3743"/>
  <c r="D3743" s="1"/>
  <c r="D3742"/>
  <c r="B3742"/>
  <c r="D3741"/>
  <c r="B3741"/>
  <c r="D3740"/>
  <c r="B3740"/>
  <c r="B3739"/>
  <c r="D3739" s="1"/>
  <c r="D3738"/>
  <c r="B3738"/>
  <c r="D3737"/>
  <c r="B3737"/>
  <c r="D3736"/>
  <c r="B3736"/>
  <c r="B3735"/>
  <c r="D3735" s="1"/>
  <c r="D3734"/>
  <c r="B3734"/>
  <c r="D3733"/>
  <c r="B3733"/>
  <c r="D3732"/>
  <c r="B3732"/>
  <c r="B3731"/>
  <c r="D3731" s="1"/>
  <c r="D3730"/>
  <c r="B3730"/>
  <c r="D3729"/>
  <c r="B3729"/>
  <c r="D3728"/>
  <c r="B3728"/>
  <c r="B3727"/>
  <c r="D3727" s="1"/>
  <c r="D3726"/>
  <c r="B3726"/>
  <c r="D3725"/>
  <c r="B3725"/>
  <c r="D3724"/>
  <c r="B3724"/>
  <c r="B3723"/>
  <c r="D3723" s="1"/>
  <c r="D3722"/>
  <c r="B3722"/>
  <c r="D3721"/>
  <c r="B3721"/>
  <c r="D3720"/>
  <c r="B3720"/>
  <c r="B3719"/>
  <c r="D3719" s="1"/>
  <c r="D3718"/>
  <c r="B3718"/>
  <c r="D3717"/>
  <c r="B3717"/>
  <c r="D3716"/>
  <c r="B3716"/>
  <c r="B3715"/>
  <c r="D3715" s="1"/>
  <c r="D3714"/>
  <c r="B3714"/>
  <c r="D3713"/>
  <c r="B3713"/>
  <c r="D3712"/>
  <c r="B3712"/>
  <c r="B3711"/>
  <c r="D3711" s="1"/>
  <c r="D3710"/>
  <c r="B3710"/>
  <c r="D3709"/>
  <c r="B3709"/>
  <c r="D3708"/>
  <c r="B3708"/>
  <c r="B3707"/>
  <c r="D3707" s="1"/>
  <c r="D3706"/>
  <c r="B3706"/>
  <c r="D3705"/>
  <c r="B3705"/>
  <c r="B3704"/>
  <c r="B3703"/>
  <c r="D3703" s="1"/>
  <c r="D3702"/>
  <c r="B3702"/>
  <c r="D3701"/>
  <c r="B3701"/>
  <c r="D3700"/>
  <c r="B3700"/>
  <c r="B3699"/>
  <c r="D3699" s="1"/>
  <c r="D3698"/>
  <c r="B3698"/>
  <c r="D3697"/>
  <c r="B3697"/>
  <c r="B3696"/>
  <c r="D3696" s="1"/>
  <c r="B3695"/>
  <c r="D3695" s="1"/>
  <c r="D3694"/>
  <c r="B3694"/>
  <c r="D3693"/>
  <c r="B3693"/>
  <c r="D3692"/>
  <c r="B3692"/>
  <c r="B3691"/>
  <c r="D3691" s="1"/>
  <c r="D3690"/>
  <c r="B3690"/>
  <c r="D3689"/>
  <c r="B3689"/>
  <c r="D3688"/>
  <c r="B3688"/>
  <c r="B3687"/>
  <c r="D3687" s="1"/>
  <c r="D3686"/>
  <c r="B3686"/>
  <c r="B3685"/>
  <c r="D3684"/>
  <c r="B3684"/>
  <c r="B3683"/>
  <c r="D3683" s="1"/>
  <c r="D3682"/>
  <c r="B3682"/>
  <c r="D3681"/>
  <c r="B3681"/>
  <c r="D3680"/>
  <c r="B3680"/>
  <c r="B3679"/>
  <c r="D3679" s="1"/>
  <c r="D3678"/>
  <c r="B3678"/>
  <c r="B3677"/>
  <c r="D3677" s="1"/>
  <c r="D3676"/>
  <c r="B3676"/>
  <c r="B3675"/>
  <c r="D3675" s="1"/>
  <c r="D3674"/>
  <c r="B3674"/>
  <c r="D3673"/>
  <c r="B3673"/>
  <c r="B3672"/>
  <c r="B3671"/>
  <c r="D3671" s="1"/>
  <c r="D3670"/>
  <c r="B3670"/>
  <c r="D3669"/>
  <c r="B3669"/>
  <c r="D3668"/>
  <c r="B3668"/>
  <c r="B3667"/>
  <c r="D3667" s="1"/>
  <c r="D3666"/>
  <c r="B3666"/>
  <c r="D3665"/>
  <c r="B3665"/>
  <c r="B3664"/>
  <c r="D3664" s="1"/>
  <c r="B3663"/>
  <c r="D3663" s="1"/>
  <c r="D3662"/>
  <c r="B3662"/>
  <c r="D3661"/>
  <c r="B3661"/>
  <c r="D3660"/>
  <c r="B3660"/>
  <c r="B3659"/>
  <c r="D3659" s="1"/>
  <c r="D3658"/>
  <c r="B3658"/>
  <c r="D3657"/>
  <c r="B3657"/>
  <c r="D3656"/>
  <c r="B3656"/>
  <c r="B3655"/>
  <c r="D3655" s="1"/>
  <c r="D3654"/>
  <c r="B3654"/>
  <c r="B3653"/>
  <c r="D3652"/>
  <c r="B3652"/>
  <c r="B3651"/>
  <c r="D3651" s="1"/>
  <c r="D3650"/>
  <c r="B3650"/>
  <c r="D3649"/>
  <c r="B3649"/>
  <c r="D3648"/>
  <c r="B3648"/>
  <c r="B3647"/>
  <c r="D3647" s="1"/>
  <c r="D3646"/>
  <c r="B3646"/>
  <c r="E3645"/>
  <c r="D3645"/>
  <c r="B3645"/>
  <c r="D3644"/>
  <c r="B3644"/>
  <c r="B3643"/>
  <c r="D3643" s="1"/>
  <c r="D3642"/>
  <c r="B3642"/>
  <c r="D3641"/>
  <c r="B3641"/>
  <c r="B3640"/>
  <c r="D3640" s="1"/>
  <c r="B3639"/>
  <c r="D3639" s="1"/>
  <c r="D3638"/>
  <c r="B3638"/>
  <c r="B3637"/>
  <c r="D3636"/>
  <c r="B3636"/>
  <c r="B3635"/>
  <c r="D3635" s="1"/>
  <c r="D3634"/>
  <c r="B3634"/>
  <c r="D3633"/>
  <c r="B3633"/>
  <c r="B3632"/>
  <c r="B3631"/>
  <c r="D3631" s="1"/>
  <c r="D3630"/>
  <c r="B3630"/>
  <c r="D3629"/>
  <c r="B3629"/>
  <c r="D3628"/>
  <c r="B3628"/>
  <c r="B3627"/>
  <c r="D3627" s="1"/>
  <c r="D3626"/>
  <c r="B3626"/>
  <c r="D3625"/>
  <c r="B3625"/>
  <c r="D3624"/>
  <c r="B3624"/>
  <c r="B3623"/>
  <c r="D3623" s="1"/>
  <c r="D3622"/>
  <c r="B3622"/>
  <c r="D3621"/>
  <c r="B3621"/>
  <c r="D3620"/>
  <c r="B3620"/>
  <c r="B3619"/>
  <c r="D3619" s="1"/>
  <c r="D3618"/>
  <c r="B3618"/>
  <c r="D3617"/>
  <c r="B3617"/>
  <c r="D3616"/>
  <c r="B3616"/>
  <c r="B3615"/>
  <c r="D3615" s="1"/>
  <c r="D3614"/>
  <c r="B3614"/>
  <c r="B3613"/>
  <c r="D3613" s="1"/>
  <c r="D3612"/>
  <c r="B3612"/>
  <c r="B3611"/>
  <c r="D3611" s="1"/>
  <c r="D3610"/>
  <c r="B3610"/>
  <c r="D3609"/>
  <c r="B3609"/>
  <c r="B3608"/>
  <c r="D3608" s="1"/>
  <c r="B3607"/>
  <c r="D3607" s="1"/>
  <c r="D3606"/>
  <c r="B3606"/>
  <c r="B3605"/>
  <c r="D3604"/>
  <c r="B3604"/>
  <c r="B3603"/>
  <c r="D3603" s="1"/>
  <c r="D3602"/>
  <c r="B3602"/>
  <c r="D3601"/>
  <c r="B3601"/>
  <c r="B3600"/>
  <c r="B3599"/>
  <c r="D3599" s="1"/>
  <c r="D3598"/>
  <c r="B3598"/>
  <c r="D3597"/>
  <c r="B3597"/>
  <c r="D3596"/>
  <c r="B3596"/>
  <c r="B3595"/>
  <c r="D3595" s="1"/>
  <c r="D3594"/>
  <c r="B3594"/>
  <c r="D3593"/>
  <c r="B3593"/>
  <c r="D3592"/>
  <c r="B3592"/>
  <c r="B3591"/>
  <c r="D3591" s="1"/>
  <c r="D3590"/>
  <c r="B3590"/>
  <c r="D3589"/>
  <c r="B3589"/>
  <c r="D3588"/>
  <c r="B3588"/>
  <c r="B3587"/>
  <c r="D3587" s="1"/>
  <c r="D3586"/>
  <c r="B3586"/>
  <c r="D3585"/>
  <c r="B3585"/>
  <c r="D3584"/>
  <c r="B3584"/>
  <c r="B3583"/>
  <c r="D3583" s="1"/>
  <c r="D3582"/>
  <c r="B3582"/>
  <c r="B3581"/>
  <c r="D3581" s="1"/>
  <c r="D3580"/>
  <c r="B3580"/>
  <c r="B3579"/>
  <c r="D3579" s="1"/>
  <c r="E3578"/>
  <c r="D3578"/>
  <c r="B3578"/>
  <c r="D3577"/>
  <c r="B3577"/>
  <c r="B3576"/>
  <c r="D3576" s="1"/>
  <c r="B3575"/>
  <c r="D3575" s="1"/>
  <c r="D3574"/>
  <c r="B3574"/>
  <c r="B3573"/>
  <c r="D3572"/>
  <c r="B3572"/>
  <c r="E3571"/>
  <c r="D3571"/>
  <c r="B3571"/>
  <c r="B3570"/>
  <c r="B3569"/>
  <c r="D3569" s="1"/>
  <c r="D3568"/>
  <c r="B3568"/>
  <c r="D3567"/>
  <c r="B3567"/>
  <c r="B3566"/>
  <c r="B3565"/>
  <c r="D3565" s="1"/>
  <c r="E3564"/>
  <c r="D3564"/>
  <c r="B3564"/>
  <c r="D3563"/>
  <c r="B3563"/>
  <c r="D3562"/>
  <c r="B3562"/>
  <c r="B3561"/>
  <c r="D3561" s="1"/>
  <c r="D3560"/>
  <c r="B3560"/>
  <c r="D3559"/>
  <c r="B3559"/>
  <c r="D3558"/>
  <c r="B3558"/>
  <c r="B3557"/>
  <c r="D3557" s="1"/>
  <c r="D3556"/>
  <c r="B3556"/>
  <c r="D3555"/>
  <c r="B3555"/>
  <c r="D3554"/>
  <c r="B3554"/>
  <c r="B3553"/>
  <c r="D3553" s="1"/>
  <c r="D3552"/>
  <c r="B3552"/>
  <c r="D3551"/>
  <c r="B3551"/>
  <c r="D3550"/>
  <c r="B3550"/>
  <c r="B3549"/>
  <c r="D3549" s="1"/>
  <c r="D3548"/>
  <c r="B3548"/>
  <c r="B3547"/>
  <c r="D3547" s="1"/>
  <c r="D3546"/>
  <c r="B3546"/>
  <c r="B3545"/>
  <c r="D3545" s="1"/>
  <c r="D3544"/>
  <c r="B3544"/>
  <c r="D3543"/>
  <c r="B3543"/>
  <c r="B3542"/>
  <c r="D3542" s="1"/>
  <c r="B3541"/>
  <c r="D3541" s="1"/>
  <c r="D3540"/>
  <c r="B3540"/>
  <c r="B3539"/>
  <c r="D3538"/>
  <c r="B3538"/>
  <c r="B3537"/>
  <c r="D3537" s="1"/>
  <c r="D3536"/>
  <c r="B3536"/>
  <c r="D3535"/>
  <c r="B3535"/>
  <c r="B3534"/>
  <c r="B3533"/>
  <c r="D3533" s="1"/>
  <c r="D3532"/>
  <c r="B3532"/>
  <c r="D3531"/>
  <c r="B3531"/>
  <c r="D3530"/>
  <c r="B3530"/>
  <c r="B3529"/>
  <c r="D3529" s="1"/>
  <c r="D3528"/>
  <c r="B3528"/>
  <c r="D3527"/>
  <c r="B3527"/>
  <c r="E3526"/>
  <c r="D3526"/>
  <c r="B3526"/>
  <c r="B3525"/>
  <c r="D3524"/>
  <c r="B3524"/>
  <c r="D3523"/>
  <c r="B3523"/>
  <c r="B3522"/>
  <c r="B3521"/>
  <c r="D3521" s="1"/>
  <c r="D3520"/>
  <c r="B3520"/>
  <c r="B3519"/>
  <c r="D3519" s="1"/>
  <c r="B3518"/>
  <c r="B3517"/>
  <c r="D3516"/>
  <c r="B3516"/>
  <c r="D3515"/>
  <c r="B3515"/>
  <c r="B3514"/>
  <c r="B3513"/>
  <c r="D3513" s="1"/>
  <c r="D3512"/>
  <c r="B3512"/>
  <c r="B3511"/>
  <c r="D3511" s="1"/>
  <c r="B3510"/>
  <c r="B3509"/>
  <c r="D3508"/>
  <c r="B3508"/>
  <c r="D3507"/>
  <c r="B3507"/>
  <c r="B3506"/>
  <c r="B3505"/>
  <c r="D3505" s="1"/>
  <c r="D3504"/>
  <c r="B3504"/>
  <c r="B3503"/>
  <c r="D3503" s="1"/>
  <c r="B3502"/>
  <c r="B3501"/>
  <c r="D3500"/>
  <c r="B3500"/>
  <c r="D3499"/>
  <c r="B3499"/>
  <c r="B3498"/>
  <c r="B3497"/>
  <c r="D3497" s="1"/>
  <c r="D3496"/>
  <c r="B3496"/>
  <c r="B3495"/>
  <c r="D3495" s="1"/>
  <c r="B3494"/>
  <c r="B3493"/>
  <c r="D3492"/>
  <c r="B3492"/>
  <c r="D3491"/>
  <c r="B3491"/>
  <c r="B3490"/>
  <c r="B3489"/>
  <c r="D3489" s="1"/>
  <c r="D3488"/>
  <c r="B3488"/>
  <c r="B3487"/>
  <c r="D3487" s="1"/>
  <c r="B3486"/>
  <c r="B3485"/>
  <c r="D3484"/>
  <c r="B3484"/>
  <c r="D3483"/>
  <c r="B3483"/>
  <c r="B3482"/>
  <c r="B3481"/>
  <c r="D3481" s="1"/>
  <c r="D3480"/>
  <c r="B3480"/>
  <c r="B3479"/>
  <c r="D3479" s="1"/>
  <c r="D3478"/>
  <c r="B3478"/>
  <c r="B3477"/>
  <c r="D3476"/>
  <c r="B3476"/>
  <c r="D3475"/>
  <c r="B3475"/>
  <c r="B3474"/>
  <c r="B3473"/>
  <c r="D3473" s="1"/>
  <c r="D3472"/>
  <c r="B3472"/>
  <c r="B3471"/>
  <c r="D3471" s="1"/>
  <c r="D3470"/>
  <c r="B3470"/>
  <c r="B3469"/>
  <c r="D3468"/>
  <c r="B3468"/>
  <c r="D3467"/>
  <c r="B3467"/>
  <c r="B3466"/>
  <c r="B3465"/>
  <c r="D3465" s="1"/>
  <c r="D3464"/>
  <c r="B3464"/>
  <c r="B3463"/>
  <c r="D3463" s="1"/>
  <c r="D3462"/>
  <c r="B3462"/>
  <c r="B3461"/>
  <c r="D3460"/>
  <c r="B3460"/>
  <c r="D3459"/>
  <c r="B3459"/>
  <c r="B3458"/>
  <c r="B3457"/>
  <c r="D3457" s="1"/>
  <c r="D3456"/>
  <c r="B3456"/>
  <c r="B3455"/>
  <c r="D3455" s="1"/>
  <c r="D3454"/>
  <c r="B3454"/>
  <c r="E3453"/>
  <c r="D3453"/>
  <c r="B3453"/>
  <c r="D3452"/>
  <c r="B3452"/>
  <c r="D3451"/>
  <c r="B3451"/>
  <c r="D3450"/>
  <c r="B3450"/>
  <c r="B3449"/>
  <c r="D3449" s="1"/>
  <c r="D3448"/>
  <c r="B3448"/>
  <c r="D3447"/>
  <c r="B3447"/>
  <c r="D3446"/>
  <c r="B3446"/>
  <c r="B3445"/>
  <c r="D3445" s="1"/>
  <c r="D3444"/>
  <c r="B3444"/>
  <c r="D3443"/>
  <c r="B3443"/>
  <c r="D3442"/>
  <c r="B3442"/>
  <c r="B3441"/>
  <c r="D3441" s="1"/>
  <c r="D3440"/>
  <c r="B3440"/>
  <c r="B3439"/>
  <c r="D3439" s="1"/>
  <c r="D3438"/>
  <c r="B3438"/>
  <c r="B3437"/>
  <c r="D3437" s="1"/>
  <c r="D3436"/>
  <c r="B3436"/>
  <c r="D3435"/>
  <c r="B3435"/>
  <c r="B3434"/>
  <c r="D3434" s="1"/>
  <c r="B3433"/>
  <c r="D3433" s="1"/>
  <c r="D3432"/>
  <c r="B3432"/>
  <c r="D3431"/>
  <c r="B3431"/>
  <c r="D3430"/>
  <c r="B3430"/>
  <c r="B3429"/>
  <c r="D3429" s="1"/>
  <c r="D3428"/>
  <c r="B3428"/>
  <c r="D3427"/>
  <c r="B3427"/>
  <c r="D3426"/>
  <c r="B3426"/>
  <c r="B3425"/>
  <c r="D3425" s="1"/>
  <c r="D3424"/>
  <c r="B3424"/>
  <c r="D3423"/>
  <c r="B3423"/>
  <c r="D3422"/>
  <c r="B3422"/>
  <c r="B3421"/>
  <c r="D3421" s="1"/>
  <c r="D3420"/>
  <c r="B3420"/>
  <c r="D3419"/>
  <c r="B3419"/>
  <c r="D3418"/>
  <c r="B3418"/>
  <c r="B3417"/>
  <c r="D3417" s="1"/>
  <c r="D3416"/>
  <c r="B3416"/>
  <c r="D3415"/>
  <c r="B3415"/>
  <c r="D3414"/>
  <c r="B3414"/>
  <c r="B3413"/>
  <c r="D3413" s="1"/>
  <c r="D3412"/>
  <c r="B3412"/>
  <c r="E3411"/>
  <c r="D3411"/>
  <c r="B3411"/>
  <c r="D3410"/>
  <c r="B3410"/>
  <c r="B3409"/>
  <c r="D3409" s="1"/>
  <c r="D3408"/>
  <c r="B3408"/>
  <c r="B3407"/>
  <c r="D3407" s="1"/>
  <c r="D3406"/>
  <c r="B3406"/>
  <c r="B3405"/>
  <c r="D3405" s="1"/>
  <c r="D3404"/>
  <c r="B3404"/>
  <c r="D3403"/>
  <c r="B3403"/>
  <c r="B3402"/>
  <c r="D3402" s="1"/>
  <c r="B3401"/>
  <c r="D3401" s="1"/>
  <c r="D3400"/>
  <c r="B3400"/>
  <c r="D3399"/>
  <c r="B3399"/>
  <c r="D3398"/>
  <c r="B3398"/>
  <c r="B3397"/>
  <c r="D3397" s="1"/>
  <c r="D3396"/>
  <c r="B3396"/>
  <c r="D3395"/>
  <c r="B3395"/>
  <c r="D3394"/>
  <c r="B3394"/>
  <c r="B3393"/>
  <c r="D3393" s="1"/>
  <c r="D3392"/>
  <c r="B3392"/>
  <c r="D3391"/>
  <c r="B3391"/>
  <c r="D3390"/>
  <c r="B3390"/>
  <c r="B3389"/>
  <c r="D3389" s="1"/>
  <c r="D3388"/>
  <c r="B3388"/>
  <c r="D3387"/>
  <c r="B3387"/>
  <c r="D3386"/>
  <c r="B3386"/>
  <c r="B3385"/>
  <c r="D3385" s="1"/>
  <c r="D3384"/>
  <c r="B3384"/>
  <c r="D3383"/>
  <c r="B3383"/>
  <c r="D3382"/>
  <c r="B3382"/>
  <c r="B3381"/>
  <c r="D3381" s="1"/>
  <c r="D3380"/>
  <c r="B3380"/>
  <c r="D3379"/>
  <c r="B3379"/>
  <c r="D3378"/>
  <c r="B3378"/>
  <c r="B3377"/>
  <c r="D3377" s="1"/>
  <c r="D3376"/>
  <c r="B3376"/>
  <c r="B3375"/>
  <c r="D3375" s="1"/>
  <c r="D3374"/>
  <c r="B3374"/>
  <c r="B3373"/>
  <c r="D3373" s="1"/>
  <c r="D3372"/>
  <c r="B3372"/>
  <c r="D3371"/>
  <c r="B3371"/>
  <c r="B3370"/>
  <c r="D3370" s="1"/>
  <c r="E3369"/>
  <c r="D3369"/>
  <c r="B3369"/>
  <c r="D3368"/>
  <c r="B3368"/>
  <c r="D3367"/>
  <c r="B3367"/>
  <c r="B3366"/>
  <c r="B3365"/>
  <c r="D3364"/>
  <c r="B3364"/>
  <c r="B3363"/>
  <c r="D3362"/>
  <c r="B3362"/>
  <c r="B3361"/>
  <c r="D3360"/>
  <c r="B3360"/>
  <c r="D3359"/>
  <c r="B3359"/>
  <c r="B3358"/>
  <c r="B3357"/>
  <c r="D3356"/>
  <c r="B3356"/>
  <c r="B3355"/>
  <c r="D3354"/>
  <c r="B3354"/>
  <c r="B3353"/>
  <c r="D3352"/>
  <c r="B3352"/>
  <c r="D3351"/>
  <c r="B3351"/>
  <c r="B3350"/>
  <c r="B3349"/>
  <c r="D3348"/>
  <c r="B3348"/>
  <c r="B3347"/>
  <c r="D3346"/>
  <c r="B3346"/>
  <c r="B3345"/>
  <c r="D3344"/>
  <c r="B3344"/>
  <c r="D3343"/>
  <c r="B3343"/>
  <c r="B3342"/>
  <c r="B3341"/>
  <c r="D3340"/>
  <c r="B3340"/>
  <c r="B3339"/>
  <c r="D3338"/>
  <c r="B3338"/>
  <c r="B3337"/>
  <c r="D3336"/>
  <c r="B3336"/>
  <c r="D3335"/>
  <c r="B3335"/>
  <c r="B3334"/>
  <c r="B3333"/>
  <c r="D3332"/>
  <c r="B3332"/>
  <c r="B3331"/>
  <c r="D3330"/>
  <c r="B3330"/>
  <c r="B3329"/>
  <c r="D3328"/>
  <c r="B3328"/>
  <c r="D3327"/>
  <c r="B3327"/>
  <c r="B3326"/>
  <c r="B3325"/>
  <c r="D3324"/>
  <c r="B3324"/>
  <c r="B3323"/>
  <c r="D3322"/>
  <c r="B3322"/>
  <c r="B3321"/>
  <c r="D3320"/>
  <c r="B3320"/>
  <c r="D3319"/>
  <c r="B3319"/>
  <c r="B3318"/>
  <c r="B3317"/>
  <c r="D3316"/>
  <c r="B3316"/>
  <c r="B3315"/>
  <c r="D3314"/>
  <c r="B3314"/>
  <c r="B3313"/>
  <c r="D3312"/>
  <c r="B3312"/>
  <c r="D3311"/>
  <c r="B3311"/>
  <c r="B3310"/>
  <c r="B3309"/>
  <c r="D3308"/>
  <c r="B3308"/>
  <c r="B3307"/>
  <c r="D3306"/>
  <c r="B3306"/>
  <c r="B3305"/>
  <c r="D3304"/>
  <c r="B3304"/>
  <c r="B3303"/>
  <c r="D3303" s="1"/>
  <c r="B3302"/>
  <c r="E3301"/>
  <c r="D3301"/>
  <c r="B3301"/>
  <c r="B3300"/>
  <c r="D3299"/>
  <c r="B3299"/>
  <c r="B3298"/>
  <c r="D3297"/>
  <c r="B3297"/>
  <c r="D3296"/>
  <c r="B3296"/>
  <c r="B3295"/>
  <c r="B3294"/>
  <c r="D3294" s="1"/>
  <c r="D3293"/>
  <c r="B3293"/>
  <c r="B3292"/>
  <c r="D3291"/>
  <c r="B3291"/>
  <c r="B3290"/>
  <c r="D3289"/>
  <c r="B3289"/>
  <c r="D3288"/>
  <c r="B3288"/>
  <c r="B3287"/>
  <c r="B3286"/>
  <c r="D3286" s="1"/>
  <c r="D3285"/>
  <c r="B3285"/>
  <c r="B3284"/>
  <c r="D3283"/>
  <c r="B3283"/>
  <c r="B3282"/>
  <c r="D3281"/>
  <c r="B3281"/>
  <c r="D3280"/>
  <c r="B3280"/>
  <c r="B3279"/>
  <c r="B3278"/>
  <c r="D3278" s="1"/>
  <c r="D3277"/>
  <c r="B3277"/>
  <c r="B3276"/>
  <c r="D3275"/>
  <c r="B3275"/>
  <c r="B3274"/>
  <c r="D3273"/>
  <c r="B3273"/>
  <c r="D3272"/>
  <c r="B3272"/>
  <c r="B3271"/>
  <c r="B3270"/>
  <c r="D3270" s="1"/>
  <c r="D3269"/>
  <c r="B3269"/>
  <c r="B3268"/>
  <c r="D3267"/>
  <c r="B3267"/>
  <c r="B3266"/>
  <c r="D3265"/>
  <c r="B3265"/>
  <c r="E3264"/>
  <c r="D3264"/>
  <c r="B3264"/>
  <c r="B3263"/>
  <c r="B3262"/>
  <c r="D3262" s="1"/>
  <c r="D3261"/>
  <c r="B3261"/>
  <c r="B3260"/>
  <c r="D3259"/>
  <c r="B3259"/>
  <c r="B3258"/>
  <c r="D3257"/>
  <c r="B3257"/>
  <c r="E3256"/>
  <c r="D3256"/>
  <c r="B3256"/>
  <c r="B3255"/>
  <c r="B3254"/>
  <c r="D3254" s="1"/>
  <c r="D3253"/>
  <c r="B3253"/>
  <c r="B3252"/>
  <c r="D3251"/>
  <c r="B3251"/>
  <c r="B3250"/>
  <c r="D3249"/>
  <c r="B3249"/>
  <c r="D3248"/>
  <c r="B3248"/>
  <c r="E3247"/>
  <c r="D3247"/>
  <c r="B3247"/>
  <c r="B3246"/>
  <c r="D3246" s="1"/>
  <c r="D3245"/>
  <c r="B3245"/>
  <c r="D3244"/>
  <c r="B3244"/>
  <c r="D3243"/>
  <c r="B3243"/>
  <c r="B3242"/>
  <c r="D3242" s="1"/>
  <c r="D3241"/>
  <c r="B3241"/>
  <c r="D3240"/>
  <c r="B3240"/>
  <c r="B3239"/>
  <c r="D3239" s="1"/>
  <c r="B3238"/>
  <c r="D3238" s="1"/>
  <c r="D3237"/>
  <c r="B3237"/>
  <c r="B3236"/>
  <c r="D3236" s="1"/>
  <c r="D3235"/>
  <c r="B3235"/>
  <c r="B3234"/>
  <c r="D3234" s="1"/>
  <c r="D3233"/>
  <c r="B3233"/>
  <c r="D3232"/>
  <c r="B3232"/>
  <c r="D3231"/>
  <c r="B3231"/>
  <c r="B3230"/>
  <c r="D3230" s="1"/>
  <c r="D3229"/>
  <c r="B3229"/>
  <c r="D3228"/>
  <c r="B3228"/>
  <c r="D3227"/>
  <c r="B3227"/>
  <c r="B3226"/>
  <c r="D3226" s="1"/>
  <c r="D3225"/>
  <c r="B3225"/>
  <c r="D3224"/>
  <c r="B3224"/>
  <c r="B3223"/>
  <c r="D3223" s="1"/>
  <c r="B3222"/>
  <c r="D3222" s="1"/>
  <c r="D3221"/>
  <c r="B3221"/>
  <c r="B3220"/>
  <c r="D3220" s="1"/>
  <c r="D3219"/>
  <c r="B3219"/>
  <c r="B3218"/>
  <c r="D3218" s="1"/>
  <c r="D3217"/>
  <c r="B3217"/>
  <c r="D3216"/>
  <c r="B3216"/>
  <c r="D3215"/>
  <c r="B3215"/>
  <c r="B3214"/>
  <c r="D3214" s="1"/>
  <c r="D3213"/>
  <c r="B3213"/>
  <c r="D3212"/>
  <c r="B3212"/>
  <c r="D3211"/>
  <c r="B3211"/>
  <c r="B3210"/>
  <c r="D3210" s="1"/>
  <c r="D3209"/>
  <c r="B3209"/>
  <c r="D3208"/>
  <c r="B3208"/>
  <c r="B3207"/>
  <c r="D3207" s="1"/>
  <c r="B3206"/>
  <c r="D3206" s="1"/>
  <c r="D3205"/>
  <c r="B3205"/>
  <c r="B3204"/>
  <c r="D3204" s="1"/>
  <c r="D3203"/>
  <c r="B3203"/>
  <c r="B3202"/>
  <c r="D3202" s="1"/>
  <c r="D3201"/>
  <c r="B3201"/>
  <c r="D3200"/>
  <c r="B3200"/>
  <c r="D3199"/>
  <c r="B3199"/>
  <c r="B3198"/>
  <c r="D3198" s="1"/>
  <c r="D3197"/>
  <c r="B3197"/>
  <c r="D3196"/>
  <c r="B3196"/>
  <c r="D3195"/>
  <c r="B3195"/>
  <c r="B3194"/>
  <c r="D3194" s="1"/>
  <c r="D3193"/>
  <c r="B3193"/>
  <c r="D3192"/>
  <c r="B3192"/>
  <c r="B3191"/>
  <c r="D3191" s="1"/>
  <c r="B3190"/>
  <c r="D3190" s="1"/>
  <c r="D3189"/>
  <c r="B3189"/>
  <c r="B3188"/>
  <c r="D3188" s="1"/>
  <c r="D3187"/>
  <c r="B3187"/>
  <c r="B3186"/>
  <c r="D3186" s="1"/>
  <c r="D3185"/>
  <c r="B3185"/>
  <c r="D3184"/>
  <c r="B3184"/>
  <c r="D3183"/>
  <c r="B3183"/>
  <c r="B3182"/>
  <c r="D3182" s="1"/>
  <c r="D3181"/>
  <c r="B3181"/>
  <c r="D3180"/>
  <c r="B3180"/>
  <c r="D3179"/>
  <c r="B3179"/>
  <c r="B3178"/>
  <c r="D3178" s="1"/>
  <c r="D3177"/>
  <c r="B3177"/>
  <c r="D3176"/>
  <c r="B3176"/>
  <c r="B3175"/>
  <c r="D3175" s="1"/>
  <c r="B3174"/>
  <c r="D3174" s="1"/>
  <c r="D3173"/>
  <c r="B3173"/>
  <c r="D3172"/>
  <c r="B3172"/>
  <c r="D3171"/>
  <c r="B3171"/>
  <c r="B3170"/>
  <c r="D3170" s="1"/>
  <c r="D3169"/>
  <c r="B3169"/>
  <c r="D3168"/>
  <c r="B3168"/>
  <c r="D3167"/>
  <c r="B3167"/>
  <c r="B3166"/>
  <c r="D3166" s="1"/>
  <c r="D3165"/>
  <c r="B3165"/>
  <c r="B3164"/>
  <c r="D3164" s="1"/>
  <c r="D3163"/>
  <c r="B3163"/>
  <c r="B3162"/>
  <c r="D3162" s="1"/>
  <c r="D3161"/>
  <c r="B3161"/>
  <c r="D3160"/>
  <c r="B3160"/>
  <c r="B3159"/>
  <c r="D3159" s="1"/>
  <c r="B3158"/>
  <c r="D3158" s="1"/>
  <c r="D3157"/>
  <c r="B3157"/>
  <c r="D3156"/>
  <c r="B3156"/>
  <c r="D3155"/>
  <c r="B3155"/>
  <c r="B3154"/>
  <c r="D3154" s="1"/>
  <c r="D3153"/>
  <c r="B3153"/>
  <c r="D3152"/>
  <c r="B3152"/>
  <c r="D3151"/>
  <c r="B3151"/>
  <c r="B3150"/>
  <c r="D3150" s="1"/>
  <c r="D3149"/>
  <c r="B3149"/>
  <c r="B3148"/>
  <c r="D3148" s="1"/>
  <c r="D3147"/>
  <c r="B3147"/>
  <c r="B3146"/>
  <c r="D3146" s="1"/>
  <c r="D3145"/>
  <c r="B3145"/>
  <c r="D3144"/>
  <c r="B3144"/>
  <c r="B3143"/>
  <c r="D3143" s="1"/>
  <c r="B3142"/>
  <c r="D3142" s="1"/>
  <c r="D3141"/>
  <c r="B3141"/>
  <c r="D3140"/>
  <c r="B3140"/>
  <c r="D3139"/>
  <c r="B3139"/>
  <c r="B3138"/>
  <c r="D3138" s="1"/>
  <c r="D3137"/>
  <c r="B3137"/>
  <c r="D3136"/>
  <c r="B3136"/>
  <c r="D3135"/>
  <c r="B3135"/>
  <c r="B3134"/>
  <c r="D3134" s="1"/>
  <c r="D3133"/>
  <c r="B3133"/>
  <c r="B3132"/>
  <c r="D3132" s="1"/>
  <c r="D3131"/>
  <c r="B3131"/>
  <c r="B3130"/>
  <c r="D3130" s="1"/>
  <c r="D3129"/>
  <c r="B3129"/>
  <c r="D3128"/>
  <c r="B3128"/>
  <c r="E3127"/>
  <c r="D3127"/>
  <c r="B3127"/>
  <c r="B3126"/>
  <c r="D3125"/>
  <c r="B3125"/>
  <c r="B3124"/>
  <c r="D3124" s="1"/>
  <c r="B3123"/>
  <c r="B3122"/>
  <c r="D3122" s="1"/>
  <c r="D3121"/>
  <c r="B3121"/>
  <c r="B3120"/>
  <c r="D3120" s="1"/>
  <c r="D3119"/>
  <c r="B3119"/>
  <c r="B3118"/>
  <c r="D3117"/>
  <c r="B3117"/>
  <c r="B3116"/>
  <c r="D3116" s="1"/>
  <c r="B3115"/>
  <c r="B3114"/>
  <c r="D3114" s="1"/>
  <c r="D3113"/>
  <c r="B3113"/>
  <c r="B3112"/>
  <c r="D3112" s="1"/>
  <c r="D3111"/>
  <c r="B3111"/>
  <c r="B3110"/>
  <c r="D3109"/>
  <c r="B3109"/>
  <c r="B3108"/>
  <c r="D3108" s="1"/>
  <c r="B3107"/>
  <c r="B3106"/>
  <c r="D3106" s="1"/>
  <c r="D3105"/>
  <c r="B3105"/>
  <c r="B3104"/>
  <c r="D3104" s="1"/>
  <c r="D3103"/>
  <c r="B3103"/>
  <c r="B3102"/>
  <c r="D3101"/>
  <c r="B3101"/>
  <c r="B3100"/>
  <c r="D3100" s="1"/>
  <c r="B3099"/>
  <c r="B3098"/>
  <c r="D3098" s="1"/>
  <c r="D3097"/>
  <c r="B3097"/>
  <c r="B3096"/>
  <c r="D3096" s="1"/>
  <c r="D3095"/>
  <c r="B3095"/>
  <c r="B3094"/>
  <c r="D3093"/>
  <c r="B3093"/>
  <c r="B3092"/>
  <c r="D3092" s="1"/>
  <c r="B3091"/>
  <c r="B3090"/>
  <c r="D3090" s="1"/>
  <c r="D3089"/>
  <c r="B3089"/>
  <c r="B3088"/>
  <c r="D3088" s="1"/>
  <c r="D3087"/>
  <c r="B3087"/>
  <c r="B3086"/>
  <c r="D3085"/>
  <c r="B3085"/>
  <c r="B3084"/>
  <c r="D3084" s="1"/>
  <c r="B3083"/>
  <c r="B3082"/>
  <c r="D3082" s="1"/>
  <c r="D3081"/>
  <c r="B3081"/>
  <c r="B3080"/>
  <c r="D3080" s="1"/>
  <c r="D3079"/>
  <c r="B3079"/>
  <c r="E3078"/>
  <c r="D3078"/>
  <c r="B3078"/>
  <c r="B3077"/>
  <c r="D3076"/>
  <c r="F3075"/>
  <c r="F3076" s="1"/>
  <c r="D3075"/>
  <c r="B3074"/>
  <c r="D3074" s="1"/>
  <c r="B3073"/>
  <c r="B3072"/>
  <c r="D3072" s="1"/>
  <c r="D3071"/>
  <c r="B3071"/>
  <c r="B3070"/>
  <c r="D3070" s="1"/>
  <c r="D3069"/>
  <c r="B3069"/>
  <c r="B3068"/>
  <c r="D3067"/>
  <c r="B3067"/>
  <c r="B3066"/>
  <c r="D3066" s="1"/>
  <c r="B3065"/>
  <c r="B3064"/>
  <c r="D3064" s="1"/>
  <c r="D3063"/>
  <c r="B3063"/>
  <c r="B3062"/>
  <c r="D3062" s="1"/>
  <c r="D3061"/>
  <c r="B3061"/>
  <c r="B3060"/>
  <c r="D3059"/>
  <c r="B3059"/>
  <c r="B3058"/>
  <c r="D3058" s="1"/>
  <c r="B3057"/>
  <c r="B3056"/>
  <c r="D3056" s="1"/>
  <c r="D3055"/>
  <c r="B3055"/>
  <c r="B3054"/>
  <c r="D3054" s="1"/>
  <c r="D3053"/>
  <c r="B3053"/>
  <c r="B3052"/>
  <c r="D3051"/>
  <c r="B3051"/>
  <c r="B3050"/>
  <c r="D3050" s="1"/>
  <c r="B3049"/>
  <c r="B3048"/>
  <c r="D3048" s="1"/>
  <c r="D3047"/>
  <c r="B3047"/>
  <c r="B3046"/>
  <c r="D3046" s="1"/>
  <c r="D3045"/>
  <c r="B3045"/>
  <c r="B3044"/>
  <c r="D3043"/>
  <c r="B3043"/>
  <c r="B3042"/>
  <c r="D3042" s="1"/>
  <c r="B3041"/>
  <c r="B3040"/>
  <c r="D3040" s="1"/>
  <c r="D3039"/>
  <c r="B3039"/>
  <c r="B3038"/>
  <c r="D3038" s="1"/>
  <c r="D3037"/>
  <c r="B3037"/>
  <c r="B3036"/>
  <c r="D3035"/>
  <c r="B3035"/>
  <c r="B3034"/>
  <c r="D3034" s="1"/>
  <c r="B3033"/>
  <c r="B3032"/>
  <c r="D3032" s="1"/>
  <c r="D3031"/>
  <c r="B3031"/>
  <c r="B3030"/>
  <c r="D3030" s="1"/>
  <c r="D3029"/>
  <c r="B3029"/>
  <c r="B3028"/>
  <c r="D3027"/>
  <c r="B3027"/>
  <c r="B3026"/>
  <c r="D3026" s="1"/>
  <c r="B3025"/>
  <c r="B3024"/>
  <c r="D3024" s="1"/>
  <c r="D3023"/>
  <c r="B3023"/>
  <c r="B3022"/>
  <c r="D3022" s="1"/>
  <c r="D3021"/>
  <c r="B3021"/>
  <c r="B3020"/>
  <c r="D3019"/>
  <c r="B3019"/>
  <c r="B3018"/>
  <c r="D3018" s="1"/>
  <c r="B3017"/>
  <c r="B3016"/>
  <c r="D3016" s="1"/>
  <c r="D3015"/>
  <c r="B3015"/>
  <c r="B3014"/>
  <c r="D3014" s="1"/>
  <c r="D3013"/>
  <c r="B3013"/>
  <c r="B3012"/>
  <c r="D3011"/>
  <c r="B3011"/>
  <c r="B3010"/>
  <c r="D3010" s="1"/>
  <c r="B3009"/>
  <c r="B3008"/>
  <c r="D3008" s="1"/>
  <c r="D3007"/>
  <c r="B3007"/>
  <c r="B3006"/>
  <c r="D3006" s="1"/>
  <c r="D3005"/>
  <c r="B3005"/>
  <c r="B3004"/>
  <c r="D3003"/>
  <c r="B3003"/>
  <c r="B3002"/>
  <c r="D3002" s="1"/>
  <c r="B3001"/>
  <c r="B3000"/>
  <c r="D3000" s="1"/>
  <c r="D2999"/>
  <c r="B2999"/>
  <c r="B2998"/>
  <c r="D2998" s="1"/>
  <c r="D2997"/>
  <c r="B2997"/>
  <c r="B2996"/>
  <c r="D2995"/>
  <c r="B2995"/>
  <c r="B2994"/>
  <c r="D2994" s="1"/>
  <c r="B2993"/>
  <c r="B2992"/>
  <c r="D2992" s="1"/>
  <c r="D2991"/>
  <c r="B2991"/>
  <c r="B2990"/>
  <c r="D2990" s="1"/>
  <c r="D2989"/>
  <c r="B2989"/>
  <c r="B2988"/>
  <c r="D2987"/>
  <c r="B2987"/>
  <c r="B2986"/>
  <c r="D2986" s="1"/>
  <c r="B2985"/>
  <c r="B2984"/>
  <c r="D2984" s="1"/>
  <c r="D2983"/>
  <c r="B2983"/>
  <c r="B2982"/>
  <c r="D2982" s="1"/>
  <c r="D2981"/>
  <c r="B2981"/>
  <c r="B2980"/>
  <c r="D2979"/>
  <c r="B2979"/>
  <c r="B2978"/>
  <c r="D2978" s="1"/>
  <c r="B2977"/>
  <c r="B2976"/>
  <c r="D2976" s="1"/>
  <c r="D2975"/>
  <c r="B2975"/>
  <c r="B2974"/>
  <c r="D2974" s="1"/>
  <c r="D2973"/>
  <c r="B2973"/>
  <c r="B2972"/>
  <c r="D2971"/>
  <c r="B2971"/>
  <c r="B2970"/>
  <c r="D2970" s="1"/>
  <c r="B2969"/>
  <c r="B2968"/>
  <c r="D2968" s="1"/>
  <c r="D2967"/>
  <c r="B2967"/>
  <c r="B2966"/>
  <c r="D2966" s="1"/>
  <c r="D2965"/>
  <c r="B2965"/>
  <c r="B2964"/>
  <c r="D2963"/>
  <c r="B2963"/>
  <c r="B2962"/>
  <c r="D2962" s="1"/>
  <c r="B2961"/>
  <c r="B2960"/>
  <c r="D2960" s="1"/>
  <c r="D2959"/>
  <c r="B2959"/>
  <c r="B2958"/>
  <c r="D2958" s="1"/>
  <c r="D2957"/>
  <c r="B2957"/>
  <c r="B2956"/>
  <c r="D2955"/>
  <c r="B2955"/>
  <c r="B2954"/>
  <c r="D2954" s="1"/>
  <c r="B2953"/>
  <c r="B2952"/>
  <c r="D2952" s="1"/>
  <c r="D2951"/>
  <c r="B2951"/>
  <c r="B2950"/>
  <c r="D2950" s="1"/>
  <c r="D2949"/>
  <c r="B2949"/>
  <c r="B2948"/>
  <c r="D2947"/>
  <c r="B2947"/>
  <c r="B2946"/>
  <c r="D2946" s="1"/>
  <c r="B2945"/>
  <c r="B2944"/>
  <c r="D2944" s="1"/>
  <c r="D2943"/>
  <c r="B2943"/>
  <c r="B2942"/>
  <c r="D2942" s="1"/>
  <c r="D2941"/>
  <c r="B2941"/>
  <c r="B2940"/>
  <c r="D2939"/>
  <c r="B2939"/>
  <c r="B2938"/>
  <c r="D2938" s="1"/>
  <c r="B2937"/>
  <c r="D2937" s="1"/>
  <c r="B2936"/>
  <c r="D2936" s="1"/>
  <c r="D2935"/>
  <c r="B2935"/>
  <c r="B2934"/>
  <c r="D2934" s="1"/>
  <c r="B2933"/>
  <c r="D2933" s="1"/>
  <c r="B2932"/>
  <c r="D2932" s="1"/>
  <c r="D2931"/>
  <c r="B2931"/>
  <c r="B2930"/>
  <c r="D2930" s="1"/>
  <c r="B2929"/>
  <c r="D2929" s="1"/>
  <c r="B2928"/>
  <c r="D2928" s="1"/>
  <c r="D2927"/>
  <c r="B2927"/>
  <c r="B2926"/>
  <c r="D2926" s="1"/>
  <c r="B2925"/>
  <c r="D2925" s="1"/>
  <c r="B2924"/>
  <c r="D2924" s="1"/>
  <c r="D2923"/>
  <c r="B2923"/>
  <c r="B2922"/>
  <c r="D2922" s="1"/>
  <c r="B2921"/>
  <c r="D2921" s="1"/>
  <c r="B2920"/>
  <c r="D2920" s="1"/>
  <c r="D2919"/>
  <c r="B2919"/>
  <c r="B2918"/>
  <c r="D2918" s="1"/>
  <c r="B2917"/>
  <c r="D2917" s="1"/>
  <c r="B2916"/>
  <c r="D2916" s="1"/>
  <c r="D2915"/>
  <c r="B2915"/>
  <c r="B2914"/>
  <c r="D2914" s="1"/>
  <c r="B2913"/>
  <c r="D2913" s="1"/>
  <c r="D2912"/>
  <c r="B2912"/>
  <c r="B2911"/>
  <c r="D2911" s="1"/>
  <c r="D2910"/>
  <c r="B2910"/>
  <c r="B2909"/>
  <c r="D2909" s="1"/>
  <c r="D2908"/>
  <c r="B2908"/>
  <c r="B2907"/>
  <c r="D2907" s="1"/>
  <c r="D2906"/>
  <c r="B2906"/>
  <c r="B2905"/>
  <c r="D2905" s="1"/>
  <c r="D2904"/>
  <c r="B2904"/>
  <c r="B2903"/>
  <c r="D2903" s="1"/>
  <c r="D2902"/>
  <c r="B2902"/>
  <c r="B2901"/>
  <c r="D2901" s="1"/>
  <c r="D2900"/>
  <c r="B2900"/>
  <c r="B2899"/>
  <c r="D2899" s="1"/>
  <c r="D2898"/>
  <c r="B2898"/>
  <c r="B2897"/>
  <c r="D2897" s="1"/>
  <c r="D2896"/>
  <c r="B2896"/>
  <c r="B2895"/>
  <c r="D2895" s="1"/>
  <c r="D2894"/>
  <c r="B2894"/>
  <c r="B2893"/>
  <c r="D2893" s="1"/>
  <c r="D2892"/>
  <c r="B2892"/>
  <c r="B2891"/>
  <c r="D2891" s="1"/>
  <c r="D2890"/>
  <c r="B2890"/>
  <c r="B2889"/>
  <c r="D2889" s="1"/>
  <c r="D2888"/>
  <c r="B2888"/>
  <c r="B2887"/>
  <c r="D2887" s="1"/>
  <c r="D2886"/>
  <c r="B2886"/>
  <c r="B2885"/>
  <c r="D2885" s="1"/>
  <c r="D2884"/>
  <c r="B2884"/>
  <c r="B2883"/>
  <c r="D2883" s="1"/>
  <c r="D2882"/>
  <c r="B2882"/>
  <c r="B2881"/>
  <c r="D2881" s="1"/>
  <c r="D2880"/>
  <c r="B2880"/>
  <c r="B2879"/>
  <c r="D2879" s="1"/>
  <c r="D2878"/>
  <c r="B2878"/>
  <c r="B2877"/>
  <c r="D2877" s="1"/>
  <c r="D2876"/>
  <c r="B2876"/>
  <c r="B2875"/>
  <c r="D2875" s="1"/>
  <c r="D2874"/>
  <c r="B2874"/>
  <c r="B2873"/>
  <c r="D2873" s="1"/>
  <c r="D2872"/>
  <c r="B2872"/>
  <c r="B2871"/>
  <c r="D2871" s="1"/>
  <c r="D2870"/>
  <c r="B2870"/>
  <c r="B2869"/>
  <c r="D2868"/>
  <c r="B2868"/>
  <c r="B2867"/>
  <c r="D2867" s="1"/>
  <c r="D2866"/>
  <c r="B2866"/>
  <c r="B2865"/>
  <c r="D2864"/>
  <c r="B2864"/>
  <c r="B2863"/>
  <c r="D2863" s="1"/>
  <c r="D2862"/>
  <c r="B2862"/>
  <c r="B2861"/>
  <c r="D2860"/>
  <c r="B2860"/>
  <c r="B2859"/>
  <c r="D2859" s="1"/>
  <c r="D2858"/>
  <c r="B2858"/>
  <c r="B2857"/>
  <c r="D2856"/>
  <c r="B2856"/>
  <c r="B2855"/>
  <c r="D2855" s="1"/>
  <c r="D2854"/>
  <c r="B2854"/>
  <c r="B2853"/>
  <c r="D2852"/>
  <c r="B2852"/>
  <c r="B2851"/>
  <c r="D2851" s="1"/>
  <c r="D2850"/>
  <c r="B2850"/>
  <c r="B2849"/>
  <c r="D2848"/>
  <c r="B2848"/>
  <c r="B2847"/>
  <c r="D2847" s="1"/>
  <c r="D2846"/>
  <c r="B2846"/>
  <c r="B2845"/>
  <c r="D2844"/>
  <c r="B2844"/>
  <c r="B2843"/>
  <c r="D2843" s="1"/>
  <c r="D2842"/>
  <c r="B2842"/>
  <c r="B2841"/>
  <c r="D2840"/>
  <c r="B2840"/>
  <c r="B2839"/>
  <c r="D2839" s="1"/>
  <c r="D2838"/>
  <c r="B2838"/>
  <c r="B2837"/>
  <c r="D2836"/>
  <c r="B2836"/>
  <c r="B2835"/>
  <c r="D2835" s="1"/>
  <c r="D2834"/>
  <c r="B2834"/>
  <c r="B2833"/>
  <c r="D2832"/>
  <c r="B2832"/>
  <c r="B2831"/>
  <c r="D2831" s="1"/>
  <c r="D2830"/>
  <c r="B2830"/>
  <c r="B2829"/>
  <c r="D2828"/>
  <c r="B2828"/>
  <c r="B2827"/>
  <c r="D2827" s="1"/>
  <c r="D2826"/>
  <c r="B2826"/>
  <c r="B2825"/>
  <c r="D2824"/>
  <c r="B2824"/>
  <c r="B2823"/>
  <c r="D2823" s="1"/>
  <c r="D2822"/>
  <c r="B2822"/>
  <c r="B2821"/>
  <c r="D2820"/>
  <c r="B2820"/>
  <c r="B2819"/>
  <c r="D2819" s="1"/>
  <c r="D2818"/>
  <c r="B2818"/>
  <c r="B2817"/>
  <c r="D2816"/>
  <c r="B2816"/>
  <c r="B2815"/>
  <c r="D2815" s="1"/>
  <c r="D2814"/>
  <c r="B2814"/>
  <c r="B2813"/>
  <c r="D2813" s="1"/>
  <c r="D2812"/>
  <c r="B2812"/>
  <c r="B2811"/>
  <c r="D2811" s="1"/>
  <c r="D2810"/>
  <c r="B2810"/>
  <c r="B2809"/>
  <c r="D2809" s="1"/>
  <c r="D2808"/>
  <c r="B2808"/>
  <c r="B2807"/>
  <c r="D2807" s="1"/>
  <c r="D2806"/>
  <c r="B2806"/>
  <c r="B2805"/>
  <c r="D2805" s="1"/>
  <c r="D2804"/>
  <c r="B2804"/>
  <c r="B2803"/>
  <c r="D2803" s="1"/>
  <c r="D2802"/>
  <c r="B2802"/>
  <c r="B2801"/>
  <c r="D2801" s="1"/>
  <c r="D2800"/>
  <c r="B2800"/>
  <c r="B2799"/>
  <c r="D2799" s="1"/>
  <c r="D2798"/>
  <c r="B2798"/>
  <c r="B2797"/>
  <c r="D2797" s="1"/>
  <c r="D2796"/>
  <c r="B2796"/>
  <c r="B2795"/>
  <c r="D2795" s="1"/>
  <c r="D2794"/>
  <c r="B2794"/>
  <c r="B2793"/>
  <c r="D2793" s="1"/>
  <c r="D2792"/>
  <c r="B2792"/>
  <c r="B2791"/>
  <c r="D2791" s="1"/>
  <c r="D2790"/>
  <c r="B2790"/>
  <c r="B2789"/>
  <c r="D2789" s="1"/>
  <c r="D2788"/>
  <c r="B2788"/>
  <c r="B2787"/>
  <c r="D2787" s="1"/>
  <c r="D2786"/>
  <c r="B2786"/>
  <c r="B2785"/>
  <c r="D2785" s="1"/>
  <c r="E2784"/>
  <c r="D2784"/>
  <c r="B2784"/>
  <c r="B2783"/>
  <c r="D2783" s="1"/>
  <c r="D2782"/>
  <c r="B2782"/>
  <c r="B2781"/>
  <c r="D2781" s="1"/>
  <c r="D2780"/>
  <c r="B2780"/>
  <c r="B2779"/>
  <c r="D2779" s="1"/>
  <c r="D2778"/>
  <c r="B2778"/>
  <c r="B2777"/>
  <c r="D2777" s="1"/>
  <c r="D2776"/>
  <c r="B2776"/>
  <c r="B2775"/>
  <c r="D2775" s="1"/>
  <c r="D2774"/>
  <c r="B2774"/>
  <c r="B2773"/>
  <c r="D2773" s="1"/>
  <c r="D2772"/>
  <c r="B2772"/>
  <c r="B2771"/>
  <c r="D2771" s="1"/>
  <c r="D2770"/>
  <c r="B2770"/>
  <c r="B2769"/>
  <c r="D2769" s="1"/>
  <c r="D2768"/>
  <c r="B2768"/>
  <c r="B2767"/>
  <c r="D2767" s="1"/>
  <c r="D2766"/>
  <c r="B2766"/>
  <c r="B2765"/>
  <c r="D2765" s="1"/>
  <c r="D2764"/>
  <c r="B2764"/>
  <c r="B2763"/>
  <c r="D2763" s="1"/>
  <c r="D2762"/>
  <c r="B2762"/>
  <c r="B2761"/>
  <c r="D2761" s="1"/>
  <c r="D2760"/>
  <c r="B2760"/>
  <c r="B2759"/>
  <c r="D2759" s="1"/>
  <c r="D2758"/>
  <c r="B2758"/>
  <c r="B2757"/>
  <c r="D2757" s="1"/>
  <c r="D2756"/>
  <c r="B2756"/>
  <c r="B2755"/>
  <c r="D2755" s="1"/>
  <c r="D2754"/>
  <c r="B2754"/>
  <c r="B2753"/>
  <c r="D2753" s="1"/>
  <c r="D2752"/>
  <c r="B2752"/>
  <c r="B2751"/>
  <c r="D2751" s="1"/>
  <c r="D2750"/>
  <c r="B2750"/>
  <c r="B2749"/>
  <c r="D2749" s="1"/>
  <c r="D2748"/>
  <c r="B2748"/>
  <c r="B2747"/>
  <c r="D2747" s="1"/>
  <c r="D2746"/>
  <c r="B2746"/>
  <c r="B2745"/>
  <c r="D2745" s="1"/>
  <c r="D2744"/>
  <c r="B2744"/>
  <c r="B2743"/>
  <c r="D2743" s="1"/>
  <c r="D2742"/>
  <c r="B2742"/>
  <c r="B2741"/>
  <c r="D2741" s="1"/>
  <c r="D2740"/>
  <c r="B2740"/>
  <c r="B2739"/>
  <c r="D2739" s="1"/>
  <c r="D2738"/>
  <c r="B2738"/>
  <c r="B2737"/>
  <c r="D2737" s="1"/>
  <c r="D2736"/>
  <c r="B2736"/>
  <c r="B2735"/>
  <c r="D2735" s="1"/>
  <c r="D2734"/>
  <c r="B2734"/>
  <c r="B2733"/>
  <c r="D2733" s="1"/>
  <c r="D2732"/>
  <c r="B2732"/>
  <c r="B2731"/>
  <c r="D2731" s="1"/>
  <c r="D2730"/>
  <c r="B2730"/>
  <c r="B2729"/>
  <c r="D2729" s="1"/>
  <c r="D2728"/>
  <c r="B2728"/>
  <c r="D2727"/>
  <c r="B2727"/>
  <c r="B2726"/>
  <c r="B2725"/>
  <c r="D2725" s="1"/>
  <c r="D2724"/>
  <c r="B2724"/>
  <c r="B2723"/>
  <c r="D2723" s="1"/>
  <c r="D2722"/>
  <c r="B2722"/>
  <c r="B2721"/>
  <c r="D2721" s="1"/>
  <c r="D2720"/>
  <c r="B2720"/>
  <c r="D2719"/>
  <c r="B2719"/>
  <c r="B2718"/>
  <c r="B2717"/>
  <c r="D2717" s="1"/>
  <c r="D2716"/>
  <c r="B2716"/>
  <c r="B2715"/>
  <c r="D2715" s="1"/>
  <c r="D2714"/>
  <c r="B2714"/>
  <c r="B2713"/>
  <c r="D2713" s="1"/>
  <c r="D2712"/>
  <c r="B2712"/>
  <c r="D2711"/>
  <c r="B2711"/>
  <c r="B2710"/>
  <c r="B2709"/>
  <c r="D2709" s="1"/>
  <c r="D2708"/>
  <c r="B2708"/>
  <c r="B2707"/>
  <c r="D2707" s="1"/>
  <c r="D2706"/>
  <c r="B2706"/>
  <c r="B2705"/>
  <c r="D2705" s="1"/>
  <c r="D2704"/>
  <c r="B2704"/>
  <c r="D2703"/>
  <c r="B2703"/>
  <c r="B2702"/>
  <c r="E2701"/>
  <c r="D2701"/>
  <c r="B2701"/>
  <c r="F2700"/>
  <c r="D2700"/>
  <c r="D2699"/>
  <c r="B2699"/>
  <c r="B2698"/>
  <c r="D2698" s="1"/>
  <c r="D2697"/>
  <c r="B2697"/>
  <c r="D2696"/>
  <c r="B2696"/>
  <c r="D2695"/>
  <c r="B2695"/>
  <c r="B2694"/>
  <c r="D2694" s="1"/>
  <c r="D2693"/>
  <c r="B2693"/>
  <c r="D2692"/>
  <c r="B2692"/>
  <c r="D2691"/>
  <c r="B2691"/>
  <c r="B2690"/>
  <c r="D2690" s="1"/>
  <c r="D2689"/>
  <c r="B2689"/>
  <c r="D2688"/>
  <c r="B2688"/>
  <c r="D2687"/>
  <c r="B2687"/>
  <c r="B2686"/>
  <c r="D2686" s="1"/>
  <c r="D2685"/>
  <c r="B2685"/>
  <c r="D2684"/>
  <c r="B2684"/>
  <c r="D2683"/>
  <c r="B2683"/>
  <c r="B2682"/>
  <c r="D2682" s="1"/>
  <c r="D2681"/>
  <c r="B2681"/>
  <c r="D2680"/>
  <c r="B2680"/>
  <c r="D2679"/>
  <c r="B2679"/>
  <c r="B2678"/>
  <c r="D2678" s="1"/>
  <c r="D2677"/>
  <c r="B2677"/>
  <c r="D2676"/>
  <c r="B2676"/>
  <c r="D2675"/>
  <c r="B2675"/>
  <c r="B2674"/>
  <c r="D2674" s="1"/>
  <c r="D2673"/>
  <c r="B2673"/>
  <c r="D2672"/>
  <c r="B2672"/>
  <c r="D2671"/>
  <c r="B2671"/>
  <c r="B2670"/>
  <c r="D2670" s="1"/>
  <c r="D2669"/>
  <c r="B2669"/>
  <c r="D2668"/>
  <c r="B2668"/>
  <c r="D2667"/>
  <c r="B2667"/>
  <c r="B2666"/>
  <c r="D2666" s="1"/>
  <c r="D2665"/>
  <c r="B2665"/>
  <c r="D2664"/>
  <c r="B2664"/>
  <c r="D2663"/>
  <c r="B2663"/>
  <c r="B2662"/>
  <c r="D2662" s="1"/>
  <c r="D2661"/>
  <c r="B2661"/>
  <c r="D2660"/>
  <c r="B2660"/>
  <c r="D2659"/>
  <c r="B2659"/>
  <c r="B2658"/>
  <c r="D2658" s="1"/>
  <c r="D2657"/>
  <c r="B2657"/>
  <c r="D2656"/>
  <c r="B2656"/>
  <c r="D2655"/>
  <c r="B2655"/>
  <c r="B2654"/>
  <c r="D2654" s="1"/>
  <c r="D2653"/>
  <c r="B2653"/>
  <c r="D2652"/>
  <c r="B2652"/>
  <c r="D2651"/>
  <c r="B2651"/>
  <c r="B2650"/>
  <c r="D2650" s="1"/>
  <c r="D2649"/>
  <c r="B2649"/>
  <c r="D2648"/>
  <c r="B2648"/>
  <c r="D2647"/>
  <c r="B2647"/>
  <c r="B2646"/>
  <c r="D2646" s="1"/>
  <c r="D2645"/>
  <c r="B2645"/>
  <c r="D2644"/>
  <c r="B2644"/>
  <c r="D2643"/>
  <c r="B2643"/>
  <c r="B2642"/>
  <c r="D2642" s="1"/>
  <c r="D2641"/>
  <c r="B2641"/>
  <c r="D2640"/>
  <c r="B2640"/>
  <c r="D2639"/>
  <c r="B2639"/>
  <c r="B2638"/>
  <c r="D2638" s="1"/>
  <c r="D2637"/>
  <c r="B2637"/>
  <c r="D2636"/>
  <c r="B2636"/>
  <c r="D2635"/>
  <c r="B2635"/>
  <c r="B2634"/>
  <c r="D2634" s="1"/>
  <c r="D2633"/>
  <c r="B2633"/>
  <c r="D2632"/>
  <c r="B2632"/>
  <c r="D2631"/>
  <c r="B2631"/>
  <c r="B2630"/>
  <c r="D2630" s="1"/>
  <c r="D2629"/>
  <c r="B2629"/>
  <c r="D2628"/>
  <c r="B2628"/>
  <c r="D2627"/>
  <c r="B2627"/>
  <c r="B2626"/>
  <c r="D2626" s="1"/>
  <c r="D2625"/>
  <c r="B2625"/>
  <c r="D2624"/>
  <c r="B2624"/>
  <c r="D2623"/>
  <c r="B2623"/>
  <c r="B2622"/>
  <c r="D2622" s="1"/>
  <c r="D2621"/>
  <c r="B2621"/>
  <c r="D2620"/>
  <c r="B2620"/>
  <c r="D2619"/>
  <c r="B2619"/>
  <c r="B2618"/>
  <c r="D2618" s="1"/>
  <c r="D2617"/>
  <c r="B2617"/>
  <c r="D2616"/>
  <c r="B2616"/>
  <c r="D2615"/>
  <c r="B2615"/>
  <c r="B2614"/>
  <c r="D2614" s="1"/>
  <c r="D2613"/>
  <c r="B2613"/>
  <c r="D2612"/>
  <c r="B2612"/>
  <c r="D2611"/>
  <c r="B2611"/>
  <c r="B2610"/>
  <c r="D2610" s="1"/>
  <c r="D2609"/>
  <c r="B2609"/>
  <c r="D2608"/>
  <c r="B2608"/>
  <c r="D2607"/>
  <c r="B2607"/>
  <c r="B2606"/>
  <c r="D2606" s="1"/>
  <c r="D2605"/>
  <c r="B2605"/>
  <c r="D2604"/>
  <c r="B2604"/>
  <c r="D2603"/>
  <c r="B2603"/>
  <c r="B2602"/>
  <c r="D2602" s="1"/>
  <c r="D2601"/>
  <c r="B2601"/>
  <c r="D2600"/>
  <c r="B2600"/>
  <c r="D2599"/>
  <c r="B2599"/>
  <c r="B2598"/>
  <c r="D2598" s="1"/>
  <c r="D2597"/>
  <c r="B2597"/>
  <c r="D2596"/>
  <c r="B2596"/>
  <c r="D2595"/>
  <c r="B2595"/>
  <c r="B2594"/>
  <c r="D2594" s="1"/>
  <c r="D2593"/>
  <c r="B2593"/>
  <c r="D2592"/>
  <c r="B2592"/>
  <c r="D2591"/>
  <c r="B2591"/>
  <c r="B2590"/>
  <c r="D2590" s="1"/>
  <c r="D2589"/>
  <c r="B2589"/>
  <c r="D2588"/>
  <c r="B2588"/>
  <c r="D2587"/>
  <c r="B2587"/>
  <c r="B2586"/>
  <c r="D2586" s="1"/>
  <c r="D2585"/>
  <c r="B2585"/>
  <c r="D2584"/>
  <c r="B2584"/>
  <c r="D2583"/>
  <c r="B2583"/>
  <c r="B2582"/>
  <c r="D2582" s="1"/>
  <c r="D2581"/>
  <c r="B2581"/>
  <c r="D2580"/>
  <c r="B2580"/>
  <c r="D2579"/>
  <c r="B2579"/>
  <c r="B2578"/>
  <c r="D2578" s="1"/>
  <c r="D2577"/>
  <c r="B2577"/>
  <c r="D2576"/>
  <c r="B2576"/>
  <c r="D2575"/>
  <c r="B2575"/>
  <c r="B2574"/>
  <c r="D2574" s="1"/>
  <c r="D2573"/>
  <c r="B2573"/>
  <c r="D2572"/>
  <c r="B2572"/>
  <c r="D2571"/>
  <c r="B2571"/>
  <c r="B2570"/>
  <c r="D2570" s="1"/>
  <c r="D2569"/>
  <c r="B2569"/>
  <c r="D2568"/>
  <c r="B2568"/>
  <c r="D2567"/>
  <c r="B2567"/>
  <c r="B2566"/>
  <c r="D2566" s="1"/>
  <c r="D2565"/>
  <c r="B2565"/>
  <c r="D2564"/>
  <c r="B2564"/>
  <c r="D2563"/>
  <c r="B2563"/>
  <c r="B2562"/>
  <c r="D2562" s="1"/>
  <c r="D2561"/>
  <c r="B2561"/>
  <c r="D2560"/>
  <c r="B2560"/>
  <c r="D2559"/>
  <c r="B2559"/>
  <c r="B2558"/>
  <c r="D2558" s="1"/>
  <c r="D2557"/>
  <c r="B2557"/>
  <c r="D2556"/>
  <c r="B2556"/>
  <c r="D2555"/>
  <c r="B2555"/>
  <c r="B2554"/>
  <c r="D2554" s="1"/>
  <c r="D2553"/>
  <c r="B2553"/>
  <c r="D2552"/>
  <c r="B2552"/>
  <c r="D2551"/>
  <c r="B2551"/>
  <c r="B2550"/>
  <c r="D2550" s="1"/>
  <c r="D2549"/>
  <c r="B2549"/>
  <c r="D2548"/>
  <c r="B2548"/>
  <c r="D2547"/>
  <c r="B2547"/>
  <c r="B2546"/>
  <c r="D2546" s="1"/>
  <c r="D2545"/>
  <c r="B2545"/>
  <c r="D2544"/>
  <c r="B2544"/>
  <c r="D2543"/>
  <c r="B2543"/>
  <c r="B2542"/>
  <c r="D2542" s="1"/>
  <c r="D2541"/>
  <c r="B2541"/>
  <c r="D2540"/>
  <c r="B2540"/>
  <c r="D2539"/>
  <c r="B2539"/>
  <c r="B2538"/>
  <c r="D2538" s="1"/>
  <c r="D2537"/>
  <c r="B2537"/>
  <c r="D2536"/>
  <c r="B2536"/>
  <c r="D2535"/>
  <c r="B2535"/>
  <c r="B2534"/>
  <c r="D2534" s="1"/>
  <c r="D2533"/>
  <c r="B2533"/>
  <c r="D2532"/>
  <c r="B2532"/>
  <c r="D2531"/>
  <c r="B2531"/>
  <c r="B2530"/>
  <c r="D2530" s="1"/>
  <c r="D2529"/>
  <c r="B2529"/>
  <c r="D2528"/>
  <c r="B2528"/>
  <c r="D2527"/>
  <c r="B2527"/>
  <c r="B2526"/>
  <c r="D2526" s="1"/>
  <c r="D2525"/>
  <c r="B2525"/>
  <c r="D2524"/>
  <c r="B2524"/>
  <c r="D2523"/>
  <c r="B2523"/>
  <c r="B2522"/>
  <c r="D2522" s="1"/>
  <c r="D2521"/>
  <c r="B2521"/>
  <c r="D2520"/>
  <c r="B2520"/>
  <c r="D2519"/>
  <c r="B2519"/>
  <c r="B2518"/>
  <c r="D2518" s="1"/>
  <c r="D2517"/>
  <c r="B2517"/>
  <c r="D2516"/>
  <c r="B2516"/>
  <c r="D2515"/>
  <c r="B2515"/>
  <c r="B2514"/>
  <c r="D2514" s="1"/>
  <c r="D2513"/>
  <c r="B2513"/>
  <c r="D2512"/>
  <c r="B2512"/>
  <c r="D2511"/>
  <c r="B2511"/>
  <c r="B2510"/>
  <c r="D2510" s="1"/>
  <c r="D2509"/>
  <c r="B2509"/>
  <c r="D2508"/>
  <c r="B2508"/>
  <c r="D2507"/>
  <c r="B2507"/>
  <c r="B2506"/>
  <c r="D2506" s="1"/>
  <c r="D2505"/>
  <c r="B2505"/>
  <c r="D2504"/>
  <c r="B2504"/>
  <c r="D2503"/>
  <c r="B2503"/>
  <c r="B2502"/>
  <c r="D2502" s="1"/>
  <c r="D2501"/>
  <c r="B2501"/>
  <c r="E2500"/>
  <c r="D2500"/>
  <c r="B2500"/>
  <c r="D2499"/>
  <c r="B2499"/>
  <c r="B2498"/>
  <c r="D2498" s="1"/>
  <c r="D2497"/>
  <c r="B2497"/>
  <c r="D2496"/>
  <c r="B2496"/>
  <c r="D2495"/>
  <c r="B2495"/>
  <c r="B2494"/>
  <c r="D2494" s="1"/>
  <c r="D2493"/>
  <c r="B2493"/>
  <c r="D2492"/>
  <c r="B2492"/>
  <c r="D2491"/>
  <c r="B2491"/>
  <c r="B2490"/>
  <c r="D2490" s="1"/>
  <c r="D2489"/>
  <c r="B2489"/>
  <c r="D2488"/>
  <c r="B2488"/>
  <c r="D2487"/>
  <c r="B2487"/>
  <c r="B2486"/>
  <c r="D2486" s="1"/>
  <c r="D2485"/>
  <c r="B2485"/>
  <c r="D2484"/>
  <c r="B2484"/>
  <c r="D2483"/>
  <c r="B2483"/>
  <c r="B2482"/>
  <c r="D2482" s="1"/>
  <c r="D2481"/>
  <c r="B2481"/>
  <c r="D2480"/>
  <c r="B2480"/>
  <c r="D2479"/>
  <c r="B2479"/>
  <c r="B2478"/>
  <c r="D2478" s="1"/>
  <c r="D2477"/>
  <c r="B2477"/>
  <c r="D2476"/>
  <c r="B2476"/>
  <c r="D2475"/>
  <c r="B2475"/>
  <c r="B2474"/>
  <c r="D2474" s="1"/>
  <c r="D2473"/>
  <c r="B2473"/>
  <c r="D2472"/>
  <c r="B2472"/>
  <c r="D2471"/>
  <c r="B2471"/>
  <c r="B2470"/>
  <c r="D2470" s="1"/>
  <c r="D2469"/>
  <c r="B2469"/>
  <c r="D2468"/>
  <c r="B2468"/>
  <c r="D2467"/>
  <c r="B2467"/>
  <c r="B2466"/>
  <c r="D2466" s="1"/>
  <c r="D2465"/>
  <c r="B2465"/>
  <c r="D2464"/>
  <c r="B2464"/>
  <c r="D2463"/>
  <c r="B2463"/>
  <c r="B2462"/>
  <c r="D2462" s="1"/>
  <c r="D2461"/>
  <c r="B2461"/>
  <c r="D2460"/>
  <c r="B2460"/>
  <c r="D2459"/>
  <c r="B2459"/>
  <c r="B2458"/>
  <c r="D2458" s="1"/>
  <c r="D2457"/>
  <c r="B2457"/>
  <c r="D2456"/>
  <c r="B2456"/>
  <c r="D2455"/>
  <c r="B2455"/>
  <c r="B2454"/>
  <c r="D2454" s="1"/>
  <c r="D2453"/>
  <c r="B2453"/>
  <c r="D2452"/>
  <c r="B2452"/>
  <c r="D2451"/>
  <c r="B2451"/>
  <c r="B2450"/>
  <c r="D2450" s="1"/>
  <c r="D2449"/>
  <c r="B2449"/>
  <c r="D2448"/>
  <c r="B2448"/>
  <c r="E2447"/>
  <c r="D2447"/>
  <c r="B2447"/>
  <c r="B2446"/>
  <c r="D2446" s="1"/>
  <c r="D2445"/>
  <c r="B2445"/>
  <c r="D2444"/>
  <c r="B2444"/>
  <c r="B2443"/>
  <c r="B2442"/>
  <c r="D2442" s="1"/>
  <c r="D2441"/>
  <c r="B2441"/>
  <c r="B2440"/>
  <c r="D2440" s="1"/>
  <c r="D2439"/>
  <c r="B2439"/>
  <c r="B2438"/>
  <c r="D2438" s="1"/>
  <c r="D2437"/>
  <c r="B2437"/>
  <c r="D2436"/>
  <c r="B2436"/>
  <c r="B2435"/>
  <c r="B2434"/>
  <c r="D2434" s="1"/>
  <c r="D2433"/>
  <c r="B2433"/>
  <c r="B2432"/>
  <c r="D2432" s="1"/>
  <c r="D2431"/>
  <c r="B2431"/>
  <c r="B2430"/>
  <c r="D2430" s="1"/>
  <c r="D2429"/>
  <c r="B2429"/>
  <c r="D2428"/>
  <c r="B2428"/>
  <c r="B2427"/>
  <c r="B2426"/>
  <c r="D2426" s="1"/>
  <c r="D2425"/>
  <c r="B2425"/>
  <c r="B2424"/>
  <c r="D2424" s="1"/>
  <c r="D2423"/>
  <c r="B2423"/>
  <c r="B2422"/>
  <c r="D2422" s="1"/>
  <c r="D2421"/>
  <c r="B2421"/>
  <c r="D2420"/>
  <c r="B2420"/>
  <c r="B2419"/>
  <c r="B2418"/>
  <c r="D2418" s="1"/>
  <c r="D2417"/>
  <c r="B2417"/>
  <c r="B2416"/>
  <c r="D2416" s="1"/>
  <c r="D2415"/>
  <c r="B2415"/>
  <c r="B2414"/>
  <c r="D2414" s="1"/>
  <c r="D2413"/>
  <c r="B2413"/>
  <c r="D2412"/>
  <c r="B2412"/>
  <c r="B2411"/>
  <c r="B2410"/>
  <c r="D2410" s="1"/>
  <c r="D2409"/>
  <c r="B2409"/>
  <c r="B2408"/>
  <c r="D2408" s="1"/>
  <c r="D2407"/>
  <c r="B2407"/>
  <c r="B2406"/>
  <c r="D2406" s="1"/>
  <c r="D2405"/>
  <c r="B2405"/>
  <c r="D2404"/>
  <c r="B2404"/>
  <c r="B2403"/>
  <c r="B2402"/>
  <c r="D2402" s="1"/>
  <c r="D2401"/>
  <c r="B2401"/>
  <c r="B2400"/>
  <c r="D2400" s="1"/>
  <c r="D2399"/>
  <c r="B2399"/>
  <c r="B2398"/>
  <c r="D2398" s="1"/>
  <c r="D2397"/>
  <c r="B2397"/>
  <c r="D2396"/>
  <c r="B2396"/>
  <c r="B2395"/>
  <c r="B2394"/>
  <c r="D2394" s="1"/>
  <c r="D2393"/>
  <c r="B2393"/>
  <c r="B2392"/>
  <c r="D2392" s="1"/>
  <c r="D2391"/>
  <c r="B2391"/>
  <c r="B2390"/>
  <c r="D2390" s="1"/>
  <c r="D2389"/>
  <c r="B2389"/>
  <c r="D2388"/>
  <c r="B2388"/>
  <c r="B2387"/>
  <c r="B2386"/>
  <c r="D2386" s="1"/>
  <c r="D2385"/>
  <c r="B2385"/>
  <c r="B2384"/>
  <c r="D2384" s="1"/>
  <c r="D2383"/>
  <c r="B2383"/>
  <c r="B2382"/>
  <c r="D2382" s="1"/>
  <c r="D2381"/>
  <c r="B2381"/>
  <c r="D2380"/>
  <c r="B2380"/>
  <c r="B2379"/>
  <c r="B2378"/>
  <c r="D2378" s="1"/>
  <c r="D2377"/>
  <c r="B2377"/>
  <c r="B2376"/>
  <c r="D2375"/>
  <c r="B2375"/>
  <c r="B2374"/>
  <c r="D2373"/>
  <c r="B2373"/>
  <c r="D2372"/>
  <c r="B2372"/>
  <c r="B2371"/>
  <c r="B2370"/>
  <c r="D2370" s="1"/>
  <c r="D2369"/>
  <c r="B2369"/>
  <c r="B2368"/>
  <c r="E2367"/>
  <c r="D2367"/>
  <c r="B2367"/>
  <c r="B2366"/>
  <c r="D2366" s="1"/>
  <c r="D2365"/>
  <c r="B2365"/>
  <c r="D2364"/>
  <c r="B2364"/>
  <c r="D2363"/>
  <c r="B2363"/>
  <c r="B2362"/>
  <c r="D2362" s="1"/>
  <c r="D2361"/>
  <c r="B2361"/>
  <c r="D2360"/>
  <c r="B2360"/>
  <c r="D2359"/>
  <c r="B2359"/>
  <c r="B2358"/>
  <c r="D2358" s="1"/>
  <c r="D2357"/>
  <c r="B2357"/>
  <c r="D2356"/>
  <c r="B2356"/>
  <c r="D2355"/>
  <c r="B2355"/>
  <c r="B2354"/>
  <c r="D2354" s="1"/>
  <c r="D2353"/>
  <c r="B2353"/>
  <c r="D2352"/>
  <c r="B2352"/>
  <c r="D2351"/>
  <c r="B2351"/>
  <c r="B2350"/>
  <c r="D2350" s="1"/>
  <c r="D2349"/>
  <c r="B2349"/>
  <c r="D2348"/>
  <c r="B2348"/>
  <c r="D2347"/>
  <c r="B2347"/>
  <c r="B2346"/>
  <c r="D2346" s="1"/>
  <c r="D2345"/>
  <c r="B2345"/>
  <c r="D2344"/>
  <c r="B2344"/>
  <c r="D2343"/>
  <c r="B2343"/>
  <c r="B2342"/>
  <c r="D2342" s="1"/>
  <c r="D2341"/>
  <c r="B2341"/>
  <c r="D2340"/>
  <c r="B2340"/>
  <c r="D2339"/>
  <c r="B2339"/>
  <c r="B2338"/>
  <c r="D2338" s="1"/>
  <c r="D2337"/>
  <c r="B2337"/>
  <c r="D2336"/>
  <c r="B2336"/>
  <c r="D2335"/>
  <c r="B2335"/>
  <c r="B2334"/>
  <c r="D2334" s="1"/>
  <c r="D2333"/>
  <c r="B2333"/>
  <c r="D2332"/>
  <c r="B2332"/>
  <c r="D2331"/>
  <c r="B2331"/>
  <c r="B2330"/>
  <c r="D2330" s="1"/>
  <c r="D2329"/>
  <c r="B2329"/>
  <c r="D2328"/>
  <c r="B2328"/>
  <c r="D2327"/>
  <c r="B2327"/>
  <c r="B2326"/>
  <c r="D2326" s="1"/>
  <c r="D2325"/>
  <c r="B2325"/>
  <c r="D2324"/>
  <c r="B2324"/>
  <c r="D2323"/>
  <c r="B2323"/>
  <c r="B2322"/>
  <c r="D2322" s="1"/>
  <c r="D2321"/>
  <c r="B2321"/>
  <c r="D2320"/>
  <c r="B2320"/>
  <c r="D2319"/>
  <c r="B2319"/>
  <c r="B2318"/>
  <c r="D2318" s="1"/>
  <c r="D2317"/>
  <c r="B2317"/>
  <c r="D2316"/>
  <c r="B2316"/>
  <c r="D2315"/>
  <c r="B2315"/>
  <c r="B2314"/>
  <c r="D2314" s="1"/>
  <c r="D2313"/>
  <c r="B2313"/>
  <c r="D2312"/>
  <c r="B2312"/>
  <c r="D2311"/>
  <c r="B2311"/>
  <c r="B2310"/>
  <c r="D2310" s="1"/>
  <c r="D2309"/>
  <c r="B2309"/>
  <c r="D2308"/>
  <c r="B2308"/>
  <c r="D2307"/>
  <c r="B2307"/>
  <c r="B2306"/>
  <c r="D2306" s="1"/>
  <c r="D2305"/>
  <c r="B2305"/>
  <c r="D2304"/>
  <c r="B2304"/>
  <c r="D2303"/>
  <c r="B2303"/>
  <c r="B2302"/>
  <c r="D2302" s="1"/>
  <c r="D2301"/>
  <c r="B2301"/>
  <c r="D2300"/>
  <c r="B2300"/>
  <c r="D2299"/>
  <c r="B2299"/>
  <c r="B2298"/>
  <c r="D2298" s="1"/>
  <c r="D2297"/>
  <c r="B2297"/>
  <c r="D2296"/>
  <c r="B2296"/>
  <c r="D2295"/>
  <c r="B2295"/>
  <c r="B2294"/>
  <c r="D2294" s="1"/>
  <c r="E2293"/>
  <c r="D2293"/>
  <c r="B2293"/>
  <c r="D2292"/>
  <c r="B2292"/>
  <c r="B2291"/>
  <c r="D2290"/>
  <c r="B2290"/>
  <c r="D2289"/>
  <c r="B2289"/>
  <c r="B2288"/>
  <c r="B2287"/>
  <c r="D2287" s="1"/>
  <c r="D2286"/>
  <c r="B2286"/>
  <c r="B2285"/>
  <c r="D2284"/>
  <c r="B2284"/>
  <c r="B2283"/>
  <c r="D2282"/>
  <c r="B2282"/>
  <c r="D2281"/>
  <c r="B2281"/>
  <c r="B2280"/>
  <c r="B2279"/>
  <c r="D2279" s="1"/>
  <c r="D2278"/>
  <c r="B2278"/>
  <c r="B2277"/>
  <c r="D2276"/>
  <c r="B2276"/>
  <c r="B2275"/>
  <c r="D2274"/>
  <c r="B2274"/>
  <c r="D2273"/>
  <c r="B2273"/>
  <c r="B2272"/>
  <c r="B2271"/>
  <c r="D2271" s="1"/>
  <c r="D2270"/>
  <c r="B2270"/>
  <c r="B2269"/>
  <c r="D2268"/>
  <c r="B2268"/>
  <c r="B2267"/>
  <c r="D2266"/>
  <c r="B2266"/>
  <c r="E2265"/>
  <c r="D2265"/>
  <c r="B2265"/>
  <c r="B2264"/>
  <c r="B2263"/>
  <c r="D2263" s="1"/>
  <c r="D2262"/>
  <c r="B2262"/>
  <c r="B2261"/>
  <c r="D2260"/>
  <c r="B2260"/>
  <c r="B2259"/>
  <c r="D2258"/>
  <c r="B2258"/>
  <c r="D2257"/>
  <c r="B2257"/>
  <c r="B2256"/>
  <c r="B2255"/>
  <c r="D2255" s="1"/>
  <c r="D2254"/>
  <c r="B2254"/>
  <c r="B2253"/>
  <c r="D2252"/>
  <c r="B2252"/>
  <c r="B2251"/>
  <c r="D2250"/>
  <c r="B2250"/>
  <c r="D2249"/>
  <c r="B2249"/>
  <c r="B2248"/>
  <c r="B2247"/>
  <c r="D2247" s="1"/>
  <c r="D2246"/>
  <c r="B2246"/>
  <c r="B2245"/>
  <c r="D2244"/>
  <c r="B2244"/>
  <c r="B2243"/>
  <c r="D2242"/>
  <c r="B2242"/>
  <c r="D2241"/>
  <c r="B2241"/>
  <c r="B2240"/>
  <c r="B2239"/>
  <c r="D2239" s="1"/>
  <c r="D2238"/>
  <c r="B2238"/>
  <c r="B2237"/>
  <c r="D2236"/>
  <c r="B2236"/>
  <c r="B2235"/>
  <c r="D2234"/>
  <c r="B2234"/>
  <c r="D2233"/>
  <c r="B2233"/>
  <c r="B2232"/>
  <c r="B2231"/>
  <c r="D2231" s="1"/>
  <c r="D2230"/>
  <c r="B2230"/>
  <c r="B2229"/>
  <c r="D2228"/>
  <c r="B2228"/>
  <c r="B2227"/>
  <c r="D2226"/>
  <c r="B2226"/>
  <c r="D2225"/>
  <c r="B2225"/>
  <c r="B2224"/>
  <c r="B2223"/>
  <c r="D2223" s="1"/>
  <c r="D2222"/>
  <c r="B2222"/>
  <c r="B2221"/>
  <c r="D2220"/>
  <c r="B2220"/>
  <c r="B2219"/>
  <c r="D2218"/>
  <c r="B2218"/>
  <c r="D2217"/>
  <c r="B2217"/>
  <c r="B2216"/>
  <c r="B2215"/>
  <c r="D2215" s="1"/>
  <c r="D2214"/>
  <c r="B2214"/>
  <c r="B2213"/>
  <c r="D2212"/>
  <c r="B2212"/>
  <c r="B2211"/>
  <c r="D2210"/>
  <c r="B2210"/>
  <c r="D2209"/>
  <c r="B2209"/>
  <c r="B2208"/>
  <c r="B2207"/>
  <c r="D2207" s="1"/>
  <c r="D2206"/>
  <c r="B2206"/>
  <c r="B2205"/>
  <c r="D2204"/>
  <c r="B2204"/>
  <c r="B2203"/>
  <c r="D2202"/>
  <c r="B2202"/>
  <c r="D2201"/>
  <c r="B2201"/>
  <c r="B2200"/>
  <c r="B2199"/>
  <c r="D2199" s="1"/>
  <c r="D2198"/>
  <c r="B2198"/>
  <c r="B2197"/>
  <c r="D2196"/>
  <c r="B2196"/>
  <c r="B2195"/>
  <c r="D2194"/>
  <c r="B2194"/>
  <c r="D2193"/>
  <c r="B2193"/>
  <c r="B2192"/>
  <c r="B2191"/>
  <c r="D2191" s="1"/>
  <c r="D2190"/>
  <c r="B2190"/>
  <c r="B2189"/>
  <c r="D2188"/>
  <c r="B2188"/>
  <c r="B2187"/>
  <c r="D2186"/>
  <c r="B2186"/>
  <c r="D2185"/>
  <c r="B2185"/>
  <c r="B2184"/>
  <c r="B2183"/>
  <c r="D2183" s="1"/>
  <c r="D2182"/>
  <c r="B2182"/>
  <c r="B2181"/>
  <c r="D2180"/>
  <c r="B2180"/>
  <c r="B2179"/>
  <c r="D2178"/>
  <c r="B2178"/>
  <c r="D2177"/>
  <c r="B2177"/>
  <c r="B2176"/>
  <c r="B2175"/>
  <c r="D2175" s="1"/>
  <c r="D2174"/>
  <c r="B2174"/>
  <c r="B2173"/>
  <c r="D2172"/>
  <c r="B2172"/>
  <c r="B2171"/>
  <c r="D2170"/>
  <c r="B2170"/>
  <c r="D2169"/>
  <c r="B2169"/>
  <c r="B2168"/>
  <c r="B2167"/>
  <c r="D2167" s="1"/>
  <c r="D2166"/>
  <c r="B2166"/>
  <c r="B2165"/>
  <c r="D2164"/>
  <c r="B2164"/>
  <c r="B2163"/>
  <c r="D2162"/>
  <c r="B2162"/>
  <c r="D2161"/>
  <c r="B2161"/>
  <c r="B2160"/>
  <c r="B2159"/>
  <c r="D2159" s="1"/>
  <c r="D2158"/>
  <c r="B2158"/>
  <c r="B2157"/>
  <c r="D2156"/>
  <c r="B2156"/>
  <c r="B2155"/>
  <c r="D2154"/>
  <c r="B2154"/>
  <c r="D2153"/>
  <c r="B2153"/>
  <c r="B2152"/>
  <c r="B2151"/>
  <c r="D2151" s="1"/>
  <c r="D2150"/>
  <c r="B2150"/>
  <c r="B2149"/>
  <c r="D2148"/>
  <c r="B2148"/>
  <c r="B2147"/>
  <c r="D2146"/>
  <c r="B2146"/>
  <c r="D2145"/>
  <c r="B2145"/>
  <c r="B2144"/>
  <c r="B2143"/>
  <c r="D2143" s="1"/>
  <c r="D2142"/>
  <c r="B2142"/>
  <c r="B2141"/>
  <c r="D2140"/>
  <c r="B2140"/>
  <c r="B2139"/>
  <c r="D2138"/>
  <c r="B2138"/>
  <c r="D2137"/>
  <c r="B2137"/>
  <c r="B2136"/>
  <c r="B2135"/>
  <c r="D2135" s="1"/>
  <c r="D2134"/>
  <c r="B2134"/>
  <c r="B2133"/>
  <c r="D2132"/>
  <c r="B2132"/>
  <c r="B2131"/>
  <c r="D2130"/>
  <c r="B2130"/>
  <c r="D2129"/>
  <c r="B2129"/>
  <c r="B2128"/>
  <c r="B2127"/>
  <c r="D2127" s="1"/>
  <c r="D2126"/>
  <c r="B2126"/>
  <c r="B2125"/>
  <c r="D2124"/>
  <c r="B2124"/>
  <c r="B2123"/>
  <c r="D2122"/>
  <c r="B2122"/>
  <c r="D2121"/>
  <c r="B2121"/>
  <c r="B2120"/>
  <c r="B2119"/>
  <c r="D2119" s="1"/>
  <c r="D2118"/>
  <c r="B2118"/>
  <c r="B2117"/>
  <c r="D2116"/>
  <c r="B2116"/>
  <c r="B2115"/>
  <c r="D2114"/>
  <c r="B2114"/>
  <c r="D2113"/>
  <c r="B2113"/>
  <c r="B2112"/>
  <c r="B2111"/>
  <c r="D2111" s="1"/>
  <c r="D2110"/>
  <c r="B2110"/>
  <c r="B2109"/>
  <c r="D2108"/>
  <c r="B2108"/>
  <c r="B2107"/>
  <c r="D2106"/>
  <c r="B2106"/>
  <c r="D2105"/>
  <c r="B2105"/>
  <c r="B2104"/>
  <c r="B2103"/>
  <c r="D2103" s="1"/>
  <c r="D2102"/>
  <c r="B2102"/>
  <c r="B2101"/>
  <c r="D2100"/>
  <c r="B2100"/>
  <c r="B2099"/>
  <c r="D2098"/>
  <c r="B2098"/>
  <c r="D2097"/>
  <c r="B2097"/>
  <c r="B2096"/>
  <c r="B2095"/>
  <c r="D2095" s="1"/>
  <c r="D2094"/>
  <c r="B2094"/>
  <c r="B2093"/>
  <c r="D2092"/>
  <c r="B2092"/>
  <c r="B2091"/>
  <c r="D2090"/>
  <c r="B2090"/>
  <c r="D2089"/>
  <c r="B2089"/>
  <c r="B2088"/>
  <c r="B2087"/>
  <c r="D2087" s="1"/>
  <c r="D2086"/>
  <c r="B2086"/>
  <c r="B2085"/>
  <c r="D2084"/>
  <c r="B2084"/>
  <c r="B2083"/>
  <c r="D2082"/>
  <c r="B2082"/>
  <c r="D2081"/>
  <c r="B2081"/>
  <c r="B2080"/>
  <c r="B2079"/>
  <c r="D2079" s="1"/>
  <c r="D2078"/>
  <c r="B2078"/>
  <c r="B2077"/>
  <c r="D2076"/>
  <c r="B2076"/>
  <c r="B2075"/>
  <c r="D2074"/>
  <c r="B2074"/>
  <c r="D2073"/>
  <c r="B2073"/>
  <c r="B2072"/>
  <c r="B2071"/>
  <c r="D2071" s="1"/>
  <c r="D2070"/>
  <c r="B2070"/>
  <c r="B2069"/>
  <c r="E2068"/>
  <c r="D2068"/>
  <c r="B2068"/>
  <c r="B2067"/>
  <c r="D2067" s="1"/>
  <c r="D2066"/>
  <c r="B2066"/>
  <c r="D2065"/>
  <c r="B2065"/>
  <c r="D2064"/>
  <c r="B2064"/>
  <c r="B2063"/>
  <c r="D2063" s="1"/>
  <c r="D2062"/>
  <c r="B2062"/>
  <c r="D2061"/>
  <c r="B2061"/>
  <c r="D2060"/>
  <c r="B2060"/>
  <c r="B2059"/>
  <c r="D2059" s="1"/>
  <c r="D2058"/>
  <c r="B2058"/>
  <c r="D2057"/>
  <c r="B2057"/>
  <c r="D2056"/>
  <c r="B2056"/>
  <c r="B2055"/>
  <c r="D2055" s="1"/>
  <c r="D2054"/>
  <c r="B2054"/>
  <c r="D2053"/>
  <c r="B2053"/>
  <c r="D2052"/>
  <c r="B2052"/>
  <c r="B2051"/>
  <c r="D2051" s="1"/>
  <c r="D2050"/>
  <c r="B2050"/>
  <c r="D2049"/>
  <c r="B2049"/>
  <c r="D2048"/>
  <c r="B2048"/>
  <c r="B2047"/>
  <c r="D2047" s="1"/>
  <c r="D2046"/>
  <c r="B2046"/>
  <c r="D2045"/>
  <c r="B2045"/>
  <c r="D2044"/>
  <c r="B2044"/>
  <c r="B2043"/>
  <c r="D2043" s="1"/>
  <c r="D2042"/>
  <c r="B2042"/>
  <c r="D2041"/>
  <c r="B2041"/>
  <c r="D2040"/>
  <c r="B2040"/>
  <c r="B2039"/>
  <c r="D2039" s="1"/>
  <c r="D2038"/>
  <c r="B2038"/>
  <c r="D2037"/>
  <c r="B2037"/>
  <c r="D2036"/>
  <c r="B2036"/>
  <c r="B2035"/>
  <c r="D2035" s="1"/>
  <c r="D2034"/>
  <c r="B2034"/>
  <c r="D2033"/>
  <c r="B2033"/>
  <c r="D2032"/>
  <c r="B2032"/>
  <c r="B2031"/>
  <c r="D2031" s="1"/>
  <c r="D2030"/>
  <c r="B2030"/>
  <c r="D2029"/>
  <c r="B2029"/>
  <c r="D2028"/>
  <c r="B2028"/>
  <c r="B2027"/>
  <c r="D2027" s="1"/>
  <c r="D2026"/>
  <c r="B2026"/>
  <c r="D2025"/>
  <c r="B2025"/>
  <c r="D2024"/>
  <c r="B2024"/>
  <c r="B2023"/>
  <c r="D2023" s="1"/>
  <c r="D2022"/>
  <c r="B2022"/>
  <c r="D2021"/>
  <c r="B2021"/>
  <c r="D2020"/>
  <c r="B2020"/>
  <c r="B2019"/>
  <c r="D2019" s="1"/>
  <c r="D2018"/>
  <c r="B2018"/>
  <c r="D2017"/>
  <c r="B2017"/>
  <c r="D2016"/>
  <c r="B2016"/>
  <c r="B2015"/>
  <c r="D2015" s="1"/>
  <c r="D2014"/>
  <c r="B2014"/>
  <c r="D2013"/>
  <c r="B2013"/>
  <c r="D2012"/>
  <c r="B2012"/>
  <c r="B2011"/>
  <c r="D2011" s="1"/>
  <c r="D2010"/>
  <c r="B2010"/>
  <c r="D2009"/>
  <c r="B2009"/>
  <c r="D2008"/>
  <c r="B2008"/>
  <c r="B2007"/>
  <c r="D2007" s="1"/>
  <c r="D2006"/>
  <c r="B2006"/>
  <c r="D2005"/>
  <c r="B2005"/>
  <c r="D2004"/>
  <c r="B2004"/>
  <c r="B2003"/>
  <c r="D2003" s="1"/>
  <c r="D2002"/>
  <c r="B2002"/>
  <c r="E2001"/>
  <c r="D2001"/>
  <c r="B2001"/>
  <c r="D2000"/>
  <c r="B2000"/>
  <c r="B1999"/>
  <c r="D1999" s="1"/>
  <c r="D1998"/>
  <c r="B1998"/>
  <c r="D1997"/>
  <c r="B1997"/>
  <c r="D1996"/>
  <c r="B1996"/>
  <c r="B1995"/>
  <c r="D1995" s="1"/>
  <c r="D1994"/>
  <c r="B1994"/>
  <c r="D1993"/>
  <c r="B1993"/>
  <c r="D1992"/>
  <c r="B1992"/>
  <c r="B1991"/>
  <c r="D1991" s="1"/>
  <c r="D1990"/>
  <c r="B1990"/>
  <c r="D1989"/>
  <c r="B1989"/>
  <c r="D1988"/>
  <c r="B1988"/>
  <c r="B1987"/>
  <c r="D1987" s="1"/>
  <c r="D1986"/>
  <c r="B1986"/>
  <c r="D1985"/>
  <c r="B1985"/>
  <c r="D1984"/>
  <c r="B1984"/>
  <c r="B1983"/>
  <c r="D1983" s="1"/>
  <c r="D1982"/>
  <c r="B1982"/>
  <c r="D1981"/>
  <c r="B1981"/>
  <c r="D1980"/>
  <c r="B1980"/>
  <c r="B1979"/>
  <c r="D1979" s="1"/>
  <c r="D1978"/>
  <c r="B1978"/>
  <c r="D1977"/>
  <c r="B1977"/>
  <c r="D1976"/>
  <c r="B1976"/>
  <c r="B1975"/>
  <c r="D1975" s="1"/>
  <c r="D1974"/>
  <c r="B1974"/>
  <c r="D1973"/>
  <c r="B1973"/>
  <c r="D1972"/>
  <c r="B1972"/>
  <c r="B1971"/>
  <c r="D1971" s="1"/>
  <c r="D1970"/>
  <c r="B1970"/>
  <c r="D1969"/>
  <c r="B1969"/>
  <c r="D1968"/>
  <c r="B1968"/>
  <c r="B1967"/>
  <c r="D1967" s="1"/>
  <c r="D1966"/>
  <c r="B1966"/>
  <c r="D1965"/>
  <c r="B1965"/>
  <c r="D1964"/>
  <c r="B1964"/>
  <c r="B1963"/>
  <c r="D1963" s="1"/>
  <c r="D1962"/>
  <c r="B1962"/>
  <c r="D1961"/>
  <c r="B1961"/>
  <c r="D1960"/>
  <c r="B1960"/>
  <c r="B1959"/>
  <c r="D1959" s="1"/>
  <c r="D1958"/>
  <c r="B1958"/>
  <c r="D1957"/>
  <c r="B1957"/>
  <c r="D1956"/>
  <c r="B1956"/>
  <c r="E1955"/>
  <c r="D1955"/>
  <c r="B1955"/>
  <c r="D1954"/>
  <c r="B1954"/>
  <c r="B1953"/>
  <c r="D1952"/>
  <c r="B1952"/>
  <c r="B1951"/>
  <c r="D1950"/>
  <c r="B1950"/>
  <c r="D1949"/>
  <c r="B1949"/>
  <c r="B1948"/>
  <c r="B1947"/>
  <c r="D1947" s="1"/>
  <c r="D1946"/>
  <c r="B1946"/>
  <c r="B1945"/>
  <c r="D1944"/>
  <c r="B1944"/>
  <c r="B1943"/>
  <c r="D1942"/>
  <c r="B1942"/>
  <c r="D1941"/>
  <c r="B1941"/>
  <c r="B1940"/>
  <c r="B1939"/>
  <c r="D1939" s="1"/>
  <c r="D1938"/>
  <c r="B1938"/>
  <c r="B1937"/>
  <c r="D1936"/>
  <c r="B1936"/>
  <c r="B1935"/>
  <c r="D1934"/>
  <c r="B1934"/>
  <c r="D1933"/>
  <c r="B1933"/>
  <c r="B1932"/>
  <c r="B1931"/>
  <c r="D1931" s="1"/>
  <c r="D1930"/>
  <c r="B1930"/>
  <c r="B1929"/>
  <c r="D1928"/>
  <c r="B1928"/>
  <c r="B1927"/>
  <c r="D1926"/>
  <c r="B1926"/>
  <c r="D1925"/>
  <c r="B1925"/>
  <c r="B1924"/>
  <c r="E1923"/>
  <c r="D1923"/>
  <c r="B1923"/>
  <c r="D1922"/>
  <c r="B1922"/>
  <c r="D1921"/>
  <c r="B1921"/>
  <c r="D1920"/>
  <c r="B1920"/>
  <c r="B1919"/>
  <c r="D1919" s="1"/>
  <c r="D1918"/>
  <c r="B1918"/>
  <c r="D1917"/>
  <c r="B1917"/>
  <c r="D1916"/>
  <c r="B1916"/>
  <c r="B1915"/>
  <c r="D1915" s="1"/>
  <c r="D1914"/>
  <c r="B1914"/>
  <c r="D1913"/>
  <c r="B1913"/>
  <c r="D1912"/>
  <c r="B1912"/>
  <c r="B1911"/>
  <c r="D1911" s="1"/>
  <c r="E1910"/>
  <c r="D1910"/>
  <c r="B1910"/>
  <c r="D1909"/>
  <c r="B1909"/>
  <c r="D1908"/>
  <c r="B1908"/>
  <c r="B1907"/>
  <c r="D1907" s="1"/>
  <c r="D1906"/>
  <c r="B1906"/>
  <c r="D1905"/>
  <c r="B1905"/>
  <c r="D1904"/>
  <c r="B1904"/>
  <c r="B1903"/>
  <c r="D1903" s="1"/>
  <c r="D1902"/>
  <c r="B1902"/>
  <c r="D1901"/>
  <c r="B1901"/>
  <c r="D1900"/>
  <c r="B1900"/>
  <c r="B1899"/>
  <c r="D1899" s="1"/>
  <c r="D1898"/>
  <c r="B1898"/>
  <c r="D1897"/>
  <c r="B1897"/>
  <c r="D1896"/>
  <c r="B1896"/>
  <c r="B1895"/>
  <c r="D1895" s="1"/>
  <c r="D1894"/>
  <c r="B1894"/>
  <c r="D1893"/>
  <c r="B1893"/>
  <c r="D1892"/>
  <c r="B1892"/>
  <c r="B1891"/>
  <c r="D1891" s="1"/>
  <c r="D1890"/>
  <c r="B1890"/>
  <c r="D1889"/>
  <c r="B1889"/>
  <c r="D1888"/>
  <c r="B1888"/>
  <c r="B1887"/>
  <c r="D1887" s="1"/>
  <c r="D1886"/>
  <c r="B1886"/>
  <c r="D1885"/>
  <c r="B1885"/>
  <c r="D1884"/>
  <c r="B1884"/>
  <c r="B1883"/>
  <c r="D1883" s="1"/>
  <c r="D1882"/>
  <c r="B1882"/>
  <c r="D1881"/>
  <c r="B1881"/>
  <c r="D1880"/>
  <c r="B1880"/>
  <c r="B1879"/>
  <c r="D1879" s="1"/>
  <c r="D1878"/>
  <c r="B1878"/>
  <c r="D1877"/>
  <c r="B1877"/>
  <c r="D1876"/>
  <c r="B1876"/>
  <c r="B1875"/>
  <c r="D1875" s="1"/>
  <c r="D1874"/>
  <c r="B1874"/>
  <c r="D1873"/>
  <c r="B1873"/>
  <c r="D1872"/>
  <c r="B1872"/>
  <c r="B1871"/>
  <c r="D1871" s="1"/>
  <c r="D1870"/>
  <c r="B1870"/>
  <c r="D1869"/>
  <c r="B1869"/>
  <c r="D1868"/>
  <c r="B1868"/>
  <c r="B1867"/>
  <c r="D1867" s="1"/>
  <c r="D1866"/>
  <c r="B1866"/>
  <c r="D1865"/>
  <c r="B1865"/>
  <c r="D1864"/>
  <c r="B1864"/>
  <c r="B1863"/>
  <c r="D1863" s="1"/>
  <c r="D1862"/>
  <c r="B1862"/>
  <c r="D1861"/>
  <c r="B1861"/>
  <c r="D1860"/>
  <c r="B1860"/>
  <c r="B1859"/>
  <c r="D1859" s="1"/>
  <c r="D1858"/>
  <c r="B1858"/>
  <c r="D1857"/>
  <c r="B1857"/>
  <c r="D1856"/>
  <c r="B1856"/>
  <c r="B1855"/>
  <c r="D1855" s="1"/>
  <c r="D1854"/>
  <c r="B1854"/>
  <c r="D1853"/>
  <c r="B1853"/>
  <c r="D1852"/>
  <c r="B1852"/>
  <c r="B1851"/>
  <c r="D1851" s="1"/>
  <c r="D1850"/>
  <c r="B1850"/>
  <c r="D1849"/>
  <c r="B1849"/>
  <c r="D1848"/>
  <c r="B1848"/>
  <c r="B1847"/>
  <c r="D1847" s="1"/>
  <c r="D1846"/>
  <c r="B1846"/>
  <c r="D1845"/>
  <c r="B1845"/>
  <c r="D1844"/>
  <c r="B1844"/>
  <c r="B1843"/>
  <c r="D1843" s="1"/>
  <c r="D1842"/>
  <c r="B1842"/>
  <c r="D1841"/>
  <c r="B1841"/>
  <c r="E1840"/>
  <c r="D1840"/>
  <c r="B1840"/>
  <c r="B1839"/>
  <c r="D1839" s="1"/>
  <c r="D1838"/>
  <c r="B1838"/>
  <c r="B1837"/>
  <c r="D1836"/>
  <c r="B1836"/>
  <c r="B1835"/>
  <c r="D1834"/>
  <c r="B1834"/>
  <c r="D1833"/>
  <c r="B1833"/>
  <c r="B1832"/>
  <c r="B1831"/>
  <c r="D1831" s="1"/>
  <c r="D1830"/>
  <c r="B1830"/>
  <c r="B1829"/>
  <c r="D1828"/>
  <c r="B1828"/>
  <c r="B1827"/>
  <c r="D1826"/>
  <c r="B1826"/>
  <c r="D1825"/>
  <c r="B1825"/>
  <c r="B1824"/>
  <c r="B1823"/>
  <c r="D1823" s="1"/>
  <c r="D1822"/>
  <c r="B1822"/>
  <c r="B1821"/>
  <c r="D1820"/>
  <c r="B1820"/>
  <c r="B1819"/>
  <c r="D1818"/>
  <c r="B1818"/>
  <c r="D1817"/>
  <c r="B1817"/>
  <c r="B1816"/>
  <c r="B1815"/>
  <c r="D1815" s="1"/>
  <c r="D1814"/>
  <c r="B1814"/>
  <c r="B1813"/>
  <c r="D1812"/>
  <c r="B1812"/>
  <c r="B1811"/>
  <c r="D1810"/>
  <c r="B1810"/>
  <c r="D1809"/>
  <c r="B1809"/>
  <c r="B1808"/>
  <c r="B1807"/>
  <c r="D1807" s="1"/>
  <c r="D1806"/>
  <c r="B1806"/>
  <c r="B1805"/>
  <c r="D1804"/>
  <c r="B1804"/>
  <c r="B1803"/>
  <c r="D1802"/>
  <c r="B1802"/>
  <c r="D1801"/>
  <c r="B1801"/>
  <c r="B1800"/>
  <c r="B1799"/>
  <c r="D1799" s="1"/>
  <c r="D1798"/>
  <c r="B1798"/>
  <c r="E1797"/>
  <c r="D1797"/>
  <c r="B1797"/>
  <c r="D1796"/>
  <c r="B1796"/>
  <c r="D1795"/>
  <c r="B1795"/>
  <c r="B1794"/>
  <c r="D1793"/>
  <c r="B1793"/>
  <c r="B1792"/>
  <c r="D1791"/>
  <c r="B1791"/>
  <c r="D1790"/>
  <c r="B1790"/>
  <c r="B1789"/>
  <c r="B1788"/>
  <c r="D1788" s="1"/>
  <c r="D1787"/>
  <c r="B1787"/>
  <c r="B1786"/>
  <c r="E1785"/>
  <c r="D1785"/>
  <c r="B1785"/>
  <c r="B1784"/>
  <c r="D1784" s="1"/>
  <c r="D1783"/>
  <c r="B1783"/>
  <c r="D1782"/>
  <c r="B1782"/>
  <c r="D1781"/>
  <c r="B1781"/>
  <c r="B1780"/>
  <c r="D1780" s="1"/>
  <c r="D1779"/>
  <c r="B1779"/>
  <c r="D1778"/>
  <c r="B1778"/>
  <c r="D1777"/>
  <c r="B1777"/>
  <c r="B1776"/>
  <c r="D1776" s="1"/>
  <c r="D1775"/>
  <c r="B1775"/>
  <c r="D1774"/>
  <c r="B1774"/>
  <c r="D1773"/>
  <c r="B1773"/>
  <c r="B1772"/>
  <c r="D1772" s="1"/>
  <c r="D1771"/>
  <c r="B1771"/>
  <c r="D1770"/>
  <c r="B1770"/>
  <c r="D1769"/>
  <c r="B1769"/>
  <c r="B1768"/>
  <c r="D1768" s="1"/>
  <c r="D1767"/>
  <c r="B1767"/>
  <c r="D1766"/>
  <c r="B1766"/>
  <c r="D1765"/>
  <c r="B1765"/>
  <c r="B1764"/>
  <c r="D1764" s="1"/>
  <c r="D1763"/>
  <c r="B1763"/>
  <c r="D1762"/>
  <c r="B1762"/>
  <c r="D1761"/>
  <c r="B1761"/>
  <c r="B1760"/>
  <c r="D1760" s="1"/>
  <c r="D1759"/>
  <c r="B1759"/>
  <c r="D1758"/>
  <c r="B1758"/>
  <c r="D1757"/>
  <c r="B1757"/>
  <c r="B1756"/>
  <c r="D1756" s="1"/>
  <c r="D1755"/>
  <c r="B1755"/>
  <c r="D1754"/>
  <c r="B1754"/>
  <c r="D1753"/>
  <c r="B1753"/>
  <c r="B1752"/>
  <c r="D1752" s="1"/>
  <c r="D1751"/>
  <c r="B1751"/>
  <c r="D1750"/>
  <c r="B1750"/>
  <c r="D1749"/>
  <c r="B1749"/>
  <c r="B1748"/>
  <c r="D1748" s="1"/>
  <c r="D1747"/>
  <c r="B1747"/>
  <c r="D1746"/>
  <c r="B1746"/>
  <c r="D1745"/>
  <c r="B1745"/>
  <c r="B1744"/>
  <c r="D1744" s="1"/>
  <c r="D1743"/>
  <c r="B1743"/>
  <c r="D1742"/>
  <c r="B1742"/>
  <c r="D1741"/>
  <c r="B1741"/>
  <c r="B1740"/>
  <c r="D1740" s="1"/>
  <c r="D1739"/>
  <c r="B1739"/>
  <c r="D1738"/>
  <c r="B1738"/>
  <c r="D1737"/>
  <c r="B1737"/>
  <c r="B1736"/>
  <c r="D1736" s="1"/>
  <c r="D1735"/>
  <c r="B1735"/>
  <c r="D1734"/>
  <c r="B1734"/>
  <c r="D1733"/>
  <c r="B1733"/>
  <c r="B1732"/>
  <c r="D1732" s="1"/>
  <c r="D1731"/>
  <c r="B1731"/>
  <c r="D1730"/>
  <c r="B1730"/>
  <c r="D1729"/>
  <c r="B1729"/>
  <c r="B1728"/>
  <c r="D1728" s="1"/>
  <c r="D1727"/>
  <c r="B1727"/>
  <c r="D1726"/>
  <c r="B1726"/>
  <c r="D1725"/>
  <c r="B1725"/>
  <c r="B1724"/>
  <c r="D1724" s="1"/>
  <c r="D1723"/>
  <c r="B1723"/>
  <c r="D1722"/>
  <c r="B1722"/>
  <c r="D1721"/>
  <c r="B1721"/>
  <c r="B1720"/>
  <c r="D1720" s="1"/>
  <c r="D1719"/>
  <c r="B1719"/>
  <c r="D1718"/>
  <c r="B1718"/>
  <c r="D1717"/>
  <c r="B1717"/>
  <c r="B1716"/>
  <c r="D1716" s="1"/>
  <c r="D1715"/>
  <c r="B1715"/>
  <c r="D1714"/>
  <c r="B1714"/>
  <c r="D1713"/>
  <c r="B1713"/>
  <c r="B1712"/>
  <c r="D1712" s="1"/>
  <c r="D1711"/>
  <c r="B1711"/>
  <c r="D1710"/>
  <c r="B1710"/>
  <c r="D1709"/>
  <c r="B1709"/>
  <c r="B1708"/>
  <c r="D1708" s="1"/>
  <c r="D1707"/>
  <c r="B1707"/>
  <c r="D1706"/>
  <c r="B1706"/>
  <c r="D1705"/>
  <c r="B1705"/>
  <c r="B1704"/>
  <c r="D1704" s="1"/>
  <c r="D1703"/>
  <c r="B1703"/>
  <c r="D1702"/>
  <c r="B1702"/>
  <c r="B1701"/>
  <c r="D1701" s="1"/>
  <c r="B1700"/>
  <c r="D1700" s="1"/>
  <c r="D1699"/>
  <c r="B1699"/>
  <c r="B1698"/>
  <c r="D1698" s="1"/>
  <c r="D1697"/>
  <c r="B1697"/>
  <c r="B1696"/>
  <c r="D1696" s="1"/>
  <c r="D1695"/>
  <c r="B1695"/>
  <c r="E1694"/>
  <c r="D1694"/>
  <c r="B1694"/>
  <c r="D1693"/>
  <c r="B1693"/>
  <c r="B1692"/>
  <c r="D1692" s="1"/>
  <c r="D1691"/>
  <c r="B1691"/>
  <c r="D1690"/>
  <c r="B1690"/>
  <c r="D1689"/>
  <c r="B1689"/>
  <c r="B1688"/>
  <c r="D1688" s="1"/>
  <c r="D1687"/>
  <c r="B1687"/>
  <c r="D1686"/>
  <c r="B1686"/>
  <c r="B1685"/>
  <c r="D1685" s="1"/>
  <c r="B1684"/>
  <c r="D1684" s="1"/>
  <c r="D1683"/>
  <c r="B1683"/>
  <c r="B1682"/>
  <c r="D1682" s="1"/>
  <c r="D1681"/>
  <c r="B1681"/>
  <c r="B1680"/>
  <c r="D1680" s="1"/>
  <c r="D1679"/>
  <c r="B1679"/>
  <c r="D1678"/>
  <c r="B1678"/>
  <c r="D1677"/>
  <c r="B1677"/>
  <c r="B1676"/>
  <c r="D1676" s="1"/>
  <c r="D1675"/>
  <c r="B1675"/>
  <c r="D1674"/>
  <c r="B1674"/>
  <c r="D1673"/>
  <c r="B1673"/>
  <c r="B1672"/>
  <c r="D1672" s="1"/>
  <c r="D1671"/>
  <c r="B1671"/>
  <c r="D1670"/>
  <c r="B1670"/>
  <c r="B1669"/>
  <c r="D1669" s="1"/>
  <c r="B1668"/>
  <c r="D1668" s="1"/>
  <c r="D1667"/>
  <c r="B1667"/>
  <c r="B1666"/>
  <c r="D1666" s="1"/>
  <c r="D1665"/>
  <c r="B1665"/>
  <c r="B1664"/>
  <c r="D1664" s="1"/>
  <c r="D1663"/>
  <c r="B1663"/>
  <c r="D1662"/>
  <c r="B1662"/>
  <c r="D1661"/>
  <c r="B1661"/>
  <c r="B1660"/>
  <c r="D1660" s="1"/>
  <c r="D1659"/>
  <c r="B1659"/>
  <c r="D1658"/>
  <c r="B1658"/>
  <c r="D1657"/>
  <c r="B1657"/>
  <c r="B1656"/>
  <c r="D1656" s="1"/>
  <c r="D1655"/>
  <c r="B1655"/>
  <c r="D1654"/>
  <c r="B1654"/>
  <c r="B1653"/>
  <c r="D1653" s="1"/>
  <c r="B1652"/>
  <c r="D1652" s="1"/>
  <c r="D1651"/>
  <c r="B1651"/>
  <c r="B1650"/>
  <c r="D1650" s="1"/>
  <c r="D1649"/>
  <c r="B1649"/>
  <c r="B1648"/>
  <c r="D1648" s="1"/>
  <c r="D1647"/>
  <c r="B1647"/>
  <c r="D1646"/>
  <c r="B1646"/>
  <c r="D1645"/>
  <c r="B1645"/>
  <c r="B1644"/>
  <c r="D1644" s="1"/>
  <c r="D1643"/>
  <c r="B1643"/>
  <c r="E1642"/>
  <c r="D1642"/>
  <c r="B1642"/>
  <c r="D1641"/>
  <c r="B1641"/>
  <c r="B1640"/>
  <c r="D1640" s="1"/>
  <c r="D1639"/>
  <c r="B1639"/>
  <c r="D1638"/>
  <c r="B1638"/>
  <c r="D1637"/>
  <c r="B1637"/>
  <c r="B1636"/>
  <c r="D1636" s="1"/>
  <c r="D1635"/>
  <c r="B1635"/>
  <c r="D1634"/>
  <c r="B1634"/>
  <c r="D1633"/>
  <c r="B1633"/>
  <c r="B1632"/>
  <c r="D1632" s="1"/>
  <c r="D1631"/>
  <c r="B1631"/>
  <c r="D1630"/>
  <c r="B1630"/>
  <c r="B1629"/>
  <c r="D1629" s="1"/>
  <c r="B1628"/>
  <c r="D1628" s="1"/>
  <c r="D1627"/>
  <c r="B1627"/>
  <c r="B1626"/>
  <c r="D1626" s="1"/>
  <c r="D1625"/>
  <c r="B1625"/>
  <c r="B1624"/>
  <c r="D1624" s="1"/>
  <c r="D1623"/>
  <c r="B1623"/>
  <c r="D1622"/>
  <c r="B1622"/>
  <c r="D1621"/>
  <c r="B1621"/>
  <c r="B1620"/>
  <c r="D1620" s="1"/>
  <c r="D1619"/>
  <c r="B1619"/>
  <c r="D1618"/>
  <c r="B1618"/>
  <c r="D1617"/>
  <c r="B1617"/>
  <c r="B1616"/>
  <c r="D1616" s="1"/>
  <c r="D1615"/>
  <c r="B1615"/>
  <c r="D1614"/>
  <c r="B1614"/>
  <c r="B1613"/>
  <c r="D1613" s="1"/>
  <c r="B1612"/>
  <c r="D1612" s="1"/>
  <c r="D1611"/>
  <c r="B1611"/>
  <c r="B1610"/>
  <c r="D1610" s="1"/>
  <c r="D1609"/>
  <c r="B1609"/>
  <c r="B1608"/>
  <c r="D1608" s="1"/>
  <c r="D1607"/>
  <c r="B1607"/>
  <c r="D1606"/>
  <c r="B1606"/>
  <c r="D1605"/>
  <c r="B1605"/>
  <c r="B1604"/>
  <c r="D1604" s="1"/>
  <c r="D1603"/>
  <c r="B1603"/>
  <c r="D1602"/>
  <c r="B1602"/>
  <c r="D1601"/>
  <c r="B1601"/>
  <c r="B1600"/>
  <c r="D1600" s="1"/>
  <c r="D1599"/>
  <c r="B1599"/>
  <c r="D1598"/>
  <c r="B1598"/>
  <c r="B1597"/>
  <c r="D1597" s="1"/>
  <c r="B1596"/>
  <c r="D1596" s="1"/>
  <c r="D1595"/>
  <c r="B1595"/>
  <c r="B1594"/>
  <c r="D1594" s="1"/>
  <c r="D1593"/>
  <c r="B1593"/>
  <c r="B1592"/>
  <c r="D1592" s="1"/>
  <c r="D1591"/>
  <c r="B1591"/>
  <c r="D1590"/>
  <c r="B1590"/>
  <c r="D1589"/>
  <c r="B1589"/>
  <c r="B1588"/>
  <c r="D1588" s="1"/>
  <c r="D1587"/>
  <c r="B1587"/>
  <c r="D1586"/>
  <c r="B1586"/>
  <c r="E1585"/>
  <c r="D1585"/>
  <c r="B1585"/>
  <c r="D1584"/>
  <c r="B1584"/>
  <c r="B1583"/>
  <c r="D1583" s="1"/>
  <c r="D1582"/>
  <c r="B1582"/>
  <c r="B1581"/>
  <c r="D1581" s="1"/>
  <c r="D1580"/>
  <c r="B1580"/>
  <c r="D1579"/>
  <c r="B1579"/>
  <c r="D1578"/>
  <c r="B1578"/>
  <c r="B1577"/>
  <c r="D1577" s="1"/>
  <c r="D1576"/>
  <c r="B1576"/>
  <c r="D1575"/>
  <c r="B1575"/>
  <c r="D1574"/>
  <c r="B1574"/>
  <c r="B1573"/>
  <c r="D1573" s="1"/>
  <c r="D1572"/>
  <c r="B1572"/>
  <c r="D1571"/>
  <c r="B1571"/>
  <c r="B1570"/>
  <c r="D1570" s="1"/>
  <c r="B1569"/>
  <c r="D1569" s="1"/>
  <c r="D1568"/>
  <c r="B1568"/>
  <c r="B1567"/>
  <c r="D1567" s="1"/>
  <c r="D1566"/>
  <c r="B1566"/>
  <c r="B1565"/>
  <c r="D1565" s="1"/>
  <c r="D1564"/>
  <c r="B1564"/>
  <c r="D1563"/>
  <c r="B1563"/>
  <c r="D1562"/>
  <c r="B1562"/>
  <c r="B1561"/>
  <c r="D1561" s="1"/>
  <c r="D1560"/>
  <c r="B1560"/>
  <c r="D1559"/>
  <c r="B1559"/>
  <c r="D1558"/>
  <c r="B1558"/>
  <c r="B1557"/>
  <c r="D1557" s="1"/>
  <c r="D1556"/>
  <c r="B1556"/>
  <c r="D1555"/>
  <c r="B1555"/>
  <c r="B1554"/>
  <c r="D1554" s="1"/>
  <c r="B1553"/>
  <c r="D1553" s="1"/>
  <c r="D1552"/>
  <c r="B1552"/>
  <c r="B1551"/>
  <c r="D1551" s="1"/>
  <c r="D1550"/>
  <c r="B1550"/>
  <c r="B1549"/>
  <c r="D1549" s="1"/>
  <c r="D1548"/>
  <c r="B1548"/>
  <c r="D1547"/>
  <c r="B1547"/>
  <c r="D1546"/>
  <c r="B1546"/>
  <c r="B1545"/>
  <c r="D1545" s="1"/>
  <c r="D1544"/>
  <c r="B1544"/>
  <c r="D1543"/>
  <c r="B1543"/>
  <c r="D1542"/>
  <c r="B1542"/>
  <c r="B1541"/>
  <c r="D1541" s="1"/>
  <c r="D1540"/>
  <c r="B1540"/>
  <c r="D1539"/>
  <c r="B1539"/>
  <c r="B1538"/>
  <c r="D1538" s="1"/>
  <c r="B1537"/>
  <c r="D1537" s="1"/>
  <c r="D1536"/>
  <c r="B1536"/>
  <c r="D1535"/>
  <c r="B1535"/>
  <c r="D1534"/>
  <c r="B1534"/>
  <c r="B1533"/>
  <c r="D1533" s="1"/>
  <c r="D1532"/>
  <c r="B1532"/>
  <c r="D1531"/>
  <c r="B1531"/>
  <c r="D1530"/>
  <c r="B1530"/>
  <c r="B1529"/>
  <c r="D1529" s="1"/>
  <c r="D1528"/>
  <c r="B1528"/>
  <c r="B1527"/>
  <c r="D1527" s="1"/>
  <c r="D1526"/>
  <c r="B1526"/>
  <c r="B1525"/>
  <c r="D1525" s="1"/>
  <c r="D1524"/>
  <c r="B1524"/>
  <c r="D1523"/>
  <c r="B1523"/>
  <c r="B1522"/>
  <c r="D1522" s="1"/>
  <c r="B1521"/>
  <c r="D1521" s="1"/>
  <c r="D1520"/>
  <c r="B1520"/>
  <c r="D1519"/>
  <c r="B1519"/>
  <c r="E1518"/>
  <c r="D1518"/>
  <c r="B1518"/>
  <c r="B1517"/>
  <c r="D1517" s="1"/>
  <c r="D1516"/>
  <c r="B1516"/>
  <c r="B1515"/>
  <c r="D1515" s="1"/>
  <c r="B1514"/>
  <c r="D1514" s="1"/>
  <c r="B1513"/>
  <c r="D1512"/>
  <c r="B1512"/>
  <c r="D1511"/>
  <c r="B1511"/>
  <c r="B1510"/>
  <c r="B1509"/>
  <c r="D1509" s="1"/>
  <c r="D1508"/>
  <c r="B1508"/>
  <c r="E1507"/>
  <c r="D1507"/>
  <c r="B1507"/>
  <c r="D1506"/>
  <c r="B1506"/>
  <c r="B1505"/>
  <c r="D1504"/>
  <c r="B1504"/>
  <c r="B1503"/>
  <c r="B1502"/>
  <c r="B1501"/>
  <c r="D1501" s="1"/>
  <c r="D1500"/>
  <c r="B1500"/>
  <c r="B1499"/>
  <c r="D1499" s="1"/>
  <c r="D1498"/>
  <c r="B1498"/>
  <c r="B1497"/>
  <c r="D1496"/>
  <c r="B1496"/>
  <c r="B1495"/>
  <c r="B1494"/>
  <c r="B1493"/>
  <c r="D1493" s="1"/>
  <c r="D1492"/>
  <c r="B1492"/>
  <c r="B1491"/>
  <c r="D1491" s="1"/>
  <c r="D1490"/>
  <c r="B1490"/>
  <c r="B1489"/>
  <c r="D1488"/>
  <c r="B1488"/>
  <c r="B1487"/>
  <c r="B1486"/>
  <c r="E1485"/>
  <c r="D1485"/>
  <c r="B1485"/>
  <c r="D1484"/>
  <c r="B1484"/>
  <c r="E1483"/>
  <c r="D1483"/>
  <c r="B1483"/>
  <c r="D1482"/>
  <c r="B1482"/>
  <c r="B1481"/>
  <c r="D1481" s="1"/>
  <c r="D1480"/>
  <c r="B1480"/>
  <c r="D1479"/>
  <c r="B1479"/>
  <c r="B1478"/>
  <c r="D1478" s="1"/>
  <c r="B1477"/>
  <c r="D1477" s="1"/>
  <c r="D1476"/>
  <c r="B1476"/>
  <c r="D1475"/>
  <c r="B1475"/>
  <c r="D1474"/>
  <c r="B1474"/>
  <c r="B1473"/>
  <c r="D1473" s="1"/>
  <c r="D1472"/>
  <c r="B1472"/>
  <c r="D1471"/>
  <c r="B1471"/>
  <c r="D1470"/>
  <c r="B1470"/>
  <c r="B1469"/>
  <c r="D1469" s="1"/>
  <c r="D1468"/>
  <c r="B1468"/>
  <c r="B1467"/>
  <c r="D1467" s="1"/>
  <c r="D1466"/>
  <c r="B1466"/>
  <c r="B1465"/>
  <c r="D1465" s="1"/>
  <c r="D1464"/>
  <c r="B1464"/>
  <c r="D1463"/>
  <c r="B1463"/>
  <c r="B1462"/>
  <c r="D1462" s="1"/>
  <c r="B1461"/>
  <c r="D1461" s="1"/>
  <c r="D1460"/>
  <c r="B1460"/>
  <c r="D1459"/>
  <c r="B1459"/>
  <c r="D1458"/>
  <c r="B1458"/>
  <c r="B1457"/>
  <c r="D1457" s="1"/>
  <c r="D1456"/>
  <c r="B1456"/>
  <c r="D1455"/>
  <c r="B1455"/>
  <c r="D1454"/>
  <c r="B1454"/>
  <c r="B1453"/>
  <c r="D1453" s="1"/>
  <c r="D1452"/>
  <c r="B1452"/>
  <c r="B1451"/>
  <c r="D1451" s="1"/>
  <c r="D1450"/>
  <c r="B1450"/>
  <c r="B1449"/>
  <c r="D1449" s="1"/>
  <c r="D1448"/>
  <c r="B1448"/>
  <c r="D1447"/>
  <c r="B1447"/>
  <c r="B1446"/>
  <c r="D1446" s="1"/>
  <c r="B1445"/>
  <c r="D1445" s="1"/>
  <c r="D1444"/>
  <c r="B1444"/>
  <c r="D1443"/>
  <c r="B1443"/>
  <c r="D1442"/>
  <c r="B1442"/>
  <c r="B1441"/>
  <c r="D1441" s="1"/>
  <c r="D1440"/>
  <c r="B1440"/>
  <c r="D1439"/>
  <c r="B1439"/>
  <c r="D1438"/>
  <c r="B1438"/>
  <c r="B1437"/>
  <c r="D1437" s="1"/>
  <c r="D1436"/>
  <c r="B1436"/>
  <c r="B1435"/>
  <c r="D1435" s="1"/>
  <c r="D1434"/>
  <c r="B1434"/>
  <c r="B1433"/>
  <c r="D1433" s="1"/>
  <c r="D1432"/>
  <c r="B1432"/>
  <c r="D1431"/>
  <c r="B1431"/>
  <c r="B1430"/>
  <c r="D1430" s="1"/>
  <c r="B1429"/>
  <c r="D1429" s="1"/>
  <c r="D1428"/>
  <c r="B1428"/>
  <c r="D1427"/>
  <c r="B1427"/>
  <c r="D1426"/>
  <c r="B1426"/>
  <c r="B1425"/>
  <c r="D1425" s="1"/>
  <c r="D1424"/>
  <c r="B1424"/>
  <c r="D1423"/>
  <c r="B1423"/>
  <c r="D1422"/>
  <c r="B1422"/>
  <c r="B1421"/>
  <c r="D1421" s="1"/>
  <c r="D1420"/>
  <c r="B1420"/>
  <c r="B1419"/>
  <c r="D1419" s="1"/>
  <c r="D1418"/>
  <c r="B1418"/>
  <c r="B1417"/>
  <c r="D1417" s="1"/>
  <c r="D1416"/>
  <c r="B1416"/>
  <c r="D1415"/>
  <c r="B1415"/>
  <c r="B1414"/>
  <c r="D1414" s="1"/>
  <c r="B1413"/>
  <c r="D1413" s="1"/>
  <c r="D1412"/>
  <c r="B1412"/>
  <c r="D1411"/>
  <c r="B1411"/>
  <c r="D1410"/>
  <c r="B1410"/>
  <c r="B1409"/>
  <c r="D1409" s="1"/>
  <c r="D1408"/>
  <c r="B1408"/>
  <c r="D1407"/>
  <c r="B1407"/>
  <c r="D1406"/>
  <c r="B1406"/>
  <c r="B1405"/>
  <c r="D1405" s="1"/>
  <c r="D1404"/>
  <c r="B1404"/>
  <c r="B1403"/>
  <c r="D1403" s="1"/>
  <c r="D1402"/>
  <c r="B1402"/>
  <c r="B1401"/>
  <c r="D1401" s="1"/>
  <c r="D1400"/>
  <c r="B1400"/>
  <c r="D1399"/>
  <c r="B1399"/>
  <c r="B1398"/>
  <c r="D1398" s="1"/>
  <c r="B1397"/>
  <c r="D1397" s="1"/>
  <c r="D1396"/>
  <c r="B1396"/>
  <c r="D1395"/>
  <c r="B1395"/>
  <c r="D1394"/>
  <c r="B1394"/>
  <c r="B1393"/>
  <c r="D1393" s="1"/>
  <c r="D1392"/>
  <c r="B1392"/>
  <c r="D1391"/>
  <c r="B1391"/>
  <c r="D1390"/>
  <c r="B1390"/>
  <c r="B1389"/>
  <c r="D1389" s="1"/>
  <c r="D1388"/>
  <c r="B1388"/>
  <c r="B1387"/>
  <c r="D1387" s="1"/>
  <c r="D1386"/>
  <c r="B1386"/>
  <c r="B1385"/>
  <c r="D1385" s="1"/>
  <c r="D1384"/>
  <c r="B1384"/>
  <c r="D1383"/>
  <c r="B1383"/>
  <c r="B1382"/>
  <c r="D1382" s="1"/>
  <c r="B1381"/>
  <c r="D1381" s="1"/>
  <c r="D1380"/>
  <c r="B1380"/>
  <c r="D1379"/>
  <c r="B1379"/>
  <c r="D1378"/>
  <c r="B1378"/>
  <c r="B1377"/>
  <c r="D1377" s="1"/>
  <c r="D1376"/>
  <c r="B1376"/>
  <c r="D1375"/>
  <c r="B1375"/>
  <c r="D1374"/>
  <c r="B1374"/>
  <c r="B1373"/>
  <c r="D1373" s="1"/>
  <c r="D1372"/>
  <c r="B1372"/>
  <c r="B1371"/>
  <c r="D1371" s="1"/>
  <c r="D1370"/>
  <c r="B1370"/>
  <c r="B1369"/>
  <c r="D1369" s="1"/>
  <c r="D1368"/>
  <c r="B1368"/>
  <c r="D1367"/>
  <c r="B1367"/>
  <c r="B1366"/>
  <c r="D1366" s="1"/>
  <c r="B1365"/>
  <c r="D1365" s="1"/>
  <c r="D1364"/>
  <c r="B1364"/>
  <c r="D1363"/>
  <c r="B1363"/>
  <c r="D1362"/>
  <c r="B1362"/>
  <c r="B1361"/>
  <c r="D1361" s="1"/>
  <c r="D1360"/>
  <c r="B1360"/>
  <c r="D1359"/>
  <c r="B1359"/>
  <c r="D1358"/>
  <c r="B1358"/>
  <c r="B1357"/>
  <c r="D1357" s="1"/>
  <c r="D1356"/>
  <c r="B1356"/>
  <c r="B1355"/>
  <c r="D1355" s="1"/>
  <c r="D1354"/>
  <c r="B1354"/>
  <c r="B1353"/>
  <c r="D1353" s="1"/>
  <c r="D1352"/>
  <c r="B1352"/>
  <c r="D1351"/>
  <c r="B1351"/>
  <c r="B1350"/>
  <c r="D1350" s="1"/>
  <c r="B1349"/>
  <c r="D1349" s="1"/>
  <c r="D1348"/>
  <c r="B1348"/>
  <c r="D1347"/>
  <c r="B1347"/>
  <c r="D1346"/>
  <c r="B1346"/>
  <c r="B1345"/>
  <c r="D1345" s="1"/>
  <c r="D1344"/>
  <c r="B1344"/>
  <c r="D1343"/>
  <c r="B1343"/>
  <c r="D1342"/>
  <c r="B1342"/>
  <c r="B1341"/>
  <c r="D1341" s="1"/>
  <c r="D1340"/>
  <c r="B1340"/>
  <c r="B1339"/>
  <c r="D1339" s="1"/>
  <c r="D1338"/>
  <c r="B1338"/>
  <c r="B1337"/>
  <c r="D1337" s="1"/>
  <c r="D1336"/>
  <c r="B1336"/>
  <c r="D1335"/>
  <c r="B1335"/>
  <c r="B1334"/>
  <c r="D1334" s="1"/>
  <c r="B1333"/>
  <c r="D1333" s="1"/>
  <c r="D1332"/>
  <c r="B1332"/>
  <c r="D1331"/>
  <c r="B1331"/>
  <c r="D1330"/>
  <c r="B1330"/>
  <c r="B1329"/>
  <c r="D1329" s="1"/>
  <c r="D1328"/>
  <c r="B1328"/>
  <c r="D1327"/>
  <c r="B1327"/>
  <c r="D1326"/>
  <c r="B1326"/>
  <c r="B1325"/>
  <c r="D1325" s="1"/>
  <c r="D1324"/>
  <c r="B1324"/>
  <c r="B1323"/>
  <c r="D1323" s="1"/>
  <c r="D1322"/>
  <c r="B1322"/>
  <c r="B1321"/>
  <c r="D1321" s="1"/>
  <c r="D1320"/>
  <c r="B1320"/>
  <c r="D1319"/>
  <c r="B1319"/>
  <c r="B1318"/>
  <c r="D1318" s="1"/>
  <c r="B1317"/>
  <c r="D1317" s="1"/>
  <c r="D1316"/>
  <c r="B1316"/>
  <c r="D1315"/>
  <c r="B1315"/>
  <c r="D1314"/>
  <c r="B1314"/>
  <c r="B1313"/>
  <c r="D1313" s="1"/>
  <c r="D1312"/>
  <c r="B1312"/>
  <c r="D1311"/>
  <c r="B1311"/>
  <c r="D1310"/>
  <c r="B1310"/>
  <c r="B1309"/>
  <c r="D1309" s="1"/>
  <c r="D1308"/>
  <c r="B1308"/>
  <c r="B1307"/>
  <c r="D1307" s="1"/>
  <c r="D1306"/>
  <c r="B1306"/>
  <c r="B1305"/>
  <c r="D1305" s="1"/>
  <c r="D1304"/>
  <c r="B1304"/>
  <c r="D1303"/>
  <c r="B1303"/>
  <c r="B1302"/>
  <c r="D1302" s="1"/>
  <c r="B1301"/>
  <c r="D1301" s="1"/>
  <c r="D1300"/>
  <c r="B1300"/>
  <c r="E1299"/>
  <c r="D1299"/>
  <c r="B1299"/>
  <c r="D1298"/>
  <c r="B1298"/>
  <c r="B1297"/>
  <c r="D1297" s="1"/>
  <c r="D1296"/>
  <c r="B1296"/>
  <c r="D1295"/>
  <c r="B1295"/>
  <c r="B1294"/>
  <c r="D1294" s="1"/>
  <c r="B1293"/>
  <c r="D1293" s="1"/>
  <c r="D1292"/>
  <c r="B1292"/>
  <c r="D1291"/>
  <c r="B1291"/>
  <c r="D1290"/>
  <c r="B1290"/>
  <c r="B1289"/>
  <c r="D1289" s="1"/>
  <c r="D1288"/>
  <c r="B1288"/>
  <c r="D1287"/>
  <c r="B1287"/>
  <c r="D1286"/>
  <c r="B1286"/>
  <c r="B1285"/>
  <c r="D1285" s="1"/>
  <c r="D1284"/>
  <c r="B1284"/>
  <c r="B1283"/>
  <c r="D1283" s="1"/>
  <c r="D1282"/>
  <c r="B1282"/>
  <c r="B1281"/>
  <c r="D1281" s="1"/>
  <c r="D1280"/>
  <c r="B1280"/>
  <c r="D1279"/>
  <c r="B1279"/>
  <c r="B1278"/>
  <c r="D1278" s="1"/>
  <c r="B1277"/>
  <c r="D1277" s="1"/>
  <c r="D1276"/>
  <c r="B1276"/>
  <c r="D1275"/>
  <c r="B1275"/>
  <c r="D1274"/>
  <c r="B1274"/>
  <c r="B1273"/>
  <c r="D1273" s="1"/>
  <c r="D1272"/>
  <c r="B1272"/>
  <c r="D1271"/>
  <c r="B1271"/>
  <c r="D1270"/>
  <c r="B1270"/>
  <c r="B1269"/>
  <c r="D1269" s="1"/>
  <c r="D1268"/>
  <c r="B1268"/>
  <c r="B1267"/>
  <c r="D1267" s="1"/>
  <c r="D1266"/>
  <c r="B1266"/>
  <c r="B1265"/>
  <c r="D1265" s="1"/>
  <c r="D1264"/>
  <c r="B1264"/>
  <c r="D1263"/>
  <c r="B1263"/>
  <c r="B1262"/>
  <c r="D1262" s="1"/>
  <c r="B1261"/>
  <c r="D1261" s="1"/>
  <c r="D1260"/>
  <c r="B1260"/>
  <c r="D1259"/>
  <c r="B1259"/>
  <c r="D1258"/>
  <c r="B1258"/>
  <c r="B1257"/>
  <c r="D1257" s="1"/>
  <c r="D1256"/>
  <c r="B1256"/>
  <c r="D1255"/>
  <c r="B1255"/>
  <c r="D1254"/>
  <c r="B1254"/>
  <c r="B1253"/>
  <c r="D1253" s="1"/>
  <c r="D1252"/>
  <c r="B1252"/>
  <c r="B1251"/>
  <c r="D1251" s="1"/>
  <c r="D1250"/>
  <c r="B1250"/>
  <c r="B1249"/>
  <c r="D1249" s="1"/>
  <c r="D1248"/>
  <c r="B1248"/>
  <c r="D1247"/>
  <c r="B1247"/>
  <c r="B1246"/>
  <c r="D1246" s="1"/>
  <c r="B1245"/>
  <c r="D1245" s="1"/>
  <c r="D1244"/>
  <c r="B1244"/>
  <c r="D1243"/>
  <c r="B1243"/>
  <c r="D1242"/>
  <c r="B1242"/>
  <c r="B1241"/>
  <c r="D1241" s="1"/>
  <c r="D1240"/>
  <c r="B1240"/>
  <c r="D1239"/>
  <c r="B1239"/>
  <c r="D1238"/>
  <c r="B1238"/>
  <c r="B1237"/>
  <c r="D1237" s="1"/>
  <c r="D1236"/>
  <c r="B1236"/>
  <c r="B1235"/>
  <c r="D1235" s="1"/>
  <c r="D1234"/>
  <c r="B1234"/>
  <c r="B1233"/>
  <c r="D1233" s="1"/>
  <c r="D1232"/>
  <c r="B1232"/>
  <c r="D1231"/>
  <c r="B1231"/>
  <c r="B1230"/>
  <c r="D1230" s="1"/>
  <c r="B1229"/>
  <c r="D1229" s="1"/>
  <c r="D1228"/>
  <c r="B1228"/>
  <c r="D1227"/>
  <c r="B1227"/>
  <c r="D1226"/>
  <c r="B1226"/>
  <c r="B1225"/>
  <c r="D1225" s="1"/>
  <c r="D1224"/>
  <c r="B1224"/>
  <c r="D1223"/>
  <c r="B1223"/>
  <c r="D1222"/>
  <c r="B1222"/>
  <c r="B1221"/>
  <c r="D1221" s="1"/>
  <c r="D1220"/>
  <c r="B1220"/>
  <c r="B1219"/>
  <c r="D1219" s="1"/>
  <c r="D1218"/>
  <c r="B1218"/>
  <c r="B1217"/>
  <c r="D1217" s="1"/>
  <c r="D1216"/>
  <c r="B1216"/>
  <c r="D1215"/>
  <c r="B1215"/>
  <c r="B1214"/>
  <c r="D1214" s="1"/>
  <c r="B1213"/>
  <c r="D1213" s="1"/>
  <c r="D1212"/>
  <c r="B1212"/>
  <c r="D1211"/>
  <c r="B1211"/>
  <c r="D1210"/>
  <c r="B1210"/>
  <c r="B1209"/>
  <c r="D1209" s="1"/>
  <c r="D1208"/>
  <c r="B1208"/>
  <c r="D1207"/>
  <c r="B1207"/>
  <c r="D1206"/>
  <c r="B1206"/>
  <c r="B1205"/>
  <c r="D1205" s="1"/>
  <c r="D1204"/>
  <c r="B1204"/>
  <c r="B1203"/>
  <c r="D1203" s="1"/>
  <c r="D1202"/>
  <c r="B1202"/>
  <c r="B1201"/>
  <c r="D1201" s="1"/>
  <c r="D1200"/>
  <c r="B1200"/>
  <c r="D1199"/>
  <c r="B1199"/>
  <c r="B1198"/>
  <c r="D1198" s="1"/>
  <c r="E1197"/>
  <c r="D1197"/>
  <c r="B1197"/>
  <c r="D1196"/>
  <c r="B1196"/>
  <c r="D1195"/>
  <c r="B1195"/>
  <c r="B1194"/>
  <c r="B1193"/>
  <c r="D1193" s="1"/>
  <c r="D1192"/>
  <c r="B1192"/>
  <c r="B1191"/>
  <c r="D1191" s="1"/>
  <c r="B1190"/>
  <c r="D1190" s="1"/>
  <c r="B1189"/>
  <c r="D1188"/>
  <c r="B1188"/>
  <c r="D1187"/>
  <c r="B1187"/>
  <c r="B1186"/>
  <c r="B1185"/>
  <c r="D1185" s="1"/>
  <c r="D1184"/>
  <c r="B1184"/>
  <c r="B1183"/>
  <c r="D1183" s="1"/>
  <c r="B1182"/>
  <c r="D1182" s="1"/>
  <c r="B1181"/>
  <c r="D1180"/>
  <c r="B1180"/>
  <c r="D1179"/>
  <c r="B1179"/>
  <c r="B1178"/>
  <c r="B1177"/>
  <c r="D1177" s="1"/>
  <c r="D1176"/>
  <c r="B1176"/>
  <c r="B1175"/>
  <c r="D1175" s="1"/>
  <c r="B1174"/>
  <c r="D1174" s="1"/>
  <c r="B1173"/>
  <c r="D1172"/>
  <c r="B1172"/>
  <c r="D1171"/>
  <c r="B1171"/>
  <c r="B1170"/>
  <c r="B1169"/>
  <c r="D1169" s="1"/>
  <c r="D1168"/>
  <c r="B1168"/>
  <c r="B1167"/>
  <c r="D1167" s="1"/>
  <c r="B1166"/>
  <c r="D1166" s="1"/>
  <c r="B1165"/>
  <c r="D1164"/>
  <c r="B1164"/>
  <c r="D1163"/>
  <c r="B1163"/>
  <c r="B1162"/>
  <c r="B1161"/>
  <c r="D1161" s="1"/>
  <c r="D1160"/>
  <c r="B1160"/>
  <c r="B1159"/>
  <c r="D1159" s="1"/>
  <c r="B1158"/>
  <c r="D1158" s="1"/>
  <c r="B1157"/>
  <c r="D1156"/>
  <c r="B1156"/>
  <c r="D1155"/>
  <c r="B1155"/>
  <c r="B1154"/>
  <c r="B1153"/>
  <c r="D1153" s="1"/>
  <c r="D1152"/>
  <c r="B1152"/>
  <c r="B1151"/>
  <c r="D1151" s="1"/>
  <c r="B1150"/>
  <c r="D1150" s="1"/>
  <c r="B1149"/>
  <c r="D1148"/>
  <c r="B1148"/>
  <c r="D1147"/>
  <c r="B1147"/>
  <c r="B1146"/>
  <c r="B1145"/>
  <c r="D1145" s="1"/>
  <c r="D1144"/>
  <c r="B1144"/>
  <c r="B1143"/>
  <c r="D1143" s="1"/>
  <c r="B1142"/>
  <c r="D1142" s="1"/>
  <c r="B1141"/>
  <c r="D1140"/>
  <c r="B1140"/>
  <c r="D1139"/>
  <c r="B1139"/>
  <c r="B1138"/>
  <c r="B1137"/>
  <c r="D1137" s="1"/>
  <c r="D1136"/>
  <c r="B1136"/>
  <c r="B1135"/>
  <c r="D1135" s="1"/>
  <c r="B1134"/>
  <c r="D1134" s="1"/>
  <c r="B1133"/>
  <c r="D1132"/>
  <c r="B1132"/>
  <c r="D1131"/>
  <c r="B1131"/>
  <c r="B1130"/>
  <c r="B1129"/>
  <c r="D1129" s="1"/>
  <c r="D1128"/>
  <c r="B1128"/>
  <c r="B1127"/>
  <c r="D1127" s="1"/>
  <c r="B1126"/>
  <c r="D1126" s="1"/>
  <c r="B1125"/>
  <c r="D1124"/>
  <c r="B1124"/>
  <c r="D1123"/>
  <c r="B1123"/>
  <c r="B1122"/>
  <c r="B1121"/>
  <c r="D1121" s="1"/>
  <c r="D1120"/>
  <c r="B1120"/>
  <c r="B1119"/>
  <c r="D1119" s="1"/>
  <c r="B1118"/>
  <c r="D1118" s="1"/>
  <c r="B1117"/>
  <c r="D1116"/>
  <c r="B1116"/>
  <c r="D1115"/>
  <c r="B1115"/>
  <c r="B1114"/>
  <c r="B1113"/>
  <c r="D1113" s="1"/>
  <c r="D1112"/>
  <c r="B1112"/>
  <c r="B1111"/>
  <c r="D1111" s="1"/>
  <c r="B1110"/>
  <c r="D1110" s="1"/>
  <c r="E1109"/>
  <c r="D1109"/>
  <c r="B1109"/>
  <c r="D1108"/>
  <c r="B1108"/>
  <c r="D1107"/>
  <c r="B1107"/>
  <c r="D1106"/>
  <c r="B1106"/>
  <c r="B1105"/>
  <c r="D1105" s="1"/>
  <c r="D1104"/>
  <c r="B1104"/>
  <c r="B1103"/>
  <c r="D1103" s="1"/>
  <c r="D1102"/>
  <c r="B1102"/>
  <c r="B1101"/>
  <c r="D1101" s="1"/>
  <c r="D1100"/>
  <c r="B1100"/>
  <c r="D1099"/>
  <c r="B1099"/>
  <c r="B1098"/>
  <c r="D1098" s="1"/>
  <c r="B1097"/>
  <c r="D1097" s="1"/>
  <c r="D1096"/>
  <c r="B1096"/>
  <c r="D1095"/>
  <c r="B1095"/>
  <c r="D1094"/>
  <c r="B1094"/>
  <c r="B1093"/>
  <c r="D1093" s="1"/>
  <c r="D1092"/>
  <c r="B1092"/>
  <c r="D1091"/>
  <c r="B1091"/>
  <c r="D1090"/>
  <c r="B1090"/>
  <c r="B1089"/>
  <c r="D1089" s="1"/>
  <c r="D1088"/>
  <c r="B1088"/>
  <c r="B1087"/>
  <c r="D1087" s="1"/>
  <c r="D1086"/>
  <c r="B1086"/>
  <c r="B1085"/>
  <c r="D1085" s="1"/>
  <c r="D1084"/>
  <c r="B1084"/>
  <c r="D1083"/>
  <c r="B1083"/>
  <c r="B1082"/>
  <c r="D1082" s="1"/>
  <c r="B1081"/>
  <c r="D1081" s="1"/>
  <c r="D1080"/>
  <c r="B1080"/>
  <c r="D1079"/>
  <c r="B1079"/>
  <c r="D1078"/>
  <c r="B1078"/>
  <c r="B1077"/>
  <c r="D1077" s="1"/>
  <c r="D1076"/>
  <c r="B1076"/>
  <c r="D1075"/>
  <c r="B1075"/>
  <c r="D1074"/>
  <c r="B1074"/>
  <c r="B1073"/>
  <c r="D1073" s="1"/>
  <c r="D1072"/>
  <c r="B1072"/>
  <c r="B1071"/>
  <c r="D1070"/>
  <c r="B1070"/>
  <c r="B1069"/>
  <c r="D1068"/>
  <c r="B1068"/>
  <c r="D1067"/>
  <c r="B1067"/>
  <c r="B1066"/>
  <c r="B1065"/>
  <c r="D1065" s="1"/>
  <c r="D1064"/>
  <c r="B1064"/>
  <c r="D1063"/>
  <c r="B1063"/>
  <c r="D1062"/>
  <c r="B1062"/>
  <c r="B1061"/>
  <c r="D1061" s="1"/>
  <c r="D1060"/>
  <c r="B1060"/>
  <c r="D1059"/>
  <c r="B1059"/>
  <c r="D1058"/>
  <c r="B1058"/>
  <c r="B1057"/>
  <c r="D1057" s="1"/>
  <c r="D1056"/>
  <c r="B1056"/>
  <c r="B1055"/>
  <c r="D1055" s="1"/>
  <c r="D1054"/>
  <c r="B1054"/>
  <c r="B1053"/>
  <c r="D1053" s="1"/>
  <c r="D1052"/>
  <c r="B1052"/>
  <c r="D1051"/>
  <c r="B1051"/>
  <c r="B1050"/>
  <c r="D1050" s="1"/>
  <c r="B1049"/>
  <c r="D1049" s="1"/>
  <c r="D1048"/>
  <c r="B1048"/>
  <c r="D1047"/>
  <c r="B1047"/>
  <c r="D1046"/>
  <c r="B1046"/>
  <c r="B1045"/>
  <c r="D1045" s="1"/>
  <c r="D1044"/>
  <c r="B1044"/>
  <c r="D1043"/>
  <c r="B1043"/>
  <c r="D1042"/>
  <c r="B1042"/>
  <c r="B1041"/>
  <c r="D1041" s="1"/>
  <c r="D1040"/>
  <c r="B1040"/>
  <c r="B1039"/>
  <c r="D1038"/>
  <c r="B1038"/>
  <c r="B1037"/>
  <c r="D1036"/>
  <c r="B1036"/>
  <c r="D1035"/>
  <c r="B1035"/>
  <c r="B1034"/>
  <c r="B1033"/>
  <c r="D1033" s="1"/>
  <c r="D1032"/>
  <c r="B1032"/>
  <c r="D1031"/>
  <c r="B1031"/>
  <c r="D1030"/>
  <c r="B1030"/>
  <c r="B1029"/>
  <c r="D1029" s="1"/>
  <c r="D1028"/>
  <c r="B1028"/>
  <c r="D1027"/>
  <c r="B1027"/>
  <c r="D1026"/>
  <c r="B1026"/>
  <c r="B1025"/>
  <c r="D1025" s="1"/>
  <c r="D1024"/>
  <c r="B1024"/>
  <c r="B1023"/>
  <c r="D1023" s="1"/>
  <c r="D1022"/>
  <c r="B1022"/>
  <c r="B1021"/>
  <c r="D1021" s="1"/>
  <c r="D1020"/>
  <c r="B1020"/>
  <c r="D1019"/>
  <c r="B1019"/>
  <c r="B1018"/>
  <c r="D1018" s="1"/>
  <c r="B1017"/>
  <c r="D1017" s="1"/>
  <c r="D1016"/>
  <c r="B1016"/>
  <c r="D1015"/>
  <c r="B1015"/>
  <c r="D1014"/>
  <c r="B1014"/>
  <c r="B1013"/>
  <c r="D1013" s="1"/>
  <c r="D1012"/>
  <c r="B1012"/>
  <c r="D1011"/>
  <c r="B1011"/>
  <c r="D1010"/>
  <c r="B1010"/>
  <c r="B1009"/>
  <c r="D1009" s="1"/>
  <c r="D1008"/>
  <c r="B1008"/>
  <c r="B1007"/>
  <c r="D1006"/>
  <c r="B1006"/>
  <c r="B1005"/>
  <c r="D1004"/>
  <c r="B1004"/>
  <c r="D1003"/>
  <c r="B1003"/>
  <c r="B1002"/>
  <c r="B1001"/>
  <c r="D1001" s="1"/>
  <c r="E1000"/>
  <c r="D1000"/>
  <c r="B1000"/>
  <c r="D999"/>
  <c r="B999"/>
  <c r="B998"/>
  <c r="D998" s="1"/>
  <c r="D997"/>
  <c r="B997"/>
  <c r="B996"/>
  <c r="D996" s="1"/>
  <c r="D995"/>
  <c r="B995"/>
  <c r="B994"/>
  <c r="D993"/>
  <c r="B993"/>
  <c r="B992"/>
  <c r="D992" s="1"/>
  <c r="B991"/>
  <c r="B990"/>
  <c r="D990" s="1"/>
  <c r="D989"/>
  <c r="B989"/>
  <c r="B988"/>
  <c r="D988" s="1"/>
  <c r="D987"/>
  <c r="B987"/>
  <c r="B986"/>
  <c r="D985"/>
  <c r="B985"/>
  <c r="B984"/>
  <c r="D984" s="1"/>
  <c r="B983"/>
  <c r="D982"/>
  <c r="B982"/>
  <c r="D981"/>
  <c r="B981"/>
  <c r="D980"/>
  <c r="B980"/>
  <c r="B979"/>
  <c r="D979" s="1"/>
  <c r="D978"/>
  <c r="B978"/>
  <c r="D977"/>
  <c r="B977"/>
  <c r="D976"/>
  <c r="B976"/>
  <c r="B975"/>
  <c r="D975" s="1"/>
  <c r="D974"/>
  <c r="B974"/>
  <c r="D973"/>
  <c r="B973"/>
  <c r="D972"/>
  <c r="B972"/>
  <c r="B971"/>
  <c r="D971" s="1"/>
  <c r="D970"/>
  <c r="B970"/>
  <c r="D969"/>
  <c r="B969"/>
  <c r="D968"/>
  <c r="B968"/>
  <c r="B967"/>
  <c r="D967" s="1"/>
  <c r="D966"/>
  <c r="B966"/>
  <c r="D965"/>
  <c r="B965"/>
  <c r="D964"/>
  <c r="B964"/>
  <c r="B963"/>
  <c r="D963" s="1"/>
  <c r="D962"/>
  <c r="B962"/>
  <c r="D961"/>
  <c r="B961"/>
  <c r="D960"/>
  <c r="B960"/>
  <c r="B959"/>
  <c r="D959" s="1"/>
  <c r="D958"/>
  <c r="B958"/>
  <c r="D957"/>
  <c r="B957"/>
  <c r="D956"/>
  <c r="B956"/>
  <c r="B955"/>
  <c r="D955" s="1"/>
  <c r="D954"/>
  <c r="B954"/>
  <c r="D953"/>
  <c r="B953"/>
  <c r="D952"/>
  <c r="B952"/>
  <c r="B951"/>
  <c r="D951" s="1"/>
  <c r="D950"/>
  <c r="B950"/>
  <c r="D949"/>
  <c r="B949"/>
  <c r="D948"/>
  <c r="B948"/>
  <c r="B947"/>
  <c r="D947" s="1"/>
  <c r="D946"/>
  <c r="B946"/>
  <c r="D945"/>
  <c r="B945"/>
  <c r="D944"/>
  <c r="B944"/>
  <c r="B943"/>
  <c r="D943" s="1"/>
  <c r="D942"/>
  <c r="B942"/>
  <c r="D941"/>
  <c r="B941"/>
  <c r="D940"/>
  <c r="B940"/>
  <c r="B939"/>
  <c r="D939" s="1"/>
  <c r="D938"/>
  <c r="B938"/>
  <c r="D937"/>
  <c r="B937"/>
  <c r="D936"/>
  <c r="B936"/>
  <c r="B935"/>
  <c r="D935" s="1"/>
  <c r="D934"/>
  <c r="B934"/>
  <c r="D933"/>
  <c r="B933"/>
  <c r="D932"/>
  <c r="B932"/>
  <c r="B931"/>
  <c r="D931" s="1"/>
  <c r="D930"/>
  <c r="B930"/>
  <c r="D929"/>
  <c r="B929"/>
  <c r="D928"/>
  <c r="B928"/>
  <c r="B927"/>
  <c r="D927" s="1"/>
  <c r="D926"/>
  <c r="B926"/>
  <c r="D925"/>
  <c r="B925"/>
  <c r="D924"/>
  <c r="B924"/>
  <c r="B923"/>
  <c r="D923" s="1"/>
  <c r="D922"/>
  <c r="B922"/>
  <c r="D921"/>
  <c r="B921"/>
  <c r="D920"/>
  <c r="B920"/>
  <c r="B919"/>
  <c r="D919" s="1"/>
  <c r="D918"/>
  <c r="B918"/>
  <c r="D917"/>
  <c r="B917"/>
  <c r="D916"/>
  <c r="B916"/>
  <c r="B915"/>
  <c r="D915" s="1"/>
  <c r="D914"/>
  <c r="B914"/>
  <c r="D913"/>
  <c r="B913"/>
  <c r="D912"/>
  <c r="B912"/>
  <c r="B911"/>
  <c r="D911" s="1"/>
  <c r="D910"/>
  <c r="B910"/>
  <c r="D909"/>
  <c r="B909"/>
  <c r="D908"/>
  <c r="B908"/>
  <c r="B907"/>
  <c r="D907" s="1"/>
  <c r="D906"/>
  <c r="B906"/>
  <c r="D905"/>
  <c r="B905"/>
  <c r="D904"/>
  <c r="B904"/>
  <c r="B903"/>
  <c r="D903" s="1"/>
  <c r="D902"/>
  <c r="B902"/>
  <c r="D901"/>
  <c r="B901"/>
  <c r="D900"/>
  <c r="B900"/>
  <c r="B899"/>
  <c r="D899" s="1"/>
  <c r="D898"/>
  <c r="B898"/>
  <c r="D897"/>
  <c r="B897"/>
  <c r="D896"/>
  <c r="B896"/>
  <c r="B895"/>
  <c r="D895" s="1"/>
  <c r="D894"/>
  <c r="B894"/>
  <c r="D893"/>
  <c r="B893"/>
  <c r="D892"/>
  <c r="B892"/>
  <c r="B891"/>
  <c r="D891" s="1"/>
  <c r="E890"/>
  <c r="D890"/>
  <c r="B890"/>
  <c r="D889"/>
  <c r="B889"/>
  <c r="D888"/>
  <c r="B888"/>
  <c r="B887"/>
  <c r="D887" s="1"/>
  <c r="D886"/>
  <c r="B886"/>
  <c r="D885"/>
  <c r="B885"/>
  <c r="D884"/>
  <c r="B884"/>
  <c r="B883"/>
  <c r="D883" s="1"/>
  <c r="D882"/>
  <c r="B882"/>
  <c r="D881"/>
  <c r="B881"/>
  <c r="D880"/>
  <c r="B880"/>
  <c r="B879"/>
  <c r="D879" s="1"/>
  <c r="D878"/>
  <c r="B878"/>
  <c r="D877"/>
  <c r="B877"/>
  <c r="D876"/>
  <c r="B876"/>
  <c r="B875"/>
  <c r="D875" s="1"/>
  <c r="D874"/>
  <c r="B874"/>
  <c r="D873"/>
  <c r="B873"/>
  <c r="D872"/>
  <c r="B872"/>
  <c r="B871"/>
  <c r="D871" s="1"/>
  <c r="D870"/>
  <c r="B870"/>
  <c r="D869"/>
  <c r="B869"/>
  <c r="D868"/>
  <c r="B868"/>
  <c r="B867"/>
  <c r="D867" s="1"/>
  <c r="D866"/>
  <c r="B866"/>
  <c r="D865"/>
  <c r="B865"/>
  <c r="D864"/>
  <c r="B864"/>
  <c r="B863"/>
  <c r="D863" s="1"/>
  <c r="D862"/>
  <c r="B862"/>
  <c r="D861"/>
  <c r="B861"/>
  <c r="D860"/>
  <c r="B860"/>
  <c r="B859"/>
  <c r="D859" s="1"/>
  <c r="D858"/>
  <c r="B858"/>
  <c r="D857"/>
  <c r="B857"/>
  <c r="D856"/>
  <c r="B856"/>
  <c r="B855"/>
  <c r="D855" s="1"/>
  <c r="D854"/>
  <c r="B854"/>
  <c r="D853"/>
  <c r="B853"/>
  <c r="D852"/>
  <c r="B852"/>
  <c r="B851"/>
  <c r="D851" s="1"/>
  <c r="D850"/>
  <c r="B850"/>
  <c r="D849"/>
  <c r="B849"/>
  <c r="D848"/>
  <c r="B848"/>
  <c r="B847"/>
  <c r="D847" s="1"/>
  <c r="D846"/>
  <c r="B846"/>
  <c r="D845"/>
  <c r="B845"/>
  <c r="D844"/>
  <c r="B844"/>
  <c r="B843"/>
  <c r="D843" s="1"/>
  <c r="D842"/>
  <c r="B842"/>
  <c r="D841"/>
  <c r="B841"/>
  <c r="D840"/>
  <c r="B840"/>
  <c r="B839"/>
  <c r="D839" s="1"/>
  <c r="D838"/>
  <c r="B838"/>
  <c r="D837"/>
  <c r="B837"/>
  <c r="D836"/>
  <c r="B836"/>
  <c r="B835"/>
  <c r="D835" s="1"/>
  <c r="D834"/>
  <c r="B834"/>
  <c r="D833"/>
  <c r="B833"/>
  <c r="D832"/>
  <c r="B832"/>
  <c r="B831"/>
  <c r="D831" s="1"/>
  <c r="D830"/>
  <c r="B830"/>
  <c r="D829"/>
  <c r="B829"/>
  <c r="D828"/>
  <c r="B828"/>
  <c r="B827"/>
  <c r="D827" s="1"/>
  <c r="D826"/>
  <c r="B826"/>
  <c r="D825"/>
  <c r="B825"/>
  <c r="D824"/>
  <c r="B824"/>
  <c r="B823"/>
  <c r="D823" s="1"/>
  <c r="D822"/>
  <c r="B822"/>
  <c r="D821"/>
  <c r="B821"/>
  <c r="D820"/>
  <c r="B820"/>
  <c r="B819"/>
  <c r="D819" s="1"/>
  <c r="D818"/>
  <c r="B818"/>
  <c r="D817"/>
  <c r="B817"/>
  <c r="D816"/>
  <c r="B816"/>
  <c r="B815"/>
  <c r="D815" s="1"/>
  <c r="D814"/>
  <c r="B814"/>
  <c r="D813"/>
  <c r="B813"/>
  <c r="D812"/>
  <c r="B812"/>
  <c r="B811"/>
  <c r="D811" s="1"/>
  <c r="D810"/>
  <c r="B810"/>
  <c r="D809"/>
  <c r="B809"/>
  <c r="D808"/>
  <c r="B808"/>
  <c r="B807"/>
  <c r="D807" s="1"/>
  <c r="D806"/>
  <c r="B806"/>
  <c r="D805"/>
  <c r="B805"/>
  <c r="D804"/>
  <c r="B804"/>
  <c r="B803"/>
  <c r="D803" s="1"/>
  <c r="D802"/>
  <c r="B802"/>
  <c r="D801"/>
  <c r="B801"/>
  <c r="D800"/>
  <c r="B800"/>
  <c r="B799"/>
  <c r="D799" s="1"/>
  <c r="D798"/>
  <c r="B798"/>
  <c r="D797"/>
  <c r="B797"/>
  <c r="D796"/>
  <c r="B796"/>
  <c r="B795"/>
  <c r="D795" s="1"/>
  <c r="E794"/>
  <c r="D794"/>
  <c r="B794"/>
  <c r="D793"/>
  <c r="B793"/>
  <c r="E792"/>
  <c r="D792"/>
  <c r="B792"/>
  <c r="B791"/>
  <c r="D790"/>
  <c r="B790"/>
  <c r="B789"/>
  <c r="D789" s="1"/>
  <c r="B788"/>
  <c r="B787"/>
  <c r="D786"/>
  <c r="B786"/>
  <c r="B785"/>
  <c r="D785" s="1"/>
  <c r="E784"/>
  <c r="D784"/>
  <c r="B784"/>
  <c r="B783"/>
  <c r="D783" s="1"/>
  <c r="D782"/>
  <c r="B782"/>
  <c r="D781"/>
  <c r="B781"/>
  <c r="D780"/>
  <c r="B780"/>
  <c r="B779"/>
  <c r="D779" s="1"/>
  <c r="D778"/>
  <c r="B778"/>
  <c r="D777"/>
  <c r="B777"/>
  <c r="D776"/>
  <c r="B776"/>
  <c r="B775"/>
  <c r="D775" s="1"/>
  <c r="D774"/>
  <c r="B774"/>
  <c r="D773"/>
  <c r="B773"/>
  <c r="D772"/>
  <c r="B772"/>
  <c r="B771"/>
  <c r="D771" s="1"/>
  <c r="D770"/>
  <c r="B770"/>
  <c r="D769"/>
  <c r="B769"/>
  <c r="D768"/>
  <c r="B768"/>
  <c r="B767"/>
  <c r="D767" s="1"/>
  <c r="D766"/>
  <c r="B766"/>
  <c r="D765"/>
  <c r="B765"/>
  <c r="D764"/>
  <c r="B764"/>
  <c r="E763"/>
  <c r="D763"/>
  <c r="B763"/>
  <c r="D762"/>
  <c r="B762"/>
  <c r="B761"/>
  <c r="D761" s="1"/>
  <c r="B760"/>
  <c r="B759"/>
  <c r="D758"/>
  <c r="B758"/>
  <c r="B757"/>
  <c r="D757" s="1"/>
  <c r="B756"/>
  <c r="B755"/>
  <c r="D754"/>
  <c r="B754"/>
  <c r="B753"/>
  <c r="D753" s="1"/>
  <c r="B752"/>
  <c r="B751"/>
  <c r="D750"/>
  <c r="B750"/>
  <c r="B749"/>
  <c r="D749" s="1"/>
  <c r="B748"/>
  <c r="B747"/>
  <c r="D746"/>
  <c r="B746"/>
  <c r="B745"/>
  <c r="D745" s="1"/>
  <c r="E744"/>
  <c r="D744"/>
  <c r="B744"/>
  <c r="B743"/>
  <c r="D743" s="1"/>
  <c r="D742"/>
  <c r="B742"/>
  <c r="D741"/>
  <c r="B741"/>
  <c r="D740"/>
  <c r="B740"/>
  <c r="B739"/>
  <c r="D739" s="1"/>
  <c r="D738"/>
  <c r="B738"/>
  <c r="D737"/>
  <c r="B737"/>
  <c r="D736"/>
  <c r="B736"/>
  <c r="B735"/>
  <c r="D735" s="1"/>
  <c r="D734"/>
  <c r="B734"/>
  <c r="D733"/>
  <c r="B733"/>
  <c r="D732"/>
  <c r="B732"/>
  <c r="B731"/>
  <c r="D731" s="1"/>
  <c r="D730"/>
  <c r="B730"/>
  <c r="D729"/>
  <c r="B729"/>
  <c r="D728"/>
  <c r="B728"/>
  <c r="B727"/>
  <c r="D727" s="1"/>
  <c r="D726"/>
  <c r="B726"/>
  <c r="D725"/>
  <c r="B725"/>
  <c r="D724"/>
  <c r="B724"/>
  <c r="B723"/>
  <c r="D723" s="1"/>
  <c r="D722"/>
  <c r="B722"/>
  <c r="D721"/>
  <c r="B721"/>
  <c r="B720"/>
  <c r="D720" s="1"/>
  <c r="B719"/>
  <c r="D719" s="1"/>
  <c r="D718"/>
  <c r="B718"/>
  <c r="E717"/>
  <c r="D717"/>
  <c r="B717"/>
  <c r="D716"/>
  <c r="B716"/>
  <c r="D715"/>
  <c r="B715"/>
  <c r="B714"/>
  <c r="D714" s="1"/>
  <c r="D713"/>
  <c r="B713"/>
  <c r="B712"/>
  <c r="D712" s="1"/>
  <c r="D711"/>
  <c r="B711"/>
  <c r="D710"/>
  <c r="B710"/>
  <c r="B709"/>
  <c r="D709" s="1"/>
  <c r="B708"/>
  <c r="D708" s="1"/>
  <c r="D707"/>
  <c r="B707"/>
  <c r="B706"/>
  <c r="D705"/>
  <c r="B705"/>
  <c r="B704"/>
  <c r="D704" s="1"/>
  <c r="D703"/>
  <c r="B703"/>
  <c r="D702"/>
  <c r="B702"/>
  <c r="B701"/>
  <c r="B700"/>
  <c r="D700" s="1"/>
  <c r="D699"/>
  <c r="B699"/>
  <c r="D698"/>
  <c r="B698"/>
  <c r="D697"/>
  <c r="B697"/>
  <c r="B696"/>
  <c r="D696" s="1"/>
  <c r="D695"/>
  <c r="B695"/>
  <c r="D694"/>
  <c r="B694"/>
  <c r="D693"/>
  <c r="B693"/>
  <c r="B692"/>
  <c r="D692" s="1"/>
  <c r="D691"/>
  <c r="B691"/>
  <c r="B690"/>
  <c r="D690" s="1"/>
  <c r="D689"/>
  <c r="B689"/>
  <c r="B688"/>
  <c r="D688" s="1"/>
  <c r="D687"/>
  <c r="B687"/>
  <c r="D686"/>
  <c r="B686"/>
  <c r="B685"/>
  <c r="D685" s="1"/>
  <c r="B684"/>
  <c r="D684" s="1"/>
  <c r="D683"/>
  <c r="B683"/>
  <c r="B682"/>
  <c r="D682" s="1"/>
  <c r="D681"/>
  <c r="B681"/>
  <c r="B680"/>
  <c r="D680" s="1"/>
  <c r="D679"/>
  <c r="B679"/>
  <c r="D678"/>
  <c r="B678"/>
  <c r="B677"/>
  <c r="D677" s="1"/>
  <c r="B676"/>
  <c r="D676" s="1"/>
  <c r="D675"/>
  <c r="B675"/>
  <c r="B674"/>
  <c r="D673"/>
  <c r="B673"/>
  <c r="B672"/>
  <c r="D672" s="1"/>
  <c r="D671"/>
  <c r="B671"/>
  <c r="D670"/>
  <c r="B670"/>
  <c r="B669"/>
  <c r="B668"/>
  <c r="D668" s="1"/>
  <c r="D667"/>
  <c r="B667"/>
  <c r="D666"/>
  <c r="B666"/>
  <c r="D665"/>
  <c r="B665"/>
  <c r="B664"/>
  <c r="D664" s="1"/>
  <c r="D663"/>
  <c r="B663"/>
  <c r="D662"/>
  <c r="B662"/>
  <c r="D661"/>
  <c r="B661"/>
  <c r="B660"/>
  <c r="D660" s="1"/>
  <c r="D659"/>
  <c r="B659"/>
  <c r="B658"/>
  <c r="D658" s="1"/>
  <c r="D657"/>
  <c r="B657"/>
  <c r="B656"/>
  <c r="D656" s="1"/>
  <c r="D655"/>
  <c r="B655"/>
  <c r="D654"/>
  <c r="B654"/>
  <c r="B653"/>
  <c r="D653" s="1"/>
  <c r="B652"/>
  <c r="D652" s="1"/>
  <c r="D651"/>
  <c r="B651"/>
  <c r="B650"/>
  <c r="D650" s="1"/>
  <c r="D649"/>
  <c r="B649"/>
  <c r="B648"/>
  <c r="D648" s="1"/>
  <c r="D647"/>
  <c r="B647"/>
  <c r="D646"/>
  <c r="B646"/>
  <c r="B645"/>
  <c r="D645" s="1"/>
  <c r="B644"/>
  <c r="D644" s="1"/>
  <c r="D643"/>
  <c r="B643"/>
  <c r="B642"/>
  <c r="D641"/>
  <c r="B641"/>
  <c r="E640"/>
  <c r="D640"/>
  <c r="B640"/>
  <c r="D639"/>
  <c r="B639"/>
  <c r="B638"/>
  <c r="D638" s="1"/>
  <c r="D637"/>
  <c r="B637"/>
  <c r="B636"/>
  <c r="D635"/>
  <c r="B635"/>
  <c r="B634"/>
  <c r="D634" s="1"/>
  <c r="B633"/>
  <c r="B632"/>
  <c r="D632" s="1"/>
  <c r="D631"/>
  <c r="B631"/>
  <c r="B630"/>
  <c r="D630" s="1"/>
  <c r="D629"/>
  <c r="B629"/>
  <c r="B628"/>
  <c r="D627"/>
  <c r="B627"/>
  <c r="B626"/>
  <c r="D626" s="1"/>
  <c r="B625"/>
  <c r="B624"/>
  <c r="D624" s="1"/>
  <c r="D623"/>
  <c r="B623"/>
  <c r="B622"/>
  <c r="D622" s="1"/>
  <c r="D621"/>
  <c r="B621"/>
  <c r="B620"/>
  <c r="D619"/>
  <c r="B619"/>
  <c r="B618"/>
  <c r="D618" s="1"/>
  <c r="B617"/>
  <c r="B616"/>
  <c r="D616" s="1"/>
  <c r="D615"/>
  <c r="B615"/>
  <c r="B614"/>
  <c r="D614" s="1"/>
  <c r="E613"/>
  <c r="D613"/>
  <c r="B613"/>
  <c r="D612"/>
  <c r="B612"/>
  <c r="B611"/>
  <c r="D611" s="1"/>
  <c r="B610"/>
  <c r="D610" s="1"/>
  <c r="B609"/>
  <c r="D608"/>
  <c r="B608"/>
  <c r="B607"/>
  <c r="E607" s="1"/>
  <c r="B606"/>
  <c r="B605"/>
  <c r="D605" s="1"/>
  <c r="D604"/>
  <c r="B604"/>
  <c r="B603"/>
  <c r="D603" s="1"/>
  <c r="B602"/>
  <c r="D602" s="1"/>
  <c r="B601"/>
  <c r="D600"/>
  <c r="B600"/>
  <c r="B599"/>
  <c r="E599" s="1"/>
  <c r="B598"/>
  <c r="B597"/>
  <c r="D597" s="1"/>
  <c r="D596"/>
  <c r="B596"/>
  <c r="B595"/>
  <c r="D595" s="1"/>
  <c r="B594"/>
  <c r="D594" s="1"/>
  <c r="B593"/>
  <c r="D592"/>
  <c r="B592"/>
  <c r="B591"/>
  <c r="E591" s="1"/>
  <c r="B590"/>
  <c r="B589"/>
  <c r="D589" s="1"/>
  <c r="D588"/>
  <c r="B588"/>
  <c r="B587"/>
  <c r="D587" s="1"/>
  <c r="B586"/>
  <c r="D586" s="1"/>
  <c r="B585"/>
  <c r="D584"/>
  <c r="B584"/>
  <c r="B583"/>
  <c r="E583" s="1"/>
  <c r="B582"/>
  <c r="B581"/>
  <c r="D581" s="1"/>
  <c r="D580"/>
  <c r="B580"/>
  <c r="B579"/>
  <c r="D579" s="1"/>
  <c r="B578"/>
  <c r="D578" s="1"/>
  <c r="B577"/>
  <c r="D576"/>
  <c r="B576"/>
  <c r="B575"/>
  <c r="E575" s="1"/>
  <c r="B574"/>
  <c r="B573"/>
  <c r="D573" s="1"/>
  <c r="D572"/>
  <c r="B572"/>
  <c r="B571"/>
  <c r="D571" s="1"/>
  <c r="B570"/>
  <c r="D570" s="1"/>
  <c r="B569"/>
  <c r="D568"/>
  <c r="B568"/>
  <c r="B567"/>
  <c r="E567" s="1"/>
  <c r="B566"/>
  <c r="B565"/>
  <c r="D565" s="1"/>
  <c r="D564"/>
  <c r="B564"/>
  <c r="B563"/>
  <c r="D563" s="1"/>
  <c r="B562"/>
  <c r="D562" s="1"/>
  <c r="B561"/>
  <c r="D560"/>
  <c r="B560"/>
  <c r="B559"/>
  <c r="E559" s="1"/>
  <c r="B558"/>
  <c r="B557"/>
  <c r="D557" s="1"/>
  <c r="D556"/>
  <c r="B556"/>
  <c r="B555"/>
  <c r="D555" s="1"/>
  <c r="B554"/>
  <c r="D554" s="1"/>
  <c r="B553"/>
  <c r="D552"/>
  <c r="B552"/>
  <c r="B551"/>
  <c r="E551" s="1"/>
  <c r="B550"/>
  <c r="B549"/>
  <c r="D549" s="1"/>
  <c r="D548"/>
  <c r="B548"/>
  <c r="B547"/>
  <c r="D547" s="1"/>
  <c r="B546"/>
  <c r="D546" s="1"/>
  <c r="B545"/>
  <c r="D544"/>
  <c r="B544"/>
  <c r="B543"/>
  <c r="E543" s="1"/>
  <c r="B542"/>
  <c r="B541"/>
  <c r="D541" s="1"/>
  <c r="D540"/>
  <c r="B540"/>
  <c r="B539"/>
  <c r="D539" s="1"/>
  <c r="B538"/>
  <c r="D538" s="1"/>
  <c r="B537"/>
  <c r="D536"/>
  <c r="B536"/>
  <c r="E535"/>
  <c r="D535"/>
  <c r="B535"/>
  <c r="B534"/>
  <c r="B533"/>
  <c r="D533" s="1"/>
  <c r="D532"/>
  <c r="B532"/>
  <c r="B531"/>
  <c r="D531" s="1"/>
  <c r="B530"/>
  <c r="D530" s="1"/>
  <c r="B529"/>
  <c r="D528"/>
  <c r="B528"/>
  <c r="B527"/>
  <c r="E527" s="1"/>
  <c r="B526"/>
  <c r="B525"/>
  <c r="D525" s="1"/>
  <c r="D524"/>
  <c r="B524"/>
  <c r="B523"/>
  <c r="D523" s="1"/>
  <c r="B522"/>
  <c r="D522" s="1"/>
  <c r="B521"/>
  <c r="D520"/>
  <c r="B520"/>
  <c r="B519"/>
  <c r="E519" s="1"/>
  <c r="B518"/>
  <c r="B517"/>
  <c r="D517" s="1"/>
  <c r="D516"/>
  <c r="B516"/>
  <c r="B515"/>
  <c r="D515" s="1"/>
  <c r="B514"/>
  <c r="D514" s="1"/>
  <c r="B513"/>
  <c r="D512"/>
  <c r="B512"/>
  <c r="B511"/>
  <c r="E511" s="1"/>
  <c r="B510"/>
  <c r="B509"/>
  <c r="D509" s="1"/>
  <c r="D508"/>
  <c r="B508"/>
  <c r="B507"/>
  <c r="D507" s="1"/>
  <c r="B506"/>
  <c r="D506" s="1"/>
  <c r="B505"/>
  <c r="D504"/>
  <c r="B504"/>
  <c r="B503"/>
  <c r="E503" s="1"/>
  <c r="B502"/>
  <c r="B501"/>
  <c r="D501" s="1"/>
  <c r="D500"/>
  <c r="B500"/>
  <c r="B499"/>
  <c r="D499" s="1"/>
  <c r="B498"/>
  <c r="D498" s="1"/>
  <c r="B497"/>
  <c r="D496"/>
  <c r="B496"/>
  <c r="B495"/>
  <c r="E495" s="1"/>
  <c r="B494"/>
  <c r="B493"/>
  <c r="D493" s="1"/>
  <c r="D492"/>
  <c r="B492"/>
  <c r="B491"/>
  <c r="D491" s="1"/>
  <c r="B490"/>
  <c r="D490" s="1"/>
  <c r="B489"/>
  <c r="D488"/>
  <c r="B488"/>
  <c r="B487"/>
  <c r="E487" s="1"/>
  <c r="B486"/>
  <c r="B485"/>
  <c r="D485" s="1"/>
  <c r="D484"/>
  <c r="B484"/>
  <c r="B483"/>
  <c r="D483" s="1"/>
  <c r="B482"/>
  <c r="D482" s="1"/>
  <c r="B481"/>
  <c r="D480"/>
  <c r="B480"/>
  <c r="B479"/>
  <c r="E479" s="1"/>
  <c r="B478"/>
  <c r="B477"/>
  <c r="D477" s="1"/>
  <c r="D476"/>
  <c r="B476"/>
  <c r="B475"/>
  <c r="D475" s="1"/>
  <c r="B474"/>
  <c r="D474" s="1"/>
  <c r="B473"/>
  <c r="D472"/>
  <c r="B472"/>
  <c r="B471"/>
  <c r="E471" s="1"/>
  <c r="B470"/>
  <c r="B469"/>
  <c r="D469" s="1"/>
  <c r="D468"/>
  <c r="B468"/>
  <c r="B467"/>
  <c r="D467" s="1"/>
  <c r="B466"/>
  <c r="D466" s="1"/>
  <c r="B465"/>
  <c r="D464"/>
  <c r="B464"/>
  <c r="B463"/>
  <c r="E463" s="1"/>
  <c r="B462"/>
  <c r="B461"/>
  <c r="D461" s="1"/>
  <c r="D460"/>
  <c r="B460"/>
  <c r="B459"/>
  <c r="D459" s="1"/>
  <c r="B458"/>
  <c r="D458" s="1"/>
  <c r="B457"/>
  <c r="D456"/>
  <c r="B456"/>
  <c r="D455"/>
  <c r="B455"/>
  <c r="E455" s="1"/>
  <c r="B454"/>
  <c r="B453"/>
  <c r="D453" s="1"/>
  <c r="D452"/>
  <c r="B452"/>
  <c r="B451"/>
  <c r="D451" s="1"/>
  <c r="B450"/>
  <c r="D450" s="1"/>
  <c r="B449"/>
  <c r="D448"/>
  <c r="B448"/>
  <c r="D447"/>
  <c r="B447"/>
  <c r="E447" s="1"/>
  <c r="B446"/>
  <c r="B445"/>
  <c r="D445" s="1"/>
  <c r="D444"/>
  <c r="B444"/>
  <c r="B443"/>
  <c r="D443" s="1"/>
  <c r="B442"/>
  <c r="D442" s="1"/>
  <c r="B441"/>
  <c r="D440"/>
  <c r="B440"/>
  <c r="D439"/>
  <c r="B439"/>
  <c r="E439" s="1"/>
  <c r="B438"/>
  <c r="B437"/>
  <c r="D437" s="1"/>
  <c r="D436"/>
  <c r="B436"/>
  <c r="B435"/>
  <c r="D435" s="1"/>
  <c r="D434"/>
  <c r="B434"/>
  <c r="B433"/>
  <c r="D432"/>
  <c r="B432"/>
  <c r="D431"/>
  <c r="B431"/>
  <c r="E431" s="1"/>
  <c r="B430"/>
  <c r="B429"/>
  <c r="D429" s="1"/>
  <c r="D428"/>
  <c r="B428"/>
  <c r="B427"/>
  <c r="D427" s="1"/>
  <c r="D426"/>
  <c r="B426"/>
  <c r="B425"/>
  <c r="D424"/>
  <c r="B424"/>
  <c r="D423"/>
  <c r="B423"/>
  <c r="E423" s="1"/>
  <c r="B422"/>
  <c r="B421"/>
  <c r="D421" s="1"/>
  <c r="D420"/>
  <c r="B420"/>
  <c r="B419"/>
  <c r="D419" s="1"/>
  <c r="D418"/>
  <c r="B418"/>
  <c r="B417"/>
  <c r="D416"/>
  <c r="B416"/>
  <c r="D415"/>
  <c r="B415"/>
  <c r="E415" s="1"/>
  <c r="E414"/>
  <c r="D414"/>
  <c r="B414"/>
  <c r="B413"/>
  <c r="D413" s="1"/>
  <c r="D412"/>
  <c r="B412"/>
  <c r="D411"/>
  <c r="B411"/>
  <c r="D410"/>
  <c r="B410"/>
  <c r="B409"/>
  <c r="D409" s="1"/>
  <c r="D408"/>
  <c r="B408"/>
  <c r="D407"/>
  <c r="B407"/>
  <c r="D406"/>
  <c r="B406"/>
  <c r="B405"/>
  <c r="D405" s="1"/>
  <c r="D404"/>
  <c r="B404"/>
  <c r="D403"/>
  <c r="B403"/>
  <c r="D402"/>
  <c r="B402"/>
  <c r="B401"/>
  <c r="D401" s="1"/>
  <c r="D400"/>
  <c r="B400"/>
  <c r="D399"/>
  <c r="B399"/>
  <c r="D398"/>
  <c r="B398"/>
  <c r="B397"/>
  <c r="D397" s="1"/>
  <c r="D396"/>
  <c r="B396"/>
  <c r="D395"/>
  <c r="B395"/>
  <c r="D394"/>
  <c r="B394"/>
  <c r="D393"/>
  <c r="B393"/>
  <c r="B392"/>
  <c r="B391"/>
  <c r="D391" s="1"/>
  <c r="E390"/>
  <c r="D390"/>
  <c r="B390"/>
  <c r="B389"/>
  <c r="D389" s="1"/>
  <c r="D388"/>
  <c r="B388"/>
  <c r="B387"/>
  <c r="D387" s="1"/>
  <c r="D386"/>
  <c r="B386"/>
  <c r="D385"/>
  <c r="B385"/>
  <c r="B384"/>
  <c r="B383"/>
  <c r="D383" s="1"/>
  <c r="D382"/>
  <c r="B382"/>
  <c r="B381"/>
  <c r="D381" s="1"/>
  <c r="D380"/>
  <c r="B380"/>
  <c r="B379"/>
  <c r="D379" s="1"/>
  <c r="D378"/>
  <c r="B378"/>
  <c r="D377"/>
  <c r="B377"/>
  <c r="B376"/>
  <c r="B375"/>
  <c r="D375" s="1"/>
  <c r="D374"/>
  <c r="B374"/>
  <c r="E373"/>
  <c r="D373"/>
  <c r="B373"/>
  <c r="D372"/>
  <c r="B372"/>
  <c r="B371"/>
  <c r="D371" s="1"/>
  <c r="D370"/>
  <c r="B370"/>
  <c r="D369"/>
  <c r="B369"/>
  <c r="B368"/>
  <c r="B367"/>
  <c r="D367" s="1"/>
  <c r="D366"/>
  <c r="B366"/>
  <c r="B365"/>
  <c r="D365" s="1"/>
  <c r="D364"/>
  <c r="B364"/>
  <c r="B363"/>
  <c r="D363" s="1"/>
  <c r="D362"/>
  <c r="B362"/>
  <c r="D361"/>
  <c r="B361"/>
  <c r="B360"/>
  <c r="B359"/>
  <c r="D359" s="1"/>
  <c r="D358"/>
  <c r="B358"/>
  <c r="B357"/>
  <c r="D357" s="1"/>
  <c r="D356"/>
  <c r="B356"/>
  <c r="B355"/>
  <c r="D355" s="1"/>
  <c r="D354"/>
  <c r="B354"/>
  <c r="D353"/>
  <c r="B353"/>
  <c r="B352"/>
  <c r="B351"/>
  <c r="D351" s="1"/>
  <c r="D350"/>
  <c r="B350"/>
  <c r="B349"/>
  <c r="D349" s="1"/>
  <c r="D348"/>
  <c r="B348"/>
  <c r="B347"/>
  <c r="D347" s="1"/>
  <c r="D346"/>
  <c r="B346"/>
  <c r="D345"/>
  <c r="B345"/>
  <c r="B344"/>
  <c r="B343"/>
  <c r="D343" s="1"/>
  <c r="D342"/>
  <c r="B342"/>
  <c r="B341"/>
  <c r="D341" s="1"/>
  <c r="D340"/>
  <c r="B340"/>
  <c r="B339"/>
  <c r="D339" s="1"/>
  <c r="D338"/>
  <c r="B338"/>
  <c r="D337"/>
  <c r="B337"/>
  <c r="B336"/>
  <c r="E335"/>
  <c r="D335"/>
  <c r="B335"/>
  <c r="D334"/>
  <c r="B334"/>
  <c r="D333"/>
  <c r="B333"/>
  <c r="E333" s="1"/>
  <c r="D332"/>
  <c r="B332"/>
  <c r="B331"/>
  <c r="D331" s="1"/>
  <c r="D330"/>
  <c r="B330"/>
  <c r="D329"/>
  <c r="B329"/>
  <c r="D328"/>
  <c r="B328"/>
  <c r="B327"/>
  <c r="D327" s="1"/>
  <c r="D326"/>
  <c r="B326"/>
  <c r="D325"/>
  <c r="B325"/>
  <c r="E325" s="1"/>
  <c r="D324"/>
  <c r="B324"/>
  <c r="B323"/>
  <c r="D323" s="1"/>
  <c r="D322"/>
  <c r="B322"/>
  <c r="D321"/>
  <c r="B321"/>
  <c r="D320"/>
  <c r="B320"/>
  <c r="B319"/>
  <c r="D319" s="1"/>
  <c r="D318"/>
  <c r="B318"/>
  <c r="D317"/>
  <c r="B317"/>
  <c r="E317" s="1"/>
  <c r="D316"/>
  <c r="B316"/>
  <c r="B315"/>
  <c r="D315" s="1"/>
  <c r="D314"/>
  <c r="B314"/>
  <c r="D313"/>
  <c r="B313"/>
  <c r="D312"/>
  <c r="B312"/>
  <c r="B311"/>
  <c r="D311" s="1"/>
  <c r="D310"/>
  <c r="B310"/>
  <c r="D309"/>
  <c r="B309"/>
  <c r="E309" s="1"/>
  <c r="D308"/>
  <c r="B308"/>
  <c r="E307"/>
  <c r="D307"/>
  <c r="B307"/>
  <c r="D306"/>
  <c r="B306"/>
  <c r="D305"/>
  <c r="B305"/>
  <c r="B304"/>
  <c r="D304" s="1"/>
  <c r="D303"/>
  <c r="B303"/>
  <c r="D302"/>
  <c r="B302"/>
  <c r="B301"/>
  <c r="B300"/>
  <c r="D300" s="1"/>
  <c r="D299"/>
  <c r="B299"/>
  <c r="B298"/>
  <c r="D298" s="1"/>
  <c r="D297"/>
  <c r="B297"/>
  <c r="B296"/>
  <c r="D296" s="1"/>
  <c r="D295"/>
  <c r="B295"/>
  <c r="D294"/>
  <c r="B294"/>
  <c r="B293"/>
  <c r="B292"/>
  <c r="D292" s="1"/>
  <c r="D291"/>
  <c r="B291"/>
  <c r="B290"/>
  <c r="D290" s="1"/>
  <c r="D289"/>
  <c r="B289"/>
  <c r="B288"/>
  <c r="D288" s="1"/>
  <c r="D287"/>
  <c r="B287"/>
  <c r="D286"/>
  <c r="B286"/>
  <c r="B285"/>
  <c r="B284"/>
  <c r="D284" s="1"/>
  <c r="D283"/>
  <c r="B283"/>
  <c r="B282"/>
  <c r="D282" s="1"/>
  <c r="D281"/>
  <c r="B281"/>
  <c r="B280"/>
  <c r="D280" s="1"/>
  <c r="D279"/>
  <c r="B279"/>
  <c r="D278"/>
  <c r="B278"/>
  <c r="B277"/>
  <c r="B276"/>
  <c r="D276" s="1"/>
  <c r="D275"/>
  <c r="B275"/>
  <c r="B274"/>
  <c r="D274" s="1"/>
  <c r="D273"/>
  <c r="B273"/>
  <c r="B272"/>
  <c r="D272" s="1"/>
  <c r="D271"/>
  <c r="B271"/>
  <c r="D270"/>
  <c r="B270"/>
  <c r="B269"/>
  <c r="B268"/>
  <c r="D268" s="1"/>
  <c r="D267"/>
  <c r="B267"/>
  <c r="E267" s="1"/>
  <c r="B266"/>
  <c r="D266" s="1"/>
  <c r="D265"/>
  <c r="B265"/>
  <c r="D264"/>
  <c r="B264"/>
  <c r="D263"/>
  <c r="B263"/>
  <c r="E263" s="1"/>
  <c r="B262"/>
  <c r="D262" s="1"/>
  <c r="D261"/>
  <c r="B261"/>
  <c r="D260"/>
  <c r="B260"/>
  <c r="D259"/>
  <c r="B259"/>
  <c r="E259" s="1"/>
  <c r="B258"/>
  <c r="D258" s="1"/>
  <c r="D257"/>
  <c r="B257"/>
  <c r="D256"/>
  <c r="B256"/>
  <c r="D255"/>
  <c r="B255"/>
  <c r="E255" s="1"/>
  <c r="B254"/>
  <c r="D254" s="1"/>
  <c r="D253"/>
  <c r="B253"/>
  <c r="D252"/>
  <c r="B252"/>
  <c r="D251"/>
  <c r="B251"/>
  <c r="E251" s="1"/>
  <c r="B250"/>
  <c r="D250" s="1"/>
  <c r="D249"/>
  <c r="B249"/>
  <c r="D248"/>
  <c r="B248"/>
  <c r="D247"/>
  <c r="B247"/>
  <c r="E247" s="1"/>
  <c r="B246"/>
  <c r="D246" s="1"/>
  <c r="D245"/>
  <c r="B245"/>
  <c r="D244"/>
  <c r="B244"/>
  <c r="D243"/>
  <c r="B243"/>
  <c r="E243" s="1"/>
  <c r="B242"/>
  <c r="D242" s="1"/>
  <c r="D241"/>
  <c r="B241"/>
  <c r="D240"/>
  <c r="B240"/>
  <c r="D239"/>
  <c r="B239"/>
  <c r="E239" s="1"/>
  <c r="B238"/>
  <c r="D238" s="1"/>
  <c r="D237"/>
  <c r="B237"/>
  <c r="D236"/>
  <c r="B236"/>
  <c r="D235"/>
  <c r="B235"/>
  <c r="E235" s="1"/>
  <c r="B234"/>
  <c r="D234" s="1"/>
  <c r="D233"/>
  <c r="B233"/>
  <c r="D232"/>
  <c r="B232"/>
  <c r="D231"/>
  <c r="B231"/>
  <c r="E231" s="1"/>
  <c r="B230"/>
  <c r="D230" s="1"/>
  <c r="D229"/>
  <c r="B229"/>
  <c r="D228"/>
  <c r="B228"/>
  <c r="D227"/>
  <c r="B227"/>
  <c r="E227" s="1"/>
  <c r="B226"/>
  <c r="D226" s="1"/>
  <c r="D225"/>
  <c r="B225"/>
  <c r="D224"/>
  <c r="B224"/>
  <c r="D223"/>
  <c r="B223"/>
  <c r="E223" s="1"/>
  <c r="B222"/>
  <c r="D222" s="1"/>
  <c r="D221"/>
  <c r="B221"/>
  <c r="D220"/>
  <c r="B220"/>
  <c r="D219"/>
  <c r="B219"/>
  <c r="E219" s="1"/>
  <c r="B218"/>
  <c r="D218" s="1"/>
  <c r="D217"/>
  <c r="B217"/>
  <c r="D216"/>
  <c r="B216"/>
  <c r="D215"/>
  <c r="B215"/>
  <c r="E215" s="1"/>
  <c r="B214"/>
  <c r="D214" s="1"/>
  <c r="D213"/>
  <c r="B213"/>
  <c r="D212"/>
  <c r="B212"/>
  <c r="D211"/>
  <c r="B211"/>
  <c r="E211" s="1"/>
  <c r="B210"/>
  <c r="D210" s="1"/>
  <c r="E209"/>
  <c r="D209"/>
  <c r="B209"/>
  <c r="D208"/>
  <c r="B208"/>
  <c r="D207"/>
  <c r="B207"/>
  <c r="E207" s="1"/>
  <c r="B206"/>
  <c r="D206" s="1"/>
  <c r="D205"/>
  <c r="B205"/>
  <c r="D204"/>
  <c r="B204"/>
  <c r="D203"/>
  <c r="B203"/>
  <c r="E203" s="1"/>
  <c r="B202"/>
  <c r="D202" s="1"/>
  <c r="D201"/>
  <c r="B201"/>
  <c r="D200"/>
  <c r="B200"/>
  <c r="D199"/>
  <c r="B199"/>
  <c r="E199" s="1"/>
  <c r="B198"/>
  <c r="D198" s="1"/>
  <c r="D197"/>
  <c r="B197"/>
  <c r="D196"/>
  <c r="B196"/>
  <c r="D195"/>
  <c r="B195"/>
  <c r="E195" s="1"/>
  <c r="B194"/>
  <c r="D194" s="1"/>
  <c r="D193"/>
  <c r="B193"/>
  <c r="D192"/>
  <c r="B192"/>
  <c r="D191"/>
  <c r="B191"/>
  <c r="E191" s="1"/>
  <c r="B190"/>
  <c r="D190" s="1"/>
  <c r="D189"/>
  <c r="B189"/>
  <c r="D188"/>
  <c r="B188"/>
  <c r="D187"/>
  <c r="B187"/>
  <c r="E187" s="1"/>
  <c r="B186"/>
  <c r="D186" s="1"/>
  <c r="D185"/>
  <c r="B185"/>
  <c r="D184"/>
  <c r="B184"/>
  <c r="D183"/>
  <c r="B183"/>
  <c r="E183" s="1"/>
  <c r="B182"/>
  <c r="D182" s="1"/>
  <c r="D181"/>
  <c r="B181"/>
  <c r="D180"/>
  <c r="B180"/>
  <c r="D179"/>
  <c r="B179"/>
  <c r="E179" s="1"/>
  <c r="B178"/>
  <c r="D178" s="1"/>
  <c r="D177"/>
  <c r="B177"/>
  <c r="D176"/>
  <c r="B176"/>
  <c r="D175"/>
  <c r="B175"/>
  <c r="E175" s="1"/>
  <c r="B174"/>
  <c r="D174" s="1"/>
  <c r="D173"/>
  <c r="B173"/>
  <c r="E172"/>
  <c r="D172"/>
  <c r="B172"/>
  <c r="D171"/>
  <c r="B171"/>
  <c r="E171" s="1"/>
  <c r="B170"/>
  <c r="D170" s="1"/>
  <c r="D169"/>
  <c r="B169"/>
  <c r="D168"/>
  <c r="B168"/>
  <c r="D167"/>
  <c r="B167"/>
  <c r="E167" s="1"/>
  <c r="B166"/>
  <c r="D166" s="1"/>
  <c r="D165"/>
  <c r="B165"/>
  <c r="D164"/>
  <c r="B164"/>
  <c r="D163"/>
  <c r="B163"/>
  <c r="E163" s="1"/>
  <c r="B162"/>
  <c r="D162" s="1"/>
  <c r="D161"/>
  <c r="B161"/>
  <c r="D160"/>
  <c r="B160"/>
  <c r="D159"/>
  <c r="B159"/>
  <c r="E159" s="1"/>
  <c r="B158"/>
  <c r="D158" s="1"/>
  <c r="D157"/>
  <c r="B157"/>
  <c r="D156"/>
  <c r="B156"/>
  <c r="D155"/>
  <c r="B155"/>
  <c r="E155" s="1"/>
  <c r="B154"/>
  <c r="D154" s="1"/>
  <c r="D153"/>
  <c r="B153"/>
  <c r="D152"/>
  <c r="B152"/>
  <c r="D151"/>
  <c r="B151"/>
  <c r="E151" s="1"/>
  <c r="B150"/>
  <c r="D150" s="1"/>
  <c r="D149"/>
  <c r="B149"/>
  <c r="D148"/>
  <c r="B148"/>
  <c r="D147"/>
  <c r="B147"/>
  <c r="E147" s="1"/>
  <c r="B146"/>
  <c r="D146" s="1"/>
  <c r="D145"/>
  <c r="B145"/>
  <c r="D144"/>
  <c r="B144"/>
  <c r="D143"/>
  <c r="B143"/>
  <c r="E143" s="1"/>
  <c r="B142"/>
  <c r="D142" s="1"/>
  <c r="D141"/>
  <c r="B141"/>
  <c r="D140"/>
  <c r="B140"/>
  <c r="D139"/>
  <c r="B139"/>
  <c r="E139" s="1"/>
  <c r="B138"/>
  <c r="D138" s="1"/>
  <c r="D137"/>
  <c r="B137"/>
  <c r="D136"/>
  <c r="B136"/>
  <c r="D135"/>
  <c r="B135"/>
  <c r="E135" s="1"/>
  <c r="B134"/>
  <c r="D134" s="1"/>
  <c r="D133"/>
  <c r="B133"/>
  <c r="D132"/>
  <c r="B132"/>
  <c r="D131"/>
  <c r="B131"/>
  <c r="E131" s="1"/>
  <c r="B130"/>
  <c r="D130" s="1"/>
  <c r="D129"/>
  <c r="B129"/>
  <c r="D128"/>
  <c r="B128"/>
  <c r="D127"/>
  <c r="B127"/>
  <c r="E127" s="1"/>
  <c r="B126"/>
  <c r="D126" s="1"/>
  <c r="D125"/>
  <c r="B125"/>
  <c r="D124"/>
  <c r="B124"/>
  <c r="D123"/>
  <c r="B123"/>
  <c r="E123" s="1"/>
  <c r="B122"/>
  <c r="D122" s="1"/>
  <c r="D121"/>
  <c r="B121"/>
  <c r="D120"/>
  <c r="B120"/>
  <c r="D119"/>
  <c r="B119"/>
  <c r="E119" s="1"/>
  <c r="B118"/>
  <c r="D118" s="1"/>
  <c r="D117"/>
  <c r="B117"/>
  <c r="D116"/>
  <c r="B116"/>
  <c r="D115"/>
  <c r="B115"/>
  <c r="E115" s="1"/>
  <c r="B114"/>
  <c r="D114" s="1"/>
  <c r="D113"/>
  <c r="B113"/>
  <c r="D112"/>
  <c r="B112"/>
  <c r="E111"/>
  <c r="D111"/>
  <c r="B111"/>
  <c r="B110"/>
  <c r="D110" s="1"/>
  <c r="D109"/>
  <c r="B109"/>
  <c r="D108"/>
  <c r="B108"/>
  <c r="D107"/>
  <c r="B107"/>
  <c r="E107" s="1"/>
  <c r="B106"/>
  <c r="D106" s="1"/>
  <c r="D105"/>
  <c r="B105"/>
  <c r="D104"/>
  <c r="B104"/>
  <c r="D103"/>
  <c r="B103"/>
  <c r="E103" s="1"/>
  <c r="B102"/>
  <c r="D102" s="1"/>
  <c r="D101"/>
  <c r="B101"/>
  <c r="D100"/>
  <c r="B100"/>
  <c r="D99"/>
  <c r="B99"/>
  <c r="E99" s="1"/>
  <c r="B98"/>
  <c r="D98" s="1"/>
  <c r="D97"/>
  <c r="B97"/>
  <c r="D96"/>
  <c r="B96"/>
  <c r="D95"/>
  <c r="B95"/>
  <c r="E95" s="1"/>
  <c r="B94"/>
  <c r="D94" s="1"/>
  <c r="D93"/>
  <c r="B93"/>
  <c r="D92"/>
  <c r="B92"/>
  <c r="D91"/>
  <c r="B91"/>
  <c r="E91" s="1"/>
  <c r="B90"/>
  <c r="D90" s="1"/>
  <c r="D89"/>
  <c r="B89"/>
  <c r="D88"/>
  <c r="B88"/>
  <c r="D87"/>
  <c r="B87"/>
  <c r="E87" s="1"/>
  <c r="B86"/>
  <c r="D86" s="1"/>
  <c r="D85"/>
  <c r="B85"/>
  <c r="D84"/>
  <c r="B84"/>
  <c r="D83"/>
  <c r="B83"/>
  <c r="E83" s="1"/>
  <c r="B82"/>
  <c r="D82" s="1"/>
  <c r="D81"/>
  <c r="B81"/>
  <c r="D80"/>
  <c r="B80"/>
  <c r="D79"/>
  <c r="B79"/>
  <c r="E79" s="1"/>
  <c r="B78"/>
  <c r="D78" s="1"/>
  <c r="D77"/>
  <c r="B77"/>
  <c r="D76"/>
  <c r="B76"/>
  <c r="D75"/>
  <c r="B75"/>
  <c r="E75" s="1"/>
  <c r="B74"/>
  <c r="D74" s="1"/>
  <c r="D73"/>
  <c r="B73"/>
  <c r="D72"/>
  <c r="B72"/>
  <c r="D71"/>
  <c r="B71"/>
  <c r="E71" s="1"/>
  <c r="B70"/>
  <c r="D70" s="1"/>
  <c r="D69"/>
  <c r="B69"/>
  <c r="D68"/>
  <c r="B68"/>
  <c r="D67"/>
  <c r="B67"/>
  <c r="E67" s="1"/>
  <c r="B66"/>
  <c r="D66" s="1"/>
  <c r="E65"/>
  <c r="D65"/>
  <c r="B65"/>
  <c r="D64"/>
  <c r="B64"/>
  <c r="D63"/>
  <c r="B63"/>
  <c r="E63" s="1"/>
  <c r="E62"/>
  <c r="D62"/>
  <c r="B62"/>
  <c r="D61"/>
  <c r="B61"/>
  <c r="D60"/>
  <c r="B60"/>
  <c r="D59"/>
  <c r="B59"/>
  <c r="E59" s="1"/>
  <c r="B58"/>
  <c r="D58" s="1"/>
  <c r="D57"/>
  <c r="B57"/>
  <c r="D56"/>
  <c r="B56"/>
  <c r="D55"/>
  <c r="B55"/>
  <c r="E55" s="1"/>
  <c r="B54"/>
  <c r="D54" s="1"/>
  <c r="D53"/>
  <c r="B53"/>
  <c r="D52"/>
  <c r="B52"/>
  <c r="D51"/>
  <c r="B51"/>
  <c r="E51" s="1"/>
  <c r="B50"/>
  <c r="D50" s="1"/>
  <c r="D49"/>
  <c r="B49"/>
  <c r="D48"/>
  <c r="B48"/>
  <c r="D47"/>
  <c r="B47"/>
  <c r="E47" s="1"/>
  <c r="B46"/>
  <c r="D46" s="1"/>
  <c r="D45"/>
  <c r="B45"/>
  <c r="D44"/>
  <c r="B44"/>
  <c r="D43"/>
  <c r="B43"/>
  <c r="E43" s="1"/>
  <c r="B42"/>
  <c r="D42" s="1"/>
  <c r="D41"/>
  <c r="B41"/>
  <c r="D40"/>
  <c r="B40"/>
  <c r="D39"/>
  <c r="B39"/>
  <c r="E39" s="1"/>
  <c r="B38"/>
  <c r="D38" s="1"/>
  <c r="D37"/>
  <c r="B37"/>
  <c r="D36"/>
  <c r="B36"/>
  <c r="D35"/>
  <c r="B35"/>
  <c r="E35" s="1"/>
  <c r="B34"/>
  <c r="D34" s="1"/>
  <c r="D33"/>
  <c r="B33"/>
  <c r="D32"/>
  <c r="B32"/>
  <c r="D31"/>
  <c r="B31"/>
  <c r="E31" s="1"/>
  <c r="E30"/>
  <c r="D30"/>
  <c r="B30"/>
  <c r="D29"/>
  <c r="B29"/>
  <c r="D28"/>
  <c r="B28"/>
  <c r="D27"/>
  <c r="B27"/>
  <c r="E27" s="1"/>
  <c r="B26"/>
  <c r="D26" s="1"/>
  <c r="D25"/>
  <c r="B25"/>
  <c r="D24"/>
  <c r="B24"/>
  <c r="D23"/>
  <c r="B23"/>
  <c r="E23" s="1"/>
  <c r="B22"/>
  <c r="D22" s="1"/>
  <c r="D21"/>
  <c r="B21"/>
  <c r="D20"/>
  <c r="B20"/>
  <c r="D19"/>
  <c r="B19"/>
  <c r="E19" s="1"/>
  <c r="B18"/>
  <c r="D18" s="1"/>
  <c r="D17"/>
  <c r="B17"/>
  <c r="D16"/>
  <c r="B16"/>
  <c r="D15"/>
  <c r="B15"/>
  <c r="E15" s="1"/>
  <c r="B14"/>
  <c r="D14" s="1"/>
  <c r="D13"/>
  <c r="B13"/>
  <c r="D12"/>
  <c r="B12"/>
  <c r="D11"/>
  <c r="B11"/>
  <c r="E11" s="1"/>
  <c r="B10"/>
  <c r="D10" s="1"/>
  <c r="D9"/>
  <c r="B9"/>
  <c r="D8"/>
  <c r="B8"/>
  <c r="D7"/>
  <c r="B7"/>
  <c r="E7" s="1"/>
  <c r="B6"/>
  <c r="D6" s="1"/>
  <c r="D5"/>
  <c r="B5"/>
  <c r="D4"/>
  <c r="B4"/>
  <c r="E3"/>
  <c r="D3"/>
  <c r="B3"/>
  <c r="D272" i="4"/>
  <c r="D271"/>
  <c r="D270"/>
  <c r="D269"/>
  <c r="E4736" i="5" s="1"/>
  <c r="D268" i="4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E4021" i="5" s="1"/>
  <c r="D247" i="4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E3565" i="5" s="1"/>
  <c r="D220" i="4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E3332" i="5" s="1"/>
  <c r="D201" i="4"/>
  <c r="D200"/>
  <c r="E3320" i="5" s="1"/>
  <c r="D199" i="4"/>
  <c r="D198"/>
  <c r="E3304" i="5" s="1"/>
  <c r="D197" i="4"/>
  <c r="D196"/>
  <c r="D195"/>
  <c r="D194"/>
  <c r="D193"/>
  <c r="D192"/>
  <c r="D191"/>
  <c r="D190"/>
  <c r="D189"/>
  <c r="D188"/>
  <c r="D187"/>
  <c r="D186"/>
  <c r="D185"/>
  <c r="D184"/>
  <c r="D183"/>
  <c r="D182"/>
  <c r="D181"/>
  <c r="E3076" i="5" s="1"/>
  <c r="D180" i="4"/>
  <c r="E3075" i="5" s="1"/>
  <c r="D179" i="4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E2498" i="5" s="1"/>
  <c r="D158" i="4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E1516" i="5" s="1"/>
  <c r="D105" i="4"/>
  <c r="D104"/>
  <c r="D103"/>
  <c r="E1484" i="5" s="1"/>
  <c r="D102" i="4"/>
  <c r="D101"/>
  <c r="D100"/>
  <c r="D99"/>
  <c r="D98"/>
  <c r="D97"/>
  <c r="D96"/>
  <c r="D95"/>
  <c r="D94"/>
  <c r="D93"/>
  <c r="D92"/>
  <c r="D91"/>
  <c r="D90"/>
  <c r="D89"/>
  <c r="D88"/>
  <c r="E1196" i="5" s="1"/>
  <c r="D87" i="4"/>
  <c r="D86"/>
  <c r="E1192" i="5" s="1"/>
  <c r="D85" i="4"/>
  <c r="D84"/>
  <c r="D83"/>
  <c r="D82"/>
  <c r="D81"/>
  <c r="D80"/>
  <c r="D79"/>
  <c r="E1067" i="5" s="1"/>
  <c r="D78" i="4"/>
  <c r="D77"/>
  <c r="E1003" i="5" s="1"/>
  <c r="D76" i="4"/>
  <c r="E992" i="5" s="1"/>
  <c r="D75" i="4"/>
  <c r="E966" i="5" s="1"/>
  <c r="D74" i="4"/>
  <c r="D73"/>
  <c r="E921" i="5" s="1"/>
  <c r="D72" i="4"/>
  <c r="E914" i="5" s="1"/>
  <c r="D71" i="4"/>
  <c r="E897" i="5" s="1"/>
  <c r="D70" i="4"/>
  <c r="D69"/>
  <c r="E865" i="5" s="1"/>
  <c r="D68" i="4"/>
  <c r="E863" i="5" s="1"/>
  <c r="D67" i="4"/>
  <c r="E809" i="5" s="1"/>
  <c r="D66" i="4"/>
  <c r="E801" i="5" s="1"/>
  <c r="D65" i="4"/>
  <c r="E793" i="5" s="1"/>
  <c r="D64" i="4"/>
  <c r="D63"/>
  <c r="E783" i="5" s="1"/>
  <c r="D62" i="4"/>
  <c r="E765" i="5" s="1"/>
  <c r="D61" i="4"/>
  <c r="E757" i="5" s="1"/>
  <c r="D60" i="4"/>
  <c r="E743" i="5" s="1"/>
  <c r="D59" i="4"/>
  <c r="E715" i="5" s="1"/>
  <c r="D58" i="4"/>
  <c r="E711" i="5" s="1"/>
  <c r="D57" i="4"/>
  <c r="E699" i="5" s="1"/>
  <c r="D56" i="4"/>
  <c r="E639" i="5" s="1"/>
  <c r="D55" i="4"/>
  <c r="E627" i="5" s="1"/>
  <c r="D54" i="4"/>
  <c r="D53"/>
  <c r="E584" i="5" s="1"/>
  <c r="D52" i="4"/>
  <c r="E540" i="5" s="1"/>
  <c r="D51" i="4"/>
  <c r="E528" i="5" s="1"/>
  <c r="D50" i="4"/>
  <c r="E496" i="5" s="1"/>
  <c r="D49" i="4"/>
  <c r="E488" i="5" s="1"/>
  <c r="D48" i="4"/>
  <c r="E444" i="5" s="1"/>
  <c r="D47" i="4"/>
  <c r="E436" i="5" s="1"/>
  <c r="D46" i="4"/>
  <c r="E432" i="5" s="1"/>
  <c r="D45" i="4"/>
  <c r="E424" i="5" s="1"/>
  <c r="D44" i="4"/>
  <c r="E412" i="5" s="1"/>
  <c r="D43" i="4"/>
  <c r="E407" i="5" s="1"/>
  <c r="D42" i="4"/>
  <c r="E382" i="5" s="1"/>
  <c r="D41" i="4"/>
  <c r="D40"/>
  <c r="E374" i="5" s="1"/>
  <c r="D39" i="4"/>
  <c r="E366" i="5" s="1"/>
  <c r="D38" i="4"/>
  <c r="E358" i="5" s="1"/>
  <c r="D37" i="4"/>
  <c r="E354" i="5" s="1"/>
  <c r="D36" i="4"/>
  <c r="E350" i="5" s="1"/>
  <c r="D35" i="4"/>
  <c r="E334" i="5" s="1"/>
  <c r="D34" i="4"/>
  <c r="E330" i="5" s="1"/>
  <c r="D33" i="4"/>
  <c r="E299" i="5" s="1"/>
  <c r="D32" i="4"/>
  <c r="E291" i="5" s="1"/>
  <c r="D31" i="4"/>
  <c r="E275" i="5" s="1"/>
  <c r="D30" i="4"/>
  <c r="E268" i="5" s="1"/>
  <c r="D29" i="4"/>
  <c r="E261" i="5" s="1"/>
  <c r="D28" i="4"/>
  <c r="E233" i="5" s="1"/>
  <c r="D27" i="4"/>
  <c r="E225" i="5" s="1"/>
  <c r="D26" i="4"/>
  <c r="E221" i="5" s="1"/>
  <c r="D25" i="4"/>
  <c r="E205" i="5" s="1"/>
  <c r="D24" i="4"/>
  <c r="E189" i="5" s="1"/>
  <c r="D23" i="4"/>
  <c r="E185" i="5" s="1"/>
  <c r="D22" i="4"/>
  <c r="E169" i="5" s="1"/>
  <c r="D21" i="4"/>
  <c r="E157" i="5" s="1"/>
  <c r="D20" i="4"/>
  <c r="E153" i="5" s="1"/>
  <c r="D19" i="4"/>
  <c r="E149" i="5" s="1"/>
  <c r="D18" i="4"/>
  <c r="D17"/>
  <c r="E109" i="5" s="1"/>
  <c r="D16" i="4"/>
  <c r="E105" i="5" s="1"/>
  <c r="D15" i="4"/>
  <c r="E101" i="5" s="1"/>
  <c r="D14" i="4"/>
  <c r="E64" i="5" s="1"/>
  <c r="D13" i="4"/>
  <c r="E61" i="5" s="1"/>
  <c r="D12" i="4"/>
  <c r="D11"/>
  <c r="E45" i="5" s="1"/>
  <c r="D10" i="4"/>
  <c r="E41" i="5" s="1"/>
  <c r="D9" i="4"/>
  <c r="E29" i="5" s="1"/>
  <c r="D8" i="4"/>
  <c r="E13" i="5" s="1"/>
  <c r="D7" i="4"/>
  <c r="E9" i="5" s="1"/>
  <c r="D6" i="4"/>
  <c r="E8" i="5" s="1"/>
  <c r="D5" i="4"/>
  <c r="D4"/>
  <c r="D3"/>
  <c r="E5" i="5" s="1"/>
  <c r="D2" i="4"/>
  <c r="E4" i="5" s="1"/>
  <c r="E604" l="1"/>
  <c r="E596"/>
  <c r="E889"/>
  <c r="E881"/>
  <c r="E873"/>
  <c r="E935"/>
  <c r="E930"/>
  <c r="E937"/>
  <c r="E929"/>
  <c r="E1061"/>
  <c r="E1056"/>
  <c r="E1051"/>
  <c r="E1044"/>
  <c r="E1041"/>
  <c r="E1029"/>
  <c r="E1024"/>
  <c r="E1019"/>
  <c r="E1065"/>
  <c r="E1048"/>
  <c r="E1043"/>
  <c r="E1036"/>
  <c r="E1033"/>
  <c r="E1016"/>
  <c r="E1064"/>
  <c r="E1059"/>
  <c r="E1052"/>
  <c r="E1049"/>
  <c r="E1032"/>
  <c r="E1027"/>
  <c r="E1020"/>
  <c r="E1017"/>
  <c r="E1108"/>
  <c r="E1105"/>
  <c r="E1107"/>
  <c r="E1247"/>
  <c r="E1240"/>
  <c r="E1237"/>
  <c r="E1244"/>
  <c r="E1239"/>
  <c r="E1232"/>
  <c r="E1241"/>
  <c r="E1236"/>
  <c r="E1248"/>
  <c r="E1245"/>
  <c r="E1289"/>
  <c r="E1296"/>
  <c r="E1293"/>
  <c r="E1295"/>
  <c r="E1288"/>
  <c r="E1292"/>
  <c r="E1437"/>
  <c r="E1425"/>
  <c r="E1420"/>
  <c r="E1415"/>
  <c r="E1408"/>
  <c r="E1405"/>
  <c r="E1432"/>
  <c r="E1429"/>
  <c r="E1412"/>
  <c r="E1407"/>
  <c r="E1400"/>
  <c r="E1397"/>
  <c r="E1436"/>
  <c r="E1431"/>
  <c r="E1424"/>
  <c r="E1421"/>
  <c r="E1409"/>
  <c r="E1404"/>
  <c r="E1399"/>
  <c r="E1428"/>
  <c r="E1423"/>
  <c r="E1416"/>
  <c r="E1413"/>
  <c r="E1396"/>
  <c r="E1479"/>
  <c r="E1476"/>
  <c r="E1480"/>
  <c r="E1477"/>
  <c r="E1580"/>
  <c r="E1577"/>
  <c r="E1576"/>
  <c r="E1573"/>
  <c r="E1579"/>
  <c r="E1615"/>
  <c r="E1612"/>
  <c r="E1611"/>
  <c r="E1619"/>
  <c r="E1616"/>
  <c r="E1614"/>
  <c r="E1655"/>
  <c r="E1652"/>
  <c r="E1656"/>
  <c r="E1654"/>
  <c r="E1651"/>
  <c r="E1775"/>
  <c r="E1772"/>
  <c r="E1767"/>
  <c r="E1764"/>
  <c r="E1759"/>
  <c r="E1756"/>
  <c r="E1751"/>
  <c r="E1774"/>
  <c r="E1766"/>
  <c r="E1758"/>
  <c r="E1771"/>
  <c r="E1763"/>
  <c r="E1755"/>
  <c r="E1768"/>
  <c r="E1760"/>
  <c r="E1752"/>
  <c r="E1899"/>
  <c r="E1894"/>
  <c r="E1891"/>
  <c r="E1886"/>
  <c r="E1883"/>
  <c r="E1878"/>
  <c r="E1875"/>
  <c r="E1870"/>
  <c r="E1867"/>
  <c r="E1862"/>
  <c r="E1859"/>
  <c r="E1854"/>
  <c r="E1851"/>
  <c r="E1846"/>
  <c r="E1843"/>
  <c r="E1893"/>
  <c r="E1885"/>
  <c r="E1877"/>
  <c r="E1869"/>
  <c r="E1861"/>
  <c r="E1853"/>
  <c r="E1845"/>
  <c r="E1898"/>
  <c r="E1890"/>
  <c r="E1882"/>
  <c r="E1874"/>
  <c r="E1866"/>
  <c r="E1858"/>
  <c r="E1850"/>
  <c r="E1842"/>
  <c r="E1895"/>
  <c r="E1887"/>
  <c r="E1879"/>
  <c r="E1871"/>
  <c r="E1863"/>
  <c r="E1855"/>
  <c r="E1847"/>
  <c r="E1999"/>
  <c r="E1994"/>
  <c r="E1991"/>
  <c r="E1986"/>
  <c r="E1983"/>
  <c r="E1978"/>
  <c r="E1975"/>
  <c r="E1970"/>
  <c r="E1967"/>
  <c r="E1962"/>
  <c r="E1959"/>
  <c r="E1993"/>
  <c r="E1985"/>
  <c r="E1977"/>
  <c r="E1969"/>
  <c r="E1961"/>
  <c r="E1995"/>
  <c r="E1987"/>
  <c r="E1979"/>
  <c r="E1971"/>
  <c r="E1963"/>
  <c r="E1998"/>
  <c r="E1990"/>
  <c r="E1982"/>
  <c r="E1974"/>
  <c r="E1966"/>
  <c r="E1958"/>
  <c r="E2063"/>
  <c r="E2058"/>
  <c r="E2055"/>
  <c r="E2050"/>
  <c r="E2047"/>
  <c r="E2042"/>
  <c r="E2039"/>
  <c r="E2057"/>
  <c r="E2049"/>
  <c r="E2041"/>
  <c r="E2062"/>
  <c r="E2054"/>
  <c r="E2046"/>
  <c r="E2059"/>
  <c r="E2051"/>
  <c r="E2043"/>
  <c r="E2162"/>
  <c r="E2161"/>
  <c r="E2254"/>
  <c r="E2258"/>
  <c r="E2255"/>
  <c r="E2257"/>
  <c r="E2290"/>
  <c r="E2289"/>
  <c r="E2333"/>
  <c r="E2330"/>
  <c r="E2325"/>
  <c r="E2332"/>
  <c r="E2329"/>
  <c r="E2334"/>
  <c r="E2326"/>
  <c r="E2433"/>
  <c r="E2425"/>
  <c r="E2437"/>
  <c r="E2434"/>
  <c r="E2429"/>
  <c r="E2426"/>
  <c r="E2436"/>
  <c r="E2428"/>
  <c r="E2497"/>
  <c r="E2494"/>
  <c r="E2496"/>
  <c r="E2493"/>
  <c r="E2585"/>
  <c r="E2582"/>
  <c r="E2577"/>
  <c r="E2574"/>
  <c r="E2569"/>
  <c r="E2566"/>
  <c r="E2561"/>
  <c r="E2558"/>
  <c r="E2584"/>
  <c r="E2576"/>
  <c r="E2568"/>
  <c r="E2560"/>
  <c r="E2581"/>
  <c r="E2578"/>
  <c r="E2573"/>
  <c r="E2570"/>
  <c r="E2565"/>
  <c r="E2562"/>
  <c r="E2557"/>
  <c r="E2697"/>
  <c r="E2694"/>
  <c r="E2689"/>
  <c r="E2686"/>
  <c r="E2681"/>
  <c r="E2678"/>
  <c r="E2673"/>
  <c r="E2670"/>
  <c r="E2665"/>
  <c r="E2662"/>
  <c r="E2657"/>
  <c r="E2654"/>
  <c r="E2649"/>
  <c r="E2646"/>
  <c r="E2641"/>
  <c r="E2638"/>
  <c r="E2633"/>
  <c r="E2630"/>
  <c r="E2625"/>
  <c r="E2696"/>
  <c r="E2688"/>
  <c r="E2680"/>
  <c r="E2672"/>
  <c r="E2664"/>
  <c r="E2656"/>
  <c r="E2648"/>
  <c r="E2640"/>
  <c r="E2632"/>
  <c r="E2624"/>
  <c r="E2698"/>
  <c r="E2693"/>
  <c r="E2690"/>
  <c r="E2685"/>
  <c r="E2682"/>
  <c r="E2677"/>
  <c r="E2674"/>
  <c r="E2669"/>
  <c r="E2666"/>
  <c r="E2661"/>
  <c r="E2658"/>
  <c r="E2653"/>
  <c r="E2650"/>
  <c r="E2645"/>
  <c r="E2642"/>
  <c r="E2637"/>
  <c r="E2634"/>
  <c r="E2629"/>
  <c r="E2626"/>
  <c r="E2748"/>
  <c r="E2744"/>
  <c r="E2751"/>
  <c r="E2749"/>
  <c r="E2747"/>
  <c r="E2745"/>
  <c r="E2743"/>
  <c r="E2860"/>
  <c r="E2856"/>
  <c r="E2852"/>
  <c r="E2848"/>
  <c r="E2847"/>
  <c r="E2859"/>
  <c r="E2855"/>
  <c r="E2851"/>
  <c r="E3039"/>
  <c r="E3031"/>
  <c r="E3023"/>
  <c r="E3040"/>
  <c r="E3038"/>
  <c r="E3034"/>
  <c r="E3032"/>
  <c r="E3030"/>
  <c r="E3026"/>
  <c r="E3024"/>
  <c r="E3022"/>
  <c r="E3035"/>
  <c r="E3027"/>
  <c r="E3081"/>
  <c r="E3082"/>
  <c r="E3080"/>
  <c r="E3121"/>
  <c r="E3124"/>
  <c r="E3122"/>
  <c r="E3120"/>
  <c r="E3125"/>
  <c r="E3154"/>
  <c r="E3149"/>
  <c r="E3161"/>
  <c r="E3158"/>
  <c r="E3160"/>
  <c r="E3153"/>
  <c r="E3150"/>
  <c r="E3157"/>
  <c r="E3152"/>
  <c r="E3145"/>
  <c r="E3253"/>
  <c r="E3254"/>
  <c r="E3249"/>
  <c r="E3248"/>
  <c r="E3397"/>
  <c r="E3396"/>
  <c r="E3393"/>
  <c r="E3400"/>
  <c r="E3395"/>
  <c r="E3444"/>
  <c r="E3441"/>
  <c r="E3443"/>
  <c r="E3436"/>
  <c r="E3433"/>
  <c r="E3440"/>
  <c r="E3435"/>
  <c r="E3432"/>
  <c r="E3512"/>
  <c r="E3515"/>
  <c r="E3513"/>
  <c r="E3511"/>
  <c r="E3544"/>
  <c r="E3541"/>
  <c r="E3548"/>
  <c r="E3543"/>
  <c r="E3540"/>
  <c r="E3568"/>
  <c r="E3567"/>
  <c r="E3625"/>
  <c r="E3618"/>
  <c r="E3627"/>
  <c r="E3622"/>
  <c r="E3617"/>
  <c r="E3619"/>
  <c r="E3626"/>
  <c r="E3623"/>
  <c r="E3663"/>
  <c r="E3658"/>
  <c r="E3655"/>
  <c r="E3650"/>
  <c r="E3647"/>
  <c r="E3662"/>
  <c r="E3649"/>
  <c r="E3659"/>
  <c r="E3657"/>
  <c r="E3646"/>
  <c r="E3654"/>
  <c r="E3746"/>
  <c r="E3745"/>
  <c r="E3747"/>
  <c r="E3838"/>
  <c r="E3830"/>
  <c r="E3839"/>
  <c r="E3834"/>
  <c r="E3831"/>
  <c r="E3826"/>
  <c r="E3823"/>
  <c r="E3833"/>
  <c r="E3825"/>
  <c r="E3915"/>
  <c r="E3910"/>
  <c r="E3907"/>
  <c r="E3902"/>
  <c r="E3899"/>
  <c r="E3894"/>
  <c r="E3909"/>
  <c r="E3901"/>
  <c r="E3914"/>
  <c r="E3911"/>
  <c r="E3906"/>
  <c r="E3903"/>
  <c r="E3898"/>
  <c r="E3895"/>
  <c r="E4002"/>
  <c r="E3994"/>
  <c r="E3998"/>
  <c r="E3995"/>
  <c r="E3990"/>
  <c r="E3997"/>
  <c r="E3989"/>
  <c r="E4060"/>
  <c r="E4052"/>
  <c r="E4061"/>
  <c r="E4056"/>
  <c r="E4053"/>
  <c r="E4055"/>
  <c r="E4203"/>
  <c r="E4195"/>
  <c r="E4207"/>
  <c r="E4206"/>
  <c r="E4204"/>
  <c r="E4199"/>
  <c r="E4198"/>
  <c r="E4196"/>
  <c r="E4368"/>
  <c r="E4361"/>
  <c r="E4358"/>
  <c r="E4346"/>
  <c r="E4341"/>
  <c r="E4336"/>
  <c r="E4329"/>
  <c r="E4365"/>
  <c r="E4360"/>
  <c r="E4353"/>
  <c r="E4350"/>
  <c r="E4333"/>
  <c r="E4328"/>
  <c r="E4362"/>
  <c r="E4357"/>
  <c r="E4352"/>
  <c r="E4345"/>
  <c r="E4342"/>
  <c r="E4330"/>
  <c r="E4369"/>
  <c r="E4366"/>
  <c r="E4354"/>
  <c r="E4349"/>
  <c r="E4344"/>
  <c r="E4337"/>
  <c r="E4334"/>
  <c r="E4533"/>
  <c r="E4530"/>
  <c r="E4525"/>
  <c r="E4522"/>
  <c r="E4517"/>
  <c r="E4534"/>
  <c r="E4529"/>
  <c r="E4526"/>
  <c r="E4521"/>
  <c r="E4518"/>
  <c r="E4528"/>
  <c r="E4520"/>
  <c r="E4648"/>
  <c r="E4640"/>
  <c r="E4632"/>
  <c r="E4653"/>
  <c r="E4645"/>
  <c r="E4637"/>
  <c r="E4629"/>
  <c r="E4649"/>
  <c r="E4646"/>
  <c r="E4641"/>
  <c r="E4638"/>
  <c r="E4633"/>
  <c r="E4630"/>
  <c r="E4625"/>
  <c r="E4741"/>
  <c r="E4745"/>
  <c r="E4740"/>
  <c r="E4744"/>
  <c r="E4737"/>
  <c r="D620"/>
  <c r="E620"/>
  <c r="D628"/>
  <c r="E628"/>
  <c r="D636"/>
  <c r="E636"/>
  <c r="E748"/>
  <c r="D748"/>
  <c r="E756"/>
  <c r="D756"/>
  <c r="D791"/>
  <c r="E791"/>
  <c r="D986"/>
  <c r="E986"/>
  <c r="D1037"/>
  <c r="E1037"/>
  <c r="E1071"/>
  <c r="D1071"/>
  <c r="E12"/>
  <c r="E16"/>
  <c r="E20"/>
  <c r="E24"/>
  <c r="E28"/>
  <c r="E32"/>
  <c r="E36"/>
  <c r="E40"/>
  <c r="E44"/>
  <c r="E48"/>
  <c r="E52"/>
  <c r="E56"/>
  <c r="E60"/>
  <c r="E68"/>
  <c r="E72"/>
  <c r="E76"/>
  <c r="E80"/>
  <c r="E84"/>
  <c r="E88"/>
  <c r="E92"/>
  <c r="E96"/>
  <c r="E100"/>
  <c r="E104"/>
  <c r="E108"/>
  <c r="E112"/>
  <c r="E116"/>
  <c r="E120"/>
  <c r="E124"/>
  <c r="E128"/>
  <c r="E132"/>
  <c r="E136"/>
  <c r="E140"/>
  <c r="E144"/>
  <c r="E148"/>
  <c r="E152"/>
  <c r="E156"/>
  <c r="E160"/>
  <c r="E164"/>
  <c r="E168"/>
  <c r="E176"/>
  <c r="E180"/>
  <c r="E184"/>
  <c r="E188"/>
  <c r="E192"/>
  <c r="E196"/>
  <c r="E200"/>
  <c r="E204"/>
  <c r="E208"/>
  <c r="E212"/>
  <c r="E216"/>
  <c r="E220"/>
  <c r="E224"/>
  <c r="E228"/>
  <c r="E232"/>
  <c r="E236"/>
  <c r="E240"/>
  <c r="E244"/>
  <c r="E248"/>
  <c r="E252"/>
  <c r="E256"/>
  <c r="E260"/>
  <c r="E264"/>
  <c r="E269"/>
  <c r="E270"/>
  <c r="E277"/>
  <c r="E278"/>
  <c r="E285"/>
  <c r="E286"/>
  <c r="E293"/>
  <c r="E294"/>
  <c r="E301"/>
  <c r="E302"/>
  <c r="E310"/>
  <c r="E315"/>
  <c r="E318"/>
  <c r="E323"/>
  <c r="E326"/>
  <c r="E331"/>
  <c r="E336"/>
  <c r="E337"/>
  <c r="E344"/>
  <c r="E345"/>
  <c r="E352"/>
  <c r="E353"/>
  <c r="E360"/>
  <c r="E361"/>
  <c r="E368"/>
  <c r="E369"/>
  <c r="E376"/>
  <c r="E377"/>
  <c r="E384"/>
  <c r="E385"/>
  <c r="E392"/>
  <c r="E393"/>
  <c r="E405"/>
  <c r="E408"/>
  <c r="E416"/>
  <c r="E440"/>
  <c r="E448"/>
  <c r="E456"/>
  <c r="D463"/>
  <c r="E464"/>
  <c r="D471"/>
  <c r="E472"/>
  <c r="D479"/>
  <c r="E480"/>
  <c r="D487"/>
  <c r="D495"/>
  <c r="D503"/>
  <c r="E504"/>
  <c r="D511"/>
  <c r="E512"/>
  <c r="D519"/>
  <c r="E520"/>
  <c r="D527"/>
  <c r="E536"/>
  <c r="D543"/>
  <c r="E544"/>
  <c r="D551"/>
  <c r="E552"/>
  <c r="D559"/>
  <c r="E560"/>
  <c r="D567"/>
  <c r="E568"/>
  <c r="D575"/>
  <c r="E576"/>
  <c r="D583"/>
  <c r="D591"/>
  <c r="E592"/>
  <c r="D599"/>
  <c r="E600"/>
  <c r="D607"/>
  <c r="E608"/>
  <c r="E614"/>
  <c r="E616"/>
  <c r="E618"/>
  <c r="E622"/>
  <c r="E624"/>
  <c r="E626"/>
  <c r="E630"/>
  <c r="E632"/>
  <c r="E634"/>
  <c r="E638"/>
  <c r="E642"/>
  <c r="E643"/>
  <c r="E648"/>
  <c r="E660"/>
  <c r="E663"/>
  <c r="E669"/>
  <c r="E670"/>
  <c r="E674"/>
  <c r="E675"/>
  <c r="E680"/>
  <c r="E692"/>
  <c r="E695"/>
  <c r="E701"/>
  <c r="E702"/>
  <c r="E706"/>
  <c r="E707"/>
  <c r="E712"/>
  <c r="E722"/>
  <c r="E731"/>
  <c r="E738"/>
  <c r="E745"/>
  <c r="E753"/>
  <c r="E761"/>
  <c r="E766"/>
  <c r="E775"/>
  <c r="E782"/>
  <c r="E803"/>
  <c r="E810"/>
  <c r="E819"/>
  <c r="E826"/>
  <c r="E835"/>
  <c r="E842"/>
  <c r="E851"/>
  <c r="E858"/>
  <c r="E867"/>
  <c r="E874"/>
  <c r="E883"/>
  <c r="E899"/>
  <c r="E906"/>
  <c r="E915"/>
  <c r="E922"/>
  <c r="E988"/>
  <c r="E990"/>
  <c r="E1077"/>
  <c r="E1123"/>
  <c r="E1155"/>
  <c r="E1187"/>
  <c r="E428"/>
  <c r="E420"/>
  <c r="E492"/>
  <c r="E484"/>
  <c r="E476"/>
  <c r="E468"/>
  <c r="E460"/>
  <c r="E452"/>
  <c r="E588"/>
  <c r="E580"/>
  <c r="E572"/>
  <c r="E564"/>
  <c r="E556"/>
  <c r="E548"/>
  <c r="E1012"/>
  <c r="E1009"/>
  <c r="E1011"/>
  <c r="E1004"/>
  <c r="E1001"/>
  <c r="E1100"/>
  <c r="E1097"/>
  <c r="E1104"/>
  <c r="E1099"/>
  <c r="E1096"/>
  <c r="E1184"/>
  <c r="E1188"/>
  <c r="E1225"/>
  <c r="E1220"/>
  <c r="E1215"/>
  <c r="E1208"/>
  <c r="E1205"/>
  <c r="E1229"/>
  <c r="E1212"/>
  <c r="E1207"/>
  <c r="E1200"/>
  <c r="E1231"/>
  <c r="E1224"/>
  <c r="E1221"/>
  <c r="E1209"/>
  <c r="E1204"/>
  <c r="E1199"/>
  <c r="E1228"/>
  <c r="E1223"/>
  <c r="E1216"/>
  <c r="E1213"/>
  <c r="E1284"/>
  <c r="E1285"/>
  <c r="E1287"/>
  <c r="E1393"/>
  <c r="E1388"/>
  <c r="E1392"/>
  <c r="E1389"/>
  <c r="E1391"/>
  <c r="E1472"/>
  <c r="E1469"/>
  <c r="E1471"/>
  <c r="E1464"/>
  <c r="E1461"/>
  <c r="E1473"/>
  <c r="E1468"/>
  <c r="E1463"/>
  <c r="E1460"/>
  <c r="E1508"/>
  <c r="E1512"/>
  <c r="E1511"/>
  <c r="E1572"/>
  <c r="E1569"/>
  <c r="E1564"/>
  <c r="E1561"/>
  <c r="E1556"/>
  <c r="E1553"/>
  <c r="E1548"/>
  <c r="E1545"/>
  <c r="E1540"/>
  <c r="E1568"/>
  <c r="E1557"/>
  <c r="E1555"/>
  <c r="E1563"/>
  <c r="E1544"/>
  <c r="E1537"/>
  <c r="E1571"/>
  <c r="E1552"/>
  <c r="E1541"/>
  <c r="E1539"/>
  <c r="E1560"/>
  <c r="E1547"/>
  <c r="E1536"/>
  <c r="E1607"/>
  <c r="E1604"/>
  <c r="E1606"/>
  <c r="E1603"/>
  <c r="E1647"/>
  <c r="E1644"/>
  <c r="E1643"/>
  <c r="E1646"/>
  <c r="E1748"/>
  <c r="E1743"/>
  <c r="E1740"/>
  <c r="E1735"/>
  <c r="E1732"/>
  <c r="E1727"/>
  <c r="E1724"/>
  <c r="E1719"/>
  <c r="E1716"/>
  <c r="E1711"/>
  <c r="E1708"/>
  <c r="E1703"/>
  <c r="E1700"/>
  <c r="E1695"/>
  <c r="E1750"/>
  <c r="E1742"/>
  <c r="E1734"/>
  <c r="E1726"/>
  <c r="E1718"/>
  <c r="E1710"/>
  <c r="E1699"/>
  <c r="E1747"/>
  <c r="E1739"/>
  <c r="E1731"/>
  <c r="E1723"/>
  <c r="E1715"/>
  <c r="E1707"/>
  <c r="E1744"/>
  <c r="E1736"/>
  <c r="E1728"/>
  <c r="E1720"/>
  <c r="E1712"/>
  <c r="E1704"/>
  <c r="E1702"/>
  <c r="E1838"/>
  <c r="E1830"/>
  <c r="E1822"/>
  <c r="E1814"/>
  <c r="E1806"/>
  <c r="E1798"/>
  <c r="E1839"/>
  <c r="E1834"/>
  <c r="E1831"/>
  <c r="E1826"/>
  <c r="E1823"/>
  <c r="E1818"/>
  <c r="E1815"/>
  <c r="E1810"/>
  <c r="E1807"/>
  <c r="E1802"/>
  <c r="E1799"/>
  <c r="E1825"/>
  <c r="E1833"/>
  <c r="E1801"/>
  <c r="E1809"/>
  <c r="E1817"/>
  <c r="E1954"/>
  <c r="E1946"/>
  <c r="E1938"/>
  <c r="E1930"/>
  <c r="E1950"/>
  <c r="E1947"/>
  <c r="E1942"/>
  <c r="E1939"/>
  <c r="E1934"/>
  <c r="E1931"/>
  <c r="E1926"/>
  <c r="E1941"/>
  <c r="E1949"/>
  <c r="E1925"/>
  <c r="E1933"/>
  <c r="E2034"/>
  <c r="E2033"/>
  <c r="E2038"/>
  <c r="E2035"/>
  <c r="E2158"/>
  <c r="E2150"/>
  <c r="E2142"/>
  <c r="E2159"/>
  <c r="E2154"/>
  <c r="E2151"/>
  <c r="E2146"/>
  <c r="E2143"/>
  <c r="E2145"/>
  <c r="E2153"/>
  <c r="E2246"/>
  <c r="E2238"/>
  <c r="E2230"/>
  <c r="E2222"/>
  <c r="E2250"/>
  <c r="E2247"/>
  <c r="E2242"/>
  <c r="E2239"/>
  <c r="E2234"/>
  <c r="E2231"/>
  <c r="E2226"/>
  <c r="E2223"/>
  <c r="E2218"/>
  <c r="E2233"/>
  <c r="E2241"/>
  <c r="E2249"/>
  <c r="E2225"/>
  <c r="E2286"/>
  <c r="E2287"/>
  <c r="E2282"/>
  <c r="E2322"/>
  <c r="E2317"/>
  <c r="E2314"/>
  <c r="E2309"/>
  <c r="E2306"/>
  <c r="E2324"/>
  <c r="E2316"/>
  <c r="E2308"/>
  <c r="E2321"/>
  <c r="E2313"/>
  <c r="E2305"/>
  <c r="E2318"/>
  <c r="E2310"/>
  <c r="E2417"/>
  <c r="E2409"/>
  <c r="E2401"/>
  <c r="E2393"/>
  <c r="E2385"/>
  <c r="E2377"/>
  <c r="E2369"/>
  <c r="E2421"/>
  <c r="E2418"/>
  <c r="E2413"/>
  <c r="E2410"/>
  <c r="E2405"/>
  <c r="E2402"/>
  <c r="E2397"/>
  <c r="E2394"/>
  <c r="E2389"/>
  <c r="E2386"/>
  <c r="E2381"/>
  <c r="E2378"/>
  <c r="E2373"/>
  <c r="E2370"/>
  <c r="E2420"/>
  <c r="E2412"/>
  <c r="E2404"/>
  <c r="E2396"/>
  <c r="E2388"/>
  <c r="E2380"/>
  <c r="E2372"/>
  <c r="E2489"/>
  <c r="E2486"/>
  <c r="E2481"/>
  <c r="E2478"/>
  <c r="E2473"/>
  <c r="E2470"/>
  <c r="E2465"/>
  <c r="E2462"/>
  <c r="E2457"/>
  <c r="E2488"/>
  <c r="E2480"/>
  <c r="E2472"/>
  <c r="E2464"/>
  <c r="E2456"/>
  <c r="E2490"/>
  <c r="E2485"/>
  <c r="E2482"/>
  <c r="E2477"/>
  <c r="E2474"/>
  <c r="E2469"/>
  <c r="E2466"/>
  <c r="E2461"/>
  <c r="E2458"/>
  <c r="E2553"/>
  <c r="E2550"/>
  <c r="E2545"/>
  <c r="E2542"/>
  <c r="E2537"/>
  <c r="E2534"/>
  <c r="E2529"/>
  <c r="E2526"/>
  <c r="E2521"/>
  <c r="E2518"/>
  <c r="E2513"/>
  <c r="E2510"/>
  <c r="E2505"/>
  <c r="E2502"/>
  <c r="E2552"/>
  <c r="E2544"/>
  <c r="E2536"/>
  <c r="E2528"/>
  <c r="E2520"/>
  <c r="E2512"/>
  <c r="E2504"/>
  <c r="E2554"/>
  <c r="E2549"/>
  <c r="E2546"/>
  <c r="E2541"/>
  <c r="E2538"/>
  <c r="E2533"/>
  <c r="E2530"/>
  <c r="E2525"/>
  <c r="E2522"/>
  <c r="E2517"/>
  <c r="E2514"/>
  <c r="E2509"/>
  <c r="E2506"/>
  <c r="E2501"/>
  <c r="E2622"/>
  <c r="E2617"/>
  <c r="E2614"/>
  <c r="E2616"/>
  <c r="E2621"/>
  <c r="E2618"/>
  <c r="E2613"/>
  <c r="E2610"/>
  <c r="E2740"/>
  <c r="E2736"/>
  <c r="E2732"/>
  <c r="E2728"/>
  <c r="E2724"/>
  <c r="E2725"/>
  <c r="E2720"/>
  <c r="E2717"/>
  <c r="E2741"/>
  <c r="E2739"/>
  <c r="E2737"/>
  <c r="E2735"/>
  <c r="E2733"/>
  <c r="E2731"/>
  <c r="E2729"/>
  <c r="E2727"/>
  <c r="E2719"/>
  <c r="E2844"/>
  <c r="E2840"/>
  <c r="E2836"/>
  <c r="E2832"/>
  <c r="E2828"/>
  <c r="E2824"/>
  <c r="E2820"/>
  <c r="E2816"/>
  <c r="E2812"/>
  <c r="E2808"/>
  <c r="E2804"/>
  <c r="E2800"/>
  <c r="E2796"/>
  <c r="E2792"/>
  <c r="E2788"/>
  <c r="E2831"/>
  <c r="E2815"/>
  <c r="E2813"/>
  <c r="E2811"/>
  <c r="E2809"/>
  <c r="E2807"/>
  <c r="E2805"/>
  <c r="E2803"/>
  <c r="E2801"/>
  <c r="E2799"/>
  <c r="E2797"/>
  <c r="E2843"/>
  <c r="E2827"/>
  <c r="E2839"/>
  <c r="E2823"/>
  <c r="E2835"/>
  <c r="E2819"/>
  <c r="E3015"/>
  <c r="E3007"/>
  <c r="E3018"/>
  <c r="E3016"/>
  <c r="E3014"/>
  <c r="E3010"/>
  <c r="E3008"/>
  <c r="E3006"/>
  <c r="E3002"/>
  <c r="E3019"/>
  <c r="E3011"/>
  <c r="E3003"/>
  <c r="E3113"/>
  <c r="E3116"/>
  <c r="E3114"/>
  <c r="E3117"/>
  <c r="E3144"/>
  <c r="E3137"/>
  <c r="E3141"/>
  <c r="E3138"/>
  <c r="E3142"/>
  <c r="E3246"/>
  <c r="E3241"/>
  <c r="E3242"/>
  <c r="E3240"/>
  <c r="E3245"/>
  <c r="E3293"/>
  <c r="E3285"/>
  <c r="E3277"/>
  <c r="E3296"/>
  <c r="E3294"/>
  <c r="E3289"/>
  <c r="E3288"/>
  <c r="E3286"/>
  <c r="E3281"/>
  <c r="E3280"/>
  <c r="E3278"/>
  <c r="E3273"/>
  <c r="E3297"/>
  <c r="E3324"/>
  <c r="E3328"/>
  <c r="E3392"/>
  <c r="E3387"/>
  <c r="E3389"/>
  <c r="E3388"/>
  <c r="E3385"/>
  <c r="E3429"/>
  <c r="E3424"/>
  <c r="E3419"/>
  <c r="E3421"/>
  <c r="E3428"/>
  <c r="E3425"/>
  <c r="E3427"/>
  <c r="E3420"/>
  <c r="E3417"/>
  <c r="E3504"/>
  <c r="E3496"/>
  <c r="E3508"/>
  <c r="E3500"/>
  <c r="E3492"/>
  <c r="E3507"/>
  <c r="E3505"/>
  <c r="E3503"/>
  <c r="E3499"/>
  <c r="E3497"/>
  <c r="E3495"/>
  <c r="E3491"/>
  <c r="E3536"/>
  <c r="E3535"/>
  <c r="E3615"/>
  <c r="E3598"/>
  <c r="E3610"/>
  <c r="E3607"/>
  <c r="E3614"/>
  <c r="E3609"/>
  <c r="E3602"/>
  <c r="E3599"/>
  <c r="E3606"/>
  <c r="E3601"/>
  <c r="E3642"/>
  <c r="E3639"/>
  <c r="E3643"/>
  <c r="E3641"/>
  <c r="E3638"/>
  <c r="E3743"/>
  <c r="E3738"/>
  <c r="E3735"/>
  <c r="E3730"/>
  <c r="E3727"/>
  <c r="E3722"/>
  <c r="E3719"/>
  <c r="E3714"/>
  <c r="E3711"/>
  <c r="E3706"/>
  <c r="E3737"/>
  <c r="E3729"/>
  <c r="E3721"/>
  <c r="E3713"/>
  <c r="E3742"/>
  <c r="E3734"/>
  <c r="E3726"/>
  <c r="E3718"/>
  <c r="E3710"/>
  <c r="E3739"/>
  <c r="E3731"/>
  <c r="E3723"/>
  <c r="E3715"/>
  <c r="E3707"/>
  <c r="E3822"/>
  <c r="E3814"/>
  <c r="E3818"/>
  <c r="E3815"/>
  <c r="E3817"/>
  <c r="E3891"/>
  <c r="E3886"/>
  <c r="E3883"/>
  <c r="E3885"/>
  <c r="E3890"/>
  <c r="E3887"/>
  <c r="E3986"/>
  <c r="E3978"/>
  <c r="E3987"/>
  <c r="E3982"/>
  <c r="E3979"/>
  <c r="E3981"/>
  <c r="E4044"/>
  <c r="E4036"/>
  <c r="E4028"/>
  <c r="E4048"/>
  <c r="E4045"/>
  <c r="E4040"/>
  <c r="E4037"/>
  <c r="E4032"/>
  <c r="E4029"/>
  <c r="E4024"/>
  <c r="E4047"/>
  <c r="E4039"/>
  <c r="E4031"/>
  <c r="E4023"/>
  <c r="E4187"/>
  <c r="E4179"/>
  <c r="E4171"/>
  <c r="E4163"/>
  <c r="E4155"/>
  <c r="E4147"/>
  <c r="E4139"/>
  <c r="E4131"/>
  <c r="E4182"/>
  <c r="E4180"/>
  <c r="E4191"/>
  <c r="E4190"/>
  <c r="E4188"/>
  <c r="E4183"/>
  <c r="E4175"/>
  <c r="E4167"/>
  <c r="E4159"/>
  <c r="E4151"/>
  <c r="E4143"/>
  <c r="E4135"/>
  <c r="E4326"/>
  <c r="E4319"/>
  <c r="E4316"/>
  <c r="E4311"/>
  <c r="E4308"/>
  <c r="E4303"/>
  <c r="E4300"/>
  <c r="E4325"/>
  <c r="E4320"/>
  <c r="E4315"/>
  <c r="E4312"/>
  <c r="E4307"/>
  <c r="E4304"/>
  <c r="E4299"/>
  <c r="E4322"/>
  <c r="E4314"/>
  <c r="E4306"/>
  <c r="E4298"/>
  <c r="E4514"/>
  <c r="E4509"/>
  <c r="E4506"/>
  <c r="E4501"/>
  <c r="E4498"/>
  <c r="E4493"/>
  <c r="E4490"/>
  <c r="E4485"/>
  <c r="E4482"/>
  <c r="E4477"/>
  <c r="E4513"/>
  <c r="E4510"/>
  <c r="E4505"/>
  <c r="E4502"/>
  <c r="E4497"/>
  <c r="E4494"/>
  <c r="E4489"/>
  <c r="E4486"/>
  <c r="E4481"/>
  <c r="E4478"/>
  <c r="E4473"/>
  <c r="E4470"/>
  <c r="E4465"/>
  <c r="E4462"/>
  <c r="E4512"/>
  <c r="E4504"/>
  <c r="E4496"/>
  <c r="E4488"/>
  <c r="E4480"/>
  <c r="E4472"/>
  <c r="E4461"/>
  <c r="E4469"/>
  <c r="E4474"/>
  <c r="E4466"/>
  <c r="E4464"/>
  <c r="E4624"/>
  <c r="E4616"/>
  <c r="E4621"/>
  <c r="E4613"/>
  <c r="E4622"/>
  <c r="E4617"/>
  <c r="E4614"/>
  <c r="E4609"/>
  <c r="D747"/>
  <c r="E747"/>
  <c r="D755"/>
  <c r="E755"/>
  <c r="E788"/>
  <c r="D788"/>
  <c r="D1005"/>
  <c r="E1005"/>
  <c r="E1039"/>
  <c r="D1039"/>
  <c r="E1066"/>
  <c r="D1066"/>
  <c r="E17"/>
  <c r="E21"/>
  <c r="E25"/>
  <c r="E33"/>
  <c r="E37"/>
  <c r="E49"/>
  <c r="E53"/>
  <c r="E57"/>
  <c r="E69"/>
  <c r="E73"/>
  <c r="E77"/>
  <c r="E81"/>
  <c r="E85"/>
  <c r="E89"/>
  <c r="E93"/>
  <c r="E97"/>
  <c r="E113"/>
  <c r="E117"/>
  <c r="E121"/>
  <c r="E125"/>
  <c r="E129"/>
  <c r="E133"/>
  <c r="E137"/>
  <c r="E141"/>
  <c r="E145"/>
  <c r="E161"/>
  <c r="E165"/>
  <c r="E173"/>
  <c r="E177"/>
  <c r="E181"/>
  <c r="E193"/>
  <c r="E197"/>
  <c r="E201"/>
  <c r="E213"/>
  <c r="E217"/>
  <c r="E229"/>
  <c r="E237"/>
  <c r="E241"/>
  <c r="E245"/>
  <c r="E249"/>
  <c r="E253"/>
  <c r="E257"/>
  <c r="E265"/>
  <c r="E271"/>
  <c r="E276"/>
  <c r="E279"/>
  <c r="E284"/>
  <c r="E287"/>
  <c r="E292"/>
  <c r="E295"/>
  <c r="E300"/>
  <c r="E303"/>
  <c r="E312"/>
  <c r="E313"/>
  <c r="E320"/>
  <c r="E321"/>
  <c r="E328"/>
  <c r="E329"/>
  <c r="E338"/>
  <c r="E343"/>
  <c r="E346"/>
  <c r="E351"/>
  <c r="E359"/>
  <c r="E362"/>
  <c r="E367"/>
  <c r="E370"/>
  <c r="E375"/>
  <c r="E378"/>
  <c r="E383"/>
  <c r="E386"/>
  <c r="E391"/>
  <c r="E395"/>
  <c r="E396"/>
  <c r="E401"/>
  <c r="E413"/>
  <c r="E619"/>
  <c r="E635"/>
  <c r="E645"/>
  <c r="E646"/>
  <c r="E650"/>
  <c r="E651"/>
  <c r="E656"/>
  <c r="E668"/>
  <c r="E671"/>
  <c r="E677"/>
  <c r="E678"/>
  <c r="E682"/>
  <c r="E683"/>
  <c r="E688"/>
  <c r="E700"/>
  <c r="E703"/>
  <c r="E709"/>
  <c r="E710"/>
  <c r="E714"/>
  <c r="E718"/>
  <c r="E727"/>
  <c r="E733"/>
  <c r="E734"/>
  <c r="E771"/>
  <c r="E777"/>
  <c r="E778"/>
  <c r="E785"/>
  <c r="E799"/>
  <c r="E805"/>
  <c r="E806"/>
  <c r="E815"/>
  <c r="E821"/>
  <c r="E822"/>
  <c r="E831"/>
  <c r="E837"/>
  <c r="E838"/>
  <c r="E847"/>
  <c r="E853"/>
  <c r="E854"/>
  <c r="E869"/>
  <c r="E870"/>
  <c r="E879"/>
  <c r="E885"/>
  <c r="E886"/>
  <c r="E895"/>
  <c r="E901"/>
  <c r="E902"/>
  <c r="E911"/>
  <c r="E917"/>
  <c r="E918"/>
  <c r="E927"/>
  <c r="E931"/>
  <c r="E939"/>
  <c r="E947"/>
  <c r="E955"/>
  <c r="E963"/>
  <c r="E971"/>
  <c r="E979"/>
  <c r="E1045"/>
  <c r="E1057"/>
  <c r="E1072"/>
  <c r="E1131"/>
  <c r="E1163"/>
  <c r="E1195"/>
  <c r="E1487"/>
  <c r="E737"/>
  <c r="E729"/>
  <c r="E721"/>
  <c r="E857"/>
  <c r="E849"/>
  <c r="E841"/>
  <c r="E833"/>
  <c r="E825"/>
  <c r="E817"/>
  <c r="E997"/>
  <c r="E989"/>
  <c r="E978"/>
  <c r="E975"/>
  <c r="E970"/>
  <c r="E993"/>
  <c r="E985"/>
  <c r="E977"/>
  <c r="E1279"/>
  <c r="E1272"/>
  <c r="E1269"/>
  <c r="E1276"/>
  <c r="E1271"/>
  <c r="E1273"/>
  <c r="E1268"/>
  <c r="E1280"/>
  <c r="E1277"/>
  <c r="E1383"/>
  <c r="E1376"/>
  <c r="E1373"/>
  <c r="E1361"/>
  <c r="E1380"/>
  <c r="E1375"/>
  <c r="E1368"/>
  <c r="E1365"/>
  <c r="E1377"/>
  <c r="E1372"/>
  <c r="E1367"/>
  <c r="E1360"/>
  <c r="E1357"/>
  <c r="E1384"/>
  <c r="E1381"/>
  <c r="E1364"/>
  <c r="E1359"/>
  <c r="E1500"/>
  <c r="E1492"/>
  <c r="E1501"/>
  <c r="E1499"/>
  <c r="E1493"/>
  <c r="E1491"/>
  <c r="E1504"/>
  <c r="E1496"/>
  <c r="E1488"/>
  <c r="E1533"/>
  <c r="E1532"/>
  <c r="E1529"/>
  <c r="E1531"/>
  <c r="E1599"/>
  <c r="E1596"/>
  <c r="E1600"/>
  <c r="E1598"/>
  <c r="E1595"/>
  <c r="E1639"/>
  <c r="E1636"/>
  <c r="E1631"/>
  <c r="E1628"/>
  <c r="E1632"/>
  <c r="E1630"/>
  <c r="E1638"/>
  <c r="E1627"/>
  <c r="E1635"/>
  <c r="E1692"/>
  <c r="E1687"/>
  <c r="E1684"/>
  <c r="E1679"/>
  <c r="E1676"/>
  <c r="E1671"/>
  <c r="E1688"/>
  <c r="E1686"/>
  <c r="E1675"/>
  <c r="E1683"/>
  <c r="E1672"/>
  <c r="E1670"/>
  <c r="E1691"/>
  <c r="E1678"/>
  <c r="E1795"/>
  <c r="E1787"/>
  <c r="E1791"/>
  <c r="E1788"/>
  <c r="E1790"/>
  <c r="E1918"/>
  <c r="E1915"/>
  <c r="E1917"/>
  <c r="E1919"/>
  <c r="E1911"/>
  <c r="E1922"/>
  <c r="E1914"/>
  <c r="E2031"/>
  <c r="E2026"/>
  <c r="E2023"/>
  <c r="E2018"/>
  <c r="E2015"/>
  <c r="E2025"/>
  <c r="E2017"/>
  <c r="E2030"/>
  <c r="E2022"/>
  <c r="E2027"/>
  <c r="E2019"/>
  <c r="E2134"/>
  <c r="E2126"/>
  <c r="E2118"/>
  <c r="E2110"/>
  <c r="E2102"/>
  <c r="E2094"/>
  <c r="E2086"/>
  <c r="E2078"/>
  <c r="E2070"/>
  <c r="E2138"/>
  <c r="E2135"/>
  <c r="E2130"/>
  <c r="E2127"/>
  <c r="E2122"/>
  <c r="E2119"/>
  <c r="E2114"/>
  <c r="E2111"/>
  <c r="E2106"/>
  <c r="E2103"/>
  <c r="E2098"/>
  <c r="E2095"/>
  <c r="E2090"/>
  <c r="E2087"/>
  <c r="E2082"/>
  <c r="E2079"/>
  <c r="E2074"/>
  <c r="E2071"/>
  <c r="E2137"/>
  <c r="E2105"/>
  <c r="E2073"/>
  <c r="E2113"/>
  <c r="E2081"/>
  <c r="E2121"/>
  <c r="E2089"/>
  <c r="E2129"/>
  <c r="E2097"/>
  <c r="E2214"/>
  <c r="E2206"/>
  <c r="E2198"/>
  <c r="E2190"/>
  <c r="E2215"/>
  <c r="E2210"/>
  <c r="E2207"/>
  <c r="E2202"/>
  <c r="E2199"/>
  <c r="E2194"/>
  <c r="E2191"/>
  <c r="E2186"/>
  <c r="E2183"/>
  <c r="E2201"/>
  <c r="E2209"/>
  <c r="E2217"/>
  <c r="E2185"/>
  <c r="E2193"/>
  <c r="E2278"/>
  <c r="E2270"/>
  <c r="E2279"/>
  <c r="E2274"/>
  <c r="E2271"/>
  <c r="E2266"/>
  <c r="E2273"/>
  <c r="E2281"/>
  <c r="E2365"/>
  <c r="E2362"/>
  <c r="E2357"/>
  <c r="E2354"/>
  <c r="E2349"/>
  <c r="E2346"/>
  <c r="E2364"/>
  <c r="E2356"/>
  <c r="E2348"/>
  <c r="E2361"/>
  <c r="E2353"/>
  <c r="E2366"/>
  <c r="E2358"/>
  <c r="E2350"/>
  <c r="E2454"/>
  <c r="E2449"/>
  <c r="E2448"/>
  <c r="E2453"/>
  <c r="E2450"/>
  <c r="E2609"/>
  <c r="E2606"/>
  <c r="E2601"/>
  <c r="E2598"/>
  <c r="E2608"/>
  <c r="E2600"/>
  <c r="E2605"/>
  <c r="E2602"/>
  <c r="E2597"/>
  <c r="E2716"/>
  <c r="E2708"/>
  <c r="E2712"/>
  <c r="E2709"/>
  <c r="E2704"/>
  <c r="E2711"/>
  <c r="E2703"/>
  <c r="E2780"/>
  <c r="E2776"/>
  <c r="E2772"/>
  <c r="E2768"/>
  <c r="E2764"/>
  <c r="E2760"/>
  <c r="E2756"/>
  <c r="E2783"/>
  <c r="E2781"/>
  <c r="E2779"/>
  <c r="E2777"/>
  <c r="E2775"/>
  <c r="E2773"/>
  <c r="E2771"/>
  <c r="E2769"/>
  <c r="E2767"/>
  <c r="E2765"/>
  <c r="E2763"/>
  <c r="E2761"/>
  <c r="E2759"/>
  <c r="E2757"/>
  <c r="E2755"/>
  <c r="E2999"/>
  <c r="E2991"/>
  <c r="E2983"/>
  <c r="E2975"/>
  <c r="E2967"/>
  <c r="E2959"/>
  <c r="E3000"/>
  <c r="E2998"/>
  <c r="E2994"/>
  <c r="E2992"/>
  <c r="E2990"/>
  <c r="E2986"/>
  <c r="E2984"/>
  <c r="E2982"/>
  <c r="E2978"/>
  <c r="E2976"/>
  <c r="E2974"/>
  <c r="E2970"/>
  <c r="E2968"/>
  <c r="E2966"/>
  <c r="E2962"/>
  <c r="E2960"/>
  <c r="E2958"/>
  <c r="E2995"/>
  <c r="E2987"/>
  <c r="E2979"/>
  <c r="E2971"/>
  <c r="E2963"/>
  <c r="E2955"/>
  <c r="E3105"/>
  <c r="E3097"/>
  <c r="E3089"/>
  <c r="E3112"/>
  <c r="E3108"/>
  <c r="E3106"/>
  <c r="E3104"/>
  <c r="E3100"/>
  <c r="E3098"/>
  <c r="E3096"/>
  <c r="E3092"/>
  <c r="E3090"/>
  <c r="E3088"/>
  <c r="E3109"/>
  <c r="E3101"/>
  <c r="E3093"/>
  <c r="E3134"/>
  <c r="E3136"/>
  <c r="E3133"/>
  <c r="E3238"/>
  <c r="E3233"/>
  <c r="E3230"/>
  <c r="E3225"/>
  <c r="E3222"/>
  <c r="E3217"/>
  <c r="E3214"/>
  <c r="E3209"/>
  <c r="E3206"/>
  <c r="E3201"/>
  <c r="E3198"/>
  <c r="E3193"/>
  <c r="E3190"/>
  <c r="E3185"/>
  <c r="E3182"/>
  <c r="E3221"/>
  <c r="E3210"/>
  <c r="E3208"/>
  <c r="E3189"/>
  <c r="E3229"/>
  <c r="E3216"/>
  <c r="E3197"/>
  <c r="E3184"/>
  <c r="E3237"/>
  <c r="E3226"/>
  <c r="E3224"/>
  <c r="E3205"/>
  <c r="E3194"/>
  <c r="E3192"/>
  <c r="E3232"/>
  <c r="E3213"/>
  <c r="E3200"/>
  <c r="E3181"/>
  <c r="E3272"/>
  <c r="E3270"/>
  <c r="E3265"/>
  <c r="E3380"/>
  <c r="E3377"/>
  <c r="E3384"/>
  <c r="E3379"/>
  <c r="E3372"/>
  <c r="E3381"/>
  <c r="E3376"/>
  <c r="E3371"/>
  <c r="E3412"/>
  <c r="E3416"/>
  <c r="E3413"/>
  <c r="E3488"/>
  <c r="E3480"/>
  <c r="E3472"/>
  <c r="E3464"/>
  <c r="E3456"/>
  <c r="E3484"/>
  <c r="E3476"/>
  <c r="E3468"/>
  <c r="E3460"/>
  <c r="E3489"/>
  <c r="E3487"/>
  <c r="E3483"/>
  <c r="E3481"/>
  <c r="E3479"/>
  <c r="E3475"/>
  <c r="E3473"/>
  <c r="E3471"/>
  <c r="E3467"/>
  <c r="E3465"/>
  <c r="E3463"/>
  <c r="E3459"/>
  <c r="E3457"/>
  <c r="E3455"/>
  <c r="E3532"/>
  <c r="E3527"/>
  <c r="E3529"/>
  <c r="E3533"/>
  <c r="E3528"/>
  <c r="E3559"/>
  <c r="E3561"/>
  <c r="E3556"/>
  <c r="E3560"/>
  <c r="E3557"/>
  <c r="E3593"/>
  <c r="E3586"/>
  <c r="E3583"/>
  <c r="E3595"/>
  <c r="E3590"/>
  <c r="E3585"/>
  <c r="E3587"/>
  <c r="E3582"/>
  <c r="E3594"/>
  <c r="E3591"/>
  <c r="E3634"/>
  <c r="E3633"/>
  <c r="E3703"/>
  <c r="E3698"/>
  <c r="E3695"/>
  <c r="E3705"/>
  <c r="E3694"/>
  <c r="E3702"/>
  <c r="E3699"/>
  <c r="E3697"/>
  <c r="E3806"/>
  <c r="E3798"/>
  <c r="E3810"/>
  <c r="E3807"/>
  <c r="E3802"/>
  <c r="E3799"/>
  <c r="E3809"/>
  <c r="E3801"/>
  <c r="E3878"/>
  <c r="E3875"/>
  <c r="E3870"/>
  <c r="E3867"/>
  <c r="E3862"/>
  <c r="E3859"/>
  <c r="E3854"/>
  <c r="E3877"/>
  <c r="E3869"/>
  <c r="E3861"/>
  <c r="E3853"/>
  <c r="E3882"/>
  <c r="E3879"/>
  <c r="E3874"/>
  <c r="E3871"/>
  <c r="E3866"/>
  <c r="E3863"/>
  <c r="E3858"/>
  <c r="E3855"/>
  <c r="E3970"/>
  <c r="E3962"/>
  <c r="E3954"/>
  <c r="E3946"/>
  <c r="E3938"/>
  <c r="E3930"/>
  <c r="E3974"/>
  <c r="E3971"/>
  <c r="E3966"/>
  <c r="E3963"/>
  <c r="E3958"/>
  <c r="E3955"/>
  <c r="E3950"/>
  <c r="E3947"/>
  <c r="E3942"/>
  <c r="E3939"/>
  <c r="E3934"/>
  <c r="E3931"/>
  <c r="E3973"/>
  <c r="E3965"/>
  <c r="E3957"/>
  <c r="E3949"/>
  <c r="E3941"/>
  <c r="E3933"/>
  <c r="E4123"/>
  <c r="E4115"/>
  <c r="E4110"/>
  <c r="E4102"/>
  <c r="E4094"/>
  <c r="E4086"/>
  <c r="E4078"/>
  <c r="E4070"/>
  <c r="E4111"/>
  <c r="E4106"/>
  <c r="E4103"/>
  <c r="E4098"/>
  <c r="E4095"/>
  <c r="E4090"/>
  <c r="E4087"/>
  <c r="E4082"/>
  <c r="E4079"/>
  <c r="E4074"/>
  <c r="E4071"/>
  <c r="E4066"/>
  <c r="E4127"/>
  <c r="E4119"/>
  <c r="E4105"/>
  <c r="E4097"/>
  <c r="E4089"/>
  <c r="E4081"/>
  <c r="E4073"/>
  <c r="E4065"/>
  <c r="E4295"/>
  <c r="E4292"/>
  <c r="E4287"/>
  <c r="E4284"/>
  <c r="E4279"/>
  <c r="E4276"/>
  <c r="E4296"/>
  <c r="E4291"/>
  <c r="E4288"/>
  <c r="E4283"/>
  <c r="E4280"/>
  <c r="E4275"/>
  <c r="E4272"/>
  <c r="E4290"/>
  <c r="E4282"/>
  <c r="E4274"/>
  <c r="E4457"/>
  <c r="E4454"/>
  <c r="E4449"/>
  <c r="E4446"/>
  <c r="E4441"/>
  <c r="E4450"/>
  <c r="E4448"/>
  <c r="E4456"/>
  <c r="E4445"/>
  <c r="E4453"/>
  <c r="E4442"/>
  <c r="E4440"/>
  <c r="E4600"/>
  <c r="E4592"/>
  <c r="E4584"/>
  <c r="E4576"/>
  <c r="E4568"/>
  <c r="E4605"/>
  <c r="E4597"/>
  <c r="E4589"/>
  <c r="E4581"/>
  <c r="E4573"/>
  <c r="E4565"/>
  <c r="E4606"/>
  <c r="E4601"/>
  <c r="E4598"/>
  <c r="E4593"/>
  <c r="E4590"/>
  <c r="E4585"/>
  <c r="E4582"/>
  <c r="E4577"/>
  <c r="E4574"/>
  <c r="E4569"/>
  <c r="E4566"/>
  <c r="E4725"/>
  <c r="E4720"/>
  <c r="E4709"/>
  <c r="E4729"/>
  <c r="E4724"/>
  <c r="E4713"/>
  <c r="E4708"/>
  <c r="E4733"/>
  <c r="E4728"/>
  <c r="E4717"/>
  <c r="E4712"/>
  <c r="E4732"/>
  <c r="E4721"/>
  <c r="E4716"/>
  <c r="E4705"/>
  <c r="E4833"/>
  <c r="E4829"/>
  <c r="E4825"/>
  <c r="E4821"/>
  <c r="E4836"/>
  <c r="E4832"/>
  <c r="E4828"/>
  <c r="E4824"/>
  <c r="E4820"/>
  <c r="E422"/>
  <c r="D422"/>
  <c r="E430"/>
  <c r="D430"/>
  <c r="E438"/>
  <c r="D438"/>
  <c r="E446"/>
  <c r="D446"/>
  <c r="E454"/>
  <c r="D454"/>
  <c r="E462"/>
  <c r="D462"/>
  <c r="E470"/>
  <c r="D470"/>
  <c r="E478"/>
  <c r="D478"/>
  <c r="E486"/>
  <c r="D486"/>
  <c r="E494"/>
  <c r="D494"/>
  <c r="E502"/>
  <c r="D502"/>
  <c r="E510"/>
  <c r="D510"/>
  <c r="E518"/>
  <c r="D518"/>
  <c r="E526"/>
  <c r="D526"/>
  <c r="E534"/>
  <c r="D534"/>
  <c r="E542"/>
  <c r="D542"/>
  <c r="E550"/>
  <c r="D550"/>
  <c r="E558"/>
  <c r="D558"/>
  <c r="E566"/>
  <c r="D566"/>
  <c r="E574"/>
  <c r="D574"/>
  <c r="E582"/>
  <c r="D582"/>
  <c r="E590"/>
  <c r="D590"/>
  <c r="E598"/>
  <c r="D598"/>
  <c r="E606"/>
  <c r="D606"/>
  <c r="E752"/>
  <c r="D752"/>
  <c r="E760"/>
  <c r="D760"/>
  <c r="D787"/>
  <c r="E787"/>
  <c r="D994"/>
  <c r="E994"/>
  <c r="E1007"/>
  <c r="D1007"/>
  <c r="E1034"/>
  <c r="D1034"/>
  <c r="E6"/>
  <c r="E10"/>
  <c r="E14"/>
  <c r="E18"/>
  <c r="E22"/>
  <c r="E26"/>
  <c r="E34"/>
  <c r="E38"/>
  <c r="E42"/>
  <c r="E46"/>
  <c r="E50"/>
  <c r="E54"/>
  <c r="E58"/>
  <c r="E66"/>
  <c r="E70"/>
  <c r="E74"/>
  <c r="E78"/>
  <c r="E82"/>
  <c r="E86"/>
  <c r="E90"/>
  <c r="E94"/>
  <c r="E98"/>
  <c r="E102"/>
  <c r="E106"/>
  <c r="E110"/>
  <c r="E114"/>
  <c r="E118"/>
  <c r="E122"/>
  <c r="E126"/>
  <c r="E130"/>
  <c r="E134"/>
  <c r="E138"/>
  <c r="E142"/>
  <c r="E146"/>
  <c r="E150"/>
  <c r="E154"/>
  <c r="E158"/>
  <c r="E162"/>
  <c r="E166"/>
  <c r="E170"/>
  <c r="E174"/>
  <c r="E178"/>
  <c r="E182"/>
  <c r="E186"/>
  <c r="E190"/>
  <c r="E194"/>
  <c r="E198"/>
  <c r="E202"/>
  <c r="E206"/>
  <c r="E210"/>
  <c r="E214"/>
  <c r="E218"/>
  <c r="E222"/>
  <c r="E226"/>
  <c r="E230"/>
  <c r="E234"/>
  <c r="E238"/>
  <c r="E242"/>
  <c r="E246"/>
  <c r="E250"/>
  <c r="E254"/>
  <c r="E258"/>
  <c r="E262"/>
  <c r="E266"/>
  <c r="E273"/>
  <c r="E274"/>
  <c r="E281"/>
  <c r="E282"/>
  <c r="E289"/>
  <c r="E290"/>
  <c r="E297"/>
  <c r="E298"/>
  <c r="E305"/>
  <c r="E311"/>
  <c r="E314"/>
  <c r="E319"/>
  <c r="E322"/>
  <c r="E327"/>
  <c r="E340"/>
  <c r="E341"/>
  <c r="E348"/>
  <c r="E349"/>
  <c r="E356"/>
  <c r="E357"/>
  <c r="E364"/>
  <c r="E365"/>
  <c r="E372"/>
  <c r="E380"/>
  <c r="E381"/>
  <c r="E388"/>
  <c r="E389"/>
  <c r="E398"/>
  <c r="E399"/>
  <c r="E403"/>
  <c r="E404"/>
  <c r="E409"/>
  <c r="E418"/>
  <c r="E426"/>
  <c r="E434"/>
  <c r="E442"/>
  <c r="E450"/>
  <c r="E458"/>
  <c r="E466"/>
  <c r="E474"/>
  <c r="E482"/>
  <c r="E490"/>
  <c r="E498"/>
  <c r="E506"/>
  <c r="E514"/>
  <c r="E522"/>
  <c r="E530"/>
  <c r="E538"/>
  <c r="E546"/>
  <c r="E554"/>
  <c r="E562"/>
  <c r="E570"/>
  <c r="E578"/>
  <c r="E586"/>
  <c r="E594"/>
  <c r="E602"/>
  <c r="E610"/>
  <c r="E644"/>
  <c r="E647"/>
  <c r="E653"/>
  <c r="E654"/>
  <c r="E658"/>
  <c r="E659"/>
  <c r="E664"/>
  <c r="E676"/>
  <c r="E679"/>
  <c r="E685"/>
  <c r="E686"/>
  <c r="E690"/>
  <c r="E691"/>
  <c r="E696"/>
  <c r="E708"/>
  <c r="E720"/>
  <c r="E723"/>
  <c r="E730"/>
  <c r="E739"/>
  <c r="E749"/>
  <c r="E767"/>
  <c r="E774"/>
  <c r="E795"/>
  <c r="E802"/>
  <c r="E811"/>
  <c r="E818"/>
  <c r="E827"/>
  <c r="E834"/>
  <c r="E843"/>
  <c r="E850"/>
  <c r="E859"/>
  <c r="E866"/>
  <c r="E875"/>
  <c r="E882"/>
  <c r="E891"/>
  <c r="E898"/>
  <c r="E907"/>
  <c r="E923"/>
  <c r="E933"/>
  <c r="E934"/>
  <c r="E941"/>
  <c r="E942"/>
  <c r="E949"/>
  <c r="E950"/>
  <c r="E957"/>
  <c r="E958"/>
  <c r="E965"/>
  <c r="E973"/>
  <c r="E974"/>
  <c r="E981"/>
  <c r="E982"/>
  <c r="E996"/>
  <c r="E998"/>
  <c r="E1013"/>
  <c r="E1025"/>
  <c r="E1040"/>
  <c r="E1060"/>
  <c r="E1139"/>
  <c r="E1171"/>
  <c r="E1495"/>
  <c r="E762"/>
  <c r="E754"/>
  <c r="E746"/>
  <c r="E758"/>
  <c r="E750"/>
  <c r="E790"/>
  <c r="E786"/>
  <c r="E913"/>
  <c r="E905"/>
  <c r="E1093"/>
  <c r="E1088"/>
  <c r="E1092"/>
  <c r="E1089"/>
  <c r="E1091"/>
  <c r="E1176"/>
  <c r="E1180"/>
  <c r="E1172"/>
  <c r="E1457"/>
  <c r="E1452"/>
  <c r="E1447"/>
  <c r="E1444"/>
  <c r="E1456"/>
  <c r="E1453"/>
  <c r="E1455"/>
  <c r="E1448"/>
  <c r="E1445"/>
  <c r="E532"/>
  <c r="E524"/>
  <c r="E516"/>
  <c r="E508"/>
  <c r="E500"/>
  <c r="E631"/>
  <c r="E623"/>
  <c r="E615"/>
  <c r="E781"/>
  <c r="E773"/>
  <c r="E967"/>
  <c r="E962"/>
  <c r="E959"/>
  <c r="E954"/>
  <c r="E951"/>
  <c r="E946"/>
  <c r="E943"/>
  <c r="E938"/>
  <c r="E969"/>
  <c r="E961"/>
  <c r="E953"/>
  <c r="E945"/>
  <c r="E1083"/>
  <c r="E1076"/>
  <c r="E1073"/>
  <c r="E1080"/>
  <c r="E1075"/>
  <c r="E1068"/>
  <c r="E1084"/>
  <c r="E1081"/>
  <c r="E1168"/>
  <c r="E1160"/>
  <c r="E1152"/>
  <c r="E1144"/>
  <c r="E1136"/>
  <c r="E1128"/>
  <c r="E1120"/>
  <c r="E1112"/>
  <c r="E1164"/>
  <c r="E1156"/>
  <c r="E1148"/>
  <c r="E1140"/>
  <c r="E1132"/>
  <c r="E1124"/>
  <c r="E1116"/>
  <c r="E1257"/>
  <c r="E1252"/>
  <c r="E1264"/>
  <c r="E1261"/>
  <c r="E1263"/>
  <c r="E1256"/>
  <c r="E1253"/>
  <c r="E1260"/>
  <c r="E1255"/>
  <c r="E1356"/>
  <c r="E1351"/>
  <c r="E1344"/>
  <c r="E1341"/>
  <c r="E1329"/>
  <c r="E1324"/>
  <c r="E1319"/>
  <c r="E1312"/>
  <c r="E1309"/>
  <c r="E1348"/>
  <c r="E1343"/>
  <c r="E1336"/>
  <c r="E1333"/>
  <c r="E1316"/>
  <c r="E1311"/>
  <c r="E1304"/>
  <c r="E1301"/>
  <c r="E1345"/>
  <c r="E1340"/>
  <c r="E1335"/>
  <c r="E1328"/>
  <c r="E1325"/>
  <c r="E1313"/>
  <c r="E1308"/>
  <c r="E1303"/>
  <c r="E1352"/>
  <c r="E1349"/>
  <c r="E1332"/>
  <c r="E1327"/>
  <c r="E1320"/>
  <c r="E1317"/>
  <c r="E1300"/>
  <c r="E1440"/>
  <c r="E1439"/>
  <c r="E1441"/>
  <c r="E1528"/>
  <c r="E1523"/>
  <c r="E1520"/>
  <c r="E1524"/>
  <c r="E1521"/>
  <c r="E1591"/>
  <c r="E1588"/>
  <c r="E1587"/>
  <c r="E1590"/>
  <c r="E1623"/>
  <c r="E1620"/>
  <c r="E1622"/>
  <c r="E1668"/>
  <c r="E1663"/>
  <c r="E1660"/>
  <c r="E1667"/>
  <c r="E1662"/>
  <c r="E1659"/>
  <c r="E1783"/>
  <c r="E1780"/>
  <c r="E1782"/>
  <c r="E1779"/>
  <c r="E1784"/>
  <c r="E1776"/>
  <c r="E1907"/>
  <c r="E1902"/>
  <c r="E1909"/>
  <c r="E1901"/>
  <c r="E1906"/>
  <c r="E1903"/>
  <c r="E2010"/>
  <c r="E2007"/>
  <c r="E2002"/>
  <c r="E2009"/>
  <c r="E2014"/>
  <c r="E2006"/>
  <c r="E2011"/>
  <c r="E2003"/>
  <c r="E2066"/>
  <c r="E2065"/>
  <c r="E2067"/>
  <c r="E2182"/>
  <c r="E2174"/>
  <c r="E2166"/>
  <c r="E2178"/>
  <c r="E2175"/>
  <c r="E2170"/>
  <c r="E2167"/>
  <c r="E2169"/>
  <c r="E2177"/>
  <c r="E2262"/>
  <c r="E2263"/>
  <c r="E2301"/>
  <c r="E2298"/>
  <c r="E2300"/>
  <c r="E2297"/>
  <c r="E2302"/>
  <c r="E2294"/>
  <c r="E2341"/>
  <c r="E2338"/>
  <c r="E2340"/>
  <c r="E2345"/>
  <c r="E2337"/>
  <c r="E2342"/>
  <c r="E2441"/>
  <c r="E2445"/>
  <c r="E2442"/>
  <c r="E2444"/>
  <c r="E2593"/>
  <c r="E2590"/>
  <c r="E2592"/>
  <c r="E2594"/>
  <c r="E2589"/>
  <c r="E2586"/>
  <c r="E2752"/>
  <c r="E2753"/>
  <c r="E2951"/>
  <c r="E2943"/>
  <c r="E2954"/>
  <c r="E2952"/>
  <c r="E2950"/>
  <c r="E2946"/>
  <c r="E2944"/>
  <c r="E2942"/>
  <c r="E2938"/>
  <c r="E2930"/>
  <c r="E2922"/>
  <c r="E2914"/>
  <c r="E2911"/>
  <c r="E2907"/>
  <c r="E2903"/>
  <c r="E2899"/>
  <c r="E2895"/>
  <c r="E2891"/>
  <c r="E2887"/>
  <c r="E2883"/>
  <c r="E2879"/>
  <c r="E2875"/>
  <c r="E2871"/>
  <c r="E2935"/>
  <c r="E2927"/>
  <c r="E2919"/>
  <c r="E2947"/>
  <c r="E2939"/>
  <c r="E2931"/>
  <c r="E2923"/>
  <c r="E2915"/>
  <c r="E2912"/>
  <c r="E2908"/>
  <c r="E2904"/>
  <c r="E2900"/>
  <c r="E2896"/>
  <c r="E2892"/>
  <c r="E2888"/>
  <c r="E2884"/>
  <c r="E2880"/>
  <c r="E2876"/>
  <c r="E2872"/>
  <c r="E2868"/>
  <c r="E2864"/>
  <c r="E2863"/>
  <c r="E2867"/>
  <c r="E3071"/>
  <c r="E3063"/>
  <c r="E3055"/>
  <c r="E3047"/>
  <c r="E3074"/>
  <c r="E3072"/>
  <c r="E3070"/>
  <c r="E3066"/>
  <c r="E3064"/>
  <c r="E3062"/>
  <c r="E3058"/>
  <c r="E3056"/>
  <c r="E3054"/>
  <c r="E3050"/>
  <c r="E3048"/>
  <c r="E3046"/>
  <c r="E3042"/>
  <c r="E3067"/>
  <c r="E3059"/>
  <c r="E3051"/>
  <c r="E3043"/>
  <c r="E3084"/>
  <c r="E3085"/>
  <c r="E3269"/>
  <c r="E3129"/>
  <c r="E3128"/>
  <c r="E3177"/>
  <c r="E3178"/>
  <c r="E3176"/>
  <c r="E3169"/>
  <c r="E3166"/>
  <c r="E3173"/>
  <c r="E3168"/>
  <c r="E3170"/>
  <c r="E3165"/>
  <c r="E3174"/>
  <c r="E3261"/>
  <c r="E3262"/>
  <c r="E3257"/>
  <c r="E3316"/>
  <c r="E3308"/>
  <c r="E3312"/>
  <c r="E3364"/>
  <c r="E3356"/>
  <c r="E3348"/>
  <c r="E3340"/>
  <c r="E3368"/>
  <c r="E3336"/>
  <c r="E3344"/>
  <c r="E3352"/>
  <c r="E3360"/>
  <c r="E3409"/>
  <c r="E3404"/>
  <c r="E3401"/>
  <c r="E3408"/>
  <c r="E3403"/>
  <c r="E3451"/>
  <c r="E3448"/>
  <c r="E3445"/>
  <c r="E3452"/>
  <c r="E3449"/>
  <c r="E3520"/>
  <c r="E3524"/>
  <c r="E3516"/>
  <c r="E3523"/>
  <c r="E3521"/>
  <c r="E3519"/>
  <c r="E3552"/>
  <c r="E3549"/>
  <c r="E3551"/>
  <c r="E3553"/>
  <c r="E3575"/>
  <c r="E3577"/>
  <c r="E3574"/>
  <c r="E3630"/>
  <c r="E3631"/>
  <c r="E3690"/>
  <c r="E3687"/>
  <c r="E3682"/>
  <c r="E3679"/>
  <c r="E3674"/>
  <c r="E3671"/>
  <c r="E3666"/>
  <c r="E3681"/>
  <c r="E3691"/>
  <c r="E3689"/>
  <c r="E3670"/>
  <c r="E3678"/>
  <c r="E3667"/>
  <c r="E3665"/>
  <c r="E3686"/>
  <c r="E3673"/>
  <c r="E3794"/>
  <c r="E3791"/>
  <c r="E3786"/>
  <c r="E3783"/>
  <c r="E3778"/>
  <c r="E3775"/>
  <c r="E3770"/>
  <c r="E3767"/>
  <c r="E3762"/>
  <c r="E3759"/>
  <c r="E3754"/>
  <c r="E3751"/>
  <c r="E3793"/>
  <c r="E3785"/>
  <c r="E3777"/>
  <c r="E3769"/>
  <c r="E3761"/>
  <c r="E3753"/>
  <c r="E3790"/>
  <c r="E3787"/>
  <c r="E3782"/>
  <c r="E3779"/>
  <c r="E3774"/>
  <c r="E3771"/>
  <c r="E3766"/>
  <c r="E3763"/>
  <c r="E3758"/>
  <c r="E3755"/>
  <c r="E3846"/>
  <c r="E3850"/>
  <c r="E3847"/>
  <c r="E3842"/>
  <c r="E3849"/>
  <c r="E3841"/>
  <c r="E3922"/>
  <c r="E3926"/>
  <c r="E3923"/>
  <c r="E3918"/>
  <c r="E3925"/>
  <c r="E3917"/>
  <c r="E4018"/>
  <c r="E4010"/>
  <c r="E4014"/>
  <c r="E4011"/>
  <c r="E4006"/>
  <c r="E4003"/>
  <c r="E4013"/>
  <c r="E4005"/>
  <c r="E4271"/>
  <c r="E4268"/>
  <c r="E4263"/>
  <c r="E4260"/>
  <c r="E4255"/>
  <c r="E4252"/>
  <c r="E4247"/>
  <c r="E4244"/>
  <c r="E4239"/>
  <c r="E4236"/>
  <c r="E4231"/>
  <c r="E4228"/>
  <c r="E4223"/>
  <c r="E4267"/>
  <c r="E4264"/>
  <c r="E4259"/>
  <c r="E4256"/>
  <c r="E4251"/>
  <c r="E4248"/>
  <c r="E4243"/>
  <c r="E4240"/>
  <c r="E4235"/>
  <c r="E4232"/>
  <c r="E4227"/>
  <c r="E4224"/>
  <c r="E4219"/>
  <c r="E4216"/>
  <c r="E4211"/>
  <c r="E4266"/>
  <c r="E4258"/>
  <c r="E4250"/>
  <c r="E4242"/>
  <c r="E4234"/>
  <c r="E4226"/>
  <c r="E4218"/>
  <c r="E4210"/>
  <c r="E4215"/>
  <c r="E4220"/>
  <c r="E4212"/>
  <c r="E4438"/>
  <c r="E4433"/>
  <c r="E4430"/>
  <c r="E4425"/>
  <c r="E4429"/>
  <c r="E4422"/>
  <c r="E4410"/>
  <c r="E4405"/>
  <c r="E4400"/>
  <c r="E4393"/>
  <c r="E4390"/>
  <c r="E4378"/>
  <c r="E4373"/>
  <c r="E4437"/>
  <c r="E4424"/>
  <c r="E4417"/>
  <c r="E4414"/>
  <c r="E4397"/>
  <c r="E4392"/>
  <c r="E4385"/>
  <c r="E4382"/>
  <c r="E4434"/>
  <c r="E4432"/>
  <c r="E4421"/>
  <c r="E4416"/>
  <c r="E4409"/>
  <c r="E4406"/>
  <c r="E4394"/>
  <c r="E4389"/>
  <c r="E4384"/>
  <c r="E4377"/>
  <c r="E4374"/>
  <c r="E4418"/>
  <c r="E4413"/>
  <c r="E4408"/>
  <c r="E4401"/>
  <c r="E4398"/>
  <c r="E4386"/>
  <c r="E4381"/>
  <c r="E4376"/>
  <c r="E4560"/>
  <c r="E4552"/>
  <c r="E4544"/>
  <c r="E4536"/>
  <c r="E4557"/>
  <c r="E4549"/>
  <c r="E4541"/>
  <c r="E4561"/>
  <c r="E4558"/>
  <c r="E4553"/>
  <c r="E4550"/>
  <c r="E4545"/>
  <c r="E4542"/>
  <c r="E4537"/>
  <c r="E4704"/>
  <c r="E4693"/>
  <c r="E4688"/>
  <c r="E4680"/>
  <c r="E4672"/>
  <c r="E4664"/>
  <c r="E4656"/>
  <c r="E4697"/>
  <c r="E4692"/>
  <c r="E4685"/>
  <c r="E4677"/>
  <c r="E4669"/>
  <c r="E4661"/>
  <c r="E4701"/>
  <c r="E4696"/>
  <c r="E4700"/>
  <c r="E4689"/>
  <c r="E4686"/>
  <c r="E4681"/>
  <c r="E4678"/>
  <c r="E4673"/>
  <c r="E4670"/>
  <c r="E4665"/>
  <c r="E4662"/>
  <c r="E4657"/>
  <c r="E4654"/>
  <c r="E4817"/>
  <c r="E4813"/>
  <c r="E4809"/>
  <c r="E4805"/>
  <c r="E4801"/>
  <c r="E4816"/>
  <c r="E4812"/>
  <c r="E4808"/>
  <c r="E4804"/>
  <c r="E4800"/>
  <c r="E4796"/>
  <c r="E4792"/>
  <c r="E4788"/>
  <c r="E4784"/>
  <c r="E4780"/>
  <c r="E4776"/>
  <c r="E4772"/>
  <c r="E4768"/>
  <c r="E4793"/>
  <c r="E4785"/>
  <c r="E4777"/>
  <c r="E4769"/>
  <c r="E4765"/>
  <c r="E4761"/>
  <c r="E4757"/>
  <c r="E4753"/>
  <c r="E4749"/>
  <c r="E4797"/>
  <c r="E4789"/>
  <c r="E4781"/>
  <c r="E4773"/>
  <c r="E4764"/>
  <c r="E4760"/>
  <c r="E4756"/>
  <c r="E4752"/>
  <c r="E4748"/>
  <c r="D417"/>
  <c r="E417"/>
  <c r="D425"/>
  <c r="E425"/>
  <c r="D433"/>
  <c r="E433"/>
  <c r="D441"/>
  <c r="E441"/>
  <c r="D449"/>
  <c r="E449"/>
  <c r="D457"/>
  <c r="E457"/>
  <c r="D465"/>
  <c r="E465"/>
  <c r="D473"/>
  <c r="E473"/>
  <c r="D481"/>
  <c r="E481"/>
  <c r="D489"/>
  <c r="E489"/>
  <c r="D497"/>
  <c r="E497"/>
  <c r="D505"/>
  <c r="E505"/>
  <c r="D513"/>
  <c r="E513"/>
  <c r="D521"/>
  <c r="E521"/>
  <c r="D529"/>
  <c r="E529"/>
  <c r="D537"/>
  <c r="E537"/>
  <c r="D545"/>
  <c r="E545"/>
  <c r="D553"/>
  <c r="E553"/>
  <c r="D561"/>
  <c r="E561"/>
  <c r="D569"/>
  <c r="E569"/>
  <c r="D577"/>
  <c r="E577"/>
  <c r="D585"/>
  <c r="E585"/>
  <c r="D593"/>
  <c r="E593"/>
  <c r="D601"/>
  <c r="E601"/>
  <c r="D609"/>
  <c r="E609"/>
  <c r="E617"/>
  <c r="D617"/>
  <c r="E625"/>
  <c r="D625"/>
  <c r="E633"/>
  <c r="D633"/>
  <c r="D751"/>
  <c r="E751"/>
  <c r="D759"/>
  <c r="E759"/>
  <c r="E1002"/>
  <c r="D1002"/>
  <c r="D1069"/>
  <c r="E1069"/>
  <c r="D269"/>
  <c r="E272"/>
  <c r="D277"/>
  <c r="E280"/>
  <c r="E283"/>
  <c r="D285"/>
  <c r="E288"/>
  <c r="D293"/>
  <c r="E296"/>
  <c r="D301"/>
  <c r="E304"/>
  <c r="E308"/>
  <c r="E316"/>
  <c r="E324"/>
  <c r="E332"/>
  <c r="D336"/>
  <c r="E339"/>
  <c r="E342"/>
  <c r="D344"/>
  <c r="E347"/>
  <c r="D352"/>
  <c r="E355"/>
  <c r="D360"/>
  <c r="E363"/>
  <c r="D368"/>
  <c r="E371"/>
  <c r="D376"/>
  <c r="E379"/>
  <c r="D384"/>
  <c r="E387"/>
  <c r="D392"/>
  <c r="E397"/>
  <c r="E400"/>
  <c r="E406"/>
  <c r="E411"/>
  <c r="E419"/>
  <c r="E421"/>
  <c r="E427"/>
  <c r="E429"/>
  <c r="E435"/>
  <c r="E437"/>
  <c r="E443"/>
  <c r="E445"/>
  <c r="E451"/>
  <c r="E453"/>
  <c r="E459"/>
  <c r="E461"/>
  <c r="E467"/>
  <c r="E469"/>
  <c r="E475"/>
  <c r="E477"/>
  <c r="E483"/>
  <c r="E485"/>
  <c r="E491"/>
  <c r="E493"/>
  <c r="E499"/>
  <c r="E501"/>
  <c r="E507"/>
  <c r="E509"/>
  <c r="E515"/>
  <c r="E517"/>
  <c r="E523"/>
  <c r="E525"/>
  <c r="E531"/>
  <c r="E533"/>
  <c r="E539"/>
  <c r="E541"/>
  <c r="E547"/>
  <c r="E549"/>
  <c r="E555"/>
  <c r="E557"/>
  <c r="E563"/>
  <c r="E565"/>
  <c r="E571"/>
  <c r="E573"/>
  <c r="E579"/>
  <c r="E581"/>
  <c r="E587"/>
  <c r="E589"/>
  <c r="E595"/>
  <c r="E597"/>
  <c r="E603"/>
  <c r="E605"/>
  <c r="E611"/>
  <c r="E621"/>
  <c r="E629"/>
  <c r="E637"/>
  <c r="D642"/>
  <c r="E652"/>
  <c r="E655"/>
  <c r="E661"/>
  <c r="E662"/>
  <c r="E666"/>
  <c r="E667"/>
  <c r="D669"/>
  <c r="E672"/>
  <c r="D674"/>
  <c r="E684"/>
  <c r="E687"/>
  <c r="E693"/>
  <c r="E694"/>
  <c r="E698"/>
  <c r="D701"/>
  <c r="E704"/>
  <c r="D706"/>
  <c r="E719"/>
  <c r="E725"/>
  <c r="E726"/>
  <c r="E735"/>
  <c r="E741"/>
  <c r="E742"/>
  <c r="E769"/>
  <c r="E770"/>
  <c r="E779"/>
  <c r="E789"/>
  <c r="E797"/>
  <c r="E798"/>
  <c r="E807"/>
  <c r="E813"/>
  <c r="E814"/>
  <c r="E823"/>
  <c r="E829"/>
  <c r="E830"/>
  <c r="E839"/>
  <c r="E845"/>
  <c r="E846"/>
  <c r="E855"/>
  <c r="E861"/>
  <c r="E862"/>
  <c r="E871"/>
  <c r="E877"/>
  <c r="E878"/>
  <c r="E887"/>
  <c r="E893"/>
  <c r="E894"/>
  <c r="E903"/>
  <c r="E909"/>
  <c r="E910"/>
  <c r="E919"/>
  <c r="E925"/>
  <c r="E926"/>
  <c r="E984"/>
  <c r="E1008"/>
  <c r="E1028"/>
  <c r="E1035"/>
  <c r="E1115"/>
  <c r="E1147"/>
  <c r="E1179"/>
  <c r="E1503"/>
  <c r="E983"/>
  <c r="D983"/>
  <c r="E991"/>
  <c r="D991"/>
  <c r="D1117"/>
  <c r="E1117"/>
  <c r="D1125"/>
  <c r="E1125"/>
  <c r="D1133"/>
  <c r="E1133"/>
  <c r="D1141"/>
  <c r="E1141"/>
  <c r="D1149"/>
  <c r="E1149"/>
  <c r="D1157"/>
  <c r="E1157"/>
  <c r="D1165"/>
  <c r="E1165"/>
  <c r="D1173"/>
  <c r="E1173"/>
  <c r="D1181"/>
  <c r="E1181"/>
  <c r="D1189"/>
  <c r="E1189"/>
  <c r="D1794"/>
  <c r="E1794"/>
  <c r="D1805"/>
  <c r="E1805"/>
  <c r="E1808"/>
  <c r="D1808"/>
  <c r="D1827"/>
  <c r="E1827"/>
  <c r="D1837"/>
  <c r="E1837"/>
  <c r="E1924"/>
  <c r="D1924"/>
  <c r="D1943"/>
  <c r="E1943"/>
  <c r="D1953"/>
  <c r="E1953"/>
  <c r="D2075"/>
  <c r="E2075"/>
  <c r="D2085"/>
  <c r="E2085"/>
  <c r="E2088"/>
  <c r="D2088"/>
  <c r="D2107"/>
  <c r="E2107"/>
  <c r="D2117"/>
  <c r="E2117"/>
  <c r="E2120"/>
  <c r="D2120"/>
  <c r="D2139"/>
  <c r="E2139"/>
  <c r="D2149"/>
  <c r="E2149"/>
  <c r="E2152"/>
  <c r="D2152"/>
  <c r="D2171"/>
  <c r="E2171"/>
  <c r="D2181"/>
  <c r="E2181"/>
  <c r="E2184"/>
  <c r="D2184"/>
  <c r="D2203"/>
  <c r="E2203"/>
  <c r="D2213"/>
  <c r="E2213"/>
  <c r="E2216"/>
  <c r="D2216"/>
  <c r="D2235"/>
  <c r="E2235"/>
  <c r="D2245"/>
  <c r="E2245"/>
  <c r="E2248"/>
  <c r="D2248"/>
  <c r="D2267"/>
  <c r="E2267"/>
  <c r="D2277"/>
  <c r="E2277"/>
  <c r="E2280"/>
  <c r="D2280"/>
  <c r="D2374"/>
  <c r="E2374"/>
  <c r="E394"/>
  <c r="E402"/>
  <c r="E410"/>
  <c r="E641"/>
  <c r="E649"/>
  <c r="E657"/>
  <c r="E665"/>
  <c r="E673"/>
  <c r="E681"/>
  <c r="E689"/>
  <c r="E697"/>
  <c r="E705"/>
  <c r="E713"/>
  <c r="E724"/>
  <c r="E732"/>
  <c r="E740"/>
  <c r="E768"/>
  <c r="E776"/>
  <c r="E796"/>
  <c r="E804"/>
  <c r="E812"/>
  <c r="E820"/>
  <c r="E828"/>
  <c r="E836"/>
  <c r="E844"/>
  <c r="E852"/>
  <c r="E860"/>
  <c r="E868"/>
  <c r="E876"/>
  <c r="E884"/>
  <c r="E892"/>
  <c r="E900"/>
  <c r="E908"/>
  <c r="E916"/>
  <c r="E924"/>
  <c r="E932"/>
  <c r="E940"/>
  <c r="E948"/>
  <c r="E956"/>
  <c r="E964"/>
  <c r="E972"/>
  <c r="E980"/>
  <c r="E987"/>
  <c r="E995"/>
  <c r="E1026"/>
  <c r="E1031"/>
  <c r="E1058"/>
  <c r="E1063"/>
  <c r="E1090"/>
  <c r="E1095"/>
  <c r="E1101"/>
  <c r="E1111"/>
  <c r="E1113"/>
  <c r="E1119"/>
  <c r="E1121"/>
  <c r="E1127"/>
  <c r="E1129"/>
  <c r="E1135"/>
  <c r="E1137"/>
  <c r="E1143"/>
  <c r="E1145"/>
  <c r="E1151"/>
  <c r="E1153"/>
  <c r="E1159"/>
  <c r="E1161"/>
  <c r="E1167"/>
  <c r="E1169"/>
  <c r="E1175"/>
  <c r="E1177"/>
  <c r="E1183"/>
  <c r="E1185"/>
  <c r="E1191"/>
  <c r="E1193"/>
  <c r="E1201"/>
  <c r="E1222"/>
  <c r="E1227"/>
  <c r="E1233"/>
  <c r="E1254"/>
  <c r="E1259"/>
  <c r="E1265"/>
  <c r="E1286"/>
  <c r="E1291"/>
  <c r="E1297"/>
  <c r="E1305"/>
  <c r="E1326"/>
  <c r="E1331"/>
  <c r="E1337"/>
  <c r="E1358"/>
  <c r="E1363"/>
  <c r="E1369"/>
  <c r="E1390"/>
  <c r="E1395"/>
  <c r="E1401"/>
  <c r="E1422"/>
  <c r="E1427"/>
  <c r="E1433"/>
  <c r="E1454"/>
  <c r="E1459"/>
  <c r="E1465"/>
  <c r="D1487"/>
  <c r="D1495"/>
  <c r="D1503"/>
  <c r="E1530"/>
  <c r="E1535"/>
  <c r="E1546"/>
  <c r="E1549"/>
  <c r="E1559"/>
  <c r="E1578"/>
  <c r="E1581"/>
  <c r="E1589"/>
  <c r="E1592"/>
  <c r="E1602"/>
  <c r="E1621"/>
  <c r="E1624"/>
  <c r="E1634"/>
  <c r="E1645"/>
  <c r="E1648"/>
  <c r="E1658"/>
  <c r="E1677"/>
  <c r="E1680"/>
  <c r="E1690"/>
  <c r="E1913"/>
  <c r="E1921"/>
  <c r="E1957"/>
  <c r="E1965"/>
  <c r="E1973"/>
  <c r="E1981"/>
  <c r="E1989"/>
  <c r="E1997"/>
  <c r="E2516"/>
  <c r="E2532"/>
  <c r="E2548"/>
  <c r="E2564"/>
  <c r="E2580"/>
  <c r="E2596"/>
  <c r="E2612"/>
  <c r="E2628"/>
  <c r="E2644"/>
  <c r="E2660"/>
  <c r="E2676"/>
  <c r="E2692"/>
  <c r="E1510"/>
  <c r="D1510"/>
  <c r="D1786"/>
  <c r="E1786"/>
  <c r="E1789"/>
  <c r="D1789"/>
  <c r="E1800"/>
  <c r="D1800"/>
  <c r="D1819"/>
  <c r="E1819"/>
  <c r="D1829"/>
  <c r="E1829"/>
  <c r="E1832"/>
  <c r="D1832"/>
  <c r="D1935"/>
  <c r="E1935"/>
  <c r="D1945"/>
  <c r="E1945"/>
  <c r="E1948"/>
  <c r="D1948"/>
  <c r="D2077"/>
  <c r="E2077"/>
  <c r="E2080"/>
  <c r="D2080"/>
  <c r="D2099"/>
  <c r="E2099"/>
  <c r="D2109"/>
  <c r="E2109"/>
  <c r="E2112"/>
  <c r="D2112"/>
  <c r="D2131"/>
  <c r="E2131"/>
  <c r="D2141"/>
  <c r="E2141"/>
  <c r="E2144"/>
  <c r="D2144"/>
  <c r="D2163"/>
  <c r="E2163"/>
  <c r="D2173"/>
  <c r="E2173"/>
  <c r="E2176"/>
  <c r="D2176"/>
  <c r="D2195"/>
  <c r="E2195"/>
  <c r="D2205"/>
  <c r="E2205"/>
  <c r="E2208"/>
  <c r="D2208"/>
  <c r="D2227"/>
  <c r="E2227"/>
  <c r="D2237"/>
  <c r="E2237"/>
  <c r="E2240"/>
  <c r="D2240"/>
  <c r="D2259"/>
  <c r="E2259"/>
  <c r="D2269"/>
  <c r="E2269"/>
  <c r="E2272"/>
  <c r="D2272"/>
  <c r="D2291"/>
  <c r="E2291"/>
  <c r="D2376"/>
  <c r="E2376"/>
  <c r="E1098"/>
  <c r="E1103"/>
  <c r="E1198"/>
  <c r="E1203"/>
  <c r="E1230"/>
  <c r="E1235"/>
  <c r="E1262"/>
  <c r="E1267"/>
  <c r="E1294"/>
  <c r="E1302"/>
  <c r="E1307"/>
  <c r="E1334"/>
  <c r="E1339"/>
  <c r="E1366"/>
  <c r="E1371"/>
  <c r="E1398"/>
  <c r="E1403"/>
  <c r="E1430"/>
  <c r="E1435"/>
  <c r="E1462"/>
  <c r="E1467"/>
  <c r="E1514"/>
  <c r="E1538"/>
  <c r="E1551"/>
  <c r="E1570"/>
  <c r="E1583"/>
  <c r="E1594"/>
  <c r="E1613"/>
  <c r="E1626"/>
  <c r="E1650"/>
  <c r="E1669"/>
  <c r="E1682"/>
  <c r="E1701"/>
  <c r="E1841"/>
  <c r="E1849"/>
  <c r="E1857"/>
  <c r="E1865"/>
  <c r="E1873"/>
  <c r="E1881"/>
  <c r="E1889"/>
  <c r="E1897"/>
  <c r="E1905"/>
  <c r="E2452"/>
  <c r="E2468"/>
  <c r="E2484"/>
  <c r="E1486"/>
  <c r="D1486"/>
  <c r="E1494"/>
  <c r="D1494"/>
  <c r="E1502"/>
  <c r="D1502"/>
  <c r="D1513"/>
  <c r="E1513"/>
  <c r="D1811"/>
  <c r="E1811"/>
  <c r="D1821"/>
  <c r="E1821"/>
  <c r="E1824"/>
  <c r="D1824"/>
  <c r="D1927"/>
  <c r="E1927"/>
  <c r="D1937"/>
  <c r="E1937"/>
  <c r="E1940"/>
  <c r="D1940"/>
  <c r="D2069"/>
  <c r="E2069"/>
  <c r="E2072"/>
  <c r="D2072"/>
  <c r="D2091"/>
  <c r="E2091"/>
  <c r="D2101"/>
  <c r="E2101"/>
  <c r="E2104"/>
  <c r="D2104"/>
  <c r="D2123"/>
  <c r="E2123"/>
  <c r="D2133"/>
  <c r="E2133"/>
  <c r="E2136"/>
  <c r="D2136"/>
  <c r="D2155"/>
  <c r="E2155"/>
  <c r="D2165"/>
  <c r="E2165"/>
  <c r="E2168"/>
  <c r="D2168"/>
  <c r="D2187"/>
  <c r="E2187"/>
  <c r="D2197"/>
  <c r="E2197"/>
  <c r="E2200"/>
  <c r="D2200"/>
  <c r="D2219"/>
  <c r="E2219"/>
  <c r="D2229"/>
  <c r="E2229"/>
  <c r="E2232"/>
  <c r="D2232"/>
  <c r="D2251"/>
  <c r="E2251"/>
  <c r="D2261"/>
  <c r="E2261"/>
  <c r="E2264"/>
  <c r="D2264"/>
  <c r="D2283"/>
  <c r="E2283"/>
  <c r="D2368"/>
  <c r="E2368"/>
  <c r="E2371"/>
  <c r="D2371"/>
  <c r="E728"/>
  <c r="E736"/>
  <c r="E764"/>
  <c r="E772"/>
  <c r="E780"/>
  <c r="E800"/>
  <c r="E808"/>
  <c r="E816"/>
  <c r="E824"/>
  <c r="E832"/>
  <c r="E840"/>
  <c r="E848"/>
  <c r="E856"/>
  <c r="E864"/>
  <c r="E872"/>
  <c r="E880"/>
  <c r="E888"/>
  <c r="E896"/>
  <c r="E904"/>
  <c r="E912"/>
  <c r="E920"/>
  <c r="E928"/>
  <c r="E936"/>
  <c r="E944"/>
  <c r="E952"/>
  <c r="E960"/>
  <c r="E968"/>
  <c r="E976"/>
  <c r="E1010"/>
  <c r="E1015"/>
  <c r="E1021"/>
  <c r="E1042"/>
  <c r="E1047"/>
  <c r="E1053"/>
  <c r="E1074"/>
  <c r="E1079"/>
  <c r="E1085"/>
  <c r="E1106"/>
  <c r="E1206"/>
  <c r="E1211"/>
  <c r="E1217"/>
  <c r="E1238"/>
  <c r="E1243"/>
  <c r="E1249"/>
  <c r="E1270"/>
  <c r="E1275"/>
  <c r="E1281"/>
  <c r="E1310"/>
  <c r="E1315"/>
  <c r="E1321"/>
  <c r="E1342"/>
  <c r="E1347"/>
  <c r="E1353"/>
  <c r="E1374"/>
  <c r="E1379"/>
  <c r="E1385"/>
  <c r="E1406"/>
  <c r="E1411"/>
  <c r="E1417"/>
  <c r="E1438"/>
  <c r="E1443"/>
  <c r="E1449"/>
  <c r="E1470"/>
  <c r="E1475"/>
  <c r="E1481"/>
  <c r="E1490"/>
  <c r="E1498"/>
  <c r="E1506"/>
  <c r="E1509"/>
  <c r="E1515"/>
  <c r="E1517"/>
  <c r="E1519"/>
  <c r="E1525"/>
  <c r="E1543"/>
  <c r="E1562"/>
  <c r="E1565"/>
  <c r="E1575"/>
  <c r="E1586"/>
  <c r="E1605"/>
  <c r="E1608"/>
  <c r="E1618"/>
  <c r="E1637"/>
  <c r="E1640"/>
  <c r="E1661"/>
  <c r="E1664"/>
  <c r="E1674"/>
  <c r="E1693"/>
  <c r="E1696"/>
  <c r="E1706"/>
  <c r="E1714"/>
  <c r="E1722"/>
  <c r="E1730"/>
  <c r="E1738"/>
  <c r="E1746"/>
  <c r="E1754"/>
  <c r="E1762"/>
  <c r="E1770"/>
  <c r="E1778"/>
  <c r="E2508"/>
  <c r="E2524"/>
  <c r="E2540"/>
  <c r="E2556"/>
  <c r="E2572"/>
  <c r="E2588"/>
  <c r="E2604"/>
  <c r="E2620"/>
  <c r="E2636"/>
  <c r="E2652"/>
  <c r="E2668"/>
  <c r="E2684"/>
  <c r="E1114"/>
  <c r="D1114"/>
  <c r="E1122"/>
  <c r="D1122"/>
  <c r="E1130"/>
  <c r="D1130"/>
  <c r="E1138"/>
  <c r="D1138"/>
  <c r="E1146"/>
  <c r="D1146"/>
  <c r="E1154"/>
  <c r="D1154"/>
  <c r="E1162"/>
  <c r="D1162"/>
  <c r="E1170"/>
  <c r="D1170"/>
  <c r="E1178"/>
  <c r="D1178"/>
  <c r="E1186"/>
  <c r="D1186"/>
  <c r="E1194"/>
  <c r="D1194"/>
  <c r="D1489"/>
  <c r="E1489"/>
  <c r="D1497"/>
  <c r="E1497"/>
  <c r="D1505"/>
  <c r="E1505"/>
  <c r="D1792"/>
  <c r="E1792"/>
  <c r="D1803"/>
  <c r="E1803"/>
  <c r="D1813"/>
  <c r="E1813"/>
  <c r="E1816"/>
  <c r="D1816"/>
  <c r="D1835"/>
  <c r="E1835"/>
  <c r="D1929"/>
  <c r="E1929"/>
  <c r="E1932"/>
  <c r="D1932"/>
  <c r="D1951"/>
  <c r="E1951"/>
  <c r="D2083"/>
  <c r="E2083"/>
  <c r="D2093"/>
  <c r="E2093"/>
  <c r="E2096"/>
  <c r="D2096"/>
  <c r="D2115"/>
  <c r="E2115"/>
  <c r="D2125"/>
  <c r="E2125"/>
  <c r="E2128"/>
  <c r="D2128"/>
  <c r="D2147"/>
  <c r="E2147"/>
  <c r="D2157"/>
  <c r="E2157"/>
  <c r="E2160"/>
  <c r="D2160"/>
  <c r="D2179"/>
  <c r="E2179"/>
  <c r="D2189"/>
  <c r="E2189"/>
  <c r="E2192"/>
  <c r="D2192"/>
  <c r="D2211"/>
  <c r="E2211"/>
  <c r="D2221"/>
  <c r="E2221"/>
  <c r="E2224"/>
  <c r="D2224"/>
  <c r="D2243"/>
  <c r="E2243"/>
  <c r="D2253"/>
  <c r="E2253"/>
  <c r="E2256"/>
  <c r="D2256"/>
  <c r="D2275"/>
  <c r="E2275"/>
  <c r="D2285"/>
  <c r="E2285"/>
  <c r="E2288"/>
  <c r="D2288"/>
  <c r="E1018"/>
  <c r="E1023"/>
  <c r="E1050"/>
  <c r="E1055"/>
  <c r="E1082"/>
  <c r="E1087"/>
  <c r="E1110"/>
  <c r="E1118"/>
  <c r="E1126"/>
  <c r="E1134"/>
  <c r="E1142"/>
  <c r="E1150"/>
  <c r="E1158"/>
  <c r="E1166"/>
  <c r="E1174"/>
  <c r="E1182"/>
  <c r="E1190"/>
  <c r="E1214"/>
  <c r="E1219"/>
  <c r="E1246"/>
  <c r="E1251"/>
  <c r="E1278"/>
  <c r="E1283"/>
  <c r="E1318"/>
  <c r="E1323"/>
  <c r="E1350"/>
  <c r="E1355"/>
  <c r="E1382"/>
  <c r="E1387"/>
  <c r="E1414"/>
  <c r="E1419"/>
  <c r="E1446"/>
  <c r="E1451"/>
  <c r="E1478"/>
  <c r="E1522"/>
  <c r="E1527"/>
  <c r="E1554"/>
  <c r="E1567"/>
  <c r="E1597"/>
  <c r="E1610"/>
  <c r="E1629"/>
  <c r="E1653"/>
  <c r="E1666"/>
  <c r="E1685"/>
  <c r="E1698"/>
  <c r="E2005"/>
  <c r="E2013"/>
  <c r="E2021"/>
  <c r="E2029"/>
  <c r="E2037"/>
  <c r="E2045"/>
  <c r="E2053"/>
  <c r="E2061"/>
  <c r="E2296"/>
  <c r="E2304"/>
  <c r="E2312"/>
  <c r="E2320"/>
  <c r="E2328"/>
  <c r="E2336"/>
  <c r="E2344"/>
  <c r="E2352"/>
  <c r="E2360"/>
  <c r="E2460"/>
  <c r="E2476"/>
  <c r="E2492"/>
  <c r="D2817"/>
  <c r="E2817"/>
  <c r="D2833"/>
  <c r="E2833"/>
  <c r="D2849"/>
  <c r="E2849"/>
  <c r="D2865"/>
  <c r="E2865"/>
  <c r="E2379"/>
  <c r="E2387"/>
  <c r="E2395"/>
  <c r="E2403"/>
  <c r="E2411"/>
  <c r="E2419"/>
  <c r="E2427"/>
  <c r="E2435"/>
  <c r="E2443"/>
  <c r="E2702"/>
  <c r="E2710"/>
  <c r="E2718"/>
  <c r="E2726"/>
  <c r="E2822"/>
  <c r="E2838"/>
  <c r="E2854"/>
  <c r="E2870"/>
  <c r="E2878"/>
  <c r="E2886"/>
  <c r="E2894"/>
  <c r="E2902"/>
  <c r="E2910"/>
  <c r="D2821"/>
  <c r="E2821"/>
  <c r="D2837"/>
  <c r="E2837"/>
  <c r="D2853"/>
  <c r="E2853"/>
  <c r="D2869"/>
  <c r="E2869"/>
  <c r="E1709"/>
  <c r="E1717"/>
  <c r="E1725"/>
  <c r="E1733"/>
  <c r="E1741"/>
  <c r="E1749"/>
  <c r="E1757"/>
  <c r="E1765"/>
  <c r="E1773"/>
  <c r="E1781"/>
  <c r="E1844"/>
  <c r="E1852"/>
  <c r="E1860"/>
  <c r="E1868"/>
  <c r="E1876"/>
  <c r="E1884"/>
  <c r="E1892"/>
  <c r="E1900"/>
  <c r="E1908"/>
  <c r="E1916"/>
  <c r="E1960"/>
  <c r="E1968"/>
  <c r="E1976"/>
  <c r="E1984"/>
  <c r="E1992"/>
  <c r="E2000"/>
  <c r="E2008"/>
  <c r="E2016"/>
  <c r="E2024"/>
  <c r="E2032"/>
  <c r="E2040"/>
  <c r="E2048"/>
  <c r="E2056"/>
  <c r="E2064"/>
  <c r="E2299"/>
  <c r="E2307"/>
  <c r="E2315"/>
  <c r="E2323"/>
  <c r="E2331"/>
  <c r="E2339"/>
  <c r="E2347"/>
  <c r="E2355"/>
  <c r="E2363"/>
  <c r="E2455"/>
  <c r="E2463"/>
  <c r="E2471"/>
  <c r="E2479"/>
  <c r="E2487"/>
  <c r="E2495"/>
  <c r="E2503"/>
  <c r="E2511"/>
  <c r="E2519"/>
  <c r="E2527"/>
  <c r="E2535"/>
  <c r="E2543"/>
  <c r="E2551"/>
  <c r="E2559"/>
  <c r="E2567"/>
  <c r="E2575"/>
  <c r="E2583"/>
  <c r="E2591"/>
  <c r="E2599"/>
  <c r="E2607"/>
  <c r="E2615"/>
  <c r="E2623"/>
  <c r="E2631"/>
  <c r="E2639"/>
  <c r="E2647"/>
  <c r="E2655"/>
  <c r="E2663"/>
  <c r="E2671"/>
  <c r="E2679"/>
  <c r="E2687"/>
  <c r="E2695"/>
  <c r="E2826"/>
  <c r="E2842"/>
  <c r="E2858"/>
  <c r="D2825"/>
  <c r="E2825"/>
  <c r="D2841"/>
  <c r="E2841"/>
  <c r="D2857"/>
  <c r="E2857"/>
  <c r="E1793"/>
  <c r="E1804"/>
  <c r="E1812"/>
  <c r="E1820"/>
  <c r="E1828"/>
  <c r="E1836"/>
  <c r="E1928"/>
  <c r="E1936"/>
  <c r="E1944"/>
  <c r="E1952"/>
  <c r="E2076"/>
  <c r="E2084"/>
  <c r="E2092"/>
  <c r="E2100"/>
  <c r="E2108"/>
  <c r="E2116"/>
  <c r="E2124"/>
  <c r="E2132"/>
  <c r="E2140"/>
  <c r="E2148"/>
  <c r="E2156"/>
  <c r="E2164"/>
  <c r="E2172"/>
  <c r="E2180"/>
  <c r="E2188"/>
  <c r="E2196"/>
  <c r="E2204"/>
  <c r="E2212"/>
  <c r="E2220"/>
  <c r="E2228"/>
  <c r="E2236"/>
  <c r="E2244"/>
  <c r="E2252"/>
  <c r="E2260"/>
  <c r="E2268"/>
  <c r="E2276"/>
  <c r="E2284"/>
  <c r="E2375"/>
  <c r="E2383"/>
  <c r="E2384"/>
  <c r="E2391"/>
  <c r="E2392"/>
  <c r="E2399"/>
  <c r="E2400"/>
  <c r="E2407"/>
  <c r="E2408"/>
  <c r="E2415"/>
  <c r="E2416"/>
  <c r="E2423"/>
  <c r="E2424"/>
  <c r="E2431"/>
  <c r="E2432"/>
  <c r="E2439"/>
  <c r="E2440"/>
  <c r="E2706"/>
  <c r="E2707"/>
  <c r="E2714"/>
  <c r="E2715"/>
  <c r="E2722"/>
  <c r="E2723"/>
  <c r="E2786"/>
  <c r="E2790"/>
  <c r="E2794"/>
  <c r="E2798"/>
  <c r="E2802"/>
  <c r="E2806"/>
  <c r="E2810"/>
  <c r="E2814"/>
  <c r="E2830"/>
  <c r="E2846"/>
  <c r="E2862"/>
  <c r="E2874"/>
  <c r="E2882"/>
  <c r="E2890"/>
  <c r="E2898"/>
  <c r="E2906"/>
  <c r="D2829"/>
  <c r="E2829"/>
  <c r="D2845"/>
  <c r="E2845"/>
  <c r="D2861"/>
  <c r="E2861"/>
  <c r="E1006"/>
  <c r="E1014"/>
  <c r="E1022"/>
  <c r="E1030"/>
  <c r="E1038"/>
  <c r="E1046"/>
  <c r="E1054"/>
  <c r="E1062"/>
  <c r="E1070"/>
  <c r="E1078"/>
  <c r="E1086"/>
  <c r="E1094"/>
  <c r="E1102"/>
  <c r="E1202"/>
  <c r="E1210"/>
  <c r="E1218"/>
  <c r="E1226"/>
  <c r="E1234"/>
  <c r="E1242"/>
  <c r="E1250"/>
  <c r="E1258"/>
  <c r="E1266"/>
  <c r="E1274"/>
  <c r="E1282"/>
  <c r="E1290"/>
  <c r="E1298"/>
  <c r="E1306"/>
  <c r="E1314"/>
  <c r="E1322"/>
  <c r="E1330"/>
  <c r="E1338"/>
  <c r="E1346"/>
  <c r="E1354"/>
  <c r="E1362"/>
  <c r="E1370"/>
  <c r="E1378"/>
  <c r="E1386"/>
  <c r="E1394"/>
  <c r="E1402"/>
  <c r="E1410"/>
  <c r="E1418"/>
  <c r="E1426"/>
  <c r="E1434"/>
  <c r="E1442"/>
  <c r="E1450"/>
  <c r="E1458"/>
  <c r="E1466"/>
  <c r="E1474"/>
  <c r="E1482"/>
  <c r="E1526"/>
  <c r="E1534"/>
  <c r="E1542"/>
  <c r="E1550"/>
  <c r="E1558"/>
  <c r="E1566"/>
  <c r="E1574"/>
  <c r="E1582"/>
  <c r="E1593"/>
  <c r="E1601"/>
  <c r="E1609"/>
  <c r="E1617"/>
  <c r="E1625"/>
  <c r="E1633"/>
  <c r="E1641"/>
  <c r="E1649"/>
  <c r="E1657"/>
  <c r="E1665"/>
  <c r="E1673"/>
  <c r="E1681"/>
  <c r="E1689"/>
  <c r="E1697"/>
  <c r="E1705"/>
  <c r="E1713"/>
  <c r="E1721"/>
  <c r="E1729"/>
  <c r="E1737"/>
  <c r="E1745"/>
  <c r="E1753"/>
  <c r="E1761"/>
  <c r="E1769"/>
  <c r="E1777"/>
  <c r="E1848"/>
  <c r="E1856"/>
  <c r="E1864"/>
  <c r="E1872"/>
  <c r="E1880"/>
  <c r="E1888"/>
  <c r="E1896"/>
  <c r="E1904"/>
  <c r="E1912"/>
  <c r="E1920"/>
  <c r="E1956"/>
  <c r="E1964"/>
  <c r="E1972"/>
  <c r="E1980"/>
  <c r="E1988"/>
  <c r="E1996"/>
  <c r="E2004"/>
  <c r="E2012"/>
  <c r="E2020"/>
  <c r="E2028"/>
  <c r="E2036"/>
  <c r="E2044"/>
  <c r="E2052"/>
  <c r="E2060"/>
  <c r="E2295"/>
  <c r="E2303"/>
  <c r="E2311"/>
  <c r="E2319"/>
  <c r="E2327"/>
  <c r="E2335"/>
  <c r="E2343"/>
  <c r="E2351"/>
  <c r="E2359"/>
  <c r="D2379"/>
  <c r="E2382"/>
  <c r="D2387"/>
  <c r="E2390"/>
  <c r="D2395"/>
  <c r="E2398"/>
  <c r="D2403"/>
  <c r="E2406"/>
  <c r="D2411"/>
  <c r="E2414"/>
  <c r="D2419"/>
  <c r="E2422"/>
  <c r="D2427"/>
  <c r="E2430"/>
  <c r="D2435"/>
  <c r="E2438"/>
  <c r="D2443"/>
  <c r="E2446"/>
  <c r="E2451"/>
  <c r="E2459"/>
  <c r="E2467"/>
  <c r="E2475"/>
  <c r="E2483"/>
  <c r="E2491"/>
  <c r="E2499"/>
  <c r="E2507"/>
  <c r="E2515"/>
  <c r="E2523"/>
  <c r="E2531"/>
  <c r="E2539"/>
  <c r="E2547"/>
  <c r="E2555"/>
  <c r="E2563"/>
  <c r="E2571"/>
  <c r="E2579"/>
  <c r="E2587"/>
  <c r="E2595"/>
  <c r="E2603"/>
  <c r="E2611"/>
  <c r="E2619"/>
  <c r="E2627"/>
  <c r="E2635"/>
  <c r="E2643"/>
  <c r="E2651"/>
  <c r="E2659"/>
  <c r="E2667"/>
  <c r="E2675"/>
  <c r="E2683"/>
  <c r="E2691"/>
  <c r="E2699"/>
  <c r="D2702"/>
  <c r="E2705"/>
  <c r="D2710"/>
  <c r="E2713"/>
  <c r="D2718"/>
  <c r="E2721"/>
  <c r="D2726"/>
  <c r="E2730"/>
  <c r="E2734"/>
  <c r="E2738"/>
  <c r="E2742"/>
  <c r="E2746"/>
  <c r="E2750"/>
  <c r="E2754"/>
  <c r="E2758"/>
  <c r="E2762"/>
  <c r="E2766"/>
  <c r="E2770"/>
  <c r="E2774"/>
  <c r="E2778"/>
  <c r="E2782"/>
  <c r="E2785"/>
  <c r="E2787"/>
  <c r="E2789"/>
  <c r="E2791"/>
  <c r="E2793"/>
  <c r="E2795"/>
  <c r="E2818"/>
  <c r="E2834"/>
  <c r="E2850"/>
  <c r="E2866"/>
  <c r="E3268"/>
  <c r="D3268"/>
  <c r="D3274"/>
  <c r="E3274"/>
  <c r="E3279"/>
  <c r="D3279"/>
  <c r="E3300"/>
  <c r="D3300"/>
  <c r="D3309"/>
  <c r="E3309"/>
  <c r="D3331"/>
  <c r="E3331"/>
  <c r="D3341"/>
  <c r="E3341"/>
  <c r="D3363"/>
  <c r="E3363"/>
  <c r="E2920"/>
  <c r="E2928"/>
  <c r="E2936"/>
  <c r="E3130"/>
  <c r="E3151"/>
  <c r="E3156"/>
  <c r="E3162"/>
  <c r="E3180"/>
  <c r="E3199"/>
  <c r="E3202"/>
  <c r="E3212"/>
  <c r="E3231"/>
  <c r="E3234"/>
  <c r="E3244"/>
  <c r="E3327"/>
  <c r="E3359"/>
  <c r="D3250"/>
  <c r="E3250"/>
  <c r="E3255"/>
  <c r="D3255"/>
  <c r="E3276"/>
  <c r="D3276"/>
  <c r="D3282"/>
  <c r="E3282"/>
  <c r="E3287"/>
  <c r="D3287"/>
  <c r="D3323"/>
  <c r="E3323"/>
  <c r="D3333"/>
  <c r="E3333"/>
  <c r="D3355"/>
  <c r="E3355"/>
  <c r="D3365"/>
  <c r="E3365"/>
  <c r="E2873"/>
  <c r="E2877"/>
  <c r="E2881"/>
  <c r="E2885"/>
  <c r="E2889"/>
  <c r="E2893"/>
  <c r="E2897"/>
  <c r="E2901"/>
  <c r="E2905"/>
  <c r="E2909"/>
  <c r="E2917"/>
  <c r="E2918"/>
  <c r="E2925"/>
  <c r="E2926"/>
  <c r="E2933"/>
  <c r="E2934"/>
  <c r="E3132"/>
  <c r="E3159"/>
  <c r="E3164"/>
  <c r="E3191"/>
  <c r="E3204"/>
  <c r="E3223"/>
  <c r="E3236"/>
  <c r="E3319"/>
  <c r="E3351"/>
  <c r="E2945"/>
  <c r="D2945"/>
  <c r="E2953"/>
  <c r="D2953"/>
  <c r="E2961"/>
  <c r="D2961"/>
  <c r="E2969"/>
  <c r="D2969"/>
  <c r="E2977"/>
  <c r="D2977"/>
  <c r="E2985"/>
  <c r="D2985"/>
  <c r="E2993"/>
  <c r="D2993"/>
  <c r="E3001"/>
  <c r="D3001"/>
  <c r="E3009"/>
  <c r="D3009"/>
  <c r="E3017"/>
  <c r="D3017"/>
  <c r="E3025"/>
  <c r="D3025"/>
  <c r="E3033"/>
  <c r="D3033"/>
  <c r="E3041"/>
  <c r="D3041"/>
  <c r="E3049"/>
  <c r="D3049"/>
  <c r="E3057"/>
  <c r="D3057"/>
  <c r="E3065"/>
  <c r="D3065"/>
  <c r="E3073"/>
  <c r="D3073"/>
  <c r="E3083"/>
  <c r="D3083"/>
  <c r="E3091"/>
  <c r="D3091"/>
  <c r="E3099"/>
  <c r="D3099"/>
  <c r="E3107"/>
  <c r="D3107"/>
  <c r="E3115"/>
  <c r="D3115"/>
  <c r="E3123"/>
  <c r="D3123"/>
  <c r="E3252"/>
  <c r="D3252"/>
  <c r="D3258"/>
  <c r="E3258"/>
  <c r="E3263"/>
  <c r="D3263"/>
  <c r="E3284"/>
  <c r="D3284"/>
  <c r="D3290"/>
  <c r="E3290"/>
  <c r="E3295"/>
  <c r="D3295"/>
  <c r="D3315"/>
  <c r="E3315"/>
  <c r="D3325"/>
  <c r="E3325"/>
  <c r="D3347"/>
  <c r="E3347"/>
  <c r="D3357"/>
  <c r="E3357"/>
  <c r="E2916"/>
  <c r="E2924"/>
  <c r="E2932"/>
  <c r="E2941"/>
  <c r="E2949"/>
  <c r="E2957"/>
  <c r="E2965"/>
  <c r="E2973"/>
  <c r="E2981"/>
  <c r="E2989"/>
  <c r="E2997"/>
  <c r="E3005"/>
  <c r="E3013"/>
  <c r="E3021"/>
  <c r="E3029"/>
  <c r="E3037"/>
  <c r="E3045"/>
  <c r="E3053"/>
  <c r="E3061"/>
  <c r="E3069"/>
  <c r="E3079"/>
  <c r="E3087"/>
  <c r="E3095"/>
  <c r="E3103"/>
  <c r="E3111"/>
  <c r="E3119"/>
  <c r="E3135"/>
  <c r="E3140"/>
  <c r="E3146"/>
  <c r="E3167"/>
  <c r="E3172"/>
  <c r="E3183"/>
  <c r="E3186"/>
  <c r="E3196"/>
  <c r="E3215"/>
  <c r="E3218"/>
  <c r="E3228"/>
  <c r="E3311"/>
  <c r="E3343"/>
  <c r="D2940"/>
  <c r="E2940"/>
  <c r="D2948"/>
  <c r="E2948"/>
  <c r="D2956"/>
  <c r="E2956"/>
  <c r="D2964"/>
  <c r="E2964"/>
  <c r="D2972"/>
  <c r="E2972"/>
  <c r="D2980"/>
  <c r="E2980"/>
  <c r="D2988"/>
  <c r="E2988"/>
  <c r="D2996"/>
  <c r="E2996"/>
  <c r="D3004"/>
  <c r="E3004"/>
  <c r="D3012"/>
  <c r="E3012"/>
  <c r="D3020"/>
  <c r="E3020"/>
  <c r="D3028"/>
  <c r="E3028"/>
  <c r="D3036"/>
  <c r="E3036"/>
  <c r="D3044"/>
  <c r="E3044"/>
  <c r="D3052"/>
  <c r="E3052"/>
  <c r="D3060"/>
  <c r="E3060"/>
  <c r="D3068"/>
  <c r="E3068"/>
  <c r="D3086"/>
  <c r="E3086"/>
  <c r="D3094"/>
  <c r="E3094"/>
  <c r="D3102"/>
  <c r="E3102"/>
  <c r="D3110"/>
  <c r="E3110"/>
  <c r="D3118"/>
  <c r="E3118"/>
  <c r="D3126"/>
  <c r="E3126"/>
  <c r="E3260"/>
  <c r="D3260"/>
  <c r="D3266"/>
  <c r="E3266"/>
  <c r="E3271"/>
  <c r="D3271"/>
  <c r="E3292"/>
  <c r="D3292"/>
  <c r="D3298"/>
  <c r="E3298"/>
  <c r="D3307"/>
  <c r="E3307"/>
  <c r="D3317"/>
  <c r="E3317"/>
  <c r="D3339"/>
  <c r="E3339"/>
  <c r="D3349"/>
  <c r="E3349"/>
  <c r="E2913"/>
  <c r="E2921"/>
  <c r="E2929"/>
  <c r="E2937"/>
  <c r="E3143"/>
  <c r="E3148"/>
  <c r="E3175"/>
  <c r="E3188"/>
  <c r="E3207"/>
  <c r="E3220"/>
  <c r="E3239"/>
  <c r="E3303"/>
  <c r="E3335"/>
  <c r="E3367"/>
  <c r="D3305"/>
  <c r="E3305"/>
  <c r="D3313"/>
  <c r="E3313"/>
  <c r="D3321"/>
  <c r="E3321"/>
  <c r="D3329"/>
  <c r="E3329"/>
  <c r="D3337"/>
  <c r="E3337"/>
  <c r="D3345"/>
  <c r="E3345"/>
  <c r="D3353"/>
  <c r="E3353"/>
  <c r="D3361"/>
  <c r="E3361"/>
  <c r="E3458"/>
  <c r="D3458"/>
  <c r="E3466"/>
  <c r="D3466"/>
  <c r="E3474"/>
  <c r="D3474"/>
  <c r="E3482"/>
  <c r="D3482"/>
  <c r="E3490"/>
  <c r="D3490"/>
  <c r="E3498"/>
  <c r="D3498"/>
  <c r="E3506"/>
  <c r="D3506"/>
  <c r="E3514"/>
  <c r="D3514"/>
  <c r="E3522"/>
  <c r="D3522"/>
  <c r="E3131"/>
  <c r="E3139"/>
  <c r="E3147"/>
  <c r="E3155"/>
  <c r="E3163"/>
  <c r="E3171"/>
  <c r="E3179"/>
  <c r="E3187"/>
  <c r="E3195"/>
  <c r="E3203"/>
  <c r="E3211"/>
  <c r="E3219"/>
  <c r="E3227"/>
  <c r="E3235"/>
  <c r="E3243"/>
  <c r="E3373"/>
  <c r="E3394"/>
  <c r="E3399"/>
  <c r="E3405"/>
  <c r="E3426"/>
  <c r="E3431"/>
  <c r="E3437"/>
  <c r="E3454"/>
  <c r="E3462"/>
  <c r="E3470"/>
  <c r="E3478"/>
  <c r="E3486"/>
  <c r="E3494"/>
  <c r="E3502"/>
  <c r="E3510"/>
  <c r="E3518"/>
  <c r="E3534"/>
  <c r="E3539"/>
  <c r="E3545"/>
  <c r="E3566"/>
  <c r="E3573"/>
  <c r="E3579"/>
  <c r="E3600"/>
  <c r="E3605"/>
  <c r="E3611"/>
  <c r="E3632"/>
  <c r="E3637"/>
  <c r="E3653"/>
  <c r="E3672"/>
  <c r="E3675"/>
  <c r="E3685"/>
  <c r="E3704"/>
  <c r="E3757"/>
  <c r="E3773"/>
  <c r="E3789"/>
  <c r="E3897"/>
  <c r="E3913"/>
  <c r="E4158"/>
  <c r="D3461"/>
  <c r="E3461"/>
  <c r="D3469"/>
  <c r="E3469"/>
  <c r="D3477"/>
  <c r="E3477"/>
  <c r="D3485"/>
  <c r="E3485"/>
  <c r="D3493"/>
  <c r="E3493"/>
  <c r="D3501"/>
  <c r="E3501"/>
  <c r="D3509"/>
  <c r="E3509"/>
  <c r="D3517"/>
  <c r="E3517"/>
  <c r="D3525"/>
  <c r="E3525"/>
  <c r="E3370"/>
  <c r="E3375"/>
  <c r="E3402"/>
  <c r="E3407"/>
  <c r="E3434"/>
  <c r="E3439"/>
  <c r="E3542"/>
  <c r="E3547"/>
  <c r="E3576"/>
  <c r="E3581"/>
  <c r="E3608"/>
  <c r="E3613"/>
  <c r="E3640"/>
  <c r="E3664"/>
  <c r="E3677"/>
  <c r="E3696"/>
  <c r="E3865"/>
  <c r="E3881"/>
  <c r="E4118"/>
  <c r="E4126"/>
  <c r="E4134"/>
  <c r="E4166"/>
  <c r="E3378"/>
  <c r="E3383"/>
  <c r="E3410"/>
  <c r="E3415"/>
  <c r="E3442"/>
  <c r="E3447"/>
  <c r="E3550"/>
  <c r="E3555"/>
  <c r="E3584"/>
  <c r="E3589"/>
  <c r="E3616"/>
  <c r="E3621"/>
  <c r="E3656"/>
  <c r="E3669"/>
  <c r="E3688"/>
  <c r="E3701"/>
  <c r="E3709"/>
  <c r="E3717"/>
  <c r="E3725"/>
  <c r="E3733"/>
  <c r="E3741"/>
  <c r="E3765"/>
  <c r="E3781"/>
  <c r="E3905"/>
  <c r="E4142"/>
  <c r="E4174"/>
  <c r="E3302"/>
  <c r="D3302"/>
  <c r="E3310"/>
  <c r="D3310"/>
  <c r="E3318"/>
  <c r="D3318"/>
  <c r="E3326"/>
  <c r="D3326"/>
  <c r="E3334"/>
  <c r="D3334"/>
  <c r="E3342"/>
  <c r="D3342"/>
  <c r="E3350"/>
  <c r="D3350"/>
  <c r="E3358"/>
  <c r="D3358"/>
  <c r="E3366"/>
  <c r="D3366"/>
  <c r="E3251"/>
  <c r="E3259"/>
  <c r="E3267"/>
  <c r="E3275"/>
  <c r="E3283"/>
  <c r="E3291"/>
  <c r="E3299"/>
  <c r="E3306"/>
  <c r="E3314"/>
  <c r="E3322"/>
  <c r="E3330"/>
  <c r="E3338"/>
  <c r="E3346"/>
  <c r="E3354"/>
  <c r="E3362"/>
  <c r="E3386"/>
  <c r="E3391"/>
  <c r="E3418"/>
  <c r="E3423"/>
  <c r="E3450"/>
  <c r="D3486"/>
  <c r="D3494"/>
  <c r="D3502"/>
  <c r="D3510"/>
  <c r="D3518"/>
  <c r="E3531"/>
  <c r="D3534"/>
  <c r="E3537"/>
  <c r="D3539"/>
  <c r="E3558"/>
  <c r="E3563"/>
  <c r="D3566"/>
  <c r="E3569"/>
  <c r="D3573"/>
  <c r="E3592"/>
  <c r="E3597"/>
  <c r="D3600"/>
  <c r="E3603"/>
  <c r="D3605"/>
  <c r="E3624"/>
  <c r="E3629"/>
  <c r="D3632"/>
  <c r="E3635"/>
  <c r="D3637"/>
  <c r="E3648"/>
  <c r="E3651"/>
  <c r="D3653"/>
  <c r="E3661"/>
  <c r="D3672"/>
  <c r="E3680"/>
  <c r="E3683"/>
  <c r="D3685"/>
  <c r="E3693"/>
  <c r="D3704"/>
  <c r="E3749"/>
  <c r="E3857"/>
  <c r="E3873"/>
  <c r="E3889"/>
  <c r="E4150"/>
  <c r="D4186"/>
  <c r="E4186"/>
  <c r="D4192"/>
  <c r="E4192"/>
  <c r="E4197"/>
  <c r="D4197"/>
  <c r="E3800"/>
  <c r="E3808"/>
  <c r="E3816"/>
  <c r="E3824"/>
  <c r="E3832"/>
  <c r="E3840"/>
  <c r="E3848"/>
  <c r="E3924"/>
  <c r="E3932"/>
  <c r="E3940"/>
  <c r="E3948"/>
  <c r="E3956"/>
  <c r="E3964"/>
  <c r="E3972"/>
  <c r="E3980"/>
  <c r="E3988"/>
  <c r="E3996"/>
  <c r="E4004"/>
  <c r="E4012"/>
  <c r="E4022"/>
  <c r="E4030"/>
  <c r="E4038"/>
  <c r="E4046"/>
  <c r="E4054"/>
  <c r="E4064"/>
  <c r="E4072"/>
  <c r="E4080"/>
  <c r="E4088"/>
  <c r="E4096"/>
  <c r="E4104"/>
  <c r="E4112"/>
  <c r="E4230"/>
  <c r="E4246"/>
  <c r="E4262"/>
  <c r="E4278"/>
  <c r="E4294"/>
  <c r="E4310"/>
  <c r="D4194"/>
  <c r="E4194"/>
  <c r="D4200"/>
  <c r="E4200"/>
  <c r="E4205"/>
  <c r="D4205"/>
  <c r="E3712"/>
  <c r="E3720"/>
  <c r="E3728"/>
  <c r="E3736"/>
  <c r="E3744"/>
  <c r="E3752"/>
  <c r="E3760"/>
  <c r="E3768"/>
  <c r="E3776"/>
  <c r="E3784"/>
  <c r="E3792"/>
  <c r="E3852"/>
  <c r="E3860"/>
  <c r="E3868"/>
  <c r="E3876"/>
  <c r="E3884"/>
  <c r="E3892"/>
  <c r="E3900"/>
  <c r="E3908"/>
  <c r="E4117"/>
  <c r="D4117"/>
  <c r="E4125"/>
  <c r="D4125"/>
  <c r="E4133"/>
  <c r="D4133"/>
  <c r="E4141"/>
  <c r="D4141"/>
  <c r="E4149"/>
  <c r="D4149"/>
  <c r="E4157"/>
  <c r="D4157"/>
  <c r="E4165"/>
  <c r="D4165"/>
  <c r="E4173"/>
  <c r="D4173"/>
  <c r="E4181"/>
  <c r="D4181"/>
  <c r="D4202"/>
  <c r="E4202"/>
  <c r="D4208"/>
  <c r="E4208"/>
  <c r="E3796"/>
  <c r="E3797"/>
  <c r="E3804"/>
  <c r="E3805"/>
  <c r="E3812"/>
  <c r="E3813"/>
  <c r="E3820"/>
  <c r="E3821"/>
  <c r="E3828"/>
  <c r="E3829"/>
  <c r="E3836"/>
  <c r="E3837"/>
  <c r="E3844"/>
  <c r="E3845"/>
  <c r="E3920"/>
  <c r="E3921"/>
  <c r="E3928"/>
  <c r="E3929"/>
  <c r="E3936"/>
  <c r="E3937"/>
  <c r="E3944"/>
  <c r="E3945"/>
  <c r="E3952"/>
  <c r="E3953"/>
  <c r="E3960"/>
  <c r="E3961"/>
  <c r="E3968"/>
  <c r="E3969"/>
  <c r="E3976"/>
  <c r="E3977"/>
  <c r="E3984"/>
  <c r="E3985"/>
  <c r="E3992"/>
  <c r="E3993"/>
  <c r="E4000"/>
  <c r="E4001"/>
  <c r="E4008"/>
  <c r="E4009"/>
  <c r="E4016"/>
  <c r="E4017"/>
  <c r="E4026"/>
  <c r="E4027"/>
  <c r="E4034"/>
  <c r="E4035"/>
  <c r="E4042"/>
  <c r="E4043"/>
  <c r="E4050"/>
  <c r="E4051"/>
  <c r="E4058"/>
  <c r="E4059"/>
  <c r="E4068"/>
  <c r="E4069"/>
  <c r="E4076"/>
  <c r="E4077"/>
  <c r="E4084"/>
  <c r="E4085"/>
  <c r="E4092"/>
  <c r="E4093"/>
  <c r="E4100"/>
  <c r="E4101"/>
  <c r="E4108"/>
  <c r="E4109"/>
  <c r="E4113"/>
  <c r="E4121"/>
  <c r="E4129"/>
  <c r="E4137"/>
  <c r="E4145"/>
  <c r="E4153"/>
  <c r="E4161"/>
  <c r="E4169"/>
  <c r="E4177"/>
  <c r="E4214"/>
  <c r="E4222"/>
  <c r="E4238"/>
  <c r="E4254"/>
  <c r="E4270"/>
  <c r="E4286"/>
  <c r="E4302"/>
  <c r="E4318"/>
  <c r="D4120"/>
  <c r="E4120"/>
  <c r="D4128"/>
  <c r="E4128"/>
  <c r="D4136"/>
  <c r="E4136"/>
  <c r="D4144"/>
  <c r="E4144"/>
  <c r="D4152"/>
  <c r="E4152"/>
  <c r="D4160"/>
  <c r="E4160"/>
  <c r="D4168"/>
  <c r="E4168"/>
  <c r="D4176"/>
  <c r="E4176"/>
  <c r="D4184"/>
  <c r="E4184"/>
  <c r="E4189"/>
  <c r="D4189"/>
  <c r="E3374"/>
  <c r="E3382"/>
  <c r="E3390"/>
  <c r="E3398"/>
  <c r="E3406"/>
  <c r="E3414"/>
  <c r="E3422"/>
  <c r="E3430"/>
  <c r="E3438"/>
  <c r="E3446"/>
  <c r="E3530"/>
  <c r="E3538"/>
  <c r="E3546"/>
  <c r="E3554"/>
  <c r="E3562"/>
  <c r="E3572"/>
  <c r="E3580"/>
  <c r="E3588"/>
  <c r="E3596"/>
  <c r="E3604"/>
  <c r="E3612"/>
  <c r="E3620"/>
  <c r="E3628"/>
  <c r="E3636"/>
  <c r="E3644"/>
  <c r="E3652"/>
  <c r="E3660"/>
  <c r="E3668"/>
  <c r="E3676"/>
  <c r="E3684"/>
  <c r="E3692"/>
  <c r="E3700"/>
  <c r="E3708"/>
  <c r="E3716"/>
  <c r="E3724"/>
  <c r="E3732"/>
  <c r="E3740"/>
  <c r="E3748"/>
  <c r="E3756"/>
  <c r="E3764"/>
  <c r="E3772"/>
  <c r="E3780"/>
  <c r="E3788"/>
  <c r="D3800"/>
  <c r="E3803"/>
  <c r="D3808"/>
  <c r="E3811"/>
  <c r="D3816"/>
  <c r="E3819"/>
  <c r="D3824"/>
  <c r="E3827"/>
  <c r="D3832"/>
  <c r="E3835"/>
  <c r="D3840"/>
  <c r="E3843"/>
  <c r="D3848"/>
  <c r="E3856"/>
  <c r="E3864"/>
  <c r="E3872"/>
  <c r="E3880"/>
  <c r="E3888"/>
  <c r="E3896"/>
  <c r="E3904"/>
  <c r="E3912"/>
  <c r="E3919"/>
  <c r="D3924"/>
  <c r="E3927"/>
  <c r="D3932"/>
  <c r="E3935"/>
  <c r="D3940"/>
  <c r="E3943"/>
  <c r="D3948"/>
  <c r="E3951"/>
  <c r="D3956"/>
  <c r="E3959"/>
  <c r="D3964"/>
  <c r="E3967"/>
  <c r="D3972"/>
  <c r="E3975"/>
  <c r="D3980"/>
  <c r="E3983"/>
  <c r="D3988"/>
  <c r="E3991"/>
  <c r="D3996"/>
  <c r="E3999"/>
  <c r="D4004"/>
  <c r="E4007"/>
  <c r="D4012"/>
  <c r="E4015"/>
  <c r="D4022"/>
  <c r="E4025"/>
  <c r="D4030"/>
  <c r="E4033"/>
  <c r="D4038"/>
  <c r="E4041"/>
  <c r="D4046"/>
  <c r="E4049"/>
  <c r="D4054"/>
  <c r="E4057"/>
  <c r="D4064"/>
  <c r="E4067"/>
  <c r="D4072"/>
  <c r="E4075"/>
  <c r="D4080"/>
  <c r="E4083"/>
  <c r="D4088"/>
  <c r="E4091"/>
  <c r="D4096"/>
  <c r="E4099"/>
  <c r="D4104"/>
  <c r="E4107"/>
  <c r="D4112"/>
  <c r="E4114"/>
  <c r="E4116"/>
  <c r="E4122"/>
  <c r="E4124"/>
  <c r="E4130"/>
  <c r="E4132"/>
  <c r="E4138"/>
  <c r="E4140"/>
  <c r="E4146"/>
  <c r="E4148"/>
  <c r="E4154"/>
  <c r="E4156"/>
  <c r="E4162"/>
  <c r="E4164"/>
  <c r="E4170"/>
  <c r="E4172"/>
  <c r="E4178"/>
  <c r="E4217"/>
  <c r="E4225"/>
  <c r="E4233"/>
  <c r="E4241"/>
  <c r="E4249"/>
  <c r="E4257"/>
  <c r="E4265"/>
  <c r="E4273"/>
  <c r="E4281"/>
  <c r="E4289"/>
  <c r="E4297"/>
  <c r="E4305"/>
  <c r="E4313"/>
  <c r="E4321"/>
  <c r="E4343"/>
  <c r="E4348"/>
  <c r="E4375"/>
  <c r="E4380"/>
  <c r="E4407"/>
  <c r="E4412"/>
  <c r="E4439"/>
  <c r="E4452"/>
  <c r="E4463"/>
  <c r="E4185"/>
  <c r="E4193"/>
  <c r="E4201"/>
  <c r="E4324"/>
  <c r="E4351"/>
  <c r="E4356"/>
  <c r="E4383"/>
  <c r="E4388"/>
  <c r="E4415"/>
  <c r="E4420"/>
  <c r="E4431"/>
  <c r="E4444"/>
  <c r="E4468"/>
  <c r="E4476"/>
  <c r="E4492"/>
  <c r="E4508"/>
  <c r="E4524"/>
  <c r="E4213"/>
  <c r="E4221"/>
  <c r="E4229"/>
  <c r="E4237"/>
  <c r="E4245"/>
  <c r="E4253"/>
  <c r="E4261"/>
  <c r="E4269"/>
  <c r="E4277"/>
  <c r="E4285"/>
  <c r="E4293"/>
  <c r="E4301"/>
  <c r="E4309"/>
  <c r="E4317"/>
  <c r="E4327"/>
  <c r="E4332"/>
  <c r="E4338"/>
  <c r="E4359"/>
  <c r="E4364"/>
  <c r="E4370"/>
  <c r="E4391"/>
  <c r="E4396"/>
  <c r="E4402"/>
  <c r="E4423"/>
  <c r="E4426"/>
  <c r="E4436"/>
  <c r="E4455"/>
  <c r="E4458"/>
  <c r="E4335"/>
  <c r="E4340"/>
  <c r="E4367"/>
  <c r="E4372"/>
  <c r="E4399"/>
  <c r="E4404"/>
  <c r="E4428"/>
  <c r="E4447"/>
  <c r="E4471"/>
  <c r="E4484"/>
  <c r="E4500"/>
  <c r="E4516"/>
  <c r="E4532"/>
  <c r="D4702"/>
  <c r="E4702"/>
  <c r="D4718"/>
  <c r="E4718"/>
  <c r="D4734"/>
  <c r="E4734"/>
  <c r="E4479"/>
  <c r="E4487"/>
  <c r="E4495"/>
  <c r="E4503"/>
  <c r="E4511"/>
  <c r="E4519"/>
  <c r="E4527"/>
  <c r="E4699"/>
  <c r="E4715"/>
  <c r="E4731"/>
  <c r="E4747"/>
  <c r="E4751"/>
  <c r="E4755"/>
  <c r="E4759"/>
  <c r="E4763"/>
  <c r="E4767"/>
  <c r="E4811"/>
  <c r="E4827"/>
  <c r="D4698"/>
  <c r="E4698"/>
  <c r="D4714"/>
  <c r="E4714"/>
  <c r="D4730"/>
  <c r="E4730"/>
  <c r="D4746"/>
  <c r="E4746"/>
  <c r="D4750"/>
  <c r="E4750"/>
  <c r="D4754"/>
  <c r="E4754"/>
  <c r="D4758"/>
  <c r="E4758"/>
  <c r="D4762"/>
  <c r="E4762"/>
  <c r="D4766"/>
  <c r="E4766"/>
  <c r="E4771"/>
  <c r="D4771"/>
  <c r="E4779"/>
  <c r="D4779"/>
  <c r="E4787"/>
  <c r="D4787"/>
  <c r="E4795"/>
  <c r="D4795"/>
  <c r="E4539"/>
  <c r="E4540"/>
  <c r="E4547"/>
  <c r="E4548"/>
  <c r="E4555"/>
  <c r="E4556"/>
  <c r="E4563"/>
  <c r="E4564"/>
  <c r="E4571"/>
  <c r="E4572"/>
  <c r="E4579"/>
  <c r="E4580"/>
  <c r="E4587"/>
  <c r="E4588"/>
  <c r="E4595"/>
  <c r="E4596"/>
  <c r="E4603"/>
  <c r="E4604"/>
  <c r="E4611"/>
  <c r="E4612"/>
  <c r="E4619"/>
  <c r="E4620"/>
  <c r="E4627"/>
  <c r="E4628"/>
  <c r="E4635"/>
  <c r="E4636"/>
  <c r="E4643"/>
  <c r="E4644"/>
  <c r="E4651"/>
  <c r="E4652"/>
  <c r="E4659"/>
  <c r="E4660"/>
  <c r="E4667"/>
  <c r="E4668"/>
  <c r="E4675"/>
  <c r="E4676"/>
  <c r="E4683"/>
  <c r="E4684"/>
  <c r="E4695"/>
  <c r="E4711"/>
  <c r="E4727"/>
  <c r="E4743"/>
  <c r="E4807"/>
  <c r="E4823"/>
  <c r="D4694"/>
  <c r="E4694"/>
  <c r="D4710"/>
  <c r="E4710"/>
  <c r="D4726"/>
  <c r="E4726"/>
  <c r="D4742"/>
  <c r="E4742"/>
  <c r="E4323"/>
  <c r="E4331"/>
  <c r="E4339"/>
  <c r="E4347"/>
  <c r="E4355"/>
  <c r="E4363"/>
  <c r="E4371"/>
  <c r="E4379"/>
  <c r="E4387"/>
  <c r="E4395"/>
  <c r="E4403"/>
  <c r="E4411"/>
  <c r="E4419"/>
  <c r="E4427"/>
  <c r="E4435"/>
  <c r="E4443"/>
  <c r="E4451"/>
  <c r="E4459"/>
  <c r="E4467"/>
  <c r="E4475"/>
  <c r="E4483"/>
  <c r="E4491"/>
  <c r="E4499"/>
  <c r="E4507"/>
  <c r="E4515"/>
  <c r="E4523"/>
  <c r="E4531"/>
  <c r="E4538"/>
  <c r="E4546"/>
  <c r="E4554"/>
  <c r="E4562"/>
  <c r="E4570"/>
  <c r="E4578"/>
  <c r="E4586"/>
  <c r="E4594"/>
  <c r="E4602"/>
  <c r="E4610"/>
  <c r="E4618"/>
  <c r="E4626"/>
  <c r="E4634"/>
  <c r="E4642"/>
  <c r="E4650"/>
  <c r="E4658"/>
  <c r="E4666"/>
  <c r="E4674"/>
  <c r="E4682"/>
  <c r="E4691"/>
  <c r="E4707"/>
  <c r="E4723"/>
  <c r="E4739"/>
  <c r="E4803"/>
  <c r="E4819"/>
  <c r="E4835"/>
  <c r="D4690"/>
  <c r="E4690"/>
  <c r="D4706"/>
  <c r="E4706"/>
  <c r="D4722"/>
  <c r="E4722"/>
  <c r="D4738"/>
  <c r="E4738"/>
  <c r="E4775"/>
  <c r="D4775"/>
  <c r="E4783"/>
  <c r="D4783"/>
  <c r="E4791"/>
  <c r="D4791"/>
  <c r="E4799"/>
  <c r="D4799"/>
  <c r="E4543"/>
  <c r="E4551"/>
  <c r="E4559"/>
  <c r="E4567"/>
  <c r="E4575"/>
  <c r="E4583"/>
  <c r="E4591"/>
  <c r="E4599"/>
  <c r="E4607"/>
  <c r="E4615"/>
  <c r="E4623"/>
  <c r="E4631"/>
  <c r="E4639"/>
  <c r="E4647"/>
  <c r="E4655"/>
  <c r="E4663"/>
  <c r="E4671"/>
  <c r="E4679"/>
  <c r="E4687"/>
  <c r="E4703"/>
  <c r="E4719"/>
  <c r="E4735"/>
  <c r="E4815"/>
  <c r="E4831"/>
  <c r="D4803"/>
  <c r="D4807"/>
  <c r="D4811"/>
  <c r="D4815"/>
  <c r="D4819"/>
  <c r="D4823"/>
  <c r="D4827"/>
  <c r="D4831"/>
  <c r="D4835"/>
  <c r="E4770"/>
  <c r="E4774"/>
  <c r="E4778"/>
  <c r="E4782"/>
  <c r="E4786"/>
  <c r="E4790"/>
  <c r="E4794"/>
  <c r="E4798"/>
  <c r="E4802"/>
  <c r="E4806"/>
  <c r="E4810"/>
  <c r="E4814"/>
  <c r="E4818"/>
  <c r="E4822"/>
  <c r="E4826"/>
  <c r="E4830"/>
  <c r="E4834"/>
</calcChain>
</file>

<file path=xl/sharedStrings.xml><?xml version="1.0" encoding="utf-8"?>
<sst xmlns="http://schemas.openxmlformats.org/spreadsheetml/2006/main" count="11268" uniqueCount="6139">
  <si>
    <t>Остальные грузы</t>
  </si>
  <si>
    <t xml:space="preserve">Головки маковые с зерном </t>
  </si>
  <si>
    <t>Код позиции</t>
  </si>
  <si>
    <t>Подгруппа груза</t>
  </si>
  <si>
    <t>Группа груза</t>
  </si>
  <si>
    <t>Класс</t>
  </si>
  <si>
    <t>011</t>
  </si>
  <si>
    <t>ПШЕНИЦА</t>
  </si>
  <si>
    <t>Хлебные грузы</t>
  </si>
  <si>
    <t>012</t>
  </si>
  <si>
    <t>РОЖЬ</t>
  </si>
  <si>
    <t>013</t>
  </si>
  <si>
    <t>ОВЕС</t>
  </si>
  <si>
    <t>014</t>
  </si>
  <si>
    <t>ЯЧМЕНЬ</t>
  </si>
  <si>
    <t>015</t>
  </si>
  <si>
    <t>ЗЕРНО КУКУРУЗЫ</t>
  </si>
  <si>
    <t>016</t>
  </si>
  <si>
    <t>ПОЧАТКИ КУКУРУЗЫ</t>
  </si>
  <si>
    <t>017</t>
  </si>
  <si>
    <t>РИС</t>
  </si>
  <si>
    <t>018</t>
  </si>
  <si>
    <t>ПРОЧИЕ ЗЕРНОВЫЕ</t>
  </si>
  <si>
    <t>021</t>
  </si>
  <si>
    <t>СЕМЕНА ТЕХНИЧЕСКИХ КУЛЬТУ</t>
  </si>
  <si>
    <t>022</t>
  </si>
  <si>
    <t>СЕМЕНА ХЛОПЧАТНИКА</t>
  </si>
  <si>
    <t>023</t>
  </si>
  <si>
    <t>СЕМЕНА СВЕКЛЫ САХАРНОЙ</t>
  </si>
  <si>
    <t>024</t>
  </si>
  <si>
    <t>СЕМЕНА ПРОЧИЕ</t>
  </si>
  <si>
    <t>031</t>
  </si>
  <si>
    <t>ХЛОПОК-СЫРЕЦ</t>
  </si>
  <si>
    <t>041</t>
  </si>
  <si>
    <t>ОВОЩИ СВЕЖИЕ</t>
  </si>
  <si>
    <t>042</t>
  </si>
  <si>
    <t>БАХЧЕВЫЕ КУЛЬТУРЫ</t>
  </si>
  <si>
    <t>043</t>
  </si>
  <si>
    <t>КАРТОФЕЛЬ СВЕЖИЙ</t>
  </si>
  <si>
    <t>044</t>
  </si>
  <si>
    <t>СВЕКЛА САХАРНАЯ</t>
  </si>
  <si>
    <t>051</t>
  </si>
  <si>
    <t>ФРУКТЫ И ЯГОДЫ СВЕЖИЕ, КР</t>
  </si>
  <si>
    <t>052</t>
  </si>
  <si>
    <t>ЯБЛОКИ</t>
  </si>
  <si>
    <t>053</t>
  </si>
  <si>
    <t>ЦИТРУСОВЫЕ</t>
  </si>
  <si>
    <t>054</t>
  </si>
  <si>
    <t>ОРЕХИ</t>
  </si>
  <si>
    <t>061</t>
  </si>
  <si>
    <t>КРУПНЫЙ И МЕЛКИЙ РОГАТЫЙ</t>
  </si>
  <si>
    <t>062</t>
  </si>
  <si>
    <t>СВИНЬИ И ПОРОСЯТА</t>
  </si>
  <si>
    <t>063</t>
  </si>
  <si>
    <t>ЖИВОТНЫЕ ПРОЧИЕ, ПТИЦЫ ЖИ</t>
  </si>
  <si>
    <t>071</t>
  </si>
  <si>
    <t>СЕНО, СОЛОМА И КОРМА РАСТ</t>
  </si>
  <si>
    <t>072</t>
  </si>
  <si>
    <t>СЫРЬЕ ТАБАКА И МАХОРКИ</t>
  </si>
  <si>
    <t>073</t>
  </si>
  <si>
    <t>КУЛЬТУРЫ ПРЯДИЛЬНЫЕ, КРОМ</t>
  </si>
  <si>
    <t>074</t>
  </si>
  <si>
    <t>СЫРЬЕ ЛЕКАРСТВЕННОЕ РАСТИ</t>
  </si>
  <si>
    <t>075</t>
  </si>
  <si>
    <t>РАССАДА ОВОЩНАЯ, ЦВЕТОЧНА</t>
  </si>
  <si>
    <t>076</t>
  </si>
  <si>
    <t>ШЕРСТЬ, ВОЛОС, ПУХ, ПЕРО</t>
  </si>
  <si>
    <t>077</t>
  </si>
  <si>
    <t>КОЖИ, ШКУРЫ И ПУШНИНА НЕВ</t>
  </si>
  <si>
    <t>078</t>
  </si>
  <si>
    <t>УДОБРЕНИЯ ОРГАНИЧЕСКИЕ</t>
  </si>
  <si>
    <t>081</t>
  </si>
  <si>
    <t>ЛЕСОМАТЕРИАЛЫ КРУГЛЫЕ, КР</t>
  </si>
  <si>
    <t>Лесные грузы</t>
  </si>
  <si>
    <t>082</t>
  </si>
  <si>
    <t>ЛЕСОМАТЕРИАЛЫ КРЕПЕЖНЫЕ</t>
  </si>
  <si>
    <t>091</t>
  </si>
  <si>
    <t>ПИЛОМАТЕРИАЛЫ</t>
  </si>
  <si>
    <t>092</t>
  </si>
  <si>
    <t>ПРОДУКЦИЯ ШПАЛОПИЛЕНИЯ (Б</t>
  </si>
  <si>
    <t>093</t>
  </si>
  <si>
    <t>ПРОДУКЦИЯ ШПАЛОПИЛЕНИЯ (С</t>
  </si>
  <si>
    <t>094</t>
  </si>
  <si>
    <t>ФАНЕРА И ШПОН</t>
  </si>
  <si>
    <t>101</t>
  </si>
  <si>
    <t>ДРОВА</t>
  </si>
  <si>
    <t>102</t>
  </si>
  <si>
    <t>ДРЕВЕСИНА ТОПЛИВНАЯ ДЛЯ Т</t>
  </si>
  <si>
    <t>103</t>
  </si>
  <si>
    <t>ДРЕВЕСИНА ИЗМЕЛЬЧЕННАЯ</t>
  </si>
  <si>
    <t>111</t>
  </si>
  <si>
    <t>ПРОЧАЯ ПРОДУКЦИЯ ЛЕСНОЙ П</t>
  </si>
  <si>
    <t>112</t>
  </si>
  <si>
    <t>САЖЕНЦЫ ДЕРЕВЬЕВ И КУСТАР</t>
  </si>
  <si>
    <t>121</t>
  </si>
  <si>
    <t>ДОМА, ПОСТРОЙКИ ДЕРЕВЯННЫ</t>
  </si>
  <si>
    <t>122</t>
  </si>
  <si>
    <t>ПЛИТЫ ДРЕВЕСНОСТРУЖЕЧНЫЕ</t>
  </si>
  <si>
    <t>123</t>
  </si>
  <si>
    <t>ТАРА ДЕРЕВЯННАЯ НОВАЯ</t>
  </si>
  <si>
    <t>124</t>
  </si>
  <si>
    <t>ТАРА ДЕРЕВЯННАЯ ВОЗВРАТНА</t>
  </si>
  <si>
    <t>125</t>
  </si>
  <si>
    <t>ИЗДЕЛИЯ ДЕРЕВЯННЫЕ, КРОМЕ</t>
  </si>
  <si>
    <t>126</t>
  </si>
  <si>
    <t>СПИЧКИ</t>
  </si>
  <si>
    <t>127</t>
  </si>
  <si>
    <t>МЕБЕЛЬ, КРОМЕ МЕТАЛЛИЧЕСК</t>
  </si>
  <si>
    <t>131</t>
  </si>
  <si>
    <t>ЦЕЛЛЮЛОЗА И МАССА ДРЕВЕСН</t>
  </si>
  <si>
    <t>132</t>
  </si>
  <si>
    <t>БУМАГА И КАРТОН</t>
  </si>
  <si>
    <t>133</t>
  </si>
  <si>
    <t>ИЗДЕЛИЯ ИЗ БУМАГИ И КАРТО</t>
  </si>
  <si>
    <t>141</t>
  </si>
  <si>
    <t>РУДЫ И КОНЦЕНТРАТЫ ЖЕЛЕЗН</t>
  </si>
  <si>
    <t>Руды  всякие</t>
  </si>
  <si>
    <t>142</t>
  </si>
  <si>
    <t>РУДЫ И КОНЦЕНТРАТЫ МАРГАН</t>
  </si>
  <si>
    <t>151</t>
  </si>
  <si>
    <t>РУДЫ И КОНЦЕНТРАТЫ ЦВЕТНЫ</t>
  </si>
  <si>
    <t>152</t>
  </si>
  <si>
    <t>КОЛЧЕДАН СЕРНЫЙ</t>
  </si>
  <si>
    <t>153</t>
  </si>
  <si>
    <t>СЫРЬЕ СЕРНОЕ, КРОМЕ СЕРНО</t>
  </si>
  <si>
    <t>161</t>
  </si>
  <si>
    <t>УГОЛЬ КАМЕННЫЙ</t>
  </si>
  <si>
    <t>Уголь каменный</t>
  </si>
  <si>
    <t>171</t>
  </si>
  <si>
    <t>КОКС КАМЕННОУГОЛЬНЫЙ</t>
  </si>
  <si>
    <t>Кокс каменноугольный</t>
  </si>
  <si>
    <t>181</t>
  </si>
  <si>
    <t>ТОРФ ТОПЛИВНЫЙ</t>
  </si>
  <si>
    <t>182</t>
  </si>
  <si>
    <t>ТОРФ ДЛЯ СЕЛЬСКОГО ХОЗЯЙС</t>
  </si>
  <si>
    <t>191</t>
  </si>
  <si>
    <t>СЛАНЦЫ ГОРЮЧИЕ</t>
  </si>
  <si>
    <t>201</t>
  </si>
  <si>
    <t>НЕФТЬ СЫРАЯ</t>
  </si>
  <si>
    <t>Нефтяные грузы</t>
  </si>
  <si>
    <t>211</t>
  </si>
  <si>
    <t>БЕНЗИН</t>
  </si>
  <si>
    <t>212</t>
  </si>
  <si>
    <t>КЕРОСИН</t>
  </si>
  <si>
    <t>213</t>
  </si>
  <si>
    <t>МАСЛА И СМАЗКИ МИНЕРАЛЬНЫ</t>
  </si>
  <si>
    <t>214</t>
  </si>
  <si>
    <t>ТОПЛИВО ДИЗЕЛЬНОЕ</t>
  </si>
  <si>
    <t>215</t>
  </si>
  <si>
    <t>ПРОЧИЕ НЕФТЕПРОДУКТЫ СВЕТ</t>
  </si>
  <si>
    <t>221</t>
  </si>
  <si>
    <t>МАЗУТ НЕФТЯНОЙ И КАМЕННОУ</t>
  </si>
  <si>
    <t>222</t>
  </si>
  <si>
    <t>БИТУМ И ГУДРОН НЕФТЯНЫЕ И</t>
  </si>
  <si>
    <t>223</t>
  </si>
  <si>
    <t>АСФАЛЬТ, БИТУМ И ГУДРОН П</t>
  </si>
  <si>
    <t>224</t>
  </si>
  <si>
    <t>ОЗОКЕРИТ ПРИРОДНЫЙ И ПРОД</t>
  </si>
  <si>
    <t>225</t>
  </si>
  <si>
    <t>ПРОЧИЕ НЕФТЕПРОДУКТЫ ТЕМН</t>
  </si>
  <si>
    <t>226</t>
  </si>
  <si>
    <t>ГАЗЫ ЭНЕРГЕТИЧЕСКИЕ (УГЛЕ</t>
  </si>
  <si>
    <t>231</t>
  </si>
  <si>
    <t>ЗЕМЛЯ, ПЕСОК, ГЛИНА СТРОИ</t>
  </si>
  <si>
    <t>Минерально-строит.</t>
  </si>
  <si>
    <t>232</t>
  </si>
  <si>
    <t>КАМНИ ПРИРОДНЫЕ СТРОИТЕЛЬ</t>
  </si>
  <si>
    <t>233</t>
  </si>
  <si>
    <t>ГИПС, ИЗВЕСТЬ, МЕЛ</t>
  </si>
  <si>
    <t>234</t>
  </si>
  <si>
    <t>ЗАПОЛНИТЕЛИ ПОРИСТЫЕ</t>
  </si>
  <si>
    <t>235</t>
  </si>
  <si>
    <t>ЗОЛА, ШЛАКИ, КРОМЕ ГРАНУЛ</t>
  </si>
  <si>
    <t>236</t>
  </si>
  <si>
    <t>БАЛЛАСТ ДЛЯ ЖЕЛЕЗНЫХ ДОРО</t>
  </si>
  <si>
    <t>241</t>
  </si>
  <si>
    <t>ЗЕМЛЯ, ПЕСОК, ГЛИНА И КАМ</t>
  </si>
  <si>
    <t>242</t>
  </si>
  <si>
    <t>РУДЫ НЕМЕТАЛЛИЧЕСКИЕ, КРО</t>
  </si>
  <si>
    <t>243</t>
  </si>
  <si>
    <t>МАТЕРИАЛЫ АБРАЗИВНЫЕ</t>
  </si>
  <si>
    <t>244</t>
  </si>
  <si>
    <t>ПЕМЗА</t>
  </si>
  <si>
    <t>245</t>
  </si>
  <si>
    <t>КЛИНКЕР ЦЕМЕНТНЫЙ</t>
  </si>
  <si>
    <t>246</t>
  </si>
  <si>
    <t>СИЛИКАТ НАТРИЯ РАСТВОРИМЫ</t>
  </si>
  <si>
    <t>251</t>
  </si>
  <si>
    <t>МАТЕРИАЛЫ СТЕНОВЫЕ</t>
  </si>
  <si>
    <t>252</t>
  </si>
  <si>
    <t>МАТЕРИАЛЫ ОТДЕЛОЧНЫЕ, ПОЛ</t>
  </si>
  <si>
    <t>253</t>
  </si>
  <si>
    <t>КИРПИЧ СТРОИТЕЛЬНЫЙ</t>
  </si>
  <si>
    <t>254</t>
  </si>
  <si>
    <t>КОНСТРУКЦИИ (СБОРНЫЕ) ДЕТ</t>
  </si>
  <si>
    <t>255</t>
  </si>
  <si>
    <t>ЧЕРЕПИЦА И ШИФЕР</t>
  </si>
  <si>
    <t>256</t>
  </si>
  <si>
    <t>ДОМА СБОРНО-РАЗБОРНЫЕ БЕС</t>
  </si>
  <si>
    <t>261</t>
  </si>
  <si>
    <t>МАТЕРИАЛЫ, ИЗДЕЛИЯ ТЕПЛО-</t>
  </si>
  <si>
    <t>262</t>
  </si>
  <si>
    <t>ИЗДЕЛИЯ АСБЕСТОВЫЕ ТЕХНИЧ</t>
  </si>
  <si>
    <t>263</t>
  </si>
  <si>
    <t>МАТЕРИАЛЫ И ИЗДЕЛИЯ АСФАЛ</t>
  </si>
  <si>
    <t>264</t>
  </si>
  <si>
    <t>ПРОЧИЕ МАТЕРИАЛЫ И ИЗДЕЛИ</t>
  </si>
  <si>
    <t>265</t>
  </si>
  <si>
    <t>ТРУБЫ КЕРАМИЧЕСКИЕ</t>
  </si>
  <si>
    <t>266</t>
  </si>
  <si>
    <t>МАТЕРИАЛЫ И ИНСТРУМЕНТЫ А</t>
  </si>
  <si>
    <t>267</t>
  </si>
  <si>
    <t>СТЕКЛО ТЕХНИЧЕСКОЕ И СТРО</t>
  </si>
  <si>
    <t>268</t>
  </si>
  <si>
    <t>ИЗДЕЛИЯ САНИТАРНЫЕ КЕРАМИ</t>
  </si>
  <si>
    <t>271</t>
  </si>
  <si>
    <t>ШЛАКИ ГРАНУЛИРОВАННЫЕ</t>
  </si>
  <si>
    <t>281</t>
  </si>
  <si>
    <t>ЦЕМЕНТ</t>
  </si>
  <si>
    <t>291</t>
  </si>
  <si>
    <t>ИЗВЕСТНЯК ДЛЯ ФЛЮСОВАНИЯ.</t>
  </si>
  <si>
    <t>292</t>
  </si>
  <si>
    <t>ГИПС, ИЗВЕСТЬ И МЕЛ ДЛЯ Ф</t>
  </si>
  <si>
    <t>301</t>
  </si>
  <si>
    <t>СЫРЬЕ ОГНЕУПОРНОЕ И КИСЛО</t>
  </si>
  <si>
    <t>302</t>
  </si>
  <si>
    <t>КИРПИЧ ОГНЕУПОРНЫЙ</t>
  </si>
  <si>
    <t>303</t>
  </si>
  <si>
    <t>МАТЕРИАЛЫ И ИЗДЕЛИЯ ОГНЕУ</t>
  </si>
  <si>
    <t>304</t>
  </si>
  <si>
    <t>АСБЕСТ И СЛЮДА</t>
  </si>
  <si>
    <t>311</t>
  </si>
  <si>
    <t>ЧУГУН</t>
  </si>
  <si>
    <t>Черные металлы</t>
  </si>
  <si>
    <t>312</t>
  </si>
  <si>
    <t>СТАЛЬ В СЛИТКАХ</t>
  </si>
  <si>
    <t>313</t>
  </si>
  <si>
    <t>ФЕРРОСПЛАВЫ</t>
  </si>
  <si>
    <t>314</t>
  </si>
  <si>
    <t>ЗАГОТОВКИ СТАЛЬНЫЕ</t>
  </si>
  <si>
    <t>315</t>
  </si>
  <si>
    <t>ПРОЧИЕ ЧЕРНЫЕ МЕТАЛЛЫ</t>
  </si>
  <si>
    <t>316</t>
  </si>
  <si>
    <t>ЛОМ ЧЕРНЫХ МЕТАЛЛОВ</t>
  </si>
  <si>
    <t>321</t>
  </si>
  <si>
    <t>РЕЛЬСЫ</t>
  </si>
  <si>
    <t>322</t>
  </si>
  <si>
    <t>БАЛКИ И ШВЕЛЛЕРЫ</t>
  </si>
  <si>
    <t>323</t>
  </si>
  <si>
    <t>ТРУБЫ ИЗ ЧЕРНЫХ МЕТАЛЛОВ</t>
  </si>
  <si>
    <t>324</t>
  </si>
  <si>
    <t>ПРОЧИЕ ВИДЫ ПРОКАТА ЧЕРНЫ</t>
  </si>
  <si>
    <t>331</t>
  </si>
  <si>
    <t>МЕТАЛЛЫ ЦВЕТНЫЕ И ИХ СПЛА</t>
  </si>
  <si>
    <t>332</t>
  </si>
  <si>
    <t>ПРОКАТ ЦВЕТНЫХ МЕТАЛЛОВ</t>
  </si>
  <si>
    <t>333</t>
  </si>
  <si>
    <t>ЛОМ И ОТХОДЫ ЦВЕТНЫХ МЕТА</t>
  </si>
  <si>
    <t>341</t>
  </si>
  <si>
    <t>ШЛАКИ МЕТАЛЛУРГИЧЕСКИЕ ДЛ</t>
  </si>
  <si>
    <t>351</t>
  </si>
  <si>
    <t>МАШИНЫ, ОБОРУДОВАНИЕ И ИХ</t>
  </si>
  <si>
    <t>361</t>
  </si>
  <si>
    <t>МАШИНЫ СЕЛЬСКОХОЗЯЙСТВЕНН</t>
  </si>
  <si>
    <t>362</t>
  </si>
  <si>
    <t>ТРАКТОРЫ И ИХ ЧАСТИ</t>
  </si>
  <si>
    <t>371</t>
  </si>
  <si>
    <t>КОНСТРУКЦИИ МЕТАЛЛИЧЕСКИЕ</t>
  </si>
  <si>
    <t>381</t>
  </si>
  <si>
    <t>АВТОМОБИЛИ И ИХ ЧАСТИ</t>
  </si>
  <si>
    <t>391</t>
  </si>
  <si>
    <t>СРЕДСТВА ТРАНСПОРТИРОВАНИ</t>
  </si>
  <si>
    <t>401</t>
  </si>
  <si>
    <t>АППАРАТЫ И ПРИБОРЫ, КРОМЕ</t>
  </si>
  <si>
    <t>402</t>
  </si>
  <si>
    <t>ПРОДУКЦИЯ РАДИОПРОМЫШЛЕНН</t>
  </si>
  <si>
    <t>403</t>
  </si>
  <si>
    <t>ЛАМПЫ НАКАЛИВАНИЯ И ФОНАР</t>
  </si>
  <si>
    <t>404</t>
  </si>
  <si>
    <t>МАШИНЫ, ИЗДЕЛИЯ И ПРИБОРЫ</t>
  </si>
  <si>
    <t>405</t>
  </si>
  <si>
    <t>ВЕСЫ ВСЯКИЕ, КРОМЕ АНАЛИТ</t>
  </si>
  <si>
    <t>411</t>
  </si>
  <si>
    <t>ИЗДЕЛИЯ ИЗ ЧЕРНЫХ МЕТАЛЛО</t>
  </si>
  <si>
    <t>412</t>
  </si>
  <si>
    <t>ЕМКОСТИ И ТАРА МЕТАЛЛИЧЕС</t>
  </si>
  <si>
    <t>413</t>
  </si>
  <si>
    <t>МЕБЕЛЬ МЕТАЛЛИЧЕСКАЯ</t>
  </si>
  <si>
    <t>414</t>
  </si>
  <si>
    <t>ЧАСТИ ЖЕЛЕЗНОДОРОЖНОГО ПО</t>
  </si>
  <si>
    <t>415</t>
  </si>
  <si>
    <t>ПРОЧИЕ ИЗДЕЛИЯ МЕТАЛЛИЧЕС</t>
  </si>
  <si>
    <t>416</t>
  </si>
  <si>
    <t>ИЗДЕЛИЯ ИЗ ЦВЕТНЫХ МЕТАЛЛ</t>
  </si>
  <si>
    <t>417</t>
  </si>
  <si>
    <t>ИЗДЕЛИЯ КАБЕЛЬНЫЕ</t>
  </si>
  <si>
    <t>418</t>
  </si>
  <si>
    <t>ПОСУДА АЛЮМИНИЕВАЯ</t>
  </si>
  <si>
    <t>421</t>
  </si>
  <si>
    <t>ВАГОНЫ ВСЯКИЕ И ТЕНДЕРЫ Л</t>
  </si>
  <si>
    <t>422</t>
  </si>
  <si>
    <t>ЛОКОМОТИВЫ</t>
  </si>
  <si>
    <t>423</t>
  </si>
  <si>
    <t>КРАНЫ ГРУЗОПОДЪЕМНЫЕ, ЭЛЕ</t>
  </si>
  <si>
    <t>431</t>
  </si>
  <si>
    <t>СЫРЬЕ ГОРНОХИМИЧЕСКОЕ ДЛЯ</t>
  </si>
  <si>
    <t>Удобрения</t>
  </si>
  <si>
    <t>432</t>
  </si>
  <si>
    <t>АММИАК ВОДНЫЙ (ВОДА АММИА</t>
  </si>
  <si>
    <t>433</t>
  </si>
  <si>
    <t>УДОБРЕНИЯ АЗОТНЫЕ</t>
  </si>
  <si>
    <t>434</t>
  </si>
  <si>
    <t>УДОБРЕНИЯ КАЛИЙНЫЕ</t>
  </si>
  <si>
    <t>435</t>
  </si>
  <si>
    <t>УДОБРЕНИЯ ФОСФОРНЫЕ (ФОСФ</t>
  </si>
  <si>
    <t>436</t>
  </si>
  <si>
    <t>УДОБРЕНИЯ МИНЕРАЛЬНЫЕ ПРО</t>
  </si>
  <si>
    <t>441</t>
  </si>
  <si>
    <t>МЕДИКАМЕНТЫ, ХИМИКО-ФАРМА</t>
  </si>
  <si>
    <t>442</t>
  </si>
  <si>
    <t>ПРОДУКЦИЯ ПАРФЮМЕРНО-КОСМ</t>
  </si>
  <si>
    <t>443</t>
  </si>
  <si>
    <t>МЫЛО</t>
  </si>
  <si>
    <t>451</t>
  </si>
  <si>
    <t>КАУЧУКИ И ЛАТЕКСЫ</t>
  </si>
  <si>
    <t>452</t>
  </si>
  <si>
    <t>РЕЗИНА, ИЗДЕЛИЯ РЕЗИНО-ТЕ</t>
  </si>
  <si>
    <t>453</t>
  </si>
  <si>
    <t>ИЗДЕЛИЯ РЕЗИНОТЕХНИЧЕСКИЕ</t>
  </si>
  <si>
    <t>454</t>
  </si>
  <si>
    <t>УГЛЕРОД ТЕХНИЧЕСКИЙ (САЖА</t>
  </si>
  <si>
    <t>460</t>
  </si>
  <si>
    <t>#</t>
  </si>
  <si>
    <t>461</t>
  </si>
  <si>
    <t>СМОЛЫ СИНТЕТИЧЕСКИЕ И ПЛА</t>
  </si>
  <si>
    <t>462</t>
  </si>
  <si>
    <t>ИЗДЕЛИЯ ИЗ ПЛАСТИЧЕСКИХ М</t>
  </si>
  <si>
    <t>463</t>
  </si>
  <si>
    <t>ВОЛОКНА ИСКУССТВЕННЫЕ И С</t>
  </si>
  <si>
    <t>464</t>
  </si>
  <si>
    <t>КЛЕЙ</t>
  </si>
  <si>
    <t>465</t>
  </si>
  <si>
    <t>СМОЛЫ ПРИРОДНЫЕ</t>
  </si>
  <si>
    <t>466</t>
  </si>
  <si>
    <t>МАТЕРИАЛЫ ЛАКОКРАСОЧНЫЕ.</t>
  </si>
  <si>
    <t>467</t>
  </si>
  <si>
    <t>ПРОДУКТЫ ПРОМЕЖУТОЧНЫЕ ДЛ</t>
  </si>
  <si>
    <t>471</t>
  </si>
  <si>
    <t>СМОЛЫ, КРОМЕ ПРИРОДНЫХ, Н</t>
  </si>
  <si>
    <t>472</t>
  </si>
  <si>
    <t>МАСЛА, КРОМЕ НЕФТЯНЫХ. СК</t>
  </si>
  <si>
    <t>473</t>
  </si>
  <si>
    <t>ЭЛЕКТРОДЫ ГРАФИТИРОВАННЫЕ</t>
  </si>
  <si>
    <t>474</t>
  </si>
  <si>
    <t>УГОЛЬ ДРЕВЕСНЫЙ</t>
  </si>
  <si>
    <t>475</t>
  </si>
  <si>
    <t>ПРОЧАЯ ПРОДУКЦИЯ КОКСОХИМ</t>
  </si>
  <si>
    <t>481</t>
  </si>
  <si>
    <t>КИСЛОТЫ, ОКСИДЫ, ПЕРОКСИД</t>
  </si>
  <si>
    <t>482</t>
  </si>
  <si>
    <t>ОСНОВАНИЯ И СОДОПРОДУКТЫ</t>
  </si>
  <si>
    <t>483</t>
  </si>
  <si>
    <t>СОЛИ КИСЛОРОДНЫХ КИСЛОТ</t>
  </si>
  <si>
    <t>484</t>
  </si>
  <si>
    <t>485</t>
  </si>
  <si>
    <t>СОЛИ БЕСКИСЛОРОДНЫХ КИСЛО</t>
  </si>
  <si>
    <t>486</t>
  </si>
  <si>
    <t>СОРБЕНТЫ И КАТАЛИЗАТОРЫ,</t>
  </si>
  <si>
    <t>487</t>
  </si>
  <si>
    <t>МЕТАЛЛЫ ЩЕЛОЧНЫЕ, ЩЕЛОЧНО</t>
  </si>
  <si>
    <t>488</t>
  </si>
  <si>
    <t>ГАЗЫ, КРОМЕ ЭНЕРГЕТИЧЕСКИ</t>
  </si>
  <si>
    <t>489</t>
  </si>
  <si>
    <t>ПРОЧИЕ НЕОРГАНИЧЕСКИЕ СОЕ</t>
  </si>
  <si>
    <t>501</t>
  </si>
  <si>
    <t>МУКА ПШЕНИЧНАЯ</t>
  </si>
  <si>
    <t>502</t>
  </si>
  <si>
    <t>МУКА РЖАНАЯ</t>
  </si>
  <si>
    <t>503</t>
  </si>
  <si>
    <t>КРУПА</t>
  </si>
  <si>
    <t>504</t>
  </si>
  <si>
    <t>ПРОЧИЕ ПРОДУКТЫ ПЕРЕМОЛА</t>
  </si>
  <si>
    <t>505</t>
  </si>
  <si>
    <t>ОТРУБИ И ОТХОДЫ МУКОМОЛЬН</t>
  </si>
  <si>
    <t>511</t>
  </si>
  <si>
    <t>ХЛЕБ И ИЗДЕЛИЯ ХЛЕБОБУЛОЧ</t>
  </si>
  <si>
    <t>512</t>
  </si>
  <si>
    <t>ИЗДЕЛИЯ МАКАРОННЫЕ</t>
  </si>
  <si>
    <t>513</t>
  </si>
  <si>
    <t>ИЗДЕЛИЯ КОНДИТЕРСКИЕ МУЧН</t>
  </si>
  <si>
    <t>514</t>
  </si>
  <si>
    <t>ИЗДЕЛИЯ КОНДИТЕРСКИЕ САХА</t>
  </si>
  <si>
    <t>515</t>
  </si>
  <si>
    <t>ПРОДУКЦИЯ КРАХМАЛО-ПАТОЧН</t>
  </si>
  <si>
    <t>516</t>
  </si>
  <si>
    <t>КОНЦЕНТРАТЫ ПИЩЕВЫЕ, ПРЯН</t>
  </si>
  <si>
    <t>517</t>
  </si>
  <si>
    <t>ИЗДЕЛИЯ ТАБАЧНО-МАХОРОЧНЫ</t>
  </si>
  <si>
    <t>521</t>
  </si>
  <si>
    <t>САХАР</t>
  </si>
  <si>
    <t>531</t>
  </si>
  <si>
    <t>СОЛЬ ПОВАРЕННАЯ</t>
  </si>
  <si>
    <t>541</t>
  </si>
  <si>
    <t>КОМБИКОРМА</t>
  </si>
  <si>
    <t>542</t>
  </si>
  <si>
    <t>ЖМЫХИ И ШРОТЫ. МУКА КОРМО</t>
  </si>
  <si>
    <t>551</t>
  </si>
  <si>
    <t>МОЛОКО</t>
  </si>
  <si>
    <t>552</t>
  </si>
  <si>
    <t>МОЛОЧНЫЕ ПРОДУКТЫ</t>
  </si>
  <si>
    <t>553</t>
  </si>
  <si>
    <t>МАСЛО ЖИВОТНОЕ. СЫР</t>
  </si>
  <si>
    <t>554</t>
  </si>
  <si>
    <t>ПРОДУКЦИЯ МАРГАРИНОВАЯ И</t>
  </si>
  <si>
    <t>555</t>
  </si>
  <si>
    <t>ЯЙЦА</t>
  </si>
  <si>
    <t>556</t>
  </si>
  <si>
    <t>МАСЛО РАСТИТЕЛЬНОЕ И ЕГО</t>
  </si>
  <si>
    <t>561</t>
  </si>
  <si>
    <t>МЯСО И СУБПРОДУКТЫ</t>
  </si>
  <si>
    <t>562</t>
  </si>
  <si>
    <t>ИЗДЕЛИЯ КОЛБАСНЫЕ, КОПЧЕН</t>
  </si>
  <si>
    <t>563</t>
  </si>
  <si>
    <t>ЖИРЫ И САЛО ЖИВОТНЫХ И ПТ</t>
  </si>
  <si>
    <t>564</t>
  </si>
  <si>
    <t>ОТХОДЫ МЯСНОЙ ПРОМЫШЛЕННО</t>
  </si>
  <si>
    <t>571</t>
  </si>
  <si>
    <t>РЫБА ЖИВАЯ, МАЛЬКИ, РЫБКИ</t>
  </si>
  <si>
    <t>572</t>
  </si>
  <si>
    <t>РЫБА СВЕЖАЯ, ОХЛАЖДЕННАЯ</t>
  </si>
  <si>
    <t>573</t>
  </si>
  <si>
    <t>РЫБОПРОДУКТЫ СОЛЕНЫЕ, КОП</t>
  </si>
  <si>
    <t>574</t>
  </si>
  <si>
    <t>ЖИР РЫБИЙ, КИТОВЫЙ И МОРС</t>
  </si>
  <si>
    <t>581</t>
  </si>
  <si>
    <t>КОНСЕРВЫ ВСЯКИЕ. ФРУКТЫ,</t>
  </si>
  <si>
    <t>582</t>
  </si>
  <si>
    <t>ФРУКТЫ И ЯГОДЫ СУШЕНЫЕ</t>
  </si>
  <si>
    <t>583</t>
  </si>
  <si>
    <t>ОВОЩИ, КАРТОФЕЛЬ И ГРИБЫ</t>
  </si>
  <si>
    <t>584</t>
  </si>
  <si>
    <t>СОКИ</t>
  </si>
  <si>
    <t>591</t>
  </si>
  <si>
    <t>ВИНО</t>
  </si>
  <si>
    <t>592</t>
  </si>
  <si>
    <t>ПИВО</t>
  </si>
  <si>
    <t>593</t>
  </si>
  <si>
    <t>ВОДКА И ИЗДЕЛИЯ ЛИКЕРО-ВО</t>
  </si>
  <si>
    <t>594</t>
  </si>
  <si>
    <t>СПИРТ</t>
  </si>
  <si>
    <t>595</t>
  </si>
  <si>
    <t>НАПИТКИ БЕЗАЛКОГОЛЬНЫЕ И</t>
  </si>
  <si>
    <t>601</t>
  </si>
  <si>
    <t>БАРДА</t>
  </si>
  <si>
    <t>602</t>
  </si>
  <si>
    <t>ВОДА И ЛЕД</t>
  </si>
  <si>
    <t>611</t>
  </si>
  <si>
    <t>ВОЛОКНО ХЛОПКОВОЕ</t>
  </si>
  <si>
    <t>621</t>
  </si>
  <si>
    <t>ВОЛОКНА ЛУБЯНЫЕ</t>
  </si>
  <si>
    <t>622</t>
  </si>
  <si>
    <t>ПРЯЖА И НИТКИ ВСЯКИЕ, ШЕЛ</t>
  </si>
  <si>
    <t>623</t>
  </si>
  <si>
    <t>ИЗДЕЛИЯ КРУЧЕНЫЕ, КРОМЕ П</t>
  </si>
  <si>
    <t>624</t>
  </si>
  <si>
    <t>ВАТА ХЛОПЧАТОБУМАЖНАЯ</t>
  </si>
  <si>
    <t>625</t>
  </si>
  <si>
    <t>ВАТА ЛЬНЯНАЯ, ЩЕЛКОВАЯ И</t>
  </si>
  <si>
    <t>626</t>
  </si>
  <si>
    <t>ВОЙЛОК И ИЗДЕЛИЯ ВОЙЛОЧНЫ</t>
  </si>
  <si>
    <t>631</t>
  </si>
  <si>
    <t>ТКАНИ</t>
  </si>
  <si>
    <t>632</t>
  </si>
  <si>
    <t>ПРОЧИЕ ИЗДЕЛИЯ ШВЕЙНОЙ И</t>
  </si>
  <si>
    <t>633</t>
  </si>
  <si>
    <t>ИЗДЕЛИЯ ТРИКОТАЖНЫЕ</t>
  </si>
  <si>
    <t>634</t>
  </si>
  <si>
    <t>ИЗДЕЛИЯ ШВЕЙНЫЕ</t>
  </si>
  <si>
    <t>635</t>
  </si>
  <si>
    <t>КОВРЫ И ИЗДЕЛИЯ КОВРОВЫЕ</t>
  </si>
  <si>
    <t>641</t>
  </si>
  <si>
    <t>ГАЛАНТЕРЕЯ И ИЗДЕЛИЯ ЮВЕЛ</t>
  </si>
  <si>
    <t>651</t>
  </si>
  <si>
    <t>МЕХА, КОЖИ И ШКУРЫ ВЫДЕЛА</t>
  </si>
  <si>
    <t>652</t>
  </si>
  <si>
    <t>КОЖА ИСКУССТВЕННАЯ</t>
  </si>
  <si>
    <t>653</t>
  </si>
  <si>
    <t>ИЗДЕЛИЯ ИЗ КОЖИ, ВОЛОСА,</t>
  </si>
  <si>
    <t>654</t>
  </si>
  <si>
    <t>ОБУВЬ</t>
  </si>
  <si>
    <t>661</t>
  </si>
  <si>
    <t>ПОСУДА И ДРУГИЕ ИЗДЕЛИЯ С</t>
  </si>
  <si>
    <t>662</t>
  </si>
  <si>
    <t>ТАРА СТЕКЛЯННАЯ</t>
  </si>
  <si>
    <t>671</t>
  </si>
  <si>
    <t>КНИГИ, БРОШЮРЫ, ГАЗЕТЫ, Ж</t>
  </si>
  <si>
    <t>681</t>
  </si>
  <si>
    <t>ИНСТРУМЕНТЫ МУЗЫКАЛЬНЫЕ</t>
  </si>
  <si>
    <t>682</t>
  </si>
  <si>
    <t>ИНВЕНТАРЬ СПОРТИВНЫЙ, ОХО</t>
  </si>
  <si>
    <t>683</t>
  </si>
  <si>
    <t>ИГРЫ И ИГРУШКИ, НАГЛЯДНЫЕ</t>
  </si>
  <si>
    <t>684</t>
  </si>
  <si>
    <t>ПРИНАДЛЕЖНОСТИ ШКОЛЬНО-ПИ</t>
  </si>
  <si>
    <t>685</t>
  </si>
  <si>
    <t>ИЗДЕЛИЯ ИЗ КАМЫША, ЛОЗЫ,</t>
  </si>
  <si>
    <t>691</t>
  </si>
  <si>
    <t>ГРУЗЫ ДЛЯ ЛИЧНЫХ (БЫТОВЫХ</t>
  </si>
  <si>
    <t>692</t>
  </si>
  <si>
    <t>УТИЛЬ-СЫРЬЕ</t>
  </si>
  <si>
    <t>693</t>
  </si>
  <si>
    <t>ГРУЗЫ, НЕ ВХОДЯЩИЕ НИ В О</t>
  </si>
  <si>
    <t>694</t>
  </si>
  <si>
    <t>ТВЕРДЫЕ КОММУНАЛЬНЫЕ ОТХО</t>
  </si>
  <si>
    <t>711</t>
  </si>
  <si>
    <t>УГЛЕВОДОРОДЫ</t>
  </si>
  <si>
    <t>712</t>
  </si>
  <si>
    <t>ГАЛОГЕНОПРОИЗВОДНЫЕ УГЛЕВ</t>
  </si>
  <si>
    <t>713</t>
  </si>
  <si>
    <t>ПРОИЗВОДНЫЕ УГЛЕВОДОРОДОВ</t>
  </si>
  <si>
    <t>721</t>
  </si>
  <si>
    <t>СПИРТЫ И ИХ ПРОИЗВОДНЫЕ</t>
  </si>
  <si>
    <t>722</t>
  </si>
  <si>
    <t>ФЕНОЛЫ, ФЕНОЛОСПИРТЫ И ИХ</t>
  </si>
  <si>
    <t>723</t>
  </si>
  <si>
    <t>АЛЬДЕГИДЫ, КЕТОНЫ И АНГИД</t>
  </si>
  <si>
    <t>724</t>
  </si>
  <si>
    <t>КИСЛОТЫ ОРГАНИЧЕСКИЕ И ИХ</t>
  </si>
  <si>
    <t>725</t>
  </si>
  <si>
    <t>ЭФИРЫ И АЦЕТАЛИ</t>
  </si>
  <si>
    <t>726</t>
  </si>
  <si>
    <t>ОКСИДЫ, ПЕРОКСИДЫ</t>
  </si>
  <si>
    <t>731</t>
  </si>
  <si>
    <t>АМИНЫ, АМИДЫ И ИХ ПРОИЗВО</t>
  </si>
  <si>
    <t>732</t>
  </si>
  <si>
    <t>НИТРОСОЕДИНЕНИЯ</t>
  </si>
  <si>
    <t>741</t>
  </si>
  <si>
    <t>ХЛОРСИЛАНЫ</t>
  </si>
  <si>
    <t>742</t>
  </si>
  <si>
    <t>ПРОЧИЕ ОРГАНИЧЕСКИЕ СОЕДИ</t>
  </si>
  <si>
    <t>751</t>
  </si>
  <si>
    <t>ПЕСТИЦИДЫ</t>
  </si>
  <si>
    <t>752</t>
  </si>
  <si>
    <t>ПЛАСТИФИКАТОРЫ И ПЕНООБРА</t>
  </si>
  <si>
    <t>753</t>
  </si>
  <si>
    <t>ПОВЕРХНОСТНО-АКТИВНЫЕ, ТЕ</t>
  </si>
  <si>
    <t>754</t>
  </si>
  <si>
    <t>РАСТВОРИТЕЛИ. ФЛОТОРЕАГЕН</t>
  </si>
  <si>
    <t>755</t>
  </si>
  <si>
    <t>ХИМИКАТЫ ДЛЯ ПРОИЗВОДСТВА</t>
  </si>
  <si>
    <t>756</t>
  </si>
  <si>
    <t>СИНТЕТИЧЕСКИЕ МОЮЩИЕ СРЕД</t>
  </si>
  <si>
    <t>757</t>
  </si>
  <si>
    <t>ХИМИКАТЫ ПРОЧИЕ</t>
  </si>
  <si>
    <t>758</t>
  </si>
  <si>
    <t>ОТХОДЫ ХИМИЧЕСКОГО ПРОИЗВ</t>
  </si>
  <si>
    <t>КОДГРУЗА</t>
  </si>
  <si>
    <t>КОД позиции</t>
  </si>
  <si>
    <t>НАИМЕНОВАНИЕ</t>
  </si>
  <si>
    <t>Раздел ЕТСНГ</t>
  </si>
  <si>
    <t>Раздел ЕТСНГ корр</t>
  </si>
  <si>
    <t>Раздел 1. Продукция сельского хозяйства</t>
  </si>
  <si>
    <t>х</t>
  </si>
  <si>
    <t>01000</t>
  </si>
  <si>
    <t xml:space="preserve">Зерновые и зернобобовые культуры </t>
  </si>
  <si>
    <t>01100</t>
  </si>
  <si>
    <t xml:space="preserve">Пшеница </t>
  </si>
  <si>
    <t>01200</t>
  </si>
  <si>
    <t xml:space="preserve">Рожь </t>
  </si>
  <si>
    <t>01300</t>
  </si>
  <si>
    <t xml:space="preserve">Овес </t>
  </si>
  <si>
    <t>01400</t>
  </si>
  <si>
    <t xml:space="preserve">Ячмень </t>
  </si>
  <si>
    <t>01500</t>
  </si>
  <si>
    <t xml:space="preserve">Зерно кукурузы </t>
  </si>
  <si>
    <t>01600</t>
  </si>
  <si>
    <t xml:space="preserve">Початки кукурузы </t>
  </si>
  <si>
    <t>01700</t>
  </si>
  <si>
    <t xml:space="preserve">Рис </t>
  </si>
  <si>
    <t>01701</t>
  </si>
  <si>
    <t xml:space="preserve">Рис нешелушеный (рис сырец) </t>
  </si>
  <si>
    <t>01702</t>
  </si>
  <si>
    <t xml:space="preserve">Рис шелушеный (неполированый рис) </t>
  </si>
  <si>
    <t>01703</t>
  </si>
  <si>
    <t>Рис прочий</t>
  </si>
  <si>
    <t>01800</t>
  </si>
  <si>
    <t xml:space="preserve">Прочие зерновые </t>
  </si>
  <si>
    <t>01801</t>
  </si>
  <si>
    <t xml:space="preserve">Гречиха </t>
  </si>
  <si>
    <t>01802</t>
  </si>
  <si>
    <t xml:space="preserve">Зерно бобов </t>
  </si>
  <si>
    <t>01803</t>
  </si>
  <si>
    <t xml:space="preserve">Зерно гороха </t>
  </si>
  <si>
    <t>01804</t>
  </si>
  <si>
    <t xml:space="preserve">Зерно фасоли </t>
  </si>
  <si>
    <t>01805</t>
  </si>
  <si>
    <t xml:space="preserve">Зерновые, не поименованные в алфавите </t>
  </si>
  <si>
    <t>01806</t>
  </si>
  <si>
    <t xml:space="preserve">3ерноотходы </t>
  </si>
  <si>
    <t>01807</t>
  </si>
  <si>
    <t xml:space="preserve">Нут </t>
  </si>
  <si>
    <t>01808</t>
  </si>
  <si>
    <t xml:space="preserve">Полба </t>
  </si>
  <si>
    <t>01809</t>
  </si>
  <si>
    <t xml:space="preserve">Просо </t>
  </si>
  <si>
    <t>01810</t>
  </si>
  <si>
    <t xml:space="preserve">Смесь зерновая </t>
  </si>
  <si>
    <t>01811</t>
  </si>
  <si>
    <t xml:space="preserve">Солод в зерне </t>
  </si>
  <si>
    <t>01812</t>
  </si>
  <si>
    <t xml:space="preserve">Сорго (гаолян, джугара и др.) </t>
  </si>
  <si>
    <t>01813</t>
  </si>
  <si>
    <t xml:space="preserve">Чечевица </t>
  </si>
  <si>
    <t>01814</t>
  </si>
  <si>
    <t xml:space="preserve">Чина </t>
  </si>
  <si>
    <t>01815</t>
  </si>
  <si>
    <t xml:space="preserve">Чумиза </t>
  </si>
  <si>
    <t>02000</t>
  </si>
  <si>
    <t xml:space="preserve">Семена </t>
  </si>
  <si>
    <t>02100</t>
  </si>
  <si>
    <t xml:space="preserve">Семена технических культур, кроме семян хлопчатника </t>
  </si>
  <si>
    <t>02101</t>
  </si>
  <si>
    <t>02102</t>
  </si>
  <si>
    <t xml:space="preserve">Зерна пальмовые </t>
  </si>
  <si>
    <t>02103</t>
  </si>
  <si>
    <t xml:space="preserve">Зерно мака </t>
  </si>
  <si>
    <t>02104</t>
  </si>
  <si>
    <t xml:space="preserve">Семена кенафа </t>
  </si>
  <si>
    <t>02105</t>
  </si>
  <si>
    <t xml:space="preserve">Семена конопли </t>
  </si>
  <si>
    <t>02106</t>
  </si>
  <si>
    <t xml:space="preserve">Семена кунжута </t>
  </si>
  <si>
    <t>02107</t>
  </si>
  <si>
    <t xml:space="preserve">Семена льна </t>
  </si>
  <si>
    <t>02108</t>
  </si>
  <si>
    <t xml:space="preserve">Семена масличных культур, не поименованные в алфавите </t>
  </si>
  <si>
    <t>02109</t>
  </si>
  <si>
    <t xml:space="preserve">Семена подсолнечника </t>
  </si>
  <si>
    <t>02110</t>
  </si>
  <si>
    <t xml:space="preserve">Семена сои </t>
  </si>
  <si>
    <t>02111</t>
  </si>
  <si>
    <t xml:space="preserve">Семена фенхеля </t>
  </si>
  <si>
    <t>02112</t>
  </si>
  <si>
    <t xml:space="preserve">Семя кориандровое (кишнец) </t>
  </si>
  <si>
    <t>02113</t>
  </si>
  <si>
    <t xml:space="preserve">Шапки подсолнечника с семенами </t>
  </si>
  <si>
    <t>02200</t>
  </si>
  <si>
    <t xml:space="preserve">Семена хлопчатника </t>
  </si>
  <si>
    <t>02300</t>
  </si>
  <si>
    <t xml:space="preserve">Семена свеклы сахарной </t>
  </si>
  <si>
    <t>02400</t>
  </si>
  <si>
    <t xml:space="preserve">Семена прочие </t>
  </si>
  <si>
    <t>02401</t>
  </si>
  <si>
    <t xml:space="preserve">Желуди сушеные и сырые </t>
  </si>
  <si>
    <t>02402</t>
  </si>
  <si>
    <t xml:space="preserve">Семена клевера </t>
  </si>
  <si>
    <t>02403</t>
  </si>
  <si>
    <t xml:space="preserve">Семена кормовых трав, не поименованные в алфавите </t>
  </si>
  <si>
    <t>02404</t>
  </si>
  <si>
    <t xml:space="preserve">Семена лекарственных культур </t>
  </si>
  <si>
    <t>02405</t>
  </si>
  <si>
    <t xml:space="preserve">Семена люпина </t>
  </si>
  <si>
    <t>02406</t>
  </si>
  <si>
    <t xml:space="preserve">Семена люцерны </t>
  </si>
  <si>
    <t>02407</t>
  </si>
  <si>
    <t xml:space="preserve">Семена овощных и бахчевых культур </t>
  </si>
  <si>
    <t>02408</t>
  </si>
  <si>
    <t xml:space="preserve">Семена табака </t>
  </si>
  <si>
    <t>02409</t>
  </si>
  <si>
    <t xml:space="preserve">Семена тимофеевки </t>
  </si>
  <si>
    <t>02410</t>
  </si>
  <si>
    <t xml:space="preserve">Семена тмина </t>
  </si>
  <si>
    <t>02411</t>
  </si>
  <si>
    <t xml:space="preserve">Семена тыквы </t>
  </si>
  <si>
    <t>02412</t>
  </si>
  <si>
    <t xml:space="preserve">Семена цветочных культур </t>
  </si>
  <si>
    <t>02413</t>
  </si>
  <si>
    <t xml:space="preserve">Семена чая </t>
  </si>
  <si>
    <t>02414</t>
  </si>
  <si>
    <t xml:space="preserve">Споры грибов шампиньонов </t>
  </si>
  <si>
    <t>03000</t>
  </si>
  <si>
    <t xml:space="preserve">Хлопчатник </t>
  </si>
  <si>
    <t>03100</t>
  </si>
  <si>
    <t xml:space="preserve">Хлопок-сырец </t>
  </si>
  <si>
    <t>03101</t>
  </si>
  <si>
    <t>04000</t>
  </si>
  <si>
    <t xml:space="preserve">Овощи, картофель, бахчевые культуры свежие, свекла сахарная </t>
  </si>
  <si>
    <t>04100</t>
  </si>
  <si>
    <t xml:space="preserve">Овощи свежие </t>
  </si>
  <si>
    <t>04101</t>
  </si>
  <si>
    <t xml:space="preserve">Артишок свежий </t>
  </si>
  <si>
    <t>04102</t>
  </si>
  <si>
    <t xml:space="preserve">Баклажаны свежие </t>
  </si>
  <si>
    <t>04103</t>
  </si>
  <si>
    <t xml:space="preserve">Бобы овощные свежие </t>
  </si>
  <si>
    <t>04104</t>
  </si>
  <si>
    <t xml:space="preserve">Брюква свежая </t>
  </si>
  <si>
    <t>04105</t>
  </si>
  <si>
    <t xml:space="preserve">Горох овощной свежий </t>
  </si>
  <si>
    <t>04106</t>
  </si>
  <si>
    <t xml:space="preserve">Грибы, в том числе шампиньоны, свежие </t>
  </si>
  <si>
    <t>04107</t>
  </si>
  <si>
    <t xml:space="preserve">Корнеплоды свежие, не поименованные в алфавите </t>
  </si>
  <si>
    <t>04108</t>
  </si>
  <si>
    <t xml:space="preserve">Кабачки свежие </t>
  </si>
  <si>
    <t>04109</t>
  </si>
  <si>
    <t xml:space="preserve">Капуста свежая </t>
  </si>
  <si>
    <t>04110</t>
  </si>
  <si>
    <t xml:space="preserve">Лук зеленый в том числе порей </t>
  </si>
  <si>
    <t>04111</t>
  </si>
  <si>
    <t xml:space="preserve">Лук репчатый и сеянец </t>
  </si>
  <si>
    <t>04112</t>
  </si>
  <si>
    <t xml:space="preserve">Овощи свежемороженые </t>
  </si>
  <si>
    <t>04113</t>
  </si>
  <si>
    <t xml:space="preserve">Овощи свежие, не поименованные в алфавите </t>
  </si>
  <si>
    <t>04114</t>
  </si>
  <si>
    <t xml:space="preserve">Огурцы свежие </t>
  </si>
  <si>
    <t>04115</t>
  </si>
  <si>
    <t xml:space="preserve">Пастернак свежий </t>
  </si>
  <si>
    <t>04116</t>
  </si>
  <si>
    <t xml:space="preserve">Перец (в стручках) свежий </t>
  </si>
  <si>
    <t>04117</t>
  </si>
  <si>
    <t xml:space="preserve">Петрушка свежая </t>
  </si>
  <si>
    <t>04118</t>
  </si>
  <si>
    <t xml:space="preserve">Морковь свежая </t>
  </si>
  <si>
    <t>04119</t>
  </si>
  <si>
    <t xml:space="preserve">Помидоры (томаты) свежие </t>
  </si>
  <si>
    <t>04120</t>
  </si>
  <si>
    <t xml:space="preserve">Ревень овощной свежий </t>
  </si>
  <si>
    <t>04121</t>
  </si>
  <si>
    <t xml:space="preserve">Редис свежий </t>
  </si>
  <si>
    <t>04122</t>
  </si>
  <si>
    <t xml:space="preserve">Редька свежая </t>
  </si>
  <si>
    <t>04123</t>
  </si>
  <si>
    <t xml:space="preserve">Репа свежая </t>
  </si>
  <si>
    <t>04124</t>
  </si>
  <si>
    <t xml:space="preserve">Салат свежий </t>
  </si>
  <si>
    <t>04125</t>
  </si>
  <si>
    <t xml:space="preserve">Свекла кормовая свежая </t>
  </si>
  <si>
    <t>04126</t>
  </si>
  <si>
    <t xml:space="preserve">Свекла столовая свежая </t>
  </si>
  <si>
    <t>04127</t>
  </si>
  <si>
    <t xml:space="preserve">Сельдерей свежий </t>
  </si>
  <si>
    <t>04128</t>
  </si>
  <si>
    <t xml:space="preserve">Спаржа свежая </t>
  </si>
  <si>
    <t>04129</t>
  </si>
  <si>
    <t xml:space="preserve">Турнепс свежий </t>
  </si>
  <si>
    <t>04130</t>
  </si>
  <si>
    <t xml:space="preserve">Укроп свежий </t>
  </si>
  <si>
    <t>04131</t>
  </si>
  <si>
    <t xml:space="preserve">Фасоль овощная свежая </t>
  </si>
  <si>
    <t>04132</t>
  </si>
  <si>
    <t xml:space="preserve">Хрен свежий </t>
  </si>
  <si>
    <t>04133</t>
  </si>
  <si>
    <t xml:space="preserve">Цикорий свежий </t>
  </si>
  <si>
    <t>04134</t>
  </si>
  <si>
    <t xml:space="preserve">Чеснок свежий </t>
  </si>
  <si>
    <t>04135</t>
  </si>
  <si>
    <t xml:space="preserve">Шпинат свежий </t>
  </si>
  <si>
    <t>04136</t>
  </si>
  <si>
    <t xml:space="preserve">Щавель свежий </t>
  </si>
  <si>
    <t>04200</t>
  </si>
  <si>
    <t xml:space="preserve">Бахчевые культуры </t>
  </si>
  <si>
    <t>04201</t>
  </si>
  <si>
    <t xml:space="preserve">Арбузы свежие </t>
  </si>
  <si>
    <t>04202</t>
  </si>
  <si>
    <t xml:space="preserve">Дыни свежие </t>
  </si>
  <si>
    <t>04203</t>
  </si>
  <si>
    <t xml:space="preserve">Тыква свежая </t>
  </si>
  <si>
    <t>04300</t>
  </si>
  <si>
    <t xml:space="preserve">Картофель свежий </t>
  </si>
  <si>
    <t>04301</t>
  </si>
  <si>
    <t xml:space="preserve">Картофель ранний </t>
  </si>
  <si>
    <t>04302</t>
  </si>
  <si>
    <t xml:space="preserve">Картофель поздний </t>
  </si>
  <si>
    <t>04400</t>
  </si>
  <si>
    <t xml:space="preserve">Свекла сахарная </t>
  </si>
  <si>
    <t>05000</t>
  </si>
  <si>
    <t xml:space="preserve">Фрукты и ягоды свежие. Орехи </t>
  </si>
  <si>
    <t>05100</t>
  </si>
  <si>
    <t xml:space="preserve">Фрукты и ягоды свежие, кроме яблок и цитрусовых </t>
  </si>
  <si>
    <t>05101</t>
  </si>
  <si>
    <t xml:space="preserve">Абрикосы свежие </t>
  </si>
  <si>
    <t>05102</t>
  </si>
  <si>
    <t xml:space="preserve">Айва свежая </t>
  </si>
  <si>
    <t>05103</t>
  </si>
  <si>
    <t xml:space="preserve">Алыча свежая </t>
  </si>
  <si>
    <t>05104</t>
  </si>
  <si>
    <t xml:space="preserve">Ананасы свежие </t>
  </si>
  <si>
    <t>05105</t>
  </si>
  <si>
    <t xml:space="preserve">Бананы свежие </t>
  </si>
  <si>
    <t>05106</t>
  </si>
  <si>
    <t xml:space="preserve">Барбарис свежий </t>
  </si>
  <si>
    <t>05107</t>
  </si>
  <si>
    <t xml:space="preserve">Брусника свежея </t>
  </si>
  <si>
    <t>05108</t>
  </si>
  <si>
    <t xml:space="preserve">Брусника свежемороженая </t>
  </si>
  <si>
    <t>05109</t>
  </si>
  <si>
    <t xml:space="preserve">Виноград свежий </t>
  </si>
  <si>
    <t>05110</t>
  </si>
  <si>
    <t xml:space="preserve">Вишни свежие </t>
  </si>
  <si>
    <t>05111</t>
  </si>
  <si>
    <t xml:space="preserve">Гранаты (плоды) </t>
  </si>
  <si>
    <t>05112</t>
  </si>
  <si>
    <t xml:space="preserve">Груши свежие </t>
  </si>
  <si>
    <t>05113</t>
  </si>
  <si>
    <t xml:space="preserve">Земляника свежая </t>
  </si>
  <si>
    <t>05114</t>
  </si>
  <si>
    <t xml:space="preserve">Кизил свежий </t>
  </si>
  <si>
    <t>05115</t>
  </si>
  <si>
    <t xml:space="preserve">Клюква свежая </t>
  </si>
  <si>
    <t>05116</t>
  </si>
  <si>
    <t xml:space="preserve">Клюква свежемороженая </t>
  </si>
  <si>
    <t>05117</t>
  </si>
  <si>
    <t xml:space="preserve">Крыжовник свежий </t>
  </si>
  <si>
    <t>05118</t>
  </si>
  <si>
    <t xml:space="preserve">Малина свежая </t>
  </si>
  <si>
    <t>05119</t>
  </si>
  <si>
    <t xml:space="preserve">Маслины (оливии) свежие </t>
  </si>
  <si>
    <t>05120</t>
  </si>
  <si>
    <t xml:space="preserve">Мушмула свежая </t>
  </si>
  <si>
    <t>05121</t>
  </si>
  <si>
    <t xml:space="preserve">Облепиха свежая </t>
  </si>
  <si>
    <t>05122</t>
  </si>
  <si>
    <t xml:space="preserve">Облепиха свежемороженая </t>
  </si>
  <si>
    <t>05123</t>
  </si>
  <si>
    <t xml:space="preserve">Персики свежие </t>
  </si>
  <si>
    <t>05124</t>
  </si>
  <si>
    <t xml:space="preserve">Рябина (ягоды) свежая </t>
  </si>
  <si>
    <t>05125</t>
  </si>
  <si>
    <t xml:space="preserve">Рябина (ягоды) свежемороженая </t>
  </si>
  <si>
    <t>05126</t>
  </si>
  <si>
    <t xml:space="preserve">Сливы свежие </t>
  </si>
  <si>
    <t>05127</t>
  </si>
  <si>
    <t xml:space="preserve">Смоква (ягоды винные, инжир) свежие </t>
  </si>
  <si>
    <t>05128</t>
  </si>
  <si>
    <t xml:space="preserve">Смородина свежая </t>
  </si>
  <si>
    <t>05129</t>
  </si>
  <si>
    <t xml:space="preserve">Терн (терновник) свежий </t>
  </si>
  <si>
    <t>05130</t>
  </si>
  <si>
    <t xml:space="preserve">Фрукты свежие, не поименованные в алфавите </t>
  </si>
  <si>
    <t>05131</t>
  </si>
  <si>
    <t xml:space="preserve">Фрукты свежемороженые, не поименованные в алфавите </t>
  </si>
  <si>
    <t>05132</t>
  </si>
  <si>
    <t xml:space="preserve">Хурма свежая </t>
  </si>
  <si>
    <t>05133</t>
  </si>
  <si>
    <t xml:space="preserve">Хурма свежемороженая </t>
  </si>
  <si>
    <t>05134</t>
  </si>
  <si>
    <t xml:space="preserve">Черемуха (ягоды) свежая </t>
  </si>
  <si>
    <t>05135</t>
  </si>
  <si>
    <t xml:space="preserve">Черешня свежая </t>
  </si>
  <si>
    <t>05136</t>
  </si>
  <si>
    <t xml:space="preserve">Черника свежая </t>
  </si>
  <si>
    <t>05137</t>
  </si>
  <si>
    <t xml:space="preserve">Ягоды свежие, не поименованные в алфавите </t>
  </si>
  <si>
    <t>05138</t>
  </si>
  <si>
    <t xml:space="preserve">Ягоды свежемороженые, не поименованные в алфавите </t>
  </si>
  <si>
    <t>05200</t>
  </si>
  <si>
    <t xml:space="preserve">Яблоки </t>
  </si>
  <si>
    <t>05201</t>
  </si>
  <si>
    <t xml:space="preserve">Яблоки свежемороженые </t>
  </si>
  <si>
    <t>05202</t>
  </si>
  <si>
    <t xml:space="preserve">Яблоки свежие </t>
  </si>
  <si>
    <t>05300</t>
  </si>
  <si>
    <t xml:space="preserve">Цитрусовые </t>
  </si>
  <si>
    <t>05301</t>
  </si>
  <si>
    <t xml:space="preserve">Апельсины свежие </t>
  </si>
  <si>
    <t>05302</t>
  </si>
  <si>
    <t xml:space="preserve">Грейпфруты свежие </t>
  </si>
  <si>
    <t>05303</t>
  </si>
  <si>
    <t xml:space="preserve">Лимоны свежие </t>
  </si>
  <si>
    <t>05304</t>
  </si>
  <si>
    <t xml:space="preserve">Мандарины свежие </t>
  </si>
  <si>
    <t>05305</t>
  </si>
  <si>
    <t xml:space="preserve">Померанцы свежие </t>
  </si>
  <si>
    <t>05306</t>
  </si>
  <si>
    <t xml:space="preserve">Цитрусовые, не поименованные в алфавите </t>
  </si>
  <si>
    <t>05400</t>
  </si>
  <si>
    <t xml:space="preserve">Орехи </t>
  </si>
  <si>
    <t>05401</t>
  </si>
  <si>
    <t xml:space="preserve">Арахис (земляной орех) </t>
  </si>
  <si>
    <t>05402</t>
  </si>
  <si>
    <t xml:space="preserve">Каштаны </t>
  </si>
  <si>
    <t>05403</t>
  </si>
  <si>
    <t xml:space="preserve">Копра (мякоть кокосового ореха) </t>
  </si>
  <si>
    <t>05404</t>
  </si>
  <si>
    <t xml:space="preserve">Орехи грецкие </t>
  </si>
  <si>
    <t>05405</t>
  </si>
  <si>
    <t xml:space="preserve">Орехи кедровые </t>
  </si>
  <si>
    <t>05406</t>
  </si>
  <si>
    <t xml:space="preserve">Орехи лещинные (фундук) </t>
  </si>
  <si>
    <t>05407</t>
  </si>
  <si>
    <t xml:space="preserve">Орехи миндальные (миндаль) </t>
  </si>
  <si>
    <t>05408</t>
  </si>
  <si>
    <t xml:space="preserve">Орехи, не поименованные в алфавите </t>
  </si>
  <si>
    <t>05409</t>
  </si>
  <si>
    <t xml:space="preserve">Орехи фисташковые (фисташки) </t>
  </si>
  <si>
    <t>05410</t>
  </si>
  <si>
    <t xml:space="preserve">Ядра орехов и фруктовых косточек </t>
  </si>
  <si>
    <t>06000</t>
  </si>
  <si>
    <t xml:space="preserve">Животные, птицы, пчелы </t>
  </si>
  <si>
    <t>06100</t>
  </si>
  <si>
    <t xml:space="preserve">Крупный и мелкий рогатый скот </t>
  </si>
  <si>
    <t>06101</t>
  </si>
  <si>
    <t xml:space="preserve">Бараны </t>
  </si>
  <si>
    <t>06102</t>
  </si>
  <si>
    <t xml:space="preserve">Буйволы </t>
  </si>
  <si>
    <t>06103</t>
  </si>
  <si>
    <t xml:space="preserve">Быки </t>
  </si>
  <si>
    <t>06104</t>
  </si>
  <si>
    <t xml:space="preserve">Волы </t>
  </si>
  <si>
    <t>06105</t>
  </si>
  <si>
    <t xml:space="preserve">Козы </t>
  </si>
  <si>
    <t>06106</t>
  </si>
  <si>
    <t xml:space="preserve">Коровы </t>
  </si>
  <si>
    <t>06107</t>
  </si>
  <si>
    <t xml:space="preserve">Овцы </t>
  </si>
  <si>
    <t>06108</t>
  </si>
  <si>
    <t xml:space="preserve">Скот крупный рогатый племенной </t>
  </si>
  <si>
    <t>06109</t>
  </si>
  <si>
    <t xml:space="preserve">Скот крупный рогатый, не поименованный в алфавите </t>
  </si>
  <si>
    <t>06110</t>
  </si>
  <si>
    <t xml:space="preserve">Скот мелкий рогатый племенной </t>
  </si>
  <si>
    <t>06111</t>
  </si>
  <si>
    <t xml:space="preserve">Скот мелкий рогатый, не поименованный в алфавите </t>
  </si>
  <si>
    <t>06112</t>
  </si>
  <si>
    <t xml:space="preserve">Телята </t>
  </si>
  <si>
    <t>06113</t>
  </si>
  <si>
    <t xml:space="preserve">Яки </t>
  </si>
  <si>
    <t>06200</t>
  </si>
  <si>
    <t xml:space="preserve">Свиньи и поросята </t>
  </si>
  <si>
    <t>06201</t>
  </si>
  <si>
    <t xml:space="preserve">Поросята </t>
  </si>
  <si>
    <t>06202</t>
  </si>
  <si>
    <t xml:space="preserve">Свиньи </t>
  </si>
  <si>
    <t>06203</t>
  </si>
  <si>
    <t xml:space="preserve">Свиньи племенные </t>
  </si>
  <si>
    <t>06300</t>
  </si>
  <si>
    <t xml:space="preserve">Животные прочие, птицы живые и пчелы </t>
  </si>
  <si>
    <t>06301</t>
  </si>
  <si>
    <t xml:space="preserve">Верблюды </t>
  </si>
  <si>
    <t>06302</t>
  </si>
  <si>
    <t xml:space="preserve">Грена тутового шелкопряда </t>
  </si>
  <si>
    <t>06303</t>
  </si>
  <si>
    <t xml:space="preserve">Жеребята </t>
  </si>
  <si>
    <t>06304</t>
  </si>
  <si>
    <t xml:space="preserve">Животные дикие (звери), не поименованные в алфавите </t>
  </si>
  <si>
    <t>06305</t>
  </si>
  <si>
    <t xml:space="preserve">Животные домашние, не поименованные в алфавите </t>
  </si>
  <si>
    <t>06306</t>
  </si>
  <si>
    <t xml:space="preserve">Животные морские </t>
  </si>
  <si>
    <t>06307</t>
  </si>
  <si>
    <t xml:space="preserve">Кролики </t>
  </si>
  <si>
    <t>06308</t>
  </si>
  <si>
    <t xml:space="preserve">Лоси </t>
  </si>
  <si>
    <t>06309</t>
  </si>
  <si>
    <t xml:space="preserve">Лошади </t>
  </si>
  <si>
    <t>06310</t>
  </si>
  <si>
    <t xml:space="preserve">Лошаки </t>
  </si>
  <si>
    <t>06311</t>
  </si>
  <si>
    <t xml:space="preserve">Мулы </t>
  </si>
  <si>
    <t>06312</t>
  </si>
  <si>
    <t xml:space="preserve">Олени </t>
  </si>
  <si>
    <t>06313</t>
  </si>
  <si>
    <t xml:space="preserve">Ослы </t>
  </si>
  <si>
    <t>06314</t>
  </si>
  <si>
    <t xml:space="preserve">Пони </t>
  </si>
  <si>
    <t>06315</t>
  </si>
  <si>
    <t xml:space="preserve">Птица живая всякая (домашняя и дикая) </t>
  </si>
  <si>
    <t>06316</t>
  </si>
  <si>
    <t xml:space="preserve">Пчелы в ульях </t>
  </si>
  <si>
    <t>06317</t>
  </si>
  <si>
    <t xml:space="preserve">Собаки </t>
  </si>
  <si>
    <t>07000</t>
  </si>
  <si>
    <t xml:space="preserve">Прочая продукция сельского хозяйства </t>
  </si>
  <si>
    <t>07100</t>
  </si>
  <si>
    <t xml:space="preserve">Сено, солома и корма растительные </t>
  </si>
  <si>
    <t>07101</t>
  </si>
  <si>
    <t xml:space="preserve">Камыш </t>
  </si>
  <si>
    <t>07102</t>
  </si>
  <si>
    <t xml:space="preserve">Корма растительные, не поименованные в алфавите </t>
  </si>
  <si>
    <t>07103</t>
  </si>
  <si>
    <t xml:space="preserve">Крапива </t>
  </si>
  <si>
    <t>07104</t>
  </si>
  <si>
    <t xml:space="preserve">Мох </t>
  </si>
  <si>
    <t>07105</t>
  </si>
  <si>
    <t xml:space="preserve">Мука травяная </t>
  </si>
  <si>
    <t>07106</t>
  </si>
  <si>
    <t xml:space="preserve">Початки кукурузные обрушенные </t>
  </si>
  <si>
    <t>07107</t>
  </si>
  <si>
    <t xml:space="preserve">Сено </t>
  </si>
  <si>
    <t>07108</t>
  </si>
  <si>
    <t xml:space="preserve">Силос </t>
  </si>
  <si>
    <t>07109</t>
  </si>
  <si>
    <t xml:space="preserve">Солома </t>
  </si>
  <si>
    <t>07110</t>
  </si>
  <si>
    <t xml:space="preserve">Стебли кукурузы и хлопчатника </t>
  </si>
  <si>
    <t>07111</t>
  </si>
  <si>
    <t xml:space="preserve">Травы кормовые </t>
  </si>
  <si>
    <t>07112</t>
  </si>
  <si>
    <t xml:space="preserve">Тростник </t>
  </si>
  <si>
    <t>07200</t>
  </si>
  <si>
    <t xml:space="preserve">Сырье табака и махорки </t>
  </si>
  <si>
    <t>07201</t>
  </si>
  <si>
    <t xml:space="preserve">Отходы табачные сырые (крошка и пыль) </t>
  </si>
  <si>
    <t>07202</t>
  </si>
  <si>
    <t xml:space="preserve">Сырье махорки, не поименованное в алфавите </t>
  </si>
  <si>
    <t>07203</t>
  </si>
  <si>
    <t xml:space="preserve">Сырье табака </t>
  </si>
  <si>
    <t>07204</t>
  </si>
  <si>
    <t xml:space="preserve">Табак в листьях и корешках </t>
  </si>
  <si>
    <t>07300</t>
  </si>
  <si>
    <t xml:space="preserve">Культуры прядильные, кроме хлопчатника </t>
  </si>
  <si>
    <t>07301</t>
  </si>
  <si>
    <t xml:space="preserve">Культуры прядильные прочие в стеблях </t>
  </si>
  <si>
    <t>07302</t>
  </si>
  <si>
    <t xml:space="preserve">Солома льна </t>
  </si>
  <si>
    <t>07303</t>
  </si>
  <si>
    <t xml:space="preserve">Стебли джута </t>
  </si>
  <si>
    <t>07304</t>
  </si>
  <si>
    <t xml:space="preserve">Стебли кенафа </t>
  </si>
  <si>
    <t>07305</t>
  </si>
  <si>
    <t xml:space="preserve">Стебли конопли </t>
  </si>
  <si>
    <t>07306</t>
  </si>
  <si>
    <t xml:space="preserve">Треста конопли </t>
  </si>
  <si>
    <t>07307</t>
  </si>
  <si>
    <t xml:space="preserve">Треста льна </t>
  </si>
  <si>
    <t>07308</t>
  </si>
  <si>
    <t xml:space="preserve">Треста прядильных культур, не поименованные в алфавите </t>
  </si>
  <si>
    <t>07400</t>
  </si>
  <si>
    <t xml:space="preserve">Сырье лекарственное растительное </t>
  </si>
  <si>
    <t>07401</t>
  </si>
  <si>
    <t xml:space="preserve">Алоэ (растение лекарственное) </t>
  </si>
  <si>
    <t>07402</t>
  </si>
  <si>
    <t xml:space="preserve">Трава анабазиса (ежовника) безлистного </t>
  </si>
  <si>
    <t>07403</t>
  </si>
  <si>
    <t xml:space="preserve">Бодяга (колонии пресноводных губок) </t>
  </si>
  <si>
    <t>07404</t>
  </si>
  <si>
    <t xml:space="preserve">Водоросли всякие </t>
  </si>
  <si>
    <t>07405</t>
  </si>
  <si>
    <t xml:space="preserve">Трава донника лекарственного </t>
  </si>
  <si>
    <t>07406</t>
  </si>
  <si>
    <t xml:space="preserve">Капуста морская </t>
  </si>
  <si>
    <t>07407</t>
  </si>
  <si>
    <t>Кора лекарственных культур (калины, крушины) и др., не поименованная в алфавите</t>
  </si>
  <si>
    <t>07408</t>
  </si>
  <si>
    <t xml:space="preserve">Кора хинная </t>
  </si>
  <si>
    <t>07409</t>
  </si>
  <si>
    <t xml:space="preserve">Коробочки мака с верхними частями стеблей </t>
  </si>
  <si>
    <t>07410</t>
  </si>
  <si>
    <t xml:space="preserve">Корни лекарственных культур, не поименованные в алфавите </t>
  </si>
  <si>
    <t>07411</t>
  </si>
  <si>
    <t xml:space="preserve">Корни ревеня </t>
  </si>
  <si>
    <t>07412</t>
  </si>
  <si>
    <t xml:space="preserve">Лишайники </t>
  </si>
  <si>
    <t>07413</t>
  </si>
  <si>
    <t xml:space="preserve">Мята перечная </t>
  </si>
  <si>
    <t>07414</t>
  </si>
  <si>
    <t xml:space="preserve">Полынь цитварная </t>
  </si>
  <si>
    <t>07415</t>
  </si>
  <si>
    <t xml:space="preserve">Почки березовые, сосновые, тополиные и др. </t>
  </si>
  <si>
    <t>07416</t>
  </si>
  <si>
    <t xml:space="preserve">Растения лекарственные, не поименованные в алфавите </t>
  </si>
  <si>
    <t>07417</t>
  </si>
  <si>
    <t xml:space="preserve">Ромашка всякая </t>
  </si>
  <si>
    <t>07418</t>
  </si>
  <si>
    <t xml:space="preserve">Споры плауна (ликоподий) </t>
  </si>
  <si>
    <t>07419</t>
  </si>
  <si>
    <t xml:space="preserve">Тимьян </t>
  </si>
  <si>
    <t>07420</t>
  </si>
  <si>
    <t xml:space="preserve">Хмель </t>
  </si>
  <si>
    <t>07421</t>
  </si>
  <si>
    <t xml:space="preserve">Цвет бузиновый, липовый </t>
  </si>
  <si>
    <t>07422</t>
  </si>
  <si>
    <t xml:space="preserve">Шиповник (ягоды) </t>
  </si>
  <si>
    <t>07423</t>
  </si>
  <si>
    <t xml:space="preserve">Ягоды лекарственные, не поименованные в алфавите </t>
  </si>
  <si>
    <t>07424</t>
  </si>
  <si>
    <t xml:space="preserve">Шишкоягоды (плоды) можжевельника обыкновенного </t>
  </si>
  <si>
    <t>07425</t>
  </si>
  <si>
    <t xml:space="preserve">Листья скумпии </t>
  </si>
  <si>
    <t>07500</t>
  </si>
  <si>
    <t>Рассада овощная, цветочная, ягодная. Цветы живые свежесрезанные</t>
  </si>
  <si>
    <t>07501</t>
  </si>
  <si>
    <t xml:space="preserve">Луковицы (клубни) цветочные </t>
  </si>
  <si>
    <t>07502</t>
  </si>
  <si>
    <t xml:space="preserve">Мицелий грибов шампиньонов </t>
  </si>
  <si>
    <t>07503</t>
  </si>
  <si>
    <t xml:space="preserve">Прививки (растения) </t>
  </si>
  <si>
    <t>07504</t>
  </si>
  <si>
    <t xml:space="preserve">Рассада овощная, цветочная, ягодная </t>
  </si>
  <si>
    <t>07505</t>
  </si>
  <si>
    <t xml:space="preserve">Рассада, не поименованная в алфавите </t>
  </si>
  <si>
    <t>07506</t>
  </si>
  <si>
    <t xml:space="preserve">Цветы живые и свежесрезанные всякие </t>
  </si>
  <si>
    <t>07507</t>
  </si>
  <si>
    <t xml:space="preserve">Черенки растений </t>
  </si>
  <si>
    <t>07600</t>
  </si>
  <si>
    <t xml:space="preserve">Шерсть, волос, пух, перо </t>
  </si>
  <si>
    <t>07601</t>
  </si>
  <si>
    <t xml:space="preserve">Волос всякий </t>
  </si>
  <si>
    <t>07602</t>
  </si>
  <si>
    <t xml:space="preserve">Гривы и хвосты </t>
  </si>
  <si>
    <t>07603</t>
  </si>
  <si>
    <t xml:space="preserve">Отходы пера, пуха </t>
  </si>
  <si>
    <t>07604</t>
  </si>
  <si>
    <t xml:space="preserve">Перо птичье </t>
  </si>
  <si>
    <t>07605</t>
  </si>
  <si>
    <t xml:space="preserve">Пух птиц всяких </t>
  </si>
  <si>
    <t>07606</t>
  </si>
  <si>
    <t xml:space="preserve">Пух животных </t>
  </si>
  <si>
    <t>07607</t>
  </si>
  <si>
    <t xml:space="preserve">Шерсть-линька </t>
  </si>
  <si>
    <t>07608</t>
  </si>
  <si>
    <t xml:space="preserve">Шерсть мытая </t>
  </si>
  <si>
    <t>07609</t>
  </si>
  <si>
    <t xml:space="preserve">Шерсть немытая </t>
  </si>
  <si>
    <t>07610</t>
  </si>
  <si>
    <t xml:space="preserve">Щетина </t>
  </si>
  <si>
    <t>07700</t>
  </si>
  <si>
    <t xml:space="preserve">Кожи, шкуры и пушнина невыделанные </t>
  </si>
  <si>
    <t>07701</t>
  </si>
  <si>
    <t xml:space="preserve">Каракуль невыделанный </t>
  </si>
  <si>
    <t>07702</t>
  </si>
  <si>
    <t xml:space="preserve">Кожи невыделанные всякие </t>
  </si>
  <si>
    <t>07703</t>
  </si>
  <si>
    <t xml:space="preserve">Лоскут кожаный невыделанный </t>
  </si>
  <si>
    <t>07704</t>
  </si>
  <si>
    <t xml:space="preserve">Мерлушки (шкурки овечьи) невыделанные </t>
  </si>
  <si>
    <t>07705</t>
  </si>
  <si>
    <t>Овчины (шкуры бараньи и овечьи) невыделанные, не поименованные в алфавите</t>
  </si>
  <si>
    <t>07706</t>
  </si>
  <si>
    <t xml:space="preserve">Пушнина невыделанная, не поименованная в алфавите </t>
  </si>
  <si>
    <t>07707</t>
  </si>
  <si>
    <t xml:space="preserve">Смушки (шкурки овечьи) невыделанные </t>
  </si>
  <si>
    <t>07708</t>
  </si>
  <si>
    <t xml:space="preserve">Сырье кожаное мокросоленое </t>
  </si>
  <si>
    <t>07709</t>
  </si>
  <si>
    <t xml:space="preserve">Сырье кожаное сухосоленое </t>
  </si>
  <si>
    <t>07710</t>
  </si>
  <si>
    <t xml:space="preserve">Хвосты пушнины невыделанные </t>
  </si>
  <si>
    <t>07711</t>
  </si>
  <si>
    <t xml:space="preserve">Шкурки (меха) пушных зверей невыделанные </t>
  </si>
  <si>
    <t>07712</t>
  </si>
  <si>
    <t xml:space="preserve">Шкуры и шкурки домашних животных меховые невыделанные </t>
  </si>
  <si>
    <t>07713</t>
  </si>
  <si>
    <t xml:space="preserve">Шкурки змеиные невыделанные </t>
  </si>
  <si>
    <t>07714</t>
  </si>
  <si>
    <t xml:space="preserve">Шкуры и шкурки невыделанные, не поименованные в алфавите </t>
  </si>
  <si>
    <t>07715</t>
  </si>
  <si>
    <t xml:space="preserve">Шкуры морского зверя невыделанные </t>
  </si>
  <si>
    <t>07716</t>
  </si>
  <si>
    <t xml:space="preserve">Шкуры рыб невыделанные </t>
  </si>
  <si>
    <t>07800</t>
  </si>
  <si>
    <t xml:space="preserve">Удобрения органические </t>
  </si>
  <si>
    <t>07801</t>
  </si>
  <si>
    <t xml:space="preserve">Агримус (лигнин гидролизный для удобрения) </t>
  </si>
  <si>
    <t>07802</t>
  </si>
  <si>
    <t xml:space="preserve">Гуано </t>
  </si>
  <si>
    <t>07803</t>
  </si>
  <si>
    <t xml:space="preserve">Мука костная </t>
  </si>
  <si>
    <t>07804</t>
  </si>
  <si>
    <t xml:space="preserve">Навоз </t>
  </si>
  <si>
    <t>07805</t>
  </si>
  <si>
    <t xml:space="preserve">Туки землеудобрительные органические (компосты) </t>
  </si>
  <si>
    <t>07806</t>
  </si>
  <si>
    <t xml:space="preserve">Удобрения органические, не поименованные в алфавите </t>
  </si>
  <si>
    <t xml:space="preserve">Раздел 2. Продукция лесной, деревообрабатывающей и целлюлозно-бумажной промышленности </t>
  </si>
  <si>
    <t>08000</t>
  </si>
  <si>
    <t xml:space="preserve">Лесоматериалы круглые </t>
  </si>
  <si>
    <t>08100</t>
  </si>
  <si>
    <t xml:space="preserve">Лесоматериалы круглые, кроме крепежных </t>
  </si>
  <si>
    <t>08101</t>
  </si>
  <si>
    <t xml:space="preserve">Бамбук </t>
  </si>
  <si>
    <t>08102</t>
  </si>
  <si>
    <t>Балансы всяких пород дерева длиной до 1,5 м включительно, кроме хвойных</t>
  </si>
  <si>
    <t>08103</t>
  </si>
  <si>
    <t>Балансы всяких пород дерева длиной свыше 1,5 м, кроме хвойных</t>
  </si>
  <si>
    <t>08104</t>
  </si>
  <si>
    <t xml:space="preserve">Балансы хвойных пород дерева </t>
  </si>
  <si>
    <t>08105</t>
  </si>
  <si>
    <t xml:space="preserve">Древесина экстрактовая </t>
  </si>
  <si>
    <t>08106</t>
  </si>
  <si>
    <t xml:space="preserve">Ель резонансовая круглая </t>
  </si>
  <si>
    <t>08107</t>
  </si>
  <si>
    <t xml:space="preserve">Жерди и колья </t>
  </si>
  <si>
    <t>08108</t>
  </si>
  <si>
    <t xml:space="preserve">Кряж всяких пород дерева </t>
  </si>
  <si>
    <t>08109</t>
  </si>
  <si>
    <t xml:space="preserve">Лесоматериалы всяких пород длиной до 2 м включительно </t>
  </si>
  <si>
    <t>08110</t>
  </si>
  <si>
    <t xml:space="preserve">Лесоматериалы всяких пород длиной свыше 2 м </t>
  </si>
  <si>
    <t>08111</t>
  </si>
  <si>
    <t xml:space="preserve">Лесоматериалы гидротехнические </t>
  </si>
  <si>
    <t>08112</t>
  </si>
  <si>
    <t xml:space="preserve">Лесоматериалы для производства спичек (кряж спичечный) </t>
  </si>
  <si>
    <t>08113</t>
  </si>
  <si>
    <t>Лесоматериалы круглые, кроме крепежных, на поименованные в алфавите</t>
  </si>
  <si>
    <t>08114</t>
  </si>
  <si>
    <t xml:space="preserve">Лесоматериалы строительные </t>
  </si>
  <si>
    <t>08115</t>
  </si>
  <si>
    <t xml:space="preserve">Лесоматериалы судостроительные </t>
  </si>
  <si>
    <t>08116</t>
  </si>
  <si>
    <t xml:space="preserve">Лесоматериалы тарные (кряж тарный) </t>
  </si>
  <si>
    <t>08117</t>
  </si>
  <si>
    <t xml:space="preserve">Лесоматериалы фанерные (кряж фанерный) </t>
  </si>
  <si>
    <t>08118</t>
  </si>
  <si>
    <t xml:space="preserve">Пиловочник всяких пород дерева </t>
  </si>
  <si>
    <t>08119</t>
  </si>
  <si>
    <t xml:space="preserve">Подпорки деревянные (садовые и виноградные) </t>
  </si>
  <si>
    <t>08120</t>
  </si>
  <si>
    <t xml:space="preserve">Подтоварник всяких пород дерева </t>
  </si>
  <si>
    <t>08121</t>
  </si>
  <si>
    <t xml:space="preserve">Столбы деревянные </t>
  </si>
  <si>
    <t>08122</t>
  </si>
  <si>
    <t xml:space="preserve">Хлысты древесные </t>
  </si>
  <si>
    <t>08123</t>
  </si>
  <si>
    <t xml:space="preserve">Чураки </t>
  </si>
  <si>
    <t>08200</t>
  </si>
  <si>
    <t xml:space="preserve">Лесоматериалы крепежные </t>
  </si>
  <si>
    <t>08201</t>
  </si>
  <si>
    <t xml:space="preserve">Долготье рудничное </t>
  </si>
  <si>
    <t>08202</t>
  </si>
  <si>
    <t xml:space="preserve">Пропсы (стойки рудничные) </t>
  </si>
  <si>
    <t>09000</t>
  </si>
  <si>
    <t xml:space="preserve">Продукция лесопильного и фанерного производства </t>
  </si>
  <si>
    <t>09100</t>
  </si>
  <si>
    <t xml:space="preserve">Пиломатериалы </t>
  </si>
  <si>
    <t>09101</t>
  </si>
  <si>
    <t xml:space="preserve">Балки деревянные </t>
  </si>
  <si>
    <t>09102</t>
  </si>
  <si>
    <t xml:space="preserve">Горбыль </t>
  </si>
  <si>
    <t>09103</t>
  </si>
  <si>
    <t xml:space="preserve">Ель резонансовая пиленая </t>
  </si>
  <si>
    <t>09104</t>
  </si>
  <si>
    <t xml:space="preserve">Заготовки деревянные для карандашей </t>
  </si>
  <si>
    <t>09105</t>
  </si>
  <si>
    <t xml:space="preserve">Заготовки деревянные для обручей </t>
  </si>
  <si>
    <t>09106</t>
  </si>
  <si>
    <t>Заготовки деревянные черновые, не поименованные в алфавите</t>
  </si>
  <si>
    <t>09107</t>
  </si>
  <si>
    <t xml:space="preserve">Заготовки для лож спортивно-охотничьего оружия </t>
  </si>
  <si>
    <t>09108</t>
  </si>
  <si>
    <t xml:space="preserve">Клепка деревянная </t>
  </si>
  <si>
    <t>09109</t>
  </si>
  <si>
    <t xml:space="preserve">Обапол </t>
  </si>
  <si>
    <t>09110</t>
  </si>
  <si>
    <t xml:space="preserve">Пиломатериалы для оборудования грузовых вагонов под людские перевозки </t>
  </si>
  <si>
    <t>09111</t>
  </si>
  <si>
    <t xml:space="preserve">Пиломатериалы, не поименованные в алфавите </t>
  </si>
  <si>
    <t>09112</t>
  </si>
  <si>
    <t xml:space="preserve">Стойки вагонные деревянные </t>
  </si>
  <si>
    <t>09113</t>
  </si>
  <si>
    <t xml:space="preserve">Траверсы </t>
  </si>
  <si>
    <t>09114</t>
  </si>
  <si>
    <t xml:space="preserve">Штакетник </t>
  </si>
  <si>
    <t>09200</t>
  </si>
  <si>
    <t xml:space="preserve">Продукция шпалопиления (без пропитки) </t>
  </si>
  <si>
    <t>09201</t>
  </si>
  <si>
    <t xml:space="preserve">Брусья для стрелочных переводов непропитанные </t>
  </si>
  <si>
    <t>09202</t>
  </si>
  <si>
    <t xml:space="preserve">Брусья мостовые для железных дорог непропитанные </t>
  </si>
  <si>
    <t>09203</t>
  </si>
  <si>
    <t xml:space="preserve">Вырезка шпальная </t>
  </si>
  <si>
    <t>09204</t>
  </si>
  <si>
    <t xml:space="preserve">Шпалы деревянные непропитанные новые </t>
  </si>
  <si>
    <t>09205</t>
  </si>
  <si>
    <t xml:space="preserve">Шпалы деревянные непропитанные старые </t>
  </si>
  <si>
    <t>09300</t>
  </si>
  <si>
    <t xml:space="preserve">Продукция шпалопиления (с пропиткой) </t>
  </si>
  <si>
    <t>09301</t>
  </si>
  <si>
    <t xml:space="preserve">Брусья для стрелочных переводов пропитанные </t>
  </si>
  <si>
    <t>09302</t>
  </si>
  <si>
    <t xml:space="preserve">Брусья мостовые для железных дорог пропитанные </t>
  </si>
  <si>
    <t>09303</t>
  </si>
  <si>
    <t xml:space="preserve">Шпалы деревянные пропитанные новые </t>
  </si>
  <si>
    <t>09304</t>
  </si>
  <si>
    <t xml:space="preserve">Шпалы деревянные пропитанные старые </t>
  </si>
  <si>
    <t>09400</t>
  </si>
  <si>
    <t xml:space="preserve">Фанера и шпон </t>
  </si>
  <si>
    <t>09401</t>
  </si>
  <si>
    <t xml:space="preserve">Пластики древесные слоистые 0081 </t>
  </si>
  <si>
    <t>09402</t>
  </si>
  <si>
    <t xml:space="preserve">Плиты фанерные </t>
  </si>
  <si>
    <t>09403</t>
  </si>
  <si>
    <t xml:space="preserve">Трубы и муфты фанерные </t>
  </si>
  <si>
    <t>09404</t>
  </si>
  <si>
    <t xml:space="preserve">Фанера бакелизированная </t>
  </si>
  <si>
    <t>09405</t>
  </si>
  <si>
    <t xml:space="preserve">Фанера декоративная </t>
  </si>
  <si>
    <t>09406</t>
  </si>
  <si>
    <t xml:space="preserve">Фанера для музыкальных клавишных инструментов </t>
  </si>
  <si>
    <t>09407</t>
  </si>
  <si>
    <t xml:space="preserve">Фанера клееная </t>
  </si>
  <si>
    <t>09408</t>
  </si>
  <si>
    <t xml:space="preserve">Фанера, облицованная строганым шпоном </t>
  </si>
  <si>
    <t>09409</t>
  </si>
  <si>
    <t xml:space="preserve">Фанера, не поименованная в алфавите </t>
  </si>
  <si>
    <t>09410</t>
  </si>
  <si>
    <t xml:space="preserve">Шпон лущеный и строганый </t>
  </si>
  <si>
    <t xml:space="preserve">Дрова, древесина дровяная для технологических нужд, древесина измельченная </t>
  </si>
  <si>
    <t xml:space="preserve">Дрова </t>
  </si>
  <si>
    <t xml:space="preserve">Дрова долготье </t>
  </si>
  <si>
    <t xml:space="preserve">Дрова из всяких пород дерева, не поименованные в алфавите </t>
  </si>
  <si>
    <t xml:space="preserve">Корни, пни древесные </t>
  </si>
  <si>
    <t xml:space="preserve">Хворост </t>
  </si>
  <si>
    <t xml:space="preserve">Древесина дровяная для технологических нужд </t>
  </si>
  <si>
    <t xml:space="preserve">Древесина дровяная для гидролизного производства </t>
  </si>
  <si>
    <t>Древесина дровяная для технологических нужд, не поименованная в алфавите</t>
  </si>
  <si>
    <t xml:space="preserve">Древесина измельченная </t>
  </si>
  <si>
    <t xml:space="preserve">Мука древесная, не поименованная в алфавите </t>
  </si>
  <si>
    <t xml:space="preserve">Мука кноперсовая </t>
  </si>
  <si>
    <t xml:space="preserve">Мука хвойно-витаминная </t>
  </si>
  <si>
    <t xml:space="preserve">Опилки древесные </t>
  </si>
  <si>
    <t xml:space="preserve">Пресс-порошок древесный </t>
  </si>
  <si>
    <t xml:space="preserve">Стружки древесные всякие </t>
  </si>
  <si>
    <t xml:space="preserve">Щепа, кроме кровельной </t>
  </si>
  <si>
    <t xml:space="preserve">Прочая продукция лесной промышленности. Саженцы </t>
  </si>
  <si>
    <t xml:space="preserve">Прочая продукция лесной промышленности </t>
  </si>
  <si>
    <t xml:space="preserve">Береста (кора березовая) </t>
  </si>
  <si>
    <t xml:space="preserve">Брикеты из отходов древесины </t>
  </si>
  <si>
    <t xml:space="preserve">Кора, не поименованная в алфавите </t>
  </si>
  <si>
    <t xml:space="preserve">Кора липовая </t>
  </si>
  <si>
    <t xml:space="preserve">Корье дубильное и красильное </t>
  </si>
  <si>
    <t xml:space="preserve">Листья всех пород дерева </t>
  </si>
  <si>
    <t xml:space="preserve">Лоза, ракитник (прутья ивовые) </t>
  </si>
  <si>
    <t xml:space="preserve">Лыко </t>
  </si>
  <si>
    <t xml:space="preserve">Метлы, кроме травяных и соломенных </t>
  </si>
  <si>
    <t xml:space="preserve">Мука витаминная из древесной зелени </t>
  </si>
  <si>
    <t>Наплывы, наросты всяких пород дерева, не поименованные в алфавите</t>
  </si>
  <si>
    <t xml:space="preserve">Отходы древесные </t>
  </si>
  <si>
    <t xml:space="preserve">Продукция лесной промышленности, не поименованная в алфавите </t>
  </si>
  <si>
    <t xml:space="preserve">Трут древесный </t>
  </si>
  <si>
    <t xml:space="preserve">Фашины </t>
  </si>
  <si>
    <t xml:space="preserve">Шишки хвойные </t>
  </si>
  <si>
    <t xml:space="preserve">Саженцы деревьев и кустарников. Деревья срезанные </t>
  </si>
  <si>
    <t xml:space="preserve">Деревья, деревца и кусты всякие живые </t>
  </si>
  <si>
    <t xml:space="preserve">Елки срезанные </t>
  </si>
  <si>
    <t xml:space="preserve">Лавры (растения) </t>
  </si>
  <si>
    <t xml:space="preserve">Пальмы (растения) </t>
  </si>
  <si>
    <t xml:space="preserve">Саженцы всякие </t>
  </si>
  <si>
    <t xml:space="preserve">Материалы, изделия и детали из дерева </t>
  </si>
  <si>
    <t xml:space="preserve">Дома, постройки деревянные, их детали и узлы </t>
  </si>
  <si>
    <t xml:space="preserve">Блоки дверные и оконные деревянные </t>
  </si>
  <si>
    <t xml:space="preserve">Гонт кровельный </t>
  </si>
  <si>
    <t xml:space="preserve">Двери деревянные </t>
  </si>
  <si>
    <t xml:space="preserve">Дома стандартные и нестандартные щитовые в разобранном виде </t>
  </si>
  <si>
    <t xml:space="preserve">Доски подоконные деревянные </t>
  </si>
  <si>
    <t xml:space="preserve">Доски шпунтованные для полов </t>
  </si>
  <si>
    <t>Изделия и детали деревянные строительные, не поименованные в алфавите</t>
  </si>
  <si>
    <t xml:space="preserve">Карнизы деревянные </t>
  </si>
  <si>
    <t xml:space="preserve">Комплекты деталей для стандартных домов </t>
  </si>
  <si>
    <t xml:space="preserve">Наличники дверные и оконные деревянные </t>
  </si>
  <si>
    <t xml:space="preserve">Павильоны деревянные разобранные </t>
  </si>
  <si>
    <t xml:space="preserve">Паркет и паркетные изделия </t>
  </si>
  <si>
    <t xml:space="preserve">Переплеты (рамы) дверные и оконные деревянные </t>
  </si>
  <si>
    <t xml:space="preserve">Плинтусы деревянные </t>
  </si>
  <si>
    <t xml:space="preserve">Шашка для торцовых мостовых и полов </t>
  </si>
  <si>
    <t xml:space="preserve">Щепа кровельная (гонт) </t>
  </si>
  <si>
    <t xml:space="preserve">Плиты древесностружечные и древесноволокнистые </t>
  </si>
  <si>
    <t xml:space="preserve">Плиты древесноволокнистые </t>
  </si>
  <si>
    <t xml:space="preserve">Плиты древесностружечные </t>
  </si>
  <si>
    <t>Плиты и плитки прессованные строительные из отходов древесины</t>
  </si>
  <si>
    <t xml:space="preserve">Тара деревянная новая </t>
  </si>
  <si>
    <t>Бочки и бочонки деревянные всякие, включая фанерные штампованные новые</t>
  </si>
  <si>
    <t xml:space="preserve">Изделия бондарные, не поименованные в алфавите </t>
  </si>
  <si>
    <t xml:space="preserve">Комплекты деталей ящиков деревянных </t>
  </si>
  <si>
    <t xml:space="preserve">Тара деревянная новая, не поименованная в алфавите </t>
  </si>
  <si>
    <t xml:space="preserve">Тара плетеная из шпоновых лучинок </t>
  </si>
  <si>
    <t xml:space="preserve">Ящики деревянные новые </t>
  </si>
  <si>
    <t xml:space="preserve">Тара деревянная возвратная </t>
  </si>
  <si>
    <t>Бочки и бочонки деревянные всякие, включая фанерные штампованные возвратные</t>
  </si>
  <si>
    <t xml:space="preserve">Комплекты тарные возвратные </t>
  </si>
  <si>
    <t xml:space="preserve">Тара деревянная возвратная, не поименованная в алфавите </t>
  </si>
  <si>
    <t xml:space="preserve">Ящики деревянные возвратные </t>
  </si>
  <si>
    <t>Изделия деревянные, кроме мебели, паркета и тары деревянной. Плиты асбодревесные</t>
  </si>
  <si>
    <t xml:space="preserve">Багеты </t>
  </si>
  <si>
    <t xml:space="preserve">Барабаны деревянные для электрических кабелей и проводов </t>
  </si>
  <si>
    <t xml:space="preserve">Барабаны деревянные, не поименованные в алфавитов </t>
  </si>
  <si>
    <t xml:space="preserve">Бункера деревянные </t>
  </si>
  <si>
    <t xml:space="preserve">Верстаки </t>
  </si>
  <si>
    <t xml:space="preserve">Вышки и укрытия деревянные для буровых установок </t>
  </si>
  <si>
    <t xml:space="preserve">Грабли деревянные </t>
  </si>
  <si>
    <t xml:space="preserve">Детали для пола древесностружечные </t>
  </si>
  <si>
    <t xml:space="preserve">Дрань штукатурная </t>
  </si>
  <si>
    <t xml:space="preserve">Изделия деревянные бытового назначения </t>
  </si>
  <si>
    <t xml:space="preserve">Изделия деревянные для комплектования птичников </t>
  </si>
  <si>
    <t xml:space="preserve">Изделия деревянные, не поименованные в алфавите </t>
  </si>
  <si>
    <t xml:space="preserve">Изделия пробковые, не поименованные в алфавите </t>
  </si>
  <si>
    <t xml:space="preserve">Изделия, узлы и детали столярно-мебельные разные </t>
  </si>
  <si>
    <t xml:space="preserve">Инструменты измерительные деревянные (рейки, метры, шаблоны) </t>
  </si>
  <si>
    <t xml:space="preserve">Клетки деревянные </t>
  </si>
  <si>
    <t xml:space="preserve">Конструкции деревянные клееные </t>
  </si>
  <si>
    <t xml:space="preserve">Корзины лучинные </t>
  </si>
  <si>
    <t xml:space="preserve">Короба деревянные </t>
  </si>
  <si>
    <t xml:space="preserve">Коробки деревянные </t>
  </si>
  <si>
    <t xml:space="preserve">Лестницы деревянные </t>
  </si>
  <si>
    <t xml:space="preserve">Лопаты деревянные </t>
  </si>
  <si>
    <t xml:space="preserve">Лучина (соломка) для спичек, спичечных коробок и штор </t>
  </si>
  <si>
    <t xml:space="preserve">Модели (формы) деревянные для отливок </t>
  </si>
  <si>
    <t xml:space="preserve">Наличники древесноволокнистые </t>
  </si>
  <si>
    <t xml:space="preserve">Ободья колесные деревянные </t>
  </si>
  <si>
    <t xml:space="preserve">Планки упаковочные деревянные </t>
  </si>
  <si>
    <t xml:space="preserve">Плинтусы древесноволокнистые </t>
  </si>
  <si>
    <t xml:space="preserve">Плиты асбодревесные </t>
  </si>
  <si>
    <t xml:space="preserve">Поддоны деревянные </t>
  </si>
  <si>
    <t xml:space="preserve">Прищепки деревянные бельевые </t>
  </si>
  <si>
    <t xml:space="preserve">Прокладки железнодорожные деревянные </t>
  </si>
  <si>
    <t xml:space="preserve">Пяльцы деревянные </t>
  </si>
  <si>
    <t xml:space="preserve">Рейки деревянные, не поименованные в алфавите </t>
  </si>
  <si>
    <t xml:space="preserve">Рамы и рамки деревянные для зеркал и картин </t>
  </si>
  <si>
    <t xml:space="preserve">Рамы парниковые деревянные </t>
  </si>
  <si>
    <t xml:space="preserve">Решета деревянные </t>
  </si>
  <si>
    <t xml:space="preserve">Рукоятки деревянные </t>
  </si>
  <si>
    <t xml:space="preserve">Топорища деревянные </t>
  </si>
  <si>
    <t xml:space="preserve">Трапы (сходни) деревянные </t>
  </si>
  <si>
    <t xml:space="preserve">Трубы деревянные </t>
  </si>
  <si>
    <t xml:space="preserve">Ульи пчелиные и их части </t>
  </si>
  <si>
    <t xml:space="preserve">Футляры деревянные </t>
  </si>
  <si>
    <t xml:space="preserve">Челноки ткацкие деревянные </t>
  </si>
  <si>
    <t xml:space="preserve">Шторы из древесной лучины </t>
  </si>
  <si>
    <t xml:space="preserve">Щиты деревянные (в том числе снеговые) </t>
  </si>
  <si>
    <t xml:space="preserve">Спички </t>
  </si>
  <si>
    <t xml:space="preserve">Спички всякие, кроме термоспичек </t>
  </si>
  <si>
    <t xml:space="preserve">Мебель, кроме металлической и плетеной </t>
  </si>
  <si>
    <t xml:space="preserve">Банкетки </t>
  </si>
  <si>
    <t xml:space="preserve">Буфеты-шкафы кухонные для посуды </t>
  </si>
  <si>
    <t xml:space="preserve">Вешалки </t>
  </si>
  <si>
    <t xml:space="preserve">Гарнитуры мебельные для кухни </t>
  </si>
  <si>
    <t xml:space="preserve">Гарнитуры мебельные для столовой </t>
  </si>
  <si>
    <t xml:space="preserve">Гарнитуры мебельные для спальни </t>
  </si>
  <si>
    <t xml:space="preserve">Гарнитуры мебельные, не поименованные в алфавите </t>
  </si>
  <si>
    <t xml:space="preserve">Детали (узлы) мебели деревянной </t>
  </si>
  <si>
    <t xml:space="preserve">Диваны-кровати </t>
  </si>
  <si>
    <t xml:space="preserve">Диваны </t>
  </si>
  <si>
    <t xml:space="preserve">Кресла-кровати </t>
  </si>
  <si>
    <t xml:space="preserve">Заготовки щитовые мебельные древесностружечные </t>
  </si>
  <si>
    <t xml:space="preserve">Коляски детские всякие </t>
  </si>
  <si>
    <t xml:space="preserve">Комоды </t>
  </si>
  <si>
    <t xml:space="preserve">Кресла, не поименованные в алфавите </t>
  </si>
  <si>
    <t xml:space="preserve">Кровати деревянные всякие </t>
  </si>
  <si>
    <t xml:space="preserve">Кушетки </t>
  </si>
  <si>
    <t xml:space="preserve">Матрацы пружинные </t>
  </si>
  <si>
    <t xml:space="preserve">Мебель детская </t>
  </si>
  <si>
    <t>Мебель и инвентарь для торговых предприятий (витрины, горки, кресла; прилавки и шкафы, кроме холодильных)</t>
  </si>
  <si>
    <t xml:space="preserve">Мебель мягкая </t>
  </si>
  <si>
    <t>Мебель, кроме металлической и плетеной, не поименованная в алфавите</t>
  </si>
  <si>
    <t xml:space="preserve">Носилки санитарные </t>
  </si>
  <si>
    <t xml:space="preserve">Полки для книг </t>
  </si>
  <si>
    <t xml:space="preserve">Реалы типографские деревянные </t>
  </si>
  <si>
    <t xml:space="preserve">Секретеры </t>
  </si>
  <si>
    <t xml:space="preserve">Серванты </t>
  </si>
  <si>
    <t xml:space="preserve">Столы детские </t>
  </si>
  <si>
    <t xml:space="preserve">Столы, не поименованные в алфавите </t>
  </si>
  <si>
    <t xml:space="preserve">Столы ученические </t>
  </si>
  <si>
    <t xml:space="preserve">Стулья </t>
  </si>
  <si>
    <t xml:space="preserve">Табуретки </t>
  </si>
  <si>
    <t xml:space="preserve">Трельяжи </t>
  </si>
  <si>
    <t xml:space="preserve">Трюмо </t>
  </si>
  <si>
    <t xml:space="preserve">Шкафы кухонные </t>
  </si>
  <si>
    <t xml:space="preserve">Шкафы, не поименованные в алфавите </t>
  </si>
  <si>
    <t xml:space="preserve">Ящики для обуви, игрушек и др. </t>
  </si>
  <si>
    <t xml:space="preserve">Продукция целлюлозно-бумажной промышленности </t>
  </si>
  <si>
    <t xml:space="preserve">Целлюлоза и масса древесная </t>
  </si>
  <si>
    <t xml:space="preserve">Вата вискозная </t>
  </si>
  <si>
    <t xml:space="preserve">Масса древесная всякая </t>
  </si>
  <si>
    <t xml:space="preserve">Отбор от вискозной целлюлозы </t>
  </si>
  <si>
    <t xml:space="preserve">Целлюлоза вискозная облагороженная </t>
  </si>
  <si>
    <t xml:space="preserve">Целлюлоза кордная, не поименованная в алфавите </t>
  </si>
  <si>
    <t xml:space="preserve">Целлюлоза, не поименованная в алфавите </t>
  </si>
  <si>
    <t xml:space="preserve">Целлюлоза сульфатная беленая </t>
  </si>
  <si>
    <t xml:space="preserve">Целлюлоза сульфатная небеленая </t>
  </si>
  <si>
    <t xml:space="preserve">Целлюлоза сульфитная беленая </t>
  </si>
  <si>
    <t xml:space="preserve">Целлюлоза сульфитная небеленая </t>
  </si>
  <si>
    <t xml:space="preserve">Бумага и картон </t>
  </si>
  <si>
    <t xml:space="preserve">Алигнин </t>
  </si>
  <si>
    <t xml:space="preserve">Бумага альбомная </t>
  </si>
  <si>
    <t xml:space="preserve">Бумага афишная </t>
  </si>
  <si>
    <t xml:space="preserve">Бумага билетная </t>
  </si>
  <si>
    <t xml:space="preserve">Бумага газетная </t>
  </si>
  <si>
    <t xml:space="preserve">Бумага гербовая (с водяными знаками) </t>
  </si>
  <si>
    <t xml:space="preserve">Бумага гофрированная </t>
  </si>
  <si>
    <t xml:space="preserve">Бумага декоративно-оформительская </t>
  </si>
  <si>
    <t xml:space="preserve">Бумага для печати </t>
  </si>
  <si>
    <t xml:space="preserve">Бумага индикаторная (крахмальная, куркумовая, лакмусовая, йодная) </t>
  </si>
  <si>
    <t xml:space="preserve">Бумага картографическая </t>
  </si>
  <si>
    <t xml:space="preserve">Бумага копировальная </t>
  </si>
  <si>
    <t xml:space="preserve">Бумага курительная </t>
  </si>
  <si>
    <t xml:space="preserve">Бумага обойная </t>
  </si>
  <si>
    <t xml:space="preserve">Бумага писчая и тетрадная </t>
  </si>
  <si>
    <t xml:space="preserve">Бумага промокательная </t>
  </si>
  <si>
    <t xml:space="preserve">Бумага, не поименованная в алфавите </t>
  </si>
  <si>
    <t xml:space="preserve">Бумага салфеточная </t>
  </si>
  <si>
    <t xml:space="preserve">Бумага цветная </t>
  </si>
  <si>
    <t xml:space="preserve">Бумага электротехническая </t>
  </si>
  <si>
    <t xml:space="preserve">Бумага этикеточная </t>
  </si>
  <si>
    <t xml:space="preserve">Бумага-основа </t>
  </si>
  <si>
    <t xml:space="preserve">Гранитоль на бумажной основе </t>
  </si>
  <si>
    <t xml:space="preserve">Калька, не поименованная в алфавите </t>
  </si>
  <si>
    <t xml:space="preserve">Картон билетный </t>
  </si>
  <si>
    <t xml:space="preserve">Картон для гофры </t>
  </si>
  <si>
    <t xml:space="preserve">Картон для матриц </t>
  </si>
  <si>
    <t xml:space="preserve">Картон коробочный </t>
  </si>
  <si>
    <t xml:space="preserve">Картон кровельный непропитанный </t>
  </si>
  <si>
    <t xml:space="preserve">Картон облицовочный </t>
  </si>
  <si>
    <t xml:space="preserve">Картон переплетный </t>
  </si>
  <si>
    <t xml:space="preserve">Картон обувной </t>
  </si>
  <si>
    <t xml:space="preserve">Картон прокладочный </t>
  </si>
  <si>
    <t xml:space="preserve">Картон, не поименованный в алфавите </t>
  </si>
  <si>
    <t xml:space="preserve">Картон стелечный </t>
  </si>
  <si>
    <t xml:space="preserve">Картон строительный прочий </t>
  </si>
  <si>
    <t xml:space="preserve">Картон тарный </t>
  </si>
  <si>
    <t xml:space="preserve">Картон технический разного назначения </t>
  </si>
  <si>
    <t xml:space="preserve">Картон чемоданный </t>
  </si>
  <si>
    <t xml:space="preserve">Картон шпульный </t>
  </si>
  <si>
    <t xml:space="preserve">Пергамент </t>
  </si>
  <si>
    <t xml:space="preserve">Подпергамент </t>
  </si>
  <si>
    <t xml:space="preserve">Электрокартон </t>
  </si>
  <si>
    <t xml:space="preserve">Изделия из бумаги и картона </t>
  </si>
  <si>
    <t xml:space="preserve">Гильзы папиросные </t>
  </si>
  <si>
    <t xml:space="preserve">Изделия из бумаги, не поименованные в алфавите </t>
  </si>
  <si>
    <t>Изделия из картона (в том числе гофрированного), не поименованные в алфавите</t>
  </si>
  <si>
    <t xml:space="preserve">Изделия фибровые, не поименованные в алфавите </t>
  </si>
  <si>
    <t xml:space="preserve">Калька диазотипная и фотографическая </t>
  </si>
  <si>
    <t xml:space="preserve">Картон гофрированный </t>
  </si>
  <si>
    <t xml:space="preserve">Конверты бумажные </t>
  </si>
  <si>
    <t xml:space="preserve">Коробки картонные </t>
  </si>
  <si>
    <t xml:space="preserve">Крафтмешки </t>
  </si>
  <si>
    <t xml:space="preserve">Лента бумажная всякая </t>
  </si>
  <si>
    <t xml:space="preserve">Мешки бумажные </t>
  </si>
  <si>
    <t xml:space="preserve">Набивки бумажные сухие и просаленные </t>
  </si>
  <si>
    <t xml:space="preserve">Обои </t>
  </si>
  <si>
    <t xml:space="preserve">Пакеты бумажные </t>
  </si>
  <si>
    <t xml:space="preserve">Папки и обложки </t>
  </si>
  <si>
    <t xml:space="preserve">Прокладки картонные бугорчатые для упаковки яиц </t>
  </si>
  <si>
    <t xml:space="preserve">Тара бумажная и картонная </t>
  </si>
  <si>
    <t xml:space="preserve">Фибра </t>
  </si>
  <si>
    <t xml:space="preserve">Шпагат и шнур бумажные </t>
  </si>
  <si>
    <t xml:space="preserve">Ящики картонные всякие </t>
  </si>
  <si>
    <t xml:space="preserve">Раздел 3. Руды металлические </t>
  </si>
  <si>
    <t xml:space="preserve">Руда железная и марганцевая </t>
  </si>
  <si>
    <t xml:space="preserve">Руда железная </t>
  </si>
  <si>
    <t xml:space="preserve">Агломерат железорудный </t>
  </si>
  <si>
    <t xml:space="preserve">Агломерат хромитовой руды </t>
  </si>
  <si>
    <t xml:space="preserve">Брикеты железной руды </t>
  </si>
  <si>
    <t xml:space="preserve">Брикеты хромитовой руды </t>
  </si>
  <si>
    <t xml:space="preserve">Железняк бурый </t>
  </si>
  <si>
    <t xml:space="preserve">Железняк магнитный </t>
  </si>
  <si>
    <t xml:space="preserve">Железняк хромистый (хромит) </t>
  </si>
  <si>
    <t>Кварциты бакальские, криворожские и КМА (железорудное сырье)</t>
  </si>
  <si>
    <t xml:space="preserve">Концентрат железорудный (гематит) </t>
  </si>
  <si>
    <t xml:space="preserve">Концентрат хромитовой руды </t>
  </si>
  <si>
    <t xml:space="preserve">Окатыши железорудные </t>
  </si>
  <si>
    <t xml:space="preserve">Пыль колошниковая (рудная) </t>
  </si>
  <si>
    <t xml:space="preserve">Руда железная агломерационная (аглоруда) </t>
  </si>
  <si>
    <t xml:space="preserve">Руда железная доменная </t>
  </si>
  <si>
    <t xml:space="preserve">Руда железная мартеновская </t>
  </si>
  <si>
    <t xml:space="preserve">Руда железная, не поименованная в алфавите </t>
  </si>
  <si>
    <t xml:space="preserve">Руда хромовая (хромитовая) </t>
  </si>
  <si>
    <t xml:space="preserve">Руды черных металлов, не поименованные в алфавите </t>
  </si>
  <si>
    <t xml:space="preserve">Руда марганцевая </t>
  </si>
  <si>
    <t xml:space="preserve">Агломерат марганцевый </t>
  </si>
  <si>
    <t xml:space="preserve">Брикеты марганцевой руды </t>
  </si>
  <si>
    <t xml:space="preserve">Концентраты марганцевой руды </t>
  </si>
  <si>
    <t xml:space="preserve">Окатыши марганцевой руды </t>
  </si>
  <si>
    <t xml:space="preserve">Пироксиды, пиролюзиты (руда марганцевая) </t>
  </si>
  <si>
    <t xml:space="preserve">Руда марганцевая, не поименованная в алфавите </t>
  </si>
  <si>
    <t xml:space="preserve">Сырье цветных металлов, сырье серное </t>
  </si>
  <si>
    <t xml:space="preserve">Руды цветных металлов </t>
  </si>
  <si>
    <t xml:space="preserve">Агломерат титаномагнетитовой руды </t>
  </si>
  <si>
    <t xml:space="preserve">Барий металлический </t>
  </si>
  <si>
    <t xml:space="preserve">Бокситы </t>
  </si>
  <si>
    <t xml:space="preserve">Брикеты титаномагнетитовой руды </t>
  </si>
  <si>
    <t xml:space="preserve">Брикеты цветных руд </t>
  </si>
  <si>
    <t xml:space="preserve">Глинозем </t>
  </si>
  <si>
    <t xml:space="preserve">Клинкер руд цветных металлов </t>
  </si>
  <si>
    <t xml:space="preserve">Концентрат алунитовый </t>
  </si>
  <si>
    <t xml:space="preserve">Концентрат берилловый </t>
  </si>
  <si>
    <t xml:space="preserve">Концентрат вольфрамовый </t>
  </si>
  <si>
    <t xml:space="preserve">Концентрат ильменитовый </t>
  </si>
  <si>
    <t xml:space="preserve">Концентрат индиевый </t>
  </si>
  <si>
    <t xml:space="preserve">Концентрат кобальтовый </t>
  </si>
  <si>
    <t xml:space="preserve">Концентрат литиевый </t>
  </si>
  <si>
    <t xml:space="preserve">Концентрат медноколчеданный </t>
  </si>
  <si>
    <t xml:space="preserve">Концентрат медный </t>
  </si>
  <si>
    <t xml:space="preserve">Концентрат молибденовый </t>
  </si>
  <si>
    <t xml:space="preserve">Концентрат нефелиновый </t>
  </si>
  <si>
    <t xml:space="preserve">Концентрат никелевый </t>
  </si>
  <si>
    <t xml:space="preserve">Концентрат оловянный </t>
  </si>
  <si>
    <t>Концентрат руд цветных металлов, не поименованный в алфавите</t>
  </si>
  <si>
    <t xml:space="preserve">Концентрат свинцовоцинковый </t>
  </si>
  <si>
    <t xml:space="preserve">Концентрат свинцовый </t>
  </si>
  <si>
    <t xml:space="preserve">Концентрат сурьмяный </t>
  </si>
  <si>
    <t xml:space="preserve">Концентрат цинковый </t>
  </si>
  <si>
    <t xml:space="preserve">Концентрат циркониевый </t>
  </si>
  <si>
    <t xml:space="preserve">Концентрат шлиховый </t>
  </si>
  <si>
    <t xml:space="preserve">Пыль ватержакетная </t>
  </si>
  <si>
    <t xml:space="preserve">Пыль котрельная </t>
  </si>
  <si>
    <t xml:space="preserve">Роштейн цветных руд </t>
  </si>
  <si>
    <t xml:space="preserve">Рубидий металлический </t>
  </si>
  <si>
    <t xml:space="preserve">Руда алунитовая </t>
  </si>
  <si>
    <t xml:space="preserve">Руда алюминиевая, не поименованная в алфавите </t>
  </si>
  <si>
    <t xml:space="preserve">Руда вольфрамовая </t>
  </si>
  <si>
    <t xml:space="preserve">Руда ильменитовая </t>
  </si>
  <si>
    <t xml:space="preserve">Руда квасцовая </t>
  </si>
  <si>
    <t xml:space="preserve">Руда кобальтовая </t>
  </si>
  <si>
    <t xml:space="preserve">Руда литиевая </t>
  </si>
  <si>
    <t xml:space="preserve">Руда медная </t>
  </si>
  <si>
    <t xml:space="preserve">Руда медно-цинковая </t>
  </si>
  <si>
    <t xml:space="preserve">Руда медноколчеданная (медный колчедан) </t>
  </si>
  <si>
    <t xml:space="preserve">Руда молибденовая </t>
  </si>
  <si>
    <t xml:space="preserve">Руда мышьяковистая </t>
  </si>
  <si>
    <t xml:space="preserve">Руда нефелиновая </t>
  </si>
  <si>
    <t xml:space="preserve">Руда никелевая </t>
  </si>
  <si>
    <t xml:space="preserve">Руда оловянная </t>
  </si>
  <si>
    <t xml:space="preserve">Руда полиметаллическая </t>
  </si>
  <si>
    <t xml:space="preserve">Руда ртутная </t>
  </si>
  <si>
    <t xml:space="preserve">Руда свинцовая </t>
  </si>
  <si>
    <t xml:space="preserve">Руда свинцово-цинковая </t>
  </si>
  <si>
    <t xml:space="preserve">Руда стронциевая </t>
  </si>
  <si>
    <t xml:space="preserve">Руда сурьмяная </t>
  </si>
  <si>
    <t xml:space="preserve">Руда титаномагнетитовая </t>
  </si>
  <si>
    <t xml:space="preserve">Руда цинковая </t>
  </si>
  <si>
    <t xml:space="preserve">Руды драгоценных металлов </t>
  </si>
  <si>
    <t xml:space="preserve">Руды цветных металлов, не поименованные в алфавите </t>
  </si>
  <si>
    <t xml:space="preserve">Сплавы бария непирофорные </t>
  </si>
  <si>
    <t xml:space="preserve">Стронцианит природный </t>
  </si>
  <si>
    <t xml:space="preserve">Цезий металлический </t>
  </si>
  <si>
    <t xml:space="preserve">Шлам алюможелезистый </t>
  </si>
  <si>
    <t xml:space="preserve">Шлам селенистый </t>
  </si>
  <si>
    <t>Шлам цветных металлов и их руд, не поименованный в алфавите</t>
  </si>
  <si>
    <t xml:space="preserve">Шлих цветных руд (промытая и измельченная руда) </t>
  </si>
  <si>
    <t xml:space="preserve">Штейн медный </t>
  </si>
  <si>
    <t xml:space="preserve">Штейн никелевый </t>
  </si>
  <si>
    <t xml:space="preserve">Штейн свинцовый </t>
  </si>
  <si>
    <t xml:space="preserve">Колчедан серный </t>
  </si>
  <si>
    <t xml:space="preserve">Колчедан углистый </t>
  </si>
  <si>
    <t xml:space="preserve">Концентрат серного колчедана </t>
  </si>
  <si>
    <t xml:space="preserve">Пирит (колчедан серный) всякий </t>
  </si>
  <si>
    <t xml:space="preserve">Сырье серное, кроме серного колчедана </t>
  </si>
  <si>
    <t xml:space="preserve">Руда серная </t>
  </si>
  <si>
    <t>Сырье серное, кроме серного колчедана, не поименованное в алфавите</t>
  </si>
  <si>
    <t xml:space="preserve">Хвосты флотационные пиритов </t>
  </si>
  <si>
    <t xml:space="preserve">Раздел 4. Продукция топливно-энергетической промышленности </t>
  </si>
  <si>
    <t>16000</t>
  </si>
  <si>
    <t>Топливо минеральное (уголь каменный, уголь бурый)</t>
  </si>
  <si>
    <t xml:space="preserve">Уголь каменный </t>
  </si>
  <si>
    <t xml:space="preserve">Антрацит </t>
  </si>
  <si>
    <t>16102</t>
  </si>
  <si>
    <t xml:space="preserve">Брикеты буроугольные </t>
  </si>
  <si>
    <t>16103</t>
  </si>
  <si>
    <t xml:space="preserve">Брикеты каменноугольные </t>
  </si>
  <si>
    <t>16104</t>
  </si>
  <si>
    <t xml:space="preserve">Концентрат угольный </t>
  </si>
  <si>
    <t>16105</t>
  </si>
  <si>
    <t xml:space="preserve">Полуантрацит </t>
  </si>
  <si>
    <t>16106</t>
  </si>
  <si>
    <t xml:space="preserve">Промпродукт угольный </t>
  </si>
  <si>
    <t>16107</t>
  </si>
  <si>
    <t xml:space="preserve">Уголь бурый мелкий Подмосковного бассейна </t>
  </si>
  <si>
    <t>16108</t>
  </si>
  <si>
    <t xml:space="preserve">Уголь бурый Подмосковного бассейна </t>
  </si>
  <si>
    <t>16109</t>
  </si>
  <si>
    <t xml:space="preserve">Уголь бурый, кроме бурого угля Подмосковного бассейна </t>
  </si>
  <si>
    <t>16110</t>
  </si>
  <si>
    <t>Уголь гранулированный</t>
  </si>
  <si>
    <t>16111</t>
  </si>
  <si>
    <t xml:space="preserve">Уголь каменный марки Г-газовый </t>
  </si>
  <si>
    <t>16112</t>
  </si>
  <si>
    <t xml:space="preserve">Уголь каменный марки Д </t>
  </si>
  <si>
    <t>16113</t>
  </si>
  <si>
    <t xml:space="preserve">Уголь каменный марки Ж-жирный </t>
  </si>
  <si>
    <t>16114</t>
  </si>
  <si>
    <t xml:space="preserve">Уголь каменный марки К-коксовый </t>
  </si>
  <si>
    <t>16115</t>
  </si>
  <si>
    <t xml:space="preserve">Уголь каменный марки ОС-отощенный спекающийся </t>
  </si>
  <si>
    <t>16116</t>
  </si>
  <si>
    <t xml:space="preserve">Уголь каменный марки КЖ </t>
  </si>
  <si>
    <t>16117</t>
  </si>
  <si>
    <t xml:space="preserve">Уголь каменный марки СС-слабо спекающийся </t>
  </si>
  <si>
    <t>16118</t>
  </si>
  <si>
    <t xml:space="preserve">Уголь каменный марки Т-тощий </t>
  </si>
  <si>
    <t>16119</t>
  </si>
  <si>
    <t xml:space="preserve">Уголь каменный силезский (польский) </t>
  </si>
  <si>
    <t>16120</t>
  </si>
  <si>
    <t xml:space="preserve">Уголь каменный, не поименованный в алфавите </t>
  </si>
  <si>
    <t>16121</t>
  </si>
  <si>
    <t>Уголь пылевидный</t>
  </si>
  <si>
    <t>16122</t>
  </si>
  <si>
    <t xml:space="preserve">Шихта угольная </t>
  </si>
  <si>
    <t>16123</t>
  </si>
  <si>
    <t xml:space="preserve">Шлам угольный </t>
  </si>
  <si>
    <t>16124</t>
  </si>
  <si>
    <t xml:space="preserve">Штыб </t>
  </si>
  <si>
    <t>16125</t>
  </si>
  <si>
    <t>Топливо печное каменнугольное</t>
  </si>
  <si>
    <t xml:space="preserve">Кокс </t>
  </si>
  <si>
    <t xml:space="preserve">Кокс каменноугольный </t>
  </si>
  <si>
    <t xml:space="preserve">Брикеты кокса и полукокса </t>
  </si>
  <si>
    <t xml:space="preserve">Кокс высокосернистый </t>
  </si>
  <si>
    <t xml:space="preserve">Кокс доменный фракции свыше 25 мм </t>
  </si>
  <si>
    <t xml:space="preserve">Кокс доменный фракции 25 мм </t>
  </si>
  <si>
    <t xml:space="preserve">Кокс лигнитовый </t>
  </si>
  <si>
    <t xml:space="preserve">Кокс литейный КЛ-1 </t>
  </si>
  <si>
    <t xml:space="preserve">Кокс литейный КЛ-2 </t>
  </si>
  <si>
    <t xml:space="preserve">Кокс литейный КЛ-3 </t>
  </si>
  <si>
    <t xml:space="preserve">Кокс пековый каменноугольный </t>
  </si>
  <si>
    <t xml:space="preserve">Кокс, не поименованный в алфавите </t>
  </si>
  <si>
    <t xml:space="preserve">Кокс электродный </t>
  </si>
  <si>
    <t xml:space="preserve">Коксик всякий </t>
  </si>
  <si>
    <t xml:space="preserve">Мелочь коксовая </t>
  </si>
  <si>
    <t xml:space="preserve">Орешек коксовый </t>
  </si>
  <si>
    <t xml:space="preserve">Полукокс </t>
  </si>
  <si>
    <t xml:space="preserve">Пыль коксовая </t>
  </si>
  <si>
    <t xml:space="preserve">Термоантрацит (кокс) </t>
  </si>
  <si>
    <t xml:space="preserve">Торф и торфяная продукция </t>
  </si>
  <si>
    <t xml:space="preserve">Торф топливный </t>
  </si>
  <si>
    <t xml:space="preserve">Брикеты и полубрикеты торфяные </t>
  </si>
  <si>
    <t xml:space="preserve">Порошок торфяной </t>
  </si>
  <si>
    <t xml:space="preserve">Пыль торфяная </t>
  </si>
  <si>
    <t xml:space="preserve">Торф кусковой топливный </t>
  </si>
  <si>
    <t xml:space="preserve">Торф топливный, не поименованный в алфавите </t>
  </si>
  <si>
    <t xml:space="preserve">Торф фрезерный топливный </t>
  </si>
  <si>
    <t xml:space="preserve">Торф для сельского хозяйства </t>
  </si>
  <si>
    <t xml:space="preserve">Горшочки торфяные </t>
  </si>
  <si>
    <t xml:space="preserve">Грунт торфяной </t>
  </si>
  <si>
    <t xml:space="preserve">Крошка торфяная </t>
  </si>
  <si>
    <t xml:space="preserve">Микропарник торфяной </t>
  </si>
  <si>
    <t xml:space="preserve">Подстилка торфяная </t>
  </si>
  <si>
    <t xml:space="preserve">Торф известковистый </t>
  </si>
  <si>
    <t xml:space="preserve">Торф кусковой для сельского хозяйства </t>
  </si>
  <si>
    <t xml:space="preserve">Торф фрезерный для сельского хозяйства </t>
  </si>
  <si>
    <t xml:space="preserve">Торфоблоки, торфоплиты </t>
  </si>
  <si>
    <t xml:space="preserve">Торфокомпосты </t>
  </si>
  <si>
    <t xml:space="preserve">Удобрения торфоминеральные </t>
  </si>
  <si>
    <t xml:space="preserve">Удобрения торфоминерально-аммиачные </t>
  </si>
  <si>
    <t xml:space="preserve">Сланцы горючие </t>
  </si>
  <si>
    <t>Битум сланцевый</t>
  </si>
  <si>
    <t xml:space="preserve">Кокс сланцевый </t>
  </si>
  <si>
    <t xml:space="preserve">Кукерсит (сланец горючий) </t>
  </si>
  <si>
    <t xml:space="preserve">Мука сланцевая </t>
  </si>
  <si>
    <t xml:space="preserve">Огарки сланцевые </t>
  </si>
  <si>
    <t xml:space="preserve">Сланцы горючие, не поименованные в алфавите </t>
  </si>
  <si>
    <t xml:space="preserve">Нефть и нефтепродукты </t>
  </si>
  <si>
    <t xml:space="preserve">Нефть сырая </t>
  </si>
  <si>
    <t xml:space="preserve">Нефтепродукты светлые </t>
  </si>
  <si>
    <t xml:space="preserve">Бензин </t>
  </si>
  <si>
    <t>Бензин авиационный</t>
  </si>
  <si>
    <t>Бензин автомобильный (моторный) этилированный</t>
  </si>
  <si>
    <t>Бензин для промышленных целей</t>
  </si>
  <si>
    <t>Бензин медицинский</t>
  </si>
  <si>
    <t>Бензин моторный (автомобильный) неэтилированный</t>
  </si>
  <si>
    <t>Бензин сланцевый</t>
  </si>
  <si>
    <t>Бензин экстракционный</t>
  </si>
  <si>
    <t>Бензин растворитель "Галоша" ("Уайт-спирит")</t>
  </si>
  <si>
    <t>Бензины, не поименованные в алфавите</t>
  </si>
  <si>
    <t>Топливо Т-1, ТС-1, Т-2</t>
  </si>
  <si>
    <t>Керосин</t>
  </si>
  <si>
    <t>Керосин осветительный</t>
  </si>
  <si>
    <t>Керосин, не поименованный в алфавите</t>
  </si>
  <si>
    <t>Керосин-растворитель</t>
  </si>
  <si>
    <t>Керосин тракторный</t>
  </si>
  <si>
    <t>Топливо для реактивных двигателей</t>
  </si>
  <si>
    <t>Топливо Т-130</t>
  </si>
  <si>
    <t>Топливо Т-185</t>
  </si>
  <si>
    <t>Лигроин</t>
  </si>
  <si>
    <t>Масла и смазки минеральные (нефтяные)</t>
  </si>
  <si>
    <t>Автолы, не поименованные в алфавите</t>
  </si>
  <si>
    <t>Брайтсток (масло минеральное)</t>
  </si>
  <si>
    <t>Вазелины всякие, кроме медицинского</t>
  </si>
  <si>
    <t>Вапор (масло минеральное)</t>
  </si>
  <si>
    <t>Велосит (масло минеральное)</t>
  </si>
  <si>
    <t>Вискозин (масло цилиндровое марки 24)</t>
  </si>
  <si>
    <t>Гаргойль (масло минеральное)</t>
  </si>
  <si>
    <t>Герметик АГ-4 (масло минеральное)</t>
  </si>
  <si>
    <t>Дистиллят вакуумный</t>
  </si>
  <si>
    <t>Дистилляты масел смазочных</t>
  </si>
  <si>
    <t>Жидкости смазочноохлаждающие МР-4 "Синтал"</t>
  </si>
  <si>
    <t>Калипсалин</t>
  </si>
  <si>
    <t>Компаунды жидкие</t>
  </si>
  <si>
    <t>Компаунды масел смазочных</t>
  </si>
  <si>
    <t>Консталин</t>
  </si>
  <si>
    <t>Масла индустриальные и моторные отработанные (МИО, ММО)</t>
  </si>
  <si>
    <t>Масла минеральные, светлые, не поименованные в алфавите</t>
  </si>
  <si>
    <t>Масла минеральные, темные, не поименованные в алфавите</t>
  </si>
  <si>
    <t>Масло авиационное</t>
  </si>
  <si>
    <t>Масло автомобильное</t>
  </si>
  <si>
    <t>Масло автотракторное</t>
  </si>
  <si>
    <t>Масло вазелиновое техническое</t>
  </si>
  <si>
    <t>Масло веретенное</t>
  </si>
  <si>
    <t>Масло гидравлическое</t>
  </si>
  <si>
    <t>Масло дизельное</t>
  </si>
  <si>
    <t>Масло для паровых машин</t>
  </si>
  <si>
    <t>Масло для швейных машин</t>
  </si>
  <si>
    <t>Масло индустриальное машинное</t>
  </si>
  <si>
    <t xml:space="preserve">Масло компрессорное </t>
  </si>
  <si>
    <t>Масло конденсаторное</t>
  </si>
  <si>
    <t>Масло минеральное нефтяное АГМ-10</t>
  </si>
  <si>
    <t>Масло моторное</t>
  </si>
  <si>
    <t>Масло нефтяное</t>
  </si>
  <si>
    <t>Масло осевое</t>
  </si>
  <si>
    <t>Масло пиролиза легкое</t>
  </si>
  <si>
    <t>Масло ПОД</t>
  </si>
  <si>
    <t>Масло ПТУ</t>
  </si>
  <si>
    <t>Масло трансмиссионное (нигролы)</t>
  </si>
  <si>
    <t>Масло трансформаторное</t>
  </si>
  <si>
    <t>Масло турбинное</t>
  </si>
  <si>
    <t>Паста кожевенная эмульгирующая</t>
  </si>
  <si>
    <t>Полимердистиллят</t>
  </si>
  <si>
    <t>Себонафт (смесь смазочных масел с церезином)</t>
  </si>
  <si>
    <t>Смазки минеральные (нефтяные), не поименованные в алфавите</t>
  </si>
  <si>
    <t>Солидол жировой и синтетический</t>
  </si>
  <si>
    <t>Тавот</t>
  </si>
  <si>
    <t>Эмульсии нефтемасляные</t>
  </si>
  <si>
    <t>Эмульсолы</t>
  </si>
  <si>
    <t>Топливо дизельное</t>
  </si>
  <si>
    <t>Масло соляровое</t>
  </si>
  <si>
    <t>Топливо дизельное с температурой вспышки выше 61С (в закрытом тигле)</t>
  </si>
  <si>
    <t>Топливо дизельное с температурой вспышки ниже 61С (в закрытом тигле)</t>
  </si>
  <si>
    <t>Топливо дизельное отработанное</t>
  </si>
  <si>
    <t>Топливо дизельное, не поименованное в алфавите</t>
  </si>
  <si>
    <t>Топливо моторное</t>
  </si>
  <si>
    <t>Топливо печное бытовое</t>
  </si>
  <si>
    <t>Прочие нефтепродукты светлые</t>
  </si>
  <si>
    <t>Алкилбензин (Алкилат)</t>
  </si>
  <si>
    <t>Алкилбензол</t>
  </si>
  <si>
    <t>Газойль</t>
  </si>
  <si>
    <t>Гидродепарафинат</t>
  </si>
  <si>
    <t>Нефтепродукты светлые, не поименованные в алфавите</t>
  </si>
  <si>
    <t>Остатки нефтяные типа К-1</t>
  </si>
  <si>
    <t>Пиробензол нефтяной</t>
  </si>
  <si>
    <t>Пироконденсат нефтяной</t>
  </si>
  <si>
    <t>Присадки к топливам</t>
  </si>
  <si>
    <t>Растворитель "Пральт"</t>
  </si>
  <si>
    <t>Термогазойль</t>
  </si>
  <si>
    <t>Топливо эталонное</t>
  </si>
  <si>
    <t>Фракция гексан-гептановая</t>
  </si>
  <si>
    <t>Фракция гексановая</t>
  </si>
  <si>
    <t>Фракция изопентановая</t>
  </si>
  <si>
    <t>Фракция керосино-газойлевая</t>
  </si>
  <si>
    <t>Фракция пентановая</t>
  </si>
  <si>
    <t>Нефтепродукты темные, газы энергетические</t>
  </si>
  <si>
    <t>Мазут нефтяной и каменноугольный</t>
  </si>
  <si>
    <t>Мазут для мартеновских печей (МП)</t>
  </si>
  <si>
    <t>Мазут мягчитель</t>
  </si>
  <si>
    <t>Мазут нефтяной, не поименованный в алфавите</t>
  </si>
  <si>
    <t>Мазут прямой гонки</t>
  </si>
  <si>
    <t>Мазут смазочный</t>
  </si>
  <si>
    <t>Мазут топочный</t>
  </si>
  <si>
    <t>Мазут флотский</t>
  </si>
  <si>
    <t>Мазут каменно-угольный</t>
  </si>
  <si>
    <t>Остатки нефтяные тяжелые</t>
  </si>
  <si>
    <t>Топливо технологическое Э-4</t>
  </si>
  <si>
    <t>Топливо нефтяное</t>
  </si>
  <si>
    <t>Битум и гудрон нефтяные и каменноугольные</t>
  </si>
  <si>
    <t>Битум каменноугольный</t>
  </si>
  <si>
    <t>Битум нефтяной для изоляции нефте-газопроводов</t>
  </si>
  <si>
    <t>Битум нефтяной щелочной (Рубракс)</t>
  </si>
  <si>
    <t>Битумы вязкие</t>
  </si>
  <si>
    <t>Битумы жидкие</t>
  </si>
  <si>
    <t>Битумы нефтяные строительные твердых марок</t>
  </si>
  <si>
    <t>Битумы нефтяные, не поименованные в алфавите</t>
  </si>
  <si>
    <t>Гудрон каменно-угольный</t>
  </si>
  <si>
    <t>Гудрон нефтяной</t>
  </si>
  <si>
    <t>Кокс нефтяной</t>
  </si>
  <si>
    <t>Мастика битумная противошумная БПМ-1</t>
  </si>
  <si>
    <t>Нефтесвязующее для брикетирования угля</t>
  </si>
  <si>
    <t>Полугудроны</t>
  </si>
  <si>
    <t>Асфальт, битум и гудрон природные</t>
  </si>
  <si>
    <t>Асфальт природный</t>
  </si>
  <si>
    <t>Асфальтит (Асфальт)</t>
  </si>
  <si>
    <t>Битум природный</t>
  </si>
  <si>
    <t>Гудрон асфальтовый</t>
  </si>
  <si>
    <t>Камень битуминозный (Битумен)</t>
  </si>
  <si>
    <t>Озокерит природный и продукция восковая</t>
  </si>
  <si>
    <t>Воск буроугольный</t>
  </si>
  <si>
    <t>Воск защитный ЗВ-1</t>
  </si>
  <si>
    <t>Воск нефтяной</t>
  </si>
  <si>
    <t>Воск синтетический</t>
  </si>
  <si>
    <t>Замазка вакуумная</t>
  </si>
  <si>
    <t>Озокерит</t>
  </si>
  <si>
    <t>Парафины нефтяные жидкие</t>
  </si>
  <si>
    <t>Парафины нефтяные твердые</t>
  </si>
  <si>
    <t>Парафины, не поименованные в алфавите</t>
  </si>
  <si>
    <t>Петролатум</t>
  </si>
  <si>
    <t>Пробка церезино-парафинистая</t>
  </si>
  <si>
    <t>Составы и сплавы восковые</t>
  </si>
  <si>
    <t>Церезин петролатумный неочищенный</t>
  </si>
  <si>
    <t>Церезины, не поименованные в алфавите</t>
  </si>
  <si>
    <t>Прочие нефтепродукты темные</t>
  </si>
  <si>
    <t>Асидол-деэмульгатор</t>
  </si>
  <si>
    <t>Брикетин</t>
  </si>
  <si>
    <t>Асидол-мылонафт</t>
  </si>
  <si>
    <t>Гач дистиллятный</t>
  </si>
  <si>
    <t>Депрессатор-АЗНИИ</t>
  </si>
  <si>
    <t>Дистилляты нефтяные пековые</t>
  </si>
  <si>
    <t>Контакт черный</t>
  </si>
  <si>
    <t>Крепители литейные, нефтяные, стержневые</t>
  </si>
  <si>
    <t>Крепители стержневые КО, УСК-1</t>
  </si>
  <si>
    <t>Лакойль</t>
  </si>
  <si>
    <t>Мылонафт</t>
  </si>
  <si>
    <t>Нефтепродукты темные, не поименованные в алфавите</t>
  </si>
  <si>
    <t>Остатки кубовые ректификации бензола</t>
  </si>
  <si>
    <t>Отходы кислотные и щелочные нефтяные</t>
  </si>
  <si>
    <t>Отходы масляного и пиролизного производства</t>
  </si>
  <si>
    <t>Пек жидкий</t>
  </si>
  <si>
    <t>Пек нефтяной</t>
  </si>
  <si>
    <t>Пирополимеры</t>
  </si>
  <si>
    <t>Присадки к минеральным маслам</t>
  </si>
  <si>
    <t>Присадки различного назначения</t>
  </si>
  <si>
    <t>Продукты жидкие пиролиза</t>
  </si>
  <si>
    <t>Смеси отработанных нефтепродуктов (группа СНО)</t>
  </si>
  <si>
    <t>Смола алкилбензольная</t>
  </si>
  <si>
    <t>Смола пиролизная тяжелая</t>
  </si>
  <si>
    <t>Смола пиролизная, не поименованная в алфавите</t>
  </si>
  <si>
    <t>Смола полиалкилбензольная</t>
  </si>
  <si>
    <t>Смолы нефтяные, не поименованные в алфавите</t>
  </si>
  <si>
    <t>Смолы нефтяные тяжелые, температура вспышки выше 61С, но ниже 90С</t>
  </si>
  <si>
    <t>Сырье нефтяное для производства технического углерода</t>
  </si>
  <si>
    <t>Топливо для мартеновских печей</t>
  </si>
  <si>
    <t>Экстранол</t>
  </si>
  <si>
    <t>Газы энергетические (углеводородные сжиженные)</t>
  </si>
  <si>
    <t>Бензин нестабильный газовый</t>
  </si>
  <si>
    <t>Бензин стабильный газовый (газолин)</t>
  </si>
  <si>
    <t>Бутан или бутана смеси</t>
  </si>
  <si>
    <t>Винил</t>
  </si>
  <si>
    <t>Дистилляты газового конденсата</t>
  </si>
  <si>
    <t>Газы углеводородные сжиженные, не поименованные в алфавите</t>
  </si>
  <si>
    <t>Изобутан или изобутана смеси</t>
  </si>
  <si>
    <t>Конденсат газовый (Конденсат из природного газа)</t>
  </si>
  <si>
    <t>Метан сжатый или газы природные сжатые с высоким содержанием метана</t>
  </si>
  <si>
    <t>Пропан</t>
  </si>
  <si>
    <t>Пропан-бутан</t>
  </si>
  <si>
    <t>Рефлюксы</t>
  </si>
  <si>
    <t>Смесь пропан-бутадиеновая</t>
  </si>
  <si>
    <t>Фракция бутан-бутиленовая</t>
  </si>
  <si>
    <t>Фракция бутилен-амиленовая</t>
  </si>
  <si>
    <t>Фракция бутилен-бутадиеновая</t>
  </si>
  <si>
    <t>Фракция бутилен-изобутиленовая</t>
  </si>
  <si>
    <t>Фракция бутиленовая</t>
  </si>
  <si>
    <t>Фракция изоамиленовая</t>
  </si>
  <si>
    <t>Фракция изобутиленовая</t>
  </si>
  <si>
    <t>Фракция пентаизопренциклопентадиеновая</t>
  </si>
  <si>
    <t>Фракция пипериленовая</t>
  </si>
  <si>
    <t>Фракция полиалкилбензолов</t>
  </si>
  <si>
    <t>Фракция пропан-бутановая</t>
  </si>
  <si>
    <t>Фракция пропан-пропиленовая</t>
  </si>
  <si>
    <t>Фракция пропиленовая</t>
  </si>
  <si>
    <t>Фракция широкая легких углеводородов (ШФЛУ)</t>
  </si>
  <si>
    <t>Этан</t>
  </si>
  <si>
    <t xml:space="preserve">Раздел 5. Минеральное сырье, минерально-строительные материалы и изделия. Абразивы </t>
  </si>
  <si>
    <t>Материалы минерально-строительные природные. Зола. Шлаки, кроме гранулированных и металлургических для переплавки</t>
  </si>
  <si>
    <t xml:space="preserve">Земля, песок, глина строительные </t>
  </si>
  <si>
    <t xml:space="preserve">Глина, не поименованная в алфавите </t>
  </si>
  <si>
    <t xml:space="preserve">Грунт (земля обыкновенная) </t>
  </si>
  <si>
    <t xml:space="preserve">Дерн </t>
  </si>
  <si>
    <t xml:space="preserve">Ил </t>
  </si>
  <si>
    <t xml:space="preserve">Крошка известковая </t>
  </si>
  <si>
    <t xml:space="preserve">Мусор построечный </t>
  </si>
  <si>
    <t xml:space="preserve">Песок строительный </t>
  </si>
  <si>
    <t xml:space="preserve">Ракушка морская и речная </t>
  </si>
  <si>
    <t xml:space="preserve">Ракушка, не поименованная в алфавите </t>
  </si>
  <si>
    <t xml:space="preserve">Сапонат (кил) </t>
  </si>
  <si>
    <t xml:space="preserve">Смесь горных пород с асбестовыми отходами </t>
  </si>
  <si>
    <t xml:space="preserve">Смесь песчано-гравийная </t>
  </si>
  <si>
    <t xml:space="preserve">Терезит </t>
  </si>
  <si>
    <t xml:space="preserve">Камни природные строительные и поделочные. Туф </t>
  </si>
  <si>
    <t xml:space="preserve">Агальматолит (минерал) </t>
  </si>
  <si>
    <t xml:space="preserve">Аглопорит </t>
  </si>
  <si>
    <t xml:space="preserve">Арагонит </t>
  </si>
  <si>
    <t xml:space="preserve">Базальт </t>
  </si>
  <si>
    <t xml:space="preserve">Габбро (минерал) </t>
  </si>
  <si>
    <t xml:space="preserve">Галька (камень) </t>
  </si>
  <si>
    <t xml:space="preserve">Гнейс </t>
  </si>
  <si>
    <t xml:space="preserve">Гравий керамзитовый </t>
  </si>
  <si>
    <t xml:space="preserve">Гравий марки ДР-12, ДР-16 </t>
  </si>
  <si>
    <t xml:space="preserve">Гравий марки ДР-8 и ниже </t>
  </si>
  <si>
    <t xml:space="preserve">Гравий, не поименованный в алфавите </t>
  </si>
  <si>
    <t xml:space="preserve">Гранит </t>
  </si>
  <si>
    <t xml:space="preserve">Диабаз </t>
  </si>
  <si>
    <t xml:space="preserve">Диорит </t>
  </si>
  <si>
    <t xml:space="preserve">Заполнитель из естественного камня </t>
  </si>
  <si>
    <t xml:space="preserve">Известняк (камень известняковый) строительный </t>
  </si>
  <si>
    <t xml:space="preserve">Камень известняковый (известняк) строительный </t>
  </si>
  <si>
    <t xml:space="preserve">Камень булыжный (булыжник) </t>
  </si>
  <si>
    <t xml:space="preserve">Камень бутовый (бут) </t>
  </si>
  <si>
    <t xml:space="preserve">Камень строительный, не поименованный в алфавите </t>
  </si>
  <si>
    <t xml:space="preserve">Камень тальковый (тальк в кусках) </t>
  </si>
  <si>
    <t xml:space="preserve">Кианит (минерал) </t>
  </si>
  <si>
    <t xml:space="preserve">Колеманит </t>
  </si>
  <si>
    <t xml:space="preserve">Мрамор в кусках и глыбах </t>
  </si>
  <si>
    <t xml:space="preserve">Мрамор молотый </t>
  </si>
  <si>
    <t xml:space="preserve">Мука (порошок) андезитовая </t>
  </si>
  <si>
    <t xml:space="preserve">Мука (порошок) аспидная </t>
  </si>
  <si>
    <t xml:space="preserve">Оливин (минерал) </t>
  </si>
  <si>
    <t xml:space="preserve">Отсев гранитный или каменный </t>
  </si>
  <si>
    <t xml:space="preserve">Отходы асбошиферные и шиферные </t>
  </si>
  <si>
    <t xml:space="preserve">Перлит, не поименованный в алфавите </t>
  </si>
  <si>
    <t xml:space="preserve">Песок футеровочный </t>
  </si>
  <si>
    <t xml:space="preserve">Песчаник </t>
  </si>
  <si>
    <t xml:space="preserve">Порфир </t>
  </si>
  <si>
    <t xml:space="preserve">Порфирит </t>
  </si>
  <si>
    <t xml:space="preserve">Ракушечник </t>
  </si>
  <si>
    <t xml:space="preserve">Сиенит (минерал) </t>
  </si>
  <si>
    <t xml:space="preserve">Тальк молотый </t>
  </si>
  <si>
    <t xml:space="preserve">Трас (камень природный) </t>
  </si>
  <si>
    <t xml:space="preserve">Туф известковый </t>
  </si>
  <si>
    <t xml:space="preserve">Туф, кроме известкового </t>
  </si>
  <si>
    <t xml:space="preserve">Шпат известковый </t>
  </si>
  <si>
    <t xml:space="preserve">Щебень гранитный фракции до 20 мм </t>
  </si>
  <si>
    <t xml:space="preserve">Щебень гранитный фракции свыше 20 мм </t>
  </si>
  <si>
    <t xml:space="preserve">Щебень из гравия марки ДР-8 и ниже </t>
  </si>
  <si>
    <t xml:space="preserve">Щебень из гравия марки ДР-12, ДР-16 </t>
  </si>
  <si>
    <t xml:space="preserve">Щебень марки до 600 </t>
  </si>
  <si>
    <t xml:space="preserve">Щебень марки 800 и выше </t>
  </si>
  <si>
    <t xml:space="preserve">Щебень, не поименованный в алфавите </t>
  </si>
  <si>
    <t xml:space="preserve">Щебень шунгитовый (шунгит) </t>
  </si>
  <si>
    <t xml:space="preserve">Гипс, известь, мел </t>
  </si>
  <si>
    <t xml:space="preserve">Алебастр (гипс) в кусках и молотый </t>
  </si>
  <si>
    <t xml:space="preserve">Ангидрит (шпат полевой и шпат легкий) в кусках и молотый </t>
  </si>
  <si>
    <t xml:space="preserve">Гажа (мергель гипсовый) </t>
  </si>
  <si>
    <t xml:space="preserve">Гипс, не поименованный в алфавите </t>
  </si>
  <si>
    <t xml:space="preserve">Гипс технический </t>
  </si>
  <si>
    <t xml:space="preserve">Известняк молотый, не поименованный в алфавите </t>
  </si>
  <si>
    <t xml:space="preserve">Известь газовая </t>
  </si>
  <si>
    <t xml:space="preserve">Известь гидравлическая </t>
  </si>
  <si>
    <t xml:space="preserve">Известь гашеная (пушонка) </t>
  </si>
  <si>
    <t xml:space="preserve">Известь карбонатная </t>
  </si>
  <si>
    <t xml:space="preserve">Известь негашеная 1910 </t>
  </si>
  <si>
    <t xml:space="preserve">Известь, не поименованная в алфавите </t>
  </si>
  <si>
    <t xml:space="preserve">Известь фосфорнокислая </t>
  </si>
  <si>
    <t xml:space="preserve">Литин (порошок для штукатурки) </t>
  </si>
  <si>
    <t xml:space="preserve">Мел в кусках, молотый и толченый </t>
  </si>
  <si>
    <t xml:space="preserve">Мел технологический </t>
  </si>
  <si>
    <t xml:space="preserve">Мергели </t>
  </si>
  <si>
    <t xml:space="preserve">Порошок известковый </t>
  </si>
  <si>
    <t xml:space="preserve">Порошок минеральный </t>
  </si>
  <si>
    <t xml:space="preserve">Пыль цементных печей строительная </t>
  </si>
  <si>
    <t xml:space="preserve">Селенит </t>
  </si>
  <si>
    <t xml:space="preserve">Заполнители пористые </t>
  </si>
  <si>
    <t xml:space="preserve">Вермикулит вспученный </t>
  </si>
  <si>
    <t xml:space="preserve">Керамзит </t>
  </si>
  <si>
    <t xml:space="preserve">Пемза литоидная </t>
  </si>
  <si>
    <t xml:space="preserve">Перлит вспученный </t>
  </si>
  <si>
    <t xml:space="preserve">Термозит (щебень из шлаковой пемзы) </t>
  </si>
  <si>
    <t xml:space="preserve">Шунгизит </t>
  </si>
  <si>
    <t xml:space="preserve">Зола, шлаки, кроме гранулированных и металлургических для переплавки </t>
  </si>
  <si>
    <t xml:space="preserve">Зола древесная </t>
  </si>
  <si>
    <t xml:space="preserve">Зола каменноугольная </t>
  </si>
  <si>
    <t xml:space="preserve">Зола, не поименованная в алфавите </t>
  </si>
  <si>
    <t xml:space="preserve">Зола сланцевая, кроме перевозимой для известкования почв </t>
  </si>
  <si>
    <t xml:space="preserve">Зола торфяная </t>
  </si>
  <si>
    <t xml:space="preserve">Смесь золошлаковая тепловых электростанций </t>
  </si>
  <si>
    <t xml:space="preserve">Шлаки доменные </t>
  </si>
  <si>
    <t>Шлаки, кроме гранулированных и металлургических для переплавки, не поименованные в алфавите</t>
  </si>
  <si>
    <t xml:space="preserve">Шлаки электропечные </t>
  </si>
  <si>
    <t xml:space="preserve">Балласт для железных дорог </t>
  </si>
  <si>
    <t>Балласт для железных дорог всякий (гравий, песок, щебень, асбестовые отходы)</t>
  </si>
  <si>
    <t xml:space="preserve">Песок для песочниц локомотивов </t>
  </si>
  <si>
    <t xml:space="preserve">Щебень для балластировки железнодорожного пути </t>
  </si>
  <si>
    <t xml:space="preserve">Сырье минеральное промышленное. Материалы формовочные и абразивные </t>
  </si>
  <si>
    <t>Земля, песок, глина и камни природные - сырье промышленное</t>
  </si>
  <si>
    <t xml:space="preserve">Агат </t>
  </si>
  <si>
    <t xml:space="preserve">Альмандин </t>
  </si>
  <si>
    <t xml:space="preserve">Андезиты </t>
  </si>
  <si>
    <t xml:space="preserve">Аргиллит </t>
  </si>
  <si>
    <t xml:space="preserve">Аскангель (глина белая) </t>
  </si>
  <si>
    <t xml:space="preserve">Аспид </t>
  </si>
  <si>
    <t xml:space="preserve">Бой графитовый </t>
  </si>
  <si>
    <t xml:space="preserve">Бой и лом карборундовых камней </t>
  </si>
  <si>
    <t xml:space="preserve">Бой и лом корундовых камней </t>
  </si>
  <si>
    <t xml:space="preserve">Бой керамический </t>
  </si>
  <si>
    <t xml:space="preserve">Бой кирпича хромомагнезитового </t>
  </si>
  <si>
    <t xml:space="preserve">Бой кирпича шамотного </t>
  </si>
  <si>
    <t xml:space="preserve">Бой кирпичный, не поименованный в алфавите </t>
  </si>
  <si>
    <t xml:space="preserve">Бой наждачных точильных и шлифовальных камней </t>
  </si>
  <si>
    <t xml:space="preserve">Бой огнеупорных изделий </t>
  </si>
  <si>
    <t xml:space="preserve">Бой стеклянный </t>
  </si>
  <si>
    <t xml:space="preserve">Бой фарфоровый </t>
  </si>
  <si>
    <t xml:space="preserve">Бой фаянсовый </t>
  </si>
  <si>
    <t xml:space="preserve">Бой электродный </t>
  </si>
  <si>
    <t xml:space="preserve">Борогипс гранулированный </t>
  </si>
  <si>
    <t xml:space="preserve">Глиеж (земля) </t>
  </si>
  <si>
    <t xml:space="preserve">Глина бентонитовая </t>
  </si>
  <si>
    <t xml:space="preserve">Глина красильная </t>
  </si>
  <si>
    <t xml:space="preserve">Глина сукновальная </t>
  </si>
  <si>
    <t xml:space="preserve">Глина фарфоровая (каолин) </t>
  </si>
  <si>
    <t xml:space="preserve">Глина фаянсовая </t>
  </si>
  <si>
    <t xml:space="preserve">Глина формовочная </t>
  </si>
  <si>
    <t xml:space="preserve">Глинопорошок </t>
  </si>
  <si>
    <t xml:space="preserve">Графит </t>
  </si>
  <si>
    <t xml:space="preserve">Доломит сырой, не поименованный в алфавите </t>
  </si>
  <si>
    <t>Земля инфузорная - диатонит, трепел, опоки, кизельгур и др., не поименованная в алфавите</t>
  </si>
  <si>
    <t xml:space="preserve">Камень гипсовый </t>
  </si>
  <si>
    <t xml:space="preserve">Камень известняковый технологический (известняк) </t>
  </si>
  <si>
    <t xml:space="preserve">Камень литографский </t>
  </si>
  <si>
    <t xml:space="preserve">Кварц и концентрат кварцевый </t>
  </si>
  <si>
    <t xml:space="preserve">Кремень </t>
  </si>
  <si>
    <t xml:space="preserve">Лазурит (ляпис-лазурь) </t>
  </si>
  <si>
    <t xml:space="preserve">Лапидит в кусках </t>
  </si>
  <si>
    <t xml:space="preserve">Малахит (минерал) </t>
  </si>
  <si>
    <t xml:space="preserve">Мука белитовая (отходы алюминиевого производства) </t>
  </si>
  <si>
    <t>Отходы известковые апатитовых и нефелиновых обогатительных фабрик</t>
  </si>
  <si>
    <t>Отходы известковые разных производств, не поименованные в алфавите</t>
  </si>
  <si>
    <t xml:space="preserve">Отходы известковые фосфоритовых руд </t>
  </si>
  <si>
    <t xml:space="preserve">Паста литейная противопригарная </t>
  </si>
  <si>
    <t xml:space="preserve">Пегматит </t>
  </si>
  <si>
    <t xml:space="preserve">Песок кварцевый, кроме строительного </t>
  </si>
  <si>
    <t xml:space="preserve">Песок формовочный </t>
  </si>
  <si>
    <t xml:space="preserve">Порошки диабазовые </t>
  </si>
  <si>
    <t xml:space="preserve">Порошок графитовый </t>
  </si>
  <si>
    <t xml:space="preserve">Порфироиды </t>
  </si>
  <si>
    <t xml:space="preserve">Продукт полевошпатовый </t>
  </si>
  <si>
    <t xml:space="preserve">Утяжелители всякие для буровых растворов </t>
  </si>
  <si>
    <t xml:space="preserve">Флюсы сварочные (для автоматической электросварки) </t>
  </si>
  <si>
    <t xml:space="preserve">Халцедон </t>
  </si>
  <si>
    <t xml:space="preserve">Целестин (минерал) </t>
  </si>
  <si>
    <t xml:space="preserve">Цемянка (кирпич молотый, толченый) </t>
  </si>
  <si>
    <t xml:space="preserve">Шквар (остатки стекольного производства) </t>
  </si>
  <si>
    <t xml:space="preserve">Яшма (камень) </t>
  </si>
  <si>
    <t xml:space="preserve">Руды неметаллические, кроме серного сырья </t>
  </si>
  <si>
    <t xml:space="preserve">Барит (шпат тяжелый) </t>
  </si>
  <si>
    <t xml:space="preserve">Витерит </t>
  </si>
  <si>
    <t xml:space="preserve">Концентрат баритовый </t>
  </si>
  <si>
    <t xml:space="preserve">Руда болотная </t>
  </si>
  <si>
    <t xml:space="preserve">Руда боратовая </t>
  </si>
  <si>
    <t xml:space="preserve">Руда баритовая </t>
  </si>
  <si>
    <t xml:space="preserve">Руда кварцевая </t>
  </si>
  <si>
    <t xml:space="preserve">Руда магнезитовая </t>
  </si>
  <si>
    <t>Руда флюоритовая (шпат плавиковый, флюорит, концентрат флюоритовый)</t>
  </si>
  <si>
    <t xml:space="preserve">Руды неметаллические, не поименованные в алфавите </t>
  </si>
  <si>
    <t xml:space="preserve">Сульфат натрия природный (мирабилит, тенардит) </t>
  </si>
  <si>
    <t xml:space="preserve">Материалы абразивные </t>
  </si>
  <si>
    <t xml:space="preserve">Зерно шлифовальное (материал абразивный) </t>
  </si>
  <si>
    <t xml:space="preserve">Карбид бора </t>
  </si>
  <si>
    <t xml:space="preserve">Карбид (карборунд) кремния зеленый и черный в зерне </t>
  </si>
  <si>
    <t xml:space="preserve">Карбид (карборунд) кремния зеленый и черный в порошке </t>
  </si>
  <si>
    <t xml:space="preserve">Корунд природный </t>
  </si>
  <si>
    <t xml:space="preserve">Материалы абразивные, не поименованные в алфавите </t>
  </si>
  <si>
    <t xml:space="preserve">Монокорунд </t>
  </si>
  <si>
    <t xml:space="preserve">Наждак </t>
  </si>
  <si>
    <t xml:space="preserve">Электрокорунд в зерне, кусках и в порошке </t>
  </si>
  <si>
    <t xml:space="preserve">Пемза </t>
  </si>
  <si>
    <t xml:space="preserve">Мелочь пемзовая </t>
  </si>
  <si>
    <t xml:space="preserve">Пемза, не поименованная в алфавите </t>
  </si>
  <si>
    <t xml:space="preserve">Клинкер цементный </t>
  </si>
  <si>
    <t xml:space="preserve">Силикат натрия растворимый (силикат - глыба) </t>
  </si>
  <si>
    <t>Силикат - глыба (натрий кремнекислый, силикат натрия, стекло растворимое) - содовая, содосульфатная, сульфатная</t>
  </si>
  <si>
    <t xml:space="preserve">Материалы стеновые и кровельные </t>
  </si>
  <si>
    <t xml:space="preserve">Материалы стеновые </t>
  </si>
  <si>
    <t xml:space="preserve">Блоки аглопоритобетонные </t>
  </si>
  <si>
    <t xml:space="preserve">Блоки гранитные </t>
  </si>
  <si>
    <t xml:space="preserve">Блоки железобетонные </t>
  </si>
  <si>
    <t xml:space="preserve">Блоки известково-песчаные </t>
  </si>
  <si>
    <t xml:space="preserve">Блоки керамические </t>
  </si>
  <si>
    <t xml:space="preserve">Блоки мраморные </t>
  </si>
  <si>
    <t xml:space="preserve">Блоки силикатные </t>
  </si>
  <si>
    <t xml:space="preserve">Блоки стеновые, не поименованные в алфавите </t>
  </si>
  <si>
    <t xml:space="preserve">Блоки туфовые </t>
  </si>
  <si>
    <t xml:space="preserve">Блоки шлакобетонные </t>
  </si>
  <si>
    <t xml:space="preserve">Блоки шлаковые (шлакоблоки) </t>
  </si>
  <si>
    <t xml:space="preserve">Гипсошлакоблоки </t>
  </si>
  <si>
    <t xml:space="preserve">Изразцы (кафель) </t>
  </si>
  <si>
    <t xml:space="preserve">Камень цементно-шлаковый </t>
  </si>
  <si>
    <t xml:space="preserve">Камень шлакобетонный </t>
  </si>
  <si>
    <t xml:space="preserve">Камень шлаковый </t>
  </si>
  <si>
    <t xml:space="preserve">Панели керамзитобетонные </t>
  </si>
  <si>
    <t xml:space="preserve">Панели стеновые, не поименованные в алфавите </t>
  </si>
  <si>
    <t xml:space="preserve">Плиты (щиты) и плитки камышитовые </t>
  </si>
  <si>
    <t xml:space="preserve">Плиты (щиты) и плитки мраморные </t>
  </si>
  <si>
    <t xml:space="preserve">Плиты и плитки асбестошлаковые </t>
  </si>
  <si>
    <t xml:space="preserve">Плиты и плитки бетонные </t>
  </si>
  <si>
    <t xml:space="preserve">Плиты и плитки гипсовые </t>
  </si>
  <si>
    <t xml:space="preserve">Плиты и плитки гипсокамышитовые </t>
  </si>
  <si>
    <t xml:space="preserve">Плиты и плитки гипсоцементные </t>
  </si>
  <si>
    <t xml:space="preserve">Плиты и плитки гранитные </t>
  </si>
  <si>
    <t>Плиты и плитки из камня искусственного шлифованные и полированные, не поименованные в алфавите</t>
  </si>
  <si>
    <t>Плиты и плитки из камня природного шлифованные и полированные, не поименованные в алфавите</t>
  </si>
  <si>
    <t xml:space="preserve">Плиты и плитки керамические, не поименованные в алфавите </t>
  </si>
  <si>
    <t xml:space="preserve">Плиты и плитки метлахские </t>
  </si>
  <si>
    <t xml:space="preserve">Плиты и плитки пенобетонные </t>
  </si>
  <si>
    <t xml:space="preserve">Плиты и плитки пирогранитные </t>
  </si>
  <si>
    <t xml:space="preserve">Штукатурка сухая в плитках </t>
  </si>
  <si>
    <t xml:space="preserve">Материалы отделочные полимерные, кровельные, гидроизоляционные и герметизирующие </t>
  </si>
  <si>
    <t xml:space="preserve">Борулин (гидроизоляционный рулонный материал) </t>
  </si>
  <si>
    <t xml:space="preserve">Бризол </t>
  </si>
  <si>
    <t xml:space="preserve">Гидробутил (гидроизоляционный материал) </t>
  </si>
  <si>
    <t xml:space="preserve">Изол </t>
  </si>
  <si>
    <t xml:space="preserve">Картон кровельный пропитанный </t>
  </si>
  <si>
    <t xml:space="preserve">Линкруст </t>
  </si>
  <si>
    <t xml:space="preserve">Линолеум </t>
  </si>
  <si>
    <t xml:space="preserve">Листы резино-битумные кровельные </t>
  </si>
  <si>
    <t xml:space="preserve">Листы битумные кровельные </t>
  </si>
  <si>
    <t xml:space="preserve">Мастика кровельная (клебемасса) </t>
  </si>
  <si>
    <t xml:space="preserve">Пергамин кровельный </t>
  </si>
  <si>
    <t xml:space="preserve">Рубероид </t>
  </si>
  <si>
    <t xml:space="preserve">Стеклорубероид </t>
  </si>
  <si>
    <t xml:space="preserve">Толь кровельный </t>
  </si>
  <si>
    <t xml:space="preserve">Толь, не поименованный в алфавите </t>
  </si>
  <si>
    <t xml:space="preserve">Фольгоизол </t>
  </si>
  <si>
    <t xml:space="preserve">Шифер резиновый </t>
  </si>
  <si>
    <t xml:space="preserve">Кирпич строительный </t>
  </si>
  <si>
    <t xml:space="preserve">Кирпич бетонный </t>
  </si>
  <si>
    <t xml:space="preserve">Кирпич гидравлический </t>
  </si>
  <si>
    <t xml:space="preserve">Кирпич гипсовый </t>
  </si>
  <si>
    <t xml:space="preserve">Кирпич глиняный обыкновенный </t>
  </si>
  <si>
    <t xml:space="preserve">Кирпич глиняный пустотелый </t>
  </si>
  <si>
    <t xml:space="preserve">Кирпич - клинкер </t>
  </si>
  <si>
    <t xml:space="preserve">Кирпич лекальный, кроме огнеупорного </t>
  </si>
  <si>
    <t xml:space="preserve">Кирпич лицевой белый </t>
  </si>
  <si>
    <t xml:space="preserve">Кирпич лицевой красный </t>
  </si>
  <si>
    <t xml:space="preserve">Кирпич силикатный </t>
  </si>
  <si>
    <t xml:space="preserve">Кирпич асбоцементный </t>
  </si>
  <si>
    <t xml:space="preserve">Кирпич шлаковый </t>
  </si>
  <si>
    <t xml:space="preserve">Кирпич строительный, не поименованный в алфавите </t>
  </si>
  <si>
    <t xml:space="preserve">Кирпич пенодиатомитовый, диатомитовый и трепельный </t>
  </si>
  <si>
    <t xml:space="preserve">Конструкции (сборные), детали и изделия железобетонные </t>
  </si>
  <si>
    <t xml:space="preserve">Балки железобетонные </t>
  </si>
  <si>
    <t xml:space="preserve">Желоба для труб железобетонные </t>
  </si>
  <si>
    <t xml:space="preserve">Изделия железобетонные для сенажных башен </t>
  </si>
  <si>
    <t xml:space="preserve">Изделия железобетонные, не поименованные в алфавите </t>
  </si>
  <si>
    <t xml:space="preserve">Конструкции железобетонные </t>
  </si>
  <si>
    <t xml:space="preserve">Мачты железобетонные </t>
  </si>
  <si>
    <t xml:space="preserve">Опоры железобетонные </t>
  </si>
  <si>
    <t xml:space="preserve">Панели стеновые железобетонные </t>
  </si>
  <si>
    <t xml:space="preserve">Плиты железобетонные </t>
  </si>
  <si>
    <t>25410</t>
  </si>
  <si>
    <t xml:space="preserve">Плиты железобетонные пустотелого настила </t>
  </si>
  <si>
    <t>25411</t>
  </si>
  <si>
    <t xml:space="preserve">Плиты железобетонные, не поименованные в алфавите </t>
  </si>
  <si>
    <t>25412</t>
  </si>
  <si>
    <t xml:space="preserve">Рельсы железобетонные </t>
  </si>
  <si>
    <t>25413</t>
  </si>
  <si>
    <t xml:space="preserve">Трубы железобетонные безнапорные и их части </t>
  </si>
  <si>
    <t>25414</t>
  </si>
  <si>
    <t xml:space="preserve">Трубы железобетонные напорные и их части </t>
  </si>
  <si>
    <t>25415</t>
  </si>
  <si>
    <t xml:space="preserve">Шпалы железобетонные </t>
  </si>
  <si>
    <t xml:space="preserve">Черепица и шифер </t>
  </si>
  <si>
    <t xml:space="preserve">Листы асбестоцементные волнистые и полуволнистые </t>
  </si>
  <si>
    <t xml:space="preserve">Сланец кровельный (шифер естественный) </t>
  </si>
  <si>
    <t xml:space="preserve">Черепица кровельная, кроме металлической </t>
  </si>
  <si>
    <t xml:space="preserve">Шифер искусственный, не поименованный в алфавите </t>
  </si>
  <si>
    <t xml:space="preserve">Шифер кровельный волнистый </t>
  </si>
  <si>
    <t xml:space="preserve">Этернит (плитки и плиты асбоцементные) </t>
  </si>
  <si>
    <t xml:space="preserve">Дома сборно-разборные бесфундаментные </t>
  </si>
  <si>
    <t xml:space="preserve">Детали крупноблочных домов </t>
  </si>
  <si>
    <t xml:space="preserve">Дома (домики) садовые </t>
  </si>
  <si>
    <t xml:space="preserve">Дома сборно-разборные бесфундаментные из объемных блоков </t>
  </si>
  <si>
    <t xml:space="preserve">Дома сборно-разборные из древесностружечной плиты </t>
  </si>
  <si>
    <t xml:space="preserve">Дома со стенами из арболита </t>
  </si>
  <si>
    <t xml:space="preserve">3дания инвентарные контейнерного типа </t>
  </si>
  <si>
    <t xml:space="preserve">Киоски торговые </t>
  </si>
  <si>
    <t xml:space="preserve">Комплекты деталей для домов со стенами из арболита </t>
  </si>
  <si>
    <t xml:space="preserve">Павильоны, не поименованные в алфавите </t>
  </si>
  <si>
    <t xml:space="preserve">Юрты </t>
  </si>
  <si>
    <t xml:space="preserve">Материалы и изделия строительные промышленного производства, кроме стеновых и кровельных </t>
  </si>
  <si>
    <t xml:space="preserve">Материалы и изделия тепло- и звукоизоляционные, кроме асбестовых технических </t>
  </si>
  <si>
    <t xml:space="preserve">Асбестин </t>
  </si>
  <si>
    <t xml:space="preserve">Асбестит </t>
  </si>
  <si>
    <t xml:space="preserve">Асбозонолит </t>
  </si>
  <si>
    <t xml:space="preserve">Асбозурит </t>
  </si>
  <si>
    <t xml:space="preserve">Асботермит </t>
  </si>
  <si>
    <t xml:space="preserve">Асбофанера </t>
  </si>
  <si>
    <t xml:space="preserve">Блоки фундаментные </t>
  </si>
  <si>
    <t>Бумага изоляционная пропитанная асфальтовая, битуминизированная, кабельная, конденсаторная, смоляная, электролитическая, обработанная жидким стеклом</t>
  </si>
  <si>
    <t xml:space="preserve">Вата минеральная: стеклянная, шлаковая и др. </t>
  </si>
  <si>
    <t xml:space="preserve">Волокно стеклянное </t>
  </si>
  <si>
    <t xml:space="preserve">Вулканит в порошке </t>
  </si>
  <si>
    <t xml:space="preserve">Вулканит листовой и плиточный </t>
  </si>
  <si>
    <t xml:space="preserve">Клингерит </t>
  </si>
  <si>
    <t xml:space="preserve">Изделия асбопеколитовые, не поименованные в алфавите </t>
  </si>
  <si>
    <t xml:space="preserve">Изделия асбоцементные, не поименованные в алфавите </t>
  </si>
  <si>
    <t xml:space="preserve">Лакоткань </t>
  </si>
  <si>
    <t xml:space="preserve">Изделия газосиликатные, не поименованные в алфавите </t>
  </si>
  <si>
    <t xml:space="preserve">Листы асбопеколитовые </t>
  </si>
  <si>
    <t xml:space="preserve">Изделия из ваты минеральной - стеклянной, шлаковой </t>
  </si>
  <si>
    <t>Изделия из слюды - клапаны, отражатели, пластины, пластинки, шайбы, щеткодержатели и др.</t>
  </si>
  <si>
    <t>Изделия изоляционные, кроме асбестовых, не поименованные в алфавите</t>
  </si>
  <si>
    <t>Изделия пробковые изоляционные, не поименованные в алфавите</t>
  </si>
  <si>
    <t xml:space="preserve">Изделия совелитовые, не поименованные в алфавите </t>
  </si>
  <si>
    <t xml:space="preserve">Изделия тепло- и звукоизоляционные из стекловолокна </t>
  </si>
  <si>
    <t xml:space="preserve">Изделия теплоизоляционные перлитовые </t>
  </si>
  <si>
    <t xml:space="preserve">Листы гипсокартонные </t>
  </si>
  <si>
    <t xml:space="preserve">Масса асбестоцементная изоляционная </t>
  </si>
  <si>
    <t xml:space="preserve">Масса пробко-асбестовая изоляционная </t>
  </si>
  <si>
    <t xml:space="preserve">Масса термоустойчивая (термомасса) </t>
  </si>
  <si>
    <t>Материалы изоляционные, кроме асбестовых, не поименованные в алфавите</t>
  </si>
  <si>
    <t xml:space="preserve">Маты минераловатные </t>
  </si>
  <si>
    <t xml:space="preserve">Микалента (изоляционный материал) </t>
  </si>
  <si>
    <t xml:space="preserve">Микафолий </t>
  </si>
  <si>
    <t xml:space="preserve">Морозин </t>
  </si>
  <si>
    <t xml:space="preserve">Новоасбозурит </t>
  </si>
  <si>
    <t xml:space="preserve">Пеностекло </t>
  </si>
  <si>
    <t xml:space="preserve">Плитки из ячеистого бетона силикатные </t>
  </si>
  <si>
    <t xml:space="preserve">Плиты керамзитовые </t>
  </si>
  <si>
    <t xml:space="preserve">Плиты минераловатные на битумной связке </t>
  </si>
  <si>
    <t xml:space="preserve">Плиты минераловатные на синтетическом связующем </t>
  </si>
  <si>
    <t xml:space="preserve">Плиты минераловатные, не поименованные в алфавите </t>
  </si>
  <si>
    <t xml:space="preserve">Плиты совелитовые </t>
  </si>
  <si>
    <t xml:space="preserve">Плиты термоизоляционные из минеральной пробки </t>
  </si>
  <si>
    <t xml:space="preserve">Плиты торфяные теплоизоляционные </t>
  </si>
  <si>
    <t xml:space="preserve">Плиты фиброцементные </t>
  </si>
  <si>
    <t xml:space="preserve">Порошки теплоизоляционные, не поименованные в алфавите </t>
  </si>
  <si>
    <t xml:space="preserve">Пробки, не поименованные в алфавите </t>
  </si>
  <si>
    <t xml:space="preserve">Совелит 1754 </t>
  </si>
  <si>
    <t xml:space="preserve">Составы пробковые для изоляции </t>
  </si>
  <si>
    <t xml:space="preserve">Стекловолосит </t>
  </si>
  <si>
    <t xml:space="preserve">Стеклолента липкая </t>
  </si>
  <si>
    <t xml:space="preserve">Стеклоткань </t>
  </si>
  <si>
    <t xml:space="preserve">Фанера асбестоцементная </t>
  </si>
  <si>
    <t xml:space="preserve">Шевелин (материал изоляционный) </t>
  </si>
  <si>
    <t xml:space="preserve">Шерсть минеральная </t>
  </si>
  <si>
    <t xml:space="preserve">Экспанзит (прокладка пробковая) </t>
  </si>
  <si>
    <t xml:space="preserve">Изделия асбестовые технические </t>
  </si>
  <si>
    <t xml:space="preserve">Бумага асбестовая </t>
  </si>
  <si>
    <t xml:space="preserve">Вата асбестовая </t>
  </si>
  <si>
    <t xml:space="preserve">Войлок асбестовый </t>
  </si>
  <si>
    <t xml:space="preserve">Волокно асбестовое </t>
  </si>
  <si>
    <t xml:space="preserve">Изделия асбестовые прочие </t>
  </si>
  <si>
    <t xml:space="preserve">Изделия из асбестового картона </t>
  </si>
  <si>
    <t xml:space="preserve">Изделия из ваты асбестовой </t>
  </si>
  <si>
    <t xml:space="preserve">Канаты асбестовые </t>
  </si>
  <si>
    <t xml:space="preserve">Картон асбестовый </t>
  </si>
  <si>
    <t xml:space="preserve">Колодки тормозные асбестовые </t>
  </si>
  <si>
    <t xml:space="preserve">Лента асбестовая тормозная </t>
  </si>
  <si>
    <t xml:space="preserve">Кольца прокладочные асбестовые </t>
  </si>
  <si>
    <t xml:space="preserve">Листы асбостальные </t>
  </si>
  <si>
    <t xml:space="preserve">Масса асбестовая изоляционная </t>
  </si>
  <si>
    <t xml:space="preserve">Масса асбослюдяная изоляционная </t>
  </si>
  <si>
    <t xml:space="preserve">Материалы асбестовые, не поименованные в алфавите </t>
  </si>
  <si>
    <t xml:space="preserve">Накладки тормозные асбестовые </t>
  </si>
  <si>
    <t xml:space="preserve">Накладки тормозные асбобакелитовые </t>
  </si>
  <si>
    <t xml:space="preserve">Нити асбестовые </t>
  </si>
  <si>
    <t xml:space="preserve">Паронит </t>
  </si>
  <si>
    <t xml:space="preserve">Плиты и плитки асбестовые </t>
  </si>
  <si>
    <t xml:space="preserve">Плиты и плитки асбобакелитовые </t>
  </si>
  <si>
    <t xml:space="preserve">Плиты и плитки асбопеколитовые </t>
  </si>
  <si>
    <t xml:space="preserve">Полотно асбостальное </t>
  </si>
  <si>
    <t xml:space="preserve">Ткань асбестовая </t>
  </si>
  <si>
    <t xml:space="preserve">Трубки асбестовые всякие </t>
  </si>
  <si>
    <t xml:space="preserve">Фильтр-волокно асбестовое </t>
  </si>
  <si>
    <t xml:space="preserve">Шнуры асбестовые </t>
  </si>
  <si>
    <t xml:space="preserve">Материалы и изделия асфальтовые строительные </t>
  </si>
  <si>
    <t xml:space="preserve">Брикеты асфальтовые для дорожных покрытий </t>
  </si>
  <si>
    <t xml:space="preserve">Войлок асфальтовый </t>
  </si>
  <si>
    <t xml:space="preserve">Изделия асфальтовые, не поименованные в алфавите </t>
  </si>
  <si>
    <t xml:space="preserve">Масса асфальтовая </t>
  </si>
  <si>
    <t xml:space="preserve">Мастика асфальтовая </t>
  </si>
  <si>
    <t xml:space="preserve">Плиты и плитки асфальтовые </t>
  </si>
  <si>
    <t xml:space="preserve">Порошок асфальтовый </t>
  </si>
  <si>
    <t xml:space="preserve">Прочие материалы и изделия минерально-строительные </t>
  </si>
  <si>
    <t xml:space="preserve">Арболит </t>
  </si>
  <si>
    <t xml:space="preserve">Арки бетонные, цементные и шлаковые </t>
  </si>
  <si>
    <t xml:space="preserve">Асфальтобетон холодный (смесь асфальтобетонная холодная) </t>
  </si>
  <si>
    <t xml:space="preserve">Бетонит </t>
  </si>
  <si>
    <t xml:space="preserve">Борт (камень обработанный) </t>
  </si>
  <si>
    <t xml:space="preserve">Брусчатка литая из доменных шлаков </t>
  </si>
  <si>
    <t xml:space="preserve">Бюсты бетонные и цементные </t>
  </si>
  <si>
    <t xml:space="preserve">Вазы цементные </t>
  </si>
  <si>
    <t xml:space="preserve">Дорсил (щебень искусственный) </t>
  </si>
  <si>
    <t xml:space="preserve">Доски асбестоцементные ацзид </t>
  </si>
  <si>
    <t xml:space="preserve">Желоба для труб асбестоцементные </t>
  </si>
  <si>
    <t xml:space="preserve">Желоба для труб бетоноцементные </t>
  </si>
  <si>
    <t xml:space="preserve">Желоба для труб литоидовые </t>
  </si>
  <si>
    <t xml:space="preserve">Желоба для труб цементные </t>
  </si>
  <si>
    <t xml:space="preserve">Изделия бетонные, не поименованные в алфавите </t>
  </si>
  <si>
    <t>Изделия гипсоволокнистые и гипсовые, не поименованные в алфавите</t>
  </si>
  <si>
    <t xml:space="preserve">Изделия диабазовые, не поименованные в алфавите </t>
  </si>
  <si>
    <t xml:space="preserve">Изделия ксилолитовые, не поименованные в алфавите </t>
  </si>
  <si>
    <t xml:space="preserve">Изделия литоидовые, не поименованные в алфавите </t>
  </si>
  <si>
    <t>Изделия мраморные строительные, не поименованные в алфавите</t>
  </si>
  <si>
    <t>Изделия строительные из камня искусственного, не поименованные в алфавите</t>
  </si>
  <si>
    <t>Изделия строительные из камня природного, не поименованные в алфавите</t>
  </si>
  <si>
    <t xml:space="preserve">Изделия терракотовые, не поименованные в алфавите </t>
  </si>
  <si>
    <t xml:space="preserve">Изделия фибролитовые, не поименованные в алфавите </t>
  </si>
  <si>
    <t xml:space="preserve">Изделия цементно-бетонные, не поименованные в алфавите </t>
  </si>
  <si>
    <t xml:space="preserve">Изделия цементные, не поименованные в алфавите </t>
  </si>
  <si>
    <t xml:space="preserve">Изделия шлакобетонные, не поименованные в алфавите </t>
  </si>
  <si>
    <t xml:space="preserve">Камни сборные бордюрные </t>
  </si>
  <si>
    <t xml:space="preserve">Колонны из камня искусственного </t>
  </si>
  <si>
    <t xml:space="preserve">Колонны из камня природного </t>
  </si>
  <si>
    <t xml:space="preserve">Ксилолит (стройматериал) </t>
  </si>
  <si>
    <t xml:space="preserve">Кубики для мостовых из камня </t>
  </si>
  <si>
    <t xml:space="preserve">Кукермит (заполнитель асфальтобетонной смеси) </t>
  </si>
  <si>
    <t>Материалы строительные, кроме железобетонных, не поименованные в алфавите</t>
  </si>
  <si>
    <t>Памятники из камня природного, не поименованные в алфавите</t>
  </si>
  <si>
    <t xml:space="preserve">Скульптуры бетонные и цементные </t>
  </si>
  <si>
    <t xml:space="preserve">Ступени из камня искусственного </t>
  </si>
  <si>
    <t xml:space="preserve">Трубы и муфты асбоцементные </t>
  </si>
  <si>
    <t xml:space="preserve">Трубы из камня искусственного </t>
  </si>
  <si>
    <t xml:space="preserve">Фибролит </t>
  </si>
  <si>
    <t xml:space="preserve">Фильтры керамические </t>
  </si>
  <si>
    <t xml:space="preserve">Цемензит </t>
  </si>
  <si>
    <t xml:space="preserve">Церезит </t>
  </si>
  <si>
    <t xml:space="preserve">Шашка из камня грубоколотого </t>
  </si>
  <si>
    <t xml:space="preserve">Трубы керамические </t>
  </si>
  <si>
    <t xml:space="preserve">Трубы керамические дренажные </t>
  </si>
  <si>
    <t xml:space="preserve">Трубы керамические канализационные </t>
  </si>
  <si>
    <t xml:space="preserve">Материалы и инструменты абразивные </t>
  </si>
  <si>
    <t xml:space="preserve">Бруски абразивные </t>
  </si>
  <si>
    <t xml:space="preserve">Бруски точильные </t>
  </si>
  <si>
    <t xml:space="preserve">Бруски шлифовальные </t>
  </si>
  <si>
    <t xml:space="preserve">Бумага наждачная (шкурки для полировки и чистки) </t>
  </si>
  <si>
    <t xml:space="preserve">Жернова </t>
  </si>
  <si>
    <t xml:space="preserve">Головки шлифовальные абразивные </t>
  </si>
  <si>
    <t xml:space="preserve">Изделия абразивные, не поименованные в алфавите </t>
  </si>
  <si>
    <t xml:space="preserve">Изделия карборундовые, не поименованные в алфавите </t>
  </si>
  <si>
    <t xml:space="preserve">Инструмент абразивный, не поименованный в алфавите </t>
  </si>
  <si>
    <t xml:space="preserve">Камни дефибрерные (для измельчения древесины) </t>
  </si>
  <si>
    <t xml:space="preserve">Крокус </t>
  </si>
  <si>
    <t xml:space="preserve">Круги карборундовые </t>
  </si>
  <si>
    <t xml:space="preserve">Круги шлифовальные абразивные всех профилей </t>
  </si>
  <si>
    <t xml:space="preserve">Порошки для бурения, полировки и шлифовки </t>
  </si>
  <si>
    <t xml:space="preserve">Сегменты шлифовальные </t>
  </si>
  <si>
    <t xml:space="preserve">Стекло техническое и строительное </t>
  </si>
  <si>
    <t xml:space="preserve">Блоки стеклянные </t>
  </si>
  <si>
    <t xml:space="preserve">Зеркала </t>
  </si>
  <si>
    <t xml:space="preserve">Кирпич стеклянный полый </t>
  </si>
  <si>
    <t xml:space="preserve">Крошка стеклянная </t>
  </si>
  <si>
    <t xml:space="preserve">Плиты и плитки стеклянные </t>
  </si>
  <si>
    <t xml:space="preserve">Смальта (стекло для мозаичных работ) </t>
  </si>
  <si>
    <t xml:space="preserve">Стекла автомобильные </t>
  </si>
  <si>
    <t xml:space="preserve">Стекла оптические и часовые </t>
  </si>
  <si>
    <t xml:space="preserve">Стекло "триплекс" </t>
  </si>
  <si>
    <t xml:space="preserve">Стекло для крыш, стен, потолков всякое </t>
  </si>
  <si>
    <t xml:space="preserve">Стекло зеркальное </t>
  </si>
  <si>
    <t xml:space="preserve">Стекло листовое, не поименованное в алфавите </t>
  </si>
  <si>
    <t xml:space="preserve">Стекло мусселиновое и настольное "фурко" </t>
  </si>
  <si>
    <t>Стекло техническое и строительное, не поименованное в алфавите</t>
  </si>
  <si>
    <t xml:space="preserve">Трубы стеклянные </t>
  </si>
  <si>
    <t xml:space="preserve">Изделия санитарные и керамические </t>
  </si>
  <si>
    <t xml:space="preserve">Бачки смывные полуфарфоровые </t>
  </si>
  <si>
    <t xml:space="preserve">Бачки смывные фаянсовые </t>
  </si>
  <si>
    <t xml:space="preserve">Ванны фаянсовые </t>
  </si>
  <si>
    <t>Изделия санитарные из полуфарфора и фаянса, не поименованные в алфавите</t>
  </si>
  <si>
    <t xml:space="preserve">Раковины полуфарфоровые </t>
  </si>
  <si>
    <t xml:space="preserve">Умывальники фаянсовые </t>
  </si>
  <si>
    <t xml:space="preserve">Унитазы полуфарфоровые </t>
  </si>
  <si>
    <t xml:space="preserve">Унитазы фаянсовые </t>
  </si>
  <si>
    <t xml:space="preserve">Шлаки гранулированные </t>
  </si>
  <si>
    <t xml:space="preserve">Цемент </t>
  </si>
  <si>
    <t xml:space="preserve">Замазка цементная </t>
  </si>
  <si>
    <t xml:space="preserve">Портландцемент декоративный </t>
  </si>
  <si>
    <t xml:space="preserve">Портландцемент пуццолановый </t>
  </si>
  <si>
    <t xml:space="preserve">Портландцемент строительный М-400 </t>
  </si>
  <si>
    <t xml:space="preserve">Портландцемент строительный М-300 </t>
  </si>
  <si>
    <t xml:space="preserve">Портландцемент строительный экспортный (БСС) М-600 и выше </t>
  </si>
  <si>
    <t xml:space="preserve">Портландцемент строительный экспортный (БСС) М-400 </t>
  </si>
  <si>
    <t xml:space="preserve">Портландцемент строительный экспортный (БСС) М-500 </t>
  </si>
  <si>
    <t xml:space="preserve">Портландцемент строительный М-700 и выше </t>
  </si>
  <si>
    <t xml:space="preserve">Портландцемент строительный М-600 </t>
  </si>
  <si>
    <t xml:space="preserve">Портландцемент строительный М-500 </t>
  </si>
  <si>
    <t xml:space="preserve">Спеццемент для бурения </t>
  </si>
  <si>
    <t xml:space="preserve">Термоцемент </t>
  </si>
  <si>
    <t xml:space="preserve">Цемент водонепроницаемый расширяющийся </t>
  </si>
  <si>
    <t xml:space="preserve">Цемент всякий марки до 400 в таре </t>
  </si>
  <si>
    <t xml:space="preserve">Цемент гипсоглиноземистый М-300, М-400 </t>
  </si>
  <si>
    <t xml:space="preserve">Цемент глиноземистый разных марок </t>
  </si>
  <si>
    <t xml:space="preserve">Цемент, не поименованный в алфавите </t>
  </si>
  <si>
    <t xml:space="preserve">Цемент тампонажный </t>
  </si>
  <si>
    <t xml:space="preserve">Шлакопортландцемент М-200, М-300, М-400 </t>
  </si>
  <si>
    <t xml:space="preserve">Флюсы </t>
  </si>
  <si>
    <t xml:space="preserve">Известняк флюсовый, доломит сырой </t>
  </si>
  <si>
    <t xml:space="preserve">Доломит для стекольной промышленности </t>
  </si>
  <si>
    <t xml:space="preserve">Доломит сырой металлургический </t>
  </si>
  <si>
    <t xml:space="preserve">Известняк для флюсования </t>
  </si>
  <si>
    <t>Мука доломитовая, кроме перевозимой для известкования почв</t>
  </si>
  <si>
    <t xml:space="preserve">Флюсы, не поименованные в алфавите </t>
  </si>
  <si>
    <t xml:space="preserve">Гипс, известь и мел для флюсования </t>
  </si>
  <si>
    <t xml:space="preserve">Гипс для флюсования </t>
  </si>
  <si>
    <t xml:space="preserve">Известь для флюсования </t>
  </si>
  <si>
    <t xml:space="preserve">Мел для флюсования </t>
  </si>
  <si>
    <t xml:space="preserve">Огнеупоры, асбест и слюда </t>
  </si>
  <si>
    <t xml:space="preserve">Сырье огнеупорное и кислотоупорное </t>
  </si>
  <si>
    <t>Глина кислотоупорная и огнеупорная, не поименованная в алфавите</t>
  </si>
  <si>
    <t xml:space="preserve">Глины тугоплавкие </t>
  </si>
  <si>
    <t xml:space="preserve">Динас </t>
  </si>
  <si>
    <t xml:space="preserve">Дунит </t>
  </si>
  <si>
    <t xml:space="preserve">Кварциты, кроме бакальских, криворожских и КМА </t>
  </si>
  <si>
    <t xml:space="preserve">Лом огнеупорных изделий </t>
  </si>
  <si>
    <t xml:space="preserve">Магнезит сырой для производства огнеупорных материалов </t>
  </si>
  <si>
    <t xml:space="preserve">Оливинит </t>
  </si>
  <si>
    <t xml:space="preserve">Шамот кусковой </t>
  </si>
  <si>
    <t xml:space="preserve">Кирпич огнеупорный </t>
  </si>
  <si>
    <t xml:space="preserve">Кирпич динасовый </t>
  </si>
  <si>
    <t xml:space="preserve">Кирпич шамотный, не поименованный в алфавите </t>
  </si>
  <si>
    <t>Кирпич кислотоупорный и огнеупорный (бокситовый, магнезитовый, сифонный, тальковый, фасонный, хромомагнезитовый и др.), не поименованный в алфавите</t>
  </si>
  <si>
    <t xml:space="preserve">Кирпич шамотный марки "ША" </t>
  </si>
  <si>
    <t xml:space="preserve">Кирпич шамотный марки "ШБ" </t>
  </si>
  <si>
    <t xml:space="preserve">Кирпич шамотный марки "ШВ" </t>
  </si>
  <si>
    <t>Материалы и изделия огнеупорные и кислотоупорные, кроме кирпича огнеупорного</t>
  </si>
  <si>
    <t xml:space="preserve">Доломит обожженный металлургический </t>
  </si>
  <si>
    <t xml:space="preserve">Изделия андезитовые </t>
  </si>
  <si>
    <t xml:space="preserve">Изделия графитовые </t>
  </si>
  <si>
    <t xml:space="preserve">Изделия диатомовые, не поименованные в алфавите </t>
  </si>
  <si>
    <t xml:space="preserve">Изделия динасовые, не поименованные в алфавите </t>
  </si>
  <si>
    <t>Изделия кислотоупорные и огнеупорные, не поименованные в алфавите</t>
  </si>
  <si>
    <t xml:space="preserve">Изделия кислотоупорные неметаллические </t>
  </si>
  <si>
    <t xml:space="preserve">Изделия магнезито-хромитовые (периклазо-хромитовые) </t>
  </si>
  <si>
    <t xml:space="preserve">Изделия магнезитовые </t>
  </si>
  <si>
    <t xml:space="preserve">Изделия огнеупорные карбидкремниевые </t>
  </si>
  <si>
    <t xml:space="preserve">Изделия форстеритовые, кроме кирпича огнеупорного </t>
  </si>
  <si>
    <t xml:space="preserve">Изделия шамотные, не поименованные в алфавите </t>
  </si>
  <si>
    <t xml:space="preserve">Камень шамотный </t>
  </si>
  <si>
    <t xml:space="preserve">Литье диабазовое </t>
  </si>
  <si>
    <t xml:space="preserve">Мертели </t>
  </si>
  <si>
    <t xml:space="preserve">Муллит </t>
  </si>
  <si>
    <t xml:space="preserve">Муфели глиняные </t>
  </si>
  <si>
    <t xml:space="preserve">Пеношамот </t>
  </si>
  <si>
    <t xml:space="preserve">Плиты вулканитовые </t>
  </si>
  <si>
    <t xml:space="preserve">Плиты и плитки диабазовые огнеупорные </t>
  </si>
  <si>
    <t xml:space="preserve">Плиты и плитки магнезитовые </t>
  </si>
  <si>
    <t xml:space="preserve">Порошок асбошиферный </t>
  </si>
  <si>
    <t xml:space="preserve">Порошок дунитовый </t>
  </si>
  <si>
    <t xml:space="preserve">Порошок магнезитовый металлургический </t>
  </si>
  <si>
    <t xml:space="preserve">Порошок хромитовый огнеупорный </t>
  </si>
  <si>
    <t xml:space="preserve">Порошок шамотный всякий </t>
  </si>
  <si>
    <t xml:space="preserve">Сегменты диатомитовые </t>
  </si>
  <si>
    <t xml:space="preserve">Составы огнеупорные всякие </t>
  </si>
  <si>
    <t xml:space="preserve">Стеклобрус огнеупорный (брус каолиновый, муллитовый) </t>
  </si>
  <si>
    <t xml:space="preserve">Стержни селитовые </t>
  </si>
  <si>
    <t xml:space="preserve">Термоблок (камень цементно-диатомитошлаковый) </t>
  </si>
  <si>
    <t xml:space="preserve">Террафазерит </t>
  </si>
  <si>
    <t xml:space="preserve">Тигли графитовые огнеупорные </t>
  </si>
  <si>
    <t xml:space="preserve">Тигли керамические огнеупорные </t>
  </si>
  <si>
    <t xml:space="preserve">Тигли шамотные огнеупорные </t>
  </si>
  <si>
    <t xml:space="preserve">Электроды селитовые нагревательные </t>
  </si>
  <si>
    <t xml:space="preserve">Асбест и слюда </t>
  </si>
  <si>
    <t xml:space="preserve">Асбест </t>
  </si>
  <si>
    <t xml:space="preserve">Вермикулит (слюда) </t>
  </si>
  <si>
    <t xml:space="preserve">Галь асбестовая </t>
  </si>
  <si>
    <t xml:space="preserve">Глимер (слюда) </t>
  </si>
  <si>
    <t xml:space="preserve">Крошка слюдяная </t>
  </si>
  <si>
    <t xml:space="preserve">Мелочь слюдяная </t>
  </si>
  <si>
    <t xml:space="preserve">Миканит (слюда прессованная) </t>
  </si>
  <si>
    <t>Отходы асбестовые (крошка, пыль), не поименованные в алфавите</t>
  </si>
  <si>
    <t xml:space="preserve">Серпентиниты (отходы асбестовой промышленности) </t>
  </si>
  <si>
    <t xml:space="preserve">Слюда всякая, не поименованная в алфавите </t>
  </si>
  <si>
    <t xml:space="preserve">Раздел 6. Продукция металлургической промышленности </t>
  </si>
  <si>
    <t>31000</t>
  </si>
  <si>
    <t xml:space="preserve">Металлы черные </t>
  </si>
  <si>
    <t xml:space="preserve">Чугун </t>
  </si>
  <si>
    <t xml:space="preserve">Чугун зеркальный </t>
  </si>
  <si>
    <t xml:space="preserve">Чугун литейный фосфористый </t>
  </si>
  <si>
    <t xml:space="preserve">Чугун литейный, не поименованный в алфавите </t>
  </si>
  <si>
    <t xml:space="preserve">Чугун передельный высококачественный </t>
  </si>
  <si>
    <t xml:space="preserve">Чугун литейный высокомарганцевистый </t>
  </si>
  <si>
    <t xml:space="preserve">Чугун передельный рядовой </t>
  </si>
  <si>
    <t xml:space="preserve">Чугун передельный фосфористый </t>
  </si>
  <si>
    <t xml:space="preserve">Чугун, не поименованный в алфавите </t>
  </si>
  <si>
    <t xml:space="preserve">Сталь в слитках </t>
  </si>
  <si>
    <t xml:space="preserve">Болванки стальные литые </t>
  </si>
  <si>
    <t xml:space="preserve">Слитки стальные блюминговые </t>
  </si>
  <si>
    <t xml:space="preserve">Слитки стальные весом до 3 т </t>
  </si>
  <si>
    <t xml:space="preserve">Слитки стальные шихтовые </t>
  </si>
  <si>
    <t xml:space="preserve">Слитки стальные, не поименованные в алфавите </t>
  </si>
  <si>
    <t xml:space="preserve">Ферросплавы </t>
  </si>
  <si>
    <t xml:space="preserve">Биметаллы с основой из черных металлов </t>
  </si>
  <si>
    <t xml:space="preserve">Кремний кристаллический (ферросплав) </t>
  </si>
  <si>
    <t xml:space="preserve">Марганец металлический </t>
  </si>
  <si>
    <t xml:space="preserve">Силикокальций </t>
  </si>
  <si>
    <t xml:space="preserve">Силикомарганец </t>
  </si>
  <si>
    <t xml:space="preserve">Силикохром </t>
  </si>
  <si>
    <t>31307</t>
  </si>
  <si>
    <t xml:space="preserve">Ферросилиций с массовой долей кремния от 30 до 90% </t>
  </si>
  <si>
    <t>31308</t>
  </si>
  <si>
    <t xml:space="preserve">Ферросплавы, не поименованные в алфавите </t>
  </si>
  <si>
    <t>31309</t>
  </si>
  <si>
    <t xml:space="preserve">Хром металлический </t>
  </si>
  <si>
    <t xml:space="preserve">Заголовки стальные </t>
  </si>
  <si>
    <t xml:space="preserve">Блюмсы </t>
  </si>
  <si>
    <t xml:space="preserve">Заготовка для переката качественная </t>
  </si>
  <si>
    <t xml:space="preserve">Заготовка для переката рядовая </t>
  </si>
  <si>
    <t xml:space="preserve">Заготовка осевая и кузнечная </t>
  </si>
  <si>
    <t xml:space="preserve">Заготовка стальная, не поименованная в алфавите </t>
  </si>
  <si>
    <t xml:space="preserve">Заготовка трубная </t>
  </si>
  <si>
    <t xml:space="preserve">Слябы (заготовки стальные) </t>
  </si>
  <si>
    <t xml:space="preserve">Сутунка (катанка) </t>
  </si>
  <si>
    <t xml:space="preserve">Прочие черные материалы </t>
  </si>
  <si>
    <t xml:space="preserve">Металлы черные, не поименованные в алфавите </t>
  </si>
  <si>
    <t xml:space="preserve">Порошок железный </t>
  </si>
  <si>
    <t xml:space="preserve">Сталь "серебрянка" </t>
  </si>
  <si>
    <t xml:space="preserve">Лом черных металлов </t>
  </si>
  <si>
    <t xml:space="preserve">Брикеты из стальной стружки </t>
  </si>
  <si>
    <t xml:space="preserve">Брикеты из чугунной стружки </t>
  </si>
  <si>
    <t xml:space="preserve">Лом и отходы стальные негабаритные </t>
  </si>
  <si>
    <t xml:space="preserve">Лом и отходы чугунные негабаритные </t>
  </si>
  <si>
    <t xml:space="preserve">Лом стальной сборный </t>
  </si>
  <si>
    <t xml:space="preserve">Лом черных металлов для пакетирования </t>
  </si>
  <si>
    <t xml:space="preserve">Лом черных металлов, не поименованный в алфавите </t>
  </si>
  <si>
    <t xml:space="preserve">Обрезь черных металлов от прокатного производства </t>
  </si>
  <si>
    <t xml:space="preserve">Окалина черных металлов </t>
  </si>
  <si>
    <t xml:space="preserve">Пакеты из легковесных стальных отходов и лома </t>
  </si>
  <si>
    <t xml:space="preserve">Присад доменный </t>
  </si>
  <si>
    <t xml:space="preserve">Рельсы - лом </t>
  </si>
  <si>
    <t xml:space="preserve">Стружка доменная, мартеновская </t>
  </si>
  <si>
    <t xml:space="preserve">Стружка стальная вьюнообразная </t>
  </si>
  <si>
    <t xml:space="preserve">Стружка черных металлов, не поименованная в алфавите </t>
  </si>
  <si>
    <t xml:space="preserve">Шлак сварочный </t>
  </si>
  <si>
    <t>31617</t>
  </si>
  <si>
    <t xml:space="preserve">Опилки и стружки металлические, подверженные самонагреванию </t>
  </si>
  <si>
    <t xml:space="preserve">Прокат черных металлов </t>
  </si>
  <si>
    <t xml:space="preserve">Рельсы </t>
  </si>
  <si>
    <t xml:space="preserve">Рельсы металлические новые Р-50 </t>
  </si>
  <si>
    <t xml:space="preserve">Рельсы металлические новые Р-65 </t>
  </si>
  <si>
    <t xml:space="preserve">Рельсы металлические новые Р-75 </t>
  </si>
  <si>
    <t xml:space="preserve">Рельсы металлические новые, не поименованные в алфавите </t>
  </si>
  <si>
    <t xml:space="preserve">Рельсы металлические старые </t>
  </si>
  <si>
    <t xml:space="preserve">Решетка путевая (звенья верхнего строения ж.д. пути на шпалах) </t>
  </si>
  <si>
    <t xml:space="preserve">Балки и швеллеры </t>
  </si>
  <si>
    <t xml:space="preserve">Балки и швеллеры N 10 - 12 </t>
  </si>
  <si>
    <t xml:space="preserve">Балки и швеллеры N 14 </t>
  </si>
  <si>
    <t xml:space="preserve">Балки и швеллеры N 16 - 18 </t>
  </si>
  <si>
    <t xml:space="preserve">Балки и швеллеры N 20 и более </t>
  </si>
  <si>
    <t xml:space="preserve">Балки стальные несклепанные, не поименованные в алфавите </t>
  </si>
  <si>
    <t xml:space="preserve">Швеллеры N 5, 8 </t>
  </si>
  <si>
    <t xml:space="preserve">Швеллеры N 6, 5 </t>
  </si>
  <si>
    <t xml:space="preserve">Швеллеры металлические, не поименованные в алфавите </t>
  </si>
  <si>
    <t xml:space="preserve">Трубы из черных металлов </t>
  </si>
  <si>
    <t xml:space="preserve">Змеевики стальные </t>
  </si>
  <si>
    <t xml:space="preserve">Трубы бесшовные </t>
  </si>
  <si>
    <t xml:space="preserve">Трубы водогазопроводные оцинкованные и их части </t>
  </si>
  <si>
    <t xml:space="preserve">Трубы водогазопроводные прочие и их части </t>
  </si>
  <si>
    <t xml:space="preserve">Трубы металлические, не поименованные в алфавите </t>
  </si>
  <si>
    <t xml:space="preserve">Трубы нержавеющие </t>
  </si>
  <si>
    <t xml:space="preserve">Трубы стальные сварные большого диаметра (400 - 1420 мм) </t>
  </si>
  <si>
    <t xml:space="preserve">Трубы стальные с неметаллическими покрытиями и их части </t>
  </si>
  <si>
    <t xml:space="preserve">Трубы чугунные и их части </t>
  </si>
  <si>
    <t xml:space="preserve">Прочие виды проката черных металлов </t>
  </si>
  <si>
    <t xml:space="preserve">Бандажи из черных металлов </t>
  </si>
  <si>
    <t xml:space="preserve">Жесть всякая </t>
  </si>
  <si>
    <t xml:space="preserve">Катанка стальная </t>
  </si>
  <si>
    <t xml:space="preserve">Колеса вагонные и локомотивные новые цельнокатанные </t>
  </si>
  <si>
    <t xml:space="preserve">Лента стальная горячекатаная </t>
  </si>
  <si>
    <t xml:space="preserve">Лента стальная холоднокатаная </t>
  </si>
  <si>
    <t xml:space="preserve">Металлопласт </t>
  </si>
  <si>
    <t>Полоса стальная всякая (сталь полосовая), не поименованная в алфавите</t>
  </si>
  <si>
    <t xml:space="preserve">Провод многожильный стальной </t>
  </si>
  <si>
    <t xml:space="preserve">Проволока стальная (в том числе покрытая другими металлами) </t>
  </si>
  <si>
    <t xml:space="preserve">Прокат черных металлов, не поименованный в алфавите </t>
  </si>
  <si>
    <t xml:space="preserve">Профили гнутые стальные </t>
  </si>
  <si>
    <t xml:space="preserve">Профили стальные фасонные высокой точности </t>
  </si>
  <si>
    <t xml:space="preserve">Сталь из прецизионных сплавов </t>
  </si>
  <si>
    <t xml:space="preserve">Сталь листовая кровельная, в том числе оцинкованная </t>
  </si>
  <si>
    <t xml:space="preserve">Сталь листовая, не поименованная в алфавите </t>
  </si>
  <si>
    <t xml:space="preserve">Сталь листовая трансформаторная </t>
  </si>
  <si>
    <t xml:space="preserve">Сталь сортовая </t>
  </si>
  <si>
    <t xml:space="preserve">Сталь тонколистовая </t>
  </si>
  <si>
    <t xml:space="preserve">Стойки рудничные металлические </t>
  </si>
  <si>
    <t xml:space="preserve">Шары стальные помольные </t>
  </si>
  <si>
    <t xml:space="preserve">Шпунты металлические </t>
  </si>
  <si>
    <t xml:space="preserve">Штрипсы листовые </t>
  </si>
  <si>
    <t xml:space="preserve">Штрипсы сортовые </t>
  </si>
  <si>
    <t xml:space="preserve">Металлы цветные </t>
  </si>
  <si>
    <t xml:space="preserve">Металлы цветные и их сплавы </t>
  </si>
  <si>
    <t xml:space="preserve">Алюминий </t>
  </si>
  <si>
    <t xml:space="preserve">Алюминий порошок непокрытый </t>
  </si>
  <si>
    <t xml:space="preserve">Баббиты, не поименованные в алфавите </t>
  </si>
  <si>
    <t xml:space="preserve">Бавик (сплав цинковый) </t>
  </si>
  <si>
    <t xml:space="preserve">Биметаллы с основой из цветных металлов </t>
  </si>
  <si>
    <t xml:space="preserve">Бронза </t>
  </si>
  <si>
    <t xml:space="preserve">Ванадий </t>
  </si>
  <si>
    <t xml:space="preserve">Веркблей </t>
  </si>
  <si>
    <t xml:space="preserve">Висмут </t>
  </si>
  <si>
    <t xml:space="preserve">Вольфрам </t>
  </si>
  <si>
    <t xml:space="preserve">Галлий </t>
  </si>
  <si>
    <t xml:space="preserve">Гарт </t>
  </si>
  <si>
    <t xml:space="preserve">Гартблей </t>
  </si>
  <si>
    <t xml:space="preserve">Гафний </t>
  </si>
  <si>
    <t xml:space="preserve">Германий </t>
  </si>
  <si>
    <t xml:space="preserve">Дюралюминий </t>
  </si>
  <si>
    <t xml:space="preserve">Индий </t>
  </si>
  <si>
    <t xml:space="preserve">Кадмий (металл) </t>
  </si>
  <si>
    <t xml:space="preserve">Кобальт </t>
  </si>
  <si>
    <t xml:space="preserve">Константан </t>
  </si>
  <si>
    <t xml:space="preserve">Латунь </t>
  </si>
  <si>
    <t xml:space="preserve">Лигатура цветных металлов </t>
  </si>
  <si>
    <t xml:space="preserve">Литий </t>
  </si>
  <si>
    <t xml:space="preserve">Магний-порошок </t>
  </si>
  <si>
    <t xml:space="preserve">Медь </t>
  </si>
  <si>
    <t xml:space="preserve">Мельхиор </t>
  </si>
  <si>
    <t xml:space="preserve">Металлы драгоценные и их сплавы, не поименованые в алфавите </t>
  </si>
  <si>
    <t>Металлы цветные в болванках, заготовках, слитках, чушках, не поименованные в алфавите</t>
  </si>
  <si>
    <t xml:space="preserve">Молибден металлический </t>
  </si>
  <si>
    <t xml:space="preserve">Никель </t>
  </si>
  <si>
    <t xml:space="preserve">Ниобий </t>
  </si>
  <si>
    <t xml:space="preserve">Нихром </t>
  </si>
  <si>
    <t xml:space="preserve">Олово </t>
  </si>
  <si>
    <t xml:space="preserve">Победит </t>
  </si>
  <si>
    <t xml:space="preserve">Порошки цветных металлов </t>
  </si>
  <si>
    <t xml:space="preserve">Поталь </t>
  </si>
  <si>
    <t xml:space="preserve">Припои </t>
  </si>
  <si>
    <t xml:space="preserve">Ртуть 2809 </t>
  </si>
  <si>
    <t xml:space="preserve">Свинец </t>
  </si>
  <si>
    <t xml:space="preserve">Селен </t>
  </si>
  <si>
    <t xml:space="preserve">Серебро сусальное </t>
  </si>
  <si>
    <t xml:space="preserve">Силумин </t>
  </si>
  <si>
    <t xml:space="preserve">Сплавы для подшипников </t>
  </si>
  <si>
    <t xml:space="preserve">Сплавы для типографских шрифтов </t>
  </si>
  <si>
    <t xml:space="preserve">Сурьма </t>
  </si>
  <si>
    <t>Сплавы цветных металлов в болванках, слитках, чушках, не поименованные в алфавите</t>
  </si>
  <si>
    <t xml:space="preserve">Таллий </t>
  </si>
  <si>
    <t xml:space="preserve">Теллур </t>
  </si>
  <si>
    <t xml:space="preserve">Термит </t>
  </si>
  <si>
    <t xml:space="preserve">Тиноль </t>
  </si>
  <si>
    <t xml:space="preserve">Титан губчатый </t>
  </si>
  <si>
    <t xml:space="preserve">Титано-вольфрам </t>
  </si>
  <si>
    <t xml:space="preserve">Томпак </t>
  </si>
  <si>
    <t xml:space="preserve">Цинк </t>
  </si>
  <si>
    <t xml:space="preserve">Цирконий-порошок </t>
  </si>
  <si>
    <t xml:space="preserve">Прокат цветных металлов </t>
  </si>
  <si>
    <t xml:space="preserve">Катанка алюминиевая, латунная, медная </t>
  </si>
  <si>
    <t xml:space="preserve">Проволока из цветных металлов неизолированная </t>
  </si>
  <si>
    <t xml:space="preserve">Прокат алюминиевый, не поименованный в алфавите </t>
  </si>
  <si>
    <t xml:space="preserve">Прокат биметаллов </t>
  </si>
  <si>
    <t xml:space="preserve">Прокат бронзовый </t>
  </si>
  <si>
    <t xml:space="preserve">Прокат ванадиевый </t>
  </si>
  <si>
    <t xml:space="preserve">Прокат вольфрамовый </t>
  </si>
  <si>
    <t xml:space="preserve">Прокат драгоценных металлов </t>
  </si>
  <si>
    <t xml:space="preserve">Прокат кадмиевый </t>
  </si>
  <si>
    <t xml:space="preserve">Прокат кобальтовый </t>
  </si>
  <si>
    <t xml:space="preserve">Прокат латунный, не поименованный в алфавите </t>
  </si>
  <si>
    <t xml:space="preserve">Прокат магниевый </t>
  </si>
  <si>
    <t xml:space="preserve">Прокат медно-никелевый </t>
  </si>
  <si>
    <t xml:space="preserve">Прокат медный, не поименованный в алфавите </t>
  </si>
  <si>
    <t xml:space="preserve">Прокат молибденовый </t>
  </si>
  <si>
    <t xml:space="preserve">Прокат никелевый </t>
  </si>
  <si>
    <t xml:space="preserve">Прокат оловянный </t>
  </si>
  <si>
    <t xml:space="preserve">Прокат свинцовый </t>
  </si>
  <si>
    <t xml:space="preserve">Прокат титановый </t>
  </si>
  <si>
    <t xml:space="preserve">Прокат цветных металлов, не поименованный в алфавите </t>
  </si>
  <si>
    <t xml:space="preserve">Прокат цинковый </t>
  </si>
  <si>
    <t xml:space="preserve">Профили из цветных металлов и их сплавов </t>
  </si>
  <si>
    <t xml:space="preserve">Прутки из цветных металлов </t>
  </si>
  <si>
    <t xml:space="preserve">Фольга </t>
  </si>
  <si>
    <t xml:space="preserve">Лом и отходы цветных металлов </t>
  </si>
  <si>
    <t xml:space="preserve">Гартцинк (изгарь цинковая) </t>
  </si>
  <si>
    <t xml:space="preserve">Глет аккумуляторного свинца </t>
  </si>
  <si>
    <t xml:space="preserve">Лом биметаллов с основой из цветных металлов </t>
  </si>
  <si>
    <t xml:space="preserve">Лом и отходы цветных металлов, не поименованные в алфавите </t>
  </si>
  <si>
    <t xml:space="preserve">Обрезки и обрубки цветных металлов </t>
  </si>
  <si>
    <t xml:space="preserve">Окалина цветных металлов </t>
  </si>
  <si>
    <t xml:space="preserve">Опилки цветных металлов </t>
  </si>
  <si>
    <t xml:space="preserve">Стружка цветных металлов и их сплавов </t>
  </si>
  <si>
    <t xml:space="preserve">Шлаки металлургические для переплавки </t>
  </si>
  <si>
    <t xml:space="preserve">Кеки (отходы концентратов цветных руд) </t>
  </si>
  <si>
    <t xml:space="preserve">Огарки железных руд </t>
  </si>
  <si>
    <t xml:space="preserve">Огарки колчеданные (пиритов) </t>
  </si>
  <si>
    <t xml:space="preserve">Огарки цветных руд </t>
  </si>
  <si>
    <t xml:space="preserve">Шлаки ванадиевого производства </t>
  </si>
  <si>
    <t xml:space="preserve">Шлаки магниевого производства </t>
  </si>
  <si>
    <t xml:space="preserve">Шлаки мартеновские </t>
  </si>
  <si>
    <t>Шлаки металлургические для переплавки, не поименованные в алфавите</t>
  </si>
  <si>
    <t xml:space="preserve">Шлаки, содержащие цветные металлы </t>
  </si>
  <si>
    <t xml:space="preserve">Раздел 7. Продукция машиностроения, приборостроения и металлообрабатывающей промышленности </t>
  </si>
  <si>
    <t xml:space="preserve">Машины и оборудование, кроме машин сельскохозяйственных </t>
  </si>
  <si>
    <t xml:space="preserve">Машины, оборудование и их части, кроме машин сельско-хозяйственных </t>
  </si>
  <si>
    <t xml:space="preserve">Вальцы всех видов металлические </t>
  </si>
  <si>
    <t xml:space="preserve">Кессоны </t>
  </si>
  <si>
    <t xml:space="preserve">Машины для землеройных и мелиоративных работ </t>
  </si>
  <si>
    <t>Машины и оборудование строительные, дорожные и торфяной промышленности</t>
  </si>
  <si>
    <t xml:space="preserve">Машины швейные бытовые </t>
  </si>
  <si>
    <t xml:space="preserve">Насосы, не поименованные в алфавите </t>
  </si>
  <si>
    <t xml:space="preserve">Оборудование деревообрабатывающее и запасные части к нему </t>
  </si>
  <si>
    <t xml:space="preserve">Оборудование горно-шахтное и запасные части к нему </t>
  </si>
  <si>
    <t>Оборудование для валяльно-войлочной промышленности и запасные части к нему</t>
  </si>
  <si>
    <t>Оборудование для кабельной промышленности и запасные части к нему</t>
  </si>
  <si>
    <t>Оборудование для литейного производства и запасные части к нему</t>
  </si>
  <si>
    <t>Оборудование пищевой и мукомольной промышленности и запасные части к нему</t>
  </si>
  <si>
    <t>Оборудование для предприятий торговли, общественного питания и пищеблоков и запасные части к нему</t>
  </si>
  <si>
    <t>Оборудование для производства асбоцементных изделий (асбошифера и асботруб) и запасные части к нему</t>
  </si>
  <si>
    <t>Оборудование для производства гипса, гипсовых изделий и извести и запасные части к нему</t>
  </si>
  <si>
    <t>Оборудование для производства железобетонных конструкций и деталей и запасные части к нему</t>
  </si>
  <si>
    <t xml:space="preserve">Оборудование для производства керамических масс и керамики и запасные части к нему </t>
  </si>
  <si>
    <t xml:space="preserve">Оборудование для производства пластмасс и запасные части к нему </t>
  </si>
  <si>
    <t>Оборудование для производства строительных материалов (кирпича и черепицы) и запасные части к нему</t>
  </si>
  <si>
    <t xml:space="preserve">Оборудование для резинотехнической промышленности и запасные части к нему </t>
  </si>
  <si>
    <t>Оборудование для стекольно-ситалловой промышленности и запасные части к нему</t>
  </si>
  <si>
    <t>Оборудование для текстильно-галантерейной промышленности и запасные части к нему</t>
  </si>
  <si>
    <t xml:space="preserve">Оборудование для текстильной промышленности и запасные части к нему </t>
  </si>
  <si>
    <t>Оборудование для трикотажной промышленности и производства нетканых материалов и запасные части к нему</t>
  </si>
  <si>
    <t>Оборудование для целлюлозно-бумажной промышленности и запасные части к нему</t>
  </si>
  <si>
    <t>Оборудование для цементной промышленности и запасные части к нему</t>
  </si>
  <si>
    <t>Оборудование для черной и цветной металлургии и запасные части к нему</t>
  </si>
  <si>
    <t>Оборудование для швейной промышленности и запасные части к нему</t>
  </si>
  <si>
    <t>Оборудование и запасные части к нему и материалы электротехнические</t>
  </si>
  <si>
    <t>Оборудование и запасные части к нему и машины различного назначения</t>
  </si>
  <si>
    <t xml:space="preserve">Оборудование кожевенно-обувное и запасные части к нему </t>
  </si>
  <si>
    <t>Оборудование камнедобывающее и камнеобрабатывающее и запасные части к нему</t>
  </si>
  <si>
    <t xml:space="preserve">Оборудование красильноотделочное и запасные части к нему </t>
  </si>
  <si>
    <t xml:space="preserve">Оборудование кузнечно-прессовое и запасные части к нему </t>
  </si>
  <si>
    <t>Оборудование подъемно-транспортное и запасные части к нему</t>
  </si>
  <si>
    <t xml:space="preserve">Оборудование пожарное и запасные части к нему </t>
  </si>
  <si>
    <t xml:space="preserve">Оборудование полиграфическое и запасные части к нему </t>
  </si>
  <si>
    <t xml:space="preserve">Оборудование холодильное и запасные части к нему </t>
  </si>
  <si>
    <t xml:space="preserve">Оборудование энергетическое и запасные части к нему </t>
  </si>
  <si>
    <t xml:space="preserve">Станки металлорежущие и запасные части к ним </t>
  </si>
  <si>
    <t xml:space="preserve">Части (детали) машин, механизмов и оборудования </t>
  </si>
  <si>
    <t xml:space="preserve">Машины сельскохозяйственные и их части </t>
  </si>
  <si>
    <t xml:space="preserve">Автопоилки </t>
  </si>
  <si>
    <t xml:space="preserve">Агрегаты электростригальные </t>
  </si>
  <si>
    <t xml:space="preserve">Бороздоделатели и ложбиноделатели </t>
  </si>
  <si>
    <t xml:space="preserve">Бороны </t>
  </si>
  <si>
    <t xml:space="preserve">Вентиляторы для очистки зерна (аспираторы) </t>
  </si>
  <si>
    <t xml:space="preserve">Веялки </t>
  </si>
  <si>
    <t xml:space="preserve">Водораздатчики </t>
  </si>
  <si>
    <t xml:space="preserve">Волокуши тракторные </t>
  </si>
  <si>
    <t xml:space="preserve">Газонокосилки </t>
  </si>
  <si>
    <t xml:space="preserve">Грабли конной и тракторной тяги </t>
  </si>
  <si>
    <t xml:space="preserve">Жатки </t>
  </si>
  <si>
    <t xml:space="preserve">Запарники-смесители </t>
  </si>
  <si>
    <t xml:space="preserve">Зерносушилки </t>
  </si>
  <si>
    <t xml:space="preserve">Измельчители грубых и сочных кормов </t>
  </si>
  <si>
    <t xml:space="preserve">Инкубаторы </t>
  </si>
  <si>
    <t xml:space="preserve">Картофелекопалки </t>
  </si>
  <si>
    <t xml:space="preserve">Картофелесажалки </t>
  </si>
  <si>
    <t xml:space="preserve">Катки земледельческие </t>
  </si>
  <si>
    <t xml:space="preserve">Комбайны свеклоуборочные </t>
  </si>
  <si>
    <t xml:space="preserve">Комбайны сельскохозяйственные </t>
  </si>
  <si>
    <t xml:space="preserve">Копатели и подъемники свеклы и др. корнеплодов </t>
  </si>
  <si>
    <t xml:space="preserve">Кормораздатчики </t>
  </si>
  <si>
    <t xml:space="preserve">Косилки </t>
  </si>
  <si>
    <t xml:space="preserve">Кочкорезы </t>
  </si>
  <si>
    <t xml:space="preserve">Культиваторы </t>
  </si>
  <si>
    <t xml:space="preserve">Лемехи </t>
  </si>
  <si>
    <t xml:space="preserve">Лушильники всякие </t>
  </si>
  <si>
    <t xml:space="preserve">Льнотеребилки </t>
  </si>
  <si>
    <t>Машины для корчевания, уборки камней, кустов и пней (корчеватели)</t>
  </si>
  <si>
    <t>Машины для разброски удобрений, не поименованные в алфавите</t>
  </si>
  <si>
    <t xml:space="preserve">Машины для уборки сена, не поименованные в алфавите </t>
  </si>
  <si>
    <t xml:space="preserve">Машины зерноочистительные </t>
  </si>
  <si>
    <t xml:space="preserve">Машины лесопосадочные </t>
  </si>
  <si>
    <t xml:space="preserve">Машины мяльно-трепальные </t>
  </si>
  <si>
    <t xml:space="preserve">Машины сельскохозяйственные, не поименованные в алфавите </t>
  </si>
  <si>
    <t xml:space="preserve">Машины, установки дождевальные </t>
  </si>
  <si>
    <t xml:space="preserve">Молотилки </t>
  </si>
  <si>
    <t xml:space="preserve">Опрыскиватели для растений всякие </t>
  </si>
  <si>
    <t xml:space="preserve">Отвалы плужные </t>
  </si>
  <si>
    <t xml:space="preserve">Плодосушилки </t>
  </si>
  <si>
    <t xml:space="preserve">Плуги всякие </t>
  </si>
  <si>
    <t xml:space="preserve">Покровосдиратели </t>
  </si>
  <si>
    <t>Полотна к комбайнам готовые с планками и металлическими кольцами</t>
  </si>
  <si>
    <t xml:space="preserve">Пресс-подборщики грубых кормов </t>
  </si>
  <si>
    <t xml:space="preserve">Прессы хлопчатниковые </t>
  </si>
  <si>
    <t xml:space="preserve">Разбрасыватели жидких удобрений </t>
  </si>
  <si>
    <t xml:space="preserve">Разбрасыватели органических удобрений </t>
  </si>
  <si>
    <t xml:space="preserve">Сенокосилки </t>
  </si>
  <si>
    <t xml:space="preserve">Сепараторы молочные и зерновые </t>
  </si>
  <si>
    <t xml:space="preserve">Сеялки </t>
  </si>
  <si>
    <t xml:space="preserve">Сноповязалки </t>
  </si>
  <si>
    <t xml:space="preserve">Соломоподъемники </t>
  </si>
  <si>
    <t xml:space="preserve">Сортировки зерна (горки, змейки) </t>
  </si>
  <si>
    <t xml:space="preserve">Стогометатели </t>
  </si>
  <si>
    <t xml:space="preserve">Триеры (машины для обработки зерна) </t>
  </si>
  <si>
    <t xml:space="preserve">Установки доильные (агрегаты доильные) </t>
  </si>
  <si>
    <t>Части машин сельскохозяйственных, не поименованные в алфавите</t>
  </si>
  <si>
    <t xml:space="preserve">Цепи для комбайнов </t>
  </si>
  <si>
    <t xml:space="preserve">Ящики высевные к плугам </t>
  </si>
  <si>
    <t xml:space="preserve">Тракторы и их части </t>
  </si>
  <si>
    <t xml:space="preserve">Борта к тракторным прицепам </t>
  </si>
  <si>
    <t xml:space="preserve">Оси к тракторным прицепам </t>
  </si>
  <si>
    <t xml:space="preserve">Прицепы тракторные </t>
  </si>
  <si>
    <t xml:space="preserve">Радиаторы тракторные </t>
  </si>
  <si>
    <t xml:space="preserve">Тракторы </t>
  </si>
  <si>
    <t xml:space="preserve">Тягачи тракторные </t>
  </si>
  <si>
    <t xml:space="preserve">Части запасные для тракторов </t>
  </si>
  <si>
    <t xml:space="preserve">Части тракторов, не поименованные в алфавите </t>
  </si>
  <si>
    <t xml:space="preserve">Конструкции металлические </t>
  </si>
  <si>
    <t xml:space="preserve">Балки стальные склепанные </t>
  </si>
  <si>
    <t xml:space="preserve">Башни водонапорные </t>
  </si>
  <si>
    <t xml:space="preserve">Каркасы из черных металлов </t>
  </si>
  <si>
    <t xml:space="preserve">Каркасы сенажных башен стальные </t>
  </si>
  <si>
    <t xml:space="preserve">Конструкции металлические, не поименованные в алфавите </t>
  </si>
  <si>
    <t>Мачты металлические телеграфные для электрических проводов и др.</t>
  </si>
  <si>
    <t xml:space="preserve">Сваи металлические </t>
  </si>
  <si>
    <t xml:space="preserve">Светофоры (мачты) </t>
  </si>
  <si>
    <t xml:space="preserve">Семафоры </t>
  </si>
  <si>
    <t xml:space="preserve">Фермы покрытий </t>
  </si>
  <si>
    <t>Фермы металлические и их части, не поименованные в алфавите</t>
  </si>
  <si>
    <t xml:space="preserve">Автомобили и их части </t>
  </si>
  <si>
    <t xml:space="preserve">Автобензозаправщики </t>
  </si>
  <si>
    <t xml:space="preserve">Автобусы </t>
  </si>
  <si>
    <t xml:space="preserve">Автодезоустановки </t>
  </si>
  <si>
    <t xml:space="preserve">Автомастерские передвижные </t>
  </si>
  <si>
    <t xml:space="preserve">Автомобили ассенизационные </t>
  </si>
  <si>
    <t xml:space="preserve">Автомобили грузовые в ремонт и из ремонта </t>
  </si>
  <si>
    <t xml:space="preserve">Автомобили грузовые, не поименованные в алфавите </t>
  </si>
  <si>
    <t xml:space="preserve">Автомобили легковые </t>
  </si>
  <si>
    <t xml:space="preserve">Автомобили специальные </t>
  </si>
  <si>
    <t>Автомобили, оборудованные кино-, радио- и электроустановками, сейсмостанциями</t>
  </si>
  <si>
    <t xml:space="preserve">Авторефрижераторы </t>
  </si>
  <si>
    <t xml:space="preserve">Автосидения </t>
  </si>
  <si>
    <t xml:space="preserve">Автотягачи </t>
  </si>
  <si>
    <t xml:space="preserve">Автофургоны </t>
  </si>
  <si>
    <t xml:space="preserve">Автоцементовозы </t>
  </si>
  <si>
    <t xml:space="preserve">Автоцистерны </t>
  </si>
  <si>
    <t xml:space="preserve">Кабины автомобильные </t>
  </si>
  <si>
    <t xml:space="preserve">Колеса автомобильные всякие </t>
  </si>
  <si>
    <t xml:space="preserve">Кузова автобусные </t>
  </si>
  <si>
    <t xml:space="preserve">Кузова автомобильные </t>
  </si>
  <si>
    <t xml:space="preserve">Насосы автомобильные </t>
  </si>
  <si>
    <t xml:space="preserve">Полуприцепы автомобильные </t>
  </si>
  <si>
    <t xml:space="preserve">Прицепы автомобильные </t>
  </si>
  <si>
    <t xml:space="preserve">Радиаторы автомобильные </t>
  </si>
  <si>
    <t xml:space="preserve">Рессоры автомобильные </t>
  </si>
  <si>
    <t xml:space="preserve">Самосвалы </t>
  </si>
  <si>
    <t xml:space="preserve">Трейлеры (прицепы) </t>
  </si>
  <si>
    <t xml:space="preserve">Фары автомобильные (автофары) </t>
  </si>
  <si>
    <t>Части запасные к автомобилям, прицепам, полуприцепам автомобильным</t>
  </si>
  <si>
    <t xml:space="preserve">Шасси автомобильные и автобусные </t>
  </si>
  <si>
    <t xml:space="preserve">Средства транспортирования, кроме автомобилей </t>
  </si>
  <si>
    <t xml:space="preserve">Средства транспортирования и их части, кроме автомобилей </t>
  </si>
  <si>
    <t xml:space="preserve">Автодрезины, перевозимые не на своих осях </t>
  </si>
  <si>
    <t xml:space="preserve">Автокары </t>
  </si>
  <si>
    <t xml:space="preserve">Автомотрисы, перевозимые не на своих осях </t>
  </si>
  <si>
    <t xml:space="preserve">Аэропылители </t>
  </si>
  <si>
    <t xml:space="preserve">Аэростаты </t>
  </si>
  <si>
    <t xml:space="preserve">Вагонетки-платформы </t>
  </si>
  <si>
    <t xml:space="preserve">Вагоны-дома передвижные </t>
  </si>
  <si>
    <t xml:space="preserve">Вагоны железнодорожные, перевозимые не на своих осях </t>
  </si>
  <si>
    <t xml:space="preserve">Велоколяски инвалидные </t>
  </si>
  <si>
    <t xml:space="preserve">Велосипеды, кроме детских </t>
  </si>
  <si>
    <t xml:space="preserve">Вертолеты </t>
  </si>
  <si>
    <t xml:space="preserve">Дрезины, перевозимые не на своих осях </t>
  </si>
  <si>
    <t xml:space="preserve">Катера </t>
  </si>
  <si>
    <t xml:space="preserve">Коляски, кроме детских </t>
  </si>
  <si>
    <t xml:space="preserve">Контейнеры универсальные </t>
  </si>
  <si>
    <t xml:space="preserve">Корпуса судов </t>
  </si>
  <si>
    <t xml:space="preserve">Кузова вагонные </t>
  </si>
  <si>
    <t>Локомотивы, перевозимые не на своих осях, не поименованные в алфавите</t>
  </si>
  <si>
    <t xml:space="preserve">Лодки всякие </t>
  </si>
  <si>
    <t xml:space="preserve">Мотовозы, перевозимые не на своих осях </t>
  </si>
  <si>
    <t xml:space="preserve">Мотороллеры </t>
  </si>
  <si>
    <t xml:space="preserve">Мотоциклы </t>
  </si>
  <si>
    <t xml:space="preserve">Насосы велосипедные </t>
  </si>
  <si>
    <t xml:space="preserve">Паровозы, перевозимые не на своих осях </t>
  </si>
  <si>
    <t xml:space="preserve">Планеры </t>
  </si>
  <si>
    <t xml:space="preserve">Повозки всякие, кроме деревянных </t>
  </si>
  <si>
    <t xml:space="preserve">Понтоны </t>
  </si>
  <si>
    <t xml:space="preserve">Самолеты </t>
  </si>
  <si>
    <t xml:space="preserve">Снегоочистители, перевозимые не на своих осях </t>
  </si>
  <si>
    <t>Средства транспортирования (тележка ТТ-20 "Бухара" тяжеловесная и др.), не поименованные в алфавите</t>
  </si>
  <si>
    <t xml:space="preserve">Суда, не поименованные в алфавите </t>
  </si>
  <si>
    <t xml:space="preserve">Тачки всякие </t>
  </si>
  <si>
    <t xml:space="preserve">Тележки вагонные всякие </t>
  </si>
  <si>
    <t xml:space="preserve">Тележки всякие для ручной перевозки </t>
  </si>
  <si>
    <t xml:space="preserve">Тележки для изложниц </t>
  </si>
  <si>
    <t xml:space="preserve">Тендеры, перевозимые не на своих осях </t>
  </si>
  <si>
    <t xml:space="preserve">Тепловозы, перевозимые не на своих осях </t>
  </si>
  <si>
    <t xml:space="preserve">Троллейбусы </t>
  </si>
  <si>
    <t xml:space="preserve">Цепи велосипедные </t>
  </si>
  <si>
    <t xml:space="preserve">Части запасные к самолетам </t>
  </si>
  <si>
    <t xml:space="preserve">Части запасные к мотоциклам </t>
  </si>
  <si>
    <t>Части запасные к средствам транспортирования, не поименованные в алфавите</t>
  </si>
  <si>
    <t xml:space="preserve">Электровозы, перевозимые не на своих осях </t>
  </si>
  <si>
    <t xml:space="preserve">Электрокары </t>
  </si>
  <si>
    <t xml:space="preserve">Аппараты, приборы и предметы электро- и радиотехники </t>
  </si>
  <si>
    <t xml:space="preserve">Аппараты и приборы, кроме электробытовых </t>
  </si>
  <si>
    <t>Аппараты, оборудование кинематографическое и фотографическое</t>
  </si>
  <si>
    <t>Аппараты, машины, приборы и инструменты различного назначения</t>
  </si>
  <si>
    <t xml:space="preserve">Инструменты медицинские </t>
  </si>
  <si>
    <t xml:space="preserve">Комплексы и машины вычислительные </t>
  </si>
  <si>
    <t xml:space="preserve">Приборы автоматического контроля и регулирования </t>
  </si>
  <si>
    <t xml:space="preserve">Приборы и аппараты медицинские </t>
  </si>
  <si>
    <t xml:space="preserve">Приборы и аппаратура оптические </t>
  </si>
  <si>
    <t>Приборы контроля и регулирования технологических процессов</t>
  </si>
  <si>
    <t xml:space="preserve">Приборы электроизмерительные </t>
  </si>
  <si>
    <t xml:space="preserve">Светильники, кроме электробытовых </t>
  </si>
  <si>
    <t xml:space="preserve">Средства радиолокационные </t>
  </si>
  <si>
    <t xml:space="preserve">Средства радионавигационные </t>
  </si>
  <si>
    <t xml:space="preserve">Продукция радиопромышленности </t>
  </si>
  <si>
    <t xml:space="preserve">Аппараты и приборы телеграфные, телефонные и их части </t>
  </si>
  <si>
    <t xml:space="preserve">Аппаратура электроакустическая </t>
  </si>
  <si>
    <t xml:space="preserve">Громкоговорители (абонентские) </t>
  </si>
  <si>
    <t xml:space="preserve">Канатик антенный из черных и цветных металлов </t>
  </si>
  <si>
    <t xml:space="preserve">Кинескопы </t>
  </si>
  <si>
    <t xml:space="preserve">Магнитолы </t>
  </si>
  <si>
    <t xml:space="preserve">Магнитофоны </t>
  </si>
  <si>
    <t xml:space="preserve">Радиоаппаратура </t>
  </si>
  <si>
    <t xml:space="preserve">Радиодетали </t>
  </si>
  <si>
    <t>Продукция радиопромышленности, не поименованная в алфавите</t>
  </si>
  <si>
    <t xml:space="preserve">Радиолампы </t>
  </si>
  <si>
    <t xml:space="preserve">Радиолы </t>
  </si>
  <si>
    <t xml:space="preserve">Радиопеленгаторы </t>
  </si>
  <si>
    <t xml:space="preserve">Радиоприемники </t>
  </si>
  <si>
    <t xml:space="preserve">Радиостанции </t>
  </si>
  <si>
    <t xml:space="preserve">Телевизоры и их части </t>
  </si>
  <si>
    <t xml:space="preserve">Устройства радиоприемные, не поименованные в алфавите </t>
  </si>
  <si>
    <t xml:space="preserve">Лампы накаливания и фонари электрические </t>
  </si>
  <si>
    <t xml:space="preserve">Буи светящиеся </t>
  </si>
  <si>
    <t>Лампы накаливания электрические, не поименованные в алфавите</t>
  </si>
  <si>
    <t xml:space="preserve">Патроны для электрических ламп </t>
  </si>
  <si>
    <t xml:space="preserve">Фонари электрические карманные </t>
  </si>
  <si>
    <t xml:space="preserve">Фонари электрические, не поименованные в алфавите </t>
  </si>
  <si>
    <t xml:space="preserve">Машины, изделия и приборы электробытовые </t>
  </si>
  <si>
    <t xml:space="preserve">Бра (светильники настенные) </t>
  </si>
  <si>
    <t xml:space="preserve">Вентиляторы настольные электробытовые </t>
  </si>
  <si>
    <t xml:space="preserve">Звонки электробытовые </t>
  </si>
  <si>
    <t xml:space="preserve">Изделия электробытовые, не поименованные в алфавите </t>
  </si>
  <si>
    <t xml:space="preserve">Калориферы электробытовые </t>
  </si>
  <si>
    <t xml:space="preserve">Кипятильники электробытовые </t>
  </si>
  <si>
    <t xml:space="preserve">Кондиционеры электробытовые </t>
  </si>
  <si>
    <t xml:space="preserve">Лампы настольные электробытовые </t>
  </si>
  <si>
    <t xml:space="preserve">Люстры </t>
  </si>
  <si>
    <t xml:space="preserve">Машины стиральные бытовые </t>
  </si>
  <si>
    <t xml:space="preserve">Машины электробытовые, не поименованные в алфавите </t>
  </si>
  <si>
    <t xml:space="preserve">Плиты и плитки электрические бытовые </t>
  </si>
  <si>
    <t xml:space="preserve">Полотеры электробытовые </t>
  </si>
  <si>
    <t xml:space="preserve">Пылесосы электробытовые </t>
  </si>
  <si>
    <t xml:space="preserve">Радиаторы электробытовые </t>
  </si>
  <si>
    <t xml:space="preserve">Рефлекторы электробытовые </t>
  </si>
  <si>
    <t xml:space="preserve">Самовары электрические </t>
  </si>
  <si>
    <t xml:space="preserve">Светильники всякие электробытовые </t>
  </si>
  <si>
    <t xml:space="preserve">Торшеры (светильники напольные) электробытовые </t>
  </si>
  <si>
    <t xml:space="preserve">Утюги электрические </t>
  </si>
  <si>
    <t xml:space="preserve">Холодильники электробытовые </t>
  </si>
  <si>
    <t xml:space="preserve">Чайники электрические </t>
  </si>
  <si>
    <t>Части запасные и детали к электробытовым машинам и приборам</t>
  </si>
  <si>
    <t xml:space="preserve">Электроприборы для отопления, не поименованные в алфавите </t>
  </si>
  <si>
    <t xml:space="preserve">Весы всякие, кроме аналитических, части весов </t>
  </si>
  <si>
    <t xml:space="preserve">Весы, кроме аналитических </t>
  </si>
  <si>
    <t xml:space="preserve">Гири (разновесы) для весов, кроме аналитических </t>
  </si>
  <si>
    <t xml:space="preserve">Части к весам, кроме аналитических </t>
  </si>
  <si>
    <t xml:space="preserve">Изделия металлические </t>
  </si>
  <si>
    <t xml:space="preserve">Изделия из черных металлов производственного назначения </t>
  </si>
  <si>
    <t xml:space="preserve">Арматура газовая и водопроводная </t>
  </si>
  <si>
    <t xml:space="preserve">Арматура котловая из черных металлов </t>
  </si>
  <si>
    <t xml:space="preserve">Багры стальные </t>
  </si>
  <si>
    <t xml:space="preserve">Барабаны из черных металлов </t>
  </si>
  <si>
    <t xml:space="preserve">Батареи клеточные из черных металлов для выращивания птиц </t>
  </si>
  <si>
    <t xml:space="preserve">Блоки из черных металлов </t>
  </si>
  <si>
    <t xml:space="preserve">Болванки из черных металлов </t>
  </si>
  <si>
    <t xml:space="preserve">Ванны из черных металлов </t>
  </si>
  <si>
    <t xml:space="preserve">Вентили из черных металлов </t>
  </si>
  <si>
    <t xml:space="preserve">Веретена из черных металлов </t>
  </si>
  <si>
    <t xml:space="preserve">Гильзы из черных металлов </t>
  </si>
  <si>
    <t xml:space="preserve">Дверцы печные из черных металлов </t>
  </si>
  <si>
    <t xml:space="preserve">Дробь чугунная, стальная </t>
  </si>
  <si>
    <t xml:space="preserve">Желоба из черных металлов </t>
  </si>
  <si>
    <t>Изделия из черных металлов производственного назначения, не поименованные в алфавите</t>
  </si>
  <si>
    <t xml:space="preserve">Изделия проволочные из черных металлов </t>
  </si>
  <si>
    <t xml:space="preserve">Изложницы (формы металлические для отливок) </t>
  </si>
  <si>
    <t>Инвентарь сельскохозяйственный мелкий металлический, не поименованный в алфавите</t>
  </si>
  <si>
    <t xml:space="preserve">Инструменты измерительные металлические </t>
  </si>
  <si>
    <t xml:space="preserve">Инструменты металлические разного назначения </t>
  </si>
  <si>
    <t xml:space="preserve">Инструменты строительные металлические </t>
  </si>
  <si>
    <t xml:space="preserve">Канаты (тросы) стальные </t>
  </si>
  <si>
    <t xml:space="preserve">Капканы металлические </t>
  </si>
  <si>
    <t xml:space="preserve">Кожухи из черных металлов </t>
  </si>
  <si>
    <t xml:space="preserve">Колеса из черных металлов, не поименованные в алфавите </t>
  </si>
  <si>
    <t xml:space="preserve">Колеса машинные литые и кованые </t>
  </si>
  <si>
    <t xml:space="preserve">Колонны металлические </t>
  </si>
  <si>
    <t xml:space="preserve">Колосники </t>
  </si>
  <si>
    <t xml:space="preserve">Кольца из черных металлов </t>
  </si>
  <si>
    <t xml:space="preserve">Крышки чугунные </t>
  </si>
  <si>
    <t xml:space="preserve">Крючки дверные, оконные, потолочные </t>
  </si>
  <si>
    <t xml:space="preserve">Леса трубчатые металлические (инвентарные) </t>
  </si>
  <si>
    <t xml:space="preserve">Литье стальное и чугунное, не поименованное в алфавите </t>
  </si>
  <si>
    <t xml:space="preserve">Люки из черных металлов </t>
  </si>
  <si>
    <t xml:space="preserve">Наковальни </t>
  </si>
  <si>
    <t xml:space="preserve">Оси, кроме вагонных и локомотивных </t>
  </si>
  <si>
    <t xml:space="preserve">Перемычки на металлических шпунтов </t>
  </si>
  <si>
    <t xml:space="preserve">Плиты и плитки чугунные </t>
  </si>
  <si>
    <t xml:space="preserve">Поддоны для изложниц </t>
  </si>
  <si>
    <t xml:space="preserve">Поковки и штамповки </t>
  </si>
  <si>
    <t xml:space="preserve">Постаменты из черных металлов </t>
  </si>
  <si>
    <t>Пробки из черных металлов, в том числе с изоляционной прокладкой</t>
  </si>
  <si>
    <t xml:space="preserve">Противовесы из черных металлов </t>
  </si>
  <si>
    <t xml:space="preserve">Радиаторы чугунные </t>
  </si>
  <si>
    <t xml:space="preserve">Раковины из черных металлов </t>
  </si>
  <si>
    <t xml:space="preserve">Рейки из черных металлов </t>
  </si>
  <si>
    <t xml:space="preserve">Рессоры стальные, кроме вагонных и локомотивных </t>
  </si>
  <si>
    <t xml:space="preserve">Решета из черных металлов </t>
  </si>
  <si>
    <t xml:space="preserve">Решетки из черных металлов </t>
  </si>
  <si>
    <t xml:space="preserve">Рештаки (лотки для угля) </t>
  </si>
  <si>
    <t xml:space="preserve">Сетки из черных металлов, кроме кроватных </t>
  </si>
  <si>
    <t xml:space="preserve">Сифоны из черных металлов </t>
  </si>
  <si>
    <t xml:space="preserve">Такелаж проволочный </t>
  </si>
  <si>
    <t xml:space="preserve">Ткани проволочные из черных металлов </t>
  </si>
  <si>
    <t xml:space="preserve">Тюбинги </t>
  </si>
  <si>
    <t xml:space="preserve">Унитазы чугунные, в том числе эмалированные </t>
  </si>
  <si>
    <t xml:space="preserve">Фитинги из черных металлов </t>
  </si>
  <si>
    <t xml:space="preserve">Фрезы </t>
  </si>
  <si>
    <t xml:space="preserve">Черепица кровельная металлическая </t>
  </si>
  <si>
    <t xml:space="preserve">Шкворни </t>
  </si>
  <si>
    <t xml:space="preserve">Шпили из черных металлов </t>
  </si>
  <si>
    <t xml:space="preserve">Шпингалеты дверные, оконные из черных металлов </t>
  </si>
  <si>
    <t xml:space="preserve">Шпиндели из черных металлов </t>
  </si>
  <si>
    <t xml:space="preserve">Шплинты из черных металлов </t>
  </si>
  <si>
    <t xml:space="preserve">Штангенциркули </t>
  </si>
  <si>
    <t xml:space="preserve">Электроды из черных металлов </t>
  </si>
  <si>
    <t xml:space="preserve">Якоря </t>
  </si>
  <si>
    <t>41169</t>
  </si>
  <si>
    <t>Бачки смывные чугунные</t>
  </si>
  <si>
    <t>41170</t>
  </si>
  <si>
    <t>Мойки стальные, в том числе эмалированные</t>
  </si>
  <si>
    <t>41171</t>
  </si>
  <si>
    <t>Мойки чугунные</t>
  </si>
  <si>
    <t xml:space="preserve">Емкости и тара металлические </t>
  </si>
  <si>
    <t xml:space="preserve">Баки металлические </t>
  </si>
  <si>
    <t xml:space="preserve">Баллоны стальные </t>
  </si>
  <si>
    <t xml:space="preserve">Банки (коробки) металлические консервные новые </t>
  </si>
  <si>
    <t xml:space="preserve">Бидоны металлические </t>
  </si>
  <si>
    <t xml:space="preserve">Бочки и бочонки металлические </t>
  </si>
  <si>
    <t xml:space="preserve">Бункера металлические </t>
  </si>
  <si>
    <t xml:space="preserve">Ведра металлические </t>
  </si>
  <si>
    <t xml:space="preserve">Газгольдеры </t>
  </si>
  <si>
    <t xml:space="preserve">Ковши, кроме литейных </t>
  </si>
  <si>
    <t xml:space="preserve">Котлы всякие металлические открытые </t>
  </si>
  <si>
    <t xml:space="preserve">Мульды стальные </t>
  </si>
  <si>
    <t xml:space="preserve">Резервуары металлические </t>
  </si>
  <si>
    <t xml:space="preserve">Реторты металлические </t>
  </si>
  <si>
    <t xml:space="preserve">Танки (емкости) металлические </t>
  </si>
  <si>
    <t xml:space="preserve">Тара металлическая, не поименованная в алфавите </t>
  </si>
  <si>
    <t xml:space="preserve">Чаны металлические </t>
  </si>
  <si>
    <t xml:space="preserve">Фляги металлические молочные </t>
  </si>
  <si>
    <t xml:space="preserve">Фляги металлические, не поименованные в алфавите </t>
  </si>
  <si>
    <t xml:space="preserve">Ящики металлические </t>
  </si>
  <si>
    <t xml:space="preserve">Мебель металлическая </t>
  </si>
  <si>
    <t xml:space="preserve">Кровати металлические всякие </t>
  </si>
  <si>
    <t xml:space="preserve">Мебель металлическая, не поименованная в алфавите </t>
  </si>
  <si>
    <t xml:space="preserve">Сетки кроватные металлические </t>
  </si>
  <si>
    <t xml:space="preserve">Части железнодорожного подвижного состава и верхнего строения пути, кроме рельсов </t>
  </si>
  <si>
    <t xml:space="preserve">Автосцепки и их части </t>
  </si>
  <si>
    <t xml:space="preserve">Башмаки тормозные стальные </t>
  </si>
  <si>
    <t xml:space="preserve">Блоки стрелочных переводов на шпалах </t>
  </si>
  <si>
    <t xml:space="preserve">Буксы </t>
  </si>
  <si>
    <t xml:space="preserve">Вагонотолкатели стальные </t>
  </si>
  <si>
    <t xml:space="preserve">Диски сигнальные металлические </t>
  </si>
  <si>
    <t xml:space="preserve">Колодки тормозные чугунные </t>
  </si>
  <si>
    <t xml:space="preserve">Костыли металлические </t>
  </si>
  <si>
    <t xml:space="preserve">Накладки и подкладки рельсовые </t>
  </si>
  <si>
    <t xml:space="preserve">Оборудование тормозное подвижного состава </t>
  </si>
  <si>
    <t xml:space="preserve">Колесные пары вагонные и локомотивные </t>
  </si>
  <si>
    <t xml:space="preserve">Переводы стрелочные </t>
  </si>
  <si>
    <t>Пересечения глухие, съезды перекрестные, крестовины, скрепления рельсовые</t>
  </si>
  <si>
    <t xml:space="preserve">Противоугоны </t>
  </si>
  <si>
    <t xml:space="preserve">Рессоры стальные вагонные и локомотивные </t>
  </si>
  <si>
    <t>Части верхнего строения железнодорожного пути, не поименованные в алфавите</t>
  </si>
  <si>
    <t xml:space="preserve">Запасные части для железнодорожного транспорта </t>
  </si>
  <si>
    <t xml:space="preserve">Элементы колесных пар </t>
  </si>
  <si>
    <t xml:space="preserve">Прочие изделия металлические </t>
  </si>
  <si>
    <t xml:space="preserve">Вывески металлические </t>
  </si>
  <si>
    <t xml:space="preserve">Двери металлические </t>
  </si>
  <si>
    <t xml:space="preserve">Доски стиральные </t>
  </si>
  <si>
    <t xml:space="preserve">Замки и защелки металлические </t>
  </si>
  <si>
    <t>Изделия металлические бытового назначения, не поименованные в алфавите</t>
  </si>
  <si>
    <t xml:space="preserve">Керогазы и керосинки </t>
  </si>
  <si>
    <t xml:space="preserve">Корзины и корзинки проволочные металлические </t>
  </si>
  <si>
    <t xml:space="preserve">Корыта железные, в том числе оцинкованные </t>
  </si>
  <si>
    <t xml:space="preserve">Лампы паяльные </t>
  </si>
  <si>
    <t xml:space="preserve">Лейки металлические </t>
  </si>
  <si>
    <t xml:space="preserve">Лестницы металлические </t>
  </si>
  <si>
    <t xml:space="preserve">Ложки металлические, кроме алюминиевых и серебряных </t>
  </si>
  <si>
    <t xml:space="preserve">Мельницы кофейные ручные </t>
  </si>
  <si>
    <t xml:space="preserve">Мясорубки ручные бытовые </t>
  </si>
  <si>
    <t xml:space="preserve">Памятники металлические </t>
  </si>
  <si>
    <t xml:space="preserve">Печи металлические, кроме электрических </t>
  </si>
  <si>
    <t xml:space="preserve">Пломбы металлические </t>
  </si>
  <si>
    <t xml:space="preserve">Подковы металлические </t>
  </si>
  <si>
    <t xml:space="preserve">Подносы металлические </t>
  </si>
  <si>
    <t>Посуда металлическая, в том числе луженая, оцинкованная и эмалированная, кроме алюминиевой</t>
  </si>
  <si>
    <t xml:space="preserve">Примусы </t>
  </si>
  <si>
    <t xml:space="preserve">Рукомойники (умывальники) металлические </t>
  </si>
  <si>
    <t xml:space="preserve">Самовары, кроме электрических </t>
  </si>
  <si>
    <t xml:space="preserve">Сейфы металлические </t>
  </si>
  <si>
    <t xml:space="preserve">Сковороды металлические, кроме алюминиевых </t>
  </si>
  <si>
    <t xml:space="preserve">Ступки металлические </t>
  </si>
  <si>
    <t>Тазы металлические, в том числе никелированные и эмалированные</t>
  </si>
  <si>
    <t xml:space="preserve">Терки металлические </t>
  </si>
  <si>
    <t xml:space="preserve">Утюги, кроме электрических </t>
  </si>
  <si>
    <t xml:space="preserve">Фонари керосиновые всякие </t>
  </si>
  <si>
    <t>Чайники металлические, в том числе никелированные и эмалированные, кроме электрических</t>
  </si>
  <si>
    <t xml:space="preserve">Шкафы металлические </t>
  </si>
  <si>
    <t xml:space="preserve">Штативы металлические </t>
  </si>
  <si>
    <t xml:space="preserve">Щетки металлические </t>
  </si>
  <si>
    <t xml:space="preserve">Изделия из цветных металлов производственного назначения </t>
  </si>
  <si>
    <t>Арматура котловая из цветных металлов, не поименованная в алфавите</t>
  </si>
  <si>
    <t xml:space="preserve">Блоки из цветных металлов </t>
  </si>
  <si>
    <t xml:space="preserve">Болты и болтики из цветных металлов </t>
  </si>
  <si>
    <t xml:space="preserve">Валы и валики из цветных металлов </t>
  </si>
  <si>
    <t xml:space="preserve">Ванны из цветных металлов </t>
  </si>
  <si>
    <t xml:space="preserve">Вентили из цветных металлов </t>
  </si>
  <si>
    <t xml:space="preserve">Винты из цветных металлов </t>
  </si>
  <si>
    <t xml:space="preserve">Втулки из цветных металлов </t>
  </si>
  <si>
    <t xml:space="preserve">Гайки из цветных металлов </t>
  </si>
  <si>
    <t xml:space="preserve">Гвозди из цветных металлов </t>
  </si>
  <si>
    <t xml:space="preserve">Гильзы из цветных металлов </t>
  </si>
  <si>
    <t xml:space="preserve">Дробь свинцовая </t>
  </si>
  <si>
    <t>Изделия из цветных металлов и их сплавов, не поименованные в алфавите</t>
  </si>
  <si>
    <t xml:space="preserve">Изделия проволочные из цветных металлов </t>
  </si>
  <si>
    <t xml:space="preserve">Клише </t>
  </si>
  <si>
    <t xml:space="preserve">Котлы из цветных металлов </t>
  </si>
  <si>
    <t xml:space="preserve">Краны (арматура) из цветных металлов </t>
  </si>
  <si>
    <t xml:space="preserve">Кронштейны из цветных металлов </t>
  </si>
  <si>
    <t xml:space="preserve">Петли из цветных металлов </t>
  </si>
  <si>
    <t xml:space="preserve">Подшипники из цветных металлов </t>
  </si>
  <si>
    <t xml:space="preserve">Пружины из цветных металлов </t>
  </si>
  <si>
    <t xml:space="preserve">Радиаторы из цветных металлов </t>
  </si>
  <si>
    <t xml:space="preserve">Рамы и рамки из цветных металлов </t>
  </si>
  <si>
    <t xml:space="preserve">Сетки из цветных металлов </t>
  </si>
  <si>
    <t xml:space="preserve">Скобы из цветных металлов </t>
  </si>
  <si>
    <t xml:space="preserve">Спирали для электронагревательных приборов </t>
  </si>
  <si>
    <t xml:space="preserve">Ткани проволочные из цветных металлов </t>
  </si>
  <si>
    <t xml:space="preserve">Трубки из цветных металлов и их сплавов </t>
  </si>
  <si>
    <t xml:space="preserve">Трубы и их части из цветных металлов и их сплавов </t>
  </si>
  <si>
    <t xml:space="preserve">Цепи и цепочки из цветных металлов </t>
  </si>
  <si>
    <t xml:space="preserve">Цинк гофрированный </t>
  </si>
  <si>
    <t xml:space="preserve">Шрифт типографский (литеры) </t>
  </si>
  <si>
    <t xml:space="preserve">Штифты из цветных металлов </t>
  </si>
  <si>
    <t xml:space="preserve">Шурупы из цветных металлов </t>
  </si>
  <si>
    <t xml:space="preserve">Электроды из цветных металлов </t>
  </si>
  <si>
    <t xml:space="preserve">Изделия кабельные </t>
  </si>
  <si>
    <t xml:space="preserve">Кабели всякие </t>
  </si>
  <si>
    <t xml:space="preserve">Провода биметаллические голые </t>
  </si>
  <si>
    <t xml:space="preserve">Провода из цветных металлов обмоточные </t>
  </si>
  <si>
    <t xml:space="preserve">Провода, не поименованные в алфавите </t>
  </si>
  <si>
    <t xml:space="preserve">Шнуры осветительные </t>
  </si>
  <si>
    <t xml:space="preserve">Шнуры телефонные </t>
  </si>
  <si>
    <t xml:space="preserve">Посуда алюминиевая </t>
  </si>
  <si>
    <t xml:space="preserve">Ложки алюминиевые </t>
  </si>
  <si>
    <t xml:space="preserve">Посуда алюминиевая, не поименованная в алфавите </t>
  </si>
  <si>
    <t xml:space="preserve">Сковороды алюминиевые </t>
  </si>
  <si>
    <t xml:space="preserve">Рельсовый подвижной состав и краны грузоподъемные, перевозимые на своих осях </t>
  </si>
  <si>
    <t xml:space="preserve">Вагоны всякие и тендеры локомотивов </t>
  </si>
  <si>
    <t xml:space="preserve">Автодрезины, перевозимые на своих осях </t>
  </si>
  <si>
    <t xml:space="preserve">Автомотрисы, перевозимые на своих осях </t>
  </si>
  <si>
    <t xml:space="preserve">Вагоны железнодорожные всякие, перевозимые на своих осях </t>
  </si>
  <si>
    <t xml:space="preserve">Вагоны-цистерны, перевозимые на своих осях </t>
  </si>
  <si>
    <t xml:space="preserve">Дрезины, перевозимые на своих осях </t>
  </si>
  <si>
    <t>Краны консольные железнодорожные, перевозимые на своих осях</t>
  </si>
  <si>
    <t>Краны укладочные железнодорожные, перевозимые на своих осях</t>
  </si>
  <si>
    <t>Машины путевые, перевозимые на своих осях, не поименованные в алфавите</t>
  </si>
  <si>
    <t xml:space="preserve">Машины шпалоподбивочные </t>
  </si>
  <si>
    <t xml:space="preserve">Платформы железнодорожные, перевозимые на своих осях </t>
  </si>
  <si>
    <t xml:space="preserve">Путеукладчики, перевозимые на своих осях </t>
  </si>
  <si>
    <t xml:space="preserve">Снегоочистители, перевозимые на своих осях </t>
  </si>
  <si>
    <t xml:space="preserve">Струги путевые, перевозимые на своих осях </t>
  </si>
  <si>
    <t xml:space="preserve">Тендеры, перевозимые на своих осях </t>
  </si>
  <si>
    <t xml:space="preserve">Электробалластеры перевозимые на своих осях </t>
  </si>
  <si>
    <t xml:space="preserve">Локомотивы </t>
  </si>
  <si>
    <t>Локомотивы, перевозимые на своих осях, не поименованные в алфавите</t>
  </si>
  <si>
    <t xml:space="preserve">Мотовозы, перевозимые на своих осях </t>
  </si>
  <si>
    <t xml:space="preserve">Паровозы, перевозимые на своих осях </t>
  </si>
  <si>
    <t xml:space="preserve">Тепловозы, перевозимые на своих осях </t>
  </si>
  <si>
    <t xml:space="preserve">Электровозы, перевозимые на своих осях </t>
  </si>
  <si>
    <t>Краны грузоподъемные, электростанции, энергопоезда и прочее оборудование на железнодорожном ходу</t>
  </si>
  <si>
    <t>Краны грузоподъемные передвижные, перевозимые на своих осях</t>
  </si>
  <si>
    <t xml:space="preserve">Оборудование передвижное на железнодорожном ходу </t>
  </si>
  <si>
    <t>Электростанции передвижные, энергопоезда, перевозимые на своих осях</t>
  </si>
  <si>
    <t xml:space="preserve">Раздел 8. Продукция химической промышленности </t>
  </si>
  <si>
    <t>Удобрения минеральные,сырье горнохимическое для производства удобрений</t>
  </si>
  <si>
    <t xml:space="preserve">Сырье горнохимическое для производства удобрений </t>
  </si>
  <si>
    <t xml:space="preserve">Апатиты, не поименованные в алфавите </t>
  </si>
  <si>
    <t xml:space="preserve">Концентрат фосфоритный </t>
  </si>
  <si>
    <t xml:space="preserve">Концентрат апатитовый (апатиты) </t>
  </si>
  <si>
    <t xml:space="preserve">Концентрат датолитовый </t>
  </si>
  <si>
    <t xml:space="preserve">Руда апатито-нефелиновая </t>
  </si>
  <si>
    <t xml:space="preserve">Руда фосфоритная (фосфориты) </t>
  </si>
  <si>
    <t xml:space="preserve">Фосфориты </t>
  </si>
  <si>
    <t>43108</t>
  </si>
  <si>
    <t>Концентрат минеральный "Сильвин"</t>
  </si>
  <si>
    <t xml:space="preserve">Аммиак водный (вода аммиачная) </t>
  </si>
  <si>
    <t xml:space="preserve">Удобрения азотные </t>
  </si>
  <si>
    <t xml:space="preserve">Азотобактерин </t>
  </si>
  <si>
    <t>43302</t>
  </si>
  <si>
    <t>Аммония сульфат (аммоний сернокислый)</t>
  </si>
  <si>
    <t>43303</t>
  </si>
  <si>
    <t xml:space="preserve">Аммиакат </t>
  </si>
  <si>
    <t>43304</t>
  </si>
  <si>
    <t xml:space="preserve">Карбамид (мочевина искусственная) </t>
  </si>
  <si>
    <t>43305</t>
  </si>
  <si>
    <t xml:space="preserve">Карбанилид (дифенил-мочевина) </t>
  </si>
  <si>
    <t>43306</t>
  </si>
  <si>
    <t xml:space="preserve">Нитрагин </t>
  </si>
  <si>
    <t>43307</t>
  </si>
  <si>
    <t xml:space="preserve">Селитра аммиачная (аммоний азотнокислый, нитрат аммония) </t>
  </si>
  <si>
    <t>43309</t>
  </si>
  <si>
    <t xml:space="preserve">Селитра калиевая </t>
  </si>
  <si>
    <t>43310</t>
  </si>
  <si>
    <t xml:space="preserve">Селитра кальциевая </t>
  </si>
  <si>
    <t>43311</t>
  </si>
  <si>
    <t xml:space="preserve">Селитра натриевая </t>
  </si>
  <si>
    <t>43312</t>
  </si>
  <si>
    <t xml:space="preserve">Селитра натриевая , водный раствор концентрации менее 50% </t>
  </si>
  <si>
    <t>43314</t>
  </si>
  <si>
    <t>Углеаммиакат</t>
  </si>
  <si>
    <t>43315</t>
  </si>
  <si>
    <t>Удобрения азотные жидкие</t>
  </si>
  <si>
    <t>43316</t>
  </si>
  <si>
    <t>Удобрения азотные КЦМ-АМ жидкие</t>
  </si>
  <si>
    <t>43317</t>
  </si>
  <si>
    <t xml:space="preserve">Удобрения азотные, не поименованные в алфавите </t>
  </si>
  <si>
    <t>Удобрения аммиачно-нитратные: однородные нераздилимые азотнофосфатные или азотнокалийные в смеси или азотнофосфатно-калийные удобрения, содержащие более 70%, но менее 90% нитрата аммония и не более 0,4% горючего вещества</t>
  </si>
  <si>
    <t>Удобрения аммиачно-нитратные: однородные нераздилимые азотнофосфатные или азотнокалийные в смеси или сложные азотнофосфатно-калийные удобрения, содержащие не более 70%, нитрата аммония и не более 0,4% горючего вещества или содержащие не более 45% нитрата аммония и неограниченное количество горючего вещества</t>
  </si>
  <si>
    <t>Удобрения аммиачно-нитратные: однородные неразделимые смеси нитрата аммония с другими неорганическими веществами, инертными по отношению к нему, содержащие не менее 90% нитрата аммония и не более 0,2% горючих веществ (включая органическое вещество в пересчете на углерод) или содержащие менее 90%, но более 70% нитрата аммония и более 0,4% горючих веществ</t>
  </si>
  <si>
    <t>Удобрения аммиачно-нитратные: однородные неразделимые смеси нитрата аммония с карбонатом кальция и (или) доломитом, содержащие более 80% но менее 90% нитрата аммония и не более 0,4% горючего вещества</t>
  </si>
  <si>
    <t>Удобрения аммиачно-нитратные: однородные неразделимые смеси нитрата аммония с сульфатом аммония, содержащие более 45%, но не более 70% нитрата аммония и не более 0,4% горючего вещества</t>
  </si>
  <si>
    <t xml:space="preserve">Удобрения калийные </t>
  </si>
  <si>
    <t xml:space="preserve">Удобрение калийно-магниевое (Каинит) </t>
  </si>
  <si>
    <t>Калий сернокислый (калия сульфат)</t>
  </si>
  <si>
    <t xml:space="preserve">Калий хлористый (калия хлорид) </t>
  </si>
  <si>
    <t xml:space="preserve">Калимагнезия </t>
  </si>
  <si>
    <t xml:space="preserve">Карналлит </t>
  </si>
  <si>
    <t xml:space="preserve">Концентрат калийно-магниевый </t>
  </si>
  <si>
    <t xml:space="preserve">Сильвинит </t>
  </si>
  <si>
    <t xml:space="preserve">Удобрения калийные, не поименованные в алфавите </t>
  </si>
  <si>
    <t>Калий хлористый (Хлоркалий) - электролит,отработанный</t>
  </si>
  <si>
    <t xml:space="preserve">Удобрения фосфорные (фосфатные) </t>
  </si>
  <si>
    <t>43501</t>
  </si>
  <si>
    <t xml:space="preserve">Мука фосфоритная </t>
  </si>
  <si>
    <t>43502</t>
  </si>
  <si>
    <t xml:space="preserve">Преципитат (дикальций фосфат) </t>
  </si>
  <si>
    <t>43503</t>
  </si>
  <si>
    <t xml:space="preserve">Суперфосфат аммонизированный </t>
  </si>
  <si>
    <t>43504</t>
  </si>
  <si>
    <t xml:space="preserve">Суперфосфат двойной </t>
  </si>
  <si>
    <t>43505</t>
  </si>
  <si>
    <t xml:space="preserve">Суперфосфат простой </t>
  </si>
  <si>
    <t>43506</t>
  </si>
  <si>
    <t xml:space="preserve">Трикальцийфосфат </t>
  </si>
  <si>
    <t>43507</t>
  </si>
  <si>
    <t xml:space="preserve">Удобрения фосфатные, не поименованные в алфавите </t>
  </si>
  <si>
    <t>43508</t>
  </si>
  <si>
    <t xml:space="preserve">Фосфогипс </t>
  </si>
  <si>
    <t>43509</t>
  </si>
  <si>
    <t xml:space="preserve">Фосфоробактерин </t>
  </si>
  <si>
    <t>43510</t>
  </si>
  <si>
    <t xml:space="preserve">Шлак фосфатный (томасшлак) </t>
  </si>
  <si>
    <t xml:space="preserve">Удобрения минеральные прочие </t>
  </si>
  <si>
    <t xml:space="preserve">Аммофос </t>
  </si>
  <si>
    <t xml:space="preserve">Гипс сыромолотый для известкования (гипсования) почв </t>
  </si>
  <si>
    <t xml:space="preserve">Осадок фильтрационный (дефекат) </t>
  </si>
  <si>
    <t xml:space="preserve">Диаммофос </t>
  </si>
  <si>
    <t xml:space="preserve">Зола сланцевая для известкования почв </t>
  </si>
  <si>
    <t>Известняк молотый (мука известняковая) для известкования почв</t>
  </si>
  <si>
    <t xml:space="preserve">Мел для известкования почв </t>
  </si>
  <si>
    <t xml:space="preserve">Мука доломитовая (доломит молотый) для известкования почв </t>
  </si>
  <si>
    <t xml:space="preserve">Нитрофоска (минеральное удобрение) </t>
  </si>
  <si>
    <t xml:space="preserve">Пыль цементных печей для известкования почв </t>
  </si>
  <si>
    <t xml:space="preserve">Туки землеудобрительные минеральные </t>
  </si>
  <si>
    <t xml:space="preserve">Удобрения смешанные (тукосмеси) </t>
  </si>
  <si>
    <t xml:space="preserve">Азофосфат </t>
  </si>
  <si>
    <t xml:space="preserve">Нитроаммофос </t>
  </si>
  <si>
    <t xml:space="preserve">Нитроаммофоска </t>
  </si>
  <si>
    <t xml:space="preserve">Нитрофос </t>
  </si>
  <si>
    <t xml:space="preserve">Нитродиаммофос </t>
  </si>
  <si>
    <t>Удобрения химические и минеральные всякие, не поименованные в алфавите</t>
  </si>
  <si>
    <t xml:space="preserve">Диаммофоска </t>
  </si>
  <si>
    <t xml:space="preserve">Монокальцийфосфат </t>
  </si>
  <si>
    <t>Продукция химико-фармацевтической и парфюмерно-косметической промышленности. Мыло</t>
  </si>
  <si>
    <t xml:space="preserve">Медикаменты, химико-фармацевтическая продукция </t>
  </si>
  <si>
    <t xml:space="preserve">Адреналин </t>
  </si>
  <si>
    <t xml:space="preserve">Аптечки </t>
  </si>
  <si>
    <t xml:space="preserve">Акрихин </t>
  </si>
  <si>
    <t xml:space="preserve">Алкалоиды растительные, не поименованные в алфавите </t>
  </si>
  <si>
    <t xml:space="preserve">Антибиотики, не поименованные в алфавите </t>
  </si>
  <si>
    <t xml:space="preserve">Антиникотин </t>
  </si>
  <si>
    <t xml:space="preserve">Бацилихин для животноводства </t>
  </si>
  <si>
    <t xml:space="preserve">Бинты марлевые </t>
  </si>
  <si>
    <t xml:space="preserve">Бромоформ </t>
  </si>
  <si>
    <t xml:space="preserve">Бутадион </t>
  </si>
  <si>
    <t xml:space="preserve">Вазелин медицинский </t>
  </si>
  <si>
    <t xml:space="preserve">Вата медицинская </t>
  </si>
  <si>
    <t xml:space="preserve">Витамины </t>
  </si>
  <si>
    <t xml:space="preserve">Гематоген </t>
  </si>
  <si>
    <t xml:space="preserve">Гликоген </t>
  </si>
  <si>
    <t xml:space="preserve">Гликозиды </t>
  </si>
  <si>
    <t xml:space="preserve">Глицерин душистый </t>
  </si>
  <si>
    <t xml:space="preserve">Грязи минеральные для ванн </t>
  </si>
  <si>
    <t xml:space="preserve">Дрожжи пивные медицинские (торулин) </t>
  </si>
  <si>
    <t>Изделия (продукция) химико-фармацевтические, не поименованные в алфавите</t>
  </si>
  <si>
    <t xml:space="preserve">Изделия из марли и ваты специального назначения </t>
  </si>
  <si>
    <t xml:space="preserve">Йод однохлористый медицинский </t>
  </si>
  <si>
    <t xml:space="preserve">Камфара медицинская </t>
  </si>
  <si>
    <t xml:space="preserve">Капли гофманские </t>
  </si>
  <si>
    <t xml:space="preserve">Коллодий </t>
  </si>
  <si>
    <t xml:space="preserve">Концентрат кормовой комплексный КМБ-12 </t>
  </si>
  <si>
    <t xml:space="preserve">Кофеин (чистый, порошок) </t>
  </si>
  <si>
    <t xml:space="preserve">Лакрица (сок солодкового корня) </t>
  </si>
  <si>
    <t xml:space="preserve">Ланолин очищенный </t>
  </si>
  <si>
    <t xml:space="preserve">Лейкопластырь бактерицидный </t>
  </si>
  <si>
    <t xml:space="preserve">Люминал "А" </t>
  </si>
  <si>
    <t xml:space="preserve">Ляпис (серебро азотнокислое) </t>
  </si>
  <si>
    <t>Магнезия сернокислая (соль английская, соль глауберова медицинская)</t>
  </si>
  <si>
    <t xml:space="preserve">Мази лечебные, не поименованные в алфавите </t>
  </si>
  <si>
    <t xml:space="preserve">Марля медицинская </t>
  </si>
  <si>
    <t xml:space="preserve">Масла лекарственные, не поименованные в алфавите </t>
  </si>
  <si>
    <t>Масла эфирные фармацевтические (аирное, анисовое, лимонное, персиковое, шалфейное и др.)</t>
  </si>
  <si>
    <t xml:space="preserve">Масло вазелиновое медицинское </t>
  </si>
  <si>
    <t xml:space="preserve">Медикаменты, не поименованные в алфавите </t>
  </si>
  <si>
    <t xml:space="preserve">Парафин медицинский </t>
  </si>
  <si>
    <t xml:space="preserve">Пепсин </t>
  </si>
  <si>
    <t>Препараты ферментные (амилоризин ПХ, пектаваморин П 10Х и Г 10Х и др.)</t>
  </si>
  <si>
    <t xml:space="preserve">Сабур (высушенный сок листьев алоэ) </t>
  </si>
  <si>
    <t xml:space="preserve">Сантонин </t>
  </si>
  <si>
    <t xml:space="preserve">Сахарин </t>
  </si>
  <si>
    <t xml:space="preserve">Составы для углекислых ванн </t>
  </si>
  <si>
    <t xml:space="preserve">Средства лекарственные, не поименованные в алфавите </t>
  </si>
  <si>
    <t xml:space="preserve">Сульфамиды </t>
  </si>
  <si>
    <t xml:space="preserve">Сыворотки лечебные </t>
  </si>
  <si>
    <t xml:space="preserve">Танин </t>
  </si>
  <si>
    <t xml:space="preserve">Хинин </t>
  </si>
  <si>
    <t xml:space="preserve">Хлороформ медицинский </t>
  </si>
  <si>
    <t xml:space="preserve">Хлорэтил </t>
  </si>
  <si>
    <t xml:space="preserve">Циклопропан </t>
  </si>
  <si>
    <t>Экстракты лекарственные (из алоэ, хвойносоляные и хвойные натуральные и др.)</t>
  </si>
  <si>
    <t xml:space="preserve">Эфиры медицинские, не поименованные в алфавите </t>
  </si>
  <si>
    <t>Продукция парфюмерно-косметической и эфирно-масличной промышленности</t>
  </si>
  <si>
    <t xml:space="preserve">Амбра </t>
  </si>
  <si>
    <t xml:space="preserve">Воды душистые </t>
  </si>
  <si>
    <t xml:space="preserve">Духи эфирные </t>
  </si>
  <si>
    <t xml:space="preserve">Крем-пудры </t>
  </si>
  <si>
    <t xml:space="preserve">Масла эфирные натуральные </t>
  </si>
  <si>
    <t xml:space="preserve">Масло эфирное розовое </t>
  </si>
  <si>
    <t xml:space="preserve">Одеколон </t>
  </si>
  <si>
    <t xml:space="preserve">Отруби миндальные </t>
  </si>
  <si>
    <t xml:space="preserve">Паста зубная </t>
  </si>
  <si>
    <t xml:space="preserve">Помада губная </t>
  </si>
  <si>
    <t xml:space="preserve">Порошок зубной </t>
  </si>
  <si>
    <t>Продукция парфюмерно-косметической промышленности, не поименованная в алфавите</t>
  </si>
  <si>
    <t xml:space="preserve">Шампуни </t>
  </si>
  <si>
    <t xml:space="preserve">Элексиры зубные </t>
  </si>
  <si>
    <t xml:space="preserve">Эссенции ароматические </t>
  </si>
  <si>
    <t xml:space="preserve">Мыло </t>
  </si>
  <si>
    <t xml:space="preserve">Мыло туалетное жидкое </t>
  </si>
  <si>
    <t xml:space="preserve">Мыло туалетное твердое </t>
  </si>
  <si>
    <t xml:space="preserve">Мыло хозяйственное жидкое </t>
  </si>
  <si>
    <t xml:space="preserve">Мыло хозяйственное твердое </t>
  </si>
  <si>
    <t xml:space="preserve">Стружка стиральная </t>
  </si>
  <si>
    <t>Каучуки, резина, изделия резино-технические, углерод технический (сажа)</t>
  </si>
  <si>
    <t xml:space="preserve">Каучуки и латексы </t>
  </si>
  <si>
    <t xml:space="preserve">Балата </t>
  </si>
  <si>
    <t xml:space="preserve">Гуттаперча </t>
  </si>
  <si>
    <t xml:space="preserve">Каучук натуральный </t>
  </si>
  <si>
    <t xml:space="preserve">Каучук синтетический, не поименованный в алфавите </t>
  </si>
  <si>
    <t xml:space="preserve">Латексы </t>
  </si>
  <si>
    <t xml:space="preserve">Наирит </t>
  </si>
  <si>
    <t xml:space="preserve">Резина, изделия резино-технические и эбонитовые </t>
  </si>
  <si>
    <t xml:space="preserve">Автокамеры (камеры автомобильные) резиновые новые </t>
  </si>
  <si>
    <t xml:space="preserve">Автопокрышки (покрышки автомобильные) резиновые новые </t>
  </si>
  <si>
    <t xml:space="preserve">Баки эбонитовые </t>
  </si>
  <si>
    <t xml:space="preserve">Велокамеры (камеры велосипедные) резиновые новые </t>
  </si>
  <si>
    <t xml:space="preserve">Велопокрышки (покрышки велосипедные) резиновые новые </t>
  </si>
  <si>
    <t xml:space="preserve">Гуммиэластик </t>
  </si>
  <si>
    <t xml:space="preserve">Изделия губчатые из латекса </t>
  </si>
  <si>
    <t xml:space="preserve">Изделия гуттаперчевые, не поименованные в алфавите </t>
  </si>
  <si>
    <t xml:space="preserve">Изделия каучуковые новые, не поименованные в алфавите </t>
  </si>
  <si>
    <t xml:space="preserve">Изделия резинотехнические, не поименованные в алфавите </t>
  </si>
  <si>
    <t xml:space="preserve">Изделия эбонитовые, не поименованные в алфавите </t>
  </si>
  <si>
    <t xml:space="preserve">Кольца резиновые всякие </t>
  </si>
  <si>
    <t xml:space="preserve">Лента резиновая </t>
  </si>
  <si>
    <t xml:space="preserve">Матрацы резиновые </t>
  </si>
  <si>
    <t xml:space="preserve">Маты резиновые </t>
  </si>
  <si>
    <t xml:space="preserve">Мешки резиновые и прорезиненные </t>
  </si>
  <si>
    <t xml:space="preserve">Моноблоки эбонитовые аккумуляторные </t>
  </si>
  <si>
    <t xml:space="preserve">Перчатки резиновые </t>
  </si>
  <si>
    <t xml:space="preserve">Пластины резиновые всякие </t>
  </si>
  <si>
    <t xml:space="preserve">Пластины из пенорезины </t>
  </si>
  <si>
    <t xml:space="preserve">Подошвы резиновые </t>
  </si>
  <si>
    <t xml:space="preserve">Подушки резиновые </t>
  </si>
  <si>
    <t xml:space="preserve">Подшипники резиновые </t>
  </si>
  <si>
    <t>Покрышки автобусные, мотоциклетные, троллейбусные и другие резиновые новые</t>
  </si>
  <si>
    <t xml:space="preserve">Пороизол </t>
  </si>
  <si>
    <t xml:space="preserve">Пробки резиновые и эбонитовые </t>
  </si>
  <si>
    <t>Продукция шинной промышленности новая, не поименованная в алфавите</t>
  </si>
  <si>
    <t xml:space="preserve">Пыль эбонитовая </t>
  </si>
  <si>
    <t xml:space="preserve">Резина всякая (в том числе искусственная) </t>
  </si>
  <si>
    <t xml:space="preserve">Рукава резиновые и прорезиненные </t>
  </si>
  <si>
    <t xml:space="preserve">Тара эбонитовая, не поименованная в алфавите </t>
  </si>
  <si>
    <t xml:space="preserve">Трубки резиновые, не поименованные в алфавите </t>
  </si>
  <si>
    <t xml:space="preserve">Шины всякие резиновые новые </t>
  </si>
  <si>
    <t xml:space="preserve">Шланги резиновые и прорезиненные </t>
  </si>
  <si>
    <t xml:space="preserve">Эбонит </t>
  </si>
  <si>
    <t>Изделия резинотехнические, бывшие в употреблении, восстановленные</t>
  </si>
  <si>
    <t>Автокамеры резиновые, бывшие в употреблении, восстановленные</t>
  </si>
  <si>
    <t>Автопокрышки резиновые, бывшие в употреблении, восстановленные</t>
  </si>
  <si>
    <t>Велокамеры резиновые, бывшие в употреблении, восстановленные</t>
  </si>
  <si>
    <t>Велопокрышки резиновые, бывшие в употреблении, восстановленные</t>
  </si>
  <si>
    <t xml:space="preserve">Покрышки автобусные, мотоциклетные, троллейбусные и др. резиновые, бывшие в употреблении, восстановленные </t>
  </si>
  <si>
    <t>Продукция шинной промышленности резиновая, бывшая в употреблении, восстановленная</t>
  </si>
  <si>
    <t xml:space="preserve">Углерод технический (сажа) </t>
  </si>
  <si>
    <t xml:space="preserve">Углерод технический </t>
  </si>
  <si>
    <t>Смолы природные и синтетические, волокна синтетические, пластмассы и изделия из них. Клей. Краски</t>
  </si>
  <si>
    <t xml:space="preserve">Смолы синтетические и пластические массы </t>
  </si>
  <si>
    <t xml:space="preserve">Акрилнитрилстирол </t>
  </si>
  <si>
    <t xml:space="preserve">Аминопласты </t>
  </si>
  <si>
    <t xml:space="preserve">Асбопеколит </t>
  </si>
  <si>
    <t xml:space="preserve">Асботекстолит </t>
  </si>
  <si>
    <t xml:space="preserve">Бакелит </t>
  </si>
  <si>
    <t xml:space="preserve">Винипласт листовой </t>
  </si>
  <si>
    <t xml:space="preserve">Волокнит </t>
  </si>
  <si>
    <t xml:space="preserve">Галалит (пластмасса) </t>
  </si>
  <si>
    <t xml:space="preserve">Гетинакс </t>
  </si>
  <si>
    <t xml:space="preserve">Жидкости кремнийорганические </t>
  </si>
  <si>
    <t xml:space="preserve">Идитол </t>
  </si>
  <si>
    <t xml:space="preserve">Ипорка </t>
  </si>
  <si>
    <t xml:space="preserve">Карбоксиметилцеллюлоза </t>
  </si>
  <si>
    <t xml:space="preserve">Карболит </t>
  </si>
  <si>
    <t xml:space="preserve">Китра </t>
  </si>
  <si>
    <t xml:space="preserve">Копалы синтетические </t>
  </si>
  <si>
    <t xml:space="preserve">Крошка карболитовая, капроновая и текстолитовая </t>
  </si>
  <si>
    <t xml:space="preserve">Масса асбовиниловая футеровочная </t>
  </si>
  <si>
    <t>Массы пластические (пластмассы), не поименованные в алфавите</t>
  </si>
  <si>
    <t xml:space="preserve">Микалекс в пластинах </t>
  </si>
  <si>
    <t xml:space="preserve">Мипора </t>
  </si>
  <si>
    <t xml:space="preserve">Неолейкорит (смола синтетическая) </t>
  </si>
  <si>
    <t xml:space="preserve">Оргстекло листовое (пластикаты) </t>
  </si>
  <si>
    <t xml:space="preserve">Отходы галалита </t>
  </si>
  <si>
    <t xml:space="preserve">Отходы пластмассовые, не поименованные в алфавите </t>
  </si>
  <si>
    <t xml:space="preserve">Пенопласты (поропласты) </t>
  </si>
  <si>
    <t xml:space="preserve">Пенополиуретаны </t>
  </si>
  <si>
    <t xml:space="preserve">Полиакриламиды </t>
  </si>
  <si>
    <t xml:space="preserve">Поливинилацетат </t>
  </si>
  <si>
    <t xml:space="preserve">Поливинилбутираль </t>
  </si>
  <si>
    <t xml:space="preserve">Поливинилхлорид </t>
  </si>
  <si>
    <t xml:space="preserve">Полистирол </t>
  </si>
  <si>
    <t xml:space="preserve">Полиэтилен </t>
  </si>
  <si>
    <t xml:space="preserve">Полиэфир ТГМ-3 </t>
  </si>
  <si>
    <t>Пресс-порошки (порошки прессовочные), не поименованные в алфавите</t>
  </si>
  <si>
    <t xml:space="preserve">Силиконы (кремнийорганические полимеры) </t>
  </si>
  <si>
    <t xml:space="preserve">Смолы ионообменные </t>
  </si>
  <si>
    <t xml:space="preserve">Смолы карбамидоформальдегидные </t>
  </si>
  <si>
    <t xml:space="preserve">Смолы меламиноформальдегидные </t>
  </si>
  <si>
    <t xml:space="preserve">Смолы синтетические, не поименованные в алфавите </t>
  </si>
  <si>
    <t xml:space="preserve">Смолы формальдегидные </t>
  </si>
  <si>
    <t xml:space="preserve">Сополимеры </t>
  </si>
  <si>
    <t xml:space="preserve">Стекло органическое (плексиглас) </t>
  </si>
  <si>
    <t xml:space="preserve">Стеклопластик листовой </t>
  </si>
  <si>
    <t xml:space="preserve">Стеклотекстолит </t>
  </si>
  <si>
    <t xml:space="preserve">Текстолит всякий </t>
  </si>
  <si>
    <t xml:space="preserve">Фаолит в листах </t>
  </si>
  <si>
    <t xml:space="preserve">Фторопласты </t>
  </si>
  <si>
    <t xml:space="preserve">Целлон </t>
  </si>
  <si>
    <t xml:space="preserve">Целлофан </t>
  </si>
  <si>
    <t xml:space="preserve">Целлулоид </t>
  </si>
  <si>
    <t xml:space="preserve">Эмульсия поливинилацетатная </t>
  </si>
  <si>
    <t xml:space="preserve">Этрол </t>
  </si>
  <si>
    <t xml:space="preserve">Изделия из пластических масс и синтетических смол </t>
  </si>
  <si>
    <t xml:space="preserve">Баки карболитовые </t>
  </si>
  <si>
    <t xml:space="preserve">Ванны фаолитовые </t>
  </si>
  <si>
    <t xml:space="preserve">Втулки текстолитовые </t>
  </si>
  <si>
    <t xml:space="preserve">Изделия бакелитовые </t>
  </si>
  <si>
    <t xml:space="preserve">Изделия галалитовые </t>
  </si>
  <si>
    <t xml:space="preserve">Изделия из винипласта </t>
  </si>
  <si>
    <t xml:space="preserve">Изделия из органического стекла (плексигласа) </t>
  </si>
  <si>
    <t xml:space="preserve">Изделия из пластиката полихлорвинилового </t>
  </si>
  <si>
    <t xml:space="preserve">Изделия из пластмасс, не поименованные в алфавите </t>
  </si>
  <si>
    <t xml:space="preserve">Изделия из фенопласта </t>
  </si>
  <si>
    <t xml:space="preserve">Изделия поролоновые (пенополиуретановые) </t>
  </si>
  <si>
    <t xml:space="preserve">Изделия текстолитовые, не поименованные в алфавите </t>
  </si>
  <si>
    <t xml:space="preserve">Изделия фаолитовые, не поименованные в алфавите </t>
  </si>
  <si>
    <t xml:space="preserve">Изделия целлулоидовые </t>
  </si>
  <si>
    <t xml:space="preserve">Канистры полиэтиленовые </t>
  </si>
  <si>
    <t xml:space="preserve">Кинопленки </t>
  </si>
  <si>
    <t xml:space="preserve">Ленты магнитные для записи звука </t>
  </si>
  <si>
    <t xml:space="preserve">Перфоль (пленка полиамидная) </t>
  </si>
  <si>
    <t xml:space="preserve">Пленка антикоррозийная </t>
  </si>
  <si>
    <t xml:space="preserve">Пленка кинематографическая битая </t>
  </si>
  <si>
    <t xml:space="preserve">Пленка полихлорвиниловая, полиэтиленовая и др., не поименованная в алфавите </t>
  </si>
  <si>
    <t xml:space="preserve">Пленка рентгеновская </t>
  </si>
  <si>
    <t xml:space="preserve">Пленка целлофановая </t>
  </si>
  <si>
    <t xml:space="preserve">Плитки пластмассовые всякие </t>
  </si>
  <si>
    <t xml:space="preserve">Подошвы из полиуретана </t>
  </si>
  <si>
    <t xml:space="preserve">Поролон </t>
  </si>
  <si>
    <t xml:space="preserve">Трубы из синтетических материалов </t>
  </si>
  <si>
    <t xml:space="preserve">Фотобумага </t>
  </si>
  <si>
    <t xml:space="preserve">Фотопленки </t>
  </si>
  <si>
    <t xml:space="preserve">Ящики (тара) из полиэтилена </t>
  </si>
  <si>
    <t xml:space="preserve">Волокна искусственные и синтетические </t>
  </si>
  <si>
    <t xml:space="preserve">Анид (волокно синтетическое) </t>
  </si>
  <si>
    <t>Волокно искусственное и синтетическое, не поименованное в алфавите</t>
  </si>
  <si>
    <t xml:space="preserve">Капрон (волокно синтетическое) </t>
  </si>
  <si>
    <t xml:space="preserve">Лавсан (волокно синтетическое) </t>
  </si>
  <si>
    <t xml:space="preserve">Нити искусственные и синтетические </t>
  </si>
  <si>
    <t xml:space="preserve">Нитрон (волокно синтетическое) </t>
  </si>
  <si>
    <t xml:space="preserve">Хлорин (волокно синтетическое) </t>
  </si>
  <si>
    <t xml:space="preserve">Штапель (волокно искусственное) </t>
  </si>
  <si>
    <t xml:space="preserve">Фильтры ацетатные </t>
  </si>
  <si>
    <t xml:space="preserve">Клей </t>
  </si>
  <si>
    <t xml:space="preserve">Бальзам пихтовый лечебный </t>
  </si>
  <si>
    <t xml:space="preserve">Желатин технический </t>
  </si>
  <si>
    <t xml:space="preserve">Казеин пищевой и технический </t>
  </si>
  <si>
    <t xml:space="preserve">Клей казеиновый </t>
  </si>
  <si>
    <t xml:space="preserve">Клей конторский </t>
  </si>
  <si>
    <t xml:space="preserve">Клей резиновый </t>
  </si>
  <si>
    <t xml:space="preserve">Клей синтетический </t>
  </si>
  <si>
    <t xml:space="preserve">Клей столярный </t>
  </si>
  <si>
    <t xml:space="preserve">Клей, не поименованный в алфавите </t>
  </si>
  <si>
    <t xml:space="preserve">Кость для производства клея </t>
  </si>
  <si>
    <t xml:space="preserve">Уголь костяной </t>
  </si>
  <si>
    <t xml:space="preserve">Шрот костный </t>
  </si>
  <si>
    <t xml:space="preserve">Бустилат </t>
  </si>
  <si>
    <t xml:space="preserve">Смолы природные </t>
  </si>
  <si>
    <t xml:space="preserve">Блак </t>
  </si>
  <si>
    <t xml:space="preserve">Вар лесохимический </t>
  </si>
  <si>
    <t xml:space="preserve">Вар простилочный </t>
  </si>
  <si>
    <t xml:space="preserve">Воск хвойный </t>
  </si>
  <si>
    <t xml:space="preserve">Галипот смольный </t>
  </si>
  <si>
    <t xml:space="preserve">Гумми (камеди) всякие, не поименованные в алфавите </t>
  </si>
  <si>
    <t xml:space="preserve">Гуммилак (шеллак) </t>
  </si>
  <si>
    <t xml:space="preserve">Живица (терпентин) </t>
  </si>
  <si>
    <t xml:space="preserve">Клей вишневый и смоляной </t>
  </si>
  <si>
    <t xml:space="preserve">Копалы природные </t>
  </si>
  <si>
    <t xml:space="preserve">Серка еловая </t>
  </si>
  <si>
    <t xml:space="preserve">Смола серянка </t>
  </si>
  <si>
    <t xml:space="preserve">Смолы природные, не поименованные в алфавите </t>
  </si>
  <si>
    <t xml:space="preserve">Материалы лакокрасочные. Красители синтетические </t>
  </si>
  <si>
    <t xml:space="preserve">Аминофенолы </t>
  </si>
  <si>
    <t xml:space="preserve">Анилин, не поименованный в алфавите </t>
  </si>
  <si>
    <t xml:space="preserve">Анилин солянокислый </t>
  </si>
  <si>
    <t xml:space="preserve">Антрахинон </t>
  </si>
  <si>
    <t xml:space="preserve">Бакан (краситель) </t>
  </si>
  <si>
    <t>Белила - литопонные (литопон), свинцовые, титановые, цинковые и др., не поименованные в алфавите</t>
  </si>
  <si>
    <t xml:space="preserve">Бензидин </t>
  </si>
  <si>
    <t xml:space="preserve">Бензальдегид </t>
  </si>
  <si>
    <t xml:space="preserve">Двуокись титана (пигментная) </t>
  </si>
  <si>
    <t xml:space="preserve">Диазоль </t>
  </si>
  <si>
    <t xml:space="preserve">Диметиланилин </t>
  </si>
  <si>
    <t xml:space="preserve">Динитробензол </t>
  </si>
  <si>
    <t xml:space="preserve">Динитрофенол </t>
  </si>
  <si>
    <t xml:space="preserve">Динитрохлорбензол </t>
  </si>
  <si>
    <t xml:space="preserve">Диэтиланилин </t>
  </si>
  <si>
    <t xml:space="preserve">Дубители синтетические </t>
  </si>
  <si>
    <t xml:space="preserve">Жидкость гидротормозная </t>
  </si>
  <si>
    <t xml:space="preserve">Замазки всякие </t>
  </si>
  <si>
    <t xml:space="preserve">Зелень свинцовая и цинковая </t>
  </si>
  <si>
    <t xml:space="preserve">Индиго </t>
  </si>
  <si>
    <t xml:space="preserve">Индулин </t>
  </si>
  <si>
    <t xml:space="preserve">Кадмий сернистый, углекислый, хлористый </t>
  </si>
  <si>
    <t xml:space="preserve">Кобальт сернокислый и хлористый (краска) </t>
  </si>
  <si>
    <t xml:space="preserve">Красители, не поименованные в алфавите </t>
  </si>
  <si>
    <t xml:space="preserve">Краски, не поименованные в алфавите </t>
  </si>
  <si>
    <t xml:space="preserve">Ксилидин </t>
  </si>
  <si>
    <t xml:space="preserve">Лазурь малярная </t>
  </si>
  <si>
    <t xml:space="preserve">Лак битумный, магнитный, полиамидный </t>
  </si>
  <si>
    <t xml:space="preserve">Лаки, не поименованные в алфавите </t>
  </si>
  <si>
    <t xml:space="preserve">Мастика "Гелан" </t>
  </si>
  <si>
    <t xml:space="preserve">Мастика для полов и всякая другая </t>
  </si>
  <si>
    <t xml:space="preserve">Монохлорбензол </t>
  </si>
  <si>
    <t xml:space="preserve">Нафтол </t>
  </si>
  <si>
    <t xml:space="preserve">Нитроаминофенол </t>
  </si>
  <si>
    <t xml:space="preserve">Нитроанизол </t>
  </si>
  <si>
    <t xml:space="preserve">Нитроанилин (паранитроанилин) </t>
  </si>
  <si>
    <t xml:space="preserve">Нитробензол </t>
  </si>
  <si>
    <t xml:space="preserve">Нитрокраски, не поименованные в алфавите </t>
  </si>
  <si>
    <t xml:space="preserve">Нитроксилол </t>
  </si>
  <si>
    <t xml:space="preserve">Нитролаки, не поименованные в алфавите </t>
  </si>
  <si>
    <t xml:space="preserve">Нитрофенол </t>
  </si>
  <si>
    <t xml:space="preserve">Нитрохлорбензол </t>
  </si>
  <si>
    <t xml:space="preserve">Нитроэмали, не поименованные в алфавите 2060 </t>
  </si>
  <si>
    <t xml:space="preserve">Оксоль (олифа) </t>
  </si>
  <si>
    <t xml:space="preserve">Олифа искусственная - (глифталевая, каменноугольная, нафтеноль и др.), не поименованная в алфавите </t>
  </si>
  <si>
    <t xml:space="preserve">Олифа натуральная, не поименованная в алфавите </t>
  </si>
  <si>
    <t xml:space="preserve">Олово хлористое (соль оловянная) и хлорное </t>
  </si>
  <si>
    <t xml:space="preserve">Ортонитротолуол </t>
  </si>
  <si>
    <t xml:space="preserve">Ортонитрохлорбензол </t>
  </si>
  <si>
    <t xml:space="preserve">Охра </t>
  </si>
  <si>
    <t xml:space="preserve">Паранитрохлорбензол (нитрохлорбензол) </t>
  </si>
  <si>
    <t>Паста водозапорная, паста суховальцованная для нитроэмалей</t>
  </si>
  <si>
    <t xml:space="preserve">Паста алюминиевая для красок </t>
  </si>
  <si>
    <t xml:space="preserve">Паста уплотнительная "Севастополь" </t>
  </si>
  <si>
    <t xml:space="preserve">Пирокатехин технический </t>
  </si>
  <si>
    <t xml:space="preserve">Политуры всякие </t>
  </si>
  <si>
    <t xml:space="preserve">Полупродукты для красителей, не поименованные в алфавите </t>
  </si>
  <si>
    <t>Порошки алюминиевые, бронзовые и другие, не поименованные в алфавите</t>
  </si>
  <si>
    <t xml:space="preserve">Пудра алюминиевая и бронзовая </t>
  </si>
  <si>
    <t xml:space="preserve">Резорцин </t>
  </si>
  <si>
    <t xml:space="preserve">Сахар-сатурн (свинец уксуснокислый) </t>
  </si>
  <si>
    <t xml:space="preserve">Сиккативы всякие </t>
  </si>
  <si>
    <t xml:space="preserve">Синька </t>
  </si>
  <si>
    <t xml:space="preserve">Сурик железный и свинцовый </t>
  </si>
  <si>
    <t xml:space="preserve">Толуидин, ортотолуидин </t>
  </si>
  <si>
    <t xml:space="preserve">Трихлорбензол </t>
  </si>
  <si>
    <t xml:space="preserve">Ультрамарин </t>
  </si>
  <si>
    <t xml:space="preserve">Фенилендиамин </t>
  </si>
  <si>
    <t xml:space="preserve">Фенолосульфокислота </t>
  </si>
  <si>
    <t xml:space="preserve">Хлорбензол </t>
  </si>
  <si>
    <t xml:space="preserve">Хлорнитроанилины </t>
  </si>
  <si>
    <t xml:space="preserve">Экстракты дубильные растительные и синтетические - (дубовый, ивовый, каштановый, сульфит целлюлозный и др.) </t>
  </si>
  <si>
    <t xml:space="preserve">Экстракты красильные, не поименованные в алфавите </t>
  </si>
  <si>
    <t xml:space="preserve">Эмали всякие </t>
  </si>
  <si>
    <t xml:space="preserve">Лак нитроцеллюлозный </t>
  </si>
  <si>
    <t xml:space="preserve">Продукция коксохимической и лесохимической промышленности </t>
  </si>
  <si>
    <t xml:space="preserve">Смолы, кроме природных, нефтяных и синтетических. Деготь </t>
  </si>
  <si>
    <t xml:space="preserve">Деготь газовый, древесный, каменноугольный и др. </t>
  </si>
  <si>
    <t xml:space="preserve">Дистиллат пековый и каменноугольный </t>
  </si>
  <si>
    <t xml:space="preserve">Лак каменноугольный </t>
  </si>
  <si>
    <t xml:space="preserve">Лак толевый </t>
  </si>
  <si>
    <t>47106</t>
  </si>
  <si>
    <t>Пек древесный, сланцевый, стеариновый, торфяной и др., не поименованный в алфавите</t>
  </si>
  <si>
    <t>47107</t>
  </si>
  <si>
    <t xml:space="preserve">Пек каменноугольный твердый </t>
  </si>
  <si>
    <t>47108</t>
  </si>
  <si>
    <t xml:space="preserve">Пек таловый </t>
  </si>
  <si>
    <t>47109</t>
  </si>
  <si>
    <t>Политерпены</t>
  </si>
  <si>
    <t>47111</t>
  </si>
  <si>
    <t xml:space="preserve">Смола газовая </t>
  </si>
  <si>
    <t>47112</t>
  </si>
  <si>
    <t xml:space="preserve">Смола торфяная </t>
  </si>
  <si>
    <t>47113</t>
  </si>
  <si>
    <t xml:space="preserve">Смола фенольная </t>
  </si>
  <si>
    <t>47114</t>
  </si>
  <si>
    <t xml:space="preserve">Смолы каменноугольные, не поименованные в алфавите </t>
  </si>
  <si>
    <t>47115</t>
  </si>
  <si>
    <t>Смолы, кроме нефтяных, синтетических и природных, не поименованные в алфавите</t>
  </si>
  <si>
    <t>47116</t>
  </si>
  <si>
    <t xml:space="preserve">Сургуч </t>
  </si>
  <si>
    <t xml:space="preserve">Масла, кроме нефтяных, скипидар и составы пропиточные </t>
  </si>
  <si>
    <t xml:space="preserve">Гидрокарбюр (масло каменноугольное) </t>
  </si>
  <si>
    <t xml:space="preserve">Крезол </t>
  </si>
  <si>
    <t xml:space="preserve">Крезол технический </t>
  </si>
  <si>
    <t xml:space="preserve">Мазь колесная </t>
  </si>
  <si>
    <t xml:space="preserve">Масла каменноугольные, не поименованные в алфавите </t>
  </si>
  <si>
    <t xml:space="preserve">Масло антраценовое технологическое </t>
  </si>
  <si>
    <t xml:space="preserve">Масло ацетоновое </t>
  </si>
  <si>
    <t xml:space="preserve">Масло каменноугольное для пропитки древесины </t>
  </si>
  <si>
    <t xml:space="preserve">Масло сланцевое </t>
  </si>
  <si>
    <t xml:space="preserve">Масло кетоновое </t>
  </si>
  <si>
    <t xml:space="preserve">Масло креозотное </t>
  </si>
  <si>
    <t xml:space="preserve">Масло ойтисиковое </t>
  </si>
  <si>
    <t xml:space="preserve">Масло легкое каменноугольное </t>
  </si>
  <si>
    <t xml:space="preserve">Масло пихтовое </t>
  </si>
  <si>
    <t xml:space="preserve">Масло терпентинновое (скипидар живичный) </t>
  </si>
  <si>
    <t>47216</t>
  </si>
  <si>
    <t xml:space="preserve">Масло среднее каменноугольное </t>
  </si>
  <si>
    <t>47217</t>
  </si>
  <si>
    <t>Масло талловое</t>
  </si>
  <si>
    <t>47218</t>
  </si>
  <si>
    <t>Масло коксопиролизное (масло зеленое)</t>
  </si>
  <si>
    <t>47219</t>
  </si>
  <si>
    <t>Наполнитель жирующий ПМЖ, ПЖС</t>
  </si>
  <si>
    <t>47220</t>
  </si>
  <si>
    <t>Паракреозот</t>
  </si>
  <si>
    <t>47221</t>
  </si>
  <si>
    <t>Креозот</t>
  </si>
  <si>
    <t>47222</t>
  </si>
  <si>
    <t>Скипидар</t>
  </si>
  <si>
    <t>47223</t>
  </si>
  <si>
    <t xml:space="preserve">Составы для заливки кабельных муфт (масса кабельная) </t>
  </si>
  <si>
    <t>47224</t>
  </si>
  <si>
    <t>Составы пропиточные для дерева, не поименованные в алфавите</t>
  </si>
  <si>
    <t>47225</t>
  </si>
  <si>
    <t>Составы пропиточные для проводов и кабелей, не поименованные в алфавите</t>
  </si>
  <si>
    <t xml:space="preserve">Электроды графитированные и угольные </t>
  </si>
  <si>
    <t xml:space="preserve">Аккумуляторы и аккумуляторные батареи электрические </t>
  </si>
  <si>
    <t xml:space="preserve">Изделия графитированные и угольные </t>
  </si>
  <si>
    <t xml:space="preserve">Масса анодная </t>
  </si>
  <si>
    <t xml:space="preserve">Термографит </t>
  </si>
  <si>
    <t xml:space="preserve">Уголь прессованный для гальванических элементов </t>
  </si>
  <si>
    <t>Электроды графитированные и угольные, не поименованные в алфавите</t>
  </si>
  <si>
    <t xml:space="preserve">Элементы (батареи) гальванические </t>
  </si>
  <si>
    <t>47308</t>
  </si>
  <si>
    <t xml:space="preserve">Масса электродная </t>
  </si>
  <si>
    <t xml:space="preserve">Уголь древесный </t>
  </si>
  <si>
    <t>47401</t>
  </si>
  <si>
    <t xml:space="preserve">Уголь животного происхождения </t>
  </si>
  <si>
    <t xml:space="preserve">Прочая продукция коксохимической и лесохимической промышленности </t>
  </si>
  <si>
    <t xml:space="preserve">Антиокислитель древесносмоляной (ингибитор) </t>
  </si>
  <si>
    <t xml:space="preserve">Антиполимеризатор </t>
  </si>
  <si>
    <t>47504</t>
  </si>
  <si>
    <t xml:space="preserve">Аэрофлоты </t>
  </si>
  <si>
    <t>47505</t>
  </si>
  <si>
    <t xml:space="preserve">Вода дегтярная </t>
  </si>
  <si>
    <t>47506</t>
  </si>
  <si>
    <t xml:space="preserve">Ингибитор КИ-1 </t>
  </si>
  <si>
    <t>47507</t>
  </si>
  <si>
    <t>Ингибитор ПБ-5</t>
  </si>
  <si>
    <t>47508</t>
  </si>
  <si>
    <t>Ингибитор коррозии "Дизгафен"</t>
  </si>
  <si>
    <t>47509</t>
  </si>
  <si>
    <t>Ингибиторы коррозии "Донбасс-1"</t>
  </si>
  <si>
    <t>47510</t>
  </si>
  <si>
    <t>Ингибиторы коррозии "Донбасс-2"</t>
  </si>
  <si>
    <t>47511</t>
  </si>
  <si>
    <t>Канифоль</t>
  </si>
  <si>
    <t>47512</t>
  </si>
  <si>
    <t>Кислоты жирные талловые</t>
  </si>
  <si>
    <t>47513</t>
  </si>
  <si>
    <t xml:space="preserve">Концентрат сульфитно-спиртовой барды </t>
  </si>
  <si>
    <t>47514</t>
  </si>
  <si>
    <t>Лигносульфонаты технические</t>
  </si>
  <si>
    <t>47515</t>
  </si>
  <si>
    <t xml:space="preserve">Масло древесно-смоленое </t>
  </si>
  <si>
    <t>47516</t>
  </si>
  <si>
    <t xml:space="preserve">Масло канифольное </t>
  </si>
  <si>
    <t>47517</t>
  </si>
  <si>
    <t xml:space="preserve">Масло сосновое флотационное </t>
  </si>
  <si>
    <t>47518</t>
  </si>
  <si>
    <t xml:space="preserve">Мыло канифольное </t>
  </si>
  <si>
    <t>47519</t>
  </si>
  <si>
    <t xml:space="preserve">Мыло сульфатное </t>
  </si>
  <si>
    <t>47520</t>
  </si>
  <si>
    <t xml:space="preserve">Мягчители, не поименованные в алфавите </t>
  </si>
  <si>
    <t>47521</t>
  </si>
  <si>
    <t xml:space="preserve">Мягчители резины </t>
  </si>
  <si>
    <t>47522</t>
  </si>
  <si>
    <t>Нафта (сольвент каменноугольный)</t>
  </si>
  <si>
    <t>47523</t>
  </si>
  <si>
    <t xml:space="preserve">Отгон пиролизных смол </t>
  </si>
  <si>
    <t>47524</t>
  </si>
  <si>
    <t xml:space="preserve">Порошки древесноуксусные </t>
  </si>
  <si>
    <t>47525</t>
  </si>
  <si>
    <t xml:space="preserve">Продукция коксохимической и лесохимической промышленности, не поименованная в алфавите </t>
  </si>
  <si>
    <t>47526</t>
  </si>
  <si>
    <t xml:space="preserve">Совол </t>
  </si>
  <si>
    <t>47527</t>
  </si>
  <si>
    <t xml:space="preserve">Сырье коксохимическое производства химического углерода </t>
  </si>
  <si>
    <t>47528</t>
  </si>
  <si>
    <t xml:space="preserve">Сырье нефтяное для производства олифы </t>
  </si>
  <si>
    <t>47529</t>
  </si>
  <si>
    <t xml:space="preserve">Флюсы канифольные </t>
  </si>
  <si>
    <t>47530</t>
  </si>
  <si>
    <t xml:space="preserve">Экстракт ароматический (фенольный) </t>
  </si>
  <si>
    <t xml:space="preserve">Продукция неорганической химии </t>
  </si>
  <si>
    <t xml:space="preserve">Кислоты, оксиды, пероксиды и ангидриды </t>
  </si>
  <si>
    <t>Бария пероксид</t>
  </si>
  <si>
    <t>Берилия оксид</t>
  </si>
  <si>
    <t>Водорода пероксид твердый</t>
  </si>
  <si>
    <t>Водорода пероксид, водный раствор концентрации более 60% (стабилизированный)</t>
  </si>
  <si>
    <t>Водорода пероксид, водный раствор концентрации от 20% до 60%</t>
  </si>
  <si>
    <t>48106</t>
  </si>
  <si>
    <t>Водорода пероксид, водный раствор концентрации от 8% до 20%</t>
  </si>
  <si>
    <t xml:space="preserve">Вольфрама (Ш) оксид (андигрид вольфрамовый) </t>
  </si>
  <si>
    <t>Железа (П) оксид (закись железа, гемиоксид железа)</t>
  </si>
  <si>
    <t>Железа (Ш) оксид</t>
  </si>
  <si>
    <t xml:space="preserve">Калия оксид </t>
  </si>
  <si>
    <t xml:space="preserve">Калия пероксид </t>
  </si>
  <si>
    <t>Кальция оксид</t>
  </si>
  <si>
    <t>48113</t>
  </si>
  <si>
    <t>Кальция пероксид</t>
  </si>
  <si>
    <t>48114</t>
  </si>
  <si>
    <t>Кислота азотная</t>
  </si>
  <si>
    <t>48117</t>
  </si>
  <si>
    <t>Кислота борная</t>
  </si>
  <si>
    <t>48118</t>
  </si>
  <si>
    <t xml:space="preserve">Кислота бромистоводородная, раствор </t>
  </si>
  <si>
    <t>48119</t>
  </si>
  <si>
    <t>Кислота вольфрамовая</t>
  </si>
  <si>
    <t>48120</t>
  </si>
  <si>
    <t>Кислота йодистоводородная, раствор</t>
  </si>
  <si>
    <t>48121</t>
  </si>
  <si>
    <t xml:space="preserve">Кислота кремнефтористоводородная </t>
  </si>
  <si>
    <t>48122</t>
  </si>
  <si>
    <t>Кислота плавиковая (фтористоводородная, водород фтористый), водный раствор</t>
  </si>
  <si>
    <t>48123</t>
  </si>
  <si>
    <t xml:space="preserve">Кислота серная </t>
  </si>
  <si>
    <t>48124</t>
  </si>
  <si>
    <t>Олеум</t>
  </si>
  <si>
    <t>48125</t>
  </si>
  <si>
    <t xml:space="preserve">Кислота синильная </t>
  </si>
  <si>
    <t>48126</t>
  </si>
  <si>
    <t xml:space="preserve">Кислота соляная (хлористоводородная) </t>
  </si>
  <si>
    <t>48127</t>
  </si>
  <si>
    <t>Кислота фосфористая</t>
  </si>
  <si>
    <t>48128</t>
  </si>
  <si>
    <t>Кислота фосфорная (ортофосфорная)</t>
  </si>
  <si>
    <t>48129</t>
  </si>
  <si>
    <t xml:space="preserve">Кислота хлорная концентрации менее 50% </t>
  </si>
  <si>
    <t>48130</t>
  </si>
  <si>
    <t xml:space="preserve">Кислота хлорная концентрации от 50 до 72% </t>
  </si>
  <si>
    <t>48131</t>
  </si>
  <si>
    <t xml:space="preserve">Кислота хлорсульфоновая </t>
  </si>
  <si>
    <t>48132</t>
  </si>
  <si>
    <t>Кислоты неорганические, не поименованные в алфавите</t>
  </si>
  <si>
    <t xml:space="preserve">Кобальта оксид </t>
  </si>
  <si>
    <t>48134</t>
  </si>
  <si>
    <t>Лития пероксид</t>
  </si>
  <si>
    <t>48135</t>
  </si>
  <si>
    <t>Магния оксид (магнезия жженая, магнезия уста)</t>
  </si>
  <si>
    <t>48136</t>
  </si>
  <si>
    <t>Магния пероксид</t>
  </si>
  <si>
    <t>48137</t>
  </si>
  <si>
    <t>Марганца (4) оксид (двуокись марганца, диоксид марганца)</t>
  </si>
  <si>
    <t>48138</t>
  </si>
  <si>
    <t>Меди (1) оксид (закись меди, гемиоксид меди)</t>
  </si>
  <si>
    <t>48139</t>
  </si>
  <si>
    <t>Меди (2) оксид (окись меди)</t>
  </si>
  <si>
    <t>48140</t>
  </si>
  <si>
    <t>Меди (2) хлороксид (хлорокись меди)</t>
  </si>
  <si>
    <t>48141</t>
  </si>
  <si>
    <t>Меланж кислотный</t>
  </si>
  <si>
    <t>48142</t>
  </si>
  <si>
    <t>Мышьяка (Ш) оксид (ангидрид мышьяковистый, мышьяк белый)</t>
  </si>
  <si>
    <t>48143</t>
  </si>
  <si>
    <t>Натрия оксид</t>
  </si>
  <si>
    <t>48144</t>
  </si>
  <si>
    <t>Натрия пероксид</t>
  </si>
  <si>
    <t>48145</t>
  </si>
  <si>
    <t>Никеля (2) оксид (закись никеля, гемиоксид никеля)</t>
  </si>
  <si>
    <t>48146</t>
  </si>
  <si>
    <t>Никеля оксид</t>
  </si>
  <si>
    <t>48147</t>
  </si>
  <si>
    <t>Лантана оксид</t>
  </si>
  <si>
    <t>48148</t>
  </si>
  <si>
    <t>Оксиды, не поименованные в алфавите</t>
  </si>
  <si>
    <t>48149</t>
  </si>
  <si>
    <t>Олова оксид</t>
  </si>
  <si>
    <t>48150</t>
  </si>
  <si>
    <t>Свинца (4) оксид (двуокись свинца, диоксид свинца)</t>
  </si>
  <si>
    <t>48151</t>
  </si>
  <si>
    <t>Серы (4) оксид (ангидрид сернистый, диоксид серы)</t>
  </si>
  <si>
    <t>48152</t>
  </si>
  <si>
    <t>Серы (6) оксид (ангидрид серный, триоксид серы)</t>
  </si>
  <si>
    <t>48154</t>
  </si>
  <si>
    <t>Стронция пероксид</t>
  </si>
  <si>
    <t>48155</t>
  </si>
  <si>
    <t>Сульфурилхлорид (сульфурил хлористый)</t>
  </si>
  <si>
    <t>48156</t>
  </si>
  <si>
    <t>Тионилхлорид (тионил хлористый)</t>
  </si>
  <si>
    <t>48157</t>
  </si>
  <si>
    <t>Фосфора (5) оксид (ангидрид фосфорный)</t>
  </si>
  <si>
    <t>48158</t>
  </si>
  <si>
    <t>Фосфора оксихлорид (хлорокись фосфора, фосфорил хлористый)</t>
  </si>
  <si>
    <t>48159</t>
  </si>
  <si>
    <t>Хрома (6) оксид (ангидрид хромовый, триоксид хрома) безводный</t>
  </si>
  <si>
    <t>48160</t>
  </si>
  <si>
    <t>Хрома оксид</t>
  </si>
  <si>
    <t>48161</t>
  </si>
  <si>
    <t>Цинка пероксид</t>
  </si>
  <si>
    <t>48162</t>
  </si>
  <si>
    <t>Ванадия (5) оксид</t>
  </si>
  <si>
    <t>48200</t>
  </si>
  <si>
    <t>Основания и содопродукты</t>
  </si>
  <si>
    <t>48201</t>
  </si>
  <si>
    <t>Алюминия гидроксид</t>
  </si>
  <si>
    <t>48202</t>
  </si>
  <si>
    <t>Бария гидроксид</t>
  </si>
  <si>
    <t>48203</t>
  </si>
  <si>
    <t>Гидразин-гидрат</t>
  </si>
  <si>
    <t>48204</t>
  </si>
  <si>
    <t>Гидрокарбонат натрия (сода питьевая, сода двууглекислая)</t>
  </si>
  <si>
    <t>48205</t>
  </si>
  <si>
    <t>Гидроксиды, не поименованные в алфавите</t>
  </si>
  <si>
    <t>48206</t>
  </si>
  <si>
    <t>Гидроксиламин сернокислый</t>
  </si>
  <si>
    <t>48207</t>
  </si>
  <si>
    <t>Гидроксиламины, не поименованные в алфавите</t>
  </si>
  <si>
    <t>48208</t>
  </si>
  <si>
    <t>Калия гидроксид (едкое кали), раствор</t>
  </si>
  <si>
    <t>48209</t>
  </si>
  <si>
    <t>Калия гидроксид твердый</t>
  </si>
  <si>
    <t>48210</t>
  </si>
  <si>
    <t>Калия карбонат (калий углекислый, поташ)</t>
  </si>
  <si>
    <t>48211</t>
  </si>
  <si>
    <t>Каустик отработанный</t>
  </si>
  <si>
    <t>48212</t>
  </si>
  <si>
    <t>Лития гидроксид (литий едкий), твердый</t>
  </si>
  <si>
    <t>48213</t>
  </si>
  <si>
    <t>Натрия гидроксид (едкий натр, сода каустическая) твердый</t>
  </si>
  <si>
    <t>48214</t>
  </si>
  <si>
    <t>Натрия гидроксид (натр едкий, каустик жидкий) раствор</t>
  </si>
  <si>
    <t>48215</t>
  </si>
  <si>
    <t>Натрия карбонат (натрий углекислый, сода кальцинированная)</t>
  </si>
  <si>
    <t>48216</t>
  </si>
  <si>
    <t>Хрома гидроксид</t>
  </si>
  <si>
    <t>48217</t>
  </si>
  <si>
    <t>Электролит щелочный</t>
  </si>
  <si>
    <t xml:space="preserve">Соли кислородных кислот </t>
  </si>
  <si>
    <t xml:space="preserve">Алюминат натрия </t>
  </si>
  <si>
    <t xml:space="preserve">Алюминия нитрат (алюминий азотнокислый) </t>
  </si>
  <si>
    <t xml:space="preserve">Алюминий сульфат (алюминий сернокислый) </t>
  </si>
  <si>
    <t>48304</t>
  </si>
  <si>
    <t>Аммония бисульфит</t>
  </si>
  <si>
    <t>48305</t>
  </si>
  <si>
    <t>Аммония нитрат (аммоний азотнокислый)</t>
  </si>
  <si>
    <t>48306</t>
  </si>
  <si>
    <t>Аммония карбонат (аммоний углекислый)</t>
  </si>
  <si>
    <t>48307</t>
  </si>
  <si>
    <t>Аммония молибдат</t>
  </si>
  <si>
    <t>48308</t>
  </si>
  <si>
    <t>Аммония пероксодисульфат (аммоний надсернокислый)</t>
  </si>
  <si>
    <t>48309</t>
  </si>
  <si>
    <t>Анозит</t>
  </si>
  <si>
    <t>48311</t>
  </si>
  <si>
    <t>Аммония фосфат (аммоний фосфорнокислый трехзамещенный)</t>
  </si>
  <si>
    <t>48312</t>
  </si>
  <si>
    <t>Аммония хромат (аммоний хромовокислый)</t>
  </si>
  <si>
    <t>48313</t>
  </si>
  <si>
    <t>Аммония дихромат (аммоний двухромовокислый)</t>
  </si>
  <si>
    <t>48314</t>
  </si>
  <si>
    <t>Бария бромата моногидрат (барий бромноватокислый)</t>
  </si>
  <si>
    <t>48315</t>
  </si>
  <si>
    <t>Бария дихромат (барий двухромовокислый)</t>
  </si>
  <si>
    <t>48316</t>
  </si>
  <si>
    <t>Бария карбонат (барий углекислый)</t>
  </si>
  <si>
    <t>48317</t>
  </si>
  <si>
    <t>Бария нитрат (барий азотнокислый)</t>
  </si>
  <si>
    <t>48318</t>
  </si>
  <si>
    <t>Бария перманганат (барий марганцевокислый)</t>
  </si>
  <si>
    <t>48319</t>
  </si>
  <si>
    <t>Бария сульфат (барий сернокислый)</t>
  </si>
  <si>
    <t>48320</t>
  </si>
  <si>
    <t>Бария хромат (барий хромовокислый)</t>
  </si>
  <si>
    <t>48321</t>
  </si>
  <si>
    <t>Висмута (Ш) нитрат (висмут азотнокислый)</t>
  </si>
  <si>
    <t>48322</t>
  </si>
  <si>
    <t>Гидразин-сульфат</t>
  </si>
  <si>
    <t>48323</t>
  </si>
  <si>
    <t>Диаммонийфосфат</t>
  </si>
  <si>
    <t>48325</t>
  </si>
  <si>
    <t>Железа (Ш) нитрат (железо азотнокислое)</t>
  </si>
  <si>
    <t>48326</t>
  </si>
  <si>
    <t>Железа сульфат (железо сернокислое, купорос железный)</t>
  </si>
  <si>
    <t>48327</t>
  </si>
  <si>
    <t>Кадмия карбонат (кадмий углекислый)</t>
  </si>
  <si>
    <t xml:space="preserve">Кадмия сульфат (кадмий сернокислый) </t>
  </si>
  <si>
    <t>48330</t>
  </si>
  <si>
    <t>Калия бромат (калий бромноватокислый)</t>
  </si>
  <si>
    <t>48331</t>
  </si>
  <si>
    <t>Калия дихромат (калий двухромовокислый)</t>
  </si>
  <si>
    <t>48332</t>
  </si>
  <si>
    <t>Калия нитрат (калий азотнокислый)</t>
  </si>
  <si>
    <t>48333</t>
  </si>
  <si>
    <t>калия нитрит (калий азотистокислый)</t>
  </si>
  <si>
    <t>48334</t>
  </si>
  <si>
    <t>Калия перманганат (калий марганцевокислый)</t>
  </si>
  <si>
    <t>48335</t>
  </si>
  <si>
    <t>Калия пероксидисульфат (калий надсернокислый)</t>
  </si>
  <si>
    <t>48336</t>
  </si>
  <si>
    <t>Калия перхлорат (калий хлорнокислый)</t>
  </si>
  <si>
    <t>48337</t>
  </si>
  <si>
    <t>Калия пирофосфат</t>
  </si>
  <si>
    <t>48339</t>
  </si>
  <si>
    <t>Калия хлорат (калий хлорноватокислый, соль бертолетова)</t>
  </si>
  <si>
    <t>48340</t>
  </si>
  <si>
    <t>Кальция арсенат (кальций мышьяковокислый)</t>
  </si>
  <si>
    <t>48341</t>
  </si>
  <si>
    <t>Кальция арсенит (кальций мышьяковистокислый)</t>
  </si>
  <si>
    <t>48342</t>
  </si>
  <si>
    <t>Кобальт сернокислый</t>
  </si>
  <si>
    <t>48343</t>
  </si>
  <si>
    <t>Кальция гипохлорит или кальция гипохлорит смеси сухие с массовой долей активного хлора более 10%, но не более 39% (известь хлорная)</t>
  </si>
  <si>
    <t>48344</t>
  </si>
  <si>
    <t>Кальция гипохлорит сухой или смеси гипохлорит кальция, содержащие более 39% активного хлора (8,8% активного кислорода)</t>
  </si>
  <si>
    <t>48345</t>
  </si>
  <si>
    <t>Кальция нитрат (кальций азотнокислый)</t>
  </si>
  <si>
    <t>48346</t>
  </si>
  <si>
    <t>Кальция нитрат, водный раствор</t>
  </si>
  <si>
    <t>48347</t>
  </si>
  <si>
    <t>Кальция перманганат (кальция марганцевокислый)</t>
  </si>
  <si>
    <t>48348</t>
  </si>
  <si>
    <t>Кальция сульфат (кальций сернокислый)</t>
  </si>
  <si>
    <t>48349</t>
  </si>
  <si>
    <t>Кальция фосфат (кальций фосфорнокислый)</t>
  </si>
  <si>
    <t>48350</t>
  </si>
  <si>
    <t>Квасцы алюмокалиевые</t>
  </si>
  <si>
    <t>48351</t>
  </si>
  <si>
    <t>Квасцы, не поименованные в алфавите</t>
  </si>
  <si>
    <t>48352</t>
  </si>
  <si>
    <t>Купоросы, не поименованны в алфавите</t>
  </si>
  <si>
    <t>48353</t>
  </si>
  <si>
    <t>Лития нитрат (литий азотнокислый)</t>
  </si>
  <si>
    <t>48354</t>
  </si>
  <si>
    <t>Магния карбонат (магний углекислый, магнезия белая)</t>
  </si>
  <si>
    <t>48355</t>
  </si>
  <si>
    <t>Магния нитрат (магний азотнокислый)</t>
  </si>
  <si>
    <t>48356</t>
  </si>
  <si>
    <t>Магния хлорат</t>
  </si>
  <si>
    <t>48357</t>
  </si>
  <si>
    <t>Марганца борат (марганец борнокислый)</t>
  </si>
  <si>
    <t>48358</t>
  </si>
  <si>
    <t>Марганца сульфат (марганец сернокислый), раствор</t>
  </si>
  <si>
    <t>48359</t>
  </si>
  <si>
    <t>Марганца фосфат (марганец фосфорнокислый)</t>
  </si>
  <si>
    <t>48360</t>
  </si>
  <si>
    <t>Меди дихромат (медь двухромовокислая)</t>
  </si>
  <si>
    <t>48361</t>
  </si>
  <si>
    <t>Меди нитрат (медь азотнокислая), водный раствор</t>
  </si>
  <si>
    <t>48362</t>
  </si>
  <si>
    <t>Меди сульфат (медь сернокислая, купорос медный)</t>
  </si>
  <si>
    <t>48363</t>
  </si>
  <si>
    <t>Натрия арсенат (натрий мышьяковокислый)</t>
  </si>
  <si>
    <t>48364</t>
  </si>
  <si>
    <t>Натрия арсенит (натрий мышьяковистокислый)</t>
  </si>
  <si>
    <t>48366</t>
  </si>
  <si>
    <t>Натрия бисульфат (гидросульфат натрия)</t>
  </si>
  <si>
    <t>48368</t>
  </si>
  <si>
    <t>Натрия борат (натрий борнокислый)</t>
  </si>
  <si>
    <t>48369</t>
  </si>
  <si>
    <t>Натрия бромат (натрий бромноватокислый)</t>
  </si>
  <si>
    <t>48370</t>
  </si>
  <si>
    <t>Натрия гексаметафосфат</t>
  </si>
  <si>
    <t>48372</t>
  </si>
  <si>
    <t>Натрия гидросульфит (дитионит натрия)</t>
  </si>
  <si>
    <t>48373</t>
  </si>
  <si>
    <t>Натрия гипосульфит (тиосульфат натрия, натрия серноватистокислый)</t>
  </si>
  <si>
    <t>48374</t>
  </si>
  <si>
    <t>Натрия гипохлорит (натрий хлорноватистокислый)</t>
  </si>
  <si>
    <t>48375</t>
  </si>
  <si>
    <t>Натрия дихромат (натрий двухромовокислый)</t>
  </si>
  <si>
    <t>48376</t>
  </si>
  <si>
    <t>Натрия нитрат (натрий азотнокислый)</t>
  </si>
  <si>
    <t>48377</t>
  </si>
  <si>
    <t>Натрия нитрит (натрий азотистокислый)</t>
  </si>
  <si>
    <t>48378</t>
  </si>
  <si>
    <t>Натрия перманганат (натрий марганцевокислый)</t>
  </si>
  <si>
    <t>48379</t>
  </si>
  <si>
    <t>Натрия пероксодисульфат (натрий надсернокислый)</t>
  </si>
  <si>
    <t>48380</t>
  </si>
  <si>
    <t>Натрия сульфат (натрий сернокислый)</t>
  </si>
  <si>
    <t>48381</t>
  </si>
  <si>
    <t>Натрия сульфит (натрий сернистокислый)</t>
  </si>
  <si>
    <t>48382</t>
  </si>
  <si>
    <t>Натрия тетраборат (бура)</t>
  </si>
  <si>
    <t>48384</t>
  </si>
  <si>
    <t>Натрия триполифосфат</t>
  </si>
  <si>
    <t>48385</t>
  </si>
  <si>
    <t>Натрия хлорат (натрий хлорноватокислый)</t>
  </si>
  <si>
    <t>48386</t>
  </si>
  <si>
    <t>Натрия хлорит (натрий хлористокислый)</t>
  </si>
  <si>
    <t>48387</t>
  </si>
  <si>
    <t>Натрия хромат (натрий хромовокислый)</t>
  </si>
  <si>
    <t>48388</t>
  </si>
  <si>
    <t>Никеля нитрат (никель азотнокислый)</t>
  </si>
  <si>
    <t>48389</t>
  </si>
  <si>
    <t>Никеля (2) нитрит (никель азотистокислый)</t>
  </si>
  <si>
    <t>48390</t>
  </si>
  <si>
    <t>Никеля сульфат (никель сернокислый)</t>
  </si>
  <si>
    <t>48391</t>
  </si>
  <si>
    <t>Олова арсенат (олово мышьяковокислое)</t>
  </si>
  <si>
    <t>48392</t>
  </si>
  <si>
    <t>Олова арсенит (олово мышьяковистокислое)</t>
  </si>
  <si>
    <t>48393</t>
  </si>
  <si>
    <t>Олова (2) сульфат (олово сернокислое)</t>
  </si>
  <si>
    <t>48394</t>
  </si>
  <si>
    <t>Полифосфаты</t>
  </si>
  <si>
    <t>48395</t>
  </si>
  <si>
    <t>Раствор смеси хлоридов и сульфатов натрия, калия, магния</t>
  </si>
  <si>
    <t>48396</t>
  </si>
  <si>
    <t>Селитра амиачно-кальциевая для ППВ</t>
  </si>
  <si>
    <t>48397</t>
  </si>
  <si>
    <t>Свинца нитрат (свинец азотнокислый)</t>
  </si>
  <si>
    <t>48398</t>
  </si>
  <si>
    <t>Серебра нитрат (серебро азотнокислое)</t>
  </si>
  <si>
    <t>48399</t>
  </si>
  <si>
    <t>Соли азотистокислые (нитриты), не поименованные в алфавите</t>
  </si>
  <si>
    <t>48400</t>
  </si>
  <si>
    <t>48401</t>
  </si>
  <si>
    <t>Соли азотнокислые (нитраты), не поименованные в алфавите</t>
  </si>
  <si>
    <t>48403</t>
  </si>
  <si>
    <t>Соли борнокислые, не поименованные в алфавите</t>
  </si>
  <si>
    <t>48404</t>
  </si>
  <si>
    <t>Соли кислородных кислот, не поименованные в алфавите</t>
  </si>
  <si>
    <t>48405</t>
  </si>
  <si>
    <t>Соли сернистокислые (сульфиты), не поименованные в алфавите</t>
  </si>
  <si>
    <t>48406</t>
  </si>
  <si>
    <t>Соли сернокислые (сульфаты), не поименованные в алфавите</t>
  </si>
  <si>
    <t>48407</t>
  </si>
  <si>
    <t>Соли углекислые (карбонаты), не поименованные в алфавите</t>
  </si>
  <si>
    <t>48408</t>
  </si>
  <si>
    <t>Соли фосфорнокислые (фосфаты), не поименованные в алфавите</t>
  </si>
  <si>
    <t>48409</t>
  </si>
  <si>
    <t>Соли хлорноватой кислоты (хлораты), не поименованные в алфавите</t>
  </si>
  <si>
    <t>48410</t>
  </si>
  <si>
    <t>Соли хлорноватистокислые (гипохлориты), не поименованные в алфавите</t>
  </si>
  <si>
    <t>48411</t>
  </si>
  <si>
    <t>Стронция карбонат (стронций углекислый)</t>
  </si>
  <si>
    <t>48412</t>
  </si>
  <si>
    <t>Стронция нитрат (стронций азотнокислый)</t>
  </si>
  <si>
    <t>48413</t>
  </si>
  <si>
    <t>Тринатрийфосфат (натрий фосфорнокислый трехзамещенный)</t>
  </si>
  <si>
    <t>48415</t>
  </si>
  <si>
    <t>Хрома нитрат (хром азотнкислый)</t>
  </si>
  <si>
    <t>48416</t>
  </si>
  <si>
    <t>Цинка дихромат</t>
  </si>
  <si>
    <t>48417</t>
  </si>
  <si>
    <t>Цинка нитрат (цинк азотнокислый)</t>
  </si>
  <si>
    <t>48418</t>
  </si>
  <si>
    <t>Цинка перманганат (цинк марганцевокислый)</t>
  </si>
  <si>
    <t xml:space="preserve">Марганец фосфорнокислый </t>
  </si>
  <si>
    <t xml:space="preserve">Медь бромистая </t>
  </si>
  <si>
    <t xml:space="preserve">Медь двухромовокислая </t>
  </si>
  <si>
    <t xml:space="preserve">Медь хлористая </t>
  </si>
  <si>
    <t xml:space="preserve">Натрий бромноватокислый </t>
  </si>
  <si>
    <t xml:space="preserve">Натрий йодистый </t>
  </si>
  <si>
    <t xml:space="preserve">Натрий кремнефтористый </t>
  </si>
  <si>
    <t xml:space="preserve">Натрий сернистый (сульфид натрия) </t>
  </si>
  <si>
    <t xml:space="preserve">Натрий фтористый </t>
  </si>
  <si>
    <t xml:space="preserve">Натрий хромовокислый </t>
  </si>
  <si>
    <t xml:space="preserve">Олово мышьяковистое </t>
  </si>
  <si>
    <t xml:space="preserve">Ртуть хлорная </t>
  </si>
  <si>
    <t xml:space="preserve">Сера хлористая </t>
  </si>
  <si>
    <t xml:space="preserve">Соли бромистые (бромиды), не поименованные в алфавите </t>
  </si>
  <si>
    <t xml:space="preserve">Соли сернистые (сульфиты), не поименованные в алфавите </t>
  </si>
  <si>
    <t xml:space="preserve">Соли фтористые (фториды), не поименованные в алфавите </t>
  </si>
  <si>
    <t xml:space="preserve">Соли хлористые (хлориды), не поименованные в алфавите </t>
  </si>
  <si>
    <t xml:space="preserve">Соли цианистые, не поименованные в алфавите </t>
  </si>
  <si>
    <t xml:space="preserve">Титан хлористый </t>
  </si>
  <si>
    <t xml:space="preserve">Титан четыреххлористый </t>
  </si>
  <si>
    <t xml:space="preserve">Углерод четырехбромистый </t>
  </si>
  <si>
    <t xml:space="preserve">Фосфор пятисернистый </t>
  </si>
  <si>
    <t xml:space="preserve">Фосфор трехсернистый </t>
  </si>
  <si>
    <t xml:space="preserve">Фосфор треххлористый </t>
  </si>
  <si>
    <t xml:space="preserve">Фосфор хлористый </t>
  </si>
  <si>
    <t xml:space="preserve">Хром фтористый </t>
  </si>
  <si>
    <t xml:space="preserve">Цинк двухромовокислый </t>
  </si>
  <si>
    <t xml:space="preserve">Цинк кремнефтористый </t>
  </si>
  <si>
    <t xml:space="preserve">Цинк сернистый </t>
  </si>
  <si>
    <t xml:space="preserve">Цинк хлористый </t>
  </si>
  <si>
    <t xml:space="preserve">Сорбенты и катализаторы </t>
  </si>
  <si>
    <t xml:space="preserve">Абсорбент "Новопром" </t>
  </si>
  <si>
    <t xml:space="preserve">Абсорбент А-1 </t>
  </si>
  <si>
    <t xml:space="preserve">Абсорбент А-2 </t>
  </si>
  <si>
    <t xml:space="preserve">Абсорбент А-3 </t>
  </si>
  <si>
    <t xml:space="preserve">Абсорбент А-4 </t>
  </si>
  <si>
    <t xml:space="preserve">Абсорбент С-1 </t>
  </si>
  <si>
    <t xml:space="preserve">Абсорбенты, не поименованные в алфавите </t>
  </si>
  <si>
    <t xml:space="preserve">Актинап </t>
  </si>
  <si>
    <t xml:space="preserve">Аэросил </t>
  </si>
  <si>
    <t xml:space="preserve">Глинозем сернокислый </t>
  </si>
  <si>
    <t xml:space="preserve">Катализаторы жидкие и твердые </t>
  </si>
  <si>
    <t xml:space="preserve">Катализатор никелевый </t>
  </si>
  <si>
    <t xml:space="preserve">Коагулянт железный </t>
  </si>
  <si>
    <t xml:space="preserve">Коагулянт каолиновый </t>
  </si>
  <si>
    <t xml:space="preserve">Коагулянт нефелиновый </t>
  </si>
  <si>
    <t xml:space="preserve">Коагулянты, не поименованные в алфавите </t>
  </si>
  <si>
    <t xml:space="preserve">Сажа белая </t>
  </si>
  <si>
    <t xml:space="preserve">Силикагель </t>
  </si>
  <si>
    <t xml:space="preserve">Сульфоуголь (катионит) </t>
  </si>
  <si>
    <t xml:space="preserve">Металлы щелочные и металлоиды </t>
  </si>
  <si>
    <t xml:space="preserve">Бор </t>
  </si>
  <si>
    <t xml:space="preserve">Бром жидкий технический </t>
  </si>
  <si>
    <t xml:space="preserve">Йод технический </t>
  </si>
  <si>
    <t xml:space="preserve">Калий металлический </t>
  </si>
  <si>
    <t xml:space="preserve">Калия сплавы </t>
  </si>
  <si>
    <t xml:space="preserve">Кальций металлический </t>
  </si>
  <si>
    <t xml:space="preserve">Литий едкий </t>
  </si>
  <si>
    <t>Металлы щелочные и металлоиды, не поименованные в алфавите</t>
  </si>
  <si>
    <t xml:space="preserve">Мышьяк металлический </t>
  </si>
  <si>
    <t xml:space="preserve">Натрий металлический </t>
  </si>
  <si>
    <t xml:space="preserve">Натрия сплавы </t>
  </si>
  <si>
    <t xml:space="preserve">Новоксид </t>
  </si>
  <si>
    <t xml:space="preserve">Сера прочая </t>
  </si>
  <si>
    <t xml:space="preserve">Сера техническая газовая и природная </t>
  </si>
  <si>
    <t xml:space="preserve">Фосфор желтый </t>
  </si>
  <si>
    <t xml:space="preserve">Фосфор красный </t>
  </si>
  <si>
    <t xml:space="preserve">Цвет серный (порошок серный) </t>
  </si>
  <si>
    <t xml:space="preserve">Шлам серный </t>
  </si>
  <si>
    <t xml:space="preserve">Газы, кроме энергетических (углеводородных сжиженных) </t>
  </si>
  <si>
    <t xml:space="preserve">Азот </t>
  </si>
  <si>
    <t xml:space="preserve">Аммиак жидкий синтетический, не поименованный в алфавите </t>
  </si>
  <si>
    <t xml:space="preserve">Аргон </t>
  </si>
  <si>
    <t xml:space="preserve">Блаугаз </t>
  </si>
  <si>
    <t xml:space="preserve">Бор фтористый </t>
  </si>
  <si>
    <t xml:space="preserve">Бор хлористый </t>
  </si>
  <si>
    <t xml:space="preserve">Бутадиен </t>
  </si>
  <si>
    <t xml:space="preserve">Винилацетилен </t>
  </si>
  <si>
    <t xml:space="preserve">Водород </t>
  </si>
  <si>
    <t xml:space="preserve">Водород хлористый </t>
  </si>
  <si>
    <t xml:space="preserve">Воздух сжатый </t>
  </si>
  <si>
    <t xml:space="preserve">Газы инертные, не поименованные в алфавите </t>
  </si>
  <si>
    <t xml:space="preserve">Газы, кроме энергетических, не поименованные в алфавите </t>
  </si>
  <si>
    <t xml:space="preserve">Газ углекислый сжиженный (лед сухой, углекислота твердая) </t>
  </si>
  <si>
    <t xml:space="preserve">Гексафторпропилен </t>
  </si>
  <si>
    <t xml:space="preserve">Дифторхлорметан </t>
  </si>
  <si>
    <t xml:space="preserve">Дифторхлорэтан </t>
  </si>
  <si>
    <t xml:space="preserve">Дифторэтан </t>
  </si>
  <si>
    <t xml:space="preserve">Дифторэтилен </t>
  </si>
  <si>
    <t xml:space="preserve">Закись азота </t>
  </si>
  <si>
    <t xml:space="preserve">Кислород </t>
  </si>
  <si>
    <t xml:space="preserve">Криптон </t>
  </si>
  <si>
    <t xml:space="preserve">Ксенон </t>
  </si>
  <si>
    <t xml:space="preserve">Моновинилацетилен </t>
  </si>
  <si>
    <t xml:space="preserve">Неон </t>
  </si>
  <si>
    <t xml:space="preserve">Октафторциклобутан </t>
  </si>
  <si>
    <t xml:space="preserve">Сероводород (водород сернистый) </t>
  </si>
  <si>
    <t xml:space="preserve">Тетрафторэтан </t>
  </si>
  <si>
    <t xml:space="preserve">Трифторэтан </t>
  </si>
  <si>
    <t xml:space="preserve">Халдон-503 </t>
  </si>
  <si>
    <t xml:space="preserve">Хлор жидкий </t>
  </si>
  <si>
    <t xml:space="preserve">Хлор трехфтористый </t>
  </si>
  <si>
    <t xml:space="preserve">Элегаз 1080 </t>
  </si>
  <si>
    <t xml:space="preserve">Раздел 9. Продукция пищевой, мясо-молочной и рыбной промышленности </t>
  </si>
  <si>
    <t xml:space="preserve">Продукция органической химии </t>
  </si>
  <si>
    <t xml:space="preserve">Продукция мукомольно-крупяной промышленности </t>
  </si>
  <si>
    <t xml:space="preserve">Мука пшеничная </t>
  </si>
  <si>
    <t xml:space="preserve">Мука пшеничная высшего сорта </t>
  </si>
  <si>
    <t xml:space="preserve">Мука пшеничная 1 сорта </t>
  </si>
  <si>
    <t xml:space="preserve">Мука пшеничная 2 сорта </t>
  </si>
  <si>
    <t xml:space="preserve">Мука пшеничная, не поименованная в алфавите </t>
  </si>
  <si>
    <t xml:space="preserve">Мука ржаная </t>
  </si>
  <si>
    <t xml:space="preserve">Мука ржано-пшеничная </t>
  </si>
  <si>
    <t xml:space="preserve">Мука ржаная всякая </t>
  </si>
  <si>
    <t xml:space="preserve">Крупа </t>
  </si>
  <si>
    <t xml:space="preserve">Горох дробленый, лущеный </t>
  </si>
  <si>
    <t xml:space="preserve">Дерть (крупнодробленое зерно) </t>
  </si>
  <si>
    <t xml:space="preserve">Крупа гречневая (продел) </t>
  </si>
  <si>
    <t xml:space="preserve">Крупа гречневая (ядрица) </t>
  </si>
  <si>
    <t xml:space="preserve">Крупа кукурузная </t>
  </si>
  <si>
    <t xml:space="preserve">Крупа манная </t>
  </si>
  <si>
    <t xml:space="preserve">Крупа овсяная </t>
  </si>
  <si>
    <t xml:space="preserve">Крупа перловая </t>
  </si>
  <si>
    <t xml:space="preserve">Крупа полбяная </t>
  </si>
  <si>
    <t xml:space="preserve">Крупа, не поименованная в алфавите </t>
  </si>
  <si>
    <t xml:space="preserve">Крупа пшеничная "Артек", "Полтавская" </t>
  </si>
  <si>
    <t xml:space="preserve">Крупа ячневая </t>
  </si>
  <si>
    <t xml:space="preserve">Пшено (крупа) </t>
  </si>
  <si>
    <t xml:space="preserve">Рис (крупа) </t>
  </si>
  <si>
    <t xml:space="preserve">Саго </t>
  </si>
  <si>
    <t xml:space="preserve">Сечка овсяная </t>
  </si>
  <si>
    <t xml:space="preserve">Сечка просяная </t>
  </si>
  <si>
    <t xml:space="preserve">Сечка, не поименованная в алфавите </t>
  </si>
  <si>
    <t xml:space="preserve">Сечка рисовая </t>
  </si>
  <si>
    <t xml:space="preserve">Сечка ячменная </t>
  </si>
  <si>
    <t xml:space="preserve">Толокно </t>
  </si>
  <si>
    <t xml:space="preserve">Хлопья кукурузные </t>
  </si>
  <si>
    <t xml:space="preserve">Хлопья овсяные "Геркулес" </t>
  </si>
  <si>
    <t xml:space="preserve">Хлопья пшеничные </t>
  </si>
  <si>
    <t xml:space="preserve">Хлопья рисовые </t>
  </si>
  <si>
    <t xml:space="preserve">Прочие продукты перемола </t>
  </si>
  <si>
    <t xml:space="preserve">Мука гороховая </t>
  </si>
  <si>
    <t xml:space="preserve">Мука кукурузная </t>
  </si>
  <si>
    <t xml:space="preserve">Мука овсяная </t>
  </si>
  <si>
    <t xml:space="preserve">Мука соевая </t>
  </si>
  <si>
    <t xml:space="preserve">Мука ячменная </t>
  </si>
  <si>
    <t xml:space="preserve">Отруби и отходы мукомольного производства </t>
  </si>
  <si>
    <t xml:space="preserve">Мучка кормовая </t>
  </si>
  <si>
    <t xml:space="preserve">Отруби пшеничные </t>
  </si>
  <si>
    <t xml:space="preserve">Отруби, не поименованные в алфавите </t>
  </si>
  <si>
    <t xml:space="preserve">Отруби ржаные </t>
  </si>
  <si>
    <t xml:space="preserve">Отруби ячменные прессованные и непрессованные </t>
  </si>
  <si>
    <t xml:space="preserve">Отходы мукомольные зерновые </t>
  </si>
  <si>
    <t xml:space="preserve">Пыль мучная </t>
  </si>
  <si>
    <t xml:space="preserve">Продукция пищевой промышленности </t>
  </si>
  <si>
    <t xml:space="preserve">Хлеб и изделия хлебобулочные </t>
  </si>
  <si>
    <t xml:space="preserve">Изделия сухарные (сухари, гренки, хрустящие хлебцы) </t>
  </si>
  <si>
    <t xml:space="preserve">Изделия хлебобулочные, не поименованные в алфавите </t>
  </si>
  <si>
    <t xml:space="preserve">Хлеб печеный всякий </t>
  </si>
  <si>
    <t xml:space="preserve">Изделия макаронные </t>
  </si>
  <si>
    <t xml:space="preserve">Вермишель </t>
  </si>
  <si>
    <t xml:space="preserve">Лапша </t>
  </si>
  <si>
    <t xml:space="preserve">Изделия макаронные, не поименованные в алфавите </t>
  </si>
  <si>
    <t xml:space="preserve">Макароны </t>
  </si>
  <si>
    <t xml:space="preserve">Изделия кондитерские мучные </t>
  </si>
  <si>
    <t xml:space="preserve">Вафли </t>
  </si>
  <si>
    <t xml:space="preserve">Галеты кондитерские </t>
  </si>
  <si>
    <t xml:space="preserve">Изделия кондитерские мучные, не поименованные в алфавите </t>
  </si>
  <si>
    <t xml:space="preserve">Кексы </t>
  </si>
  <si>
    <t xml:space="preserve">Печенье </t>
  </si>
  <si>
    <t xml:space="preserve">Пирожные </t>
  </si>
  <si>
    <t xml:space="preserve">Пряники и коврижки </t>
  </si>
  <si>
    <t xml:space="preserve">Изделия кондитерские сахаристые, кроме мучных. Мед </t>
  </si>
  <si>
    <t xml:space="preserve">Воск пчелиный </t>
  </si>
  <si>
    <t xml:space="preserve">Вощина </t>
  </si>
  <si>
    <t>Изделия кондитерские сахаристые, не поименованные в алфавите</t>
  </si>
  <si>
    <t xml:space="preserve">Карамель </t>
  </si>
  <si>
    <t xml:space="preserve">Конфеты, не поименованные в алфавите </t>
  </si>
  <si>
    <t xml:space="preserve">Мармелад </t>
  </si>
  <si>
    <t xml:space="preserve">Мед искусственный </t>
  </si>
  <si>
    <t xml:space="preserve">Мед пчелиный </t>
  </si>
  <si>
    <t xml:space="preserve">Монпансье </t>
  </si>
  <si>
    <t xml:space="preserve">Начинка карамельная фруктовая и ягодная </t>
  </si>
  <si>
    <t xml:space="preserve">Пастила всякая </t>
  </si>
  <si>
    <t xml:space="preserve">Сладости восточные, не поименованные в алфавите </t>
  </si>
  <si>
    <t xml:space="preserve">Сахар фруктовый и ягодный </t>
  </si>
  <si>
    <t xml:space="preserve">Соты с медом </t>
  </si>
  <si>
    <t xml:space="preserve">Лукумы </t>
  </si>
  <si>
    <t xml:space="preserve">Фрукты и ягоды глазированные (цукаты) </t>
  </si>
  <si>
    <t xml:space="preserve">Халва </t>
  </si>
  <si>
    <t xml:space="preserve">Шоколад </t>
  </si>
  <si>
    <t xml:space="preserve">Продукция крахмало-паточной промышленности </t>
  </si>
  <si>
    <t xml:space="preserve">Гидрол </t>
  </si>
  <si>
    <t xml:space="preserve">Глюкоза (сахар виноградный) </t>
  </si>
  <si>
    <t xml:space="preserve">Глютен </t>
  </si>
  <si>
    <t xml:space="preserve">Декстрины </t>
  </si>
  <si>
    <t xml:space="preserve">Клейковина (отходы крахмаловаточного производства) </t>
  </si>
  <si>
    <t xml:space="preserve">Крахмал, не поименованный в алфавите </t>
  </si>
  <si>
    <t xml:space="preserve">Лактоза (сахар молочный) </t>
  </si>
  <si>
    <t xml:space="preserve">Мальтоза (сахар солодовый) </t>
  </si>
  <si>
    <t xml:space="preserve">Меласса (патока свекловичная) </t>
  </si>
  <si>
    <t xml:space="preserve">Мука картофельная (крахмал картофельный) </t>
  </si>
  <si>
    <t xml:space="preserve">Патока крахмальная, глюкозная, кукурузная </t>
  </si>
  <si>
    <t xml:space="preserve">Патока мальтозная </t>
  </si>
  <si>
    <t xml:space="preserve">Патока, не поименованная в алфавите </t>
  </si>
  <si>
    <t xml:space="preserve">Тапиока </t>
  </si>
  <si>
    <t xml:space="preserve">Концентраты пищевые, пряности, напитки сухие </t>
  </si>
  <si>
    <t xml:space="preserve">Агар, агароид </t>
  </si>
  <si>
    <t xml:space="preserve">Какао в бобах (сырье) </t>
  </si>
  <si>
    <t xml:space="preserve">Ваниль </t>
  </si>
  <si>
    <t xml:space="preserve">Гвоздика (пряность) </t>
  </si>
  <si>
    <t xml:space="preserve">Горчица пищевая готовая и в порошке </t>
  </si>
  <si>
    <t xml:space="preserve">Дрожжи хлебопекарные прессованные и сухие </t>
  </si>
  <si>
    <t xml:space="preserve">Желатин пищевой </t>
  </si>
  <si>
    <t xml:space="preserve">Желе (сухое) </t>
  </si>
  <si>
    <t xml:space="preserve">Имбирь (пряность) </t>
  </si>
  <si>
    <t xml:space="preserve">Какао-порошок натуральное </t>
  </si>
  <si>
    <t xml:space="preserve">Какао-суррогат (суррогат-какао) </t>
  </si>
  <si>
    <t xml:space="preserve">Каперсы </t>
  </si>
  <si>
    <t xml:space="preserve">Кардамон (пряность) </t>
  </si>
  <si>
    <t xml:space="preserve">Квас сухой </t>
  </si>
  <si>
    <t xml:space="preserve">Кисель сухой </t>
  </si>
  <si>
    <t xml:space="preserve">Кислота виннокаменная </t>
  </si>
  <si>
    <t xml:space="preserve">Кислота лимонная </t>
  </si>
  <si>
    <t xml:space="preserve">Кислота молочная </t>
  </si>
  <si>
    <t xml:space="preserve">Концентраты крупяные, не поименованные в алфавите </t>
  </si>
  <si>
    <t xml:space="preserve">Концентраты пищевые, не поименованные в алфавите </t>
  </si>
  <si>
    <t xml:space="preserve">Корица (пряность) </t>
  </si>
  <si>
    <t xml:space="preserve">Кофе натуральный </t>
  </si>
  <si>
    <t xml:space="preserve">Кофе-суррогат (кофе-искусственный) </t>
  </si>
  <si>
    <t xml:space="preserve">Кровь консервированная </t>
  </si>
  <si>
    <t xml:space="preserve">Кровь сушеная </t>
  </si>
  <si>
    <t xml:space="preserve">Кубики бульонные </t>
  </si>
  <si>
    <t xml:space="preserve">Лист лавровый (пряность) </t>
  </si>
  <si>
    <t xml:space="preserve">Молоко сухое в порошке и в плитках </t>
  </si>
  <si>
    <t xml:space="preserve">Мука блинная </t>
  </si>
  <si>
    <t xml:space="preserve">Мука диетическая (смеси) для детского питания </t>
  </si>
  <si>
    <t xml:space="preserve">Напитки кофейные </t>
  </si>
  <si>
    <t>Напитки фруктовые, ягодные и хлебные в сухом виде, не поименованные в алфавите</t>
  </si>
  <si>
    <t xml:space="preserve">Напитки чайные </t>
  </si>
  <si>
    <t xml:space="preserve">Обрат сухой </t>
  </si>
  <si>
    <t xml:space="preserve">Палочки кукурузные </t>
  </si>
  <si>
    <t xml:space="preserve">Пектины </t>
  </si>
  <si>
    <t xml:space="preserve">Перец всякий горошком и молотый </t>
  </si>
  <si>
    <t xml:space="preserve">Порошки овощные </t>
  </si>
  <si>
    <t xml:space="preserve">Порошок яичный </t>
  </si>
  <si>
    <t xml:space="preserve">Пряности, не поименованные в алфавите </t>
  </si>
  <si>
    <t xml:space="preserve">Семя подсолнечника без скорлупы </t>
  </si>
  <si>
    <t xml:space="preserve">Сливки сухие в порошке </t>
  </si>
  <si>
    <t xml:space="preserve">Супы готовые </t>
  </si>
  <si>
    <t xml:space="preserve">Уксус пищевой </t>
  </si>
  <si>
    <t xml:space="preserve">Фарш мясной сушеный </t>
  </si>
  <si>
    <t xml:space="preserve">Хрен столовый </t>
  </si>
  <si>
    <t xml:space="preserve">Цикорий (пряность) </t>
  </si>
  <si>
    <t xml:space="preserve">Чай байховый зеленый </t>
  </si>
  <si>
    <t xml:space="preserve">Чай байховый черный </t>
  </si>
  <si>
    <t xml:space="preserve">Чай зеленый кирпичный </t>
  </si>
  <si>
    <t xml:space="preserve">Чай плиточный черный и зеленый </t>
  </si>
  <si>
    <t xml:space="preserve">Чай натуральный, не поименованный в алфавите </t>
  </si>
  <si>
    <t xml:space="preserve">Шафран (пряность) </t>
  </si>
  <si>
    <t xml:space="preserve">Шелуха от какао (какаовелла) </t>
  </si>
  <si>
    <t xml:space="preserve">Экстракт солодовый </t>
  </si>
  <si>
    <t xml:space="preserve">Экстракт чайный </t>
  </si>
  <si>
    <t xml:space="preserve">Экстракты кукурузные </t>
  </si>
  <si>
    <t xml:space="preserve">Экстракты мясные </t>
  </si>
  <si>
    <t xml:space="preserve">Экстракты фруктовые и ягодные </t>
  </si>
  <si>
    <t xml:space="preserve">Изделия табачно-махорочные </t>
  </si>
  <si>
    <t xml:space="preserve">Махорка крошеная и тертая </t>
  </si>
  <si>
    <t xml:space="preserve">Папиросы </t>
  </si>
  <si>
    <t xml:space="preserve">Сигареты </t>
  </si>
  <si>
    <t xml:space="preserve">Сигары </t>
  </si>
  <si>
    <t xml:space="preserve">Табак нюхательный </t>
  </si>
  <si>
    <t xml:space="preserve">Табак обработанный </t>
  </si>
  <si>
    <t xml:space="preserve">Изделия из табака, не поименованные в алфавите </t>
  </si>
  <si>
    <t xml:space="preserve">Продукция сахарной промышленности </t>
  </si>
  <si>
    <t xml:space="preserve">Сахар </t>
  </si>
  <si>
    <t xml:space="preserve">Сахар-песок </t>
  </si>
  <si>
    <t xml:space="preserve">Пудра сахарная </t>
  </si>
  <si>
    <t xml:space="preserve">Крошка рафинадная </t>
  </si>
  <si>
    <t xml:space="preserve">Сахар-рафинад (в том числе прессованный) </t>
  </si>
  <si>
    <t xml:space="preserve">Сахар-сырец </t>
  </si>
  <si>
    <t xml:space="preserve">Ксилит пищевой </t>
  </si>
  <si>
    <t>Сахар (в том числе диабетический), не поименованный в алфавите</t>
  </si>
  <si>
    <t xml:space="preserve">Соль </t>
  </si>
  <si>
    <t xml:space="preserve">Соль повареная </t>
  </si>
  <si>
    <t xml:space="preserve">Соль кормовая (брикеты, глыбы, солеблоки) </t>
  </si>
  <si>
    <t xml:space="preserve">Соль пищевая молотая </t>
  </si>
  <si>
    <t xml:space="preserve">Соль пищевая немолотая </t>
  </si>
  <si>
    <t xml:space="preserve">Соль поваренная "Экстра" </t>
  </si>
  <si>
    <t xml:space="preserve">Соль техническая (соль каменная) </t>
  </si>
  <si>
    <t xml:space="preserve">Соль пищевая выварочная </t>
  </si>
  <si>
    <t xml:space="preserve">Продукция комбикормовой промышленности </t>
  </si>
  <si>
    <t xml:space="preserve">Комбикорма </t>
  </si>
  <si>
    <t>54101</t>
  </si>
  <si>
    <t>Динатрийфосфат кормовой</t>
  </si>
  <si>
    <t>54102</t>
  </si>
  <si>
    <t xml:space="preserve">Комбикорма всякие </t>
  </si>
  <si>
    <t>54103</t>
  </si>
  <si>
    <t xml:space="preserve">Концентрат карбамидный </t>
  </si>
  <si>
    <t>51104</t>
  </si>
  <si>
    <t>Моноаммоний фосфат кормовой</t>
  </si>
  <si>
    <t>54105</t>
  </si>
  <si>
    <t xml:space="preserve">Премиксы </t>
  </si>
  <si>
    <t>54106</t>
  </si>
  <si>
    <t>Фосфат обесфотренный кормовой</t>
  </si>
  <si>
    <t>54107</t>
  </si>
  <si>
    <t>Фосфаты кормовые, не поименованные в алфавите</t>
  </si>
  <si>
    <t>Жмыхи и шроты, мука кормовая, отходы пищевой промышленности</t>
  </si>
  <si>
    <t xml:space="preserve">Выжимки овощные </t>
  </si>
  <si>
    <t xml:space="preserve">Галеты конские </t>
  </si>
  <si>
    <t xml:space="preserve">Дробина пивная </t>
  </si>
  <si>
    <t xml:space="preserve">Дрожжи кормовые (гидролизные, сульфатные) </t>
  </si>
  <si>
    <t>54205</t>
  </si>
  <si>
    <t>Жмыхи</t>
  </si>
  <si>
    <t>54206</t>
  </si>
  <si>
    <t xml:space="preserve">Жом (выжимки, мезга) картофельный </t>
  </si>
  <si>
    <t>54207</t>
  </si>
  <si>
    <t xml:space="preserve">Жом (выжимки, мезга) свекловичный </t>
  </si>
  <si>
    <t>54208</t>
  </si>
  <si>
    <t xml:space="preserve">Концентрат кормовой лизина </t>
  </si>
  <si>
    <t>54209</t>
  </si>
  <si>
    <t xml:space="preserve">Крупа кормовая ракушечная </t>
  </si>
  <si>
    <t>54210</t>
  </si>
  <si>
    <t xml:space="preserve">Лузга </t>
  </si>
  <si>
    <t>54211</t>
  </si>
  <si>
    <t xml:space="preserve">Мука (крупа) кормовая овощная </t>
  </si>
  <si>
    <t>54212</t>
  </si>
  <si>
    <t xml:space="preserve">Мука кормовая из китов и морского зверя </t>
  </si>
  <si>
    <t>54213</t>
  </si>
  <si>
    <t xml:space="preserve">Мука кормовая мясная </t>
  </si>
  <si>
    <t>54214</t>
  </si>
  <si>
    <t xml:space="preserve">Мука кормовая мясо-костная </t>
  </si>
  <si>
    <t>54215</t>
  </si>
  <si>
    <t xml:space="preserve">Мука кормовая рыбная </t>
  </si>
  <si>
    <t>54216</t>
  </si>
  <si>
    <t xml:space="preserve">Мука кровяная </t>
  </si>
  <si>
    <t>54217</t>
  </si>
  <si>
    <t xml:space="preserve">Отходы кормовые семян сахарной свеклы </t>
  </si>
  <si>
    <t>54218</t>
  </si>
  <si>
    <t>Отходы пищевой промышленности, не поименованные в алфавите</t>
  </si>
  <si>
    <t>54219</t>
  </si>
  <si>
    <t xml:space="preserve">Полуфабрикат костный для животных кормов </t>
  </si>
  <si>
    <t>54220</t>
  </si>
  <si>
    <t xml:space="preserve">Скорлупа орехов и плодовых косточек </t>
  </si>
  <si>
    <t>54221</t>
  </si>
  <si>
    <t xml:space="preserve">Шелуха </t>
  </si>
  <si>
    <t>54222</t>
  </si>
  <si>
    <t xml:space="preserve">Шрот кормовой, не поименованный в алфавите </t>
  </si>
  <si>
    <t>54223</t>
  </si>
  <si>
    <t>Шрот, содержащий не более 1,5% масла и не более 11% влаги</t>
  </si>
  <si>
    <t>54224</t>
  </si>
  <si>
    <t>Преципитат кормовой</t>
  </si>
  <si>
    <t>54225</t>
  </si>
  <si>
    <t>Жмыхи, содержащие более 1,5% масла и не более 11% влаги</t>
  </si>
  <si>
    <t>54226</t>
  </si>
  <si>
    <t>Мука рыбная (отходы рыбные) нестабилизированная</t>
  </si>
  <si>
    <t>54227</t>
  </si>
  <si>
    <t>Концентрат кормовой комплексный</t>
  </si>
  <si>
    <t>Продукция молочной и маслосыродельной промышленности, яйца</t>
  </si>
  <si>
    <t xml:space="preserve">Молоко </t>
  </si>
  <si>
    <t xml:space="preserve">Молоко всякое, не поименованное в алфавите </t>
  </si>
  <si>
    <t xml:space="preserve">Молоко обезжиренное (обрат) </t>
  </si>
  <si>
    <t xml:space="preserve">Молочные продукты </t>
  </si>
  <si>
    <t xml:space="preserve">Брынза </t>
  </si>
  <si>
    <t xml:space="preserve">Кефир </t>
  </si>
  <si>
    <t xml:space="preserve">Кумыс </t>
  </si>
  <si>
    <t xml:space="preserve">Мороженое </t>
  </si>
  <si>
    <t xml:space="preserve">Пахта </t>
  </si>
  <si>
    <t xml:space="preserve">Простокваша </t>
  </si>
  <si>
    <t xml:space="preserve">Сливки свежие </t>
  </si>
  <si>
    <t xml:space="preserve">Сливки, не поименованные в алфавите </t>
  </si>
  <si>
    <t xml:space="preserve">Сметана </t>
  </si>
  <si>
    <t xml:space="preserve">Сыворотка молочная </t>
  </si>
  <si>
    <t xml:space="preserve">Продукты молочные, не поименованные в алфавите </t>
  </si>
  <si>
    <t xml:space="preserve">Творог </t>
  </si>
  <si>
    <t xml:space="preserve">Масло животное, сыр </t>
  </si>
  <si>
    <t>55301</t>
  </si>
  <si>
    <t>Масло животное, не поименованное в алфавите</t>
  </si>
  <si>
    <t>55302</t>
  </si>
  <si>
    <t xml:space="preserve">Масло сливочное (в том числе с наполнителями) </t>
  </si>
  <si>
    <t>55303</t>
  </si>
  <si>
    <t xml:space="preserve">Масло топленое </t>
  </si>
  <si>
    <t>55304</t>
  </si>
  <si>
    <t xml:space="preserve">Сыр </t>
  </si>
  <si>
    <t xml:space="preserve">Продукция маргариновая и саломас </t>
  </si>
  <si>
    <t xml:space="preserve">Жиры для хлебопекарной промышленности </t>
  </si>
  <si>
    <t xml:space="preserve">Жиры кондитерские </t>
  </si>
  <si>
    <t xml:space="preserve">Жиры кулинарные </t>
  </si>
  <si>
    <t xml:space="preserve">Маргарин </t>
  </si>
  <si>
    <t xml:space="preserve">Продукция маргариновая, не поименованная в алфавите </t>
  </si>
  <si>
    <t>55406</t>
  </si>
  <si>
    <t>Саломас нерафинированный для маргариновой промышленности</t>
  </si>
  <si>
    <t>55407</t>
  </si>
  <si>
    <t xml:space="preserve">Саломас пищевой </t>
  </si>
  <si>
    <t>55408</t>
  </si>
  <si>
    <t xml:space="preserve">Саломас технический </t>
  </si>
  <si>
    <t xml:space="preserve">Яйца </t>
  </si>
  <si>
    <t xml:space="preserve">Яйца птицы </t>
  </si>
  <si>
    <t xml:space="preserve">Яйца, не поименованные в алфавите </t>
  </si>
  <si>
    <t xml:space="preserve">Масло растительное </t>
  </si>
  <si>
    <t xml:space="preserve">Масло абрикосовое </t>
  </si>
  <si>
    <t xml:space="preserve">Масло арахисовое </t>
  </si>
  <si>
    <t xml:space="preserve">Масло бобовое </t>
  </si>
  <si>
    <t xml:space="preserve">Масло горчичное </t>
  </si>
  <si>
    <t xml:space="preserve">Масло из какаовеллы </t>
  </si>
  <si>
    <t>55606</t>
  </si>
  <si>
    <t>Масло из плодов орехов и миндаля</t>
  </si>
  <si>
    <t>55607</t>
  </si>
  <si>
    <t xml:space="preserve">Масло касторовое </t>
  </si>
  <si>
    <t>55608</t>
  </si>
  <si>
    <t xml:space="preserve">Масло кедровое </t>
  </si>
  <si>
    <t>55609</t>
  </si>
  <si>
    <t xml:space="preserve">Масло кокосовое </t>
  </si>
  <si>
    <t>55610</t>
  </si>
  <si>
    <t xml:space="preserve">Масло конопляное </t>
  </si>
  <si>
    <t>55611</t>
  </si>
  <si>
    <t xml:space="preserve">Масло кориандровое не эфирное </t>
  </si>
  <si>
    <t>55612</t>
  </si>
  <si>
    <t xml:space="preserve">Масло кукурузное </t>
  </si>
  <si>
    <t>55613</t>
  </si>
  <si>
    <t xml:space="preserve">Масло кунжутное </t>
  </si>
  <si>
    <t>55614</t>
  </si>
  <si>
    <t xml:space="preserve">Масло льняное </t>
  </si>
  <si>
    <t>55615</t>
  </si>
  <si>
    <t xml:space="preserve">Масло маковое </t>
  </si>
  <si>
    <t>55616</t>
  </si>
  <si>
    <t xml:space="preserve">Масло оливковое </t>
  </si>
  <si>
    <t>55617</t>
  </si>
  <si>
    <t xml:space="preserve">Масло ореховое техническое </t>
  </si>
  <si>
    <t>55618</t>
  </si>
  <si>
    <t xml:space="preserve">Масло пальмовое </t>
  </si>
  <si>
    <t>55619</t>
  </si>
  <si>
    <t xml:space="preserve">Масло пальмоядровое </t>
  </si>
  <si>
    <t>55620</t>
  </si>
  <si>
    <t xml:space="preserve">Масло подсолнечное </t>
  </si>
  <si>
    <t xml:space="preserve">Масло прованское </t>
  </si>
  <si>
    <t xml:space="preserve">Масло рапсовое </t>
  </si>
  <si>
    <t xml:space="preserve">Масло рыжиковое </t>
  </si>
  <si>
    <t xml:space="preserve">Масло сафоровое </t>
  </si>
  <si>
    <t xml:space="preserve">Масло соевое </t>
  </si>
  <si>
    <t xml:space="preserve">Масло сурепное </t>
  </si>
  <si>
    <t xml:space="preserve">Масло тахинное </t>
  </si>
  <si>
    <t xml:space="preserve">Масло тунговое </t>
  </si>
  <si>
    <t xml:space="preserve">Масло хлопковое </t>
  </si>
  <si>
    <t xml:space="preserve">Масла растительные пищевые, не поименованные в алфавите </t>
  </si>
  <si>
    <t xml:space="preserve">Остатки растительных масел, не поименованные в алфавите </t>
  </si>
  <si>
    <t xml:space="preserve">Соапстоки светлых масел </t>
  </si>
  <si>
    <t xml:space="preserve">Соапстоки темных масел </t>
  </si>
  <si>
    <t xml:space="preserve">Продукция мясной промышленности </t>
  </si>
  <si>
    <t xml:space="preserve">Мясо и субпродукты </t>
  </si>
  <si>
    <t>Баранина</t>
  </si>
  <si>
    <t>56102</t>
  </si>
  <si>
    <t>Говядина в блоках</t>
  </si>
  <si>
    <t>56103</t>
  </si>
  <si>
    <t>Говядина мороженая</t>
  </si>
  <si>
    <t>56104</t>
  </si>
  <si>
    <t>Говядина охлажденная</t>
  </si>
  <si>
    <t>56105</t>
  </si>
  <si>
    <t>Конина</t>
  </si>
  <si>
    <t>56106</t>
  </si>
  <si>
    <t xml:space="preserve">Ливер (легкое, печень, сердце) </t>
  </si>
  <si>
    <t>56107</t>
  </si>
  <si>
    <t xml:space="preserve">Мясо диких животных </t>
  </si>
  <si>
    <t>56108</t>
  </si>
  <si>
    <t xml:space="preserve">Мясо дичи (птицы дикой) </t>
  </si>
  <si>
    <t>56109</t>
  </si>
  <si>
    <t xml:space="preserve">Мясо домашних животных во всяком виде, кроме консервов </t>
  </si>
  <si>
    <t>56110</t>
  </si>
  <si>
    <t xml:space="preserve">Мясо птицы домашней </t>
  </si>
  <si>
    <t>56111</t>
  </si>
  <si>
    <t>Свинина в блоках</t>
  </si>
  <si>
    <t>56112</t>
  </si>
  <si>
    <t>Свинина мороженная</t>
  </si>
  <si>
    <t>56113</t>
  </si>
  <si>
    <t>Свинина охлажденная</t>
  </si>
  <si>
    <t>56114</t>
  </si>
  <si>
    <t xml:space="preserve">Субпродукты мясные, не поименованные в алфавите </t>
  </si>
  <si>
    <t xml:space="preserve">Изделия колбасные, копчености и полуфабрикаты мясные </t>
  </si>
  <si>
    <t xml:space="preserve">Бекон соленый и копченый </t>
  </si>
  <si>
    <t xml:space="preserve">Изделия колбасные </t>
  </si>
  <si>
    <t xml:space="preserve">Копчености мясные </t>
  </si>
  <si>
    <t xml:space="preserve">Мясо морских животных всякое </t>
  </si>
  <si>
    <t xml:space="preserve">Мясопродукты, не поименованные в алфавите </t>
  </si>
  <si>
    <t xml:space="preserve">Пельмени </t>
  </si>
  <si>
    <t xml:space="preserve">Полуфабрикаты мясные замороженные </t>
  </si>
  <si>
    <t xml:space="preserve">Жиры и сало животных и птиц </t>
  </si>
  <si>
    <t xml:space="preserve">Жир гусиный </t>
  </si>
  <si>
    <t xml:space="preserve">Жир костный </t>
  </si>
  <si>
    <t>Жиры животные пищевые: бараний, говяжий, свиной и других животных</t>
  </si>
  <si>
    <t xml:space="preserve">Сало свиное соленое и копченое (шпик) </t>
  </si>
  <si>
    <t xml:space="preserve">Сало животное пищевое сырое и топленое </t>
  </si>
  <si>
    <t>56307</t>
  </si>
  <si>
    <t>Жир животный кормовой</t>
  </si>
  <si>
    <t>56308</t>
  </si>
  <si>
    <t>Жир микробный технический</t>
  </si>
  <si>
    <t xml:space="preserve">Отходы мясной промышленности </t>
  </si>
  <si>
    <t xml:space="preserve">Альбумин </t>
  </si>
  <si>
    <t xml:space="preserve">Корнит (прессованная роговая стружка) </t>
  </si>
  <si>
    <t xml:space="preserve">Кость для производства желатина </t>
  </si>
  <si>
    <t xml:space="preserve">Кость пищевая </t>
  </si>
  <si>
    <t xml:space="preserve">Мездра </t>
  </si>
  <si>
    <t xml:space="preserve">Оболочка колбасная белковая </t>
  </si>
  <si>
    <t xml:space="preserve">Отходы мясные, не поименованные в алфавите </t>
  </si>
  <si>
    <t xml:space="preserve">Рога, копыта </t>
  </si>
  <si>
    <t xml:space="preserve">Сырье эндокринное </t>
  </si>
  <si>
    <t xml:space="preserve">Рыба и рыбопродукты </t>
  </si>
  <si>
    <t xml:space="preserve">Рыба живая, мальки, рыбки для аквариумов </t>
  </si>
  <si>
    <t xml:space="preserve">Икра рыбы живая </t>
  </si>
  <si>
    <t xml:space="preserve">Мальки </t>
  </si>
  <si>
    <t xml:space="preserve">Рыба живая </t>
  </si>
  <si>
    <t xml:space="preserve">Рыбки для аквариумов </t>
  </si>
  <si>
    <t>Рыба свежая, охлажденная и свежемороженая. Отходы рыбные. Ракообразные и моллюски</t>
  </si>
  <si>
    <t xml:space="preserve">Изделия кулинарные рыбные </t>
  </si>
  <si>
    <t xml:space="preserve">Крабы </t>
  </si>
  <si>
    <t xml:space="preserve">Креветки </t>
  </si>
  <si>
    <t xml:space="preserve">Моллюски </t>
  </si>
  <si>
    <t xml:space="preserve">Омары </t>
  </si>
  <si>
    <t xml:space="preserve">Отходы от рыб, не поименованные в алфавите </t>
  </si>
  <si>
    <t xml:space="preserve">Раки пресноводные </t>
  </si>
  <si>
    <t xml:space="preserve">Рыба свежемороженая </t>
  </si>
  <si>
    <t xml:space="preserve">Рыба свежая и охлажденная, не поименованная в алфавите </t>
  </si>
  <si>
    <t xml:space="preserve">Рыба, не поименованная в алфавите </t>
  </si>
  <si>
    <t xml:space="preserve">Трепанги </t>
  </si>
  <si>
    <t xml:space="preserve">Устрицы </t>
  </si>
  <si>
    <t xml:space="preserve">Филе рыбное </t>
  </si>
  <si>
    <t xml:space="preserve">Рыбопродукты соленые, копченые, сушеные </t>
  </si>
  <si>
    <t xml:space="preserve">Балыки </t>
  </si>
  <si>
    <t xml:space="preserve">Вобла вяленая, копченая и соленая </t>
  </si>
  <si>
    <t xml:space="preserve">Вязига </t>
  </si>
  <si>
    <t xml:space="preserve">Икра рыб пищевая </t>
  </si>
  <si>
    <t>57305</t>
  </si>
  <si>
    <t>Пельмени рыбные</t>
  </si>
  <si>
    <t>57306</t>
  </si>
  <si>
    <t xml:space="preserve">Рыба вяленая, копченая, не поименованная в алфавите </t>
  </si>
  <si>
    <t>57307</t>
  </si>
  <si>
    <t xml:space="preserve">Рыба маринованная </t>
  </si>
  <si>
    <t>57308</t>
  </si>
  <si>
    <t xml:space="preserve">Рыба соленая, кроме сельди </t>
  </si>
  <si>
    <t>57309</t>
  </si>
  <si>
    <t xml:space="preserve">Рыба сушеная </t>
  </si>
  <si>
    <t>57310</t>
  </si>
  <si>
    <t xml:space="preserve">Сельдь копченая </t>
  </si>
  <si>
    <t>57311</t>
  </si>
  <si>
    <t xml:space="preserve">Сельдь соленая </t>
  </si>
  <si>
    <t xml:space="preserve">Теша </t>
  </si>
  <si>
    <t xml:space="preserve">Фарш рыбный кормовой </t>
  </si>
  <si>
    <t xml:space="preserve">Жир рыбий, китовый и морского зверя </t>
  </si>
  <si>
    <t xml:space="preserve">Гракс (остатки жиротопления) </t>
  </si>
  <si>
    <t xml:space="preserve">Жир китовый всякий </t>
  </si>
  <si>
    <t xml:space="preserve">Жир рыбий всякий </t>
  </si>
  <si>
    <t>57404</t>
  </si>
  <si>
    <t>Жир морских млекопитающих и рыб, ветеренарный</t>
  </si>
  <si>
    <t>57405</t>
  </si>
  <si>
    <t>Жир морских млекопитающих и рыб, технический</t>
  </si>
  <si>
    <t>57406</t>
  </si>
  <si>
    <t xml:space="preserve">Жир спермацетовый </t>
  </si>
  <si>
    <t>57407</t>
  </si>
  <si>
    <t>Жир морского зверя моржовый, тюлений и др., не поименованный в алфавите</t>
  </si>
  <si>
    <t xml:space="preserve">Продукция плодо-овощной промышленности </t>
  </si>
  <si>
    <t>Консервы всякие, фрукты, ягоды, овощи и грибы моченые, соленые, квашеные, маринованные и сульфитированные</t>
  </si>
  <si>
    <t xml:space="preserve">Варенье </t>
  </si>
  <si>
    <t xml:space="preserve">Горошек зеленый консервированный </t>
  </si>
  <si>
    <t xml:space="preserve">Грибы маринованные и соленые </t>
  </si>
  <si>
    <t xml:space="preserve">Груши моченые </t>
  </si>
  <si>
    <t xml:space="preserve">Джемы </t>
  </si>
  <si>
    <t xml:space="preserve">Капуста квашеная </t>
  </si>
  <si>
    <t xml:space="preserve">Компоты </t>
  </si>
  <si>
    <t xml:space="preserve">Консервы из раков, ракообразных и моллюсков </t>
  </si>
  <si>
    <t xml:space="preserve">Консервы молочные </t>
  </si>
  <si>
    <t xml:space="preserve">Консервы овощные </t>
  </si>
  <si>
    <t xml:space="preserve">Консервы рыбные </t>
  </si>
  <si>
    <t xml:space="preserve">Консервы фруктовые </t>
  </si>
  <si>
    <t xml:space="preserve">Консервы яичные </t>
  </si>
  <si>
    <t xml:space="preserve">Конфитюры </t>
  </si>
  <si>
    <t xml:space="preserve">Коренья огородные и полевые маринованные и соленые </t>
  </si>
  <si>
    <t xml:space="preserve">Майонез </t>
  </si>
  <si>
    <t xml:space="preserve">Маслины (оливки) консервированные </t>
  </si>
  <si>
    <t xml:space="preserve">Меланж яичный </t>
  </si>
  <si>
    <t xml:space="preserve">Молоко сгущенное, в том числе с какао и кофе </t>
  </si>
  <si>
    <t xml:space="preserve">Обрат сгущенный </t>
  </si>
  <si>
    <t xml:space="preserve">Овощи маринованные, моченые, пастеризованные, соленые, не поименованные в алфавите </t>
  </si>
  <si>
    <t xml:space="preserve">Огурцы маринованные и соленые </t>
  </si>
  <si>
    <t xml:space="preserve">Паста и пюре томатные </t>
  </si>
  <si>
    <t xml:space="preserve">Повидло фруктовое и ягодное </t>
  </si>
  <si>
    <t xml:space="preserve">Помидоры (томаты) моченые и соленые </t>
  </si>
  <si>
    <t xml:space="preserve">Пресервы рыбные (в том числе сельдь специального баночного посола) </t>
  </si>
  <si>
    <t xml:space="preserve">Пульпа плодовая и ягодная </t>
  </si>
  <si>
    <t xml:space="preserve">Пюре из овощей </t>
  </si>
  <si>
    <t xml:space="preserve">Пюре плодовые и ягодные </t>
  </si>
  <si>
    <t xml:space="preserve">Сиропы всякие </t>
  </si>
  <si>
    <t xml:space="preserve">Соусы всякие </t>
  </si>
  <si>
    <t xml:space="preserve">Тыква моченая и соленая </t>
  </si>
  <si>
    <t xml:space="preserve">Яблоки моченые, маринованные, сульфитированные </t>
  </si>
  <si>
    <t>Ягоды и фрукты в сиропе, моченые, маринованные, сульфитированные</t>
  </si>
  <si>
    <t>58135</t>
  </si>
  <si>
    <t>Консервы мясные и мясорастительные</t>
  </si>
  <si>
    <t xml:space="preserve">Фрукты и ягоды сушеные </t>
  </si>
  <si>
    <t xml:space="preserve">Ананасы сушеные </t>
  </si>
  <si>
    <t xml:space="preserve">Виноград сушеный всякий </t>
  </si>
  <si>
    <t xml:space="preserve">Вишни сушеные </t>
  </si>
  <si>
    <t xml:space="preserve">Груши сушеные </t>
  </si>
  <si>
    <t xml:space="preserve">Дыни сушеные </t>
  </si>
  <si>
    <t xml:space="preserve">Инжир (ягоды винные, смоква) сушеный </t>
  </si>
  <si>
    <t xml:space="preserve">Кишмиш </t>
  </si>
  <si>
    <t xml:space="preserve">Компот из сухих фруктов и ягод </t>
  </si>
  <si>
    <t xml:space="preserve">Курага (сухофрукты) </t>
  </si>
  <si>
    <t xml:space="preserve">Малина сушеная </t>
  </si>
  <si>
    <t xml:space="preserve">Маслины (оливки) сушеные </t>
  </si>
  <si>
    <t xml:space="preserve">Сабза (сабла) </t>
  </si>
  <si>
    <t xml:space="preserve">Фрукты сушеные, не поименованные в алфавите </t>
  </si>
  <si>
    <t xml:space="preserve">Черемуха (плоды) сушеная </t>
  </si>
  <si>
    <t xml:space="preserve">Черника сушеная </t>
  </si>
  <si>
    <t xml:space="preserve">Чернослив сушеный </t>
  </si>
  <si>
    <t xml:space="preserve">Яблоки сушеные </t>
  </si>
  <si>
    <t xml:space="preserve">Ягоды сушеные, не поименованные в алфавите </t>
  </si>
  <si>
    <t xml:space="preserve">Овощи, картофель и грибы сушеные </t>
  </si>
  <si>
    <t xml:space="preserve">Грибы сушеные </t>
  </si>
  <si>
    <t xml:space="preserve">Картофель сушеный </t>
  </si>
  <si>
    <t xml:space="preserve">Коренья огородные и полевые сушеные </t>
  </si>
  <si>
    <t xml:space="preserve">Овощи сушеные, не поименованные в алфавите </t>
  </si>
  <si>
    <t xml:space="preserve">Перец в стручках сушеный </t>
  </si>
  <si>
    <t xml:space="preserve">Тыква сушеная </t>
  </si>
  <si>
    <t xml:space="preserve">Соки </t>
  </si>
  <si>
    <t xml:space="preserve">Сок виноградный сгущенный (бекмес) </t>
  </si>
  <si>
    <t xml:space="preserve">Сок виноградный, не поименованный в алфавите </t>
  </si>
  <si>
    <t xml:space="preserve">Сок томатный </t>
  </si>
  <si>
    <t xml:space="preserve">Сок яблочный </t>
  </si>
  <si>
    <t xml:space="preserve">Соки спиртованные </t>
  </si>
  <si>
    <t xml:space="preserve">Соки овощные, не поименованные в алфавите </t>
  </si>
  <si>
    <t xml:space="preserve">Соки, не поименованные в алфавите </t>
  </si>
  <si>
    <t xml:space="preserve">Соки фруктовые и ягодные, не поименованные в алфавите </t>
  </si>
  <si>
    <t xml:space="preserve">Сусло виноградное </t>
  </si>
  <si>
    <t xml:space="preserve">Спирт, напитки алкогольные и безалкогольные </t>
  </si>
  <si>
    <t xml:space="preserve">Вино </t>
  </si>
  <si>
    <t xml:space="preserve">Вина виноградные </t>
  </si>
  <si>
    <t xml:space="preserve">Вина фруктовые и ягодные </t>
  </si>
  <si>
    <t xml:space="preserve">Вина шампанские и игристые </t>
  </si>
  <si>
    <t>59104</t>
  </si>
  <si>
    <t>Виноматериалы, содержащие менее 24% спирта по объему</t>
  </si>
  <si>
    <t>59105</t>
  </si>
  <si>
    <t xml:space="preserve">Напитки ферментированные </t>
  </si>
  <si>
    <t>59106</t>
  </si>
  <si>
    <t>Спирт этиловый винный</t>
  </si>
  <si>
    <t xml:space="preserve">Пиво </t>
  </si>
  <si>
    <t xml:space="preserve">Брага алкогольная </t>
  </si>
  <si>
    <t xml:space="preserve">Пиво всякое </t>
  </si>
  <si>
    <t xml:space="preserve">Сусло пивное </t>
  </si>
  <si>
    <t xml:space="preserve">Водка и изделия ликеро-водочные </t>
  </si>
  <si>
    <t xml:space="preserve">Водка </t>
  </si>
  <si>
    <t xml:space="preserve">Изделия водочные, не поименованные в алфавите </t>
  </si>
  <si>
    <t xml:space="preserve">Композиция для купажа напитка "Лимонад" </t>
  </si>
  <si>
    <t xml:space="preserve">Коньяки </t>
  </si>
  <si>
    <t xml:space="preserve">Ликеры </t>
  </si>
  <si>
    <t xml:space="preserve">Наливки </t>
  </si>
  <si>
    <t xml:space="preserve">Настойки </t>
  </si>
  <si>
    <t xml:space="preserve">Ром </t>
  </si>
  <si>
    <t xml:space="preserve">Саке </t>
  </si>
  <si>
    <t xml:space="preserve">Пунши </t>
  </si>
  <si>
    <t xml:space="preserve">Спирт </t>
  </si>
  <si>
    <t xml:space="preserve">Дистиллат винный (спирт коньячный) </t>
  </si>
  <si>
    <t xml:space="preserve">Спирт винный ректифицированный </t>
  </si>
  <si>
    <t xml:space="preserve">Спирт-сырец этиловый виноградный </t>
  </si>
  <si>
    <t>59404</t>
  </si>
  <si>
    <t>Спирт денатурированный</t>
  </si>
  <si>
    <t>59405</t>
  </si>
  <si>
    <t xml:space="preserve">Спирт этиловый абсолютированный </t>
  </si>
  <si>
    <t>59406</t>
  </si>
  <si>
    <t xml:space="preserve">Спирт этиловый синтетический </t>
  </si>
  <si>
    <t xml:space="preserve">Напитки безалкогольные и воды минеральные </t>
  </si>
  <si>
    <t xml:space="preserve">Воды минеральные, натуральные и искусственные </t>
  </si>
  <si>
    <t xml:space="preserve">Квас фруктовый, хлебный и ягодный в жидком виде </t>
  </si>
  <si>
    <t xml:space="preserve">Морсы фруктовые и ягодные всякие </t>
  </si>
  <si>
    <t xml:space="preserve">Напитки газированные фруктовые и ягодные </t>
  </si>
  <si>
    <t xml:space="preserve">Напитки плодово-ягодные, не поименованные в алфавите </t>
  </si>
  <si>
    <t xml:space="preserve">Напитки, не поименованные в алфавите </t>
  </si>
  <si>
    <t xml:space="preserve">Сидры </t>
  </si>
  <si>
    <t xml:space="preserve">Барда, вода и лед </t>
  </si>
  <si>
    <t xml:space="preserve">Барда </t>
  </si>
  <si>
    <t xml:space="preserve">Барда жидкая </t>
  </si>
  <si>
    <t xml:space="preserve">Вода и лед </t>
  </si>
  <si>
    <t xml:space="preserve">Вода обыкновенная </t>
  </si>
  <si>
    <t xml:space="preserve">Лед естественный </t>
  </si>
  <si>
    <t xml:space="preserve">Раздел 10. Продукция легкой и полиграфической промышленности </t>
  </si>
  <si>
    <t xml:space="preserve">Волокно хлопковое </t>
  </si>
  <si>
    <t>61100</t>
  </si>
  <si>
    <t xml:space="preserve">Волокно хлопковое (хлопок-волокно) </t>
  </si>
  <si>
    <t xml:space="preserve">Линт (пух) хлопковый </t>
  </si>
  <si>
    <t xml:space="preserve">Отходы хлопковые, кроме улюка </t>
  </si>
  <si>
    <t xml:space="preserve">Улюк хлопковый </t>
  </si>
  <si>
    <t>61105</t>
  </si>
  <si>
    <t>Отходы волокнистые хлопкоочистительных заводов</t>
  </si>
  <si>
    <t xml:space="preserve">Продукция переработки растительных волокон шерсти и волоса </t>
  </si>
  <si>
    <t xml:space="preserve">Волокна лубяные </t>
  </si>
  <si>
    <t xml:space="preserve">Волокна лубяные, не поименованные в алфавите </t>
  </si>
  <si>
    <t xml:space="preserve">Волокно джута (джут волокно) </t>
  </si>
  <si>
    <t xml:space="preserve">Волокно кенафа </t>
  </si>
  <si>
    <t xml:space="preserve">Волокно кендыря </t>
  </si>
  <si>
    <t xml:space="preserve">Волокно конопли </t>
  </si>
  <si>
    <t xml:space="preserve">Волокно льна-долгунца (льноволокно) </t>
  </si>
  <si>
    <t xml:space="preserve">Котонин прядильный </t>
  </si>
  <si>
    <t xml:space="preserve">Лен чесаный </t>
  </si>
  <si>
    <t xml:space="preserve">Луб сухой </t>
  </si>
  <si>
    <t xml:space="preserve">Луб пеньковый </t>
  </si>
  <si>
    <t xml:space="preserve">Отходы льняные и пеньковые </t>
  </si>
  <si>
    <t>Очесы волокон джута, кенафа, кендыря и др., не поименованные в алфавите</t>
  </si>
  <si>
    <t xml:space="preserve">Очесы льна </t>
  </si>
  <si>
    <t xml:space="preserve">Очесы пеньковые </t>
  </si>
  <si>
    <t xml:space="preserve">Пенька чесаная </t>
  </si>
  <si>
    <t xml:space="preserve">Пеньковолокно </t>
  </si>
  <si>
    <t>62117</t>
  </si>
  <si>
    <t>Пакля</t>
  </si>
  <si>
    <t xml:space="preserve">Пряжа и нитки всякие, шелк-сырец </t>
  </si>
  <si>
    <t xml:space="preserve">Коконы шелкопряда сухие </t>
  </si>
  <si>
    <t xml:space="preserve">Куколка тутового шелкопряда </t>
  </si>
  <si>
    <t xml:space="preserve">Нитки из синтетического шелка </t>
  </si>
  <si>
    <t xml:space="preserve">Нитки льняные всякие </t>
  </si>
  <si>
    <t xml:space="preserve">Нитки, не поименованные в алфавите </t>
  </si>
  <si>
    <t xml:space="preserve">Нитки хлопчатобумажные всякие </t>
  </si>
  <si>
    <t xml:space="preserve">Нитки шелковые </t>
  </si>
  <si>
    <t xml:space="preserve">Пряжа всякая, не поименованная в алфавите </t>
  </si>
  <si>
    <t xml:space="preserve">Пряжа камвольная всякая </t>
  </si>
  <si>
    <t xml:space="preserve">Пряжа льно-джуто-кенафная </t>
  </si>
  <si>
    <t xml:space="preserve">Пряжа льняная </t>
  </si>
  <si>
    <t xml:space="preserve">Пряжа пеньковая </t>
  </si>
  <si>
    <t xml:space="preserve">Пряжа хлопчатобумажная </t>
  </si>
  <si>
    <t xml:space="preserve">Пряжа шелковая </t>
  </si>
  <si>
    <t xml:space="preserve">Пряжа шерстяная всякая </t>
  </si>
  <si>
    <t xml:space="preserve">Пряжа штапельная </t>
  </si>
  <si>
    <t xml:space="preserve">Путанка и концы пряжи </t>
  </si>
  <si>
    <t xml:space="preserve">Шелк-сырец (грежа) </t>
  </si>
  <si>
    <t xml:space="preserve">Изделия крученые, кроме пряжи и ниток </t>
  </si>
  <si>
    <t xml:space="preserve">Веревки всякие, не поименованные в алфавите </t>
  </si>
  <si>
    <t xml:space="preserve">Изделия крученые, не поименованные в алфавите </t>
  </si>
  <si>
    <t xml:space="preserve">Канатики из лубяных волокон </t>
  </si>
  <si>
    <t xml:space="preserve">Канаты из химических волокон </t>
  </si>
  <si>
    <t xml:space="preserve">Канаты пеньковые и хлопчатобумажные </t>
  </si>
  <si>
    <t xml:space="preserve">Ковры веревочные </t>
  </si>
  <si>
    <t xml:space="preserve">Сети веревочные, кроме рыболовных и спортивных </t>
  </si>
  <si>
    <t xml:space="preserve">Такелаж веревочный </t>
  </si>
  <si>
    <t xml:space="preserve">Тросы веревочные и канатные </t>
  </si>
  <si>
    <t xml:space="preserve">Шнуры прочие, не поименованные в алфавите </t>
  </si>
  <si>
    <t xml:space="preserve">Шнуры крученые </t>
  </si>
  <si>
    <t xml:space="preserve">Шпагат всякий, кроме бумажного </t>
  </si>
  <si>
    <t>62313</t>
  </si>
  <si>
    <t>Фитиль зажигательный тлеющий (ФЗТ)</t>
  </si>
  <si>
    <t xml:space="preserve">Вата хлопчатобумажная </t>
  </si>
  <si>
    <t xml:space="preserve">Вата хлопчатобумажная всякая </t>
  </si>
  <si>
    <t>62402</t>
  </si>
  <si>
    <t>Вата хлопковая</t>
  </si>
  <si>
    <t xml:space="preserve">Вата льняная, шелковая и шерстяная </t>
  </si>
  <si>
    <t xml:space="preserve">Вата льняная </t>
  </si>
  <si>
    <t xml:space="preserve">Вата шелковая </t>
  </si>
  <si>
    <t xml:space="preserve">Вата шерстяная </t>
  </si>
  <si>
    <t xml:space="preserve">Войлок и изделия войлочные </t>
  </si>
  <si>
    <t xml:space="preserve">Войлок, не поименованный в алфавите </t>
  </si>
  <si>
    <t xml:space="preserve">Войлок строительный </t>
  </si>
  <si>
    <t>Войлок технический, грубошерстный, полугрубошерстный, тонкошерстный</t>
  </si>
  <si>
    <t xml:space="preserve">Детали войлочные всякие </t>
  </si>
  <si>
    <t xml:space="preserve">Изделия войлочные, кроме обуви </t>
  </si>
  <si>
    <t xml:space="preserve">Ковры войлочные </t>
  </si>
  <si>
    <t xml:space="preserve">Стельки войлочные </t>
  </si>
  <si>
    <t xml:space="preserve">Ткани, изделия швейной и трикотажной промышленности </t>
  </si>
  <si>
    <t xml:space="preserve">Ткани </t>
  </si>
  <si>
    <t xml:space="preserve">Бельтинг (ткань прорезиненная) </t>
  </si>
  <si>
    <t xml:space="preserve">Брезент </t>
  </si>
  <si>
    <t xml:space="preserve">Каракуль искусственный </t>
  </si>
  <si>
    <t xml:space="preserve">Клеенка всякая </t>
  </si>
  <si>
    <t xml:space="preserve">Ледерин </t>
  </si>
  <si>
    <t xml:space="preserve">Лоскут тканевый мерный </t>
  </si>
  <si>
    <t xml:space="preserve">Мех искусственный </t>
  </si>
  <si>
    <t xml:space="preserve">Парусина брезентовая </t>
  </si>
  <si>
    <t>Полотно льняное, пеньковое, трикотажное и хлопчатобумажное</t>
  </si>
  <si>
    <t xml:space="preserve">Сукно шерстяное всякое </t>
  </si>
  <si>
    <t xml:space="preserve">Ткани брезентовые, мешочные, упаковочные, фильтропрессные </t>
  </si>
  <si>
    <t>Ткани бязевые, джутовые, кордные, льняные, льнопеньковые, пеньковые, пенько-джутовые, полушерстяные, хлопчатобумажные, шелковые, шерстяные</t>
  </si>
  <si>
    <t xml:space="preserve">Ткани из искусственного и синтетического волокна </t>
  </si>
  <si>
    <t xml:space="preserve">Ткани льняные мешочные </t>
  </si>
  <si>
    <t xml:space="preserve">Ткани прорезиненные, не поименованные в алфавите </t>
  </si>
  <si>
    <t xml:space="preserve">Ткань техническая всякая, не поименованная в алфавите </t>
  </si>
  <si>
    <t xml:space="preserve">Ткани хлопчатобумажные марлевой группы </t>
  </si>
  <si>
    <t xml:space="preserve">Прочие изделия швейной и текстильной промышленности </t>
  </si>
  <si>
    <t xml:space="preserve">Ватины всякие </t>
  </si>
  <si>
    <t xml:space="preserve">Дорожки пеньковые и хлопчатобумажные </t>
  </si>
  <si>
    <t xml:space="preserve">Изделия из клеенки, кроме одежды </t>
  </si>
  <si>
    <t xml:space="preserve">Концы буксоподбивочные </t>
  </si>
  <si>
    <t xml:space="preserve">Лента изоляционная прорезиненная </t>
  </si>
  <si>
    <t xml:space="preserve">Лента киперная </t>
  </si>
  <si>
    <t xml:space="preserve">Материал обтирочный </t>
  </si>
  <si>
    <t xml:space="preserve">Матрацы, кроме перовых </t>
  </si>
  <si>
    <t xml:space="preserve">Мешки тканевые, в том числа возвратные </t>
  </si>
  <si>
    <t xml:space="preserve">Набивки мебельные </t>
  </si>
  <si>
    <t xml:space="preserve">Обрезки и обрывки тканей всяких </t>
  </si>
  <si>
    <t xml:space="preserve">Одеяла ватные, перовые, пуховые и др. </t>
  </si>
  <si>
    <t xml:space="preserve">Остатки прядильного производства, кроме промасленных </t>
  </si>
  <si>
    <t xml:space="preserve">Очесы шелковые всякие шелка-сырца </t>
  </si>
  <si>
    <t xml:space="preserve">Палатки </t>
  </si>
  <si>
    <t xml:space="preserve">Перины и матрацы </t>
  </si>
  <si>
    <t xml:space="preserve">Подушки ватные, волосяные, перовые, пуховые </t>
  </si>
  <si>
    <t xml:space="preserve">Пояса брезентовые </t>
  </si>
  <si>
    <t xml:space="preserve">Прокладки резинотканевые </t>
  </si>
  <si>
    <t xml:space="preserve">Ремизы нитяные </t>
  </si>
  <si>
    <t xml:space="preserve">Ремни тканевые, включая прорезиненные </t>
  </si>
  <si>
    <t xml:space="preserve">Рукава тканевые </t>
  </si>
  <si>
    <t xml:space="preserve">Салфетки прорезиненные </t>
  </si>
  <si>
    <t xml:space="preserve">Тара тканевая возвратная, кроме мешков </t>
  </si>
  <si>
    <t xml:space="preserve">Рукава брезентовые </t>
  </si>
  <si>
    <t xml:space="preserve">Угары текстильные </t>
  </si>
  <si>
    <t xml:space="preserve">Фильтры хлопчатобумажные </t>
  </si>
  <si>
    <t xml:space="preserve">Чехлы тканевые всякие </t>
  </si>
  <si>
    <t xml:space="preserve">Изделия трикотажные </t>
  </si>
  <si>
    <t xml:space="preserve">Варежки-перчатки </t>
  </si>
  <si>
    <t xml:space="preserve">Джемперы, жакеты, жилеты, пуловеры, свитеры трикотажные </t>
  </si>
  <si>
    <t xml:space="preserve">Изделия бельевые трикотажные </t>
  </si>
  <si>
    <t xml:space="preserve">Изделия платочно-шарфовые </t>
  </si>
  <si>
    <t xml:space="preserve">Изделия спортивные трикотажные </t>
  </si>
  <si>
    <t>Изделия трикотажные (трикотаж), не поименованные в алфавите</t>
  </si>
  <si>
    <t>Изделия трикотажные для детей дошкольного и школьного возраста</t>
  </si>
  <si>
    <t xml:space="preserve">Изделия чулочно-носочные </t>
  </si>
  <si>
    <t xml:space="preserve">Костюмы трикотажные всякие </t>
  </si>
  <si>
    <t xml:space="preserve">Кофты трикотажные </t>
  </si>
  <si>
    <t xml:space="preserve">Платья трикотажные всякие </t>
  </si>
  <si>
    <t xml:space="preserve">Рейтузы </t>
  </si>
  <si>
    <t xml:space="preserve">Изделия швейные </t>
  </si>
  <si>
    <t>Бахилы (брюки, чулки) кожаные, одежда для рыбных и других промыслов</t>
  </si>
  <si>
    <t xml:space="preserve">Белье постельное </t>
  </si>
  <si>
    <t xml:space="preserve">Белье, не поименованное в алфавите </t>
  </si>
  <si>
    <t xml:space="preserve">Брюки </t>
  </si>
  <si>
    <t xml:space="preserve">Головные уборы меховые </t>
  </si>
  <si>
    <t xml:space="preserve">Горжеты, воротники, пелерины меховые </t>
  </si>
  <si>
    <t xml:space="preserve">Жилеты прорезиненные и резиновые </t>
  </si>
  <si>
    <t xml:space="preserve">Изделия швейные, не поименованные в алфавите </t>
  </si>
  <si>
    <t xml:space="preserve">Кители, мундиры </t>
  </si>
  <si>
    <t xml:space="preserve">Комбинезоны </t>
  </si>
  <si>
    <t xml:space="preserve">Костюмы, кроме трикотажных </t>
  </si>
  <si>
    <t xml:space="preserve">Куртки ватные рабочие </t>
  </si>
  <si>
    <t xml:space="preserve">Мешки спальные </t>
  </si>
  <si>
    <t xml:space="preserve">Муфты меховые </t>
  </si>
  <si>
    <t>Одежда всякая в готовом и раскроенном виде, не поименованная в алфавите</t>
  </si>
  <si>
    <t xml:space="preserve">Пальто, кроме меховых </t>
  </si>
  <si>
    <t xml:space="preserve">Пальто меховые </t>
  </si>
  <si>
    <t xml:space="preserve">Пиджаки, куртки </t>
  </si>
  <si>
    <t xml:space="preserve">Платки носовые </t>
  </si>
  <si>
    <t>Платки полушерстяные, суконные, хлопчатобумажные, шелковые и шерстяные</t>
  </si>
  <si>
    <t xml:space="preserve">Платья готовые всякие, кроме трикотажных </t>
  </si>
  <si>
    <t xml:space="preserve">Плащи (включая накидки) </t>
  </si>
  <si>
    <t xml:space="preserve">Пледы </t>
  </si>
  <si>
    <t xml:space="preserve">Полотенца всякие </t>
  </si>
  <si>
    <t xml:space="preserve">Полупальто меховые </t>
  </si>
  <si>
    <t xml:space="preserve">Полушубки </t>
  </si>
  <si>
    <t xml:space="preserve">Рукавицы </t>
  </si>
  <si>
    <t xml:space="preserve">Салфетки столовые </t>
  </si>
  <si>
    <t xml:space="preserve">Скатерти столовые </t>
  </si>
  <si>
    <t xml:space="preserve">Сорочки верхние </t>
  </si>
  <si>
    <t xml:space="preserve">Тулупы </t>
  </si>
  <si>
    <t xml:space="preserve">Уборы головные, не поименованные в алфавите </t>
  </si>
  <si>
    <t>Уборы головные специального назначения (шлемы, каски и др.)</t>
  </si>
  <si>
    <t xml:space="preserve">Фуражки и кепи </t>
  </si>
  <si>
    <t xml:space="preserve">Фуфайки </t>
  </si>
  <si>
    <t>Шали и шарфы швейные: хлопчатобумажные, шелковые и шерстяные</t>
  </si>
  <si>
    <t xml:space="preserve">Шапки </t>
  </si>
  <si>
    <t xml:space="preserve">Шинели, бушлаты форменные </t>
  </si>
  <si>
    <t xml:space="preserve">Ковры и изделия ковровые </t>
  </si>
  <si>
    <t xml:space="preserve">Ворсолин (дорожка ковровая) </t>
  </si>
  <si>
    <t>Изделия ковровые - хлопчатобумажные, шерстяные, полушерстяные, шелковые и др., не поименованные в алфавите</t>
  </si>
  <si>
    <t xml:space="preserve">Ковры, не поименованные в алфавите </t>
  </si>
  <si>
    <t xml:space="preserve">Ковры шелковые, шерстяные и хлопчатобумажные </t>
  </si>
  <si>
    <t xml:space="preserve">Галантерея и изделия ювелирные </t>
  </si>
  <si>
    <t xml:space="preserve">Абажуры, кроме стеклянных </t>
  </si>
  <si>
    <t xml:space="preserve">Бритвы, в том числе электрические </t>
  </si>
  <si>
    <t xml:space="preserve">Вешалки-плечики </t>
  </si>
  <si>
    <t xml:space="preserve">Галантерея текстильная, не поименованная в алфавите </t>
  </si>
  <si>
    <t>Галантерея, кроме текстильной, не поименованная в алфавите</t>
  </si>
  <si>
    <t xml:space="preserve">Занавеси всякие </t>
  </si>
  <si>
    <t xml:space="preserve">Зонты и зонтики </t>
  </si>
  <si>
    <t xml:space="preserve">Изделия бисерные </t>
  </si>
  <si>
    <t xml:space="preserve">Изделия бронзовые галантерейные </t>
  </si>
  <si>
    <t xml:space="preserve">Изделия галантерейные из всяких материалов </t>
  </si>
  <si>
    <t xml:space="preserve">Изделия из стекляруса </t>
  </si>
  <si>
    <t xml:space="preserve">Изделия из янтаря </t>
  </si>
  <si>
    <t xml:space="preserve">Изделия карболитовые галантерейные </t>
  </si>
  <si>
    <t xml:space="preserve">Изделия костяные, роговые </t>
  </si>
  <si>
    <t xml:space="preserve">Изделия мишурные </t>
  </si>
  <si>
    <t xml:space="preserve">Изделия перламутровые и ракушечные </t>
  </si>
  <si>
    <t xml:space="preserve">Изделия позументные </t>
  </si>
  <si>
    <t xml:space="preserve">Изделия серебряные, не поименованные в алфавите </t>
  </si>
  <si>
    <t xml:space="preserve">Изделия гардинно-тюлевые </t>
  </si>
  <si>
    <t xml:space="preserve">Изделия хрустальные галантерейные </t>
  </si>
  <si>
    <t xml:space="preserve">Изделия художественной ручной вышивки </t>
  </si>
  <si>
    <t>Изделия художественных промыслов (ложки, доски и др.), не поименованные в алфавите</t>
  </si>
  <si>
    <t xml:space="preserve">Изделия черепаховые </t>
  </si>
  <si>
    <t>Изделия ювелирной промышленности, не поименованные в алфавите</t>
  </si>
  <si>
    <t xml:space="preserve">Камни искусственные ювелирные </t>
  </si>
  <si>
    <t xml:space="preserve">Кость поделочная моржовая и слоновая </t>
  </si>
  <si>
    <t xml:space="preserve">Лезвия для безопасных бритв </t>
  </si>
  <si>
    <t xml:space="preserve">Машинки парикмахерские для стрижки волос </t>
  </si>
  <si>
    <t xml:space="preserve">Мыльницы </t>
  </si>
  <si>
    <t xml:space="preserve">Несессеры </t>
  </si>
  <si>
    <t xml:space="preserve">Перчатки, кроме трикотажных и резиновых </t>
  </si>
  <si>
    <t xml:space="preserve">Полотно гардинное </t>
  </si>
  <si>
    <t xml:space="preserve">Портфели, ранцы </t>
  </si>
  <si>
    <t xml:space="preserve">Саквояжи </t>
  </si>
  <si>
    <t xml:space="preserve">Статуэтки гипсовые, фарфоровые и др. </t>
  </si>
  <si>
    <t xml:space="preserve">Сумки </t>
  </si>
  <si>
    <t xml:space="preserve">Термосы </t>
  </si>
  <si>
    <t xml:space="preserve">Трости </t>
  </si>
  <si>
    <t xml:space="preserve">Трубки курительные </t>
  </si>
  <si>
    <t xml:space="preserve">Полотно тюлевое </t>
  </si>
  <si>
    <t xml:space="preserve">Цветы искусственные </t>
  </si>
  <si>
    <t xml:space="preserve">Чемоданы </t>
  </si>
  <si>
    <t xml:space="preserve">Щетки бытовые (головные, зубные и т.д.) </t>
  </si>
  <si>
    <t>Продукция кожевенной, меховой и обувной промышленности (включая обувь резиновую)</t>
  </si>
  <si>
    <t xml:space="preserve">Меха, кожи и шкуры выделанные </t>
  </si>
  <si>
    <t xml:space="preserve">Замша, кроме искусственной </t>
  </si>
  <si>
    <t xml:space="preserve">Каракуль выделанный </t>
  </si>
  <si>
    <t xml:space="preserve">Кожа подошвенная, кроме искусственной </t>
  </si>
  <si>
    <t xml:space="preserve">Кожа юфтевая (юфть) </t>
  </si>
  <si>
    <t xml:space="preserve">Кожи выделанные, не поименованные в алфавите </t>
  </si>
  <si>
    <t xml:space="preserve">Меха и изделия меховые, не поименованные в алфавите </t>
  </si>
  <si>
    <t xml:space="preserve">Мерлушки выделанные </t>
  </si>
  <si>
    <t xml:space="preserve">Меха (шкуры и шкурки) морского зверя выделанные </t>
  </si>
  <si>
    <t>Меха (шкуры и шкурки) пушных зверей выделанные, не поименованные в алфавите</t>
  </si>
  <si>
    <t xml:space="preserve">Обрезки меховые, не поименованные в алфавите </t>
  </si>
  <si>
    <t xml:space="preserve">Овчины выделанные, не поименованные в алфавите </t>
  </si>
  <si>
    <t xml:space="preserve">Опоек меховой </t>
  </si>
  <si>
    <t xml:space="preserve">Пластины подошвенные кожаные </t>
  </si>
  <si>
    <t xml:space="preserve">Смушки (шкурки овечьи) выделанные </t>
  </si>
  <si>
    <t xml:space="preserve">Шкуры домашних животных меховые выделанные </t>
  </si>
  <si>
    <t xml:space="preserve">Шкуры рыб выделанные </t>
  </si>
  <si>
    <t xml:space="preserve">Кожа искусственная </t>
  </si>
  <si>
    <t xml:space="preserve">Ворсит (кожа искусственная) </t>
  </si>
  <si>
    <t xml:space="preserve">Гранитоль, кроме бумажного </t>
  </si>
  <si>
    <t xml:space="preserve">Дерматин </t>
  </si>
  <si>
    <t xml:space="preserve">Заменители шорно-седельные </t>
  </si>
  <si>
    <t xml:space="preserve">Замша искусственная </t>
  </si>
  <si>
    <t xml:space="preserve">Кирза (обувная и шорно-седельная) </t>
  </si>
  <si>
    <t xml:space="preserve">Кожа искусственная, не поименованная в алфавите </t>
  </si>
  <si>
    <t xml:space="preserve">Пласткожа </t>
  </si>
  <si>
    <t xml:space="preserve">Текстовинит </t>
  </si>
  <si>
    <t xml:space="preserve">Изделия из кожи, волоса, щетины, кроме галантерейных </t>
  </si>
  <si>
    <t xml:space="preserve">Бурдюки </t>
  </si>
  <si>
    <t xml:space="preserve">Заготовки кожаные </t>
  </si>
  <si>
    <t xml:space="preserve">Изделия замшевые, не поименованные в алфавите </t>
  </si>
  <si>
    <t xml:space="preserve">Изделия из волоса плетеные и тканые </t>
  </si>
  <si>
    <t xml:space="preserve">Изделия щетинно-щеточные </t>
  </si>
  <si>
    <t xml:space="preserve">Изделия кожаные новые, кроме обуви, одежды и галантереи </t>
  </si>
  <si>
    <t xml:space="preserve">Изделия шорно-седельные </t>
  </si>
  <si>
    <t xml:space="preserve">Кисти, не поименованные в алфавите </t>
  </si>
  <si>
    <t xml:space="preserve">Кисти технические </t>
  </si>
  <si>
    <t xml:space="preserve">Мешки кожаные </t>
  </si>
  <si>
    <t xml:space="preserve">Подошвы из кожи (в том числе из искусственной) </t>
  </si>
  <si>
    <t xml:space="preserve">Покрышки (кожухи) кожаные </t>
  </si>
  <si>
    <t xml:space="preserve">Ремни кожаные </t>
  </si>
  <si>
    <t xml:space="preserve">Седла кожаные </t>
  </si>
  <si>
    <t xml:space="preserve">Упряжь </t>
  </si>
  <si>
    <t xml:space="preserve">Чехлы кожаные </t>
  </si>
  <si>
    <t xml:space="preserve">Щетки технические </t>
  </si>
  <si>
    <t xml:space="preserve">Обувь </t>
  </si>
  <si>
    <t xml:space="preserve">Галоши резиновые новые </t>
  </si>
  <si>
    <t xml:space="preserve">Заготовки фетровые </t>
  </si>
  <si>
    <t xml:space="preserve">Каблуки всякие </t>
  </si>
  <si>
    <t xml:space="preserve">Обувь валяная </t>
  </si>
  <si>
    <t xml:space="preserve">Обувь кожаная </t>
  </si>
  <si>
    <t>Обувь комбинированная с верхом из текстильных материалов, войлока, фетра и кожи</t>
  </si>
  <si>
    <t xml:space="preserve">Обувь, не поименованная в алфавите </t>
  </si>
  <si>
    <t xml:space="preserve">Обувь резиновая, не поименованная в алфавите </t>
  </si>
  <si>
    <t xml:space="preserve">Обувь с верхом из синтетических и искусственных кож </t>
  </si>
  <si>
    <t>Изделия из стекла, фарфора и фаянса, кроме сантехоборудования из полуфарфора и фаянса</t>
  </si>
  <si>
    <t>Посуда и другие изделия стеклянные, фарфоровые, фаянсовые и из керамики</t>
  </si>
  <si>
    <t xml:space="preserve">Буйки стеклянные </t>
  </si>
  <si>
    <t xml:space="preserve">Бутылки фарфоровые </t>
  </si>
  <si>
    <t xml:space="preserve">Воронки стеклянные и фарфоровые </t>
  </si>
  <si>
    <t xml:space="preserve">Изделия глиняные и керамические </t>
  </si>
  <si>
    <t xml:space="preserve">Изделия из стекле кварцевого </t>
  </si>
  <si>
    <t xml:space="preserve">Изделия майоликовые </t>
  </si>
  <si>
    <t xml:space="preserve">Изделия стеклянные, не поименованные в алфавите </t>
  </si>
  <si>
    <t xml:space="preserve">Изделия фарфоровые, не поименованные в алфавите </t>
  </si>
  <si>
    <t xml:space="preserve">Изделия фаянсовые, не поименованные в алфавите </t>
  </si>
  <si>
    <t xml:space="preserve">Изделия хрустальные, не поименованные в алфавита </t>
  </si>
  <si>
    <t>Изделия стеклянные и фарфоровые для электротехники, не поименованные в алфавите</t>
  </si>
  <si>
    <t xml:space="preserve">Изоляторы стеклянные и фарфоровые </t>
  </si>
  <si>
    <t xml:space="preserve">Колбы стеклянные всякие </t>
  </si>
  <si>
    <t xml:space="preserve">Лампы стеклянные, фарфоровые, кроме электрических </t>
  </si>
  <si>
    <t>Изделия из стекла для комплектации электроосветительной арматуры</t>
  </si>
  <si>
    <t xml:space="preserve">Пластины фотографические стеклянные </t>
  </si>
  <si>
    <t xml:space="preserve">Плафоны стеклянные </t>
  </si>
  <si>
    <t xml:space="preserve">Посуда лабораторная </t>
  </si>
  <si>
    <t xml:space="preserve">Посуда медицинская </t>
  </si>
  <si>
    <t xml:space="preserve">Посуда стеклянная, фарфоровая, фаянсовая, хрустальная всякая, не поименованная в алфавите </t>
  </si>
  <si>
    <t xml:space="preserve">Резервуары ламповые стеклянные и фарфоровые </t>
  </si>
  <si>
    <t xml:space="preserve">Реторты глиняные, стеклянные, терракотовые и шамотные </t>
  </si>
  <si>
    <t>Ролики стеклянные и фарфоровые изоляционные для электротехники</t>
  </si>
  <si>
    <t xml:space="preserve">Сервизы столовые и чайные </t>
  </si>
  <si>
    <t xml:space="preserve">Сифоны стеклянные для газированных вод </t>
  </si>
  <si>
    <t xml:space="preserve">Стекла водомерные </t>
  </si>
  <si>
    <t xml:space="preserve">Стекла ламповые </t>
  </si>
  <si>
    <t xml:space="preserve">Трубки стеклянные (дрот медицинский) </t>
  </si>
  <si>
    <t xml:space="preserve">Урны для пепла покойников </t>
  </si>
  <si>
    <t xml:space="preserve">Шары стеклянные </t>
  </si>
  <si>
    <t xml:space="preserve">Тара стеклянная </t>
  </si>
  <si>
    <t xml:space="preserve">Банки стеклянные новые </t>
  </si>
  <si>
    <t xml:space="preserve">Бутыли стеклянные </t>
  </si>
  <si>
    <t xml:space="preserve">Бутылки стеклянные емкостью 0,25 л </t>
  </si>
  <si>
    <t xml:space="preserve">Бутылки стеклянные емкостью 0,5 л </t>
  </si>
  <si>
    <t xml:space="preserve">Бутылки стеклянные импортные возвратные </t>
  </si>
  <si>
    <t xml:space="preserve">Бутылки стеклянные пивные емкостью 0,5 л </t>
  </si>
  <si>
    <t xml:space="preserve">Посуда стеклянная возвратная винная </t>
  </si>
  <si>
    <t>Тара стеклянная возвратная (в том числе банки, бутылки и др.), не поименованная в алфавите</t>
  </si>
  <si>
    <t xml:space="preserve">Тара стеклянная новая, не поименованная в алфавите </t>
  </si>
  <si>
    <t xml:space="preserve">Продукция полиграфической промышленности </t>
  </si>
  <si>
    <t>Книги, брошюры, газеты, журналы и прочая продукция печатная</t>
  </si>
  <si>
    <t xml:space="preserve">Атласы географические </t>
  </si>
  <si>
    <t xml:space="preserve">Афиши </t>
  </si>
  <si>
    <t xml:space="preserve">Бланки канцелярские и почтовые </t>
  </si>
  <si>
    <t xml:space="preserve">Газеты </t>
  </si>
  <si>
    <t xml:space="preserve">Гравюры всякие </t>
  </si>
  <si>
    <t xml:space="preserve">Журналы новые </t>
  </si>
  <si>
    <t xml:space="preserve">Изделия полиграфические, не поименованные в алфавите </t>
  </si>
  <si>
    <t xml:space="preserve">Картины в рамках и без рам </t>
  </si>
  <si>
    <t xml:space="preserve">Карты географические </t>
  </si>
  <si>
    <t xml:space="preserve">Книги копировальные и брошюры печатные </t>
  </si>
  <si>
    <t xml:space="preserve">Литографии в рамах и без рам </t>
  </si>
  <si>
    <t xml:space="preserve">Мишени бумажные </t>
  </si>
  <si>
    <t xml:space="preserve">Ноты </t>
  </si>
  <si>
    <t xml:space="preserve">Олеографии в рамах и без рам </t>
  </si>
  <si>
    <t xml:space="preserve">Плакаты </t>
  </si>
  <si>
    <t xml:space="preserve">Портреты в рамах и без рам </t>
  </si>
  <si>
    <t xml:space="preserve">Пособия учебные наглядные печатные </t>
  </si>
  <si>
    <t>Продукция печатная и полиграфическая, не поименованная в алфавите</t>
  </si>
  <si>
    <t xml:space="preserve">Рисунки всякие в рамах и без рам </t>
  </si>
  <si>
    <t xml:space="preserve">Эстампы в рамах и без рам </t>
  </si>
  <si>
    <t xml:space="preserve">Этикетки и ярлыки бумажные печатные </t>
  </si>
  <si>
    <t xml:space="preserve">Прочая продукция легкой промышленности </t>
  </si>
  <si>
    <t xml:space="preserve">Инструменты музыкальные </t>
  </si>
  <si>
    <t xml:space="preserve">Автоматы музыкальные </t>
  </si>
  <si>
    <t xml:space="preserve">Грампластинки </t>
  </si>
  <si>
    <t>Запасные части и принадлежности для музыкальных инструментов</t>
  </si>
  <si>
    <t xml:space="preserve">Инструменты духовые </t>
  </si>
  <si>
    <t xml:space="preserve">Инструменты музыкальные, не поименованные в алфавите </t>
  </si>
  <si>
    <t xml:space="preserve">Инструменты струнные клавишные (пианино, рояли и др.) </t>
  </si>
  <si>
    <t>Инструменты струнные смычковые (скрипки, контрабасы и др.)</t>
  </si>
  <si>
    <t xml:space="preserve">Инструменты струнные щипковые (гитары, балалайки и др.) </t>
  </si>
  <si>
    <t xml:space="preserve">Инструменты ударные (барабаны и др.) </t>
  </si>
  <si>
    <t xml:space="preserve">Инструменты электромузыкальные </t>
  </si>
  <si>
    <t xml:space="preserve">Инструменты язычковые (аккордеоны, гармонии и др.) </t>
  </si>
  <si>
    <t xml:space="preserve">Части и принадлежности для музыкальных инструментов </t>
  </si>
  <si>
    <t xml:space="preserve">Инвентарь спортивный, охотничий и театральный </t>
  </si>
  <si>
    <t xml:space="preserve">Акваланги </t>
  </si>
  <si>
    <t>Бутафория прочая (декорации театральные, инвентарь театральный, реквизит театральный)</t>
  </si>
  <si>
    <t xml:space="preserve">Гамаки </t>
  </si>
  <si>
    <t xml:space="preserve">Гантели спортивные </t>
  </si>
  <si>
    <t xml:space="preserve">Диски для метания </t>
  </si>
  <si>
    <t xml:space="preserve">Инвентарь для спортивных игр, не поименованный в алфавите </t>
  </si>
  <si>
    <t xml:space="preserve">Капсюли для охотничьих патронов </t>
  </si>
  <si>
    <t xml:space="preserve">Карусели </t>
  </si>
  <si>
    <t xml:space="preserve">Клюшки хоккейные </t>
  </si>
  <si>
    <t xml:space="preserve">Комплекты спортивные, не поименованные в алфавите </t>
  </si>
  <si>
    <t xml:space="preserve">Коньки и принадлежности к ним </t>
  </si>
  <si>
    <t xml:space="preserve">Круги спасательные </t>
  </si>
  <si>
    <t xml:space="preserve">Крючки рыболовные </t>
  </si>
  <si>
    <t xml:space="preserve">Ласты </t>
  </si>
  <si>
    <t xml:space="preserve">Лыжи </t>
  </si>
  <si>
    <t xml:space="preserve">Мазь лыжная </t>
  </si>
  <si>
    <t xml:space="preserve">Манекены </t>
  </si>
  <si>
    <t xml:space="preserve">Маты спортивные </t>
  </si>
  <si>
    <t xml:space="preserve">Мячи кожаные и резиновые </t>
  </si>
  <si>
    <t xml:space="preserve">Насосы футбольные </t>
  </si>
  <si>
    <t xml:space="preserve">Оборудование, инвентарь театральный и цирковой </t>
  </si>
  <si>
    <t xml:space="preserve">Палки лыжные </t>
  </si>
  <si>
    <t xml:space="preserve">Парашюты </t>
  </si>
  <si>
    <t xml:space="preserve">Патронташи и сумки охотничьи </t>
  </si>
  <si>
    <t xml:space="preserve">Патроны малокалиберные </t>
  </si>
  <si>
    <t xml:space="preserve">Покрышки для спортивных мячей </t>
  </si>
  <si>
    <t xml:space="preserve">Пояса спасательные </t>
  </si>
  <si>
    <t>Принадлежности охотничьи и рыболовные, не поименованные в алфавите</t>
  </si>
  <si>
    <t xml:space="preserve">Противогазы </t>
  </si>
  <si>
    <t xml:space="preserve">Пыжи ружейные </t>
  </si>
  <si>
    <t xml:space="preserve">Ракетки теннисные </t>
  </si>
  <si>
    <t xml:space="preserve">Ружья охотничьи </t>
  </si>
  <si>
    <t xml:space="preserve">Рупоры </t>
  </si>
  <si>
    <t xml:space="preserve">Рюкзаки </t>
  </si>
  <si>
    <t xml:space="preserve">Садки для животных и птиц всякие </t>
  </si>
  <si>
    <t xml:space="preserve">Сети (неводы) рыболовные всякие </t>
  </si>
  <si>
    <t xml:space="preserve">Сети охотничьи (тенета) </t>
  </si>
  <si>
    <t xml:space="preserve">Сетки спортивные </t>
  </si>
  <si>
    <t xml:space="preserve">Снасти рыболовные, не поименованные в алфавите </t>
  </si>
  <si>
    <t xml:space="preserve">Спиннинги </t>
  </si>
  <si>
    <t xml:space="preserve">Стенды для экспонатов, выставок, диаграмм и т.д. </t>
  </si>
  <si>
    <t xml:space="preserve">Турники </t>
  </si>
  <si>
    <t xml:space="preserve">Удочки рыболовные </t>
  </si>
  <si>
    <t xml:space="preserve">Чучела птиц и животных </t>
  </si>
  <si>
    <t xml:space="preserve">Штанги гимнастические </t>
  </si>
  <si>
    <t>Игры и игрушки, наглядные учебные пособия, кроме печатных</t>
  </si>
  <si>
    <t xml:space="preserve">Автоматы игровые </t>
  </si>
  <si>
    <t xml:space="preserve">Автомобили детские педальные </t>
  </si>
  <si>
    <t xml:space="preserve">Велосипеды детские </t>
  </si>
  <si>
    <t xml:space="preserve">Глобусы </t>
  </si>
  <si>
    <t xml:space="preserve">Доски классные </t>
  </si>
  <si>
    <t xml:space="preserve">Игрушки и игры всякие </t>
  </si>
  <si>
    <t xml:space="preserve">Карты игральные </t>
  </si>
  <si>
    <t xml:space="preserve">Коллекции по ботанике, зоологии, минералогии и др. </t>
  </si>
  <si>
    <t xml:space="preserve">Куклы </t>
  </si>
  <si>
    <t>Пособия учебные наглядные в виде моделей аппаратов, машин, приборов и др.</t>
  </si>
  <si>
    <t xml:space="preserve">Санки детские </t>
  </si>
  <si>
    <t xml:space="preserve">Принадлежности школьно-письменные и канцелярские </t>
  </si>
  <si>
    <t xml:space="preserve">Альбомы </t>
  </si>
  <si>
    <t xml:space="preserve">Готовальни чертежные </t>
  </si>
  <si>
    <t xml:space="preserve">Доски чертежные </t>
  </si>
  <si>
    <t xml:space="preserve">Карандаши всякие </t>
  </si>
  <si>
    <t xml:space="preserve">Книги конторские новые </t>
  </si>
  <si>
    <t xml:space="preserve">Кнопки, скрепки, булавки канцелярские </t>
  </si>
  <si>
    <t xml:space="preserve">Перья стальные </t>
  </si>
  <si>
    <t xml:space="preserve">Пластилин </t>
  </si>
  <si>
    <t>Принадлежности школьно-письменные и канцелярские, не поименованные в алфавите</t>
  </si>
  <si>
    <t xml:space="preserve">Ручки автоматические (авторучки) </t>
  </si>
  <si>
    <t xml:space="preserve">Счеты конторские и школьные </t>
  </si>
  <si>
    <t xml:space="preserve">Тетради ученические </t>
  </si>
  <si>
    <t xml:space="preserve">Тушь </t>
  </si>
  <si>
    <t xml:space="preserve">Чернила </t>
  </si>
  <si>
    <t>Изделия из камыша, лозы, лыка, мочала (в т.ч. мебель плетеная)</t>
  </si>
  <si>
    <t xml:space="preserve">Веники и метлы </t>
  </si>
  <si>
    <t xml:space="preserve">Верши рыболовные </t>
  </si>
  <si>
    <t xml:space="preserve">Изделия из коры и кроны, не поименованные в алфавите </t>
  </si>
  <si>
    <t xml:space="preserve">Изделия из лыка, не поименованные в алфавите </t>
  </si>
  <si>
    <t xml:space="preserve">Изделия из мочала, не поименованные в алфавите </t>
  </si>
  <si>
    <t xml:space="preserve">Изделия из травы (в том числе из тростника) </t>
  </si>
  <si>
    <t xml:space="preserve">Ковры камышовые, кокосовые, соломенные и травяные </t>
  </si>
  <si>
    <t xml:space="preserve">Корзинки и корзины лозовые </t>
  </si>
  <si>
    <t xml:space="preserve">Коробки лубочные </t>
  </si>
  <si>
    <t xml:space="preserve">Кули мочальные (рогожные) </t>
  </si>
  <si>
    <t xml:space="preserve">Люфа </t>
  </si>
  <si>
    <t xml:space="preserve">Маты из растительных материалов, в том числе соломенные </t>
  </si>
  <si>
    <t xml:space="preserve">Мебель плетеная и гнутая из камыша и лозы </t>
  </si>
  <si>
    <t xml:space="preserve">Рогожи </t>
  </si>
  <si>
    <t xml:space="preserve">Циновки </t>
  </si>
  <si>
    <t xml:space="preserve">Раздел 11. Прочие грузы </t>
  </si>
  <si>
    <t xml:space="preserve">Остальные грузы </t>
  </si>
  <si>
    <t xml:space="preserve">Домашние вещи </t>
  </si>
  <si>
    <t xml:space="preserve">Утиль-сырье </t>
  </si>
  <si>
    <t xml:space="preserve">Автокамеры (камеры автомобильные) резиновые старые </t>
  </si>
  <si>
    <t xml:space="preserve">Автопокрышки (покрышки автомобильные) резиновые старые </t>
  </si>
  <si>
    <t xml:space="preserve">Брак и отходы бумажные </t>
  </si>
  <si>
    <t xml:space="preserve">Велокамеры (камеры велосипедные) резиновые старые </t>
  </si>
  <si>
    <t xml:space="preserve">Велопокрышки (покрышки велосипедные) резиновые старые </t>
  </si>
  <si>
    <t xml:space="preserve">Ветошь (тряпье) </t>
  </si>
  <si>
    <t xml:space="preserve">Изделия гуттаперчевые старые </t>
  </si>
  <si>
    <t xml:space="preserve">Изделия каучуковые старые </t>
  </si>
  <si>
    <t xml:space="preserve">Изделия кожаные старые </t>
  </si>
  <si>
    <t xml:space="preserve">Изделия резиновые старые </t>
  </si>
  <si>
    <t xml:space="preserve">Книги конторские старые </t>
  </si>
  <si>
    <t xml:space="preserve">Крошка резиновая </t>
  </si>
  <si>
    <t xml:space="preserve">Лоскут кожаный выделанный </t>
  </si>
  <si>
    <t xml:space="preserve">Макулатура </t>
  </si>
  <si>
    <t xml:space="preserve">Обрезки гуттаперчевые </t>
  </si>
  <si>
    <t xml:space="preserve">Обрезки картона </t>
  </si>
  <si>
    <t xml:space="preserve">Обрезки каучуковые </t>
  </si>
  <si>
    <t xml:space="preserve">Обрезки кож (шкур), не годные к употреблению </t>
  </si>
  <si>
    <t xml:space="preserve">Обрезки овчинные </t>
  </si>
  <si>
    <t xml:space="preserve">Остатки от резинового производства </t>
  </si>
  <si>
    <t xml:space="preserve">Остатки прядильного производства промасленные </t>
  </si>
  <si>
    <t xml:space="preserve">Отходы трикотажные </t>
  </si>
  <si>
    <t xml:space="preserve">Отходы целлюлозные </t>
  </si>
  <si>
    <t>Покрышки автобусные, мотоциклетные, троллейбусные и другие резиновые старые</t>
  </si>
  <si>
    <t xml:space="preserve">Регенерат резины </t>
  </si>
  <si>
    <t xml:space="preserve">Прокладки картонные старые </t>
  </si>
  <si>
    <t xml:space="preserve">Утиль-сырье, не поименованное в алфавите </t>
  </si>
  <si>
    <t>Грузы, не входящие ни в одну из указанных выше групп и позиций ЕТСНГ, а также грузы, для которых не установлено отдельных тарифов</t>
  </si>
  <si>
    <t xml:space="preserve">Вещества радиоактивные </t>
  </si>
  <si>
    <t xml:space="preserve">Гробы с телами умерших </t>
  </si>
  <si>
    <t xml:space="preserve">Земля огородная и садовая </t>
  </si>
  <si>
    <t xml:space="preserve">Контейнеры специальные грузовладельца </t>
  </si>
  <si>
    <t xml:space="preserve">Контейнеры универсальные МПС в ремонт и из ремонта </t>
  </si>
  <si>
    <t xml:space="preserve">Прочие грузы, не поименованные в алфавите </t>
  </si>
  <si>
    <t>Снаряжание экспедиционное (имущество, инвентарь раздаточных, изыскательских, научных партий и экспедиций)</t>
  </si>
  <si>
    <t xml:space="preserve">Повозки деревянные всякие </t>
  </si>
  <si>
    <t xml:space="preserve">Термоспички 1331 </t>
  </si>
  <si>
    <t xml:space="preserve">Урны с пеплом умерших </t>
  </si>
  <si>
    <t xml:space="preserve">Шашки термитно-муфельные </t>
  </si>
  <si>
    <t>Раздел 12. Продукция органической химии</t>
  </si>
  <si>
    <t>Углеводороды и их производные</t>
  </si>
  <si>
    <t>Антрацен</t>
  </si>
  <si>
    <t>Ацетилен (этин) растворенный</t>
  </si>
  <si>
    <t>Бензол</t>
  </si>
  <si>
    <t>Бензольная головка</t>
  </si>
  <si>
    <t>Бентол (фракция бензол-угольная)</t>
  </si>
  <si>
    <t>Бутилбензол</t>
  </si>
  <si>
    <t>Бутилен (Бутен-1)</t>
  </si>
  <si>
    <t>Винилбензол (стирол) ингибированный</t>
  </si>
  <si>
    <t>Гексен-1</t>
  </si>
  <si>
    <t>Гептан</t>
  </si>
  <si>
    <t>Дивинилбензол ингибированный</t>
  </si>
  <si>
    <t>Диизобутилен</t>
  </si>
  <si>
    <t>Дипентен</t>
  </si>
  <si>
    <t>Дитолилметан</t>
  </si>
  <si>
    <t>Дифенилпропан</t>
  </si>
  <si>
    <t>Дициклопентадиен</t>
  </si>
  <si>
    <t>1,4-Диэтилбензол</t>
  </si>
  <si>
    <t>Додекан (дигексил)</t>
  </si>
  <si>
    <t>Изоамилены</t>
  </si>
  <si>
    <t>Изобутилен (1-Метилпропен)</t>
  </si>
  <si>
    <t>Изооктан</t>
  </si>
  <si>
    <t>Изопентан ингибированный</t>
  </si>
  <si>
    <t>Изопропен (2-Метилбутадиен 1,3)ингибированный</t>
  </si>
  <si>
    <t>Изопропенилбензол (Альфа-метилстирол)</t>
  </si>
  <si>
    <t>Изопропилбензол (кумол)</t>
  </si>
  <si>
    <t>Ксилол (орто-, мета-, пара-)</t>
  </si>
  <si>
    <t>Мезителен</t>
  </si>
  <si>
    <t>Метилбензол (толуол)</t>
  </si>
  <si>
    <t>Метилвинилпиридин</t>
  </si>
  <si>
    <t>2-Метилнафталин (Бета-метилнафталин)), технический</t>
  </si>
  <si>
    <t>Нафталин</t>
  </si>
  <si>
    <t>Пентан</t>
  </si>
  <si>
    <t>Пиперилен</t>
  </si>
  <si>
    <t>Пирен</t>
  </si>
  <si>
    <t>Пиридин</t>
  </si>
  <si>
    <t>Н-Пропилбензол</t>
  </si>
  <si>
    <t>Пропилен (пропен)</t>
  </si>
  <si>
    <t>Псевдобутилен</t>
  </si>
  <si>
    <t>Псевдокумол</t>
  </si>
  <si>
    <t>Тетралин</t>
  </si>
  <si>
    <t>Тетрамеры пропилена</t>
  </si>
  <si>
    <t>Тримеры пропилена</t>
  </si>
  <si>
    <t>Триэтилбензол-1,2,3</t>
  </si>
  <si>
    <t>Углеводороды легкие</t>
  </si>
  <si>
    <t>Углеводороды тяжелые</t>
  </si>
  <si>
    <t>Фракции альфа-олефинов С16-С18, С20-С26</t>
  </si>
  <si>
    <t>Фракции альфа-олефинов С10-С12</t>
  </si>
  <si>
    <t>Фракции альфа-олефинов С8, С8-С10, С10</t>
  </si>
  <si>
    <t>Фракция альфа-олефинов С12-С14</t>
  </si>
  <si>
    <t>Фракция альфаметилстирольная</t>
  </si>
  <si>
    <t>Фракции антраценовые</t>
  </si>
  <si>
    <t>Фракции ароматических углеводородов, не поименованые в алфавите</t>
  </si>
  <si>
    <t>Фракции бензольные</t>
  </si>
  <si>
    <t>Фракция бета-пиколиновая</t>
  </si>
  <si>
    <t>Фракция бутилен-дивиниловая</t>
  </si>
  <si>
    <t>Фракция ксилольная</t>
  </si>
  <si>
    <t>Фракция метилдигидропирановая (тетран)</t>
  </si>
  <si>
    <t>Фракция метилнафталиновая (фракция 1- и 2-метилнафталиновая)</t>
  </si>
  <si>
    <t>Фракция метилнафталиновая узкая</t>
  </si>
  <si>
    <t>Фракция параксилольная</t>
  </si>
  <si>
    <t>Фракция пиколиновая</t>
  </si>
  <si>
    <t>Фракция этилбензольная</t>
  </si>
  <si>
    <t>Фурфурол</t>
  </si>
  <si>
    <t>Циклогексан (гексаметилен)</t>
  </si>
  <si>
    <t>Циклододекан</t>
  </si>
  <si>
    <t>Этилбензол</t>
  </si>
  <si>
    <t>Галогенопроизводные углеводородов</t>
  </si>
  <si>
    <t>Аллилхлорид (аллил хлористый)</t>
  </si>
  <si>
    <t>Бензилхлорид (бензил хлористый)</t>
  </si>
  <si>
    <t>Бензоилхлорид (бензоил хлористый)</t>
  </si>
  <si>
    <t>Бензотрифторид</t>
  </si>
  <si>
    <t>Бензотрихлорид</t>
  </si>
  <si>
    <t>Бромбутан</t>
  </si>
  <si>
    <t>1-Бром-3-хлорпропан</t>
  </si>
  <si>
    <t>Бутил хлористый (1-Хлорбутан)</t>
  </si>
  <si>
    <t>Винил хлористый (винилхлорид) ингибированный</t>
  </si>
  <si>
    <t>Винилиденфторид (виниледен фтористый, 1,1-дифторэтилен)</t>
  </si>
  <si>
    <t>Винилиденхлорид ингибированный</t>
  </si>
  <si>
    <t>Гексахлорбензол</t>
  </si>
  <si>
    <t>Гексахлорциклогексан</t>
  </si>
  <si>
    <t>Гексахлорциклопентадиен</t>
  </si>
  <si>
    <t>Гексахлорэтан</t>
  </si>
  <si>
    <t>Дибромтрихлорпропан</t>
  </si>
  <si>
    <t>Дибромпропан-1,2</t>
  </si>
  <si>
    <t>1,2-дибромэтан (этилендибромид)</t>
  </si>
  <si>
    <t>Дихлорпропан</t>
  </si>
  <si>
    <t>1,2-Дихлорбензол</t>
  </si>
  <si>
    <t>1,4-Дихлорбензол</t>
  </si>
  <si>
    <t>1,2-Дихлорэтан</t>
  </si>
  <si>
    <t>1,2-Дихлорэтилен</t>
  </si>
  <si>
    <t>Метил бромистый (бромметан, метилбромид)</t>
  </si>
  <si>
    <t>Метил хлористый (монохлорметан, метилхлорид)</t>
  </si>
  <si>
    <t>Метилаллилхлорид</t>
  </si>
  <si>
    <t>Метиленхлорид (дихлорметан)</t>
  </si>
  <si>
    <t>Пентахлорэтан</t>
  </si>
  <si>
    <t>Перхлорэтилен технический</t>
  </si>
  <si>
    <t>Полихлориды бензола</t>
  </si>
  <si>
    <t>Тетрабромэтан</t>
  </si>
  <si>
    <t>Тетрафторметан</t>
  </si>
  <si>
    <t>Тетрафторэтилен ингибированный</t>
  </si>
  <si>
    <t>Тетрахлорбензол</t>
  </si>
  <si>
    <t>Тетрахлорпентан</t>
  </si>
  <si>
    <t>Тетрахлорпропан</t>
  </si>
  <si>
    <t>Тетрахлорэтан</t>
  </si>
  <si>
    <t>Тетрахлорэтилен</t>
  </si>
  <si>
    <t>Трихлордифенил</t>
  </si>
  <si>
    <t>Трифтортрихлорэтан (хладон-113)</t>
  </si>
  <si>
    <t>Трифторхлорэтилен ингибированный</t>
  </si>
  <si>
    <t>Трихлорпропан-1,2,3</t>
  </si>
  <si>
    <t>Трихлортрифторэтан</t>
  </si>
  <si>
    <t>Трихлорэтан</t>
  </si>
  <si>
    <t>Трихлорэтилен</t>
  </si>
  <si>
    <t>Углерод четырехбромистый (тетрабромид углерода)</t>
  </si>
  <si>
    <t>Углерод четыреххлористый (углерода тетрахлорид)</t>
  </si>
  <si>
    <t>Хладон-11 (фтортрихлорметан)</t>
  </si>
  <si>
    <t>Хладон-12 (дифтордихлорметан)</t>
  </si>
  <si>
    <t>Хладон-612</t>
  </si>
  <si>
    <t>Хладоны, не поименованные в алфавите</t>
  </si>
  <si>
    <t>Хлорнафталин</t>
  </si>
  <si>
    <t>Хлороформ (трихлорметан)</t>
  </si>
  <si>
    <t>Хлороформ медицинский</t>
  </si>
  <si>
    <t>Хлортолуол (пара-,орто-)</t>
  </si>
  <si>
    <t>Хлорэтил</t>
  </si>
  <si>
    <t>Этиленхлорид</t>
  </si>
  <si>
    <t>Этил бромистый (бромхлорид, этилбромид)</t>
  </si>
  <si>
    <t>Этилхлорид (хлорэтан, монохлорэтан)</t>
  </si>
  <si>
    <t>Антизоилхлорид (антизоил хлористый)</t>
  </si>
  <si>
    <t>ПРОИЗВОДНЫЕ УГЛЕВОДОРОДОВ ПРОЧИЕ</t>
  </si>
  <si>
    <t>Дифенилметандиизоцетат</t>
  </si>
  <si>
    <t>Изомеры циклододекатриена</t>
  </si>
  <si>
    <t>Камфен технический</t>
  </si>
  <si>
    <t>Капролактам</t>
  </si>
  <si>
    <t>Композиции изоцианатные (суризоны)</t>
  </si>
  <si>
    <t>Метилтетрагидрофуран</t>
  </si>
  <si>
    <t>Основания пиридиновые легкие</t>
  </si>
  <si>
    <t>Основания пиридиновые тяжелые</t>
  </si>
  <si>
    <t>Полиизоцианаты</t>
  </si>
  <si>
    <t>Производные углеводородов, не поименованные в алфовите</t>
  </si>
  <si>
    <t>Тетрагидрофуран</t>
  </si>
  <si>
    <t>Толуилендиизоционат</t>
  </si>
  <si>
    <t>Фенилгидразин</t>
  </si>
  <si>
    <t>Фенилксилилэтан</t>
  </si>
  <si>
    <t>Фенилметилуретан</t>
  </si>
  <si>
    <t>Хлорциан стабилизированный</t>
  </si>
  <si>
    <t>КИСЛОРОДОСОДЕРЖАЩИЕ ОРГАНИЧЕСКИЕ СОЕДИНЕНИЯ</t>
  </si>
  <si>
    <t>Спирты и их производные</t>
  </si>
  <si>
    <t>Антифризы этиленгликолевые</t>
  </si>
  <si>
    <t>Антифризы, не поименованные в алфавите</t>
  </si>
  <si>
    <t>Бутандиол -1,-2</t>
  </si>
  <si>
    <t>Бутанол (спирт бутиловый)</t>
  </si>
  <si>
    <t>Гептанол (сприт гептиловый)</t>
  </si>
  <si>
    <t>Гликоли, не поименованные в алфавите</t>
  </si>
  <si>
    <t>Глицидол</t>
  </si>
  <si>
    <t>Глицерин технический (пропантриол -1,2,3)</t>
  </si>
  <si>
    <t>Гринол</t>
  </si>
  <si>
    <t>Деканол - 1</t>
  </si>
  <si>
    <t>2,3 - Дибромпропанол - 1</t>
  </si>
  <si>
    <t>Дигим</t>
  </si>
  <si>
    <t>Дихлоргидрин глицерина (1,3 - дихлорпропанол - 2)</t>
  </si>
  <si>
    <t>Диэтиленгексанол</t>
  </si>
  <si>
    <t>Диэтиленгликоль</t>
  </si>
  <si>
    <t>Бутилкарбитол</t>
  </si>
  <si>
    <t>Жидкость ПГВ</t>
  </si>
  <si>
    <t>Жидкость "Арктика"</t>
  </si>
  <si>
    <t>Жидкость "НИИСС - 4"</t>
  </si>
  <si>
    <t>Жидкость "Холод - 40"</t>
  </si>
  <si>
    <t>Жидкость "ИМ"</t>
  </si>
  <si>
    <t>Жидкость "ТГФ-М"</t>
  </si>
  <si>
    <t>Метилизобутилкарбинол"</t>
  </si>
  <si>
    <t>Метилкарбитол</t>
  </si>
  <si>
    <t>Осушитель-сырец (на основе полигликолей)</t>
  </si>
  <si>
    <t>Пентаэритрит</t>
  </si>
  <si>
    <t>Полигликоли, не поименованные в алфавите</t>
  </si>
  <si>
    <t>Полиэтиленгликоли, водные растворы</t>
  </si>
  <si>
    <t>Проксанол, водометанольный раствор</t>
  </si>
  <si>
    <t>Пропиленгликоли</t>
  </si>
  <si>
    <t>Пылеподавитель</t>
  </si>
  <si>
    <t>Спит аллиловый</t>
  </si>
  <si>
    <t>Спирт амиловый</t>
  </si>
  <si>
    <t>Спирт бензиловый</t>
  </si>
  <si>
    <t>Спирт бутиловый третичный (триметилкарбинол)</t>
  </si>
  <si>
    <t>Спирт гексиловый (гексанол - 1)</t>
  </si>
  <si>
    <t>Спирт диацетоновый</t>
  </si>
  <si>
    <t>Спирт изоамиловый</t>
  </si>
  <si>
    <t>Спирт изобутиловый (изобутанол)</t>
  </si>
  <si>
    <t>Спир изооктиловый</t>
  </si>
  <si>
    <t>Спирт изпропиловый</t>
  </si>
  <si>
    <t>Спирт метиловый (метанол)</t>
  </si>
  <si>
    <t>Сприт нониловый (нонанол)</t>
  </si>
  <si>
    <t>Спирт октиловый (октанол)</t>
  </si>
  <si>
    <t>Сприт поливиниловый</t>
  </si>
  <si>
    <t>Спирт Н-Пропиловый</t>
  </si>
  <si>
    <t>Спирт тетрагидрофуриловый</t>
  </si>
  <si>
    <t>Спирт тетрагидрофурфуриловый</t>
  </si>
  <si>
    <t>Спирт фенэтиловый</t>
  </si>
  <si>
    <t>Спирт фурфуриловый</t>
  </si>
  <si>
    <t>Спирт этиловый технический</t>
  </si>
  <si>
    <t>Спирты жирные синтетические</t>
  </si>
  <si>
    <t>Спирты, н.п.</t>
  </si>
  <si>
    <t>Тетраэтиленгликоль</t>
  </si>
  <si>
    <t>Тосол А-40</t>
  </si>
  <si>
    <t>Тосолы, н.п.</t>
  </si>
  <si>
    <t>Триэтиленгликоль</t>
  </si>
  <si>
    <t>Формальгликоль (1,3-диоксолан)</t>
  </si>
  <si>
    <t>Циклогексанол</t>
  </si>
  <si>
    <t>Этиленгликоль</t>
  </si>
  <si>
    <t>Этилкарбитол</t>
  </si>
  <si>
    <t xml:space="preserve">Фенолы, фенолоспирты и их производные </t>
  </si>
  <si>
    <t>Алкилфенол</t>
  </si>
  <si>
    <t>Дикрезол</t>
  </si>
  <si>
    <t>Агидол</t>
  </si>
  <si>
    <t>Дифенилолпропан</t>
  </si>
  <si>
    <t>Креолин</t>
  </si>
  <si>
    <t>Ксиленол технический</t>
  </si>
  <si>
    <t>Лизол санитарный "Алкилин"</t>
  </si>
  <si>
    <t>Лизол</t>
  </si>
  <si>
    <t>Масло фенольное</t>
  </si>
  <si>
    <t>Моноалкилфенолы</t>
  </si>
  <si>
    <t>Пентахлорфенол</t>
  </si>
  <si>
    <t>4-пентенол</t>
  </si>
  <si>
    <t>Пиррогаллол</t>
  </si>
  <si>
    <t>Трикрезол</t>
  </si>
  <si>
    <t>Фенол расплавленный</t>
  </si>
  <si>
    <t>Фенолоспирты, н.п.</t>
  </si>
  <si>
    <t>Фенолксиметанол</t>
  </si>
  <si>
    <t>Фенол (кислота карболовая) раствор</t>
  </si>
  <si>
    <t>Фенол твердый</t>
  </si>
  <si>
    <t>Фенолы, н.п.</t>
  </si>
  <si>
    <t>Феноляты</t>
  </si>
  <si>
    <t>Фракция фенольная</t>
  </si>
  <si>
    <t>Хлораминофенол</t>
  </si>
  <si>
    <t>2-хлорфенол</t>
  </si>
  <si>
    <t>72300 </t>
  </si>
  <si>
    <t>Альдегиды, кетоны и ангидриды (29)</t>
  </si>
  <si>
    <t>Альдегид акриловый (акролеин) ингибированный</t>
  </si>
  <si>
    <t>Альдегид глутаровый, водный раствор</t>
  </si>
  <si>
    <t>Альдегид кротоновый</t>
  </si>
  <si>
    <t>Альдегид масляный (бутаналь)</t>
  </si>
  <si>
    <t>Альдегиды, н.п.</t>
  </si>
  <si>
    <t>Ангидрид малеиновый</t>
  </si>
  <si>
    <t>Ангидрид уксусный</t>
  </si>
  <si>
    <t>Ангидрид фталевый технический</t>
  </si>
  <si>
    <t>Ацетальдегид (этаналь, альдегид уксусный)</t>
  </si>
  <si>
    <t>Ацетон (пропанон)</t>
  </si>
  <si>
    <t>Бромацетон</t>
  </si>
  <si>
    <t>Глиоксаль (диформил)</t>
  </si>
  <si>
    <t>Диизобутилкетон</t>
  </si>
  <si>
    <t>Дикетен ингибированный</t>
  </si>
  <si>
    <t>Изофорон</t>
  </si>
  <si>
    <t>Метилаль</t>
  </si>
  <si>
    <t>Метилизобутилкетон</t>
  </si>
  <si>
    <t>N-метилпирролидон</t>
  </si>
  <si>
    <t>Метилэтилкетон (бутанон)</t>
  </si>
  <si>
    <t>Мономеры фурфурольноацетоновые ФА и ФАМ</t>
  </si>
  <si>
    <t>Паральдегид</t>
  </si>
  <si>
    <t>Параформальдегид</t>
  </si>
  <si>
    <t>Мономеры, не поименованные в алфавите</t>
  </si>
  <si>
    <t>Формалин (формальдегид растворы)</t>
  </si>
  <si>
    <t>Формальдегид растворы легковоспламеняющиеся</t>
  </si>
  <si>
    <t>Фракция эфироальдегидная</t>
  </si>
  <si>
    <t>Хлораль безводный ингибированный</t>
  </si>
  <si>
    <t>Хлорбензальхлорид (пара-)</t>
  </si>
  <si>
    <t>Циклогексанон</t>
  </si>
  <si>
    <t>72400 </t>
  </si>
  <si>
    <t>Кислоты органические и их соли</t>
  </si>
  <si>
    <t>Бензосульфокислота</t>
  </si>
  <si>
    <t>Водный слой дикарбоновых кислот</t>
  </si>
  <si>
    <t>Калия ацетат (калий уксуснокислый)</t>
  </si>
  <si>
    <t>Кислота 1-оксиэтилидендифосфоновая, раствор (ОЭДФ-1)</t>
  </si>
  <si>
    <t>Кислота адипиновая</t>
  </si>
  <si>
    <t>Кислота акриловая (пропеновая)</t>
  </si>
  <si>
    <t>Кислота изофталевая</t>
  </si>
  <si>
    <t>Кислота малеиновая</t>
  </si>
  <si>
    <t>Кислота метакриловая ингибированная</t>
  </si>
  <si>
    <t>Кислота монохлоруксусная</t>
  </si>
  <si>
    <t>Кислота муравьиная (метановая)</t>
  </si>
  <si>
    <t>Кислота нафтеновая</t>
  </si>
  <si>
    <t>Кислота нитрилакриловая</t>
  </si>
  <si>
    <t>Кислота нитрилотриметилфосфоновая</t>
  </si>
  <si>
    <t>Кислота олеиновая (олеин)</t>
  </si>
  <si>
    <t>Кислота пропионовая (пропановая)</t>
  </si>
  <si>
    <t>Кислота салициловая</t>
  </si>
  <si>
    <t>Кислота стеариновая (стеарин)</t>
  </si>
  <si>
    <t>Кислота трихлоруксусная</t>
  </si>
  <si>
    <t>Кислота уксусная концентрации более 80% по массе</t>
  </si>
  <si>
    <t>Кислота уксусная, р-р концентрации от 10 до 80%</t>
  </si>
  <si>
    <t>Кислота хлоруксусная твердая</t>
  </si>
  <si>
    <t>Кислота щавелевая (этандиовая)</t>
  </si>
  <si>
    <t>Кислота этилсерная</t>
  </si>
  <si>
    <t>Кислоты дихлоркарбоновые</t>
  </si>
  <si>
    <t>Кислоты жирные синтетические</t>
  </si>
  <si>
    <t>Кислоты органические, н.п.</t>
  </si>
  <si>
    <t>Консервант "СИЛОБЕН" (водный раствор бензоата натрия)</t>
  </si>
  <si>
    <t>Контакт Петрова (сульфокислоты), водный раствор</t>
  </si>
  <si>
    <t>Метилат натрия (метанольный раствор)</t>
  </si>
  <si>
    <t>Натрия ацетат (натрий уксуснокислый)</t>
  </si>
  <si>
    <t>Натрия хлорацетат (натрий монохлоруксусный)</t>
  </si>
  <si>
    <t>Натрия формиат (натрий муравьинокислый)</t>
  </si>
  <si>
    <t>Свинца стеарат (свинец стеариновокислый)</t>
  </si>
  <si>
    <t>Соли муравьинокислые, н.п.</t>
  </si>
  <si>
    <t>Соли органические, н.п.</t>
  </si>
  <si>
    <t>Соли уксусной кислоты (ацетаты), н.п.</t>
  </si>
  <si>
    <t>Трихлорацетат натрия</t>
  </si>
  <si>
    <t>Хром уксуснокислый</t>
  </si>
  <si>
    <t>Ифханол-2Т</t>
  </si>
  <si>
    <t>Композиция ДПФ-1, ингибированная</t>
  </si>
  <si>
    <t>Инкредол</t>
  </si>
  <si>
    <t>72500 </t>
  </si>
  <si>
    <t>Эфиры и ацетали</t>
  </si>
  <si>
    <t>Амилацетат</t>
  </si>
  <si>
    <t>Ацетали, н.п.</t>
  </si>
  <si>
    <t>Ацетилцеллюлоза</t>
  </si>
  <si>
    <t>Ацетопропилацетат</t>
  </si>
  <si>
    <t>Бензилацетат</t>
  </si>
  <si>
    <t>Бутилакрилат ингибированный</t>
  </si>
  <si>
    <t>Бутилацетат</t>
  </si>
  <si>
    <t>Бутиллактат</t>
  </si>
  <si>
    <t>Бутилметакрилат ингибированный</t>
  </si>
  <si>
    <t>Бутилцеллозольв</t>
  </si>
  <si>
    <t>Винилацетат ингибированный</t>
  </si>
  <si>
    <t>Диметилсульфат</t>
  </si>
  <si>
    <t>Диметилсульфит</t>
  </si>
  <si>
    <t>Жидкости гидротормозные БСК и ЭСК</t>
  </si>
  <si>
    <t>Изобутилацетат</t>
  </si>
  <si>
    <t>Изобутилметакрилат</t>
  </si>
  <si>
    <t>Изопропилацетат</t>
  </si>
  <si>
    <t>Изопропилнитрат</t>
  </si>
  <si>
    <t>Коллоксилин (нитроцеллюлоза)</t>
  </si>
  <si>
    <t>Ксантогенат калия бутиловый</t>
  </si>
  <si>
    <t>Лапролы</t>
  </si>
  <si>
    <t>Метилакрилат ингибированный</t>
  </si>
  <si>
    <t>Метилацетат</t>
  </si>
  <si>
    <t>Метилметакрилат ингибированный</t>
  </si>
  <si>
    <t>Метилсалицилат</t>
  </si>
  <si>
    <t>Метилформиат</t>
  </si>
  <si>
    <t>Метилциклогексилацетат</t>
  </si>
  <si>
    <t>Нафтоксол-7С</t>
  </si>
  <si>
    <t>Нитроцеллюлоза, содержащая не менее 25% воды по массе</t>
  </si>
  <si>
    <t>Нитроцеллюлоза, содержащая пластифицирующие вещества</t>
  </si>
  <si>
    <t>Нитроцеллюлоза, содержащая спирт</t>
  </si>
  <si>
    <t>Октилацетат</t>
  </si>
  <si>
    <t>Полиэфиры</t>
  </si>
  <si>
    <t>N-пропилацетат</t>
  </si>
  <si>
    <t>Этилацетат</t>
  </si>
  <si>
    <t>Этилсульфат</t>
  </si>
  <si>
    <t>Этилцеллюлоза</t>
  </si>
  <si>
    <t>Эфир 2,2-дихлордиэтиловый (хлорекс)</t>
  </si>
  <si>
    <t>Эфир № 2</t>
  </si>
  <si>
    <t>Эфир бутиловый</t>
  </si>
  <si>
    <t>Эфир винил-н-бутиловый</t>
  </si>
  <si>
    <t>Эфир диметиловый</t>
  </si>
  <si>
    <t>Эфир диметиловый перфторпробковой кислоты</t>
  </si>
  <si>
    <t>Эфир диметиловый перфторрадипиновой кислоты</t>
  </si>
  <si>
    <t>Эфир дихлоризопропиловый</t>
  </si>
  <si>
    <t>Эфир диэтиловый</t>
  </si>
  <si>
    <t>Эфир метиловый</t>
  </si>
  <si>
    <t>Эфир метиловый ацетоуксусной кислоты</t>
  </si>
  <si>
    <t>Эфир метилтретбутиловый (МТБЭ)</t>
  </si>
  <si>
    <t>Эфир монометиловый этиленгликоля (метил-целлозольв)</t>
  </si>
  <si>
    <t>Эфир монохлордиметиловый</t>
  </si>
  <si>
    <t>Эфир перфтордибутиловый</t>
  </si>
  <si>
    <t>Эфир петролейный</t>
  </si>
  <si>
    <t>Эфир хлордиметиловый</t>
  </si>
  <si>
    <t>Эфиры метиловые синтетич.жирных кислот фракции С10-С18</t>
  </si>
  <si>
    <t>Эфиры метиловые синтетич.жирных кислот фракции С7-С9</t>
  </si>
  <si>
    <t>Эфиры, н.п.</t>
  </si>
  <si>
    <t>Эфир моноэтиловый этиленгликоля</t>
  </si>
  <si>
    <t>Ксантогенат калия этиловый</t>
  </si>
  <si>
    <t>Ксантогенаты жидкие</t>
  </si>
  <si>
    <t>Ксантогенаты твердые</t>
  </si>
  <si>
    <t>Жидкость гидравлическая ГЖ-ФК</t>
  </si>
  <si>
    <t>Компонент А-391</t>
  </si>
  <si>
    <t>Лаурокс-9</t>
  </si>
  <si>
    <t>Оксанолы</t>
  </si>
  <si>
    <t>Олеоксы</t>
  </si>
  <si>
    <t>Синтанокс</t>
  </si>
  <si>
    <t>Синтанолы</t>
  </si>
  <si>
    <t>Алкилсульфонат</t>
  </si>
  <si>
    <t>72600 </t>
  </si>
  <si>
    <t>Оксиды, пероксиды</t>
  </si>
  <si>
    <t>Гидропероксид кумила (гипериз)</t>
  </si>
  <si>
    <t>Гидропероксид третичного бутила</t>
  </si>
  <si>
    <t>Диоксан</t>
  </si>
  <si>
    <t>Дифенилоксид</t>
  </si>
  <si>
    <t>Оксид алкилдиметиламина</t>
  </si>
  <si>
    <t>Оксид мезитила</t>
  </si>
  <si>
    <t>Оксид пропилена (метилоксиран)</t>
  </si>
  <si>
    <t>Оксид этилена (оксиран)</t>
  </si>
  <si>
    <t>Пероксид ацетила не более 27% в растворе</t>
  </si>
  <si>
    <t>Пероксид бензоила</t>
  </si>
  <si>
    <t>Пероксид дикумила (паста флегматизированная,порошок ув)</t>
  </si>
  <si>
    <t>Пероксид дитребутила</t>
  </si>
  <si>
    <t>Пероксид лауроила</t>
  </si>
  <si>
    <t>Пероксид метилэтилкетона</t>
  </si>
  <si>
    <t>Пероксид третбутила-бензоила, раствор</t>
  </si>
  <si>
    <t>Пероксиды фракции жирных кислот, в масле</t>
  </si>
  <si>
    <t>Пероксиды, н.п.</t>
  </si>
  <si>
    <t>Полиэтиленоксид ПЭО-С</t>
  </si>
  <si>
    <t>Эпихлоргидрин</t>
  </si>
  <si>
    <t>Азотсодержащие органические соединения</t>
  </si>
  <si>
    <t>73100 </t>
  </si>
  <si>
    <t>Амины, амиды и их производные</t>
  </si>
  <si>
    <t>1-(2-аминоэтил) пиперазин</t>
  </si>
  <si>
    <t>Акриламид</t>
  </si>
  <si>
    <t>Аминонафтол</t>
  </si>
  <si>
    <t>Амины С12-С20 кубовые</t>
  </si>
  <si>
    <t>Амины С17-С20 первичные</t>
  </si>
  <si>
    <t>Амины, н.п.</t>
  </si>
  <si>
    <t>Анизидин (аминоанизол)</t>
  </si>
  <si>
    <t>Гексаметилендиамин, водный раствор</t>
  </si>
  <si>
    <t>Гексаметилентетрамин (уротропин), водный раствор</t>
  </si>
  <si>
    <t>Гексахлормеламин флегматизированный</t>
  </si>
  <si>
    <t>Диизопропаноламин</t>
  </si>
  <si>
    <t>Диизопропиламин</t>
  </si>
  <si>
    <t>Диметилэтаноламин</t>
  </si>
  <si>
    <t>Диметиламин, водный раствор</t>
  </si>
  <si>
    <t>N,N-диметилацетамид</t>
  </si>
  <si>
    <t>N,N-диметилформамид</t>
  </si>
  <si>
    <t>Дипроксамин</t>
  </si>
  <si>
    <t>Дипроксамин, раствор в метаноле</t>
  </si>
  <si>
    <t>Дифениламин</t>
  </si>
  <si>
    <t>Дихлорамины</t>
  </si>
  <si>
    <t>Дициандиамид</t>
  </si>
  <si>
    <t>Дициклогексиламин</t>
  </si>
  <si>
    <t>Диэтаноламин</t>
  </si>
  <si>
    <t>Диэтилентриамин</t>
  </si>
  <si>
    <t>Диэтилэтаноламин</t>
  </si>
  <si>
    <t>Лизин</t>
  </si>
  <si>
    <t>Меламин</t>
  </si>
  <si>
    <t>Метиламин (моно-) безводный</t>
  </si>
  <si>
    <t>Метиламин (моно-) водный раствор</t>
  </si>
  <si>
    <t>Метилдиэтаноламин</t>
  </si>
  <si>
    <t>Моноизопропиламин</t>
  </si>
  <si>
    <t>Монохлорамин ХБ, Б, Т</t>
  </si>
  <si>
    <t>Моноэтанламин</t>
  </si>
  <si>
    <t>Этиламин (моно-) безводный</t>
  </si>
  <si>
    <t>Диэтиламин</t>
  </si>
  <si>
    <t>Нафтиламин</t>
  </si>
  <si>
    <t>Парааминодифениламин (падфа)</t>
  </si>
  <si>
    <t>Полиэтиленполиамины</t>
  </si>
  <si>
    <t>Продукт С-789 (N-алкил-N-фенилпарафенилендиамин)</t>
  </si>
  <si>
    <t>Проксамин, водометанольный раствор</t>
  </si>
  <si>
    <t>Пропиламин</t>
  </si>
  <si>
    <t>Триметиламин безводный</t>
  </si>
  <si>
    <t>Триметиламин, водный раствор с массовой долей до 50%</t>
  </si>
  <si>
    <t>Триэтаноламин</t>
  </si>
  <si>
    <t>Триэтиламин</t>
  </si>
  <si>
    <t>Триэтилентетрамин</t>
  </si>
  <si>
    <t>Флотамин</t>
  </si>
  <si>
    <t>Фенетидины</t>
  </si>
  <si>
    <t>Циклогексиламин</t>
  </si>
  <si>
    <t>Этиламин, водный раствор</t>
  </si>
  <si>
    <t>Этилендиамин</t>
  </si>
  <si>
    <t>Хинолин</t>
  </si>
  <si>
    <t>Продукт АГМ-9</t>
  </si>
  <si>
    <t>73200 </t>
  </si>
  <si>
    <t>Нитросоединения</t>
  </si>
  <si>
    <t>Адиподинитрил</t>
  </si>
  <si>
    <t>Амилнитрат</t>
  </si>
  <si>
    <t>Ацетонитрил технический</t>
  </si>
  <si>
    <t>Гуанидин азотнокислый (гуанидина нитрат)</t>
  </si>
  <si>
    <t>Диазодиметиланилин</t>
  </si>
  <si>
    <t>Диазодиэтиланилин</t>
  </si>
  <si>
    <t>Динитроксилол</t>
  </si>
  <si>
    <t>Динитронафталин</t>
  </si>
  <si>
    <t>Динитротолуолы</t>
  </si>
  <si>
    <t>Нитролигнин</t>
  </si>
  <si>
    <t>Нитронафталин</t>
  </si>
  <si>
    <t>Нитропропан</t>
  </si>
  <si>
    <t>Нитрофен</t>
  </si>
  <si>
    <t>Нитрохлоранилин</t>
  </si>
  <si>
    <t>Нитроэтан</t>
  </si>
  <si>
    <t>Нитротолуолы</t>
  </si>
  <si>
    <t>Нитрил акриловой кислоты (акрилонитрил) ингибированный</t>
  </si>
  <si>
    <t>Хлорнитробензолы</t>
  </si>
  <si>
    <t>N-этиланилин (моноэтиланилин, экстралин)</t>
  </si>
  <si>
    <t>Кремнийсодержащие и прочие органические соединения</t>
  </si>
  <si>
    <t>74100 </t>
  </si>
  <si>
    <t>Хлорсиланы</t>
  </si>
  <si>
    <t>Винилтрихлорсилан</t>
  </si>
  <si>
    <t>Диметилдихлорсилан</t>
  </si>
  <si>
    <t>Диметилхлорметилхлорсилан</t>
  </si>
  <si>
    <t>Диметилхлорсилан</t>
  </si>
  <si>
    <t>Диэтилдихлорсилан</t>
  </si>
  <si>
    <t>Метил (2-цианэтил) дихлорсилан</t>
  </si>
  <si>
    <t>Метилвинилдихлорсилан</t>
  </si>
  <si>
    <t>Метилдифенилхлорсилан</t>
  </si>
  <si>
    <t>Метилдихлорсилан</t>
  </si>
  <si>
    <t>Метилтрихлорсилан</t>
  </si>
  <si>
    <t>Метилфенилдихлорсилан</t>
  </si>
  <si>
    <t>Метилхлорметилдихлорсилан</t>
  </si>
  <si>
    <t>Метилхлорсилан</t>
  </si>
  <si>
    <t>Славсилан</t>
  </si>
  <si>
    <t>Тетраэтоксисилан (этилсиликат) технический</t>
  </si>
  <si>
    <t>Триметилхлорсилан</t>
  </si>
  <si>
    <t>Трифенилхлорсилан</t>
  </si>
  <si>
    <t>Трихлорсилан</t>
  </si>
  <si>
    <t>Триэтилхлорсилан</t>
  </si>
  <si>
    <t>Фенилтрихлорсилан</t>
  </si>
  <si>
    <t>Фенилхлорсилан</t>
  </si>
  <si>
    <t>Хлорсиланы, н.п.</t>
  </si>
  <si>
    <t>Цианэтилтрихлорсилан</t>
  </si>
  <si>
    <t>Этилдихлорсилан</t>
  </si>
  <si>
    <t>Этилтрихлорсилан</t>
  </si>
  <si>
    <t>Этилфенилдихлорсилан</t>
  </si>
  <si>
    <t>Этилхлорсилан</t>
  </si>
  <si>
    <t>Жидкости кремний-органические, н.п.</t>
  </si>
  <si>
    <t>74200 </t>
  </si>
  <si>
    <t>Прочие органические соединения</t>
  </si>
  <si>
    <t>Ацетонциангидрин</t>
  </si>
  <si>
    <t>Бутиролактон</t>
  </si>
  <si>
    <t>1,6-гексаметилендиизоцианат</t>
  </si>
  <si>
    <t>Гомосерин А</t>
  </si>
  <si>
    <t>Диметилвинилкарбинол</t>
  </si>
  <si>
    <t>Диметилсульфид технический улучшеный</t>
  </si>
  <si>
    <t>Диметилфосфит</t>
  </si>
  <si>
    <t>Дифенил</t>
  </si>
  <si>
    <t>Додецилмеркаптан третичный</t>
  </si>
  <si>
    <t>Железо карбонильное</t>
  </si>
  <si>
    <t>Жидкость этиловая</t>
  </si>
  <si>
    <t>Ксилитан</t>
  </si>
  <si>
    <t>Натрий-ихтиол</t>
  </si>
  <si>
    <t>Натрия метилат-метанольный раствор</t>
  </si>
  <si>
    <t>Нафтам-2</t>
  </si>
  <si>
    <t>Нерозин</t>
  </si>
  <si>
    <t>Одорант СПМ</t>
  </si>
  <si>
    <t>Оксифос Б</t>
  </si>
  <si>
    <t>Основа АГМ-10 для концентрата винипола</t>
  </si>
  <si>
    <t>Пентахлорфенолят натрия</t>
  </si>
  <si>
    <t>Пиколин</t>
  </si>
  <si>
    <t>Пинаколин</t>
  </si>
  <si>
    <t>Препарат ВЗЖ</t>
  </si>
  <si>
    <t>Рематол</t>
  </si>
  <si>
    <t>Самин</t>
  </si>
  <si>
    <t>Сероуглерод (углерод сернистый)</t>
  </si>
  <si>
    <t>Синтин</t>
  </si>
  <si>
    <t>Смеси А-6 ТЗ, А-6 ТН</t>
  </si>
  <si>
    <t>Соль ортолуидиновая (4-хлоротолуидингидрохлорид)</t>
  </si>
  <si>
    <t>Танилин, раствор</t>
  </si>
  <si>
    <t>Тетракарбонил никеля</t>
  </si>
  <si>
    <t>Тетраметилсвинец</t>
  </si>
  <si>
    <t>Тризобутилалюминий</t>
  </si>
  <si>
    <t>Тринонилфенилфосфит</t>
  </si>
  <si>
    <t>Трипропилбор</t>
  </si>
  <si>
    <t>Трис-(2,3-дибромпропил) фосфат</t>
  </si>
  <si>
    <t>Трис-(бета-хлорпропил) фосфат</t>
  </si>
  <si>
    <t>Трихлорпропилфосфат</t>
  </si>
  <si>
    <t>Фракция сероуглеродная</t>
  </si>
  <si>
    <t>Этиленхлоргидрин</t>
  </si>
  <si>
    <t>Этилмеркаптан (одорант)</t>
  </si>
  <si>
    <t>Этилсиликат-40</t>
  </si>
  <si>
    <t>Химикаты различного назначения</t>
  </si>
  <si>
    <t>75100 </t>
  </si>
  <si>
    <t>Пестициды</t>
  </si>
  <si>
    <t>Анабазин-сульфат</t>
  </si>
  <si>
    <t>Антисептики и средства дезинфицирующие, н.п.</t>
  </si>
  <si>
    <t>Аэрозоли воспламеняющиеся ядовитые</t>
  </si>
  <si>
    <t>Дезинфицирующие средства, н.п.</t>
  </si>
  <si>
    <t>Масса липкая "мухолов"</t>
  </si>
  <si>
    <t>Пестициды жидкие легковоспламеняющиеся ядовитые, &lt;23C</t>
  </si>
  <si>
    <t>Пестициды жидкие легковоспламеняющиеся ядовитые, &gt;23C</t>
  </si>
  <si>
    <t>Пестициды жидкие ядовитые</t>
  </si>
  <si>
    <t>Пестициды твердые ядовитые</t>
  </si>
  <si>
    <t>Поликарбоцин</t>
  </si>
  <si>
    <t>Протравители, н.п.</t>
  </si>
  <si>
    <t>Соли ди(три)хлоризоциануровых кислот (средства дезинф.)</t>
  </si>
  <si>
    <t>Средства дезодорирующие, н.п.</t>
  </si>
  <si>
    <t>Шашки серные</t>
  </si>
  <si>
    <t>Диметоат</t>
  </si>
  <si>
    <t>75200 </t>
  </si>
  <si>
    <t>Пластификаторы и пенообразователи</t>
  </si>
  <si>
    <t>Диаллилфталат</t>
  </si>
  <si>
    <t>Дибутилсебацинат</t>
  </si>
  <si>
    <t>Дибутилфталат</t>
  </si>
  <si>
    <t>Диизобутилфталат</t>
  </si>
  <si>
    <t>Дикаприлфталат</t>
  </si>
  <si>
    <t>Диметилтерефталат</t>
  </si>
  <si>
    <t>Диметилфталат</t>
  </si>
  <si>
    <t>Диоктилсебацинат</t>
  </si>
  <si>
    <t>Диоктифталат</t>
  </si>
  <si>
    <t>Диэтилкарбонат (диатол)</t>
  </si>
  <si>
    <t>Модификатор ЖКС</t>
  </si>
  <si>
    <t>Модификатор РУ-НП</t>
  </si>
  <si>
    <t>Модификатор ТК</t>
  </si>
  <si>
    <t>Пенообразователи, н.п.</t>
  </si>
  <si>
    <t>Пенообазователи ТЭАС, ПО-1, ПО-6К, ПО-1Д</t>
  </si>
  <si>
    <t>Пенореагент</t>
  </si>
  <si>
    <t>Пластификатор диалкилфталат-789</t>
  </si>
  <si>
    <t>Пластификатор дибутиладипинат</t>
  </si>
  <si>
    <t>Пластификатор дикаприлфталат</t>
  </si>
  <si>
    <t>Пластификатор диметилсебацинат</t>
  </si>
  <si>
    <t>Пластификатор СБ-2А</t>
  </si>
  <si>
    <t>Пластификаторы Л3-7, П-3</t>
  </si>
  <si>
    <t>Пластификаторы фосфатные</t>
  </si>
  <si>
    <t>Пластификаторы, н.п.</t>
  </si>
  <si>
    <t>Суперпластификатор "Дофен", С-3</t>
  </si>
  <si>
    <t>Трибутилфосфат</t>
  </si>
  <si>
    <t>Трикрезилфосфат</t>
  </si>
  <si>
    <t>Хлорпарафин</t>
  </si>
  <si>
    <t>75300 </t>
  </si>
  <si>
    <t>Поверхностно-активные, текстильно-вспомогательные вещества и отделочные препараты</t>
  </si>
  <si>
    <t>Бактерицид марок СНПХ, СНПХ-1002, ЛПЭ</t>
  </si>
  <si>
    <t>Вещество вспомогательное ОП-4, 7, 10, ОПЗЭ (эмульгатор)</t>
  </si>
  <si>
    <t>Вещества текстильно-вспомогательные, н.п.</t>
  </si>
  <si>
    <t>Выравниватель А</t>
  </si>
  <si>
    <t>Гидрофобизатор ГФК-1</t>
  </si>
  <si>
    <t>Деэмульгатор "Десеканафт-20 (ДСН-20)"</t>
  </si>
  <si>
    <t>Деэмульгатор НГК</t>
  </si>
  <si>
    <t>Деэмульгаторы нефтяных эмульсий ОЖК</t>
  </si>
  <si>
    <t>Деэмульгаторы типа СНПХ, не содержащие метанол</t>
  </si>
  <si>
    <t>Деэмульгаторы типа СНПХ-44</t>
  </si>
  <si>
    <t>Деэмульгаторы типа СНПХ-4501, содержащие метанол</t>
  </si>
  <si>
    <t>Деэмульгаторы, н.п.</t>
  </si>
  <si>
    <t>Диспергент нефти ОМ-6</t>
  </si>
  <si>
    <t>Диспергатор НФ</t>
  </si>
  <si>
    <t>Диспергаторы, н.п.</t>
  </si>
  <si>
    <t>Дубители синтетические</t>
  </si>
  <si>
    <t>Закрепители</t>
  </si>
  <si>
    <t>Закрепитель ДЦУ</t>
  </si>
  <si>
    <t>Закрепитель У-2</t>
  </si>
  <si>
    <t>Ингибитор</t>
  </si>
  <si>
    <t>Ингибитор коррозии ГИПХ-4, ГИПХ-3Б</t>
  </si>
  <si>
    <t>Ингибитор коррозии ИК5-2, ИКБ-4</t>
  </si>
  <si>
    <t>Ингибитор коррозии КХО-1</t>
  </si>
  <si>
    <t>Ингибитор коррозии типа СНПХ</t>
  </si>
  <si>
    <t>Ингибитор-428</t>
  </si>
  <si>
    <t>Ингибитор коррозии "Амфикор"</t>
  </si>
  <si>
    <t>Ингибиторы коррозии "Инфангаз"</t>
  </si>
  <si>
    <t>Ингибиторы коррозии "Нефтегаз-1"</t>
  </si>
  <si>
    <t>Ингибиторы коррозии и солеотложений ВФИКС</t>
  </si>
  <si>
    <t>Ингибиторы парафиноотложений типа СНПХ</t>
  </si>
  <si>
    <t>Ингибиторы солеотложений типа СНПХ</t>
  </si>
  <si>
    <t>Ингибиторы, н.п.</t>
  </si>
  <si>
    <t>Карбамол ЦЭМ</t>
  </si>
  <si>
    <t>Лейканоль</t>
  </si>
  <si>
    <t>Поверхностно-активная добавка СПД</t>
  </si>
  <si>
    <t>Смачиватель НБ</t>
  </si>
  <si>
    <t>Стеароксы</t>
  </si>
  <si>
    <t>Сульфонат</t>
  </si>
  <si>
    <t>Сульфонол, паста</t>
  </si>
  <si>
    <t>Экстракт дубильный, жидкий</t>
  </si>
  <si>
    <t>Экстракты дубильные растительные и синтетические</t>
  </si>
  <si>
    <t>Неонол В-1020-3</t>
  </si>
  <si>
    <t>Неонолы</t>
  </si>
  <si>
    <t>Морфолин</t>
  </si>
  <si>
    <t>Оксидат ВЖС</t>
  </si>
  <si>
    <t>Оксидол-деэмульгатор</t>
  </si>
  <si>
    <t>Препарат ОС-20</t>
  </si>
  <si>
    <t>Реапон</t>
  </si>
  <si>
    <t>Фосфанол</t>
  </si>
  <si>
    <t>Хлорсинтэм</t>
  </si>
  <si>
    <t>75400 </t>
  </si>
  <si>
    <t>Растворители. Флотореагенты. Ускорители и агенты вулканизации</t>
  </si>
  <si>
    <t>Ацетонанил Р</t>
  </si>
  <si>
    <t>Бензин растворитель для лакокрасочной промышленности</t>
  </si>
  <si>
    <t>Вулкацит</t>
  </si>
  <si>
    <t>Дифенилгуанидин</t>
  </si>
  <si>
    <t>Карбамат-Д</t>
  </si>
  <si>
    <t>Порофор П-18 флегматизированный</t>
  </si>
  <si>
    <t>Порофор ЧХ3-57 (азодиизобутиронитрил)</t>
  </si>
  <si>
    <t>Порофор ЧХ3-21</t>
  </si>
  <si>
    <t>Порофор ЧХ3-5</t>
  </si>
  <si>
    <t>Растворители, н.п.</t>
  </si>
  <si>
    <t>Растворитель "Децилин"</t>
  </si>
  <si>
    <t>Растворитель АР</t>
  </si>
  <si>
    <t>Растворители ЛТИ</t>
  </si>
  <si>
    <t>Растворитель СФПК</t>
  </si>
  <si>
    <t>Реагент ВЖС</t>
  </si>
  <si>
    <t>Реагент ПАФ-13А</t>
  </si>
  <si>
    <t>Реагенты, н.п.</t>
  </si>
  <si>
    <t>Реагент для флотации углей</t>
  </si>
  <si>
    <t>Реагент углещелочной, порошкообразный</t>
  </si>
  <si>
    <t>Стабилизатор ВТС-60</t>
  </si>
  <si>
    <t>Стабилизаторы для полимерных материалов</t>
  </si>
  <si>
    <t>Сульфенамид БТ</t>
  </si>
  <si>
    <t>Тиурамы технические</t>
  </si>
  <si>
    <t>Ускорители, н.п.</t>
  </si>
  <si>
    <t>Ускоритель БНК-2</t>
  </si>
  <si>
    <t>Флотореагент "Кэтгол"</t>
  </si>
  <si>
    <t>Флотореагент ВЖС</t>
  </si>
  <si>
    <t>Флотореагенты, н.п.</t>
  </si>
  <si>
    <t>Флотореагент Т-66 (ВПП), "Оксоль"</t>
  </si>
  <si>
    <t>75500 </t>
  </si>
  <si>
    <t>Химикаты для производства и обработки кинофотоматериалов и светочувствительных материалов</t>
  </si>
  <si>
    <t>Реактивы фотографические</t>
  </si>
  <si>
    <t>75600 </t>
  </si>
  <si>
    <t>Синтетические моющие средства</t>
  </si>
  <si>
    <t>Паста моющая для меха, шелка и синтетики</t>
  </si>
  <si>
    <t>Порошки стиральные</t>
  </si>
  <si>
    <t>Средства для отбеливания, подсинивания и аппретирования</t>
  </si>
  <si>
    <t>Средства для очистки и полировки</t>
  </si>
  <si>
    <t>Средства моющие жидкие</t>
  </si>
  <si>
    <t>Средства моющие, н.п.</t>
  </si>
  <si>
    <t>Средство моющее техническое КСШ-1</t>
  </si>
  <si>
    <t>Дифонат</t>
  </si>
  <si>
    <t>75700 </t>
  </si>
  <si>
    <t>Химикаты прочие</t>
  </si>
  <si>
    <t>Акаризол</t>
  </si>
  <si>
    <t>Акванит</t>
  </si>
  <si>
    <t>Алкамон ОС-2</t>
  </si>
  <si>
    <t>Амиленит</t>
  </si>
  <si>
    <t>Антиоксидант ВС-1</t>
  </si>
  <si>
    <t>Арзамит</t>
  </si>
  <si>
    <t>Аэрозоли</t>
  </si>
  <si>
    <t>Аэрозоли воспламеняющиеся</t>
  </si>
  <si>
    <t>Аэрозоли неядовитые невоспламеняющиеся</t>
  </si>
  <si>
    <t>Аэролаки</t>
  </si>
  <si>
    <t>Гексаран</t>
  </si>
  <si>
    <t>Гептил</t>
  </si>
  <si>
    <t>Диран-А</t>
  </si>
  <si>
    <t>Добавка смазочная ЭКОС-Б</t>
  </si>
  <si>
    <t>Жидкость диэлектрическая АЗИ-3 (фенилксилилэтан)</t>
  </si>
  <si>
    <t>Жидкость тормозная "Нева"</t>
  </si>
  <si>
    <t>Жидкость тормозная "Стеол-М"</t>
  </si>
  <si>
    <t>Жидкости фторхлоруглеродные 12Ф, 13ФМ</t>
  </si>
  <si>
    <t>Игетан</t>
  </si>
  <si>
    <t>Карпатол-3</t>
  </si>
  <si>
    <t>Карпатол-3П</t>
  </si>
  <si>
    <t>Композиция ГЛИМС</t>
  </si>
  <si>
    <t>Композиция ГПР (грунт преобразователь ржавчины)</t>
  </si>
  <si>
    <t>Композиция жирующая "Хлороинтем"</t>
  </si>
  <si>
    <t>Компоненты изоцианатные для производства пенопластов</t>
  </si>
  <si>
    <t>Консервант кормов "Бисилан"</t>
  </si>
  <si>
    <t>Концентрат винипола ВБ-2 и ВБ-3</t>
  </si>
  <si>
    <t>Концентрат низкомолекулярных кислот НМК</t>
  </si>
  <si>
    <t>Концентрат полиизобутилена</t>
  </si>
  <si>
    <t>Концентраты фосфатирующие КПМ-1,СК-1,КФЭ-1,КФ-1,СК-1К</t>
  </si>
  <si>
    <t>Крапплаки</t>
  </si>
  <si>
    <t>Лецитин растительный</t>
  </si>
  <si>
    <t>Люминал "А"</t>
  </si>
  <si>
    <t>Масло ализариновое</t>
  </si>
  <si>
    <t>Масло для холодильных машин</t>
  </si>
  <si>
    <t>Меланж</t>
  </si>
  <si>
    <t>Метионин кормовой</t>
  </si>
  <si>
    <t>Омоксы</t>
  </si>
  <si>
    <t>Отвердитель АЦЭГ</t>
  </si>
  <si>
    <t>Отвердитель полиоксипропиленаминный</t>
  </si>
  <si>
    <t>Параантрацен</t>
  </si>
  <si>
    <t>Паста алкилсульфатов синтетических жирных кислот</t>
  </si>
  <si>
    <t>Полиметаллический водный концентрат (ПВК "Белорисит")</t>
  </si>
  <si>
    <t>Полифурит</t>
  </si>
  <si>
    <t>Препарат "Эфосол"</t>
  </si>
  <si>
    <t>Препарат К-4</t>
  </si>
  <si>
    <t>Препарат КЭАМ</t>
  </si>
  <si>
    <t>Препараты галеновые</t>
  </si>
  <si>
    <t>Присадка водяная к мазуту марки ВТИ-4</t>
  </si>
  <si>
    <t>Присадка к котельному топливу: ВНИИНП-106, "Полифен"</t>
  </si>
  <si>
    <t>Присадка полиметакрилата-Д, ПМА</t>
  </si>
  <si>
    <t>Продукт Т-185</t>
  </si>
  <si>
    <t>Продукт ФОЛ-63</t>
  </si>
  <si>
    <t>Пронит</t>
  </si>
  <si>
    <t>Рецептура РД-2</t>
  </si>
  <si>
    <t>Сантохин</t>
  </si>
  <si>
    <t>Свечи парафиновые и стеариновые</t>
  </si>
  <si>
    <t>Собиратель ОР-100</t>
  </si>
  <si>
    <t>Совтол-10</t>
  </si>
  <si>
    <t>Состав огнегасительный ОГС N7</t>
  </si>
  <si>
    <t>Сунил</t>
  </si>
  <si>
    <t>Удалитель парафино-отложений типа СНПХ</t>
  </si>
  <si>
    <t>Флицид</t>
  </si>
  <si>
    <t>Флюс жидкий БМ-1</t>
  </si>
  <si>
    <t>Фтион</t>
  </si>
  <si>
    <t>Хлорокс</t>
  </si>
  <si>
    <t>Цинхонин</t>
  </si>
  <si>
    <t>Полиуры АЗ-20, АЗ-21, АН-10</t>
  </si>
  <si>
    <t>Композиция ДН-9010</t>
  </si>
  <si>
    <t>Энит</t>
  </si>
  <si>
    <t>Электролиты для химических источников света</t>
  </si>
  <si>
    <t>Химикаты прочие, не поименованные в алфавите</t>
  </si>
  <si>
    <t>75800 </t>
  </si>
  <si>
    <t>Отходы химического производства</t>
  </si>
  <si>
    <t>Масла сивушные</t>
  </si>
  <si>
    <t>Ниогрин</t>
  </si>
  <si>
    <t>Огарки (остатки от производства серной кислоты)</t>
  </si>
  <si>
    <t>Органические отходы производства фталофоса и т.д.</t>
  </si>
  <si>
    <t>Остатки кубовые</t>
  </si>
  <si>
    <t>Отходы галалита</t>
  </si>
  <si>
    <t>Отходы дихлорэтана</t>
  </si>
  <si>
    <t>Отходы масляных красок и белил</t>
  </si>
  <si>
    <t>Отходы пластмассовые, н.п.</t>
  </si>
  <si>
    <t>Хлорорганические отходы производства хлоропрена</t>
  </si>
  <si>
    <t>Шлам серный</t>
  </si>
  <si>
    <t>Шламы сернокислого производства</t>
  </si>
  <si>
    <t>Щелочной сток производства капролактама (ЩСПК)</t>
  </si>
  <si>
    <t>Дифалон</t>
  </si>
  <si>
    <t>Отходы целлулоида</t>
  </si>
  <si>
    <t>Паста скрубберная</t>
  </si>
  <si>
    <t>Проскан</t>
  </si>
</sst>
</file>

<file path=xl/styles.xml><?xml version="1.0" encoding="utf-8"?>
<styleSheet xmlns="http://schemas.openxmlformats.org/spreadsheetml/2006/main">
  <numFmts count="109">
    <numFmt numFmtId="164" formatCode="0.0%"/>
    <numFmt numFmtId="165" formatCode="[$-409]mmm\ yyyy"/>
    <numFmt numFmtId="166" formatCode="#,##0.0;\(#,##0.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0.000000"/>
    <numFmt numFmtId="170" formatCode="#,##0.0_);\(#,##0.0\)"/>
    <numFmt numFmtId="171" formatCode="mmmm\ yyyy"/>
    <numFmt numFmtId="172" formatCode="d"/>
    <numFmt numFmtId="173" formatCode="_(&quot;$&quot;* #,##0_);_(&quot;$&quot;* \(#,##0\);_(&quot;$&quot;* &quot;-&quot;_);_(@_)"/>
    <numFmt numFmtId="174" formatCode="_-* #,##0\ &quot;руб&quot;_-;\-* #,##0\ &quot;руб&quot;_-;_-* &quot;-&quot;\ &quot;руб&quot;_-;_-@_-"/>
    <numFmt numFmtId="175" formatCode="0.0"/>
    <numFmt numFmtId="176" formatCode="_-[$$-C09]* #,##0.00_-;\-[$$-C09]* #,##0.00_-;_-[$$-C09]* &quot;-&quot;??_-;_-@_-"/>
    <numFmt numFmtId="177" formatCode="000000"/>
    <numFmt numFmtId="178" formatCode="0.00\ "/>
    <numFmt numFmtId="179" formatCode="&quot;$&quot;#,##0_);\(&quot;$&quot;#,##0\)"/>
    <numFmt numFmtId="180" formatCode="&quot;£&quot;#,##0_);\(&quot;£&quot;#,##0\)"/>
    <numFmt numFmtId="181" formatCode="General_)"/>
    <numFmt numFmtId="182" formatCode="&quot;error&quot;;&quot;error&quot;;&quot;OK&quot;;&quot;  &quot;@"/>
    <numFmt numFmtId="183" formatCode="0000"/>
    <numFmt numFmtId="184" formatCode="#,##0;\-#,##0;&quot;N/A&quot;"/>
    <numFmt numFmtId="185" formatCode="_-* #,##0_-;\-* #,##0_-;_-* &quot;-&quot;_-;_-@_-"/>
    <numFmt numFmtId="186" formatCode="_(* #,##0.0_);_(* \(#,##0.0\);_(* &quot;-&quot;??_);_(@_)"/>
    <numFmt numFmtId="187" formatCode="##,#0_;\(#,##0\);&quot;-&quot;??_);@"/>
    <numFmt numFmtId="188" formatCode="*(#,##0\);*#\,##0_);&quot;-&quot;??_);@"/>
    <numFmt numFmtId="189" formatCode="_*\(#,##0\);_*#,##0_);&quot;-&quot;??_);@"/>
    <numFmt numFmtId="190" formatCode="#,##0_%_);\(#,##0\)_%;#,##0_%_);@_%_)"/>
    <numFmt numFmtId="191" formatCode="_-* #,##0.00_$_-;\-* #,##0.00_$_-;_-* &quot;-&quot;??_$_-;_-@_-"/>
    <numFmt numFmtId="192" formatCode="_-* #,##0.00_-;\-* #,##0.00_-;_-* &quot;-&quot;??_-;_-@_-"/>
    <numFmt numFmtId="193" formatCode="_ * #,##0.00_ ;_ * \-#,##0.00_ ;_ * &quot;-&quot;??_ ;_ @_ "/>
    <numFmt numFmtId="194" formatCode="* \(#,##0\);* #,##0_);&quot;-&quot;??_);@"/>
    <numFmt numFmtId="195" formatCode="_-&quot;£&quot;* #,##0_-;\-&quot;£&quot;* #,##0_-;_-&quot;£&quot;* &quot;-&quot;_-;_-@_-"/>
    <numFmt numFmtId="196" formatCode="0.0%;\(0.0%\)"/>
    <numFmt numFmtId="197" formatCode="&quot;$&quot;#,##0.00_);[Red]\(&quot;$&quot;#,##0.00\)"/>
    <numFmt numFmtId="198" formatCode="#,##0_);\(#,##0\);&quot;-&quot;??_);@"/>
    <numFmt numFmtId="199" formatCode="* #,##0_);* \(#,##0\);&quot;-&quot;??_);@"/>
    <numFmt numFmtId="200" formatCode="_-&quot;£&quot;* #,##0.00_-;\-&quot;£&quot;* #,##0.00_-;_-&quot;£&quot;* &quot;-&quot;??_-;_-@_-"/>
    <numFmt numFmtId="201" formatCode="\$#,##0\ ;\(\$#,##0\)"/>
    <numFmt numFmtId="202" formatCode="&quot;Stock&quot;_%_);;&quot;Asset&quot;_%_)"/>
    <numFmt numFmtId="203" formatCode="dd\.mm\.yyyy&quot;г.&quot;"/>
    <numFmt numFmtId="204" formatCode="#,##0_);\(#,##0\);&quot;- &quot;;&quot;  &quot;@"/>
    <numFmt numFmtId="205" formatCode="#,##0.0"/>
    <numFmt numFmtId="206" formatCode="\$#,##0;\-\$#,##0"/>
    <numFmt numFmtId="207" formatCode="_(* #,##0_);[Red]_(* \(#,##0\);_(* &quot;-&quot;??_);_(@_)"/>
    <numFmt numFmtId="208" formatCode="_-* #,##0.00[$€-1]_-;\-* #,##0.00[$€-1]_-;_-* &quot;-&quot;??[$€-1]_-"/>
    <numFmt numFmtId="209" formatCode="#,##0.0000_);\(#,##0.0000\);&quot;- &quot;;&quot;  &quot;@"/>
    <numFmt numFmtId="210" formatCode="#,##0.0_)\ \ ;\(#,##0.0\)\ \ "/>
    <numFmt numFmtId="211" formatCode="\ #,##0.0_);\(#,##0.0\)"/>
    <numFmt numFmtId="212" formatCode="0.00\ ;\-0.00\ ;&quot;- &quot;"/>
    <numFmt numFmtId="213" formatCode="&quot;$&quot;#,##0.0_);\(&quot;$&quot;#,##0.0\)"/>
    <numFmt numFmtId="214" formatCode="&quot;Asset&quot;_%_);;&quot;Stock&quot;_%_)"/>
    <numFmt numFmtId="215" formatCode="0.0_x_)_);&quot;NM&quot;_x_)_);0.0_x_)_);@_%_)"/>
    <numFmt numFmtId="216" formatCode="#,##0_%_);\(#,##0\)_%;**;@_%_)"/>
    <numFmt numFmtId="217" formatCode="#,##0.0##;[Red]\-#,##0.0##"/>
    <numFmt numFmtId="218" formatCode="_(* #,##0_);_(* \(#,##0\);_(* &quot;-&quot;_);_(@_)"/>
    <numFmt numFmtId="219" formatCode="#,##0%_);\(#,##0%\)"/>
    <numFmt numFmtId="220" formatCode="mmm\-yyyy"/>
    <numFmt numFmtId="221" formatCode="&quot;End&quot;_%_);&quot;Beg&quot;_%_);&quot;Avg&quot;_%_)"/>
    <numFmt numFmtId="222" formatCode="0.0\x_);\(0.0_)"/>
    <numFmt numFmtId="223" formatCode="#.0;#.0;;@"/>
    <numFmt numFmtId="224" formatCode="0.0%;0.0%;;@"/>
    <numFmt numFmtId="225" formatCode="\ \ \ \ \ \ \ \ \ \ @"/>
    <numFmt numFmtId="226" formatCode="0.00\x_)_);&quot;NM&quot;_x_)_);0.00\x_)_);@_%_)"/>
    <numFmt numFmtId="227" formatCode="&quot;No&quot;;&quot;Yes&quot;"/>
    <numFmt numFmtId="228" formatCode="#,##0.00;\(#,##0.00\);\-"/>
    <numFmt numFmtId="229" formatCode="0.00000%"/>
    <numFmt numFmtId="230" formatCode="0.0000000%"/>
    <numFmt numFmtId="231" formatCode="_-* #,##0_?_._-;\-* #,##0_?_._-;_-* &quot;-&quot;_?_._-;_-@_-"/>
    <numFmt numFmtId="232" formatCode="_-* #,##0.00_?_._-;\-* #,##0.00_?_._-;_-* &quot;-&quot;??_?_._-;_-@_-"/>
    <numFmt numFmtId="233" formatCode="0.0_)%;\(0.0\)%"/>
    <numFmt numFmtId="234" formatCode="0.00_)%;\(0.00\)%"/>
    <numFmt numFmtId="235" formatCode="0%_);\(0%\)"/>
    <numFmt numFmtId="236" formatCode="* \(#,##0.0\);* #,##0.0_);&quot;-&quot;??_);@"/>
    <numFmt numFmtId="237" formatCode="* \(#,##0.00\);* #,##0.00_);&quot;-&quot;??_);@"/>
    <numFmt numFmtId="238" formatCode="_(* \(#,##0.0\);_(* #,##0.0_);_(* &quot;-&quot;_);_(@_)"/>
    <numFmt numFmtId="239" formatCode="_(* \(#,##0.00\);_(* #,##0.00_);_(* &quot;-&quot;_);_(@_)"/>
    <numFmt numFmtId="240" formatCode="_(* \(#,##0.000\);_(* #,##0.000_);_(* &quot;-&quot;_);_(@_)"/>
    <numFmt numFmtId="241" formatCode="#,##0.000000;[Red]#,##0.000000"/>
    <numFmt numFmtId="242" formatCode="#,##0.00\ \x_);[Red]\(#,##0.00\)\x"/>
    <numFmt numFmtId="243" formatCode="mmm\ dd\,\ yyyy"/>
    <numFmt numFmtId="244" formatCode="0.00_)"/>
    <numFmt numFmtId="245" formatCode="0_);\-0_);\-_);@_)"/>
    <numFmt numFmtId="246" formatCode="&quot;See Note &quot;\ #"/>
    <numFmt numFmtId="247" formatCode="#,##0__"/>
    <numFmt numFmtId="248" formatCode="\ &quot;£&quot;#,##0.00_);\(&quot;£&quot;#,##0.00\)"/>
    <numFmt numFmtId="249" formatCode="#,##0.00\x_);\(#,##0.00\x\)"/>
    <numFmt numFmtId="250" formatCode="_-&quot;Ј&quot;* #,##0_-;\-&quot;Ј&quot;* #,##0_-;_-&quot;Ј&quot;* &quot;-&quot;_-;_-@_-"/>
    <numFmt numFmtId="251" formatCode="_-&quot;Ј&quot;* #,##0.00_-;\-&quot;Ј&quot;* #,##0.00_-;_-&quot;Ј&quot;* &quot;-&quot;??_-;_-@_-"/>
    <numFmt numFmtId="252" formatCode="_ * #,##0_ ;_ * \(#,##0_ ;_ * &quot;-&quot;_ ;_ @_ "/>
    <numFmt numFmtId="253" formatCode="&quot;$&quot;#,##0.000000;[Red]&quot;$&quot;#,##0.000000"/>
    <numFmt numFmtId="254" formatCode="#,##0.0000000_$"/>
    <numFmt numFmtId="255" formatCode="&quot;$&quot;\ #,##0.00"/>
    <numFmt numFmtId="256" formatCode="_ * #,##0_ ;_ * \(#,##0_)\ ;_ * &quot;-&quot;_ ;_ @_ "/>
    <numFmt numFmtId="257" formatCode="&quot;$&quot;\ #,##0"/>
    <numFmt numFmtId="258" formatCode="&quot;$&quot;"/>
    <numFmt numFmtId="259" formatCode="_._.* #,##0_)_%;_._.* \(#,##0\)_%;_._.* \ _)_%"/>
    <numFmt numFmtId="260" formatCode="yyyy"/>
    <numFmt numFmtId="261" formatCode="yyyy\ &quot;год&quot;"/>
    <numFmt numFmtId="262" formatCode="0.0_)"/>
    <numFmt numFmtId="263" formatCode="&quot;¥&quot;#,##0_);\(&quot;¥&quot;#,##0\)"/>
    <numFmt numFmtId="264" formatCode=";;&quot;zero&quot;;&quot;  &quot;@"/>
    <numFmt numFmtId="265" formatCode="_(&quot;р.&quot;* #,##0.00_);_(&quot;р.&quot;* \(#,##0.00\);_(&quot;р.&quot;* &quot;-&quot;??_);_(@_)"/>
    <numFmt numFmtId="266" formatCode="_-* #,##0.00&quot;р.&quot;_-;\-* #,##0.00&quot;р.&quot;_-;_-* \-??&quot;р.&quot;_-;_-@_-"/>
    <numFmt numFmtId="267" formatCode="#,##0.0%;\(#,##0.0\)%;\-&quot; &quot;"/>
    <numFmt numFmtId="268" formatCode="#,##0\т"/>
    <numFmt numFmtId="269" formatCode="_-* #,##0_р_._-;\-* #,##0_р_._-;_-* &quot;-&quot;_р_._-;_-@_-"/>
    <numFmt numFmtId="270" formatCode="_-* #,##0.00_р_._-;\-* #,##0.00_р_._-;_-* &quot;-&quot;??_р_._-;_-@_-"/>
    <numFmt numFmtId="271" formatCode="_-* #,##0.00\ _D_M_-;\-* #,##0.00\ _D_M_-;_-* &quot;-&quot;??\ _D_M_-;_-@_-"/>
    <numFmt numFmtId="272" formatCode="\€#,##0.00;[Red]&quot;-€&quot;#,##0.00"/>
  </numFmts>
  <fonts count="25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8"/>
      <name val="Palatino"/>
      <family val="1"/>
    </font>
    <font>
      <u/>
      <sz val="10"/>
      <color indexed="12"/>
      <name val="Arial Cyr"/>
      <charset val="204"/>
    </font>
    <font>
      <u/>
      <sz val="10"/>
      <color indexed="36"/>
      <name val="Arial Cyr"/>
      <charset val="204"/>
    </font>
    <font>
      <sz val="10"/>
      <name val="Helv"/>
      <charset val="204"/>
    </font>
    <font>
      <sz val="10"/>
      <name val="Helv"/>
    </font>
    <font>
      <sz val="10"/>
      <name val="Helv"/>
      <family val="2"/>
      <charset val="204"/>
    </font>
    <font>
      <sz val="10"/>
      <name val="Arial"/>
      <family val="2"/>
    </font>
    <font>
      <sz val="10"/>
      <name val="Courier"/>
      <family val="3"/>
    </font>
    <font>
      <sz val="10"/>
      <name val="Courier"/>
      <family val="1"/>
      <charset val="204"/>
    </font>
    <font>
      <sz val="8"/>
      <name val="Arial"/>
      <family val="2"/>
    </font>
    <font>
      <sz val="8"/>
      <name val="Verdana"/>
      <family val="2"/>
      <charset val="204"/>
    </font>
    <font>
      <sz val="10"/>
      <name val="Arial Cyr"/>
      <family val="2"/>
      <charset val="204"/>
    </font>
    <font>
      <u/>
      <sz val="10"/>
      <color indexed="12"/>
      <name val="Tahoma"/>
      <family val="2"/>
      <charset val="204"/>
    </font>
    <font>
      <sz val="10"/>
      <name val="Helv"/>
      <family val="2"/>
    </font>
    <font>
      <sz val="12"/>
      <name val="Tahoma"/>
      <family val="2"/>
    </font>
    <font>
      <sz val="12"/>
      <name val="Tahoma"/>
      <family val="2"/>
      <charset val="204"/>
    </font>
    <font>
      <sz val="10"/>
      <name val="Tahoma"/>
      <family val="2"/>
      <charset val="204"/>
    </font>
    <font>
      <sz val="10"/>
      <name val="Times New Roman"/>
      <family val="1"/>
      <charset val="204"/>
    </font>
    <font>
      <sz val="10"/>
      <name val="MS Sans Serif"/>
      <family val="2"/>
      <charset val="204"/>
    </font>
    <font>
      <sz val="10"/>
      <name val="MS Sans Serif"/>
      <family val="2"/>
    </font>
    <font>
      <b/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  <charset val="204"/>
    </font>
    <font>
      <sz val="10"/>
      <color indexed="9"/>
      <name val="Arial"/>
      <family val="2"/>
    </font>
    <font>
      <sz val="11"/>
      <color indexed="9"/>
      <name val="Calibri"/>
      <family val="2"/>
      <charset val="204"/>
    </font>
    <font>
      <sz val="9"/>
      <color indexed="11"/>
      <name val="Arial"/>
      <family val="2"/>
      <charset val="204"/>
    </font>
    <font>
      <sz val="12"/>
      <name val="Arial MT"/>
    </font>
    <font>
      <sz val="8"/>
      <name val="Helv"/>
      <charset val="204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0"/>
      <color indexed="12"/>
      <name val="Arial Cyr"/>
      <family val="2"/>
      <charset val="204"/>
    </font>
    <font>
      <b/>
      <sz val="14"/>
      <name val="Times New Roman"/>
      <family val="1"/>
    </font>
    <font>
      <sz val="12"/>
      <name val="Arial"/>
      <family val="2"/>
    </font>
    <font>
      <sz val="9"/>
      <name val="Tahoma"/>
      <family val="2"/>
    </font>
    <font>
      <sz val="11"/>
      <color indexed="16"/>
      <name val="Calibri"/>
      <family val="2"/>
    </font>
    <font>
      <b/>
      <sz val="12"/>
      <color indexed="13"/>
      <name val="Arial"/>
      <family val="2"/>
    </font>
    <font>
      <sz val="8"/>
      <color indexed="13"/>
      <name val="Arial"/>
      <family val="2"/>
    </font>
    <font>
      <sz val="8"/>
      <color indexed="12"/>
      <name val="Tms Rmn"/>
    </font>
    <font>
      <sz val="8"/>
      <name val="Helv"/>
      <family val="2"/>
    </font>
    <font>
      <sz val="10"/>
      <name val="Times New Roman"/>
      <family val="1"/>
    </font>
    <font>
      <b/>
      <sz val="10"/>
      <name val="MS Sans Serif"/>
      <family val="2"/>
      <charset val="204"/>
    </font>
    <font>
      <u val="singleAccounting"/>
      <sz val="10"/>
      <name val="Arial"/>
      <family val="2"/>
    </font>
    <font>
      <sz val="10"/>
      <color indexed="8"/>
      <name val="MS Sans Serif"/>
      <family val="2"/>
      <charset val="204"/>
    </font>
    <font>
      <b/>
      <sz val="11"/>
      <color indexed="53"/>
      <name val="Calibri"/>
      <family val="2"/>
    </font>
    <font>
      <b/>
      <sz val="12"/>
      <color indexed="53"/>
      <name val="Times New Roman"/>
      <family val="2"/>
      <charset val="204"/>
    </font>
    <font>
      <sz val="8"/>
      <name val="Times New Roman"/>
      <family val="1"/>
    </font>
    <font>
      <b/>
      <sz val="10"/>
      <name val="Arial"/>
      <family val="2"/>
      <charset val="204"/>
    </font>
    <font>
      <sz val="10"/>
      <color indexed="18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2"/>
      <charset val="204"/>
    </font>
    <font>
      <b/>
      <i/>
      <sz val="8"/>
      <name val="Arial"/>
      <family val="2"/>
    </font>
    <font>
      <sz val="7"/>
      <name val="Book Antiqua"/>
      <family val="1"/>
    </font>
    <font>
      <b/>
      <sz val="8"/>
      <name val="Arial"/>
      <family val="2"/>
      <charset val="204"/>
    </font>
    <font>
      <b/>
      <sz val="8"/>
      <name val="Arial"/>
      <family val="2"/>
    </font>
    <font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sz val="10"/>
      <color indexed="24"/>
      <name val="System"/>
      <family val="2"/>
      <charset val="204"/>
    </font>
    <font>
      <sz val="12"/>
      <name val="Times New Roman Cyr"/>
      <family val="1"/>
      <charset val="204"/>
    </font>
    <font>
      <i/>
      <sz val="9"/>
      <name val="MS Sans Serif"/>
      <family val="2"/>
      <charset val="204"/>
    </font>
    <font>
      <b/>
      <sz val="13"/>
      <name val="Arial"/>
      <family val="2"/>
      <charset val="204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2"/>
      <name val="Tms Rmn"/>
      <family val="1"/>
    </font>
    <font>
      <sz val="8"/>
      <color indexed="16"/>
      <name val="Palatino"/>
      <family val="1"/>
    </font>
    <font>
      <sz val="10"/>
      <color indexed="8"/>
      <name val="Arial"/>
      <family val="2"/>
      <charset val="204"/>
    </font>
    <font>
      <sz val="10"/>
      <color indexed="12"/>
      <name val="Arial"/>
      <family val="2"/>
      <charset val="204"/>
    </font>
    <font>
      <sz val="9"/>
      <name val="Arial"/>
      <family val="2"/>
      <charset val="204"/>
    </font>
    <font>
      <sz val="11"/>
      <name val="Book Antiqua"/>
      <family val="1"/>
    </font>
    <font>
      <sz val="12"/>
      <name val="Times New Roman Cyr"/>
      <charset val="204"/>
    </font>
    <font>
      <b/>
      <sz val="10"/>
      <name val="Arial Cyr"/>
      <family val="2"/>
      <charset val="204"/>
    </font>
    <font>
      <b/>
      <sz val="10"/>
      <name val="Arial"/>
      <family val="2"/>
    </font>
    <font>
      <sz val="10"/>
      <name val="Frutiger 55 Roman"/>
    </font>
    <font>
      <u val="doubleAccounting"/>
      <sz val="10"/>
      <name val="Arial"/>
      <family val="2"/>
    </font>
    <font>
      <sz val="10"/>
      <name val="Arial Narrow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4"/>
      <color indexed="32"/>
      <name val="Times New Roman"/>
      <family val="1"/>
      <charset val="204"/>
    </font>
    <font>
      <u/>
      <sz val="7"/>
      <color indexed="36"/>
      <name val="Arial"/>
      <family val="2"/>
      <charset val="204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vertAlign val="superscript"/>
      <sz val="7"/>
      <name val="Arial"/>
      <family val="2"/>
    </font>
    <font>
      <sz val="7"/>
      <name val="Arial"/>
      <family val="2"/>
    </font>
    <font>
      <sz val="10"/>
      <name val="Book Antiqua"/>
      <family val="1"/>
      <charset val="204"/>
    </font>
    <font>
      <sz val="10"/>
      <color indexed="12"/>
      <name val="Arial"/>
      <family val="2"/>
    </font>
    <font>
      <b/>
      <sz val="8"/>
      <color indexed="18"/>
      <name val="Arial"/>
      <family val="2"/>
    </font>
    <font>
      <b/>
      <sz val="12"/>
      <name val="Arial Cyr"/>
      <family val="2"/>
      <charset val="204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sz val="6"/>
      <color indexed="16"/>
      <name val="Palatino"/>
      <family val="1"/>
    </font>
    <font>
      <sz val="6"/>
      <name val="Palatino"/>
      <family val="1"/>
    </font>
    <font>
      <b/>
      <sz val="10"/>
      <name val="Times New Roman CYR"/>
      <charset val="204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8"/>
      <color indexed="24"/>
      <name val="System"/>
      <family val="2"/>
      <charset val="204"/>
    </font>
    <font>
      <sz val="10"/>
      <name val="Helvetica-Black"/>
    </font>
    <font>
      <sz val="28"/>
      <name val="Helvetica-Black"/>
      <family val="2"/>
    </font>
    <font>
      <sz val="28"/>
      <name val="Helvetica-Black"/>
    </font>
    <font>
      <b/>
      <sz val="13"/>
      <color indexed="62"/>
      <name val="Calibri"/>
      <family val="2"/>
    </font>
    <font>
      <b/>
      <sz val="12"/>
      <color indexed="24"/>
      <name val="System"/>
      <family val="2"/>
      <charset val="204"/>
    </font>
    <font>
      <sz val="10"/>
      <name val="Palatino"/>
      <family val="1"/>
    </font>
    <font>
      <sz val="18"/>
      <name val="Helvetica-Black"/>
      <family val="2"/>
    </font>
    <font>
      <sz val="18"/>
      <name val="Palatino"/>
      <family val="1"/>
    </font>
    <font>
      <b/>
      <sz val="11"/>
      <color indexed="62"/>
      <name val="Calibri"/>
      <family val="2"/>
    </font>
    <font>
      <i/>
      <sz val="14"/>
      <name val="Palatino"/>
      <family val="1"/>
    </font>
    <font>
      <b/>
      <sz val="10"/>
      <name val="MS Sans Serif"/>
      <family val="2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i/>
      <sz val="22"/>
      <name val="Times New Roman"/>
      <family val="1"/>
    </font>
    <font>
      <sz val="8"/>
      <color indexed="16"/>
      <name val="Arial MT"/>
    </font>
    <font>
      <u/>
      <sz val="10"/>
      <color indexed="12"/>
      <name val="Arial"/>
      <family val="2"/>
      <charset val="204"/>
    </font>
    <font>
      <sz val="7"/>
      <name val="FruteLight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2"/>
      <color indexed="62"/>
      <name val="Times New Roman"/>
      <family val="2"/>
      <charset val="204"/>
    </font>
    <font>
      <sz val="8"/>
      <color indexed="12"/>
      <name val="Palatino"/>
      <family val="1"/>
    </font>
    <font>
      <b/>
      <sz val="12"/>
      <name val="Geneva"/>
    </font>
    <font>
      <b/>
      <sz val="8"/>
      <color indexed="12"/>
      <name val="Times New Roman"/>
      <family val="1"/>
    </font>
    <font>
      <b/>
      <sz val="8"/>
      <color indexed="8"/>
      <name val="Times New Roman"/>
      <family val="1"/>
    </font>
    <font>
      <u/>
      <sz val="10"/>
      <color indexed="20"/>
      <name val="Arial Cyr"/>
      <family val="2"/>
      <charset val="204"/>
    </font>
    <font>
      <b/>
      <u/>
      <sz val="16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53"/>
      <name val="Calibri"/>
      <family val="2"/>
    </font>
    <font>
      <sz val="8"/>
      <name val="Helv"/>
    </font>
    <font>
      <b/>
      <sz val="14"/>
      <color indexed="24"/>
      <name val="Book Antiqua"/>
      <family val="1"/>
    </font>
    <font>
      <sz val="11"/>
      <color indexed="60"/>
      <name val="Calibri"/>
      <family val="2"/>
    </font>
    <font>
      <b/>
      <sz val="8"/>
      <name val="CharterITC BT"/>
      <family val="2"/>
    </font>
    <font>
      <sz val="10"/>
      <name val="CG Times (WN)"/>
      <family val="1"/>
    </font>
    <font>
      <sz val="8"/>
      <name val="Helv PL"/>
      <charset val="238"/>
    </font>
    <font>
      <sz val="10"/>
      <name val="Arial CE"/>
    </font>
    <font>
      <sz val="8"/>
      <name val="Arial MT"/>
    </font>
    <font>
      <sz val="12"/>
      <color indexed="8"/>
      <name val="Times New Roman"/>
      <family val="2"/>
      <charset val="204"/>
    </font>
    <font>
      <sz val="8"/>
      <name val="Arial"/>
      <family val="2"/>
      <charset val="204"/>
    </font>
    <font>
      <sz val="12"/>
      <name val="TimesET"/>
      <charset val="204"/>
    </font>
    <font>
      <b/>
      <sz val="11"/>
      <color indexed="63"/>
      <name val="Calibri"/>
      <family val="2"/>
    </font>
    <font>
      <b/>
      <sz val="12"/>
      <color indexed="63"/>
      <name val="Times New Roman"/>
      <family val="2"/>
      <charset val="204"/>
    </font>
    <font>
      <b/>
      <sz val="20"/>
      <name val="Times New Roman"/>
      <family val="1"/>
      <charset val="204"/>
    </font>
    <font>
      <b/>
      <sz val="8"/>
      <color indexed="9"/>
      <name val="Arial"/>
      <family val="2"/>
    </font>
    <font>
      <sz val="10"/>
      <color indexed="16"/>
      <name val="Helvetica-Black"/>
    </font>
    <font>
      <b/>
      <sz val="12"/>
      <name val="Arial"/>
      <family val="2"/>
      <charset val="204"/>
    </font>
    <font>
      <sz val="8"/>
      <name val="Times New Roman"/>
      <family val="1"/>
      <charset val="204"/>
    </font>
    <font>
      <sz val="12"/>
      <name val="Times New Roman"/>
      <family val="1"/>
    </font>
    <font>
      <sz val="10"/>
      <name val="Book Antiqua"/>
      <family val="1"/>
    </font>
    <font>
      <sz val="8"/>
      <color indexed="32"/>
      <name val="Arial"/>
      <family val="2"/>
    </font>
    <font>
      <sz val="8"/>
      <name val="0"/>
      <charset val="204"/>
    </font>
    <font>
      <sz val="8"/>
      <color indexed="62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0"/>
      <charset val="204"/>
    </font>
    <font>
      <sz val="12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i/>
      <sz val="6"/>
      <color indexed="59"/>
      <name val="0"/>
      <charset val="204"/>
    </font>
    <font>
      <b/>
      <i/>
      <sz val="22"/>
      <color indexed="15"/>
      <name val="Arial"/>
      <family val="2"/>
      <charset val="204"/>
    </font>
    <font>
      <i/>
      <sz val="8"/>
      <name val="Arial"/>
      <family val="2"/>
      <charset val="204"/>
    </font>
    <font>
      <sz val="8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i/>
      <sz val="8"/>
      <name val="0"/>
      <charset val="204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12"/>
      <color indexed="8"/>
      <name val="Arial"/>
      <family val="2"/>
      <charset val="204"/>
    </font>
    <font>
      <sz val="19"/>
      <name val="0"/>
      <charset val="204"/>
    </font>
    <font>
      <sz val="19"/>
      <name val="Arial"/>
      <family val="2"/>
    </font>
    <font>
      <sz val="19"/>
      <color indexed="48"/>
      <name val="Arial"/>
      <family val="2"/>
      <charset val="204"/>
    </font>
    <font>
      <sz val="10"/>
      <name val="0"/>
      <charset val="204"/>
    </font>
    <font>
      <sz val="8"/>
      <color indexed="14"/>
      <name val="Arial"/>
      <family val="2"/>
    </font>
    <font>
      <b/>
      <u/>
      <sz val="9"/>
      <name val="Swis721 Lt BT"/>
      <family val="2"/>
    </font>
    <font>
      <sz val="8"/>
      <color indexed="19"/>
      <name val="Arial"/>
      <family val="2"/>
      <charset val="204"/>
    </font>
    <font>
      <b/>
      <sz val="18"/>
      <color indexed="62"/>
      <name val="Cambria"/>
      <family val="2"/>
    </font>
    <font>
      <b/>
      <sz val="11"/>
      <color indexed="23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sz val="8"/>
      <color indexed="10"/>
      <name val="Arial"/>
      <family val="2"/>
      <charset val="204"/>
    </font>
    <font>
      <sz val="8"/>
      <color indexed="63"/>
      <name val="Arial"/>
      <family val="2"/>
      <charset val="204"/>
    </font>
    <font>
      <b/>
      <sz val="8"/>
      <color indexed="39"/>
      <name val="Arial"/>
      <family val="2"/>
      <charset val="204"/>
    </font>
    <font>
      <b/>
      <sz val="11"/>
      <color indexed="8"/>
      <name val="Arial"/>
      <family val="2"/>
      <charset val="204"/>
    </font>
    <font>
      <b/>
      <sz val="11"/>
      <color indexed="39"/>
      <name val="Arial"/>
      <family val="2"/>
      <charset val="204"/>
    </font>
    <font>
      <sz val="10"/>
      <color indexed="39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23"/>
      <name val="Arial"/>
      <family val="2"/>
      <charset val="204"/>
    </font>
    <font>
      <b/>
      <sz val="11"/>
      <color indexed="9"/>
      <name val="Arial"/>
      <family val="2"/>
      <charset val="204"/>
    </font>
    <font>
      <sz val="10"/>
      <color indexed="9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39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indexed="33"/>
      <name val="Arial"/>
      <family val="2"/>
      <charset val="204"/>
    </font>
    <font>
      <b/>
      <sz val="10"/>
      <color indexed="9"/>
      <name val="Arial"/>
      <family val="2"/>
      <charset val="204"/>
    </font>
    <font>
      <sz val="9"/>
      <color indexed="10"/>
      <name val="Arial"/>
      <family val="2"/>
      <charset val="204"/>
    </font>
    <font>
      <sz val="9"/>
      <color indexed="33"/>
      <name val="Arial"/>
      <family val="2"/>
      <charset val="204"/>
    </font>
    <font>
      <sz val="9"/>
      <color indexed="9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Tms Rmn"/>
    </font>
    <font>
      <b/>
      <sz val="10"/>
      <name val="Times New Roman"/>
      <family val="1"/>
    </font>
    <font>
      <b/>
      <sz val="7"/>
      <name val="Arial"/>
      <family val="2"/>
    </font>
    <font>
      <b/>
      <sz val="12"/>
      <name val="Times New Roman CYR"/>
      <charset val="204"/>
    </font>
    <font>
      <b/>
      <sz val="12"/>
      <name val="Times New Roman"/>
      <family val="1"/>
      <charset val="204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9"/>
      <name val="Arial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sz val="11"/>
      <name val="Helvetica-Black"/>
      <family val="2"/>
    </font>
    <font>
      <b/>
      <sz val="10"/>
      <color indexed="10"/>
      <name val="Arial"/>
      <family val="2"/>
    </font>
    <font>
      <b/>
      <sz val="18"/>
      <color indexed="13"/>
      <name val="Arial"/>
      <family val="2"/>
    </font>
    <font>
      <sz val="10"/>
      <color indexed="10"/>
      <name val="Arial"/>
      <family val="2"/>
    </font>
    <font>
      <u/>
      <sz val="8"/>
      <color indexed="8"/>
      <name val="Arial"/>
      <family val="2"/>
    </font>
    <font>
      <sz val="8"/>
      <name val="Book Antiqua"/>
      <family val="1"/>
      <charset val="204"/>
    </font>
    <font>
      <b/>
      <sz val="14"/>
      <name val="Times New Roman"/>
      <family val="1"/>
      <charset val="204"/>
    </font>
    <font>
      <sz val="11"/>
      <color indexed="10"/>
      <name val="Calibri"/>
      <family val="2"/>
    </font>
    <font>
      <b/>
      <sz val="9"/>
      <name val="Arial Cyr"/>
      <family val="2"/>
      <charset val="204"/>
    </font>
    <font>
      <b/>
      <sz val="10"/>
      <color indexed="18"/>
      <name val="CG Times (WN)"/>
      <family val="1"/>
    </font>
    <font>
      <b/>
      <u/>
      <sz val="10"/>
      <color indexed="8"/>
      <name val="MS Sans Serif"/>
      <family val="2"/>
    </font>
    <font>
      <b/>
      <sz val="10"/>
      <color indexed="9"/>
      <name val="0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17"/>
      <name val="Calibri"/>
      <family val="2"/>
    </font>
    <font>
      <u/>
      <sz val="8"/>
      <color indexed="12"/>
      <name val="Arial"/>
      <family val="2"/>
      <charset val="204"/>
    </font>
    <font>
      <b/>
      <sz val="8"/>
      <color indexed="57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8"/>
      <name val="Tahoma"/>
      <family val="2"/>
      <charset val="204"/>
    </font>
    <font>
      <b/>
      <sz val="11"/>
      <color indexed="9"/>
      <name val="Calibri"/>
      <family val="2"/>
      <charset val="204"/>
    </font>
    <font>
      <vertAlign val="subscript"/>
      <sz val="12"/>
      <name val="0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37"/>
      <name val="Calibri"/>
      <family val="2"/>
    </font>
    <font>
      <b/>
      <sz val="8"/>
      <color indexed="32"/>
      <name val="Tahoma"/>
      <family val="2"/>
      <charset val="204"/>
    </font>
    <font>
      <i/>
      <sz val="11"/>
      <color indexed="23"/>
      <name val="Calibri"/>
      <family val="2"/>
      <charset val="204"/>
    </font>
    <font>
      <sz val="11"/>
      <color theme="1"/>
      <name val="Arial Narrow"/>
      <family val="2"/>
      <charset val="204"/>
    </font>
    <font>
      <i/>
      <sz val="8"/>
      <name val="Tahoma"/>
      <family val="2"/>
      <charset val="204"/>
    </font>
    <font>
      <sz val="11"/>
      <color indexed="52"/>
      <name val="Calibri"/>
      <family val="2"/>
      <charset val="204"/>
    </font>
    <font>
      <sz val="12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sz val="9"/>
      <name val="Arial Cyr"/>
    </font>
    <font>
      <sz val="11"/>
      <color indexed="17"/>
      <name val="Calibri"/>
      <family val="2"/>
      <charset val="204"/>
    </font>
    <font>
      <sz val="11"/>
      <name val="ＭＳ Ｐゴシック"/>
      <charset val="128"/>
    </font>
  </fonts>
  <fills count="1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lightGray">
        <fgColor indexed="22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61"/>
        <bgColor indexed="61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0"/>
        <bgColor indexed="4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9"/>
        <bgColor indexed="9"/>
      </patternFill>
    </fill>
    <fill>
      <patternFill patternType="lightGray">
        <fgColor indexed="15"/>
      </patternFill>
    </fill>
    <fill>
      <patternFill patternType="solid">
        <fgColor indexed="22"/>
        <bgColor indexed="64"/>
      </patternFill>
    </fill>
    <fill>
      <patternFill patternType="solid">
        <fgColor indexed="14"/>
      </patternFill>
    </fill>
    <fill>
      <patternFill patternType="solid">
        <fgColor indexed="31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3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9"/>
      </patternFill>
    </fill>
    <fill>
      <patternFill patternType="lightGray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0"/>
      </patternFill>
    </fill>
    <fill>
      <patternFill patternType="solid">
        <fgColor rgb="FFECF1F8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11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4"/>
        <bgColor indexed="64"/>
      </patternFill>
    </fill>
    <fill>
      <patternFill patternType="solid">
        <fgColor indexed="41"/>
      </patternFill>
    </fill>
    <fill>
      <patternFill patternType="solid">
        <fgColor indexed="62"/>
        <bgColor indexed="64"/>
      </patternFill>
    </fill>
    <fill>
      <patternFill patternType="solid">
        <fgColor rgb="FF90BBF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</patternFill>
    </fill>
    <fill>
      <patternFill patternType="solid">
        <fgColor rgb="FFB2D0F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C5DCF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2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gray125">
        <fgColor indexed="8"/>
        <bgColor indexed="13"/>
      </patternFill>
    </fill>
    <fill>
      <patternFill patternType="solid">
        <fgColor indexed="16"/>
        <bgColor indexed="64"/>
      </patternFill>
    </fill>
    <fill>
      <patternFill patternType="gray0625">
        <fgColor indexed="12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62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9"/>
      </left>
      <right style="thick">
        <color indexed="9"/>
      </right>
      <top/>
      <bottom/>
      <diagonal/>
    </border>
    <border>
      <left/>
      <right/>
      <top/>
      <bottom style="double">
        <color indexed="5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1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22"/>
      </bottom>
      <diagonal/>
    </border>
    <border>
      <left/>
      <right/>
      <top style="medium">
        <color indexed="41"/>
      </top>
      <bottom style="medium">
        <color indexed="48"/>
      </bottom>
      <diagonal/>
    </border>
    <border>
      <left/>
      <right/>
      <top style="medium">
        <color indexed="22"/>
      </top>
      <bottom/>
      <diagonal/>
    </border>
    <border>
      <left/>
      <right/>
      <top style="thick">
        <color indexed="9"/>
      </top>
      <bottom style="medium">
        <color indexed="48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medium">
        <color indexed="22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7"/>
      </top>
      <bottom style="thin">
        <color indexed="57"/>
      </bottom>
      <diagonal/>
    </border>
    <border>
      <left style="thin">
        <color indexed="18"/>
      </left>
      <right style="thin">
        <color indexed="18"/>
      </right>
      <top style="double">
        <color indexed="18"/>
      </top>
      <bottom/>
      <diagonal/>
    </border>
    <border>
      <left/>
      <right/>
      <top/>
      <bottom style="thin">
        <color indexed="5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</borders>
  <cellStyleXfs count="62421">
    <xf numFmtId="0" fontId="0" fillId="0" borderId="0"/>
    <xf numFmtId="0" fontId="3" fillId="0" borderId="0"/>
    <xf numFmtId="164" fontId="7" fillId="0" borderId="0"/>
    <xf numFmtId="165" fontId="8" fillId="0" borderId="0"/>
    <xf numFmtId="166" fontId="9" fillId="0" borderId="0" applyFont="0" applyFill="0" applyBorder="0" applyAlignment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167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3" fillId="0" borderId="0"/>
    <xf numFmtId="0" fontId="3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1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169" fontId="15" fillId="0" borderId="0">
      <alignment horizontal="left" wrapText="1"/>
    </xf>
    <xf numFmtId="169" fontId="15" fillId="0" borderId="0">
      <alignment horizontal="left" wrapText="1"/>
    </xf>
    <xf numFmtId="169" fontId="15" fillId="0" borderId="0">
      <alignment horizontal="left" wrapText="1"/>
    </xf>
    <xf numFmtId="170" fontId="8" fillId="0" borderId="0" applyFont="0" applyFill="0" applyBorder="0" applyAlignment="0" applyProtection="0"/>
    <xf numFmtId="0" fontId="13" fillId="0" borderId="0"/>
    <xf numFmtId="169" fontId="8" fillId="0" borderId="0">
      <alignment horizontal="left" wrapText="1"/>
    </xf>
    <xf numFmtId="169" fontId="8" fillId="0" borderId="0">
      <alignment horizontal="left" wrapText="1"/>
    </xf>
    <xf numFmtId="0" fontId="12" fillId="0" borderId="0"/>
    <xf numFmtId="165" fontId="16" fillId="0" borderId="0">
      <alignment vertical="center"/>
    </xf>
    <xf numFmtId="165" fontId="16" fillId="0" borderId="0">
      <alignment vertical="center"/>
    </xf>
    <xf numFmtId="165" fontId="16" fillId="0" borderId="0">
      <alignment vertical="center"/>
    </xf>
    <xf numFmtId="165" fontId="17" fillId="0" borderId="0">
      <alignment vertical="center"/>
    </xf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15" fillId="0" borderId="0">
      <alignment horizontal="left" wrapText="1"/>
    </xf>
    <xf numFmtId="169" fontId="15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15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15" fillId="0" borderId="0">
      <alignment horizontal="left" wrapText="1"/>
    </xf>
    <xf numFmtId="169" fontId="15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15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9" fontId="8" fillId="0" borderId="0">
      <alignment horizontal="left" wrapText="1"/>
    </xf>
    <xf numFmtId="165" fontId="15" fillId="0" borderId="0" applyFont="0" applyFill="0" applyBorder="0" applyAlignment="0" applyProtection="0"/>
    <xf numFmtId="0" fontId="13" fillId="0" borderId="0"/>
    <xf numFmtId="0" fontId="12" fillId="0" borderId="0"/>
    <xf numFmtId="0" fontId="13" fillId="0" borderId="0"/>
    <xf numFmtId="165" fontId="8" fillId="0" borderId="0" applyFont="0" applyFill="0" applyBorder="0" applyAlignment="0" applyProtection="0"/>
    <xf numFmtId="171" fontId="1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169" fontId="15" fillId="0" borderId="0">
      <alignment horizontal="left" wrapText="1"/>
    </xf>
    <xf numFmtId="165" fontId="8" fillId="0" borderId="0" applyFont="0" applyFill="0" applyBorder="0" applyAlignment="0" applyProtection="0"/>
    <xf numFmtId="172" fontId="18" fillId="0" borderId="0" applyFont="0" applyFill="0" applyBorder="0" applyAlignment="0" applyProtection="0"/>
    <xf numFmtId="169" fontId="15" fillId="0" borderId="0">
      <alignment horizontal="left" wrapText="1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9" fontId="15" fillId="0" borderId="0">
      <alignment horizontal="left" wrapText="1"/>
    </xf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165" fontId="19" fillId="0" borderId="0">
      <alignment horizontal="left"/>
    </xf>
    <xf numFmtId="0" fontId="19" fillId="0" borderId="0">
      <alignment horizontal="left"/>
    </xf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165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165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3" fillId="0" borderId="0"/>
    <xf numFmtId="0" fontId="12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7" fillId="0" borderId="0">
      <alignment vertical="center"/>
    </xf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4" fillId="0" borderId="0"/>
    <xf numFmtId="0" fontId="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1" fillId="0" borderId="0"/>
    <xf numFmtId="0" fontId="21" fillId="0" borderId="0"/>
    <xf numFmtId="165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8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165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8" fillId="0" borderId="0"/>
    <xf numFmtId="0" fontId="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3" fillId="0" borderId="0"/>
    <xf numFmtId="165" fontId="13" fillId="0" borderId="0"/>
    <xf numFmtId="165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5" fontId="12" fillId="0" borderId="0"/>
    <xf numFmtId="0" fontId="13" fillId="0" borderId="0"/>
    <xf numFmtId="0" fontId="1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3" fillId="0" borderId="0"/>
    <xf numFmtId="0" fontId="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3" fillId="0" borderId="0"/>
    <xf numFmtId="0" fontId="23" fillId="0" borderId="0"/>
    <xf numFmtId="165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165" fontId="13" fillId="0" borderId="0"/>
    <xf numFmtId="165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5" fillId="0" borderId="0"/>
    <xf numFmtId="0" fontId="17" fillId="0" borderId="0">
      <alignment vertical="center"/>
    </xf>
    <xf numFmtId="165" fontId="26" fillId="0" borderId="0"/>
    <xf numFmtId="165" fontId="27" fillId="0" borderId="0"/>
    <xf numFmtId="9" fontId="8" fillId="0" borderId="0"/>
    <xf numFmtId="174" fontId="3" fillId="0" borderId="0">
      <alignment horizontal="center"/>
    </xf>
    <xf numFmtId="174" fontId="3" fillId="0" borderId="0">
      <alignment horizontal="center"/>
    </xf>
    <xf numFmtId="174" fontId="3" fillId="0" borderId="0">
      <alignment horizontal="center"/>
    </xf>
    <xf numFmtId="174" fontId="3" fillId="0" borderId="0">
      <alignment horizontal="center"/>
    </xf>
    <xf numFmtId="175" fontId="27" fillId="0" borderId="0"/>
    <xf numFmtId="164" fontId="27" fillId="0" borderId="0"/>
    <xf numFmtId="175" fontId="28" fillId="0" borderId="0"/>
    <xf numFmtId="2" fontId="27" fillId="0" borderId="0"/>
    <xf numFmtId="10" fontId="27" fillId="0" borderId="0"/>
    <xf numFmtId="2" fontId="28" fillId="0" borderId="0"/>
    <xf numFmtId="165" fontId="28" fillId="0" borderId="0"/>
    <xf numFmtId="165" fontId="28" fillId="0" borderId="0"/>
    <xf numFmtId="165" fontId="28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8" fillId="0" borderId="0"/>
    <xf numFmtId="165" fontId="28" fillId="0" borderId="0"/>
    <xf numFmtId="165" fontId="28" fillId="0" borderId="0"/>
    <xf numFmtId="170" fontId="29" fillId="0" borderId="0">
      <alignment horizontal="left"/>
    </xf>
    <xf numFmtId="0" fontId="27" fillId="4" borderId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176" fontId="31" fillId="11" borderId="0" applyNumberFormat="0" applyBorder="0" applyAlignment="0" applyProtection="0"/>
    <xf numFmtId="176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176" fontId="31" fillId="11" borderId="0" applyNumberFormat="0" applyBorder="0" applyAlignment="0" applyProtection="0"/>
    <xf numFmtId="176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176" fontId="31" fillId="11" borderId="0" applyNumberFormat="0" applyBorder="0" applyAlignment="0" applyProtection="0"/>
    <xf numFmtId="176" fontId="31" fillId="11" borderId="0" applyNumberFormat="0" applyBorder="0" applyAlignment="0" applyProtection="0"/>
    <xf numFmtId="0" fontId="31" fillId="11" borderId="0" applyNumberFormat="0" applyBorder="0" applyAlignment="0" applyProtection="0"/>
    <xf numFmtId="176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176" fontId="31" fillId="10" borderId="0" applyNumberFormat="0" applyBorder="0" applyAlignment="0" applyProtection="0"/>
    <xf numFmtId="176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176" fontId="31" fillId="10" borderId="0" applyNumberFormat="0" applyBorder="0" applyAlignment="0" applyProtection="0"/>
    <xf numFmtId="176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176" fontId="31" fillId="10" borderId="0" applyNumberFormat="0" applyBorder="0" applyAlignment="0" applyProtection="0"/>
    <xf numFmtId="176" fontId="31" fillId="10" borderId="0" applyNumberFormat="0" applyBorder="0" applyAlignment="0" applyProtection="0"/>
    <xf numFmtId="0" fontId="31" fillId="10" borderId="0" applyNumberFormat="0" applyBorder="0" applyAlignment="0" applyProtection="0"/>
    <xf numFmtId="176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6" fontId="31" fillId="12" borderId="0" applyNumberFormat="0" applyBorder="0" applyAlignment="0" applyProtection="0"/>
    <xf numFmtId="176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6" fontId="31" fillId="12" borderId="0" applyNumberFormat="0" applyBorder="0" applyAlignment="0" applyProtection="0"/>
    <xf numFmtId="176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176" fontId="31" fillId="12" borderId="0" applyNumberFormat="0" applyBorder="0" applyAlignment="0" applyProtection="0"/>
    <xf numFmtId="176" fontId="31" fillId="12" borderId="0" applyNumberFormat="0" applyBorder="0" applyAlignment="0" applyProtection="0"/>
    <xf numFmtId="0" fontId="31" fillId="12" borderId="0" applyNumberFormat="0" applyBorder="0" applyAlignment="0" applyProtection="0"/>
    <xf numFmtId="176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176" fontId="31" fillId="14" borderId="0" applyNumberFormat="0" applyBorder="0" applyAlignment="0" applyProtection="0"/>
    <xf numFmtId="176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176" fontId="31" fillId="14" borderId="0" applyNumberFormat="0" applyBorder="0" applyAlignment="0" applyProtection="0"/>
    <xf numFmtId="176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176" fontId="31" fillId="14" borderId="0" applyNumberFormat="0" applyBorder="0" applyAlignment="0" applyProtection="0"/>
    <xf numFmtId="176" fontId="31" fillId="14" borderId="0" applyNumberFormat="0" applyBorder="0" applyAlignment="0" applyProtection="0"/>
    <xf numFmtId="0" fontId="31" fillId="14" borderId="0" applyNumberFormat="0" applyBorder="0" applyAlignment="0" applyProtection="0"/>
    <xf numFmtId="176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176" fontId="31" fillId="15" borderId="0" applyNumberFormat="0" applyBorder="0" applyAlignment="0" applyProtection="0"/>
    <xf numFmtId="176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176" fontId="31" fillId="15" borderId="0" applyNumberFormat="0" applyBorder="0" applyAlignment="0" applyProtection="0"/>
    <xf numFmtId="176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176" fontId="31" fillId="15" borderId="0" applyNumberFormat="0" applyBorder="0" applyAlignment="0" applyProtection="0"/>
    <xf numFmtId="176" fontId="31" fillId="15" borderId="0" applyNumberFormat="0" applyBorder="0" applyAlignment="0" applyProtection="0"/>
    <xf numFmtId="0" fontId="31" fillId="15" borderId="0" applyNumberFormat="0" applyBorder="0" applyAlignment="0" applyProtection="0"/>
    <xf numFmtId="176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176" fontId="31" fillId="6" borderId="0" applyNumberFormat="0" applyBorder="0" applyAlignment="0" applyProtection="0"/>
    <xf numFmtId="176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176" fontId="31" fillId="6" borderId="0" applyNumberFormat="0" applyBorder="0" applyAlignment="0" applyProtection="0"/>
    <xf numFmtId="176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176" fontId="31" fillId="6" borderId="0" applyNumberFormat="0" applyBorder="0" applyAlignment="0" applyProtection="0"/>
    <xf numFmtId="176" fontId="31" fillId="6" borderId="0" applyNumberFormat="0" applyBorder="0" applyAlignment="0" applyProtection="0"/>
    <xf numFmtId="0" fontId="31" fillId="6" borderId="0" applyNumberFormat="0" applyBorder="0" applyAlignment="0" applyProtection="0"/>
    <xf numFmtId="176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176" fontId="31" fillId="19" borderId="0" applyNumberFormat="0" applyBorder="0" applyAlignment="0" applyProtection="0"/>
    <xf numFmtId="176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176" fontId="31" fillId="19" borderId="0" applyNumberFormat="0" applyBorder="0" applyAlignment="0" applyProtection="0"/>
    <xf numFmtId="176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176" fontId="31" fillId="19" borderId="0" applyNumberFormat="0" applyBorder="0" applyAlignment="0" applyProtection="0"/>
    <xf numFmtId="176" fontId="31" fillId="19" borderId="0" applyNumberFormat="0" applyBorder="0" applyAlignment="0" applyProtection="0"/>
    <xf numFmtId="0" fontId="31" fillId="19" borderId="0" applyNumberFormat="0" applyBorder="0" applyAlignment="0" applyProtection="0"/>
    <xf numFmtId="176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176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176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6" fontId="31" fillId="20" borderId="0" applyNumberFormat="0" applyBorder="0" applyAlignment="0" applyProtection="0"/>
    <xf numFmtId="176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6" fontId="31" fillId="20" borderId="0" applyNumberFormat="0" applyBorder="0" applyAlignment="0" applyProtection="0"/>
    <xf numFmtId="176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176" fontId="31" fillId="20" borderId="0" applyNumberFormat="0" applyBorder="0" applyAlignment="0" applyProtection="0"/>
    <xf numFmtId="176" fontId="31" fillId="20" borderId="0" applyNumberFormat="0" applyBorder="0" applyAlignment="0" applyProtection="0"/>
    <xf numFmtId="0" fontId="31" fillId="20" borderId="0" applyNumberFormat="0" applyBorder="0" applyAlignment="0" applyProtection="0"/>
    <xf numFmtId="176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6" borderId="0" applyNumberFormat="0" applyBorder="0" applyAlignment="0" applyProtection="0"/>
    <xf numFmtId="0" fontId="32" fillId="16" borderId="0" applyNumberFormat="0" applyBorder="0" applyAlignment="0" applyProtection="0"/>
    <xf numFmtId="0" fontId="32" fillId="15" borderId="0" applyNumberFormat="0" applyBorder="0" applyAlignment="0" applyProtection="0"/>
    <xf numFmtId="0" fontId="32" fillId="15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176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176" fontId="33" fillId="21" borderId="0" applyNumberFormat="0" applyBorder="0" applyAlignment="0" applyProtection="0"/>
    <xf numFmtId="176" fontId="33" fillId="21" borderId="0" applyNumberFormat="0" applyBorder="0" applyAlignment="0" applyProtection="0"/>
    <xf numFmtId="176" fontId="33" fillId="21" borderId="0" applyNumberFormat="0" applyBorder="0" applyAlignment="0" applyProtection="0"/>
    <xf numFmtId="0" fontId="33" fillId="21" borderId="0" applyNumberFormat="0" applyBorder="0" applyAlignment="0" applyProtection="0"/>
    <xf numFmtId="176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176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176" fontId="33" fillId="6" borderId="0" applyNumberFormat="0" applyBorder="0" applyAlignment="0" applyProtection="0"/>
    <xf numFmtId="176" fontId="33" fillId="6" borderId="0" applyNumberFormat="0" applyBorder="0" applyAlignment="0" applyProtection="0"/>
    <xf numFmtId="176" fontId="33" fillId="6" borderId="0" applyNumberFormat="0" applyBorder="0" applyAlignment="0" applyProtection="0"/>
    <xf numFmtId="0" fontId="33" fillId="6" borderId="0" applyNumberFormat="0" applyBorder="0" applyAlignment="0" applyProtection="0"/>
    <xf numFmtId="176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176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176" fontId="33" fillId="19" borderId="0" applyNumberFormat="0" applyBorder="0" applyAlignment="0" applyProtection="0"/>
    <xf numFmtId="176" fontId="33" fillId="19" borderId="0" applyNumberFormat="0" applyBorder="0" applyAlignment="0" applyProtection="0"/>
    <xf numFmtId="176" fontId="33" fillId="19" borderId="0" applyNumberFormat="0" applyBorder="0" applyAlignment="0" applyProtection="0"/>
    <xf numFmtId="0" fontId="33" fillId="19" borderId="0" applyNumberFormat="0" applyBorder="0" applyAlignment="0" applyProtection="0"/>
    <xf numFmtId="176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176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176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176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176" fontId="33" fillId="24" borderId="0" applyNumberFormat="0" applyBorder="0" applyAlignment="0" applyProtection="0"/>
    <xf numFmtId="176" fontId="33" fillId="24" borderId="0" applyNumberFormat="0" applyBorder="0" applyAlignment="0" applyProtection="0"/>
    <xf numFmtId="176" fontId="33" fillId="24" borderId="0" applyNumberFormat="0" applyBorder="0" applyAlignment="0" applyProtection="0"/>
    <xf numFmtId="0" fontId="33" fillId="24" borderId="0" applyNumberFormat="0" applyBorder="0" applyAlignment="0" applyProtection="0"/>
    <xf numFmtId="176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177" fontId="34" fillId="0" borderId="0" applyFont="0" applyFill="0" applyBorder="0">
      <alignment horizontal="center"/>
    </xf>
    <xf numFmtId="37" fontId="35" fillId="0" borderId="0">
      <alignment horizontal="center"/>
    </xf>
    <xf numFmtId="0" fontId="36" fillId="0" borderId="0">
      <alignment horizontal="right"/>
    </xf>
    <xf numFmtId="0" fontId="37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30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25" borderId="0" applyNumberFormat="0" applyBorder="0" applyAlignment="0" applyProtection="0"/>
    <xf numFmtId="0" fontId="37" fillId="32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5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2" borderId="0" applyNumberFormat="0" applyBorder="0" applyAlignment="0" applyProtection="0"/>
    <xf numFmtId="0" fontId="37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40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41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2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4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37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8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36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29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38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8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31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28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46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7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6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37" fontId="40" fillId="0" borderId="0" applyFont="0" applyAlignment="0">
      <alignment horizontal="centerContinuous" vertical="top"/>
    </xf>
    <xf numFmtId="17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15" fillId="0" borderId="0" applyNumberFormat="0" applyFill="0" applyBorder="0" applyAlignment="0" applyProtection="0"/>
    <xf numFmtId="165" fontId="41" fillId="0" borderId="0" applyNumberFormat="0" applyFill="0" applyBorder="0" applyAlignment="0" applyProtection="0"/>
    <xf numFmtId="165" fontId="42" fillId="0" borderId="0" applyFont="0" applyFill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78" fontId="44" fillId="48" borderId="1" applyNumberFormat="0" applyBorder="0" applyAlignment="0">
      <alignment horizontal="centerContinuous" vertical="center"/>
      <protection hidden="1"/>
    </xf>
    <xf numFmtId="1" fontId="45" fillId="49" borderId="2" applyNumberFormat="0" applyBorder="0" applyAlignment="0">
      <alignment horizontal="center" vertical="top" wrapText="1"/>
      <protection hidden="1"/>
    </xf>
    <xf numFmtId="165" fontId="46" fillId="0" borderId="0" applyNumberFormat="0" applyFill="0" applyBorder="0" applyAlignment="0" applyProtection="0"/>
    <xf numFmtId="165" fontId="47" fillId="0" borderId="0" applyBorder="0" applyProtection="0"/>
    <xf numFmtId="165" fontId="47" fillId="0" borderId="0"/>
    <xf numFmtId="165" fontId="48" fillId="0" borderId="0"/>
    <xf numFmtId="165" fontId="29" fillId="0" borderId="3" applyNumberFormat="0" applyFill="0" applyAlignment="0" applyProtection="0"/>
    <xf numFmtId="165" fontId="29" fillId="0" borderId="3" applyNumberFormat="0" applyFill="0" applyAlignment="0" applyProtection="0"/>
    <xf numFmtId="165" fontId="29" fillId="0" borderId="3" applyNumberFormat="0" applyFill="0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79" fontId="49" fillId="0" borderId="4" applyAlignment="0" applyProtection="0"/>
    <xf numFmtId="180" fontId="50" fillId="0" borderId="0" applyFont="0" applyFill="0" applyBorder="0" applyAlignment="0" applyProtection="0"/>
    <xf numFmtId="173" fontId="8" fillId="0" borderId="0" applyFont="0" applyFill="0" applyBorder="0" applyAlignment="0" applyProtection="0"/>
    <xf numFmtId="0" fontId="3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1" fillId="0" borderId="0" applyFill="0" applyBorder="0" applyAlignment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165" fontId="53" fillId="50" borderId="5" applyNumberFormat="0" applyAlignment="0" applyProtection="0"/>
    <xf numFmtId="0" fontId="52" fillId="50" borderId="5" applyNumberFormat="0" applyAlignment="0" applyProtection="0"/>
    <xf numFmtId="181" fontId="54" fillId="51" borderId="0" applyNumberFormat="0" applyFont="0" applyBorder="0" applyAlignment="0"/>
    <xf numFmtId="0" fontId="55" fillId="0" borderId="0" applyFill="0" applyBorder="0" applyProtection="0">
      <alignment horizontal="center"/>
      <protection locked="0"/>
    </xf>
    <xf numFmtId="1" fontId="56" fillId="0" borderId="0"/>
    <xf numFmtId="182" fontId="15" fillId="0" borderId="0" applyFont="0" applyFill="0" applyBorder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0" fontId="57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0" fontId="57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0" fontId="57" fillId="37" borderId="6" applyNumberFormat="0" applyAlignment="0" applyProtection="0"/>
    <xf numFmtId="165" fontId="58" fillId="37" borderId="6" applyNumberFormat="0" applyAlignment="0" applyProtection="0"/>
    <xf numFmtId="165" fontId="58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0" fontId="57" fillId="37" borderId="6" applyNumberFormat="0" applyAlignment="0" applyProtection="0"/>
    <xf numFmtId="165" fontId="18" fillId="0" borderId="0" applyNumberFormat="0" applyFill="0" applyBorder="0" applyAlignment="0" applyProtection="0"/>
    <xf numFmtId="165" fontId="59" fillId="0" borderId="0" applyNumberFormat="0" applyFill="0" applyBorder="0" applyAlignment="0" applyProtection="0"/>
    <xf numFmtId="165" fontId="60" fillId="0" borderId="0" applyNumberFormat="0" applyFill="0" applyBorder="0" applyAlignment="0" applyProtection="0"/>
    <xf numFmtId="183" fontId="8" fillId="0" borderId="7" applyFont="0" applyFill="0" applyBorder="0" applyProtection="0">
      <alignment horizontal="center"/>
      <protection locked="0"/>
    </xf>
    <xf numFmtId="0" fontId="61" fillId="0" borderId="8">
      <alignment horizontal="center"/>
    </xf>
    <xf numFmtId="175" fontId="62" fillId="0" borderId="0" applyBorder="0">
      <alignment horizontal="right"/>
    </xf>
    <xf numFmtId="175" fontId="62" fillId="0" borderId="9" applyAlignment="0">
      <alignment horizontal="right"/>
    </xf>
    <xf numFmtId="175" fontId="62" fillId="0" borderId="9" applyAlignment="0">
      <alignment horizontal="right"/>
    </xf>
    <xf numFmtId="175" fontId="62" fillId="0" borderId="9" applyAlignment="0">
      <alignment horizontal="right"/>
    </xf>
    <xf numFmtId="184" fontId="18" fillId="0" borderId="0"/>
    <xf numFmtId="185" fontId="8" fillId="0" borderId="0" applyFont="0" applyFill="0" applyBorder="0" applyAlignment="0" applyProtection="0"/>
    <xf numFmtId="186" fontId="63" fillId="0" borderId="0" applyFont="0" applyFill="0" applyBorder="0" applyAlignment="0" applyProtection="0"/>
    <xf numFmtId="165" fontId="9" fillId="0" borderId="0" applyFont="0" applyFill="0" applyBorder="0" applyAlignment="0" applyProtection="0">
      <alignment horizontal="right"/>
    </xf>
    <xf numFmtId="165" fontId="9" fillId="0" borderId="0" applyFont="0" applyFill="0" applyBorder="0" applyAlignment="0" applyProtection="0"/>
    <xf numFmtId="187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90" fontId="9" fillId="0" borderId="0" applyFont="0" applyFill="0" applyBorder="0" applyAlignment="0" applyProtection="0">
      <alignment horizontal="right"/>
    </xf>
    <xf numFmtId="168" fontId="64" fillId="0" borderId="0" applyFont="0" applyFill="0" applyBorder="0" applyAlignment="0" applyProtection="0"/>
    <xf numFmtId="168" fontId="64" fillId="0" borderId="0" applyFont="0" applyFill="0" applyBorder="0" applyAlignment="0" applyProtection="0"/>
    <xf numFmtId="191" fontId="15" fillId="0" borderId="0" applyFont="0" applyFill="0" applyBorder="0" applyAlignment="0" applyProtection="0"/>
    <xf numFmtId="192" fontId="6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>
      <alignment horizontal="right"/>
    </xf>
    <xf numFmtId="192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193" fontId="64" fillId="0" borderId="0" applyFont="0" applyFill="0" applyBorder="0" applyAlignment="0" applyProtection="0"/>
    <xf numFmtId="193" fontId="64" fillId="0" borderId="0" applyFont="0" applyFill="0" applyBorder="0" applyAlignment="0" applyProtection="0"/>
    <xf numFmtId="168" fontId="64" fillId="0" borderId="0" applyFont="0" applyFill="0" applyBorder="0" applyAlignment="0" applyProtection="0"/>
    <xf numFmtId="168" fontId="64" fillId="0" borderId="0" applyFont="0" applyFill="0" applyBorder="0" applyAlignment="0" applyProtection="0"/>
    <xf numFmtId="165" fontId="9" fillId="0" borderId="0" applyFont="0" applyFill="0" applyBorder="0" applyAlignment="0" applyProtection="0"/>
    <xf numFmtId="192" fontId="8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5" fillId="0" borderId="0" applyFont="0" applyFill="0" applyBorder="0" applyAlignment="0" applyProtection="0"/>
    <xf numFmtId="3" fontId="66" fillId="0" borderId="0" applyFill="0" applyBorder="0" applyAlignment="0" applyProtection="0"/>
    <xf numFmtId="165" fontId="67" fillId="0" borderId="0"/>
    <xf numFmtId="0" fontId="68" fillId="0" borderId="0" applyFill="0" applyBorder="0" applyAlignment="0" applyProtection="0">
      <protection locked="0"/>
    </xf>
    <xf numFmtId="165" fontId="69" fillId="0" borderId="0">
      <alignment horizontal="left"/>
    </xf>
    <xf numFmtId="165" fontId="70" fillId="0" borderId="0"/>
    <xf numFmtId="165" fontId="71" fillId="0" borderId="0">
      <alignment horizontal="left"/>
    </xf>
    <xf numFmtId="194" fontId="48" fillId="0" borderId="0" applyFill="0" applyBorder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4" applyFill="0" applyProtection="0"/>
    <xf numFmtId="194" fontId="48" fillId="0" borderId="10" applyFill="0" applyProtection="0"/>
    <xf numFmtId="194" fontId="48" fillId="0" borderId="0" applyFill="0" applyBorder="0" applyProtection="0"/>
    <xf numFmtId="195" fontId="8" fillId="0" borderId="0" applyFont="0" applyFill="0" applyBorder="0" applyAlignment="0" applyProtection="0"/>
    <xf numFmtId="196" fontId="72" fillId="0" borderId="0" applyFont="0" applyFill="0" applyBorder="0" applyAlignment="0" applyProtection="0"/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97" fontId="8" fillId="0" borderId="11">
      <protection locked="0"/>
    </xf>
    <xf numFmtId="165" fontId="9" fillId="0" borderId="0" applyFont="0" applyFill="0" applyBorder="0" applyAlignment="0" applyProtection="0">
      <alignment horizontal="right"/>
    </xf>
    <xf numFmtId="198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65" fontId="9" fillId="0" borderId="0" applyFont="0" applyFill="0" applyBorder="0" applyAlignment="0" applyProtection="0">
      <alignment horizontal="right"/>
    </xf>
    <xf numFmtId="165" fontId="73" fillId="0" borderId="0" applyFont="0" applyFill="0" applyBorder="0" applyAlignment="0" applyProtection="0"/>
    <xf numFmtId="165" fontId="9" fillId="0" borderId="0" applyFont="0" applyFill="0" applyBorder="0" applyAlignment="0" applyProtection="0">
      <alignment horizontal="right"/>
    </xf>
    <xf numFmtId="165" fontId="73" fillId="0" borderId="0" applyFont="0" applyFill="0" applyBorder="0" applyAlignment="0" applyProtection="0"/>
    <xf numFmtId="37" fontId="74" fillId="0" borderId="12" applyFont="0" applyFill="0" applyBorder="0"/>
    <xf numFmtId="37" fontId="75" fillId="0" borderId="12" applyFont="0" applyFill="0" applyBorder="0">
      <protection locked="0"/>
    </xf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6" fillId="52" borderId="13" applyFill="0" applyBorder="0" applyProtection="0"/>
    <xf numFmtId="37" fontId="75" fillId="0" borderId="12" applyFill="0" applyBorder="0">
      <protection locked="0"/>
    </xf>
    <xf numFmtId="165" fontId="9" fillId="0" borderId="0" applyFont="0" applyFill="0" applyBorder="0" applyAlignment="0" applyProtection="0"/>
    <xf numFmtId="20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201" fontId="65" fillId="0" borderId="0" applyFont="0" applyFill="0" applyBorder="0" applyAlignment="0" applyProtection="0"/>
    <xf numFmtId="0" fontId="66" fillId="0" borderId="0" applyFill="0" applyBorder="0" applyAlignment="0" applyProtection="0"/>
    <xf numFmtId="202" fontId="18" fillId="0" borderId="0" applyFill="0" applyBorder="0" applyProtection="0">
      <alignment vertical="center"/>
    </xf>
    <xf numFmtId="165" fontId="77" fillId="0" borderId="0"/>
    <xf numFmtId="165" fontId="8" fillId="0" borderId="0" applyFont="0" applyFill="0" applyBorder="0" applyAlignment="0" applyProtection="0"/>
    <xf numFmtId="0" fontId="78" fillId="0" borderId="14">
      <alignment horizontal="left" vertical="top"/>
      <protection locked="0"/>
    </xf>
    <xf numFmtId="176" fontId="78" fillId="0" borderId="14">
      <alignment horizontal="left" vertical="top"/>
      <protection locked="0"/>
    </xf>
    <xf numFmtId="165" fontId="8" fillId="0" borderId="15" applyNumberFormat="0"/>
    <xf numFmtId="0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15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203" fontId="79" fillId="0" borderId="16" applyFont="0" applyFill="0" applyBorder="0" applyAlignment="0">
      <alignment horizontal="centerContinuous"/>
    </xf>
    <xf numFmtId="0" fontId="65" fillId="0" borderId="0" applyFont="0" applyFill="0" applyBorder="0" applyAlignment="0" applyProtection="0"/>
    <xf numFmtId="165" fontId="8" fillId="0" borderId="0"/>
    <xf numFmtId="199" fontId="48" fillId="0" borderId="0" applyFill="0" applyBorder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4" applyFill="0" applyProtection="0"/>
    <xf numFmtId="199" fontId="48" fillId="0" borderId="10" applyFill="0" applyProtection="0"/>
    <xf numFmtId="199" fontId="48" fillId="0" borderId="0" applyFill="0" applyBorder="0" applyProtection="0"/>
    <xf numFmtId="204" fontId="80" fillId="53" borderId="0" applyNumberFormat="0" applyBorder="0" applyAlignment="0" applyProtection="0"/>
    <xf numFmtId="3" fontId="8" fillId="0" borderId="0" applyFont="0"/>
    <xf numFmtId="205" fontId="81" fillId="0" borderId="0"/>
    <xf numFmtId="4" fontId="81" fillId="0" borderId="0"/>
    <xf numFmtId="185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206" fontId="8" fillId="0" borderId="0"/>
    <xf numFmtId="179" fontId="30" fillId="0" borderId="0" applyFont="0" applyFill="0" applyBorder="0" applyAlignment="0" applyProtection="0">
      <protection locked="0"/>
    </xf>
    <xf numFmtId="165" fontId="9" fillId="0" borderId="17" applyNumberFormat="0" applyFont="0" applyFill="0" applyAlignment="0" applyProtection="0"/>
    <xf numFmtId="173" fontId="82" fillId="0" borderId="0" applyFill="0" applyBorder="0" applyAlignment="0" applyProtection="0"/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207" fontId="83" fillId="54" borderId="18" applyNumberFormat="0" applyAlignment="0">
      <alignment horizontal="right" vertical="center"/>
    </xf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6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5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8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7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0" fontId="84" fillId="59" borderId="0" applyNumberFormat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165" fontId="3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209" fontId="15" fillId="0" borderId="0" applyFont="0" applyFill="0" applyBorder="0" applyAlignment="0" applyProtection="0"/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1" fontId="86" fillId="60" borderId="19" applyNumberFormat="0" applyBorder="0" applyAlignment="0">
      <alignment horizontal="centerContinuous" vertical="center"/>
      <protection locked="0"/>
    </xf>
    <xf numFmtId="2" fontId="3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5" fillId="0" borderId="0" applyFont="0" applyFill="0" applyBorder="0" applyAlignment="0" applyProtection="0"/>
    <xf numFmtId="2" fontId="66" fillId="0" borderId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65" fontId="88" fillId="0" borderId="0">
      <alignment horizontal="left"/>
    </xf>
    <xf numFmtId="165" fontId="89" fillId="0" borderId="0">
      <alignment horizontal="left"/>
    </xf>
    <xf numFmtId="165" fontId="54" fillId="0" borderId="0" applyFill="0" applyBorder="0" applyProtection="0">
      <alignment horizontal="left"/>
    </xf>
    <xf numFmtId="165" fontId="90" fillId="0" borderId="0">
      <alignment horizontal="left"/>
    </xf>
    <xf numFmtId="210" fontId="91" fillId="0" borderId="0">
      <alignment vertical="center"/>
    </xf>
    <xf numFmtId="165" fontId="54" fillId="0" borderId="0" applyFill="0" applyBorder="0" applyProtection="0">
      <alignment horizontal="left"/>
    </xf>
    <xf numFmtId="165" fontId="92" fillId="0" borderId="0" applyNumberFormat="0" applyFill="0" applyBorder="0" applyAlignment="0" applyProtection="0"/>
    <xf numFmtId="211" fontId="93" fillId="0" borderId="20" applyNumberFormat="0" applyFill="0" applyBorder="0" applyAlignment="0" applyProtection="0"/>
    <xf numFmtId="211" fontId="93" fillId="0" borderId="20" applyNumberFormat="0" applyFill="0" applyBorder="0" applyAlignment="0" applyProtection="0"/>
    <xf numFmtId="211" fontId="93" fillId="0" borderId="20" applyNumberFormat="0" applyFill="0" applyBorder="0" applyAlignment="0" applyProtection="0"/>
    <xf numFmtId="204" fontId="94" fillId="0" borderId="0" applyNumberFormat="0" applyFill="0" applyBorder="0" applyAlignment="0" applyProtection="0"/>
    <xf numFmtId="212" fontId="95" fillId="61" borderId="0" applyBorder="0">
      <protection locked="0"/>
    </xf>
    <xf numFmtId="165" fontId="96" fillId="0" borderId="21" applyNumberFormat="0" applyFill="0" applyAlignment="0" applyProtection="0"/>
    <xf numFmtId="165" fontId="96" fillId="0" borderId="21" applyNumberFormat="0" applyFill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8" fillId="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0" fontId="97" fillId="62" borderId="0" applyNumberFormat="0" applyBorder="0" applyAlignment="0" applyProtection="0"/>
    <xf numFmtId="38" fontId="18" fillId="52" borderId="0" applyNumberFormat="0" applyBorder="0" applyAlignment="0" applyProtection="0"/>
    <xf numFmtId="165" fontId="9" fillId="0" borderId="0" applyFont="0" applyFill="0" applyBorder="0" applyAlignment="0" applyProtection="0">
      <alignment horizontal="right"/>
    </xf>
    <xf numFmtId="165" fontId="99" fillId="0" borderId="0" applyProtection="0">
      <alignment horizontal="right"/>
    </xf>
    <xf numFmtId="165" fontId="100" fillId="0" borderId="0">
      <alignment horizontal="left"/>
    </xf>
    <xf numFmtId="0" fontId="101" fillId="0" borderId="14">
      <alignment horizontal="center" vertical="top"/>
      <protection locked="0"/>
    </xf>
    <xf numFmtId="176" fontId="101" fillId="0" borderId="14">
      <alignment horizontal="center" vertical="top"/>
      <protection locked="0"/>
    </xf>
    <xf numFmtId="165" fontId="55" fillId="61" borderId="13">
      <alignment horizontal="center" vertical="center"/>
    </xf>
    <xf numFmtId="0" fontId="3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2" applyNumberFormat="0" applyAlignment="0" applyProtection="0">
      <alignment horizontal="left" vertical="center"/>
    </xf>
    <xf numFmtId="0" fontId="102" fillId="0" borderId="23" applyNumberFormat="0" applyAlignment="0" applyProtection="0"/>
    <xf numFmtId="0" fontId="3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0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0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0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0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165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4">
      <alignment horizontal="left" vertical="center"/>
    </xf>
    <xf numFmtId="0" fontId="102" fillId="0" borderId="25">
      <alignment horizontal="left" vertical="center"/>
    </xf>
    <xf numFmtId="14" fontId="80" fillId="63" borderId="9">
      <alignment horizontal="center" vertical="center" wrapText="1"/>
    </xf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4" fillId="0" borderId="0" applyNumberFormat="0" applyFill="0" applyBorder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4" fillId="0" borderId="0" applyNumberFormat="0" applyFill="0" applyBorder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4" fillId="0" borderId="0" applyNumberFormat="0" applyFill="0" applyBorder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4" fillId="0" borderId="0" applyNumberFormat="0" applyFill="0" applyBorder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0" fontId="103" fillId="0" borderId="26" applyNumberFormat="0" applyFill="0" applyAlignment="0" applyProtection="0"/>
    <xf numFmtId="165" fontId="105" fillId="0" borderId="0">
      <alignment horizontal="left"/>
    </xf>
    <xf numFmtId="165" fontId="106" fillId="0" borderId="2">
      <alignment horizontal="left" vertical="top"/>
    </xf>
    <xf numFmtId="165" fontId="107" fillId="0" borderId="2">
      <alignment horizontal="left" vertical="top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9" fillId="0" borderId="0" applyNumberFormat="0" applyFill="0" applyBorder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9" fillId="0" borderId="0" applyNumberFormat="0" applyFill="0" applyBorder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9" fillId="0" borderId="0" applyNumberFormat="0" applyFill="0" applyBorder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9" fillId="0" borderId="0" applyNumberFormat="0" applyFill="0" applyBorder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165" fontId="110" fillId="0" borderId="0">
      <alignment horizontal="left"/>
    </xf>
    <xf numFmtId="165" fontId="111" fillId="0" borderId="0" applyProtection="0">
      <alignment horizontal="left"/>
    </xf>
    <xf numFmtId="165" fontId="112" fillId="0" borderId="2">
      <alignment horizontal="left" vertical="top"/>
    </xf>
    <xf numFmtId="14" fontId="80" fillId="63" borderId="9">
      <alignment horizontal="center" vertical="center" wrapText="1"/>
    </xf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0" fontId="113" fillId="0" borderId="28" applyNumberFormat="0" applyFill="0" applyAlignment="0" applyProtection="0"/>
    <xf numFmtId="165" fontId="114" fillId="0" borderId="0">
      <alignment horizontal="left"/>
    </xf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14" fontId="80" fillId="63" borderId="9">
      <alignment horizontal="center" vertical="center" wrapText="1"/>
    </xf>
    <xf numFmtId="37" fontId="115" fillId="0" borderId="0"/>
    <xf numFmtId="0" fontId="55" fillId="0" borderId="0" applyFill="0" applyAlignment="0" applyProtection="0">
      <protection locked="0"/>
    </xf>
    <xf numFmtId="0" fontId="55" fillId="0" borderId="3" applyFill="0" applyAlignment="0" applyProtection="0">
      <protection locked="0"/>
    </xf>
    <xf numFmtId="165" fontId="55" fillId="0" borderId="3" applyFill="0" applyAlignment="0" applyProtection="0">
      <protection locked="0"/>
    </xf>
    <xf numFmtId="165" fontId="55" fillId="0" borderId="3" applyFill="0" applyAlignment="0" applyProtection="0">
      <protection locked="0"/>
    </xf>
    <xf numFmtId="14" fontId="80" fillId="0" borderId="29" applyFill="0">
      <alignment horizontal="center" vertical="center" wrapText="1"/>
    </xf>
    <xf numFmtId="165" fontId="40" fillId="0" borderId="0" applyNumberFormat="0" applyFill="0" applyBorder="0" applyAlignment="0" applyProtection="0">
      <alignment horizontal="left"/>
    </xf>
    <xf numFmtId="165" fontId="116" fillId="0" borderId="0" applyNumberFormat="0" applyFill="0" applyBorder="0" applyAlignment="0" applyProtection="0">
      <alignment horizontal="center"/>
    </xf>
    <xf numFmtId="165" fontId="117" fillId="0" borderId="0" applyNumberFormat="0" applyFill="0" applyBorder="0" applyAlignment="0" applyProtection="0">
      <alignment horizontal="center"/>
    </xf>
    <xf numFmtId="165" fontId="118" fillId="0" borderId="30" applyNumberFormat="0" applyFill="0" applyBorder="0" applyAlignment="0" applyProtection="0">
      <alignment horizontal="left"/>
    </xf>
    <xf numFmtId="164" fontId="119" fillId="0" borderId="0"/>
    <xf numFmtId="0" fontId="12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/>
    <xf numFmtId="179" fontId="121" fillId="52" borderId="31" applyNumberFormat="0" applyFont="0" applyBorder="0" applyAlignment="0" applyProtection="0">
      <alignment horizontal="right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3" fillId="46" borderId="5" applyNumberFormat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10" fontId="18" fillId="64" borderId="13" applyNumberFormat="0" applyBorder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0" fontId="123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165" fontId="124" fillId="46" borderId="5" applyNumberFormat="0" applyAlignment="0" applyProtection="0"/>
    <xf numFmtId="213" fontId="125" fillId="0" borderId="32" applyFill="0" applyBorder="0" applyAlignment="0" applyProtection="0"/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165" fontId="126" fillId="65" borderId="4" applyNumberFormat="0" applyFont="0" applyBorder="0" applyAlignment="0" applyProtection="0">
      <alignment horizontal="left"/>
      <protection locked="0"/>
    </xf>
    <xf numFmtId="214" fontId="18" fillId="0" borderId="0" applyFill="0" applyBorder="0" applyProtection="0">
      <alignment vertical="center"/>
    </xf>
    <xf numFmtId="202" fontId="18" fillId="0" borderId="0" applyFill="0" applyBorder="0" applyProtection="0">
      <alignment vertical="center"/>
    </xf>
    <xf numFmtId="215" fontId="18" fillId="0" borderId="0" applyFill="0" applyBorder="0" applyProtection="0">
      <alignment vertical="center"/>
    </xf>
    <xf numFmtId="216" fontId="18" fillId="0" borderId="0" applyFill="0" applyBorder="0" applyProtection="0">
      <alignment vertical="center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7" fillId="66" borderId="13" applyNumberFormat="0" applyFont="0" applyBorder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8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217" fontId="127" fillId="66" borderId="13" applyNumberFormat="0" applyAlignment="0">
      <alignment horizontal="right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/>
    <xf numFmtId="0" fontId="3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1" fillId="0" borderId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132" fillId="0" borderId="33" applyNumberForma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165" fontId="18" fillId="0" borderId="0" applyFont="0" applyFill="0" applyBorder="0" applyAlignment="0" applyProtection="0"/>
    <xf numFmtId="2" fontId="133" fillId="0" borderId="34" applyFont="0" applyFill="0" applyBorder="0" applyAlignment="0"/>
    <xf numFmtId="37" fontId="8" fillId="0" borderId="0" applyFont="0" applyFill="0" applyBorder="0" applyAlignment="0" applyProtection="0"/>
    <xf numFmtId="165" fontId="134" fillId="67" borderId="35">
      <alignment horizontal="left" vertical="top" indent="2"/>
    </xf>
    <xf numFmtId="21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20" fontId="18" fillId="64" borderId="0">
      <alignment horizontal="center"/>
    </xf>
    <xf numFmtId="17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94" fillId="0" borderId="0"/>
    <xf numFmtId="165" fontId="9" fillId="0" borderId="0" applyFont="0" applyFill="0" applyBorder="0" applyAlignment="0" applyProtection="0">
      <alignment horizontal="right"/>
    </xf>
    <xf numFmtId="221" fontId="9" fillId="0" borderId="0" applyFont="0" applyFill="0" applyBorder="0" applyAlignment="0" applyProtection="0"/>
    <xf numFmtId="181" fontId="72" fillId="0" borderId="0" applyFont="0" applyFill="0" applyBorder="0" applyAlignment="0" applyProtection="0"/>
    <xf numFmtId="222" fontId="9" fillId="0" borderId="0" applyFont="0" applyFill="0" applyBorder="0" applyAlignment="0" applyProtection="0">
      <alignment horizontal="right"/>
    </xf>
    <xf numFmtId="215" fontId="18" fillId="0" borderId="0" applyFill="0" applyBorder="0" applyProtection="0">
      <alignment vertical="center"/>
    </xf>
    <xf numFmtId="165" fontId="9" fillId="0" borderId="0" applyFont="0" applyFill="0" applyBorder="0" applyAlignment="0" applyProtection="0">
      <alignment horizontal="right"/>
    </xf>
    <xf numFmtId="168" fontId="7" fillId="0" borderId="0"/>
    <xf numFmtId="165" fontId="8" fillId="0" borderId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0" fontId="135" fillId="46" borderId="0" applyNumberFormat="0" applyBorder="0" applyAlignment="0" applyProtection="0"/>
    <xf numFmtId="165" fontId="136" fillId="0" borderId="0">
      <alignment horizontal="centerContinuous"/>
    </xf>
    <xf numFmtId="165" fontId="137" fillId="0" borderId="0"/>
    <xf numFmtId="223" fontId="8" fillId="0" borderId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224" fontId="8" fillId="0" borderId="4" applyFont="0" applyFill="0" applyBorder="0" applyAlignment="0" applyProtection="0"/>
    <xf numFmtId="1" fontId="138" fillId="0" borderId="0" applyProtection="0"/>
    <xf numFmtId="0" fontId="27" fillId="0" borderId="36"/>
    <xf numFmtId="0" fontId="8" fillId="0" borderId="0" applyNumberFormat="0" applyFill="0" applyBorder="0" applyAlignment="0" applyProtection="0"/>
    <xf numFmtId="225" fontId="3" fillId="0" borderId="0"/>
    <xf numFmtId="225" fontId="3" fillId="0" borderId="0"/>
    <xf numFmtId="225" fontId="3" fillId="0" borderId="0"/>
    <xf numFmtId="225" fontId="3" fillId="0" borderId="0"/>
    <xf numFmtId="0" fontId="15" fillId="0" borderId="0"/>
    <xf numFmtId="0" fontId="15" fillId="0" borderId="0"/>
    <xf numFmtId="0" fontId="15" fillId="0" borderId="0"/>
    <xf numFmtId="0" fontId="64" fillId="0" borderId="0"/>
    <xf numFmtId="165" fontId="3" fillId="0" borderId="0"/>
    <xf numFmtId="0" fontId="64" fillId="0" borderId="0"/>
    <xf numFmtId="0" fontId="3" fillId="0" borderId="0"/>
    <xf numFmtId="226" fontId="18" fillId="0" borderId="0" applyFill="0" applyBorder="0" applyProtection="0">
      <alignment vertical="center"/>
    </xf>
    <xf numFmtId="165" fontId="8" fillId="0" borderId="0"/>
    <xf numFmtId="165" fontId="110" fillId="0" borderId="0"/>
    <xf numFmtId="0" fontId="139" fillId="0" borderId="0"/>
    <xf numFmtId="9" fontId="140" fillId="0" borderId="0"/>
    <xf numFmtId="0" fontId="12" fillId="0" borderId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0" fontId="8" fillId="45" borderId="18" applyNumberFormat="0" applyFon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141" fillId="45" borderId="18" applyNumberFormat="0" applyAlignment="0" applyProtection="0"/>
    <xf numFmtId="165" fontId="9" fillId="0" borderId="0" applyFont="0" applyFill="0" applyBorder="0" applyAlignment="0" applyProtection="0"/>
    <xf numFmtId="165" fontId="8" fillId="0" borderId="0"/>
    <xf numFmtId="168" fontId="142" fillId="0" borderId="0"/>
    <xf numFmtId="227" fontId="9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227" fontId="9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228" fontId="142" fillId="0" borderId="0"/>
    <xf numFmtId="21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92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229" fontId="143" fillId="0" borderId="0" applyFont="0" applyFill="0" applyBorder="0" applyAlignment="0" applyProtection="0"/>
    <xf numFmtId="230" fontId="143" fillId="0" borderId="0" applyFont="0" applyFill="0" applyBorder="0" applyAlignment="0" applyProtection="0"/>
    <xf numFmtId="165" fontId="47" fillId="0" borderId="0" applyBorder="0" applyProtection="0"/>
    <xf numFmtId="231" fontId="3" fillId="0" borderId="0" applyFont="0" applyFill="0" applyBorder="0" applyAlignment="0" applyProtection="0"/>
    <xf numFmtId="232" fontId="3" fillId="0" borderId="0" applyFont="0" applyFill="0" applyBorder="0" applyAlignment="0" applyProtection="0"/>
    <xf numFmtId="165" fontId="8" fillId="0" borderId="0">
      <alignment horizontal="left"/>
    </xf>
    <xf numFmtId="0" fontId="144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144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165" fontId="145" fillId="50" borderId="37" applyNumberFormat="0" applyAlignment="0" applyProtection="0"/>
    <xf numFmtId="0" fontId="3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165" fontId="147" fillId="68" borderId="0"/>
    <xf numFmtId="1" fontId="148" fillId="0" borderId="0" applyProtection="0">
      <alignment horizontal="right" vertical="center"/>
    </xf>
    <xf numFmtId="165" fontId="149" fillId="0" borderId="0">
      <alignment horizontal="left" vertical="top"/>
    </xf>
    <xf numFmtId="233" fontId="8" fillId="0" borderId="0" applyFont="0" applyFill="0" applyBorder="0" applyAlignment="0" applyProtection="0"/>
    <xf numFmtId="234" fontId="8" fillId="0" borderId="0" applyFont="0" applyFill="0" applyBorder="0" applyAlignment="0" applyProtection="0"/>
    <xf numFmtId="235" fontId="8" fillId="0" borderId="0" applyFont="0" applyFill="0" applyBorder="0" applyAlignment="0" applyProtection="0"/>
    <xf numFmtId="164" fontId="150" fillId="0" borderId="0"/>
    <xf numFmtId="9" fontId="151" fillId="0" borderId="0" applyFont="0" applyFill="0" applyBorder="0" applyAlignment="0" applyProtection="0"/>
    <xf numFmtId="164" fontId="151" fillId="0" borderId="0" applyFont="0" applyFill="0" applyBorder="0" applyAlignment="0" applyProtection="0"/>
    <xf numFmtId="10" fontId="8" fillId="0" borderId="0" applyFont="0" applyFill="0" applyBorder="0" applyAlignment="0" applyProtection="0"/>
    <xf numFmtId="236" fontId="8" fillId="0" borderId="0" applyFont="0" applyFill="0" applyBorder="0" applyAlignment="0" applyProtection="0"/>
    <xf numFmtId="237" fontId="8" fillId="0" borderId="0" applyFont="0" applyFill="0" applyBorder="0" applyAlignment="0" applyProtection="0"/>
    <xf numFmtId="238" fontId="8" fillId="0" borderId="0" applyFont="0" applyFill="0" applyBorder="0" applyAlignment="0" applyProtection="0"/>
    <xf numFmtId="239" fontId="8" fillId="0" borderId="0" applyFont="0" applyFill="0" applyBorder="0" applyAlignment="0" applyProtection="0"/>
    <xf numFmtId="240" fontId="8" fillId="0" borderId="0" applyFont="0" applyFill="0" applyBorder="0" applyAlignment="0" applyProtection="0"/>
    <xf numFmtId="241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73" fillId="0" borderId="0" applyFont="0" applyFill="0" applyBorder="0" applyAlignment="0" applyProtection="0"/>
    <xf numFmtId="216" fontId="18" fillId="0" borderId="0" applyFill="0" applyBorder="0" applyProtection="0">
      <alignment vertical="center"/>
    </xf>
    <xf numFmtId="165" fontId="152" fillId="0" borderId="0"/>
    <xf numFmtId="164" fontId="8" fillId="0" borderId="0" applyFont="0" applyFill="0" applyBorder="0" applyAlignment="0" applyProtection="0"/>
    <xf numFmtId="197" fontId="15" fillId="0" borderId="0" applyFont="0" applyFill="0" applyBorder="0" applyAlignment="0" applyProtection="0"/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205" fontId="127" fillId="69" borderId="13">
      <alignment horizontal="right"/>
    </xf>
    <xf numFmtId="178" fontId="153" fillId="52" borderId="0" applyBorder="0" applyAlignment="0">
      <protection hidden="1"/>
    </xf>
    <xf numFmtId="1" fontId="153" fillId="52" borderId="0">
      <alignment horizontal="center"/>
    </xf>
    <xf numFmtId="165" fontId="28" fillId="0" borderId="0" applyNumberFormat="0" applyFont="0" applyFill="0" applyBorder="0" applyAlignment="0" applyProtection="0">
      <alignment horizontal="left"/>
    </xf>
    <xf numFmtId="165" fontId="115" fillId="0" borderId="9">
      <alignment horizontal="center"/>
    </xf>
    <xf numFmtId="165" fontId="115" fillId="0" borderId="9">
      <alignment horizontal="center"/>
    </xf>
    <xf numFmtId="165" fontId="115" fillId="0" borderId="9">
      <alignment horizontal="center"/>
    </xf>
    <xf numFmtId="0" fontId="3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48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65" fontId="26" fillId="0" borderId="0">
      <alignment vertical="top"/>
    </xf>
    <xf numFmtId="170" fontId="48" fillId="0" borderId="0">
      <alignment vertical="top"/>
    </xf>
    <xf numFmtId="170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65" fontId="48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170" fontId="26" fillId="0" borderId="0">
      <alignment vertical="top"/>
    </xf>
    <xf numFmtId="242" fontId="26" fillId="67" borderId="0"/>
    <xf numFmtId="165" fontId="89" fillId="0" borderId="38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62" fillId="70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64" borderId="39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5" fillId="72" borderId="39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4" fillId="71" borderId="13" applyNumberFormat="0" applyProtection="0">
      <alignment vertical="center"/>
    </xf>
    <xf numFmtId="4" fontId="156" fillId="73" borderId="27">
      <alignment vertical="center"/>
    </xf>
    <xf numFmtId="4" fontId="157" fillId="73" borderId="27">
      <alignment vertical="center"/>
    </xf>
    <xf numFmtId="4" fontId="156" fillId="74" borderId="27">
      <alignment vertical="center"/>
    </xf>
    <xf numFmtId="4" fontId="157" fillId="74" borderId="27">
      <alignment vertical="center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62" fillId="70" borderId="39" applyNumberFormat="0" applyProtection="0">
      <alignment horizontal="left" vertical="center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4" fontId="154" fillId="64" borderId="39" applyNumberFormat="0" applyProtection="0">
      <alignment horizontal="left" vertical="center" wrapText="1" indent="1"/>
    </xf>
    <xf numFmtId="0" fontId="158" fillId="71" borderId="40" applyNumberFormat="0" applyProtection="0">
      <alignment horizontal="left" vertical="top" indent="1"/>
    </xf>
    <xf numFmtId="0" fontId="159" fillId="71" borderId="40" applyNumberFormat="0" applyProtection="0">
      <alignment horizontal="left" vertical="top" indent="1"/>
    </xf>
    <xf numFmtId="0" fontId="8" fillId="75" borderId="0"/>
    <xf numFmtId="0" fontId="8" fillId="75" borderId="0"/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8" fillId="23" borderId="39" applyNumberFormat="0" applyProtection="0">
      <alignment horizontal="left" vertical="center" indent="1"/>
    </xf>
    <xf numFmtId="4" fontId="160" fillId="76" borderId="39" applyNumberFormat="0" applyProtection="0">
      <alignment vertical="center" wrapText="1"/>
    </xf>
    <xf numFmtId="4" fontId="18" fillId="23" borderId="39" applyNumberFormat="0" applyProtection="0">
      <alignment horizontal="left" vertical="center" inden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0" fillId="76" borderId="39" applyNumberFormat="0" applyProtection="0">
      <alignment vertical="center" wrapText="1"/>
    </xf>
    <xf numFmtId="4" fontId="161" fillId="77" borderId="4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8" fillId="10" borderId="39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8" fillId="10" borderId="39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8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8" fillId="79" borderId="39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8" fillId="79" borderId="39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79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8" fillId="80" borderId="41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8" fillId="80" borderId="41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54" fillId="80" borderId="13" applyNumberFormat="0" applyProtection="0">
      <alignment horizontal="right" vertical="center"/>
    </xf>
    <xf numFmtId="4" fontId="161" fillId="81" borderId="4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8" fillId="20" borderId="39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8" fillId="20" borderId="39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82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8" fillId="24" borderId="39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8" fillId="24" borderId="39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24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8" fillId="83" borderId="39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8" fillId="83" borderId="39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54" fillId="83" borderId="13" applyNumberFormat="0" applyProtection="0">
      <alignment horizontal="right" vertical="center"/>
    </xf>
    <xf numFmtId="4" fontId="161" fillId="73" borderId="4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8" fillId="17" borderId="39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8" fillId="17" borderId="39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17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8" fillId="84" borderId="39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8" fillId="84" borderId="39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84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8" fillId="19" borderId="39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8" fillId="19" borderId="39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54" fillId="19" borderId="13" applyNumberFormat="0" applyProtection="0">
      <alignment horizontal="right" vertical="center"/>
    </xf>
    <xf numFmtId="4" fontId="162" fillId="77" borderId="40">
      <alignment horizontal="right" vertical="center"/>
    </xf>
    <xf numFmtId="4" fontId="162" fillId="77" borderId="40">
      <alignment horizontal="right" vertical="center"/>
    </xf>
    <xf numFmtId="4" fontId="154" fillId="85" borderId="13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8" fillId="85" borderId="41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8" fillId="85" borderId="41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85" borderId="13" applyNumberFormat="0" applyProtection="0">
      <alignment horizontal="left" vertical="center" indent="1"/>
    </xf>
    <xf numFmtId="4" fontId="158" fillId="85" borderId="42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" fillId="16" borderId="41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5" fillId="16" borderId="41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2" fillId="16" borderId="0" applyNumberFormat="0" applyProtection="0">
      <alignment horizontal="left" vertical="center" indent="1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8" fillId="5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8" fillId="5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3" fillId="60" borderId="39" applyNumberFormat="0" applyProtection="0">
      <alignment horizontal="right" vertical="center"/>
    </xf>
    <xf numFmtId="4" fontId="161" fillId="86" borderId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8" fillId="87" borderId="41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54" fillId="87" borderId="13" applyNumberFormat="0" applyProtection="0">
      <alignment horizontal="left" vertical="center" indent="1"/>
    </xf>
    <xf numFmtId="4" fontId="18" fillId="87" borderId="41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4" fontId="74" fillId="87" borderId="0" applyNumberFormat="0" applyProtection="0">
      <alignment horizontal="left" vertical="center" indent="1"/>
    </xf>
    <xf numFmtId="0" fontId="8" fillId="88" borderId="43" applyNumberFormat="0" applyFont="0" applyAlignment="0"/>
    <xf numFmtId="0" fontId="8" fillId="88" borderId="43" applyNumberFormat="0" applyFont="0" applyAlignment="0"/>
    <xf numFmtId="0" fontId="8" fillId="60" borderId="44" applyNumberFormat="0" applyAlignment="0"/>
    <xf numFmtId="0" fontId="8" fillId="60" borderId="44" applyNumberFormat="0" applyAlignment="0"/>
    <xf numFmtId="0" fontId="164" fillId="67" borderId="45">
      <alignment horizontal="left" vertical="center"/>
    </xf>
    <xf numFmtId="0" fontId="8" fillId="88" borderId="46" applyNumberFormat="0" applyFont="0" applyAlignment="0"/>
    <xf numFmtId="0" fontId="8" fillId="88" borderId="46" applyNumberFormat="0" applyFont="0" applyAlignment="0"/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8" fillId="5" borderId="41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54" fillId="5" borderId="13" applyNumberFormat="0" applyProtection="0">
      <alignment horizontal="left" vertical="center" indent="1"/>
    </xf>
    <xf numFmtId="4" fontId="18" fillId="5" borderId="41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4" fontId="74" fillId="5" borderId="0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8" fillId="18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62" fillId="89" borderId="39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8" fillId="16" borderId="40" applyNumberFormat="0" applyProtection="0">
      <alignment horizontal="left" vertical="center" indent="1"/>
    </xf>
    <xf numFmtId="0" fontId="142" fillId="90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142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1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16" borderId="40" applyNumberFormat="0" applyProtection="0">
      <alignment horizontal="left" vertical="top" indent="1"/>
    </xf>
    <xf numFmtId="0" fontId="142" fillId="16" borderId="40" applyNumberFormat="0" applyProtection="0">
      <alignment horizontal="left" vertical="top" indent="1"/>
    </xf>
    <xf numFmtId="0" fontId="142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42" fillId="90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8" fillId="16" borderId="40" applyNumberFormat="0" applyProtection="0">
      <alignment horizontal="left" vertical="top" indent="1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18" fillId="91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2"/>
    </xf>
    <xf numFmtId="0" fontId="154" fillId="60" borderId="39" applyNumberFormat="0" applyProtection="0">
      <alignment horizontal="left" vertical="center" indent="2"/>
    </xf>
    <xf numFmtId="0" fontId="62" fillId="92" borderId="39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8" fillId="5" borderId="40" applyNumberFormat="0" applyProtection="0">
      <alignment horizontal="left" vertical="center" indent="1"/>
    </xf>
    <xf numFmtId="0" fontId="142" fillId="93" borderId="40" applyNumberFormat="0" applyProtection="0">
      <alignment horizontal="left" vertical="top" wrapText="1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142" fillId="93" borderId="40" applyNumberFormat="0" applyProtection="0">
      <alignment horizontal="left" vertical="top" wrapText="1" indent="1"/>
    </xf>
    <xf numFmtId="0" fontId="8" fillId="5" borderId="40" applyNumberFormat="0" applyProtection="0">
      <alignment horizontal="left" vertical="top" indent="1"/>
    </xf>
    <xf numFmtId="0" fontId="142" fillId="93" borderId="40" applyNumberFormat="0" applyProtection="0">
      <alignment horizontal="left" vertical="top" wrapText="1" indent="1"/>
    </xf>
    <xf numFmtId="0" fontId="142" fillId="93" borderId="40" applyNumberFormat="0" applyProtection="0">
      <alignment horizontal="left" vertical="top" wrapText="1" indent="1"/>
    </xf>
    <xf numFmtId="0" fontId="142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142" fillId="93" borderId="40" applyNumberFormat="0" applyProtection="0">
      <alignment horizontal="left" vertical="top" wrapText="1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142" fillId="93" borderId="40" applyNumberFormat="0" applyProtection="0">
      <alignment horizontal="left" vertical="top" wrapText="1" indent="1"/>
    </xf>
    <xf numFmtId="0" fontId="142" fillId="93" borderId="40" applyNumberFormat="0" applyProtection="0">
      <alignment horizontal="left" vertical="top" wrapText="1" indent="1"/>
    </xf>
    <xf numFmtId="0" fontId="1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142" fillId="93" borderId="40" applyNumberFormat="0" applyProtection="0">
      <alignment horizontal="left" vertical="top" wrapText="1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8" fillId="5" borderId="40" applyNumberFormat="0" applyProtection="0">
      <alignment horizontal="left" vertical="top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8" fillId="9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62" fillId="94" borderId="39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center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142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1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8" fillId="9" borderId="40" applyNumberFormat="0" applyProtection="0">
      <alignment horizontal="left" vertical="top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8" fillId="87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54" fillId="60" borderId="39" applyNumberFormat="0" applyProtection="0">
      <alignment horizontal="left" vertical="center" indent="1"/>
    </xf>
    <xf numFmtId="0" fontId="18" fillId="0" borderId="39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center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142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1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8" fillId="87" borderId="40" applyNumberFormat="0" applyProtection="0">
      <alignment horizontal="left" vertical="top" indent="1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42" fillId="8" borderId="48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65" fillId="67" borderId="47" applyNumberFormat="0">
      <protection locked="0"/>
    </xf>
    <xf numFmtId="0" fontId="18" fillId="8" borderId="48" applyNumberFormat="0">
      <protection locked="0"/>
    </xf>
    <xf numFmtId="0" fontId="165" fillId="67" borderId="47" applyNumberFormat="0">
      <protection locked="0"/>
    </xf>
    <xf numFmtId="0" fontId="8" fillId="8" borderId="13" applyNumberFormat="0">
      <protection locked="0"/>
    </xf>
    <xf numFmtId="0" fontId="165" fillId="67" borderId="47" applyNumberFormat="0">
      <protection locked="0"/>
    </xf>
    <xf numFmtId="0" fontId="8" fillId="8" borderId="13" applyNumberFormat="0">
      <protection locked="0"/>
    </xf>
    <xf numFmtId="0" fontId="8" fillId="8" borderId="13" applyNumberFormat="0">
      <protection locked="0"/>
    </xf>
    <xf numFmtId="0" fontId="8" fillId="8" borderId="13" applyNumberFormat="0">
      <protection locked="0"/>
    </xf>
    <xf numFmtId="0" fontId="8" fillId="8" borderId="13" applyNumberFormat="0">
      <protection locked="0"/>
    </xf>
    <xf numFmtId="0" fontId="8" fillId="8" borderId="13" applyNumberFormat="0">
      <protection locked="0"/>
    </xf>
    <xf numFmtId="0" fontId="62" fillId="16" borderId="49" applyBorder="0"/>
    <xf numFmtId="0" fontId="62" fillId="16" borderId="49" applyBorder="0"/>
    <xf numFmtId="4" fontId="30" fillId="7" borderId="40" applyNumberFormat="0" applyProtection="0">
      <alignment vertical="center"/>
    </xf>
    <xf numFmtId="4" fontId="166" fillId="7" borderId="40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5" fillId="64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54" fillId="7" borderId="13" applyNumberFormat="0" applyProtection="0">
      <alignment vertical="center"/>
    </xf>
    <xf numFmtId="4" fontId="167" fillId="73" borderId="50">
      <alignment vertical="center"/>
    </xf>
    <xf numFmtId="4" fontId="168" fillId="73" borderId="50">
      <alignment vertical="center"/>
    </xf>
    <xf numFmtId="4" fontId="167" fillId="74" borderId="50">
      <alignment vertical="center"/>
    </xf>
    <xf numFmtId="4" fontId="168" fillId="74" borderId="50">
      <alignment vertical="center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18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4" fontId="166" fillId="64" borderId="40" applyNumberFormat="0" applyProtection="0">
      <alignment horizontal="left" vertical="center" indent="1"/>
    </xf>
    <xf numFmtId="0" fontId="30" fillId="7" borderId="40" applyNumberFormat="0" applyProtection="0">
      <alignment horizontal="left" vertical="top" indent="1"/>
    </xf>
    <xf numFmtId="0" fontId="166" fillId="7" borderId="40" applyNumberFormat="0" applyProtection="0">
      <alignment horizontal="left" vertical="top" indent="1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8" fillId="0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8" fillId="0" borderId="39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1" fillId="95" borderId="40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69" fillId="67" borderId="39" applyNumberFormat="0" applyProtection="0">
      <alignment horizontal="right" vertical="center"/>
    </xf>
    <xf numFmtId="4" fontId="154" fillId="72" borderId="39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72" borderId="39" applyNumberFormat="0" applyProtection="0">
      <alignment horizontal="right" vertical="center"/>
    </xf>
    <xf numFmtId="4" fontId="155" fillId="67" borderId="39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72" borderId="39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54" fillId="8" borderId="13" applyNumberFormat="0" applyProtection="0">
      <alignment horizontal="right" vertical="center"/>
    </xf>
    <xf numFmtId="4" fontId="170" fillId="73" borderId="50">
      <alignment vertical="center"/>
    </xf>
    <xf numFmtId="4" fontId="171" fillId="73" borderId="50">
      <alignment vertical="center"/>
    </xf>
    <xf numFmtId="4" fontId="170" fillId="74" borderId="50">
      <alignment vertical="center"/>
    </xf>
    <xf numFmtId="4" fontId="171" fillId="77" borderId="50">
      <alignment vertical="center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8" fillId="96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wrapText="1" indent="1"/>
    </xf>
    <xf numFmtId="4" fontId="18" fillId="97" borderId="39" applyNumberFormat="0" applyProtection="0">
      <alignment horizontal="left" vertical="center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54" fillId="60" borderId="39" applyNumberFormat="0" applyProtection="0">
      <alignment horizontal="left" vertical="center" wrapText="1" indent="1"/>
    </xf>
    <xf numFmtId="4" fontId="162" fillId="86" borderId="40">
      <alignment horizontal="right" vertical="center"/>
    </xf>
    <xf numFmtId="4" fontId="162" fillId="86" borderId="40">
      <alignment horizontal="right" vertical="center"/>
    </xf>
    <xf numFmtId="4" fontId="162" fillId="86" borderId="40">
      <alignment horizontal="left" vertical="center" indent="1"/>
    </xf>
    <xf numFmtId="4" fontId="162" fillId="86" borderId="40">
      <alignment horizontal="left" vertical="center" indent="1"/>
    </xf>
    <xf numFmtId="4" fontId="162" fillId="95" borderId="40">
      <alignment horizontal="left" vertical="center" indent="1"/>
    </xf>
    <xf numFmtId="4" fontId="162" fillId="95" borderId="40">
      <alignment horizontal="left" vertical="center" indent="1"/>
    </xf>
    <xf numFmtId="0" fontId="30" fillId="5" borderId="40" applyNumberFormat="0" applyProtection="0">
      <alignment horizontal="left" vertical="top" indent="1"/>
    </xf>
    <xf numFmtId="0" fontId="166" fillId="5" borderId="40" applyNumberFormat="0" applyProtection="0">
      <alignment horizontal="left" vertical="top" indent="1"/>
    </xf>
    <xf numFmtId="4" fontId="162" fillId="95" borderId="40">
      <alignment vertical="center"/>
    </xf>
    <xf numFmtId="4" fontId="162" fillId="95" borderId="40">
      <alignment vertical="center"/>
    </xf>
    <xf numFmtId="4" fontId="172" fillId="95" borderId="40">
      <alignment vertical="center"/>
    </xf>
    <xf numFmtId="4" fontId="156" fillId="73" borderId="51">
      <alignment vertical="center"/>
    </xf>
    <xf numFmtId="4" fontId="157" fillId="73" borderId="51">
      <alignment vertical="center"/>
    </xf>
    <xf numFmtId="4" fontId="156" fillId="74" borderId="50">
      <alignment vertical="center"/>
    </xf>
    <xf numFmtId="4" fontId="157" fillId="74" borderId="50">
      <alignment vertical="center"/>
    </xf>
    <xf numFmtId="4" fontId="162" fillId="64" borderId="40">
      <alignment horizontal="left" vertical="center" indent="1"/>
    </xf>
    <xf numFmtId="4" fontId="162" fillId="64" borderId="4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3" fillId="98" borderId="13" applyNumberFormat="0" applyProtection="0">
      <alignment horizontal="left" vertical="center" indent="1"/>
    </xf>
    <xf numFmtId="4" fontId="174" fillId="98" borderId="41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4" fontId="175" fillId="98" borderId="0" applyNumberFormat="0" applyProtection="0">
      <alignment horizontal="left" vertical="center" indent="1"/>
    </xf>
    <xf numFmtId="0" fontId="176" fillId="0" borderId="13"/>
    <xf numFmtId="0" fontId="18" fillId="99" borderId="13"/>
    <xf numFmtId="0" fontId="18" fillId="99" borderId="13"/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7" fillId="8" borderId="39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4" fontId="176" fillId="87" borderId="13" applyNumberFormat="0" applyProtection="0">
      <alignment horizontal="right"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218" fontId="178" fillId="0" borderId="41" applyNumberFormat="0" applyFont="0" applyFill="0" applyBorder="0" applyAlignment="0">
      <alignment vertical="center"/>
    </xf>
    <xf numFmtId="0" fontId="179" fillId="100" borderId="52" applyNumberFormat="0" applyAlignment="0" applyProtection="0"/>
    <xf numFmtId="217" fontId="116" fillId="1" borderId="0" applyNumberFormat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73" fontId="50" fillId="0" borderId="0" applyFill="0" applyBorder="0" applyAlignment="0" applyProtection="0"/>
    <xf numFmtId="0" fontId="36" fillId="0" borderId="0" applyNumberFormat="0" applyFill="0" applyBorder="0" applyAlignment="0" applyProtection="0">
      <alignment horizontal="center"/>
    </xf>
    <xf numFmtId="1" fontId="121" fillId="0" borderId="0" applyNumberFormat="0" applyFont="0" applyBorder="0" applyAlignment="0" applyProtection="0">
      <alignment horizontal="right"/>
    </xf>
    <xf numFmtId="0" fontId="12" fillId="0" borderId="0"/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65" fontId="182" fillId="0" borderId="0" applyNumberFormat="0" applyFill="0" applyBorder="0" applyAlignment="0" applyProtection="0"/>
    <xf numFmtId="165" fontId="183" fillId="0" borderId="0" applyNumberFormat="0" applyFill="0" applyBorder="0" applyAlignment="0" applyProtection="0"/>
    <xf numFmtId="165" fontId="182" fillId="0" borderId="0" applyNumberFormat="0" applyFill="0" applyBorder="0" applyProtection="0">
      <alignment horizontal="center"/>
    </xf>
    <xf numFmtId="165" fontId="183" fillId="0" borderId="0" applyNumberFormat="0" applyFill="0" applyBorder="0" applyProtection="0">
      <alignment horizontal="center"/>
    </xf>
    <xf numFmtId="165" fontId="183" fillId="101" borderId="0" applyNumberFormat="0" applyBorder="0" applyAlignment="0" applyProtection="0"/>
    <xf numFmtId="4" fontId="182" fillId="0" borderId="0" applyFill="0" applyBorder="0" applyAlignment="0" applyProtection="0"/>
    <xf numFmtId="243" fontId="8" fillId="0" borderId="0" applyFill="0" applyBorder="0" applyAlignment="0" applyProtection="0">
      <alignment wrapText="1"/>
    </xf>
    <xf numFmtId="165" fontId="184" fillId="88" borderId="0" applyNumberFormat="0" applyBorder="0" applyAlignment="0" applyProtection="0"/>
    <xf numFmtId="4" fontId="185" fillId="0" borderId="0" applyFill="0" applyBorder="0" applyAlignment="0" applyProtection="0"/>
    <xf numFmtId="165" fontId="186" fillId="0" borderId="0" applyNumberFormat="0" applyFill="0" applyBorder="0" applyAlignment="0" applyProtection="0"/>
    <xf numFmtId="165" fontId="183" fillId="77" borderId="0" applyNumberFormat="0" applyBorder="0" applyAlignment="0" applyProtection="0"/>
    <xf numFmtId="165" fontId="55" fillId="0" borderId="0" applyNumberFormat="0" applyFill="0" applyBorder="0">
      <alignment horizontal="center" wrapText="1"/>
    </xf>
    <xf numFmtId="165" fontId="55" fillId="0" borderId="0" applyNumberFormat="0" applyFill="0" applyBorder="0">
      <alignment horizontal="center" wrapText="1"/>
    </xf>
    <xf numFmtId="165" fontId="187" fillId="67" borderId="0" applyNumberFormat="0" applyProtection="0">
      <alignment horizontal="center" vertical="center"/>
    </xf>
    <xf numFmtId="4" fontId="74" fillId="67" borderId="0" applyProtection="0">
      <alignment horizontal="center" vertical="center"/>
    </xf>
    <xf numFmtId="165" fontId="188" fillId="67" borderId="0" applyNumberFormat="0" applyProtection="0">
      <alignment horizontal="center" vertical="center"/>
    </xf>
    <xf numFmtId="4" fontId="189" fillId="67" borderId="0" applyProtection="0">
      <alignment horizontal="center" vertical="center"/>
    </xf>
    <xf numFmtId="165" fontId="190" fillId="102" borderId="0" applyNumberFormat="0" applyProtection="0">
      <alignment horizontal="center" vertical="center"/>
    </xf>
    <xf numFmtId="4" fontId="191" fillId="102" borderId="0" applyProtection="0">
      <alignment horizontal="center" vertical="center"/>
    </xf>
    <xf numFmtId="165" fontId="181" fillId="67" borderId="0" applyNumberFormat="0" applyProtection="0">
      <alignment horizontal="center" vertical="center"/>
    </xf>
    <xf numFmtId="4" fontId="192" fillId="67" borderId="0" applyProtection="0">
      <alignment horizontal="center" vertical="center"/>
    </xf>
    <xf numFmtId="165" fontId="193" fillId="103" borderId="0" applyNumberFormat="0" applyProtection="0">
      <alignment horizontal="center" vertical="center"/>
    </xf>
    <xf numFmtId="4" fontId="194" fillId="103" borderId="0" applyProtection="0">
      <alignment horizontal="center" vertical="center"/>
    </xf>
    <xf numFmtId="165" fontId="195" fillId="67" borderId="0" applyNumberFormat="0" applyProtection="0">
      <alignment horizontal="center" vertical="center" wrapText="1"/>
    </xf>
    <xf numFmtId="165" fontId="196" fillId="67" borderId="0" applyNumberFormat="0" applyProtection="0">
      <alignment horizontal="center" vertical="center" wrapText="1"/>
    </xf>
    <xf numFmtId="165" fontId="197" fillId="102" borderId="0" applyNumberFormat="0" applyProtection="0">
      <alignment horizontal="center" vertical="center" wrapText="1"/>
    </xf>
    <xf numFmtId="165" fontId="198" fillId="67" borderId="0" applyNumberFormat="0" applyProtection="0">
      <alignment horizontal="center" vertical="center" wrapText="1"/>
    </xf>
    <xf numFmtId="165" fontId="195" fillId="67" borderId="0" applyNumberFormat="0" applyProtection="0">
      <alignment horizontal="center" vertical="center" wrapText="1"/>
    </xf>
    <xf numFmtId="165" fontId="199" fillId="103" borderId="0" applyNumberFormat="0" applyProtection="0">
      <alignment horizontal="center" vertical="center" wrapText="1"/>
    </xf>
    <xf numFmtId="165" fontId="196" fillId="67" borderId="0" applyNumberFormat="0" applyProtection="0">
      <alignment horizontal="center" vertical="center" wrapText="1"/>
    </xf>
    <xf numFmtId="165" fontId="195" fillId="77" borderId="0" applyNumberFormat="0" applyProtection="0">
      <alignment horizontal="center" vertical="center" wrapText="1"/>
    </xf>
    <xf numFmtId="165" fontId="197" fillId="102" borderId="0" applyNumberFormat="0" applyProtection="0">
      <alignment horizontal="center" vertical="center" wrapText="1"/>
    </xf>
    <xf numFmtId="4" fontId="200" fillId="102" borderId="0" applyProtection="0">
      <alignment horizontal="center" vertical="top" wrapText="1"/>
    </xf>
    <xf numFmtId="165" fontId="198" fillId="67" borderId="0" applyNumberFormat="0" applyProtection="0">
      <alignment horizontal="center" vertical="center" wrapText="1"/>
    </xf>
    <xf numFmtId="4" fontId="201" fillId="67" borderId="0" applyProtection="0">
      <alignment horizontal="center" vertical="top" wrapText="1"/>
    </xf>
    <xf numFmtId="165" fontId="199" fillId="103" borderId="0" applyNumberFormat="0" applyProtection="0">
      <alignment horizontal="center" vertical="center" wrapText="1"/>
    </xf>
    <xf numFmtId="4" fontId="202" fillId="103" borderId="0" applyProtection="0">
      <alignment horizontal="center" vertical="top" wrapText="1"/>
    </xf>
    <xf numFmtId="165" fontId="195" fillId="77" borderId="0" applyNumberFormat="0" applyProtection="0">
      <alignment horizontal="center" vertical="center" wrapText="1"/>
    </xf>
    <xf numFmtId="4" fontId="203" fillId="77" borderId="0" applyProtection="0">
      <alignment horizontal="center" vertical="top" wrapText="1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7" fontId="181" fillId="67" borderId="0" applyProtection="0">
      <alignment horizontal="center" vertical="center"/>
    </xf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104" borderId="25"/>
    <xf numFmtId="165" fontId="204" fillId="0" borderId="0"/>
    <xf numFmtId="165" fontId="204" fillId="0" borderId="0"/>
    <xf numFmtId="165" fontId="204" fillId="0" borderId="0"/>
    <xf numFmtId="165" fontId="41" fillId="0" borderId="0">
      <alignment horizontal="centerContinuous"/>
    </xf>
    <xf numFmtId="165" fontId="205" fillId="0" borderId="0" applyNumberFormat="0" applyFill="0" applyBorder="0" applyAlignment="0" applyProtection="0">
      <alignment horizontal="left"/>
    </xf>
    <xf numFmtId="244" fontId="62" fillId="54" borderId="0"/>
    <xf numFmtId="165" fontId="152" fillId="0" borderId="0">
      <alignment horizontal="centerContinuous"/>
    </xf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245" fontId="206" fillId="52" borderId="53" applyAlignment="0"/>
    <xf numFmtId="0" fontId="207" fillId="0" borderId="54">
      <alignment horizontal="right" vertical="top"/>
      <protection locked="0"/>
    </xf>
    <xf numFmtId="176" fontId="207" fillId="0" borderId="54">
      <alignment horizontal="right" vertical="top"/>
      <protection locked="0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08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9" fillId="0" borderId="3">
      <alignment horizontal="center"/>
    </xf>
    <xf numFmtId="165" fontId="209" fillId="0" borderId="0" applyBorder="0" applyProtection="0">
      <alignment vertical="center"/>
    </xf>
    <xf numFmtId="165" fontId="209" fillId="0" borderId="3" applyBorder="0" applyProtection="0">
      <alignment horizontal="right" vertical="center"/>
    </xf>
    <xf numFmtId="165" fontId="209" fillId="0" borderId="3" applyBorder="0" applyProtection="0">
      <alignment horizontal="right" vertical="center"/>
    </xf>
    <xf numFmtId="165" fontId="209" fillId="0" borderId="3" applyBorder="0" applyProtection="0">
      <alignment horizontal="right" vertical="center"/>
    </xf>
    <xf numFmtId="165" fontId="210" fillId="105" borderId="0" applyBorder="0" applyProtection="0">
      <alignment horizontal="centerContinuous" vertical="center"/>
    </xf>
    <xf numFmtId="165" fontId="210" fillId="103" borderId="3" applyBorder="0" applyProtection="0">
      <alignment horizontal="centerContinuous" vertical="center"/>
    </xf>
    <xf numFmtId="165" fontId="210" fillId="103" borderId="3" applyBorder="0" applyProtection="0">
      <alignment horizontal="centerContinuous" vertical="center"/>
    </xf>
    <xf numFmtId="165" fontId="210" fillId="103" borderId="3" applyBorder="0" applyProtection="0">
      <alignment horizontal="centerContinuous" vertical="center"/>
    </xf>
    <xf numFmtId="165" fontId="211" fillId="0" borderId="0" applyFill="0" applyBorder="0" applyProtection="0">
      <alignment horizontal="center" vertical="center"/>
    </xf>
    <xf numFmtId="165" fontId="62" fillId="0" borderId="0" applyBorder="0" applyProtection="0">
      <alignment horizontal="left"/>
    </xf>
    <xf numFmtId="165" fontId="90" fillId="0" borderId="0">
      <alignment horizontal="left"/>
    </xf>
    <xf numFmtId="165" fontId="110" fillId="0" borderId="0"/>
    <xf numFmtId="165" fontId="212" fillId="0" borderId="0" applyFill="0" applyBorder="0" applyProtection="0">
      <alignment horizontal="left"/>
    </xf>
    <xf numFmtId="165" fontId="18" fillId="0" borderId="2" applyFill="0" applyBorder="0" applyProtection="0">
      <alignment horizontal="left" vertical="top"/>
    </xf>
    <xf numFmtId="165" fontId="205" fillId="0" borderId="0">
      <alignment horizontal="centerContinuous"/>
    </xf>
    <xf numFmtId="165" fontId="213" fillId="0" borderId="2" applyFill="0" applyBorder="0" applyProtection="0"/>
    <xf numFmtId="165" fontId="213" fillId="0" borderId="0"/>
    <xf numFmtId="165" fontId="214" fillId="0" borderId="0"/>
    <xf numFmtId="165" fontId="215" fillId="0" borderId="0" applyFill="0" applyBorder="0" applyProtection="0"/>
    <xf numFmtId="165" fontId="216" fillId="0" borderId="0"/>
    <xf numFmtId="165" fontId="215" fillId="0" borderId="0"/>
    <xf numFmtId="165" fontId="217" fillId="0" borderId="0" applyFill="0" applyBorder="0" applyProtection="0"/>
    <xf numFmtId="165" fontId="214" fillId="0" borderId="0"/>
    <xf numFmtId="165" fontId="214" fillId="0" borderId="0"/>
    <xf numFmtId="0" fontId="218" fillId="0" borderId="0" applyFill="0" applyBorder="0" applyProtection="0">
      <alignment horizontal="left" vertical="top"/>
    </xf>
    <xf numFmtId="165" fontId="48" fillId="0" borderId="0" applyNumberFormat="0" applyFill="0" applyBorder="0" applyAlignment="0" applyProtection="0"/>
    <xf numFmtId="165" fontId="151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165" fontId="15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1" fontId="219" fillId="48" borderId="0">
      <alignment horizontal="center"/>
    </xf>
    <xf numFmtId="175" fontId="212" fillId="0" borderId="0"/>
    <xf numFmtId="165" fontId="15" fillId="0" borderId="0" applyNumberFormat="0" applyFill="0" applyBorder="0" applyAlignment="0" applyProtection="0"/>
    <xf numFmtId="165" fontId="212" fillId="0" borderId="0" applyNumberFormat="0" applyFill="0" applyBorder="0" applyAlignment="0" applyProtection="0"/>
    <xf numFmtId="165" fontId="212" fillId="0" borderId="0"/>
    <xf numFmtId="204" fontId="220" fillId="0" borderId="0" applyNumberFormat="0" applyFill="0" applyBorder="0" applyAlignment="0" applyProtection="0"/>
    <xf numFmtId="165" fontId="215" fillId="0" borderId="0"/>
    <xf numFmtId="165" fontId="214" fillId="0" borderId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165" fontId="65" fillId="0" borderId="56" applyNumberFormat="0" applyFont="0" applyFill="0" applyAlignment="0" applyProtection="0"/>
    <xf numFmtId="165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165" fontId="65" fillId="0" borderId="56" applyNumberFormat="0" applyFont="0" applyFill="0" applyAlignment="0" applyProtection="0"/>
    <xf numFmtId="165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165" fontId="65" fillId="0" borderId="56" applyNumberFormat="0" applyFont="0" applyFill="0" applyAlignment="0" applyProtection="0"/>
    <xf numFmtId="165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165" fontId="65" fillId="0" borderId="56" applyNumberFormat="0" applyFont="0" applyFill="0" applyAlignment="0" applyProtection="0"/>
    <xf numFmtId="165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5" fillId="0" borderId="56" applyNumberFormat="0" applyFon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84" fillId="0" borderId="55" applyNumberFormat="0" applyFill="0" applyAlignment="0" applyProtection="0"/>
    <xf numFmtId="0" fontId="66" fillId="0" borderId="57" applyNumberFormat="0" applyFill="0" applyAlignment="0" applyProtection="0"/>
    <xf numFmtId="214" fontId="18" fillId="0" borderId="17" applyFill="0" applyBorder="0" applyProtection="0">
      <alignment vertical="center"/>
    </xf>
    <xf numFmtId="175" fontId="62" fillId="0" borderId="58"/>
    <xf numFmtId="165" fontId="221" fillId="0" borderId="0">
      <alignment horizontal="fill"/>
    </xf>
    <xf numFmtId="246" fontId="36" fillId="0" borderId="0">
      <alignment horizontal="left"/>
    </xf>
    <xf numFmtId="178" fontId="153" fillId="52" borderId="2" applyBorder="0">
      <alignment horizontal="right" vertical="center"/>
      <protection locked="0"/>
    </xf>
    <xf numFmtId="165" fontId="8" fillId="0" borderId="0" applyNumberFormat="0"/>
    <xf numFmtId="247" fontId="222" fillId="106" borderId="59" applyNumberFormat="0" applyFont="0" applyBorder="0" applyAlignment="0">
      <alignment vertical="center"/>
      <protection locked="0"/>
    </xf>
    <xf numFmtId="0" fontId="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0" fontId="223" fillId="0" borderId="0"/>
    <xf numFmtId="248" fontId="18" fillId="0" borderId="0" applyFont="0" applyFill="0" applyBorder="0" applyAlignment="0" applyProtection="0"/>
    <xf numFmtId="249" fontId="18" fillId="0" borderId="0" applyFon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15" fillId="19" borderId="0" applyNumberFormat="0" applyBorder="0" applyAlignment="0" applyProtection="0"/>
    <xf numFmtId="250" fontId="8" fillId="0" borderId="0" applyFont="0" applyFill="0" applyBorder="0" applyAlignment="0" applyProtection="0"/>
    <xf numFmtId="251" fontId="8" fillId="0" borderId="0" applyFont="0" applyFill="0" applyBorder="0" applyAlignment="0" applyProtection="0"/>
    <xf numFmtId="252" fontId="8" fillId="0" borderId="0" applyFont="0" applyFill="0" applyBorder="0" applyAlignment="0" applyProtection="0"/>
    <xf numFmtId="253" fontId="8" fillId="0" borderId="0" applyFont="0" applyFill="0" applyBorder="0" applyAlignment="0" applyProtection="0"/>
    <xf numFmtId="254" fontId="8" fillId="0" borderId="0" applyFont="0" applyFill="0" applyBorder="0" applyAlignment="0" applyProtection="0"/>
    <xf numFmtId="255" fontId="8" fillId="0" borderId="0" applyFont="0" applyFill="0" applyBorder="0" applyAlignment="0" applyProtection="0"/>
    <xf numFmtId="256" fontId="8" fillId="0" borderId="0" applyFont="0" applyFill="0" applyBorder="0" applyAlignment="0" applyProtection="0"/>
    <xf numFmtId="257" fontId="8" fillId="0" borderId="0" applyFont="0" applyFill="0" applyBorder="0" applyAlignment="0" applyProtection="0"/>
    <xf numFmtId="258" fontId="8" fillId="0" borderId="0" applyFont="0" applyFill="0" applyBorder="0" applyAlignment="0" applyProtection="0"/>
    <xf numFmtId="259" fontId="8" fillId="0" borderId="0" applyFont="0" applyFill="0" applyBorder="0" applyAlignment="0" applyProtection="0"/>
    <xf numFmtId="1" fontId="8" fillId="0" borderId="0">
      <alignment horizontal="center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0" fontId="79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1" fontId="225" fillId="0" borderId="16" applyFont="0" applyFill="0" applyBorder="0" applyAlignment="0">
      <alignment horizontal="centerContinuous"/>
    </xf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262" fontId="206" fillId="52" borderId="1" applyNumberFormat="0" applyBorder="0" applyAlignment="0"/>
    <xf numFmtId="165" fontId="226" fillId="107" borderId="0" applyNumberFormat="0" applyProtection="0">
      <alignment horizontal="lef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8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217" fontId="127" fillId="108" borderId="13" applyNumberFormat="0" applyAlignment="0">
      <alignment horizontal="right"/>
    </xf>
    <xf numFmtId="1" fontId="227" fillId="0" borderId="0" applyFill="0" applyProtection="0">
      <alignment horizontal="right"/>
    </xf>
    <xf numFmtId="263" fontId="50" fillId="0" borderId="0" applyFont="0" applyFill="0" applyBorder="0" applyAlignment="0" applyProtection="0"/>
    <xf numFmtId="264" fontId="15" fillId="0" borderId="0" applyFont="0" applyFill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176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7" fillId="25" borderId="0" applyNumberFormat="0" applyBorder="0" applyAlignment="0" applyProtection="0"/>
    <xf numFmtId="0" fontId="33" fillId="109" borderId="0" applyNumberFormat="0" applyBorder="0" applyAlignment="0" applyProtection="0"/>
    <xf numFmtId="176" fontId="33" fillId="109" borderId="0" applyNumberFormat="0" applyBorder="0" applyAlignment="0" applyProtection="0"/>
    <xf numFmtId="176" fontId="33" fillId="109" borderId="0" applyNumberFormat="0" applyBorder="0" applyAlignment="0" applyProtection="0"/>
    <xf numFmtId="176" fontId="33" fillId="109" borderId="0" applyNumberFormat="0" applyBorder="0" applyAlignment="0" applyProtection="0"/>
    <xf numFmtId="0" fontId="33" fillId="109" borderId="0" applyNumberFormat="0" applyBorder="0" applyAlignment="0" applyProtection="0"/>
    <xf numFmtId="176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109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176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7" fillId="32" borderId="0" applyNumberFormat="0" applyBorder="0" applyAlignment="0" applyProtection="0"/>
    <xf numFmtId="0" fontId="33" fillId="80" borderId="0" applyNumberFormat="0" applyBorder="0" applyAlignment="0" applyProtection="0"/>
    <xf numFmtId="176" fontId="33" fillId="80" borderId="0" applyNumberFormat="0" applyBorder="0" applyAlignment="0" applyProtection="0"/>
    <xf numFmtId="176" fontId="33" fillId="80" borderId="0" applyNumberFormat="0" applyBorder="0" applyAlignment="0" applyProtection="0"/>
    <xf numFmtId="176" fontId="33" fillId="80" borderId="0" applyNumberFormat="0" applyBorder="0" applyAlignment="0" applyProtection="0"/>
    <xf numFmtId="0" fontId="33" fillId="80" borderId="0" applyNumberFormat="0" applyBorder="0" applyAlignment="0" applyProtection="0"/>
    <xf numFmtId="176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80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176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7" fillId="110" borderId="0" applyNumberFormat="0" applyBorder="0" applyAlignment="0" applyProtection="0"/>
    <xf numFmtId="0" fontId="33" fillId="17" borderId="0" applyNumberFormat="0" applyBorder="0" applyAlignment="0" applyProtection="0"/>
    <xf numFmtId="176" fontId="33" fillId="17" borderId="0" applyNumberFormat="0" applyBorder="0" applyAlignment="0" applyProtection="0"/>
    <xf numFmtId="176" fontId="33" fillId="17" borderId="0" applyNumberFormat="0" applyBorder="0" applyAlignment="0" applyProtection="0"/>
    <xf numFmtId="176" fontId="33" fillId="17" borderId="0" applyNumberFormat="0" applyBorder="0" applyAlignment="0" applyProtection="0"/>
    <xf numFmtId="0" fontId="33" fillId="17" borderId="0" applyNumberFormat="0" applyBorder="0" applyAlignment="0" applyProtection="0"/>
    <xf numFmtId="176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7" fillId="111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176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176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7" fillId="31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176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176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176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7" fillId="112" borderId="0" applyNumberFormat="0" applyBorder="0" applyAlignment="0" applyProtection="0"/>
    <xf numFmtId="0" fontId="33" fillId="83" borderId="0" applyNumberFormat="0" applyBorder="0" applyAlignment="0" applyProtection="0"/>
    <xf numFmtId="176" fontId="33" fillId="83" borderId="0" applyNumberFormat="0" applyBorder="0" applyAlignment="0" applyProtection="0"/>
    <xf numFmtId="176" fontId="33" fillId="83" borderId="0" applyNumberFormat="0" applyBorder="0" applyAlignment="0" applyProtection="0"/>
    <xf numFmtId="176" fontId="33" fillId="83" borderId="0" applyNumberFormat="0" applyBorder="0" applyAlignment="0" applyProtection="0"/>
    <xf numFmtId="0" fontId="33" fillId="83" borderId="0" applyNumberFormat="0" applyBorder="0" applyAlignment="0" applyProtection="0"/>
    <xf numFmtId="176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33" fillId="83" borderId="0" applyNumberFormat="0" applyBorder="0" applyAlignment="0" applyProtection="0"/>
    <xf numFmtId="0" fontId="228" fillId="88" borderId="39" applyNumberFormat="0" applyAlignment="0">
      <alignment horizontal="left" vertical="center" indent="2"/>
    </xf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176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76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0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0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165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123" fillId="46" borderId="39" applyNumberFormat="0" applyAlignment="0" applyProtection="0"/>
    <xf numFmtId="0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176" fontId="229" fillId="15" borderId="5" applyNumberFormat="0" applyAlignment="0" applyProtection="0"/>
    <xf numFmtId="0" fontId="229" fillId="15" borderId="5" applyNumberFormat="0" applyAlignment="0" applyProtection="0"/>
    <xf numFmtId="176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29" fillId="15" borderId="5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176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76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0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0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165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144" fillId="113" borderId="37" applyNumberFormat="0" applyAlignment="0" applyProtection="0"/>
    <xf numFmtId="0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176" fontId="230" fillId="18" borderId="37" applyNumberFormat="0" applyAlignment="0" applyProtection="0"/>
    <xf numFmtId="0" fontId="230" fillId="18" borderId="37" applyNumberFormat="0" applyAlignment="0" applyProtection="0"/>
    <xf numFmtId="176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0" fillId="18" borderId="37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176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76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0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0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165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2" fillId="113" borderId="39" applyNumberFormat="0" applyAlignment="0" applyProtection="0"/>
    <xf numFmtId="0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176" fontId="231" fillId="18" borderId="5" applyNumberFormat="0" applyAlignment="0" applyProtection="0"/>
    <xf numFmtId="0" fontId="231" fillId="18" borderId="5" applyNumberFormat="0" applyAlignment="0" applyProtection="0"/>
    <xf numFmtId="176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1" fillId="18" borderId="5" applyNumberFormat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265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266" fontId="8" fillId="0" borderId="0" applyFill="0" applyBorder="0" applyAlignment="0" applyProtection="0"/>
    <xf numFmtId="265" fontId="3" fillId="0" borderId="0" applyFont="0" applyFill="0" applyBorder="0" applyAlignment="0" applyProtection="0"/>
    <xf numFmtId="265" fontId="3" fillId="0" borderId="0" applyFont="0" applyFill="0" applyBorder="0" applyAlignment="0" applyProtection="0"/>
    <xf numFmtId="165" fontId="234" fillId="64" borderId="0" applyNumberFormat="0" applyBorder="0" applyAlignment="0">
      <alignment vertical="center"/>
    </xf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176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103" fillId="0" borderId="26" applyNumberFormat="0" applyFill="0" applyAlignment="0" applyProtection="0"/>
    <xf numFmtId="0" fontId="235" fillId="0" borderId="60" applyNumberFormat="0" applyFill="0" applyAlignment="0" applyProtection="0"/>
    <xf numFmtId="176" fontId="235" fillId="0" borderId="60" applyNumberFormat="0" applyFill="0" applyAlignment="0" applyProtection="0"/>
    <xf numFmtId="176" fontId="235" fillId="0" borderId="60" applyNumberFormat="0" applyFill="0" applyAlignment="0" applyProtection="0"/>
    <xf numFmtId="176" fontId="235" fillId="0" borderId="60" applyNumberFormat="0" applyFill="0" applyAlignment="0" applyProtection="0"/>
    <xf numFmtId="0" fontId="235" fillId="0" borderId="60" applyNumberFormat="0" applyFill="0" applyAlignment="0" applyProtection="0"/>
    <xf numFmtId="176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5" fillId="0" borderId="60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176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108" fillId="0" borderId="61" applyNumberFormat="0" applyFill="0" applyAlignment="0" applyProtection="0"/>
    <xf numFmtId="0" fontId="236" fillId="0" borderId="27" applyNumberFormat="0" applyFill="0" applyAlignment="0" applyProtection="0"/>
    <xf numFmtId="176" fontId="236" fillId="0" borderId="27" applyNumberFormat="0" applyFill="0" applyAlignment="0" applyProtection="0"/>
    <xf numFmtId="176" fontId="236" fillId="0" borderId="27" applyNumberFormat="0" applyFill="0" applyAlignment="0" applyProtection="0"/>
    <xf numFmtId="176" fontId="236" fillId="0" borderId="27" applyNumberFormat="0" applyFill="0" applyAlignment="0" applyProtection="0"/>
    <xf numFmtId="0" fontId="236" fillId="0" borderId="27" applyNumberFormat="0" applyFill="0" applyAlignment="0" applyProtection="0"/>
    <xf numFmtId="176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6" fillId="0" borderId="27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176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113" fillId="0" borderId="63" applyNumberFormat="0" applyFill="0" applyAlignment="0" applyProtection="0"/>
    <xf numFmtId="0" fontId="237" fillId="0" borderId="62" applyNumberFormat="0" applyFill="0" applyAlignment="0" applyProtection="0"/>
    <xf numFmtId="176" fontId="237" fillId="0" borderId="62" applyNumberFormat="0" applyFill="0" applyAlignment="0" applyProtection="0"/>
    <xf numFmtId="176" fontId="237" fillId="0" borderId="62" applyNumberFormat="0" applyFill="0" applyAlignment="0" applyProtection="0"/>
    <xf numFmtId="176" fontId="237" fillId="0" borderId="62" applyNumberFormat="0" applyFill="0" applyAlignment="0" applyProtection="0"/>
    <xf numFmtId="0" fontId="237" fillId="0" borderId="62" applyNumberFormat="0" applyFill="0" applyAlignment="0" applyProtection="0"/>
    <xf numFmtId="176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62" applyNumberFormat="0" applyFill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176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176" fontId="237" fillId="0" borderId="0" applyNumberFormat="0" applyFill="0" applyBorder="0" applyAlignment="0" applyProtection="0"/>
    <xf numFmtId="176" fontId="237" fillId="0" borderId="0" applyNumberFormat="0" applyFill="0" applyBorder="0" applyAlignment="0" applyProtection="0"/>
    <xf numFmtId="176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176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7" fillId="0" borderId="0" applyNumberFormat="0" applyFill="0" applyBorder="0" applyAlignment="0" applyProtection="0"/>
    <xf numFmtId="0" fontId="238" fillId="67" borderId="0" applyFill="0" applyBorder="0">
      <alignment vertical="top"/>
    </xf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176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76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0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0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165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84" fillId="0" borderId="55" applyNumberFormat="0" applyFill="0" applyAlignment="0" applyProtection="0"/>
    <xf numFmtId="0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176" fontId="239" fillId="0" borderId="64" applyNumberFormat="0" applyFill="0" applyAlignment="0" applyProtection="0"/>
    <xf numFmtId="0" fontId="239" fillId="0" borderId="64" applyNumberFormat="0" applyFill="0" applyAlignment="0" applyProtection="0"/>
    <xf numFmtId="176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0" fontId="239" fillId="0" borderId="64" applyNumberFormat="0" applyFill="0" applyAlignment="0" applyProtection="0"/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165" fontId="240" fillId="0" borderId="65" applyNumberFormat="0" applyFill="0" applyAlignment="0">
      <alignment horizontal="left"/>
    </xf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176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57" fillId="111" borderId="6" applyNumberFormat="0" applyAlignment="0" applyProtection="0"/>
    <xf numFmtId="0" fontId="241" fillId="114" borderId="6" applyNumberFormat="0" applyAlignment="0" applyProtection="0"/>
    <xf numFmtId="176" fontId="241" fillId="114" borderId="6" applyNumberFormat="0" applyAlignment="0" applyProtection="0"/>
    <xf numFmtId="176" fontId="241" fillId="114" borderId="6" applyNumberFormat="0" applyAlignment="0" applyProtection="0"/>
    <xf numFmtId="176" fontId="241" fillId="114" borderId="6" applyNumberFormat="0" applyAlignment="0" applyProtection="0"/>
    <xf numFmtId="0" fontId="241" fillId="114" borderId="6" applyNumberFormat="0" applyAlignment="0" applyProtection="0"/>
    <xf numFmtId="176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1" fillId="114" borderId="6" applyNumberFormat="0" applyAlignment="0" applyProtection="0"/>
    <xf numFmtId="0" fontId="242" fillId="60" borderId="66" applyNumberFormat="0" applyFill="0" applyAlignment="0">
      <alignment horizontal="left" indent="3"/>
    </xf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176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176" fontId="243" fillId="0" borderId="0" applyNumberFormat="0" applyFill="0" applyBorder="0" applyAlignment="0" applyProtection="0"/>
    <xf numFmtId="176" fontId="243" fillId="0" borderId="0" applyNumberFormat="0" applyFill="0" applyBorder="0" applyAlignment="0" applyProtection="0"/>
    <xf numFmtId="176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176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176" fontId="244" fillId="71" borderId="0" applyNumberFormat="0" applyBorder="0" applyAlignment="0" applyProtection="0"/>
    <xf numFmtId="0" fontId="97" fillId="46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97" fillId="46" borderId="0" applyNumberFormat="0" applyBorder="0" applyAlignment="0" applyProtection="0"/>
    <xf numFmtId="0" fontId="244" fillId="71" borderId="0" applyNumberFormat="0" applyBorder="0" applyAlignment="0" applyProtection="0"/>
    <xf numFmtId="176" fontId="244" fillId="71" borderId="0" applyNumberFormat="0" applyBorder="0" applyAlignment="0" applyProtection="0"/>
    <xf numFmtId="176" fontId="244" fillId="71" borderId="0" applyNumberFormat="0" applyBorder="0" applyAlignment="0" applyProtection="0"/>
    <xf numFmtId="176" fontId="244" fillId="71" borderId="0" applyNumberFormat="0" applyBorder="0" applyAlignment="0" applyProtection="0"/>
    <xf numFmtId="0" fontId="244" fillId="71" borderId="0" applyNumberFormat="0" applyBorder="0" applyAlignment="0" applyProtection="0"/>
    <xf numFmtId="176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244" fillId="71" borderId="0" applyNumberFormat="0" applyBorder="0" applyAlignment="0" applyProtection="0"/>
    <xf numFmtId="0" fontId="1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3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/>
    <xf numFmtId="0" fontId="64" fillId="0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3" fillId="0" borderId="0"/>
    <xf numFmtId="176" fontId="3" fillId="0" borderId="0"/>
    <xf numFmtId="176" fontId="3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8" fillId="0" borderId="0">
      <alignment vertical="top"/>
      <protection locked="0"/>
    </xf>
    <xf numFmtId="0" fontId="142" fillId="115" borderId="0"/>
    <xf numFmtId="176" fontId="3" fillId="0" borderId="0"/>
    <xf numFmtId="176" fontId="3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3" fillId="0" borderId="0"/>
    <xf numFmtId="0" fontId="8" fillId="0" borderId="0"/>
    <xf numFmtId="0" fontId="141" fillId="0" borderId="0"/>
    <xf numFmtId="0" fontId="8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2" fillId="96" borderId="0"/>
    <xf numFmtId="0" fontId="142" fillId="96" borderId="0"/>
    <xf numFmtId="0" fontId="142" fillId="96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42" fillId="96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142" fillId="96" borderId="0"/>
    <xf numFmtId="165" fontId="1" fillId="0" borderId="0"/>
    <xf numFmtId="0" fontId="142" fillId="116" borderId="0"/>
    <xf numFmtId="0" fontId="3" fillId="0" borderId="0"/>
    <xf numFmtId="165" fontId="1" fillId="0" borderId="0"/>
    <xf numFmtId="176" fontId="3" fillId="0" borderId="0"/>
    <xf numFmtId="176" fontId="3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8" fillId="0" borderId="0"/>
    <xf numFmtId="176" fontId="3" fillId="0" borderId="0"/>
    <xf numFmtId="176" fontId="3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8" fillId="0" borderId="0"/>
    <xf numFmtId="0" fontId="8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8" fillId="0" borderId="0"/>
    <xf numFmtId="0" fontId="3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3" fillId="0" borderId="0"/>
    <xf numFmtId="0" fontId="64" fillId="0" borderId="0"/>
    <xf numFmtId="208" fontId="8" fillId="0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" fillId="0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3" fillId="0" borderId="0"/>
    <xf numFmtId="0" fontId="3" fillId="0" borderId="0"/>
    <xf numFmtId="176" fontId="3" fillId="0" borderId="0"/>
    <xf numFmtId="176" fontId="3" fillId="0" borderId="0"/>
    <xf numFmtId="176" fontId="3" fillId="0" borderId="0"/>
    <xf numFmtId="0" fontId="3" fillId="0" borderId="0"/>
    <xf numFmtId="208" fontId="8" fillId="0" borderId="0"/>
    <xf numFmtId="0" fontId="3" fillId="0" borderId="0"/>
    <xf numFmtId="0" fontId="3" fillId="0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96" borderId="0"/>
    <xf numFmtId="0" fontId="142" fillId="116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65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65" fontId="1" fillId="0" borderId="0"/>
    <xf numFmtId="176" fontId="1" fillId="0" borderId="0"/>
    <xf numFmtId="165" fontId="1" fillId="0" borderId="0"/>
    <xf numFmtId="165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65" fontId="1" fillId="0" borderId="0"/>
    <xf numFmtId="176" fontId="1" fillId="0" borderId="0"/>
    <xf numFmtId="165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65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176" fontId="3" fillId="0" borderId="0"/>
    <xf numFmtId="165" fontId="1" fillId="0" borderId="0"/>
    <xf numFmtId="165" fontId="1" fillId="0" borderId="0"/>
    <xf numFmtId="0" fontId="3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76" fontId="3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8" fillId="0" borderId="0"/>
    <xf numFmtId="0" fontId="1" fillId="0" borderId="0"/>
    <xf numFmtId="0" fontId="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176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6" fillId="45" borderId="0" applyNumberFormat="0" applyBorder="0" applyAlignment="0" applyProtection="0"/>
    <xf numFmtId="0" fontId="245" fillId="10" borderId="0" applyNumberFormat="0" applyBorder="0" applyAlignment="0" applyProtection="0"/>
    <xf numFmtId="176" fontId="245" fillId="10" borderId="0" applyNumberFormat="0" applyBorder="0" applyAlignment="0" applyProtection="0"/>
    <xf numFmtId="176" fontId="245" fillId="10" borderId="0" applyNumberFormat="0" applyBorder="0" applyAlignment="0" applyProtection="0"/>
    <xf numFmtId="176" fontId="245" fillId="10" borderId="0" applyNumberFormat="0" applyBorder="0" applyAlignment="0" applyProtection="0"/>
    <xf numFmtId="0" fontId="245" fillId="10" borderId="0" applyNumberFormat="0" applyBorder="0" applyAlignment="0" applyProtection="0"/>
    <xf numFmtId="176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0" fontId="245" fillId="10" borderId="0" applyNumberFormat="0" applyBorder="0" applyAlignment="0" applyProtection="0"/>
    <xf numFmtId="165" fontId="247" fillId="0" borderId="67" applyNumberFormat="0">
      <alignment horizontal="right"/>
    </xf>
    <xf numFmtId="165" fontId="247" fillId="0" borderId="67" applyNumberFormat="0">
      <alignment horizontal="right"/>
    </xf>
    <xf numFmtId="165" fontId="247" fillId="0" borderId="67" applyNumberFormat="0">
      <alignment horizontal="right"/>
    </xf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76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76" fontId="248" fillId="0" borderId="0" applyNumberFormat="0" applyFill="0" applyBorder="0" applyAlignment="0" applyProtection="0"/>
    <xf numFmtId="176" fontId="248" fillId="0" borderId="0" applyNumberFormat="0" applyFill="0" applyBorder="0" applyAlignment="0" applyProtection="0"/>
    <xf numFmtId="176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76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76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76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0" fontId="3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165" fontId="31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142" fillId="45" borderId="39" applyNumberFormat="0" applyFont="0" applyAlignment="0" applyProtection="0"/>
    <xf numFmtId="0" fontId="31" fillId="7" borderId="18" applyNumberFormat="0" applyFont="0" applyAlignment="0" applyProtection="0"/>
    <xf numFmtId="0" fontId="31" fillId="7" borderId="18" applyNumberFormat="0" applyFont="0" applyAlignment="0" applyProtection="0"/>
    <xf numFmtId="0" fontId="31" fillId="7" borderId="18" applyNumberFormat="0" applyFont="0" applyAlignment="0" applyProtection="0"/>
    <xf numFmtId="0" fontId="31" fillId="7" borderId="18" applyNumberFormat="0" applyFont="0" applyAlignment="0" applyProtection="0"/>
    <xf numFmtId="0" fontId="3" fillId="7" borderId="18" applyNumberFormat="0" applyFont="0" applyAlignment="0" applyProtection="0"/>
    <xf numFmtId="0" fontId="18" fillId="45" borderId="39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176" fontId="3" fillId="7" borderId="18" applyNumberFormat="0" applyFont="0" applyAlignment="0" applyProtection="0"/>
    <xf numFmtId="0" fontId="3" fillId="7" borderId="18" applyNumberFormat="0" applyFont="0" applyAlignment="0" applyProtection="0"/>
    <xf numFmtId="176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0" fontId="3" fillId="7" borderId="18" applyNumberFormat="0" applyFont="0" applyAlignment="0" applyProtection="0"/>
    <xf numFmtId="9" fontId="24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4" fillId="0" borderId="0" applyFont="0" applyFill="0" applyBorder="0" applyAlignment="0" applyProtection="0"/>
    <xf numFmtId="267" fontId="250" fillId="0" borderId="0" applyFill="0" applyBorder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176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97" fillId="0" borderId="69" applyNumberFormat="0" applyFill="0" applyAlignment="0" applyProtection="0"/>
    <xf numFmtId="0" fontId="251" fillId="0" borderId="68" applyNumberFormat="0" applyFill="0" applyAlignment="0" applyProtection="0"/>
    <xf numFmtId="176" fontId="251" fillId="0" borderId="68" applyNumberFormat="0" applyFill="0" applyAlignment="0" applyProtection="0"/>
    <xf numFmtId="176" fontId="251" fillId="0" borderId="68" applyNumberFormat="0" applyFill="0" applyAlignment="0" applyProtection="0"/>
    <xf numFmtId="176" fontId="251" fillId="0" borderId="68" applyNumberFormat="0" applyFill="0" applyAlignment="0" applyProtection="0"/>
    <xf numFmtId="0" fontId="251" fillId="0" borderId="68" applyNumberFormat="0" applyFill="0" applyAlignment="0" applyProtection="0"/>
    <xf numFmtId="176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251" fillId="0" borderId="68" applyNumberFormat="0" applyFill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6" fontId="12" fillId="0" borderId="0"/>
    <xf numFmtId="0" fontId="12" fillId="0" borderId="0"/>
    <xf numFmtId="0" fontId="12" fillId="0" borderId="0"/>
    <xf numFmtId="0" fontId="12" fillId="0" borderId="0"/>
    <xf numFmtId="176" fontId="12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165" fontId="8" fillId="0" borderId="0"/>
    <xf numFmtId="0" fontId="252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176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4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176" fontId="253" fillId="0" borderId="0" applyNumberFormat="0" applyFill="0" applyBorder="0" applyAlignment="0" applyProtection="0"/>
    <xf numFmtId="176" fontId="253" fillId="0" borderId="0" applyNumberFormat="0" applyFill="0" applyBorder="0" applyAlignment="0" applyProtection="0"/>
    <xf numFmtId="176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176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253" fillId="0" borderId="0" applyNumberFormat="0" applyFill="0" applyBorder="0" applyAlignment="0" applyProtection="0"/>
    <xf numFmtId="0" fontId="3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268" fontId="255" fillId="0" borderId="0"/>
    <xf numFmtId="38" fontId="3" fillId="0" borderId="0" applyFont="0" applyFill="0" applyBorder="0" applyAlignment="0" applyProtection="0"/>
    <xf numFmtId="3" fontId="256" fillId="0" borderId="31" applyFont="0" applyBorder="0">
      <alignment horizontal="right"/>
      <protection locked="0"/>
    </xf>
    <xf numFmtId="40" fontId="3" fillId="0" borderId="0" applyFont="0" applyFill="0" applyBorder="0" applyAlignment="0" applyProtection="0"/>
    <xf numFmtId="269" fontId="3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41" fillId="0" borderId="0" applyFill="0" applyBorder="0" applyAlignment="0" applyProtection="0"/>
    <xf numFmtId="168" fontId="141" fillId="0" borderId="0" applyFill="0" applyBorder="0" applyAlignment="0" applyProtection="0"/>
    <xf numFmtId="270" fontId="3" fillId="0" borderId="0" applyFont="0" applyFill="0" applyBorder="0" applyAlignment="0" applyProtection="0"/>
    <xf numFmtId="271" fontId="8" fillId="0" borderId="0" applyFont="0" applyFill="0" applyBorder="0" applyAlignment="0" applyProtection="0"/>
    <xf numFmtId="272" fontId="8" fillId="0" borderId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1" fontId="8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168" fontId="78" fillId="0" borderId="0" applyFont="0" applyFill="0" applyBorder="0" applyAlignment="0" applyProtection="0"/>
    <xf numFmtId="168" fontId="78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1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3" fillId="0" borderId="0" applyFont="0" applyFill="0" applyBorder="0" applyAlignment="0" applyProtection="0"/>
    <xf numFmtId="270" fontId="1" fillId="0" borderId="0" applyFont="0" applyFill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176" fontId="257" fillId="12" borderId="0" applyNumberFormat="0" applyBorder="0" applyAlignment="0" applyProtection="0"/>
    <xf numFmtId="0" fontId="98" fillId="2" borderId="0" applyNumberFormat="0" applyBorder="0" applyAlignment="0" applyProtection="0"/>
    <xf numFmtId="0" fontId="38" fillId="40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38" fillId="40" borderId="0" applyNumberFormat="0" applyBorder="0" applyAlignment="0" applyProtection="0"/>
    <xf numFmtId="0" fontId="257" fillId="12" borderId="0" applyNumberFormat="0" applyBorder="0" applyAlignment="0" applyProtection="0"/>
    <xf numFmtId="176" fontId="257" fillId="12" borderId="0" applyNumberFormat="0" applyBorder="0" applyAlignment="0" applyProtection="0"/>
    <xf numFmtId="176" fontId="257" fillId="12" borderId="0" applyNumberFormat="0" applyBorder="0" applyAlignment="0" applyProtection="0"/>
    <xf numFmtId="176" fontId="257" fillId="12" borderId="0" applyNumberFormat="0" applyBorder="0" applyAlignment="0" applyProtection="0"/>
    <xf numFmtId="0" fontId="257" fillId="12" borderId="0" applyNumberFormat="0" applyBorder="0" applyAlignment="0" applyProtection="0"/>
    <xf numFmtId="176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0" fontId="257" fillId="12" borderId="0" applyNumberFormat="0" applyBorder="0" applyAlignment="0" applyProtection="0"/>
    <xf numFmtId="165" fontId="15" fillId="0" borderId="0"/>
    <xf numFmtId="165" fontId="258" fillId="0" borderId="0"/>
  </cellStyleXfs>
  <cellXfs count="35">
    <xf numFmtId="0" fontId="0" fillId="0" borderId="0" xfId="0"/>
    <xf numFmtId="49" fontId="4" fillId="0" borderId="0" xfId="1" applyNumberFormat="1" applyFont="1" applyAlignment="1">
      <alignment vertical="top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/>
    <xf numFmtId="49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49" fontId="5" fillId="0" borderId="0" xfId="1" applyNumberFormat="1" applyFont="1" applyAlignment="1">
      <alignment horizontal="left" vertical="top" wrapText="1"/>
    </xf>
    <xf numFmtId="49" fontId="5" fillId="0" borderId="0" xfId="1" applyNumberFormat="1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49" fontId="5" fillId="0" borderId="0" xfId="1" applyNumberFormat="1" applyFont="1" applyAlignment="1">
      <alignment vertical="top" wrapText="1"/>
    </xf>
    <xf numFmtId="0" fontId="4" fillId="0" borderId="0" xfId="1" applyNumberFormat="1" applyFont="1" applyAlignment="1">
      <alignment horizontal="left" vertical="top" wrapText="1"/>
    </xf>
    <xf numFmtId="0" fontId="4" fillId="0" borderId="0" xfId="1" applyNumberFormat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49" fontId="6" fillId="0" borderId="0" xfId="1" applyNumberFormat="1" applyFont="1" applyAlignment="1">
      <alignment horizontal="left" vertical="top" wrapText="1"/>
    </xf>
    <xf numFmtId="49" fontId="6" fillId="0" borderId="0" xfId="1" applyNumberFormat="1" applyFont="1" applyAlignment="1">
      <alignment vertical="top" wrapText="1"/>
    </xf>
    <xf numFmtId="0" fontId="6" fillId="0" borderId="0" xfId="1" applyFont="1" applyAlignment="1">
      <alignment vertical="top" wrapText="1"/>
    </xf>
    <xf numFmtId="49" fontId="4" fillId="0" borderId="0" xfId="1" applyNumberFormat="1" applyFont="1" applyAlignment="1">
      <alignment horizontal="left" vertical="top" wrapText="1"/>
    </xf>
    <xf numFmtId="49" fontId="5" fillId="0" borderId="0" xfId="1" applyNumberFormat="1" applyFont="1" applyFill="1" applyAlignment="1">
      <alignment horizontal="left" vertical="top" wrapText="1"/>
    </xf>
    <xf numFmtId="49" fontId="5" fillId="0" borderId="0" xfId="1" applyNumberFormat="1" applyFont="1" applyFill="1" applyAlignment="1">
      <alignment vertical="top" wrapText="1"/>
    </xf>
    <xf numFmtId="0" fontId="5" fillId="0" borderId="0" xfId="1" applyFont="1" applyFill="1" applyAlignment="1">
      <alignment vertical="top" wrapText="1"/>
    </xf>
    <xf numFmtId="0" fontId="4" fillId="0" borderId="0" xfId="1" applyFont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6" fillId="0" borderId="0" xfId="1" applyFont="1" applyFill="1" applyBorder="1" applyAlignment="1">
      <alignment horizontal="left" vertical="top" wrapText="1"/>
    </xf>
    <xf numFmtId="0" fontId="4" fillId="0" borderId="0" xfId="1" applyFont="1" applyBorder="1" applyAlignment="1">
      <alignment vertical="top" wrapText="1"/>
    </xf>
    <xf numFmtId="0" fontId="6" fillId="0" borderId="0" xfId="1" applyFont="1" applyFill="1" applyBorder="1" applyAlignment="1">
      <alignment vertical="top"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0" xfId="1" applyFont="1" applyFill="1" applyBorder="1" applyAlignment="1">
      <alignment vertical="top" wrapText="1"/>
    </xf>
    <xf numFmtId="0" fontId="4" fillId="0" borderId="0" xfId="1" applyFont="1" applyFill="1" applyAlignment="1">
      <alignment vertical="top" wrapText="1"/>
    </xf>
    <xf numFmtId="0" fontId="6" fillId="0" borderId="0" xfId="1" applyFont="1" applyFill="1" applyAlignment="1">
      <alignment vertical="top" wrapText="1"/>
    </xf>
    <xf numFmtId="49" fontId="4" fillId="0" borderId="0" xfId="1" applyNumberFormat="1" applyFont="1" applyFill="1" applyAlignment="1">
      <alignment vertical="top" wrapText="1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</cellXfs>
  <cellStyles count="62421">
    <cellStyle name="%1" xfId="2"/>
    <cellStyle name="******************************************" xfId="3"/>
    <cellStyle name=";;;" xfId="4"/>
    <cellStyle name="???????????" xfId="5"/>
    <cellStyle name="????????????? ???????????" xfId="6"/>
    <cellStyle name="????????_????????" xfId="7"/>
    <cellStyle name="???????_????????" xfId="8"/>
    <cellStyle name="??????_????????" xfId="9"/>
    <cellStyle name="]_x000d__x000a_Zoomed=1_x000d__x000a_Row=0_x000d__x000a_Column=0_x000d__x000a_Height=0_x000d__x000a_Width=0_x000d__x000a_FontName=FoxFont_x000d__x000a_FontStyle=0_x000d__x000a_FontSize=9_x000d__x000a_PrtFontName=FoxPrin" xfId="10"/>
    <cellStyle name="_!Форма №2,10 2008 ФП и 2007 факт 170308" xfId="11"/>
    <cellStyle name="_(в работе) Исполнение протокола №38" xfId="12"/>
    <cellStyle name="_(ф.19 для ФУ)" xfId="13"/>
    <cellStyle name="__10 факт 02.2010" xfId="14"/>
    <cellStyle name="_01.04.06-01.10.06 Распред. ср-в ОЭМК 20.10.06" xfId="15"/>
    <cellStyle name="_01.12.2003" xfId="16"/>
    <cellStyle name="_02.10 - неликвиды" xfId="17"/>
    <cellStyle name="_02.12.2003" xfId="18"/>
    <cellStyle name="_04.11.2003" xfId="19"/>
    <cellStyle name="_04.12.2003" xfId="20"/>
    <cellStyle name="_05.1 Свод остатков" xfId="21"/>
    <cellStyle name="_05.11.2003" xfId="22"/>
    <cellStyle name="_05.2 Свод остатков" xfId="23"/>
    <cellStyle name="_06 Образец справки по лизингу ГОКа" xfId="24"/>
    <cellStyle name="_090129 Погашение и уплата процентов Горшкова М." xfId="25"/>
    <cellStyle name="_0тчет_за_4 квартал 2005 г_ноябрь" xfId="26"/>
    <cellStyle name="_1 кв  2008г" xfId="27"/>
    <cellStyle name="_1 КВАРТАЛ   2008  ФАКТ    АНАЛИЗ СЫРЬЯ" xfId="28"/>
    <cellStyle name="_1. Форма № 8,9,12 2008" xfId="29"/>
    <cellStyle name="_10.11.2003" xfId="30"/>
    <cellStyle name="_11" xfId="31"/>
    <cellStyle name="_1-10,12" xfId="32"/>
    <cellStyle name="_12.11.2003" xfId="33"/>
    <cellStyle name="_12.12.2003" xfId="34"/>
    <cellStyle name="_123456" xfId="35"/>
    <cellStyle name="_13" xfId="36"/>
    <cellStyle name="_13.11.2003" xfId="37"/>
    <cellStyle name="_13.12.2003" xfId="38"/>
    <cellStyle name="_13-20" xfId="39"/>
    <cellStyle name="_14 ф янв.07" xfId="40"/>
    <cellStyle name="_14.11.2003" xfId="41"/>
    <cellStyle name="_15 16 формы -08г-25окт с ПУС" xfId="42"/>
    <cellStyle name="_15, 16 формы. отчетные за март 2010г" xfId="43"/>
    <cellStyle name="_15.12.2003" xfId="44"/>
    <cellStyle name="_15.16" xfId="45"/>
    <cellStyle name="_16 форма" xfId="46"/>
    <cellStyle name="_16.11.2003" xfId="47"/>
    <cellStyle name="_17.11.2003" xfId="48"/>
    <cellStyle name="_18" xfId="49"/>
    <cellStyle name="_18.11.2003" xfId="50"/>
    <cellStyle name="_1КВАРТАЛ  ФАКТ  2007  АНАЛИЗ СЫРЬЯ" xfId="51"/>
    <cellStyle name="_2 (3)" xfId="52"/>
    <cellStyle name="_2 кв ожид.инвестиции Уксир" xfId="53"/>
    <cellStyle name="_2 кв факт" xfId="54"/>
    <cellStyle name="_2 кв факт1" xfId="55"/>
    <cellStyle name="_2 КВАРТАЛ   2008  ФАКТ    АНАЛИЗ СЫРЬЯ" xfId="56"/>
    <cellStyle name="_2 Квартал 07" xfId="57"/>
    <cellStyle name="_2 квартал 2007 г (план)" xfId="58"/>
    <cellStyle name="_2 квартал форма 22" xfId="59"/>
    <cellStyle name="_2 квартал форма 22 вариант 1 20070330" xfId="60"/>
    <cellStyle name="_2. Форма № 10 Рент-ть отгрузки 08" xfId="61"/>
    <cellStyle name="_20 11 2003г." xfId="62"/>
    <cellStyle name="_2005-2006 (ИТОГ)" xfId="63"/>
    <cellStyle name="_2006 г (план скоррек)" xfId="64"/>
    <cellStyle name="_2006 г (план скоррек)_Книга2" xfId="65"/>
    <cellStyle name="_2007 + год " xfId="66"/>
    <cellStyle name="_2007 г год план (фин.часть)" xfId="67"/>
    <cellStyle name="_2007 г. 2 вариант с флотацией" xfId="68"/>
    <cellStyle name="_2007 г. 3 вариант" xfId="69"/>
    <cellStyle name="_2007 год " xfId="70"/>
    <cellStyle name="_2007 год 2 квартал" xfId="71"/>
    <cellStyle name="_2007 измен 11.12.06 2 вар " xfId="72"/>
    <cellStyle name="_20070119 Приложение 5 (БДР ОЭМК)" xfId="73"/>
    <cellStyle name="_2008 г. 2 чтение" xfId="74"/>
    <cellStyle name="_2008 год (форма11)-261007" xfId="75"/>
    <cellStyle name="_2008 год (форма11)-оконч" xfId="76"/>
    <cellStyle name="_2008 год (форма11)-по клиентам-170308-3" xfId="77"/>
    <cellStyle name="_2008 год с гематитом по форме ЛГОК 5.09.07" xfId="78"/>
    <cellStyle name="_2008 год форма11 061207" xfId="79"/>
    <cellStyle name="_2008-09-12 Форма19 4 кв  план прогноз года" xfId="80"/>
    <cellStyle name="_2008-09-19 Форма19 анализ" xfId="81"/>
    <cellStyle name="_2008год 13ф (2-ой вариант)_02" xfId="82"/>
    <cellStyle name="_21 11 2003г." xfId="83"/>
    <cellStyle name="_22" xfId="84"/>
    <cellStyle name="_22 11 2003г." xfId="85"/>
    <cellStyle name="_23 форма" xfId="86"/>
    <cellStyle name="_24 11 2003г." xfId="87"/>
    <cellStyle name="_24 и 25" xfId="88"/>
    <cellStyle name="_24 и 25 (Send)" xfId="89"/>
    <cellStyle name="_24 форма январь 2007г. (19.02.07)" xfId="90"/>
    <cellStyle name="_24,25" xfId="91"/>
    <cellStyle name="_24,25 send" xfId="92"/>
    <cellStyle name="_25 11 2003г." xfId="93"/>
    <cellStyle name="_25 форма 1 квартал" xfId="94"/>
    <cellStyle name="_26 11 2003г." xfId="95"/>
    <cellStyle name="_28 11 2003г." xfId="96"/>
    <cellStyle name="_28 формы" xfId="97"/>
    <cellStyle name="_28.10.2003" xfId="98"/>
    <cellStyle name="_28-29" xfId="99"/>
    <cellStyle name="_28-30" xfId="100"/>
    <cellStyle name="_28-30 (1)" xfId="101"/>
    <cellStyle name="_28-30 форма" xfId="102"/>
    <cellStyle name="_28-30 форма  (январьфакт-мартплан)" xfId="103"/>
    <cellStyle name="_29 11 2003г." xfId="104"/>
    <cellStyle name="_29 форма  (ожидаемый январь)" xfId="105"/>
    <cellStyle name="_29 форма  (январьфакт)" xfId="106"/>
    <cellStyle name="_29 форма 11 месяцев" xfId="107"/>
    <cellStyle name="_29 форма 12 месяцев" xfId="108"/>
    <cellStyle name="_29 форма 2007 год" xfId="109"/>
    <cellStyle name="_29.10.2003" xfId="110"/>
    <cellStyle name="_29-30" xfId="111"/>
    <cellStyle name="_2КВАРТАЛ  ФАКТ  2007  АНАЛИЗ СЫРЬЯ" xfId="112"/>
    <cellStyle name="_3 кв  БП-факт 2006  АНАЛИЗ СЫРЬЕ" xfId="113"/>
    <cellStyle name="_3 кв план" xfId="114"/>
    <cellStyle name="_3 КВАРТАЛ" xfId="115"/>
    <cellStyle name="_3 КВАРТАЛ  2008  ФАКТ    АНАЛИЗ СЫРЬЯ" xfId="116"/>
    <cellStyle name="_3 КВАРТАЛ  ФАКТ  2007  АНАЛИЗ СЫРЬЯ" xfId="117"/>
    <cellStyle name="_3 КВАРТАЛ от 10.08.06_Send" xfId="118"/>
    <cellStyle name="_3 КВАРТАЛ от 10.08.06_Send_Книга2" xfId="119"/>
    <cellStyle name="_3 КВАРТАЛ_Книга2" xfId="120"/>
    <cellStyle name="_30" xfId="121"/>
    <cellStyle name="_30 форма (январьфакт)" xfId="122"/>
    <cellStyle name="_30 форма с ожидаемым за январь" xfId="123"/>
    <cellStyle name="_30 форма с фактом за декабрь" xfId="124"/>
    <cellStyle name="_30 форма с фактом за ноябрь" xfId="125"/>
    <cellStyle name="_30.10.2003" xfId="126"/>
    <cellStyle name="_31.10.2003" xfId="127"/>
    <cellStyle name="_39" xfId="128"/>
    <cellStyle name="_4 кв 2006 форма 24 9 октября" xfId="129"/>
    <cellStyle name="_4 кв план" xfId="130"/>
    <cellStyle name="_4 КВАРТАЛ   ФАКТ  2007  АНАЛИЗ СЫРЬЯ" xfId="131"/>
    <cellStyle name="_4 КВАРТАЛ   ФАКТ  2007  АНАЛИЗ СЫРЬЯ11.02.08" xfId="132"/>
    <cellStyle name="_4 КВАРТАЛ  ФАКТ 2006  АНАЛИЗ СЫРЬЯ" xfId="133"/>
    <cellStyle name="_4 КВАРТАЛ  ФАКТ 2006  АНАЛИЗ СЫРЬЯ_Книга2" xfId="134"/>
    <cellStyle name="_4 КВАРТАЛ  ФАКТ 2006  АНАЛИЗ СЫРЬЯ_Конс  ЛГОК БП 2009 от 14 10 08" xfId="135"/>
    <cellStyle name="_4 КВАРТАЛ  ФАКТ 2006  АНАЛИЗ СЫРЬЯ_Конс  МГОК БП 2009 от 14 10 08" xfId="136"/>
    <cellStyle name="_4 КВАРТАЛ  ФАКТ 2006  АНАЛИЗ СЫРЬЯ_Сравнение ожидаемого 2008 с 2009г  ОЭМК от 06 10 2008" xfId="137"/>
    <cellStyle name="_4 КВАРТАЛ  ФАКТ 2006  АНАЛИЗ СЫРЬЯ_Сравнение ожидаемого 2008 УС c 2009г  от 06 10 2008" xfId="138"/>
    <cellStyle name="_4 квартал 2006 года" xfId="139"/>
    <cellStyle name="_4 квартал 2006 года формы 19,24,26,29 и пояснения (13102006)" xfId="140"/>
    <cellStyle name="_4 КВАРТАЛ 2006 ф.19 ДЛЯ ОТПРАВКИ" xfId="141"/>
    <cellStyle name="_4 квартал кредиты 05.10.06" xfId="142"/>
    <cellStyle name="_4 квартал план (по старому)18,09,07" xfId="143"/>
    <cellStyle name="_4 кв-л ИП (ф 40 20 19 для ФУ) 14.09.07" xfId="144"/>
    <cellStyle name="_4 кв-л ИП (ф.40  20  19 для ФУ)" xfId="145"/>
    <cellStyle name="_4 кв-л ИП (ф.40 20 19 для ФУ)" xfId="146"/>
    <cellStyle name="_4 кв-л ИП (ф.40 20 19 для ФУ) 26 09 07" xfId="147"/>
    <cellStyle name="_4 кв-л ИП (ф.40 20 19 для ФУ) 26.09.07" xfId="148"/>
    <cellStyle name="_40.1-РБП(ФУ-поступления) (только IV кв)" xfId="149"/>
    <cellStyle name="_5552-OEMK Minfin loan restructuring rollforward for 2004" xfId="150"/>
    <cellStyle name="_6C1A5A0F" xfId="151"/>
    <cellStyle name="_7" xfId="152"/>
    <cellStyle name="_7 Форма 18 (июль)" xfId="153"/>
    <cellStyle name="_7,2" xfId="154"/>
    <cellStyle name="_8,9,10,12" xfId="155"/>
    <cellStyle name="_8.1." xfId="156"/>
    <cellStyle name="_8120 Sales-Dragi" xfId="157"/>
    <cellStyle name="_88" xfId="158"/>
    <cellStyle name="_Arab Light Pricing" xfId="159"/>
    <cellStyle name="_Badin_v2" xfId="160"/>
    <cellStyle name="_book1" xfId="161"/>
    <cellStyle name="_Comma" xfId="162"/>
    <cellStyle name="_Comparatives_exp" xfId="163"/>
    <cellStyle name="_Copy of Rosneft_Standalone_v23 (TA)" xfId="164"/>
    <cellStyle name="_Copy of Rosneft_Standalone_v23 (TA)_Financial_model_Project_N_03 03 09_for Nitol_final_Base_" xfId="165"/>
    <cellStyle name="_Cмета 1 кв ЛебГОК" xfId="166"/>
    <cellStyle name="_Dlya_analitik_ov Eng original" xfId="167"/>
    <cellStyle name="_Dlya_analitik_ov Eng original_Arab Light Pricing" xfId="168"/>
    <cellStyle name="_Dlya_analitik_ov Eng original_Book3" xfId="169"/>
    <cellStyle name="_Dlya_analitik_ov Eng original_Book3_Financial_model_Project_N_03 03 09_for Nitol_final_Base_" xfId="170"/>
    <cellStyle name="_Dollar" xfId="171"/>
    <cellStyle name="_EBITDA" xfId="172"/>
    <cellStyle name="_EBITDA_дивизион_12.11.2007" xfId="173"/>
    <cellStyle name="_Encana_v8" xfId="174"/>
    <cellStyle name="_FCP 405B and 406A_v52" xfId="175"/>
    <cellStyle name="_FFF" xfId="176"/>
    <cellStyle name="_FFF_New Form10_2" xfId="177"/>
    <cellStyle name="_FFF_Nsi" xfId="178"/>
    <cellStyle name="_FFF_Nsi_1" xfId="179"/>
    <cellStyle name="_FFF_Nsi_139" xfId="180"/>
    <cellStyle name="_FFF_Nsi_140" xfId="181"/>
    <cellStyle name="_FFF_Nsi_140(Зах)" xfId="182"/>
    <cellStyle name="_FFF_Nsi_140_mod" xfId="183"/>
    <cellStyle name="_FFF_Summary" xfId="184"/>
    <cellStyle name="_FFF_Tax_form_1кв_3" xfId="185"/>
    <cellStyle name="_FFF_БКЭ" xfId="186"/>
    <cellStyle name="_Final_Book_010301" xfId="187"/>
    <cellStyle name="_Final_Book_010301_New Form10_2" xfId="188"/>
    <cellStyle name="_Final_Book_010301_Nsi" xfId="189"/>
    <cellStyle name="_Final_Book_010301_Nsi_1" xfId="190"/>
    <cellStyle name="_Final_Book_010301_Nsi_139" xfId="191"/>
    <cellStyle name="_Final_Book_010301_Nsi_140" xfId="192"/>
    <cellStyle name="_Final_Book_010301_Nsi_140(Зах)" xfId="193"/>
    <cellStyle name="_Final_Book_010301_Nsi_140_mod" xfId="194"/>
    <cellStyle name="_Final_Book_010301_Summary" xfId="195"/>
    <cellStyle name="_Final_Book_010301_Tax_form_1кв_3" xfId="196"/>
    <cellStyle name="_Final_Book_010301_БКЭ" xfId="197"/>
    <cellStyle name="_Gazprom_Standalone_v103_ta" xfId="198"/>
    <cellStyle name="_JPetro Refinery v37 draft" xfId="199"/>
    <cellStyle name="_JPetro Refinery v37 draft_Financial_model_Project_N_03 03 09_for Nitol_final_Base_" xfId="200"/>
    <cellStyle name="_JPetro Refinery v37 draft_Recovered" xfId="201"/>
    <cellStyle name="_JPetro Refinery v37 draft_Recovered_Financial_model_Project_N_03 03 09_for Nitol_final_Base_" xfId="202"/>
    <cellStyle name="_Kazakhstan rec to WM_051104" xfId="203"/>
    <cellStyle name="_Kazakhstan rec to WM_051104_Arab Light Pricing" xfId="204"/>
    <cellStyle name="_Kazakhstan rec to WM_051104_Book3" xfId="205"/>
    <cellStyle name="_Kazakhstan rec to WM_051104_Book3_Financial_model_Project_N_03 03 09_for Nitol_final_Base_" xfId="206"/>
    <cellStyle name="_Kazakhstan rec to WM_051104_Historical Financials" xfId="207"/>
    <cellStyle name="_Kazakhstan rec to WM_051104_Historical Financials_Financial_model_Project_N_03 03 09_for Nitol_final_Base_" xfId="208"/>
    <cellStyle name="_Kazakhstan rec to WM_051104_PPL v35" xfId="209"/>
    <cellStyle name="_Kazakhstan rec to WM_051104_Premier corporate model v43 MS" xfId="210"/>
    <cellStyle name="_Kazakhstan rec to WM_051104_Premier corporate model v43 MS_Financial_model_Project_N_03 03 09_for Nitol_final_Base_" xfId="211"/>
    <cellStyle name="_Kazakhstan rec to WM_051104_Premier corporate model v94" xfId="212"/>
    <cellStyle name="_Kazakhstan rec to WM_051104_Premier corporate model v94_Financial_model_Project_N_03 03 09_for Nitol_final_Base_" xfId="213"/>
    <cellStyle name="_Kazakhstan rec to WM_051104_Project Tchaikovsky v24" xfId="214"/>
    <cellStyle name="_Kazakhstan rec to WM_051104_Project Tchaikovsky v24_Financial_model_Project_N_03 03 09_for Nitol_final_Base_" xfId="215"/>
    <cellStyle name="_Kazakhstan rec to WM_051104_Russian asset model v12" xfId="216"/>
    <cellStyle name="_Kazakhstan rec to WM_051104_Russian asset model v12_Financial_model_Project_N_03 03 09_for Nitol_final_Base_" xfId="217"/>
    <cellStyle name="_Kazakhstan_v14_2004 WoodMac" xfId="218"/>
    <cellStyle name="_Kazakhstan_v14_2004 WoodMac_Arab Light Pricing" xfId="219"/>
    <cellStyle name="_Kazakhstan_v14_2004 WoodMac_Book3" xfId="220"/>
    <cellStyle name="_Kazakhstan_v14_2004 WoodMac_Book3_Financial_model_Project_N_03 03 09_for Nitol_final_Base_" xfId="221"/>
    <cellStyle name="_Kazakhstan_v14_2004 WoodMac_Historical Financials" xfId="222"/>
    <cellStyle name="_Kazakhstan_v14_2004 WoodMac_Historical Financials_Financial_model_Project_N_03 03 09_for Nitol_final_Base_" xfId="223"/>
    <cellStyle name="_Kazakhstan_v14_2004 WoodMac_PPL v35" xfId="224"/>
    <cellStyle name="_Kazakhstan_v14_2004 WoodMac_Premier corporate model v43 MS" xfId="225"/>
    <cellStyle name="_Kazakhstan_v14_2004 WoodMac_Premier corporate model v43 MS_Financial_model_Project_N_03 03 09_for Nitol_final_Base_" xfId="226"/>
    <cellStyle name="_Kazakhstan_v14_2004 WoodMac_Premier corporate model v94" xfId="227"/>
    <cellStyle name="_Kazakhstan_v14_2004 WoodMac_Premier corporate model v94_Financial_model_Project_N_03 03 09_for Nitol_final_Base_" xfId="228"/>
    <cellStyle name="_Kazakhstan_v14_2004 WoodMac_Project Tchaikovsky v24" xfId="229"/>
    <cellStyle name="_Kazakhstan_v14_2004 WoodMac_Project Tchaikovsky v24_Financial_model_Project_N_03 03 09_for Nitol_final_Base_" xfId="230"/>
    <cellStyle name="_Kazakhstan_v14_2004 WoodMac_Russian asset model v12" xfId="231"/>
    <cellStyle name="_Kazakhstan_v14_2004 WoodMac_Russian asset model v12_Financial_model_Project_N_03 03 09_for Nitol_final_Base_" xfId="232"/>
    <cellStyle name="_KazMunaiTeniz v58" xfId="233"/>
    <cellStyle name="_Last Leasing OEMK ANN" xfId="234"/>
    <cellStyle name="_LGOK_2007 (август факт)" xfId="235"/>
    <cellStyle name="_Minority calculation" xfId="236"/>
    <cellStyle name="_Multiple" xfId="237"/>
    <cellStyle name="_MultipleSpace" xfId="238"/>
    <cellStyle name="_New_Sofi" xfId="239"/>
    <cellStyle name="_New_Sofi_FFF" xfId="240"/>
    <cellStyle name="_New_Sofi_New Form10_2" xfId="241"/>
    <cellStyle name="_New_Sofi_Nsi" xfId="242"/>
    <cellStyle name="_New_Sofi_Nsi_1" xfId="243"/>
    <cellStyle name="_New_Sofi_Nsi_139" xfId="244"/>
    <cellStyle name="_New_Sofi_Nsi_140" xfId="245"/>
    <cellStyle name="_New_Sofi_Nsi_140(Зах)" xfId="246"/>
    <cellStyle name="_New_Sofi_Nsi_140_mod" xfId="247"/>
    <cellStyle name="_New_Sofi_Summary" xfId="248"/>
    <cellStyle name="_New_Sofi_Tax_form_1кв_3" xfId="249"/>
    <cellStyle name="_New_Sofi_БКЭ" xfId="250"/>
    <cellStyle name="_Nsi" xfId="251"/>
    <cellStyle name="_№13, №14" xfId="252"/>
    <cellStyle name="_№13, №14 02.04.07" xfId="253"/>
    <cellStyle name="_№13, №14 от 15.12.2006" xfId="254"/>
    <cellStyle name="_№13, №14 январь 2007 25.02.07" xfId="255"/>
    <cellStyle name="_№26 измен 03.04.07" xfId="256"/>
    <cellStyle name="_№26 измен 15.12.06 4 вар " xfId="257"/>
    <cellStyle name="_№26, от 25.02.07" xfId="258"/>
    <cellStyle name="_OEMK_12m05_FA (KPMG)" xfId="259"/>
    <cellStyle name="_Pakistan Upstream Models_v3" xfId="260"/>
    <cellStyle name="_Percent" xfId="261"/>
    <cellStyle name="_PercentSpace" xfId="262"/>
    <cellStyle name="_PPL v35" xfId="263"/>
    <cellStyle name="_Project Caesar_v66" xfId="264"/>
    <cellStyle name="_Project Caesar_v68" xfId="265"/>
    <cellStyle name="_Project Luxor EFC Model_No Delay Case_v2_with BS price" xfId="266"/>
    <cellStyle name="_Project Ozone_April 14 v7" xfId="267"/>
    <cellStyle name="_RP-2000" xfId="268"/>
    <cellStyle name="_Send november" xfId="269"/>
    <cellStyle name="_Spec_LAN_01_IPT" xfId="270"/>
    <cellStyle name="_SZNP - Eqiuty Roll" xfId="271"/>
    <cellStyle name="_SZNP - rasshifrovki-002000-333" xfId="272"/>
    <cellStyle name="_SZNP - TRS-092000" xfId="273"/>
    <cellStyle name="_tmp002" xfId="274"/>
    <cellStyle name="_USteel FA reg 311205 CONSOLIDATION" xfId="275"/>
    <cellStyle name="_USteel FA reg 311206 CONSOLIDATION_pwc" xfId="276"/>
    <cellStyle name="_Worksheet in 8110 Sales Non-ferrous &amp; PGMs 2002 TOTAL" xfId="277"/>
    <cellStyle name="_Worksheet in 8130 SalesColor by customers-(work)" xfId="278"/>
    <cellStyle name="_Август" xfId="279"/>
    <cellStyle name="_АВГУСТ     2009 ГОД   ФАКТ   АНАЛИЗ СЫРЬЯ  " xfId="280"/>
    <cellStyle name="_АВГУСТ   2008  ФАКТ    АНАЛИЗ СЫРЬЯ" xfId="281"/>
    <cellStyle name="_АВГУСТ  ФАКТ  2007  АНАЛИЗ СЫРЬЯот24.09.07" xfId="282"/>
    <cellStyle name="_август 2008" xfId="283"/>
    <cellStyle name="_Август форма 8" xfId="284"/>
    <cellStyle name="_Август(сохраненокак значение)" xfId="285"/>
    <cellStyle name="_Анализ за сент, 3кв,9 мес.2007г" xfId="286"/>
    <cellStyle name="_Анализ затрат №7" xfId="287"/>
    <cellStyle name="_Анализ использования ремонтов в 2005 (ауд)" xfId="288"/>
    <cellStyle name="_анализ продаж 2006 (тек ) к 2007 от 13 11 06" xfId="289"/>
    <cellStyle name="_анализ продаж 2006 (тек ) к 2007 от 13 11 06_Книга2" xfId="290"/>
    <cellStyle name="_анализ продаж 2006-2007 от 27 11 06" xfId="291"/>
    <cellStyle name="_анализ продаж 2006-2007 от 27 11 06_Книга2" xfId="292"/>
    <cellStyle name="_анализ продаж 3кв  БП-факт от 23 10 06" xfId="293"/>
    <cellStyle name="_анализ продаж Октябрь ПФ от 21.11.06" xfId="294"/>
    <cellStyle name="_анализ продаж Октябрь ПФ от 21.11.06_Книга2" xfId="295"/>
    <cellStyle name="_анализ продаж Октябрь ПФ от 21.11.06_Конс  ЛГОК БП 2009 от 14 10 08" xfId="296"/>
    <cellStyle name="_анализ продаж Октябрь ПФ от 21.11.06_Конс  МГОК БП 2009 от 14 10 08" xfId="297"/>
    <cellStyle name="_анализ продаж Октябрь ПФ от 21.11.06_Сравнение ожидаемого 2008 с 2009г  ОЭМК от 06 10 2008" xfId="298"/>
    <cellStyle name="_анализ продаж Октябрь ПФ от 21.11.06_Сравнение ожидаемого 2008 УС c 2009г  от 06 10 2008" xfId="299"/>
    <cellStyle name="_АНАЛИЗ СМЕТЫ 2007-08гг (2 чтение)" xfId="300"/>
    <cellStyle name="_АНАЛИЗ СМЕТЫ 2007-08гг (2 чтение)Копия" xfId="301"/>
    <cellStyle name="_АНАЛИЗ СМЕТЫ 4 кв" xfId="302"/>
    <cellStyle name="_Апрель" xfId="303"/>
    <cellStyle name="_АПРЕЛЬ   2008  ФАКТ    АНАЛИЗ СЫРЬЯ" xfId="304"/>
    <cellStyle name="_АПРЕЛЬ  2009 ГОД   ФАКТ  АНАЛИЗ СЫРЬЯ  " xfId="305"/>
    <cellStyle name="_АПРЕЛЬ  ФАКТ  2007  АНАЛИЗ СЫРЬЯ" xfId="306"/>
    <cellStyle name="_АПРЕЛЬ  ФАКТ ПРОГНОЗ 2007  АНАЛИЗ СЫРЬЯ" xfId="307"/>
    <cellStyle name="_апрель 1 Михалыч" xfId="308"/>
    <cellStyle name="_Апрель 2010  ф 2,10 план 24 03 10" xfId="309"/>
    <cellStyle name="_Апрель ремонты" xfId="310"/>
    <cellStyle name="_Апрель формы N2,10 план 26 03 09" xfId="311"/>
    <cellStyle name="_АПРЕЛЬ160309  (2)" xfId="312"/>
    <cellStyle name="_баланс 6 мес.2006 с расшифровками" xfId="313"/>
    <cellStyle name="_баланс 6 мес.2006 с расшифровками_Книга2" xfId="314"/>
    <cellStyle name="_БДДС - инвестиции 2007г  (05 12 06г )  (2)" xfId="315"/>
    <cellStyle name="_БДДС - инвестиции 2007г  (08.12 06г ).МИ" xfId="316"/>
    <cellStyle name="_БДДС - инвестиции 2007г  (3 11 06г )" xfId="317"/>
    <cellStyle name="_БДДС 03.2007" xfId="318"/>
    <cellStyle name="_БДДС 2 квартал 2007 г." xfId="319"/>
    <cellStyle name="_БДДС 2 квартал 2007г - факт" xfId="320"/>
    <cellStyle name="_БДДС 3 квартал 2007 г." xfId="321"/>
    <cellStyle name="_БДДС 4 кв. 2007 г.-план" xfId="322"/>
    <cellStyle name="_БДДС для ЛГОК" xfId="323"/>
    <cellStyle name="_БДДС для ЛГОК_исходные_291107" xfId="324"/>
    <cellStyle name="_БДДС для ЛГОК_Лист1" xfId="325"/>
    <cellStyle name="_БДДС для ЛГОК_Лист2" xfId="326"/>
    <cellStyle name="_БДДС для ЛГОК_Лист3" xfId="327"/>
    <cellStyle name="_БДДС для МГОК" xfId="328"/>
    <cellStyle name="_БДДС для МГОК_исходные_291107" xfId="329"/>
    <cellStyle name="_БДДС для МГОК_Лист1" xfId="330"/>
    <cellStyle name="_БДДС для МГОК_Лист2" xfId="331"/>
    <cellStyle name="_БДДС для МГОК_Лист3" xfId="332"/>
    <cellStyle name="_БДДС для ОЭМК" xfId="333"/>
    <cellStyle name="_БДДС для ОЭМК_исходные_291107" xfId="334"/>
    <cellStyle name="_БДДС для ОЭМК_Лист1" xfId="335"/>
    <cellStyle name="_БДДС для ОЭМК_Лист2" xfId="336"/>
    <cellStyle name="_БДДС для ОЭМК_Лист3" xfId="337"/>
    <cellStyle name="_БДДС для УралСталь" xfId="338"/>
    <cellStyle name="_БДДС для УралСталь_исходные_291107" xfId="339"/>
    <cellStyle name="_БДДС для УралСталь_Лист1" xfId="340"/>
    <cellStyle name="_БДДС для УралСталь_Лист2" xfId="341"/>
    <cellStyle name="_БДДС для УралСталь_Лист3" xfId="342"/>
    <cellStyle name="_БДДС июнь 2007г. - факт" xfId="343"/>
    <cellStyle name="_БДДС май 2007г. - факт-прогноз" xfId="344"/>
    <cellStyle name="_БДДС на 2007 г  (новая форма) (2)" xfId="345"/>
    <cellStyle name="_БДДС на 2007 г  (новая форма) (3)" xfId="346"/>
    <cellStyle name="_БДДС на 2007 г. (новая форма)" xfId="347"/>
    <cellStyle name="_БДДС февраль 2009г. - план" xfId="348"/>
    <cellStyle name="_БДДС январь" xfId="349"/>
    <cellStyle name="_БДДС январь_Книга2" xfId="350"/>
    <cellStyle name="_БДиР на 2008г. Бизнес-План - 3 вариант" xfId="351"/>
    <cellStyle name="_БДР - 2008 год 2-е чтение" xfId="352"/>
    <cellStyle name="_БДР - 2008 год9.11.07" xfId="353"/>
    <cellStyle name="_БДР - 2кв." xfId="354"/>
    <cellStyle name="_БДР 2 кв  презентационный_24 03 2008_11-45" xfId="355"/>
    <cellStyle name="_БДР 2 кв  презентационный_24 03 2008_15-55" xfId="356"/>
    <cellStyle name="_БДР 2002-2007" xfId="357"/>
    <cellStyle name="_БДР 2008 г книга 9.11.07" xfId="358"/>
    <cellStyle name="_БДР 3 кв" xfId="359"/>
    <cellStyle name="_БДР -НОЯБРЬ ФАКТ" xfId="360"/>
    <cellStyle name="_БДР, ФП, сходимость" xfId="361"/>
    <cellStyle name="_БДР_Форма__4_2010 год по кварталам от 12.12.09 3 вариант. " xfId="362"/>
    <cellStyle name="_Без движения (01.04.2004)" xfId="363"/>
    <cellStyle name="_Без движения (01.05.2004)" xfId="364"/>
    <cellStyle name="_Блок по неликвидам" xfId="365"/>
    <cellStyle name="_Блок по неликвидам на 1 августа для оперативки 05_08" xfId="366"/>
    <cellStyle name="_БП на декабрь 2009г. (11-14)" xfId="367"/>
    <cellStyle name="_БП на ноябрь 2009г. (11-14)" xfId="368"/>
    <cellStyle name="_БП УС 1 кв.2007 (ч.1)" xfId="369"/>
    <cellStyle name="_БЮДЖЕТ 2004 от  28.11 агл. 2870 АХБпрочие" xfId="370"/>
    <cellStyle name="_БЮДЖЕТ 2004 от  28.11 агл. 2870 АХБпрочие 10" xfId="371"/>
    <cellStyle name="_БЮДЖЕТ 2004 от  28.11 агл. 2870 АХБпрочие 11" xfId="372"/>
    <cellStyle name="_БЮДЖЕТ 2004 от  28.11 агл. 2870 АХБпрочие 12" xfId="373"/>
    <cellStyle name="_БЮДЖЕТ 2004 от  28.11 агл. 2870 АХБпрочие 13" xfId="374"/>
    <cellStyle name="_БЮДЖЕТ 2004 от  28.11 агл. 2870 АХБпрочие 2" xfId="375"/>
    <cellStyle name="_БЮДЖЕТ 2004 от  28.11 агл. 2870 АХБпрочие 3" xfId="376"/>
    <cellStyle name="_БЮДЖЕТ 2004 от  28.11 агл. 2870 АХБпрочие 4" xfId="377"/>
    <cellStyle name="_БЮДЖЕТ 2004 от  28.11 агл. 2870 АХБпрочие 5" xfId="378"/>
    <cellStyle name="_БЮДЖЕТ 2004 от  28.11 агл. 2870 АХБпрочие 6" xfId="379"/>
    <cellStyle name="_БЮДЖЕТ 2004 от  28.11 агл. 2870 АХБпрочие 7" xfId="380"/>
    <cellStyle name="_БЮДЖЕТ 2004 от  28.11 агл. 2870 АХБпрочие 8" xfId="381"/>
    <cellStyle name="_БЮДЖЕТ 2004 от  28.11 агл. 2870 АХБпрочие 9" xfId="382"/>
    <cellStyle name="_БЮДЖЕТ 2004 от  28.11 агл. 2870 АХБпрочие__План по труду 2008 261107 (10% с января)" xfId="383"/>
    <cellStyle name="_БЮДЖЕТ 2004 от  28.11 агл. 2870 АХБпрочие__План по труду 2008 261107 (10% с января) 2" xfId="384"/>
    <cellStyle name="_БЮДЖЕТ 2004 от  28.11 агл. 2870 АХБпрочие__План по труду 2008 261107 (10% с января) 3" xfId="385"/>
    <cellStyle name="_БЮДЖЕТ 2004 от  28.11 агл. 2870 АХБпрочие__План по труду 2008 261107 (10% с января) 4" xfId="386"/>
    <cellStyle name="_БЮДЖЕТ 2004 от  28.11 агл. 2870 АХБпрочие__План по труду 2008 261107 (10% с января) 5" xfId="387"/>
    <cellStyle name="_БЮДЖЕТ 2004 от  28.11 агл. 2870 АХБпрочие__План по труду 2008 261107 (10% с января) 6" xfId="388"/>
    <cellStyle name="_БЮДЖЕТ 2004 от  28.11 агл. 2870 АХБпрочие__План по труду 2008 261107 (10% с января) 7" xfId="389"/>
    <cellStyle name="_БЮДЖЕТ 2004 от  28.11 агл. 2870 АХБпрочие__План по труду 2008 261107 (10% с января) 8" xfId="390"/>
    <cellStyle name="_БЮДЖЕТ 2004 от  28.11 агл. 2870 АХБпрочие__План по труду 2008 261107 (10% с января) 9" xfId="391"/>
    <cellStyle name="_БЮДЖЕТ 2004 от  28.11 агл. 2870 АХБпрочие__План по труду 2008 ИТОГ (правл. ПНР 161007)_" xfId="392"/>
    <cellStyle name="_БЮДЖЕТ 2004 от  28.11 агл. 2870 АХБпрочие__План по труду 2008 ИТОГ (правл. ПНР 161007)_ 2" xfId="393"/>
    <cellStyle name="_БЮДЖЕТ 2004 от  28.11 агл. 2870 АХБпрочие__План по труду 2008 ИТОГ (правл. ПНР 161007)_ 3" xfId="394"/>
    <cellStyle name="_БЮДЖЕТ 2004 от  28.11 агл. 2870 АХБпрочие__План по труду 2008 ИТОГ (правл. ПНР 161007)_ 4" xfId="395"/>
    <cellStyle name="_БЮДЖЕТ 2004 от  28.11 агл. 2870 АХБпрочие__План по труду 2008 ИТОГ (правл. ПНР 161007)_ 5" xfId="396"/>
    <cellStyle name="_БЮДЖЕТ 2004 от  28.11 агл. 2870 АХБпрочие__План по труду 2008 ИТОГ (правл. ПНР 161007)_ 6" xfId="397"/>
    <cellStyle name="_БЮДЖЕТ 2004 от  28.11 агл. 2870 АХБпрочие__План по труду 2008 ИТОГ (правл. ПНР 161007)_ 7" xfId="398"/>
    <cellStyle name="_БЮДЖЕТ 2004 от  28.11 агл. 2870 АХБпрочие__План по труду 2008 ИТОГ (правл. ПНР 161007)_ 8" xfId="399"/>
    <cellStyle name="_БЮДЖЕТ 2004 от  28.11 агл. 2870 АХБпрочие__План по труду 2008 ИТОГ (правл. ПНР 161007)_ 9" xfId="400"/>
    <cellStyle name="_БЮДЖЕТ 2004 от  28.11 агл. 2870 АХБпрочие_2_Инвестпрограмма на 2008 год (КОВАЛЕВ)" xfId="401"/>
    <cellStyle name="_БЮДЖЕТ 2004 от  28.11 агл. 2870 АХБпрочие_БП Урал Кирпич 28 01 2008г" xfId="402"/>
    <cellStyle name="_БЮДЖЕТ 2004 от  28.11 агл. 2870 АХБпрочие_БП_план на 1 кв. 2008г." xfId="403"/>
    <cellStyle name="_БЮДЖЕТ 2004 от  28.11 агл. 2870 АХБпрочие_БП_план на 2 кв. 2008г." xfId="404"/>
    <cellStyle name="_БЮДЖЕТ 2004 от  28.11 агл. 2870 АХБпрочие_Дайджест 2003-2004 гг." xfId="405"/>
    <cellStyle name="_БЮДЖЕТ 2004 от  28.11 агл. 2870 АХБпрочие_Дайджест 2003-2004 гг. 10" xfId="406"/>
    <cellStyle name="_БЮДЖЕТ 2004 от  28.11 агл. 2870 АХБпрочие_Дайджест 2003-2004 гг. 11" xfId="407"/>
    <cellStyle name="_БЮДЖЕТ 2004 от  28.11 агл. 2870 АХБпрочие_Дайджест 2003-2004 гг. 12" xfId="408"/>
    <cellStyle name="_БЮДЖЕТ 2004 от  28.11 агл. 2870 АХБпрочие_Дайджест 2003-2004 гг. 13" xfId="409"/>
    <cellStyle name="_БЮДЖЕТ 2004 от  28.11 агл. 2870 АХБпрочие_Дайджест 2003-2004 гг. 2" xfId="410"/>
    <cellStyle name="_БЮДЖЕТ 2004 от  28.11 агл. 2870 АХБпрочие_Дайджест 2003-2004 гг. 3" xfId="411"/>
    <cellStyle name="_БЮДЖЕТ 2004 от  28.11 агл. 2870 АХБпрочие_Дайджест 2003-2004 гг. 4" xfId="412"/>
    <cellStyle name="_БЮДЖЕТ 2004 от  28.11 агл. 2870 АХБпрочие_Дайджест 2003-2004 гг. 5" xfId="413"/>
    <cellStyle name="_БЮДЖЕТ 2004 от  28.11 агл. 2870 АХБпрочие_Дайджест 2003-2004 гг. 6" xfId="414"/>
    <cellStyle name="_БЮДЖЕТ 2004 от  28.11 агл. 2870 АХБпрочие_Дайджест 2003-2004 гг. 7" xfId="415"/>
    <cellStyle name="_БЮДЖЕТ 2004 от  28.11 агл. 2870 АХБпрочие_Дайджест 2003-2004 гг. 8" xfId="416"/>
    <cellStyle name="_БЮДЖЕТ 2004 от  28.11 агл. 2870 АХБпрочие_Дайджест 2003-2004 гг. 9" xfId="417"/>
    <cellStyle name="_БЮДЖЕТ 2004 от  28.11 агл. 2870 АХБпрочие_Дайджест 2003-2004 гг._! Металлургический дивизион для рассылки" xfId="418"/>
    <cellStyle name="_БЮДЖЕТ 2004 от  28.11 агл. 2870 АХБпрочие_Дайджест 2003-2004 гг._01.04.06-01.10.06 Распред. ср-в ЛГОК 20.10.06" xfId="419"/>
    <cellStyle name="_БЮДЖЕТ 2004 от  28.11 агл. 2870 АХБпрочие_Дайджест 2003-2004 гг._01.04.06-01.10.06 Распред. ср-в ЛГОК 20.10.06 2" xfId="420"/>
    <cellStyle name="_БЮДЖЕТ 2004 от  28.11 агл. 2870 АХБпрочие_Дайджест 2003-2004 гг._01.04.06-01.10.06 Распред. ср-в ЛГОК 20.10.06 3" xfId="421"/>
    <cellStyle name="_БЮДЖЕТ 2004 от  28.11 агл. 2870 АХБпрочие_Дайджест 2003-2004 гг._01.04.06-01.10.06 Распред. ср-в ЛГОК 20.10.06 4" xfId="422"/>
    <cellStyle name="_БЮДЖЕТ 2004 от  28.11 агл. 2870 АХБпрочие_Дайджест 2003-2004 гг._01.04.06-01.10.06 Распред. ср-в ЛГОК 20.10.06 5" xfId="423"/>
    <cellStyle name="_БЮДЖЕТ 2004 от  28.11 агл. 2870 АХБпрочие_Дайджест 2003-2004 гг._01.04.06-01.10.06 Распред. ср-в ЛГОК 20.10.06 6" xfId="424"/>
    <cellStyle name="_БЮДЖЕТ 2004 от  28.11 агл. 2870 АХБпрочие_Дайджест 2003-2004 гг._01.04.06-01.10.06 Распред. ср-в ЛГОК 20.10.06 7" xfId="425"/>
    <cellStyle name="_БЮДЖЕТ 2004 от  28.11 агл. 2870 АХБпрочие_Дайджест 2003-2004 гг._01.04.06-01.10.06 Распред. ср-в ЛГОК 20.10.06 8" xfId="426"/>
    <cellStyle name="_БЮДЖЕТ 2004 от  28.11 агл. 2870 АХБпрочие_Дайджест 2003-2004 гг._01.04.06-01.10.06 Распред. ср-в ЛГОК 20.10.06 9" xfId="427"/>
    <cellStyle name="_БЮДЖЕТ 2004 от  28.11 агл. 2870 АХБпрочие_Дайджест 2003-2004 гг._01.04.06-01.10.06 Распред. ср-в ОЭМК 20.10.06" xfId="428"/>
    <cellStyle name="_БЮДЖЕТ 2004 от  28.11 агл. 2870 АХБпрочие_Дайджест 2003-2004 гг._01.04.06-01.10.06 Распред. ср-в ОЭМК 20.10.06 2" xfId="429"/>
    <cellStyle name="_БЮДЖЕТ 2004 от  28.11 агл. 2870 АХБпрочие_Дайджест 2003-2004 гг._01.04.06-01.10.06 Распред. ср-в ОЭМК 20.10.06 3" xfId="430"/>
    <cellStyle name="_БЮДЖЕТ 2004 от  28.11 агл. 2870 АХБпрочие_Дайджест 2003-2004 гг._01.04.06-01.10.06 Распред. ср-в ОЭМК 20.10.06 4" xfId="431"/>
    <cellStyle name="_БЮДЖЕТ 2004 от  28.11 агл. 2870 АХБпрочие_Дайджест 2003-2004 гг._01.04.06-01.10.06 Распред. ср-в ОЭМК 20.10.06 5" xfId="432"/>
    <cellStyle name="_БЮДЖЕТ 2004 от  28.11 агл. 2870 АХБпрочие_Дайджест 2003-2004 гг._01.04.06-01.10.06 Распред. ср-в ОЭМК 20.10.06 6" xfId="433"/>
    <cellStyle name="_БЮДЖЕТ 2004 от  28.11 агл. 2870 АХБпрочие_Дайджест 2003-2004 гг._01.04.06-01.10.06 Распред. ср-в ОЭМК 20.10.06 7" xfId="434"/>
    <cellStyle name="_БЮДЖЕТ 2004 от  28.11 агл. 2870 АХБпрочие_Дайджест 2003-2004 гг._01.04.06-01.10.06 Распред. ср-в ОЭМК 20.10.06 8" xfId="435"/>
    <cellStyle name="_БЮДЖЕТ 2004 от  28.11 агл. 2870 АХБпрочие_Дайджест 2003-2004 гг._01.04.06-01.10.06 Распред. ср-в ОЭМК 20.10.06 9" xfId="436"/>
    <cellStyle name="_БЮДЖЕТ 2004 от  28.11 агл. 2870 АХБпрочие_Дайджест 2003-2004 гг._090129 Погашение и уплата процентов Горшкова М." xfId="437"/>
    <cellStyle name="_БЮДЖЕТ 2004 от  28.11 агл. 2870 АХБпрочие_Дайджест 2003-2004 гг._090129 Погашение и уплата процентов Горшкова М. 2" xfId="438"/>
    <cellStyle name="_БЮДЖЕТ 2004 от  28.11 агл. 2870 АХБпрочие_Дайджест 2003-2004 гг._090129 Погашение и уплата процентов Горшкова М. 3" xfId="439"/>
    <cellStyle name="_БЮДЖЕТ 2004 от  28.11 агл. 2870 АХБпрочие_Дайджест 2003-2004 гг._090129 Погашение и уплата процентов Горшкова М. 4" xfId="440"/>
    <cellStyle name="_БЮДЖЕТ 2004 от  28.11 агл. 2870 АХБпрочие_Дайджест 2003-2004 гг._090129 Погашение и уплата процентов Горшкова М. 5" xfId="441"/>
    <cellStyle name="_БЮДЖЕТ 2004 от  28.11 агл. 2870 АХБпрочие_Дайджест 2003-2004 гг._090129 Погашение и уплата процентов Горшкова М. 6" xfId="442"/>
    <cellStyle name="_БЮДЖЕТ 2004 от  28.11 агл. 2870 АХБпрочие_Дайджест 2003-2004 гг._090129 Погашение и уплата процентов Горшкова М. 7" xfId="443"/>
    <cellStyle name="_БЮДЖЕТ 2004 от  28.11 агл. 2870 АХБпрочие_Дайджест 2003-2004 гг._090129 Погашение и уплата процентов Горшкова М. 8" xfId="444"/>
    <cellStyle name="_БЮДЖЕТ 2004 от  28.11 агл. 2870 АХБпрочие_Дайджест 2003-2004 гг._090129 Погашение и уплата процентов Горшкова М. 9" xfId="445"/>
    <cellStyle name="_БЮДЖЕТ 2004 от  28.11 агл. 2870 АХБпрочие_Дайджест 2003-2004 гг._1 - 10 декабря" xfId="446"/>
    <cellStyle name="_БЮДЖЕТ 2004 от  28.11 агл. 2870 АХБпрочие_Дайджест 2003-2004 гг._1-12,13,14 сентября" xfId="447"/>
    <cellStyle name="_БЮДЖЕТ 2004 от  28.11 агл. 2870 АХБпрочие_Дайджест 2003-2004 гг._13,14,28-30" xfId="448"/>
    <cellStyle name="_БЮДЖЕТ 2004 от  28.11 агл. 2870 АХБпрочие_Дайджест 2003-2004 гг._19" xfId="449"/>
    <cellStyle name="_БЮДЖЕТ 2004 от  28.11 агл. 2870 АХБпрочие_Дайджест 2003-2004 гг._2007 + год " xfId="450"/>
    <cellStyle name="_БЮДЖЕТ 2004 от  28.11 агл. 2870 АХБпрочие_Дайджест 2003-2004 гг._2007 + год  2" xfId="451"/>
    <cellStyle name="_БЮДЖЕТ 2004 от  28.11 агл. 2870 АХБпрочие_Дайджест 2003-2004 гг._2007 + год  3" xfId="452"/>
    <cellStyle name="_БЮДЖЕТ 2004 от  28.11 агл. 2870 АХБпрочие_Дайджест 2003-2004 гг._2007 + год  4" xfId="453"/>
    <cellStyle name="_БЮДЖЕТ 2004 от  28.11 агл. 2870 АХБпрочие_Дайджест 2003-2004 гг._2007 + год  5" xfId="454"/>
    <cellStyle name="_БЮДЖЕТ 2004 от  28.11 агл. 2870 АХБпрочие_Дайджест 2003-2004 гг._2007 + год  6" xfId="455"/>
    <cellStyle name="_БЮДЖЕТ 2004 от  28.11 агл. 2870 АХБпрочие_Дайджест 2003-2004 гг._2007 + год  7" xfId="456"/>
    <cellStyle name="_БЮДЖЕТ 2004 от  28.11 агл. 2870 АХБпрочие_Дайджест 2003-2004 гг._2007 + год  8" xfId="457"/>
    <cellStyle name="_БЮДЖЕТ 2004 от  28.11 агл. 2870 АХБпрочие_Дайджест 2003-2004 гг._2007 + год  9" xfId="458"/>
    <cellStyle name="_БЮДЖЕТ 2004 от  28.11 агл. 2870 АХБпрочие_Дайджест 2003-2004 гг._2007 г год план (фин.часть)" xfId="459"/>
    <cellStyle name="_БЮДЖЕТ 2004 от  28.11 агл. 2870 АХБпрочие_Дайджест 2003-2004 гг._2007 г год план (фин.часть) 2" xfId="460"/>
    <cellStyle name="_БЮДЖЕТ 2004 от  28.11 агл. 2870 АХБпрочие_Дайджест 2003-2004 гг._2007 г год план (фин.часть) 3" xfId="461"/>
    <cellStyle name="_БЮДЖЕТ 2004 от  28.11 агл. 2870 АХБпрочие_Дайджест 2003-2004 гг._2007 г год план (фин.часть) 4" xfId="462"/>
    <cellStyle name="_БЮДЖЕТ 2004 от  28.11 агл. 2870 АХБпрочие_Дайджест 2003-2004 гг._2007 г год план (фин.часть) 5" xfId="463"/>
    <cellStyle name="_БЮДЖЕТ 2004 от  28.11 агл. 2870 АХБпрочие_Дайджест 2003-2004 гг._2007 г год план (фин.часть) 6" xfId="464"/>
    <cellStyle name="_БЮДЖЕТ 2004 от  28.11 агл. 2870 АХБпрочие_Дайджест 2003-2004 гг._2007 г год план (фин.часть) 7" xfId="465"/>
    <cellStyle name="_БЮДЖЕТ 2004 от  28.11 агл. 2870 АХБпрочие_Дайджест 2003-2004 гг._2007 г год план (фин.часть) 8" xfId="466"/>
    <cellStyle name="_БЮДЖЕТ 2004 от  28.11 агл. 2870 АХБпрочие_Дайджест 2003-2004 гг._2007 г год план (фин.часть) 9" xfId="467"/>
    <cellStyle name="_БЮДЖЕТ 2004 от  28.11 агл. 2870 АХБпрочие_Дайджест 2003-2004 гг._2007 год " xfId="468"/>
    <cellStyle name="_БЮДЖЕТ 2004 от  28.11 агл. 2870 АХБпрочие_Дайджест 2003-2004 гг._2007 год  2" xfId="469"/>
    <cellStyle name="_БЮДЖЕТ 2004 от  28.11 агл. 2870 АХБпрочие_Дайджест 2003-2004 гг._2007 год  3" xfId="470"/>
    <cellStyle name="_БЮДЖЕТ 2004 от  28.11 агл. 2870 АХБпрочие_Дайджест 2003-2004 гг._2007 год  4" xfId="471"/>
    <cellStyle name="_БЮДЖЕТ 2004 от  28.11 агл. 2870 АХБпрочие_Дайджест 2003-2004 гг._2007 год  5" xfId="472"/>
    <cellStyle name="_БЮДЖЕТ 2004 от  28.11 агл. 2870 АХБпрочие_Дайджест 2003-2004 гг._2007 год  6" xfId="473"/>
    <cellStyle name="_БЮДЖЕТ 2004 от  28.11 агл. 2870 АХБпрочие_Дайджест 2003-2004 гг._2007 год  7" xfId="474"/>
    <cellStyle name="_БЮДЖЕТ 2004 от  28.11 агл. 2870 АХБпрочие_Дайджест 2003-2004 гг._2007 год  8" xfId="475"/>
    <cellStyle name="_БЮДЖЕТ 2004 от  28.11 агл. 2870 АХБпрочие_Дайджест 2003-2004 гг._2007 год  9" xfId="476"/>
    <cellStyle name="_БЮДЖЕТ 2004 от  28.11 агл. 2870 АХБпрочие_Дайджест 2003-2004 гг._2007 измен 11.12.06 2 вар " xfId="477"/>
    <cellStyle name="_БЮДЖЕТ 2004 от  28.11 агл. 2870 АХБпрочие_Дайджест 2003-2004 гг._2007 измен 11.12.06 2 вар  2" xfId="478"/>
    <cellStyle name="_БЮДЖЕТ 2004 от  28.11 агл. 2870 АХБпрочие_Дайджест 2003-2004 гг._2007 измен 11.12.06 2 вар  3" xfId="479"/>
    <cellStyle name="_БЮДЖЕТ 2004 от  28.11 агл. 2870 АХБпрочие_Дайджест 2003-2004 гг._2007 измен 11.12.06 2 вар  4" xfId="480"/>
    <cellStyle name="_БЮДЖЕТ 2004 от  28.11 агл. 2870 АХБпрочие_Дайджест 2003-2004 гг._2007 измен 11.12.06 2 вар  5" xfId="481"/>
    <cellStyle name="_БЮДЖЕТ 2004 от  28.11 агл. 2870 АХБпрочие_Дайджест 2003-2004 гг._2007 измен 11.12.06 2 вар  6" xfId="482"/>
    <cellStyle name="_БЮДЖЕТ 2004 от  28.11 агл. 2870 АХБпрочие_Дайджест 2003-2004 гг._2007 измен 11.12.06 2 вар  7" xfId="483"/>
    <cellStyle name="_БЮДЖЕТ 2004 от  28.11 агл. 2870 АХБпрочие_Дайджест 2003-2004 гг._2007 измен 11.12.06 2 вар  8" xfId="484"/>
    <cellStyle name="_БЮДЖЕТ 2004 от  28.11 агл. 2870 АХБпрочие_Дайджест 2003-2004 гг._2007 измен 11.12.06 2 вар  9" xfId="485"/>
    <cellStyle name="_БЮДЖЕТ 2004 от  28.11 агл. 2870 АХБпрочие_Дайджест 2003-2004 гг._2009-03-03 План марта рус" xfId="486"/>
    <cellStyle name="_БЮДЖЕТ 2004 от  28.11 агл. 2870 АХБпрочие_Дайджест 2003-2004 гг._2009-03-03 План марта рус 2" xfId="487"/>
    <cellStyle name="_БЮДЖЕТ 2004 от  28.11 агл. 2870 АХБпрочие_Дайджест 2003-2004 гг._2009-03-03 План марта рус 3" xfId="488"/>
    <cellStyle name="_БЮДЖЕТ 2004 от  28.11 агл. 2870 АХБпрочие_Дайджест 2003-2004 гг._2009-03-03 План марта рус 4" xfId="489"/>
    <cellStyle name="_БЮДЖЕТ 2004 от  28.11 агл. 2870 АХБпрочие_Дайджест 2003-2004 гг._2009-03-03 План марта рус 5" xfId="490"/>
    <cellStyle name="_БЮДЖЕТ 2004 от  28.11 агл. 2870 АХБпрочие_Дайджест 2003-2004 гг._2009-03-03 План марта рус 6" xfId="491"/>
    <cellStyle name="_БЮДЖЕТ 2004 от  28.11 агл. 2870 АХБпрочие_Дайджест 2003-2004 гг._2009-03-03 План марта рус 7" xfId="492"/>
    <cellStyle name="_БЮДЖЕТ 2004 от  28.11 агл. 2870 АХБпрочие_Дайджест 2003-2004 гг._2009-03-03 План марта рус 8" xfId="493"/>
    <cellStyle name="_БЮДЖЕТ 2004 от  28.11 агл. 2870 АХБпрочие_Дайджест 2003-2004 гг._2009-03-03 План марта рус 9" xfId="494"/>
    <cellStyle name="_БЮДЖЕТ 2004 от  28.11 агл. 2870 АХБпрочие_Дайджест 2003-2004 гг._25 разделы баланса раб (21.08.06)" xfId="495"/>
    <cellStyle name="_БЮДЖЕТ 2004 от  28.11 агл. 2870 АХБпрочие_Дайджест 2003-2004 гг._25 разделы баланса раб (21.08.06) 2" xfId="496"/>
    <cellStyle name="_БЮДЖЕТ 2004 от  28.11 агл. 2870 АХБпрочие_Дайджест 2003-2004 гг._25 разделы баланса раб (21.08.06) 3" xfId="497"/>
    <cellStyle name="_БЮДЖЕТ 2004 от  28.11 агл. 2870 АХБпрочие_Дайджест 2003-2004 гг._25 разделы баланса раб (21.08.06) 4" xfId="498"/>
    <cellStyle name="_БЮДЖЕТ 2004 от  28.11 агл. 2870 АХБпрочие_Дайджест 2003-2004 гг._25 разделы баланса раб (21.08.06) 5" xfId="499"/>
    <cellStyle name="_БЮДЖЕТ 2004 от  28.11 агл. 2870 АХБпрочие_Дайджест 2003-2004 гг._25 разделы баланса раб (21.08.06) 6" xfId="500"/>
    <cellStyle name="_БЮДЖЕТ 2004 от  28.11 агл. 2870 АХБпрочие_Дайджест 2003-2004 гг._25 разделы баланса раб (21.08.06) 7" xfId="501"/>
    <cellStyle name="_БЮДЖЕТ 2004 от  28.11 агл. 2870 АХБпрочие_Дайджест 2003-2004 гг._25 разделы баланса раб (21.08.06) 8" xfId="502"/>
    <cellStyle name="_БЮДЖЕТ 2004 от  28.11 агл. 2870 АХБпрочие_Дайджест 2003-2004 гг._25 разделы баланса раб (21.08.06) 9" xfId="503"/>
    <cellStyle name="_БЮДЖЕТ 2004 от  28.11 агл. 2870 АХБпрочие_Дайджест 2003-2004 гг._25.06.07" xfId="504"/>
    <cellStyle name="_БЮДЖЕТ 2004 от  28.11 агл. 2870 АХБпрочие_Дайджест 2003-2004 гг._25.06.07 2" xfId="505"/>
    <cellStyle name="_БЮДЖЕТ 2004 от  28.11 агл. 2870 АХБпрочие_Дайджест 2003-2004 гг._25.06.07 3" xfId="506"/>
    <cellStyle name="_БЮДЖЕТ 2004 от  28.11 агл. 2870 АХБпрочие_Дайджест 2003-2004 гг._25.06.07 4" xfId="507"/>
    <cellStyle name="_БЮДЖЕТ 2004 от  28.11 агл. 2870 АХБпрочие_Дайджест 2003-2004 гг._25.06.07 5" xfId="508"/>
    <cellStyle name="_БЮДЖЕТ 2004 от  28.11 агл. 2870 АХБпрочие_Дайджест 2003-2004 гг._25.06.07 6" xfId="509"/>
    <cellStyle name="_БЮДЖЕТ 2004 от  28.11 агл. 2870 АХБпрочие_Дайджест 2003-2004 гг._25.06.07 7" xfId="510"/>
    <cellStyle name="_БЮДЖЕТ 2004 от  28.11 агл. 2870 АХБпрочие_Дайджест 2003-2004 гг._25.06.07 8" xfId="511"/>
    <cellStyle name="_БЮДЖЕТ 2004 от  28.11 агл. 2870 АХБпрочие_Дайджест 2003-2004 гг._25.06.07 9" xfId="512"/>
    <cellStyle name="_БЮДЖЕТ 2004 от  28.11 агл. 2870 АХБпрочие_Дайджест 2003-2004 гг._26-30" xfId="513"/>
    <cellStyle name="_БЮДЖЕТ 2004 от  28.11 агл. 2870 АХБпрочие_Дайджест 2003-2004 гг._28" xfId="514"/>
    <cellStyle name="_БЮДЖЕТ 2004 от  28.11 агл. 2870 АХБпрочие_Дайджест 2003-2004 гг._28-30 (1)" xfId="515"/>
    <cellStyle name="_БЮДЖЕТ 2004 от  28.11 агл. 2870 АХБпрочие_Дайджест 2003-2004 гг._28-30 (1) 2" xfId="516"/>
    <cellStyle name="_БЮДЖЕТ 2004 от  28.11 агл. 2870 АХБпрочие_Дайджест 2003-2004 гг._28-30 (1) 3" xfId="517"/>
    <cellStyle name="_БЮДЖЕТ 2004 от  28.11 агл. 2870 АХБпрочие_Дайджест 2003-2004 гг._28-30 (1) 4" xfId="518"/>
    <cellStyle name="_БЮДЖЕТ 2004 от  28.11 агл. 2870 АХБпрочие_Дайджест 2003-2004 гг._28-30 (1) 5" xfId="519"/>
    <cellStyle name="_БЮДЖЕТ 2004 от  28.11 агл. 2870 АХБпрочие_Дайджест 2003-2004 гг._28-30 (1) 6" xfId="520"/>
    <cellStyle name="_БЮДЖЕТ 2004 от  28.11 агл. 2870 АХБпрочие_Дайджест 2003-2004 гг._28-30 (1) 7" xfId="521"/>
    <cellStyle name="_БЮДЖЕТ 2004 от  28.11 агл. 2870 АХБпрочие_Дайджест 2003-2004 гг._28-30 (1) 8" xfId="522"/>
    <cellStyle name="_БЮДЖЕТ 2004 от  28.11 агл. 2870 АХБпрочие_Дайджест 2003-2004 гг._28-30 (1) 9" xfId="523"/>
    <cellStyle name="_БЮДЖЕТ 2004 от  28.11 агл. 2870 АХБпрочие_Дайджест 2003-2004 гг._29 форма 12 месяцев" xfId="524"/>
    <cellStyle name="_БЮДЖЕТ 2004 от  28.11 агл. 2870 АХБпрочие_Дайджест 2003-2004 гг._29 форма 12 месяцев 2" xfId="525"/>
    <cellStyle name="_БЮДЖЕТ 2004 от  28.11 агл. 2870 АХБпрочие_Дайджест 2003-2004 гг._29 форма 12 месяцев 3" xfId="526"/>
    <cellStyle name="_БЮДЖЕТ 2004 от  28.11 агл. 2870 АХБпрочие_Дайджест 2003-2004 гг._29 форма 12 месяцев 4" xfId="527"/>
    <cellStyle name="_БЮДЖЕТ 2004 от  28.11 агл. 2870 АХБпрочие_Дайджест 2003-2004 гг._29 форма 12 месяцев 5" xfId="528"/>
    <cellStyle name="_БЮДЖЕТ 2004 от  28.11 агл. 2870 АХБпрочие_Дайджест 2003-2004 гг._29 форма 12 месяцев 6" xfId="529"/>
    <cellStyle name="_БЮДЖЕТ 2004 от  28.11 агл. 2870 АХБпрочие_Дайджест 2003-2004 гг._29 форма 12 месяцев 7" xfId="530"/>
    <cellStyle name="_БЮДЖЕТ 2004 от  28.11 агл. 2870 АХБпрочие_Дайджест 2003-2004 гг._29 форма 12 месяцев 8" xfId="531"/>
    <cellStyle name="_БЮДЖЕТ 2004 от  28.11 агл. 2870 АХБпрочие_Дайджест 2003-2004 гг._29 форма 12 месяцев 9" xfId="532"/>
    <cellStyle name="_БЮДЖЕТ 2004 от  28.11 агл. 2870 АХБпрочие_Дайджест 2003-2004 гг._29 форма 12 месяцев_13,14,28-30" xfId="533"/>
    <cellStyle name="_БЮДЖЕТ 2004 от  28.11 агл. 2870 АХБпрочие_Дайджест 2003-2004 гг._29 форма 12 месяцев_26-30" xfId="534"/>
    <cellStyle name="_БЮДЖЕТ 2004 от  28.11 агл. 2870 АХБпрочие_Дайджест 2003-2004 гг._29 форма 12 месяцев_28" xfId="535"/>
    <cellStyle name="_БЮДЖЕТ 2004 от  28.11 агл. 2870 АХБпрочие_Дайджест 2003-2004 гг._29 форма 12 месяцев_3 квартал" xfId="536"/>
    <cellStyle name="_БЮДЖЕТ 2004 от  28.11 агл. 2870 АХБпрочие_Дайджест 2003-2004 гг._29 форма 12 месяцев_3 квартал 2" xfId="537"/>
    <cellStyle name="_БЮДЖЕТ 2004 от  28.11 агл. 2870 АХБпрочие_Дайджест 2003-2004 гг._29 форма 12 месяцев_Книга2" xfId="538"/>
    <cellStyle name="_БЮДЖЕТ 2004 от  28.11 агл. 2870 АХБпрочие_Дайджест 2003-2004 гг._29 форма 12 месяцев_Копия Динамика цен (УС ) 2006-2009 сверен 30.01.09" xfId="539"/>
    <cellStyle name="_БЮДЖЕТ 2004 от  28.11 агл. 2870 АХБпрочие_Дайджест 2003-2004 гг._29 форма 12 месяцев_Обжиговая" xfId="540"/>
    <cellStyle name="_БЮДЖЕТ 2004 от  28.11 агл. 2870 АХБпрочие_Дайджест 2003-2004 гг._29 форма 12 месяцев_Отчет за сентябрь_11_ДСМ" xfId="541"/>
    <cellStyle name="_БЮДЖЕТ 2004 от  28.11 агл. 2870 АХБпрочие_Дайджест 2003-2004 гг._29 форма 12 месяцев_Стан 150" xfId="542"/>
    <cellStyle name="_БЮДЖЕТ 2004 от  28.11 агл. 2870 АХБпрочие_Дайджест 2003-2004 гг._29 форма 12 месяцев_фIIIкв Комплект ОЭМК (1-12,18,22) 28.10.08" xfId="543"/>
    <cellStyle name="_БЮДЖЕТ 2004 от  28.11 агл. 2870 АХБпрочие_Дайджест 2003-2004 гг._29 форма 12 месяцев_Форма №19" xfId="544"/>
    <cellStyle name="_БЮДЖЕТ 2004 от  28.11 агл. 2870 АХБпрочие_Дайджест 2003-2004 гг._29 форма 12 месяцев_Форма №24" xfId="545"/>
    <cellStyle name="_БЮДЖЕТ 2004 от  28.11 агл. 2870 АХБпрочие_Дайджест 2003-2004 гг._29 форма 12 месяцев_Формы _28-30 (новые)1" xfId="546"/>
    <cellStyle name="_БЮДЖЕТ 2004 от  28.11 агл. 2870 АХБпрочие_Дайджест 2003-2004 гг._29 форма 12 месяцев_Формы 28-30" xfId="547"/>
    <cellStyle name="_БЮДЖЕТ 2004 от  28.11 агл. 2870 АХБпрочие_Дайджест 2003-2004 гг._29 форма 12 месяцев_Формы №28-30 (новые)1" xfId="548"/>
    <cellStyle name="_БЮДЖЕТ 2004 от  28.11 агл. 2870 АХБпрочие_Дайджест 2003-2004 гг._29 форма 12 месяцев_Шаропрокатный" xfId="549"/>
    <cellStyle name="_БЮДЖЕТ 2004 от  28.11 агл. 2870 АХБпрочие_Дайджест 2003-2004 гг._29 форма 12 месяцев_ЭНЦ-1" xfId="550"/>
    <cellStyle name="_БЮДЖЕТ 2004 от  28.11 агл. 2870 АХБпрочие_Дайджест 2003-2004 гг._3 квартал" xfId="551"/>
    <cellStyle name="_БЮДЖЕТ 2004 от  28.11 агл. 2870 АХБпрочие_Дайджест 2003-2004 гг._3 квартал 2" xfId="552"/>
    <cellStyle name="_БЮДЖЕТ 2004 от  28.11 агл. 2870 АХБпрочие_Дайджест 2003-2004 гг._30" xfId="553"/>
    <cellStyle name="_БЮДЖЕТ 2004 от  28.11 агл. 2870 АХБпрочие_Дайджест 2003-2004 гг._30 2" xfId="554"/>
    <cellStyle name="_БЮДЖЕТ 2004 от  28.11 агл. 2870 АХБпрочие_Дайджест 2003-2004 гг._30 3" xfId="555"/>
    <cellStyle name="_БЮДЖЕТ 2004 от  28.11 агл. 2870 АХБпрочие_Дайджест 2003-2004 гг._30 4" xfId="556"/>
    <cellStyle name="_БЮДЖЕТ 2004 от  28.11 агл. 2870 АХБпрочие_Дайджест 2003-2004 гг._30 5" xfId="557"/>
    <cellStyle name="_БЮДЖЕТ 2004 от  28.11 агл. 2870 АХБпрочие_Дайджест 2003-2004 гг._30 6" xfId="558"/>
    <cellStyle name="_БЮДЖЕТ 2004 от  28.11 агл. 2870 АХБпрочие_Дайджест 2003-2004 гг._30 7" xfId="559"/>
    <cellStyle name="_БЮДЖЕТ 2004 от  28.11 агл. 2870 АХБпрочие_Дайджест 2003-2004 гг._30 8" xfId="560"/>
    <cellStyle name="_БЮДЖЕТ 2004 от  28.11 агл. 2870 АХБпрочие_Дайджест 2003-2004 гг._30 9" xfId="561"/>
    <cellStyle name="_БЮДЖЕТ 2004 от  28.11 агл. 2870 АХБпрочие_Дайджест 2003-2004 гг._30 форма (январьфакт)" xfId="562"/>
    <cellStyle name="_БЮДЖЕТ 2004 от  28.11 агл. 2870 АХБпрочие_Дайджест 2003-2004 гг._30 форма (январьфакт) 2" xfId="563"/>
    <cellStyle name="_БЮДЖЕТ 2004 от  28.11 агл. 2870 АХБпрочие_Дайджест 2003-2004 гг._30 форма (январьфакт) 3" xfId="564"/>
    <cellStyle name="_БЮДЖЕТ 2004 от  28.11 агл. 2870 АХБпрочие_Дайджест 2003-2004 гг._30 форма (январьфакт) 4" xfId="565"/>
    <cellStyle name="_БЮДЖЕТ 2004 от  28.11 агл. 2870 АХБпрочие_Дайджест 2003-2004 гг._30 форма (январьфакт) 5" xfId="566"/>
    <cellStyle name="_БЮДЖЕТ 2004 от  28.11 агл. 2870 АХБпрочие_Дайджест 2003-2004 гг._30 форма (январьфакт) 6" xfId="567"/>
    <cellStyle name="_БЮДЖЕТ 2004 от  28.11 агл. 2870 АХБпрочие_Дайджест 2003-2004 гг._30 форма (январьфакт) 7" xfId="568"/>
    <cellStyle name="_БЮДЖЕТ 2004 от  28.11 агл. 2870 АХБпрочие_Дайджест 2003-2004 гг._30 форма (январьфакт) 8" xfId="569"/>
    <cellStyle name="_БЮДЖЕТ 2004 от  28.11 агл. 2870 АХБпрочие_Дайджест 2003-2004 гг._30 форма (январьфакт) 9" xfId="570"/>
    <cellStyle name="_БЮДЖЕТ 2004 от  28.11 агл. 2870 АХБпрочие_Дайджест 2003-2004 гг._30 форма (январьфакт-мартплан)" xfId="571"/>
    <cellStyle name="_БЮДЖЕТ 2004 от  28.11 агл. 2870 АХБпрочие_Дайджест 2003-2004 гг._30 форма (январьфакт-мартплан) 2" xfId="572"/>
    <cellStyle name="_БЮДЖЕТ 2004 от  28.11 агл. 2870 АХБпрочие_Дайджест 2003-2004 гг._30 форма (январьфакт-мартплан) 3" xfId="573"/>
    <cellStyle name="_БЮДЖЕТ 2004 от  28.11 агл. 2870 АХБпрочие_Дайджест 2003-2004 гг._30 форма (январьфакт-мартплан) 4" xfId="574"/>
    <cellStyle name="_БЮДЖЕТ 2004 от  28.11 агл. 2870 АХБпрочие_Дайджест 2003-2004 гг._30 форма (январьфакт-мартплан) 5" xfId="575"/>
    <cellStyle name="_БЮДЖЕТ 2004 от  28.11 агл. 2870 АХБпрочие_Дайджест 2003-2004 гг._30 форма (январьфакт-мартплан) 6" xfId="576"/>
    <cellStyle name="_БЮДЖЕТ 2004 от  28.11 агл. 2870 АХБпрочие_Дайджест 2003-2004 гг._30 форма (январьфакт-мартплан) 7" xfId="577"/>
    <cellStyle name="_БЮДЖЕТ 2004 от  28.11 агл. 2870 АХБпрочие_Дайджест 2003-2004 гг._30 форма (январьфакт-мартплан) 8" xfId="578"/>
    <cellStyle name="_БЮДЖЕТ 2004 от  28.11 агл. 2870 АХБпрочие_Дайджест 2003-2004 гг._30 форма (январьфакт-мартплан) 9" xfId="579"/>
    <cellStyle name="_БЮДЖЕТ 2004 от  28.11 агл. 2870 АХБпрочие_Дайджест 2003-2004 гг._30 форма с ожидаемым за январь" xfId="580"/>
    <cellStyle name="_БЮДЖЕТ 2004 от  28.11 агл. 2870 АХБпрочие_Дайджест 2003-2004 гг._30 форма с ожидаемым за январь 2" xfId="581"/>
    <cellStyle name="_БЮДЖЕТ 2004 от  28.11 агл. 2870 АХБпрочие_Дайджест 2003-2004 гг._30 форма с ожидаемым за январь 3" xfId="582"/>
    <cellStyle name="_БЮДЖЕТ 2004 от  28.11 агл. 2870 АХБпрочие_Дайджест 2003-2004 гг._30 форма с ожидаемым за январь 4" xfId="583"/>
    <cellStyle name="_БЮДЖЕТ 2004 от  28.11 агл. 2870 АХБпрочие_Дайджест 2003-2004 гг._30 форма с ожидаемым за январь 5" xfId="584"/>
    <cellStyle name="_БЮДЖЕТ 2004 от  28.11 агл. 2870 АХБпрочие_Дайджест 2003-2004 гг._30 форма с ожидаемым за январь 6" xfId="585"/>
    <cellStyle name="_БЮДЖЕТ 2004 от  28.11 агл. 2870 АХБпрочие_Дайджест 2003-2004 гг._30 форма с ожидаемым за январь 7" xfId="586"/>
    <cellStyle name="_БЮДЖЕТ 2004 от  28.11 агл. 2870 АХБпрочие_Дайджест 2003-2004 гг._30 форма с ожидаемым за январь 8" xfId="587"/>
    <cellStyle name="_БЮДЖЕТ 2004 от  28.11 агл. 2870 АХБпрочие_Дайджест 2003-2004 гг._30 форма с ожидаемым за январь 9" xfId="588"/>
    <cellStyle name="_БЮДЖЕТ 2004 от  28.11 агл. 2870 АХБпрочие_Дайджест 2003-2004 гг._30 форма с фактом за декабрь" xfId="589"/>
    <cellStyle name="_БЮДЖЕТ 2004 от  28.11 агл. 2870 АХБпрочие_Дайджест 2003-2004 гг._30 форма с фактом за декабрь 2" xfId="590"/>
    <cellStyle name="_БЮДЖЕТ 2004 от  28.11 агл. 2870 АХБпрочие_Дайджест 2003-2004 гг._30 форма с фактом за декабрь 3" xfId="591"/>
    <cellStyle name="_БЮДЖЕТ 2004 от  28.11 агл. 2870 АХБпрочие_Дайджест 2003-2004 гг._30 форма с фактом за декабрь 4" xfId="592"/>
    <cellStyle name="_БЮДЖЕТ 2004 от  28.11 агл. 2870 АХБпрочие_Дайджест 2003-2004 гг._30 форма с фактом за декабрь 5" xfId="593"/>
    <cellStyle name="_БЮДЖЕТ 2004 от  28.11 агл. 2870 АХБпрочие_Дайджест 2003-2004 гг._30 форма с фактом за декабрь 6" xfId="594"/>
    <cellStyle name="_БЮДЖЕТ 2004 от  28.11 агл. 2870 АХБпрочие_Дайджест 2003-2004 гг._30 форма с фактом за декабрь 7" xfId="595"/>
    <cellStyle name="_БЮДЖЕТ 2004 от  28.11 агл. 2870 АХБпрочие_Дайджест 2003-2004 гг._30 форма с фактом за декабрь 8" xfId="596"/>
    <cellStyle name="_БЮДЖЕТ 2004 от  28.11 агл. 2870 АХБпрочие_Дайджест 2003-2004 гг._30 форма с фактом за декабрь 9" xfId="597"/>
    <cellStyle name="_БЮДЖЕТ 2004 от  28.11 агл. 2870 АХБпрочие_Дайджест 2003-2004 гг._30 форма с фактом за ноябрь" xfId="598"/>
    <cellStyle name="_БЮДЖЕТ 2004 от  28.11 агл. 2870 АХБпрочие_Дайджест 2003-2004 гг._30 форма с фактом за ноябрь 2" xfId="599"/>
    <cellStyle name="_БЮДЖЕТ 2004 от  28.11 агл. 2870 АХБпрочие_Дайджест 2003-2004 гг._30 форма с фактом за ноябрь 3" xfId="600"/>
    <cellStyle name="_БЮДЖЕТ 2004 от  28.11 агл. 2870 АХБпрочие_Дайджест 2003-2004 гг._30 форма с фактом за ноябрь 4" xfId="601"/>
    <cellStyle name="_БЮДЖЕТ 2004 от  28.11 агл. 2870 АХБпрочие_Дайджест 2003-2004 гг._30 форма с фактом за ноябрь 5" xfId="602"/>
    <cellStyle name="_БЮДЖЕТ 2004 от  28.11 агл. 2870 АХБпрочие_Дайджест 2003-2004 гг._30 форма с фактом за ноябрь 6" xfId="603"/>
    <cellStyle name="_БЮДЖЕТ 2004 от  28.11 агл. 2870 АХБпрочие_Дайджест 2003-2004 гг._30 форма с фактом за ноябрь 7" xfId="604"/>
    <cellStyle name="_БЮДЖЕТ 2004 от  28.11 агл. 2870 АХБпрочие_Дайджест 2003-2004 гг._30 форма с фактом за ноябрь 8" xfId="605"/>
    <cellStyle name="_БЮДЖЕТ 2004 от  28.11 агл. 2870 АХБпрочие_Дайджест 2003-2004 гг._30 форма с фактом за ноябрь 9" xfId="606"/>
    <cellStyle name="_БЮДЖЕТ 2004 от  28.11 агл. 2870 АХБпрочие_Дайджест 2003-2004 гг._8" xfId="607"/>
    <cellStyle name="_БЮДЖЕТ 2004 от  28.11 агл. 2870 АХБпрочие_Дайджест 2003-2004 гг._8 2" xfId="608"/>
    <cellStyle name="_БЮДЖЕТ 2004 от  28.11 агл. 2870 АХБпрочие_Дайджест 2003-2004 гг._8 3" xfId="609"/>
    <cellStyle name="_БЮДЖЕТ 2004 от  28.11 агл. 2870 АХБпрочие_Дайджест 2003-2004 гг._8 4" xfId="610"/>
    <cellStyle name="_БЮДЖЕТ 2004 от  28.11 агл. 2870 АХБпрочие_Дайджест 2003-2004 гг._8 5" xfId="611"/>
    <cellStyle name="_БЮДЖЕТ 2004 от  28.11 агл. 2870 АХБпрочие_Дайджест 2003-2004 гг._8 6" xfId="612"/>
    <cellStyle name="_БЮДЖЕТ 2004 от  28.11 агл. 2870 АХБпрочие_Дайджест 2003-2004 гг._8 7" xfId="613"/>
    <cellStyle name="_БЮДЖЕТ 2004 от  28.11 агл. 2870 АХБпрочие_Дайджест 2003-2004 гг._8 8" xfId="614"/>
    <cellStyle name="_БЮДЖЕТ 2004 от  28.11 агл. 2870 АХБпрочие_Дайджест 2003-2004 гг._8 9" xfId="615"/>
    <cellStyle name="_БЮДЖЕТ 2004 от  28.11 агл. 2870 АХБпрочие_Дайджест 2003-2004 гг._8_13,14,28-30" xfId="616"/>
    <cellStyle name="_БЮДЖЕТ 2004 от  28.11 агл. 2870 АХБпрочие_Дайджест 2003-2004 гг._8_19" xfId="617"/>
    <cellStyle name="_БЮДЖЕТ 2004 от  28.11 агл. 2870 АХБпрочие_Дайджест 2003-2004 гг._8_26-30" xfId="618"/>
    <cellStyle name="_БЮДЖЕТ 2004 от  28.11 агл. 2870 АХБпрочие_Дайджест 2003-2004 гг._8_28" xfId="619"/>
    <cellStyle name="_БЮДЖЕТ 2004 от  28.11 агл. 2870 АХБпрочие_Дайджест 2003-2004 гг._8_3 квартал" xfId="620"/>
    <cellStyle name="_БЮДЖЕТ 2004 от  28.11 агл. 2870 АХБпрочие_Дайджест 2003-2004 гг._8_3 квартал 2" xfId="621"/>
    <cellStyle name="_БЮДЖЕТ 2004 от  28.11 агл. 2870 АХБпрочие_Дайджест 2003-2004 гг._8_index" xfId="622"/>
    <cellStyle name="_БЮДЖЕТ 2004 от  28.11 агл. 2870 АХБпрочие_Дайджест 2003-2004 гг._8_БП Урал Кирпич 28 01 2008г" xfId="623"/>
    <cellStyle name="_БЮДЖЕТ 2004 от  28.11 агл. 2870 АХБпрочие_Дайджест 2003-2004 гг._8_БП Урал Кирпич 28 01 2008г_ф2 склад гп" xfId="624"/>
    <cellStyle name="_БЮДЖЕТ 2004 от  28.11 агл. 2870 АХБпрочие_Дайджест 2003-2004 гг._8_БП_план на 1 кв. 2008г." xfId="625"/>
    <cellStyle name="_БЮДЖЕТ 2004 от  28.11 агл. 2870 АХБпрочие_Дайджест 2003-2004 гг._8_БП_план на 2 кв. 2008г." xfId="626"/>
    <cellStyle name="_БЮДЖЕТ 2004 от  28.11 агл. 2870 АХБпрочие_Дайджест 2003-2004 гг._8_Верх НА" xfId="627"/>
    <cellStyle name="_БЮДЖЕТ 2004 от  28.11 агл. 2870 АХБпрочие_Дайджест 2003-2004 гг._8_Выручка февраля 09 от 22 01 09 (1)" xfId="628"/>
    <cellStyle name="_БЮДЖЕТ 2004 от  28.11 агл. 2870 АХБпрочие_Дайджест 2003-2004 гг._8_Запчасти май-апрель (12)" xfId="629"/>
    <cellStyle name="_БЮДЖЕТ 2004 от  28.11 агл. 2870 АХБпрочие_Дайджест 2003-2004 гг._8_Калькуляции ДСМ" xfId="630"/>
    <cellStyle name="_БЮДЖЕТ 2004 от  28.11 агл. 2870 АХБпрочие_Дайджест 2003-2004 гг._8_Книга2" xfId="631"/>
    <cellStyle name="_БЮДЖЕТ 2004 от  28.11 агл. 2870 АХБпрочие_Дайджест 2003-2004 гг._8_Книга2_Динамика объемов производства и отгрузки 2009-2012" xfId="632"/>
    <cellStyle name="_БЮДЖЕТ 2004 от  28.11 агл. 2870 АХБпрочие_Дайджест 2003-2004 гг._8_Конс  ЛГОК БП 2009 от 14 10 08" xfId="633"/>
    <cellStyle name="_БЮДЖЕТ 2004 от  28.11 агл. 2870 АХБпрочие_Дайджест 2003-2004 гг._8_Конс  МГОК БП 2009 от 14 10 08" xfId="634"/>
    <cellStyle name="_БЮДЖЕТ 2004 от  28.11 агл. 2870 АХБпрочие_Дайджест 2003-2004 гг._8_Копия Динамика цен (УС ) 2006-2009 сверен 30.01.09" xfId="635"/>
    <cellStyle name="_БЮДЖЕТ 2004 от  28.11 агл. 2870 АХБпрочие_Дайджест 2003-2004 гг._8_Копия Потребность взаиморасч  от 28 02 2008 (2)" xfId="636"/>
    <cellStyle name="_БЮДЖЕТ 2004 от  28.11 агл. 2870 АХБпрочие_Дайджест 2003-2004 гг._8_МИТ_РК и ДП за апрель" xfId="637"/>
    <cellStyle name="_БЮДЖЕТ 2004 от  28.11 агл. 2870 АХБпрочие_Дайджест 2003-2004 гг._8_МИТ_РК и ДП за апрель_Отчет за сентябрь_11_ДСМ" xfId="638"/>
    <cellStyle name="_БЮДЖЕТ 2004 от  28.11 агл. 2870 АХБпрочие_Дайджест 2003-2004 гг._8_Налог на прибыль" xfId="639"/>
    <cellStyle name="_БЮДЖЕТ 2004 от  28.11 агл. 2870 АХБпрочие_Дайджест 2003-2004 гг._8_Налоги А.А. Богоцкому 2005-2009" xfId="640"/>
    <cellStyle name="_БЮДЖЕТ 2004 от  28.11 агл. 2870 АХБпрочие_Дайджест 2003-2004 гг._8_Налоги к плану на 2009 год (ДЗ и КЗ)" xfId="641"/>
    <cellStyle name="_БЮДЖЕТ 2004 от  28.11 агл. 2870 АХБпрочие_Дайджест 2003-2004 гг._8_Налоги к плану на февраль 2009 года" xfId="642"/>
    <cellStyle name="_БЮДЖЕТ 2004 от  28.11 агл. 2870 АХБпрочие_Дайджест 2003-2004 гг._8_Обжиговая" xfId="643"/>
    <cellStyle name="_БЮДЖЕТ 2004 от  28.11 агл. 2870 АХБпрочие_Дайджест 2003-2004 гг._8_Отчет за 1 кв_08_ДСМ ОТЧЕТ_10.07" xfId="644"/>
    <cellStyle name="_БЮДЖЕТ 2004 от  28.11 агл. 2870 АХБпрочие_Дайджест 2003-2004 гг._8_Отчет за 1 кв_08_ДСМ ОТЧЕТ_10.07_Отчет за 2 кв_10_ДСM ОТЧЕТ" xfId="645"/>
    <cellStyle name="_БЮДЖЕТ 2004 от  28.11 агл. 2870 АХБпрочие_Дайджест 2003-2004 гг._8_Отчет за 1 кв_08_ДСМ ОТЧЕТ_10.07_Отчет за 2 кв_10_ДСМ_1" xfId="646"/>
    <cellStyle name="_БЮДЖЕТ 2004 от  28.11 агл. 2870 АХБпрочие_Дайджест 2003-2004 гг._8_Отчет за сентябрь_11_ДСМ_ОТЧЕТ" xfId="647"/>
    <cellStyle name="_БЮДЖЕТ 2004 от  28.11 агл. 2870 АХБпрочие_Дайджест 2003-2004 гг._8_План ДСМ 2 квартал 2009 ОТЧЕТ отп" xfId="648"/>
    <cellStyle name="_БЮДЖЕТ 2004 от  28.11 агл. 2870 АХБпрочие_Дайджест 2003-2004 гг._8_План ДСМ на 4 квартал 2006 (последняя версия) 2" xfId="649"/>
    <cellStyle name="_БЮДЖЕТ 2004 от  28.11 агл. 2870 АХБпрочие_Дайджест 2003-2004 гг._8_План ДСМ на 4 квартал 2006 (последняя версия) 2_Ожидаемый факт 4 кв., год-1" xfId="650"/>
    <cellStyle name="_БЮДЖЕТ 2004 от  28.11 агл. 2870 АХБпрочие_Дайджест 2003-2004 гг._8_План ДСМ на 4 квартал 2006 (последняя версия) 2_План ДСМ 4 квартал 2009 ОТЧЕТ" xfId="651"/>
    <cellStyle name="_БЮДЖЕТ 2004 от  28.11 агл. 2870 АХБпрочие_Дайджест 2003-2004 гг._8_План ДСМ на 4 квартал 2006 (последняя версия) 2_План на 2009 год ДСМ_9_без разбивки по мес, изм уплаты НП" xfId="652"/>
    <cellStyle name="_БЮДЖЕТ 2004 от  28.11 агл. 2870 АХБпрочие_Дайджест 2003-2004 гг._8_План ДСМ на 4 квартал 2006 (последняя версия) 2_План на 2010 год ДСМ" xfId="653"/>
    <cellStyle name="_БЮДЖЕТ 2004 от  28.11 агл. 2870 АХБпрочие_Дайджест 2003-2004 гг._8_План ДСМ ноябрь 2011 ОТЧЕТ" xfId="654"/>
    <cellStyle name="_БЮДЖЕТ 2004 от  28.11 агл. 2870 АХБпрочие_Дайджест 2003-2004 гг._8_План ДСФ 1 квартал 2007" xfId="655"/>
    <cellStyle name="_БЮДЖЕТ 2004 от  28.11 агл. 2870 АХБпрочие_Дайджест 2003-2004 гг._8_План ДСФ 1 квартал 2007_План ДСМ 2 квартал 2009 ОТЧЕТ отп" xfId="656"/>
    <cellStyle name="_БЮДЖЕТ 2004 от  28.11 агл. 2870 АХБпрочие_Дайджест 2003-2004 гг._8_План ДСФ 1 квартал 2007_План ДСМ 2 квартал 2009 ОТЧЕТ отп_ф2 склад гп" xfId="657"/>
    <cellStyle name="_БЮДЖЕТ 2004 от  28.11 агл. 2870 АХБпрочие_Дайджест 2003-2004 гг._8_План ДСФ 1 квартал 2007_План ДСМ 3 квартал 2008_1" xfId="658"/>
    <cellStyle name="_БЮДЖЕТ 2004 от  28.11 агл. 2870 АХБпрочие_Дайджест 2003-2004 гг._8_План ДСФ 1 квартал 2007_План ДСМ 3 квартал 2009 ОТЧЕТ" xfId="659"/>
    <cellStyle name="_БЮДЖЕТ 2004 от  28.11 агл. 2870 АХБпрочие_Дайджест 2003-2004 гг._8_План ДСФ 1 квартал 2007_План ДСМ 3 квартал 2009 ОТЧЕТ отп" xfId="660"/>
    <cellStyle name="_БЮДЖЕТ 2004 от  28.11 агл. 2870 АХБпрочие_Дайджест 2003-2004 гг._8_План ДСФ 1 квартал 2007_План ДСМ 3 квартал 2010_1" xfId="661"/>
    <cellStyle name="_БЮДЖЕТ 2004 от  28.11 агл. 2870 АХБпрочие_Дайджест 2003-2004 гг._8_План ДСФ 1 квартал 2007_План ДСФ 4 квартал 2009 ОТЧЕТ" xfId="662"/>
    <cellStyle name="_БЮДЖЕТ 2004 от  28.11 агл. 2870 АХБпрочие_Дайджест 2003-2004 гг._8_План ДСФ 1 квартал 2007_План на 2010 год ДСМ ОТЧЕТ" xfId="663"/>
    <cellStyle name="_БЮДЖЕТ 2004 от  28.11 агл. 2870 АХБпрочие_Дайджест 2003-2004 гг._8_План ДСФ 2 квартал 2009 ОТЧЕТ отп" xfId="664"/>
    <cellStyle name="_БЮДЖЕТ 2004 от  28.11 агл. 2870 АХБпрочие_Дайджест 2003-2004 гг._8_План ДСФ 2 квартал 2009 ОТЧЕТ отп_ф2 склад гп" xfId="665"/>
    <cellStyle name="_БЮДЖЕТ 2004 от  28.11 агл. 2870 АХБпрочие_Дайджест 2003-2004 гг._8_План на 2009 год ДСФ" xfId="666"/>
    <cellStyle name="_БЮДЖЕТ 2004 от  28.11 агл. 2870 АХБпрочие_Дайджест 2003-2004 гг._8_План на 2010 год ДСЩ ОТЧЕТ" xfId="667"/>
    <cellStyle name="_БЮДЖЕТ 2004 от  28.11 агл. 2870 АХБпрочие_Дайджест 2003-2004 гг._8_Сравнение ожидаемого 2008 с 2009г  ОЭМК от 06 10 2008" xfId="668"/>
    <cellStyle name="_БЮДЖЕТ 2004 от  28.11 агл. 2870 АХБпрочие_Дайджест 2003-2004 гг._8_Сравнение ожидаемого 2008 УС c 2009г  от 06 10 2008" xfId="669"/>
    <cellStyle name="_БЮДЖЕТ 2004 от  28.11 агл. 2870 АХБпрочие_Дайджест 2003-2004 гг._8_Стан 150" xfId="670"/>
    <cellStyle name="_БЮДЖЕТ 2004 от  28.11 агл. 2870 АХБпрочие_Дайджест 2003-2004 гг._8_титульный лист" xfId="671"/>
    <cellStyle name="_БЮДЖЕТ 2004 от  28.11 агл. 2870 АХБпрочие_Дайджест 2003-2004 гг._8_УК отчет за 3 кв. 2009_29_10" xfId="672"/>
    <cellStyle name="_БЮДЖЕТ 2004 от  28.11 агл. 2870 АХБпрочие_Дайджест 2003-2004 гг._8_УК отчет за май 2009" xfId="673"/>
    <cellStyle name="_БЮДЖЕТ 2004 от  28.11 агл. 2870 АХБпрочие_Дайджест 2003-2004 гг._8_УралКирпич_план на 2 кв. 2009" xfId="674"/>
    <cellStyle name="_БЮДЖЕТ 2004 от  28.11 агл. 2870 АХБпрочие_Дайджест 2003-2004 гг._8_УралКирпич_план на 2 кв. 2009_ф2 склад гп" xfId="675"/>
    <cellStyle name="_БЮДЖЕТ 2004 от  28.11 агл. 2870 АХБпрочие_Дайджест 2003-2004 гг._8_ф 6рем пс(ноябрь) (2)" xfId="676"/>
    <cellStyle name="_БЮДЖЕТ 2004 от  28.11 агл. 2870 АХБпрочие_Дайджест 2003-2004 гг._8_ф2 склад ГП" xfId="677"/>
    <cellStyle name="_БЮДЖЕТ 2004 от  28.11 агл. 2870 АХБпрочие_Дайджест 2003-2004 гг._8_Ф20 от налоговой" xfId="678"/>
    <cellStyle name="_БЮДЖЕТ 2004 от  28.11 агл. 2870 АХБпрочие_Дайджест 2003-2004 гг._8_ф6 сентябрь с запчастями (3)" xfId="679"/>
    <cellStyle name="_БЮДЖЕТ 2004 от  28.11 агл. 2870 АХБпрочие_Дайджест 2003-2004 гг._8_фIIIкв Комплект ОЭМК (1-12,18,22) 28.10.08" xfId="680"/>
    <cellStyle name="_БЮДЖЕТ 2004 от  28.11 агл. 2870 АХБпрочие_Дайджест 2003-2004 гг._8_Форма №13" xfId="681"/>
    <cellStyle name="_БЮДЖЕТ 2004 от  28.11 агл. 2870 АХБпрочие_Дайджест 2003-2004 гг._8_Форма №19" xfId="682"/>
    <cellStyle name="_БЮДЖЕТ 2004 от  28.11 агл. 2870 АХБпрочие_Дайджест 2003-2004 гг._8_Форма №24" xfId="683"/>
    <cellStyle name="_БЮДЖЕТ 2004 от  28.11 агл. 2870 АХБпрочие_Дайджест 2003-2004 гг._8_Форма№13 (новая от 28 12 09г) февраль версия № и последняя" xfId="684"/>
    <cellStyle name="_БЮДЖЕТ 2004 от  28.11 агл. 2870 АХБпрочие_Дайджест 2003-2004 гг._8_Формы _28-30 (новые)1" xfId="685"/>
    <cellStyle name="_БЮДЖЕТ 2004 от  28.11 агл. 2870 АХБпрочие_Дайджест 2003-2004 гг._8_Формы 28-30" xfId="686"/>
    <cellStyle name="_БЮДЖЕТ 2004 от  28.11 агл. 2870 АХБпрочие_Дайджест 2003-2004 гг._8_Формы №28-30 (новые)1" xfId="687"/>
    <cellStyle name="_БЮДЖЕТ 2004 от  28.11 агл. 2870 АХБпрочие_Дайджест 2003-2004 гг._8_Шаропрокатный" xfId="688"/>
    <cellStyle name="_БЮДЖЕТ 2004 от  28.11 агл. 2870 АХБпрочие_Дайджест 2003-2004 гг._8_ЭНЦ-1" xfId="689"/>
    <cellStyle name="_БЮДЖЕТ 2004 от  28.11 агл. 2870 АХБпрочие_Дайджест 2003-2004 гг._EBITDA_дивизион_12.11.2007" xfId="690"/>
    <cellStyle name="_БЮДЖЕТ 2004 от  28.11 агл. 2870 АХБпрочие_Дайджест 2003-2004 гг._EBITDA_дивизион_12.11.2007 2" xfId="691"/>
    <cellStyle name="_БЮДЖЕТ 2004 от  28.11 агл. 2870 АХБпрочие_Дайджест 2003-2004 гг._EBITDA_дивизион_12.11.2007 3" xfId="692"/>
    <cellStyle name="_БЮДЖЕТ 2004 от  28.11 агл. 2870 АХБпрочие_Дайджест 2003-2004 гг._EBITDA_дивизион_12.11.2007 4" xfId="693"/>
    <cellStyle name="_БЮДЖЕТ 2004 от  28.11 агл. 2870 АХБпрочие_Дайджест 2003-2004 гг._EBITDA_дивизион_12.11.2007 5" xfId="694"/>
    <cellStyle name="_БЮДЖЕТ 2004 от  28.11 агл. 2870 АХБпрочие_Дайджест 2003-2004 гг._EBITDA_дивизион_12.11.2007 6" xfId="695"/>
    <cellStyle name="_БЮДЖЕТ 2004 от  28.11 агл. 2870 АХБпрочие_Дайджест 2003-2004 гг._EBITDA_дивизион_12.11.2007 7" xfId="696"/>
    <cellStyle name="_БЮДЖЕТ 2004 от  28.11 агл. 2870 АХБпрочие_Дайджест 2003-2004 гг._EBITDA_дивизион_12.11.2007 8" xfId="697"/>
    <cellStyle name="_БЮДЖЕТ 2004 от  28.11 агл. 2870 АХБпрочие_Дайджест 2003-2004 гг._EBITDA_дивизион_12.11.2007 9" xfId="698"/>
    <cellStyle name="_БЮДЖЕТ 2004 от  28.11 агл. 2870 АХБпрочие_Дайджест 2003-2004 гг._index" xfId="699"/>
    <cellStyle name="_БЮДЖЕТ 2004 от  28.11 агл. 2870 АХБпрочие_Дайджест 2003-2004 гг._№13, №14" xfId="700"/>
    <cellStyle name="_БЮДЖЕТ 2004 от  28.11 агл. 2870 АХБпрочие_Дайджест 2003-2004 гг._№13, №14 02.04.07" xfId="701"/>
    <cellStyle name="_БЮДЖЕТ 2004 от  28.11 агл. 2870 АХБпрочие_Дайджест 2003-2004 гг._№13, №14 2" xfId="702"/>
    <cellStyle name="_БЮДЖЕТ 2004 от  28.11 агл. 2870 АХБпрочие_Дайджест 2003-2004 гг._№13, №14 3" xfId="703"/>
    <cellStyle name="_БЮДЖЕТ 2004 от  28.11 агл. 2870 АХБпрочие_Дайджест 2003-2004 гг._№13, №14 4" xfId="704"/>
    <cellStyle name="_БЮДЖЕТ 2004 от  28.11 агл. 2870 АХБпрочие_Дайджест 2003-2004 гг._№13, №14 5" xfId="705"/>
    <cellStyle name="_БЮДЖЕТ 2004 от  28.11 агл. 2870 АХБпрочие_Дайджест 2003-2004 гг._№13, №14 6" xfId="706"/>
    <cellStyle name="_БЮДЖЕТ 2004 от  28.11 агл. 2870 АХБпрочие_Дайджест 2003-2004 гг._№13, №14 7" xfId="707"/>
    <cellStyle name="_БЮДЖЕТ 2004 от  28.11 агл. 2870 АХБпрочие_Дайджест 2003-2004 гг._№13, №14 8" xfId="708"/>
    <cellStyle name="_БЮДЖЕТ 2004 от  28.11 агл. 2870 АХБпрочие_Дайджест 2003-2004 гг._№13, №14 9" xfId="709"/>
    <cellStyle name="_БЮДЖЕТ 2004 от  28.11 агл. 2870 АХБпрочие_Дайджест 2003-2004 гг._№13, №14 от 15.12.2006" xfId="710"/>
    <cellStyle name="_БЮДЖЕТ 2004 от  28.11 агл. 2870 АХБпрочие_Дайджест 2003-2004 гг._№13, №14 от 15.12.2006 2" xfId="711"/>
    <cellStyle name="_БЮДЖЕТ 2004 от  28.11 агл. 2870 АХБпрочие_Дайджест 2003-2004 гг._№13, №14 от 15.12.2006 3" xfId="712"/>
    <cellStyle name="_БЮДЖЕТ 2004 от  28.11 агл. 2870 АХБпрочие_Дайджест 2003-2004 гг._№13, №14 от 15.12.2006 4" xfId="713"/>
    <cellStyle name="_БЮДЖЕТ 2004 от  28.11 агл. 2870 АХБпрочие_Дайджест 2003-2004 гг._№13, №14 от 15.12.2006 5" xfId="714"/>
    <cellStyle name="_БЮДЖЕТ 2004 от  28.11 агл. 2870 АХБпрочие_Дайджест 2003-2004 гг._№13, №14 от 15.12.2006 6" xfId="715"/>
    <cellStyle name="_БЮДЖЕТ 2004 от  28.11 агл. 2870 АХБпрочие_Дайджест 2003-2004 гг._№13, №14 от 15.12.2006 7" xfId="716"/>
    <cellStyle name="_БЮДЖЕТ 2004 от  28.11 агл. 2870 АХБпрочие_Дайджест 2003-2004 гг._№13, №14 от 15.12.2006 8" xfId="717"/>
    <cellStyle name="_БЮДЖЕТ 2004 от  28.11 агл. 2870 АХБпрочие_Дайджест 2003-2004 гг._№13, №14 от 15.12.2006 9" xfId="718"/>
    <cellStyle name="_БЮДЖЕТ 2004 от  28.11 агл. 2870 АХБпрочие_Дайджест 2003-2004 гг._№13, №14 январь 2007 25.02.07" xfId="719"/>
    <cellStyle name="_БЮДЖЕТ 2004 от  28.11 агл. 2870 АХБпрочие_Дайджест 2003-2004 гг._№13, №14 январь 2007 25.02.07 2" xfId="720"/>
    <cellStyle name="_БЮДЖЕТ 2004 от  28.11 агл. 2870 АХБпрочие_Дайджест 2003-2004 гг._№13, №14 январь 2007 25.02.07 3" xfId="721"/>
    <cellStyle name="_БЮДЖЕТ 2004 от  28.11 агл. 2870 АХБпрочие_Дайджест 2003-2004 гг._№13, №14 январь 2007 25.02.07 4" xfId="722"/>
    <cellStyle name="_БЮДЖЕТ 2004 от  28.11 агл. 2870 АХБпрочие_Дайджест 2003-2004 гг._№13, №14 январь 2007 25.02.07 5" xfId="723"/>
    <cellStyle name="_БЮДЖЕТ 2004 от  28.11 агл. 2870 АХБпрочие_Дайджест 2003-2004 гг._№13, №14 январь 2007 25.02.07 6" xfId="724"/>
    <cellStyle name="_БЮДЖЕТ 2004 от  28.11 агл. 2870 АХБпрочие_Дайджест 2003-2004 гг._№13, №14 январь 2007 25.02.07 7" xfId="725"/>
    <cellStyle name="_БЮДЖЕТ 2004 от  28.11 агл. 2870 АХБпрочие_Дайджест 2003-2004 гг._№13, №14 январь 2007 25.02.07 8" xfId="726"/>
    <cellStyle name="_БЮДЖЕТ 2004 от  28.11 агл. 2870 АХБпрочие_Дайджест 2003-2004 гг._№13, №14 январь 2007 25.02.07 9" xfId="727"/>
    <cellStyle name="_БЮДЖЕТ 2004 от  28.11 агл. 2870 АХБпрочие_Дайджест 2003-2004 гг._№13, №14 январь 2007 25.02.07_index" xfId="728"/>
    <cellStyle name="_БЮДЖЕТ 2004 от  28.11 агл. 2870 АХБпрочие_Дайджест 2003-2004 гг._№13, №14 январь 2007 25.02.07_Копия Потребность взаиморасч  от 28 02 2008 (2)" xfId="729"/>
    <cellStyle name="_БЮДЖЕТ 2004 от  28.11 агл. 2870 АХБпрочие_Дайджест 2003-2004 гг._№13, №14 январь 2007 25.02.07_Форма№13 (новая от 28 12 09г) февраль версия № и последняя" xfId="730"/>
    <cellStyle name="_БЮДЖЕТ 2004 от  28.11 агл. 2870 АХБпрочие_Дайджест 2003-2004 гг._№26 измен 03.04.07" xfId="731"/>
    <cellStyle name="_БЮДЖЕТ 2004 от  28.11 агл. 2870 АХБпрочие_Дайджест 2003-2004 гг._№26 измен 15.12.06 4 вар " xfId="732"/>
    <cellStyle name="_БЮДЖЕТ 2004 от  28.11 агл. 2870 АХБпрочие_Дайджест 2003-2004 гг._№26 измен 15.12.06 4 вар  2" xfId="733"/>
    <cellStyle name="_БЮДЖЕТ 2004 от  28.11 агл. 2870 АХБпрочие_Дайджест 2003-2004 гг._№26 измен 15.12.06 4 вар  3" xfId="734"/>
    <cellStyle name="_БЮДЖЕТ 2004 от  28.11 агл. 2870 АХБпрочие_Дайджест 2003-2004 гг._№26 измен 15.12.06 4 вар  4" xfId="735"/>
    <cellStyle name="_БЮДЖЕТ 2004 от  28.11 агл. 2870 АХБпрочие_Дайджест 2003-2004 гг._№26 измен 15.12.06 4 вар  5" xfId="736"/>
    <cellStyle name="_БЮДЖЕТ 2004 от  28.11 агл. 2870 АХБпрочие_Дайджест 2003-2004 гг._№26 измен 15.12.06 4 вар  6" xfId="737"/>
    <cellStyle name="_БЮДЖЕТ 2004 от  28.11 агл. 2870 АХБпрочие_Дайджест 2003-2004 гг._№26 измен 15.12.06 4 вар  7" xfId="738"/>
    <cellStyle name="_БЮДЖЕТ 2004 от  28.11 агл. 2870 АХБпрочие_Дайджест 2003-2004 гг._№26 измен 15.12.06 4 вар  8" xfId="739"/>
    <cellStyle name="_БЮДЖЕТ 2004 от  28.11 агл. 2870 АХБпрочие_Дайджест 2003-2004 гг._№26 измен 15.12.06 4 вар  9" xfId="740"/>
    <cellStyle name="_БЮДЖЕТ 2004 от  28.11 агл. 2870 АХБпрочие_Дайджест 2003-2004 гг._№26, от 25.02.07" xfId="741"/>
    <cellStyle name="_БЮДЖЕТ 2004 от  28.11 агл. 2870 АХБпрочие_Дайджест 2003-2004 гг._№26, от 25.02.07 2" xfId="742"/>
    <cellStyle name="_БЮДЖЕТ 2004 от  28.11 агл. 2870 АХБпрочие_Дайджест 2003-2004 гг._№26, от 25.02.07 3" xfId="743"/>
    <cellStyle name="_БЮДЖЕТ 2004 от  28.11 агл. 2870 АХБпрочие_Дайджест 2003-2004 гг._№26, от 25.02.07 4" xfId="744"/>
    <cellStyle name="_БЮДЖЕТ 2004 от  28.11 агл. 2870 АХБпрочие_Дайджест 2003-2004 гг._№26, от 25.02.07 5" xfId="745"/>
    <cellStyle name="_БЮДЖЕТ 2004 от  28.11 агл. 2870 АХБпрочие_Дайджест 2003-2004 гг._№26, от 25.02.07 6" xfId="746"/>
    <cellStyle name="_БЮДЖЕТ 2004 от  28.11 агл. 2870 АХБпрочие_Дайджест 2003-2004 гг._№26, от 25.02.07 7" xfId="747"/>
    <cellStyle name="_БЮДЖЕТ 2004 от  28.11 агл. 2870 АХБпрочие_Дайджест 2003-2004 гг._№26, от 25.02.07 8" xfId="748"/>
    <cellStyle name="_БЮДЖЕТ 2004 от  28.11 агл. 2870 АХБпрочие_Дайджест 2003-2004 гг._№26, от 25.02.07 9" xfId="749"/>
    <cellStyle name="_БЮДЖЕТ 2004 от  28.11 агл. 2870 АХБпрочие_Дайджест 2003-2004 гг._№26, от 25.02.07_index" xfId="750"/>
    <cellStyle name="_БЮДЖЕТ 2004 от  28.11 агл. 2870 АХБпрочие_Дайджест 2003-2004 гг._№26, от 25.02.07_Копия Потребность взаиморасч  от 28 02 2008 (2)" xfId="751"/>
    <cellStyle name="_БЮДЖЕТ 2004 от  28.11 агл. 2870 АХБпрочие_Дайджест 2003-2004 гг._№26, от 25.02.07_Форма№13 (новая от 28 12 09г) февраль версия № и последняя" xfId="752"/>
    <cellStyle name="_БЮДЖЕТ 2004 от  28.11 агл. 2870 АХБпрочие_Дайджест 2003-2004 гг._БДР - 2008 год 2-е чтение" xfId="753"/>
    <cellStyle name="_БЮДЖЕТ 2004 от  28.11 агл. 2870 АХБпрочие_Дайджест 2003-2004 гг._БДР - 2008 год 2-е чтение 2" xfId="754"/>
    <cellStyle name="_БЮДЖЕТ 2004 от  28.11 агл. 2870 АХБпрочие_Дайджест 2003-2004 гг._БДР - 2008 год 2-е чтение 3" xfId="755"/>
    <cellStyle name="_БЮДЖЕТ 2004 от  28.11 агл. 2870 АХБпрочие_Дайджест 2003-2004 гг._БДР - 2008 год 2-е чтение 4" xfId="756"/>
    <cellStyle name="_БЮДЖЕТ 2004 от  28.11 агл. 2870 АХБпрочие_Дайджест 2003-2004 гг._БДР - 2008 год 2-е чтение 5" xfId="757"/>
    <cellStyle name="_БЮДЖЕТ 2004 от  28.11 агл. 2870 АХБпрочие_Дайджест 2003-2004 гг._БДР - 2008 год 2-е чтение 6" xfId="758"/>
    <cellStyle name="_БЮДЖЕТ 2004 от  28.11 агл. 2870 АХБпрочие_Дайджест 2003-2004 гг._БДР - 2008 год 2-е чтение 7" xfId="759"/>
    <cellStyle name="_БЮДЖЕТ 2004 от  28.11 агл. 2870 АХБпрочие_Дайджест 2003-2004 гг._БДР - 2008 год 2-е чтение 8" xfId="760"/>
    <cellStyle name="_БЮДЖЕТ 2004 от  28.11 агл. 2870 АХБпрочие_Дайджест 2003-2004 гг._БДР - 2008 год 2-е чтение 9" xfId="761"/>
    <cellStyle name="_БЮДЖЕТ 2004 от  28.11 агл. 2870 АХБпрочие_Дайджест 2003-2004 гг._БДР 2 кв  презентационный_24 03 2008_11-45" xfId="762"/>
    <cellStyle name="_БЮДЖЕТ 2004 от  28.11 агл. 2870 АХБпрочие_Дайджест 2003-2004 гг._БДР 2 кв  презентационный_24 03 2008_15-55" xfId="763"/>
    <cellStyle name="_БЮДЖЕТ 2004 от  28.11 агл. 2870 АХБпрочие_Дайджест 2003-2004 гг._Больш. 1-8 октября" xfId="764"/>
    <cellStyle name="_БЮДЖЕТ 2004 от  28.11 агл. 2870 АХБпрочие_Дайджест 2003-2004 гг._БП  07 г. (нов.форма) 2" xfId="765"/>
    <cellStyle name="_БЮДЖЕТ 2004 от  28.11 агл. 2870 АХБпрочие_Дайджест 2003-2004 гг._БП  07 г. (нов.форма) 2 2" xfId="766"/>
    <cellStyle name="_БЮДЖЕТ 2004 от  28.11 агл. 2870 АХБпрочие_Дайджест 2003-2004 гг._БП  07 г. (нов.форма) 2 3" xfId="767"/>
    <cellStyle name="_БЮДЖЕТ 2004 от  28.11 агл. 2870 АХБпрочие_Дайджест 2003-2004 гг._БП  07 г. (нов.форма) 2 4" xfId="768"/>
    <cellStyle name="_БЮДЖЕТ 2004 от  28.11 агл. 2870 АХБпрочие_Дайджест 2003-2004 гг._БП  07 г. (нов.форма) 2 5" xfId="769"/>
    <cellStyle name="_БЮДЖЕТ 2004 от  28.11 агл. 2870 АХБпрочие_Дайджест 2003-2004 гг._БП  07 г. (нов.форма) 2 6" xfId="770"/>
    <cellStyle name="_БЮДЖЕТ 2004 от  28.11 агл. 2870 АХБпрочие_Дайджест 2003-2004 гг._БП  07 г. (нов.форма) 2 7" xfId="771"/>
    <cellStyle name="_БЮДЖЕТ 2004 от  28.11 агл. 2870 АХБпрочие_Дайджест 2003-2004 гг._БП  07 г. (нов.форма) 2 8" xfId="772"/>
    <cellStyle name="_БЮДЖЕТ 2004 от  28.11 агл. 2870 АХБпрочие_Дайджест 2003-2004 гг._БП  07 г. (нов.форма) 2 9" xfId="773"/>
    <cellStyle name="_БЮДЖЕТ 2004 от  28.11 агл. 2870 АХБпрочие_Дайджест 2003-2004 гг._БП Урал Кирпич 28 01 2008г" xfId="774"/>
    <cellStyle name="_БЮДЖЕТ 2004 от  28.11 агл. 2870 АХБпрочие_Дайджест 2003-2004 гг._БП_план на 1 кв. 2008г." xfId="775"/>
    <cellStyle name="_БЮДЖЕТ 2004 от  28.11 агл. 2870 АХБпрочие_Дайджест 2003-2004 гг._БП_план на 2 кв. 2008г." xfId="776"/>
    <cellStyle name="_БЮДЖЕТ 2004 от  28.11 агл. 2870 АХБпрочие_Дайджест 2003-2004 гг._бп2008 презентация 12.11.07" xfId="777"/>
    <cellStyle name="_БЮДЖЕТ 2004 от  28.11 агл. 2870 АХБпрочие_Дайджест 2003-2004 гг._бп2008 презентация 12.11.07 2" xfId="778"/>
    <cellStyle name="_БЮДЖЕТ 2004 от  28.11 агл. 2870 АХБпрочие_Дайджест 2003-2004 гг._бп2008 презентация 12.11.07 3" xfId="779"/>
    <cellStyle name="_БЮДЖЕТ 2004 от  28.11 агл. 2870 АХБпрочие_Дайджест 2003-2004 гг._бп2008 презентация 12.11.07 4" xfId="780"/>
    <cellStyle name="_БЮДЖЕТ 2004 от  28.11 агл. 2870 АХБпрочие_Дайджест 2003-2004 гг._бп2008 презентация 12.11.07 5" xfId="781"/>
    <cellStyle name="_БЮДЖЕТ 2004 от  28.11 агл. 2870 АХБпрочие_Дайджест 2003-2004 гг._бп2008 презентация 12.11.07 6" xfId="782"/>
    <cellStyle name="_БЮДЖЕТ 2004 от  28.11 агл. 2870 АХБпрочие_Дайджест 2003-2004 гг._бп2008 презентация 12.11.07 7" xfId="783"/>
    <cellStyle name="_БЮДЖЕТ 2004 от  28.11 агл. 2870 АХБпрочие_Дайджест 2003-2004 гг._бп2008 презентация 12.11.07 8" xfId="784"/>
    <cellStyle name="_БЮДЖЕТ 2004 от  28.11 агл. 2870 АХБпрочие_Дайджест 2003-2004 гг._бп2008 презентация 12.11.07 9" xfId="785"/>
    <cellStyle name="_БЮДЖЕТ 2004 от  28.11 агл. 2870 АХБпрочие_Дайджест 2003-2004 гг._Верх НА" xfId="786"/>
    <cellStyle name="_БЮДЖЕТ 2004 от  28.11 агл. 2870 АХБпрочие_Дайджест 2003-2004 гг._Выручка февраля 09 от 22 01 09 (1)" xfId="787"/>
    <cellStyle name="_БЮДЖЕТ 2004 от  28.11 агл. 2870 АХБпрочие_Дайджест 2003-2004 гг._ДИВИЗИОН Презентация 4 кв. 07 изм отгр" xfId="788"/>
    <cellStyle name="_БЮДЖЕТ 2004 от  28.11 агл. 2870 АХБпрочие_Дайджест 2003-2004 гг._ДИВИЗИОН Презентация 4 кв. 07 изм отгр 2" xfId="789"/>
    <cellStyle name="_БЮДЖЕТ 2004 от  28.11 агл. 2870 АХБпрочие_Дайджест 2003-2004 гг._ДИВИЗИОН Презентация 4 кв. 07 изм отгр 3" xfId="790"/>
    <cellStyle name="_БЮДЖЕТ 2004 от  28.11 агл. 2870 АХБпрочие_Дайджест 2003-2004 гг._ДИВИЗИОН Презентация 4 кв. 07 изм отгр 4" xfId="791"/>
    <cellStyle name="_БЮДЖЕТ 2004 от  28.11 агл. 2870 АХБпрочие_Дайджест 2003-2004 гг._ДИВИЗИОН Презентация 4 кв. 07 изм отгр 5" xfId="792"/>
    <cellStyle name="_БЮДЖЕТ 2004 от  28.11 агл. 2870 АХБпрочие_Дайджест 2003-2004 гг._ДИВИЗИОН Презентация 4 кв. 07 изм отгр 6" xfId="793"/>
    <cellStyle name="_БЮДЖЕТ 2004 от  28.11 агл. 2870 АХБпрочие_Дайджест 2003-2004 гг._ДИВИЗИОН Презентация 4 кв. 07 изм отгр 7" xfId="794"/>
    <cellStyle name="_БЮДЖЕТ 2004 от  28.11 агл. 2870 АХБпрочие_Дайджест 2003-2004 гг._ДИВИЗИОН Презентация 4 кв. 07 изм отгр 8" xfId="795"/>
    <cellStyle name="_БЮДЖЕТ 2004 от  28.11 агл. 2870 АХБпрочие_Дайджест 2003-2004 гг._ДИВИЗИОН Презентация 4 кв. 07 изм отгр 9" xfId="796"/>
    <cellStyle name="_БЮДЖЕТ 2004 от  28.11 агл. 2870 АХБпрочие_Дайджест 2003-2004 гг._ДИВИЗИОН_2008" xfId="797"/>
    <cellStyle name="_БЮДЖЕТ 2004 от  28.11 агл. 2870 АХБпрочие_Дайджест 2003-2004 гг._ДИВИЗИОН_2008 2" xfId="798"/>
    <cellStyle name="_БЮДЖЕТ 2004 от  28.11 агл. 2870 АХБпрочие_Дайджест 2003-2004 гг._ДИВИЗИОН_2008 3" xfId="799"/>
    <cellStyle name="_БЮДЖЕТ 2004 от  28.11 агл. 2870 АХБпрочие_Дайджест 2003-2004 гг._ДИВИЗИОН_2008 4" xfId="800"/>
    <cellStyle name="_БЮДЖЕТ 2004 от  28.11 агл. 2870 АХБпрочие_Дайджест 2003-2004 гг._ДИВИЗИОН_2008 5" xfId="801"/>
    <cellStyle name="_БЮДЖЕТ 2004 от  28.11 агл. 2870 АХБпрочие_Дайджест 2003-2004 гг._ДИВИЗИОН_2008 6" xfId="802"/>
    <cellStyle name="_БЮДЖЕТ 2004 от  28.11 агл. 2870 АХБпрочие_Дайджест 2003-2004 гг._ДИВИЗИОН_2008 7" xfId="803"/>
    <cellStyle name="_БЮДЖЕТ 2004 от  28.11 агл. 2870 АХБпрочие_Дайджест 2003-2004 гг._ДИВИЗИОН_2008 8" xfId="804"/>
    <cellStyle name="_БЮДЖЕТ 2004 от  28.11 агл. 2870 АХБпрочие_Дайджест 2003-2004 гг._ДИВИЗИОН_2008 9" xfId="805"/>
    <cellStyle name="_БЮДЖЕТ 2004 от  28.11 агл. 2870 АХБпрочие_Дайджест 2003-2004 гг._Дивизиональная форма БДР_14.12.2007" xfId="806"/>
    <cellStyle name="_БЮДЖЕТ 2004 от  28.11 агл. 2870 АХБпрочие_Дайджест 2003-2004 гг._Дивизиональная форма БДР_14.12.2007 2" xfId="807"/>
    <cellStyle name="_БЮДЖЕТ 2004 от  28.11 агл. 2870 АХБпрочие_Дайджест 2003-2004 гг._Дивизиональная форма БДР_14.12.2007 3" xfId="808"/>
    <cellStyle name="_БЮДЖЕТ 2004 от  28.11 агл. 2870 АХБпрочие_Дайджест 2003-2004 гг._Дивизиональная форма БДР_14.12.2007 4" xfId="809"/>
    <cellStyle name="_БЮДЖЕТ 2004 от  28.11 агл. 2870 АХБпрочие_Дайджест 2003-2004 гг._Дивизиональная форма БДР_14.12.2007 5" xfId="810"/>
    <cellStyle name="_БЮДЖЕТ 2004 от  28.11 агл. 2870 АХБпрочие_Дайджест 2003-2004 гг._Дивизиональная форма БДР_14.12.2007 6" xfId="811"/>
    <cellStyle name="_БЮДЖЕТ 2004 от  28.11 агл. 2870 АХБпрочие_Дайджест 2003-2004 гг._Дивизиональная форма БДР_14.12.2007 7" xfId="812"/>
    <cellStyle name="_БЮДЖЕТ 2004 от  28.11 агл. 2870 АХБпрочие_Дайджест 2003-2004 гг._Дивизиональная форма БДР_14.12.2007 8" xfId="813"/>
    <cellStyle name="_БЮДЖЕТ 2004 от  28.11 агл. 2870 АХБпрочие_Дайджест 2003-2004 гг._Дивизиональная форма БДР_14.12.2007 9" xfId="814"/>
    <cellStyle name="_БЮДЖЕТ 2004 от  28.11 агл. 2870 АХБпрочие_Дайджест 2003-2004 гг._Динамика Свод_Бизнес_MGOK 27_07_06" xfId="815"/>
    <cellStyle name="_БЮДЖЕТ 2004 от  28.11 агл. 2870 АХБпрочие_Дайджест 2003-2004 гг._Динамика Свод_Бизнес_MGOK 27_07_06 2" xfId="816"/>
    <cellStyle name="_БЮДЖЕТ 2004 от  28.11 агл. 2870 АХБпрочие_Дайджест 2003-2004 гг._Динамика Свод_Бизнес_MGOK 27_07_06 3" xfId="817"/>
    <cellStyle name="_БЮДЖЕТ 2004 от  28.11 агл. 2870 АХБпрочие_Дайджест 2003-2004 гг._Динамика Свод_Бизнес_MGOK 27_07_06 4" xfId="818"/>
    <cellStyle name="_БЮДЖЕТ 2004 от  28.11 агл. 2870 АХБпрочие_Дайджест 2003-2004 гг._Динамика Свод_Бизнес_MGOK 27_07_06 5" xfId="819"/>
    <cellStyle name="_БЮДЖЕТ 2004 от  28.11 агл. 2870 АХБпрочие_Дайджест 2003-2004 гг._Динамика Свод_Бизнес_MGOK 27_07_06 6" xfId="820"/>
    <cellStyle name="_БЮДЖЕТ 2004 от  28.11 агл. 2870 АХБпрочие_Дайджест 2003-2004 гг._Динамика Свод_Бизнес_MGOK 27_07_06 7" xfId="821"/>
    <cellStyle name="_БЮДЖЕТ 2004 от  28.11 агл. 2870 АХБпрочие_Дайджест 2003-2004 гг._Динамика Свод_Бизнес_MGOK 27_07_06 8" xfId="822"/>
    <cellStyle name="_БЮДЖЕТ 2004 от  28.11 агл. 2870 АХБпрочие_Дайджест 2003-2004 гг._Динамика Свод_Бизнес_MGOK 27_07_06 9" xfId="823"/>
    <cellStyle name="_БЮДЖЕТ 2004 от  28.11 агл. 2870 АХБпрочие_Дайджест 2003-2004 гг._Динамика Свод_Бизнес_MGOK 27_07_06_Книга2" xfId="824"/>
    <cellStyle name="_БЮДЖЕТ 2004 от  28.11 агл. 2870 АХБпрочие_Дайджест 2003-2004 гг._Динамика Свод_Бизнес_MGOK 27_07_06_Отчет за сентябрь_11_ДСМ" xfId="825"/>
    <cellStyle name="_БЮДЖЕТ 2004 от  28.11 агл. 2870 АХБпрочие_Дайджест 2003-2004 гг._Ежемесячные формы для ТД на 2004 год (version 1)" xfId="826"/>
    <cellStyle name="_БЮДЖЕТ 2004 от  28.11 агл. 2870 АХБпрочие_Дайджест 2003-2004 гг._Запрос МИ Менеджмент 18 08 06 (новый формат)" xfId="827"/>
    <cellStyle name="_БЮДЖЕТ 2004 от  28.11 агл. 2870 АХБпрочие_Дайджест 2003-2004 гг._Запрос МИ Менеджмент 18 08 06 (новый формат) 10" xfId="828"/>
    <cellStyle name="_БЮДЖЕТ 2004 от  28.11 агл. 2870 АХБпрочие_Дайджест 2003-2004 гг._Запрос МИ Менеджмент 18 08 06 (новый формат) 11" xfId="829"/>
    <cellStyle name="_БЮДЖЕТ 2004 от  28.11 агл. 2870 АХБпрочие_Дайджест 2003-2004 гг._Запрос МИ Менеджмент 18 08 06 (новый формат) 12" xfId="830"/>
    <cellStyle name="_БЮДЖЕТ 2004 от  28.11 агл. 2870 АХБпрочие_Дайджест 2003-2004 гг._Запрос МИ Менеджмент 18 08 06 (новый формат) 13" xfId="831"/>
    <cellStyle name="_БЮДЖЕТ 2004 от  28.11 агл. 2870 АХБпрочие_Дайджест 2003-2004 гг._Запрос МИ Менеджмент 18 08 06 (новый формат) 2" xfId="832"/>
    <cellStyle name="_БЮДЖЕТ 2004 от  28.11 агл. 2870 АХБпрочие_Дайджест 2003-2004 гг._Запрос МИ Менеджмент 18 08 06 (новый формат) 3" xfId="833"/>
    <cellStyle name="_БЮДЖЕТ 2004 от  28.11 агл. 2870 АХБпрочие_Дайджест 2003-2004 гг._Запрос МИ Менеджмент 18 08 06 (новый формат) 4" xfId="834"/>
    <cellStyle name="_БЮДЖЕТ 2004 от  28.11 агл. 2870 АХБпрочие_Дайджест 2003-2004 гг._Запрос МИ Менеджмент 18 08 06 (новый формат) 5" xfId="835"/>
    <cellStyle name="_БЮДЖЕТ 2004 от  28.11 агл. 2870 АХБпрочие_Дайджест 2003-2004 гг._Запрос МИ Менеджмент 18 08 06 (новый формат) 6" xfId="836"/>
    <cellStyle name="_БЮДЖЕТ 2004 от  28.11 агл. 2870 АХБпрочие_Дайджест 2003-2004 гг._Запрос МИ Менеджмент 18 08 06 (новый формат) 7" xfId="837"/>
    <cellStyle name="_БЮДЖЕТ 2004 от  28.11 агл. 2870 АХБпрочие_Дайджест 2003-2004 гг._Запрос МИ Менеджмент 18 08 06 (новый формат) 8" xfId="838"/>
    <cellStyle name="_БЮДЖЕТ 2004 от  28.11 агл. 2870 АХБпрочие_Дайджест 2003-2004 гг._Запрос МИ Менеджмент 18 08 06 (новый формат) 9" xfId="839"/>
    <cellStyle name="_БЮДЖЕТ 2004 от  28.11 агл. 2870 АХБпрочие_Дайджест 2003-2004 гг._Запрос МИ Менеджмент 18 08 06 (новый формат)__План по труду 2008 261107 (10% с января)" xfId="840"/>
    <cellStyle name="_БЮДЖЕТ 2004 от  28.11 агл. 2870 АХБпрочие_Дайджест 2003-2004 гг._Запрос МИ Менеджмент 18 08 06 (новый формат)__План по труду 2008 261107 (10% с января) 2" xfId="841"/>
    <cellStyle name="_БЮДЖЕТ 2004 от  28.11 агл. 2870 АХБпрочие_Дайджест 2003-2004 гг._Запрос МИ Менеджмент 18 08 06 (новый формат)__План по труду 2008 261107 (10% с января) 3" xfId="842"/>
    <cellStyle name="_БЮДЖЕТ 2004 от  28.11 агл. 2870 АХБпрочие_Дайджест 2003-2004 гг._Запрос МИ Менеджмент 18 08 06 (новый формат)__План по труду 2008 261107 (10% с января) 4" xfId="843"/>
    <cellStyle name="_БЮДЖЕТ 2004 от  28.11 агл. 2870 АХБпрочие_Дайджест 2003-2004 гг._Запрос МИ Менеджмент 18 08 06 (новый формат)__План по труду 2008 261107 (10% с января) 5" xfId="844"/>
    <cellStyle name="_БЮДЖЕТ 2004 от  28.11 агл. 2870 АХБпрочие_Дайджест 2003-2004 гг._Запрос МИ Менеджмент 18 08 06 (новый формат)__План по труду 2008 261107 (10% с января) 6" xfId="845"/>
    <cellStyle name="_БЮДЖЕТ 2004 от  28.11 агл. 2870 АХБпрочие_Дайджест 2003-2004 гг._Запрос МИ Менеджмент 18 08 06 (новый формат)__План по труду 2008 261107 (10% с января) 7" xfId="846"/>
    <cellStyle name="_БЮДЖЕТ 2004 от  28.11 агл. 2870 АХБпрочие_Дайджест 2003-2004 гг._Запрос МИ Менеджмент 18 08 06 (новый формат)__План по труду 2008 261107 (10% с января) 8" xfId="847"/>
    <cellStyle name="_БЮДЖЕТ 2004 от  28.11 агл. 2870 АХБпрочие_Дайджест 2003-2004 гг._Запрос МИ Менеджмент 18 08 06 (новый формат)__План по труду 2008 261107 (10% с января) 9" xfId="848"/>
    <cellStyle name="_БЮДЖЕТ 2004 от  28.11 агл. 2870 АХБпрочие_Дайджест 2003-2004 гг._Запрос МИ Менеджмент 18 08 06 (новый формат)__План по труду 2008 ИТОГ (правл. ПНР 161007)_" xfId="849"/>
    <cellStyle name="_БЮДЖЕТ 2004 от  28.11 агл. 2870 АХБпрочие_Дайджест 2003-2004 гг._Запрос МИ Менеджмент 18 08 06 (новый формат)__План по труду 2008 ИТОГ (правл. ПНР 161007)_ 2" xfId="850"/>
    <cellStyle name="_БЮДЖЕТ 2004 от  28.11 агл. 2870 АХБпрочие_Дайджест 2003-2004 гг._Запрос МИ Менеджмент 18 08 06 (новый формат)__План по труду 2008 ИТОГ (правл. ПНР 161007)_ 3" xfId="851"/>
    <cellStyle name="_БЮДЖЕТ 2004 от  28.11 агл. 2870 АХБпрочие_Дайджест 2003-2004 гг._Запрос МИ Менеджмент 18 08 06 (новый формат)__План по труду 2008 ИТОГ (правл. ПНР 161007)_ 4" xfId="852"/>
    <cellStyle name="_БЮДЖЕТ 2004 от  28.11 агл. 2870 АХБпрочие_Дайджест 2003-2004 гг._Запрос МИ Менеджмент 18 08 06 (новый формат)__План по труду 2008 ИТОГ (правл. ПНР 161007)_ 5" xfId="853"/>
    <cellStyle name="_БЮДЖЕТ 2004 от  28.11 агл. 2870 АХБпрочие_Дайджест 2003-2004 гг._Запрос МИ Менеджмент 18 08 06 (новый формат)__План по труду 2008 ИТОГ (правл. ПНР 161007)_ 6" xfId="854"/>
    <cellStyle name="_БЮДЖЕТ 2004 от  28.11 агл. 2870 АХБпрочие_Дайджест 2003-2004 гг._Запрос МИ Менеджмент 18 08 06 (новый формат)__План по труду 2008 ИТОГ (правл. ПНР 161007)_ 7" xfId="855"/>
    <cellStyle name="_БЮДЖЕТ 2004 от  28.11 агл. 2870 АХБпрочие_Дайджест 2003-2004 гг._Запрос МИ Менеджмент 18 08 06 (новый формат)__План по труду 2008 ИТОГ (правл. ПНР 161007)_ 8" xfId="856"/>
    <cellStyle name="_БЮДЖЕТ 2004 от  28.11 агл. 2870 АХБпрочие_Дайджест 2003-2004 гг._Запрос МИ Менеджмент 18 08 06 (новый формат)__План по труду 2008 ИТОГ (правл. ПНР 161007)_ 9" xfId="857"/>
    <cellStyle name="_БЮДЖЕТ 2004 от  28.11 агл. 2870 АХБпрочие_Дайджест 2003-2004 гг._Запрос МИ Менеджмент 18 08 06 (новый формат)_2_Инвестпрограмма на 2008 год (КОВАЛЕВ)" xfId="858"/>
    <cellStyle name="_БЮДЖЕТ 2004 от  28.11 агл. 2870 АХБпрочие_Дайджест 2003-2004 гг._Запрос МИ Менеджмент 18 08 06 (новый формат)_Данные для ФОТ на 2008 год" xfId="859"/>
    <cellStyle name="_БЮДЖЕТ 2004 от  28.11 агл. 2870 АХБпрочие_Дайджест 2003-2004 гг._Запрос МИ Менеджмент 18 08 06 (новый формат)_Данные для ФОТ на 2008 год 2" xfId="860"/>
    <cellStyle name="_БЮДЖЕТ 2004 от  28.11 агл. 2870 АХБпрочие_Дайджест 2003-2004 гг._Запрос МИ Менеджмент 18 08 06 (новый формат)_Данные для ФОТ на 2008 год 3" xfId="861"/>
    <cellStyle name="_БЮДЖЕТ 2004 от  28.11 агл. 2870 АХБпрочие_Дайджест 2003-2004 гг._Запрос МИ Менеджмент 18 08 06 (новый формат)_Данные для ФОТ на 2008 год 4" xfId="862"/>
    <cellStyle name="_БЮДЖЕТ 2004 от  28.11 агл. 2870 АХБпрочие_Дайджест 2003-2004 гг._Запрос МИ Менеджмент 18 08 06 (новый формат)_Данные для ФОТ на 2008 год 5" xfId="863"/>
    <cellStyle name="_БЮДЖЕТ 2004 от  28.11 агл. 2870 АХБпрочие_Дайджест 2003-2004 гг._Запрос МИ Менеджмент 18 08 06 (новый формат)_Данные для ФОТ на 2008 год 6" xfId="864"/>
    <cellStyle name="_БЮДЖЕТ 2004 от  28.11 агл. 2870 АХБпрочие_Дайджест 2003-2004 гг._Запрос МИ Менеджмент 18 08 06 (новый формат)_Данные для ФОТ на 2008 год 7" xfId="865"/>
    <cellStyle name="_БЮДЖЕТ 2004 от  28.11 агл. 2870 АХБпрочие_Дайджест 2003-2004 гг._Запрос МИ Менеджмент 18 08 06 (новый формат)_Данные для ФОТ на 2008 год 8" xfId="866"/>
    <cellStyle name="_БЮДЖЕТ 2004 от  28.11 агл. 2870 АХБпрочие_Дайджест 2003-2004 гг._Запрос МИ Менеджмент 18 08 06 (новый формат)_Данные для ФОТ на 2008 год 9" xfId="867"/>
    <cellStyle name="_БЮДЖЕТ 2004 от  28.11 агл. 2870 АХБпрочие_Дайджест 2003-2004 гг._Запрос МИ Менеджмент 18 08 06 (новый формат)_План по труду 2008 ИТОГ (2003_вер)" xfId="868"/>
    <cellStyle name="_БЮДЖЕТ 2004 от  28.11 агл. 2870 АХБпрочие_Дайджест 2003-2004 гг._Запрос МИ Менеджмент 18 08 06 (новый формат)_План по труду 2008 ИТОГ (2003_вер) 2" xfId="869"/>
    <cellStyle name="_БЮДЖЕТ 2004 от  28.11 агл. 2870 АХБпрочие_Дайджест 2003-2004 гг._Запрос МИ Менеджмент 18 08 06 (новый формат)_План по труду 2008 ИТОГ (2003_вер) 3" xfId="870"/>
    <cellStyle name="_БЮДЖЕТ 2004 от  28.11 агл. 2870 АХБпрочие_Дайджест 2003-2004 гг._Запрос МИ Менеджмент 18 08 06 (новый формат)_План по труду 2008 ИТОГ (2003_вер) 4" xfId="871"/>
    <cellStyle name="_БЮДЖЕТ 2004 от  28.11 агл. 2870 АХБпрочие_Дайджест 2003-2004 гг._Запрос МИ Менеджмент 18 08 06 (новый формат)_План по труду 2008 ИТОГ (2003_вер) 5" xfId="872"/>
    <cellStyle name="_БЮДЖЕТ 2004 от  28.11 агл. 2870 АХБпрочие_Дайджест 2003-2004 гг._Запрос МИ Менеджмент 18 08 06 (новый формат)_План по труду 2008 ИТОГ (2003_вер) 6" xfId="873"/>
    <cellStyle name="_БЮДЖЕТ 2004 от  28.11 агл. 2870 АХБпрочие_Дайджест 2003-2004 гг._Запрос МИ Менеджмент 18 08 06 (новый формат)_План по труду 2008 ИТОГ (2003_вер) 7" xfId="874"/>
    <cellStyle name="_БЮДЖЕТ 2004 от  28.11 агл. 2870 АХБпрочие_Дайджест 2003-2004 гг._Запрос МИ Менеджмент 18 08 06 (новый формат)_План по труду 2008 ИТОГ (2003_вер) 8" xfId="875"/>
    <cellStyle name="_БЮДЖЕТ 2004 от  28.11 агл. 2870 АХБпрочие_Дайджест 2003-2004 гг._Запрос МИ Менеджмент 18 08 06 (новый формат)_План по труду 2008 ИТОГ (2003_вер) 9" xfId="876"/>
    <cellStyle name="_БЮДЖЕТ 2004 от  28.11 агл. 2870 АХБпрочие_Дайджест 2003-2004 гг._Запрос МИ Менеджмент 18 08 06 (новый формат)_ТКВ 2008 от 19.07" xfId="877"/>
    <cellStyle name="_БЮДЖЕТ 2004 от  28.11 агл. 2870 АХБпрочие_Дайджест 2003-2004 гг._Запрос МИ Менеджмент 18 08 06 (новый формат)_ТКВ 2008 от 31.07" xfId="878"/>
    <cellStyle name="_БЮДЖЕТ 2004 от  28.11 агл. 2870 АХБпрочие_Дайджест 2003-2004 гг._ИПИТА" xfId="879"/>
    <cellStyle name="_БЮДЖЕТ 2004 от  28.11 агл. 2870 АХБпрочие_Дайджест 2003-2004 гг._ИПИТА 2" xfId="880"/>
    <cellStyle name="_БЮДЖЕТ 2004 от  28.11 агл. 2870 АХБпрочие_Дайджест 2003-2004 гг._ИПИТА 3" xfId="881"/>
    <cellStyle name="_БЮДЖЕТ 2004 от  28.11 агл. 2870 АХБпрочие_Дайджест 2003-2004 гг._ИПИТА 4" xfId="882"/>
    <cellStyle name="_БЮДЖЕТ 2004 от  28.11 агл. 2870 АХБпрочие_Дайджест 2003-2004 гг._ИПИТА 5" xfId="883"/>
    <cellStyle name="_БЮДЖЕТ 2004 от  28.11 агл. 2870 АХБпрочие_Дайджест 2003-2004 гг._ИПИТА 6" xfId="884"/>
    <cellStyle name="_БЮДЖЕТ 2004 от  28.11 агл. 2870 АХБпрочие_Дайджест 2003-2004 гг._ИПИТА 7" xfId="885"/>
    <cellStyle name="_БЮДЖЕТ 2004 от  28.11 агл. 2870 АХБпрочие_Дайджест 2003-2004 гг._ИПИТА 8" xfId="886"/>
    <cellStyle name="_БЮДЖЕТ 2004 от  28.11 агл. 2870 АХБпрочие_Дайджест 2003-2004 гг._ИПИТА 9" xfId="887"/>
    <cellStyle name="_БЮДЖЕТ 2004 от  28.11 агл. 2870 АХБпрочие_Дайджест 2003-2004 гг._КМА-Эн план 1 кв 200919.12.08отпр в Холдинг" xfId="888"/>
    <cellStyle name="_БЮДЖЕТ 2004 от  28.11 агл. 2870 АХБпрочие_Дайджест 2003-2004 гг._Книга БДР 4 кв" xfId="889"/>
    <cellStyle name="_БЮДЖЕТ 2004 от  28.11 агл. 2870 АХБпрочие_Дайджест 2003-2004 гг._Книга БДР 4 кв 2" xfId="890"/>
    <cellStyle name="_БЮДЖЕТ 2004 от  28.11 агл. 2870 АХБпрочие_Дайджест 2003-2004 гг._Книга БДР 4 кв 3" xfId="891"/>
    <cellStyle name="_БЮДЖЕТ 2004 от  28.11 агл. 2870 АХБпрочие_Дайджест 2003-2004 гг._Книга БДР 4 кв 4" xfId="892"/>
    <cellStyle name="_БЮДЖЕТ 2004 от  28.11 агл. 2870 АХБпрочие_Дайджест 2003-2004 гг._Книга БДР 4 кв 5" xfId="893"/>
    <cellStyle name="_БЮДЖЕТ 2004 от  28.11 агл. 2870 АХБпрочие_Дайджест 2003-2004 гг._Книга БДР 4 кв 6" xfId="894"/>
    <cellStyle name="_БЮДЖЕТ 2004 от  28.11 агл. 2870 АХБпрочие_Дайджест 2003-2004 гг._Книга БДР 4 кв 7" xfId="895"/>
    <cellStyle name="_БЮДЖЕТ 2004 от  28.11 агл. 2870 АХБпрочие_Дайджест 2003-2004 гг._Книга БДР 4 кв 8" xfId="896"/>
    <cellStyle name="_БЮДЖЕТ 2004 от  28.11 агл. 2870 АХБпрочие_Дайджест 2003-2004 гг._Книга БДР 4 кв 9" xfId="897"/>
    <cellStyle name="_БЮДЖЕТ 2004 от  28.11 агл. 2870 АХБпрочие_Дайджест 2003-2004 гг._Книга1" xfId="898"/>
    <cellStyle name="_БЮДЖЕТ 2004 от  28.11 агл. 2870 АХБпрочие_Дайджест 2003-2004 гг._Книга1 (1)" xfId="899"/>
    <cellStyle name="_БЮДЖЕТ 2004 от  28.11 агл. 2870 АХБпрочие_Дайджест 2003-2004 гг._Книга1 (1) 2" xfId="900"/>
    <cellStyle name="_БЮДЖЕТ 2004 от  28.11 агл. 2870 АХБпрочие_Дайджест 2003-2004 гг._Книга1 (1) 3" xfId="901"/>
    <cellStyle name="_БЮДЖЕТ 2004 от  28.11 агл. 2870 АХБпрочие_Дайджест 2003-2004 гг._Книга1 (1) 4" xfId="902"/>
    <cellStyle name="_БЮДЖЕТ 2004 от  28.11 агл. 2870 АХБпрочие_Дайджест 2003-2004 гг._Книга1 (1) 5" xfId="903"/>
    <cellStyle name="_БЮДЖЕТ 2004 от  28.11 агл. 2870 АХБпрочие_Дайджест 2003-2004 гг._Книга1 (1) 6" xfId="904"/>
    <cellStyle name="_БЮДЖЕТ 2004 от  28.11 агл. 2870 АХБпрочие_Дайджест 2003-2004 гг._Книга1 (1) 7" xfId="905"/>
    <cellStyle name="_БЮДЖЕТ 2004 от  28.11 агл. 2870 АХБпрочие_Дайджест 2003-2004 гг._Книга1 (1) 8" xfId="906"/>
    <cellStyle name="_БЮДЖЕТ 2004 от  28.11 агл. 2870 АХБпрочие_Дайджест 2003-2004 гг._Книга1 (1) 9" xfId="907"/>
    <cellStyle name="_БЮДЖЕТ 2004 от  28.11 агл. 2870 АХБпрочие_Дайджест 2003-2004 гг._Книга1 (5)" xfId="908"/>
    <cellStyle name="_БЮДЖЕТ 2004 от  28.11 агл. 2870 АХБпрочие_Дайджест 2003-2004 гг._Книга1 (5) 2" xfId="909"/>
    <cellStyle name="_БЮДЖЕТ 2004 от  28.11 агл. 2870 АХБпрочие_Дайджест 2003-2004 гг._Книга1 (5) 3" xfId="910"/>
    <cellStyle name="_БЮДЖЕТ 2004 от  28.11 агл. 2870 АХБпрочие_Дайджест 2003-2004 гг._Книга1 (5) 4" xfId="911"/>
    <cellStyle name="_БЮДЖЕТ 2004 от  28.11 агл. 2870 АХБпрочие_Дайджест 2003-2004 гг._Книга1 (5) 5" xfId="912"/>
    <cellStyle name="_БЮДЖЕТ 2004 от  28.11 агл. 2870 АХБпрочие_Дайджест 2003-2004 гг._Книга1 (5) 6" xfId="913"/>
    <cellStyle name="_БЮДЖЕТ 2004 от  28.11 агл. 2870 АХБпрочие_Дайджест 2003-2004 гг._Книга1 (5) 7" xfId="914"/>
    <cellStyle name="_БЮДЖЕТ 2004 от  28.11 агл. 2870 АХБпрочие_Дайджест 2003-2004 гг._Книга1 (5) 8" xfId="915"/>
    <cellStyle name="_БЮДЖЕТ 2004 от  28.11 агл. 2870 АХБпрочие_Дайджест 2003-2004 гг._Книга1 (5) 9" xfId="916"/>
    <cellStyle name="_БЮДЖЕТ 2004 от  28.11 агл. 2870 АХБпрочие_Дайджест 2003-2004 гг._Книга1 2" xfId="917"/>
    <cellStyle name="_БЮДЖЕТ 2004 от  28.11 агл. 2870 АХБпрочие_Дайджест 2003-2004 гг._Книга1 3" xfId="918"/>
    <cellStyle name="_БЮДЖЕТ 2004 от  28.11 агл. 2870 АХБпрочие_Дайджест 2003-2004 гг._Книга1 4" xfId="919"/>
    <cellStyle name="_БЮДЖЕТ 2004 от  28.11 агл. 2870 АХБпрочие_Дайджест 2003-2004 гг._Книга1 5" xfId="920"/>
    <cellStyle name="_БЮДЖЕТ 2004 от  28.11 агл. 2870 АХБпрочие_Дайджест 2003-2004 гг._Книга1 6" xfId="921"/>
    <cellStyle name="_БЮДЖЕТ 2004 от  28.11 агл. 2870 АХБпрочие_Дайджест 2003-2004 гг._Книга1 7" xfId="922"/>
    <cellStyle name="_БЮДЖЕТ 2004 от  28.11 агл. 2870 АХБпрочие_Дайджест 2003-2004 гг._Книга1 8" xfId="923"/>
    <cellStyle name="_БЮДЖЕТ 2004 от  28.11 агл. 2870 АХБпрочие_Дайджест 2003-2004 гг._Книга1 9" xfId="924"/>
    <cellStyle name="_БЮДЖЕТ 2004 от  28.11 агл. 2870 АХБпрочие_Дайджест 2003-2004 гг._Книга1_1" xfId="925"/>
    <cellStyle name="_БЮДЖЕТ 2004 от  28.11 агл. 2870 АХБпрочие_Дайджест 2003-2004 гг._Книга11" xfId="926"/>
    <cellStyle name="_БЮДЖЕТ 2004 от  28.11 агл. 2870 АХБпрочие_Дайджест 2003-2004 гг._Книга3" xfId="927"/>
    <cellStyle name="_БЮДЖЕТ 2004 от  28.11 агл. 2870 АХБпрочие_Дайджест 2003-2004 гг._Книга3 2" xfId="928"/>
    <cellStyle name="_БЮДЖЕТ 2004 от  28.11 агл. 2870 АХБпрочие_Дайджест 2003-2004 гг._Книга3 3" xfId="929"/>
    <cellStyle name="_БЮДЖЕТ 2004 от  28.11 агл. 2870 АХБпрочие_Дайджест 2003-2004 гг._Книга3 4" xfId="930"/>
    <cellStyle name="_БЮДЖЕТ 2004 от  28.11 агл. 2870 АХБпрочие_Дайджест 2003-2004 гг._Книга3 5" xfId="931"/>
    <cellStyle name="_БЮДЖЕТ 2004 от  28.11 агл. 2870 АХБпрочие_Дайджест 2003-2004 гг._Книга3 6" xfId="932"/>
    <cellStyle name="_БЮДЖЕТ 2004 от  28.11 агл. 2870 АХБпрочие_Дайджест 2003-2004 гг._Книга3 7" xfId="933"/>
    <cellStyle name="_БЮДЖЕТ 2004 от  28.11 агл. 2870 АХБпрочие_Дайджест 2003-2004 гг._Книга3 8" xfId="934"/>
    <cellStyle name="_БЮДЖЕТ 2004 от  28.11 агл. 2870 АХБпрочие_Дайджест 2003-2004 гг._Книга3 9" xfId="935"/>
    <cellStyle name="_БЮДЖЕТ 2004 от  28.11 агл. 2870 АХБпрочие_Дайджест 2003-2004 гг._Комплект документов - план на 2007 год - фин.часть 8.12.06 (укороч.)" xfId="936"/>
    <cellStyle name="_БЮДЖЕТ 2004 от  28.11 агл. 2870 АХБпрочие_Дайджест 2003-2004 гг._Комплект документов - план на 2007 год - фин.часть 8.12.06 (укороч.) 2" xfId="937"/>
    <cellStyle name="_БЮДЖЕТ 2004 от  28.11 агл. 2870 АХБпрочие_Дайджест 2003-2004 гг._Комплект документов - план на 2007 год - фин.часть 8.12.06 (укороч.) 3" xfId="938"/>
    <cellStyle name="_БЮДЖЕТ 2004 от  28.11 агл. 2870 АХБпрочие_Дайджест 2003-2004 гг._Комплект документов - план на 2007 год - фин.часть 8.12.06 (укороч.) 4" xfId="939"/>
    <cellStyle name="_БЮДЖЕТ 2004 от  28.11 агл. 2870 АХБпрочие_Дайджест 2003-2004 гг._Комплект документов - план на 2007 год - фин.часть 8.12.06 (укороч.) 5" xfId="940"/>
    <cellStyle name="_БЮДЖЕТ 2004 от  28.11 агл. 2870 АХБпрочие_Дайджест 2003-2004 гг._Комплект документов - план на 2007 год - фин.часть 8.12.06 (укороч.) 6" xfId="941"/>
    <cellStyle name="_БЮДЖЕТ 2004 от  28.11 агл. 2870 АХБпрочие_Дайджест 2003-2004 гг._Комплект документов - план на 2007 год - фин.часть 8.12.06 (укороч.) 7" xfId="942"/>
    <cellStyle name="_БЮДЖЕТ 2004 от  28.11 агл. 2870 АХБпрочие_Дайджест 2003-2004 гг._Комплект документов - план на 2007 год - фин.часть 8.12.06 (укороч.) 8" xfId="943"/>
    <cellStyle name="_БЮДЖЕТ 2004 от  28.11 агл. 2870 АХБпрочие_Дайджест 2003-2004 гг._Комплект документов - план на 2007 год - фин.часть 8.12.06 (укороч.) 9" xfId="944"/>
    <cellStyle name="_БЮДЖЕТ 2004 от  28.11 агл. 2870 АХБпрочие_Дайджест 2003-2004 гг._Конс  ЛГОК БП 2009 для Комбината 07 11 08" xfId="945"/>
    <cellStyle name="_БЮДЖЕТ 2004 от  28.11 агл. 2870 АХБпрочие_Дайджест 2003-2004 гг._Конс  ЛГОК БП 2009 от 14 10 08" xfId="946"/>
    <cellStyle name="_БЮДЖЕТ 2004 от  28.11 агл. 2870 АХБпрочие_Дайджест 2003-2004 гг._Конс  ЛГОК БП 2009 от 14 10 08 (2)" xfId="947"/>
    <cellStyle name="_БЮДЖЕТ 2004 от  28.11 агл. 2870 АХБпрочие_Дайджест 2003-2004 гг._Конс  МГОК БП 2009 от 14 10 08" xfId="948"/>
    <cellStyle name="_БЮДЖЕТ 2004 от  28.11 агл. 2870 АХБпрочие_Дайджест 2003-2004 гг._Конс. план ЛГОК мар.09 для Комбината 20.02.09" xfId="949"/>
    <cellStyle name="_БЮДЖЕТ 2004 от  28.11 агл. 2870 АХБпрочие_Дайджест 2003-2004 гг._Конс. план ЛГОК мар.09 для Комбината 25.02.09" xfId="950"/>
    <cellStyle name="_БЮДЖЕТ 2004 от  28.11 агл. 2870 АХБпрочие_Дайджест 2003-2004 гг._Копия Динамика цен (УС ) 2006-2009 сверен 30.01.09" xfId="951"/>
    <cellStyle name="_БЮДЖЕТ 2004 от  28.11 агл. 2870 АХБпрочие_Дайджест 2003-2004 гг._Копия Конс БП 2010 ЛГОК для Комбината от 21 08 09" xfId="952"/>
    <cellStyle name="_БЮДЖЕТ 2004 от  28.11 агл. 2870 АХБпрочие_Дайджест 2003-2004 гг._Копия Потребность взаиморасч  от 28 02 2008 (2)" xfId="953"/>
    <cellStyle name="_БЮДЖЕТ 2004 от  28.11 агл. 2870 АХБпрочие_Дайджест 2003-2004 гг._Лист1" xfId="954"/>
    <cellStyle name="_БЮДЖЕТ 2004 от  28.11 агл. 2870 АХБпрочие_Дайджест 2003-2004 гг._Лист1 2" xfId="955"/>
    <cellStyle name="_БЮДЖЕТ 2004 от  28.11 агл. 2870 АХБпрочие_Дайджест 2003-2004 гг._Лист1 3" xfId="956"/>
    <cellStyle name="_БЮДЖЕТ 2004 от  28.11 агл. 2870 АХБпрочие_Дайджест 2003-2004 гг._Лист1 4" xfId="957"/>
    <cellStyle name="_БЮДЖЕТ 2004 от  28.11 агл. 2870 АХБпрочие_Дайджест 2003-2004 гг._Лист1 5" xfId="958"/>
    <cellStyle name="_БЮДЖЕТ 2004 от  28.11 агл. 2870 АХБпрочие_Дайджест 2003-2004 гг._Лист1 6" xfId="959"/>
    <cellStyle name="_БЮДЖЕТ 2004 от  28.11 агл. 2870 АХБпрочие_Дайджест 2003-2004 гг._Лист1 7" xfId="960"/>
    <cellStyle name="_БЮДЖЕТ 2004 от  28.11 агл. 2870 АХБпрочие_Дайджест 2003-2004 гг._Лист1 8" xfId="961"/>
    <cellStyle name="_БЮДЖЕТ 2004 от  28.11 агл. 2870 АХБпрочие_Дайджест 2003-2004 гг._Лист1 9" xfId="962"/>
    <cellStyle name="_БЮДЖЕТ 2004 от  28.11 агл. 2870 АХБпрочие_Дайджест 2003-2004 гг._Мод 4 кв 2008" xfId="963"/>
    <cellStyle name="_БЮДЖЕТ 2004 от  28.11 агл. 2870 АХБпрочие_Дайджест 2003-2004 гг._Мод 4 кв 2008_Книга2" xfId="964"/>
    <cellStyle name="_БЮДЖЕТ 2004 от  28.11 агл. 2870 АХБпрочие_Дайджест 2003-2004 гг._Налог на прибыль" xfId="965"/>
    <cellStyle name="_БЮДЖЕТ 2004 от  28.11 агл. 2870 АХБпрочие_Дайджест 2003-2004 гг._Налоги А.А. Богоцкому 2005-2009" xfId="966"/>
    <cellStyle name="_БЮДЖЕТ 2004 от  28.11 агл. 2870 АХБпрочие_Дайджест 2003-2004 гг._Налоги к плану на 2009 год (ДЗ и КЗ)" xfId="967"/>
    <cellStyle name="_БЮДЖЕТ 2004 от  28.11 агл. 2870 АХБпрочие_Дайджест 2003-2004 гг._Налоги к плану на февраль 2009 года" xfId="968"/>
    <cellStyle name="_БЮДЖЕТ 2004 от  28.11 агл. 2870 АХБпрочие_Дайджест 2003-2004 гг._Новые формы Дивизиона_3 кв_send (без дивидендов)" xfId="969"/>
    <cellStyle name="_БЮДЖЕТ 2004 от  28.11 агл. 2870 АХБпрочие_Дайджест 2003-2004 гг._Новые формы Дивизиона_3кв.2007" xfId="970"/>
    <cellStyle name="_БЮДЖЕТ 2004 от  28.11 агл. 2870 АХБпрочие_Дайджест 2003-2004 гг._Новые формы Дивизиона_3кв.2007 2" xfId="971"/>
    <cellStyle name="_БЮДЖЕТ 2004 от  28.11 агл. 2870 АХБпрочие_Дайджест 2003-2004 гг._Новые формы Дивизиона_3кв.2007 3" xfId="972"/>
    <cellStyle name="_БЮДЖЕТ 2004 от  28.11 агл. 2870 АХБпрочие_Дайджест 2003-2004 гг._Новые формы Дивизиона_3кв.2007 4" xfId="973"/>
    <cellStyle name="_БЮДЖЕТ 2004 от  28.11 агл. 2870 АХБпрочие_Дайджест 2003-2004 гг._Новые формы Дивизиона_3кв.2007 5" xfId="974"/>
    <cellStyle name="_БЮДЖЕТ 2004 от  28.11 агл. 2870 АХБпрочие_Дайджест 2003-2004 гг._Новые формы Дивизиона_3кв.2007 6" xfId="975"/>
    <cellStyle name="_БЮДЖЕТ 2004 от  28.11 агл. 2870 АХБпрочие_Дайджест 2003-2004 гг._Новые формы Дивизиона_3кв.2007 7" xfId="976"/>
    <cellStyle name="_БЮДЖЕТ 2004 от  28.11 агл. 2870 АХБпрочие_Дайджест 2003-2004 гг._Новые формы Дивизиона_3кв.2007 8" xfId="977"/>
    <cellStyle name="_БЮДЖЕТ 2004 от  28.11 агл. 2870 АХБпрочие_Дайджест 2003-2004 гг._Новые формы Дивизиона_3кв.2007 9" xfId="978"/>
    <cellStyle name="_БЮДЖЕТ 2004 от  28.11 агл. 2870 АХБпрочие_Дайджест 2003-2004 гг._Обжиговая" xfId="979"/>
    <cellStyle name="_БЮДЖЕТ 2004 от  28.11 агл. 2870 АХБпрочие_Дайджест 2003-2004 гг._Оборотный капитал план 2-е полугодие 2006 г. 25.08.06" xfId="980"/>
    <cellStyle name="_БЮДЖЕТ 2004 от  28.11 агл. 2870 АХБпрочие_Дайджест 2003-2004 гг._Оборотный капитал план 2-е полугодие 2006 г. 25.08.06 10" xfId="981"/>
    <cellStyle name="_БЮДЖЕТ 2004 от  28.11 агл. 2870 АХБпрочие_Дайджест 2003-2004 гг._Оборотный капитал план 2-е полугодие 2006 г. 25.08.06 11" xfId="982"/>
    <cellStyle name="_БЮДЖЕТ 2004 от  28.11 агл. 2870 АХБпрочие_Дайджест 2003-2004 гг._Оборотный капитал план 2-е полугодие 2006 г. 25.08.06 12" xfId="983"/>
    <cellStyle name="_БЮДЖЕТ 2004 от  28.11 агл. 2870 АХБпрочие_Дайджест 2003-2004 гг._Оборотный капитал план 2-е полугодие 2006 г. 25.08.06 13" xfId="984"/>
    <cellStyle name="_БЮДЖЕТ 2004 от  28.11 агл. 2870 АХБпрочие_Дайджест 2003-2004 гг._Оборотный капитал план 2-е полугодие 2006 г. 25.08.06 2" xfId="985"/>
    <cellStyle name="_БЮДЖЕТ 2004 от  28.11 агл. 2870 АХБпрочие_Дайджест 2003-2004 гг._Оборотный капитал план 2-е полугодие 2006 г. 25.08.06 3" xfId="986"/>
    <cellStyle name="_БЮДЖЕТ 2004 от  28.11 агл. 2870 АХБпрочие_Дайджест 2003-2004 гг._Оборотный капитал план 2-е полугодие 2006 г. 25.08.06 4" xfId="987"/>
    <cellStyle name="_БЮДЖЕТ 2004 от  28.11 агл. 2870 АХБпрочие_Дайджест 2003-2004 гг._Оборотный капитал план 2-е полугодие 2006 г. 25.08.06 5" xfId="988"/>
    <cellStyle name="_БЮДЖЕТ 2004 от  28.11 агл. 2870 АХБпрочие_Дайджест 2003-2004 гг._Оборотный капитал план 2-е полугодие 2006 г. 25.08.06 6" xfId="989"/>
    <cellStyle name="_БЮДЖЕТ 2004 от  28.11 агл. 2870 АХБпрочие_Дайджест 2003-2004 гг._Оборотный капитал план 2-е полугодие 2006 г. 25.08.06 7" xfId="990"/>
    <cellStyle name="_БЮДЖЕТ 2004 от  28.11 агл. 2870 АХБпрочие_Дайджест 2003-2004 гг._Оборотный капитал план 2-е полугодие 2006 г. 25.08.06 8" xfId="991"/>
    <cellStyle name="_БЮДЖЕТ 2004 от  28.11 агл. 2870 АХБпрочие_Дайджест 2003-2004 гг._Оборотный капитал план 2-е полугодие 2006 г. 25.08.06 9" xfId="992"/>
    <cellStyle name="_БЮДЖЕТ 2004 от  28.11 агл. 2870 АХБпрочие_Дайджест 2003-2004 гг._ОБРАЗЕЦ Презентационный материал" xfId="993"/>
    <cellStyle name="_БЮДЖЕТ 2004 от  28.11 агл. 2870 АХБпрочие_Дайджест 2003-2004 гг._ОБРАЗЕЦ Презентационный материал 2" xfId="994"/>
    <cellStyle name="_БЮДЖЕТ 2004 от  28.11 агл. 2870 АХБпрочие_Дайджест 2003-2004 гг._ОБРАЗЕЦ Презентационный материал 3" xfId="995"/>
    <cellStyle name="_БЮДЖЕТ 2004 от  28.11 агл. 2870 АХБпрочие_Дайджест 2003-2004 гг._ОБРАЗЕЦ Презентационный материал 4" xfId="996"/>
    <cellStyle name="_БЮДЖЕТ 2004 от  28.11 агл. 2870 АХБпрочие_Дайджест 2003-2004 гг._ОБРАЗЕЦ Презентационный материал 5" xfId="997"/>
    <cellStyle name="_БЮДЖЕТ 2004 от  28.11 агл. 2870 АХБпрочие_Дайджест 2003-2004 гг._ОБРАЗЕЦ Презентационный материал 6" xfId="998"/>
    <cellStyle name="_БЮДЖЕТ 2004 от  28.11 агл. 2870 АХБпрочие_Дайджест 2003-2004 гг._ОБРАЗЕЦ Презентационный материал 7" xfId="999"/>
    <cellStyle name="_БЮДЖЕТ 2004 от  28.11 агл. 2870 АХБпрочие_Дайджест 2003-2004 гг._ОБРАЗЕЦ Презентационный материал 8" xfId="1000"/>
    <cellStyle name="_БЮДЖЕТ 2004 от  28.11 агл. 2870 АХБпрочие_Дайджест 2003-2004 гг._ОБРАЗЕЦ Презентационный материал 9" xfId="1001"/>
    <cellStyle name="_БЮДЖЕТ 2004 от  28.11 агл. 2870 АХБпрочие_Дайджест 2003-2004 гг._оперативное исполнение 8 02 2009" xfId="1002"/>
    <cellStyle name="_БЮДЖЕТ 2004 от  28.11 агл. 2870 АХБпрочие_Дайджест 2003-2004 гг._Отклонения план март-план февраль 2009 конс" xfId="1003"/>
    <cellStyle name="_БЮДЖЕТ 2004 от  28.11 агл. 2870 АХБпрочие_Дайджест 2003-2004 гг._Отклонения план март-план февраль 2009 конс 2" xfId="1004"/>
    <cellStyle name="_БЮДЖЕТ 2004 от  28.11 агл. 2870 АХБпрочие_Дайджест 2003-2004 гг._Отклонения план март-план февраль 2009 конс 3" xfId="1005"/>
    <cellStyle name="_БЮДЖЕТ 2004 от  28.11 агл. 2870 АХБпрочие_Дайджест 2003-2004 гг._Отклонения план март-план февраль 2009 конс 4" xfId="1006"/>
    <cellStyle name="_БЮДЖЕТ 2004 от  28.11 агл. 2870 АХБпрочие_Дайджест 2003-2004 гг._Отклонения план март-план февраль 2009 конс 5" xfId="1007"/>
    <cellStyle name="_БЮДЖЕТ 2004 от  28.11 агл. 2870 АХБпрочие_Дайджест 2003-2004 гг._Отклонения план март-план февраль 2009 конс 6" xfId="1008"/>
    <cellStyle name="_БЮДЖЕТ 2004 от  28.11 агл. 2870 АХБпрочие_Дайджест 2003-2004 гг._Отклонения план март-план февраль 2009 конс 7" xfId="1009"/>
    <cellStyle name="_БЮДЖЕТ 2004 от  28.11 агл. 2870 АХБпрочие_Дайджест 2003-2004 гг._Отклонения план март-план февраль 2009 конс 8" xfId="1010"/>
    <cellStyle name="_БЮДЖЕТ 2004 от  28.11 агл. 2870 АХБпрочие_Дайджест 2003-2004 гг._Отклонения план март-план февраль 2009 конс 9" xfId="1011"/>
    <cellStyle name="_БЮДЖЕТ 2004 от  28.11 агл. 2870 АХБпрочие_Дайджест 2003-2004 гг._пл 02 2009 акционеры СВОД 09.02.2009" xfId="1012"/>
    <cellStyle name="_БЮДЖЕТ 2004 от  28.11 агл. 2870 АХБпрочие_Дайджест 2003-2004 гг._пл2007 Распределение ОЭМК 27.01.07" xfId="1013"/>
    <cellStyle name="_БЮДЖЕТ 2004 от  28.11 агл. 2870 АХБпрочие_Дайджест 2003-2004 гг._пл2007 фин.часть 18.12.06" xfId="1014"/>
    <cellStyle name="_БЮДЖЕТ 2004 от  28.11 агл. 2870 АХБпрочие_Дайджест 2003-2004 гг._пл2007 фин.часть 18.12.06 2" xfId="1015"/>
    <cellStyle name="_БЮДЖЕТ 2004 от  28.11 агл. 2870 АХБпрочие_Дайджест 2003-2004 гг._пл2007 фин.часть 18.12.06 3" xfId="1016"/>
    <cellStyle name="_БЮДЖЕТ 2004 от  28.11 агл. 2870 АХБпрочие_Дайджест 2003-2004 гг._пл2007 фин.часть 18.12.06 4" xfId="1017"/>
    <cellStyle name="_БЮДЖЕТ 2004 от  28.11 агл. 2870 АХБпрочие_Дайджест 2003-2004 гг._пл2007 фин.часть 18.12.06 5" xfId="1018"/>
    <cellStyle name="_БЮДЖЕТ 2004 от  28.11 агл. 2870 АХБпрочие_Дайджест 2003-2004 гг._пл2007 фин.часть 18.12.06 6" xfId="1019"/>
    <cellStyle name="_БЮДЖЕТ 2004 от  28.11 агл. 2870 АХБпрочие_Дайджест 2003-2004 гг._пл2007 фин.часть 18.12.06 7" xfId="1020"/>
    <cellStyle name="_БЮДЖЕТ 2004 от  28.11 агл. 2870 АХБпрочие_Дайджест 2003-2004 гг._пл2007 фин.часть 18.12.06 8" xfId="1021"/>
    <cellStyle name="_БЮДЖЕТ 2004 от  28.11 агл. 2870 АХБпрочие_Дайджест 2003-2004 гг._пл2007 фин.часть 18.12.06 9" xfId="1022"/>
    <cellStyle name="_БЮДЖЕТ 2004 от  28.11 агл. 2870 АХБпрочие_Дайджест 2003-2004 гг._План 2 кв 2007 год 6.04.07" xfId="1023"/>
    <cellStyle name="_БЮДЖЕТ 2004 от  28.11 агл. 2870 АХБпрочие_Дайджест 2003-2004 гг._План 2 кв 2007 год 6.04.07 2" xfId="1024"/>
    <cellStyle name="_БЮДЖЕТ 2004 от  28.11 агл. 2870 АХБпрочие_Дайджест 2003-2004 гг._План 2 кв 2007 год 6.04.07 3" xfId="1025"/>
    <cellStyle name="_БЮДЖЕТ 2004 от  28.11 агл. 2870 АХБпрочие_Дайджест 2003-2004 гг._План 2 кв 2007 год 6.04.07 4" xfId="1026"/>
    <cellStyle name="_БЮДЖЕТ 2004 от  28.11 агл. 2870 АХБпрочие_Дайджест 2003-2004 гг._План 2 кв 2007 год 6.04.07 5" xfId="1027"/>
    <cellStyle name="_БЮДЖЕТ 2004 от  28.11 агл. 2870 АХБпрочие_Дайджест 2003-2004 гг._План 2 кв 2007 год 6.04.07 6" xfId="1028"/>
    <cellStyle name="_БЮДЖЕТ 2004 от  28.11 агл. 2870 АХБпрочие_Дайджест 2003-2004 гг._План 2 кв 2007 год 6.04.07 7" xfId="1029"/>
    <cellStyle name="_БЮДЖЕТ 2004 от  28.11 агл. 2870 АХБпрочие_Дайджест 2003-2004 гг._План 2 кв 2007 год 6.04.07 8" xfId="1030"/>
    <cellStyle name="_БЮДЖЕТ 2004 от  28.11 агл. 2870 АХБпрочие_Дайджест 2003-2004 гг._План 2 кв 2007 год 6.04.07 9" xfId="1031"/>
    <cellStyle name="_БЮДЖЕТ 2004 от  28.11 агл. 2870 АХБпрочие_Дайджест 2003-2004 гг._План ДСМ 2 квартал 2009 ОТЧЕТ отп" xfId="1032"/>
    <cellStyle name="_БЮДЖЕТ 2004 от  28.11 агл. 2870 АХБпрочие_Дайджест 2003-2004 гг._План ДСМ 3 квартал 2009 ОТЧЕТ" xfId="1033"/>
    <cellStyle name="_БЮДЖЕТ 2004 от  28.11 агл. 2870 АХБпрочие_Дайджест 2003-2004 гг._План ДСМ 4 квартал 2009 ОТЧЕТ" xfId="1034"/>
    <cellStyle name="_БЮДЖЕТ 2004 от  28.11 агл. 2870 АХБпрочие_Дайджест 2003-2004 гг._План ДСМ на 4 квартал 2006 (последняя версия) 2" xfId="1035"/>
    <cellStyle name="_БЮДЖЕТ 2004 от  28.11 агл. 2870 АХБпрочие_Дайджест 2003-2004 гг._План ДСМ ноябрь 2011 ОТЧЕТ" xfId="1036"/>
    <cellStyle name="_БЮДЖЕТ 2004 от  28.11 агл. 2870 АХБпрочие_Дайджест 2003-2004 гг._План ДСФ 1 квартал 2007" xfId="1037"/>
    <cellStyle name="_БЮДЖЕТ 2004 от  28.11 агл. 2870 АХБпрочие_Дайджест 2003-2004 гг._План ДСФ 2 квартал 2009 ОТЧЕТ отп" xfId="1038"/>
    <cellStyle name="_БЮДЖЕТ 2004 от  28.11 агл. 2870 АХБпрочие_Дайджест 2003-2004 гг._План ДСФ 4 квартал 2009 ОТЧЕТ" xfId="1039"/>
    <cellStyle name="_БЮДЖЕТ 2004 от  28.11 агл. 2870 АХБпрочие_Дайджест 2003-2004 гг._План на 2009 год ДСМ ОТЧЕТ отп (01.12.08)" xfId="1040"/>
    <cellStyle name="_БЮДЖЕТ 2004 от  28.11 агл. 2870 АХБпрочие_Дайджест 2003-2004 гг._План на 2010 год ДСМ ОТЧЕТ" xfId="1041"/>
    <cellStyle name="_БЮДЖЕТ 2004 от  28.11 агл. 2870 АХБпрочие_Дайджест 2003-2004 гг._план ноября (отправл) 13.11" xfId="1042"/>
    <cellStyle name="_БЮДЖЕТ 2004 от  28.11 агл. 2870 АХБпрочие_Дайджест 2003-2004 гг._План_2008г._БДР" xfId="1043"/>
    <cellStyle name="_БЮДЖЕТ 2004 от  28.11 агл. 2870 АХБпрочие_Дайджест 2003-2004 гг._План_2008г._БДР 2" xfId="1044"/>
    <cellStyle name="_БЮДЖЕТ 2004 от  28.11 агл. 2870 АХБпрочие_Дайджест 2003-2004 гг._План_2008г._БДР 3" xfId="1045"/>
    <cellStyle name="_БЮДЖЕТ 2004 от  28.11 агл. 2870 АХБпрочие_Дайджест 2003-2004 гг._План_2008г._БДР 4" xfId="1046"/>
    <cellStyle name="_БЮДЖЕТ 2004 от  28.11 агл. 2870 АХБпрочие_Дайджест 2003-2004 гг._План_2008г._БДР 5" xfId="1047"/>
    <cellStyle name="_БЮДЖЕТ 2004 от  28.11 агл. 2870 АХБпрочие_Дайджест 2003-2004 гг._План_2008г._БДР 6" xfId="1048"/>
    <cellStyle name="_БЮДЖЕТ 2004 от  28.11 агл. 2870 АХБпрочие_Дайджест 2003-2004 гг._План_2008г._БДР 7" xfId="1049"/>
    <cellStyle name="_БЮДЖЕТ 2004 от  28.11 агл. 2870 АХБпрочие_Дайджест 2003-2004 гг._План_2008г._БДР 8" xfId="1050"/>
    <cellStyle name="_БЮДЖЕТ 2004 от  28.11 агл. 2870 АХБпрочие_Дайджест 2003-2004 гг._План_2008г._БДР 9" xfId="1051"/>
    <cellStyle name="_БЮДЖЕТ 2004 от  28.11 агл. 2870 АХБпрочие_Дайджест 2003-2004 гг._План_2008г._БДР_отпр.13.12.2007_19-40" xfId="1052"/>
    <cellStyle name="_БЮДЖЕТ 2004 от  28.11 агл. 2870 АХБпрочие_Дайджест 2003-2004 гг._План_2008г._БДР_отпр.13.12.2007_19-40 2" xfId="1053"/>
    <cellStyle name="_БЮДЖЕТ 2004 от  28.11 агл. 2870 АХБпрочие_Дайджест 2003-2004 гг._План_2008г._БДР_отпр.13.12.2007_19-40 3" xfId="1054"/>
    <cellStyle name="_БЮДЖЕТ 2004 от  28.11 агл. 2870 АХБпрочие_Дайджест 2003-2004 гг._План_2008г._БДР_отпр.13.12.2007_19-40 4" xfId="1055"/>
    <cellStyle name="_БЮДЖЕТ 2004 от  28.11 агл. 2870 АХБпрочие_Дайджест 2003-2004 гг._План_2008г._БДР_отпр.13.12.2007_19-40 5" xfId="1056"/>
    <cellStyle name="_БЮДЖЕТ 2004 от  28.11 агл. 2870 АХБпрочие_Дайджест 2003-2004 гг._План_2008г._БДР_отпр.13.12.2007_19-40 6" xfId="1057"/>
    <cellStyle name="_БЮДЖЕТ 2004 от  28.11 агл. 2870 АХБпрочие_Дайджест 2003-2004 гг._План_2008г._БДР_отпр.13.12.2007_19-40 7" xfId="1058"/>
    <cellStyle name="_БЮДЖЕТ 2004 от  28.11 агл. 2870 АХБпрочие_Дайджест 2003-2004 гг._План_2008г._БДР_отпр.13.12.2007_19-40 8" xfId="1059"/>
    <cellStyle name="_БЮДЖЕТ 2004 от  28.11 агл. 2870 АХБпрочие_Дайджест 2003-2004 гг._План_2008г._БДР_отпр.13.12.2007_19-40 9" xfId="1060"/>
    <cellStyle name="_БЮДЖЕТ 2004 от  28.11 агл. 2870 АХБпрочие_Дайджест 2003-2004 гг._Помесячный Чистов ФДе" xfId="1061"/>
    <cellStyle name="_БЮДЖЕТ 2004 от  28.11 агл. 2870 АХБпрочие_Дайджест 2003-2004 гг._Помесячный Чистов ФДе 2" xfId="1062"/>
    <cellStyle name="_БЮДЖЕТ 2004 от  28.11 агл. 2870 АХБпрочие_Дайджест 2003-2004 гг._Помесячный Чистов ФДе 3" xfId="1063"/>
    <cellStyle name="_БЮДЖЕТ 2004 от  28.11 агл. 2870 АХБпрочие_Дайджест 2003-2004 гг._Помесячный Чистов ФДе 4" xfId="1064"/>
    <cellStyle name="_БЮДЖЕТ 2004 от  28.11 агл. 2870 АХБпрочие_Дайджест 2003-2004 гг._Помесячный Чистов ФДе 5" xfId="1065"/>
    <cellStyle name="_БЮДЖЕТ 2004 от  28.11 агл. 2870 АХБпрочие_Дайджест 2003-2004 гг._Помесячный Чистов ФДе 6" xfId="1066"/>
    <cellStyle name="_БЮДЖЕТ 2004 от  28.11 агл. 2870 АХБпрочие_Дайджест 2003-2004 гг._Помесячный Чистов ФДе 7" xfId="1067"/>
    <cellStyle name="_БЮДЖЕТ 2004 от  28.11 агл. 2870 АХБпрочие_Дайджест 2003-2004 гг._Помесячный Чистов ФДе 8" xfId="1068"/>
    <cellStyle name="_БЮДЖЕТ 2004 от  28.11 агл. 2870 АХБпрочие_Дайджест 2003-2004 гг._Помесячный Чистов ФДе 9" xfId="1069"/>
    <cellStyle name="_БЮДЖЕТ 2004 от  28.11 агл. 2870 АХБпрочие_Дайджест 2003-2004 гг._пр I кв 2008 форма презентации" xfId="1070"/>
    <cellStyle name="_БЮДЖЕТ 2004 от  28.11 агл. 2870 АХБпрочие_Дайджест 2003-2004 гг._пр I кв 2008 форма презентации 2" xfId="1071"/>
    <cellStyle name="_БЮДЖЕТ 2004 от  28.11 агл. 2870 АХБпрочие_Дайджест 2003-2004 гг._пр I кв 2008 форма презентации 3" xfId="1072"/>
    <cellStyle name="_БЮДЖЕТ 2004 от  28.11 агл. 2870 АХБпрочие_Дайджест 2003-2004 гг._пр I кв 2008 форма презентации 4" xfId="1073"/>
    <cellStyle name="_БЮДЖЕТ 2004 от  28.11 агл. 2870 АХБпрочие_Дайджест 2003-2004 гг._пр I кв 2008 форма презентации 5" xfId="1074"/>
    <cellStyle name="_БЮДЖЕТ 2004 от  28.11 агл. 2870 АХБпрочие_Дайджест 2003-2004 гг._пр I кв 2008 форма презентации 6" xfId="1075"/>
    <cellStyle name="_БЮДЖЕТ 2004 от  28.11 агл. 2870 АХБпрочие_Дайджест 2003-2004 гг._пр I кв 2008 форма презентации 7" xfId="1076"/>
    <cellStyle name="_БЮДЖЕТ 2004 от  28.11 агл. 2870 АХБпрочие_Дайджест 2003-2004 гг._пр I кв 2008 форма презентации 8" xfId="1077"/>
    <cellStyle name="_БЮДЖЕТ 2004 от  28.11 агл. 2870 АХБпрочие_Дайджест 2003-2004 гг._пр I кв 2008 форма презентации 9" xfId="1078"/>
    <cellStyle name="_БЮДЖЕТ 2004 от  28.11 агл. 2870 АХБпрочие_Дайджест 2003-2004 гг._пр2006 Комплект ОЭМК 13.02.07 (рабочая)" xfId="1079"/>
    <cellStyle name="_БЮДЖЕТ 2004 от  28.11 агл. 2870 АХБпрочие_Дайджест 2003-2004 гг._пр2006 Комплект ОЭМК 13.02.07 (рабочая) 2" xfId="1080"/>
    <cellStyle name="_БЮДЖЕТ 2004 от  28.11 агл. 2870 АХБпрочие_Дайджест 2003-2004 гг._пр2006 Комплект ОЭМК 13.02.07 (рабочая) 3" xfId="1081"/>
    <cellStyle name="_БЮДЖЕТ 2004 от  28.11 агл. 2870 АХБпрочие_Дайджест 2003-2004 гг._пр2006 Комплект ОЭМК 13.02.07 (рабочая) 4" xfId="1082"/>
    <cellStyle name="_БЮДЖЕТ 2004 от  28.11 агл. 2870 АХБпрочие_Дайджест 2003-2004 гг._пр2006 Комплект ОЭМК 13.02.07 (рабочая) 5" xfId="1083"/>
    <cellStyle name="_БЮДЖЕТ 2004 от  28.11 агл. 2870 АХБпрочие_Дайджест 2003-2004 гг._пр2006 Комплект ОЭМК 13.02.07 (рабочая) 6" xfId="1084"/>
    <cellStyle name="_БЮДЖЕТ 2004 от  28.11 агл. 2870 АХБпрочие_Дайджест 2003-2004 гг._пр2006 Комплект ОЭМК 13.02.07 (рабочая) 7" xfId="1085"/>
    <cellStyle name="_БЮДЖЕТ 2004 от  28.11 агл. 2870 АХБпрочие_Дайджест 2003-2004 гг._пр2006 Комплект ОЭМК 13.02.07 (рабочая) 8" xfId="1086"/>
    <cellStyle name="_БЮДЖЕТ 2004 от  28.11 агл. 2870 АХБпрочие_Дайджест 2003-2004 гг._пр2006 Комплект ОЭМК 13.02.07 (рабочая) 9" xfId="1087"/>
    <cellStyle name="_БЮДЖЕТ 2004 от  28.11 агл. 2870 АХБпрочие_Дайджест 2003-2004 гг._пр2006 Комплект ОЭМК 13.02.07 (рабочая)_Книга2" xfId="1088"/>
    <cellStyle name="_БЮДЖЕТ 2004 от  28.11 агл. 2870 АХБпрочие_Дайджест 2003-2004 гг._пр2006 Комплект ОЭМК 13.02.07 (рабочая)_Отчет за сентябрь_11_ДСМ" xfId="1089"/>
    <cellStyle name="_БЮДЖЕТ 2004 от  28.11 агл. 2870 АХБпрочие_Дайджест 2003-2004 гг._пр2006 формы(19-30) 14.02.07" xfId="1090"/>
    <cellStyle name="_БЮДЖЕТ 2004 от  28.11 агл. 2870 АХБпрочие_Дайджест 2003-2004 гг._пр2006 формы(19-30) 14.02.07 2" xfId="1091"/>
    <cellStyle name="_БЮДЖЕТ 2004 от  28.11 агл. 2870 АХБпрочие_Дайджест 2003-2004 гг._пр2006 формы(19-30) 14.02.07 3" xfId="1092"/>
    <cellStyle name="_БЮДЖЕТ 2004 от  28.11 агл. 2870 АХБпрочие_Дайджест 2003-2004 гг._пр2006 формы(19-30) 14.02.07 4" xfId="1093"/>
    <cellStyle name="_БЮДЖЕТ 2004 от  28.11 агл. 2870 АХБпрочие_Дайджест 2003-2004 гг._пр2006 формы(19-30) 14.02.07 5" xfId="1094"/>
    <cellStyle name="_БЮДЖЕТ 2004 от  28.11 агл. 2870 АХБпрочие_Дайджест 2003-2004 гг._пр2006 формы(19-30) 14.02.07 6" xfId="1095"/>
    <cellStyle name="_БЮДЖЕТ 2004 от  28.11 агл. 2870 АХБпрочие_Дайджест 2003-2004 гг._пр2006 формы(19-30) 14.02.07 7" xfId="1096"/>
    <cellStyle name="_БЮДЖЕТ 2004 от  28.11 агл. 2870 АХБпрочие_Дайджест 2003-2004 гг._пр2006 формы(19-30) 14.02.07 8" xfId="1097"/>
    <cellStyle name="_БЮДЖЕТ 2004 от  28.11 агл. 2870 АХБпрочие_Дайджест 2003-2004 гг._пр2006 формы(19-30) 14.02.07 9" xfId="1098"/>
    <cellStyle name="_БЮДЖЕТ 2004 от  28.11 агл. 2870 АХБпрочие_Дайджест 2003-2004 гг._пр2006 формы(19-30) 14.02.07_Книга2" xfId="1099"/>
    <cellStyle name="_БЮДЖЕТ 2004 от  28.11 агл. 2870 АХБпрочие_Дайджест 2003-2004 гг._пр2006 формы(19-30) 14.02.07_Отчет за сентябрь_11_ДСМ" xfId="1100"/>
    <cellStyle name="_БЮДЖЕТ 2004 от  28.11 агл. 2870 АХБпрочие_Дайджест 2003-2004 гг._Презентационный БДР_21 02 2008" xfId="1101"/>
    <cellStyle name="_БЮДЖЕТ 2004 от  28.11 агл. 2870 АХБпрочие_Дайджест 2003-2004 гг._Презентационный БДР_21 02 2008 2" xfId="1102"/>
    <cellStyle name="_БЮДЖЕТ 2004 от  28.11 агл. 2870 АХБпрочие_Дайджест 2003-2004 гг._Презентационный БДР_21 02 2008 3" xfId="1103"/>
    <cellStyle name="_БЮДЖЕТ 2004 от  28.11 агл. 2870 АХБпрочие_Дайджест 2003-2004 гг._Презентационный БДР_21 02 2008 4" xfId="1104"/>
    <cellStyle name="_БЮДЖЕТ 2004 от  28.11 агл. 2870 АХБпрочие_Дайджест 2003-2004 гг._Презентационный БДР_21 02 2008 5" xfId="1105"/>
    <cellStyle name="_БЮДЖЕТ 2004 от  28.11 агл. 2870 АХБпрочие_Дайджест 2003-2004 гг._Презентационный БДР_21 02 2008 6" xfId="1106"/>
    <cellStyle name="_БЮДЖЕТ 2004 от  28.11 агл. 2870 АХБпрочие_Дайджест 2003-2004 гг._Презентационный БДР_21 02 2008 7" xfId="1107"/>
    <cellStyle name="_БЮДЖЕТ 2004 от  28.11 агл. 2870 АХБпрочие_Дайджест 2003-2004 гг._Презентационный БДР_21 02 2008 8" xfId="1108"/>
    <cellStyle name="_БЮДЖЕТ 2004 от  28.11 агл. 2870 АХБпрочие_Дайджест 2003-2004 гг._Презентационный БДР_21 02 2008 9" xfId="1109"/>
    <cellStyle name="_БЮДЖЕТ 2004 от  28.11 агл. 2870 АХБпрочие_Дайджест 2003-2004 гг._Презентационный материал" xfId="1110"/>
    <cellStyle name="_БЮДЖЕТ 2004 от  28.11 агл. 2870 АХБпрочие_Дайджест 2003-2004 гг._Презентационный материал 2" xfId="1111"/>
    <cellStyle name="_БЮДЖЕТ 2004 от  28.11 агл. 2870 АХБпрочие_Дайджест 2003-2004 гг._Презентационный материал 2 кв_план" xfId="1112"/>
    <cellStyle name="_БЮДЖЕТ 2004 от  28.11 агл. 2870 АХБпрочие_Дайджест 2003-2004 гг._Презентационный материал 3" xfId="1113"/>
    <cellStyle name="_БЮДЖЕТ 2004 от  28.11 агл. 2870 АХБпрочие_Дайджест 2003-2004 гг._Презентационный материал 4" xfId="1114"/>
    <cellStyle name="_БЮДЖЕТ 2004 от  28.11 агл. 2870 АХБпрочие_Дайджест 2003-2004 гг._Презентационный материал 5" xfId="1115"/>
    <cellStyle name="_БЮДЖЕТ 2004 от  28.11 агл. 2870 АХБпрочие_Дайджест 2003-2004 гг._Презентационный материал 6" xfId="1116"/>
    <cellStyle name="_БЮДЖЕТ 2004 от  28.11 агл. 2870 АХБпрочие_Дайджест 2003-2004 гг._Презентационный материал 7" xfId="1117"/>
    <cellStyle name="_БЮДЖЕТ 2004 от  28.11 агл. 2870 АХБпрочие_Дайджест 2003-2004 гг._Презентационный материал 8" xfId="1118"/>
    <cellStyle name="_БЮДЖЕТ 2004 от  28.11 агл. 2870 АХБпрочие_Дайджест 2003-2004 гг._Презентационный материал 9" xfId="1119"/>
    <cellStyle name="_БЮДЖЕТ 2004 от  28.11 агл. 2870 АХБпрочие_Дайджест 2003-2004 гг._Презентация" xfId="1120"/>
    <cellStyle name="_БЮДЖЕТ 2004 от  28.11 агл. 2870 АХБпрочие_Дайджест 2003-2004 гг._Презентация (фин.часть) 27.06.07" xfId="1121"/>
    <cellStyle name="_БЮДЖЕТ 2004 от  28.11 агл. 2870 АХБпрочие_Дайджест 2003-2004 гг._Презентация (фин.часть) 27.06.07 2" xfId="1122"/>
    <cellStyle name="_БЮДЖЕТ 2004 от  28.11 агл. 2870 АХБпрочие_Дайджест 2003-2004 гг._Презентация (фин.часть) 27.06.07 3" xfId="1123"/>
    <cellStyle name="_БЮДЖЕТ 2004 от  28.11 агл. 2870 АХБпрочие_Дайджест 2003-2004 гг._Презентация (фин.часть) 27.06.07 4" xfId="1124"/>
    <cellStyle name="_БЮДЖЕТ 2004 от  28.11 агл. 2870 АХБпрочие_Дайджест 2003-2004 гг._Презентация (фин.часть) 27.06.07 5" xfId="1125"/>
    <cellStyle name="_БЮДЖЕТ 2004 от  28.11 агл. 2870 АХБпрочие_Дайджест 2003-2004 гг._Презентация (фин.часть) 27.06.07 6" xfId="1126"/>
    <cellStyle name="_БЮДЖЕТ 2004 от  28.11 агл. 2870 АХБпрочие_Дайджест 2003-2004 гг._Презентация (фин.часть) 27.06.07 7" xfId="1127"/>
    <cellStyle name="_БЮДЖЕТ 2004 от  28.11 агл. 2870 АХБпрочие_Дайджест 2003-2004 гг._Презентация (фин.часть) 27.06.07 8" xfId="1128"/>
    <cellStyle name="_БЮДЖЕТ 2004 от  28.11 агл. 2870 АХБпрочие_Дайджест 2003-2004 гг._Презентация (фин.часть) 27.06.07 9" xfId="1129"/>
    <cellStyle name="_БЮДЖЕТ 2004 от  28.11 агл. 2870 АХБпрочие_Дайджест 2003-2004 гг._Презентация 2" xfId="1130"/>
    <cellStyle name="_БЮДЖЕТ 2004 от  28.11 агл. 2870 АХБпрочие_Дайджест 2003-2004 гг._Презентация 2007 пл-ож 17.12" xfId="1131"/>
    <cellStyle name="_БЮДЖЕТ 2004 от  28.11 агл. 2870 АХБпрочие_Дайджест 2003-2004 гг._Презентация 2007 пл-ож 17.12 2" xfId="1132"/>
    <cellStyle name="_БЮДЖЕТ 2004 от  28.11 агл. 2870 АХБпрочие_Дайджест 2003-2004 гг._Презентация 2007 пл-ож 17.12 3" xfId="1133"/>
    <cellStyle name="_БЮДЖЕТ 2004 от  28.11 агл. 2870 АХБпрочие_Дайджест 2003-2004 гг._Презентация 2007 пл-ож 17.12 4" xfId="1134"/>
    <cellStyle name="_БЮДЖЕТ 2004 от  28.11 агл. 2870 АХБпрочие_Дайджест 2003-2004 гг._Презентация 2007 пл-ож 17.12 5" xfId="1135"/>
    <cellStyle name="_БЮДЖЕТ 2004 от  28.11 агл. 2870 АХБпрочие_Дайджест 2003-2004 гг._Презентация 2007 пл-ож 17.12 6" xfId="1136"/>
    <cellStyle name="_БЮДЖЕТ 2004 от  28.11 агл. 2870 АХБпрочие_Дайджест 2003-2004 гг._Презентация 2007 пл-ож 17.12 7" xfId="1137"/>
    <cellStyle name="_БЮДЖЕТ 2004 от  28.11 агл. 2870 АХБпрочие_Дайджест 2003-2004 гг._Презентация 2007 пл-ож 17.12 8" xfId="1138"/>
    <cellStyle name="_БЮДЖЕТ 2004 от  28.11 агл. 2870 АХБпрочие_Дайджест 2003-2004 гг._Презентация 2007 пл-ож 17.12 9" xfId="1139"/>
    <cellStyle name="_БЮДЖЕТ 2004 от  28.11 агл. 2870 АХБпрочие_Дайджест 2003-2004 гг._Презентация 2007-2008 17.12" xfId="1140"/>
    <cellStyle name="_БЮДЖЕТ 2004 от  28.11 агл. 2870 АХБпрочие_Дайджест 2003-2004 гг._Презентация 2007-2008 17.12 2" xfId="1141"/>
    <cellStyle name="_БЮДЖЕТ 2004 от  28.11 агл. 2870 АХБпрочие_Дайджест 2003-2004 гг._Презентация 2007-2008 17.12 3" xfId="1142"/>
    <cellStyle name="_БЮДЖЕТ 2004 от  28.11 агл. 2870 АХБпрочие_Дайджест 2003-2004 гг._Презентация 2007-2008 17.12 4" xfId="1143"/>
    <cellStyle name="_БЮДЖЕТ 2004 от  28.11 агл. 2870 АХБпрочие_Дайджест 2003-2004 гг._Презентация 2007-2008 17.12 5" xfId="1144"/>
    <cellStyle name="_БЮДЖЕТ 2004 от  28.11 агл. 2870 АХБпрочие_Дайджест 2003-2004 гг._Презентация 2007-2008 17.12 6" xfId="1145"/>
    <cellStyle name="_БЮДЖЕТ 2004 от  28.11 агл. 2870 АХБпрочие_Дайджест 2003-2004 гг._Презентация 2007-2008 17.12 7" xfId="1146"/>
    <cellStyle name="_БЮДЖЕТ 2004 от  28.11 агл. 2870 АХБпрочие_Дайджест 2003-2004 гг._Презентация 2007-2008 17.12 8" xfId="1147"/>
    <cellStyle name="_БЮДЖЕТ 2004 от  28.11 агл. 2870 АХБпрочие_Дайджест 2003-2004 гг._Презентация 2007-2008 17.12 9" xfId="1148"/>
    <cellStyle name="_БЮДЖЕТ 2004 от  28.11 агл. 2870 АХБпрочие_Дайджест 2003-2004 гг._Презентация 2008 (2)" xfId="1149"/>
    <cellStyle name="_БЮДЖЕТ 2004 от  28.11 агл. 2870 АХБпрочие_Дайджест 2003-2004 гг._Презентация 2008 (2) 2" xfId="1150"/>
    <cellStyle name="_БЮДЖЕТ 2004 от  28.11 агл. 2870 АХБпрочие_Дайджест 2003-2004 гг._Презентация 2008 (2) 3" xfId="1151"/>
    <cellStyle name="_БЮДЖЕТ 2004 от  28.11 агл. 2870 АХБпрочие_Дайджест 2003-2004 гг._Презентация 2008 (2) 4" xfId="1152"/>
    <cellStyle name="_БЮДЖЕТ 2004 от  28.11 агл. 2870 АХБпрочие_Дайджест 2003-2004 гг._Презентация 2008 (2) 5" xfId="1153"/>
    <cellStyle name="_БЮДЖЕТ 2004 от  28.11 агл. 2870 АХБпрочие_Дайджест 2003-2004 гг._Презентация 2008 (2) 6" xfId="1154"/>
    <cellStyle name="_БЮДЖЕТ 2004 от  28.11 агл. 2870 АХБпрочие_Дайджест 2003-2004 гг._Презентация 2008 (2) 7" xfId="1155"/>
    <cellStyle name="_БЮДЖЕТ 2004 от  28.11 агл. 2870 АХБпрочие_Дайджест 2003-2004 гг._Презентация 2008 (2) 8" xfId="1156"/>
    <cellStyle name="_БЮДЖЕТ 2004 от  28.11 агл. 2870 АХБпрочие_Дайджест 2003-2004 гг._Презентация 2008 (2) 9" xfId="1157"/>
    <cellStyle name="_БЮДЖЕТ 2004 от  28.11 агл. 2870 АХБпрочие_Дайджест 2003-2004 гг._Презентация 2008 год (фин. часть) от 22.10.07" xfId="1158"/>
    <cellStyle name="_БЮДЖЕТ 2004 от  28.11 агл. 2870 АХБпрочие_Дайджест 2003-2004 гг._Презентация 2008 год (фин. часть) от 22.10.07 2" xfId="1159"/>
    <cellStyle name="_БЮДЖЕТ 2004 от  28.11 агл. 2870 АХБпрочие_Дайджест 2003-2004 гг._Презентация 2008 год (фин. часть) от 22.10.07 3" xfId="1160"/>
    <cellStyle name="_БЮДЖЕТ 2004 от  28.11 агл. 2870 АХБпрочие_Дайджест 2003-2004 гг._Презентация 2008 год (фин. часть) от 22.10.07 4" xfId="1161"/>
    <cellStyle name="_БЮДЖЕТ 2004 от  28.11 агл. 2870 АХБпрочие_Дайджест 2003-2004 гг._Презентация 2008 год (фин. часть) от 22.10.07 5" xfId="1162"/>
    <cellStyle name="_БЮДЖЕТ 2004 от  28.11 агл. 2870 АХБпрочие_Дайджест 2003-2004 гг._Презентация 2008 год (фин. часть) от 22.10.07 6" xfId="1163"/>
    <cellStyle name="_БЮДЖЕТ 2004 от  28.11 агл. 2870 АХБпрочие_Дайджест 2003-2004 гг._Презентация 2008 год (фин. часть) от 22.10.07 7" xfId="1164"/>
    <cellStyle name="_БЮДЖЕТ 2004 от  28.11 агл. 2870 АХБпрочие_Дайджест 2003-2004 гг._Презентация 2008 год (фин. часть) от 22.10.07 8" xfId="1165"/>
    <cellStyle name="_БЮДЖЕТ 2004 от  28.11 агл. 2870 АХБпрочие_Дайджест 2003-2004 гг._Презентация 2008 год (фин. часть) от 22.10.07 9" xfId="1166"/>
    <cellStyle name="_БЮДЖЕТ 2004 от  28.11 агл. 2870 АХБпрочие_Дайджест 2003-2004 гг._Презентация 2008 фин. часть (коричневые формы)" xfId="1167"/>
    <cellStyle name="_БЮДЖЕТ 2004 от  28.11 агл. 2870 АХБпрочие_Дайджест 2003-2004 гг._Презентация 2008 фин. часть (коричневые формы) 2" xfId="1168"/>
    <cellStyle name="_БЮДЖЕТ 2004 от  28.11 агл. 2870 АХБпрочие_Дайджест 2003-2004 гг._Презентация 2008 фин. часть (коричневые формы) 3" xfId="1169"/>
    <cellStyle name="_БЮДЖЕТ 2004 от  28.11 агл. 2870 АХБпрочие_Дайджест 2003-2004 гг._Презентация 2008 фин. часть (коричневые формы) 4" xfId="1170"/>
    <cellStyle name="_БЮДЖЕТ 2004 от  28.11 агл. 2870 АХБпрочие_Дайджест 2003-2004 гг._Презентация 2008 фин. часть (коричневые формы) 5" xfId="1171"/>
    <cellStyle name="_БЮДЖЕТ 2004 от  28.11 агл. 2870 АХБпрочие_Дайджест 2003-2004 гг._Презентация 2008 фин. часть (коричневые формы) 6" xfId="1172"/>
    <cellStyle name="_БЮДЖЕТ 2004 от  28.11 агл. 2870 АХБпрочие_Дайджест 2003-2004 гг._Презентация 2008 фин. часть (коричневые формы) 7" xfId="1173"/>
    <cellStyle name="_БЮДЖЕТ 2004 от  28.11 агл. 2870 АХБпрочие_Дайджест 2003-2004 гг._Презентация 2008 фин. часть (коричневые формы) 8" xfId="1174"/>
    <cellStyle name="_БЮДЖЕТ 2004 от  28.11 агл. 2870 АХБпрочие_Дайджест 2003-2004 гг._Презентация 2008 фин. часть (коричневые формы) 9" xfId="1175"/>
    <cellStyle name="_БЮДЖЕТ 2004 от  28.11 агл. 2870 АХБпрочие_Дайджест 2003-2004 гг._Презентация 3" xfId="1176"/>
    <cellStyle name="_БЮДЖЕТ 2004 от  28.11 агл. 2870 АХБпрочие_Дайджест 2003-2004 гг._Презентация 4" xfId="1177"/>
    <cellStyle name="_БЮДЖЕТ 2004 от  28.11 агл. 2870 АХБпрочие_Дайджест 2003-2004 гг._Презентация 5" xfId="1178"/>
    <cellStyle name="_БЮДЖЕТ 2004 от  28.11 агл. 2870 АХБпрочие_Дайджест 2003-2004 гг._Презентация 6" xfId="1179"/>
    <cellStyle name="_БЮДЖЕТ 2004 от  28.11 агл. 2870 АХБпрочие_Дайджест 2003-2004 гг._Презентация 7" xfId="1180"/>
    <cellStyle name="_БЮДЖЕТ 2004 от  28.11 агл. 2870 АХБпрочие_Дайджест 2003-2004 гг._Презентация 8" xfId="1181"/>
    <cellStyle name="_БЮДЖЕТ 2004 от  28.11 агл. 2870 АХБпрочие_Дайджест 2003-2004 гг._презентация 8.02.07" xfId="1182"/>
    <cellStyle name="_БЮДЖЕТ 2004 от  28.11 агл. 2870 АХБпрочие_Дайджест 2003-2004 гг._презентация 8.02.07 2" xfId="1183"/>
    <cellStyle name="_БЮДЖЕТ 2004 от  28.11 агл. 2870 АХБпрочие_Дайджест 2003-2004 гг._презентация 8.02.07 3" xfId="1184"/>
    <cellStyle name="_БЮДЖЕТ 2004 от  28.11 агл. 2870 АХБпрочие_Дайджест 2003-2004 гг._презентация 8.02.07 4" xfId="1185"/>
    <cellStyle name="_БЮДЖЕТ 2004 от  28.11 агл. 2870 АХБпрочие_Дайджест 2003-2004 гг._презентация 8.02.07 5" xfId="1186"/>
    <cellStyle name="_БЮДЖЕТ 2004 от  28.11 агл. 2870 АХБпрочие_Дайджест 2003-2004 гг._презентация 8.02.07 6" xfId="1187"/>
    <cellStyle name="_БЮДЖЕТ 2004 от  28.11 агл. 2870 АХБпрочие_Дайджест 2003-2004 гг._презентация 8.02.07 7" xfId="1188"/>
    <cellStyle name="_БЮДЖЕТ 2004 от  28.11 агл. 2870 АХБпрочие_Дайджест 2003-2004 гг._презентация 8.02.07 8" xfId="1189"/>
    <cellStyle name="_БЮДЖЕТ 2004 от  28.11 агл. 2870 АХБпрочие_Дайджест 2003-2004 гг._презентация 8.02.07 9" xfId="1190"/>
    <cellStyle name="_БЮДЖЕТ 2004 от  28.11 агл. 2870 АХБпрочие_Дайджест 2003-2004 гг._Презентация 9" xfId="1191"/>
    <cellStyle name="_БЮДЖЕТ 2004 от  28.11 агл. 2870 АХБпрочие_Дайджест 2003-2004 гг._Презентация август 07 факт" xfId="1192"/>
    <cellStyle name="_БЮДЖЕТ 2004 от  28.11 агл. 2870 АХБпрочие_Дайджест 2003-2004 гг._Презентация август 07 факт 2" xfId="1193"/>
    <cellStyle name="_БЮДЖЕТ 2004 от  28.11 агл. 2870 АХБпрочие_Дайджест 2003-2004 гг._Презентация август 07 факт 3" xfId="1194"/>
    <cellStyle name="_БЮДЖЕТ 2004 от  28.11 агл. 2870 АХБпрочие_Дайджест 2003-2004 гг._Презентация август 07 факт 4" xfId="1195"/>
    <cellStyle name="_БЮДЖЕТ 2004 от  28.11 агл. 2870 АХБпрочие_Дайджест 2003-2004 гг._Презентация август 07 факт 5" xfId="1196"/>
    <cellStyle name="_БЮДЖЕТ 2004 от  28.11 агл. 2870 АХБпрочие_Дайджест 2003-2004 гг._Презентация август 07 факт 6" xfId="1197"/>
    <cellStyle name="_БЮДЖЕТ 2004 от  28.11 агл. 2870 АХБпрочие_Дайджест 2003-2004 гг._Презентация август 07 факт 7" xfId="1198"/>
    <cellStyle name="_БЮДЖЕТ 2004 от  28.11 агл. 2870 АХБпрочие_Дайджест 2003-2004 гг._Презентация август 07 факт 8" xfId="1199"/>
    <cellStyle name="_БЮДЖЕТ 2004 от  28.11 агл. 2870 АХБпрочие_Дайджест 2003-2004 гг._Презентация август 07 факт 9" xfId="1200"/>
    <cellStyle name="_БЮДЖЕТ 2004 от  28.11 агл. 2870 АХБпрочие_Дайджест 2003-2004 гг._Презентация для Ульянова" xfId="1201"/>
    <cellStyle name="_БЮДЖЕТ 2004 от  28.11 агл. 2870 АХБпрочие_Дайджест 2003-2004 гг._Презентация для Ульянова 2" xfId="1202"/>
    <cellStyle name="_БЮДЖЕТ 2004 от  28.11 агл. 2870 АХБпрочие_Дайджест 2003-2004 гг._Презентация для Ульянова 3" xfId="1203"/>
    <cellStyle name="_БЮДЖЕТ 2004 от  28.11 агл. 2870 АХБпрочие_Дайджест 2003-2004 гг._Презентация для Ульянова 4" xfId="1204"/>
    <cellStyle name="_БЮДЖЕТ 2004 от  28.11 агл. 2870 АХБпрочие_Дайджест 2003-2004 гг._Презентация для Ульянова 5" xfId="1205"/>
    <cellStyle name="_БЮДЖЕТ 2004 от  28.11 агл. 2870 АХБпрочие_Дайджест 2003-2004 гг._Презентация для Ульянова 6" xfId="1206"/>
    <cellStyle name="_БЮДЖЕТ 2004 от  28.11 агл. 2870 АХБпрочие_Дайджест 2003-2004 гг._Презентация для Ульянова 7" xfId="1207"/>
    <cellStyle name="_БЮДЖЕТ 2004 от  28.11 агл. 2870 АХБпрочие_Дайджест 2003-2004 гг._Презентация для Ульянова 8" xfId="1208"/>
    <cellStyle name="_БЮДЖЕТ 2004 от  28.11 агл. 2870 АХБпрочие_Дайджест 2003-2004 гг._Презентация для Ульянова 9" xfId="1209"/>
    <cellStyle name="_БЮДЖЕТ 2004 от  28.11 агл. 2870 АХБпрочие_Дайджест 2003-2004 гг._Презентация для Ульянова И.Г. от 17.12.07" xfId="1210"/>
    <cellStyle name="_БЮДЖЕТ 2004 от  28.11 агл. 2870 АХБпрочие_Дайджест 2003-2004 гг._Презентация для Ульянова И.Г. от 17.12.07 2" xfId="1211"/>
    <cellStyle name="_БЮДЖЕТ 2004 от  28.11 агл. 2870 АХБпрочие_Дайджест 2003-2004 гг._Презентация для Ульянова И.Г. от 17.12.07 3" xfId="1212"/>
    <cellStyle name="_БЮДЖЕТ 2004 от  28.11 агл. 2870 АХБпрочие_Дайджест 2003-2004 гг._Презентация для Ульянова И.Г. от 17.12.07 4" xfId="1213"/>
    <cellStyle name="_БЮДЖЕТ 2004 от  28.11 агл. 2870 АХБпрочие_Дайджест 2003-2004 гг._Презентация для Ульянова И.Г. от 17.12.07 5" xfId="1214"/>
    <cellStyle name="_БЮДЖЕТ 2004 от  28.11 агл. 2870 АХБпрочие_Дайджест 2003-2004 гг._Презентация для Ульянова И.Г. от 17.12.07 6" xfId="1215"/>
    <cellStyle name="_БЮДЖЕТ 2004 от  28.11 агл. 2870 АХБпрочие_Дайджест 2003-2004 гг._Презентация для Ульянова И.Г. от 17.12.07 7" xfId="1216"/>
    <cellStyle name="_БЮДЖЕТ 2004 от  28.11 агл. 2870 АХБпрочие_Дайджест 2003-2004 гг._Презентация для Ульянова И.Г. от 17.12.07 8" xfId="1217"/>
    <cellStyle name="_БЮДЖЕТ 2004 от  28.11 агл. 2870 АХБпрочие_Дайджест 2003-2004 гг._Презентация для Ульянова И.Г. от 17.12.07 9" xfId="1218"/>
    <cellStyle name="_БЮДЖЕТ 2004 от  28.11 агл. 2870 АХБпрочие_Дайджест 2003-2004 гг._презентация займы РК г" xfId="1219"/>
    <cellStyle name="_БЮДЖЕТ 2004 от  28.11 агл. 2870 АХБпрочие_Дайджест 2003-2004 гг._презентация займы РК г 2" xfId="1220"/>
    <cellStyle name="_БЮДЖЕТ 2004 от  28.11 агл. 2870 АХБпрочие_Дайджест 2003-2004 гг._презентация займы РК г 3" xfId="1221"/>
    <cellStyle name="_БЮДЖЕТ 2004 от  28.11 агл. 2870 АХБпрочие_Дайджест 2003-2004 гг._презентация займы РК г 4" xfId="1222"/>
    <cellStyle name="_БЮДЖЕТ 2004 от  28.11 агл. 2870 АХБпрочие_Дайджест 2003-2004 гг._презентация займы РК г 5" xfId="1223"/>
    <cellStyle name="_БЮДЖЕТ 2004 от  28.11 агл. 2870 АХБпрочие_Дайджест 2003-2004 гг._презентация займы РК г 6" xfId="1224"/>
    <cellStyle name="_БЮДЖЕТ 2004 от  28.11 агл. 2870 АХБпрочие_Дайджест 2003-2004 гг._презентация займы РК г 7" xfId="1225"/>
    <cellStyle name="_БЮДЖЕТ 2004 от  28.11 агл. 2870 АХБпрочие_Дайджест 2003-2004 гг._презентация займы РК г 8" xfId="1226"/>
    <cellStyle name="_БЮДЖЕТ 2004 от  28.11 агл. 2870 АХБпрочие_Дайджест 2003-2004 гг._презентация займы РК г 9" xfId="1227"/>
    <cellStyle name="_БЮДЖЕТ 2004 от  28.11 агл. 2870 АХБпрочие_Дайджест 2003-2004 гг._Презентация инвестиции" xfId="1228"/>
    <cellStyle name="_БЮДЖЕТ 2004 от  28.11 агл. 2870 АХБпрочие_Дайджест 2003-2004 гг._Презентация инвестиции 2" xfId="1229"/>
    <cellStyle name="_БЮДЖЕТ 2004 от  28.11 агл. 2870 АХБпрочие_Дайджест 2003-2004 гг._Презентация инвестиции 3" xfId="1230"/>
    <cellStyle name="_БЮДЖЕТ 2004 от  28.11 агл. 2870 АХБпрочие_Дайджест 2003-2004 гг._Презентация инвестиции 4" xfId="1231"/>
    <cellStyle name="_БЮДЖЕТ 2004 от  28.11 агл. 2870 АХБпрочие_Дайджест 2003-2004 гг._Презентация инвестиции 5" xfId="1232"/>
    <cellStyle name="_БЮДЖЕТ 2004 от  28.11 агл. 2870 АХБпрочие_Дайджест 2003-2004 гг._Презентация инвестиции 6" xfId="1233"/>
    <cellStyle name="_БЮДЖЕТ 2004 от  28.11 агл. 2870 АХБпрочие_Дайджест 2003-2004 гг._Презентация инвестиции 7" xfId="1234"/>
    <cellStyle name="_БЮДЖЕТ 2004 от  28.11 агл. 2870 АХБпрочие_Дайджест 2003-2004 гг._Презентация инвестиции 8" xfId="1235"/>
    <cellStyle name="_БЮДЖЕТ 2004 от  28.11 агл. 2870 АХБпрочие_Дайджест 2003-2004 гг._Презентация инвестиции 9" xfId="1236"/>
    <cellStyle name="_БЮДЖЕТ 2004 от  28.11 агл. 2870 АХБпрочие_Дайджест 2003-2004 гг._Презентация коричн. СДП, РК, Инв план 2008 (фин. часть) от 24.03.08" xfId="1237"/>
    <cellStyle name="_БЮДЖЕТ 2004 от  28.11 агл. 2870 АХБпрочие_Дайджест 2003-2004 гг._Презентация коричн. СДП, РК, Инв план 2008 (фин. часть) от 24.03.08 2" xfId="1238"/>
    <cellStyle name="_БЮДЖЕТ 2004 от  28.11 агл. 2870 АХБпрочие_Дайджест 2003-2004 гг._Презентация коричн. СДП, РК, Инв план 2008 (фин. часть) от 24.03.08 3" xfId="1239"/>
    <cellStyle name="_БЮДЖЕТ 2004 от  28.11 агл. 2870 АХБпрочие_Дайджест 2003-2004 гг._Презентация коричн. СДП, РК, Инв план 2008 (фин. часть) от 24.03.08 4" xfId="1240"/>
    <cellStyle name="_БЮДЖЕТ 2004 от  28.11 агл. 2870 АХБпрочие_Дайджест 2003-2004 гг._Презентация коричн. СДП, РК, Инв план 2008 (фин. часть) от 24.03.08 5" xfId="1241"/>
    <cellStyle name="_БЮДЖЕТ 2004 от  28.11 агл. 2870 АХБпрочие_Дайджест 2003-2004 гг._Презентация коричн. СДП, РК, Инв план 2008 (фин. часть) от 24.03.08 6" xfId="1242"/>
    <cellStyle name="_БЮДЖЕТ 2004 от  28.11 агл. 2870 АХБпрочие_Дайджест 2003-2004 гг._Презентация коричн. СДП, РК, Инв план 2008 (фин. часть) от 24.03.08 7" xfId="1243"/>
    <cellStyle name="_БЮДЖЕТ 2004 от  28.11 агл. 2870 АХБпрочие_Дайджест 2003-2004 гг._Презентация коричн. СДП, РК, Инв план 2008 (фин. часть) от 24.03.08 8" xfId="1244"/>
    <cellStyle name="_БЮДЖЕТ 2004 от  28.11 агл. 2870 АХБпрочие_Дайджест 2003-2004 гг._Презентация коричн. СДП, РК, Инв план 2008 (фин. часть) от 24.03.08 9" xfId="1245"/>
    <cellStyle name="_БЮДЖЕТ 2004 от  28.11 агл. 2870 АХБпрочие_Дайджест 2003-2004 гг._Презентация коричневая 2007 план + ож" xfId="1246"/>
    <cellStyle name="_БЮДЖЕТ 2004 от  28.11 агл. 2870 АХБпрочие_Дайджест 2003-2004 гг._Презентация коричневая 2007 план + ож 2" xfId="1247"/>
    <cellStyle name="_БЮДЖЕТ 2004 от  28.11 агл. 2870 АХБпрочие_Дайджест 2003-2004 гг._Презентация коричневая 2007 план + ож 3" xfId="1248"/>
    <cellStyle name="_БЮДЖЕТ 2004 от  28.11 агл. 2870 АХБпрочие_Дайджест 2003-2004 гг._Презентация коричневая 2007 план + ож 4" xfId="1249"/>
    <cellStyle name="_БЮДЖЕТ 2004 от  28.11 агл. 2870 АХБпрочие_Дайджест 2003-2004 гг._Презентация коричневая 2007 план + ож 5" xfId="1250"/>
    <cellStyle name="_БЮДЖЕТ 2004 от  28.11 агл. 2870 АХБпрочие_Дайджест 2003-2004 гг._Презентация коричневая 2007 план + ож 6" xfId="1251"/>
    <cellStyle name="_БЮДЖЕТ 2004 от  28.11 агл. 2870 АХБпрочие_Дайджест 2003-2004 гг._Презентация коричневая 2007 план + ож 7" xfId="1252"/>
    <cellStyle name="_БЮДЖЕТ 2004 от  28.11 агл. 2870 АХБпрочие_Дайджест 2003-2004 гг._Презентация коричневая 2007 план + ож 8" xfId="1253"/>
    <cellStyle name="_БЮДЖЕТ 2004 от  28.11 агл. 2870 АХБпрочие_Дайджест 2003-2004 гг._Презентация коричневая 2007 план + ож 9" xfId="1254"/>
    <cellStyle name="_БЮДЖЕТ 2004 от  28.11 агл. 2870 АХБпрочие_Дайджест 2003-2004 гг._Презентация коричневая 2007-2008" xfId="1255"/>
    <cellStyle name="_БЮДЖЕТ 2004 от  28.11 агл. 2870 АХБпрочие_Дайджест 2003-2004 гг._Презентация коричневая 2007-2008 2" xfId="1256"/>
    <cellStyle name="_БЮДЖЕТ 2004 от  28.11 агл. 2870 АХБпрочие_Дайджест 2003-2004 гг._Презентация коричневая 2007-2008 3" xfId="1257"/>
    <cellStyle name="_БЮДЖЕТ 2004 от  28.11 агл. 2870 АХБпрочие_Дайджест 2003-2004 гг._Презентация коричневая 2007-2008 4" xfId="1258"/>
    <cellStyle name="_БЮДЖЕТ 2004 от  28.11 агл. 2870 АХБпрочие_Дайджест 2003-2004 гг._Презентация коричневая 2007-2008 5" xfId="1259"/>
    <cellStyle name="_БЮДЖЕТ 2004 от  28.11 агл. 2870 АХБпрочие_Дайджест 2003-2004 гг._Презентация коричневая 2007-2008 6" xfId="1260"/>
    <cellStyle name="_БЮДЖЕТ 2004 от  28.11 агл. 2870 АХБпрочие_Дайджест 2003-2004 гг._Презентация коричневая 2007-2008 7" xfId="1261"/>
    <cellStyle name="_БЮДЖЕТ 2004 от  28.11 агл. 2870 АХБпрочие_Дайджест 2003-2004 гг._Презентация коричневая 2007-2008 8" xfId="1262"/>
    <cellStyle name="_БЮДЖЕТ 2004 от  28.11 агл. 2870 АХБпрочие_Дайджест 2003-2004 гг._Презентация коричневая 2007-2008 9" xfId="1263"/>
    <cellStyle name="_БЮДЖЕТ 2004 от  28.11 агл. 2870 АХБпрочие_Дайджест 2003-2004 гг._Презентация от 10.12.07 (СПД и РК)  2007план и 2007ожид." xfId="1264"/>
    <cellStyle name="_БЮДЖЕТ 2004 от  28.11 агл. 2870 АХБпрочие_Дайджест 2003-2004 гг._Презентация от 10.12.07 (СПД и РК)  2007план и 2007ожид. 2" xfId="1265"/>
    <cellStyle name="_БЮДЖЕТ 2004 от  28.11 агл. 2870 АХБпрочие_Дайджест 2003-2004 гг._Презентация от 10.12.07 (СПД и РК)  2007план и 2007ожид. 3" xfId="1266"/>
    <cellStyle name="_БЮДЖЕТ 2004 от  28.11 агл. 2870 АХБпрочие_Дайджест 2003-2004 гг._Презентация от 10.12.07 (СПД и РК)  2007план и 2007ожид. 4" xfId="1267"/>
    <cellStyle name="_БЮДЖЕТ 2004 от  28.11 агл. 2870 АХБпрочие_Дайджест 2003-2004 гг._Презентация от 10.12.07 (СПД и РК)  2007план и 2007ожид. 5" xfId="1268"/>
    <cellStyle name="_БЮДЖЕТ 2004 от  28.11 агл. 2870 АХБпрочие_Дайджест 2003-2004 гг._Презентация от 10.12.07 (СПД и РК)  2007план и 2007ожид. 6" xfId="1269"/>
    <cellStyle name="_БЮДЖЕТ 2004 от  28.11 агл. 2870 АХБпрочие_Дайджест 2003-2004 гг._Презентация от 10.12.07 (СПД и РК)  2007план и 2007ожид. 7" xfId="1270"/>
    <cellStyle name="_БЮДЖЕТ 2004 от  28.11 агл. 2870 АХБпрочие_Дайджест 2003-2004 гг._Презентация от 10.12.07 (СПД и РК)  2007план и 2007ожид. 8" xfId="1271"/>
    <cellStyle name="_БЮДЖЕТ 2004 от  28.11 агл. 2870 АХБпрочие_Дайджест 2003-2004 гг._Презентация от 10.12.07 (СПД и РК)  2007план и 2007ожид. 9" xfId="1272"/>
    <cellStyle name="_БЮДЖЕТ 2004 от  28.11 агл. 2870 АХБпрочие_Дайджест 2003-2004 гг._Презентация от 10.12.07 (СПД и РК)  2008план и 2007ожид" xfId="1273"/>
    <cellStyle name="_БЮДЖЕТ 2004 от  28.11 агл. 2870 АХБпрочие_Дайджест 2003-2004 гг._Презентация от 10.12.07 (СПД и РК)  2008план и 2007ожид 2" xfId="1274"/>
    <cellStyle name="_БЮДЖЕТ 2004 от  28.11 агл. 2870 АХБпрочие_Дайджест 2003-2004 гг._Презентация от 10.12.07 (СПД и РК)  2008план и 2007ожид 3" xfId="1275"/>
    <cellStyle name="_БЮДЖЕТ 2004 от  28.11 агл. 2870 АХБпрочие_Дайджест 2003-2004 гг._Презентация от 10.12.07 (СПД и РК)  2008план и 2007ожид 4" xfId="1276"/>
    <cellStyle name="_БЮДЖЕТ 2004 от  28.11 агл. 2870 АХБпрочие_Дайджест 2003-2004 гг._Презентация от 10.12.07 (СПД и РК)  2008план и 2007ожид 5" xfId="1277"/>
    <cellStyle name="_БЮДЖЕТ 2004 от  28.11 агл. 2870 АХБпрочие_Дайджест 2003-2004 гг._Презентация от 10.12.07 (СПД и РК)  2008план и 2007ожид 6" xfId="1278"/>
    <cellStyle name="_БЮДЖЕТ 2004 от  28.11 агл. 2870 АХБпрочие_Дайджест 2003-2004 гг._Презентация от 10.12.07 (СПД и РК)  2008план и 2007ожид 7" xfId="1279"/>
    <cellStyle name="_БЮДЖЕТ 2004 от  28.11 агл. 2870 АХБпрочие_Дайджест 2003-2004 гг._Презентация от 10.12.07 (СПД и РК)  2008план и 2007ожид 8" xfId="1280"/>
    <cellStyle name="_БЮДЖЕТ 2004 от  28.11 агл. 2870 АХБпрочие_Дайджест 2003-2004 гг._Презентация от 10.12.07 (СПД и РК)  2008план и 2007ожид 9" xfId="1281"/>
    <cellStyle name="_БЮДЖЕТ 2004 от  28.11 агл. 2870 АХБпрочие_Дайджест 2003-2004 гг._Презентация от 19 12 07" xfId="1282"/>
    <cellStyle name="_БЮДЖЕТ 2004 от  28.11 агл. 2870 АХБпрочие_Дайджест 2003-2004 гг._Презентация от 19 12 07 2" xfId="1283"/>
    <cellStyle name="_БЮДЖЕТ 2004 от  28.11 агл. 2870 АХБпрочие_Дайджест 2003-2004 гг._Презентация от 19 12 07 3" xfId="1284"/>
    <cellStyle name="_БЮДЖЕТ 2004 от  28.11 агл. 2870 АХБпрочие_Дайджест 2003-2004 гг._Презентация от 19 12 07 4" xfId="1285"/>
    <cellStyle name="_БЮДЖЕТ 2004 от  28.11 агл. 2870 АХБпрочие_Дайджест 2003-2004 гг._Презентация от 19 12 07 5" xfId="1286"/>
    <cellStyle name="_БЮДЖЕТ 2004 от  28.11 агл. 2870 АХБпрочие_Дайджест 2003-2004 гг._Презентация от 19 12 07 6" xfId="1287"/>
    <cellStyle name="_БЮДЖЕТ 2004 от  28.11 агл. 2870 АХБпрочие_Дайджест 2003-2004 гг._Презентация от 19 12 07 7" xfId="1288"/>
    <cellStyle name="_БЮДЖЕТ 2004 от  28.11 агл. 2870 АХБпрочие_Дайджест 2003-2004 гг._Презентация от 19 12 07 8" xfId="1289"/>
    <cellStyle name="_БЮДЖЕТ 2004 от  28.11 агл. 2870 АХБпрочие_Дайджест 2003-2004 гг._Презентация от 19 12 07 9" xfId="1290"/>
    <cellStyle name="_БЮДЖЕТ 2004 от  28.11 агл. 2870 АХБпрочие_Дайджест 2003-2004 гг._Презентация СДП, РК, Инв план 2008 (фин. часть) от 24.03.08" xfId="1291"/>
    <cellStyle name="_БЮДЖЕТ 2004 от  28.11 агл. 2870 АХБпрочие_Дайджест 2003-2004 гг._Презентация СДП, РК, Инв план 2008 (фин. часть) от 24.03.08 2" xfId="1292"/>
    <cellStyle name="_БЮДЖЕТ 2004 от  28.11 агл. 2870 АХБпрочие_Дайджест 2003-2004 гг._Презентация СДП, РК, Инв план 2008 (фин. часть) от 24.03.08 3" xfId="1293"/>
    <cellStyle name="_БЮДЖЕТ 2004 от  28.11 агл. 2870 АХБпрочие_Дайджест 2003-2004 гг._Презентация СДП, РК, Инв план 2008 (фин. часть) от 24.03.08 4" xfId="1294"/>
    <cellStyle name="_БЮДЖЕТ 2004 от  28.11 агл. 2870 АХБпрочие_Дайджест 2003-2004 гг._Презентация СДП, РК, Инв план 2008 (фин. часть) от 24.03.08 5" xfId="1295"/>
    <cellStyle name="_БЮДЖЕТ 2004 от  28.11 агл. 2870 АХБпрочие_Дайджест 2003-2004 гг._Презентация СДП, РК, Инв план 2008 (фин. часть) от 24.03.08 6" xfId="1296"/>
    <cellStyle name="_БЮДЖЕТ 2004 от  28.11 агл. 2870 АХБпрочие_Дайджест 2003-2004 гг._Презентация СДП, РК, Инв план 2008 (фин. часть) от 24.03.08 7" xfId="1297"/>
    <cellStyle name="_БЮДЖЕТ 2004 от  28.11 агл. 2870 АХБпрочие_Дайджест 2003-2004 гг._Презентация СДП, РК, Инв план 2008 (фин. часть) от 24.03.08 8" xfId="1298"/>
    <cellStyle name="_БЮДЖЕТ 2004 от  28.11 агл. 2870 АХБпрочие_Дайджест 2003-2004 гг._Презентация СДП, РК, Инв план 2008 (фин. часть) от 24.03.08 9" xfId="1299"/>
    <cellStyle name="_БЮДЖЕТ 2004 от  28.11 агл. 2870 АХБпрочие_Дайджест 2003-2004 гг._Презентация ФО от 17.12.07" xfId="1300"/>
    <cellStyle name="_БЮДЖЕТ 2004 от  28.11 агл. 2870 АХБпрочие_Дайджест 2003-2004 гг._Презентация ФО от 17.12.07 2" xfId="1301"/>
    <cellStyle name="_БЮДЖЕТ 2004 от  28.11 агл. 2870 АХБпрочие_Дайджест 2003-2004 гг._Презентация ФО от 17.12.07 3" xfId="1302"/>
    <cellStyle name="_БЮДЖЕТ 2004 от  28.11 агл. 2870 АХБпрочие_Дайджест 2003-2004 гг._Презентация ФО от 17.12.07 4" xfId="1303"/>
    <cellStyle name="_БЮДЖЕТ 2004 от  28.11 агл. 2870 АХБпрочие_Дайджест 2003-2004 гг._Презентация ФО от 17.12.07 5" xfId="1304"/>
    <cellStyle name="_БЮДЖЕТ 2004 от  28.11 агл. 2870 АХБпрочие_Дайджест 2003-2004 гг._Презентация ФО от 17.12.07 6" xfId="1305"/>
    <cellStyle name="_БЮДЖЕТ 2004 от  28.11 агл. 2870 АХБпрочие_Дайджест 2003-2004 гг._Презентация ФО от 17.12.07 7" xfId="1306"/>
    <cellStyle name="_БЮДЖЕТ 2004 от  28.11 агл. 2870 АХБпрочие_Дайджест 2003-2004 гг._Презентация ФО от 17.12.07 8" xfId="1307"/>
    <cellStyle name="_БЮДЖЕТ 2004 от  28.11 агл. 2870 АХБпрочие_Дайджест 2003-2004 гг._Презентация ФО от 17.12.07 9" xfId="1308"/>
    <cellStyle name="_БЮДЖЕТ 2004 от  28.11 агл. 2870 АХБпрочие_Дайджест 2003-2004 гг._презентация-2008год " xfId="1309"/>
    <cellStyle name="_БЮДЖЕТ 2004 от  28.11 агл. 2870 АХБпрочие_Дайджест 2003-2004 гг._презентация-2008год  2" xfId="1310"/>
    <cellStyle name="_БЮДЖЕТ 2004 от  28.11 агл. 2870 АХБпрочие_Дайджест 2003-2004 гг._презентация-2008год  3" xfId="1311"/>
    <cellStyle name="_БЮДЖЕТ 2004 от  28.11 агл. 2870 АХБпрочие_Дайджест 2003-2004 гг._презентация-2008год  4" xfId="1312"/>
    <cellStyle name="_БЮДЖЕТ 2004 от  28.11 агл. 2870 АХБпрочие_Дайджест 2003-2004 гг._презентация-2008год  5" xfId="1313"/>
    <cellStyle name="_БЮДЖЕТ 2004 от  28.11 агл. 2870 АХБпрочие_Дайджест 2003-2004 гг._презентация-2008год  6" xfId="1314"/>
    <cellStyle name="_БЮДЖЕТ 2004 от  28.11 агл. 2870 АХБпрочие_Дайджест 2003-2004 гг._презентация-2008год  7" xfId="1315"/>
    <cellStyle name="_БЮДЖЕТ 2004 от  28.11 агл. 2870 АХБпрочие_Дайджест 2003-2004 гг._презентация-2008год  8" xfId="1316"/>
    <cellStyle name="_БЮДЖЕТ 2004 от  28.11 агл. 2870 АХБпрочие_Дайджест 2003-2004 гг._презентация-2008год  9" xfId="1317"/>
    <cellStyle name="_БЮДЖЕТ 2004 от  28.11 агл. 2870 АХБпрочие_Дайджест 2003-2004 гг._Презетация ФО (с учетом инвестиций на 2341,2)" xfId="1318"/>
    <cellStyle name="_БЮДЖЕТ 2004 от  28.11 агл. 2870 АХБпрочие_Дайджест 2003-2004 гг._Презетация ФО (с учетом инвестиций на 2341,2) 2" xfId="1319"/>
    <cellStyle name="_БЮДЖЕТ 2004 от  28.11 агл. 2870 АХБпрочие_Дайджест 2003-2004 гг._Презетация ФО (с учетом инвестиций на 2341,2) 3" xfId="1320"/>
    <cellStyle name="_БЮДЖЕТ 2004 от  28.11 агл. 2870 АХБпрочие_Дайджест 2003-2004 гг._Презетация ФО (с учетом инвестиций на 2341,2) 4" xfId="1321"/>
    <cellStyle name="_БЮДЖЕТ 2004 от  28.11 агл. 2870 АХБпрочие_Дайджест 2003-2004 гг._Презетация ФО (с учетом инвестиций на 2341,2) 5" xfId="1322"/>
    <cellStyle name="_БЮДЖЕТ 2004 от  28.11 агл. 2870 АХБпрочие_Дайджест 2003-2004 гг._Презетация ФО (с учетом инвестиций на 2341,2) 6" xfId="1323"/>
    <cellStyle name="_БЮДЖЕТ 2004 от  28.11 агл. 2870 АХБпрочие_Дайджест 2003-2004 гг._Презетация ФО (с учетом инвестиций на 2341,2) 7" xfId="1324"/>
    <cellStyle name="_БЮДЖЕТ 2004 от  28.11 агл. 2870 АХБпрочие_Дайджест 2003-2004 гг._Презетация ФО (с учетом инвестиций на 2341,2) 8" xfId="1325"/>
    <cellStyle name="_БЮДЖЕТ 2004 от  28.11 агл. 2870 АХБпрочие_Дайджест 2003-2004 гг._Презетация ФО (с учетом инвестиций на 2341,2) 9" xfId="1326"/>
    <cellStyle name="_БЮДЖЕТ 2004 от  28.11 агл. 2870 АХБпрочие_Дайджест 2003-2004 гг._Приложения (формы отчетности)" xfId="1327"/>
    <cellStyle name="_БЮДЖЕТ 2004 от  28.11 агл. 2870 АХБпрочие_Дайджест 2003-2004 гг._Приложения февраль 09 (МП) отпр в УК от 04 02 09" xfId="1328"/>
    <cellStyle name="_БЮДЖЕТ 2004 от  28.11 агл. 2870 АХБпрочие_Дайджест 2003-2004 гг._Приложения февраль 09 (МП) отпр в УК от 04 02 09 2" xfId="1329"/>
    <cellStyle name="_БЮДЖЕТ 2004 от  28.11 агл. 2870 АХБпрочие_Дайджест 2003-2004 гг._Приложения февраль 09 (МП) отпр в УК от 04 02 09 3" xfId="1330"/>
    <cellStyle name="_БЮДЖЕТ 2004 от  28.11 агл. 2870 АХБпрочие_Дайджест 2003-2004 гг._Приложения февраль 09 (МП) отпр в УК от 04 02 09 4" xfId="1331"/>
    <cellStyle name="_БЮДЖЕТ 2004 от  28.11 агл. 2870 АХБпрочие_Дайджест 2003-2004 гг._Приложения февраль 09 (МП) отпр в УК от 04 02 09 5" xfId="1332"/>
    <cellStyle name="_БЮДЖЕТ 2004 от  28.11 агл. 2870 АХБпрочие_Дайджест 2003-2004 гг._Приложения февраль 09 (МП) отпр в УК от 04 02 09 6" xfId="1333"/>
    <cellStyle name="_БЮДЖЕТ 2004 от  28.11 агл. 2870 АХБпрочие_Дайджест 2003-2004 гг._Приложения февраль 09 (МП) отпр в УК от 04 02 09 7" xfId="1334"/>
    <cellStyle name="_БЮДЖЕТ 2004 от  28.11 агл. 2870 АХБпрочие_Дайджест 2003-2004 гг._Приложения февраль 09 (МП) отпр в УК от 04 02 09 8" xfId="1335"/>
    <cellStyle name="_БЮДЖЕТ 2004 от  28.11 агл. 2870 АХБпрочие_Дайджест 2003-2004 гг._Приложения февраль 09 (МП) отпр в УК от 04 02 09 9" xfId="1336"/>
    <cellStyle name="_БЮДЖЕТ 2004 от  28.11 агл. 2870 АХБпрочие_Дайджест 2003-2004 гг._Прогноз консолидированный июнь" xfId="1337"/>
    <cellStyle name="_БЮДЖЕТ 2004 от  28.11 агл. 2870 АХБпрочие_Дайджест 2003-2004 гг._РК+СДП 2008 год" xfId="1338"/>
    <cellStyle name="_БЮДЖЕТ 2004 от  28.11 агл. 2870 АХБпрочие_Дайджест 2003-2004 гг._РК+СДП 2008 год 2" xfId="1339"/>
    <cellStyle name="_БЮДЖЕТ 2004 от  28.11 агл. 2870 АХБпрочие_Дайджест 2003-2004 гг._РК+СДП 2008 год 3" xfId="1340"/>
    <cellStyle name="_БЮДЖЕТ 2004 от  28.11 агл. 2870 АХБпрочие_Дайджест 2003-2004 гг._РК+СДП 2008 год 4" xfId="1341"/>
    <cellStyle name="_БЮДЖЕТ 2004 от  28.11 агл. 2870 АХБпрочие_Дайджест 2003-2004 гг._РК+СДП 2008 год 5" xfId="1342"/>
    <cellStyle name="_БЮДЖЕТ 2004 от  28.11 агл. 2870 АХБпрочие_Дайджест 2003-2004 гг._РК+СДП 2008 год 6" xfId="1343"/>
    <cellStyle name="_БЮДЖЕТ 2004 от  28.11 агл. 2870 АХБпрочие_Дайджест 2003-2004 гг._РК+СДП 2008 год 7" xfId="1344"/>
    <cellStyle name="_БЮДЖЕТ 2004 от  28.11 агл. 2870 АХБпрочие_Дайджест 2003-2004 гг._РК+СДП 2008 год 8" xfId="1345"/>
    <cellStyle name="_БЮДЖЕТ 2004 от  28.11 агл. 2870 АХБпрочие_Дайджест 2003-2004 гг._РК+СДП 2008 год 9" xfId="1346"/>
    <cellStyle name="_БЮДЖЕТ 2004 от  28.11 агл. 2870 АХБпрочие_Дайджест 2003-2004 гг._Свод производства 1 квартал" xfId="1347"/>
    <cellStyle name="_БЮДЖЕТ 2004 от  28.11 агл. 2870 АХБпрочие_Дайджест 2003-2004 гг._Свод производства 1 квартал 2" xfId="1348"/>
    <cellStyle name="_БЮДЖЕТ 2004 от  28.11 агл. 2870 АХБпрочие_Дайджест 2003-2004 гг._Свод производства 1 квартал 3" xfId="1349"/>
    <cellStyle name="_БЮДЖЕТ 2004 от  28.11 агл. 2870 АХБпрочие_Дайджест 2003-2004 гг._Свод производства 1 квартал 4" xfId="1350"/>
    <cellStyle name="_БЮДЖЕТ 2004 от  28.11 агл. 2870 АХБпрочие_Дайджест 2003-2004 гг._Свод производства 1 квартал 5" xfId="1351"/>
    <cellStyle name="_БЮДЖЕТ 2004 от  28.11 агл. 2870 АХБпрочие_Дайджест 2003-2004 гг._Свод производства 1 квартал 6" xfId="1352"/>
    <cellStyle name="_БЮДЖЕТ 2004 от  28.11 агл. 2870 АХБпрочие_Дайджест 2003-2004 гг._Свод производства 1 квартал 7" xfId="1353"/>
    <cellStyle name="_БЮДЖЕТ 2004 от  28.11 агл. 2870 АХБпрочие_Дайджест 2003-2004 гг._Свод производства 1 квартал 8" xfId="1354"/>
    <cellStyle name="_БЮДЖЕТ 2004 от  28.11 агл. 2870 АХБпрочие_Дайджест 2003-2004 гг._Свод производства 1 квартал 9" xfId="1355"/>
    <cellStyle name="_БЮДЖЕТ 2004 от  28.11 агл. 2870 АХБпрочие_Дайджест 2003-2004 гг._Себестоимость" xfId="1356"/>
    <cellStyle name="_БЮДЖЕТ 2004 от  28.11 агл. 2870 АХБпрочие_Дайджест 2003-2004 гг._Слайд осн показатели к совещанию в УК от 18 01 09" xfId="1357"/>
    <cellStyle name="_БЮДЖЕТ 2004 от  28.11 агл. 2870 АХБпрочие_Дайджест 2003-2004 гг._Слайды 2-й квартал (ФП-КП)" xfId="1358"/>
    <cellStyle name="_БЮДЖЕТ 2004 от  28.11 агл. 2870 АХБпрочие_Дайджест 2003-2004 гг._Слайды 2-й квартал (ФП-КП) 2" xfId="1359"/>
    <cellStyle name="_БЮДЖЕТ 2004 от  28.11 агл. 2870 АХБпрочие_Дайджест 2003-2004 гг._Слайды 2-й квартал (ФП-КП) 3" xfId="1360"/>
    <cellStyle name="_БЮДЖЕТ 2004 от  28.11 агл. 2870 АХБпрочие_Дайджест 2003-2004 гг._Слайды 2-й квартал (ФП-КП) 4" xfId="1361"/>
    <cellStyle name="_БЮДЖЕТ 2004 от  28.11 агл. 2870 АХБпрочие_Дайджест 2003-2004 гг._Слайды 2-й квартал (ФП-КП) 5" xfId="1362"/>
    <cellStyle name="_БЮДЖЕТ 2004 от  28.11 агл. 2870 АХБпрочие_Дайджест 2003-2004 гг._Слайды 2-й квартал (ФП-КП) 6" xfId="1363"/>
    <cellStyle name="_БЮДЖЕТ 2004 от  28.11 агл. 2870 АХБпрочие_Дайджест 2003-2004 гг._Слайды 2-й квартал (ФП-КП) 7" xfId="1364"/>
    <cellStyle name="_БЮДЖЕТ 2004 от  28.11 агл. 2870 АХБпрочие_Дайджест 2003-2004 гг._Слайды 2-й квартал (ФП-КП) 8" xfId="1365"/>
    <cellStyle name="_БЮДЖЕТ 2004 от  28.11 агл. 2870 АХБпрочие_Дайджест 2003-2004 гг._Слайды 2-й квартал (ФП-КП) 9" xfId="1366"/>
    <cellStyle name="_БЮДЖЕТ 2004 от  28.11 агл. 2870 АХБпрочие_Дайджест 2003-2004 гг._СПД, РК, Инв. 2008 коричневая" xfId="1367"/>
    <cellStyle name="_БЮДЖЕТ 2004 от  28.11 агл. 2870 АХБпрочие_Дайджест 2003-2004 гг._СПД, РК, Инв. 2008 коричневая 2" xfId="1368"/>
    <cellStyle name="_БЮДЖЕТ 2004 от  28.11 агл. 2870 АХБпрочие_Дайджест 2003-2004 гг._СПД, РК, Инв. 2008 коричневая 3" xfId="1369"/>
    <cellStyle name="_БЮДЖЕТ 2004 от  28.11 агл. 2870 АХБпрочие_Дайджест 2003-2004 гг._СПД, РК, Инв. 2008 коричневая 4" xfId="1370"/>
    <cellStyle name="_БЮДЖЕТ 2004 от  28.11 агл. 2870 АХБпрочие_Дайджест 2003-2004 гг._СПД, РК, Инв. 2008 коричневая 5" xfId="1371"/>
    <cellStyle name="_БЮДЖЕТ 2004 от  28.11 агл. 2870 АХБпрочие_Дайджест 2003-2004 гг._СПД, РК, Инв. 2008 коричневая 6" xfId="1372"/>
    <cellStyle name="_БЮДЖЕТ 2004 от  28.11 агл. 2870 АХБпрочие_Дайджест 2003-2004 гг._СПД, РК, Инв. 2008 коричневая 7" xfId="1373"/>
    <cellStyle name="_БЮДЖЕТ 2004 от  28.11 агл. 2870 АХБпрочие_Дайджест 2003-2004 гг._СПД, РК, Инв. 2008 коричневая 8" xfId="1374"/>
    <cellStyle name="_БЮДЖЕТ 2004 от  28.11 агл. 2870 АХБпрочие_Дайджест 2003-2004 гг._СПД, РК, Инв. 2008 коричневая 9" xfId="1375"/>
    <cellStyle name="_БЮДЖЕТ 2004 от  28.11 агл. 2870 АХБпрочие_Дайджест 2003-2004 гг._Сравнение ожидаемого 2008  c БП 2009г. УрСт вариант 2 (скоррект. цены)" xfId="1376"/>
    <cellStyle name="_БЮДЖЕТ 2004 от  28.11 агл. 2870 АХБпрочие_Дайджест 2003-2004 гг._Сравнение ожидаемого 2008 с 2009г  ОЭМК от 06 10 2008" xfId="1377"/>
    <cellStyle name="_БЮДЖЕТ 2004 от  28.11 агл. 2870 АХБпрочие_Дайджест 2003-2004 гг._Сравнение ожидаемого 2008 с 2009г. ОЭМК  28.10.2008 (скорректир. цены)" xfId="1378"/>
    <cellStyle name="_БЮДЖЕТ 2004 от  28.11 агл. 2870 АХБпрочие_Дайджест 2003-2004 гг._Сравнение ожидаемого 2008 УС c 2009г  от 06 10 2008" xfId="1379"/>
    <cellStyle name="_БЮДЖЕТ 2004 от  28.11 агл. 2870 АХБпрочие_Дайджест 2003-2004 гг._Стан 150" xfId="1380"/>
    <cellStyle name="_БЮДЖЕТ 2004 от  28.11 агл. 2870 АХБпрочие_Дайджест 2003-2004 гг._Структура затрат (Формат) ЛГОК" xfId="1381"/>
    <cellStyle name="_БЮДЖЕТ 2004 от  28.11 агл. 2870 АХБпрочие_Дайджест 2003-2004 гг._Структура затрат (Формат) ЛГОК_28.01.2009" xfId="1382"/>
    <cellStyle name="_БЮДЖЕТ 2004 от  28.11 агл. 2870 АХБпрочие_Дайджест 2003-2004 гг._титульный лист" xfId="1383"/>
    <cellStyle name="_БЮДЖЕТ 2004 от  28.11 агл. 2870 АХБпрочие_Дайджест 2003-2004 гг._ТП на 2011_год покварт" xfId="1384"/>
    <cellStyle name="_БЮДЖЕТ 2004 от  28.11 агл. 2870 АХБпрочие_Дайджест 2003-2004 гг._Труд для нас" xfId="1385"/>
    <cellStyle name="_БЮДЖЕТ 2004 от  28.11 агл. 2870 АХБпрочие_Дайджест 2003-2004 гг._Труд для нас 2" xfId="1386"/>
    <cellStyle name="_БЮДЖЕТ 2004 от  28.11 агл. 2870 АХБпрочие_Дайджест 2003-2004 гг._Труд для нас 3" xfId="1387"/>
    <cellStyle name="_БЮДЖЕТ 2004 от  28.11 агл. 2870 АХБпрочие_Дайджест 2003-2004 гг._Труд для нас 4" xfId="1388"/>
    <cellStyle name="_БЮДЖЕТ 2004 от  28.11 агл. 2870 АХБпрочие_Дайджест 2003-2004 гг._Труд для нас 5" xfId="1389"/>
    <cellStyle name="_БЮДЖЕТ 2004 от  28.11 агл. 2870 АХБпрочие_Дайджест 2003-2004 гг._Труд для нас 6" xfId="1390"/>
    <cellStyle name="_БЮДЖЕТ 2004 от  28.11 агл. 2870 АХБпрочие_Дайджест 2003-2004 гг._Труд для нас 7" xfId="1391"/>
    <cellStyle name="_БЮДЖЕТ 2004 от  28.11 агл. 2870 АХБпрочие_Дайджест 2003-2004 гг._Труд для нас 8" xfId="1392"/>
    <cellStyle name="_БЮДЖЕТ 2004 от  28.11 агл. 2870 АХБпрочие_Дайджест 2003-2004 гг._Труд для нас 9" xfId="1393"/>
    <cellStyle name="_БЮДЖЕТ 2004 от  28.11 агл. 2870 АХБпрочие_Дайджест 2003-2004 гг._УралКирпич_план на 2 кв. 2009" xfId="1394"/>
    <cellStyle name="_БЮДЖЕТ 2004 от  28.11 агл. 2870 АХБпрочие_Дайджест 2003-2004 гг._УСТ - любимая табличка по новому 2009 г." xfId="1395"/>
    <cellStyle name="_БЮДЖЕТ 2004 от  28.11 агл. 2870 АХБпрочие_Дайджест 2003-2004 гг._Ф 29, 30" xfId="1396"/>
    <cellStyle name="_БЮДЖЕТ 2004 от  28.11 агл. 2870 АХБпрочие_Дайджест 2003-2004 гг._Ф 29, 30 2" xfId="1397"/>
    <cellStyle name="_БЮДЖЕТ 2004 от  28.11 агл. 2870 АХБпрочие_Дайджест 2003-2004 гг._Ф 29, 30 3" xfId="1398"/>
    <cellStyle name="_БЮДЖЕТ 2004 от  28.11 агл. 2870 АХБпрочие_Дайджест 2003-2004 гг._Ф 29, 30 4" xfId="1399"/>
    <cellStyle name="_БЮДЖЕТ 2004 от  28.11 агл. 2870 АХБпрочие_Дайджест 2003-2004 гг._Ф 29, 30 5" xfId="1400"/>
    <cellStyle name="_БЮДЖЕТ 2004 от  28.11 агл. 2870 АХБпрочие_Дайджест 2003-2004 гг._Ф 29, 30 6" xfId="1401"/>
    <cellStyle name="_БЮДЖЕТ 2004 от  28.11 агл. 2870 АХБпрочие_Дайджест 2003-2004 гг._Ф 29, 30 7" xfId="1402"/>
    <cellStyle name="_БЮДЖЕТ 2004 от  28.11 агл. 2870 АХБпрочие_Дайджест 2003-2004 гг._Ф 29, 30 8" xfId="1403"/>
    <cellStyle name="_БЮДЖЕТ 2004 от  28.11 агл. 2870 АХБпрочие_Дайджест 2003-2004 гг._Ф 29, 30 9" xfId="1404"/>
    <cellStyle name="_БЮДЖЕТ 2004 от  28.11 агл. 2870 АХБпрочие_Дайджест 2003-2004 гг._ф IIкв.07 EBITDA ЛГОК 27.07.07" xfId="1405"/>
    <cellStyle name="_БЮДЖЕТ 2004 от  28.11 агл. 2870 АХБпрочие_Дайджест 2003-2004 гг._ф IIкв.07 EBITDA ЛГОК 27.07.07 2" xfId="1406"/>
    <cellStyle name="_БЮДЖЕТ 2004 от  28.11 агл. 2870 АХБпрочие_Дайджест 2003-2004 гг._ф IIкв.07 EBITDA ЛГОК 27.07.07 3" xfId="1407"/>
    <cellStyle name="_БЮДЖЕТ 2004 от  28.11 агл. 2870 АХБпрочие_Дайджест 2003-2004 гг._ф IIкв.07 EBITDA ЛГОК 27.07.07 4" xfId="1408"/>
    <cellStyle name="_БЮДЖЕТ 2004 от  28.11 агл. 2870 АХБпрочие_Дайджест 2003-2004 гг._ф IIкв.07 EBITDA ЛГОК 27.07.07 5" xfId="1409"/>
    <cellStyle name="_БЮДЖЕТ 2004 от  28.11 агл. 2870 АХБпрочие_Дайджест 2003-2004 гг._ф IIкв.07 EBITDA ЛГОК 27.07.07 6" xfId="1410"/>
    <cellStyle name="_БЮДЖЕТ 2004 от  28.11 агл. 2870 АХБпрочие_Дайджест 2003-2004 гг._ф IIкв.07 EBITDA ЛГОК 27.07.07 7" xfId="1411"/>
    <cellStyle name="_БЮДЖЕТ 2004 от  28.11 агл. 2870 АХБпрочие_Дайджест 2003-2004 гг._ф IIкв.07 EBITDA ЛГОК 27.07.07 8" xfId="1412"/>
    <cellStyle name="_БЮДЖЕТ 2004 от  28.11 агл. 2870 АХБпрочие_Дайджест 2003-2004 гг._ф IIкв.07 EBITDA ЛГОК 27.07.07 9" xfId="1413"/>
    <cellStyle name="_БЮДЖЕТ 2004 от  28.11 агл. 2870 АХБпрочие_Дайджест 2003-2004 гг._ф01 2007 фин. часть МГОК 21.03.07" xfId="1414"/>
    <cellStyle name="_БЮДЖЕТ 2004 от  28.11 агл. 2870 АХБпрочие_Дайджест 2003-2004 гг._ф01.07 EBITDA ОАО ЛГОК 02.03.07" xfId="1415"/>
    <cellStyle name="_БЮДЖЕТ 2004 от  28.11 агл. 2870 АХБпрочие_Дайджест 2003-2004 гг._ф01.07 EBITDA ОАО ЛГОК 02.03.07 2" xfId="1416"/>
    <cellStyle name="_БЮДЖЕТ 2004 от  28.11 агл. 2870 АХБпрочие_Дайджест 2003-2004 гг._ф01.07 EBITDA ОАО ЛГОК 02.03.07 3" xfId="1417"/>
    <cellStyle name="_БЮДЖЕТ 2004 от  28.11 агл. 2870 АХБпрочие_Дайджест 2003-2004 гг._ф01.07 EBITDA ОАО ЛГОК 02.03.07 4" xfId="1418"/>
    <cellStyle name="_БЮДЖЕТ 2004 от  28.11 агл. 2870 АХБпрочие_Дайджест 2003-2004 гг._ф01.07 EBITDA ОАО ЛГОК 02.03.07 5" xfId="1419"/>
    <cellStyle name="_БЮДЖЕТ 2004 от  28.11 агл. 2870 АХБпрочие_Дайджест 2003-2004 гг._ф01.07 EBITDA ОАО ЛГОК 02.03.07 6" xfId="1420"/>
    <cellStyle name="_БЮДЖЕТ 2004 от  28.11 агл. 2870 АХБпрочие_Дайджест 2003-2004 гг._ф01.07 EBITDA ОАО ЛГОК 02.03.07 7" xfId="1421"/>
    <cellStyle name="_БЮДЖЕТ 2004 от  28.11 агл. 2870 АХБпрочие_Дайджест 2003-2004 гг._ф01.07 EBITDA ОАО ЛГОК 02.03.07 8" xfId="1422"/>
    <cellStyle name="_БЮДЖЕТ 2004 от  28.11 агл. 2870 АХБпрочие_Дайджест 2003-2004 гг._ф01.07 EBITDA ОАО ЛГОК 02.03.07 9" xfId="1423"/>
    <cellStyle name="_БЮДЖЕТ 2004 от  28.11 агл. 2870 АХБпрочие_Дайджест 2003-2004 гг._ф01.07 EBITDA ОАО ЛГОК 02.03.07_Книга2" xfId="1424"/>
    <cellStyle name="_БЮДЖЕТ 2004 от  28.11 агл. 2870 АХБпрочие_Дайджест 2003-2004 гг._ф01.07 EBITDA ОАО ЛГОК 02.03.07_Отчет за сентябрь_11_ДСМ" xfId="1425"/>
    <cellStyle name="_БЮДЖЕТ 2004 от  28.11 агл. 2870 АХБпрочие_Дайджест 2003-2004 гг._ф01.07 EBITDA ОАО ЛГОК 05.03.07" xfId="1426"/>
    <cellStyle name="_БЮДЖЕТ 2004 от  28.11 агл. 2870 АХБпрочие_Дайджест 2003-2004 гг._ф01.07 EBITDA ОАО ЛГОК 05.03.07 2" xfId="1427"/>
    <cellStyle name="_БЮДЖЕТ 2004 от  28.11 агл. 2870 АХБпрочие_Дайджест 2003-2004 гг._ф01.07 EBITDA ОАО ЛГОК 05.03.07 3" xfId="1428"/>
    <cellStyle name="_БЮДЖЕТ 2004 от  28.11 агл. 2870 АХБпрочие_Дайджест 2003-2004 гг._ф01.07 EBITDA ОАО ЛГОК 05.03.07 4" xfId="1429"/>
    <cellStyle name="_БЮДЖЕТ 2004 от  28.11 агл. 2870 АХБпрочие_Дайджест 2003-2004 гг._ф01.07 EBITDA ОАО ЛГОК 05.03.07 5" xfId="1430"/>
    <cellStyle name="_БЮДЖЕТ 2004 от  28.11 агл. 2870 АХБпрочие_Дайджест 2003-2004 гг._ф01.07 EBITDA ОАО ЛГОК 05.03.07 6" xfId="1431"/>
    <cellStyle name="_БЮДЖЕТ 2004 от  28.11 агл. 2870 АХБпрочие_Дайджест 2003-2004 гг._ф01.07 EBITDA ОАО ЛГОК 05.03.07 7" xfId="1432"/>
    <cellStyle name="_БЮДЖЕТ 2004 от  28.11 агл. 2870 АХБпрочие_Дайджест 2003-2004 гг._ф01.07 EBITDA ОАО ЛГОК 05.03.07 8" xfId="1433"/>
    <cellStyle name="_БЮДЖЕТ 2004 от  28.11 агл. 2870 АХБпрочие_Дайджест 2003-2004 гг._ф01.07 EBITDA ОАО ЛГОК 05.03.07 9" xfId="1434"/>
    <cellStyle name="_БЮДЖЕТ 2004 от  28.11 агл. 2870 АХБпрочие_Дайджест 2003-2004 гг._ф01.07 EBITDA ОАО ЛГОК 05.03.07_Книга2" xfId="1435"/>
    <cellStyle name="_БЮДЖЕТ 2004 от  28.11 агл. 2870 АХБпрочие_Дайджест 2003-2004 гг._ф01.07 EBITDA ОАО ЛГОК 05.03.07_Отчет за сентябрь_11_ДСМ" xfId="1436"/>
    <cellStyle name="_БЮДЖЕТ 2004 от  28.11 агл. 2870 АХБпрочие_Дайджест 2003-2004 гг._ф01.07 EBITDA ОАО ЛГОК с изм. 30.03.07" xfId="1437"/>
    <cellStyle name="_БЮДЖЕТ 2004 от  28.11 агл. 2870 АХБпрочие_Дайджест 2003-2004 гг._ф01.07 EBITDA ОАО ЛГОК с изм. 30.03.07 2" xfId="1438"/>
    <cellStyle name="_БЮДЖЕТ 2004 от  28.11 агл. 2870 АХБпрочие_Дайджест 2003-2004 гг._ф01.07 EBITDA ОАО ЛГОК с изм. 30.03.07 3" xfId="1439"/>
    <cellStyle name="_БЮДЖЕТ 2004 от  28.11 агл. 2870 АХБпрочие_Дайджест 2003-2004 гг._ф01.07 EBITDA ОАО ЛГОК с изм. 30.03.07 4" xfId="1440"/>
    <cellStyle name="_БЮДЖЕТ 2004 от  28.11 агл. 2870 АХБпрочие_Дайджест 2003-2004 гг._ф01.07 EBITDA ОАО ЛГОК с изм. 30.03.07 5" xfId="1441"/>
    <cellStyle name="_БЮДЖЕТ 2004 от  28.11 агл. 2870 АХБпрочие_Дайджест 2003-2004 гг._ф01.07 EBITDA ОАО ЛГОК с изм. 30.03.07 6" xfId="1442"/>
    <cellStyle name="_БЮДЖЕТ 2004 от  28.11 агл. 2870 АХБпрочие_Дайджест 2003-2004 гг._ф01.07 EBITDA ОАО ЛГОК с изм. 30.03.07 7" xfId="1443"/>
    <cellStyle name="_БЮДЖЕТ 2004 от  28.11 агл. 2870 АХБпрочие_Дайджест 2003-2004 гг._ф01.07 EBITDA ОАО ЛГОК с изм. 30.03.07 8" xfId="1444"/>
    <cellStyle name="_БЮДЖЕТ 2004 от  28.11 агл. 2870 АХБпрочие_Дайджест 2003-2004 гг._ф01.07 EBITDA ОАО ЛГОК с изм. 30.03.07 9" xfId="1445"/>
    <cellStyle name="_БЮДЖЕТ 2004 от  28.11 агл. 2870 АХБпрочие_Дайджест 2003-2004 гг._ф01.07 EBITDA ОАО ЛГОК с изм. 30.03.07_Книга2" xfId="1446"/>
    <cellStyle name="_БЮДЖЕТ 2004 от  28.11 агл. 2870 АХБпрочие_Дайджест 2003-2004 гг._ф01.07 EBITDA ОАО УС 05.03.07" xfId="1447"/>
    <cellStyle name="_БЮДЖЕТ 2004 от  28.11 агл. 2870 АХБпрочие_Дайджест 2003-2004 гг._ф01.07 EBITDA ОАО УС 05.03.07 2" xfId="1448"/>
    <cellStyle name="_БЮДЖЕТ 2004 от  28.11 агл. 2870 АХБпрочие_Дайджест 2003-2004 гг._ф01.07 EBITDA ОАО УС 05.03.07 3" xfId="1449"/>
    <cellStyle name="_БЮДЖЕТ 2004 от  28.11 агл. 2870 АХБпрочие_Дайджест 2003-2004 гг._ф01.07 EBITDA ОАО УС 05.03.07 4" xfId="1450"/>
    <cellStyle name="_БЮДЖЕТ 2004 от  28.11 агл. 2870 АХБпрочие_Дайджест 2003-2004 гг._ф01.07 EBITDA ОАО УС 05.03.07 5" xfId="1451"/>
    <cellStyle name="_БЮДЖЕТ 2004 от  28.11 агл. 2870 АХБпрочие_Дайджест 2003-2004 гг._ф01.07 EBITDA ОАО УС 05.03.07 6" xfId="1452"/>
    <cellStyle name="_БЮДЖЕТ 2004 от  28.11 агл. 2870 АХБпрочие_Дайджест 2003-2004 гг._ф01.07 EBITDA ОАО УС 05.03.07 7" xfId="1453"/>
    <cellStyle name="_БЮДЖЕТ 2004 от  28.11 агл. 2870 АХБпрочие_Дайджест 2003-2004 гг._ф01.07 EBITDA ОАО УС 05.03.07 8" xfId="1454"/>
    <cellStyle name="_БЮДЖЕТ 2004 от  28.11 агл. 2870 АХБпрочие_Дайджест 2003-2004 гг._ф01.07 EBITDA ОАО УС 05.03.07 9" xfId="1455"/>
    <cellStyle name="_БЮДЖЕТ 2004 от  28.11 агл. 2870 АХБпрочие_Дайджест 2003-2004 гг._ф01.07 EBITDA ОАО УС 05.03.07(26,2)" xfId="1456"/>
    <cellStyle name="_БЮДЖЕТ 2004 от  28.11 агл. 2870 АХБпрочие_Дайджест 2003-2004 гг._ф01.07 EBITDA ОАО УС 05.03.07(26,2) 2" xfId="1457"/>
    <cellStyle name="_БЮДЖЕТ 2004 от  28.11 агл. 2870 АХБпрочие_Дайджест 2003-2004 гг._ф01.07 EBITDA ОАО УС 05.03.07(26,2) 3" xfId="1458"/>
    <cellStyle name="_БЮДЖЕТ 2004 от  28.11 агл. 2870 АХБпрочие_Дайджест 2003-2004 гг._ф01.07 EBITDA ОАО УС 05.03.07(26,2) 4" xfId="1459"/>
    <cellStyle name="_БЮДЖЕТ 2004 от  28.11 агл. 2870 АХБпрочие_Дайджест 2003-2004 гг._ф01.07 EBITDA ОАО УС 05.03.07(26,2) 5" xfId="1460"/>
    <cellStyle name="_БЮДЖЕТ 2004 от  28.11 агл. 2870 АХБпрочие_Дайджест 2003-2004 гг._ф01.07 EBITDA ОАО УС 05.03.07(26,2) 6" xfId="1461"/>
    <cellStyle name="_БЮДЖЕТ 2004 от  28.11 агл. 2870 АХБпрочие_Дайджест 2003-2004 гг._ф01.07 EBITDA ОАО УС 05.03.07(26,2) 7" xfId="1462"/>
    <cellStyle name="_БЮДЖЕТ 2004 от  28.11 агл. 2870 АХБпрочие_Дайджест 2003-2004 гг._ф01.07 EBITDA ОАО УС 05.03.07(26,2) 8" xfId="1463"/>
    <cellStyle name="_БЮДЖЕТ 2004 от  28.11 агл. 2870 АХБпрочие_Дайджест 2003-2004 гг._ф01.07 EBITDA ОАО УС 05.03.07(26,2) 9" xfId="1464"/>
    <cellStyle name="_БЮДЖЕТ 2004 от  28.11 агл. 2870 АХБпрочие_Дайджест 2003-2004 гг._ф01.07 EBITDA ОАО УС 05.03.07(26,2)_Книга2" xfId="1465"/>
    <cellStyle name="_БЮДЖЕТ 2004 от  28.11 агл. 2870 АХБпрочие_Дайджест 2003-2004 гг._ф01.07 EBITDA ОАО УС 05.03.07_Книга2" xfId="1466"/>
    <cellStyle name="_БЮДЖЕТ 2004 от  28.11 агл. 2870 АХБпрочие_Дайджест 2003-2004 гг._ф01.07 EBITDA ОЭМК 02.03.07" xfId="1467"/>
    <cellStyle name="_БЮДЖЕТ 2004 от  28.11 агл. 2870 АХБпрочие_Дайджест 2003-2004 гг._ф01.07 EBITDA ОЭМК 02.03.07 2" xfId="1468"/>
    <cellStyle name="_БЮДЖЕТ 2004 от  28.11 агл. 2870 АХБпрочие_Дайджест 2003-2004 гг._ф01.07 EBITDA ОЭМК 02.03.07 3" xfId="1469"/>
    <cellStyle name="_БЮДЖЕТ 2004 от  28.11 агл. 2870 АХБпрочие_Дайджест 2003-2004 гг._ф01.07 EBITDA ОЭМК 02.03.07 4" xfId="1470"/>
    <cellStyle name="_БЮДЖЕТ 2004 от  28.11 агл. 2870 АХБпрочие_Дайджест 2003-2004 гг._ф01.07 EBITDA ОЭМК 02.03.07 5" xfId="1471"/>
    <cellStyle name="_БЮДЖЕТ 2004 от  28.11 агл. 2870 АХБпрочие_Дайджест 2003-2004 гг._ф01.07 EBITDA ОЭМК 02.03.07 6" xfId="1472"/>
    <cellStyle name="_БЮДЖЕТ 2004 от  28.11 агл. 2870 АХБпрочие_Дайджест 2003-2004 гг._ф01.07 EBITDA ОЭМК 02.03.07 7" xfId="1473"/>
    <cellStyle name="_БЮДЖЕТ 2004 от  28.11 агл. 2870 АХБпрочие_Дайджест 2003-2004 гг._ф01.07 EBITDA ОЭМК 02.03.07 8" xfId="1474"/>
    <cellStyle name="_БЮДЖЕТ 2004 от  28.11 агл. 2870 АХБпрочие_Дайджест 2003-2004 гг._ф01.07 EBITDA ОЭМК 02.03.07 9" xfId="1475"/>
    <cellStyle name="_БЮДЖЕТ 2004 от  28.11 агл. 2870 АХБпрочие_Дайджест 2003-2004 гг._ф01.07 EBITDA ОЭМК 02.03.07_Книга2" xfId="1476"/>
    <cellStyle name="_БЮДЖЕТ 2004 от  28.11 агл. 2870 АХБпрочие_Дайджест 2003-2004 гг._ф02.07 EBITDA ОАО ЛГОК 28.03.07" xfId="1477"/>
    <cellStyle name="_БЮДЖЕТ 2004 от  28.11 агл. 2870 АХБпрочие_Дайджест 2003-2004 гг._ф02.07 EBITDA ОАО ЛГОК 28.03.07 2" xfId="1478"/>
    <cellStyle name="_БЮДЖЕТ 2004 от  28.11 агл. 2870 АХБпрочие_Дайджест 2003-2004 гг._ф02.07 EBITDA ОАО ЛГОК 28.03.07 3" xfId="1479"/>
    <cellStyle name="_БЮДЖЕТ 2004 от  28.11 агл. 2870 АХБпрочие_Дайджест 2003-2004 гг._ф02.07 EBITDA ОАО ЛГОК 28.03.07 4" xfId="1480"/>
    <cellStyle name="_БЮДЖЕТ 2004 от  28.11 агл. 2870 АХБпрочие_Дайджест 2003-2004 гг._ф02.07 EBITDA ОАО ЛГОК 28.03.07 5" xfId="1481"/>
    <cellStyle name="_БЮДЖЕТ 2004 от  28.11 агл. 2870 АХБпрочие_Дайджест 2003-2004 гг._ф02.07 EBITDA ОАО ЛГОК 28.03.07 6" xfId="1482"/>
    <cellStyle name="_БЮДЖЕТ 2004 от  28.11 агл. 2870 АХБпрочие_Дайджест 2003-2004 гг._ф02.07 EBITDA ОАО ЛГОК 28.03.07 7" xfId="1483"/>
    <cellStyle name="_БЮДЖЕТ 2004 от  28.11 агл. 2870 АХБпрочие_Дайджест 2003-2004 гг._ф02.07 EBITDA ОАО ЛГОК 28.03.07 8" xfId="1484"/>
    <cellStyle name="_БЮДЖЕТ 2004 от  28.11 агл. 2870 АХБпрочие_Дайджест 2003-2004 гг._ф02.07 EBITDA ОАО ЛГОК 28.03.07 9" xfId="1485"/>
    <cellStyle name="_БЮДЖЕТ 2004 от  28.11 агл. 2870 АХБпрочие_Дайджест 2003-2004 гг._ф02.07 EBITDA ОАО ЛГОК 28.03.07_Книга2" xfId="1486"/>
    <cellStyle name="_БЮДЖЕТ 2004 от  28.11 агл. 2870 АХБпрочие_Дайджест 2003-2004 гг._ф02.07 EBITDA ОАО УС 28.03.07" xfId="1487"/>
    <cellStyle name="_БЮДЖЕТ 2004 от  28.11 агл. 2870 АХБпрочие_Дайджест 2003-2004 гг._ф02.07 EBITDA ОАО УС 28.03.07 2" xfId="1488"/>
    <cellStyle name="_БЮДЖЕТ 2004 от  28.11 агл. 2870 АХБпрочие_Дайджест 2003-2004 гг._ф02.07 EBITDA ОАО УС 28.03.07 3" xfId="1489"/>
    <cellStyle name="_БЮДЖЕТ 2004 от  28.11 агл. 2870 АХБпрочие_Дайджест 2003-2004 гг._ф02.07 EBITDA ОАО УС 28.03.07 4" xfId="1490"/>
    <cellStyle name="_БЮДЖЕТ 2004 от  28.11 агл. 2870 АХБпрочие_Дайджест 2003-2004 гг._ф02.07 EBITDA ОАО УС 28.03.07 5" xfId="1491"/>
    <cellStyle name="_БЮДЖЕТ 2004 от  28.11 агл. 2870 АХБпрочие_Дайджест 2003-2004 гг._ф02.07 EBITDA ОАО УС 28.03.07 6" xfId="1492"/>
    <cellStyle name="_БЮДЖЕТ 2004 от  28.11 агл. 2870 АХБпрочие_Дайджест 2003-2004 гг._ф02.07 EBITDA ОАО УС 28.03.07 7" xfId="1493"/>
    <cellStyle name="_БЮДЖЕТ 2004 от  28.11 агл. 2870 АХБпрочие_Дайджест 2003-2004 гг._ф02.07 EBITDA ОАО УС 28.03.07 8" xfId="1494"/>
    <cellStyle name="_БЮДЖЕТ 2004 от  28.11 агл. 2870 АХБпрочие_Дайджест 2003-2004 гг._ф02.07 EBITDA ОАО УС 28.03.07 9" xfId="1495"/>
    <cellStyle name="_БЮДЖЕТ 2004 от  28.11 агл. 2870 АХБпрочие_Дайджест 2003-2004 гг._ф02.07 EBITDA ОАО УС 28.03.07_Книга2" xfId="1496"/>
    <cellStyle name="_БЮДЖЕТ 2004 от  28.11 агл. 2870 АХБпрочие_Дайджест 2003-2004 гг._ф02.07 EBITDA ОЭМК 28.03.07" xfId="1497"/>
    <cellStyle name="_БЮДЖЕТ 2004 от  28.11 агл. 2870 АХБпрочие_Дайджест 2003-2004 гг._ф02.07 EBITDA ОЭМК 28.03.07 2" xfId="1498"/>
    <cellStyle name="_БЮДЖЕТ 2004 от  28.11 агл. 2870 АХБпрочие_Дайджест 2003-2004 гг._ф02.07 EBITDA ОЭМК 28.03.07 3" xfId="1499"/>
    <cellStyle name="_БЮДЖЕТ 2004 от  28.11 агл. 2870 АХБпрочие_Дайджест 2003-2004 гг._ф02.07 EBITDA ОЭМК 28.03.07 4" xfId="1500"/>
    <cellStyle name="_БЮДЖЕТ 2004 от  28.11 агл. 2870 АХБпрочие_Дайджест 2003-2004 гг._ф02.07 EBITDA ОЭМК 28.03.07 5" xfId="1501"/>
    <cellStyle name="_БЮДЖЕТ 2004 от  28.11 агл. 2870 АХБпрочие_Дайджест 2003-2004 гг._ф02.07 EBITDA ОЭМК 28.03.07 6" xfId="1502"/>
    <cellStyle name="_БЮДЖЕТ 2004 от  28.11 агл. 2870 АХБпрочие_Дайджест 2003-2004 гг._ф02.07 EBITDA ОЭМК 28.03.07 7" xfId="1503"/>
    <cellStyle name="_БЮДЖЕТ 2004 от  28.11 агл. 2870 АХБпрочие_Дайджест 2003-2004 гг._ф02.07 EBITDA ОЭМК 28.03.07 8" xfId="1504"/>
    <cellStyle name="_БЮДЖЕТ 2004 от  28.11 агл. 2870 АХБпрочие_Дайджест 2003-2004 гг._ф02.07 EBITDA ОЭМК 28.03.07 9" xfId="1505"/>
    <cellStyle name="_БЮДЖЕТ 2004 от  28.11 агл. 2870 АХБпрочие_Дайджест 2003-2004 гг._ф02.07 EBITDA ОЭМК 28.03.07_Книга2" xfId="1506"/>
    <cellStyle name="_БЮДЖЕТ 2004 от  28.11 агл. 2870 АХБпрочие_Дайджест 2003-2004 гг._ф11 Депозиты" xfId="1507"/>
    <cellStyle name="_БЮДЖЕТ 2004 от  28.11 агл. 2870 АХБпрочие_Дайджест 2003-2004 гг._ф11 Депозиты 2" xfId="1508"/>
    <cellStyle name="_БЮДЖЕТ 2004 от  28.11 агл. 2870 АХБпрочие_Дайджест 2003-2004 гг._ф11 Депозиты 3" xfId="1509"/>
    <cellStyle name="_БЮДЖЕТ 2004 от  28.11 агл. 2870 АХБпрочие_Дайджест 2003-2004 гг._ф11 Депозиты 4" xfId="1510"/>
    <cellStyle name="_БЮДЖЕТ 2004 от  28.11 агл. 2870 АХБпрочие_Дайджест 2003-2004 гг._ф11 Депозиты 5" xfId="1511"/>
    <cellStyle name="_БЮДЖЕТ 2004 от  28.11 агл. 2870 АХБпрочие_Дайджест 2003-2004 гг._ф11 Депозиты 6" xfId="1512"/>
    <cellStyle name="_БЮДЖЕТ 2004 от  28.11 агл. 2870 АХБпрочие_Дайджест 2003-2004 гг._ф11 Депозиты 7" xfId="1513"/>
    <cellStyle name="_БЮДЖЕТ 2004 от  28.11 агл. 2870 АХБпрочие_Дайджест 2003-2004 гг._ф11 Депозиты 8" xfId="1514"/>
    <cellStyle name="_БЮДЖЕТ 2004 от  28.11 агл. 2870 АХБпрочие_Дайджест 2003-2004 гг._ф11 Депозиты 9" xfId="1515"/>
    <cellStyle name="_БЮДЖЕТ 2004 от  28.11 агл. 2870 АХБпрочие_Дайджест 2003-2004 гг._ф1кв.07 EBITDA ЛГОК 28.04.07" xfId="1516"/>
    <cellStyle name="_БЮДЖЕТ 2004 от  28.11 агл. 2870 АХБпрочие_Дайджест 2003-2004 гг._ф1кв.07 EBITDA ЛГОК 28.04.07 2" xfId="1517"/>
    <cellStyle name="_БЮДЖЕТ 2004 от  28.11 агл. 2870 АХБпрочие_Дайджест 2003-2004 гг._ф1кв.07 EBITDA ЛГОК 28.04.07 3" xfId="1518"/>
    <cellStyle name="_БЮДЖЕТ 2004 от  28.11 агл. 2870 АХБпрочие_Дайджест 2003-2004 гг._ф1кв.07 EBITDA ЛГОК 28.04.07 4" xfId="1519"/>
    <cellStyle name="_БЮДЖЕТ 2004 от  28.11 агл. 2870 АХБпрочие_Дайджест 2003-2004 гг._ф1кв.07 EBITDA ЛГОК 28.04.07 5" xfId="1520"/>
    <cellStyle name="_БЮДЖЕТ 2004 от  28.11 агл. 2870 АХБпрочие_Дайджест 2003-2004 гг._ф1кв.07 EBITDA ЛГОК 28.04.07 6" xfId="1521"/>
    <cellStyle name="_БЮДЖЕТ 2004 от  28.11 агл. 2870 АХБпрочие_Дайджест 2003-2004 гг._ф1кв.07 EBITDA ЛГОК 28.04.07 7" xfId="1522"/>
    <cellStyle name="_БЮДЖЕТ 2004 от  28.11 агл. 2870 АХБпрочие_Дайджест 2003-2004 гг._ф1кв.07 EBITDA ЛГОК 28.04.07 8" xfId="1523"/>
    <cellStyle name="_БЮДЖЕТ 2004 от  28.11 агл. 2870 АХБпрочие_Дайджест 2003-2004 гг._ф1кв.07 EBITDA ЛГОК 28.04.07 9" xfId="1524"/>
    <cellStyle name="_БЮДЖЕТ 2004 от  28.11 агл. 2870 АХБпрочие_Дайджест 2003-2004 гг._ф1кв.07 EBITDA ЛГОК 28.04.07_Книга2" xfId="1525"/>
    <cellStyle name="_БЮДЖЕТ 2004 от  28.11 агл. 2870 АХБпрочие_Дайджест 2003-2004 гг._Ф20 от налоговой" xfId="1526"/>
    <cellStyle name="_БЮДЖЕТ 2004 от  28.11 агл. 2870 АХБпрочие_Дайджест 2003-2004 гг._фIIIкв Комплект ОЭМК (1-12,18,22) 28.10.08" xfId="1527"/>
    <cellStyle name="_БЮДЖЕТ 2004 от  28.11 агл. 2870 АХБпрочие_Дайджест 2003-2004 гг._фIкв EBITDA ОАО УС 28.04.07" xfId="1528"/>
    <cellStyle name="_БЮДЖЕТ 2004 от  28.11 агл. 2870 АХБпрочие_Дайджест 2003-2004 гг._фIкв EBITDA ОАО УС 28.04.07 2" xfId="1529"/>
    <cellStyle name="_БЮДЖЕТ 2004 от  28.11 агл. 2870 АХБпрочие_Дайджест 2003-2004 гг._фIкв EBITDA ОАО УС 28.04.07 3" xfId="1530"/>
    <cellStyle name="_БЮДЖЕТ 2004 от  28.11 агл. 2870 АХБпрочие_Дайджест 2003-2004 гг._фIкв EBITDA ОАО УС 28.04.07 4" xfId="1531"/>
    <cellStyle name="_БЮДЖЕТ 2004 от  28.11 агл. 2870 АХБпрочие_Дайджест 2003-2004 гг._фIкв EBITDA ОАО УС 28.04.07 5" xfId="1532"/>
    <cellStyle name="_БЮДЖЕТ 2004 от  28.11 агл. 2870 АХБпрочие_Дайджест 2003-2004 гг._фIкв EBITDA ОАО УС 28.04.07 6" xfId="1533"/>
    <cellStyle name="_БЮДЖЕТ 2004 от  28.11 агл. 2870 АХБпрочие_Дайджест 2003-2004 гг._фIкв EBITDA ОАО УС 28.04.07 7" xfId="1534"/>
    <cellStyle name="_БЮДЖЕТ 2004 от  28.11 агл. 2870 АХБпрочие_Дайджест 2003-2004 гг._фIкв EBITDA ОАО УС 28.04.07 8" xfId="1535"/>
    <cellStyle name="_БЮДЖЕТ 2004 от  28.11 агл. 2870 АХБпрочие_Дайджест 2003-2004 гг._фIкв EBITDA ОАО УС 28.04.07 9" xfId="1536"/>
    <cellStyle name="_БЮДЖЕТ 2004 от  28.11 агл. 2870 АХБпрочие_Дайджест 2003-2004 гг._фIкв EBITDA ОАО УС 28.04.07_Книга2" xfId="1537"/>
    <cellStyle name="_БЮДЖЕТ 2004 от  28.11 агл. 2870 АХБпрочие_Дайджест 2003-2004 гг._фIкв EBITDA ОЭМК 28.04.07" xfId="1538"/>
    <cellStyle name="_БЮДЖЕТ 2004 от  28.11 агл. 2870 АХБпрочие_Дайджест 2003-2004 гг._фIкв EBITDA ОЭМК 28.04.07 2" xfId="1539"/>
    <cellStyle name="_БЮДЖЕТ 2004 от  28.11 агл. 2870 АХБпрочие_Дайджест 2003-2004 гг._фIкв EBITDA ОЭМК 28.04.07 3" xfId="1540"/>
    <cellStyle name="_БЮДЖЕТ 2004 от  28.11 агл. 2870 АХБпрочие_Дайджест 2003-2004 гг._фIкв EBITDA ОЭМК 28.04.07 4" xfId="1541"/>
    <cellStyle name="_БЮДЖЕТ 2004 от  28.11 агл. 2870 АХБпрочие_Дайджест 2003-2004 гг._фIкв EBITDA ОЭМК 28.04.07 5" xfId="1542"/>
    <cellStyle name="_БЮДЖЕТ 2004 от  28.11 агл. 2870 АХБпрочие_Дайджест 2003-2004 гг._фIкв EBITDA ОЭМК 28.04.07 6" xfId="1543"/>
    <cellStyle name="_БЮДЖЕТ 2004 от  28.11 агл. 2870 АХБпрочие_Дайджест 2003-2004 гг._фIкв EBITDA ОЭМК 28.04.07 7" xfId="1544"/>
    <cellStyle name="_БЮДЖЕТ 2004 от  28.11 агл. 2870 АХБпрочие_Дайджест 2003-2004 гг._фIкв EBITDA ОЭМК 28.04.07 8" xfId="1545"/>
    <cellStyle name="_БЮДЖЕТ 2004 от  28.11 агл. 2870 АХБпрочие_Дайджест 2003-2004 гг._фIкв EBITDA ОЭМК 28.04.07 9" xfId="1546"/>
    <cellStyle name="_БЮДЖЕТ 2004 от  28.11 агл. 2870 АХБпрочие_Дайджест 2003-2004 гг._фIкв EBITDA ОЭМК 28.04.07_Книга2" xfId="1547"/>
    <cellStyle name="_БЮДЖЕТ 2004 от  28.11 агл. 2870 АХБпрочие_Дайджест 2003-2004 гг._Факт_2007_Часть 2" xfId="1548"/>
    <cellStyle name="_БЮДЖЕТ 2004 от  28.11 агл. 2870 АХБпрочие_Дайджест 2003-2004 гг._Факт_2007_Часть 2 2" xfId="1549"/>
    <cellStyle name="_БЮДЖЕТ 2004 от  28.11 агл. 2870 АХБпрочие_Дайджест 2003-2004 гг._Факт_2007_Часть 2 3" xfId="1550"/>
    <cellStyle name="_БЮДЖЕТ 2004 от  28.11 агл. 2870 АХБпрочие_Дайджест 2003-2004 гг._Факт_2007_Часть 2 4" xfId="1551"/>
    <cellStyle name="_БЮДЖЕТ 2004 от  28.11 агл. 2870 АХБпрочие_Дайджест 2003-2004 гг._Факт_2007_Часть 2 5" xfId="1552"/>
    <cellStyle name="_БЮДЖЕТ 2004 от  28.11 агл. 2870 АХБпрочие_Дайджест 2003-2004 гг._Факт_2007_Часть 2 6" xfId="1553"/>
    <cellStyle name="_БЮДЖЕТ 2004 от  28.11 агл. 2870 АХБпрочие_Дайджест 2003-2004 гг._Факт_2007_Часть 2 7" xfId="1554"/>
    <cellStyle name="_БЮДЖЕТ 2004 от  28.11 агл. 2870 АХБпрочие_Дайджест 2003-2004 гг._Факт_2007_Часть 2 8" xfId="1555"/>
    <cellStyle name="_БЮДЖЕТ 2004 от  28.11 агл. 2870 АХБпрочие_Дайджест 2003-2004 гг._Факт_2007_Часть 2 9" xfId="1556"/>
    <cellStyle name="_БЮДЖЕТ 2004 от  28.11 агл. 2870 АХБпрочие_Дайджест 2003-2004 гг._Фин.часть  2007ожид и 2008 план" xfId="1557"/>
    <cellStyle name="_БЮДЖЕТ 2004 от  28.11 агл. 2870 АХБпрочие_Дайджест 2003-2004 гг._Фин.часть  2007ожид и 2008 план 2" xfId="1558"/>
    <cellStyle name="_БЮДЖЕТ 2004 от  28.11 агл. 2870 АХБпрочие_Дайджест 2003-2004 гг._Фин.часть  2007ожид и 2008 план 3" xfId="1559"/>
    <cellStyle name="_БЮДЖЕТ 2004 от  28.11 агл. 2870 АХБпрочие_Дайджест 2003-2004 гг._Фин.часть  2007ожид и 2008 план 4" xfId="1560"/>
    <cellStyle name="_БЮДЖЕТ 2004 от  28.11 агл. 2870 АХБпрочие_Дайджест 2003-2004 гг._Фин.часть  2007ожид и 2008 план 5" xfId="1561"/>
    <cellStyle name="_БЮДЖЕТ 2004 от  28.11 агл. 2870 АХБпрочие_Дайджест 2003-2004 гг._Фин.часть  2007ожид и 2008 план 6" xfId="1562"/>
    <cellStyle name="_БЮДЖЕТ 2004 от  28.11 агл. 2870 АХБпрочие_Дайджест 2003-2004 гг._Фин.часть  2007ожид и 2008 план 7" xfId="1563"/>
    <cellStyle name="_БЮДЖЕТ 2004 от  28.11 агл. 2870 АХБпрочие_Дайджест 2003-2004 гг._Фин.часть  2007ожид и 2008 план 8" xfId="1564"/>
    <cellStyle name="_БЮДЖЕТ 2004 от  28.11 агл. 2870 АХБпрочие_Дайджест 2003-2004 гг._Фин.часть  2007ожид и 2008 план 9" xfId="1565"/>
    <cellStyle name="_БЮДЖЕТ 2004 от  28.11 агл. 2870 АХБпрочие_Дайджест 2003-2004 гг._Фин.часть 11.12.06" xfId="1566"/>
    <cellStyle name="_БЮДЖЕТ 2004 от  28.11 агл. 2870 АХБпрочие_Дайджест 2003-2004 гг._Фин.часть 11.12.06 2" xfId="1567"/>
    <cellStyle name="_БЮДЖЕТ 2004 от  28.11 агл. 2870 АХБпрочие_Дайджест 2003-2004 гг._Фин.часть 11.12.06 3" xfId="1568"/>
    <cellStyle name="_БЮДЖЕТ 2004 от  28.11 агл. 2870 АХБпрочие_Дайджест 2003-2004 гг._Фин.часть 11.12.06 4" xfId="1569"/>
    <cellStyle name="_БЮДЖЕТ 2004 от  28.11 агл. 2870 АХБпрочие_Дайджест 2003-2004 гг._Фин.часть 11.12.06 5" xfId="1570"/>
    <cellStyle name="_БЮДЖЕТ 2004 от  28.11 агл. 2870 АХБпрочие_Дайджест 2003-2004 гг._Фин.часть 11.12.06 6" xfId="1571"/>
    <cellStyle name="_БЮДЖЕТ 2004 от  28.11 агл. 2870 АХБпрочие_Дайджест 2003-2004 гг._Фин.часть 11.12.06 7" xfId="1572"/>
    <cellStyle name="_БЮДЖЕТ 2004 от  28.11 агл. 2870 АХБпрочие_Дайджест 2003-2004 гг._Фин.часть 11.12.06 8" xfId="1573"/>
    <cellStyle name="_БЮДЖЕТ 2004 от  28.11 агл. 2870 АХБпрочие_Дайджест 2003-2004 гг._Фин.часть 11.12.06 9" xfId="1574"/>
    <cellStyle name="_БЮДЖЕТ 2004 от  28.11 агл. 2870 АХБпрочие_Дайджест 2003-2004 гг._Форма  19     27.03.07" xfId="1575"/>
    <cellStyle name="_БЮДЖЕТ 2004 от  28.11 агл. 2870 АХБпрочие_Дайджест 2003-2004 гг._Форма  19     27.03.07 2" xfId="1576"/>
    <cellStyle name="_БЮДЖЕТ 2004 от  28.11 агл. 2870 АХБпрочие_Дайджест 2003-2004 гг._Форма  19     27.03.07 3" xfId="1577"/>
    <cellStyle name="_БЮДЖЕТ 2004 от  28.11 агл. 2870 АХБпрочие_Дайджест 2003-2004 гг._Форма  19     27.03.07 4" xfId="1578"/>
    <cellStyle name="_БЮДЖЕТ 2004 от  28.11 агл. 2870 АХБпрочие_Дайджест 2003-2004 гг._Форма  19     27.03.07 5" xfId="1579"/>
    <cellStyle name="_БЮДЖЕТ 2004 от  28.11 агл. 2870 АХБпрочие_Дайджест 2003-2004 гг._Форма  19     27.03.07 6" xfId="1580"/>
    <cellStyle name="_БЮДЖЕТ 2004 от  28.11 агл. 2870 АХБпрочие_Дайджест 2003-2004 гг._Форма  19     27.03.07 7" xfId="1581"/>
    <cellStyle name="_БЮДЖЕТ 2004 от  28.11 агл. 2870 АХБпрочие_Дайджест 2003-2004 гг._Форма  19     27.03.07 8" xfId="1582"/>
    <cellStyle name="_БЮДЖЕТ 2004 от  28.11 агл. 2870 АХБпрочие_Дайджест 2003-2004 гг._Форма  19     27.03.07 9" xfId="1583"/>
    <cellStyle name="_БЮДЖЕТ 2004 от  28.11 агл. 2870 АХБпрочие_Дайджест 2003-2004 гг._Форма  20,21 25.02.07" xfId="1584"/>
    <cellStyle name="_БЮДЖЕТ 2004 от  28.11 агл. 2870 АХБпрочие_Дайджест 2003-2004 гг._Форма  20,21 25.02.07 2" xfId="1585"/>
    <cellStyle name="_БЮДЖЕТ 2004 от  28.11 агл. 2870 АХБпрочие_Дайджест 2003-2004 гг._Форма  20,21 25.02.07 3" xfId="1586"/>
    <cellStyle name="_БЮДЖЕТ 2004 от  28.11 агл. 2870 АХБпрочие_Дайджест 2003-2004 гг._Форма  20,21 25.02.07 4" xfId="1587"/>
    <cellStyle name="_БЮДЖЕТ 2004 от  28.11 агл. 2870 АХБпрочие_Дайджест 2003-2004 гг._Форма  20,21 25.02.07 5" xfId="1588"/>
    <cellStyle name="_БЮДЖЕТ 2004 от  28.11 агл. 2870 АХБпрочие_Дайджест 2003-2004 гг._Форма  20,21 25.02.07 6" xfId="1589"/>
    <cellStyle name="_БЮДЖЕТ 2004 от  28.11 агл. 2870 АХБпрочие_Дайджест 2003-2004 гг._Форма  20,21 25.02.07 7" xfId="1590"/>
    <cellStyle name="_БЮДЖЕТ 2004 от  28.11 агл. 2870 АХБпрочие_Дайджест 2003-2004 гг._Форма  20,21 25.02.07 8" xfId="1591"/>
    <cellStyle name="_БЮДЖЕТ 2004 от  28.11 агл. 2870 АХБпрочие_Дайджест 2003-2004 гг._Форма  20,21 25.02.07 9" xfId="1592"/>
    <cellStyle name="_БЮДЖЕТ 2004 от  28.11 агл. 2870 АХБпрочие_Дайджест 2003-2004 гг._Форма  20,21 25.02.07_index" xfId="1593"/>
    <cellStyle name="_БЮДЖЕТ 2004 от  28.11 агл. 2870 АХБпрочие_Дайджест 2003-2004 гг._Форма  20,21 25.02.07_Копия Потребность взаиморасч  от 28 02 2008 (2)" xfId="1594"/>
    <cellStyle name="_БЮДЖЕТ 2004 от  28.11 агл. 2870 АХБпрочие_Дайджест 2003-2004 гг._Форма  20,21 25.02.07_Форма№13 (новая от 28 12 09г) февраль версия № и последняя" xfId="1595"/>
    <cellStyle name="_БЮДЖЕТ 2004 от  28.11 агл. 2870 АХБпрочие_Дайджест 2003-2004 гг._Форма _ 2,4,5,30 скорр." xfId="1596"/>
    <cellStyle name="_БЮДЖЕТ 2004 от  28.11 агл. 2870 АХБпрочие_Дайджест 2003-2004 гг._Форма _ 2,4,5,30 скорр._index" xfId="1597"/>
    <cellStyle name="_БЮДЖЕТ 2004 от  28.11 агл. 2870 АХБпрочие_Дайджест 2003-2004 гг._Форма _ 2,4,5,30 скорр._Копия Потребность взаиморасч  от 28 02 2008 (2)" xfId="1598"/>
    <cellStyle name="_БЮДЖЕТ 2004 от  28.11 агл. 2870 АХБпрочие_Дайджест 2003-2004 гг._Форма 19 за 1 кв" xfId="1599"/>
    <cellStyle name="_БЮДЖЕТ 2004 от  28.11 агл. 2870 АХБпрочие_Дайджест 2003-2004 гг._Форма 19 за 1 кв 2" xfId="1600"/>
    <cellStyle name="_БЮДЖЕТ 2004 от  28.11 агл. 2870 АХБпрочие_Дайджест 2003-2004 гг._Форма 19 за 1 кв 3" xfId="1601"/>
    <cellStyle name="_БЮДЖЕТ 2004 от  28.11 агл. 2870 АХБпрочие_Дайджест 2003-2004 гг._Форма 19 за 1 кв 4" xfId="1602"/>
    <cellStyle name="_БЮДЖЕТ 2004 от  28.11 агл. 2870 АХБпрочие_Дайджест 2003-2004 гг._Форма 19 за 1 кв 5" xfId="1603"/>
    <cellStyle name="_БЮДЖЕТ 2004 от  28.11 агл. 2870 АХБпрочие_Дайджест 2003-2004 гг._Форма 19 за 1 кв 6" xfId="1604"/>
    <cellStyle name="_БЮДЖЕТ 2004 от  28.11 агл. 2870 АХБпрочие_Дайджест 2003-2004 гг._Форма 19 за 1 кв 7" xfId="1605"/>
    <cellStyle name="_БЮДЖЕТ 2004 от  28.11 агл. 2870 АХБпрочие_Дайджест 2003-2004 гг._Форма 19 за 1 кв 8" xfId="1606"/>
    <cellStyle name="_БЮДЖЕТ 2004 от  28.11 агл. 2870 АХБпрочие_Дайджест 2003-2004 гг._Форма 19 за 1 кв 9" xfId="1607"/>
    <cellStyle name="_БЮДЖЕТ 2004 от  28.11 агл. 2870 АХБпрочие_Дайджест 2003-2004 гг._Форма 20,21за 1 кв 25.04.07" xfId="1608"/>
    <cellStyle name="_БЮДЖЕТ 2004 от  28.11 агл. 2870 АХБпрочие_Дайджест 2003-2004 гг._Форма 20,21за 1 кв 25.04.07 2" xfId="1609"/>
    <cellStyle name="_БЮДЖЕТ 2004 от  28.11 агл. 2870 АХБпрочие_Дайджест 2003-2004 гг._Форма 20,21за 1 кв 25.04.07 3" xfId="1610"/>
    <cellStyle name="_БЮДЖЕТ 2004 от  28.11 агл. 2870 АХБпрочие_Дайджест 2003-2004 гг._Форма 20,21за 1 кв 25.04.07 4" xfId="1611"/>
    <cellStyle name="_БЮДЖЕТ 2004 от  28.11 агл. 2870 АХБпрочие_Дайджест 2003-2004 гг._Форма 20,21за 1 кв 25.04.07 5" xfId="1612"/>
    <cellStyle name="_БЮДЖЕТ 2004 от  28.11 агл. 2870 АХБпрочие_Дайджест 2003-2004 гг._Форма 20,21за 1 кв 25.04.07 6" xfId="1613"/>
    <cellStyle name="_БЮДЖЕТ 2004 от  28.11 агл. 2870 АХБпрочие_Дайджест 2003-2004 гг._Форма 20,21за 1 кв 25.04.07 7" xfId="1614"/>
    <cellStyle name="_БЮДЖЕТ 2004 от  28.11 агл. 2870 АХБпрочие_Дайджест 2003-2004 гг._Форма 20,21за 1 кв 25.04.07 8" xfId="1615"/>
    <cellStyle name="_БЮДЖЕТ 2004 от  28.11 агл. 2870 АХБпрочие_Дайджест 2003-2004 гг._Форма 20,21за 1 кв 25.04.07 9" xfId="1616"/>
    <cellStyle name="_БЮДЖЕТ 2004 от  28.11 агл. 2870 АХБпрочие_Дайджест 2003-2004 гг._Форма 28" xfId="1617"/>
    <cellStyle name="_БЮДЖЕТ 2004 от  28.11 агл. 2870 АХБпрочие_Дайджест 2003-2004 гг._Форма 28 2" xfId="1618"/>
    <cellStyle name="_БЮДЖЕТ 2004 от  28.11 агл. 2870 АХБпрочие_Дайджест 2003-2004 гг._Форма 28 3" xfId="1619"/>
    <cellStyle name="_БЮДЖЕТ 2004 от  28.11 агл. 2870 АХБпрочие_Дайджест 2003-2004 гг._Форма 28 4" xfId="1620"/>
    <cellStyle name="_БЮДЖЕТ 2004 от  28.11 агл. 2870 АХБпрочие_Дайджест 2003-2004 гг._Форма 28 5" xfId="1621"/>
    <cellStyle name="_БЮДЖЕТ 2004 от  28.11 агл. 2870 АХБпрочие_Дайджест 2003-2004 гг._Форма 28 6" xfId="1622"/>
    <cellStyle name="_БЮДЖЕТ 2004 от  28.11 агл. 2870 АХБпрочие_Дайджест 2003-2004 гг._Форма 28 7" xfId="1623"/>
    <cellStyle name="_БЮДЖЕТ 2004 от  28.11 агл. 2870 АХБпрочие_Дайджест 2003-2004 гг._Форма 28 8" xfId="1624"/>
    <cellStyle name="_БЮДЖЕТ 2004 от  28.11 агл. 2870 АХБпрочие_Дайджест 2003-2004 гг._Форма 28 9" xfId="1625"/>
    <cellStyle name="_БЮДЖЕТ 2004 от  28.11 агл. 2870 АХБпрочие_Дайджест 2003-2004 гг._Форма 28_13,14,28-30" xfId="1626"/>
    <cellStyle name="_БЮДЖЕТ 2004 от  28.11 агл. 2870 АХБпрочие_Дайджест 2003-2004 гг._Форма 28_26-30" xfId="1627"/>
    <cellStyle name="_БЮДЖЕТ 2004 от  28.11 агл. 2870 АХБпрочие_Дайджест 2003-2004 гг._Форма 28_28" xfId="1628"/>
    <cellStyle name="_БЮДЖЕТ 2004 от  28.11 агл. 2870 АХБпрочие_Дайджест 2003-2004 гг._Форма 28_3 квартал" xfId="1629"/>
    <cellStyle name="_БЮДЖЕТ 2004 от  28.11 агл. 2870 АХБпрочие_Дайджест 2003-2004 гг._Форма 28_3 квартал 2" xfId="1630"/>
    <cellStyle name="_БЮДЖЕТ 2004 от  28.11 агл. 2870 АХБпрочие_Дайджест 2003-2004 гг._Форма 28_Книга2" xfId="1631"/>
    <cellStyle name="_БЮДЖЕТ 2004 от  28.11 агл. 2870 АХБпрочие_Дайджест 2003-2004 гг._Форма 28_Копия Динамика цен (УС ) 2006-2009 сверен 30.01.09" xfId="1632"/>
    <cellStyle name="_БЮДЖЕТ 2004 от  28.11 агл. 2870 АХБпрочие_Дайджест 2003-2004 гг._Форма 28_Обжиговая" xfId="1633"/>
    <cellStyle name="_БЮДЖЕТ 2004 от  28.11 агл. 2870 АХБпрочие_Дайджест 2003-2004 гг._Форма 28_Отчет за сентябрь_11_ДСМ" xfId="1634"/>
    <cellStyle name="_БЮДЖЕТ 2004 от  28.11 агл. 2870 АХБпрочие_Дайджест 2003-2004 гг._Форма 28_Стан 150" xfId="1635"/>
    <cellStyle name="_БЮДЖЕТ 2004 от  28.11 агл. 2870 АХБпрочие_Дайджест 2003-2004 гг._Форма 28_фIIIкв Комплект ОЭМК (1-12,18,22) 28.10.08" xfId="1636"/>
    <cellStyle name="_БЮДЖЕТ 2004 от  28.11 агл. 2870 АХБпрочие_Дайджест 2003-2004 гг._Форма 28_Форма №19" xfId="1637"/>
    <cellStyle name="_БЮДЖЕТ 2004 от  28.11 агл. 2870 АХБпрочие_Дайджест 2003-2004 гг._Форма 28_Форма №24" xfId="1638"/>
    <cellStyle name="_БЮДЖЕТ 2004 от  28.11 агл. 2870 АХБпрочие_Дайджест 2003-2004 гг._Форма 28_Формы _28-30 (новые)1" xfId="1639"/>
    <cellStyle name="_БЮДЖЕТ 2004 от  28.11 агл. 2870 АХБпрочие_Дайджест 2003-2004 гг._Форма 28_Формы 28-30" xfId="1640"/>
    <cellStyle name="_БЮДЖЕТ 2004 от  28.11 агл. 2870 АХБпрочие_Дайджест 2003-2004 гг._Форма 28_Формы №28-30 (новые)1" xfId="1641"/>
    <cellStyle name="_БЮДЖЕТ 2004 от  28.11 агл. 2870 АХБпрочие_Дайджест 2003-2004 гг._Форма 28_Шаропрокатный" xfId="1642"/>
    <cellStyle name="_БЮДЖЕТ 2004 от  28.11 агл. 2870 АХБпрочие_Дайджест 2003-2004 гг._Форма 28_ЭНЦ-1" xfId="1643"/>
    <cellStyle name="_БЮДЖЕТ 2004 от  28.11 агл. 2870 АХБпрочие_Дайджест 2003-2004 гг._Форма 9" xfId="1644"/>
    <cellStyle name="_БЮДЖЕТ 2004 от  28.11 агл. 2870 АХБпрочие_Дайджест 2003-2004 гг._Форма 9 2" xfId="1645"/>
    <cellStyle name="_БЮДЖЕТ 2004 от  28.11 агл. 2870 АХБпрочие_Дайджест 2003-2004 гг._Форма 9 3" xfId="1646"/>
    <cellStyle name="_БЮДЖЕТ 2004 от  28.11 агл. 2870 АХБпрочие_Дайджест 2003-2004 гг._Форма 9 4" xfId="1647"/>
    <cellStyle name="_БЮДЖЕТ 2004 от  28.11 агл. 2870 АХБпрочие_Дайджест 2003-2004 гг._Форма 9 5" xfId="1648"/>
    <cellStyle name="_БЮДЖЕТ 2004 от  28.11 агл. 2870 АХБпрочие_Дайджест 2003-2004 гг._Форма 9 6" xfId="1649"/>
    <cellStyle name="_БЮДЖЕТ 2004 от  28.11 агл. 2870 АХБпрочие_Дайджест 2003-2004 гг._Форма 9 7" xfId="1650"/>
    <cellStyle name="_БЮДЖЕТ 2004 от  28.11 агл. 2870 АХБпрочие_Дайджест 2003-2004 гг._Форма 9 8" xfId="1651"/>
    <cellStyle name="_БЮДЖЕТ 2004 от  28.11 агл. 2870 АХБпрочие_Дайджест 2003-2004 гг._Форма 9 9" xfId="1652"/>
    <cellStyle name="_БЮДЖЕТ 2004 от  28.11 агл. 2870 АХБпрочие_Дайджест 2003-2004 гг._Форма № 13, 14" xfId="1653"/>
    <cellStyle name="_БЮДЖЕТ 2004 от  28.11 агл. 2870 АХБпрочие_Дайджест 2003-2004 гг._Форма № 13, 14 2" xfId="1654"/>
    <cellStyle name="_БЮДЖЕТ 2004 от  28.11 агл. 2870 АХБпрочие_Дайджест 2003-2004 гг._Форма № 13, 14 3" xfId="1655"/>
    <cellStyle name="_БЮДЖЕТ 2004 от  28.11 агл. 2870 АХБпрочие_Дайджест 2003-2004 гг._Форма № 13, 14 4" xfId="1656"/>
    <cellStyle name="_БЮДЖЕТ 2004 от  28.11 агл. 2870 АХБпрочие_Дайджест 2003-2004 гг._Форма № 13, 14 5" xfId="1657"/>
    <cellStyle name="_БЮДЖЕТ 2004 от  28.11 агл. 2870 АХБпрочие_Дайджест 2003-2004 гг._Форма № 13, 14 6" xfId="1658"/>
    <cellStyle name="_БЮДЖЕТ 2004 от  28.11 агл. 2870 АХБпрочие_Дайджест 2003-2004 гг._Форма № 13, 14 7" xfId="1659"/>
    <cellStyle name="_БЮДЖЕТ 2004 от  28.11 агл. 2870 АХБпрочие_Дайджест 2003-2004 гг._Форма № 13, 14 8" xfId="1660"/>
    <cellStyle name="_БЮДЖЕТ 2004 от  28.11 агл. 2870 АХБпрочие_Дайджест 2003-2004 гг._Форма № 13, 14 9" xfId="1661"/>
    <cellStyle name="_БЮДЖЕТ 2004 от  28.11 агл. 2870 АХБпрочие_Дайджест 2003-2004 гг._Форма № 19 25.02.07" xfId="1662"/>
    <cellStyle name="_БЮДЖЕТ 2004 от  28.11 агл. 2870 АХБпрочие_Дайджест 2003-2004 гг._Форма № 19 25.02.07 2" xfId="1663"/>
    <cellStyle name="_БЮДЖЕТ 2004 от  28.11 агл. 2870 АХБпрочие_Дайджест 2003-2004 гг._Форма № 19 25.02.07 3" xfId="1664"/>
    <cellStyle name="_БЮДЖЕТ 2004 от  28.11 агл. 2870 АХБпрочие_Дайджест 2003-2004 гг._Форма № 19 25.02.07 4" xfId="1665"/>
    <cellStyle name="_БЮДЖЕТ 2004 от  28.11 агл. 2870 АХБпрочие_Дайджест 2003-2004 гг._Форма № 19 25.02.07 5" xfId="1666"/>
    <cellStyle name="_БЮДЖЕТ 2004 от  28.11 агл. 2870 АХБпрочие_Дайджест 2003-2004 гг._Форма № 19 25.02.07 6" xfId="1667"/>
    <cellStyle name="_БЮДЖЕТ 2004 от  28.11 агл. 2870 АХБпрочие_Дайджест 2003-2004 гг._Форма № 19 25.02.07 7" xfId="1668"/>
    <cellStyle name="_БЮДЖЕТ 2004 от  28.11 агл. 2870 АХБпрочие_Дайджест 2003-2004 гг._Форма № 19 25.02.07 8" xfId="1669"/>
    <cellStyle name="_БЮДЖЕТ 2004 от  28.11 агл. 2870 АХБпрочие_Дайджест 2003-2004 гг._Форма № 19 25.02.07 9" xfId="1670"/>
    <cellStyle name="_БЮДЖЕТ 2004 от  28.11 агл. 2870 АХБпрочие_Дайджест 2003-2004 гг._Форма № 19 25.02.07_index" xfId="1671"/>
    <cellStyle name="_БЮДЖЕТ 2004 от  28.11 агл. 2870 АХБпрочие_Дайджест 2003-2004 гг._Форма № 19 25.02.07_Копия Потребность взаиморасч  от 28 02 2008 (2)" xfId="1672"/>
    <cellStyle name="_БЮДЖЕТ 2004 от  28.11 агл. 2870 АХБпрочие_Дайджест 2003-2004 гг._Форма № 19 25.02.07_Форма№13 (новая от 28 12 09г) февраль версия № и последняя" xfId="1673"/>
    <cellStyle name="_БЮДЖЕТ 2004 от  28.11 агл. 2870 АХБпрочие_Дайджест 2003-2004 гг._Форма № 28, 29, 30 план год 2008 от 05.12.07 для отправки" xfId="1674"/>
    <cellStyle name="_БЮДЖЕТ 2004 от  28.11 агл. 2870 АХБпрочие_Дайджест 2003-2004 гг._Форма № 28, 29, 30 план год 2008 от 05.12.07 для отправки 2" xfId="1675"/>
    <cellStyle name="_БЮДЖЕТ 2004 от  28.11 агл. 2870 АХБпрочие_Дайджест 2003-2004 гг._Форма № 28, 29, 30 план год 2008 от 05.12.07 для отправки 3" xfId="1676"/>
    <cellStyle name="_БЮДЖЕТ 2004 от  28.11 агл. 2870 АХБпрочие_Дайджест 2003-2004 гг._Форма № 28, 29, 30 план год 2008 от 05.12.07 для отправки 4" xfId="1677"/>
    <cellStyle name="_БЮДЖЕТ 2004 от  28.11 агл. 2870 АХБпрочие_Дайджест 2003-2004 гг._Форма № 28, 29, 30 план год 2008 от 05.12.07 для отправки 5" xfId="1678"/>
    <cellStyle name="_БЮДЖЕТ 2004 от  28.11 агл. 2870 АХБпрочие_Дайджест 2003-2004 гг._Форма № 28, 29, 30 план год 2008 от 05.12.07 для отправки 6" xfId="1679"/>
    <cellStyle name="_БЮДЖЕТ 2004 от  28.11 агл. 2870 АХБпрочие_Дайджест 2003-2004 гг._Форма № 28, 29, 30 план год 2008 от 05.12.07 для отправки 7" xfId="1680"/>
    <cellStyle name="_БЮДЖЕТ 2004 от  28.11 агл. 2870 АХБпрочие_Дайджест 2003-2004 гг._Форма № 28, 29, 30 план год 2008 от 05.12.07 для отправки 8" xfId="1681"/>
    <cellStyle name="_БЮДЖЕТ 2004 от  28.11 агл. 2870 АХБпрочие_Дайджест 2003-2004 гг._Форма № 28, 29, 30 план год 2008 от 05.12.07 для отправки 9" xfId="1682"/>
    <cellStyle name="_БЮДЖЕТ 2004 от  28.11 агл. 2870 АХБпрочие_Дайджест 2003-2004 гг._Форма № 29" xfId="1683"/>
    <cellStyle name="_БЮДЖЕТ 2004 от  28.11 агл. 2870 АХБпрочие_Дайджест 2003-2004 гг._Форма № 29 2" xfId="1684"/>
    <cellStyle name="_БЮДЖЕТ 2004 от  28.11 агл. 2870 АХБпрочие_Дайджест 2003-2004 гг._Форма № 29 3" xfId="1685"/>
    <cellStyle name="_БЮДЖЕТ 2004 от  28.11 агл. 2870 АХБпрочие_Дайджест 2003-2004 гг._Форма № 29 4" xfId="1686"/>
    <cellStyle name="_БЮДЖЕТ 2004 от  28.11 агл. 2870 АХБпрочие_Дайджест 2003-2004 гг._Форма № 29 5" xfId="1687"/>
    <cellStyle name="_БЮДЖЕТ 2004 от  28.11 агл. 2870 АХБпрочие_Дайджест 2003-2004 гг._Форма № 29 6" xfId="1688"/>
    <cellStyle name="_БЮДЖЕТ 2004 от  28.11 агл. 2870 АХБпрочие_Дайджест 2003-2004 гг._Форма № 29 7" xfId="1689"/>
    <cellStyle name="_БЮДЖЕТ 2004 от  28.11 агл. 2870 АХБпрочие_Дайджест 2003-2004 гг._Форма № 29 8" xfId="1690"/>
    <cellStyle name="_БЮДЖЕТ 2004 от  28.11 агл. 2870 АХБпрочие_Дайджест 2003-2004 гг._Форма № 29 9" xfId="1691"/>
    <cellStyle name="_БЮДЖЕТ 2004 от  28.11 агл. 2870 АХБпрочие_Дайджест 2003-2004 гг._Форма № 30  26.02.07" xfId="1692"/>
    <cellStyle name="_БЮДЖЕТ 2004 от  28.11 агл. 2870 АХБпрочие_Дайджест 2003-2004 гг._Форма №13" xfId="1693"/>
    <cellStyle name="_БЮДЖЕТ 2004 от  28.11 агл. 2870 АХБпрочие_Дайджест 2003-2004 гг._Форма №13 2" xfId="1694"/>
    <cellStyle name="_БЮДЖЕТ 2004 от  28.11 агл. 2870 АХБпрочие_Дайджест 2003-2004 гг._Форма №13 3" xfId="1695"/>
    <cellStyle name="_БЮДЖЕТ 2004 от  28.11 агл. 2870 АХБпрочие_Дайджест 2003-2004 гг._Форма №13 4" xfId="1696"/>
    <cellStyle name="_БЮДЖЕТ 2004 от  28.11 агл. 2870 АХБпрочие_Дайджест 2003-2004 гг._Форма №13 5" xfId="1697"/>
    <cellStyle name="_БЮДЖЕТ 2004 от  28.11 агл. 2870 АХБпрочие_Дайджест 2003-2004 гг._Форма №13 6" xfId="1698"/>
    <cellStyle name="_БЮДЖЕТ 2004 от  28.11 агл. 2870 АХБпрочие_Дайджест 2003-2004 гг._Форма №13 7" xfId="1699"/>
    <cellStyle name="_БЮДЖЕТ 2004 от  28.11 агл. 2870 АХБпрочие_Дайджест 2003-2004 гг._Форма №13 8" xfId="1700"/>
    <cellStyle name="_БЮДЖЕТ 2004 от  28.11 агл. 2870 АХБпрочие_Дайджест 2003-2004 гг._Форма №13 9" xfId="1701"/>
    <cellStyle name="_БЮДЖЕТ 2004 от  28.11 агл. 2870 АХБпрочие_Дайджест 2003-2004 гг._Форма №13, 14 от 25.04.07" xfId="1702"/>
    <cellStyle name="_БЮДЖЕТ 2004 от  28.11 агл. 2870 АХБпрочие_Дайджест 2003-2004 гг._Форма №13, 14 от 25.04.07 2" xfId="1703"/>
    <cellStyle name="_БЮДЖЕТ 2004 от  28.11 агл. 2870 АХБпрочие_Дайджест 2003-2004 гг._Форма №13, 14 от 25.04.07 3" xfId="1704"/>
    <cellStyle name="_БЮДЖЕТ 2004 от  28.11 агл. 2870 АХБпрочие_Дайджест 2003-2004 гг._Форма №13, 14 от 25.04.07 4" xfId="1705"/>
    <cellStyle name="_БЮДЖЕТ 2004 от  28.11 агл. 2870 АХБпрочие_Дайджест 2003-2004 гг._Форма №13, 14 от 25.04.07 5" xfId="1706"/>
    <cellStyle name="_БЮДЖЕТ 2004 от  28.11 агл. 2870 АХБпрочие_Дайджест 2003-2004 гг._Форма №13, 14 от 25.04.07 6" xfId="1707"/>
    <cellStyle name="_БЮДЖЕТ 2004 от  28.11 агл. 2870 АХБпрочие_Дайджест 2003-2004 гг._Форма №13, 14 от 25.04.07 7" xfId="1708"/>
    <cellStyle name="_БЮДЖЕТ 2004 от  28.11 агл. 2870 АХБпрочие_Дайджест 2003-2004 гг._Форма №13, 14 от 25.04.07 8" xfId="1709"/>
    <cellStyle name="_БЮДЖЕТ 2004 от  28.11 агл. 2870 АХБпрочие_Дайджест 2003-2004 гг._Форма №13, 14 от 25.04.07 9" xfId="1710"/>
    <cellStyle name="_БЮДЖЕТ 2004 от  28.11 агл. 2870 АХБпрочие_Дайджест 2003-2004 гг._Форма №14" xfId="1711"/>
    <cellStyle name="_БЮДЖЕТ 2004 от  28.11 агл. 2870 АХБпрочие_Дайджест 2003-2004 гг._Форма №14 2" xfId="1712"/>
    <cellStyle name="_БЮДЖЕТ 2004 от  28.11 агл. 2870 АХБпрочие_Дайджест 2003-2004 гг._Форма №14 3" xfId="1713"/>
    <cellStyle name="_БЮДЖЕТ 2004 от  28.11 агл. 2870 АХБпрочие_Дайджест 2003-2004 гг._Форма №14 4" xfId="1714"/>
    <cellStyle name="_БЮДЖЕТ 2004 от  28.11 агл. 2870 АХБпрочие_Дайджест 2003-2004 гг._Форма №14 5" xfId="1715"/>
    <cellStyle name="_БЮДЖЕТ 2004 от  28.11 агл. 2870 АХБпрочие_Дайджест 2003-2004 гг._Форма №14 6" xfId="1716"/>
    <cellStyle name="_БЮДЖЕТ 2004 от  28.11 агл. 2870 АХБпрочие_Дайджест 2003-2004 гг._Форма №14 7" xfId="1717"/>
    <cellStyle name="_БЮДЖЕТ 2004 от  28.11 агл. 2870 АХБпрочие_Дайджест 2003-2004 гг._Форма №14 8" xfId="1718"/>
    <cellStyle name="_БЮДЖЕТ 2004 от  28.11 агл. 2870 АХБпрочие_Дайджест 2003-2004 гг._Форма №14 9" xfId="1719"/>
    <cellStyle name="_БЮДЖЕТ 2004 от  28.11 агл. 2870 АХБпрочие_Дайджест 2003-2004 гг._Форма №19" xfId="1720"/>
    <cellStyle name="_БЮДЖЕТ 2004 от  28.11 агл. 2870 АХБпрочие_Дайджест 2003-2004 гг._Форма №19 июль факт" xfId="1721"/>
    <cellStyle name="_БЮДЖЕТ 2004 от  28.11 агл. 2870 АХБпрочие_Дайджест 2003-2004 гг._Форма №24" xfId="1722"/>
    <cellStyle name="_БЮДЖЕТ 2004 от  28.11 агл. 2870 АХБпрочие_Дайджест 2003-2004 гг._форма №24 от 07.12.2006г" xfId="1723"/>
    <cellStyle name="_БЮДЖЕТ 2004 от  28.11 агл. 2870 АХБпрочие_Дайджест 2003-2004 гг._форма №24 от 07.12.2006г 2" xfId="1724"/>
    <cellStyle name="_БЮДЖЕТ 2004 от  28.11 агл. 2870 АХБпрочие_Дайджест 2003-2004 гг._форма №24 от 07.12.2006г 3" xfId="1725"/>
    <cellStyle name="_БЮДЖЕТ 2004 от  28.11 агл. 2870 АХБпрочие_Дайджест 2003-2004 гг._форма №24 от 07.12.2006г 4" xfId="1726"/>
    <cellStyle name="_БЮДЖЕТ 2004 от  28.11 агл. 2870 АХБпрочие_Дайджест 2003-2004 гг._форма №24 от 07.12.2006г 5" xfId="1727"/>
    <cellStyle name="_БЮДЖЕТ 2004 от  28.11 агл. 2870 АХБпрочие_Дайджест 2003-2004 гг._форма №24 от 07.12.2006г 6" xfId="1728"/>
    <cellStyle name="_БЮДЖЕТ 2004 от  28.11 агл. 2870 АХБпрочие_Дайджест 2003-2004 гг._форма №24 от 07.12.2006г 7" xfId="1729"/>
    <cellStyle name="_БЮДЖЕТ 2004 от  28.11 агл. 2870 АХБпрочие_Дайджест 2003-2004 гг._форма №24 от 07.12.2006г 8" xfId="1730"/>
    <cellStyle name="_БЮДЖЕТ 2004 от  28.11 агл. 2870 АХБпрочие_Дайджест 2003-2004 гг._форма №24 от 07.12.2006г 9" xfId="1731"/>
    <cellStyle name="_БЮДЖЕТ 2004 от  28.11 агл. 2870 АХБпрочие_Дайджест 2003-2004 гг._форма №24 от 11.12.2006г" xfId="1732"/>
    <cellStyle name="_БЮДЖЕТ 2004 от  28.11 агл. 2870 АХБпрочие_Дайджест 2003-2004 гг._форма №24 от 11.12.2006г 2" xfId="1733"/>
    <cellStyle name="_БЮДЖЕТ 2004 от  28.11 агл. 2870 АХБпрочие_Дайджест 2003-2004 гг._форма №24 от 11.12.2006г 3" xfId="1734"/>
    <cellStyle name="_БЮДЖЕТ 2004 от  28.11 агл. 2870 АХБпрочие_Дайджест 2003-2004 гг._форма №24 от 11.12.2006г 4" xfId="1735"/>
    <cellStyle name="_БЮДЖЕТ 2004 от  28.11 агл. 2870 АХБпрочие_Дайджест 2003-2004 гг._форма №24 от 11.12.2006г 5" xfId="1736"/>
    <cellStyle name="_БЮДЖЕТ 2004 от  28.11 агл. 2870 АХБпрочие_Дайджест 2003-2004 гг._форма №24 от 11.12.2006г 6" xfId="1737"/>
    <cellStyle name="_БЮДЖЕТ 2004 от  28.11 агл. 2870 АХБпрочие_Дайджест 2003-2004 гг._форма №24 от 11.12.2006г 7" xfId="1738"/>
    <cellStyle name="_БЮДЖЕТ 2004 от  28.11 агл. 2870 АХБпрочие_Дайджест 2003-2004 гг._форма №24 от 11.12.2006г 8" xfId="1739"/>
    <cellStyle name="_БЮДЖЕТ 2004 от  28.11 агл. 2870 АХБпрочие_Дайджест 2003-2004 гг._форма №24 от 11.12.2006г 9" xfId="1740"/>
    <cellStyle name="_БЮДЖЕТ 2004 от  28.11 агл. 2870 АХБпрочие_Дайджест 2003-2004 гг._форма №24 от 15.12.2006г" xfId="1741"/>
    <cellStyle name="_БЮДЖЕТ 2004 от  28.11 агл. 2870 АХБпрочие_Дайджест 2003-2004 гг._форма №24 от 15.12.2006г 2" xfId="1742"/>
    <cellStyle name="_БЮДЖЕТ 2004 от  28.11 агл. 2870 АХБпрочие_Дайджест 2003-2004 гг._форма №24 от 15.12.2006г 3" xfId="1743"/>
    <cellStyle name="_БЮДЖЕТ 2004 от  28.11 агл. 2870 АХБпрочие_Дайджест 2003-2004 гг._форма №24 от 15.12.2006г 4" xfId="1744"/>
    <cellStyle name="_БЮДЖЕТ 2004 от  28.11 агл. 2870 АХБпрочие_Дайджест 2003-2004 гг._форма №24 от 15.12.2006г 5" xfId="1745"/>
    <cellStyle name="_БЮДЖЕТ 2004 от  28.11 агл. 2870 АХБпрочие_Дайджест 2003-2004 гг._форма №24 от 15.12.2006г 6" xfId="1746"/>
    <cellStyle name="_БЮДЖЕТ 2004 от  28.11 агл. 2870 АХБпрочие_Дайджест 2003-2004 гг._форма №24 от 15.12.2006г 7" xfId="1747"/>
    <cellStyle name="_БЮДЖЕТ 2004 от  28.11 агл. 2870 АХБпрочие_Дайджест 2003-2004 гг._форма №24 от 15.12.2006г 8" xfId="1748"/>
    <cellStyle name="_БЮДЖЕТ 2004 от  28.11 агл. 2870 АХБпрочие_Дайджест 2003-2004 гг._форма №24 от 15.12.2006г 9" xfId="1749"/>
    <cellStyle name="_БЮДЖЕТ 2004 от  28.11 агл. 2870 АХБпрочие_Дайджест 2003-2004 гг._форма №24,25 2 кв. от 02.04.07" xfId="1750"/>
    <cellStyle name="_БЮДЖЕТ 2004 от  28.11 агл. 2870 АХБпрочие_Дайджест 2003-2004 гг._Форма №24,25 за 1 кв 2007" xfId="1751"/>
    <cellStyle name="_БЮДЖЕТ 2004 от  28.11 агл. 2870 АХБпрочие_Дайджест 2003-2004 гг._Форма №24,25 за 1 кв 2007 2" xfId="1752"/>
    <cellStyle name="_БЮДЖЕТ 2004 от  28.11 агл. 2870 АХБпрочие_Дайджест 2003-2004 гг._Форма №24,25 за 1 кв 2007 3" xfId="1753"/>
    <cellStyle name="_БЮДЖЕТ 2004 от  28.11 агл. 2870 АХБпрочие_Дайджест 2003-2004 гг._Форма №24,25 за 1 кв 2007 4" xfId="1754"/>
    <cellStyle name="_БЮДЖЕТ 2004 от  28.11 агл. 2870 АХБпрочие_Дайджест 2003-2004 гг._Форма №24,25 за 1 кв 2007 5" xfId="1755"/>
    <cellStyle name="_БЮДЖЕТ 2004 от  28.11 агл. 2870 АХБпрочие_Дайджест 2003-2004 гг._Форма №24,25 за 1 кв 2007 6" xfId="1756"/>
    <cellStyle name="_БЮДЖЕТ 2004 от  28.11 агл. 2870 АХБпрочие_Дайджест 2003-2004 гг._Форма №24,25 за 1 кв 2007 7" xfId="1757"/>
    <cellStyle name="_БЮДЖЕТ 2004 от  28.11 агл. 2870 АХБпрочие_Дайджест 2003-2004 гг._Форма №24,25 за 1 кв 2007 8" xfId="1758"/>
    <cellStyle name="_БЮДЖЕТ 2004 от  28.11 агл. 2870 АХБпрочие_Дайджест 2003-2004 гг._Форма №24,25 за 1 кв 2007 9" xfId="1759"/>
    <cellStyle name="_БЮДЖЕТ 2004 от  28.11 агл. 2870 АХБпрочие_Дайджест 2003-2004 гг._Форма №24,25 за янв 2007" xfId="1760"/>
    <cellStyle name="_БЮДЖЕТ 2004 от  28.11 агл. 2870 АХБпрочие_Дайджест 2003-2004 гг._Форма №24,25 за янв 2007 2" xfId="1761"/>
    <cellStyle name="_БЮДЖЕТ 2004 от  28.11 агл. 2870 АХБпрочие_Дайджест 2003-2004 гг._Форма №24,25 за янв 2007 3" xfId="1762"/>
    <cellStyle name="_БЮДЖЕТ 2004 от  28.11 агл. 2870 АХБпрочие_Дайджест 2003-2004 гг._Форма №24,25 за янв 2007 4" xfId="1763"/>
    <cellStyle name="_БЮДЖЕТ 2004 от  28.11 агл. 2870 АХБпрочие_Дайджест 2003-2004 гг._Форма №24,25 за янв 2007 5" xfId="1764"/>
    <cellStyle name="_БЮДЖЕТ 2004 от  28.11 агл. 2870 АХБпрочие_Дайджест 2003-2004 гг._Форма №24,25 за янв 2007 6" xfId="1765"/>
    <cellStyle name="_БЮДЖЕТ 2004 от  28.11 агл. 2870 АХБпрочие_Дайджест 2003-2004 гг._Форма №24,25 за янв 2007 7" xfId="1766"/>
    <cellStyle name="_БЮДЖЕТ 2004 от  28.11 агл. 2870 АХБпрочие_Дайджест 2003-2004 гг._Форма №24,25 за янв 2007 8" xfId="1767"/>
    <cellStyle name="_БЮДЖЕТ 2004 от  28.11 агл. 2870 АХБпрочие_Дайджест 2003-2004 гг._Форма №24,25 за янв 2007 9" xfId="1768"/>
    <cellStyle name="_БЮДЖЕТ 2004 от  28.11 агл. 2870 АХБпрочие_Дайджест 2003-2004 гг._Форма №24,25 за янв 2007_index" xfId="1769"/>
    <cellStyle name="_БЮДЖЕТ 2004 от  28.11 агл. 2870 АХБпрочие_Дайджест 2003-2004 гг._Форма №24,25 за янв 2007_Копия Потребность взаиморасч  от 28 02 2008 (2)" xfId="1770"/>
    <cellStyle name="_БЮДЖЕТ 2004 от  28.11 агл. 2870 АХБпрочие_Дайджест 2003-2004 гг._Форма №24,25 за янв 2007_Форма№13 (новая от 28 12 09г) февраль версия № и последняя" xfId="1771"/>
    <cellStyle name="_БЮДЖЕТ 2004 от  28.11 агл. 2870 АХБпрочие_Дайджест 2003-2004 гг._Форма №26 1 кв" xfId="1772"/>
    <cellStyle name="_БЮДЖЕТ 2004 от  28.11 агл. 2870 АХБпрочие_Дайджест 2003-2004 гг._Форма №26 1 кв 2" xfId="1773"/>
    <cellStyle name="_БЮДЖЕТ 2004 от  28.11 агл. 2870 АХБпрочие_Дайджест 2003-2004 гг._Форма №26 1 кв 3" xfId="1774"/>
    <cellStyle name="_БЮДЖЕТ 2004 от  28.11 агл. 2870 АХБпрочие_Дайджест 2003-2004 гг._Форма №26 1 кв 4" xfId="1775"/>
    <cellStyle name="_БЮДЖЕТ 2004 от  28.11 агл. 2870 АХБпрочие_Дайджест 2003-2004 гг._Форма №26 1 кв 5" xfId="1776"/>
    <cellStyle name="_БЮДЖЕТ 2004 от  28.11 агл. 2870 АХБпрочие_Дайджест 2003-2004 гг._Форма №26 1 кв 6" xfId="1777"/>
    <cellStyle name="_БЮДЖЕТ 2004 от  28.11 агл. 2870 АХБпрочие_Дайджест 2003-2004 гг._Форма №26 1 кв 7" xfId="1778"/>
    <cellStyle name="_БЮДЖЕТ 2004 от  28.11 агл. 2870 АХБпрочие_Дайджест 2003-2004 гг._Форма №26 1 кв 8" xfId="1779"/>
    <cellStyle name="_БЮДЖЕТ 2004 от  28.11 агл. 2870 АХБпрочие_Дайджест 2003-2004 гг._Форма №26 1 кв 9" xfId="1780"/>
    <cellStyle name="_БЮДЖЕТ 2004 от  28.11 агл. 2870 АХБпрочие_Дайджест 2003-2004 гг._Форма №27 1 кв" xfId="1781"/>
    <cellStyle name="_БЮДЖЕТ 2004 от  28.11 агл. 2870 АХБпрочие_Дайджест 2003-2004 гг._Форма №27 1 кв 2" xfId="1782"/>
    <cellStyle name="_БЮДЖЕТ 2004 от  28.11 агл. 2870 АХБпрочие_Дайджест 2003-2004 гг._Форма №27 1 кв 3" xfId="1783"/>
    <cellStyle name="_БЮДЖЕТ 2004 от  28.11 агл. 2870 АХБпрочие_Дайджест 2003-2004 гг._Форма №27 1 кв 4" xfId="1784"/>
    <cellStyle name="_БЮДЖЕТ 2004 от  28.11 агл. 2870 АХБпрочие_Дайджест 2003-2004 гг._Форма №27 1 кв 5" xfId="1785"/>
    <cellStyle name="_БЮДЖЕТ 2004 от  28.11 агл. 2870 АХБпрочие_Дайджест 2003-2004 гг._Форма №27 1 кв 6" xfId="1786"/>
    <cellStyle name="_БЮДЖЕТ 2004 от  28.11 агл. 2870 АХБпрочие_Дайджест 2003-2004 гг._Форма №27 1 кв 7" xfId="1787"/>
    <cellStyle name="_БЮДЖЕТ 2004 от  28.11 агл. 2870 АХБпрочие_Дайджест 2003-2004 гг._Форма №27 1 кв 8" xfId="1788"/>
    <cellStyle name="_БЮДЖЕТ 2004 от  28.11 агл. 2870 АХБпрочие_Дайджест 2003-2004 гг._Форма №27 1 кв 9" xfId="1789"/>
    <cellStyle name="_БЮДЖЕТ 2004 от  28.11 агл. 2870 АХБпрочие_Дайджест 2003-2004 гг._Форма №8" xfId="1790"/>
    <cellStyle name="_БЮДЖЕТ 2004 от  28.11 агл. 2870 АХБпрочие_Дайджест 2003-2004 гг._Форма №8 2" xfId="1791"/>
    <cellStyle name="_БЮДЖЕТ 2004 от  28.11 агл. 2870 АХБпрочие_Дайджест 2003-2004 гг._Форма №8 3" xfId="1792"/>
    <cellStyle name="_БЮДЖЕТ 2004 от  28.11 агл. 2870 АХБпрочие_Дайджест 2003-2004 гг._Форма №8 4" xfId="1793"/>
    <cellStyle name="_БЮДЖЕТ 2004 от  28.11 агл. 2870 АХБпрочие_Дайджест 2003-2004 гг._Форма №8 5" xfId="1794"/>
    <cellStyle name="_БЮДЖЕТ 2004 от  28.11 агл. 2870 АХБпрочие_Дайджест 2003-2004 гг._Форма №8 6" xfId="1795"/>
    <cellStyle name="_БЮДЖЕТ 2004 от  28.11 агл. 2870 АХБпрочие_Дайджест 2003-2004 гг._Форма №8 7" xfId="1796"/>
    <cellStyle name="_БЮДЖЕТ 2004 от  28.11 агл. 2870 АХБпрочие_Дайджест 2003-2004 гг._Форма №8 8" xfId="1797"/>
    <cellStyle name="_БЮДЖЕТ 2004 от  28.11 агл. 2870 АХБпрочие_Дайджест 2003-2004 гг._Форма №8 9" xfId="1798"/>
    <cellStyle name="_БЮДЖЕТ 2004 от  28.11 агл. 2870 АХБпрочие_Дайджест 2003-2004 гг._форма презентации по численности и зарплате" xfId="1799"/>
    <cellStyle name="_БЮДЖЕТ 2004 от  28.11 агл. 2870 АХБпрочие_Дайджест 2003-2004 гг._форма презентации по численности и зарплате 2" xfId="1800"/>
    <cellStyle name="_БЮДЖЕТ 2004 от  28.11 агл. 2870 АХБпрочие_Дайджест 2003-2004 гг._форма презентации по численности и зарплате 3" xfId="1801"/>
    <cellStyle name="_БЮДЖЕТ 2004 от  28.11 агл. 2870 АХБпрочие_Дайджест 2003-2004 гг._форма презентации по численности и зарплате 4" xfId="1802"/>
    <cellStyle name="_БЮДЖЕТ 2004 от  28.11 агл. 2870 АХБпрочие_Дайджест 2003-2004 гг._форма презентации по численности и зарплате 5" xfId="1803"/>
    <cellStyle name="_БЮДЖЕТ 2004 от  28.11 агл. 2870 АХБпрочие_Дайджест 2003-2004 гг._форма презентации по численности и зарплате 6" xfId="1804"/>
    <cellStyle name="_БЮДЖЕТ 2004 от  28.11 агл. 2870 АХБпрочие_Дайджест 2003-2004 гг._форма презентации по численности и зарплате 7" xfId="1805"/>
    <cellStyle name="_БЮДЖЕТ 2004 от  28.11 агл. 2870 АХБпрочие_Дайджест 2003-2004 гг._форма презентации по численности и зарплате 8" xfId="1806"/>
    <cellStyle name="_БЮДЖЕТ 2004 от  28.11 агл. 2870 АХБпрочие_Дайджест 2003-2004 гг._форма презентации по численности и зарплате 9" xfId="1807"/>
    <cellStyle name="_БЮДЖЕТ 2004 от  28.11 агл. 2870 АХБпрочие_Дайджест 2003-2004 гг._Форма№13 (новая от 28 12 09г) февраль версия № и последняя" xfId="1808"/>
    <cellStyle name="_БЮДЖЕТ 2004 от  28.11 агл. 2870 АХБпрочие_Дайджест 2003-2004 гг._Формат" xfId="1809"/>
    <cellStyle name="_БЮДЖЕТ 2004 от  28.11 агл. 2870 АХБпрочие_Дайджест 2003-2004 гг._формат отчетности(фев с март)" xfId="1810"/>
    <cellStyle name="_БЮДЖЕТ 2004 от  28.11 агл. 2870 АХБпрочие_Дайджест 2003-2004 гг._Формат Январь прогноз" xfId="1811"/>
    <cellStyle name="_БЮДЖЕТ 2004 от  28.11 агл. 2870 АХБпрочие_Дайджест 2003-2004 гг._Формы _28-30 (новые)1" xfId="1812"/>
    <cellStyle name="_БЮДЖЕТ 2004 от  28.11 агл. 2870 АХБпрочие_Дайджест 2003-2004 гг._Формы 19,20,21" xfId="1813"/>
    <cellStyle name="_БЮДЖЕТ 2004 от  28.11 агл. 2870 АХБпрочие_Дайджест 2003-2004 гг._Формы 19,20,21 16.12.06 " xfId="1814"/>
    <cellStyle name="_БЮДЖЕТ 2004 от  28.11 агл. 2870 АХБпрочие_Дайджест 2003-2004 гг._Формы 19,20,21 16.12.06  2" xfId="1815"/>
    <cellStyle name="_БЮДЖЕТ 2004 от  28.11 агл. 2870 АХБпрочие_Дайджест 2003-2004 гг._Формы 19,20,21 16.12.06  3" xfId="1816"/>
    <cellStyle name="_БЮДЖЕТ 2004 от  28.11 агл. 2870 АХБпрочие_Дайджест 2003-2004 гг._Формы 19,20,21 16.12.06  4" xfId="1817"/>
    <cellStyle name="_БЮДЖЕТ 2004 от  28.11 агл. 2870 АХБпрочие_Дайджест 2003-2004 гг._Формы 19,20,21 16.12.06  5" xfId="1818"/>
    <cellStyle name="_БЮДЖЕТ 2004 от  28.11 агл. 2870 АХБпрочие_Дайджест 2003-2004 гг._Формы 19,20,21 16.12.06  6" xfId="1819"/>
    <cellStyle name="_БЮДЖЕТ 2004 от  28.11 агл. 2870 АХБпрочие_Дайджест 2003-2004 гг._Формы 19,20,21 16.12.06  7" xfId="1820"/>
    <cellStyle name="_БЮДЖЕТ 2004 от  28.11 агл. 2870 АХБпрочие_Дайджест 2003-2004 гг._Формы 19,20,21 16.12.06  8" xfId="1821"/>
    <cellStyle name="_БЮДЖЕТ 2004 от  28.11 агл. 2870 АХБпрочие_Дайджест 2003-2004 гг._Формы 19,20,21 16.12.06  9" xfId="1822"/>
    <cellStyle name="_БЮДЖЕТ 2004 от  28.11 агл. 2870 АХБпрочие_Дайджест 2003-2004 гг._Формы 19,20,21 2" xfId="1823"/>
    <cellStyle name="_БЮДЖЕТ 2004 от  28.11 агл. 2870 АХБпрочие_Дайджест 2003-2004 гг._Формы 19,20,21 3" xfId="1824"/>
    <cellStyle name="_БЮДЖЕТ 2004 от  28.11 агл. 2870 АХБпрочие_Дайджест 2003-2004 гг._Формы 19,20,21 4" xfId="1825"/>
    <cellStyle name="_БЮДЖЕТ 2004 от  28.11 агл. 2870 АХБпрочие_Дайджест 2003-2004 гг._Формы 19,20,21 5" xfId="1826"/>
    <cellStyle name="_БЮДЖЕТ 2004 от  28.11 агл. 2870 АХБпрочие_Дайджест 2003-2004 гг._Формы 19,20,21 6" xfId="1827"/>
    <cellStyle name="_БЮДЖЕТ 2004 от  28.11 агл. 2870 АХБпрочие_Дайджест 2003-2004 гг._Формы 19,20,21 7" xfId="1828"/>
    <cellStyle name="_БЮДЖЕТ 2004 от  28.11 агл. 2870 АХБпрочие_Дайджест 2003-2004 гг._Формы 19,20,21 8" xfId="1829"/>
    <cellStyle name="_БЮДЖЕТ 2004 от  28.11 агл. 2870 АХБпрочие_Дайджест 2003-2004 гг._Формы 19,20,21 9" xfId="1830"/>
    <cellStyle name="_БЮДЖЕТ 2004 от  28.11 агл. 2870 АХБпрочие_Дайджест 2003-2004 гг._Формы 19,20,21 на 2007г." xfId="1831"/>
    <cellStyle name="_БЮДЖЕТ 2004 от  28.11 агл. 2870 АХБпрочие_Дайджест 2003-2004 гг._Формы 19,20,21 на 2007г. 2" xfId="1832"/>
    <cellStyle name="_БЮДЖЕТ 2004 от  28.11 агл. 2870 АХБпрочие_Дайджест 2003-2004 гг._Формы 19,20,21 на 2007г. 3" xfId="1833"/>
    <cellStyle name="_БЮДЖЕТ 2004 от  28.11 агл. 2870 АХБпрочие_Дайджест 2003-2004 гг._Формы 19,20,21 на 2007г. 4" xfId="1834"/>
    <cellStyle name="_БЮДЖЕТ 2004 от  28.11 агл. 2870 АХБпрочие_Дайджест 2003-2004 гг._Формы 19,20,21 на 2007г. 5" xfId="1835"/>
    <cellStyle name="_БЮДЖЕТ 2004 от  28.11 агл. 2870 АХБпрочие_Дайджест 2003-2004 гг._Формы 19,20,21 на 2007г. 6" xfId="1836"/>
    <cellStyle name="_БЮДЖЕТ 2004 от  28.11 агл. 2870 АХБпрочие_Дайджест 2003-2004 гг._Формы 19,20,21 на 2007г. 7" xfId="1837"/>
    <cellStyle name="_БЮДЖЕТ 2004 от  28.11 агл. 2870 АХБпрочие_Дайджест 2003-2004 гг._Формы 19,20,21 на 2007г. 8" xfId="1838"/>
    <cellStyle name="_БЮДЖЕТ 2004 от  28.11 агл. 2870 АХБпрочие_Дайджест 2003-2004 гг._Формы 19,20,21 на 2007г. 9" xfId="1839"/>
    <cellStyle name="_БЮДЖЕТ 2004 от  28.11 агл. 2870 АХБпрочие_Дайджест 2003-2004 гг._Формы 28-30" xfId="1840"/>
    <cellStyle name="_БЮДЖЕТ 2004 от  28.11 агл. 2870 АХБпрочие_Дайджест 2003-2004 гг._Формы №28-30 (новые)1" xfId="1841"/>
    <cellStyle name="_БЮДЖЕТ 2004 от  28.11 агл. 2870 АХБпрочие_Дайджест 2003-2004 гг._Формы Август-декбарь" xfId="1842"/>
    <cellStyle name="_БЮДЖЕТ 2004 от  28.11 агл. 2870 АХБпрочие_Дайджест 2003-2004 гг._Формы Август-декбарь 2" xfId="1843"/>
    <cellStyle name="_БЮДЖЕТ 2004 от  28.11 агл. 2870 АХБпрочие_Дайджест 2003-2004 гг._Формы Август-декбарь 3" xfId="1844"/>
    <cellStyle name="_БЮДЖЕТ 2004 от  28.11 агл. 2870 АХБпрочие_Дайджест 2003-2004 гг._Формы Август-декбарь 4" xfId="1845"/>
    <cellStyle name="_БЮДЖЕТ 2004 от  28.11 агл. 2870 АХБпрочие_Дайджест 2003-2004 гг._Формы Август-декбарь 5" xfId="1846"/>
    <cellStyle name="_БЮДЖЕТ 2004 от  28.11 агл. 2870 АХБпрочие_Дайджест 2003-2004 гг._Формы Август-декбарь 6" xfId="1847"/>
    <cellStyle name="_БЮДЖЕТ 2004 от  28.11 агл. 2870 АХБпрочие_Дайджест 2003-2004 гг._Формы Август-декбарь 7" xfId="1848"/>
    <cellStyle name="_БЮДЖЕТ 2004 от  28.11 агл. 2870 АХБпрочие_Дайджест 2003-2004 гг._Формы Август-декбарь 8" xfId="1849"/>
    <cellStyle name="_БЮДЖЕТ 2004 от  28.11 агл. 2870 АХБпрочие_Дайджест 2003-2004 гг._Формы Август-декбарь 9" xfId="1850"/>
    <cellStyle name="_БЮДЖЕТ 2004 от  28.11 агл. 2870 АХБпрочие_Дайджест 2003-2004 гг._Формы Август-декбарь_13,14,28-30" xfId="1851"/>
    <cellStyle name="_БЮДЖЕТ 2004 от  28.11 агл. 2870 АХБпрочие_Дайджест 2003-2004 гг._Формы Август-декбарь_19" xfId="1852"/>
    <cellStyle name="_БЮДЖЕТ 2004 от  28.11 агл. 2870 АХБпрочие_Дайджест 2003-2004 гг._Формы Август-декбарь_26-30" xfId="1853"/>
    <cellStyle name="_БЮДЖЕТ 2004 от  28.11 агл. 2870 АХБпрочие_Дайджест 2003-2004 гг._Формы Август-декбарь_28" xfId="1854"/>
    <cellStyle name="_БЮДЖЕТ 2004 от  28.11 агл. 2870 АХБпрочие_Дайджест 2003-2004 гг._Формы Август-декбарь_3 квартал" xfId="1855"/>
    <cellStyle name="_БЮДЖЕТ 2004 от  28.11 агл. 2870 АХБпрочие_Дайджест 2003-2004 гг._Формы Август-декбарь_3 квартал 2" xfId="1856"/>
    <cellStyle name="_БЮДЖЕТ 2004 от  28.11 агл. 2870 АХБпрочие_Дайджест 2003-2004 гг._Формы Август-декбарь_index" xfId="1857"/>
    <cellStyle name="_БЮДЖЕТ 2004 от  28.11 агл. 2870 АХБпрочие_Дайджест 2003-2004 гг._Формы Август-декбарь_Верх НА" xfId="1858"/>
    <cellStyle name="_БЮДЖЕТ 2004 от  28.11 агл. 2870 АХБпрочие_Дайджест 2003-2004 гг._Формы Август-декбарь_Книга2" xfId="1859"/>
    <cellStyle name="_БЮДЖЕТ 2004 от  28.11 агл. 2870 АХБпрочие_Дайджест 2003-2004 гг._Формы Август-декбарь_Копия Динамика цен (УС ) 2006-2009 сверен 30.01.09" xfId="1860"/>
    <cellStyle name="_БЮДЖЕТ 2004 от  28.11 агл. 2870 АХБпрочие_Дайджест 2003-2004 гг._Формы Август-декбарь_Копия Потребность взаиморасч  от 28 02 2008 (2)" xfId="1861"/>
    <cellStyle name="_БЮДЖЕТ 2004 от  28.11 агл. 2870 АХБпрочие_Дайджест 2003-2004 гг._Формы Август-декбарь_Налог на прибыль" xfId="1862"/>
    <cellStyle name="_БЮДЖЕТ 2004 от  28.11 агл. 2870 АХБпрочие_Дайджест 2003-2004 гг._Формы Август-декбарь_Налоги А.А. Богоцкому 2005-2009" xfId="1863"/>
    <cellStyle name="_БЮДЖЕТ 2004 от  28.11 агл. 2870 АХБпрочие_Дайджест 2003-2004 гг._Формы Август-декбарь_Налоги к плану на 2009 год (ДЗ и КЗ)" xfId="1864"/>
    <cellStyle name="_БЮДЖЕТ 2004 от  28.11 агл. 2870 АХБпрочие_Дайджест 2003-2004 гг._Формы Август-декбарь_Налоги к плану на февраль 2009 года" xfId="1865"/>
    <cellStyle name="_БЮДЖЕТ 2004 от  28.11 агл. 2870 АХБпрочие_Дайджест 2003-2004 гг._Формы Август-декбарь_Обжиговая" xfId="1866"/>
    <cellStyle name="_БЮДЖЕТ 2004 от  28.11 агл. 2870 АХБпрочие_Дайджест 2003-2004 гг._Формы Август-декбарь_Отчет за сентябрь_11_ДСМ" xfId="1867"/>
    <cellStyle name="_БЮДЖЕТ 2004 от  28.11 агл. 2870 АХБпрочие_Дайджест 2003-2004 гг._Формы Август-декбарь_Стан 150" xfId="1868"/>
    <cellStyle name="_БЮДЖЕТ 2004 от  28.11 агл. 2870 АХБпрочие_Дайджест 2003-2004 гг._Формы Август-декбарь_Ф20 от налоговой" xfId="1869"/>
    <cellStyle name="_БЮДЖЕТ 2004 от  28.11 агл. 2870 АХБпрочие_Дайджест 2003-2004 гг._Формы Август-декбарь_фIIIкв Комплект ОЭМК (1-12,18,22) 28.10.08" xfId="1870"/>
    <cellStyle name="_БЮДЖЕТ 2004 от  28.11 агл. 2870 АХБпрочие_Дайджест 2003-2004 гг._Формы Август-декбарь_Форма №19" xfId="1871"/>
    <cellStyle name="_БЮДЖЕТ 2004 от  28.11 агл. 2870 АХБпрочие_Дайджест 2003-2004 гг._Формы Август-декбарь_Форма №24" xfId="1872"/>
    <cellStyle name="_БЮДЖЕТ 2004 от  28.11 агл. 2870 АХБпрочие_Дайджест 2003-2004 гг._Формы Август-декбарь_Форма№13 (новая от 28 12 09г) февраль версия № и последняя" xfId="1873"/>
    <cellStyle name="_БЮДЖЕТ 2004 от  28.11 агл. 2870 АХБпрочие_Дайджест 2003-2004 гг._Формы Август-декбарь_Формы _28-30 (новые)1" xfId="1874"/>
    <cellStyle name="_БЮДЖЕТ 2004 от  28.11 агл. 2870 АХБпрочие_Дайджест 2003-2004 гг._Формы Август-декбарь_Формы 28-30" xfId="1875"/>
    <cellStyle name="_БЮДЖЕТ 2004 от  28.11 агл. 2870 АХБпрочие_Дайджест 2003-2004 гг._Формы Август-декбарь_Формы №28-30 (новые)1" xfId="1876"/>
    <cellStyle name="_БЮДЖЕТ 2004 от  28.11 агл. 2870 АХБпрочие_Дайджест 2003-2004 гг._Формы Август-декбарь_Шаропрокатный" xfId="1877"/>
    <cellStyle name="_БЮДЖЕТ 2004 от  28.11 агл. 2870 АХБпрочие_Дайджест 2003-2004 гг._Формы Август-декбарь_ЭНЦ-1" xfId="1878"/>
    <cellStyle name="_БЮДЖЕТ 2004 от  28.11 агл. 2870 АХБпрочие_Дайджест 2003-2004 гг._Формы для ЛГОК (к отправке)" xfId="1879"/>
    <cellStyle name="_БЮДЖЕТ 2004 от  28.11 агл. 2870 АХБпрочие_Дайджест 2003-2004 гг._Формы для ЛГОК (к отправке)_index" xfId="1880"/>
    <cellStyle name="_БЮДЖЕТ 2004 от  28.11 агл. 2870 АХБпрочие_Дайджест 2003-2004 гг._Формы для ЛГОК (к отправке)_Копия Потребность взаиморасч  от 28 02 2008 (2)" xfId="1881"/>
    <cellStyle name="_БЮДЖЕТ 2004 от  28.11 агл. 2870 АХБпрочие_Дайджест 2003-2004 гг._Формы для ОЭМК (к отправке)" xfId="1882"/>
    <cellStyle name="_БЮДЖЕТ 2004 от  28.11 агл. 2870 АХБпрочие_Дайджест 2003-2004 гг._Формы для ОЭМК (к отправке) 2" xfId="1883"/>
    <cellStyle name="_БЮДЖЕТ 2004 от  28.11 агл. 2870 АХБпрочие_Дайджест 2003-2004 гг._Формы для ОЭМК (к отправке) 3" xfId="1884"/>
    <cellStyle name="_БЮДЖЕТ 2004 от  28.11 агл. 2870 АХБпрочие_Дайджест 2003-2004 гг._Формы для ОЭМК (к отправке) 4" xfId="1885"/>
    <cellStyle name="_БЮДЖЕТ 2004 от  28.11 агл. 2870 АХБпрочие_Дайджест 2003-2004 гг._Формы для ОЭМК (к отправке) 5" xfId="1886"/>
    <cellStyle name="_БЮДЖЕТ 2004 от  28.11 агл. 2870 АХБпрочие_Дайджест 2003-2004 гг._Формы для ОЭМК (к отправке) 6" xfId="1887"/>
    <cellStyle name="_БЮДЖЕТ 2004 от  28.11 агл. 2870 АХБпрочие_Дайджест 2003-2004 гг._Формы для ОЭМК (к отправке) 7" xfId="1888"/>
    <cellStyle name="_БЮДЖЕТ 2004 от  28.11 агл. 2870 АХБпрочие_Дайджест 2003-2004 гг._Формы для ОЭМК (к отправке) 8" xfId="1889"/>
    <cellStyle name="_БЮДЖЕТ 2004 от  28.11 агл. 2870 АХБпрочие_Дайджест 2003-2004 гг._Формы для ОЭМК (к отправке) 9" xfId="1890"/>
    <cellStyle name="_БЮДЖЕТ 2004 от  28.11 агл. 2870 АХБпрочие_Дайджест 2003-2004 гг._Формы для ОЭМК (к отправке)_13,14,28-30" xfId="1891"/>
    <cellStyle name="_БЮДЖЕТ 2004 от  28.11 агл. 2870 АХБпрочие_Дайджест 2003-2004 гг._Формы для ОЭМК (к отправке)_19" xfId="1892"/>
    <cellStyle name="_БЮДЖЕТ 2004 от  28.11 агл. 2870 АХБпрочие_Дайджест 2003-2004 гг._Формы для ОЭМК (к отправке)_26-30" xfId="1893"/>
    <cellStyle name="_БЮДЖЕТ 2004 от  28.11 агл. 2870 АХБпрочие_Дайджест 2003-2004 гг._Формы для ОЭМК (к отправке)_28" xfId="1894"/>
    <cellStyle name="_БЮДЖЕТ 2004 от  28.11 агл. 2870 АХБпрочие_Дайджест 2003-2004 гг._Формы для ОЭМК (к отправке)_3 квартал" xfId="1895"/>
    <cellStyle name="_БЮДЖЕТ 2004 от  28.11 агл. 2870 АХБпрочие_Дайджест 2003-2004 гг._Формы для ОЭМК (к отправке)_3 квартал 2" xfId="1896"/>
    <cellStyle name="_БЮДЖЕТ 2004 от  28.11 агл. 2870 АХБпрочие_Дайджест 2003-2004 гг._Формы для ОЭМК (к отправке)_index" xfId="1897"/>
    <cellStyle name="_БЮДЖЕТ 2004 от  28.11 агл. 2870 АХБпрочие_Дайджест 2003-2004 гг._Формы для ОЭМК (к отправке)_Верх НА" xfId="1898"/>
    <cellStyle name="_БЮДЖЕТ 2004 от  28.11 агл. 2870 АХБпрочие_Дайджест 2003-2004 гг._Формы для ОЭМК (к отправке)_Книга2" xfId="1899"/>
    <cellStyle name="_БЮДЖЕТ 2004 от  28.11 агл. 2870 АХБпрочие_Дайджест 2003-2004 гг._Формы для ОЭМК (к отправке)_Копия Динамика цен (УС ) 2006-2009 сверен 30.01.09" xfId="1900"/>
    <cellStyle name="_БЮДЖЕТ 2004 от  28.11 агл. 2870 АХБпрочие_Дайджест 2003-2004 гг._Формы для ОЭМК (к отправке)_Копия Потребность взаиморасч  от 28 02 2008 (2)" xfId="1901"/>
    <cellStyle name="_БЮДЖЕТ 2004 от  28.11 агл. 2870 АХБпрочие_Дайджест 2003-2004 гг._Формы для ОЭМК (к отправке)_Налог на прибыль" xfId="1902"/>
    <cellStyle name="_БЮДЖЕТ 2004 от  28.11 агл. 2870 АХБпрочие_Дайджест 2003-2004 гг._Формы для ОЭМК (к отправке)_Налоги А.А. Богоцкому 2005-2009" xfId="1903"/>
    <cellStyle name="_БЮДЖЕТ 2004 от  28.11 агл. 2870 АХБпрочие_Дайджест 2003-2004 гг._Формы для ОЭМК (к отправке)_Налоги к плану на 2009 год (ДЗ и КЗ)" xfId="1904"/>
    <cellStyle name="_БЮДЖЕТ 2004 от  28.11 агл. 2870 АХБпрочие_Дайджест 2003-2004 гг._Формы для ОЭМК (к отправке)_Налоги к плану на февраль 2009 года" xfId="1905"/>
    <cellStyle name="_БЮДЖЕТ 2004 от  28.11 агл. 2870 АХБпрочие_Дайджест 2003-2004 гг._Формы для ОЭМК (к отправке)_Обжиговая" xfId="1906"/>
    <cellStyle name="_БЮДЖЕТ 2004 от  28.11 агл. 2870 АХБпрочие_Дайджест 2003-2004 гг._Формы для ОЭМК (к отправке)_Отчет за сентябрь_11_ДСМ" xfId="1907"/>
    <cellStyle name="_БЮДЖЕТ 2004 от  28.11 агл. 2870 АХБпрочие_Дайджест 2003-2004 гг._Формы для ОЭМК (к отправке)_Стан 150" xfId="1908"/>
    <cellStyle name="_БЮДЖЕТ 2004 от  28.11 агл. 2870 АХБпрочие_Дайджест 2003-2004 гг._Формы для ОЭМК (к отправке)_Ф20 от налоговой" xfId="1909"/>
    <cellStyle name="_БЮДЖЕТ 2004 от  28.11 агл. 2870 АХБпрочие_Дайджест 2003-2004 гг._Формы для ОЭМК (к отправке)_фIIIкв Комплект ОЭМК (1-12,18,22) 28.10.08" xfId="1910"/>
    <cellStyle name="_БЮДЖЕТ 2004 от  28.11 агл. 2870 АХБпрочие_Дайджест 2003-2004 гг._Формы для ОЭМК (к отправке)_Форма №19" xfId="1911"/>
    <cellStyle name="_БЮДЖЕТ 2004 от  28.11 агл. 2870 АХБпрочие_Дайджест 2003-2004 гг._Формы для ОЭМК (к отправке)_Форма №24" xfId="1912"/>
    <cellStyle name="_БЮДЖЕТ 2004 от  28.11 агл. 2870 АХБпрочие_Дайджест 2003-2004 гг._Формы для ОЭМК (к отправке)_Форма№13 (новая от 28 12 09г) февраль версия № и последняя" xfId="1913"/>
    <cellStyle name="_БЮДЖЕТ 2004 от  28.11 агл. 2870 АХБпрочие_Дайджест 2003-2004 гг._Формы для ОЭМК (к отправке)_Формы _28-30 (новые)1" xfId="1914"/>
    <cellStyle name="_БЮДЖЕТ 2004 от  28.11 агл. 2870 АХБпрочие_Дайджест 2003-2004 гг._Формы для ОЭМК (к отправке)_Формы 28-30" xfId="1915"/>
    <cellStyle name="_БЮДЖЕТ 2004 от  28.11 агл. 2870 АХБпрочие_Дайджест 2003-2004 гг._Формы для ОЭМК (к отправке)_Формы №28-30 (новые)1" xfId="1916"/>
    <cellStyle name="_БЮДЖЕТ 2004 от  28.11 агл. 2870 АХБпрочие_Дайджест 2003-2004 гг._Формы для ОЭМК (к отправке)_Шаропрокатный" xfId="1917"/>
    <cellStyle name="_БЮДЖЕТ 2004 от  28.11 агл. 2870 АХБпрочие_Дайджест 2003-2004 гг._Формы для ОЭМК (к отправке)_ЭНЦ-1" xfId="1918"/>
    <cellStyle name="_БЮДЖЕТ 2004 от  28.11 агл. 2870 АХБпрочие_Дайджест 2003-2004 гг._Формы общие отчет за год" xfId="1919"/>
    <cellStyle name="_БЮДЖЕТ 2004 от  28.11 агл. 2870 АХБпрочие_Дайджест 2003-2004 гг._Формы общие отчет за год 10" xfId="1920"/>
    <cellStyle name="_БЮДЖЕТ 2004 от  28.11 агл. 2870 АХБпрочие_Дайджест 2003-2004 гг._Формы общие отчет за год 11" xfId="1921"/>
    <cellStyle name="_БЮДЖЕТ 2004 от  28.11 агл. 2870 АХБпрочие_Дайджест 2003-2004 гг._Формы общие отчет за год 12" xfId="1922"/>
    <cellStyle name="_БЮДЖЕТ 2004 от  28.11 агл. 2870 АХБпрочие_Дайджест 2003-2004 гг._Формы общие отчет за год 13" xfId="1923"/>
    <cellStyle name="_БЮДЖЕТ 2004 от  28.11 агл. 2870 АХБпрочие_Дайджест 2003-2004 гг._Формы общие отчет за год 2" xfId="1924"/>
    <cellStyle name="_БЮДЖЕТ 2004 от  28.11 агл. 2870 АХБпрочие_Дайджест 2003-2004 гг._Формы общие отчет за год 3" xfId="1925"/>
    <cellStyle name="_БЮДЖЕТ 2004 от  28.11 агл. 2870 АХБпрочие_Дайджест 2003-2004 гг._Формы общие отчет за год 4" xfId="1926"/>
    <cellStyle name="_БЮДЖЕТ 2004 от  28.11 агл. 2870 АХБпрочие_Дайджест 2003-2004 гг._Формы общие отчет за год 5" xfId="1927"/>
    <cellStyle name="_БЮДЖЕТ 2004 от  28.11 агл. 2870 АХБпрочие_Дайджест 2003-2004 гг._Формы общие отчет за год 6" xfId="1928"/>
    <cellStyle name="_БЮДЖЕТ 2004 от  28.11 агл. 2870 АХБпрочие_Дайджест 2003-2004 гг._Формы общие отчет за год 7" xfId="1929"/>
    <cellStyle name="_БЮДЖЕТ 2004 от  28.11 агл. 2870 АХБпрочие_Дайджест 2003-2004 гг._Формы общие отчет за год 8" xfId="1930"/>
    <cellStyle name="_БЮДЖЕТ 2004 от  28.11 агл. 2870 АХБпрочие_Дайджест 2003-2004 гг._Формы общие отчет за год 9" xfId="1931"/>
    <cellStyle name="_БЮДЖЕТ 2004 от  28.11 агл. 2870 АХБпрочие_Дайджест 2003-2004 гг._Формы общие отчет за год__План по труду 2008 261107 (10% с января)" xfId="1932"/>
    <cellStyle name="_БЮДЖЕТ 2004 от  28.11 агл. 2870 АХБпрочие_Дайджест 2003-2004 гг._Формы общие отчет за год__План по труду 2008 261107 (10% с января) 2" xfId="1933"/>
    <cellStyle name="_БЮДЖЕТ 2004 от  28.11 агл. 2870 АХБпрочие_Дайджест 2003-2004 гг._Формы общие отчет за год__План по труду 2008 261107 (10% с января) 3" xfId="1934"/>
    <cellStyle name="_БЮДЖЕТ 2004 от  28.11 агл. 2870 АХБпрочие_Дайджест 2003-2004 гг._Формы общие отчет за год__План по труду 2008 261107 (10% с января) 4" xfId="1935"/>
    <cellStyle name="_БЮДЖЕТ 2004 от  28.11 агл. 2870 АХБпрочие_Дайджест 2003-2004 гг._Формы общие отчет за год__План по труду 2008 261107 (10% с января) 5" xfId="1936"/>
    <cellStyle name="_БЮДЖЕТ 2004 от  28.11 агл. 2870 АХБпрочие_Дайджест 2003-2004 гг._Формы общие отчет за год__План по труду 2008 261107 (10% с января) 6" xfId="1937"/>
    <cellStyle name="_БЮДЖЕТ 2004 от  28.11 агл. 2870 АХБпрочие_Дайджест 2003-2004 гг._Формы общие отчет за год__План по труду 2008 261107 (10% с января) 7" xfId="1938"/>
    <cellStyle name="_БЮДЖЕТ 2004 от  28.11 агл. 2870 АХБпрочие_Дайджест 2003-2004 гг._Формы общие отчет за год__План по труду 2008 261107 (10% с января) 8" xfId="1939"/>
    <cellStyle name="_БЮДЖЕТ 2004 от  28.11 агл. 2870 АХБпрочие_Дайджест 2003-2004 гг._Формы общие отчет за год__План по труду 2008 261107 (10% с января) 9" xfId="1940"/>
    <cellStyle name="_БЮДЖЕТ 2004 от  28.11 агл. 2870 АХБпрочие_Дайджест 2003-2004 гг._Формы общие отчет за год__План по труду 2008 ИТОГ (правл. ПНР 161007)_" xfId="1941"/>
    <cellStyle name="_БЮДЖЕТ 2004 от  28.11 агл. 2870 АХБпрочие_Дайджест 2003-2004 гг._Формы общие отчет за год__План по труду 2008 ИТОГ (правл. ПНР 161007)_ 2" xfId="1942"/>
    <cellStyle name="_БЮДЖЕТ 2004 от  28.11 агл. 2870 АХБпрочие_Дайджест 2003-2004 гг._Формы общие отчет за год__План по труду 2008 ИТОГ (правл. ПНР 161007)_ 3" xfId="1943"/>
    <cellStyle name="_БЮДЖЕТ 2004 от  28.11 агл. 2870 АХБпрочие_Дайджест 2003-2004 гг._Формы общие отчет за год__План по труду 2008 ИТОГ (правл. ПНР 161007)_ 4" xfId="1944"/>
    <cellStyle name="_БЮДЖЕТ 2004 от  28.11 агл. 2870 АХБпрочие_Дайджест 2003-2004 гг._Формы общие отчет за год__План по труду 2008 ИТОГ (правл. ПНР 161007)_ 5" xfId="1945"/>
    <cellStyle name="_БЮДЖЕТ 2004 от  28.11 агл. 2870 АХБпрочие_Дайджест 2003-2004 гг._Формы общие отчет за год__План по труду 2008 ИТОГ (правл. ПНР 161007)_ 6" xfId="1946"/>
    <cellStyle name="_БЮДЖЕТ 2004 от  28.11 агл. 2870 АХБпрочие_Дайджест 2003-2004 гг._Формы общие отчет за год__План по труду 2008 ИТОГ (правл. ПНР 161007)_ 7" xfId="1947"/>
    <cellStyle name="_БЮДЖЕТ 2004 от  28.11 агл. 2870 АХБпрочие_Дайджест 2003-2004 гг._Формы общие отчет за год__План по труду 2008 ИТОГ (правл. ПНР 161007)_ 8" xfId="1948"/>
    <cellStyle name="_БЮДЖЕТ 2004 от  28.11 агл. 2870 АХБпрочие_Дайджест 2003-2004 гг._Формы общие отчет за год__План по труду 2008 ИТОГ (правл. ПНР 161007)_ 9" xfId="1949"/>
    <cellStyle name="_БЮДЖЕТ 2004 от  28.11 агл. 2870 АХБпрочие_Дайджест 2003-2004 гг._Формы общие отчет за год_2_Инвестпрограмма на 2008 год (КОВАЛЕВ)" xfId="1950"/>
    <cellStyle name="_БЮДЖЕТ 2004 от  28.11 агл. 2870 АХБпрочие_Дайджест 2003-2004 гг._Формы общие отчет за год_Данные для ФОТ на 2008 год" xfId="1951"/>
    <cellStyle name="_БЮДЖЕТ 2004 от  28.11 агл. 2870 АХБпрочие_Дайджест 2003-2004 гг._Формы общие отчет за год_Данные для ФОТ на 2008 год 2" xfId="1952"/>
    <cellStyle name="_БЮДЖЕТ 2004 от  28.11 агл. 2870 АХБпрочие_Дайджест 2003-2004 гг._Формы общие отчет за год_Данные для ФОТ на 2008 год 3" xfId="1953"/>
    <cellStyle name="_БЮДЖЕТ 2004 от  28.11 агл. 2870 АХБпрочие_Дайджест 2003-2004 гг._Формы общие отчет за год_Данные для ФОТ на 2008 год 4" xfId="1954"/>
    <cellStyle name="_БЮДЖЕТ 2004 от  28.11 агл. 2870 АХБпрочие_Дайджест 2003-2004 гг._Формы общие отчет за год_Данные для ФОТ на 2008 год 5" xfId="1955"/>
    <cellStyle name="_БЮДЖЕТ 2004 от  28.11 агл. 2870 АХБпрочие_Дайджест 2003-2004 гг._Формы общие отчет за год_Данные для ФОТ на 2008 год 6" xfId="1956"/>
    <cellStyle name="_БЮДЖЕТ 2004 от  28.11 агл. 2870 АХБпрочие_Дайджест 2003-2004 гг._Формы общие отчет за год_Данные для ФОТ на 2008 год 7" xfId="1957"/>
    <cellStyle name="_БЮДЖЕТ 2004 от  28.11 агл. 2870 АХБпрочие_Дайджест 2003-2004 гг._Формы общие отчет за год_Данные для ФОТ на 2008 год 8" xfId="1958"/>
    <cellStyle name="_БЮДЖЕТ 2004 от  28.11 агл. 2870 АХБпрочие_Дайджест 2003-2004 гг._Формы общие отчет за год_Данные для ФОТ на 2008 год 9" xfId="1959"/>
    <cellStyle name="_БЮДЖЕТ 2004 от  28.11 агл. 2870 АХБпрочие_Дайджест 2003-2004 гг._Формы общие отчет за год_План по труду 2008 ИТОГ (2003_вер)" xfId="1960"/>
    <cellStyle name="_БЮДЖЕТ 2004 от  28.11 агл. 2870 АХБпрочие_Дайджест 2003-2004 гг._Формы общие отчет за год_План по труду 2008 ИТОГ (2003_вер) 2" xfId="1961"/>
    <cellStyle name="_БЮДЖЕТ 2004 от  28.11 агл. 2870 АХБпрочие_Дайджест 2003-2004 гг._Формы общие отчет за год_План по труду 2008 ИТОГ (2003_вер) 3" xfId="1962"/>
    <cellStyle name="_БЮДЖЕТ 2004 от  28.11 агл. 2870 АХБпрочие_Дайджест 2003-2004 гг._Формы общие отчет за год_План по труду 2008 ИТОГ (2003_вер) 4" xfId="1963"/>
    <cellStyle name="_БЮДЖЕТ 2004 от  28.11 агл. 2870 АХБпрочие_Дайджест 2003-2004 гг._Формы общие отчет за год_План по труду 2008 ИТОГ (2003_вер) 5" xfId="1964"/>
    <cellStyle name="_БЮДЖЕТ 2004 от  28.11 агл. 2870 АХБпрочие_Дайджест 2003-2004 гг._Формы общие отчет за год_План по труду 2008 ИТОГ (2003_вер) 6" xfId="1965"/>
    <cellStyle name="_БЮДЖЕТ 2004 от  28.11 агл. 2870 АХБпрочие_Дайджест 2003-2004 гг._Формы общие отчет за год_План по труду 2008 ИТОГ (2003_вер) 7" xfId="1966"/>
    <cellStyle name="_БЮДЖЕТ 2004 от  28.11 агл. 2870 АХБпрочие_Дайджест 2003-2004 гг._Формы общие отчет за год_План по труду 2008 ИТОГ (2003_вер) 8" xfId="1967"/>
    <cellStyle name="_БЮДЖЕТ 2004 от  28.11 агл. 2870 АХБпрочие_Дайджест 2003-2004 гг._Формы общие отчет за год_План по труду 2008 ИТОГ (2003_вер) 9" xfId="1968"/>
    <cellStyle name="_БЮДЖЕТ 2004 от  28.11 агл. 2870 АХБпрочие_Дайджест 2003-2004 гг._Формы общие отчет за год_ТКВ 2008 от 19.07" xfId="1969"/>
    <cellStyle name="_БЮДЖЕТ 2004 от  28.11 агл. 2870 АХБпрочие_Дайджест 2003-2004 гг._Формы общие отчет за год_ТКВ 2008 от 31.07" xfId="1970"/>
    <cellStyle name="_БЮДЖЕТ 2004 от  28.11 агл. 2870 АХБпрочие_Дайджест 2003-2004 гг._Шаропрокатный" xfId="1971"/>
    <cellStyle name="_БЮДЖЕТ 2004 от  28.11 агл. 2870 АХБпрочие_Дайджест 2003-2004 гг._Эконом.показатели за февраль" xfId="1972"/>
    <cellStyle name="_БЮДЖЕТ 2004 от  28.11 агл. 2870 АХБпрочие_Дайджест 2003-2004 гг._Экономические показатели Большаковой" xfId="1973"/>
    <cellStyle name="_БЮДЖЕТ 2004 от  28.11 агл. 2870 АХБпрочие_Дайджест 2003-2004 гг._Экономические показатели Большаковой 2" xfId="1974"/>
    <cellStyle name="_БЮДЖЕТ 2004 от  28.11 агл. 2870 АХБпрочие_Дайджест 2003-2004 гг._Экономические показатели Большаковой 3" xfId="1975"/>
    <cellStyle name="_БЮДЖЕТ 2004 от  28.11 агл. 2870 АХБпрочие_Дайджест 2003-2004 гг._Экономические показатели Большаковой 4" xfId="1976"/>
    <cellStyle name="_БЮДЖЕТ 2004 от  28.11 агл. 2870 АХБпрочие_Дайджест 2003-2004 гг._Экономические показатели Большаковой 5" xfId="1977"/>
    <cellStyle name="_БЮДЖЕТ 2004 от  28.11 агл. 2870 АХБпрочие_Дайджест 2003-2004 гг._Экономические показатели Большаковой 6" xfId="1978"/>
    <cellStyle name="_БЮДЖЕТ 2004 от  28.11 агл. 2870 АХБпрочие_Дайджест 2003-2004 гг._Экономические показатели Большаковой 7" xfId="1979"/>
    <cellStyle name="_БЮДЖЕТ 2004 от  28.11 агл. 2870 АХБпрочие_Дайджест 2003-2004 гг._Экономические показатели Большаковой 8" xfId="1980"/>
    <cellStyle name="_БЮДЖЕТ 2004 от  28.11 агл. 2870 АХБпрочие_Дайджест 2003-2004 гг._Экономические показатели Большаковой 9" xfId="1981"/>
    <cellStyle name="_БЮДЖЕТ 2004 от  28.11 агл. 2870 АХБпрочие_Дайджест 2003-2004 гг._ЭНЦ-1" xfId="1982"/>
    <cellStyle name="_БЮДЖЕТ 2004 от  28.11 агл. 2870 АХБпрочие_Данные для ФОТ на 2008 год" xfId="1983"/>
    <cellStyle name="_БЮДЖЕТ 2004 от  28.11 агл. 2870 АХБпрочие_Данные для ФОТ на 2008 год 2" xfId="1984"/>
    <cellStyle name="_БЮДЖЕТ 2004 от  28.11 агл. 2870 АХБпрочие_Данные для ФОТ на 2008 год 3" xfId="1985"/>
    <cellStyle name="_БЮДЖЕТ 2004 от  28.11 агл. 2870 АХБпрочие_Данные для ФОТ на 2008 год 4" xfId="1986"/>
    <cellStyle name="_БЮДЖЕТ 2004 от  28.11 агл. 2870 АХБпрочие_Данные для ФОТ на 2008 год 5" xfId="1987"/>
    <cellStyle name="_БЮДЖЕТ 2004 от  28.11 агл. 2870 АХБпрочие_Данные для ФОТ на 2008 год 6" xfId="1988"/>
    <cellStyle name="_БЮДЖЕТ 2004 от  28.11 агл. 2870 АХБпрочие_Данные для ФОТ на 2008 год 7" xfId="1989"/>
    <cellStyle name="_БЮДЖЕТ 2004 от  28.11 агл. 2870 АХБпрочие_Данные для ФОТ на 2008 год 8" xfId="1990"/>
    <cellStyle name="_БЮДЖЕТ 2004 от  28.11 агл. 2870 АХБпрочие_Данные для ФОТ на 2008 год 9" xfId="1991"/>
    <cellStyle name="_БЮДЖЕТ 2004 от  28.11 агл. 2870 АХБпрочие_План ДСМ 2 квартал 2009 ОТЧЕТ отп" xfId="1992"/>
    <cellStyle name="_БЮДЖЕТ 2004 от  28.11 агл. 2870 АХБпрочие_План ДСМ 3 квартал 2009 ОТЧЕТ" xfId="1993"/>
    <cellStyle name="_БЮДЖЕТ 2004 от  28.11 агл. 2870 АХБпрочие_План ДСМ 4 квартал 2009 ОТЧЕТ" xfId="1994"/>
    <cellStyle name="_БЮДЖЕТ 2004 от  28.11 агл. 2870 АХБпрочие_План ДСМ на 4 квартал 2006 (последняя версия) 2" xfId="1995"/>
    <cellStyle name="_БЮДЖЕТ 2004 от  28.11 агл. 2870 АХБпрочие_План ДСМ ноябрь 2011 ОТЧЕТ" xfId="1996"/>
    <cellStyle name="_БЮДЖЕТ 2004 от  28.11 агл. 2870 АХБпрочие_План ДСФ 1 квартал 2007" xfId="1997"/>
    <cellStyle name="_БЮДЖЕТ 2004 от  28.11 агл. 2870 АХБпрочие_План ДСФ 2 квартал 2009 ОТЧЕТ отп" xfId="1998"/>
    <cellStyle name="_БЮДЖЕТ 2004 от  28.11 агл. 2870 АХБпрочие_План ДСФ 4 квартал 2009 ОТЧЕТ" xfId="1999"/>
    <cellStyle name="_БЮДЖЕТ 2004 от  28.11 агл. 2870 АХБпрочие_План на 2009 год ДСМ ОТЧЕТ отп (01.12.08)" xfId="2000"/>
    <cellStyle name="_БЮДЖЕТ 2004 от  28.11 агл. 2870 АХБпрочие_План на 2010 год ДСМ ОТЧЕТ" xfId="2001"/>
    <cellStyle name="_БЮДЖЕТ 2004 от  28.11 агл. 2870 АХБпрочие_План по труду 2008 ИТОГ (2003_вер)" xfId="2002"/>
    <cellStyle name="_БЮДЖЕТ 2004 от  28.11 агл. 2870 АХБпрочие_План по труду 2008 ИТОГ (2003_вер) 2" xfId="2003"/>
    <cellStyle name="_БЮДЖЕТ 2004 от  28.11 агл. 2870 АХБпрочие_План по труду 2008 ИТОГ (2003_вер) 3" xfId="2004"/>
    <cellStyle name="_БЮДЖЕТ 2004 от  28.11 агл. 2870 АХБпрочие_План по труду 2008 ИТОГ (2003_вер) 4" xfId="2005"/>
    <cellStyle name="_БЮДЖЕТ 2004 от  28.11 агл. 2870 АХБпрочие_План по труду 2008 ИТОГ (2003_вер) 5" xfId="2006"/>
    <cellStyle name="_БЮДЖЕТ 2004 от  28.11 агл. 2870 АХБпрочие_План по труду 2008 ИТОГ (2003_вер) 6" xfId="2007"/>
    <cellStyle name="_БЮДЖЕТ 2004 от  28.11 агл. 2870 АХБпрочие_План по труду 2008 ИТОГ (2003_вер) 7" xfId="2008"/>
    <cellStyle name="_БЮДЖЕТ 2004 от  28.11 агл. 2870 АХБпрочие_План по труду 2008 ИТОГ (2003_вер) 8" xfId="2009"/>
    <cellStyle name="_БЮДЖЕТ 2004 от  28.11 агл. 2870 АХБпрочие_План по труду 2008 ИТОГ (2003_вер) 9" xfId="2010"/>
    <cellStyle name="_БЮДЖЕТ 2004 от  28.11 агл. 2870 АХБпрочие_ТКВ 2008 от 19.07" xfId="2011"/>
    <cellStyle name="_БЮДЖЕТ 2004 от  28.11 агл. 2870 АХБпрочие_ТКВ 2008 от 31.07" xfId="2012"/>
    <cellStyle name="_БЮДЖЕТ 2004 от  28.11 агл. 2870 АХБпрочие_УралКирпич_план на 2 кв. 2009" xfId="2013"/>
    <cellStyle name="_БЮДЖЕТ 2004 от 17.12.03 сырье 13.40" xfId="2014"/>
    <cellStyle name="_БЮДЖЕТ 2004 от 17.12.03 сырье 13.40 10" xfId="2015"/>
    <cellStyle name="_БЮДЖЕТ 2004 от 17.12.03 сырье 13.40 11" xfId="2016"/>
    <cellStyle name="_БЮДЖЕТ 2004 от 17.12.03 сырье 13.40 12" xfId="2017"/>
    <cellStyle name="_БЮДЖЕТ 2004 от 17.12.03 сырье 13.40 13" xfId="2018"/>
    <cellStyle name="_БЮДЖЕТ 2004 от 17.12.03 сырье 13.40 2" xfId="2019"/>
    <cellStyle name="_БЮДЖЕТ 2004 от 17.12.03 сырье 13.40 3" xfId="2020"/>
    <cellStyle name="_БЮДЖЕТ 2004 от 17.12.03 сырье 13.40 4" xfId="2021"/>
    <cellStyle name="_БЮДЖЕТ 2004 от 17.12.03 сырье 13.40 5" xfId="2022"/>
    <cellStyle name="_БЮДЖЕТ 2004 от 17.12.03 сырье 13.40 6" xfId="2023"/>
    <cellStyle name="_БЮДЖЕТ 2004 от 17.12.03 сырье 13.40 7" xfId="2024"/>
    <cellStyle name="_БЮДЖЕТ 2004 от 17.12.03 сырье 13.40 8" xfId="2025"/>
    <cellStyle name="_БЮДЖЕТ 2004 от 17.12.03 сырье 13.40 9" xfId="2026"/>
    <cellStyle name="_БЮДЖЕТ 2004 от 17.12.03 сырье 13.40__План по труду 2008 261107 (10% с января)" xfId="2027"/>
    <cellStyle name="_БЮДЖЕТ 2004 от 17.12.03 сырье 13.40__План по труду 2008 261107 (10% с января) 2" xfId="2028"/>
    <cellStyle name="_БЮДЖЕТ 2004 от 17.12.03 сырье 13.40__План по труду 2008 261107 (10% с января) 3" xfId="2029"/>
    <cellStyle name="_БЮДЖЕТ 2004 от 17.12.03 сырье 13.40__План по труду 2008 261107 (10% с января) 4" xfId="2030"/>
    <cellStyle name="_БЮДЖЕТ 2004 от 17.12.03 сырье 13.40__План по труду 2008 261107 (10% с января) 5" xfId="2031"/>
    <cellStyle name="_БЮДЖЕТ 2004 от 17.12.03 сырье 13.40__План по труду 2008 261107 (10% с января) 6" xfId="2032"/>
    <cellStyle name="_БЮДЖЕТ 2004 от 17.12.03 сырье 13.40__План по труду 2008 261107 (10% с января) 7" xfId="2033"/>
    <cellStyle name="_БЮДЖЕТ 2004 от 17.12.03 сырье 13.40__План по труду 2008 261107 (10% с января) 8" xfId="2034"/>
    <cellStyle name="_БЮДЖЕТ 2004 от 17.12.03 сырье 13.40__План по труду 2008 261107 (10% с января) 9" xfId="2035"/>
    <cellStyle name="_БЮДЖЕТ 2004 от 17.12.03 сырье 13.40__План по труду 2008 ИТОГ (правл. ПНР 161007)_" xfId="2036"/>
    <cellStyle name="_БЮДЖЕТ 2004 от 17.12.03 сырье 13.40__План по труду 2008 ИТОГ (правл. ПНР 161007)_ 2" xfId="2037"/>
    <cellStyle name="_БЮДЖЕТ 2004 от 17.12.03 сырье 13.40__План по труду 2008 ИТОГ (правл. ПНР 161007)_ 3" xfId="2038"/>
    <cellStyle name="_БЮДЖЕТ 2004 от 17.12.03 сырье 13.40__План по труду 2008 ИТОГ (правл. ПНР 161007)_ 4" xfId="2039"/>
    <cellStyle name="_БЮДЖЕТ 2004 от 17.12.03 сырье 13.40__План по труду 2008 ИТОГ (правл. ПНР 161007)_ 5" xfId="2040"/>
    <cellStyle name="_БЮДЖЕТ 2004 от 17.12.03 сырье 13.40__План по труду 2008 ИТОГ (правл. ПНР 161007)_ 6" xfId="2041"/>
    <cellStyle name="_БЮДЖЕТ 2004 от 17.12.03 сырье 13.40__План по труду 2008 ИТОГ (правл. ПНР 161007)_ 7" xfId="2042"/>
    <cellStyle name="_БЮДЖЕТ 2004 от 17.12.03 сырье 13.40__План по труду 2008 ИТОГ (правл. ПНР 161007)_ 8" xfId="2043"/>
    <cellStyle name="_БЮДЖЕТ 2004 от 17.12.03 сырье 13.40__План по труду 2008 ИТОГ (правл. ПНР 161007)_ 9" xfId="2044"/>
    <cellStyle name="_БЮДЖЕТ 2004 от 17.12.03 сырье 13.40_2_Инвестпрограмма на 2008 год (КОВАЛЕВ)" xfId="2045"/>
    <cellStyle name="_БЮДЖЕТ 2004 от 17.12.03 сырье 13.40_БП Урал Кирпич 28 01 2008г" xfId="2046"/>
    <cellStyle name="_БЮДЖЕТ 2004 от 17.12.03 сырье 13.40_БП_план на 1 кв. 2008г." xfId="2047"/>
    <cellStyle name="_БЮДЖЕТ 2004 от 17.12.03 сырье 13.40_БП_план на 2 кв. 2008г." xfId="2048"/>
    <cellStyle name="_БЮДЖЕТ 2004 от 17.12.03 сырье 13.40_Дайджест 2003-2004 гг." xfId="2049"/>
    <cellStyle name="_БЮДЖЕТ 2004 от 17.12.03 сырье 13.40_Дайджест 2003-2004 гг. 10" xfId="2050"/>
    <cellStyle name="_БЮДЖЕТ 2004 от 17.12.03 сырье 13.40_Дайджест 2003-2004 гг. 11" xfId="2051"/>
    <cellStyle name="_БЮДЖЕТ 2004 от 17.12.03 сырье 13.40_Дайджест 2003-2004 гг. 12" xfId="2052"/>
    <cellStyle name="_БЮДЖЕТ 2004 от 17.12.03 сырье 13.40_Дайджест 2003-2004 гг. 13" xfId="2053"/>
    <cellStyle name="_БЮДЖЕТ 2004 от 17.12.03 сырье 13.40_Дайджест 2003-2004 гг. 2" xfId="2054"/>
    <cellStyle name="_БЮДЖЕТ 2004 от 17.12.03 сырье 13.40_Дайджест 2003-2004 гг. 3" xfId="2055"/>
    <cellStyle name="_БЮДЖЕТ 2004 от 17.12.03 сырье 13.40_Дайджест 2003-2004 гг. 4" xfId="2056"/>
    <cellStyle name="_БЮДЖЕТ 2004 от 17.12.03 сырье 13.40_Дайджест 2003-2004 гг. 5" xfId="2057"/>
    <cellStyle name="_БЮДЖЕТ 2004 от 17.12.03 сырье 13.40_Дайджест 2003-2004 гг. 6" xfId="2058"/>
    <cellStyle name="_БЮДЖЕТ 2004 от 17.12.03 сырье 13.40_Дайджест 2003-2004 гг. 7" xfId="2059"/>
    <cellStyle name="_БЮДЖЕТ 2004 от 17.12.03 сырье 13.40_Дайджест 2003-2004 гг. 8" xfId="2060"/>
    <cellStyle name="_БЮДЖЕТ 2004 от 17.12.03 сырье 13.40_Дайджест 2003-2004 гг. 9" xfId="2061"/>
    <cellStyle name="_БЮДЖЕТ 2004 от 17.12.03 сырье 13.40_Дайджест 2003-2004 гг._! Металлургический дивизион для рассылки" xfId="2062"/>
    <cellStyle name="_БЮДЖЕТ 2004 от 17.12.03 сырье 13.40_Дайджест 2003-2004 гг._01.04.06-01.10.06 Распред. ср-в ЛГОК 20.10.06" xfId="2063"/>
    <cellStyle name="_БЮДЖЕТ 2004 от 17.12.03 сырье 13.40_Дайджест 2003-2004 гг._01.04.06-01.10.06 Распред. ср-в ЛГОК 20.10.06 2" xfId="2064"/>
    <cellStyle name="_БЮДЖЕТ 2004 от 17.12.03 сырье 13.40_Дайджест 2003-2004 гг._01.04.06-01.10.06 Распред. ср-в ЛГОК 20.10.06 3" xfId="2065"/>
    <cellStyle name="_БЮДЖЕТ 2004 от 17.12.03 сырье 13.40_Дайджест 2003-2004 гг._01.04.06-01.10.06 Распред. ср-в ЛГОК 20.10.06 4" xfId="2066"/>
    <cellStyle name="_БЮДЖЕТ 2004 от 17.12.03 сырье 13.40_Дайджест 2003-2004 гг._01.04.06-01.10.06 Распред. ср-в ЛГОК 20.10.06 5" xfId="2067"/>
    <cellStyle name="_БЮДЖЕТ 2004 от 17.12.03 сырье 13.40_Дайджест 2003-2004 гг._01.04.06-01.10.06 Распред. ср-в ЛГОК 20.10.06 6" xfId="2068"/>
    <cellStyle name="_БЮДЖЕТ 2004 от 17.12.03 сырье 13.40_Дайджест 2003-2004 гг._01.04.06-01.10.06 Распред. ср-в ЛГОК 20.10.06 7" xfId="2069"/>
    <cellStyle name="_БЮДЖЕТ 2004 от 17.12.03 сырье 13.40_Дайджест 2003-2004 гг._01.04.06-01.10.06 Распред. ср-в ЛГОК 20.10.06 8" xfId="2070"/>
    <cellStyle name="_БЮДЖЕТ 2004 от 17.12.03 сырье 13.40_Дайджест 2003-2004 гг._01.04.06-01.10.06 Распред. ср-в ЛГОК 20.10.06 9" xfId="2071"/>
    <cellStyle name="_БЮДЖЕТ 2004 от 17.12.03 сырье 13.40_Дайджест 2003-2004 гг._01.04.06-01.10.06 Распред. ср-в ОЭМК 20.10.06" xfId="2072"/>
    <cellStyle name="_БЮДЖЕТ 2004 от 17.12.03 сырье 13.40_Дайджест 2003-2004 гг._01.04.06-01.10.06 Распред. ср-в ОЭМК 20.10.06 2" xfId="2073"/>
    <cellStyle name="_БЮДЖЕТ 2004 от 17.12.03 сырье 13.40_Дайджест 2003-2004 гг._01.04.06-01.10.06 Распред. ср-в ОЭМК 20.10.06 3" xfId="2074"/>
    <cellStyle name="_БЮДЖЕТ 2004 от 17.12.03 сырье 13.40_Дайджест 2003-2004 гг._01.04.06-01.10.06 Распред. ср-в ОЭМК 20.10.06 4" xfId="2075"/>
    <cellStyle name="_БЮДЖЕТ 2004 от 17.12.03 сырье 13.40_Дайджест 2003-2004 гг._01.04.06-01.10.06 Распред. ср-в ОЭМК 20.10.06 5" xfId="2076"/>
    <cellStyle name="_БЮДЖЕТ 2004 от 17.12.03 сырье 13.40_Дайджест 2003-2004 гг._01.04.06-01.10.06 Распред. ср-в ОЭМК 20.10.06 6" xfId="2077"/>
    <cellStyle name="_БЮДЖЕТ 2004 от 17.12.03 сырье 13.40_Дайджест 2003-2004 гг._01.04.06-01.10.06 Распред. ср-в ОЭМК 20.10.06 7" xfId="2078"/>
    <cellStyle name="_БЮДЖЕТ 2004 от 17.12.03 сырье 13.40_Дайджест 2003-2004 гг._01.04.06-01.10.06 Распред. ср-в ОЭМК 20.10.06 8" xfId="2079"/>
    <cellStyle name="_БЮДЖЕТ 2004 от 17.12.03 сырье 13.40_Дайджест 2003-2004 гг._01.04.06-01.10.06 Распред. ср-в ОЭМК 20.10.06 9" xfId="2080"/>
    <cellStyle name="_БЮДЖЕТ 2004 от 17.12.03 сырье 13.40_Дайджест 2003-2004 гг._090129 Погашение и уплата процентов Горшкова М." xfId="2081"/>
    <cellStyle name="_БЮДЖЕТ 2004 от 17.12.03 сырье 13.40_Дайджест 2003-2004 гг._090129 Погашение и уплата процентов Горшкова М. 2" xfId="2082"/>
    <cellStyle name="_БЮДЖЕТ 2004 от 17.12.03 сырье 13.40_Дайджест 2003-2004 гг._090129 Погашение и уплата процентов Горшкова М. 3" xfId="2083"/>
    <cellStyle name="_БЮДЖЕТ 2004 от 17.12.03 сырье 13.40_Дайджест 2003-2004 гг._090129 Погашение и уплата процентов Горшкова М. 4" xfId="2084"/>
    <cellStyle name="_БЮДЖЕТ 2004 от 17.12.03 сырье 13.40_Дайджест 2003-2004 гг._090129 Погашение и уплата процентов Горшкова М. 5" xfId="2085"/>
    <cellStyle name="_БЮДЖЕТ 2004 от 17.12.03 сырье 13.40_Дайджест 2003-2004 гг._090129 Погашение и уплата процентов Горшкова М. 6" xfId="2086"/>
    <cellStyle name="_БЮДЖЕТ 2004 от 17.12.03 сырье 13.40_Дайджест 2003-2004 гг._090129 Погашение и уплата процентов Горшкова М. 7" xfId="2087"/>
    <cellStyle name="_БЮДЖЕТ 2004 от 17.12.03 сырье 13.40_Дайджест 2003-2004 гг._090129 Погашение и уплата процентов Горшкова М. 8" xfId="2088"/>
    <cellStyle name="_БЮДЖЕТ 2004 от 17.12.03 сырье 13.40_Дайджест 2003-2004 гг._090129 Погашение и уплата процентов Горшкова М. 9" xfId="2089"/>
    <cellStyle name="_БЮДЖЕТ 2004 от 17.12.03 сырье 13.40_Дайджест 2003-2004 гг._1 - 10 декабря" xfId="2090"/>
    <cellStyle name="_БЮДЖЕТ 2004 от 17.12.03 сырье 13.40_Дайджест 2003-2004 гг._1-12,13,14 сентября" xfId="2091"/>
    <cellStyle name="_БЮДЖЕТ 2004 от 17.12.03 сырье 13.40_Дайджест 2003-2004 гг._13,14,28-30" xfId="2092"/>
    <cellStyle name="_БЮДЖЕТ 2004 от 17.12.03 сырье 13.40_Дайджест 2003-2004 гг._19" xfId="2093"/>
    <cellStyle name="_БЮДЖЕТ 2004 от 17.12.03 сырье 13.40_Дайджест 2003-2004 гг._2007 + год " xfId="2094"/>
    <cellStyle name="_БЮДЖЕТ 2004 от 17.12.03 сырье 13.40_Дайджест 2003-2004 гг._2007 + год  2" xfId="2095"/>
    <cellStyle name="_БЮДЖЕТ 2004 от 17.12.03 сырье 13.40_Дайджест 2003-2004 гг._2007 + год  3" xfId="2096"/>
    <cellStyle name="_БЮДЖЕТ 2004 от 17.12.03 сырье 13.40_Дайджест 2003-2004 гг._2007 + год  4" xfId="2097"/>
    <cellStyle name="_БЮДЖЕТ 2004 от 17.12.03 сырье 13.40_Дайджест 2003-2004 гг._2007 + год  5" xfId="2098"/>
    <cellStyle name="_БЮДЖЕТ 2004 от 17.12.03 сырье 13.40_Дайджест 2003-2004 гг._2007 + год  6" xfId="2099"/>
    <cellStyle name="_БЮДЖЕТ 2004 от 17.12.03 сырье 13.40_Дайджест 2003-2004 гг._2007 + год  7" xfId="2100"/>
    <cellStyle name="_БЮДЖЕТ 2004 от 17.12.03 сырье 13.40_Дайджест 2003-2004 гг._2007 + год  8" xfId="2101"/>
    <cellStyle name="_БЮДЖЕТ 2004 от 17.12.03 сырье 13.40_Дайджест 2003-2004 гг._2007 + год  9" xfId="2102"/>
    <cellStyle name="_БЮДЖЕТ 2004 от 17.12.03 сырье 13.40_Дайджест 2003-2004 гг._2007 г год план (фин.часть)" xfId="2103"/>
    <cellStyle name="_БЮДЖЕТ 2004 от 17.12.03 сырье 13.40_Дайджест 2003-2004 гг._2007 г год план (фин.часть) 2" xfId="2104"/>
    <cellStyle name="_БЮДЖЕТ 2004 от 17.12.03 сырье 13.40_Дайджест 2003-2004 гг._2007 г год план (фин.часть) 3" xfId="2105"/>
    <cellStyle name="_БЮДЖЕТ 2004 от 17.12.03 сырье 13.40_Дайджест 2003-2004 гг._2007 г год план (фин.часть) 4" xfId="2106"/>
    <cellStyle name="_БЮДЖЕТ 2004 от 17.12.03 сырье 13.40_Дайджест 2003-2004 гг._2007 г год план (фин.часть) 5" xfId="2107"/>
    <cellStyle name="_БЮДЖЕТ 2004 от 17.12.03 сырье 13.40_Дайджест 2003-2004 гг._2007 г год план (фин.часть) 6" xfId="2108"/>
    <cellStyle name="_БЮДЖЕТ 2004 от 17.12.03 сырье 13.40_Дайджест 2003-2004 гг._2007 г год план (фин.часть) 7" xfId="2109"/>
    <cellStyle name="_БЮДЖЕТ 2004 от 17.12.03 сырье 13.40_Дайджест 2003-2004 гг._2007 г год план (фин.часть) 8" xfId="2110"/>
    <cellStyle name="_БЮДЖЕТ 2004 от 17.12.03 сырье 13.40_Дайджест 2003-2004 гг._2007 г год план (фин.часть) 9" xfId="2111"/>
    <cellStyle name="_БЮДЖЕТ 2004 от 17.12.03 сырье 13.40_Дайджест 2003-2004 гг._2007 год " xfId="2112"/>
    <cellStyle name="_БЮДЖЕТ 2004 от 17.12.03 сырье 13.40_Дайджест 2003-2004 гг._2007 год  2" xfId="2113"/>
    <cellStyle name="_БЮДЖЕТ 2004 от 17.12.03 сырье 13.40_Дайджест 2003-2004 гг._2007 год  3" xfId="2114"/>
    <cellStyle name="_БЮДЖЕТ 2004 от 17.12.03 сырье 13.40_Дайджест 2003-2004 гг._2007 год  4" xfId="2115"/>
    <cellStyle name="_БЮДЖЕТ 2004 от 17.12.03 сырье 13.40_Дайджест 2003-2004 гг._2007 год  5" xfId="2116"/>
    <cellStyle name="_БЮДЖЕТ 2004 от 17.12.03 сырье 13.40_Дайджест 2003-2004 гг._2007 год  6" xfId="2117"/>
    <cellStyle name="_БЮДЖЕТ 2004 от 17.12.03 сырье 13.40_Дайджест 2003-2004 гг._2007 год  7" xfId="2118"/>
    <cellStyle name="_БЮДЖЕТ 2004 от 17.12.03 сырье 13.40_Дайджест 2003-2004 гг._2007 год  8" xfId="2119"/>
    <cellStyle name="_БЮДЖЕТ 2004 от 17.12.03 сырье 13.40_Дайджест 2003-2004 гг._2007 год  9" xfId="2120"/>
    <cellStyle name="_БЮДЖЕТ 2004 от 17.12.03 сырье 13.40_Дайджест 2003-2004 гг._2007 измен 11.12.06 2 вар " xfId="2121"/>
    <cellStyle name="_БЮДЖЕТ 2004 от 17.12.03 сырье 13.40_Дайджест 2003-2004 гг._2007 измен 11.12.06 2 вар  2" xfId="2122"/>
    <cellStyle name="_БЮДЖЕТ 2004 от 17.12.03 сырье 13.40_Дайджест 2003-2004 гг._2007 измен 11.12.06 2 вар  3" xfId="2123"/>
    <cellStyle name="_БЮДЖЕТ 2004 от 17.12.03 сырье 13.40_Дайджест 2003-2004 гг._2007 измен 11.12.06 2 вар  4" xfId="2124"/>
    <cellStyle name="_БЮДЖЕТ 2004 от 17.12.03 сырье 13.40_Дайджест 2003-2004 гг._2007 измен 11.12.06 2 вар  5" xfId="2125"/>
    <cellStyle name="_БЮДЖЕТ 2004 от 17.12.03 сырье 13.40_Дайджест 2003-2004 гг._2007 измен 11.12.06 2 вар  6" xfId="2126"/>
    <cellStyle name="_БЮДЖЕТ 2004 от 17.12.03 сырье 13.40_Дайджест 2003-2004 гг._2007 измен 11.12.06 2 вар  7" xfId="2127"/>
    <cellStyle name="_БЮДЖЕТ 2004 от 17.12.03 сырье 13.40_Дайджест 2003-2004 гг._2007 измен 11.12.06 2 вар  8" xfId="2128"/>
    <cellStyle name="_БЮДЖЕТ 2004 от 17.12.03 сырье 13.40_Дайджест 2003-2004 гг._2007 измен 11.12.06 2 вар  9" xfId="2129"/>
    <cellStyle name="_БЮДЖЕТ 2004 от 17.12.03 сырье 13.40_Дайджест 2003-2004 гг._2009-03-03 План марта рус" xfId="2130"/>
    <cellStyle name="_БЮДЖЕТ 2004 от 17.12.03 сырье 13.40_Дайджест 2003-2004 гг._2009-03-03 План марта рус 2" xfId="2131"/>
    <cellStyle name="_БЮДЖЕТ 2004 от 17.12.03 сырье 13.40_Дайджест 2003-2004 гг._2009-03-03 План марта рус 3" xfId="2132"/>
    <cellStyle name="_БЮДЖЕТ 2004 от 17.12.03 сырье 13.40_Дайджест 2003-2004 гг._2009-03-03 План марта рус 4" xfId="2133"/>
    <cellStyle name="_БЮДЖЕТ 2004 от 17.12.03 сырье 13.40_Дайджест 2003-2004 гг._2009-03-03 План марта рус 5" xfId="2134"/>
    <cellStyle name="_БЮДЖЕТ 2004 от 17.12.03 сырье 13.40_Дайджест 2003-2004 гг._2009-03-03 План марта рус 6" xfId="2135"/>
    <cellStyle name="_БЮДЖЕТ 2004 от 17.12.03 сырье 13.40_Дайджест 2003-2004 гг._2009-03-03 План марта рус 7" xfId="2136"/>
    <cellStyle name="_БЮДЖЕТ 2004 от 17.12.03 сырье 13.40_Дайджест 2003-2004 гг._2009-03-03 План марта рус 8" xfId="2137"/>
    <cellStyle name="_БЮДЖЕТ 2004 от 17.12.03 сырье 13.40_Дайджест 2003-2004 гг._2009-03-03 План марта рус 9" xfId="2138"/>
    <cellStyle name="_БЮДЖЕТ 2004 от 17.12.03 сырье 13.40_Дайджест 2003-2004 гг._25 разделы баланса раб (21.08.06)" xfId="2139"/>
    <cellStyle name="_БЮДЖЕТ 2004 от 17.12.03 сырье 13.40_Дайджест 2003-2004 гг._25 разделы баланса раб (21.08.06) 2" xfId="2140"/>
    <cellStyle name="_БЮДЖЕТ 2004 от 17.12.03 сырье 13.40_Дайджест 2003-2004 гг._25 разделы баланса раб (21.08.06) 3" xfId="2141"/>
    <cellStyle name="_БЮДЖЕТ 2004 от 17.12.03 сырье 13.40_Дайджест 2003-2004 гг._25 разделы баланса раб (21.08.06) 4" xfId="2142"/>
    <cellStyle name="_БЮДЖЕТ 2004 от 17.12.03 сырье 13.40_Дайджест 2003-2004 гг._25 разделы баланса раб (21.08.06) 5" xfId="2143"/>
    <cellStyle name="_БЮДЖЕТ 2004 от 17.12.03 сырье 13.40_Дайджест 2003-2004 гг._25 разделы баланса раб (21.08.06) 6" xfId="2144"/>
    <cellStyle name="_БЮДЖЕТ 2004 от 17.12.03 сырье 13.40_Дайджест 2003-2004 гг._25 разделы баланса раб (21.08.06) 7" xfId="2145"/>
    <cellStyle name="_БЮДЖЕТ 2004 от 17.12.03 сырье 13.40_Дайджест 2003-2004 гг._25 разделы баланса раб (21.08.06) 8" xfId="2146"/>
    <cellStyle name="_БЮДЖЕТ 2004 от 17.12.03 сырье 13.40_Дайджест 2003-2004 гг._25 разделы баланса раб (21.08.06) 9" xfId="2147"/>
    <cellStyle name="_БЮДЖЕТ 2004 от 17.12.03 сырье 13.40_Дайджест 2003-2004 гг._25.06.07" xfId="2148"/>
    <cellStyle name="_БЮДЖЕТ 2004 от 17.12.03 сырье 13.40_Дайджест 2003-2004 гг._25.06.07 2" xfId="2149"/>
    <cellStyle name="_БЮДЖЕТ 2004 от 17.12.03 сырье 13.40_Дайджест 2003-2004 гг._25.06.07 3" xfId="2150"/>
    <cellStyle name="_БЮДЖЕТ 2004 от 17.12.03 сырье 13.40_Дайджест 2003-2004 гг._25.06.07 4" xfId="2151"/>
    <cellStyle name="_БЮДЖЕТ 2004 от 17.12.03 сырье 13.40_Дайджест 2003-2004 гг._25.06.07 5" xfId="2152"/>
    <cellStyle name="_БЮДЖЕТ 2004 от 17.12.03 сырье 13.40_Дайджест 2003-2004 гг._25.06.07 6" xfId="2153"/>
    <cellStyle name="_БЮДЖЕТ 2004 от 17.12.03 сырье 13.40_Дайджест 2003-2004 гг._25.06.07 7" xfId="2154"/>
    <cellStyle name="_БЮДЖЕТ 2004 от 17.12.03 сырье 13.40_Дайджест 2003-2004 гг._25.06.07 8" xfId="2155"/>
    <cellStyle name="_БЮДЖЕТ 2004 от 17.12.03 сырье 13.40_Дайджест 2003-2004 гг._25.06.07 9" xfId="2156"/>
    <cellStyle name="_БЮДЖЕТ 2004 от 17.12.03 сырье 13.40_Дайджест 2003-2004 гг._26-30" xfId="2157"/>
    <cellStyle name="_БЮДЖЕТ 2004 от 17.12.03 сырье 13.40_Дайджест 2003-2004 гг._28" xfId="2158"/>
    <cellStyle name="_БЮДЖЕТ 2004 от 17.12.03 сырье 13.40_Дайджест 2003-2004 гг._28-30 (1)" xfId="2159"/>
    <cellStyle name="_БЮДЖЕТ 2004 от 17.12.03 сырье 13.40_Дайджест 2003-2004 гг._28-30 (1) 2" xfId="2160"/>
    <cellStyle name="_БЮДЖЕТ 2004 от 17.12.03 сырье 13.40_Дайджест 2003-2004 гг._28-30 (1) 3" xfId="2161"/>
    <cellStyle name="_БЮДЖЕТ 2004 от 17.12.03 сырье 13.40_Дайджест 2003-2004 гг._28-30 (1) 4" xfId="2162"/>
    <cellStyle name="_БЮДЖЕТ 2004 от 17.12.03 сырье 13.40_Дайджест 2003-2004 гг._28-30 (1) 5" xfId="2163"/>
    <cellStyle name="_БЮДЖЕТ 2004 от 17.12.03 сырье 13.40_Дайджест 2003-2004 гг._28-30 (1) 6" xfId="2164"/>
    <cellStyle name="_БЮДЖЕТ 2004 от 17.12.03 сырье 13.40_Дайджест 2003-2004 гг._28-30 (1) 7" xfId="2165"/>
    <cellStyle name="_БЮДЖЕТ 2004 от 17.12.03 сырье 13.40_Дайджест 2003-2004 гг._28-30 (1) 8" xfId="2166"/>
    <cellStyle name="_БЮДЖЕТ 2004 от 17.12.03 сырье 13.40_Дайджест 2003-2004 гг._28-30 (1) 9" xfId="2167"/>
    <cellStyle name="_БЮДЖЕТ 2004 от 17.12.03 сырье 13.40_Дайджест 2003-2004 гг._29 форма 12 месяцев" xfId="2168"/>
    <cellStyle name="_БЮДЖЕТ 2004 от 17.12.03 сырье 13.40_Дайджест 2003-2004 гг._29 форма 12 месяцев 2" xfId="2169"/>
    <cellStyle name="_БЮДЖЕТ 2004 от 17.12.03 сырье 13.40_Дайджест 2003-2004 гг._29 форма 12 месяцев 3" xfId="2170"/>
    <cellStyle name="_БЮДЖЕТ 2004 от 17.12.03 сырье 13.40_Дайджест 2003-2004 гг._29 форма 12 месяцев 4" xfId="2171"/>
    <cellStyle name="_БЮДЖЕТ 2004 от 17.12.03 сырье 13.40_Дайджест 2003-2004 гг._29 форма 12 месяцев 5" xfId="2172"/>
    <cellStyle name="_БЮДЖЕТ 2004 от 17.12.03 сырье 13.40_Дайджест 2003-2004 гг._29 форма 12 месяцев 6" xfId="2173"/>
    <cellStyle name="_БЮДЖЕТ 2004 от 17.12.03 сырье 13.40_Дайджест 2003-2004 гг._29 форма 12 месяцев 7" xfId="2174"/>
    <cellStyle name="_БЮДЖЕТ 2004 от 17.12.03 сырье 13.40_Дайджест 2003-2004 гг._29 форма 12 месяцев 8" xfId="2175"/>
    <cellStyle name="_БЮДЖЕТ 2004 от 17.12.03 сырье 13.40_Дайджест 2003-2004 гг._29 форма 12 месяцев 9" xfId="2176"/>
    <cellStyle name="_БЮДЖЕТ 2004 от 17.12.03 сырье 13.40_Дайджест 2003-2004 гг._29 форма 12 месяцев_13,14,28-30" xfId="2177"/>
    <cellStyle name="_БЮДЖЕТ 2004 от 17.12.03 сырье 13.40_Дайджест 2003-2004 гг._29 форма 12 месяцев_26-30" xfId="2178"/>
    <cellStyle name="_БЮДЖЕТ 2004 от 17.12.03 сырье 13.40_Дайджест 2003-2004 гг._29 форма 12 месяцев_28" xfId="2179"/>
    <cellStyle name="_БЮДЖЕТ 2004 от 17.12.03 сырье 13.40_Дайджест 2003-2004 гг._29 форма 12 месяцев_3 квартал" xfId="2180"/>
    <cellStyle name="_БЮДЖЕТ 2004 от 17.12.03 сырье 13.40_Дайджест 2003-2004 гг._29 форма 12 месяцев_3 квартал 2" xfId="2181"/>
    <cellStyle name="_БЮДЖЕТ 2004 от 17.12.03 сырье 13.40_Дайджест 2003-2004 гг._29 форма 12 месяцев_Книга2" xfId="2182"/>
    <cellStyle name="_БЮДЖЕТ 2004 от 17.12.03 сырье 13.40_Дайджест 2003-2004 гг._29 форма 12 месяцев_Копия Динамика цен (УС ) 2006-2009 сверен 30.01.09" xfId="2183"/>
    <cellStyle name="_БЮДЖЕТ 2004 от 17.12.03 сырье 13.40_Дайджест 2003-2004 гг._29 форма 12 месяцев_Обжиговая" xfId="2184"/>
    <cellStyle name="_БЮДЖЕТ 2004 от 17.12.03 сырье 13.40_Дайджест 2003-2004 гг._29 форма 12 месяцев_Отчет за сентябрь_11_ДСМ" xfId="2185"/>
    <cellStyle name="_БЮДЖЕТ 2004 от 17.12.03 сырье 13.40_Дайджест 2003-2004 гг._29 форма 12 месяцев_Стан 150" xfId="2186"/>
    <cellStyle name="_БЮДЖЕТ 2004 от 17.12.03 сырье 13.40_Дайджест 2003-2004 гг._29 форма 12 месяцев_фIIIкв Комплект ОЭМК (1-12,18,22) 28.10.08" xfId="2187"/>
    <cellStyle name="_БЮДЖЕТ 2004 от 17.12.03 сырье 13.40_Дайджест 2003-2004 гг._29 форма 12 месяцев_Форма №19" xfId="2188"/>
    <cellStyle name="_БЮДЖЕТ 2004 от 17.12.03 сырье 13.40_Дайджест 2003-2004 гг._29 форма 12 месяцев_Форма №24" xfId="2189"/>
    <cellStyle name="_БЮДЖЕТ 2004 от 17.12.03 сырье 13.40_Дайджест 2003-2004 гг._29 форма 12 месяцев_Формы _28-30 (новые)1" xfId="2190"/>
    <cellStyle name="_БЮДЖЕТ 2004 от 17.12.03 сырье 13.40_Дайджест 2003-2004 гг._29 форма 12 месяцев_Формы 28-30" xfId="2191"/>
    <cellStyle name="_БЮДЖЕТ 2004 от 17.12.03 сырье 13.40_Дайджест 2003-2004 гг._29 форма 12 месяцев_Формы №28-30 (новые)1" xfId="2192"/>
    <cellStyle name="_БЮДЖЕТ 2004 от 17.12.03 сырье 13.40_Дайджест 2003-2004 гг._29 форма 12 месяцев_Шаропрокатный" xfId="2193"/>
    <cellStyle name="_БЮДЖЕТ 2004 от 17.12.03 сырье 13.40_Дайджест 2003-2004 гг._29 форма 12 месяцев_ЭНЦ-1" xfId="2194"/>
    <cellStyle name="_БЮДЖЕТ 2004 от 17.12.03 сырье 13.40_Дайджест 2003-2004 гг._3 квартал" xfId="2195"/>
    <cellStyle name="_БЮДЖЕТ 2004 от 17.12.03 сырье 13.40_Дайджест 2003-2004 гг._3 квартал 2" xfId="2196"/>
    <cellStyle name="_БЮДЖЕТ 2004 от 17.12.03 сырье 13.40_Дайджест 2003-2004 гг._30" xfId="2197"/>
    <cellStyle name="_БЮДЖЕТ 2004 от 17.12.03 сырье 13.40_Дайджест 2003-2004 гг._30 2" xfId="2198"/>
    <cellStyle name="_БЮДЖЕТ 2004 от 17.12.03 сырье 13.40_Дайджест 2003-2004 гг._30 3" xfId="2199"/>
    <cellStyle name="_БЮДЖЕТ 2004 от 17.12.03 сырье 13.40_Дайджест 2003-2004 гг._30 4" xfId="2200"/>
    <cellStyle name="_БЮДЖЕТ 2004 от 17.12.03 сырье 13.40_Дайджест 2003-2004 гг._30 5" xfId="2201"/>
    <cellStyle name="_БЮДЖЕТ 2004 от 17.12.03 сырье 13.40_Дайджест 2003-2004 гг._30 6" xfId="2202"/>
    <cellStyle name="_БЮДЖЕТ 2004 от 17.12.03 сырье 13.40_Дайджест 2003-2004 гг._30 7" xfId="2203"/>
    <cellStyle name="_БЮДЖЕТ 2004 от 17.12.03 сырье 13.40_Дайджест 2003-2004 гг._30 8" xfId="2204"/>
    <cellStyle name="_БЮДЖЕТ 2004 от 17.12.03 сырье 13.40_Дайджест 2003-2004 гг._30 9" xfId="2205"/>
    <cellStyle name="_БЮДЖЕТ 2004 от 17.12.03 сырье 13.40_Дайджест 2003-2004 гг._30 форма (январьфакт)" xfId="2206"/>
    <cellStyle name="_БЮДЖЕТ 2004 от 17.12.03 сырье 13.40_Дайджест 2003-2004 гг._30 форма (январьфакт) 2" xfId="2207"/>
    <cellStyle name="_БЮДЖЕТ 2004 от 17.12.03 сырье 13.40_Дайджест 2003-2004 гг._30 форма (январьфакт) 3" xfId="2208"/>
    <cellStyle name="_БЮДЖЕТ 2004 от 17.12.03 сырье 13.40_Дайджест 2003-2004 гг._30 форма (январьфакт) 4" xfId="2209"/>
    <cellStyle name="_БЮДЖЕТ 2004 от 17.12.03 сырье 13.40_Дайджест 2003-2004 гг._30 форма (январьфакт) 5" xfId="2210"/>
    <cellStyle name="_БЮДЖЕТ 2004 от 17.12.03 сырье 13.40_Дайджест 2003-2004 гг._30 форма (январьфакт) 6" xfId="2211"/>
    <cellStyle name="_БЮДЖЕТ 2004 от 17.12.03 сырье 13.40_Дайджест 2003-2004 гг._30 форма (январьфакт) 7" xfId="2212"/>
    <cellStyle name="_БЮДЖЕТ 2004 от 17.12.03 сырье 13.40_Дайджест 2003-2004 гг._30 форма (январьфакт) 8" xfId="2213"/>
    <cellStyle name="_БЮДЖЕТ 2004 от 17.12.03 сырье 13.40_Дайджест 2003-2004 гг._30 форма (январьфакт) 9" xfId="2214"/>
    <cellStyle name="_БЮДЖЕТ 2004 от 17.12.03 сырье 13.40_Дайджест 2003-2004 гг._30 форма (январьфакт-мартплан)" xfId="2215"/>
    <cellStyle name="_БЮДЖЕТ 2004 от 17.12.03 сырье 13.40_Дайджест 2003-2004 гг._30 форма (январьфакт-мартплан) 2" xfId="2216"/>
    <cellStyle name="_БЮДЖЕТ 2004 от 17.12.03 сырье 13.40_Дайджест 2003-2004 гг._30 форма (январьфакт-мартплан) 3" xfId="2217"/>
    <cellStyle name="_БЮДЖЕТ 2004 от 17.12.03 сырье 13.40_Дайджест 2003-2004 гг._30 форма (январьфакт-мартплан) 4" xfId="2218"/>
    <cellStyle name="_БЮДЖЕТ 2004 от 17.12.03 сырье 13.40_Дайджест 2003-2004 гг._30 форма (январьфакт-мартплан) 5" xfId="2219"/>
    <cellStyle name="_БЮДЖЕТ 2004 от 17.12.03 сырье 13.40_Дайджест 2003-2004 гг._30 форма (январьфакт-мартплан) 6" xfId="2220"/>
    <cellStyle name="_БЮДЖЕТ 2004 от 17.12.03 сырье 13.40_Дайджест 2003-2004 гг._30 форма (январьфакт-мартплан) 7" xfId="2221"/>
    <cellStyle name="_БЮДЖЕТ 2004 от 17.12.03 сырье 13.40_Дайджест 2003-2004 гг._30 форма (январьфакт-мартплан) 8" xfId="2222"/>
    <cellStyle name="_БЮДЖЕТ 2004 от 17.12.03 сырье 13.40_Дайджест 2003-2004 гг._30 форма (январьфакт-мартплан) 9" xfId="2223"/>
    <cellStyle name="_БЮДЖЕТ 2004 от 17.12.03 сырье 13.40_Дайджест 2003-2004 гг._30 форма с ожидаемым за январь" xfId="2224"/>
    <cellStyle name="_БЮДЖЕТ 2004 от 17.12.03 сырье 13.40_Дайджест 2003-2004 гг._30 форма с ожидаемым за январь 2" xfId="2225"/>
    <cellStyle name="_БЮДЖЕТ 2004 от 17.12.03 сырье 13.40_Дайджест 2003-2004 гг._30 форма с ожидаемым за январь 3" xfId="2226"/>
    <cellStyle name="_БЮДЖЕТ 2004 от 17.12.03 сырье 13.40_Дайджест 2003-2004 гг._30 форма с ожидаемым за январь 4" xfId="2227"/>
    <cellStyle name="_БЮДЖЕТ 2004 от 17.12.03 сырье 13.40_Дайджест 2003-2004 гг._30 форма с ожидаемым за январь 5" xfId="2228"/>
    <cellStyle name="_БЮДЖЕТ 2004 от 17.12.03 сырье 13.40_Дайджест 2003-2004 гг._30 форма с ожидаемым за январь 6" xfId="2229"/>
    <cellStyle name="_БЮДЖЕТ 2004 от 17.12.03 сырье 13.40_Дайджест 2003-2004 гг._30 форма с ожидаемым за январь 7" xfId="2230"/>
    <cellStyle name="_БЮДЖЕТ 2004 от 17.12.03 сырье 13.40_Дайджест 2003-2004 гг._30 форма с ожидаемым за январь 8" xfId="2231"/>
    <cellStyle name="_БЮДЖЕТ 2004 от 17.12.03 сырье 13.40_Дайджест 2003-2004 гг._30 форма с ожидаемым за январь 9" xfId="2232"/>
    <cellStyle name="_БЮДЖЕТ 2004 от 17.12.03 сырье 13.40_Дайджест 2003-2004 гг._30 форма с фактом за декабрь" xfId="2233"/>
    <cellStyle name="_БЮДЖЕТ 2004 от 17.12.03 сырье 13.40_Дайджест 2003-2004 гг._30 форма с фактом за декабрь 2" xfId="2234"/>
    <cellStyle name="_БЮДЖЕТ 2004 от 17.12.03 сырье 13.40_Дайджест 2003-2004 гг._30 форма с фактом за декабрь 3" xfId="2235"/>
    <cellStyle name="_БЮДЖЕТ 2004 от 17.12.03 сырье 13.40_Дайджест 2003-2004 гг._30 форма с фактом за декабрь 4" xfId="2236"/>
    <cellStyle name="_БЮДЖЕТ 2004 от 17.12.03 сырье 13.40_Дайджест 2003-2004 гг._30 форма с фактом за декабрь 5" xfId="2237"/>
    <cellStyle name="_БЮДЖЕТ 2004 от 17.12.03 сырье 13.40_Дайджест 2003-2004 гг._30 форма с фактом за декабрь 6" xfId="2238"/>
    <cellStyle name="_БЮДЖЕТ 2004 от 17.12.03 сырье 13.40_Дайджест 2003-2004 гг._30 форма с фактом за декабрь 7" xfId="2239"/>
    <cellStyle name="_БЮДЖЕТ 2004 от 17.12.03 сырье 13.40_Дайджест 2003-2004 гг._30 форма с фактом за декабрь 8" xfId="2240"/>
    <cellStyle name="_БЮДЖЕТ 2004 от 17.12.03 сырье 13.40_Дайджест 2003-2004 гг._30 форма с фактом за декабрь 9" xfId="2241"/>
    <cellStyle name="_БЮДЖЕТ 2004 от 17.12.03 сырье 13.40_Дайджест 2003-2004 гг._30 форма с фактом за ноябрь" xfId="2242"/>
    <cellStyle name="_БЮДЖЕТ 2004 от 17.12.03 сырье 13.40_Дайджест 2003-2004 гг._30 форма с фактом за ноябрь 2" xfId="2243"/>
    <cellStyle name="_БЮДЖЕТ 2004 от 17.12.03 сырье 13.40_Дайджест 2003-2004 гг._30 форма с фактом за ноябрь 3" xfId="2244"/>
    <cellStyle name="_БЮДЖЕТ 2004 от 17.12.03 сырье 13.40_Дайджест 2003-2004 гг._30 форма с фактом за ноябрь 4" xfId="2245"/>
    <cellStyle name="_БЮДЖЕТ 2004 от 17.12.03 сырье 13.40_Дайджест 2003-2004 гг._30 форма с фактом за ноябрь 5" xfId="2246"/>
    <cellStyle name="_БЮДЖЕТ 2004 от 17.12.03 сырье 13.40_Дайджест 2003-2004 гг._30 форма с фактом за ноябрь 6" xfId="2247"/>
    <cellStyle name="_БЮДЖЕТ 2004 от 17.12.03 сырье 13.40_Дайджест 2003-2004 гг._30 форма с фактом за ноябрь 7" xfId="2248"/>
    <cellStyle name="_БЮДЖЕТ 2004 от 17.12.03 сырье 13.40_Дайджест 2003-2004 гг._30 форма с фактом за ноябрь 8" xfId="2249"/>
    <cellStyle name="_БЮДЖЕТ 2004 от 17.12.03 сырье 13.40_Дайджест 2003-2004 гг._30 форма с фактом за ноябрь 9" xfId="2250"/>
    <cellStyle name="_БЮДЖЕТ 2004 от 17.12.03 сырье 13.40_Дайджест 2003-2004 гг._8" xfId="2251"/>
    <cellStyle name="_БЮДЖЕТ 2004 от 17.12.03 сырье 13.40_Дайджест 2003-2004 гг._8 2" xfId="2252"/>
    <cellStyle name="_БЮДЖЕТ 2004 от 17.12.03 сырье 13.40_Дайджест 2003-2004 гг._8 3" xfId="2253"/>
    <cellStyle name="_БЮДЖЕТ 2004 от 17.12.03 сырье 13.40_Дайджест 2003-2004 гг._8 4" xfId="2254"/>
    <cellStyle name="_БЮДЖЕТ 2004 от 17.12.03 сырье 13.40_Дайджест 2003-2004 гг._8 5" xfId="2255"/>
    <cellStyle name="_БЮДЖЕТ 2004 от 17.12.03 сырье 13.40_Дайджест 2003-2004 гг._8 6" xfId="2256"/>
    <cellStyle name="_БЮДЖЕТ 2004 от 17.12.03 сырье 13.40_Дайджест 2003-2004 гг._8 7" xfId="2257"/>
    <cellStyle name="_БЮДЖЕТ 2004 от 17.12.03 сырье 13.40_Дайджест 2003-2004 гг._8 8" xfId="2258"/>
    <cellStyle name="_БЮДЖЕТ 2004 от 17.12.03 сырье 13.40_Дайджест 2003-2004 гг._8 9" xfId="2259"/>
    <cellStyle name="_БЮДЖЕТ 2004 от 17.12.03 сырье 13.40_Дайджест 2003-2004 гг._8_13,14,28-30" xfId="2260"/>
    <cellStyle name="_БЮДЖЕТ 2004 от 17.12.03 сырье 13.40_Дайджест 2003-2004 гг._8_19" xfId="2261"/>
    <cellStyle name="_БЮДЖЕТ 2004 от 17.12.03 сырье 13.40_Дайджест 2003-2004 гг._8_26-30" xfId="2262"/>
    <cellStyle name="_БЮДЖЕТ 2004 от 17.12.03 сырье 13.40_Дайджест 2003-2004 гг._8_28" xfId="2263"/>
    <cellStyle name="_БЮДЖЕТ 2004 от 17.12.03 сырье 13.40_Дайджест 2003-2004 гг._8_3 квартал" xfId="2264"/>
    <cellStyle name="_БЮДЖЕТ 2004 от 17.12.03 сырье 13.40_Дайджест 2003-2004 гг._8_3 квартал 2" xfId="2265"/>
    <cellStyle name="_БЮДЖЕТ 2004 от 17.12.03 сырье 13.40_Дайджест 2003-2004 гг._8_index" xfId="2266"/>
    <cellStyle name="_БЮДЖЕТ 2004 от 17.12.03 сырье 13.40_Дайджест 2003-2004 гг._8_БП Урал Кирпич 28 01 2008г" xfId="2267"/>
    <cellStyle name="_БЮДЖЕТ 2004 от 17.12.03 сырье 13.40_Дайджест 2003-2004 гг._8_БП Урал Кирпич 28 01 2008г_ф2 склад гп" xfId="2268"/>
    <cellStyle name="_БЮДЖЕТ 2004 от 17.12.03 сырье 13.40_Дайджест 2003-2004 гг._8_БП_план на 1 кв. 2008г." xfId="2269"/>
    <cellStyle name="_БЮДЖЕТ 2004 от 17.12.03 сырье 13.40_Дайджест 2003-2004 гг._8_БП_план на 2 кв. 2008г." xfId="2270"/>
    <cellStyle name="_БЮДЖЕТ 2004 от 17.12.03 сырье 13.40_Дайджест 2003-2004 гг._8_Верх НА" xfId="2271"/>
    <cellStyle name="_БЮДЖЕТ 2004 от 17.12.03 сырье 13.40_Дайджест 2003-2004 гг._8_Выручка февраля 09 от 22 01 09 (1)" xfId="2272"/>
    <cellStyle name="_БЮДЖЕТ 2004 от 17.12.03 сырье 13.40_Дайджест 2003-2004 гг._8_Запчасти май-апрель (12)" xfId="2273"/>
    <cellStyle name="_БЮДЖЕТ 2004 от 17.12.03 сырье 13.40_Дайджест 2003-2004 гг._8_Калькуляции ДСМ" xfId="2274"/>
    <cellStyle name="_БЮДЖЕТ 2004 от 17.12.03 сырье 13.40_Дайджест 2003-2004 гг._8_Книга2" xfId="2275"/>
    <cellStyle name="_БЮДЖЕТ 2004 от 17.12.03 сырье 13.40_Дайджест 2003-2004 гг._8_Книга2_Динамика объемов производства и отгрузки 2009-2012" xfId="2276"/>
    <cellStyle name="_БЮДЖЕТ 2004 от 17.12.03 сырье 13.40_Дайджест 2003-2004 гг._8_Конс  ЛГОК БП 2009 от 14 10 08" xfId="2277"/>
    <cellStyle name="_БЮДЖЕТ 2004 от 17.12.03 сырье 13.40_Дайджест 2003-2004 гг._8_Конс  МГОК БП 2009 от 14 10 08" xfId="2278"/>
    <cellStyle name="_БЮДЖЕТ 2004 от 17.12.03 сырье 13.40_Дайджест 2003-2004 гг._8_Копия Динамика цен (УС ) 2006-2009 сверен 30.01.09" xfId="2279"/>
    <cellStyle name="_БЮДЖЕТ 2004 от 17.12.03 сырье 13.40_Дайджест 2003-2004 гг._8_Копия Потребность взаиморасч  от 28 02 2008 (2)" xfId="2280"/>
    <cellStyle name="_БЮДЖЕТ 2004 от 17.12.03 сырье 13.40_Дайджест 2003-2004 гг._8_МИТ_РК и ДП за апрель" xfId="2281"/>
    <cellStyle name="_БЮДЖЕТ 2004 от 17.12.03 сырье 13.40_Дайджест 2003-2004 гг._8_МИТ_РК и ДП за апрель_Отчет за сентябрь_11_ДСМ" xfId="2282"/>
    <cellStyle name="_БЮДЖЕТ 2004 от 17.12.03 сырье 13.40_Дайджест 2003-2004 гг._8_Налог на прибыль" xfId="2283"/>
    <cellStyle name="_БЮДЖЕТ 2004 от 17.12.03 сырье 13.40_Дайджест 2003-2004 гг._8_Налоги А.А. Богоцкому 2005-2009" xfId="2284"/>
    <cellStyle name="_БЮДЖЕТ 2004 от 17.12.03 сырье 13.40_Дайджест 2003-2004 гг._8_Налоги к плану на 2009 год (ДЗ и КЗ)" xfId="2285"/>
    <cellStyle name="_БЮДЖЕТ 2004 от 17.12.03 сырье 13.40_Дайджест 2003-2004 гг._8_Налоги к плану на февраль 2009 года" xfId="2286"/>
    <cellStyle name="_БЮДЖЕТ 2004 от 17.12.03 сырье 13.40_Дайджест 2003-2004 гг._8_Обжиговая" xfId="2287"/>
    <cellStyle name="_БЮДЖЕТ 2004 от 17.12.03 сырье 13.40_Дайджест 2003-2004 гг._8_Отчет за 1 кв_08_ДСМ ОТЧЕТ_10.07" xfId="2288"/>
    <cellStyle name="_БЮДЖЕТ 2004 от 17.12.03 сырье 13.40_Дайджест 2003-2004 гг._8_Отчет за 1 кв_08_ДСМ ОТЧЕТ_10.07_Отчет за 2 кв_10_ДСM ОТЧЕТ" xfId="2289"/>
    <cellStyle name="_БЮДЖЕТ 2004 от 17.12.03 сырье 13.40_Дайджест 2003-2004 гг._8_Отчет за 1 кв_08_ДСМ ОТЧЕТ_10.07_Отчет за 2 кв_10_ДСМ_1" xfId="2290"/>
    <cellStyle name="_БЮДЖЕТ 2004 от 17.12.03 сырье 13.40_Дайджест 2003-2004 гг._8_Отчет за сентябрь_11_ДСМ_ОТЧЕТ" xfId="2291"/>
    <cellStyle name="_БЮДЖЕТ 2004 от 17.12.03 сырье 13.40_Дайджест 2003-2004 гг._8_План ДСМ 2 квартал 2009 ОТЧЕТ отп" xfId="2292"/>
    <cellStyle name="_БЮДЖЕТ 2004 от 17.12.03 сырье 13.40_Дайджест 2003-2004 гг._8_План ДСМ на 4 квартал 2006 (последняя версия) 2" xfId="2293"/>
    <cellStyle name="_БЮДЖЕТ 2004 от 17.12.03 сырье 13.40_Дайджест 2003-2004 гг._8_План ДСМ на 4 квартал 2006 (последняя версия) 2_Ожидаемый факт 4 кв., год-1" xfId="2294"/>
    <cellStyle name="_БЮДЖЕТ 2004 от 17.12.03 сырье 13.40_Дайджест 2003-2004 гг._8_План ДСМ на 4 квартал 2006 (последняя версия) 2_План ДСМ 4 квартал 2009 ОТЧЕТ" xfId="2295"/>
    <cellStyle name="_БЮДЖЕТ 2004 от 17.12.03 сырье 13.40_Дайджест 2003-2004 гг._8_План ДСМ на 4 квартал 2006 (последняя версия) 2_План на 2009 год ДСМ_9_без разбивки по мес, изм уплаты НП" xfId="2296"/>
    <cellStyle name="_БЮДЖЕТ 2004 от 17.12.03 сырье 13.40_Дайджест 2003-2004 гг._8_План ДСМ на 4 квартал 2006 (последняя версия) 2_План на 2010 год ДСМ" xfId="2297"/>
    <cellStyle name="_БЮДЖЕТ 2004 от 17.12.03 сырье 13.40_Дайджест 2003-2004 гг._8_План ДСМ ноябрь 2011 ОТЧЕТ" xfId="2298"/>
    <cellStyle name="_БЮДЖЕТ 2004 от 17.12.03 сырье 13.40_Дайджест 2003-2004 гг._8_План ДСФ 1 квартал 2007" xfId="2299"/>
    <cellStyle name="_БЮДЖЕТ 2004 от 17.12.03 сырье 13.40_Дайджест 2003-2004 гг._8_План ДСФ 1 квартал 2007_План ДСМ 2 квартал 2009 ОТЧЕТ отп" xfId="2300"/>
    <cellStyle name="_БЮДЖЕТ 2004 от 17.12.03 сырье 13.40_Дайджест 2003-2004 гг._8_План ДСФ 1 квартал 2007_План ДСМ 2 квартал 2009 ОТЧЕТ отп_ф2 склад гп" xfId="2301"/>
    <cellStyle name="_БЮДЖЕТ 2004 от 17.12.03 сырье 13.40_Дайджест 2003-2004 гг._8_План ДСФ 1 квартал 2007_План ДСМ 3 квартал 2008_1" xfId="2302"/>
    <cellStyle name="_БЮДЖЕТ 2004 от 17.12.03 сырье 13.40_Дайджест 2003-2004 гг._8_План ДСФ 1 квартал 2007_План ДСМ 3 квартал 2009 ОТЧЕТ" xfId="2303"/>
    <cellStyle name="_БЮДЖЕТ 2004 от 17.12.03 сырье 13.40_Дайджест 2003-2004 гг._8_План ДСФ 1 квартал 2007_План ДСМ 3 квартал 2009 ОТЧЕТ отп" xfId="2304"/>
    <cellStyle name="_БЮДЖЕТ 2004 от 17.12.03 сырье 13.40_Дайджест 2003-2004 гг._8_План ДСФ 1 квартал 2007_План ДСМ 3 квартал 2010_1" xfId="2305"/>
    <cellStyle name="_БЮДЖЕТ 2004 от 17.12.03 сырье 13.40_Дайджест 2003-2004 гг._8_План ДСФ 1 квартал 2007_План ДСФ 4 квартал 2009 ОТЧЕТ" xfId="2306"/>
    <cellStyle name="_БЮДЖЕТ 2004 от 17.12.03 сырье 13.40_Дайджест 2003-2004 гг._8_План ДСФ 1 квартал 2007_План на 2010 год ДСМ ОТЧЕТ" xfId="2307"/>
    <cellStyle name="_БЮДЖЕТ 2004 от 17.12.03 сырье 13.40_Дайджест 2003-2004 гг._8_План ДСФ 2 квартал 2009 ОТЧЕТ отп" xfId="2308"/>
    <cellStyle name="_БЮДЖЕТ 2004 от 17.12.03 сырье 13.40_Дайджест 2003-2004 гг._8_План ДСФ 2 квартал 2009 ОТЧЕТ отп_ф2 склад гп" xfId="2309"/>
    <cellStyle name="_БЮДЖЕТ 2004 от 17.12.03 сырье 13.40_Дайджест 2003-2004 гг._8_План на 2009 год ДСФ" xfId="2310"/>
    <cellStyle name="_БЮДЖЕТ 2004 от 17.12.03 сырье 13.40_Дайджест 2003-2004 гг._8_План на 2010 год ДСЩ ОТЧЕТ" xfId="2311"/>
    <cellStyle name="_БЮДЖЕТ 2004 от 17.12.03 сырье 13.40_Дайджест 2003-2004 гг._8_Сравнение ожидаемого 2008 с 2009г  ОЭМК от 06 10 2008" xfId="2312"/>
    <cellStyle name="_БЮДЖЕТ 2004 от 17.12.03 сырье 13.40_Дайджест 2003-2004 гг._8_Сравнение ожидаемого 2008 УС c 2009г  от 06 10 2008" xfId="2313"/>
    <cellStyle name="_БЮДЖЕТ 2004 от 17.12.03 сырье 13.40_Дайджест 2003-2004 гг._8_Стан 150" xfId="2314"/>
    <cellStyle name="_БЮДЖЕТ 2004 от 17.12.03 сырье 13.40_Дайджест 2003-2004 гг._8_титульный лист" xfId="2315"/>
    <cellStyle name="_БЮДЖЕТ 2004 от 17.12.03 сырье 13.40_Дайджест 2003-2004 гг._8_УК отчет за 3 кв. 2009_29_10" xfId="2316"/>
    <cellStyle name="_БЮДЖЕТ 2004 от 17.12.03 сырье 13.40_Дайджест 2003-2004 гг._8_УК отчет за май 2009" xfId="2317"/>
    <cellStyle name="_БЮДЖЕТ 2004 от 17.12.03 сырье 13.40_Дайджест 2003-2004 гг._8_УралКирпич_план на 2 кв. 2009" xfId="2318"/>
    <cellStyle name="_БЮДЖЕТ 2004 от 17.12.03 сырье 13.40_Дайджест 2003-2004 гг._8_УралКирпич_план на 2 кв. 2009_ф2 склад гп" xfId="2319"/>
    <cellStyle name="_БЮДЖЕТ 2004 от 17.12.03 сырье 13.40_Дайджест 2003-2004 гг._8_ф 6рем пс(ноябрь) (2)" xfId="2320"/>
    <cellStyle name="_БЮДЖЕТ 2004 от 17.12.03 сырье 13.40_Дайджест 2003-2004 гг._8_ф2 склад ГП" xfId="2321"/>
    <cellStyle name="_БЮДЖЕТ 2004 от 17.12.03 сырье 13.40_Дайджест 2003-2004 гг._8_Ф20 от налоговой" xfId="2322"/>
    <cellStyle name="_БЮДЖЕТ 2004 от 17.12.03 сырье 13.40_Дайджест 2003-2004 гг._8_ф6 сентябрь с запчастями (3)" xfId="2323"/>
    <cellStyle name="_БЮДЖЕТ 2004 от 17.12.03 сырье 13.40_Дайджест 2003-2004 гг._8_фIIIкв Комплект ОЭМК (1-12,18,22) 28.10.08" xfId="2324"/>
    <cellStyle name="_БЮДЖЕТ 2004 от 17.12.03 сырье 13.40_Дайджест 2003-2004 гг._8_Форма №13" xfId="2325"/>
    <cellStyle name="_БЮДЖЕТ 2004 от 17.12.03 сырье 13.40_Дайджест 2003-2004 гг._8_Форма №19" xfId="2326"/>
    <cellStyle name="_БЮДЖЕТ 2004 от 17.12.03 сырье 13.40_Дайджест 2003-2004 гг._8_Форма №24" xfId="2327"/>
    <cellStyle name="_БЮДЖЕТ 2004 от 17.12.03 сырье 13.40_Дайджест 2003-2004 гг._8_Форма№13 (новая от 28 12 09г) февраль версия № и последняя" xfId="2328"/>
    <cellStyle name="_БЮДЖЕТ 2004 от 17.12.03 сырье 13.40_Дайджест 2003-2004 гг._8_Формы _28-30 (новые)1" xfId="2329"/>
    <cellStyle name="_БЮДЖЕТ 2004 от 17.12.03 сырье 13.40_Дайджест 2003-2004 гг._8_Формы 28-30" xfId="2330"/>
    <cellStyle name="_БЮДЖЕТ 2004 от 17.12.03 сырье 13.40_Дайджест 2003-2004 гг._8_Формы №28-30 (новые)1" xfId="2331"/>
    <cellStyle name="_БЮДЖЕТ 2004 от 17.12.03 сырье 13.40_Дайджест 2003-2004 гг._8_Шаропрокатный" xfId="2332"/>
    <cellStyle name="_БЮДЖЕТ 2004 от 17.12.03 сырье 13.40_Дайджест 2003-2004 гг._8_ЭНЦ-1" xfId="2333"/>
    <cellStyle name="_БЮДЖЕТ 2004 от 17.12.03 сырье 13.40_Дайджест 2003-2004 гг._EBITDA_дивизион_12.11.2007" xfId="2334"/>
    <cellStyle name="_БЮДЖЕТ 2004 от 17.12.03 сырье 13.40_Дайджест 2003-2004 гг._EBITDA_дивизион_12.11.2007 2" xfId="2335"/>
    <cellStyle name="_БЮДЖЕТ 2004 от 17.12.03 сырье 13.40_Дайджест 2003-2004 гг._EBITDA_дивизион_12.11.2007 3" xfId="2336"/>
    <cellStyle name="_БЮДЖЕТ 2004 от 17.12.03 сырье 13.40_Дайджест 2003-2004 гг._EBITDA_дивизион_12.11.2007 4" xfId="2337"/>
    <cellStyle name="_БЮДЖЕТ 2004 от 17.12.03 сырье 13.40_Дайджест 2003-2004 гг._EBITDA_дивизион_12.11.2007 5" xfId="2338"/>
    <cellStyle name="_БЮДЖЕТ 2004 от 17.12.03 сырье 13.40_Дайджест 2003-2004 гг._EBITDA_дивизион_12.11.2007 6" xfId="2339"/>
    <cellStyle name="_БЮДЖЕТ 2004 от 17.12.03 сырье 13.40_Дайджест 2003-2004 гг._EBITDA_дивизион_12.11.2007 7" xfId="2340"/>
    <cellStyle name="_БЮДЖЕТ 2004 от 17.12.03 сырье 13.40_Дайджест 2003-2004 гг._EBITDA_дивизион_12.11.2007 8" xfId="2341"/>
    <cellStyle name="_БЮДЖЕТ 2004 от 17.12.03 сырье 13.40_Дайджест 2003-2004 гг._EBITDA_дивизион_12.11.2007 9" xfId="2342"/>
    <cellStyle name="_БЮДЖЕТ 2004 от 17.12.03 сырье 13.40_Дайджест 2003-2004 гг._index" xfId="2343"/>
    <cellStyle name="_БЮДЖЕТ 2004 от 17.12.03 сырье 13.40_Дайджест 2003-2004 гг._№13, №14" xfId="2344"/>
    <cellStyle name="_БЮДЖЕТ 2004 от 17.12.03 сырье 13.40_Дайджест 2003-2004 гг._№13, №14 02.04.07" xfId="2345"/>
    <cellStyle name="_БЮДЖЕТ 2004 от 17.12.03 сырье 13.40_Дайджест 2003-2004 гг._№13, №14 2" xfId="2346"/>
    <cellStyle name="_БЮДЖЕТ 2004 от 17.12.03 сырье 13.40_Дайджест 2003-2004 гг._№13, №14 3" xfId="2347"/>
    <cellStyle name="_БЮДЖЕТ 2004 от 17.12.03 сырье 13.40_Дайджест 2003-2004 гг._№13, №14 4" xfId="2348"/>
    <cellStyle name="_БЮДЖЕТ 2004 от 17.12.03 сырье 13.40_Дайджест 2003-2004 гг._№13, №14 5" xfId="2349"/>
    <cellStyle name="_БЮДЖЕТ 2004 от 17.12.03 сырье 13.40_Дайджест 2003-2004 гг._№13, №14 6" xfId="2350"/>
    <cellStyle name="_БЮДЖЕТ 2004 от 17.12.03 сырье 13.40_Дайджест 2003-2004 гг._№13, №14 7" xfId="2351"/>
    <cellStyle name="_БЮДЖЕТ 2004 от 17.12.03 сырье 13.40_Дайджест 2003-2004 гг._№13, №14 8" xfId="2352"/>
    <cellStyle name="_БЮДЖЕТ 2004 от 17.12.03 сырье 13.40_Дайджест 2003-2004 гг._№13, №14 9" xfId="2353"/>
    <cellStyle name="_БЮДЖЕТ 2004 от 17.12.03 сырье 13.40_Дайджест 2003-2004 гг._№13, №14 от 15.12.2006" xfId="2354"/>
    <cellStyle name="_БЮДЖЕТ 2004 от 17.12.03 сырье 13.40_Дайджест 2003-2004 гг._№13, №14 от 15.12.2006 2" xfId="2355"/>
    <cellStyle name="_БЮДЖЕТ 2004 от 17.12.03 сырье 13.40_Дайджест 2003-2004 гг._№13, №14 от 15.12.2006 3" xfId="2356"/>
    <cellStyle name="_БЮДЖЕТ 2004 от 17.12.03 сырье 13.40_Дайджест 2003-2004 гг._№13, №14 от 15.12.2006 4" xfId="2357"/>
    <cellStyle name="_БЮДЖЕТ 2004 от 17.12.03 сырье 13.40_Дайджест 2003-2004 гг._№13, №14 от 15.12.2006 5" xfId="2358"/>
    <cellStyle name="_БЮДЖЕТ 2004 от 17.12.03 сырье 13.40_Дайджест 2003-2004 гг._№13, №14 от 15.12.2006 6" xfId="2359"/>
    <cellStyle name="_БЮДЖЕТ 2004 от 17.12.03 сырье 13.40_Дайджест 2003-2004 гг._№13, №14 от 15.12.2006 7" xfId="2360"/>
    <cellStyle name="_БЮДЖЕТ 2004 от 17.12.03 сырье 13.40_Дайджест 2003-2004 гг._№13, №14 от 15.12.2006 8" xfId="2361"/>
    <cellStyle name="_БЮДЖЕТ 2004 от 17.12.03 сырье 13.40_Дайджест 2003-2004 гг._№13, №14 от 15.12.2006 9" xfId="2362"/>
    <cellStyle name="_БЮДЖЕТ 2004 от 17.12.03 сырье 13.40_Дайджест 2003-2004 гг._№13, №14 январь 2007 25.02.07" xfId="2363"/>
    <cellStyle name="_БЮДЖЕТ 2004 от 17.12.03 сырье 13.40_Дайджест 2003-2004 гг._№13, №14 январь 2007 25.02.07 2" xfId="2364"/>
    <cellStyle name="_БЮДЖЕТ 2004 от 17.12.03 сырье 13.40_Дайджест 2003-2004 гг._№13, №14 январь 2007 25.02.07 3" xfId="2365"/>
    <cellStyle name="_БЮДЖЕТ 2004 от 17.12.03 сырье 13.40_Дайджест 2003-2004 гг._№13, №14 январь 2007 25.02.07 4" xfId="2366"/>
    <cellStyle name="_БЮДЖЕТ 2004 от 17.12.03 сырье 13.40_Дайджест 2003-2004 гг._№13, №14 январь 2007 25.02.07 5" xfId="2367"/>
    <cellStyle name="_БЮДЖЕТ 2004 от 17.12.03 сырье 13.40_Дайджест 2003-2004 гг._№13, №14 январь 2007 25.02.07 6" xfId="2368"/>
    <cellStyle name="_БЮДЖЕТ 2004 от 17.12.03 сырье 13.40_Дайджест 2003-2004 гг._№13, №14 январь 2007 25.02.07 7" xfId="2369"/>
    <cellStyle name="_БЮДЖЕТ 2004 от 17.12.03 сырье 13.40_Дайджест 2003-2004 гг._№13, №14 январь 2007 25.02.07 8" xfId="2370"/>
    <cellStyle name="_БЮДЖЕТ 2004 от 17.12.03 сырье 13.40_Дайджест 2003-2004 гг._№13, №14 январь 2007 25.02.07 9" xfId="2371"/>
    <cellStyle name="_БЮДЖЕТ 2004 от 17.12.03 сырье 13.40_Дайджест 2003-2004 гг._№13, №14 январь 2007 25.02.07_index" xfId="2372"/>
    <cellStyle name="_БЮДЖЕТ 2004 от 17.12.03 сырье 13.40_Дайджест 2003-2004 гг._№13, №14 январь 2007 25.02.07_Копия Потребность взаиморасч  от 28 02 2008 (2)" xfId="2373"/>
    <cellStyle name="_БЮДЖЕТ 2004 от 17.12.03 сырье 13.40_Дайджест 2003-2004 гг._№13, №14 январь 2007 25.02.07_Форма№13 (новая от 28 12 09г) февраль версия № и последняя" xfId="2374"/>
    <cellStyle name="_БЮДЖЕТ 2004 от 17.12.03 сырье 13.40_Дайджест 2003-2004 гг._№26 измен 03.04.07" xfId="2375"/>
    <cellStyle name="_БЮДЖЕТ 2004 от 17.12.03 сырье 13.40_Дайджест 2003-2004 гг._№26 измен 15.12.06 4 вар " xfId="2376"/>
    <cellStyle name="_БЮДЖЕТ 2004 от 17.12.03 сырье 13.40_Дайджест 2003-2004 гг._№26 измен 15.12.06 4 вар  2" xfId="2377"/>
    <cellStyle name="_БЮДЖЕТ 2004 от 17.12.03 сырье 13.40_Дайджест 2003-2004 гг._№26 измен 15.12.06 4 вар  3" xfId="2378"/>
    <cellStyle name="_БЮДЖЕТ 2004 от 17.12.03 сырье 13.40_Дайджест 2003-2004 гг._№26 измен 15.12.06 4 вар  4" xfId="2379"/>
    <cellStyle name="_БЮДЖЕТ 2004 от 17.12.03 сырье 13.40_Дайджест 2003-2004 гг._№26 измен 15.12.06 4 вар  5" xfId="2380"/>
    <cellStyle name="_БЮДЖЕТ 2004 от 17.12.03 сырье 13.40_Дайджест 2003-2004 гг._№26 измен 15.12.06 4 вар  6" xfId="2381"/>
    <cellStyle name="_БЮДЖЕТ 2004 от 17.12.03 сырье 13.40_Дайджест 2003-2004 гг._№26 измен 15.12.06 4 вар  7" xfId="2382"/>
    <cellStyle name="_БЮДЖЕТ 2004 от 17.12.03 сырье 13.40_Дайджест 2003-2004 гг._№26 измен 15.12.06 4 вар  8" xfId="2383"/>
    <cellStyle name="_БЮДЖЕТ 2004 от 17.12.03 сырье 13.40_Дайджест 2003-2004 гг._№26 измен 15.12.06 4 вар  9" xfId="2384"/>
    <cellStyle name="_БЮДЖЕТ 2004 от 17.12.03 сырье 13.40_Дайджест 2003-2004 гг._№26, от 25.02.07" xfId="2385"/>
    <cellStyle name="_БЮДЖЕТ 2004 от 17.12.03 сырье 13.40_Дайджест 2003-2004 гг._№26, от 25.02.07 2" xfId="2386"/>
    <cellStyle name="_БЮДЖЕТ 2004 от 17.12.03 сырье 13.40_Дайджест 2003-2004 гг._№26, от 25.02.07 3" xfId="2387"/>
    <cellStyle name="_БЮДЖЕТ 2004 от 17.12.03 сырье 13.40_Дайджест 2003-2004 гг._№26, от 25.02.07 4" xfId="2388"/>
    <cellStyle name="_БЮДЖЕТ 2004 от 17.12.03 сырье 13.40_Дайджест 2003-2004 гг._№26, от 25.02.07 5" xfId="2389"/>
    <cellStyle name="_БЮДЖЕТ 2004 от 17.12.03 сырье 13.40_Дайджест 2003-2004 гг._№26, от 25.02.07 6" xfId="2390"/>
    <cellStyle name="_БЮДЖЕТ 2004 от 17.12.03 сырье 13.40_Дайджест 2003-2004 гг._№26, от 25.02.07 7" xfId="2391"/>
    <cellStyle name="_БЮДЖЕТ 2004 от 17.12.03 сырье 13.40_Дайджест 2003-2004 гг._№26, от 25.02.07 8" xfId="2392"/>
    <cellStyle name="_БЮДЖЕТ 2004 от 17.12.03 сырье 13.40_Дайджест 2003-2004 гг._№26, от 25.02.07 9" xfId="2393"/>
    <cellStyle name="_БЮДЖЕТ 2004 от 17.12.03 сырье 13.40_Дайджест 2003-2004 гг._№26, от 25.02.07_index" xfId="2394"/>
    <cellStyle name="_БЮДЖЕТ 2004 от 17.12.03 сырье 13.40_Дайджест 2003-2004 гг._№26, от 25.02.07_Копия Потребность взаиморасч  от 28 02 2008 (2)" xfId="2395"/>
    <cellStyle name="_БЮДЖЕТ 2004 от 17.12.03 сырье 13.40_Дайджест 2003-2004 гг._№26, от 25.02.07_Форма№13 (новая от 28 12 09г) февраль версия № и последняя" xfId="2396"/>
    <cellStyle name="_БЮДЖЕТ 2004 от 17.12.03 сырье 13.40_Дайджест 2003-2004 гг._БДР - 2008 год 2-е чтение" xfId="2397"/>
    <cellStyle name="_БЮДЖЕТ 2004 от 17.12.03 сырье 13.40_Дайджест 2003-2004 гг._БДР - 2008 год 2-е чтение 2" xfId="2398"/>
    <cellStyle name="_БЮДЖЕТ 2004 от 17.12.03 сырье 13.40_Дайджест 2003-2004 гг._БДР - 2008 год 2-е чтение 3" xfId="2399"/>
    <cellStyle name="_БЮДЖЕТ 2004 от 17.12.03 сырье 13.40_Дайджест 2003-2004 гг._БДР - 2008 год 2-е чтение 4" xfId="2400"/>
    <cellStyle name="_БЮДЖЕТ 2004 от 17.12.03 сырье 13.40_Дайджест 2003-2004 гг._БДР - 2008 год 2-е чтение 5" xfId="2401"/>
    <cellStyle name="_БЮДЖЕТ 2004 от 17.12.03 сырье 13.40_Дайджест 2003-2004 гг._БДР - 2008 год 2-е чтение 6" xfId="2402"/>
    <cellStyle name="_БЮДЖЕТ 2004 от 17.12.03 сырье 13.40_Дайджест 2003-2004 гг._БДР - 2008 год 2-е чтение 7" xfId="2403"/>
    <cellStyle name="_БЮДЖЕТ 2004 от 17.12.03 сырье 13.40_Дайджест 2003-2004 гг._БДР - 2008 год 2-е чтение 8" xfId="2404"/>
    <cellStyle name="_БЮДЖЕТ 2004 от 17.12.03 сырье 13.40_Дайджест 2003-2004 гг._БДР - 2008 год 2-е чтение 9" xfId="2405"/>
    <cellStyle name="_БЮДЖЕТ 2004 от 17.12.03 сырье 13.40_Дайджест 2003-2004 гг._БДР 2 кв  презентационный_24 03 2008_11-45" xfId="2406"/>
    <cellStyle name="_БЮДЖЕТ 2004 от 17.12.03 сырье 13.40_Дайджест 2003-2004 гг._БДР 2 кв  презентационный_24 03 2008_15-55" xfId="2407"/>
    <cellStyle name="_БЮДЖЕТ 2004 от 17.12.03 сырье 13.40_Дайджест 2003-2004 гг._Больш. 1-8 октября" xfId="2408"/>
    <cellStyle name="_БЮДЖЕТ 2004 от 17.12.03 сырье 13.40_Дайджест 2003-2004 гг._БП  07 г. (нов.форма) 2" xfId="2409"/>
    <cellStyle name="_БЮДЖЕТ 2004 от 17.12.03 сырье 13.40_Дайджест 2003-2004 гг._БП  07 г. (нов.форма) 2 2" xfId="2410"/>
    <cellStyle name="_БЮДЖЕТ 2004 от 17.12.03 сырье 13.40_Дайджест 2003-2004 гг._БП  07 г. (нов.форма) 2 3" xfId="2411"/>
    <cellStyle name="_БЮДЖЕТ 2004 от 17.12.03 сырье 13.40_Дайджест 2003-2004 гг._БП  07 г. (нов.форма) 2 4" xfId="2412"/>
    <cellStyle name="_БЮДЖЕТ 2004 от 17.12.03 сырье 13.40_Дайджест 2003-2004 гг._БП  07 г. (нов.форма) 2 5" xfId="2413"/>
    <cellStyle name="_БЮДЖЕТ 2004 от 17.12.03 сырье 13.40_Дайджест 2003-2004 гг._БП  07 г. (нов.форма) 2 6" xfId="2414"/>
    <cellStyle name="_БЮДЖЕТ 2004 от 17.12.03 сырье 13.40_Дайджест 2003-2004 гг._БП  07 г. (нов.форма) 2 7" xfId="2415"/>
    <cellStyle name="_БЮДЖЕТ 2004 от 17.12.03 сырье 13.40_Дайджест 2003-2004 гг._БП  07 г. (нов.форма) 2 8" xfId="2416"/>
    <cellStyle name="_БЮДЖЕТ 2004 от 17.12.03 сырье 13.40_Дайджест 2003-2004 гг._БП  07 г. (нов.форма) 2 9" xfId="2417"/>
    <cellStyle name="_БЮДЖЕТ 2004 от 17.12.03 сырье 13.40_Дайджест 2003-2004 гг._БП Урал Кирпич 28 01 2008г" xfId="2418"/>
    <cellStyle name="_БЮДЖЕТ 2004 от 17.12.03 сырье 13.40_Дайджест 2003-2004 гг._БП_план на 1 кв. 2008г." xfId="2419"/>
    <cellStyle name="_БЮДЖЕТ 2004 от 17.12.03 сырье 13.40_Дайджест 2003-2004 гг._БП_план на 2 кв. 2008г." xfId="2420"/>
    <cellStyle name="_БЮДЖЕТ 2004 от 17.12.03 сырье 13.40_Дайджест 2003-2004 гг._бп2008 презентация 12.11.07" xfId="2421"/>
    <cellStyle name="_БЮДЖЕТ 2004 от 17.12.03 сырье 13.40_Дайджест 2003-2004 гг._бп2008 презентация 12.11.07 2" xfId="2422"/>
    <cellStyle name="_БЮДЖЕТ 2004 от 17.12.03 сырье 13.40_Дайджест 2003-2004 гг._бп2008 презентация 12.11.07 3" xfId="2423"/>
    <cellStyle name="_БЮДЖЕТ 2004 от 17.12.03 сырье 13.40_Дайджест 2003-2004 гг._бп2008 презентация 12.11.07 4" xfId="2424"/>
    <cellStyle name="_БЮДЖЕТ 2004 от 17.12.03 сырье 13.40_Дайджест 2003-2004 гг._бп2008 презентация 12.11.07 5" xfId="2425"/>
    <cellStyle name="_БЮДЖЕТ 2004 от 17.12.03 сырье 13.40_Дайджест 2003-2004 гг._бп2008 презентация 12.11.07 6" xfId="2426"/>
    <cellStyle name="_БЮДЖЕТ 2004 от 17.12.03 сырье 13.40_Дайджест 2003-2004 гг._бп2008 презентация 12.11.07 7" xfId="2427"/>
    <cellStyle name="_БЮДЖЕТ 2004 от 17.12.03 сырье 13.40_Дайджест 2003-2004 гг._бп2008 презентация 12.11.07 8" xfId="2428"/>
    <cellStyle name="_БЮДЖЕТ 2004 от 17.12.03 сырье 13.40_Дайджест 2003-2004 гг._бп2008 презентация 12.11.07 9" xfId="2429"/>
    <cellStyle name="_БЮДЖЕТ 2004 от 17.12.03 сырье 13.40_Дайджест 2003-2004 гг._Верх НА" xfId="2430"/>
    <cellStyle name="_БЮДЖЕТ 2004 от 17.12.03 сырье 13.40_Дайджест 2003-2004 гг._Выручка февраля 09 от 22 01 09 (1)" xfId="2431"/>
    <cellStyle name="_БЮДЖЕТ 2004 от 17.12.03 сырье 13.40_Дайджест 2003-2004 гг._ДИВИЗИОН Презентация 4 кв. 07 изм отгр" xfId="2432"/>
    <cellStyle name="_БЮДЖЕТ 2004 от 17.12.03 сырье 13.40_Дайджест 2003-2004 гг._ДИВИЗИОН Презентация 4 кв. 07 изм отгр 2" xfId="2433"/>
    <cellStyle name="_БЮДЖЕТ 2004 от 17.12.03 сырье 13.40_Дайджест 2003-2004 гг._ДИВИЗИОН Презентация 4 кв. 07 изм отгр 3" xfId="2434"/>
    <cellStyle name="_БЮДЖЕТ 2004 от 17.12.03 сырье 13.40_Дайджест 2003-2004 гг._ДИВИЗИОН Презентация 4 кв. 07 изм отгр 4" xfId="2435"/>
    <cellStyle name="_БЮДЖЕТ 2004 от 17.12.03 сырье 13.40_Дайджест 2003-2004 гг._ДИВИЗИОН Презентация 4 кв. 07 изм отгр 5" xfId="2436"/>
    <cellStyle name="_БЮДЖЕТ 2004 от 17.12.03 сырье 13.40_Дайджест 2003-2004 гг._ДИВИЗИОН Презентация 4 кв. 07 изм отгр 6" xfId="2437"/>
    <cellStyle name="_БЮДЖЕТ 2004 от 17.12.03 сырье 13.40_Дайджест 2003-2004 гг._ДИВИЗИОН Презентация 4 кв. 07 изм отгр 7" xfId="2438"/>
    <cellStyle name="_БЮДЖЕТ 2004 от 17.12.03 сырье 13.40_Дайджест 2003-2004 гг._ДИВИЗИОН Презентация 4 кв. 07 изм отгр 8" xfId="2439"/>
    <cellStyle name="_БЮДЖЕТ 2004 от 17.12.03 сырье 13.40_Дайджест 2003-2004 гг._ДИВИЗИОН Презентация 4 кв. 07 изм отгр 9" xfId="2440"/>
    <cellStyle name="_БЮДЖЕТ 2004 от 17.12.03 сырье 13.40_Дайджест 2003-2004 гг._ДИВИЗИОН_2008" xfId="2441"/>
    <cellStyle name="_БЮДЖЕТ 2004 от 17.12.03 сырье 13.40_Дайджест 2003-2004 гг._ДИВИЗИОН_2008 2" xfId="2442"/>
    <cellStyle name="_БЮДЖЕТ 2004 от 17.12.03 сырье 13.40_Дайджест 2003-2004 гг._ДИВИЗИОН_2008 3" xfId="2443"/>
    <cellStyle name="_БЮДЖЕТ 2004 от 17.12.03 сырье 13.40_Дайджест 2003-2004 гг._ДИВИЗИОН_2008 4" xfId="2444"/>
    <cellStyle name="_БЮДЖЕТ 2004 от 17.12.03 сырье 13.40_Дайджест 2003-2004 гг._ДИВИЗИОН_2008 5" xfId="2445"/>
    <cellStyle name="_БЮДЖЕТ 2004 от 17.12.03 сырье 13.40_Дайджест 2003-2004 гг._ДИВИЗИОН_2008 6" xfId="2446"/>
    <cellStyle name="_БЮДЖЕТ 2004 от 17.12.03 сырье 13.40_Дайджест 2003-2004 гг._ДИВИЗИОН_2008 7" xfId="2447"/>
    <cellStyle name="_БЮДЖЕТ 2004 от 17.12.03 сырье 13.40_Дайджест 2003-2004 гг._ДИВИЗИОН_2008 8" xfId="2448"/>
    <cellStyle name="_БЮДЖЕТ 2004 от 17.12.03 сырье 13.40_Дайджест 2003-2004 гг._ДИВИЗИОН_2008 9" xfId="2449"/>
    <cellStyle name="_БЮДЖЕТ 2004 от 17.12.03 сырье 13.40_Дайджест 2003-2004 гг._Дивизиональная форма БДР_14.12.2007" xfId="2450"/>
    <cellStyle name="_БЮДЖЕТ 2004 от 17.12.03 сырье 13.40_Дайджест 2003-2004 гг._Дивизиональная форма БДР_14.12.2007 2" xfId="2451"/>
    <cellStyle name="_БЮДЖЕТ 2004 от 17.12.03 сырье 13.40_Дайджест 2003-2004 гг._Дивизиональная форма БДР_14.12.2007 3" xfId="2452"/>
    <cellStyle name="_БЮДЖЕТ 2004 от 17.12.03 сырье 13.40_Дайджест 2003-2004 гг._Дивизиональная форма БДР_14.12.2007 4" xfId="2453"/>
    <cellStyle name="_БЮДЖЕТ 2004 от 17.12.03 сырье 13.40_Дайджест 2003-2004 гг._Дивизиональная форма БДР_14.12.2007 5" xfId="2454"/>
    <cellStyle name="_БЮДЖЕТ 2004 от 17.12.03 сырье 13.40_Дайджест 2003-2004 гг._Дивизиональная форма БДР_14.12.2007 6" xfId="2455"/>
    <cellStyle name="_БЮДЖЕТ 2004 от 17.12.03 сырье 13.40_Дайджест 2003-2004 гг._Дивизиональная форма БДР_14.12.2007 7" xfId="2456"/>
    <cellStyle name="_БЮДЖЕТ 2004 от 17.12.03 сырье 13.40_Дайджест 2003-2004 гг._Дивизиональная форма БДР_14.12.2007 8" xfId="2457"/>
    <cellStyle name="_БЮДЖЕТ 2004 от 17.12.03 сырье 13.40_Дайджест 2003-2004 гг._Дивизиональная форма БДР_14.12.2007 9" xfId="2458"/>
    <cellStyle name="_БЮДЖЕТ 2004 от 17.12.03 сырье 13.40_Дайджест 2003-2004 гг._Динамика Свод_Бизнес_MGOK 27_07_06" xfId="2459"/>
    <cellStyle name="_БЮДЖЕТ 2004 от 17.12.03 сырье 13.40_Дайджест 2003-2004 гг._Динамика Свод_Бизнес_MGOK 27_07_06 2" xfId="2460"/>
    <cellStyle name="_БЮДЖЕТ 2004 от 17.12.03 сырье 13.40_Дайджест 2003-2004 гг._Динамика Свод_Бизнес_MGOK 27_07_06 3" xfId="2461"/>
    <cellStyle name="_БЮДЖЕТ 2004 от 17.12.03 сырье 13.40_Дайджест 2003-2004 гг._Динамика Свод_Бизнес_MGOK 27_07_06 4" xfId="2462"/>
    <cellStyle name="_БЮДЖЕТ 2004 от 17.12.03 сырье 13.40_Дайджест 2003-2004 гг._Динамика Свод_Бизнес_MGOK 27_07_06 5" xfId="2463"/>
    <cellStyle name="_БЮДЖЕТ 2004 от 17.12.03 сырье 13.40_Дайджест 2003-2004 гг._Динамика Свод_Бизнес_MGOK 27_07_06 6" xfId="2464"/>
    <cellStyle name="_БЮДЖЕТ 2004 от 17.12.03 сырье 13.40_Дайджест 2003-2004 гг._Динамика Свод_Бизнес_MGOK 27_07_06 7" xfId="2465"/>
    <cellStyle name="_БЮДЖЕТ 2004 от 17.12.03 сырье 13.40_Дайджест 2003-2004 гг._Динамика Свод_Бизнес_MGOK 27_07_06 8" xfId="2466"/>
    <cellStyle name="_БЮДЖЕТ 2004 от 17.12.03 сырье 13.40_Дайджест 2003-2004 гг._Динамика Свод_Бизнес_MGOK 27_07_06 9" xfId="2467"/>
    <cellStyle name="_БЮДЖЕТ 2004 от 17.12.03 сырье 13.40_Дайджест 2003-2004 гг._Динамика Свод_Бизнес_MGOK 27_07_06_Книга2" xfId="2468"/>
    <cellStyle name="_БЮДЖЕТ 2004 от 17.12.03 сырье 13.40_Дайджест 2003-2004 гг._Динамика Свод_Бизнес_MGOK 27_07_06_Отчет за сентябрь_11_ДСМ" xfId="2469"/>
    <cellStyle name="_БЮДЖЕТ 2004 от 17.12.03 сырье 13.40_Дайджест 2003-2004 гг._Ежемесячные формы для ТД на 2004 год (version 1)" xfId="2470"/>
    <cellStyle name="_БЮДЖЕТ 2004 от 17.12.03 сырье 13.40_Дайджест 2003-2004 гг._Запрос МИ Менеджмент 18 08 06 (новый формат)" xfId="2471"/>
    <cellStyle name="_БЮДЖЕТ 2004 от 17.12.03 сырье 13.40_Дайджест 2003-2004 гг._Запрос МИ Менеджмент 18 08 06 (новый формат) 10" xfId="2472"/>
    <cellStyle name="_БЮДЖЕТ 2004 от 17.12.03 сырье 13.40_Дайджест 2003-2004 гг._Запрос МИ Менеджмент 18 08 06 (новый формат) 11" xfId="2473"/>
    <cellStyle name="_БЮДЖЕТ 2004 от 17.12.03 сырье 13.40_Дайджест 2003-2004 гг._Запрос МИ Менеджмент 18 08 06 (новый формат) 12" xfId="2474"/>
    <cellStyle name="_БЮДЖЕТ 2004 от 17.12.03 сырье 13.40_Дайджест 2003-2004 гг._Запрос МИ Менеджмент 18 08 06 (новый формат) 13" xfId="2475"/>
    <cellStyle name="_БЮДЖЕТ 2004 от 17.12.03 сырье 13.40_Дайджест 2003-2004 гг._Запрос МИ Менеджмент 18 08 06 (новый формат) 2" xfId="2476"/>
    <cellStyle name="_БЮДЖЕТ 2004 от 17.12.03 сырье 13.40_Дайджест 2003-2004 гг._Запрос МИ Менеджмент 18 08 06 (новый формат) 3" xfId="2477"/>
    <cellStyle name="_БЮДЖЕТ 2004 от 17.12.03 сырье 13.40_Дайджест 2003-2004 гг._Запрос МИ Менеджмент 18 08 06 (новый формат) 4" xfId="2478"/>
    <cellStyle name="_БЮДЖЕТ 2004 от 17.12.03 сырье 13.40_Дайджест 2003-2004 гг._Запрос МИ Менеджмент 18 08 06 (новый формат) 5" xfId="2479"/>
    <cellStyle name="_БЮДЖЕТ 2004 от 17.12.03 сырье 13.40_Дайджест 2003-2004 гг._Запрос МИ Менеджмент 18 08 06 (новый формат) 6" xfId="2480"/>
    <cellStyle name="_БЮДЖЕТ 2004 от 17.12.03 сырье 13.40_Дайджест 2003-2004 гг._Запрос МИ Менеджмент 18 08 06 (новый формат) 7" xfId="2481"/>
    <cellStyle name="_БЮДЖЕТ 2004 от 17.12.03 сырье 13.40_Дайджест 2003-2004 гг._Запрос МИ Менеджмент 18 08 06 (новый формат) 8" xfId="2482"/>
    <cellStyle name="_БЮДЖЕТ 2004 от 17.12.03 сырье 13.40_Дайджест 2003-2004 гг._Запрос МИ Менеджмент 18 08 06 (новый формат) 9" xfId="2483"/>
    <cellStyle name="_БЮДЖЕТ 2004 от 17.12.03 сырье 13.40_Дайджест 2003-2004 гг._Запрос МИ Менеджмент 18 08 06 (новый формат)__План по труду 2008 261107 (10% с января)" xfId="2484"/>
    <cellStyle name="_БЮДЖЕТ 2004 от 17.12.03 сырье 13.40_Дайджест 2003-2004 гг._Запрос МИ Менеджмент 18 08 06 (новый формат)__План по труду 2008 261107 (10% с января) 2" xfId="2485"/>
    <cellStyle name="_БЮДЖЕТ 2004 от 17.12.03 сырье 13.40_Дайджест 2003-2004 гг._Запрос МИ Менеджмент 18 08 06 (новый формат)__План по труду 2008 261107 (10% с января) 3" xfId="2486"/>
    <cellStyle name="_БЮДЖЕТ 2004 от 17.12.03 сырье 13.40_Дайджест 2003-2004 гг._Запрос МИ Менеджмент 18 08 06 (новый формат)__План по труду 2008 261107 (10% с января) 4" xfId="2487"/>
    <cellStyle name="_БЮДЖЕТ 2004 от 17.12.03 сырье 13.40_Дайджест 2003-2004 гг._Запрос МИ Менеджмент 18 08 06 (новый формат)__План по труду 2008 261107 (10% с января) 5" xfId="2488"/>
    <cellStyle name="_БЮДЖЕТ 2004 от 17.12.03 сырье 13.40_Дайджест 2003-2004 гг._Запрос МИ Менеджмент 18 08 06 (новый формат)__План по труду 2008 261107 (10% с января) 6" xfId="2489"/>
    <cellStyle name="_БЮДЖЕТ 2004 от 17.12.03 сырье 13.40_Дайджест 2003-2004 гг._Запрос МИ Менеджмент 18 08 06 (новый формат)__План по труду 2008 261107 (10% с января) 7" xfId="2490"/>
    <cellStyle name="_БЮДЖЕТ 2004 от 17.12.03 сырье 13.40_Дайджест 2003-2004 гг._Запрос МИ Менеджмент 18 08 06 (новый формат)__План по труду 2008 261107 (10% с января) 8" xfId="2491"/>
    <cellStyle name="_БЮДЖЕТ 2004 от 17.12.03 сырье 13.40_Дайджест 2003-2004 гг._Запрос МИ Менеджмент 18 08 06 (новый формат)__План по труду 2008 261107 (10% с января) 9" xfId="2492"/>
    <cellStyle name="_БЮДЖЕТ 2004 от 17.12.03 сырье 13.40_Дайджест 2003-2004 гг._Запрос МИ Менеджмент 18 08 06 (новый формат)__План по труду 2008 ИТОГ (правл. ПНР 161007)_" xfId="2493"/>
    <cellStyle name="_БЮДЖЕТ 2004 от 17.12.03 сырье 13.40_Дайджест 2003-2004 гг._Запрос МИ Менеджмент 18 08 06 (новый формат)__План по труду 2008 ИТОГ (правл. ПНР 161007)_ 2" xfId="2494"/>
    <cellStyle name="_БЮДЖЕТ 2004 от 17.12.03 сырье 13.40_Дайджест 2003-2004 гг._Запрос МИ Менеджмент 18 08 06 (новый формат)__План по труду 2008 ИТОГ (правл. ПНР 161007)_ 3" xfId="2495"/>
    <cellStyle name="_БЮДЖЕТ 2004 от 17.12.03 сырье 13.40_Дайджест 2003-2004 гг._Запрос МИ Менеджмент 18 08 06 (новый формат)__План по труду 2008 ИТОГ (правл. ПНР 161007)_ 4" xfId="2496"/>
    <cellStyle name="_БЮДЖЕТ 2004 от 17.12.03 сырье 13.40_Дайджест 2003-2004 гг._Запрос МИ Менеджмент 18 08 06 (новый формат)__План по труду 2008 ИТОГ (правл. ПНР 161007)_ 5" xfId="2497"/>
    <cellStyle name="_БЮДЖЕТ 2004 от 17.12.03 сырье 13.40_Дайджест 2003-2004 гг._Запрос МИ Менеджмент 18 08 06 (новый формат)__План по труду 2008 ИТОГ (правл. ПНР 161007)_ 6" xfId="2498"/>
    <cellStyle name="_БЮДЖЕТ 2004 от 17.12.03 сырье 13.40_Дайджест 2003-2004 гг._Запрос МИ Менеджмент 18 08 06 (новый формат)__План по труду 2008 ИТОГ (правл. ПНР 161007)_ 7" xfId="2499"/>
    <cellStyle name="_БЮДЖЕТ 2004 от 17.12.03 сырье 13.40_Дайджест 2003-2004 гг._Запрос МИ Менеджмент 18 08 06 (новый формат)__План по труду 2008 ИТОГ (правл. ПНР 161007)_ 8" xfId="2500"/>
    <cellStyle name="_БЮДЖЕТ 2004 от 17.12.03 сырье 13.40_Дайджест 2003-2004 гг._Запрос МИ Менеджмент 18 08 06 (новый формат)__План по труду 2008 ИТОГ (правл. ПНР 161007)_ 9" xfId="2501"/>
    <cellStyle name="_БЮДЖЕТ 2004 от 17.12.03 сырье 13.40_Дайджест 2003-2004 гг._Запрос МИ Менеджмент 18 08 06 (новый формат)_2_Инвестпрограмма на 2008 год (КОВАЛЕВ)" xfId="2502"/>
    <cellStyle name="_БЮДЖЕТ 2004 от 17.12.03 сырье 13.40_Дайджест 2003-2004 гг._Запрос МИ Менеджмент 18 08 06 (новый формат)_Данные для ФОТ на 2008 год" xfId="2503"/>
    <cellStyle name="_БЮДЖЕТ 2004 от 17.12.03 сырье 13.40_Дайджест 2003-2004 гг._Запрос МИ Менеджмент 18 08 06 (новый формат)_Данные для ФОТ на 2008 год 2" xfId="2504"/>
    <cellStyle name="_БЮДЖЕТ 2004 от 17.12.03 сырье 13.40_Дайджест 2003-2004 гг._Запрос МИ Менеджмент 18 08 06 (новый формат)_Данные для ФОТ на 2008 год 3" xfId="2505"/>
    <cellStyle name="_БЮДЖЕТ 2004 от 17.12.03 сырье 13.40_Дайджест 2003-2004 гг._Запрос МИ Менеджмент 18 08 06 (новый формат)_Данные для ФОТ на 2008 год 4" xfId="2506"/>
    <cellStyle name="_БЮДЖЕТ 2004 от 17.12.03 сырье 13.40_Дайджест 2003-2004 гг._Запрос МИ Менеджмент 18 08 06 (новый формат)_Данные для ФОТ на 2008 год 5" xfId="2507"/>
    <cellStyle name="_БЮДЖЕТ 2004 от 17.12.03 сырье 13.40_Дайджест 2003-2004 гг._Запрос МИ Менеджмент 18 08 06 (новый формат)_Данные для ФОТ на 2008 год 6" xfId="2508"/>
    <cellStyle name="_БЮДЖЕТ 2004 от 17.12.03 сырье 13.40_Дайджест 2003-2004 гг._Запрос МИ Менеджмент 18 08 06 (новый формат)_Данные для ФОТ на 2008 год 7" xfId="2509"/>
    <cellStyle name="_БЮДЖЕТ 2004 от 17.12.03 сырье 13.40_Дайджест 2003-2004 гг._Запрос МИ Менеджмент 18 08 06 (новый формат)_Данные для ФОТ на 2008 год 8" xfId="2510"/>
    <cellStyle name="_БЮДЖЕТ 2004 от 17.12.03 сырье 13.40_Дайджест 2003-2004 гг._Запрос МИ Менеджмент 18 08 06 (новый формат)_Данные для ФОТ на 2008 год 9" xfId="2511"/>
    <cellStyle name="_БЮДЖЕТ 2004 от 17.12.03 сырье 13.40_Дайджест 2003-2004 гг._Запрос МИ Менеджмент 18 08 06 (новый формат)_План по труду 2008 ИТОГ (2003_вер)" xfId="2512"/>
    <cellStyle name="_БЮДЖЕТ 2004 от 17.12.03 сырье 13.40_Дайджест 2003-2004 гг._Запрос МИ Менеджмент 18 08 06 (новый формат)_План по труду 2008 ИТОГ (2003_вер) 2" xfId="2513"/>
    <cellStyle name="_БЮДЖЕТ 2004 от 17.12.03 сырье 13.40_Дайджест 2003-2004 гг._Запрос МИ Менеджмент 18 08 06 (новый формат)_План по труду 2008 ИТОГ (2003_вер) 3" xfId="2514"/>
    <cellStyle name="_БЮДЖЕТ 2004 от 17.12.03 сырье 13.40_Дайджест 2003-2004 гг._Запрос МИ Менеджмент 18 08 06 (новый формат)_План по труду 2008 ИТОГ (2003_вер) 4" xfId="2515"/>
    <cellStyle name="_БЮДЖЕТ 2004 от 17.12.03 сырье 13.40_Дайджест 2003-2004 гг._Запрос МИ Менеджмент 18 08 06 (новый формат)_План по труду 2008 ИТОГ (2003_вер) 5" xfId="2516"/>
    <cellStyle name="_БЮДЖЕТ 2004 от 17.12.03 сырье 13.40_Дайджест 2003-2004 гг._Запрос МИ Менеджмент 18 08 06 (новый формат)_План по труду 2008 ИТОГ (2003_вер) 6" xfId="2517"/>
    <cellStyle name="_БЮДЖЕТ 2004 от 17.12.03 сырье 13.40_Дайджест 2003-2004 гг._Запрос МИ Менеджмент 18 08 06 (новый формат)_План по труду 2008 ИТОГ (2003_вер) 7" xfId="2518"/>
    <cellStyle name="_БЮДЖЕТ 2004 от 17.12.03 сырье 13.40_Дайджест 2003-2004 гг._Запрос МИ Менеджмент 18 08 06 (новый формат)_План по труду 2008 ИТОГ (2003_вер) 8" xfId="2519"/>
    <cellStyle name="_БЮДЖЕТ 2004 от 17.12.03 сырье 13.40_Дайджест 2003-2004 гг._Запрос МИ Менеджмент 18 08 06 (новый формат)_План по труду 2008 ИТОГ (2003_вер) 9" xfId="2520"/>
    <cellStyle name="_БЮДЖЕТ 2004 от 17.12.03 сырье 13.40_Дайджест 2003-2004 гг._Запрос МИ Менеджмент 18 08 06 (новый формат)_ТКВ 2008 от 19.07" xfId="2521"/>
    <cellStyle name="_БЮДЖЕТ 2004 от 17.12.03 сырье 13.40_Дайджест 2003-2004 гг._Запрос МИ Менеджмент 18 08 06 (новый формат)_ТКВ 2008 от 31.07" xfId="2522"/>
    <cellStyle name="_БЮДЖЕТ 2004 от 17.12.03 сырье 13.40_Дайджест 2003-2004 гг._ИПИТА" xfId="2523"/>
    <cellStyle name="_БЮДЖЕТ 2004 от 17.12.03 сырье 13.40_Дайджест 2003-2004 гг._ИПИТА 2" xfId="2524"/>
    <cellStyle name="_БЮДЖЕТ 2004 от 17.12.03 сырье 13.40_Дайджест 2003-2004 гг._ИПИТА 3" xfId="2525"/>
    <cellStyle name="_БЮДЖЕТ 2004 от 17.12.03 сырье 13.40_Дайджест 2003-2004 гг._ИПИТА 4" xfId="2526"/>
    <cellStyle name="_БЮДЖЕТ 2004 от 17.12.03 сырье 13.40_Дайджест 2003-2004 гг._ИПИТА 5" xfId="2527"/>
    <cellStyle name="_БЮДЖЕТ 2004 от 17.12.03 сырье 13.40_Дайджест 2003-2004 гг._ИПИТА 6" xfId="2528"/>
    <cellStyle name="_БЮДЖЕТ 2004 от 17.12.03 сырье 13.40_Дайджест 2003-2004 гг._ИПИТА 7" xfId="2529"/>
    <cellStyle name="_БЮДЖЕТ 2004 от 17.12.03 сырье 13.40_Дайджест 2003-2004 гг._ИПИТА 8" xfId="2530"/>
    <cellStyle name="_БЮДЖЕТ 2004 от 17.12.03 сырье 13.40_Дайджест 2003-2004 гг._ИПИТА 9" xfId="2531"/>
    <cellStyle name="_БЮДЖЕТ 2004 от 17.12.03 сырье 13.40_Дайджест 2003-2004 гг._КМА-Эн план 1 кв 200919.12.08отпр в Холдинг" xfId="2532"/>
    <cellStyle name="_БЮДЖЕТ 2004 от 17.12.03 сырье 13.40_Дайджест 2003-2004 гг._Книга БДР 4 кв" xfId="2533"/>
    <cellStyle name="_БЮДЖЕТ 2004 от 17.12.03 сырье 13.40_Дайджест 2003-2004 гг._Книга БДР 4 кв 2" xfId="2534"/>
    <cellStyle name="_БЮДЖЕТ 2004 от 17.12.03 сырье 13.40_Дайджест 2003-2004 гг._Книга БДР 4 кв 3" xfId="2535"/>
    <cellStyle name="_БЮДЖЕТ 2004 от 17.12.03 сырье 13.40_Дайджест 2003-2004 гг._Книга БДР 4 кв 4" xfId="2536"/>
    <cellStyle name="_БЮДЖЕТ 2004 от 17.12.03 сырье 13.40_Дайджест 2003-2004 гг._Книга БДР 4 кв 5" xfId="2537"/>
    <cellStyle name="_БЮДЖЕТ 2004 от 17.12.03 сырье 13.40_Дайджест 2003-2004 гг._Книга БДР 4 кв 6" xfId="2538"/>
    <cellStyle name="_БЮДЖЕТ 2004 от 17.12.03 сырье 13.40_Дайджест 2003-2004 гг._Книга БДР 4 кв 7" xfId="2539"/>
    <cellStyle name="_БЮДЖЕТ 2004 от 17.12.03 сырье 13.40_Дайджест 2003-2004 гг._Книга БДР 4 кв 8" xfId="2540"/>
    <cellStyle name="_БЮДЖЕТ 2004 от 17.12.03 сырье 13.40_Дайджест 2003-2004 гг._Книга БДР 4 кв 9" xfId="2541"/>
    <cellStyle name="_БЮДЖЕТ 2004 от 17.12.03 сырье 13.40_Дайджест 2003-2004 гг._Книга1" xfId="2542"/>
    <cellStyle name="_БЮДЖЕТ 2004 от 17.12.03 сырье 13.40_Дайджест 2003-2004 гг._Книга1 (1)" xfId="2543"/>
    <cellStyle name="_БЮДЖЕТ 2004 от 17.12.03 сырье 13.40_Дайджест 2003-2004 гг._Книга1 (1) 2" xfId="2544"/>
    <cellStyle name="_БЮДЖЕТ 2004 от 17.12.03 сырье 13.40_Дайджест 2003-2004 гг._Книга1 (1) 3" xfId="2545"/>
    <cellStyle name="_БЮДЖЕТ 2004 от 17.12.03 сырье 13.40_Дайджест 2003-2004 гг._Книга1 (1) 4" xfId="2546"/>
    <cellStyle name="_БЮДЖЕТ 2004 от 17.12.03 сырье 13.40_Дайджест 2003-2004 гг._Книга1 (1) 5" xfId="2547"/>
    <cellStyle name="_БЮДЖЕТ 2004 от 17.12.03 сырье 13.40_Дайджест 2003-2004 гг._Книга1 (1) 6" xfId="2548"/>
    <cellStyle name="_БЮДЖЕТ 2004 от 17.12.03 сырье 13.40_Дайджест 2003-2004 гг._Книга1 (1) 7" xfId="2549"/>
    <cellStyle name="_БЮДЖЕТ 2004 от 17.12.03 сырье 13.40_Дайджест 2003-2004 гг._Книга1 (1) 8" xfId="2550"/>
    <cellStyle name="_БЮДЖЕТ 2004 от 17.12.03 сырье 13.40_Дайджест 2003-2004 гг._Книга1 (1) 9" xfId="2551"/>
    <cellStyle name="_БЮДЖЕТ 2004 от 17.12.03 сырье 13.40_Дайджест 2003-2004 гг._Книга1 (5)" xfId="2552"/>
    <cellStyle name="_БЮДЖЕТ 2004 от 17.12.03 сырье 13.40_Дайджест 2003-2004 гг._Книга1 (5) 2" xfId="2553"/>
    <cellStyle name="_БЮДЖЕТ 2004 от 17.12.03 сырье 13.40_Дайджест 2003-2004 гг._Книга1 (5) 3" xfId="2554"/>
    <cellStyle name="_БЮДЖЕТ 2004 от 17.12.03 сырье 13.40_Дайджест 2003-2004 гг._Книга1 (5) 4" xfId="2555"/>
    <cellStyle name="_БЮДЖЕТ 2004 от 17.12.03 сырье 13.40_Дайджест 2003-2004 гг._Книга1 (5) 5" xfId="2556"/>
    <cellStyle name="_БЮДЖЕТ 2004 от 17.12.03 сырье 13.40_Дайджест 2003-2004 гг._Книга1 (5) 6" xfId="2557"/>
    <cellStyle name="_БЮДЖЕТ 2004 от 17.12.03 сырье 13.40_Дайджест 2003-2004 гг._Книга1 (5) 7" xfId="2558"/>
    <cellStyle name="_БЮДЖЕТ 2004 от 17.12.03 сырье 13.40_Дайджест 2003-2004 гг._Книга1 (5) 8" xfId="2559"/>
    <cellStyle name="_БЮДЖЕТ 2004 от 17.12.03 сырье 13.40_Дайджест 2003-2004 гг._Книга1 (5) 9" xfId="2560"/>
    <cellStyle name="_БЮДЖЕТ 2004 от 17.12.03 сырье 13.40_Дайджест 2003-2004 гг._Книга1 2" xfId="2561"/>
    <cellStyle name="_БЮДЖЕТ 2004 от 17.12.03 сырье 13.40_Дайджест 2003-2004 гг._Книга1 3" xfId="2562"/>
    <cellStyle name="_БЮДЖЕТ 2004 от 17.12.03 сырье 13.40_Дайджест 2003-2004 гг._Книга1 4" xfId="2563"/>
    <cellStyle name="_БЮДЖЕТ 2004 от 17.12.03 сырье 13.40_Дайджест 2003-2004 гг._Книга1 5" xfId="2564"/>
    <cellStyle name="_БЮДЖЕТ 2004 от 17.12.03 сырье 13.40_Дайджест 2003-2004 гг._Книга1 6" xfId="2565"/>
    <cellStyle name="_БЮДЖЕТ 2004 от 17.12.03 сырье 13.40_Дайджест 2003-2004 гг._Книга1 7" xfId="2566"/>
    <cellStyle name="_БЮДЖЕТ 2004 от 17.12.03 сырье 13.40_Дайджест 2003-2004 гг._Книга1 8" xfId="2567"/>
    <cellStyle name="_БЮДЖЕТ 2004 от 17.12.03 сырье 13.40_Дайджест 2003-2004 гг._Книга1 9" xfId="2568"/>
    <cellStyle name="_БЮДЖЕТ 2004 от 17.12.03 сырье 13.40_Дайджест 2003-2004 гг._Книга1_1" xfId="2569"/>
    <cellStyle name="_БЮДЖЕТ 2004 от 17.12.03 сырье 13.40_Дайджест 2003-2004 гг._Книга11" xfId="2570"/>
    <cellStyle name="_БЮДЖЕТ 2004 от 17.12.03 сырье 13.40_Дайджест 2003-2004 гг._Книга3" xfId="2571"/>
    <cellStyle name="_БЮДЖЕТ 2004 от 17.12.03 сырье 13.40_Дайджест 2003-2004 гг._Книга3 2" xfId="2572"/>
    <cellStyle name="_БЮДЖЕТ 2004 от 17.12.03 сырье 13.40_Дайджест 2003-2004 гг._Книга3 3" xfId="2573"/>
    <cellStyle name="_БЮДЖЕТ 2004 от 17.12.03 сырье 13.40_Дайджест 2003-2004 гг._Книга3 4" xfId="2574"/>
    <cellStyle name="_БЮДЖЕТ 2004 от 17.12.03 сырье 13.40_Дайджест 2003-2004 гг._Книга3 5" xfId="2575"/>
    <cellStyle name="_БЮДЖЕТ 2004 от 17.12.03 сырье 13.40_Дайджест 2003-2004 гг._Книга3 6" xfId="2576"/>
    <cellStyle name="_БЮДЖЕТ 2004 от 17.12.03 сырье 13.40_Дайджест 2003-2004 гг._Книга3 7" xfId="2577"/>
    <cellStyle name="_БЮДЖЕТ 2004 от 17.12.03 сырье 13.40_Дайджест 2003-2004 гг._Книга3 8" xfId="2578"/>
    <cellStyle name="_БЮДЖЕТ 2004 от 17.12.03 сырье 13.40_Дайджест 2003-2004 гг._Книга3 9" xfId="2579"/>
    <cellStyle name="_БЮДЖЕТ 2004 от 17.12.03 сырье 13.40_Дайджест 2003-2004 гг._Комплект документов - план на 2007 год - фин.часть 8.12.06 (укороч.)" xfId="2580"/>
    <cellStyle name="_БЮДЖЕТ 2004 от 17.12.03 сырье 13.40_Дайджест 2003-2004 гг._Комплект документов - план на 2007 год - фин.часть 8.12.06 (укороч.) 2" xfId="2581"/>
    <cellStyle name="_БЮДЖЕТ 2004 от 17.12.03 сырье 13.40_Дайджест 2003-2004 гг._Комплект документов - план на 2007 год - фин.часть 8.12.06 (укороч.) 3" xfId="2582"/>
    <cellStyle name="_БЮДЖЕТ 2004 от 17.12.03 сырье 13.40_Дайджест 2003-2004 гг._Комплект документов - план на 2007 год - фин.часть 8.12.06 (укороч.) 4" xfId="2583"/>
    <cellStyle name="_БЮДЖЕТ 2004 от 17.12.03 сырье 13.40_Дайджест 2003-2004 гг._Комплект документов - план на 2007 год - фин.часть 8.12.06 (укороч.) 5" xfId="2584"/>
    <cellStyle name="_БЮДЖЕТ 2004 от 17.12.03 сырье 13.40_Дайджест 2003-2004 гг._Комплект документов - план на 2007 год - фин.часть 8.12.06 (укороч.) 6" xfId="2585"/>
    <cellStyle name="_БЮДЖЕТ 2004 от 17.12.03 сырье 13.40_Дайджест 2003-2004 гг._Комплект документов - план на 2007 год - фин.часть 8.12.06 (укороч.) 7" xfId="2586"/>
    <cellStyle name="_БЮДЖЕТ 2004 от 17.12.03 сырье 13.40_Дайджест 2003-2004 гг._Комплект документов - план на 2007 год - фин.часть 8.12.06 (укороч.) 8" xfId="2587"/>
    <cellStyle name="_БЮДЖЕТ 2004 от 17.12.03 сырье 13.40_Дайджест 2003-2004 гг._Комплект документов - план на 2007 год - фин.часть 8.12.06 (укороч.) 9" xfId="2588"/>
    <cellStyle name="_БЮДЖЕТ 2004 от 17.12.03 сырье 13.40_Дайджест 2003-2004 гг._Конс  ЛГОК БП 2009 для Комбината 07 11 08" xfId="2589"/>
    <cellStyle name="_БЮДЖЕТ 2004 от 17.12.03 сырье 13.40_Дайджест 2003-2004 гг._Конс  ЛГОК БП 2009 от 14 10 08" xfId="2590"/>
    <cellStyle name="_БЮДЖЕТ 2004 от 17.12.03 сырье 13.40_Дайджест 2003-2004 гг._Конс  ЛГОК БП 2009 от 14 10 08 (2)" xfId="2591"/>
    <cellStyle name="_БЮДЖЕТ 2004 от 17.12.03 сырье 13.40_Дайджест 2003-2004 гг._Конс  МГОК БП 2009 от 14 10 08" xfId="2592"/>
    <cellStyle name="_БЮДЖЕТ 2004 от 17.12.03 сырье 13.40_Дайджест 2003-2004 гг._Конс. план ЛГОК мар.09 для Комбината 20.02.09" xfId="2593"/>
    <cellStyle name="_БЮДЖЕТ 2004 от 17.12.03 сырье 13.40_Дайджест 2003-2004 гг._Конс. план ЛГОК мар.09 для Комбината 25.02.09" xfId="2594"/>
    <cellStyle name="_БЮДЖЕТ 2004 от 17.12.03 сырье 13.40_Дайджест 2003-2004 гг._Копия Динамика цен (УС ) 2006-2009 сверен 30.01.09" xfId="2595"/>
    <cellStyle name="_БЮДЖЕТ 2004 от 17.12.03 сырье 13.40_Дайджест 2003-2004 гг._Копия Конс БП 2010 ЛГОК для Комбината от 21 08 09" xfId="2596"/>
    <cellStyle name="_БЮДЖЕТ 2004 от 17.12.03 сырье 13.40_Дайджест 2003-2004 гг._Копия Потребность взаиморасч  от 28 02 2008 (2)" xfId="2597"/>
    <cellStyle name="_БЮДЖЕТ 2004 от 17.12.03 сырье 13.40_Дайджест 2003-2004 гг._Лист1" xfId="2598"/>
    <cellStyle name="_БЮДЖЕТ 2004 от 17.12.03 сырье 13.40_Дайджест 2003-2004 гг._Лист1 2" xfId="2599"/>
    <cellStyle name="_БЮДЖЕТ 2004 от 17.12.03 сырье 13.40_Дайджест 2003-2004 гг._Лист1 3" xfId="2600"/>
    <cellStyle name="_БЮДЖЕТ 2004 от 17.12.03 сырье 13.40_Дайджест 2003-2004 гг._Лист1 4" xfId="2601"/>
    <cellStyle name="_БЮДЖЕТ 2004 от 17.12.03 сырье 13.40_Дайджест 2003-2004 гг._Лист1 5" xfId="2602"/>
    <cellStyle name="_БЮДЖЕТ 2004 от 17.12.03 сырье 13.40_Дайджест 2003-2004 гг._Лист1 6" xfId="2603"/>
    <cellStyle name="_БЮДЖЕТ 2004 от 17.12.03 сырье 13.40_Дайджест 2003-2004 гг._Лист1 7" xfId="2604"/>
    <cellStyle name="_БЮДЖЕТ 2004 от 17.12.03 сырье 13.40_Дайджест 2003-2004 гг._Лист1 8" xfId="2605"/>
    <cellStyle name="_БЮДЖЕТ 2004 от 17.12.03 сырье 13.40_Дайджест 2003-2004 гг._Лист1 9" xfId="2606"/>
    <cellStyle name="_БЮДЖЕТ 2004 от 17.12.03 сырье 13.40_Дайджест 2003-2004 гг._Мод 4 кв 2008" xfId="2607"/>
    <cellStyle name="_БЮДЖЕТ 2004 от 17.12.03 сырье 13.40_Дайджест 2003-2004 гг._Мод 4 кв 2008_Книга2" xfId="2608"/>
    <cellStyle name="_БЮДЖЕТ 2004 от 17.12.03 сырье 13.40_Дайджест 2003-2004 гг._Налог на прибыль" xfId="2609"/>
    <cellStyle name="_БЮДЖЕТ 2004 от 17.12.03 сырье 13.40_Дайджест 2003-2004 гг._Налоги А.А. Богоцкому 2005-2009" xfId="2610"/>
    <cellStyle name="_БЮДЖЕТ 2004 от 17.12.03 сырье 13.40_Дайджест 2003-2004 гг._Налоги к плану на 2009 год (ДЗ и КЗ)" xfId="2611"/>
    <cellStyle name="_БЮДЖЕТ 2004 от 17.12.03 сырье 13.40_Дайджест 2003-2004 гг._Налоги к плану на февраль 2009 года" xfId="2612"/>
    <cellStyle name="_БЮДЖЕТ 2004 от 17.12.03 сырье 13.40_Дайджест 2003-2004 гг._Новые формы Дивизиона_3 кв_send (без дивидендов)" xfId="2613"/>
    <cellStyle name="_БЮДЖЕТ 2004 от 17.12.03 сырье 13.40_Дайджест 2003-2004 гг._Новые формы Дивизиона_3кв.2007" xfId="2614"/>
    <cellStyle name="_БЮДЖЕТ 2004 от 17.12.03 сырье 13.40_Дайджест 2003-2004 гг._Новые формы Дивизиона_3кв.2007 2" xfId="2615"/>
    <cellStyle name="_БЮДЖЕТ 2004 от 17.12.03 сырье 13.40_Дайджест 2003-2004 гг._Новые формы Дивизиона_3кв.2007 3" xfId="2616"/>
    <cellStyle name="_БЮДЖЕТ 2004 от 17.12.03 сырье 13.40_Дайджест 2003-2004 гг._Новые формы Дивизиона_3кв.2007 4" xfId="2617"/>
    <cellStyle name="_БЮДЖЕТ 2004 от 17.12.03 сырье 13.40_Дайджест 2003-2004 гг._Новые формы Дивизиона_3кв.2007 5" xfId="2618"/>
    <cellStyle name="_БЮДЖЕТ 2004 от 17.12.03 сырье 13.40_Дайджест 2003-2004 гг._Новые формы Дивизиона_3кв.2007 6" xfId="2619"/>
    <cellStyle name="_БЮДЖЕТ 2004 от 17.12.03 сырье 13.40_Дайджест 2003-2004 гг._Новые формы Дивизиона_3кв.2007 7" xfId="2620"/>
    <cellStyle name="_БЮДЖЕТ 2004 от 17.12.03 сырье 13.40_Дайджест 2003-2004 гг._Новые формы Дивизиона_3кв.2007 8" xfId="2621"/>
    <cellStyle name="_БЮДЖЕТ 2004 от 17.12.03 сырье 13.40_Дайджест 2003-2004 гг._Новые формы Дивизиона_3кв.2007 9" xfId="2622"/>
    <cellStyle name="_БЮДЖЕТ 2004 от 17.12.03 сырье 13.40_Дайджест 2003-2004 гг._Обжиговая" xfId="2623"/>
    <cellStyle name="_БЮДЖЕТ 2004 от 17.12.03 сырье 13.40_Дайджест 2003-2004 гг._Оборотный капитал план 2-е полугодие 2006 г. 25.08.06" xfId="2624"/>
    <cellStyle name="_БЮДЖЕТ 2004 от 17.12.03 сырье 13.40_Дайджест 2003-2004 гг._Оборотный капитал план 2-е полугодие 2006 г. 25.08.06 10" xfId="2625"/>
    <cellStyle name="_БЮДЖЕТ 2004 от 17.12.03 сырье 13.40_Дайджест 2003-2004 гг._Оборотный капитал план 2-е полугодие 2006 г. 25.08.06 11" xfId="2626"/>
    <cellStyle name="_БЮДЖЕТ 2004 от 17.12.03 сырье 13.40_Дайджест 2003-2004 гг._Оборотный капитал план 2-е полугодие 2006 г. 25.08.06 12" xfId="2627"/>
    <cellStyle name="_БЮДЖЕТ 2004 от 17.12.03 сырье 13.40_Дайджест 2003-2004 гг._Оборотный капитал план 2-е полугодие 2006 г. 25.08.06 13" xfId="2628"/>
    <cellStyle name="_БЮДЖЕТ 2004 от 17.12.03 сырье 13.40_Дайджест 2003-2004 гг._Оборотный капитал план 2-е полугодие 2006 г. 25.08.06 2" xfId="2629"/>
    <cellStyle name="_БЮДЖЕТ 2004 от 17.12.03 сырье 13.40_Дайджест 2003-2004 гг._Оборотный капитал план 2-е полугодие 2006 г. 25.08.06 3" xfId="2630"/>
    <cellStyle name="_БЮДЖЕТ 2004 от 17.12.03 сырье 13.40_Дайджест 2003-2004 гг._Оборотный капитал план 2-е полугодие 2006 г. 25.08.06 4" xfId="2631"/>
    <cellStyle name="_БЮДЖЕТ 2004 от 17.12.03 сырье 13.40_Дайджест 2003-2004 гг._Оборотный капитал план 2-е полугодие 2006 г. 25.08.06 5" xfId="2632"/>
    <cellStyle name="_БЮДЖЕТ 2004 от 17.12.03 сырье 13.40_Дайджест 2003-2004 гг._Оборотный капитал план 2-е полугодие 2006 г. 25.08.06 6" xfId="2633"/>
    <cellStyle name="_БЮДЖЕТ 2004 от 17.12.03 сырье 13.40_Дайджест 2003-2004 гг._Оборотный капитал план 2-е полугодие 2006 г. 25.08.06 7" xfId="2634"/>
    <cellStyle name="_БЮДЖЕТ 2004 от 17.12.03 сырье 13.40_Дайджест 2003-2004 гг._Оборотный капитал план 2-е полугодие 2006 г. 25.08.06 8" xfId="2635"/>
    <cellStyle name="_БЮДЖЕТ 2004 от 17.12.03 сырье 13.40_Дайджест 2003-2004 гг._Оборотный капитал план 2-е полугодие 2006 г. 25.08.06 9" xfId="2636"/>
    <cellStyle name="_БЮДЖЕТ 2004 от 17.12.03 сырье 13.40_Дайджест 2003-2004 гг._ОБРАЗЕЦ Презентационный материал" xfId="2637"/>
    <cellStyle name="_БЮДЖЕТ 2004 от 17.12.03 сырье 13.40_Дайджест 2003-2004 гг._ОБРАЗЕЦ Презентационный материал 2" xfId="2638"/>
    <cellStyle name="_БЮДЖЕТ 2004 от 17.12.03 сырье 13.40_Дайджест 2003-2004 гг._ОБРАЗЕЦ Презентационный материал 3" xfId="2639"/>
    <cellStyle name="_БЮДЖЕТ 2004 от 17.12.03 сырье 13.40_Дайджест 2003-2004 гг._ОБРАЗЕЦ Презентационный материал 4" xfId="2640"/>
    <cellStyle name="_БЮДЖЕТ 2004 от 17.12.03 сырье 13.40_Дайджест 2003-2004 гг._ОБРАЗЕЦ Презентационный материал 5" xfId="2641"/>
    <cellStyle name="_БЮДЖЕТ 2004 от 17.12.03 сырье 13.40_Дайджест 2003-2004 гг._ОБРАЗЕЦ Презентационный материал 6" xfId="2642"/>
    <cellStyle name="_БЮДЖЕТ 2004 от 17.12.03 сырье 13.40_Дайджест 2003-2004 гг._ОБРАЗЕЦ Презентационный материал 7" xfId="2643"/>
    <cellStyle name="_БЮДЖЕТ 2004 от 17.12.03 сырье 13.40_Дайджест 2003-2004 гг._ОБРАЗЕЦ Презентационный материал 8" xfId="2644"/>
    <cellStyle name="_БЮДЖЕТ 2004 от 17.12.03 сырье 13.40_Дайджест 2003-2004 гг._ОБРАЗЕЦ Презентационный материал 9" xfId="2645"/>
    <cellStyle name="_БЮДЖЕТ 2004 от 17.12.03 сырье 13.40_Дайджест 2003-2004 гг._оперативное исполнение 8 02 2009" xfId="2646"/>
    <cellStyle name="_БЮДЖЕТ 2004 от 17.12.03 сырье 13.40_Дайджест 2003-2004 гг._Отклонения план март-план февраль 2009 конс" xfId="2647"/>
    <cellStyle name="_БЮДЖЕТ 2004 от 17.12.03 сырье 13.40_Дайджест 2003-2004 гг._Отклонения план март-план февраль 2009 конс 2" xfId="2648"/>
    <cellStyle name="_БЮДЖЕТ 2004 от 17.12.03 сырье 13.40_Дайджест 2003-2004 гг._Отклонения план март-план февраль 2009 конс 3" xfId="2649"/>
    <cellStyle name="_БЮДЖЕТ 2004 от 17.12.03 сырье 13.40_Дайджест 2003-2004 гг._Отклонения план март-план февраль 2009 конс 4" xfId="2650"/>
    <cellStyle name="_БЮДЖЕТ 2004 от 17.12.03 сырье 13.40_Дайджест 2003-2004 гг._Отклонения план март-план февраль 2009 конс 5" xfId="2651"/>
    <cellStyle name="_БЮДЖЕТ 2004 от 17.12.03 сырье 13.40_Дайджест 2003-2004 гг._Отклонения план март-план февраль 2009 конс 6" xfId="2652"/>
    <cellStyle name="_БЮДЖЕТ 2004 от 17.12.03 сырье 13.40_Дайджест 2003-2004 гг._Отклонения план март-план февраль 2009 конс 7" xfId="2653"/>
    <cellStyle name="_БЮДЖЕТ 2004 от 17.12.03 сырье 13.40_Дайджест 2003-2004 гг._Отклонения план март-план февраль 2009 конс 8" xfId="2654"/>
    <cellStyle name="_БЮДЖЕТ 2004 от 17.12.03 сырье 13.40_Дайджест 2003-2004 гг._Отклонения план март-план февраль 2009 конс 9" xfId="2655"/>
    <cellStyle name="_БЮДЖЕТ 2004 от 17.12.03 сырье 13.40_Дайджест 2003-2004 гг._пл 02 2009 акционеры СВОД 09.02.2009" xfId="2656"/>
    <cellStyle name="_БЮДЖЕТ 2004 от 17.12.03 сырье 13.40_Дайджест 2003-2004 гг._пл2007 Распределение ОЭМК 27.01.07" xfId="2657"/>
    <cellStyle name="_БЮДЖЕТ 2004 от 17.12.03 сырье 13.40_Дайджест 2003-2004 гг._пл2007 фин.часть 18.12.06" xfId="2658"/>
    <cellStyle name="_БЮДЖЕТ 2004 от 17.12.03 сырье 13.40_Дайджест 2003-2004 гг._пл2007 фин.часть 18.12.06 2" xfId="2659"/>
    <cellStyle name="_БЮДЖЕТ 2004 от 17.12.03 сырье 13.40_Дайджест 2003-2004 гг._пл2007 фин.часть 18.12.06 3" xfId="2660"/>
    <cellStyle name="_БЮДЖЕТ 2004 от 17.12.03 сырье 13.40_Дайджест 2003-2004 гг._пл2007 фин.часть 18.12.06 4" xfId="2661"/>
    <cellStyle name="_БЮДЖЕТ 2004 от 17.12.03 сырье 13.40_Дайджест 2003-2004 гг._пл2007 фин.часть 18.12.06 5" xfId="2662"/>
    <cellStyle name="_БЮДЖЕТ 2004 от 17.12.03 сырье 13.40_Дайджест 2003-2004 гг._пл2007 фин.часть 18.12.06 6" xfId="2663"/>
    <cellStyle name="_БЮДЖЕТ 2004 от 17.12.03 сырье 13.40_Дайджест 2003-2004 гг._пл2007 фин.часть 18.12.06 7" xfId="2664"/>
    <cellStyle name="_БЮДЖЕТ 2004 от 17.12.03 сырье 13.40_Дайджест 2003-2004 гг._пл2007 фин.часть 18.12.06 8" xfId="2665"/>
    <cellStyle name="_БЮДЖЕТ 2004 от 17.12.03 сырье 13.40_Дайджест 2003-2004 гг._пл2007 фин.часть 18.12.06 9" xfId="2666"/>
    <cellStyle name="_БЮДЖЕТ 2004 от 17.12.03 сырье 13.40_Дайджест 2003-2004 гг._План 2 кв 2007 год 6.04.07" xfId="2667"/>
    <cellStyle name="_БЮДЖЕТ 2004 от 17.12.03 сырье 13.40_Дайджест 2003-2004 гг._План 2 кв 2007 год 6.04.07 2" xfId="2668"/>
    <cellStyle name="_БЮДЖЕТ 2004 от 17.12.03 сырье 13.40_Дайджест 2003-2004 гг._План 2 кв 2007 год 6.04.07 3" xfId="2669"/>
    <cellStyle name="_БЮДЖЕТ 2004 от 17.12.03 сырье 13.40_Дайджест 2003-2004 гг._План 2 кв 2007 год 6.04.07 4" xfId="2670"/>
    <cellStyle name="_БЮДЖЕТ 2004 от 17.12.03 сырье 13.40_Дайджест 2003-2004 гг._План 2 кв 2007 год 6.04.07 5" xfId="2671"/>
    <cellStyle name="_БЮДЖЕТ 2004 от 17.12.03 сырье 13.40_Дайджест 2003-2004 гг._План 2 кв 2007 год 6.04.07 6" xfId="2672"/>
    <cellStyle name="_БЮДЖЕТ 2004 от 17.12.03 сырье 13.40_Дайджест 2003-2004 гг._План 2 кв 2007 год 6.04.07 7" xfId="2673"/>
    <cellStyle name="_БЮДЖЕТ 2004 от 17.12.03 сырье 13.40_Дайджест 2003-2004 гг._План 2 кв 2007 год 6.04.07 8" xfId="2674"/>
    <cellStyle name="_БЮДЖЕТ 2004 от 17.12.03 сырье 13.40_Дайджест 2003-2004 гг._План 2 кв 2007 год 6.04.07 9" xfId="2675"/>
    <cellStyle name="_БЮДЖЕТ 2004 от 17.12.03 сырье 13.40_Дайджест 2003-2004 гг._План ДСМ 2 квартал 2009 ОТЧЕТ отп" xfId="2676"/>
    <cellStyle name="_БЮДЖЕТ 2004 от 17.12.03 сырье 13.40_Дайджест 2003-2004 гг._План ДСМ 3 квартал 2009 ОТЧЕТ" xfId="2677"/>
    <cellStyle name="_БЮДЖЕТ 2004 от 17.12.03 сырье 13.40_Дайджест 2003-2004 гг._План ДСМ 4 квартал 2009 ОТЧЕТ" xfId="2678"/>
    <cellStyle name="_БЮДЖЕТ 2004 от 17.12.03 сырье 13.40_Дайджест 2003-2004 гг._План ДСМ на 4 квартал 2006 (последняя версия) 2" xfId="2679"/>
    <cellStyle name="_БЮДЖЕТ 2004 от 17.12.03 сырье 13.40_Дайджест 2003-2004 гг._План ДСМ ноябрь 2011 ОТЧЕТ" xfId="2680"/>
    <cellStyle name="_БЮДЖЕТ 2004 от 17.12.03 сырье 13.40_Дайджест 2003-2004 гг._План ДСФ 1 квартал 2007" xfId="2681"/>
    <cellStyle name="_БЮДЖЕТ 2004 от 17.12.03 сырье 13.40_Дайджест 2003-2004 гг._План ДСФ 2 квартал 2009 ОТЧЕТ отп" xfId="2682"/>
    <cellStyle name="_БЮДЖЕТ 2004 от 17.12.03 сырье 13.40_Дайджест 2003-2004 гг._План ДСФ 4 квартал 2009 ОТЧЕТ" xfId="2683"/>
    <cellStyle name="_БЮДЖЕТ 2004 от 17.12.03 сырье 13.40_Дайджест 2003-2004 гг._План на 2009 год ДСМ ОТЧЕТ отп (01.12.08)" xfId="2684"/>
    <cellStyle name="_БЮДЖЕТ 2004 от 17.12.03 сырье 13.40_Дайджест 2003-2004 гг._План на 2010 год ДСМ ОТЧЕТ" xfId="2685"/>
    <cellStyle name="_БЮДЖЕТ 2004 от 17.12.03 сырье 13.40_Дайджест 2003-2004 гг._план ноября (отправл) 13.11" xfId="2686"/>
    <cellStyle name="_БЮДЖЕТ 2004 от 17.12.03 сырье 13.40_Дайджест 2003-2004 гг._План_2008г._БДР" xfId="2687"/>
    <cellStyle name="_БЮДЖЕТ 2004 от 17.12.03 сырье 13.40_Дайджест 2003-2004 гг._План_2008г._БДР 2" xfId="2688"/>
    <cellStyle name="_БЮДЖЕТ 2004 от 17.12.03 сырье 13.40_Дайджест 2003-2004 гг._План_2008г._БДР 3" xfId="2689"/>
    <cellStyle name="_БЮДЖЕТ 2004 от 17.12.03 сырье 13.40_Дайджест 2003-2004 гг._План_2008г._БДР 4" xfId="2690"/>
    <cellStyle name="_БЮДЖЕТ 2004 от 17.12.03 сырье 13.40_Дайджест 2003-2004 гг._План_2008г._БДР 5" xfId="2691"/>
    <cellStyle name="_БЮДЖЕТ 2004 от 17.12.03 сырье 13.40_Дайджест 2003-2004 гг._План_2008г._БДР 6" xfId="2692"/>
    <cellStyle name="_БЮДЖЕТ 2004 от 17.12.03 сырье 13.40_Дайджест 2003-2004 гг._План_2008г._БДР 7" xfId="2693"/>
    <cellStyle name="_БЮДЖЕТ 2004 от 17.12.03 сырье 13.40_Дайджест 2003-2004 гг._План_2008г._БДР 8" xfId="2694"/>
    <cellStyle name="_БЮДЖЕТ 2004 от 17.12.03 сырье 13.40_Дайджест 2003-2004 гг._План_2008г._БДР 9" xfId="2695"/>
    <cellStyle name="_БЮДЖЕТ 2004 от 17.12.03 сырье 13.40_Дайджест 2003-2004 гг._План_2008г._БДР_отпр.13.12.2007_19-40" xfId="2696"/>
    <cellStyle name="_БЮДЖЕТ 2004 от 17.12.03 сырье 13.40_Дайджест 2003-2004 гг._План_2008г._БДР_отпр.13.12.2007_19-40 2" xfId="2697"/>
    <cellStyle name="_БЮДЖЕТ 2004 от 17.12.03 сырье 13.40_Дайджест 2003-2004 гг._План_2008г._БДР_отпр.13.12.2007_19-40 3" xfId="2698"/>
    <cellStyle name="_БЮДЖЕТ 2004 от 17.12.03 сырье 13.40_Дайджест 2003-2004 гг._План_2008г._БДР_отпр.13.12.2007_19-40 4" xfId="2699"/>
    <cellStyle name="_БЮДЖЕТ 2004 от 17.12.03 сырье 13.40_Дайджест 2003-2004 гг._План_2008г._БДР_отпр.13.12.2007_19-40 5" xfId="2700"/>
    <cellStyle name="_БЮДЖЕТ 2004 от 17.12.03 сырье 13.40_Дайджест 2003-2004 гг._План_2008г._БДР_отпр.13.12.2007_19-40 6" xfId="2701"/>
    <cellStyle name="_БЮДЖЕТ 2004 от 17.12.03 сырье 13.40_Дайджест 2003-2004 гг._План_2008г._БДР_отпр.13.12.2007_19-40 7" xfId="2702"/>
    <cellStyle name="_БЮДЖЕТ 2004 от 17.12.03 сырье 13.40_Дайджест 2003-2004 гг._План_2008г._БДР_отпр.13.12.2007_19-40 8" xfId="2703"/>
    <cellStyle name="_БЮДЖЕТ 2004 от 17.12.03 сырье 13.40_Дайджест 2003-2004 гг._План_2008г._БДР_отпр.13.12.2007_19-40 9" xfId="2704"/>
    <cellStyle name="_БЮДЖЕТ 2004 от 17.12.03 сырье 13.40_Дайджест 2003-2004 гг._Помесячный Чистов ФДе" xfId="2705"/>
    <cellStyle name="_БЮДЖЕТ 2004 от 17.12.03 сырье 13.40_Дайджест 2003-2004 гг._Помесячный Чистов ФДе 2" xfId="2706"/>
    <cellStyle name="_БЮДЖЕТ 2004 от 17.12.03 сырье 13.40_Дайджест 2003-2004 гг._Помесячный Чистов ФДе 3" xfId="2707"/>
    <cellStyle name="_БЮДЖЕТ 2004 от 17.12.03 сырье 13.40_Дайджест 2003-2004 гг._Помесячный Чистов ФДе 4" xfId="2708"/>
    <cellStyle name="_БЮДЖЕТ 2004 от 17.12.03 сырье 13.40_Дайджест 2003-2004 гг._Помесячный Чистов ФДе 5" xfId="2709"/>
    <cellStyle name="_БЮДЖЕТ 2004 от 17.12.03 сырье 13.40_Дайджест 2003-2004 гг._Помесячный Чистов ФДе 6" xfId="2710"/>
    <cellStyle name="_БЮДЖЕТ 2004 от 17.12.03 сырье 13.40_Дайджест 2003-2004 гг._Помесячный Чистов ФДе 7" xfId="2711"/>
    <cellStyle name="_БЮДЖЕТ 2004 от 17.12.03 сырье 13.40_Дайджест 2003-2004 гг._Помесячный Чистов ФДе 8" xfId="2712"/>
    <cellStyle name="_БЮДЖЕТ 2004 от 17.12.03 сырье 13.40_Дайджест 2003-2004 гг._Помесячный Чистов ФДе 9" xfId="2713"/>
    <cellStyle name="_БЮДЖЕТ 2004 от 17.12.03 сырье 13.40_Дайджест 2003-2004 гг._пр I кв 2008 форма презентации" xfId="2714"/>
    <cellStyle name="_БЮДЖЕТ 2004 от 17.12.03 сырье 13.40_Дайджест 2003-2004 гг._пр I кв 2008 форма презентации 2" xfId="2715"/>
    <cellStyle name="_БЮДЖЕТ 2004 от 17.12.03 сырье 13.40_Дайджест 2003-2004 гг._пр I кв 2008 форма презентации 3" xfId="2716"/>
    <cellStyle name="_БЮДЖЕТ 2004 от 17.12.03 сырье 13.40_Дайджест 2003-2004 гг._пр I кв 2008 форма презентации 4" xfId="2717"/>
    <cellStyle name="_БЮДЖЕТ 2004 от 17.12.03 сырье 13.40_Дайджест 2003-2004 гг._пр I кв 2008 форма презентации 5" xfId="2718"/>
    <cellStyle name="_БЮДЖЕТ 2004 от 17.12.03 сырье 13.40_Дайджест 2003-2004 гг._пр I кв 2008 форма презентации 6" xfId="2719"/>
    <cellStyle name="_БЮДЖЕТ 2004 от 17.12.03 сырье 13.40_Дайджест 2003-2004 гг._пр I кв 2008 форма презентации 7" xfId="2720"/>
    <cellStyle name="_БЮДЖЕТ 2004 от 17.12.03 сырье 13.40_Дайджест 2003-2004 гг._пр I кв 2008 форма презентации 8" xfId="2721"/>
    <cellStyle name="_БЮДЖЕТ 2004 от 17.12.03 сырье 13.40_Дайджест 2003-2004 гг._пр I кв 2008 форма презентации 9" xfId="2722"/>
    <cellStyle name="_БЮДЖЕТ 2004 от 17.12.03 сырье 13.40_Дайджест 2003-2004 гг._пр2006 Комплект ОЭМК 13.02.07 (рабочая)" xfId="2723"/>
    <cellStyle name="_БЮДЖЕТ 2004 от 17.12.03 сырье 13.40_Дайджест 2003-2004 гг._пр2006 Комплект ОЭМК 13.02.07 (рабочая) 2" xfId="2724"/>
    <cellStyle name="_БЮДЖЕТ 2004 от 17.12.03 сырье 13.40_Дайджест 2003-2004 гг._пр2006 Комплект ОЭМК 13.02.07 (рабочая) 3" xfId="2725"/>
    <cellStyle name="_БЮДЖЕТ 2004 от 17.12.03 сырье 13.40_Дайджест 2003-2004 гг._пр2006 Комплект ОЭМК 13.02.07 (рабочая) 4" xfId="2726"/>
    <cellStyle name="_БЮДЖЕТ 2004 от 17.12.03 сырье 13.40_Дайджест 2003-2004 гг._пр2006 Комплект ОЭМК 13.02.07 (рабочая) 5" xfId="2727"/>
    <cellStyle name="_БЮДЖЕТ 2004 от 17.12.03 сырье 13.40_Дайджест 2003-2004 гг._пр2006 Комплект ОЭМК 13.02.07 (рабочая) 6" xfId="2728"/>
    <cellStyle name="_БЮДЖЕТ 2004 от 17.12.03 сырье 13.40_Дайджест 2003-2004 гг._пр2006 Комплект ОЭМК 13.02.07 (рабочая) 7" xfId="2729"/>
    <cellStyle name="_БЮДЖЕТ 2004 от 17.12.03 сырье 13.40_Дайджест 2003-2004 гг._пр2006 Комплект ОЭМК 13.02.07 (рабочая) 8" xfId="2730"/>
    <cellStyle name="_БЮДЖЕТ 2004 от 17.12.03 сырье 13.40_Дайджест 2003-2004 гг._пр2006 Комплект ОЭМК 13.02.07 (рабочая) 9" xfId="2731"/>
    <cellStyle name="_БЮДЖЕТ 2004 от 17.12.03 сырье 13.40_Дайджест 2003-2004 гг._пр2006 Комплект ОЭМК 13.02.07 (рабочая)_Книга2" xfId="2732"/>
    <cellStyle name="_БЮДЖЕТ 2004 от 17.12.03 сырье 13.40_Дайджест 2003-2004 гг._пр2006 Комплект ОЭМК 13.02.07 (рабочая)_Отчет за сентябрь_11_ДСМ" xfId="2733"/>
    <cellStyle name="_БЮДЖЕТ 2004 от 17.12.03 сырье 13.40_Дайджест 2003-2004 гг._пр2006 формы(19-30) 14.02.07" xfId="2734"/>
    <cellStyle name="_БЮДЖЕТ 2004 от 17.12.03 сырье 13.40_Дайджест 2003-2004 гг._пр2006 формы(19-30) 14.02.07 2" xfId="2735"/>
    <cellStyle name="_БЮДЖЕТ 2004 от 17.12.03 сырье 13.40_Дайджест 2003-2004 гг._пр2006 формы(19-30) 14.02.07 3" xfId="2736"/>
    <cellStyle name="_БЮДЖЕТ 2004 от 17.12.03 сырье 13.40_Дайджест 2003-2004 гг._пр2006 формы(19-30) 14.02.07 4" xfId="2737"/>
    <cellStyle name="_БЮДЖЕТ 2004 от 17.12.03 сырье 13.40_Дайджест 2003-2004 гг._пр2006 формы(19-30) 14.02.07 5" xfId="2738"/>
    <cellStyle name="_БЮДЖЕТ 2004 от 17.12.03 сырье 13.40_Дайджест 2003-2004 гг._пр2006 формы(19-30) 14.02.07 6" xfId="2739"/>
    <cellStyle name="_БЮДЖЕТ 2004 от 17.12.03 сырье 13.40_Дайджест 2003-2004 гг._пр2006 формы(19-30) 14.02.07 7" xfId="2740"/>
    <cellStyle name="_БЮДЖЕТ 2004 от 17.12.03 сырье 13.40_Дайджест 2003-2004 гг._пр2006 формы(19-30) 14.02.07 8" xfId="2741"/>
    <cellStyle name="_БЮДЖЕТ 2004 от 17.12.03 сырье 13.40_Дайджест 2003-2004 гг._пр2006 формы(19-30) 14.02.07 9" xfId="2742"/>
    <cellStyle name="_БЮДЖЕТ 2004 от 17.12.03 сырье 13.40_Дайджест 2003-2004 гг._пр2006 формы(19-30) 14.02.07_Книга2" xfId="2743"/>
    <cellStyle name="_БЮДЖЕТ 2004 от 17.12.03 сырье 13.40_Дайджест 2003-2004 гг._пр2006 формы(19-30) 14.02.07_Отчет за сентябрь_11_ДСМ" xfId="2744"/>
    <cellStyle name="_БЮДЖЕТ 2004 от 17.12.03 сырье 13.40_Дайджест 2003-2004 гг._Презентационный БДР_21 02 2008" xfId="2745"/>
    <cellStyle name="_БЮДЖЕТ 2004 от 17.12.03 сырье 13.40_Дайджест 2003-2004 гг._Презентационный БДР_21 02 2008 2" xfId="2746"/>
    <cellStyle name="_БЮДЖЕТ 2004 от 17.12.03 сырье 13.40_Дайджест 2003-2004 гг._Презентационный БДР_21 02 2008 3" xfId="2747"/>
    <cellStyle name="_БЮДЖЕТ 2004 от 17.12.03 сырье 13.40_Дайджест 2003-2004 гг._Презентационный БДР_21 02 2008 4" xfId="2748"/>
    <cellStyle name="_БЮДЖЕТ 2004 от 17.12.03 сырье 13.40_Дайджест 2003-2004 гг._Презентационный БДР_21 02 2008 5" xfId="2749"/>
    <cellStyle name="_БЮДЖЕТ 2004 от 17.12.03 сырье 13.40_Дайджест 2003-2004 гг._Презентационный БДР_21 02 2008 6" xfId="2750"/>
    <cellStyle name="_БЮДЖЕТ 2004 от 17.12.03 сырье 13.40_Дайджест 2003-2004 гг._Презентационный БДР_21 02 2008 7" xfId="2751"/>
    <cellStyle name="_БЮДЖЕТ 2004 от 17.12.03 сырье 13.40_Дайджест 2003-2004 гг._Презентационный БДР_21 02 2008 8" xfId="2752"/>
    <cellStyle name="_БЮДЖЕТ 2004 от 17.12.03 сырье 13.40_Дайджест 2003-2004 гг._Презентационный БДР_21 02 2008 9" xfId="2753"/>
    <cellStyle name="_БЮДЖЕТ 2004 от 17.12.03 сырье 13.40_Дайджест 2003-2004 гг._Презентационный материал" xfId="2754"/>
    <cellStyle name="_БЮДЖЕТ 2004 от 17.12.03 сырье 13.40_Дайджест 2003-2004 гг._Презентационный материал 2" xfId="2755"/>
    <cellStyle name="_БЮДЖЕТ 2004 от 17.12.03 сырье 13.40_Дайджест 2003-2004 гг._Презентационный материал 2 кв_план" xfId="2756"/>
    <cellStyle name="_БЮДЖЕТ 2004 от 17.12.03 сырье 13.40_Дайджест 2003-2004 гг._Презентационный материал 3" xfId="2757"/>
    <cellStyle name="_БЮДЖЕТ 2004 от 17.12.03 сырье 13.40_Дайджест 2003-2004 гг._Презентационный материал 4" xfId="2758"/>
    <cellStyle name="_БЮДЖЕТ 2004 от 17.12.03 сырье 13.40_Дайджест 2003-2004 гг._Презентационный материал 5" xfId="2759"/>
    <cellStyle name="_БЮДЖЕТ 2004 от 17.12.03 сырье 13.40_Дайджест 2003-2004 гг._Презентационный материал 6" xfId="2760"/>
    <cellStyle name="_БЮДЖЕТ 2004 от 17.12.03 сырье 13.40_Дайджест 2003-2004 гг._Презентационный материал 7" xfId="2761"/>
    <cellStyle name="_БЮДЖЕТ 2004 от 17.12.03 сырье 13.40_Дайджест 2003-2004 гг._Презентационный материал 8" xfId="2762"/>
    <cellStyle name="_БЮДЖЕТ 2004 от 17.12.03 сырье 13.40_Дайджест 2003-2004 гг._Презентационный материал 9" xfId="2763"/>
    <cellStyle name="_БЮДЖЕТ 2004 от 17.12.03 сырье 13.40_Дайджест 2003-2004 гг._Презентация" xfId="2764"/>
    <cellStyle name="_БЮДЖЕТ 2004 от 17.12.03 сырье 13.40_Дайджест 2003-2004 гг._Презентация (фин.часть) 27.06.07" xfId="2765"/>
    <cellStyle name="_БЮДЖЕТ 2004 от 17.12.03 сырье 13.40_Дайджест 2003-2004 гг._Презентация (фин.часть) 27.06.07 2" xfId="2766"/>
    <cellStyle name="_БЮДЖЕТ 2004 от 17.12.03 сырье 13.40_Дайджест 2003-2004 гг._Презентация (фин.часть) 27.06.07 3" xfId="2767"/>
    <cellStyle name="_БЮДЖЕТ 2004 от 17.12.03 сырье 13.40_Дайджест 2003-2004 гг._Презентация (фин.часть) 27.06.07 4" xfId="2768"/>
    <cellStyle name="_БЮДЖЕТ 2004 от 17.12.03 сырье 13.40_Дайджест 2003-2004 гг._Презентация (фин.часть) 27.06.07 5" xfId="2769"/>
    <cellStyle name="_БЮДЖЕТ 2004 от 17.12.03 сырье 13.40_Дайджест 2003-2004 гг._Презентация (фин.часть) 27.06.07 6" xfId="2770"/>
    <cellStyle name="_БЮДЖЕТ 2004 от 17.12.03 сырье 13.40_Дайджест 2003-2004 гг._Презентация (фин.часть) 27.06.07 7" xfId="2771"/>
    <cellStyle name="_БЮДЖЕТ 2004 от 17.12.03 сырье 13.40_Дайджест 2003-2004 гг._Презентация (фин.часть) 27.06.07 8" xfId="2772"/>
    <cellStyle name="_БЮДЖЕТ 2004 от 17.12.03 сырье 13.40_Дайджест 2003-2004 гг._Презентация (фин.часть) 27.06.07 9" xfId="2773"/>
    <cellStyle name="_БЮДЖЕТ 2004 от 17.12.03 сырье 13.40_Дайджест 2003-2004 гг._Презентация 2" xfId="2774"/>
    <cellStyle name="_БЮДЖЕТ 2004 от 17.12.03 сырье 13.40_Дайджест 2003-2004 гг._Презентация 2007 пл-ож 17.12" xfId="2775"/>
    <cellStyle name="_БЮДЖЕТ 2004 от 17.12.03 сырье 13.40_Дайджест 2003-2004 гг._Презентация 2007 пл-ож 17.12 2" xfId="2776"/>
    <cellStyle name="_БЮДЖЕТ 2004 от 17.12.03 сырье 13.40_Дайджест 2003-2004 гг._Презентация 2007 пл-ож 17.12 3" xfId="2777"/>
    <cellStyle name="_БЮДЖЕТ 2004 от 17.12.03 сырье 13.40_Дайджест 2003-2004 гг._Презентация 2007 пл-ож 17.12 4" xfId="2778"/>
    <cellStyle name="_БЮДЖЕТ 2004 от 17.12.03 сырье 13.40_Дайджест 2003-2004 гг._Презентация 2007 пл-ож 17.12 5" xfId="2779"/>
    <cellStyle name="_БЮДЖЕТ 2004 от 17.12.03 сырье 13.40_Дайджест 2003-2004 гг._Презентация 2007 пл-ож 17.12 6" xfId="2780"/>
    <cellStyle name="_БЮДЖЕТ 2004 от 17.12.03 сырье 13.40_Дайджест 2003-2004 гг._Презентация 2007 пл-ож 17.12 7" xfId="2781"/>
    <cellStyle name="_БЮДЖЕТ 2004 от 17.12.03 сырье 13.40_Дайджест 2003-2004 гг._Презентация 2007 пл-ож 17.12 8" xfId="2782"/>
    <cellStyle name="_БЮДЖЕТ 2004 от 17.12.03 сырье 13.40_Дайджест 2003-2004 гг._Презентация 2007 пл-ож 17.12 9" xfId="2783"/>
    <cellStyle name="_БЮДЖЕТ 2004 от 17.12.03 сырье 13.40_Дайджест 2003-2004 гг._Презентация 2007-2008 17.12" xfId="2784"/>
    <cellStyle name="_БЮДЖЕТ 2004 от 17.12.03 сырье 13.40_Дайджест 2003-2004 гг._Презентация 2007-2008 17.12 2" xfId="2785"/>
    <cellStyle name="_БЮДЖЕТ 2004 от 17.12.03 сырье 13.40_Дайджест 2003-2004 гг._Презентация 2007-2008 17.12 3" xfId="2786"/>
    <cellStyle name="_БЮДЖЕТ 2004 от 17.12.03 сырье 13.40_Дайджест 2003-2004 гг._Презентация 2007-2008 17.12 4" xfId="2787"/>
    <cellStyle name="_БЮДЖЕТ 2004 от 17.12.03 сырье 13.40_Дайджест 2003-2004 гг._Презентация 2007-2008 17.12 5" xfId="2788"/>
    <cellStyle name="_БЮДЖЕТ 2004 от 17.12.03 сырье 13.40_Дайджест 2003-2004 гг._Презентация 2007-2008 17.12 6" xfId="2789"/>
    <cellStyle name="_БЮДЖЕТ 2004 от 17.12.03 сырье 13.40_Дайджест 2003-2004 гг._Презентация 2007-2008 17.12 7" xfId="2790"/>
    <cellStyle name="_БЮДЖЕТ 2004 от 17.12.03 сырье 13.40_Дайджест 2003-2004 гг._Презентация 2007-2008 17.12 8" xfId="2791"/>
    <cellStyle name="_БЮДЖЕТ 2004 от 17.12.03 сырье 13.40_Дайджест 2003-2004 гг._Презентация 2007-2008 17.12 9" xfId="2792"/>
    <cellStyle name="_БЮДЖЕТ 2004 от 17.12.03 сырье 13.40_Дайджест 2003-2004 гг._Презентация 2008 (2)" xfId="2793"/>
    <cellStyle name="_БЮДЖЕТ 2004 от 17.12.03 сырье 13.40_Дайджест 2003-2004 гг._Презентация 2008 (2) 2" xfId="2794"/>
    <cellStyle name="_БЮДЖЕТ 2004 от 17.12.03 сырье 13.40_Дайджест 2003-2004 гг._Презентация 2008 (2) 3" xfId="2795"/>
    <cellStyle name="_БЮДЖЕТ 2004 от 17.12.03 сырье 13.40_Дайджест 2003-2004 гг._Презентация 2008 (2) 4" xfId="2796"/>
    <cellStyle name="_БЮДЖЕТ 2004 от 17.12.03 сырье 13.40_Дайджест 2003-2004 гг._Презентация 2008 (2) 5" xfId="2797"/>
    <cellStyle name="_БЮДЖЕТ 2004 от 17.12.03 сырье 13.40_Дайджест 2003-2004 гг._Презентация 2008 (2) 6" xfId="2798"/>
    <cellStyle name="_БЮДЖЕТ 2004 от 17.12.03 сырье 13.40_Дайджест 2003-2004 гг._Презентация 2008 (2) 7" xfId="2799"/>
    <cellStyle name="_БЮДЖЕТ 2004 от 17.12.03 сырье 13.40_Дайджест 2003-2004 гг._Презентация 2008 (2) 8" xfId="2800"/>
    <cellStyle name="_БЮДЖЕТ 2004 от 17.12.03 сырье 13.40_Дайджест 2003-2004 гг._Презентация 2008 (2) 9" xfId="2801"/>
    <cellStyle name="_БЮДЖЕТ 2004 от 17.12.03 сырье 13.40_Дайджест 2003-2004 гг._Презентация 2008 год (фин. часть) от 22.10.07" xfId="2802"/>
    <cellStyle name="_БЮДЖЕТ 2004 от 17.12.03 сырье 13.40_Дайджест 2003-2004 гг._Презентация 2008 год (фин. часть) от 22.10.07 2" xfId="2803"/>
    <cellStyle name="_БЮДЖЕТ 2004 от 17.12.03 сырье 13.40_Дайджест 2003-2004 гг._Презентация 2008 год (фин. часть) от 22.10.07 3" xfId="2804"/>
    <cellStyle name="_БЮДЖЕТ 2004 от 17.12.03 сырье 13.40_Дайджест 2003-2004 гг._Презентация 2008 год (фин. часть) от 22.10.07 4" xfId="2805"/>
    <cellStyle name="_БЮДЖЕТ 2004 от 17.12.03 сырье 13.40_Дайджест 2003-2004 гг._Презентация 2008 год (фин. часть) от 22.10.07 5" xfId="2806"/>
    <cellStyle name="_БЮДЖЕТ 2004 от 17.12.03 сырье 13.40_Дайджест 2003-2004 гг._Презентация 2008 год (фин. часть) от 22.10.07 6" xfId="2807"/>
    <cellStyle name="_БЮДЖЕТ 2004 от 17.12.03 сырье 13.40_Дайджест 2003-2004 гг._Презентация 2008 год (фин. часть) от 22.10.07 7" xfId="2808"/>
    <cellStyle name="_БЮДЖЕТ 2004 от 17.12.03 сырье 13.40_Дайджест 2003-2004 гг._Презентация 2008 год (фин. часть) от 22.10.07 8" xfId="2809"/>
    <cellStyle name="_БЮДЖЕТ 2004 от 17.12.03 сырье 13.40_Дайджест 2003-2004 гг._Презентация 2008 год (фин. часть) от 22.10.07 9" xfId="2810"/>
    <cellStyle name="_БЮДЖЕТ 2004 от 17.12.03 сырье 13.40_Дайджест 2003-2004 гг._Презентация 2008 фин. часть (коричневые формы)" xfId="2811"/>
    <cellStyle name="_БЮДЖЕТ 2004 от 17.12.03 сырье 13.40_Дайджест 2003-2004 гг._Презентация 2008 фин. часть (коричневые формы) 2" xfId="2812"/>
    <cellStyle name="_БЮДЖЕТ 2004 от 17.12.03 сырье 13.40_Дайджест 2003-2004 гг._Презентация 2008 фин. часть (коричневые формы) 3" xfId="2813"/>
    <cellStyle name="_БЮДЖЕТ 2004 от 17.12.03 сырье 13.40_Дайджест 2003-2004 гг._Презентация 2008 фин. часть (коричневые формы) 4" xfId="2814"/>
    <cellStyle name="_БЮДЖЕТ 2004 от 17.12.03 сырье 13.40_Дайджест 2003-2004 гг._Презентация 2008 фин. часть (коричневые формы) 5" xfId="2815"/>
    <cellStyle name="_БЮДЖЕТ 2004 от 17.12.03 сырье 13.40_Дайджест 2003-2004 гг._Презентация 2008 фин. часть (коричневые формы) 6" xfId="2816"/>
    <cellStyle name="_БЮДЖЕТ 2004 от 17.12.03 сырье 13.40_Дайджест 2003-2004 гг._Презентация 2008 фин. часть (коричневые формы) 7" xfId="2817"/>
    <cellStyle name="_БЮДЖЕТ 2004 от 17.12.03 сырье 13.40_Дайджест 2003-2004 гг._Презентация 2008 фин. часть (коричневые формы) 8" xfId="2818"/>
    <cellStyle name="_БЮДЖЕТ 2004 от 17.12.03 сырье 13.40_Дайджест 2003-2004 гг._Презентация 2008 фин. часть (коричневые формы) 9" xfId="2819"/>
    <cellStyle name="_БЮДЖЕТ 2004 от 17.12.03 сырье 13.40_Дайджест 2003-2004 гг._Презентация 3" xfId="2820"/>
    <cellStyle name="_БЮДЖЕТ 2004 от 17.12.03 сырье 13.40_Дайджест 2003-2004 гг._Презентация 4" xfId="2821"/>
    <cellStyle name="_БЮДЖЕТ 2004 от 17.12.03 сырье 13.40_Дайджест 2003-2004 гг._Презентация 5" xfId="2822"/>
    <cellStyle name="_БЮДЖЕТ 2004 от 17.12.03 сырье 13.40_Дайджест 2003-2004 гг._Презентация 6" xfId="2823"/>
    <cellStyle name="_БЮДЖЕТ 2004 от 17.12.03 сырье 13.40_Дайджест 2003-2004 гг._Презентация 7" xfId="2824"/>
    <cellStyle name="_БЮДЖЕТ 2004 от 17.12.03 сырье 13.40_Дайджест 2003-2004 гг._Презентация 8" xfId="2825"/>
    <cellStyle name="_БЮДЖЕТ 2004 от 17.12.03 сырье 13.40_Дайджест 2003-2004 гг._презентация 8.02.07" xfId="2826"/>
    <cellStyle name="_БЮДЖЕТ 2004 от 17.12.03 сырье 13.40_Дайджест 2003-2004 гг._презентация 8.02.07 2" xfId="2827"/>
    <cellStyle name="_БЮДЖЕТ 2004 от 17.12.03 сырье 13.40_Дайджест 2003-2004 гг._презентация 8.02.07 3" xfId="2828"/>
    <cellStyle name="_БЮДЖЕТ 2004 от 17.12.03 сырье 13.40_Дайджест 2003-2004 гг._презентация 8.02.07 4" xfId="2829"/>
    <cellStyle name="_БЮДЖЕТ 2004 от 17.12.03 сырье 13.40_Дайджест 2003-2004 гг._презентация 8.02.07 5" xfId="2830"/>
    <cellStyle name="_БЮДЖЕТ 2004 от 17.12.03 сырье 13.40_Дайджест 2003-2004 гг._презентация 8.02.07 6" xfId="2831"/>
    <cellStyle name="_БЮДЖЕТ 2004 от 17.12.03 сырье 13.40_Дайджест 2003-2004 гг._презентация 8.02.07 7" xfId="2832"/>
    <cellStyle name="_БЮДЖЕТ 2004 от 17.12.03 сырье 13.40_Дайджест 2003-2004 гг._презентация 8.02.07 8" xfId="2833"/>
    <cellStyle name="_БЮДЖЕТ 2004 от 17.12.03 сырье 13.40_Дайджест 2003-2004 гг._презентация 8.02.07 9" xfId="2834"/>
    <cellStyle name="_БЮДЖЕТ 2004 от 17.12.03 сырье 13.40_Дайджест 2003-2004 гг._Презентация 9" xfId="2835"/>
    <cellStyle name="_БЮДЖЕТ 2004 от 17.12.03 сырье 13.40_Дайджест 2003-2004 гг._Презентация август 07 факт" xfId="2836"/>
    <cellStyle name="_БЮДЖЕТ 2004 от 17.12.03 сырье 13.40_Дайджест 2003-2004 гг._Презентация август 07 факт 2" xfId="2837"/>
    <cellStyle name="_БЮДЖЕТ 2004 от 17.12.03 сырье 13.40_Дайджест 2003-2004 гг._Презентация август 07 факт 3" xfId="2838"/>
    <cellStyle name="_БЮДЖЕТ 2004 от 17.12.03 сырье 13.40_Дайджест 2003-2004 гг._Презентация август 07 факт 4" xfId="2839"/>
    <cellStyle name="_БЮДЖЕТ 2004 от 17.12.03 сырье 13.40_Дайджест 2003-2004 гг._Презентация август 07 факт 5" xfId="2840"/>
    <cellStyle name="_БЮДЖЕТ 2004 от 17.12.03 сырье 13.40_Дайджест 2003-2004 гг._Презентация август 07 факт 6" xfId="2841"/>
    <cellStyle name="_БЮДЖЕТ 2004 от 17.12.03 сырье 13.40_Дайджест 2003-2004 гг._Презентация август 07 факт 7" xfId="2842"/>
    <cellStyle name="_БЮДЖЕТ 2004 от 17.12.03 сырье 13.40_Дайджест 2003-2004 гг._Презентация август 07 факт 8" xfId="2843"/>
    <cellStyle name="_БЮДЖЕТ 2004 от 17.12.03 сырье 13.40_Дайджест 2003-2004 гг._Презентация август 07 факт 9" xfId="2844"/>
    <cellStyle name="_БЮДЖЕТ 2004 от 17.12.03 сырье 13.40_Дайджест 2003-2004 гг._Презентация для Ульянова" xfId="2845"/>
    <cellStyle name="_БЮДЖЕТ 2004 от 17.12.03 сырье 13.40_Дайджест 2003-2004 гг._Презентация для Ульянова 2" xfId="2846"/>
    <cellStyle name="_БЮДЖЕТ 2004 от 17.12.03 сырье 13.40_Дайджест 2003-2004 гг._Презентация для Ульянова 3" xfId="2847"/>
    <cellStyle name="_БЮДЖЕТ 2004 от 17.12.03 сырье 13.40_Дайджест 2003-2004 гг._Презентация для Ульянова 4" xfId="2848"/>
    <cellStyle name="_БЮДЖЕТ 2004 от 17.12.03 сырье 13.40_Дайджест 2003-2004 гг._Презентация для Ульянова 5" xfId="2849"/>
    <cellStyle name="_БЮДЖЕТ 2004 от 17.12.03 сырье 13.40_Дайджест 2003-2004 гг._Презентация для Ульянова 6" xfId="2850"/>
    <cellStyle name="_БЮДЖЕТ 2004 от 17.12.03 сырье 13.40_Дайджест 2003-2004 гг._Презентация для Ульянова 7" xfId="2851"/>
    <cellStyle name="_БЮДЖЕТ 2004 от 17.12.03 сырье 13.40_Дайджест 2003-2004 гг._Презентация для Ульянова 8" xfId="2852"/>
    <cellStyle name="_БЮДЖЕТ 2004 от 17.12.03 сырье 13.40_Дайджест 2003-2004 гг._Презентация для Ульянова 9" xfId="2853"/>
    <cellStyle name="_БЮДЖЕТ 2004 от 17.12.03 сырье 13.40_Дайджест 2003-2004 гг._Презентация для Ульянова И.Г. от 17.12.07" xfId="2854"/>
    <cellStyle name="_БЮДЖЕТ 2004 от 17.12.03 сырье 13.40_Дайджест 2003-2004 гг._Презентация для Ульянова И.Г. от 17.12.07 2" xfId="2855"/>
    <cellStyle name="_БЮДЖЕТ 2004 от 17.12.03 сырье 13.40_Дайджест 2003-2004 гг._Презентация для Ульянова И.Г. от 17.12.07 3" xfId="2856"/>
    <cellStyle name="_БЮДЖЕТ 2004 от 17.12.03 сырье 13.40_Дайджест 2003-2004 гг._Презентация для Ульянова И.Г. от 17.12.07 4" xfId="2857"/>
    <cellStyle name="_БЮДЖЕТ 2004 от 17.12.03 сырье 13.40_Дайджест 2003-2004 гг._Презентация для Ульянова И.Г. от 17.12.07 5" xfId="2858"/>
    <cellStyle name="_БЮДЖЕТ 2004 от 17.12.03 сырье 13.40_Дайджест 2003-2004 гг._Презентация для Ульянова И.Г. от 17.12.07 6" xfId="2859"/>
    <cellStyle name="_БЮДЖЕТ 2004 от 17.12.03 сырье 13.40_Дайджест 2003-2004 гг._Презентация для Ульянова И.Г. от 17.12.07 7" xfId="2860"/>
    <cellStyle name="_БЮДЖЕТ 2004 от 17.12.03 сырье 13.40_Дайджест 2003-2004 гг._Презентация для Ульянова И.Г. от 17.12.07 8" xfId="2861"/>
    <cellStyle name="_БЮДЖЕТ 2004 от 17.12.03 сырье 13.40_Дайджест 2003-2004 гг._Презентация для Ульянова И.Г. от 17.12.07 9" xfId="2862"/>
    <cellStyle name="_БЮДЖЕТ 2004 от 17.12.03 сырье 13.40_Дайджест 2003-2004 гг._презентация займы РК г" xfId="2863"/>
    <cellStyle name="_БЮДЖЕТ 2004 от 17.12.03 сырье 13.40_Дайджест 2003-2004 гг._презентация займы РК г 2" xfId="2864"/>
    <cellStyle name="_БЮДЖЕТ 2004 от 17.12.03 сырье 13.40_Дайджест 2003-2004 гг._презентация займы РК г 3" xfId="2865"/>
    <cellStyle name="_БЮДЖЕТ 2004 от 17.12.03 сырье 13.40_Дайджест 2003-2004 гг._презентация займы РК г 4" xfId="2866"/>
    <cellStyle name="_БЮДЖЕТ 2004 от 17.12.03 сырье 13.40_Дайджест 2003-2004 гг._презентация займы РК г 5" xfId="2867"/>
    <cellStyle name="_БЮДЖЕТ 2004 от 17.12.03 сырье 13.40_Дайджест 2003-2004 гг._презентация займы РК г 6" xfId="2868"/>
    <cellStyle name="_БЮДЖЕТ 2004 от 17.12.03 сырье 13.40_Дайджест 2003-2004 гг._презентация займы РК г 7" xfId="2869"/>
    <cellStyle name="_БЮДЖЕТ 2004 от 17.12.03 сырье 13.40_Дайджест 2003-2004 гг._презентация займы РК г 8" xfId="2870"/>
    <cellStyle name="_БЮДЖЕТ 2004 от 17.12.03 сырье 13.40_Дайджест 2003-2004 гг._презентация займы РК г 9" xfId="2871"/>
    <cellStyle name="_БЮДЖЕТ 2004 от 17.12.03 сырье 13.40_Дайджест 2003-2004 гг._Презентация инвестиции" xfId="2872"/>
    <cellStyle name="_БЮДЖЕТ 2004 от 17.12.03 сырье 13.40_Дайджест 2003-2004 гг._Презентация инвестиции 2" xfId="2873"/>
    <cellStyle name="_БЮДЖЕТ 2004 от 17.12.03 сырье 13.40_Дайджест 2003-2004 гг._Презентация инвестиции 3" xfId="2874"/>
    <cellStyle name="_БЮДЖЕТ 2004 от 17.12.03 сырье 13.40_Дайджест 2003-2004 гг._Презентация инвестиции 4" xfId="2875"/>
    <cellStyle name="_БЮДЖЕТ 2004 от 17.12.03 сырье 13.40_Дайджест 2003-2004 гг._Презентация инвестиции 5" xfId="2876"/>
    <cellStyle name="_БЮДЖЕТ 2004 от 17.12.03 сырье 13.40_Дайджест 2003-2004 гг._Презентация инвестиции 6" xfId="2877"/>
    <cellStyle name="_БЮДЖЕТ 2004 от 17.12.03 сырье 13.40_Дайджест 2003-2004 гг._Презентация инвестиции 7" xfId="2878"/>
    <cellStyle name="_БЮДЖЕТ 2004 от 17.12.03 сырье 13.40_Дайджест 2003-2004 гг._Презентация инвестиции 8" xfId="2879"/>
    <cellStyle name="_БЮДЖЕТ 2004 от 17.12.03 сырье 13.40_Дайджест 2003-2004 гг._Презентация инвестиции 9" xfId="2880"/>
    <cellStyle name="_БЮДЖЕТ 2004 от 17.12.03 сырье 13.40_Дайджест 2003-2004 гг._Презентация коричн. СДП, РК, Инв план 2008 (фин. часть) от 24.03.08" xfId="2881"/>
    <cellStyle name="_БЮДЖЕТ 2004 от 17.12.03 сырье 13.40_Дайджест 2003-2004 гг._Презентация коричн. СДП, РК, Инв план 2008 (фин. часть) от 24.03.08 2" xfId="2882"/>
    <cellStyle name="_БЮДЖЕТ 2004 от 17.12.03 сырье 13.40_Дайджест 2003-2004 гг._Презентация коричн. СДП, РК, Инв план 2008 (фин. часть) от 24.03.08 3" xfId="2883"/>
    <cellStyle name="_БЮДЖЕТ 2004 от 17.12.03 сырье 13.40_Дайджест 2003-2004 гг._Презентация коричн. СДП, РК, Инв план 2008 (фин. часть) от 24.03.08 4" xfId="2884"/>
    <cellStyle name="_БЮДЖЕТ 2004 от 17.12.03 сырье 13.40_Дайджест 2003-2004 гг._Презентация коричн. СДП, РК, Инв план 2008 (фин. часть) от 24.03.08 5" xfId="2885"/>
    <cellStyle name="_БЮДЖЕТ 2004 от 17.12.03 сырье 13.40_Дайджест 2003-2004 гг._Презентация коричн. СДП, РК, Инв план 2008 (фин. часть) от 24.03.08 6" xfId="2886"/>
    <cellStyle name="_БЮДЖЕТ 2004 от 17.12.03 сырье 13.40_Дайджест 2003-2004 гг._Презентация коричн. СДП, РК, Инв план 2008 (фин. часть) от 24.03.08 7" xfId="2887"/>
    <cellStyle name="_БЮДЖЕТ 2004 от 17.12.03 сырье 13.40_Дайджест 2003-2004 гг._Презентация коричн. СДП, РК, Инв план 2008 (фин. часть) от 24.03.08 8" xfId="2888"/>
    <cellStyle name="_БЮДЖЕТ 2004 от 17.12.03 сырье 13.40_Дайджест 2003-2004 гг._Презентация коричн. СДП, РК, Инв план 2008 (фин. часть) от 24.03.08 9" xfId="2889"/>
    <cellStyle name="_БЮДЖЕТ 2004 от 17.12.03 сырье 13.40_Дайджест 2003-2004 гг._Презентация коричневая 2007 план + ож" xfId="2890"/>
    <cellStyle name="_БЮДЖЕТ 2004 от 17.12.03 сырье 13.40_Дайджест 2003-2004 гг._Презентация коричневая 2007 план + ож 2" xfId="2891"/>
    <cellStyle name="_БЮДЖЕТ 2004 от 17.12.03 сырье 13.40_Дайджест 2003-2004 гг._Презентация коричневая 2007 план + ож 3" xfId="2892"/>
    <cellStyle name="_БЮДЖЕТ 2004 от 17.12.03 сырье 13.40_Дайджест 2003-2004 гг._Презентация коричневая 2007 план + ож 4" xfId="2893"/>
    <cellStyle name="_БЮДЖЕТ 2004 от 17.12.03 сырье 13.40_Дайджест 2003-2004 гг._Презентация коричневая 2007 план + ож 5" xfId="2894"/>
    <cellStyle name="_БЮДЖЕТ 2004 от 17.12.03 сырье 13.40_Дайджест 2003-2004 гг._Презентация коричневая 2007 план + ож 6" xfId="2895"/>
    <cellStyle name="_БЮДЖЕТ 2004 от 17.12.03 сырье 13.40_Дайджест 2003-2004 гг._Презентация коричневая 2007 план + ож 7" xfId="2896"/>
    <cellStyle name="_БЮДЖЕТ 2004 от 17.12.03 сырье 13.40_Дайджест 2003-2004 гг._Презентация коричневая 2007 план + ож 8" xfId="2897"/>
    <cellStyle name="_БЮДЖЕТ 2004 от 17.12.03 сырье 13.40_Дайджест 2003-2004 гг._Презентация коричневая 2007 план + ож 9" xfId="2898"/>
    <cellStyle name="_БЮДЖЕТ 2004 от 17.12.03 сырье 13.40_Дайджест 2003-2004 гг._Презентация коричневая 2007-2008" xfId="2899"/>
    <cellStyle name="_БЮДЖЕТ 2004 от 17.12.03 сырье 13.40_Дайджест 2003-2004 гг._Презентация коричневая 2007-2008 2" xfId="2900"/>
    <cellStyle name="_БЮДЖЕТ 2004 от 17.12.03 сырье 13.40_Дайджест 2003-2004 гг._Презентация коричневая 2007-2008 3" xfId="2901"/>
    <cellStyle name="_БЮДЖЕТ 2004 от 17.12.03 сырье 13.40_Дайджест 2003-2004 гг._Презентация коричневая 2007-2008 4" xfId="2902"/>
    <cellStyle name="_БЮДЖЕТ 2004 от 17.12.03 сырье 13.40_Дайджест 2003-2004 гг._Презентация коричневая 2007-2008 5" xfId="2903"/>
    <cellStyle name="_БЮДЖЕТ 2004 от 17.12.03 сырье 13.40_Дайджест 2003-2004 гг._Презентация коричневая 2007-2008 6" xfId="2904"/>
    <cellStyle name="_БЮДЖЕТ 2004 от 17.12.03 сырье 13.40_Дайджест 2003-2004 гг._Презентация коричневая 2007-2008 7" xfId="2905"/>
    <cellStyle name="_БЮДЖЕТ 2004 от 17.12.03 сырье 13.40_Дайджест 2003-2004 гг._Презентация коричневая 2007-2008 8" xfId="2906"/>
    <cellStyle name="_БЮДЖЕТ 2004 от 17.12.03 сырье 13.40_Дайджест 2003-2004 гг._Презентация коричневая 2007-2008 9" xfId="2907"/>
    <cellStyle name="_БЮДЖЕТ 2004 от 17.12.03 сырье 13.40_Дайджест 2003-2004 гг._Презентация от 10.12.07 (СПД и РК)  2007план и 2007ожид." xfId="2908"/>
    <cellStyle name="_БЮДЖЕТ 2004 от 17.12.03 сырье 13.40_Дайджест 2003-2004 гг._Презентация от 10.12.07 (СПД и РК)  2007план и 2007ожид. 2" xfId="2909"/>
    <cellStyle name="_БЮДЖЕТ 2004 от 17.12.03 сырье 13.40_Дайджест 2003-2004 гг._Презентация от 10.12.07 (СПД и РК)  2007план и 2007ожид. 3" xfId="2910"/>
    <cellStyle name="_БЮДЖЕТ 2004 от 17.12.03 сырье 13.40_Дайджест 2003-2004 гг._Презентация от 10.12.07 (СПД и РК)  2007план и 2007ожид. 4" xfId="2911"/>
    <cellStyle name="_БЮДЖЕТ 2004 от 17.12.03 сырье 13.40_Дайджест 2003-2004 гг._Презентация от 10.12.07 (СПД и РК)  2007план и 2007ожид. 5" xfId="2912"/>
    <cellStyle name="_БЮДЖЕТ 2004 от 17.12.03 сырье 13.40_Дайджест 2003-2004 гг._Презентация от 10.12.07 (СПД и РК)  2007план и 2007ожид. 6" xfId="2913"/>
    <cellStyle name="_БЮДЖЕТ 2004 от 17.12.03 сырье 13.40_Дайджест 2003-2004 гг._Презентация от 10.12.07 (СПД и РК)  2007план и 2007ожид. 7" xfId="2914"/>
    <cellStyle name="_БЮДЖЕТ 2004 от 17.12.03 сырье 13.40_Дайджест 2003-2004 гг._Презентация от 10.12.07 (СПД и РК)  2007план и 2007ожид. 8" xfId="2915"/>
    <cellStyle name="_БЮДЖЕТ 2004 от 17.12.03 сырье 13.40_Дайджест 2003-2004 гг._Презентация от 10.12.07 (СПД и РК)  2007план и 2007ожид. 9" xfId="2916"/>
    <cellStyle name="_БЮДЖЕТ 2004 от 17.12.03 сырье 13.40_Дайджест 2003-2004 гг._Презентация от 10.12.07 (СПД и РК)  2008план и 2007ожид" xfId="2917"/>
    <cellStyle name="_БЮДЖЕТ 2004 от 17.12.03 сырье 13.40_Дайджест 2003-2004 гг._Презентация от 10.12.07 (СПД и РК)  2008план и 2007ожид 2" xfId="2918"/>
    <cellStyle name="_БЮДЖЕТ 2004 от 17.12.03 сырье 13.40_Дайджест 2003-2004 гг._Презентация от 10.12.07 (СПД и РК)  2008план и 2007ожид 3" xfId="2919"/>
    <cellStyle name="_БЮДЖЕТ 2004 от 17.12.03 сырье 13.40_Дайджест 2003-2004 гг._Презентация от 10.12.07 (СПД и РК)  2008план и 2007ожид 4" xfId="2920"/>
    <cellStyle name="_БЮДЖЕТ 2004 от 17.12.03 сырье 13.40_Дайджест 2003-2004 гг._Презентация от 10.12.07 (СПД и РК)  2008план и 2007ожид 5" xfId="2921"/>
    <cellStyle name="_БЮДЖЕТ 2004 от 17.12.03 сырье 13.40_Дайджест 2003-2004 гг._Презентация от 10.12.07 (СПД и РК)  2008план и 2007ожид 6" xfId="2922"/>
    <cellStyle name="_БЮДЖЕТ 2004 от 17.12.03 сырье 13.40_Дайджест 2003-2004 гг._Презентация от 10.12.07 (СПД и РК)  2008план и 2007ожид 7" xfId="2923"/>
    <cellStyle name="_БЮДЖЕТ 2004 от 17.12.03 сырье 13.40_Дайджест 2003-2004 гг._Презентация от 10.12.07 (СПД и РК)  2008план и 2007ожид 8" xfId="2924"/>
    <cellStyle name="_БЮДЖЕТ 2004 от 17.12.03 сырье 13.40_Дайджест 2003-2004 гг._Презентация от 10.12.07 (СПД и РК)  2008план и 2007ожид 9" xfId="2925"/>
    <cellStyle name="_БЮДЖЕТ 2004 от 17.12.03 сырье 13.40_Дайджест 2003-2004 гг._Презентация от 19 12 07" xfId="2926"/>
    <cellStyle name="_БЮДЖЕТ 2004 от 17.12.03 сырье 13.40_Дайджест 2003-2004 гг._Презентация от 19 12 07 2" xfId="2927"/>
    <cellStyle name="_БЮДЖЕТ 2004 от 17.12.03 сырье 13.40_Дайджест 2003-2004 гг._Презентация от 19 12 07 3" xfId="2928"/>
    <cellStyle name="_БЮДЖЕТ 2004 от 17.12.03 сырье 13.40_Дайджест 2003-2004 гг._Презентация от 19 12 07 4" xfId="2929"/>
    <cellStyle name="_БЮДЖЕТ 2004 от 17.12.03 сырье 13.40_Дайджест 2003-2004 гг._Презентация от 19 12 07 5" xfId="2930"/>
    <cellStyle name="_БЮДЖЕТ 2004 от 17.12.03 сырье 13.40_Дайджест 2003-2004 гг._Презентация от 19 12 07 6" xfId="2931"/>
    <cellStyle name="_БЮДЖЕТ 2004 от 17.12.03 сырье 13.40_Дайджест 2003-2004 гг._Презентация от 19 12 07 7" xfId="2932"/>
    <cellStyle name="_БЮДЖЕТ 2004 от 17.12.03 сырье 13.40_Дайджест 2003-2004 гг._Презентация от 19 12 07 8" xfId="2933"/>
    <cellStyle name="_БЮДЖЕТ 2004 от 17.12.03 сырье 13.40_Дайджест 2003-2004 гг._Презентация от 19 12 07 9" xfId="2934"/>
    <cellStyle name="_БЮДЖЕТ 2004 от 17.12.03 сырье 13.40_Дайджест 2003-2004 гг._Презентация СДП, РК, Инв план 2008 (фин. часть) от 24.03.08" xfId="2935"/>
    <cellStyle name="_БЮДЖЕТ 2004 от 17.12.03 сырье 13.40_Дайджест 2003-2004 гг._Презентация СДП, РК, Инв план 2008 (фин. часть) от 24.03.08 2" xfId="2936"/>
    <cellStyle name="_БЮДЖЕТ 2004 от 17.12.03 сырье 13.40_Дайджест 2003-2004 гг._Презентация СДП, РК, Инв план 2008 (фин. часть) от 24.03.08 3" xfId="2937"/>
    <cellStyle name="_БЮДЖЕТ 2004 от 17.12.03 сырье 13.40_Дайджест 2003-2004 гг._Презентация СДП, РК, Инв план 2008 (фин. часть) от 24.03.08 4" xfId="2938"/>
    <cellStyle name="_БЮДЖЕТ 2004 от 17.12.03 сырье 13.40_Дайджест 2003-2004 гг._Презентация СДП, РК, Инв план 2008 (фин. часть) от 24.03.08 5" xfId="2939"/>
    <cellStyle name="_БЮДЖЕТ 2004 от 17.12.03 сырье 13.40_Дайджест 2003-2004 гг._Презентация СДП, РК, Инв план 2008 (фин. часть) от 24.03.08 6" xfId="2940"/>
    <cellStyle name="_БЮДЖЕТ 2004 от 17.12.03 сырье 13.40_Дайджест 2003-2004 гг._Презентация СДП, РК, Инв план 2008 (фин. часть) от 24.03.08 7" xfId="2941"/>
    <cellStyle name="_БЮДЖЕТ 2004 от 17.12.03 сырье 13.40_Дайджест 2003-2004 гг._Презентация СДП, РК, Инв план 2008 (фин. часть) от 24.03.08 8" xfId="2942"/>
    <cellStyle name="_БЮДЖЕТ 2004 от 17.12.03 сырье 13.40_Дайджест 2003-2004 гг._Презентация СДП, РК, Инв план 2008 (фин. часть) от 24.03.08 9" xfId="2943"/>
    <cellStyle name="_БЮДЖЕТ 2004 от 17.12.03 сырье 13.40_Дайджест 2003-2004 гг._Презентация ФО от 17.12.07" xfId="2944"/>
    <cellStyle name="_БЮДЖЕТ 2004 от 17.12.03 сырье 13.40_Дайджест 2003-2004 гг._Презентация ФО от 17.12.07 2" xfId="2945"/>
    <cellStyle name="_БЮДЖЕТ 2004 от 17.12.03 сырье 13.40_Дайджест 2003-2004 гг._Презентация ФО от 17.12.07 3" xfId="2946"/>
    <cellStyle name="_БЮДЖЕТ 2004 от 17.12.03 сырье 13.40_Дайджест 2003-2004 гг._Презентация ФО от 17.12.07 4" xfId="2947"/>
    <cellStyle name="_БЮДЖЕТ 2004 от 17.12.03 сырье 13.40_Дайджест 2003-2004 гг._Презентация ФО от 17.12.07 5" xfId="2948"/>
    <cellStyle name="_БЮДЖЕТ 2004 от 17.12.03 сырье 13.40_Дайджест 2003-2004 гг._Презентация ФО от 17.12.07 6" xfId="2949"/>
    <cellStyle name="_БЮДЖЕТ 2004 от 17.12.03 сырье 13.40_Дайджест 2003-2004 гг._Презентация ФО от 17.12.07 7" xfId="2950"/>
    <cellStyle name="_БЮДЖЕТ 2004 от 17.12.03 сырье 13.40_Дайджест 2003-2004 гг._Презентация ФО от 17.12.07 8" xfId="2951"/>
    <cellStyle name="_БЮДЖЕТ 2004 от 17.12.03 сырье 13.40_Дайджест 2003-2004 гг._Презентация ФО от 17.12.07 9" xfId="2952"/>
    <cellStyle name="_БЮДЖЕТ 2004 от 17.12.03 сырье 13.40_Дайджест 2003-2004 гг._презентация-2008год " xfId="2953"/>
    <cellStyle name="_БЮДЖЕТ 2004 от 17.12.03 сырье 13.40_Дайджест 2003-2004 гг._презентация-2008год  2" xfId="2954"/>
    <cellStyle name="_БЮДЖЕТ 2004 от 17.12.03 сырье 13.40_Дайджест 2003-2004 гг._презентация-2008год  3" xfId="2955"/>
    <cellStyle name="_БЮДЖЕТ 2004 от 17.12.03 сырье 13.40_Дайджест 2003-2004 гг._презентация-2008год  4" xfId="2956"/>
    <cellStyle name="_БЮДЖЕТ 2004 от 17.12.03 сырье 13.40_Дайджест 2003-2004 гг._презентация-2008год  5" xfId="2957"/>
    <cellStyle name="_БЮДЖЕТ 2004 от 17.12.03 сырье 13.40_Дайджест 2003-2004 гг._презентация-2008год  6" xfId="2958"/>
    <cellStyle name="_БЮДЖЕТ 2004 от 17.12.03 сырье 13.40_Дайджест 2003-2004 гг._презентация-2008год  7" xfId="2959"/>
    <cellStyle name="_БЮДЖЕТ 2004 от 17.12.03 сырье 13.40_Дайджест 2003-2004 гг._презентация-2008год  8" xfId="2960"/>
    <cellStyle name="_БЮДЖЕТ 2004 от 17.12.03 сырье 13.40_Дайджест 2003-2004 гг._презентация-2008год  9" xfId="2961"/>
    <cellStyle name="_БЮДЖЕТ 2004 от 17.12.03 сырье 13.40_Дайджест 2003-2004 гг._Презетация ФО (с учетом инвестиций на 2341,2)" xfId="2962"/>
    <cellStyle name="_БЮДЖЕТ 2004 от 17.12.03 сырье 13.40_Дайджест 2003-2004 гг._Презетация ФО (с учетом инвестиций на 2341,2) 2" xfId="2963"/>
    <cellStyle name="_БЮДЖЕТ 2004 от 17.12.03 сырье 13.40_Дайджест 2003-2004 гг._Презетация ФО (с учетом инвестиций на 2341,2) 3" xfId="2964"/>
    <cellStyle name="_БЮДЖЕТ 2004 от 17.12.03 сырье 13.40_Дайджест 2003-2004 гг._Презетация ФО (с учетом инвестиций на 2341,2) 4" xfId="2965"/>
    <cellStyle name="_БЮДЖЕТ 2004 от 17.12.03 сырье 13.40_Дайджест 2003-2004 гг._Презетация ФО (с учетом инвестиций на 2341,2) 5" xfId="2966"/>
    <cellStyle name="_БЮДЖЕТ 2004 от 17.12.03 сырье 13.40_Дайджест 2003-2004 гг._Презетация ФО (с учетом инвестиций на 2341,2) 6" xfId="2967"/>
    <cellStyle name="_БЮДЖЕТ 2004 от 17.12.03 сырье 13.40_Дайджест 2003-2004 гг._Презетация ФО (с учетом инвестиций на 2341,2) 7" xfId="2968"/>
    <cellStyle name="_БЮДЖЕТ 2004 от 17.12.03 сырье 13.40_Дайджест 2003-2004 гг._Презетация ФО (с учетом инвестиций на 2341,2) 8" xfId="2969"/>
    <cellStyle name="_БЮДЖЕТ 2004 от 17.12.03 сырье 13.40_Дайджест 2003-2004 гг._Презетация ФО (с учетом инвестиций на 2341,2) 9" xfId="2970"/>
    <cellStyle name="_БЮДЖЕТ 2004 от 17.12.03 сырье 13.40_Дайджест 2003-2004 гг._Приложения (формы отчетности)" xfId="2971"/>
    <cellStyle name="_БЮДЖЕТ 2004 от 17.12.03 сырье 13.40_Дайджест 2003-2004 гг._Приложения февраль 09 (МП) отпр в УК от 04 02 09" xfId="2972"/>
    <cellStyle name="_БЮДЖЕТ 2004 от 17.12.03 сырье 13.40_Дайджест 2003-2004 гг._Приложения февраль 09 (МП) отпр в УК от 04 02 09 2" xfId="2973"/>
    <cellStyle name="_БЮДЖЕТ 2004 от 17.12.03 сырье 13.40_Дайджест 2003-2004 гг._Приложения февраль 09 (МП) отпр в УК от 04 02 09 3" xfId="2974"/>
    <cellStyle name="_БЮДЖЕТ 2004 от 17.12.03 сырье 13.40_Дайджест 2003-2004 гг._Приложения февраль 09 (МП) отпр в УК от 04 02 09 4" xfId="2975"/>
    <cellStyle name="_БЮДЖЕТ 2004 от 17.12.03 сырье 13.40_Дайджест 2003-2004 гг._Приложения февраль 09 (МП) отпр в УК от 04 02 09 5" xfId="2976"/>
    <cellStyle name="_БЮДЖЕТ 2004 от 17.12.03 сырье 13.40_Дайджест 2003-2004 гг._Приложения февраль 09 (МП) отпр в УК от 04 02 09 6" xfId="2977"/>
    <cellStyle name="_БЮДЖЕТ 2004 от 17.12.03 сырье 13.40_Дайджест 2003-2004 гг._Приложения февраль 09 (МП) отпр в УК от 04 02 09 7" xfId="2978"/>
    <cellStyle name="_БЮДЖЕТ 2004 от 17.12.03 сырье 13.40_Дайджест 2003-2004 гг._Приложения февраль 09 (МП) отпр в УК от 04 02 09 8" xfId="2979"/>
    <cellStyle name="_БЮДЖЕТ 2004 от 17.12.03 сырье 13.40_Дайджест 2003-2004 гг._Приложения февраль 09 (МП) отпр в УК от 04 02 09 9" xfId="2980"/>
    <cellStyle name="_БЮДЖЕТ 2004 от 17.12.03 сырье 13.40_Дайджест 2003-2004 гг._Прогноз консолидированный июнь" xfId="2981"/>
    <cellStyle name="_БЮДЖЕТ 2004 от 17.12.03 сырье 13.40_Дайджест 2003-2004 гг._РК+СДП 2008 год" xfId="2982"/>
    <cellStyle name="_БЮДЖЕТ 2004 от 17.12.03 сырье 13.40_Дайджест 2003-2004 гг._РК+СДП 2008 год 2" xfId="2983"/>
    <cellStyle name="_БЮДЖЕТ 2004 от 17.12.03 сырье 13.40_Дайджест 2003-2004 гг._РК+СДП 2008 год 3" xfId="2984"/>
    <cellStyle name="_БЮДЖЕТ 2004 от 17.12.03 сырье 13.40_Дайджест 2003-2004 гг._РК+СДП 2008 год 4" xfId="2985"/>
    <cellStyle name="_БЮДЖЕТ 2004 от 17.12.03 сырье 13.40_Дайджест 2003-2004 гг._РК+СДП 2008 год 5" xfId="2986"/>
    <cellStyle name="_БЮДЖЕТ 2004 от 17.12.03 сырье 13.40_Дайджест 2003-2004 гг._РК+СДП 2008 год 6" xfId="2987"/>
    <cellStyle name="_БЮДЖЕТ 2004 от 17.12.03 сырье 13.40_Дайджест 2003-2004 гг._РК+СДП 2008 год 7" xfId="2988"/>
    <cellStyle name="_БЮДЖЕТ 2004 от 17.12.03 сырье 13.40_Дайджест 2003-2004 гг._РК+СДП 2008 год 8" xfId="2989"/>
    <cellStyle name="_БЮДЖЕТ 2004 от 17.12.03 сырье 13.40_Дайджест 2003-2004 гг._РК+СДП 2008 год 9" xfId="2990"/>
    <cellStyle name="_БЮДЖЕТ 2004 от 17.12.03 сырье 13.40_Дайджест 2003-2004 гг._Свод производства 1 квартал" xfId="2991"/>
    <cellStyle name="_БЮДЖЕТ 2004 от 17.12.03 сырье 13.40_Дайджест 2003-2004 гг._Свод производства 1 квартал 2" xfId="2992"/>
    <cellStyle name="_БЮДЖЕТ 2004 от 17.12.03 сырье 13.40_Дайджест 2003-2004 гг._Свод производства 1 квартал 3" xfId="2993"/>
    <cellStyle name="_БЮДЖЕТ 2004 от 17.12.03 сырье 13.40_Дайджест 2003-2004 гг._Свод производства 1 квартал 4" xfId="2994"/>
    <cellStyle name="_БЮДЖЕТ 2004 от 17.12.03 сырье 13.40_Дайджест 2003-2004 гг._Свод производства 1 квартал 5" xfId="2995"/>
    <cellStyle name="_БЮДЖЕТ 2004 от 17.12.03 сырье 13.40_Дайджест 2003-2004 гг._Свод производства 1 квартал 6" xfId="2996"/>
    <cellStyle name="_БЮДЖЕТ 2004 от 17.12.03 сырье 13.40_Дайджест 2003-2004 гг._Свод производства 1 квартал 7" xfId="2997"/>
    <cellStyle name="_БЮДЖЕТ 2004 от 17.12.03 сырье 13.40_Дайджест 2003-2004 гг._Свод производства 1 квартал 8" xfId="2998"/>
    <cellStyle name="_БЮДЖЕТ 2004 от 17.12.03 сырье 13.40_Дайджест 2003-2004 гг._Свод производства 1 квартал 9" xfId="2999"/>
    <cellStyle name="_БЮДЖЕТ 2004 от 17.12.03 сырье 13.40_Дайджест 2003-2004 гг._Себестоимость" xfId="3000"/>
    <cellStyle name="_БЮДЖЕТ 2004 от 17.12.03 сырье 13.40_Дайджест 2003-2004 гг._Слайд осн показатели к совещанию в УК от 18 01 09" xfId="3001"/>
    <cellStyle name="_БЮДЖЕТ 2004 от 17.12.03 сырье 13.40_Дайджест 2003-2004 гг._Слайды 2-й квартал (ФП-КП)" xfId="3002"/>
    <cellStyle name="_БЮДЖЕТ 2004 от 17.12.03 сырье 13.40_Дайджест 2003-2004 гг._Слайды 2-й квартал (ФП-КП) 2" xfId="3003"/>
    <cellStyle name="_БЮДЖЕТ 2004 от 17.12.03 сырье 13.40_Дайджест 2003-2004 гг._Слайды 2-й квартал (ФП-КП) 3" xfId="3004"/>
    <cellStyle name="_БЮДЖЕТ 2004 от 17.12.03 сырье 13.40_Дайджест 2003-2004 гг._Слайды 2-й квартал (ФП-КП) 4" xfId="3005"/>
    <cellStyle name="_БЮДЖЕТ 2004 от 17.12.03 сырье 13.40_Дайджест 2003-2004 гг._Слайды 2-й квартал (ФП-КП) 5" xfId="3006"/>
    <cellStyle name="_БЮДЖЕТ 2004 от 17.12.03 сырье 13.40_Дайджест 2003-2004 гг._Слайды 2-й квартал (ФП-КП) 6" xfId="3007"/>
    <cellStyle name="_БЮДЖЕТ 2004 от 17.12.03 сырье 13.40_Дайджест 2003-2004 гг._Слайды 2-й квартал (ФП-КП) 7" xfId="3008"/>
    <cellStyle name="_БЮДЖЕТ 2004 от 17.12.03 сырье 13.40_Дайджест 2003-2004 гг._Слайды 2-й квартал (ФП-КП) 8" xfId="3009"/>
    <cellStyle name="_БЮДЖЕТ 2004 от 17.12.03 сырье 13.40_Дайджест 2003-2004 гг._Слайды 2-й квартал (ФП-КП) 9" xfId="3010"/>
    <cellStyle name="_БЮДЖЕТ 2004 от 17.12.03 сырье 13.40_Дайджест 2003-2004 гг._СПД, РК, Инв. 2008 коричневая" xfId="3011"/>
    <cellStyle name="_БЮДЖЕТ 2004 от 17.12.03 сырье 13.40_Дайджест 2003-2004 гг._СПД, РК, Инв. 2008 коричневая 2" xfId="3012"/>
    <cellStyle name="_БЮДЖЕТ 2004 от 17.12.03 сырье 13.40_Дайджест 2003-2004 гг._СПД, РК, Инв. 2008 коричневая 3" xfId="3013"/>
    <cellStyle name="_БЮДЖЕТ 2004 от 17.12.03 сырье 13.40_Дайджест 2003-2004 гг._СПД, РК, Инв. 2008 коричневая 4" xfId="3014"/>
    <cellStyle name="_БЮДЖЕТ 2004 от 17.12.03 сырье 13.40_Дайджест 2003-2004 гг._СПД, РК, Инв. 2008 коричневая 5" xfId="3015"/>
    <cellStyle name="_БЮДЖЕТ 2004 от 17.12.03 сырье 13.40_Дайджест 2003-2004 гг._СПД, РК, Инв. 2008 коричневая 6" xfId="3016"/>
    <cellStyle name="_БЮДЖЕТ 2004 от 17.12.03 сырье 13.40_Дайджест 2003-2004 гг._СПД, РК, Инв. 2008 коричневая 7" xfId="3017"/>
    <cellStyle name="_БЮДЖЕТ 2004 от 17.12.03 сырье 13.40_Дайджест 2003-2004 гг._СПД, РК, Инв. 2008 коричневая 8" xfId="3018"/>
    <cellStyle name="_БЮДЖЕТ 2004 от 17.12.03 сырье 13.40_Дайджест 2003-2004 гг._СПД, РК, Инв. 2008 коричневая 9" xfId="3019"/>
    <cellStyle name="_БЮДЖЕТ 2004 от 17.12.03 сырье 13.40_Дайджест 2003-2004 гг._Сравнение ожидаемого 2008  c БП 2009г. УрСт вариант 2 (скоррект. цены)" xfId="3020"/>
    <cellStyle name="_БЮДЖЕТ 2004 от 17.12.03 сырье 13.40_Дайджест 2003-2004 гг._Сравнение ожидаемого 2008 с 2009г  ОЭМК от 06 10 2008" xfId="3021"/>
    <cellStyle name="_БЮДЖЕТ 2004 от 17.12.03 сырье 13.40_Дайджест 2003-2004 гг._Сравнение ожидаемого 2008 с 2009г. ОЭМК  28.10.2008 (скорректир. цены)" xfId="3022"/>
    <cellStyle name="_БЮДЖЕТ 2004 от 17.12.03 сырье 13.40_Дайджест 2003-2004 гг._Сравнение ожидаемого 2008 УС c 2009г  от 06 10 2008" xfId="3023"/>
    <cellStyle name="_БЮДЖЕТ 2004 от 17.12.03 сырье 13.40_Дайджест 2003-2004 гг._Стан 150" xfId="3024"/>
    <cellStyle name="_БЮДЖЕТ 2004 от 17.12.03 сырье 13.40_Дайджест 2003-2004 гг._Структура затрат (Формат) ЛГОК" xfId="3025"/>
    <cellStyle name="_БЮДЖЕТ 2004 от 17.12.03 сырье 13.40_Дайджест 2003-2004 гг._Структура затрат (Формат) ЛГОК_28.01.2009" xfId="3026"/>
    <cellStyle name="_БЮДЖЕТ 2004 от 17.12.03 сырье 13.40_Дайджест 2003-2004 гг._титульный лист" xfId="3027"/>
    <cellStyle name="_БЮДЖЕТ 2004 от 17.12.03 сырье 13.40_Дайджест 2003-2004 гг._ТП на 2011_год покварт" xfId="3028"/>
    <cellStyle name="_БЮДЖЕТ 2004 от 17.12.03 сырье 13.40_Дайджест 2003-2004 гг._Труд для нас" xfId="3029"/>
    <cellStyle name="_БЮДЖЕТ 2004 от 17.12.03 сырье 13.40_Дайджест 2003-2004 гг._Труд для нас 2" xfId="3030"/>
    <cellStyle name="_БЮДЖЕТ 2004 от 17.12.03 сырье 13.40_Дайджест 2003-2004 гг._Труд для нас 3" xfId="3031"/>
    <cellStyle name="_БЮДЖЕТ 2004 от 17.12.03 сырье 13.40_Дайджест 2003-2004 гг._Труд для нас 4" xfId="3032"/>
    <cellStyle name="_БЮДЖЕТ 2004 от 17.12.03 сырье 13.40_Дайджест 2003-2004 гг._Труд для нас 5" xfId="3033"/>
    <cellStyle name="_БЮДЖЕТ 2004 от 17.12.03 сырье 13.40_Дайджест 2003-2004 гг._Труд для нас 6" xfId="3034"/>
    <cellStyle name="_БЮДЖЕТ 2004 от 17.12.03 сырье 13.40_Дайджест 2003-2004 гг._Труд для нас 7" xfId="3035"/>
    <cellStyle name="_БЮДЖЕТ 2004 от 17.12.03 сырье 13.40_Дайджест 2003-2004 гг._Труд для нас 8" xfId="3036"/>
    <cellStyle name="_БЮДЖЕТ 2004 от 17.12.03 сырье 13.40_Дайджест 2003-2004 гг._Труд для нас 9" xfId="3037"/>
    <cellStyle name="_БЮДЖЕТ 2004 от 17.12.03 сырье 13.40_Дайджест 2003-2004 гг._УралКирпич_план на 2 кв. 2009" xfId="3038"/>
    <cellStyle name="_БЮДЖЕТ 2004 от 17.12.03 сырье 13.40_Дайджест 2003-2004 гг._УСТ - любимая табличка по новому 2009 г." xfId="3039"/>
    <cellStyle name="_БЮДЖЕТ 2004 от 17.12.03 сырье 13.40_Дайджест 2003-2004 гг._Ф 29, 30" xfId="3040"/>
    <cellStyle name="_БЮДЖЕТ 2004 от 17.12.03 сырье 13.40_Дайджест 2003-2004 гг._Ф 29, 30 2" xfId="3041"/>
    <cellStyle name="_БЮДЖЕТ 2004 от 17.12.03 сырье 13.40_Дайджест 2003-2004 гг._Ф 29, 30 3" xfId="3042"/>
    <cellStyle name="_БЮДЖЕТ 2004 от 17.12.03 сырье 13.40_Дайджест 2003-2004 гг._Ф 29, 30 4" xfId="3043"/>
    <cellStyle name="_БЮДЖЕТ 2004 от 17.12.03 сырье 13.40_Дайджест 2003-2004 гг._Ф 29, 30 5" xfId="3044"/>
    <cellStyle name="_БЮДЖЕТ 2004 от 17.12.03 сырье 13.40_Дайджест 2003-2004 гг._Ф 29, 30 6" xfId="3045"/>
    <cellStyle name="_БЮДЖЕТ 2004 от 17.12.03 сырье 13.40_Дайджест 2003-2004 гг._Ф 29, 30 7" xfId="3046"/>
    <cellStyle name="_БЮДЖЕТ 2004 от 17.12.03 сырье 13.40_Дайджест 2003-2004 гг._Ф 29, 30 8" xfId="3047"/>
    <cellStyle name="_БЮДЖЕТ 2004 от 17.12.03 сырье 13.40_Дайджест 2003-2004 гг._Ф 29, 30 9" xfId="3048"/>
    <cellStyle name="_БЮДЖЕТ 2004 от 17.12.03 сырье 13.40_Дайджест 2003-2004 гг._ф IIкв.07 EBITDA ЛГОК 27.07.07" xfId="3049"/>
    <cellStyle name="_БЮДЖЕТ 2004 от 17.12.03 сырье 13.40_Дайджест 2003-2004 гг._ф IIкв.07 EBITDA ЛГОК 27.07.07 2" xfId="3050"/>
    <cellStyle name="_БЮДЖЕТ 2004 от 17.12.03 сырье 13.40_Дайджест 2003-2004 гг._ф IIкв.07 EBITDA ЛГОК 27.07.07 3" xfId="3051"/>
    <cellStyle name="_БЮДЖЕТ 2004 от 17.12.03 сырье 13.40_Дайджест 2003-2004 гг._ф IIкв.07 EBITDA ЛГОК 27.07.07 4" xfId="3052"/>
    <cellStyle name="_БЮДЖЕТ 2004 от 17.12.03 сырье 13.40_Дайджест 2003-2004 гг._ф IIкв.07 EBITDA ЛГОК 27.07.07 5" xfId="3053"/>
    <cellStyle name="_БЮДЖЕТ 2004 от 17.12.03 сырье 13.40_Дайджест 2003-2004 гг._ф IIкв.07 EBITDA ЛГОК 27.07.07 6" xfId="3054"/>
    <cellStyle name="_БЮДЖЕТ 2004 от 17.12.03 сырье 13.40_Дайджест 2003-2004 гг._ф IIкв.07 EBITDA ЛГОК 27.07.07 7" xfId="3055"/>
    <cellStyle name="_БЮДЖЕТ 2004 от 17.12.03 сырье 13.40_Дайджест 2003-2004 гг._ф IIкв.07 EBITDA ЛГОК 27.07.07 8" xfId="3056"/>
    <cellStyle name="_БЮДЖЕТ 2004 от 17.12.03 сырье 13.40_Дайджест 2003-2004 гг._ф IIкв.07 EBITDA ЛГОК 27.07.07 9" xfId="3057"/>
    <cellStyle name="_БЮДЖЕТ 2004 от 17.12.03 сырье 13.40_Дайджест 2003-2004 гг._ф01 2007 фин. часть МГОК 21.03.07" xfId="3058"/>
    <cellStyle name="_БЮДЖЕТ 2004 от 17.12.03 сырье 13.40_Дайджест 2003-2004 гг._ф01.07 EBITDA ОАО ЛГОК 02.03.07" xfId="3059"/>
    <cellStyle name="_БЮДЖЕТ 2004 от 17.12.03 сырье 13.40_Дайджест 2003-2004 гг._ф01.07 EBITDA ОАО ЛГОК 02.03.07 2" xfId="3060"/>
    <cellStyle name="_БЮДЖЕТ 2004 от 17.12.03 сырье 13.40_Дайджест 2003-2004 гг._ф01.07 EBITDA ОАО ЛГОК 02.03.07 3" xfId="3061"/>
    <cellStyle name="_БЮДЖЕТ 2004 от 17.12.03 сырье 13.40_Дайджест 2003-2004 гг._ф01.07 EBITDA ОАО ЛГОК 02.03.07 4" xfId="3062"/>
    <cellStyle name="_БЮДЖЕТ 2004 от 17.12.03 сырье 13.40_Дайджест 2003-2004 гг._ф01.07 EBITDA ОАО ЛГОК 02.03.07 5" xfId="3063"/>
    <cellStyle name="_БЮДЖЕТ 2004 от 17.12.03 сырье 13.40_Дайджест 2003-2004 гг._ф01.07 EBITDA ОАО ЛГОК 02.03.07 6" xfId="3064"/>
    <cellStyle name="_БЮДЖЕТ 2004 от 17.12.03 сырье 13.40_Дайджест 2003-2004 гг._ф01.07 EBITDA ОАО ЛГОК 02.03.07 7" xfId="3065"/>
    <cellStyle name="_БЮДЖЕТ 2004 от 17.12.03 сырье 13.40_Дайджест 2003-2004 гг._ф01.07 EBITDA ОАО ЛГОК 02.03.07 8" xfId="3066"/>
    <cellStyle name="_БЮДЖЕТ 2004 от 17.12.03 сырье 13.40_Дайджест 2003-2004 гг._ф01.07 EBITDA ОАО ЛГОК 02.03.07 9" xfId="3067"/>
    <cellStyle name="_БЮДЖЕТ 2004 от 17.12.03 сырье 13.40_Дайджест 2003-2004 гг._ф01.07 EBITDA ОАО ЛГОК 02.03.07_Книга2" xfId="3068"/>
    <cellStyle name="_БЮДЖЕТ 2004 от 17.12.03 сырье 13.40_Дайджест 2003-2004 гг._ф01.07 EBITDA ОАО ЛГОК 02.03.07_Отчет за сентябрь_11_ДСМ" xfId="3069"/>
    <cellStyle name="_БЮДЖЕТ 2004 от 17.12.03 сырье 13.40_Дайджест 2003-2004 гг._ф01.07 EBITDA ОАО ЛГОК 05.03.07" xfId="3070"/>
    <cellStyle name="_БЮДЖЕТ 2004 от 17.12.03 сырье 13.40_Дайджест 2003-2004 гг._ф01.07 EBITDA ОАО ЛГОК 05.03.07 2" xfId="3071"/>
    <cellStyle name="_БЮДЖЕТ 2004 от 17.12.03 сырье 13.40_Дайджест 2003-2004 гг._ф01.07 EBITDA ОАО ЛГОК 05.03.07 3" xfId="3072"/>
    <cellStyle name="_БЮДЖЕТ 2004 от 17.12.03 сырье 13.40_Дайджест 2003-2004 гг._ф01.07 EBITDA ОАО ЛГОК 05.03.07 4" xfId="3073"/>
    <cellStyle name="_БЮДЖЕТ 2004 от 17.12.03 сырье 13.40_Дайджест 2003-2004 гг._ф01.07 EBITDA ОАО ЛГОК 05.03.07 5" xfId="3074"/>
    <cellStyle name="_БЮДЖЕТ 2004 от 17.12.03 сырье 13.40_Дайджест 2003-2004 гг._ф01.07 EBITDA ОАО ЛГОК 05.03.07 6" xfId="3075"/>
    <cellStyle name="_БЮДЖЕТ 2004 от 17.12.03 сырье 13.40_Дайджест 2003-2004 гг._ф01.07 EBITDA ОАО ЛГОК 05.03.07 7" xfId="3076"/>
    <cellStyle name="_БЮДЖЕТ 2004 от 17.12.03 сырье 13.40_Дайджест 2003-2004 гг._ф01.07 EBITDA ОАО ЛГОК 05.03.07 8" xfId="3077"/>
    <cellStyle name="_БЮДЖЕТ 2004 от 17.12.03 сырье 13.40_Дайджест 2003-2004 гг._ф01.07 EBITDA ОАО ЛГОК 05.03.07 9" xfId="3078"/>
    <cellStyle name="_БЮДЖЕТ 2004 от 17.12.03 сырье 13.40_Дайджест 2003-2004 гг._ф01.07 EBITDA ОАО ЛГОК 05.03.07_Книга2" xfId="3079"/>
    <cellStyle name="_БЮДЖЕТ 2004 от 17.12.03 сырье 13.40_Дайджест 2003-2004 гг._ф01.07 EBITDA ОАО ЛГОК 05.03.07_Отчет за сентябрь_11_ДСМ" xfId="3080"/>
    <cellStyle name="_БЮДЖЕТ 2004 от 17.12.03 сырье 13.40_Дайджест 2003-2004 гг._ф01.07 EBITDA ОАО ЛГОК с изм. 30.03.07" xfId="3081"/>
    <cellStyle name="_БЮДЖЕТ 2004 от 17.12.03 сырье 13.40_Дайджест 2003-2004 гг._ф01.07 EBITDA ОАО ЛГОК с изм. 30.03.07 2" xfId="3082"/>
    <cellStyle name="_БЮДЖЕТ 2004 от 17.12.03 сырье 13.40_Дайджест 2003-2004 гг._ф01.07 EBITDA ОАО ЛГОК с изм. 30.03.07 3" xfId="3083"/>
    <cellStyle name="_БЮДЖЕТ 2004 от 17.12.03 сырье 13.40_Дайджест 2003-2004 гг._ф01.07 EBITDA ОАО ЛГОК с изм. 30.03.07 4" xfId="3084"/>
    <cellStyle name="_БЮДЖЕТ 2004 от 17.12.03 сырье 13.40_Дайджест 2003-2004 гг._ф01.07 EBITDA ОАО ЛГОК с изм. 30.03.07 5" xfId="3085"/>
    <cellStyle name="_БЮДЖЕТ 2004 от 17.12.03 сырье 13.40_Дайджест 2003-2004 гг._ф01.07 EBITDA ОАО ЛГОК с изм. 30.03.07 6" xfId="3086"/>
    <cellStyle name="_БЮДЖЕТ 2004 от 17.12.03 сырье 13.40_Дайджест 2003-2004 гг._ф01.07 EBITDA ОАО ЛГОК с изм. 30.03.07 7" xfId="3087"/>
    <cellStyle name="_БЮДЖЕТ 2004 от 17.12.03 сырье 13.40_Дайджест 2003-2004 гг._ф01.07 EBITDA ОАО ЛГОК с изм. 30.03.07 8" xfId="3088"/>
    <cellStyle name="_БЮДЖЕТ 2004 от 17.12.03 сырье 13.40_Дайджест 2003-2004 гг._ф01.07 EBITDA ОАО ЛГОК с изм. 30.03.07 9" xfId="3089"/>
    <cellStyle name="_БЮДЖЕТ 2004 от 17.12.03 сырье 13.40_Дайджест 2003-2004 гг._ф01.07 EBITDA ОАО ЛГОК с изм. 30.03.07_Книга2" xfId="3090"/>
    <cellStyle name="_БЮДЖЕТ 2004 от 17.12.03 сырье 13.40_Дайджест 2003-2004 гг._ф01.07 EBITDA ОАО УС 05.03.07" xfId="3091"/>
    <cellStyle name="_БЮДЖЕТ 2004 от 17.12.03 сырье 13.40_Дайджест 2003-2004 гг._ф01.07 EBITDA ОАО УС 05.03.07 2" xfId="3092"/>
    <cellStyle name="_БЮДЖЕТ 2004 от 17.12.03 сырье 13.40_Дайджест 2003-2004 гг._ф01.07 EBITDA ОАО УС 05.03.07 3" xfId="3093"/>
    <cellStyle name="_БЮДЖЕТ 2004 от 17.12.03 сырье 13.40_Дайджест 2003-2004 гг._ф01.07 EBITDA ОАО УС 05.03.07 4" xfId="3094"/>
    <cellStyle name="_БЮДЖЕТ 2004 от 17.12.03 сырье 13.40_Дайджест 2003-2004 гг._ф01.07 EBITDA ОАО УС 05.03.07 5" xfId="3095"/>
    <cellStyle name="_БЮДЖЕТ 2004 от 17.12.03 сырье 13.40_Дайджест 2003-2004 гг._ф01.07 EBITDA ОАО УС 05.03.07 6" xfId="3096"/>
    <cellStyle name="_БЮДЖЕТ 2004 от 17.12.03 сырье 13.40_Дайджест 2003-2004 гг._ф01.07 EBITDA ОАО УС 05.03.07 7" xfId="3097"/>
    <cellStyle name="_БЮДЖЕТ 2004 от 17.12.03 сырье 13.40_Дайджест 2003-2004 гг._ф01.07 EBITDA ОАО УС 05.03.07 8" xfId="3098"/>
    <cellStyle name="_БЮДЖЕТ 2004 от 17.12.03 сырье 13.40_Дайджест 2003-2004 гг._ф01.07 EBITDA ОАО УС 05.03.07 9" xfId="3099"/>
    <cellStyle name="_БЮДЖЕТ 2004 от 17.12.03 сырье 13.40_Дайджест 2003-2004 гг._ф01.07 EBITDA ОАО УС 05.03.07(26,2)" xfId="3100"/>
    <cellStyle name="_БЮДЖЕТ 2004 от 17.12.03 сырье 13.40_Дайджест 2003-2004 гг._ф01.07 EBITDA ОАО УС 05.03.07(26,2) 2" xfId="3101"/>
    <cellStyle name="_БЮДЖЕТ 2004 от 17.12.03 сырье 13.40_Дайджест 2003-2004 гг._ф01.07 EBITDA ОАО УС 05.03.07(26,2) 3" xfId="3102"/>
    <cellStyle name="_БЮДЖЕТ 2004 от 17.12.03 сырье 13.40_Дайджест 2003-2004 гг._ф01.07 EBITDA ОАО УС 05.03.07(26,2) 4" xfId="3103"/>
    <cellStyle name="_БЮДЖЕТ 2004 от 17.12.03 сырье 13.40_Дайджест 2003-2004 гг._ф01.07 EBITDA ОАО УС 05.03.07(26,2) 5" xfId="3104"/>
    <cellStyle name="_БЮДЖЕТ 2004 от 17.12.03 сырье 13.40_Дайджест 2003-2004 гг._ф01.07 EBITDA ОАО УС 05.03.07(26,2) 6" xfId="3105"/>
    <cellStyle name="_БЮДЖЕТ 2004 от 17.12.03 сырье 13.40_Дайджест 2003-2004 гг._ф01.07 EBITDA ОАО УС 05.03.07(26,2) 7" xfId="3106"/>
    <cellStyle name="_БЮДЖЕТ 2004 от 17.12.03 сырье 13.40_Дайджест 2003-2004 гг._ф01.07 EBITDA ОАО УС 05.03.07(26,2) 8" xfId="3107"/>
    <cellStyle name="_БЮДЖЕТ 2004 от 17.12.03 сырье 13.40_Дайджест 2003-2004 гг._ф01.07 EBITDA ОАО УС 05.03.07(26,2) 9" xfId="3108"/>
    <cellStyle name="_БЮДЖЕТ 2004 от 17.12.03 сырье 13.40_Дайджест 2003-2004 гг._ф01.07 EBITDA ОАО УС 05.03.07(26,2)_Книга2" xfId="3109"/>
    <cellStyle name="_БЮДЖЕТ 2004 от 17.12.03 сырье 13.40_Дайджест 2003-2004 гг._ф01.07 EBITDA ОАО УС 05.03.07_Книга2" xfId="3110"/>
    <cellStyle name="_БЮДЖЕТ 2004 от 17.12.03 сырье 13.40_Дайджест 2003-2004 гг._ф01.07 EBITDA ОЭМК 02.03.07" xfId="3111"/>
    <cellStyle name="_БЮДЖЕТ 2004 от 17.12.03 сырье 13.40_Дайджест 2003-2004 гг._ф01.07 EBITDA ОЭМК 02.03.07 2" xfId="3112"/>
    <cellStyle name="_БЮДЖЕТ 2004 от 17.12.03 сырье 13.40_Дайджест 2003-2004 гг._ф01.07 EBITDA ОЭМК 02.03.07 3" xfId="3113"/>
    <cellStyle name="_БЮДЖЕТ 2004 от 17.12.03 сырье 13.40_Дайджест 2003-2004 гг._ф01.07 EBITDA ОЭМК 02.03.07 4" xfId="3114"/>
    <cellStyle name="_БЮДЖЕТ 2004 от 17.12.03 сырье 13.40_Дайджест 2003-2004 гг._ф01.07 EBITDA ОЭМК 02.03.07 5" xfId="3115"/>
    <cellStyle name="_БЮДЖЕТ 2004 от 17.12.03 сырье 13.40_Дайджест 2003-2004 гг._ф01.07 EBITDA ОЭМК 02.03.07 6" xfId="3116"/>
    <cellStyle name="_БЮДЖЕТ 2004 от 17.12.03 сырье 13.40_Дайджест 2003-2004 гг._ф01.07 EBITDA ОЭМК 02.03.07 7" xfId="3117"/>
    <cellStyle name="_БЮДЖЕТ 2004 от 17.12.03 сырье 13.40_Дайджест 2003-2004 гг._ф01.07 EBITDA ОЭМК 02.03.07 8" xfId="3118"/>
    <cellStyle name="_БЮДЖЕТ 2004 от 17.12.03 сырье 13.40_Дайджест 2003-2004 гг._ф01.07 EBITDA ОЭМК 02.03.07 9" xfId="3119"/>
    <cellStyle name="_БЮДЖЕТ 2004 от 17.12.03 сырье 13.40_Дайджест 2003-2004 гг._ф01.07 EBITDA ОЭМК 02.03.07_Книга2" xfId="3120"/>
    <cellStyle name="_БЮДЖЕТ 2004 от 17.12.03 сырье 13.40_Дайджест 2003-2004 гг._ф02.07 EBITDA ОАО ЛГОК 28.03.07" xfId="3121"/>
    <cellStyle name="_БЮДЖЕТ 2004 от 17.12.03 сырье 13.40_Дайджест 2003-2004 гг._ф02.07 EBITDA ОАО ЛГОК 28.03.07 2" xfId="3122"/>
    <cellStyle name="_БЮДЖЕТ 2004 от 17.12.03 сырье 13.40_Дайджест 2003-2004 гг._ф02.07 EBITDA ОАО ЛГОК 28.03.07 3" xfId="3123"/>
    <cellStyle name="_БЮДЖЕТ 2004 от 17.12.03 сырье 13.40_Дайджест 2003-2004 гг._ф02.07 EBITDA ОАО ЛГОК 28.03.07 4" xfId="3124"/>
    <cellStyle name="_БЮДЖЕТ 2004 от 17.12.03 сырье 13.40_Дайджест 2003-2004 гг._ф02.07 EBITDA ОАО ЛГОК 28.03.07 5" xfId="3125"/>
    <cellStyle name="_БЮДЖЕТ 2004 от 17.12.03 сырье 13.40_Дайджест 2003-2004 гг._ф02.07 EBITDA ОАО ЛГОК 28.03.07 6" xfId="3126"/>
    <cellStyle name="_БЮДЖЕТ 2004 от 17.12.03 сырье 13.40_Дайджест 2003-2004 гг._ф02.07 EBITDA ОАО ЛГОК 28.03.07 7" xfId="3127"/>
    <cellStyle name="_БЮДЖЕТ 2004 от 17.12.03 сырье 13.40_Дайджест 2003-2004 гг._ф02.07 EBITDA ОАО ЛГОК 28.03.07 8" xfId="3128"/>
    <cellStyle name="_БЮДЖЕТ 2004 от 17.12.03 сырье 13.40_Дайджест 2003-2004 гг._ф02.07 EBITDA ОАО ЛГОК 28.03.07 9" xfId="3129"/>
    <cellStyle name="_БЮДЖЕТ 2004 от 17.12.03 сырье 13.40_Дайджест 2003-2004 гг._ф02.07 EBITDA ОАО ЛГОК 28.03.07_Книга2" xfId="3130"/>
    <cellStyle name="_БЮДЖЕТ 2004 от 17.12.03 сырье 13.40_Дайджест 2003-2004 гг._ф02.07 EBITDA ОАО УС 28.03.07" xfId="3131"/>
    <cellStyle name="_БЮДЖЕТ 2004 от 17.12.03 сырье 13.40_Дайджест 2003-2004 гг._ф02.07 EBITDA ОАО УС 28.03.07 2" xfId="3132"/>
    <cellStyle name="_БЮДЖЕТ 2004 от 17.12.03 сырье 13.40_Дайджест 2003-2004 гг._ф02.07 EBITDA ОАО УС 28.03.07 3" xfId="3133"/>
    <cellStyle name="_БЮДЖЕТ 2004 от 17.12.03 сырье 13.40_Дайджест 2003-2004 гг._ф02.07 EBITDA ОАО УС 28.03.07 4" xfId="3134"/>
    <cellStyle name="_БЮДЖЕТ 2004 от 17.12.03 сырье 13.40_Дайджест 2003-2004 гг._ф02.07 EBITDA ОАО УС 28.03.07 5" xfId="3135"/>
    <cellStyle name="_БЮДЖЕТ 2004 от 17.12.03 сырье 13.40_Дайджест 2003-2004 гг._ф02.07 EBITDA ОАО УС 28.03.07 6" xfId="3136"/>
    <cellStyle name="_БЮДЖЕТ 2004 от 17.12.03 сырье 13.40_Дайджест 2003-2004 гг._ф02.07 EBITDA ОАО УС 28.03.07 7" xfId="3137"/>
    <cellStyle name="_БЮДЖЕТ 2004 от 17.12.03 сырье 13.40_Дайджест 2003-2004 гг._ф02.07 EBITDA ОАО УС 28.03.07 8" xfId="3138"/>
    <cellStyle name="_БЮДЖЕТ 2004 от 17.12.03 сырье 13.40_Дайджест 2003-2004 гг._ф02.07 EBITDA ОАО УС 28.03.07 9" xfId="3139"/>
    <cellStyle name="_БЮДЖЕТ 2004 от 17.12.03 сырье 13.40_Дайджест 2003-2004 гг._ф02.07 EBITDA ОАО УС 28.03.07_Книга2" xfId="3140"/>
    <cellStyle name="_БЮДЖЕТ 2004 от 17.12.03 сырье 13.40_Дайджест 2003-2004 гг._ф02.07 EBITDA ОЭМК 28.03.07" xfId="3141"/>
    <cellStyle name="_БЮДЖЕТ 2004 от 17.12.03 сырье 13.40_Дайджест 2003-2004 гг._ф02.07 EBITDA ОЭМК 28.03.07 2" xfId="3142"/>
    <cellStyle name="_БЮДЖЕТ 2004 от 17.12.03 сырье 13.40_Дайджест 2003-2004 гг._ф02.07 EBITDA ОЭМК 28.03.07 3" xfId="3143"/>
    <cellStyle name="_БЮДЖЕТ 2004 от 17.12.03 сырье 13.40_Дайджест 2003-2004 гг._ф02.07 EBITDA ОЭМК 28.03.07 4" xfId="3144"/>
    <cellStyle name="_БЮДЖЕТ 2004 от 17.12.03 сырье 13.40_Дайджест 2003-2004 гг._ф02.07 EBITDA ОЭМК 28.03.07 5" xfId="3145"/>
    <cellStyle name="_БЮДЖЕТ 2004 от 17.12.03 сырье 13.40_Дайджест 2003-2004 гг._ф02.07 EBITDA ОЭМК 28.03.07 6" xfId="3146"/>
    <cellStyle name="_БЮДЖЕТ 2004 от 17.12.03 сырье 13.40_Дайджест 2003-2004 гг._ф02.07 EBITDA ОЭМК 28.03.07 7" xfId="3147"/>
    <cellStyle name="_БЮДЖЕТ 2004 от 17.12.03 сырье 13.40_Дайджест 2003-2004 гг._ф02.07 EBITDA ОЭМК 28.03.07 8" xfId="3148"/>
    <cellStyle name="_БЮДЖЕТ 2004 от 17.12.03 сырье 13.40_Дайджест 2003-2004 гг._ф02.07 EBITDA ОЭМК 28.03.07 9" xfId="3149"/>
    <cellStyle name="_БЮДЖЕТ 2004 от 17.12.03 сырье 13.40_Дайджест 2003-2004 гг._ф02.07 EBITDA ОЭМК 28.03.07_Книга2" xfId="3150"/>
    <cellStyle name="_БЮДЖЕТ 2004 от 17.12.03 сырье 13.40_Дайджест 2003-2004 гг._ф11 Депозиты" xfId="3151"/>
    <cellStyle name="_БЮДЖЕТ 2004 от 17.12.03 сырье 13.40_Дайджест 2003-2004 гг._ф11 Депозиты 2" xfId="3152"/>
    <cellStyle name="_БЮДЖЕТ 2004 от 17.12.03 сырье 13.40_Дайджест 2003-2004 гг._ф11 Депозиты 3" xfId="3153"/>
    <cellStyle name="_БЮДЖЕТ 2004 от 17.12.03 сырье 13.40_Дайджест 2003-2004 гг._ф11 Депозиты 4" xfId="3154"/>
    <cellStyle name="_БЮДЖЕТ 2004 от 17.12.03 сырье 13.40_Дайджест 2003-2004 гг._ф11 Депозиты 5" xfId="3155"/>
    <cellStyle name="_БЮДЖЕТ 2004 от 17.12.03 сырье 13.40_Дайджест 2003-2004 гг._ф11 Депозиты 6" xfId="3156"/>
    <cellStyle name="_БЮДЖЕТ 2004 от 17.12.03 сырье 13.40_Дайджест 2003-2004 гг._ф11 Депозиты 7" xfId="3157"/>
    <cellStyle name="_БЮДЖЕТ 2004 от 17.12.03 сырье 13.40_Дайджест 2003-2004 гг._ф11 Депозиты 8" xfId="3158"/>
    <cellStyle name="_БЮДЖЕТ 2004 от 17.12.03 сырье 13.40_Дайджест 2003-2004 гг._ф11 Депозиты 9" xfId="3159"/>
    <cellStyle name="_БЮДЖЕТ 2004 от 17.12.03 сырье 13.40_Дайджест 2003-2004 гг._ф1кв.07 EBITDA ЛГОК 28.04.07" xfId="3160"/>
    <cellStyle name="_БЮДЖЕТ 2004 от 17.12.03 сырье 13.40_Дайджест 2003-2004 гг._ф1кв.07 EBITDA ЛГОК 28.04.07 2" xfId="3161"/>
    <cellStyle name="_БЮДЖЕТ 2004 от 17.12.03 сырье 13.40_Дайджест 2003-2004 гг._ф1кв.07 EBITDA ЛГОК 28.04.07 3" xfId="3162"/>
    <cellStyle name="_БЮДЖЕТ 2004 от 17.12.03 сырье 13.40_Дайджест 2003-2004 гг._ф1кв.07 EBITDA ЛГОК 28.04.07 4" xfId="3163"/>
    <cellStyle name="_БЮДЖЕТ 2004 от 17.12.03 сырье 13.40_Дайджест 2003-2004 гг._ф1кв.07 EBITDA ЛГОК 28.04.07 5" xfId="3164"/>
    <cellStyle name="_БЮДЖЕТ 2004 от 17.12.03 сырье 13.40_Дайджест 2003-2004 гг._ф1кв.07 EBITDA ЛГОК 28.04.07 6" xfId="3165"/>
    <cellStyle name="_БЮДЖЕТ 2004 от 17.12.03 сырье 13.40_Дайджест 2003-2004 гг._ф1кв.07 EBITDA ЛГОК 28.04.07 7" xfId="3166"/>
    <cellStyle name="_БЮДЖЕТ 2004 от 17.12.03 сырье 13.40_Дайджест 2003-2004 гг._ф1кв.07 EBITDA ЛГОК 28.04.07 8" xfId="3167"/>
    <cellStyle name="_БЮДЖЕТ 2004 от 17.12.03 сырье 13.40_Дайджест 2003-2004 гг._ф1кв.07 EBITDA ЛГОК 28.04.07 9" xfId="3168"/>
    <cellStyle name="_БЮДЖЕТ 2004 от 17.12.03 сырье 13.40_Дайджест 2003-2004 гг._ф1кв.07 EBITDA ЛГОК 28.04.07_Книга2" xfId="3169"/>
    <cellStyle name="_БЮДЖЕТ 2004 от 17.12.03 сырье 13.40_Дайджест 2003-2004 гг._Ф20 от налоговой" xfId="3170"/>
    <cellStyle name="_БЮДЖЕТ 2004 от 17.12.03 сырье 13.40_Дайджест 2003-2004 гг._фIIIкв Комплект ОЭМК (1-12,18,22) 28.10.08" xfId="3171"/>
    <cellStyle name="_БЮДЖЕТ 2004 от 17.12.03 сырье 13.40_Дайджест 2003-2004 гг._фIкв EBITDA ОАО УС 28.04.07" xfId="3172"/>
    <cellStyle name="_БЮДЖЕТ 2004 от 17.12.03 сырье 13.40_Дайджест 2003-2004 гг._фIкв EBITDA ОАО УС 28.04.07 2" xfId="3173"/>
    <cellStyle name="_БЮДЖЕТ 2004 от 17.12.03 сырье 13.40_Дайджест 2003-2004 гг._фIкв EBITDA ОАО УС 28.04.07 3" xfId="3174"/>
    <cellStyle name="_БЮДЖЕТ 2004 от 17.12.03 сырье 13.40_Дайджест 2003-2004 гг._фIкв EBITDA ОАО УС 28.04.07 4" xfId="3175"/>
    <cellStyle name="_БЮДЖЕТ 2004 от 17.12.03 сырье 13.40_Дайджест 2003-2004 гг._фIкв EBITDA ОАО УС 28.04.07 5" xfId="3176"/>
    <cellStyle name="_БЮДЖЕТ 2004 от 17.12.03 сырье 13.40_Дайджест 2003-2004 гг._фIкв EBITDA ОАО УС 28.04.07 6" xfId="3177"/>
    <cellStyle name="_БЮДЖЕТ 2004 от 17.12.03 сырье 13.40_Дайджест 2003-2004 гг._фIкв EBITDA ОАО УС 28.04.07 7" xfId="3178"/>
    <cellStyle name="_БЮДЖЕТ 2004 от 17.12.03 сырье 13.40_Дайджест 2003-2004 гг._фIкв EBITDA ОАО УС 28.04.07 8" xfId="3179"/>
    <cellStyle name="_БЮДЖЕТ 2004 от 17.12.03 сырье 13.40_Дайджест 2003-2004 гг._фIкв EBITDA ОАО УС 28.04.07 9" xfId="3180"/>
    <cellStyle name="_БЮДЖЕТ 2004 от 17.12.03 сырье 13.40_Дайджест 2003-2004 гг._фIкв EBITDA ОАО УС 28.04.07_Книга2" xfId="3181"/>
    <cellStyle name="_БЮДЖЕТ 2004 от 17.12.03 сырье 13.40_Дайджест 2003-2004 гг._фIкв EBITDA ОЭМК 28.04.07" xfId="3182"/>
    <cellStyle name="_БЮДЖЕТ 2004 от 17.12.03 сырье 13.40_Дайджест 2003-2004 гг._фIкв EBITDA ОЭМК 28.04.07 2" xfId="3183"/>
    <cellStyle name="_БЮДЖЕТ 2004 от 17.12.03 сырье 13.40_Дайджест 2003-2004 гг._фIкв EBITDA ОЭМК 28.04.07 3" xfId="3184"/>
    <cellStyle name="_БЮДЖЕТ 2004 от 17.12.03 сырье 13.40_Дайджест 2003-2004 гг._фIкв EBITDA ОЭМК 28.04.07 4" xfId="3185"/>
    <cellStyle name="_БЮДЖЕТ 2004 от 17.12.03 сырье 13.40_Дайджест 2003-2004 гг._фIкв EBITDA ОЭМК 28.04.07 5" xfId="3186"/>
    <cellStyle name="_БЮДЖЕТ 2004 от 17.12.03 сырье 13.40_Дайджест 2003-2004 гг._фIкв EBITDA ОЭМК 28.04.07 6" xfId="3187"/>
    <cellStyle name="_БЮДЖЕТ 2004 от 17.12.03 сырье 13.40_Дайджест 2003-2004 гг._фIкв EBITDA ОЭМК 28.04.07 7" xfId="3188"/>
    <cellStyle name="_БЮДЖЕТ 2004 от 17.12.03 сырье 13.40_Дайджест 2003-2004 гг._фIкв EBITDA ОЭМК 28.04.07 8" xfId="3189"/>
    <cellStyle name="_БЮДЖЕТ 2004 от 17.12.03 сырье 13.40_Дайджест 2003-2004 гг._фIкв EBITDA ОЭМК 28.04.07 9" xfId="3190"/>
    <cellStyle name="_БЮДЖЕТ 2004 от 17.12.03 сырье 13.40_Дайджест 2003-2004 гг._фIкв EBITDA ОЭМК 28.04.07_Книга2" xfId="3191"/>
    <cellStyle name="_БЮДЖЕТ 2004 от 17.12.03 сырье 13.40_Дайджест 2003-2004 гг._Факт_2007_Часть 2" xfId="3192"/>
    <cellStyle name="_БЮДЖЕТ 2004 от 17.12.03 сырье 13.40_Дайджест 2003-2004 гг._Факт_2007_Часть 2 2" xfId="3193"/>
    <cellStyle name="_БЮДЖЕТ 2004 от 17.12.03 сырье 13.40_Дайджест 2003-2004 гг._Факт_2007_Часть 2 3" xfId="3194"/>
    <cellStyle name="_БЮДЖЕТ 2004 от 17.12.03 сырье 13.40_Дайджест 2003-2004 гг._Факт_2007_Часть 2 4" xfId="3195"/>
    <cellStyle name="_БЮДЖЕТ 2004 от 17.12.03 сырье 13.40_Дайджест 2003-2004 гг._Факт_2007_Часть 2 5" xfId="3196"/>
    <cellStyle name="_БЮДЖЕТ 2004 от 17.12.03 сырье 13.40_Дайджест 2003-2004 гг._Факт_2007_Часть 2 6" xfId="3197"/>
    <cellStyle name="_БЮДЖЕТ 2004 от 17.12.03 сырье 13.40_Дайджест 2003-2004 гг._Факт_2007_Часть 2 7" xfId="3198"/>
    <cellStyle name="_БЮДЖЕТ 2004 от 17.12.03 сырье 13.40_Дайджест 2003-2004 гг._Факт_2007_Часть 2 8" xfId="3199"/>
    <cellStyle name="_БЮДЖЕТ 2004 от 17.12.03 сырье 13.40_Дайджест 2003-2004 гг._Факт_2007_Часть 2 9" xfId="3200"/>
    <cellStyle name="_БЮДЖЕТ 2004 от 17.12.03 сырье 13.40_Дайджест 2003-2004 гг._Фин.часть  2007ожид и 2008 план" xfId="3201"/>
    <cellStyle name="_БЮДЖЕТ 2004 от 17.12.03 сырье 13.40_Дайджест 2003-2004 гг._Фин.часть  2007ожид и 2008 план 2" xfId="3202"/>
    <cellStyle name="_БЮДЖЕТ 2004 от 17.12.03 сырье 13.40_Дайджест 2003-2004 гг._Фин.часть  2007ожид и 2008 план 3" xfId="3203"/>
    <cellStyle name="_БЮДЖЕТ 2004 от 17.12.03 сырье 13.40_Дайджест 2003-2004 гг._Фин.часть  2007ожид и 2008 план 4" xfId="3204"/>
    <cellStyle name="_БЮДЖЕТ 2004 от 17.12.03 сырье 13.40_Дайджест 2003-2004 гг._Фин.часть  2007ожид и 2008 план 5" xfId="3205"/>
    <cellStyle name="_БЮДЖЕТ 2004 от 17.12.03 сырье 13.40_Дайджест 2003-2004 гг._Фин.часть  2007ожид и 2008 план 6" xfId="3206"/>
    <cellStyle name="_БЮДЖЕТ 2004 от 17.12.03 сырье 13.40_Дайджест 2003-2004 гг._Фин.часть  2007ожид и 2008 план 7" xfId="3207"/>
    <cellStyle name="_БЮДЖЕТ 2004 от 17.12.03 сырье 13.40_Дайджест 2003-2004 гг._Фин.часть  2007ожид и 2008 план 8" xfId="3208"/>
    <cellStyle name="_БЮДЖЕТ 2004 от 17.12.03 сырье 13.40_Дайджест 2003-2004 гг._Фин.часть  2007ожид и 2008 план 9" xfId="3209"/>
    <cellStyle name="_БЮДЖЕТ 2004 от 17.12.03 сырье 13.40_Дайджест 2003-2004 гг._Фин.часть 11.12.06" xfId="3210"/>
    <cellStyle name="_БЮДЖЕТ 2004 от 17.12.03 сырье 13.40_Дайджест 2003-2004 гг._Фин.часть 11.12.06 2" xfId="3211"/>
    <cellStyle name="_БЮДЖЕТ 2004 от 17.12.03 сырье 13.40_Дайджест 2003-2004 гг._Фин.часть 11.12.06 3" xfId="3212"/>
    <cellStyle name="_БЮДЖЕТ 2004 от 17.12.03 сырье 13.40_Дайджест 2003-2004 гг._Фин.часть 11.12.06 4" xfId="3213"/>
    <cellStyle name="_БЮДЖЕТ 2004 от 17.12.03 сырье 13.40_Дайджест 2003-2004 гг._Фин.часть 11.12.06 5" xfId="3214"/>
    <cellStyle name="_БЮДЖЕТ 2004 от 17.12.03 сырье 13.40_Дайджест 2003-2004 гг._Фин.часть 11.12.06 6" xfId="3215"/>
    <cellStyle name="_БЮДЖЕТ 2004 от 17.12.03 сырье 13.40_Дайджест 2003-2004 гг._Фин.часть 11.12.06 7" xfId="3216"/>
    <cellStyle name="_БЮДЖЕТ 2004 от 17.12.03 сырье 13.40_Дайджест 2003-2004 гг._Фин.часть 11.12.06 8" xfId="3217"/>
    <cellStyle name="_БЮДЖЕТ 2004 от 17.12.03 сырье 13.40_Дайджест 2003-2004 гг._Фин.часть 11.12.06 9" xfId="3218"/>
    <cellStyle name="_БЮДЖЕТ 2004 от 17.12.03 сырье 13.40_Дайджест 2003-2004 гг._Форма  19     27.03.07" xfId="3219"/>
    <cellStyle name="_БЮДЖЕТ 2004 от 17.12.03 сырье 13.40_Дайджест 2003-2004 гг._Форма  19     27.03.07 2" xfId="3220"/>
    <cellStyle name="_БЮДЖЕТ 2004 от 17.12.03 сырье 13.40_Дайджест 2003-2004 гг._Форма  19     27.03.07 3" xfId="3221"/>
    <cellStyle name="_БЮДЖЕТ 2004 от 17.12.03 сырье 13.40_Дайджест 2003-2004 гг._Форма  19     27.03.07 4" xfId="3222"/>
    <cellStyle name="_БЮДЖЕТ 2004 от 17.12.03 сырье 13.40_Дайджест 2003-2004 гг._Форма  19     27.03.07 5" xfId="3223"/>
    <cellStyle name="_БЮДЖЕТ 2004 от 17.12.03 сырье 13.40_Дайджест 2003-2004 гг._Форма  19     27.03.07 6" xfId="3224"/>
    <cellStyle name="_БЮДЖЕТ 2004 от 17.12.03 сырье 13.40_Дайджест 2003-2004 гг._Форма  19     27.03.07 7" xfId="3225"/>
    <cellStyle name="_БЮДЖЕТ 2004 от 17.12.03 сырье 13.40_Дайджест 2003-2004 гг._Форма  19     27.03.07 8" xfId="3226"/>
    <cellStyle name="_БЮДЖЕТ 2004 от 17.12.03 сырье 13.40_Дайджест 2003-2004 гг._Форма  19     27.03.07 9" xfId="3227"/>
    <cellStyle name="_БЮДЖЕТ 2004 от 17.12.03 сырье 13.40_Дайджест 2003-2004 гг._Форма  20,21 25.02.07" xfId="3228"/>
    <cellStyle name="_БЮДЖЕТ 2004 от 17.12.03 сырье 13.40_Дайджест 2003-2004 гг._Форма  20,21 25.02.07 2" xfId="3229"/>
    <cellStyle name="_БЮДЖЕТ 2004 от 17.12.03 сырье 13.40_Дайджест 2003-2004 гг._Форма  20,21 25.02.07 3" xfId="3230"/>
    <cellStyle name="_БЮДЖЕТ 2004 от 17.12.03 сырье 13.40_Дайджест 2003-2004 гг._Форма  20,21 25.02.07 4" xfId="3231"/>
    <cellStyle name="_БЮДЖЕТ 2004 от 17.12.03 сырье 13.40_Дайджест 2003-2004 гг._Форма  20,21 25.02.07 5" xfId="3232"/>
    <cellStyle name="_БЮДЖЕТ 2004 от 17.12.03 сырье 13.40_Дайджест 2003-2004 гг._Форма  20,21 25.02.07 6" xfId="3233"/>
    <cellStyle name="_БЮДЖЕТ 2004 от 17.12.03 сырье 13.40_Дайджест 2003-2004 гг._Форма  20,21 25.02.07 7" xfId="3234"/>
    <cellStyle name="_БЮДЖЕТ 2004 от 17.12.03 сырье 13.40_Дайджест 2003-2004 гг._Форма  20,21 25.02.07 8" xfId="3235"/>
    <cellStyle name="_БЮДЖЕТ 2004 от 17.12.03 сырье 13.40_Дайджест 2003-2004 гг._Форма  20,21 25.02.07 9" xfId="3236"/>
    <cellStyle name="_БЮДЖЕТ 2004 от 17.12.03 сырье 13.40_Дайджест 2003-2004 гг._Форма  20,21 25.02.07_index" xfId="3237"/>
    <cellStyle name="_БЮДЖЕТ 2004 от 17.12.03 сырье 13.40_Дайджест 2003-2004 гг._Форма  20,21 25.02.07_Копия Потребность взаиморасч  от 28 02 2008 (2)" xfId="3238"/>
    <cellStyle name="_БЮДЖЕТ 2004 от 17.12.03 сырье 13.40_Дайджест 2003-2004 гг._Форма  20,21 25.02.07_Форма№13 (новая от 28 12 09г) февраль версия № и последняя" xfId="3239"/>
    <cellStyle name="_БЮДЖЕТ 2004 от 17.12.03 сырье 13.40_Дайджест 2003-2004 гг._Форма _ 2,4,5,30 скорр." xfId="3240"/>
    <cellStyle name="_БЮДЖЕТ 2004 от 17.12.03 сырье 13.40_Дайджест 2003-2004 гг._Форма _ 2,4,5,30 скорр._index" xfId="3241"/>
    <cellStyle name="_БЮДЖЕТ 2004 от 17.12.03 сырье 13.40_Дайджест 2003-2004 гг._Форма _ 2,4,5,30 скорр._Копия Потребность взаиморасч  от 28 02 2008 (2)" xfId="3242"/>
    <cellStyle name="_БЮДЖЕТ 2004 от 17.12.03 сырье 13.40_Дайджест 2003-2004 гг._Форма 19 за 1 кв" xfId="3243"/>
    <cellStyle name="_БЮДЖЕТ 2004 от 17.12.03 сырье 13.40_Дайджест 2003-2004 гг._Форма 19 за 1 кв 2" xfId="3244"/>
    <cellStyle name="_БЮДЖЕТ 2004 от 17.12.03 сырье 13.40_Дайджест 2003-2004 гг._Форма 19 за 1 кв 3" xfId="3245"/>
    <cellStyle name="_БЮДЖЕТ 2004 от 17.12.03 сырье 13.40_Дайджест 2003-2004 гг._Форма 19 за 1 кв 4" xfId="3246"/>
    <cellStyle name="_БЮДЖЕТ 2004 от 17.12.03 сырье 13.40_Дайджест 2003-2004 гг._Форма 19 за 1 кв 5" xfId="3247"/>
    <cellStyle name="_БЮДЖЕТ 2004 от 17.12.03 сырье 13.40_Дайджест 2003-2004 гг._Форма 19 за 1 кв 6" xfId="3248"/>
    <cellStyle name="_БЮДЖЕТ 2004 от 17.12.03 сырье 13.40_Дайджест 2003-2004 гг._Форма 19 за 1 кв 7" xfId="3249"/>
    <cellStyle name="_БЮДЖЕТ 2004 от 17.12.03 сырье 13.40_Дайджест 2003-2004 гг._Форма 19 за 1 кв 8" xfId="3250"/>
    <cellStyle name="_БЮДЖЕТ 2004 от 17.12.03 сырье 13.40_Дайджест 2003-2004 гг._Форма 19 за 1 кв 9" xfId="3251"/>
    <cellStyle name="_БЮДЖЕТ 2004 от 17.12.03 сырье 13.40_Дайджест 2003-2004 гг._Форма 20,21за 1 кв 25.04.07" xfId="3252"/>
    <cellStyle name="_БЮДЖЕТ 2004 от 17.12.03 сырье 13.40_Дайджест 2003-2004 гг._Форма 20,21за 1 кв 25.04.07 2" xfId="3253"/>
    <cellStyle name="_БЮДЖЕТ 2004 от 17.12.03 сырье 13.40_Дайджест 2003-2004 гг._Форма 20,21за 1 кв 25.04.07 3" xfId="3254"/>
    <cellStyle name="_БЮДЖЕТ 2004 от 17.12.03 сырье 13.40_Дайджест 2003-2004 гг._Форма 20,21за 1 кв 25.04.07 4" xfId="3255"/>
    <cellStyle name="_БЮДЖЕТ 2004 от 17.12.03 сырье 13.40_Дайджест 2003-2004 гг._Форма 20,21за 1 кв 25.04.07 5" xfId="3256"/>
    <cellStyle name="_БЮДЖЕТ 2004 от 17.12.03 сырье 13.40_Дайджест 2003-2004 гг._Форма 20,21за 1 кв 25.04.07 6" xfId="3257"/>
    <cellStyle name="_БЮДЖЕТ 2004 от 17.12.03 сырье 13.40_Дайджест 2003-2004 гг._Форма 20,21за 1 кв 25.04.07 7" xfId="3258"/>
    <cellStyle name="_БЮДЖЕТ 2004 от 17.12.03 сырье 13.40_Дайджест 2003-2004 гг._Форма 20,21за 1 кв 25.04.07 8" xfId="3259"/>
    <cellStyle name="_БЮДЖЕТ 2004 от 17.12.03 сырье 13.40_Дайджест 2003-2004 гг._Форма 20,21за 1 кв 25.04.07 9" xfId="3260"/>
    <cellStyle name="_БЮДЖЕТ 2004 от 17.12.03 сырье 13.40_Дайджест 2003-2004 гг._Форма 28" xfId="3261"/>
    <cellStyle name="_БЮДЖЕТ 2004 от 17.12.03 сырье 13.40_Дайджест 2003-2004 гг._Форма 28 2" xfId="3262"/>
    <cellStyle name="_БЮДЖЕТ 2004 от 17.12.03 сырье 13.40_Дайджест 2003-2004 гг._Форма 28 3" xfId="3263"/>
    <cellStyle name="_БЮДЖЕТ 2004 от 17.12.03 сырье 13.40_Дайджест 2003-2004 гг._Форма 28 4" xfId="3264"/>
    <cellStyle name="_БЮДЖЕТ 2004 от 17.12.03 сырье 13.40_Дайджест 2003-2004 гг._Форма 28 5" xfId="3265"/>
    <cellStyle name="_БЮДЖЕТ 2004 от 17.12.03 сырье 13.40_Дайджест 2003-2004 гг._Форма 28 6" xfId="3266"/>
    <cellStyle name="_БЮДЖЕТ 2004 от 17.12.03 сырье 13.40_Дайджест 2003-2004 гг._Форма 28 7" xfId="3267"/>
    <cellStyle name="_БЮДЖЕТ 2004 от 17.12.03 сырье 13.40_Дайджест 2003-2004 гг._Форма 28 8" xfId="3268"/>
    <cellStyle name="_БЮДЖЕТ 2004 от 17.12.03 сырье 13.40_Дайджест 2003-2004 гг._Форма 28 9" xfId="3269"/>
    <cellStyle name="_БЮДЖЕТ 2004 от 17.12.03 сырье 13.40_Дайджест 2003-2004 гг._Форма 28_13,14,28-30" xfId="3270"/>
    <cellStyle name="_БЮДЖЕТ 2004 от 17.12.03 сырье 13.40_Дайджест 2003-2004 гг._Форма 28_26-30" xfId="3271"/>
    <cellStyle name="_БЮДЖЕТ 2004 от 17.12.03 сырье 13.40_Дайджест 2003-2004 гг._Форма 28_28" xfId="3272"/>
    <cellStyle name="_БЮДЖЕТ 2004 от 17.12.03 сырье 13.40_Дайджест 2003-2004 гг._Форма 28_3 квартал" xfId="3273"/>
    <cellStyle name="_БЮДЖЕТ 2004 от 17.12.03 сырье 13.40_Дайджест 2003-2004 гг._Форма 28_3 квартал 2" xfId="3274"/>
    <cellStyle name="_БЮДЖЕТ 2004 от 17.12.03 сырье 13.40_Дайджест 2003-2004 гг._Форма 28_Книга2" xfId="3275"/>
    <cellStyle name="_БЮДЖЕТ 2004 от 17.12.03 сырье 13.40_Дайджест 2003-2004 гг._Форма 28_Копия Динамика цен (УС ) 2006-2009 сверен 30.01.09" xfId="3276"/>
    <cellStyle name="_БЮДЖЕТ 2004 от 17.12.03 сырье 13.40_Дайджест 2003-2004 гг._Форма 28_Обжиговая" xfId="3277"/>
    <cellStyle name="_БЮДЖЕТ 2004 от 17.12.03 сырье 13.40_Дайджест 2003-2004 гг._Форма 28_Отчет за сентябрь_11_ДСМ" xfId="3278"/>
    <cellStyle name="_БЮДЖЕТ 2004 от 17.12.03 сырье 13.40_Дайджест 2003-2004 гг._Форма 28_Стан 150" xfId="3279"/>
    <cellStyle name="_БЮДЖЕТ 2004 от 17.12.03 сырье 13.40_Дайджест 2003-2004 гг._Форма 28_фIIIкв Комплект ОЭМК (1-12,18,22) 28.10.08" xfId="3280"/>
    <cellStyle name="_БЮДЖЕТ 2004 от 17.12.03 сырье 13.40_Дайджест 2003-2004 гг._Форма 28_Форма №19" xfId="3281"/>
    <cellStyle name="_БЮДЖЕТ 2004 от 17.12.03 сырье 13.40_Дайджест 2003-2004 гг._Форма 28_Форма №24" xfId="3282"/>
    <cellStyle name="_БЮДЖЕТ 2004 от 17.12.03 сырье 13.40_Дайджест 2003-2004 гг._Форма 28_Формы _28-30 (новые)1" xfId="3283"/>
    <cellStyle name="_БЮДЖЕТ 2004 от 17.12.03 сырье 13.40_Дайджест 2003-2004 гг._Форма 28_Формы 28-30" xfId="3284"/>
    <cellStyle name="_БЮДЖЕТ 2004 от 17.12.03 сырье 13.40_Дайджест 2003-2004 гг._Форма 28_Формы №28-30 (новые)1" xfId="3285"/>
    <cellStyle name="_БЮДЖЕТ 2004 от 17.12.03 сырье 13.40_Дайджест 2003-2004 гг._Форма 28_Шаропрокатный" xfId="3286"/>
    <cellStyle name="_БЮДЖЕТ 2004 от 17.12.03 сырье 13.40_Дайджест 2003-2004 гг._Форма 28_ЭНЦ-1" xfId="3287"/>
    <cellStyle name="_БЮДЖЕТ 2004 от 17.12.03 сырье 13.40_Дайджест 2003-2004 гг._Форма 9" xfId="3288"/>
    <cellStyle name="_БЮДЖЕТ 2004 от 17.12.03 сырье 13.40_Дайджест 2003-2004 гг._Форма 9 2" xfId="3289"/>
    <cellStyle name="_БЮДЖЕТ 2004 от 17.12.03 сырье 13.40_Дайджест 2003-2004 гг._Форма 9 3" xfId="3290"/>
    <cellStyle name="_БЮДЖЕТ 2004 от 17.12.03 сырье 13.40_Дайджест 2003-2004 гг._Форма 9 4" xfId="3291"/>
    <cellStyle name="_БЮДЖЕТ 2004 от 17.12.03 сырье 13.40_Дайджест 2003-2004 гг._Форма 9 5" xfId="3292"/>
    <cellStyle name="_БЮДЖЕТ 2004 от 17.12.03 сырье 13.40_Дайджест 2003-2004 гг._Форма 9 6" xfId="3293"/>
    <cellStyle name="_БЮДЖЕТ 2004 от 17.12.03 сырье 13.40_Дайджест 2003-2004 гг._Форма 9 7" xfId="3294"/>
    <cellStyle name="_БЮДЖЕТ 2004 от 17.12.03 сырье 13.40_Дайджест 2003-2004 гг._Форма 9 8" xfId="3295"/>
    <cellStyle name="_БЮДЖЕТ 2004 от 17.12.03 сырье 13.40_Дайджест 2003-2004 гг._Форма 9 9" xfId="3296"/>
    <cellStyle name="_БЮДЖЕТ 2004 от 17.12.03 сырье 13.40_Дайджест 2003-2004 гг._Форма № 13, 14" xfId="3297"/>
    <cellStyle name="_БЮДЖЕТ 2004 от 17.12.03 сырье 13.40_Дайджест 2003-2004 гг._Форма № 13, 14 2" xfId="3298"/>
    <cellStyle name="_БЮДЖЕТ 2004 от 17.12.03 сырье 13.40_Дайджест 2003-2004 гг._Форма № 13, 14 3" xfId="3299"/>
    <cellStyle name="_БЮДЖЕТ 2004 от 17.12.03 сырье 13.40_Дайджест 2003-2004 гг._Форма № 13, 14 4" xfId="3300"/>
    <cellStyle name="_БЮДЖЕТ 2004 от 17.12.03 сырье 13.40_Дайджест 2003-2004 гг._Форма № 13, 14 5" xfId="3301"/>
    <cellStyle name="_БЮДЖЕТ 2004 от 17.12.03 сырье 13.40_Дайджест 2003-2004 гг._Форма № 13, 14 6" xfId="3302"/>
    <cellStyle name="_БЮДЖЕТ 2004 от 17.12.03 сырье 13.40_Дайджест 2003-2004 гг._Форма № 13, 14 7" xfId="3303"/>
    <cellStyle name="_БЮДЖЕТ 2004 от 17.12.03 сырье 13.40_Дайджест 2003-2004 гг._Форма № 13, 14 8" xfId="3304"/>
    <cellStyle name="_БЮДЖЕТ 2004 от 17.12.03 сырье 13.40_Дайджест 2003-2004 гг._Форма № 13, 14 9" xfId="3305"/>
    <cellStyle name="_БЮДЖЕТ 2004 от 17.12.03 сырье 13.40_Дайджест 2003-2004 гг._Форма № 19 25.02.07" xfId="3306"/>
    <cellStyle name="_БЮДЖЕТ 2004 от 17.12.03 сырье 13.40_Дайджест 2003-2004 гг._Форма № 19 25.02.07 2" xfId="3307"/>
    <cellStyle name="_БЮДЖЕТ 2004 от 17.12.03 сырье 13.40_Дайджест 2003-2004 гг._Форма № 19 25.02.07 3" xfId="3308"/>
    <cellStyle name="_БЮДЖЕТ 2004 от 17.12.03 сырье 13.40_Дайджест 2003-2004 гг._Форма № 19 25.02.07 4" xfId="3309"/>
    <cellStyle name="_БЮДЖЕТ 2004 от 17.12.03 сырье 13.40_Дайджест 2003-2004 гг._Форма № 19 25.02.07 5" xfId="3310"/>
    <cellStyle name="_БЮДЖЕТ 2004 от 17.12.03 сырье 13.40_Дайджест 2003-2004 гг._Форма № 19 25.02.07 6" xfId="3311"/>
    <cellStyle name="_БЮДЖЕТ 2004 от 17.12.03 сырье 13.40_Дайджест 2003-2004 гг._Форма № 19 25.02.07 7" xfId="3312"/>
    <cellStyle name="_БЮДЖЕТ 2004 от 17.12.03 сырье 13.40_Дайджест 2003-2004 гг._Форма № 19 25.02.07 8" xfId="3313"/>
    <cellStyle name="_БЮДЖЕТ 2004 от 17.12.03 сырье 13.40_Дайджест 2003-2004 гг._Форма № 19 25.02.07 9" xfId="3314"/>
    <cellStyle name="_БЮДЖЕТ 2004 от 17.12.03 сырье 13.40_Дайджест 2003-2004 гг._Форма № 19 25.02.07_index" xfId="3315"/>
    <cellStyle name="_БЮДЖЕТ 2004 от 17.12.03 сырье 13.40_Дайджест 2003-2004 гг._Форма № 19 25.02.07_Копия Потребность взаиморасч  от 28 02 2008 (2)" xfId="3316"/>
    <cellStyle name="_БЮДЖЕТ 2004 от 17.12.03 сырье 13.40_Дайджест 2003-2004 гг._Форма № 19 25.02.07_Форма№13 (новая от 28 12 09г) февраль версия № и последняя" xfId="3317"/>
    <cellStyle name="_БЮДЖЕТ 2004 от 17.12.03 сырье 13.40_Дайджест 2003-2004 гг._Форма № 28, 29, 30 план год 2008 от 05.12.07 для отправки" xfId="3318"/>
    <cellStyle name="_БЮДЖЕТ 2004 от 17.12.03 сырье 13.40_Дайджест 2003-2004 гг._Форма № 28, 29, 30 план год 2008 от 05.12.07 для отправки 2" xfId="3319"/>
    <cellStyle name="_БЮДЖЕТ 2004 от 17.12.03 сырье 13.40_Дайджест 2003-2004 гг._Форма № 28, 29, 30 план год 2008 от 05.12.07 для отправки 3" xfId="3320"/>
    <cellStyle name="_БЮДЖЕТ 2004 от 17.12.03 сырье 13.40_Дайджест 2003-2004 гг._Форма № 28, 29, 30 план год 2008 от 05.12.07 для отправки 4" xfId="3321"/>
    <cellStyle name="_БЮДЖЕТ 2004 от 17.12.03 сырье 13.40_Дайджест 2003-2004 гг._Форма № 28, 29, 30 план год 2008 от 05.12.07 для отправки 5" xfId="3322"/>
    <cellStyle name="_БЮДЖЕТ 2004 от 17.12.03 сырье 13.40_Дайджест 2003-2004 гг._Форма № 28, 29, 30 план год 2008 от 05.12.07 для отправки 6" xfId="3323"/>
    <cellStyle name="_БЮДЖЕТ 2004 от 17.12.03 сырье 13.40_Дайджест 2003-2004 гг._Форма № 28, 29, 30 план год 2008 от 05.12.07 для отправки 7" xfId="3324"/>
    <cellStyle name="_БЮДЖЕТ 2004 от 17.12.03 сырье 13.40_Дайджест 2003-2004 гг._Форма № 28, 29, 30 план год 2008 от 05.12.07 для отправки 8" xfId="3325"/>
    <cellStyle name="_БЮДЖЕТ 2004 от 17.12.03 сырье 13.40_Дайджест 2003-2004 гг._Форма № 28, 29, 30 план год 2008 от 05.12.07 для отправки 9" xfId="3326"/>
    <cellStyle name="_БЮДЖЕТ 2004 от 17.12.03 сырье 13.40_Дайджест 2003-2004 гг._Форма № 29" xfId="3327"/>
    <cellStyle name="_БЮДЖЕТ 2004 от 17.12.03 сырье 13.40_Дайджест 2003-2004 гг._Форма № 29 2" xfId="3328"/>
    <cellStyle name="_БЮДЖЕТ 2004 от 17.12.03 сырье 13.40_Дайджест 2003-2004 гг._Форма № 29 3" xfId="3329"/>
    <cellStyle name="_БЮДЖЕТ 2004 от 17.12.03 сырье 13.40_Дайджест 2003-2004 гг._Форма № 29 4" xfId="3330"/>
    <cellStyle name="_БЮДЖЕТ 2004 от 17.12.03 сырье 13.40_Дайджест 2003-2004 гг._Форма № 29 5" xfId="3331"/>
    <cellStyle name="_БЮДЖЕТ 2004 от 17.12.03 сырье 13.40_Дайджест 2003-2004 гг._Форма № 29 6" xfId="3332"/>
    <cellStyle name="_БЮДЖЕТ 2004 от 17.12.03 сырье 13.40_Дайджест 2003-2004 гг._Форма № 29 7" xfId="3333"/>
    <cellStyle name="_БЮДЖЕТ 2004 от 17.12.03 сырье 13.40_Дайджест 2003-2004 гг._Форма № 29 8" xfId="3334"/>
    <cellStyle name="_БЮДЖЕТ 2004 от 17.12.03 сырье 13.40_Дайджест 2003-2004 гг._Форма № 29 9" xfId="3335"/>
    <cellStyle name="_БЮДЖЕТ 2004 от 17.12.03 сырье 13.40_Дайджест 2003-2004 гг._Форма № 30  26.02.07" xfId="3336"/>
    <cellStyle name="_БЮДЖЕТ 2004 от 17.12.03 сырье 13.40_Дайджест 2003-2004 гг._Форма №13" xfId="3337"/>
    <cellStyle name="_БЮДЖЕТ 2004 от 17.12.03 сырье 13.40_Дайджест 2003-2004 гг._Форма №13 2" xfId="3338"/>
    <cellStyle name="_БЮДЖЕТ 2004 от 17.12.03 сырье 13.40_Дайджест 2003-2004 гг._Форма №13 3" xfId="3339"/>
    <cellStyle name="_БЮДЖЕТ 2004 от 17.12.03 сырье 13.40_Дайджест 2003-2004 гг._Форма №13 4" xfId="3340"/>
    <cellStyle name="_БЮДЖЕТ 2004 от 17.12.03 сырье 13.40_Дайджест 2003-2004 гг._Форма №13 5" xfId="3341"/>
    <cellStyle name="_БЮДЖЕТ 2004 от 17.12.03 сырье 13.40_Дайджест 2003-2004 гг._Форма №13 6" xfId="3342"/>
    <cellStyle name="_БЮДЖЕТ 2004 от 17.12.03 сырье 13.40_Дайджест 2003-2004 гг._Форма №13 7" xfId="3343"/>
    <cellStyle name="_БЮДЖЕТ 2004 от 17.12.03 сырье 13.40_Дайджест 2003-2004 гг._Форма №13 8" xfId="3344"/>
    <cellStyle name="_БЮДЖЕТ 2004 от 17.12.03 сырье 13.40_Дайджест 2003-2004 гг._Форма №13 9" xfId="3345"/>
    <cellStyle name="_БЮДЖЕТ 2004 от 17.12.03 сырье 13.40_Дайджест 2003-2004 гг._Форма №13, 14 от 25.04.07" xfId="3346"/>
    <cellStyle name="_БЮДЖЕТ 2004 от 17.12.03 сырье 13.40_Дайджест 2003-2004 гг._Форма №13, 14 от 25.04.07 2" xfId="3347"/>
    <cellStyle name="_БЮДЖЕТ 2004 от 17.12.03 сырье 13.40_Дайджест 2003-2004 гг._Форма №13, 14 от 25.04.07 3" xfId="3348"/>
    <cellStyle name="_БЮДЖЕТ 2004 от 17.12.03 сырье 13.40_Дайджест 2003-2004 гг._Форма №13, 14 от 25.04.07 4" xfId="3349"/>
    <cellStyle name="_БЮДЖЕТ 2004 от 17.12.03 сырье 13.40_Дайджест 2003-2004 гг._Форма №13, 14 от 25.04.07 5" xfId="3350"/>
    <cellStyle name="_БЮДЖЕТ 2004 от 17.12.03 сырье 13.40_Дайджест 2003-2004 гг._Форма №13, 14 от 25.04.07 6" xfId="3351"/>
    <cellStyle name="_БЮДЖЕТ 2004 от 17.12.03 сырье 13.40_Дайджест 2003-2004 гг._Форма №13, 14 от 25.04.07 7" xfId="3352"/>
    <cellStyle name="_БЮДЖЕТ 2004 от 17.12.03 сырье 13.40_Дайджест 2003-2004 гг._Форма №13, 14 от 25.04.07 8" xfId="3353"/>
    <cellStyle name="_БЮДЖЕТ 2004 от 17.12.03 сырье 13.40_Дайджест 2003-2004 гг._Форма №13, 14 от 25.04.07 9" xfId="3354"/>
    <cellStyle name="_БЮДЖЕТ 2004 от 17.12.03 сырье 13.40_Дайджест 2003-2004 гг._Форма №14" xfId="3355"/>
    <cellStyle name="_БЮДЖЕТ 2004 от 17.12.03 сырье 13.40_Дайджест 2003-2004 гг._Форма №14 2" xfId="3356"/>
    <cellStyle name="_БЮДЖЕТ 2004 от 17.12.03 сырье 13.40_Дайджест 2003-2004 гг._Форма №14 3" xfId="3357"/>
    <cellStyle name="_БЮДЖЕТ 2004 от 17.12.03 сырье 13.40_Дайджест 2003-2004 гг._Форма №14 4" xfId="3358"/>
    <cellStyle name="_БЮДЖЕТ 2004 от 17.12.03 сырье 13.40_Дайджест 2003-2004 гг._Форма №14 5" xfId="3359"/>
    <cellStyle name="_БЮДЖЕТ 2004 от 17.12.03 сырье 13.40_Дайджест 2003-2004 гг._Форма №14 6" xfId="3360"/>
    <cellStyle name="_БЮДЖЕТ 2004 от 17.12.03 сырье 13.40_Дайджест 2003-2004 гг._Форма №14 7" xfId="3361"/>
    <cellStyle name="_БЮДЖЕТ 2004 от 17.12.03 сырье 13.40_Дайджест 2003-2004 гг._Форма №14 8" xfId="3362"/>
    <cellStyle name="_БЮДЖЕТ 2004 от 17.12.03 сырье 13.40_Дайджест 2003-2004 гг._Форма №14 9" xfId="3363"/>
    <cellStyle name="_БЮДЖЕТ 2004 от 17.12.03 сырье 13.40_Дайджест 2003-2004 гг._Форма №19" xfId="3364"/>
    <cellStyle name="_БЮДЖЕТ 2004 от 17.12.03 сырье 13.40_Дайджест 2003-2004 гг._Форма №19 июль факт" xfId="3365"/>
    <cellStyle name="_БЮДЖЕТ 2004 от 17.12.03 сырье 13.40_Дайджест 2003-2004 гг._Форма №24" xfId="3366"/>
    <cellStyle name="_БЮДЖЕТ 2004 от 17.12.03 сырье 13.40_Дайджест 2003-2004 гг._форма №24 от 07.12.2006г" xfId="3367"/>
    <cellStyle name="_БЮДЖЕТ 2004 от 17.12.03 сырье 13.40_Дайджест 2003-2004 гг._форма №24 от 07.12.2006г 2" xfId="3368"/>
    <cellStyle name="_БЮДЖЕТ 2004 от 17.12.03 сырье 13.40_Дайджест 2003-2004 гг._форма №24 от 07.12.2006г 3" xfId="3369"/>
    <cellStyle name="_БЮДЖЕТ 2004 от 17.12.03 сырье 13.40_Дайджест 2003-2004 гг._форма №24 от 07.12.2006г 4" xfId="3370"/>
    <cellStyle name="_БЮДЖЕТ 2004 от 17.12.03 сырье 13.40_Дайджест 2003-2004 гг._форма №24 от 07.12.2006г 5" xfId="3371"/>
    <cellStyle name="_БЮДЖЕТ 2004 от 17.12.03 сырье 13.40_Дайджест 2003-2004 гг._форма №24 от 07.12.2006г 6" xfId="3372"/>
    <cellStyle name="_БЮДЖЕТ 2004 от 17.12.03 сырье 13.40_Дайджест 2003-2004 гг._форма №24 от 07.12.2006г 7" xfId="3373"/>
    <cellStyle name="_БЮДЖЕТ 2004 от 17.12.03 сырье 13.40_Дайджест 2003-2004 гг._форма №24 от 07.12.2006г 8" xfId="3374"/>
    <cellStyle name="_БЮДЖЕТ 2004 от 17.12.03 сырье 13.40_Дайджест 2003-2004 гг._форма №24 от 07.12.2006г 9" xfId="3375"/>
    <cellStyle name="_БЮДЖЕТ 2004 от 17.12.03 сырье 13.40_Дайджест 2003-2004 гг._форма №24 от 11.12.2006г" xfId="3376"/>
    <cellStyle name="_БЮДЖЕТ 2004 от 17.12.03 сырье 13.40_Дайджест 2003-2004 гг._форма №24 от 11.12.2006г 2" xfId="3377"/>
    <cellStyle name="_БЮДЖЕТ 2004 от 17.12.03 сырье 13.40_Дайджест 2003-2004 гг._форма №24 от 11.12.2006г 3" xfId="3378"/>
    <cellStyle name="_БЮДЖЕТ 2004 от 17.12.03 сырье 13.40_Дайджест 2003-2004 гг._форма №24 от 11.12.2006г 4" xfId="3379"/>
    <cellStyle name="_БЮДЖЕТ 2004 от 17.12.03 сырье 13.40_Дайджест 2003-2004 гг._форма №24 от 11.12.2006г 5" xfId="3380"/>
    <cellStyle name="_БЮДЖЕТ 2004 от 17.12.03 сырье 13.40_Дайджест 2003-2004 гг._форма №24 от 11.12.2006г 6" xfId="3381"/>
    <cellStyle name="_БЮДЖЕТ 2004 от 17.12.03 сырье 13.40_Дайджест 2003-2004 гг._форма №24 от 11.12.2006г 7" xfId="3382"/>
    <cellStyle name="_БЮДЖЕТ 2004 от 17.12.03 сырье 13.40_Дайджест 2003-2004 гг._форма №24 от 11.12.2006г 8" xfId="3383"/>
    <cellStyle name="_БЮДЖЕТ 2004 от 17.12.03 сырье 13.40_Дайджест 2003-2004 гг._форма №24 от 11.12.2006г 9" xfId="3384"/>
    <cellStyle name="_БЮДЖЕТ 2004 от 17.12.03 сырье 13.40_Дайджест 2003-2004 гг._форма №24 от 15.12.2006г" xfId="3385"/>
    <cellStyle name="_БЮДЖЕТ 2004 от 17.12.03 сырье 13.40_Дайджест 2003-2004 гг._форма №24 от 15.12.2006г 2" xfId="3386"/>
    <cellStyle name="_БЮДЖЕТ 2004 от 17.12.03 сырье 13.40_Дайджест 2003-2004 гг._форма №24 от 15.12.2006г 3" xfId="3387"/>
    <cellStyle name="_БЮДЖЕТ 2004 от 17.12.03 сырье 13.40_Дайджест 2003-2004 гг._форма №24 от 15.12.2006г 4" xfId="3388"/>
    <cellStyle name="_БЮДЖЕТ 2004 от 17.12.03 сырье 13.40_Дайджест 2003-2004 гг._форма №24 от 15.12.2006г 5" xfId="3389"/>
    <cellStyle name="_БЮДЖЕТ 2004 от 17.12.03 сырье 13.40_Дайджест 2003-2004 гг._форма №24 от 15.12.2006г 6" xfId="3390"/>
    <cellStyle name="_БЮДЖЕТ 2004 от 17.12.03 сырье 13.40_Дайджест 2003-2004 гг._форма №24 от 15.12.2006г 7" xfId="3391"/>
    <cellStyle name="_БЮДЖЕТ 2004 от 17.12.03 сырье 13.40_Дайджест 2003-2004 гг._форма №24 от 15.12.2006г 8" xfId="3392"/>
    <cellStyle name="_БЮДЖЕТ 2004 от 17.12.03 сырье 13.40_Дайджест 2003-2004 гг._форма №24 от 15.12.2006г 9" xfId="3393"/>
    <cellStyle name="_БЮДЖЕТ 2004 от 17.12.03 сырье 13.40_Дайджест 2003-2004 гг._форма №24,25 2 кв. от 02.04.07" xfId="3394"/>
    <cellStyle name="_БЮДЖЕТ 2004 от 17.12.03 сырье 13.40_Дайджест 2003-2004 гг._Форма №24,25 за 1 кв 2007" xfId="3395"/>
    <cellStyle name="_БЮДЖЕТ 2004 от 17.12.03 сырье 13.40_Дайджест 2003-2004 гг._Форма №24,25 за 1 кв 2007 2" xfId="3396"/>
    <cellStyle name="_БЮДЖЕТ 2004 от 17.12.03 сырье 13.40_Дайджест 2003-2004 гг._Форма №24,25 за 1 кв 2007 3" xfId="3397"/>
    <cellStyle name="_БЮДЖЕТ 2004 от 17.12.03 сырье 13.40_Дайджест 2003-2004 гг._Форма №24,25 за 1 кв 2007 4" xfId="3398"/>
    <cellStyle name="_БЮДЖЕТ 2004 от 17.12.03 сырье 13.40_Дайджест 2003-2004 гг._Форма №24,25 за 1 кв 2007 5" xfId="3399"/>
    <cellStyle name="_БЮДЖЕТ 2004 от 17.12.03 сырье 13.40_Дайджест 2003-2004 гг._Форма №24,25 за 1 кв 2007 6" xfId="3400"/>
    <cellStyle name="_БЮДЖЕТ 2004 от 17.12.03 сырье 13.40_Дайджест 2003-2004 гг._Форма №24,25 за 1 кв 2007 7" xfId="3401"/>
    <cellStyle name="_БЮДЖЕТ 2004 от 17.12.03 сырье 13.40_Дайджест 2003-2004 гг._Форма №24,25 за 1 кв 2007 8" xfId="3402"/>
    <cellStyle name="_БЮДЖЕТ 2004 от 17.12.03 сырье 13.40_Дайджест 2003-2004 гг._Форма №24,25 за 1 кв 2007 9" xfId="3403"/>
    <cellStyle name="_БЮДЖЕТ 2004 от 17.12.03 сырье 13.40_Дайджест 2003-2004 гг._Форма №24,25 за янв 2007" xfId="3404"/>
    <cellStyle name="_БЮДЖЕТ 2004 от 17.12.03 сырье 13.40_Дайджест 2003-2004 гг._Форма №24,25 за янв 2007 2" xfId="3405"/>
    <cellStyle name="_БЮДЖЕТ 2004 от 17.12.03 сырье 13.40_Дайджест 2003-2004 гг._Форма №24,25 за янв 2007 3" xfId="3406"/>
    <cellStyle name="_БЮДЖЕТ 2004 от 17.12.03 сырье 13.40_Дайджест 2003-2004 гг._Форма №24,25 за янв 2007 4" xfId="3407"/>
    <cellStyle name="_БЮДЖЕТ 2004 от 17.12.03 сырье 13.40_Дайджест 2003-2004 гг._Форма №24,25 за янв 2007 5" xfId="3408"/>
    <cellStyle name="_БЮДЖЕТ 2004 от 17.12.03 сырье 13.40_Дайджест 2003-2004 гг._Форма №24,25 за янв 2007 6" xfId="3409"/>
    <cellStyle name="_БЮДЖЕТ 2004 от 17.12.03 сырье 13.40_Дайджест 2003-2004 гг._Форма №24,25 за янв 2007 7" xfId="3410"/>
    <cellStyle name="_БЮДЖЕТ 2004 от 17.12.03 сырье 13.40_Дайджест 2003-2004 гг._Форма №24,25 за янв 2007 8" xfId="3411"/>
    <cellStyle name="_БЮДЖЕТ 2004 от 17.12.03 сырье 13.40_Дайджест 2003-2004 гг._Форма №24,25 за янв 2007 9" xfId="3412"/>
    <cellStyle name="_БЮДЖЕТ 2004 от 17.12.03 сырье 13.40_Дайджест 2003-2004 гг._Форма №24,25 за янв 2007_index" xfId="3413"/>
    <cellStyle name="_БЮДЖЕТ 2004 от 17.12.03 сырье 13.40_Дайджест 2003-2004 гг._Форма №24,25 за янв 2007_Копия Потребность взаиморасч  от 28 02 2008 (2)" xfId="3414"/>
    <cellStyle name="_БЮДЖЕТ 2004 от 17.12.03 сырье 13.40_Дайджест 2003-2004 гг._Форма №24,25 за янв 2007_Форма№13 (новая от 28 12 09г) февраль версия № и последняя" xfId="3415"/>
    <cellStyle name="_БЮДЖЕТ 2004 от 17.12.03 сырье 13.40_Дайджест 2003-2004 гг._Форма №26 1 кв" xfId="3416"/>
    <cellStyle name="_БЮДЖЕТ 2004 от 17.12.03 сырье 13.40_Дайджест 2003-2004 гг._Форма №26 1 кв 2" xfId="3417"/>
    <cellStyle name="_БЮДЖЕТ 2004 от 17.12.03 сырье 13.40_Дайджест 2003-2004 гг._Форма №26 1 кв 3" xfId="3418"/>
    <cellStyle name="_БЮДЖЕТ 2004 от 17.12.03 сырье 13.40_Дайджест 2003-2004 гг._Форма №26 1 кв 4" xfId="3419"/>
    <cellStyle name="_БЮДЖЕТ 2004 от 17.12.03 сырье 13.40_Дайджест 2003-2004 гг._Форма №26 1 кв 5" xfId="3420"/>
    <cellStyle name="_БЮДЖЕТ 2004 от 17.12.03 сырье 13.40_Дайджест 2003-2004 гг._Форма №26 1 кв 6" xfId="3421"/>
    <cellStyle name="_БЮДЖЕТ 2004 от 17.12.03 сырье 13.40_Дайджест 2003-2004 гг._Форма №26 1 кв 7" xfId="3422"/>
    <cellStyle name="_БЮДЖЕТ 2004 от 17.12.03 сырье 13.40_Дайджест 2003-2004 гг._Форма №26 1 кв 8" xfId="3423"/>
    <cellStyle name="_БЮДЖЕТ 2004 от 17.12.03 сырье 13.40_Дайджест 2003-2004 гг._Форма №26 1 кв 9" xfId="3424"/>
    <cellStyle name="_БЮДЖЕТ 2004 от 17.12.03 сырье 13.40_Дайджест 2003-2004 гг._Форма №27 1 кв" xfId="3425"/>
    <cellStyle name="_БЮДЖЕТ 2004 от 17.12.03 сырье 13.40_Дайджест 2003-2004 гг._Форма №27 1 кв 2" xfId="3426"/>
    <cellStyle name="_БЮДЖЕТ 2004 от 17.12.03 сырье 13.40_Дайджест 2003-2004 гг._Форма №27 1 кв 3" xfId="3427"/>
    <cellStyle name="_БЮДЖЕТ 2004 от 17.12.03 сырье 13.40_Дайджест 2003-2004 гг._Форма №27 1 кв 4" xfId="3428"/>
    <cellStyle name="_БЮДЖЕТ 2004 от 17.12.03 сырье 13.40_Дайджест 2003-2004 гг._Форма №27 1 кв 5" xfId="3429"/>
    <cellStyle name="_БЮДЖЕТ 2004 от 17.12.03 сырье 13.40_Дайджест 2003-2004 гг._Форма №27 1 кв 6" xfId="3430"/>
    <cellStyle name="_БЮДЖЕТ 2004 от 17.12.03 сырье 13.40_Дайджест 2003-2004 гг._Форма №27 1 кв 7" xfId="3431"/>
    <cellStyle name="_БЮДЖЕТ 2004 от 17.12.03 сырье 13.40_Дайджест 2003-2004 гг._Форма №27 1 кв 8" xfId="3432"/>
    <cellStyle name="_БЮДЖЕТ 2004 от 17.12.03 сырье 13.40_Дайджест 2003-2004 гг._Форма №27 1 кв 9" xfId="3433"/>
    <cellStyle name="_БЮДЖЕТ 2004 от 17.12.03 сырье 13.40_Дайджест 2003-2004 гг._Форма №8" xfId="3434"/>
    <cellStyle name="_БЮДЖЕТ 2004 от 17.12.03 сырье 13.40_Дайджест 2003-2004 гг._Форма №8 2" xfId="3435"/>
    <cellStyle name="_БЮДЖЕТ 2004 от 17.12.03 сырье 13.40_Дайджест 2003-2004 гг._Форма №8 3" xfId="3436"/>
    <cellStyle name="_БЮДЖЕТ 2004 от 17.12.03 сырье 13.40_Дайджест 2003-2004 гг._Форма №8 4" xfId="3437"/>
    <cellStyle name="_БЮДЖЕТ 2004 от 17.12.03 сырье 13.40_Дайджест 2003-2004 гг._Форма №8 5" xfId="3438"/>
    <cellStyle name="_БЮДЖЕТ 2004 от 17.12.03 сырье 13.40_Дайджест 2003-2004 гг._Форма №8 6" xfId="3439"/>
    <cellStyle name="_БЮДЖЕТ 2004 от 17.12.03 сырье 13.40_Дайджест 2003-2004 гг._Форма №8 7" xfId="3440"/>
    <cellStyle name="_БЮДЖЕТ 2004 от 17.12.03 сырье 13.40_Дайджест 2003-2004 гг._Форма №8 8" xfId="3441"/>
    <cellStyle name="_БЮДЖЕТ 2004 от 17.12.03 сырье 13.40_Дайджест 2003-2004 гг._Форма №8 9" xfId="3442"/>
    <cellStyle name="_БЮДЖЕТ 2004 от 17.12.03 сырье 13.40_Дайджест 2003-2004 гг._форма презентации по численности и зарплате" xfId="3443"/>
    <cellStyle name="_БЮДЖЕТ 2004 от 17.12.03 сырье 13.40_Дайджест 2003-2004 гг._форма презентации по численности и зарплате 2" xfId="3444"/>
    <cellStyle name="_БЮДЖЕТ 2004 от 17.12.03 сырье 13.40_Дайджест 2003-2004 гг._форма презентации по численности и зарплате 3" xfId="3445"/>
    <cellStyle name="_БЮДЖЕТ 2004 от 17.12.03 сырье 13.40_Дайджест 2003-2004 гг._форма презентации по численности и зарплате 4" xfId="3446"/>
    <cellStyle name="_БЮДЖЕТ 2004 от 17.12.03 сырье 13.40_Дайджест 2003-2004 гг._форма презентации по численности и зарплате 5" xfId="3447"/>
    <cellStyle name="_БЮДЖЕТ 2004 от 17.12.03 сырье 13.40_Дайджест 2003-2004 гг._форма презентации по численности и зарплате 6" xfId="3448"/>
    <cellStyle name="_БЮДЖЕТ 2004 от 17.12.03 сырье 13.40_Дайджест 2003-2004 гг._форма презентации по численности и зарплате 7" xfId="3449"/>
    <cellStyle name="_БЮДЖЕТ 2004 от 17.12.03 сырье 13.40_Дайджест 2003-2004 гг._форма презентации по численности и зарплате 8" xfId="3450"/>
    <cellStyle name="_БЮДЖЕТ 2004 от 17.12.03 сырье 13.40_Дайджест 2003-2004 гг._форма презентации по численности и зарплате 9" xfId="3451"/>
    <cellStyle name="_БЮДЖЕТ 2004 от 17.12.03 сырье 13.40_Дайджест 2003-2004 гг._Форма№13 (новая от 28 12 09г) февраль версия № и последняя" xfId="3452"/>
    <cellStyle name="_БЮДЖЕТ 2004 от 17.12.03 сырье 13.40_Дайджест 2003-2004 гг._Формат" xfId="3453"/>
    <cellStyle name="_БЮДЖЕТ 2004 от 17.12.03 сырье 13.40_Дайджест 2003-2004 гг._формат отчетности(фев с март)" xfId="3454"/>
    <cellStyle name="_БЮДЖЕТ 2004 от 17.12.03 сырье 13.40_Дайджест 2003-2004 гг._Формат Январь прогноз" xfId="3455"/>
    <cellStyle name="_БЮДЖЕТ 2004 от 17.12.03 сырье 13.40_Дайджест 2003-2004 гг._Формы _28-30 (новые)1" xfId="3456"/>
    <cellStyle name="_БЮДЖЕТ 2004 от 17.12.03 сырье 13.40_Дайджест 2003-2004 гг._Формы 19,20,21" xfId="3457"/>
    <cellStyle name="_БЮДЖЕТ 2004 от 17.12.03 сырье 13.40_Дайджест 2003-2004 гг._Формы 19,20,21 16.12.06 " xfId="3458"/>
    <cellStyle name="_БЮДЖЕТ 2004 от 17.12.03 сырье 13.40_Дайджест 2003-2004 гг._Формы 19,20,21 16.12.06  2" xfId="3459"/>
    <cellStyle name="_БЮДЖЕТ 2004 от 17.12.03 сырье 13.40_Дайджест 2003-2004 гг._Формы 19,20,21 16.12.06  3" xfId="3460"/>
    <cellStyle name="_БЮДЖЕТ 2004 от 17.12.03 сырье 13.40_Дайджест 2003-2004 гг._Формы 19,20,21 16.12.06  4" xfId="3461"/>
    <cellStyle name="_БЮДЖЕТ 2004 от 17.12.03 сырье 13.40_Дайджест 2003-2004 гг._Формы 19,20,21 16.12.06  5" xfId="3462"/>
    <cellStyle name="_БЮДЖЕТ 2004 от 17.12.03 сырье 13.40_Дайджест 2003-2004 гг._Формы 19,20,21 16.12.06  6" xfId="3463"/>
    <cellStyle name="_БЮДЖЕТ 2004 от 17.12.03 сырье 13.40_Дайджест 2003-2004 гг._Формы 19,20,21 16.12.06  7" xfId="3464"/>
    <cellStyle name="_БЮДЖЕТ 2004 от 17.12.03 сырье 13.40_Дайджест 2003-2004 гг._Формы 19,20,21 16.12.06  8" xfId="3465"/>
    <cellStyle name="_БЮДЖЕТ 2004 от 17.12.03 сырье 13.40_Дайджест 2003-2004 гг._Формы 19,20,21 16.12.06  9" xfId="3466"/>
    <cellStyle name="_БЮДЖЕТ 2004 от 17.12.03 сырье 13.40_Дайджест 2003-2004 гг._Формы 19,20,21 2" xfId="3467"/>
    <cellStyle name="_БЮДЖЕТ 2004 от 17.12.03 сырье 13.40_Дайджест 2003-2004 гг._Формы 19,20,21 3" xfId="3468"/>
    <cellStyle name="_БЮДЖЕТ 2004 от 17.12.03 сырье 13.40_Дайджест 2003-2004 гг._Формы 19,20,21 4" xfId="3469"/>
    <cellStyle name="_БЮДЖЕТ 2004 от 17.12.03 сырье 13.40_Дайджест 2003-2004 гг._Формы 19,20,21 5" xfId="3470"/>
    <cellStyle name="_БЮДЖЕТ 2004 от 17.12.03 сырье 13.40_Дайджест 2003-2004 гг._Формы 19,20,21 6" xfId="3471"/>
    <cellStyle name="_БЮДЖЕТ 2004 от 17.12.03 сырье 13.40_Дайджест 2003-2004 гг._Формы 19,20,21 7" xfId="3472"/>
    <cellStyle name="_БЮДЖЕТ 2004 от 17.12.03 сырье 13.40_Дайджест 2003-2004 гг._Формы 19,20,21 8" xfId="3473"/>
    <cellStyle name="_БЮДЖЕТ 2004 от 17.12.03 сырье 13.40_Дайджест 2003-2004 гг._Формы 19,20,21 9" xfId="3474"/>
    <cellStyle name="_БЮДЖЕТ 2004 от 17.12.03 сырье 13.40_Дайджест 2003-2004 гг._Формы 19,20,21 на 2007г." xfId="3475"/>
    <cellStyle name="_БЮДЖЕТ 2004 от 17.12.03 сырье 13.40_Дайджест 2003-2004 гг._Формы 19,20,21 на 2007г. 2" xfId="3476"/>
    <cellStyle name="_БЮДЖЕТ 2004 от 17.12.03 сырье 13.40_Дайджест 2003-2004 гг._Формы 19,20,21 на 2007г. 3" xfId="3477"/>
    <cellStyle name="_БЮДЖЕТ 2004 от 17.12.03 сырье 13.40_Дайджест 2003-2004 гг._Формы 19,20,21 на 2007г. 4" xfId="3478"/>
    <cellStyle name="_БЮДЖЕТ 2004 от 17.12.03 сырье 13.40_Дайджест 2003-2004 гг._Формы 19,20,21 на 2007г. 5" xfId="3479"/>
    <cellStyle name="_БЮДЖЕТ 2004 от 17.12.03 сырье 13.40_Дайджест 2003-2004 гг._Формы 19,20,21 на 2007г. 6" xfId="3480"/>
    <cellStyle name="_БЮДЖЕТ 2004 от 17.12.03 сырье 13.40_Дайджест 2003-2004 гг._Формы 19,20,21 на 2007г. 7" xfId="3481"/>
    <cellStyle name="_БЮДЖЕТ 2004 от 17.12.03 сырье 13.40_Дайджест 2003-2004 гг._Формы 19,20,21 на 2007г. 8" xfId="3482"/>
    <cellStyle name="_БЮДЖЕТ 2004 от 17.12.03 сырье 13.40_Дайджест 2003-2004 гг._Формы 19,20,21 на 2007г. 9" xfId="3483"/>
    <cellStyle name="_БЮДЖЕТ 2004 от 17.12.03 сырье 13.40_Дайджест 2003-2004 гг._Формы 28-30" xfId="3484"/>
    <cellStyle name="_БЮДЖЕТ 2004 от 17.12.03 сырье 13.40_Дайджест 2003-2004 гг._Формы №28-30 (новые)1" xfId="3485"/>
    <cellStyle name="_БЮДЖЕТ 2004 от 17.12.03 сырье 13.40_Дайджест 2003-2004 гг._Формы Август-декбарь" xfId="3486"/>
    <cellStyle name="_БЮДЖЕТ 2004 от 17.12.03 сырье 13.40_Дайджест 2003-2004 гг._Формы Август-декбарь 2" xfId="3487"/>
    <cellStyle name="_БЮДЖЕТ 2004 от 17.12.03 сырье 13.40_Дайджест 2003-2004 гг._Формы Август-декбарь 3" xfId="3488"/>
    <cellStyle name="_БЮДЖЕТ 2004 от 17.12.03 сырье 13.40_Дайджест 2003-2004 гг._Формы Август-декбарь 4" xfId="3489"/>
    <cellStyle name="_БЮДЖЕТ 2004 от 17.12.03 сырье 13.40_Дайджест 2003-2004 гг._Формы Август-декбарь 5" xfId="3490"/>
    <cellStyle name="_БЮДЖЕТ 2004 от 17.12.03 сырье 13.40_Дайджест 2003-2004 гг._Формы Август-декбарь 6" xfId="3491"/>
    <cellStyle name="_БЮДЖЕТ 2004 от 17.12.03 сырье 13.40_Дайджест 2003-2004 гг._Формы Август-декбарь 7" xfId="3492"/>
    <cellStyle name="_БЮДЖЕТ 2004 от 17.12.03 сырье 13.40_Дайджест 2003-2004 гг._Формы Август-декбарь 8" xfId="3493"/>
    <cellStyle name="_БЮДЖЕТ 2004 от 17.12.03 сырье 13.40_Дайджест 2003-2004 гг._Формы Август-декбарь 9" xfId="3494"/>
    <cellStyle name="_БЮДЖЕТ 2004 от 17.12.03 сырье 13.40_Дайджест 2003-2004 гг._Формы Август-декбарь_13,14,28-30" xfId="3495"/>
    <cellStyle name="_БЮДЖЕТ 2004 от 17.12.03 сырье 13.40_Дайджест 2003-2004 гг._Формы Август-декбарь_19" xfId="3496"/>
    <cellStyle name="_БЮДЖЕТ 2004 от 17.12.03 сырье 13.40_Дайджест 2003-2004 гг._Формы Август-декбарь_26-30" xfId="3497"/>
    <cellStyle name="_БЮДЖЕТ 2004 от 17.12.03 сырье 13.40_Дайджест 2003-2004 гг._Формы Август-декбарь_28" xfId="3498"/>
    <cellStyle name="_БЮДЖЕТ 2004 от 17.12.03 сырье 13.40_Дайджест 2003-2004 гг._Формы Август-декбарь_3 квартал" xfId="3499"/>
    <cellStyle name="_БЮДЖЕТ 2004 от 17.12.03 сырье 13.40_Дайджест 2003-2004 гг._Формы Август-декбарь_3 квартал 2" xfId="3500"/>
    <cellStyle name="_БЮДЖЕТ 2004 от 17.12.03 сырье 13.40_Дайджест 2003-2004 гг._Формы Август-декбарь_index" xfId="3501"/>
    <cellStyle name="_БЮДЖЕТ 2004 от 17.12.03 сырье 13.40_Дайджест 2003-2004 гг._Формы Август-декбарь_Верх НА" xfId="3502"/>
    <cellStyle name="_БЮДЖЕТ 2004 от 17.12.03 сырье 13.40_Дайджест 2003-2004 гг._Формы Август-декбарь_Книга2" xfId="3503"/>
    <cellStyle name="_БЮДЖЕТ 2004 от 17.12.03 сырье 13.40_Дайджест 2003-2004 гг._Формы Август-декбарь_Копия Динамика цен (УС ) 2006-2009 сверен 30.01.09" xfId="3504"/>
    <cellStyle name="_БЮДЖЕТ 2004 от 17.12.03 сырье 13.40_Дайджест 2003-2004 гг._Формы Август-декбарь_Копия Потребность взаиморасч  от 28 02 2008 (2)" xfId="3505"/>
    <cellStyle name="_БЮДЖЕТ 2004 от 17.12.03 сырье 13.40_Дайджест 2003-2004 гг._Формы Август-декбарь_Налог на прибыль" xfId="3506"/>
    <cellStyle name="_БЮДЖЕТ 2004 от 17.12.03 сырье 13.40_Дайджест 2003-2004 гг._Формы Август-декбарь_Налоги А.А. Богоцкому 2005-2009" xfId="3507"/>
    <cellStyle name="_БЮДЖЕТ 2004 от 17.12.03 сырье 13.40_Дайджест 2003-2004 гг._Формы Август-декбарь_Налоги к плану на 2009 год (ДЗ и КЗ)" xfId="3508"/>
    <cellStyle name="_БЮДЖЕТ 2004 от 17.12.03 сырье 13.40_Дайджест 2003-2004 гг._Формы Август-декбарь_Налоги к плану на февраль 2009 года" xfId="3509"/>
    <cellStyle name="_БЮДЖЕТ 2004 от 17.12.03 сырье 13.40_Дайджест 2003-2004 гг._Формы Август-декбарь_Обжиговая" xfId="3510"/>
    <cellStyle name="_БЮДЖЕТ 2004 от 17.12.03 сырье 13.40_Дайджест 2003-2004 гг._Формы Август-декбарь_Отчет за сентябрь_11_ДСМ" xfId="3511"/>
    <cellStyle name="_БЮДЖЕТ 2004 от 17.12.03 сырье 13.40_Дайджест 2003-2004 гг._Формы Август-декбарь_Стан 150" xfId="3512"/>
    <cellStyle name="_БЮДЖЕТ 2004 от 17.12.03 сырье 13.40_Дайджест 2003-2004 гг._Формы Август-декбарь_Ф20 от налоговой" xfId="3513"/>
    <cellStyle name="_БЮДЖЕТ 2004 от 17.12.03 сырье 13.40_Дайджест 2003-2004 гг._Формы Август-декбарь_фIIIкв Комплект ОЭМК (1-12,18,22) 28.10.08" xfId="3514"/>
    <cellStyle name="_БЮДЖЕТ 2004 от 17.12.03 сырье 13.40_Дайджест 2003-2004 гг._Формы Август-декбарь_Форма №19" xfId="3515"/>
    <cellStyle name="_БЮДЖЕТ 2004 от 17.12.03 сырье 13.40_Дайджест 2003-2004 гг._Формы Август-декбарь_Форма №24" xfId="3516"/>
    <cellStyle name="_БЮДЖЕТ 2004 от 17.12.03 сырье 13.40_Дайджест 2003-2004 гг._Формы Август-декбарь_Форма№13 (новая от 28 12 09г) февраль версия № и последняя" xfId="3517"/>
    <cellStyle name="_БЮДЖЕТ 2004 от 17.12.03 сырье 13.40_Дайджест 2003-2004 гг._Формы Август-декбарь_Формы _28-30 (новые)1" xfId="3518"/>
    <cellStyle name="_БЮДЖЕТ 2004 от 17.12.03 сырье 13.40_Дайджест 2003-2004 гг._Формы Август-декбарь_Формы 28-30" xfId="3519"/>
    <cellStyle name="_БЮДЖЕТ 2004 от 17.12.03 сырье 13.40_Дайджест 2003-2004 гг._Формы Август-декбарь_Формы №28-30 (новые)1" xfId="3520"/>
    <cellStyle name="_БЮДЖЕТ 2004 от 17.12.03 сырье 13.40_Дайджест 2003-2004 гг._Формы Август-декбарь_Шаропрокатный" xfId="3521"/>
    <cellStyle name="_БЮДЖЕТ 2004 от 17.12.03 сырье 13.40_Дайджест 2003-2004 гг._Формы Август-декбарь_ЭНЦ-1" xfId="3522"/>
    <cellStyle name="_БЮДЖЕТ 2004 от 17.12.03 сырье 13.40_Дайджест 2003-2004 гг._Формы для ЛГОК (к отправке)" xfId="3523"/>
    <cellStyle name="_БЮДЖЕТ 2004 от 17.12.03 сырье 13.40_Дайджест 2003-2004 гг._Формы для ЛГОК (к отправке)_index" xfId="3524"/>
    <cellStyle name="_БЮДЖЕТ 2004 от 17.12.03 сырье 13.40_Дайджест 2003-2004 гг._Формы для ЛГОК (к отправке)_Копия Потребность взаиморасч  от 28 02 2008 (2)" xfId="3525"/>
    <cellStyle name="_БЮДЖЕТ 2004 от 17.12.03 сырье 13.40_Дайджест 2003-2004 гг._Формы для ОЭМК (к отправке)" xfId="3526"/>
    <cellStyle name="_БЮДЖЕТ 2004 от 17.12.03 сырье 13.40_Дайджест 2003-2004 гг._Формы для ОЭМК (к отправке) 2" xfId="3527"/>
    <cellStyle name="_БЮДЖЕТ 2004 от 17.12.03 сырье 13.40_Дайджест 2003-2004 гг._Формы для ОЭМК (к отправке) 3" xfId="3528"/>
    <cellStyle name="_БЮДЖЕТ 2004 от 17.12.03 сырье 13.40_Дайджест 2003-2004 гг._Формы для ОЭМК (к отправке) 4" xfId="3529"/>
    <cellStyle name="_БЮДЖЕТ 2004 от 17.12.03 сырье 13.40_Дайджест 2003-2004 гг._Формы для ОЭМК (к отправке) 5" xfId="3530"/>
    <cellStyle name="_БЮДЖЕТ 2004 от 17.12.03 сырье 13.40_Дайджест 2003-2004 гг._Формы для ОЭМК (к отправке) 6" xfId="3531"/>
    <cellStyle name="_БЮДЖЕТ 2004 от 17.12.03 сырье 13.40_Дайджест 2003-2004 гг._Формы для ОЭМК (к отправке) 7" xfId="3532"/>
    <cellStyle name="_БЮДЖЕТ 2004 от 17.12.03 сырье 13.40_Дайджест 2003-2004 гг._Формы для ОЭМК (к отправке) 8" xfId="3533"/>
    <cellStyle name="_БЮДЖЕТ 2004 от 17.12.03 сырье 13.40_Дайджест 2003-2004 гг._Формы для ОЭМК (к отправке) 9" xfId="3534"/>
    <cellStyle name="_БЮДЖЕТ 2004 от 17.12.03 сырье 13.40_Дайджест 2003-2004 гг._Формы для ОЭМК (к отправке)_13,14,28-30" xfId="3535"/>
    <cellStyle name="_БЮДЖЕТ 2004 от 17.12.03 сырье 13.40_Дайджест 2003-2004 гг._Формы для ОЭМК (к отправке)_19" xfId="3536"/>
    <cellStyle name="_БЮДЖЕТ 2004 от 17.12.03 сырье 13.40_Дайджест 2003-2004 гг._Формы для ОЭМК (к отправке)_26-30" xfId="3537"/>
    <cellStyle name="_БЮДЖЕТ 2004 от 17.12.03 сырье 13.40_Дайджест 2003-2004 гг._Формы для ОЭМК (к отправке)_28" xfId="3538"/>
    <cellStyle name="_БЮДЖЕТ 2004 от 17.12.03 сырье 13.40_Дайджест 2003-2004 гг._Формы для ОЭМК (к отправке)_3 квартал" xfId="3539"/>
    <cellStyle name="_БЮДЖЕТ 2004 от 17.12.03 сырье 13.40_Дайджест 2003-2004 гг._Формы для ОЭМК (к отправке)_3 квартал 2" xfId="3540"/>
    <cellStyle name="_БЮДЖЕТ 2004 от 17.12.03 сырье 13.40_Дайджест 2003-2004 гг._Формы для ОЭМК (к отправке)_index" xfId="3541"/>
    <cellStyle name="_БЮДЖЕТ 2004 от 17.12.03 сырье 13.40_Дайджест 2003-2004 гг._Формы для ОЭМК (к отправке)_Верх НА" xfId="3542"/>
    <cellStyle name="_БЮДЖЕТ 2004 от 17.12.03 сырье 13.40_Дайджест 2003-2004 гг._Формы для ОЭМК (к отправке)_Книга2" xfId="3543"/>
    <cellStyle name="_БЮДЖЕТ 2004 от 17.12.03 сырье 13.40_Дайджест 2003-2004 гг._Формы для ОЭМК (к отправке)_Копия Динамика цен (УС ) 2006-2009 сверен 30.01.09" xfId="3544"/>
    <cellStyle name="_БЮДЖЕТ 2004 от 17.12.03 сырье 13.40_Дайджест 2003-2004 гг._Формы для ОЭМК (к отправке)_Копия Потребность взаиморасч  от 28 02 2008 (2)" xfId="3545"/>
    <cellStyle name="_БЮДЖЕТ 2004 от 17.12.03 сырье 13.40_Дайджест 2003-2004 гг._Формы для ОЭМК (к отправке)_Налог на прибыль" xfId="3546"/>
    <cellStyle name="_БЮДЖЕТ 2004 от 17.12.03 сырье 13.40_Дайджест 2003-2004 гг._Формы для ОЭМК (к отправке)_Налоги А.А. Богоцкому 2005-2009" xfId="3547"/>
    <cellStyle name="_БЮДЖЕТ 2004 от 17.12.03 сырье 13.40_Дайджест 2003-2004 гг._Формы для ОЭМК (к отправке)_Налоги к плану на 2009 год (ДЗ и КЗ)" xfId="3548"/>
    <cellStyle name="_БЮДЖЕТ 2004 от 17.12.03 сырье 13.40_Дайджест 2003-2004 гг._Формы для ОЭМК (к отправке)_Налоги к плану на февраль 2009 года" xfId="3549"/>
    <cellStyle name="_БЮДЖЕТ 2004 от 17.12.03 сырье 13.40_Дайджест 2003-2004 гг._Формы для ОЭМК (к отправке)_Обжиговая" xfId="3550"/>
    <cellStyle name="_БЮДЖЕТ 2004 от 17.12.03 сырье 13.40_Дайджест 2003-2004 гг._Формы для ОЭМК (к отправке)_Отчет за сентябрь_11_ДСМ" xfId="3551"/>
    <cellStyle name="_БЮДЖЕТ 2004 от 17.12.03 сырье 13.40_Дайджест 2003-2004 гг._Формы для ОЭМК (к отправке)_Стан 150" xfId="3552"/>
    <cellStyle name="_БЮДЖЕТ 2004 от 17.12.03 сырье 13.40_Дайджест 2003-2004 гг._Формы для ОЭМК (к отправке)_Ф20 от налоговой" xfId="3553"/>
    <cellStyle name="_БЮДЖЕТ 2004 от 17.12.03 сырье 13.40_Дайджест 2003-2004 гг._Формы для ОЭМК (к отправке)_фIIIкв Комплект ОЭМК (1-12,18,22) 28.10.08" xfId="3554"/>
    <cellStyle name="_БЮДЖЕТ 2004 от 17.12.03 сырье 13.40_Дайджест 2003-2004 гг._Формы для ОЭМК (к отправке)_Форма №19" xfId="3555"/>
    <cellStyle name="_БЮДЖЕТ 2004 от 17.12.03 сырье 13.40_Дайджест 2003-2004 гг._Формы для ОЭМК (к отправке)_Форма №24" xfId="3556"/>
    <cellStyle name="_БЮДЖЕТ 2004 от 17.12.03 сырье 13.40_Дайджест 2003-2004 гг._Формы для ОЭМК (к отправке)_Форма№13 (новая от 28 12 09г) февраль версия № и последняя" xfId="3557"/>
    <cellStyle name="_БЮДЖЕТ 2004 от 17.12.03 сырье 13.40_Дайджест 2003-2004 гг._Формы для ОЭМК (к отправке)_Формы _28-30 (новые)1" xfId="3558"/>
    <cellStyle name="_БЮДЖЕТ 2004 от 17.12.03 сырье 13.40_Дайджест 2003-2004 гг._Формы для ОЭМК (к отправке)_Формы 28-30" xfId="3559"/>
    <cellStyle name="_БЮДЖЕТ 2004 от 17.12.03 сырье 13.40_Дайджест 2003-2004 гг._Формы для ОЭМК (к отправке)_Формы №28-30 (новые)1" xfId="3560"/>
    <cellStyle name="_БЮДЖЕТ 2004 от 17.12.03 сырье 13.40_Дайджест 2003-2004 гг._Формы для ОЭМК (к отправке)_Шаропрокатный" xfId="3561"/>
    <cellStyle name="_БЮДЖЕТ 2004 от 17.12.03 сырье 13.40_Дайджест 2003-2004 гг._Формы для ОЭМК (к отправке)_ЭНЦ-1" xfId="3562"/>
    <cellStyle name="_БЮДЖЕТ 2004 от 17.12.03 сырье 13.40_Дайджест 2003-2004 гг._Формы общие отчет за год" xfId="3563"/>
    <cellStyle name="_БЮДЖЕТ 2004 от 17.12.03 сырье 13.40_Дайджест 2003-2004 гг._Формы общие отчет за год 10" xfId="3564"/>
    <cellStyle name="_БЮДЖЕТ 2004 от 17.12.03 сырье 13.40_Дайджест 2003-2004 гг._Формы общие отчет за год 11" xfId="3565"/>
    <cellStyle name="_БЮДЖЕТ 2004 от 17.12.03 сырье 13.40_Дайджест 2003-2004 гг._Формы общие отчет за год 12" xfId="3566"/>
    <cellStyle name="_БЮДЖЕТ 2004 от 17.12.03 сырье 13.40_Дайджест 2003-2004 гг._Формы общие отчет за год 13" xfId="3567"/>
    <cellStyle name="_БЮДЖЕТ 2004 от 17.12.03 сырье 13.40_Дайджест 2003-2004 гг._Формы общие отчет за год 2" xfId="3568"/>
    <cellStyle name="_БЮДЖЕТ 2004 от 17.12.03 сырье 13.40_Дайджест 2003-2004 гг._Формы общие отчет за год 3" xfId="3569"/>
    <cellStyle name="_БЮДЖЕТ 2004 от 17.12.03 сырье 13.40_Дайджест 2003-2004 гг._Формы общие отчет за год 4" xfId="3570"/>
    <cellStyle name="_БЮДЖЕТ 2004 от 17.12.03 сырье 13.40_Дайджест 2003-2004 гг._Формы общие отчет за год 5" xfId="3571"/>
    <cellStyle name="_БЮДЖЕТ 2004 от 17.12.03 сырье 13.40_Дайджест 2003-2004 гг._Формы общие отчет за год 6" xfId="3572"/>
    <cellStyle name="_БЮДЖЕТ 2004 от 17.12.03 сырье 13.40_Дайджест 2003-2004 гг._Формы общие отчет за год 7" xfId="3573"/>
    <cellStyle name="_БЮДЖЕТ 2004 от 17.12.03 сырье 13.40_Дайджест 2003-2004 гг._Формы общие отчет за год 8" xfId="3574"/>
    <cellStyle name="_БЮДЖЕТ 2004 от 17.12.03 сырье 13.40_Дайджест 2003-2004 гг._Формы общие отчет за год 9" xfId="3575"/>
    <cellStyle name="_БЮДЖЕТ 2004 от 17.12.03 сырье 13.40_Дайджест 2003-2004 гг._Формы общие отчет за год__План по труду 2008 261107 (10% с января)" xfId="3576"/>
    <cellStyle name="_БЮДЖЕТ 2004 от 17.12.03 сырье 13.40_Дайджест 2003-2004 гг._Формы общие отчет за год__План по труду 2008 261107 (10% с января) 2" xfId="3577"/>
    <cellStyle name="_БЮДЖЕТ 2004 от 17.12.03 сырье 13.40_Дайджест 2003-2004 гг._Формы общие отчет за год__План по труду 2008 261107 (10% с января) 3" xfId="3578"/>
    <cellStyle name="_БЮДЖЕТ 2004 от 17.12.03 сырье 13.40_Дайджест 2003-2004 гг._Формы общие отчет за год__План по труду 2008 261107 (10% с января) 4" xfId="3579"/>
    <cellStyle name="_БЮДЖЕТ 2004 от 17.12.03 сырье 13.40_Дайджест 2003-2004 гг._Формы общие отчет за год__План по труду 2008 261107 (10% с января) 5" xfId="3580"/>
    <cellStyle name="_БЮДЖЕТ 2004 от 17.12.03 сырье 13.40_Дайджест 2003-2004 гг._Формы общие отчет за год__План по труду 2008 261107 (10% с января) 6" xfId="3581"/>
    <cellStyle name="_БЮДЖЕТ 2004 от 17.12.03 сырье 13.40_Дайджест 2003-2004 гг._Формы общие отчет за год__План по труду 2008 261107 (10% с января) 7" xfId="3582"/>
    <cellStyle name="_БЮДЖЕТ 2004 от 17.12.03 сырье 13.40_Дайджест 2003-2004 гг._Формы общие отчет за год__План по труду 2008 261107 (10% с января) 8" xfId="3583"/>
    <cellStyle name="_БЮДЖЕТ 2004 от 17.12.03 сырье 13.40_Дайджест 2003-2004 гг._Формы общие отчет за год__План по труду 2008 261107 (10% с января) 9" xfId="3584"/>
    <cellStyle name="_БЮДЖЕТ 2004 от 17.12.03 сырье 13.40_Дайджест 2003-2004 гг._Формы общие отчет за год__План по труду 2008 ИТОГ (правл. ПНР 161007)_" xfId="3585"/>
    <cellStyle name="_БЮДЖЕТ 2004 от 17.12.03 сырье 13.40_Дайджест 2003-2004 гг._Формы общие отчет за год__План по труду 2008 ИТОГ (правл. ПНР 161007)_ 2" xfId="3586"/>
    <cellStyle name="_БЮДЖЕТ 2004 от 17.12.03 сырье 13.40_Дайджест 2003-2004 гг._Формы общие отчет за год__План по труду 2008 ИТОГ (правл. ПНР 161007)_ 3" xfId="3587"/>
    <cellStyle name="_БЮДЖЕТ 2004 от 17.12.03 сырье 13.40_Дайджест 2003-2004 гг._Формы общие отчет за год__План по труду 2008 ИТОГ (правл. ПНР 161007)_ 4" xfId="3588"/>
    <cellStyle name="_БЮДЖЕТ 2004 от 17.12.03 сырье 13.40_Дайджест 2003-2004 гг._Формы общие отчет за год__План по труду 2008 ИТОГ (правл. ПНР 161007)_ 5" xfId="3589"/>
    <cellStyle name="_БЮДЖЕТ 2004 от 17.12.03 сырье 13.40_Дайджест 2003-2004 гг._Формы общие отчет за год__План по труду 2008 ИТОГ (правл. ПНР 161007)_ 6" xfId="3590"/>
    <cellStyle name="_БЮДЖЕТ 2004 от 17.12.03 сырье 13.40_Дайджест 2003-2004 гг._Формы общие отчет за год__План по труду 2008 ИТОГ (правл. ПНР 161007)_ 7" xfId="3591"/>
    <cellStyle name="_БЮДЖЕТ 2004 от 17.12.03 сырье 13.40_Дайджест 2003-2004 гг._Формы общие отчет за год__План по труду 2008 ИТОГ (правл. ПНР 161007)_ 8" xfId="3592"/>
    <cellStyle name="_БЮДЖЕТ 2004 от 17.12.03 сырье 13.40_Дайджест 2003-2004 гг._Формы общие отчет за год__План по труду 2008 ИТОГ (правл. ПНР 161007)_ 9" xfId="3593"/>
    <cellStyle name="_БЮДЖЕТ 2004 от 17.12.03 сырье 13.40_Дайджест 2003-2004 гг._Формы общие отчет за год_2_Инвестпрограмма на 2008 год (КОВАЛЕВ)" xfId="3594"/>
    <cellStyle name="_БЮДЖЕТ 2004 от 17.12.03 сырье 13.40_Дайджест 2003-2004 гг._Формы общие отчет за год_Данные для ФОТ на 2008 год" xfId="3595"/>
    <cellStyle name="_БЮДЖЕТ 2004 от 17.12.03 сырье 13.40_Дайджест 2003-2004 гг._Формы общие отчет за год_Данные для ФОТ на 2008 год 2" xfId="3596"/>
    <cellStyle name="_БЮДЖЕТ 2004 от 17.12.03 сырье 13.40_Дайджест 2003-2004 гг._Формы общие отчет за год_Данные для ФОТ на 2008 год 3" xfId="3597"/>
    <cellStyle name="_БЮДЖЕТ 2004 от 17.12.03 сырье 13.40_Дайджест 2003-2004 гг._Формы общие отчет за год_Данные для ФОТ на 2008 год 4" xfId="3598"/>
    <cellStyle name="_БЮДЖЕТ 2004 от 17.12.03 сырье 13.40_Дайджест 2003-2004 гг._Формы общие отчет за год_Данные для ФОТ на 2008 год 5" xfId="3599"/>
    <cellStyle name="_БЮДЖЕТ 2004 от 17.12.03 сырье 13.40_Дайджест 2003-2004 гг._Формы общие отчет за год_Данные для ФОТ на 2008 год 6" xfId="3600"/>
    <cellStyle name="_БЮДЖЕТ 2004 от 17.12.03 сырье 13.40_Дайджест 2003-2004 гг._Формы общие отчет за год_Данные для ФОТ на 2008 год 7" xfId="3601"/>
    <cellStyle name="_БЮДЖЕТ 2004 от 17.12.03 сырье 13.40_Дайджест 2003-2004 гг._Формы общие отчет за год_Данные для ФОТ на 2008 год 8" xfId="3602"/>
    <cellStyle name="_БЮДЖЕТ 2004 от 17.12.03 сырье 13.40_Дайджест 2003-2004 гг._Формы общие отчет за год_Данные для ФОТ на 2008 год 9" xfId="3603"/>
    <cellStyle name="_БЮДЖЕТ 2004 от 17.12.03 сырье 13.40_Дайджест 2003-2004 гг._Формы общие отчет за год_План по труду 2008 ИТОГ (2003_вер)" xfId="3604"/>
    <cellStyle name="_БЮДЖЕТ 2004 от 17.12.03 сырье 13.40_Дайджест 2003-2004 гг._Формы общие отчет за год_План по труду 2008 ИТОГ (2003_вер) 2" xfId="3605"/>
    <cellStyle name="_БЮДЖЕТ 2004 от 17.12.03 сырье 13.40_Дайджест 2003-2004 гг._Формы общие отчет за год_План по труду 2008 ИТОГ (2003_вер) 3" xfId="3606"/>
    <cellStyle name="_БЮДЖЕТ 2004 от 17.12.03 сырье 13.40_Дайджест 2003-2004 гг._Формы общие отчет за год_План по труду 2008 ИТОГ (2003_вер) 4" xfId="3607"/>
    <cellStyle name="_БЮДЖЕТ 2004 от 17.12.03 сырье 13.40_Дайджест 2003-2004 гг._Формы общие отчет за год_План по труду 2008 ИТОГ (2003_вер) 5" xfId="3608"/>
    <cellStyle name="_БЮДЖЕТ 2004 от 17.12.03 сырье 13.40_Дайджест 2003-2004 гг._Формы общие отчет за год_План по труду 2008 ИТОГ (2003_вер) 6" xfId="3609"/>
    <cellStyle name="_БЮДЖЕТ 2004 от 17.12.03 сырье 13.40_Дайджест 2003-2004 гг._Формы общие отчет за год_План по труду 2008 ИТОГ (2003_вер) 7" xfId="3610"/>
    <cellStyle name="_БЮДЖЕТ 2004 от 17.12.03 сырье 13.40_Дайджест 2003-2004 гг._Формы общие отчет за год_План по труду 2008 ИТОГ (2003_вер) 8" xfId="3611"/>
    <cellStyle name="_БЮДЖЕТ 2004 от 17.12.03 сырье 13.40_Дайджест 2003-2004 гг._Формы общие отчет за год_План по труду 2008 ИТОГ (2003_вер) 9" xfId="3612"/>
    <cellStyle name="_БЮДЖЕТ 2004 от 17.12.03 сырье 13.40_Дайджест 2003-2004 гг._Формы общие отчет за год_ТКВ 2008 от 19.07" xfId="3613"/>
    <cellStyle name="_БЮДЖЕТ 2004 от 17.12.03 сырье 13.40_Дайджест 2003-2004 гг._Формы общие отчет за год_ТКВ 2008 от 31.07" xfId="3614"/>
    <cellStyle name="_БЮДЖЕТ 2004 от 17.12.03 сырье 13.40_Дайджест 2003-2004 гг._Шаропрокатный" xfId="3615"/>
    <cellStyle name="_БЮДЖЕТ 2004 от 17.12.03 сырье 13.40_Дайджест 2003-2004 гг._Эконом.показатели за февраль" xfId="3616"/>
    <cellStyle name="_БЮДЖЕТ 2004 от 17.12.03 сырье 13.40_Дайджест 2003-2004 гг._Экономические показатели Большаковой" xfId="3617"/>
    <cellStyle name="_БЮДЖЕТ 2004 от 17.12.03 сырье 13.40_Дайджест 2003-2004 гг._Экономические показатели Большаковой 2" xfId="3618"/>
    <cellStyle name="_БЮДЖЕТ 2004 от 17.12.03 сырье 13.40_Дайджест 2003-2004 гг._Экономические показатели Большаковой 3" xfId="3619"/>
    <cellStyle name="_БЮДЖЕТ 2004 от 17.12.03 сырье 13.40_Дайджест 2003-2004 гг._Экономические показатели Большаковой 4" xfId="3620"/>
    <cellStyle name="_БЮДЖЕТ 2004 от 17.12.03 сырье 13.40_Дайджест 2003-2004 гг._Экономические показатели Большаковой 5" xfId="3621"/>
    <cellStyle name="_БЮДЖЕТ 2004 от 17.12.03 сырье 13.40_Дайджест 2003-2004 гг._Экономические показатели Большаковой 6" xfId="3622"/>
    <cellStyle name="_БЮДЖЕТ 2004 от 17.12.03 сырье 13.40_Дайджест 2003-2004 гг._Экономические показатели Большаковой 7" xfId="3623"/>
    <cellStyle name="_БЮДЖЕТ 2004 от 17.12.03 сырье 13.40_Дайджест 2003-2004 гг._Экономические показатели Большаковой 8" xfId="3624"/>
    <cellStyle name="_БЮДЖЕТ 2004 от 17.12.03 сырье 13.40_Дайджест 2003-2004 гг._Экономические показатели Большаковой 9" xfId="3625"/>
    <cellStyle name="_БЮДЖЕТ 2004 от 17.12.03 сырье 13.40_Дайджест 2003-2004 гг._ЭНЦ-1" xfId="3626"/>
    <cellStyle name="_БЮДЖЕТ 2004 от 17.12.03 сырье 13.40_Данные для ФОТ на 2008 год" xfId="3627"/>
    <cellStyle name="_БЮДЖЕТ 2004 от 17.12.03 сырье 13.40_Данные для ФОТ на 2008 год 2" xfId="3628"/>
    <cellStyle name="_БЮДЖЕТ 2004 от 17.12.03 сырье 13.40_Данные для ФОТ на 2008 год 3" xfId="3629"/>
    <cellStyle name="_БЮДЖЕТ 2004 от 17.12.03 сырье 13.40_Данные для ФОТ на 2008 год 4" xfId="3630"/>
    <cellStyle name="_БЮДЖЕТ 2004 от 17.12.03 сырье 13.40_Данные для ФОТ на 2008 год 5" xfId="3631"/>
    <cellStyle name="_БЮДЖЕТ 2004 от 17.12.03 сырье 13.40_Данные для ФОТ на 2008 год 6" xfId="3632"/>
    <cellStyle name="_БЮДЖЕТ 2004 от 17.12.03 сырье 13.40_Данные для ФОТ на 2008 год 7" xfId="3633"/>
    <cellStyle name="_БЮДЖЕТ 2004 от 17.12.03 сырье 13.40_Данные для ФОТ на 2008 год 8" xfId="3634"/>
    <cellStyle name="_БЮДЖЕТ 2004 от 17.12.03 сырье 13.40_Данные для ФОТ на 2008 год 9" xfId="3635"/>
    <cellStyle name="_БЮДЖЕТ 2004 от 17.12.03 сырье 13.40_План ДСМ 2 квартал 2009 ОТЧЕТ отп" xfId="3636"/>
    <cellStyle name="_БЮДЖЕТ 2004 от 17.12.03 сырье 13.40_План ДСМ 3 квартал 2009 ОТЧЕТ" xfId="3637"/>
    <cellStyle name="_БЮДЖЕТ 2004 от 17.12.03 сырье 13.40_План ДСМ 4 квартал 2009 ОТЧЕТ" xfId="3638"/>
    <cellStyle name="_БЮДЖЕТ 2004 от 17.12.03 сырье 13.40_План ДСМ на 4 квартал 2006 (последняя версия) 2" xfId="3639"/>
    <cellStyle name="_БЮДЖЕТ 2004 от 17.12.03 сырье 13.40_План ДСМ ноябрь 2011 ОТЧЕТ" xfId="3640"/>
    <cellStyle name="_БЮДЖЕТ 2004 от 17.12.03 сырье 13.40_План ДСФ 1 квартал 2007" xfId="3641"/>
    <cellStyle name="_БЮДЖЕТ 2004 от 17.12.03 сырье 13.40_План ДСФ 2 квартал 2009 ОТЧЕТ отп" xfId="3642"/>
    <cellStyle name="_БЮДЖЕТ 2004 от 17.12.03 сырье 13.40_План ДСФ 4 квартал 2009 ОТЧЕТ" xfId="3643"/>
    <cellStyle name="_БЮДЖЕТ 2004 от 17.12.03 сырье 13.40_План на 2009 год ДСМ ОТЧЕТ отп (01.12.08)" xfId="3644"/>
    <cellStyle name="_БЮДЖЕТ 2004 от 17.12.03 сырье 13.40_План на 2010 год ДСМ ОТЧЕТ" xfId="3645"/>
    <cellStyle name="_БЮДЖЕТ 2004 от 17.12.03 сырье 13.40_План по труду 2008 ИТОГ (2003_вер)" xfId="3646"/>
    <cellStyle name="_БЮДЖЕТ 2004 от 17.12.03 сырье 13.40_План по труду 2008 ИТОГ (2003_вер) 2" xfId="3647"/>
    <cellStyle name="_БЮДЖЕТ 2004 от 17.12.03 сырье 13.40_План по труду 2008 ИТОГ (2003_вер) 3" xfId="3648"/>
    <cellStyle name="_БЮДЖЕТ 2004 от 17.12.03 сырье 13.40_План по труду 2008 ИТОГ (2003_вер) 4" xfId="3649"/>
    <cellStyle name="_БЮДЖЕТ 2004 от 17.12.03 сырье 13.40_План по труду 2008 ИТОГ (2003_вер) 5" xfId="3650"/>
    <cellStyle name="_БЮДЖЕТ 2004 от 17.12.03 сырье 13.40_План по труду 2008 ИТОГ (2003_вер) 6" xfId="3651"/>
    <cellStyle name="_БЮДЖЕТ 2004 от 17.12.03 сырье 13.40_План по труду 2008 ИТОГ (2003_вер) 7" xfId="3652"/>
    <cellStyle name="_БЮДЖЕТ 2004 от 17.12.03 сырье 13.40_План по труду 2008 ИТОГ (2003_вер) 8" xfId="3653"/>
    <cellStyle name="_БЮДЖЕТ 2004 от 17.12.03 сырье 13.40_План по труду 2008 ИТОГ (2003_вер) 9" xfId="3654"/>
    <cellStyle name="_БЮДЖЕТ 2004 от 17.12.03 сырье 13.40_ТКВ 2008 от 19.07" xfId="3655"/>
    <cellStyle name="_БЮДЖЕТ 2004 от 17.12.03 сырье 13.40_ТКВ 2008 от 31.07" xfId="3656"/>
    <cellStyle name="_БЮДЖЕТ 2004 от 17.12.03 сырье 13.40_УралКирпич_план на 2 кв. 2009" xfId="3657"/>
    <cellStyle name="_БЮДЖЕТ 2004 от 22.12.03.инвестиц" xfId="3658"/>
    <cellStyle name="_БЮДЖЕТ 2004 от 22.12.03.инвестиц 10" xfId="3659"/>
    <cellStyle name="_БЮДЖЕТ 2004 от 22.12.03.инвестиц 11" xfId="3660"/>
    <cellStyle name="_БЮДЖЕТ 2004 от 22.12.03.инвестиц 12" xfId="3661"/>
    <cellStyle name="_БЮДЖЕТ 2004 от 22.12.03.инвестиц 13" xfId="3662"/>
    <cellStyle name="_БЮДЖЕТ 2004 от 22.12.03.инвестиц 2" xfId="3663"/>
    <cellStyle name="_БЮДЖЕТ 2004 от 22.12.03.инвестиц 3" xfId="3664"/>
    <cellStyle name="_БЮДЖЕТ 2004 от 22.12.03.инвестиц 4" xfId="3665"/>
    <cellStyle name="_БЮДЖЕТ 2004 от 22.12.03.инвестиц 5" xfId="3666"/>
    <cellStyle name="_БЮДЖЕТ 2004 от 22.12.03.инвестиц 6" xfId="3667"/>
    <cellStyle name="_БЮДЖЕТ 2004 от 22.12.03.инвестиц 7" xfId="3668"/>
    <cellStyle name="_БЮДЖЕТ 2004 от 22.12.03.инвестиц 8" xfId="3669"/>
    <cellStyle name="_БЮДЖЕТ 2004 от 22.12.03.инвестиц 9" xfId="3670"/>
    <cellStyle name="_БЮДЖЕТ 2004 от 22.12.03.инвестиц__План по труду 2008 261107 (10% с января)" xfId="3671"/>
    <cellStyle name="_БЮДЖЕТ 2004 от 22.12.03.инвестиц__План по труду 2008 261107 (10% с января) 2" xfId="3672"/>
    <cellStyle name="_БЮДЖЕТ 2004 от 22.12.03.инвестиц__План по труду 2008 261107 (10% с января) 3" xfId="3673"/>
    <cellStyle name="_БЮДЖЕТ 2004 от 22.12.03.инвестиц__План по труду 2008 261107 (10% с января) 4" xfId="3674"/>
    <cellStyle name="_БЮДЖЕТ 2004 от 22.12.03.инвестиц__План по труду 2008 261107 (10% с января) 5" xfId="3675"/>
    <cellStyle name="_БЮДЖЕТ 2004 от 22.12.03.инвестиц__План по труду 2008 261107 (10% с января) 6" xfId="3676"/>
    <cellStyle name="_БЮДЖЕТ 2004 от 22.12.03.инвестиц__План по труду 2008 261107 (10% с января) 7" xfId="3677"/>
    <cellStyle name="_БЮДЖЕТ 2004 от 22.12.03.инвестиц__План по труду 2008 261107 (10% с января) 8" xfId="3678"/>
    <cellStyle name="_БЮДЖЕТ 2004 от 22.12.03.инвестиц__План по труду 2008 261107 (10% с января) 9" xfId="3679"/>
    <cellStyle name="_БЮДЖЕТ 2004 от 22.12.03.инвестиц__План по труду 2008 ИТОГ (правл. ПНР 161007)_" xfId="3680"/>
    <cellStyle name="_БЮДЖЕТ 2004 от 22.12.03.инвестиц__План по труду 2008 ИТОГ (правл. ПНР 161007)_ 2" xfId="3681"/>
    <cellStyle name="_БЮДЖЕТ 2004 от 22.12.03.инвестиц__План по труду 2008 ИТОГ (правл. ПНР 161007)_ 3" xfId="3682"/>
    <cellStyle name="_БЮДЖЕТ 2004 от 22.12.03.инвестиц__План по труду 2008 ИТОГ (правл. ПНР 161007)_ 4" xfId="3683"/>
    <cellStyle name="_БЮДЖЕТ 2004 от 22.12.03.инвестиц__План по труду 2008 ИТОГ (правл. ПНР 161007)_ 5" xfId="3684"/>
    <cellStyle name="_БЮДЖЕТ 2004 от 22.12.03.инвестиц__План по труду 2008 ИТОГ (правл. ПНР 161007)_ 6" xfId="3685"/>
    <cellStyle name="_БЮДЖЕТ 2004 от 22.12.03.инвестиц__План по труду 2008 ИТОГ (правл. ПНР 161007)_ 7" xfId="3686"/>
    <cellStyle name="_БЮДЖЕТ 2004 от 22.12.03.инвестиц__План по труду 2008 ИТОГ (правл. ПНР 161007)_ 8" xfId="3687"/>
    <cellStyle name="_БЮДЖЕТ 2004 от 22.12.03.инвестиц__План по труду 2008 ИТОГ (правл. ПНР 161007)_ 9" xfId="3688"/>
    <cellStyle name="_БЮДЖЕТ 2004 от 22.12.03.инвестиц_2_Инвестпрограмма на 2008 год (КОВАЛЕВ)" xfId="3689"/>
    <cellStyle name="_БЮДЖЕТ 2004 от 22.12.03.инвестиц_БП Урал Кирпич 28 01 2008г" xfId="3690"/>
    <cellStyle name="_БЮДЖЕТ 2004 от 22.12.03.инвестиц_БП_план на 1 кв. 2008г." xfId="3691"/>
    <cellStyle name="_БЮДЖЕТ 2004 от 22.12.03.инвестиц_БП_план на 2 кв. 2008г." xfId="3692"/>
    <cellStyle name="_БЮДЖЕТ 2004 от 22.12.03.инвестиц_Дайджест 2003-2004 гг." xfId="3693"/>
    <cellStyle name="_БЮДЖЕТ 2004 от 22.12.03.инвестиц_Дайджест 2003-2004 гг. 10" xfId="3694"/>
    <cellStyle name="_БЮДЖЕТ 2004 от 22.12.03.инвестиц_Дайджест 2003-2004 гг. 11" xfId="3695"/>
    <cellStyle name="_БЮДЖЕТ 2004 от 22.12.03.инвестиц_Дайджест 2003-2004 гг. 12" xfId="3696"/>
    <cellStyle name="_БЮДЖЕТ 2004 от 22.12.03.инвестиц_Дайджест 2003-2004 гг. 13" xfId="3697"/>
    <cellStyle name="_БЮДЖЕТ 2004 от 22.12.03.инвестиц_Дайджест 2003-2004 гг. 2" xfId="3698"/>
    <cellStyle name="_БЮДЖЕТ 2004 от 22.12.03.инвестиц_Дайджест 2003-2004 гг. 3" xfId="3699"/>
    <cellStyle name="_БЮДЖЕТ 2004 от 22.12.03.инвестиц_Дайджест 2003-2004 гг. 4" xfId="3700"/>
    <cellStyle name="_БЮДЖЕТ 2004 от 22.12.03.инвестиц_Дайджест 2003-2004 гг. 5" xfId="3701"/>
    <cellStyle name="_БЮДЖЕТ 2004 от 22.12.03.инвестиц_Дайджест 2003-2004 гг. 6" xfId="3702"/>
    <cellStyle name="_БЮДЖЕТ 2004 от 22.12.03.инвестиц_Дайджест 2003-2004 гг. 7" xfId="3703"/>
    <cellStyle name="_БЮДЖЕТ 2004 от 22.12.03.инвестиц_Дайджест 2003-2004 гг. 8" xfId="3704"/>
    <cellStyle name="_БЮДЖЕТ 2004 от 22.12.03.инвестиц_Дайджест 2003-2004 гг. 9" xfId="3705"/>
    <cellStyle name="_БЮДЖЕТ 2004 от 22.12.03.инвестиц_Дайджест 2003-2004 гг._! Металлургический дивизион для рассылки" xfId="3706"/>
    <cellStyle name="_БЮДЖЕТ 2004 от 22.12.03.инвестиц_Дайджест 2003-2004 гг._01.04.06-01.10.06 Распред. ср-в ЛГОК 20.10.06" xfId="3707"/>
    <cellStyle name="_БЮДЖЕТ 2004 от 22.12.03.инвестиц_Дайджест 2003-2004 гг._01.04.06-01.10.06 Распред. ср-в ЛГОК 20.10.06 2" xfId="3708"/>
    <cellStyle name="_БЮДЖЕТ 2004 от 22.12.03.инвестиц_Дайджест 2003-2004 гг._01.04.06-01.10.06 Распред. ср-в ЛГОК 20.10.06 3" xfId="3709"/>
    <cellStyle name="_БЮДЖЕТ 2004 от 22.12.03.инвестиц_Дайджест 2003-2004 гг._01.04.06-01.10.06 Распред. ср-в ЛГОК 20.10.06 4" xfId="3710"/>
    <cellStyle name="_БЮДЖЕТ 2004 от 22.12.03.инвестиц_Дайджест 2003-2004 гг._01.04.06-01.10.06 Распред. ср-в ЛГОК 20.10.06 5" xfId="3711"/>
    <cellStyle name="_БЮДЖЕТ 2004 от 22.12.03.инвестиц_Дайджест 2003-2004 гг._01.04.06-01.10.06 Распред. ср-в ЛГОК 20.10.06 6" xfId="3712"/>
    <cellStyle name="_БЮДЖЕТ 2004 от 22.12.03.инвестиц_Дайджест 2003-2004 гг._01.04.06-01.10.06 Распред. ср-в ЛГОК 20.10.06 7" xfId="3713"/>
    <cellStyle name="_БЮДЖЕТ 2004 от 22.12.03.инвестиц_Дайджест 2003-2004 гг._01.04.06-01.10.06 Распред. ср-в ЛГОК 20.10.06 8" xfId="3714"/>
    <cellStyle name="_БЮДЖЕТ 2004 от 22.12.03.инвестиц_Дайджест 2003-2004 гг._01.04.06-01.10.06 Распред. ср-в ЛГОК 20.10.06 9" xfId="3715"/>
    <cellStyle name="_БЮДЖЕТ 2004 от 22.12.03.инвестиц_Дайджест 2003-2004 гг._01.04.06-01.10.06 Распред. ср-в ОЭМК 20.10.06" xfId="3716"/>
    <cellStyle name="_БЮДЖЕТ 2004 от 22.12.03.инвестиц_Дайджест 2003-2004 гг._01.04.06-01.10.06 Распред. ср-в ОЭМК 20.10.06 2" xfId="3717"/>
    <cellStyle name="_БЮДЖЕТ 2004 от 22.12.03.инвестиц_Дайджест 2003-2004 гг._01.04.06-01.10.06 Распред. ср-в ОЭМК 20.10.06 3" xfId="3718"/>
    <cellStyle name="_БЮДЖЕТ 2004 от 22.12.03.инвестиц_Дайджест 2003-2004 гг._01.04.06-01.10.06 Распред. ср-в ОЭМК 20.10.06 4" xfId="3719"/>
    <cellStyle name="_БЮДЖЕТ 2004 от 22.12.03.инвестиц_Дайджест 2003-2004 гг._01.04.06-01.10.06 Распред. ср-в ОЭМК 20.10.06 5" xfId="3720"/>
    <cellStyle name="_БЮДЖЕТ 2004 от 22.12.03.инвестиц_Дайджест 2003-2004 гг._01.04.06-01.10.06 Распред. ср-в ОЭМК 20.10.06 6" xfId="3721"/>
    <cellStyle name="_БЮДЖЕТ 2004 от 22.12.03.инвестиц_Дайджест 2003-2004 гг._01.04.06-01.10.06 Распред. ср-в ОЭМК 20.10.06 7" xfId="3722"/>
    <cellStyle name="_БЮДЖЕТ 2004 от 22.12.03.инвестиц_Дайджест 2003-2004 гг._01.04.06-01.10.06 Распред. ср-в ОЭМК 20.10.06 8" xfId="3723"/>
    <cellStyle name="_БЮДЖЕТ 2004 от 22.12.03.инвестиц_Дайджест 2003-2004 гг._01.04.06-01.10.06 Распред. ср-в ОЭМК 20.10.06 9" xfId="3724"/>
    <cellStyle name="_БЮДЖЕТ 2004 от 22.12.03.инвестиц_Дайджест 2003-2004 гг._090129 Погашение и уплата процентов Горшкова М." xfId="3725"/>
    <cellStyle name="_БЮДЖЕТ 2004 от 22.12.03.инвестиц_Дайджест 2003-2004 гг._090129 Погашение и уплата процентов Горшкова М. 2" xfId="3726"/>
    <cellStyle name="_БЮДЖЕТ 2004 от 22.12.03.инвестиц_Дайджест 2003-2004 гг._090129 Погашение и уплата процентов Горшкова М. 3" xfId="3727"/>
    <cellStyle name="_БЮДЖЕТ 2004 от 22.12.03.инвестиц_Дайджест 2003-2004 гг._090129 Погашение и уплата процентов Горшкова М. 4" xfId="3728"/>
    <cellStyle name="_БЮДЖЕТ 2004 от 22.12.03.инвестиц_Дайджест 2003-2004 гг._090129 Погашение и уплата процентов Горшкова М. 5" xfId="3729"/>
    <cellStyle name="_БЮДЖЕТ 2004 от 22.12.03.инвестиц_Дайджест 2003-2004 гг._090129 Погашение и уплата процентов Горшкова М. 6" xfId="3730"/>
    <cellStyle name="_БЮДЖЕТ 2004 от 22.12.03.инвестиц_Дайджест 2003-2004 гг._090129 Погашение и уплата процентов Горшкова М. 7" xfId="3731"/>
    <cellStyle name="_БЮДЖЕТ 2004 от 22.12.03.инвестиц_Дайджест 2003-2004 гг._090129 Погашение и уплата процентов Горшкова М. 8" xfId="3732"/>
    <cellStyle name="_БЮДЖЕТ 2004 от 22.12.03.инвестиц_Дайджест 2003-2004 гг._090129 Погашение и уплата процентов Горшкова М. 9" xfId="3733"/>
    <cellStyle name="_БЮДЖЕТ 2004 от 22.12.03.инвестиц_Дайджест 2003-2004 гг._1 - 10 декабря" xfId="3734"/>
    <cellStyle name="_БЮДЖЕТ 2004 от 22.12.03.инвестиц_Дайджест 2003-2004 гг._1-12,13,14 сентября" xfId="3735"/>
    <cellStyle name="_БЮДЖЕТ 2004 от 22.12.03.инвестиц_Дайджест 2003-2004 гг._13,14,28-30" xfId="3736"/>
    <cellStyle name="_БЮДЖЕТ 2004 от 22.12.03.инвестиц_Дайджест 2003-2004 гг._19" xfId="3737"/>
    <cellStyle name="_БЮДЖЕТ 2004 от 22.12.03.инвестиц_Дайджест 2003-2004 гг._2007 + год " xfId="3738"/>
    <cellStyle name="_БЮДЖЕТ 2004 от 22.12.03.инвестиц_Дайджест 2003-2004 гг._2007 + год  2" xfId="3739"/>
    <cellStyle name="_БЮДЖЕТ 2004 от 22.12.03.инвестиц_Дайджест 2003-2004 гг._2007 + год  3" xfId="3740"/>
    <cellStyle name="_БЮДЖЕТ 2004 от 22.12.03.инвестиц_Дайджест 2003-2004 гг._2007 + год  4" xfId="3741"/>
    <cellStyle name="_БЮДЖЕТ 2004 от 22.12.03.инвестиц_Дайджест 2003-2004 гг._2007 + год  5" xfId="3742"/>
    <cellStyle name="_БЮДЖЕТ 2004 от 22.12.03.инвестиц_Дайджест 2003-2004 гг._2007 + год  6" xfId="3743"/>
    <cellStyle name="_БЮДЖЕТ 2004 от 22.12.03.инвестиц_Дайджест 2003-2004 гг._2007 + год  7" xfId="3744"/>
    <cellStyle name="_БЮДЖЕТ 2004 от 22.12.03.инвестиц_Дайджест 2003-2004 гг._2007 + год  8" xfId="3745"/>
    <cellStyle name="_БЮДЖЕТ 2004 от 22.12.03.инвестиц_Дайджест 2003-2004 гг._2007 + год  9" xfId="3746"/>
    <cellStyle name="_БЮДЖЕТ 2004 от 22.12.03.инвестиц_Дайджест 2003-2004 гг._2007 г год план (фин.часть)" xfId="3747"/>
    <cellStyle name="_БЮДЖЕТ 2004 от 22.12.03.инвестиц_Дайджест 2003-2004 гг._2007 г год план (фин.часть) 2" xfId="3748"/>
    <cellStyle name="_БЮДЖЕТ 2004 от 22.12.03.инвестиц_Дайджест 2003-2004 гг._2007 г год план (фин.часть) 3" xfId="3749"/>
    <cellStyle name="_БЮДЖЕТ 2004 от 22.12.03.инвестиц_Дайджест 2003-2004 гг._2007 г год план (фин.часть) 4" xfId="3750"/>
    <cellStyle name="_БЮДЖЕТ 2004 от 22.12.03.инвестиц_Дайджест 2003-2004 гг._2007 г год план (фин.часть) 5" xfId="3751"/>
    <cellStyle name="_БЮДЖЕТ 2004 от 22.12.03.инвестиц_Дайджест 2003-2004 гг._2007 г год план (фин.часть) 6" xfId="3752"/>
    <cellStyle name="_БЮДЖЕТ 2004 от 22.12.03.инвестиц_Дайджест 2003-2004 гг._2007 г год план (фин.часть) 7" xfId="3753"/>
    <cellStyle name="_БЮДЖЕТ 2004 от 22.12.03.инвестиц_Дайджест 2003-2004 гг._2007 г год план (фин.часть) 8" xfId="3754"/>
    <cellStyle name="_БЮДЖЕТ 2004 от 22.12.03.инвестиц_Дайджест 2003-2004 гг._2007 г год план (фин.часть) 9" xfId="3755"/>
    <cellStyle name="_БЮДЖЕТ 2004 от 22.12.03.инвестиц_Дайджест 2003-2004 гг._2007 год " xfId="3756"/>
    <cellStyle name="_БЮДЖЕТ 2004 от 22.12.03.инвестиц_Дайджест 2003-2004 гг._2007 год  2" xfId="3757"/>
    <cellStyle name="_БЮДЖЕТ 2004 от 22.12.03.инвестиц_Дайджест 2003-2004 гг._2007 год  3" xfId="3758"/>
    <cellStyle name="_БЮДЖЕТ 2004 от 22.12.03.инвестиц_Дайджест 2003-2004 гг._2007 год  4" xfId="3759"/>
    <cellStyle name="_БЮДЖЕТ 2004 от 22.12.03.инвестиц_Дайджест 2003-2004 гг._2007 год  5" xfId="3760"/>
    <cellStyle name="_БЮДЖЕТ 2004 от 22.12.03.инвестиц_Дайджест 2003-2004 гг._2007 год  6" xfId="3761"/>
    <cellStyle name="_БЮДЖЕТ 2004 от 22.12.03.инвестиц_Дайджест 2003-2004 гг._2007 год  7" xfId="3762"/>
    <cellStyle name="_БЮДЖЕТ 2004 от 22.12.03.инвестиц_Дайджест 2003-2004 гг._2007 год  8" xfId="3763"/>
    <cellStyle name="_БЮДЖЕТ 2004 от 22.12.03.инвестиц_Дайджест 2003-2004 гг._2007 год  9" xfId="3764"/>
    <cellStyle name="_БЮДЖЕТ 2004 от 22.12.03.инвестиц_Дайджест 2003-2004 гг._2007 измен 11.12.06 2 вар " xfId="3765"/>
    <cellStyle name="_БЮДЖЕТ 2004 от 22.12.03.инвестиц_Дайджест 2003-2004 гг._2007 измен 11.12.06 2 вар  2" xfId="3766"/>
    <cellStyle name="_БЮДЖЕТ 2004 от 22.12.03.инвестиц_Дайджест 2003-2004 гг._2007 измен 11.12.06 2 вар  3" xfId="3767"/>
    <cellStyle name="_БЮДЖЕТ 2004 от 22.12.03.инвестиц_Дайджест 2003-2004 гг._2007 измен 11.12.06 2 вар  4" xfId="3768"/>
    <cellStyle name="_БЮДЖЕТ 2004 от 22.12.03.инвестиц_Дайджест 2003-2004 гг._2007 измен 11.12.06 2 вар  5" xfId="3769"/>
    <cellStyle name="_БЮДЖЕТ 2004 от 22.12.03.инвестиц_Дайджест 2003-2004 гг._2007 измен 11.12.06 2 вар  6" xfId="3770"/>
    <cellStyle name="_БЮДЖЕТ 2004 от 22.12.03.инвестиц_Дайджест 2003-2004 гг._2007 измен 11.12.06 2 вар  7" xfId="3771"/>
    <cellStyle name="_БЮДЖЕТ 2004 от 22.12.03.инвестиц_Дайджест 2003-2004 гг._2007 измен 11.12.06 2 вар  8" xfId="3772"/>
    <cellStyle name="_БЮДЖЕТ 2004 от 22.12.03.инвестиц_Дайджест 2003-2004 гг._2007 измен 11.12.06 2 вар  9" xfId="3773"/>
    <cellStyle name="_БЮДЖЕТ 2004 от 22.12.03.инвестиц_Дайджест 2003-2004 гг._2009-03-03 План марта рус" xfId="3774"/>
    <cellStyle name="_БЮДЖЕТ 2004 от 22.12.03.инвестиц_Дайджест 2003-2004 гг._2009-03-03 План марта рус 2" xfId="3775"/>
    <cellStyle name="_БЮДЖЕТ 2004 от 22.12.03.инвестиц_Дайджест 2003-2004 гг._2009-03-03 План марта рус 3" xfId="3776"/>
    <cellStyle name="_БЮДЖЕТ 2004 от 22.12.03.инвестиц_Дайджест 2003-2004 гг._2009-03-03 План марта рус 4" xfId="3777"/>
    <cellStyle name="_БЮДЖЕТ 2004 от 22.12.03.инвестиц_Дайджест 2003-2004 гг._2009-03-03 План марта рус 5" xfId="3778"/>
    <cellStyle name="_БЮДЖЕТ 2004 от 22.12.03.инвестиц_Дайджест 2003-2004 гг._2009-03-03 План марта рус 6" xfId="3779"/>
    <cellStyle name="_БЮДЖЕТ 2004 от 22.12.03.инвестиц_Дайджест 2003-2004 гг._2009-03-03 План марта рус 7" xfId="3780"/>
    <cellStyle name="_БЮДЖЕТ 2004 от 22.12.03.инвестиц_Дайджест 2003-2004 гг._2009-03-03 План марта рус 8" xfId="3781"/>
    <cellStyle name="_БЮДЖЕТ 2004 от 22.12.03.инвестиц_Дайджест 2003-2004 гг._2009-03-03 План марта рус 9" xfId="3782"/>
    <cellStyle name="_БЮДЖЕТ 2004 от 22.12.03.инвестиц_Дайджест 2003-2004 гг._25 разделы баланса раб (21.08.06)" xfId="3783"/>
    <cellStyle name="_БЮДЖЕТ 2004 от 22.12.03.инвестиц_Дайджест 2003-2004 гг._25 разделы баланса раб (21.08.06) 2" xfId="3784"/>
    <cellStyle name="_БЮДЖЕТ 2004 от 22.12.03.инвестиц_Дайджест 2003-2004 гг._25 разделы баланса раб (21.08.06) 3" xfId="3785"/>
    <cellStyle name="_БЮДЖЕТ 2004 от 22.12.03.инвестиц_Дайджест 2003-2004 гг._25 разделы баланса раб (21.08.06) 4" xfId="3786"/>
    <cellStyle name="_БЮДЖЕТ 2004 от 22.12.03.инвестиц_Дайджест 2003-2004 гг._25 разделы баланса раб (21.08.06) 5" xfId="3787"/>
    <cellStyle name="_БЮДЖЕТ 2004 от 22.12.03.инвестиц_Дайджест 2003-2004 гг._25 разделы баланса раб (21.08.06) 6" xfId="3788"/>
    <cellStyle name="_БЮДЖЕТ 2004 от 22.12.03.инвестиц_Дайджест 2003-2004 гг._25 разделы баланса раб (21.08.06) 7" xfId="3789"/>
    <cellStyle name="_БЮДЖЕТ 2004 от 22.12.03.инвестиц_Дайджест 2003-2004 гг._25 разделы баланса раб (21.08.06) 8" xfId="3790"/>
    <cellStyle name="_БЮДЖЕТ 2004 от 22.12.03.инвестиц_Дайджест 2003-2004 гг._25 разделы баланса раб (21.08.06) 9" xfId="3791"/>
    <cellStyle name="_БЮДЖЕТ 2004 от 22.12.03.инвестиц_Дайджест 2003-2004 гг._25.06.07" xfId="3792"/>
    <cellStyle name="_БЮДЖЕТ 2004 от 22.12.03.инвестиц_Дайджест 2003-2004 гг._25.06.07 2" xfId="3793"/>
    <cellStyle name="_БЮДЖЕТ 2004 от 22.12.03.инвестиц_Дайджест 2003-2004 гг._25.06.07 3" xfId="3794"/>
    <cellStyle name="_БЮДЖЕТ 2004 от 22.12.03.инвестиц_Дайджест 2003-2004 гг._25.06.07 4" xfId="3795"/>
    <cellStyle name="_БЮДЖЕТ 2004 от 22.12.03.инвестиц_Дайджест 2003-2004 гг._25.06.07 5" xfId="3796"/>
    <cellStyle name="_БЮДЖЕТ 2004 от 22.12.03.инвестиц_Дайджест 2003-2004 гг._25.06.07 6" xfId="3797"/>
    <cellStyle name="_БЮДЖЕТ 2004 от 22.12.03.инвестиц_Дайджест 2003-2004 гг._25.06.07 7" xfId="3798"/>
    <cellStyle name="_БЮДЖЕТ 2004 от 22.12.03.инвестиц_Дайджест 2003-2004 гг._25.06.07 8" xfId="3799"/>
    <cellStyle name="_БЮДЖЕТ 2004 от 22.12.03.инвестиц_Дайджест 2003-2004 гг._25.06.07 9" xfId="3800"/>
    <cellStyle name="_БЮДЖЕТ 2004 от 22.12.03.инвестиц_Дайджест 2003-2004 гг._26-30" xfId="3801"/>
    <cellStyle name="_БЮДЖЕТ 2004 от 22.12.03.инвестиц_Дайджест 2003-2004 гг._28" xfId="3802"/>
    <cellStyle name="_БЮДЖЕТ 2004 от 22.12.03.инвестиц_Дайджест 2003-2004 гг._28-30 (1)" xfId="3803"/>
    <cellStyle name="_БЮДЖЕТ 2004 от 22.12.03.инвестиц_Дайджест 2003-2004 гг._28-30 (1) 2" xfId="3804"/>
    <cellStyle name="_БЮДЖЕТ 2004 от 22.12.03.инвестиц_Дайджест 2003-2004 гг._28-30 (1) 3" xfId="3805"/>
    <cellStyle name="_БЮДЖЕТ 2004 от 22.12.03.инвестиц_Дайджест 2003-2004 гг._28-30 (1) 4" xfId="3806"/>
    <cellStyle name="_БЮДЖЕТ 2004 от 22.12.03.инвестиц_Дайджест 2003-2004 гг._28-30 (1) 5" xfId="3807"/>
    <cellStyle name="_БЮДЖЕТ 2004 от 22.12.03.инвестиц_Дайджест 2003-2004 гг._28-30 (1) 6" xfId="3808"/>
    <cellStyle name="_БЮДЖЕТ 2004 от 22.12.03.инвестиц_Дайджест 2003-2004 гг._28-30 (1) 7" xfId="3809"/>
    <cellStyle name="_БЮДЖЕТ 2004 от 22.12.03.инвестиц_Дайджест 2003-2004 гг._28-30 (1) 8" xfId="3810"/>
    <cellStyle name="_БЮДЖЕТ 2004 от 22.12.03.инвестиц_Дайджест 2003-2004 гг._28-30 (1) 9" xfId="3811"/>
    <cellStyle name="_БЮДЖЕТ 2004 от 22.12.03.инвестиц_Дайджест 2003-2004 гг._29 форма 12 месяцев" xfId="3812"/>
    <cellStyle name="_БЮДЖЕТ 2004 от 22.12.03.инвестиц_Дайджест 2003-2004 гг._29 форма 12 месяцев 2" xfId="3813"/>
    <cellStyle name="_БЮДЖЕТ 2004 от 22.12.03.инвестиц_Дайджест 2003-2004 гг._29 форма 12 месяцев 3" xfId="3814"/>
    <cellStyle name="_БЮДЖЕТ 2004 от 22.12.03.инвестиц_Дайджест 2003-2004 гг._29 форма 12 месяцев 4" xfId="3815"/>
    <cellStyle name="_БЮДЖЕТ 2004 от 22.12.03.инвестиц_Дайджест 2003-2004 гг._29 форма 12 месяцев 5" xfId="3816"/>
    <cellStyle name="_БЮДЖЕТ 2004 от 22.12.03.инвестиц_Дайджест 2003-2004 гг._29 форма 12 месяцев 6" xfId="3817"/>
    <cellStyle name="_БЮДЖЕТ 2004 от 22.12.03.инвестиц_Дайджест 2003-2004 гг._29 форма 12 месяцев 7" xfId="3818"/>
    <cellStyle name="_БЮДЖЕТ 2004 от 22.12.03.инвестиц_Дайджест 2003-2004 гг._29 форма 12 месяцев 8" xfId="3819"/>
    <cellStyle name="_БЮДЖЕТ 2004 от 22.12.03.инвестиц_Дайджест 2003-2004 гг._29 форма 12 месяцев 9" xfId="3820"/>
    <cellStyle name="_БЮДЖЕТ 2004 от 22.12.03.инвестиц_Дайджест 2003-2004 гг._29 форма 12 месяцев_13,14,28-30" xfId="3821"/>
    <cellStyle name="_БЮДЖЕТ 2004 от 22.12.03.инвестиц_Дайджест 2003-2004 гг._29 форма 12 месяцев_26-30" xfId="3822"/>
    <cellStyle name="_БЮДЖЕТ 2004 от 22.12.03.инвестиц_Дайджест 2003-2004 гг._29 форма 12 месяцев_28" xfId="3823"/>
    <cellStyle name="_БЮДЖЕТ 2004 от 22.12.03.инвестиц_Дайджест 2003-2004 гг._29 форма 12 месяцев_3 квартал" xfId="3824"/>
    <cellStyle name="_БЮДЖЕТ 2004 от 22.12.03.инвестиц_Дайджест 2003-2004 гг._29 форма 12 месяцев_3 квартал 2" xfId="3825"/>
    <cellStyle name="_БЮДЖЕТ 2004 от 22.12.03.инвестиц_Дайджест 2003-2004 гг._29 форма 12 месяцев_Книга2" xfId="3826"/>
    <cellStyle name="_БЮДЖЕТ 2004 от 22.12.03.инвестиц_Дайджест 2003-2004 гг._29 форма 12 месяцев_Копия Динамика цен (УС ) 2006-2009 сверен 30.01.09" xfId="3827"/>
    <cellStyle name="_БЮДЖЕТ 2004 от 22.12.03.инвестиц_Дайджест 2003-2004 гг._29 форма 12 месяцев_Обжиговая" xfId="3828"/>
    <cellStyle name="_БЮДЖЕТ 2004 от 22.12.03.инвестиц_Дайджест 2003-2004 гг._29 форма 12 месяцев_Отчет за сентябрь_11_ДСМ" xfId="3829"/>
    <cellStyle name="_БЮДЖЕТ 2004 от 22.12.03.инвестиц_Дайджест 2003-2004 гг._29 форма 12 месяцев_Стан 150" xfId="3830"/>
    <cellStyle name="_БЮДЖЕТ 2004 от 22.12.03.инвестиц_Дайджест 2003-2004 гг._29 форма 12 месяцев_фIIIкв Комплект ОЭМК (1-12,18,22) 28.10.08" xfId="3831"/>
    <cellStyle name="_БЮДЖЕТ 2004 от 22.12.03.инвестиц_Дайджест 2003-2004 гг._29 форма 12 месяцев_Форма №19" xfId="3832"/>
    <cellStyle name="_БЮДЖЕТ 2004 от 22.12.03.инвестиц_Дайджест 2003-2004 гг._29 форма 12 месяцев_Форма №24" xfId="3833"/>
    <cellStyle name="_БЮДЖЕТ 2004 от 22.12.03.инвестиц_Дайджест 2003-2004 гг._29 форма 12 месяцев_Формы _28-30 (новые)1" xfId="3834"/>
    <cellStyle name="_БЮДЖЕТ 2004 от 22.12.03.инвестиц_Дайджест 2003-2004 гг._29 форма 12 месяцев_Формы 28-30" xfId="3835"/>
    <cellStyle name="_БЮДЖЕТ 2004 от 22.12.03.инвестиц_Дайджест 2003-2004 гг._29 форма 12 месяцев_Формы №28-30 (новые)1" xfId="3836"/>
    <cellStyle name="_БЮДЖЕТ 2004 от 22.12.03.инвестиц_Дайджест 2003-2004 гг._29 форма 12 месяцев_Шаропрокатный" xfId="3837"/>
    <cellStyle name="_БЮДЖЕТ 2004 от 22.12.03.инвестиц_Дайджест 2003-2004 гг._29 форма 12 месяцев_ЭНЦ-1" xfId="3838"/>
    <cellStyle name="_БЮДЖЕТ 2004 от 22.12.03.инвестиц_Дайджест 2003-2004 гг._3 квартал" xfId="3839"/>
    <cellStyle name="_БЮДЖЕТ 2004 от 22.12.03.инвестиц_Дайджест 2003-2004 гг._3 квартал 2" xfId="3840"/>
    <cellStyle name="_БЮДЖЕТ 2004 от 22.12.03.инвестиц_Дайджест 2003-2004 гг._30" xfId="3841"/>
    <cellStyle name="_БЮДЖЕТ 2004 от 22.12.03.инвестиц_Дайджест 2003-2004 гг._30 2" xfId="3842"/>
    <cellStyle name="_БЮДЖЕТ 2004 от 22.12.03.инвестиц_Дайджест 2003-2004 гг._30 3" xfId="3843"/>
    <cellStyle name="_БЮДЖЕТ 2004 от 22.12.03.инвестиц_Дайджест 2003-2004 гг._30 4" xfId="3844"/>
    <cellStyle name="_БЮДЖЕТ 2004 от 22.12.03.инвестиц_Дайджест 2003-2004 гг._30 5" xfId="3845"/>
    <cellStyle name="_БЮДЖЕТ 2004 от 22.12.03.инвестиц_Дайджест 2003-2004 гг._30 6" xfId="3846"/>
    <cellStyle name="_БЮДЖЕТ 2004 от 22.12.03.инвестиц_Дайджест 2003-2004 гг._30 7" xfId="3847"/>
    <cellStyle name="_БЮДЖЕТ 2004 от 22.12.03.инвестиц_Дайджест 2003-2004 гг._30 8" xfId="3848"/>
    <cellStyle name="_БЮДЖЕТ 2004 от 22.12.03.инвестиц_Дайджест 2003-2004 гг._30 9" xfId="3849"/>
    <cellStyle name="_БЮДЖЕТ 2004 от 22.12.03.инвестиц_Дайджест 2003-2004 гг._30 форма (январьфакт)" xfId="3850"/>
    <cellStyle name="_БЮДЖЕТ 2004 от 22.12.03.инвестиц_Дайджест 2003-2004 гг._30 форма (январьфакт) 2" xfId="3851"/>
    <cellStyle name="_БЮДЖЕТ 2004 от 22.12.03.инвестиц_Дайджест 2003-2004 гг._30 форма (январьфакт) 3" xfId="3852"/>
    <cellStyle name="_БЮДЖЕТ 2004 от 22.12.03.инвестиц_Дайджест 2003-2004 гг._30 форма (январьфакт) 4" xfId="3853"/>
    <cellStyle name="_БЮДЖЕТ 2004 от 22.12.03.инвестиц_Дайджест 2003-2004 гг._30 форма (январьфакт) 5" xfId="3854"/>
    <cellStyle name="_БЮДЖЕТ 2004 от 22.12.03.инвестиц_Дайджест 2003-2004 гг._30 форма (январьфакт) 6" xfId="3855"/>
    <cellStyle name="_БЮДЖЕТ 2004 от 22.12.03.инвестиц_Дайджест 2003-2004 гг._30 форма (январьфакт) 7" xfId="3856"/>
    <cellStyle name="_БЮДЖЕТ 2004 от 22.12.03.инвестиц_Дайджест 2003-2004 гг._30 форма (январьфакт) 8" xfId="3857"/>
    <cellStyle name="_БЮДЖЕТ 2004 от 22.12.03.инвестиц_Дайджест 2003-2004 гг._30 форма (январьфакт) 9" xfId="3858"/>
    <cellStyle name="_БЮДЖЕТ 2004 от 22.12.03.инвестиц_Дайджест 2003-2004 гг._30 форма (январьфакт-мартплан)" xfId="3859"/>
    <cellStyle name="_БЮДЖЕТ 2004 от 22.12.03.инвестиц_Дайджест 2003-2004 гг._30 форма (январьфакт-мартплан) 2" xfId="3860"/>
    <cellStyle name="_БЮДЖЕТ 2004 от 22.12.03.инвестиц_Дайджест 2003-2004 гг._30 форма (январьфакт-мартплан) 3" xfId="3861"/>
    <cellStyle name="_БЮДЖЕТ 2004 от 22.12.03.инвестиц_Дайджест 2003-2004 гг._30 форма (январьфакт-мартплан) 4" xfId="3862"/>
    <cellStyle name="_БЮДЖЕТ 2004 от 22.12.03.инвестиц_Дайджест 2003-2004 гг._30 форма (январьфакт-мартплан) 5" xfId="3863"/>
    <cellStyle name="_БЮДЖЕТ 2004 от 22.12.03.инвестиц_Дайджест 2003-2004 гг._30 форма (январьфакт-мартплан) 6" xfId="3864"/>
    <cellStyle name="_БЮДЖЕТ 2004 от 22.12.03.инвестиц_Дайджест 2003-2004 гг._30 форма (январьфакт-мартплан) 7" xfId="3865"/>
    <cellStyle name="_БЮДЖЕТ 2004 от 22.12.03.инвестиц_Дайджест 2003-2004 гг._30 форма (январьфакт-мартплан) 8" xfId="3866"/>
    <cellStyle name="_БЮДЖЕТ 2004 от 22.12.03.инвестиц_Дайджест 2003-2004 гг._30 форма (январьфакт-мартплан) 9" xfId="3867"/>
    <cellStyle name="_БЮДЖЕТ 2004 от 22.12.03.инвестиц_Дайджест 2003-2004 гг._30 форма с ожидаемым за январь" xfId="3868"/>
    <cellStyle name="_БЮДЖЕТ 2004 от 22.12.03.инвестиц_Дайджест 2003-2004 гг._30 форма с ожидаемым за январь 2" xfId="3869"/>
    <cellStyle name="_БЮДЖЕТ 2004 от 22.12.03.инвестиц_Дайджест 2003-2004 гг._30 форма с ожидаемым за январь 3" xfId="3870"/>
    <cellStyle name="_БЮДЖЕТ 2004 от 22.12.03.инвестиц_Дайджест 2003-2004 гг._30 форма с ожидаемым за январь 4" xfId="3871"/>
    <cellStyle name="_БЮДЖЕТ 2004 от 22.12.03.инвестиц_Дайджест 2003-2004 гг._30 форма с ожидаемым за январь 5" xfId="3872"/>
    <cellStyle name="_БЮДЖЕТ 2004 от 22.12.03.инвестиц_Дайджест 2003-2004 гг._30 форма с ожидаемым за январь 6" xfId="3873"/>
    <cellStyle name="_БЮДЖЕТ 2004 от 22.12.03.инвестиц_Дайджест 2003-2004 гг._30 форма с ожидаемым за январь 7" xfId="3874"/>
    <cellStyle name="_БЮДЖЕТ 2004 от 22.12.03.инвестиц_Дайджест 2003-2004 гг._30 форма с ожидаемым за январь 8" xfId="3875"/>
    <cellStyle name="_БЮДЖЕТ 2004 от 22.12.03.инвестиц_Дайджест 2003-2004 гг._30 форма с ожидаемым за январь 9" xfId="3876"/>
    <cellStyle name="_БЮДЖЕТ 2004 от 22.12.03.инвестиц_Дайджест 2003-2004 гг._30 форма с фактом за декабрь" xfId="3877"/>
    <cellStyle name="_БЮДЖЕТ 2004 от 22.12.03.инвестиц_Дайджест 2003-2004 гг._30 форма с фактом за декабрь 2" xfId="3878"/>
    <cellStyle name="_БЮДЖЕТ 2004 от 22.12.03.инвестиц_Дайджест 2003-2004 гг._30 форма с фактом за декабрь 3" xfId="3879"/>
    <cellStyle name="_БЮДЖЕТ 2004 от 22.12.03.инвестиц_Дайджест 2003-2004 гг._30 форма с фактом за декабрь 4" xfId="3880"/>
    <cellStyle name="_БЮДЖЕТ 2004 от 22.12.03.инвестиц_Дайджест 2003-2004 гг._30 форма с фактом за декабрь 5" xfId="3881"/>
    <cellStyle name="_БЮДЖЕТ 2004 от 22.12.03.инвестиц_Дайджест 2003-2004 гг._30 форма с фактом за декабрь 6" xfId="3882"/>
    <cellStyle name="_БЮДЖЕТ 2004 от 22.12.03.инвестиц_Дайджест 2003-2004 гг._30 форма с фактом за декабрь 7" xfId="3883"/>
    <cellStyle name="_БЮДЖЕТ 2004 от 22.12.03.инвестиц_Дайджест 2003-2004 гг._30 форма с фактом за декабрь 8" xfId="3884"/>
    <cellStyle name="_БЮДЖЕТ 2004 от 22.12.03.инвестиц_Дайджест 2003-2004 гг._30 форма с фактом за декабрь 9" xfId="3885"/>
    <cellStyle name="_БЮДЖЕТ 2004 от 22.12.03.инвестиц_Дайджест 2003-2004 гг._30 форма с фактом за ноябрь" xfId="3886"/>
    <cellStyle name="_БЮДЖЕТ 2004 от 22.12.03.инвестиц_Дайджест 2003-2004 гг._30 форма с фактом за ноябрь 2" xfId="3887"/>
    <cellStyle name="_БЮДЖЕТ 2004 от 22.12.03.инвестиц_Дайджест 2003-2004 гг._30 форма с фактом за ноябрь 3" xfId="3888"/>
    <cellStyle name="_БЮДЖЕТ 2004 от 22.12.03.инвестиц_Дайджест 2003-2004 гг._30 форма с фактом за ноябрь 4" xfId="3889"/>
    <cellStyle name="_БЮДЖЕТ 2004 от 22.12.03.инвестиц_Дайджест 2003-2004 гг._30 форма с фактом за ноябрь 5" xfId="3890"/>
    <cellStyle name="_БЮДЖЕТ 2004 от 22.12.03.инвестиц_Дайджест 2003-2004 гг._30 форма с фактом за ноябрь 6" xfId="3891"/>
    <cellStyle name="_БЮДЖЕТ 2004 от 22.12.03.инвестиц_Дайджест 2003-2004 гг._30 форма с фактом за ноябрь 7" xfId="3892"/>
    <cellStyle name="_БЮДЖЕТ 2004 от 22.12.03.инвестиц_Дайджест 2003-2004 гг._30 форма с фактом за ноябрь 8" xfId="3893"/>
    <cellStyle name="_БЮДЖЕТ 2004 от 22.12.03.инвестиц_Дайджест 2003-2004 гг._30 форма с фактом за ноябрь 9" xfId="3894"/>
    <cellStyle name="_БЮДЖЕТ 2004 от 22.12.03.инвестиц_Дайджест 2003-2004 гг._8" xfId="3895"/>
    <cellStyle name="_БЮДЖЕТ 2004 от 22.12.03.инвестиц_Дайджест 2003-2004 гг._8 2" xfId="3896"/>
    <cellStyle name="_БЮДЖЕТ 2004 от 22.12.03.инвестиц_Дайджест 2003-2004 гг._8 3" xfId="3897"/>
    <cellStyle name="_БЮДЖЕТ 2004 от 22.12.03.инвестиц_Дайджест 2003-2004 гг._8 4" xfId="3898"/>
    <cellStyle name="_БЮДЖЕТ 2004 от 22.12.03.инвестиц_Дайджест 2003-2004 гг._8 5" xfId="3899"/>
    <cellStyle name="_БЮДЖЕТ 2004 от 22.12.03.инвестиц_Дайджест 2003-2004 гг._8 6" xfId="3900"/>
    <cellStyle name="_БЮДЖЕТ 2004 от 22.12.03.инвестиц_Дайджест 2003-2004 гг._8 7" xfId="3901"/>
    <cellStyle name="_БЮДЖЕТ 2004 от 22.12.03.инвестиц_Дайджест 2003-2004 гг._8 8" xfId="3902"/>
    <cellStyle name="_БЮДЖЕТ 2004 от 22.12.03.инвестиц_Дайджест 2003-2004 гг._8 9" xfId="3903"/>
    <cellStyle name="_БЮДЖЕТ 2004 от 22.12.03.инвестиц_Дайджест 2003-2004 гг._8_13,14,28-30" xfId="3904"/>
    <cellStyle name="_БЮДЖЕТ 2004 от 22.12.03.инвестиц_Дайджест 2003-2004 гг._8_19" xfId="3905"/>
    <cellStyle name="_БЮДЖЕТ 2004 от 22.12.03.инвестиц_Дайджест 2003-2004 гг._8_26-30" xfId="3906"/>
    <cellStyle name="_БЮДЖЕТ 2004 от 22.12.03.инвестиц_Дайджест 2003-2004 гг._8_28" xfId="3907"/>
    <cellStyle name="_БЮДЖЕТ 2004 от 22.12.03.инвестиц_Дайджест 2003-2004 гг._8_3 квартал" xfId="3908"/>
    <cellStyle name="_БЮДЖЕТ 2004 от 22.12.03.инвестиц_Дайджест 2003-2004 гг._8_3 квартал 2" xfId="3909"/>
    <cellStyle name="_БЮДЖЕТ 2004 от 22.12.03.инвестиц_Дайджест 2003-2004 гг._8_index" xfId="3910"/>
    <cellStyle name="_БЮДЖЕТ 2004 от 22.12.03.инвестиц_Дайджест 2003-2004 гг._8_БП Урал Кирпич 28 01 2008г" xfId="3911"/>
    <cellStyle name="_БЮДЖЕТ 2004 от 22.12.03.инвестиц_Дайджест 2003-2004 гг._8_БП Урал Кирпич 28 01 2008г_ф2 склад гп" xfId="3912"/>
    <cellStyle name="_БЮДЖЕТ 2004 от 22.12.03.инвестиц_Дайджест 2003-2004 гг._8_БП_план на 1 кв. 2008г." xfId="3913"/>
    <cellStyle name="_БЮДЖЕТ 2004 от 22.12.03.инвестиц_Дайджест 2003-2004 гг._8_БП_план на 2 кв. 2008г." xfId="3914"/>
    <cellStyle name="_БЮДЖЕТ 2004 от 22.12.03.инвестиц_Дайджест 2003-2004 гг._8_Верх НА" xfId="3915"/>
    <cellStyle name="_БЮДЖЕТ 2004 от 22.12.03.инвестиц_Дайджест 2003-2004 гг._8_Выручка февраля 09 от 22 01 09 (1)" xfId="3916"/>
    <cellStyle name="_БЮДЖЕТ 2004 от 22.12.03.инвестиц_Дайджест 2003-2004 гг._8_Запчасти май-апрель (12)" xfId="3917"/>
    <cellStyle name="_БЮДЖЕТ 2004 от 22.12.03.инвестиц_Дайджест 2003-2004 гг._8_Калькуляции ДСМ" xfId="3918"/>
    <cellStyle name="_БЮДЖЕТ 2004 от 22.12.03.инвестиц_Дайджест 2003-2004 гг._8_Книга2" xfId="3919"/>
    <cellStyle name="_БЮДЖЕТ 2004 от 22.12.03.инвестиц_Дайджест 2003-2004 гг._8_Книга2_Динамика объемов производства и отгрузки 2009-2012" xfId="3920"/>
    <cellStyle name="_БЮДЖЕТ 2004 от 22.12.03.инвестиц_Дайджест 2003-2004 гг._8_Конс  ЛГОК БП 2009 от 14 10 08" xfId="3921"/>
    <cellStyle name="_БЮДЖЕТ 2004 от 22.12.03.инвестиц_Дайджест 2003-2004 гг._8_Конс  МГОК БП 2009 от 14 10 08" xfId="3922"/>
    <cellStyle name="_БЮДЖЕТ 2004 от 22.12.03.инвестиц_Дайджест 2003-2004 гг._8_Копия Динамика цен (УС ) 2006-2009 сверен 30.01.09" xfId="3923"/>
    <cellStyle name="_БЮДЖЕТ 2004 от 22.12.03.инвестиц_Дайджест 2003-2004 гг._8_Копия Потребность взаиморасч  от 28 02 2008 (2)" xfId="3924"/>
    <cellStyle name="_БЮДЖЕТ 2004 от 22.12.03.инвестиц_Дайджест 2003-2004 гг._8_МИТ_РК и ДП за апрель" xfId="3925"/>
    <cellStyle name="_БЮДЖЕТ 2004 от 22.12.03.инвестиц_Дайджест 2003-2004 гг._8_МИТ_РК и ДП за апрель_Отчет за сентябрь_11_ДСМ" xfId="3926"/>
    <cellStyle name="_БЮДЖЕТ 2004 от 22.12.03.инвестиц_Дайджест 2003-2004 гг._8_Налог на прибыль" xfId="3927"/>
    <cellStyle name="_БЮДЖЕТ 2004 от 22.12.03.инвестиц_Дайджест 2003-2004 гг._8_Налоги А.А. Богоцкому 2005-2009" xfId="3928"/>
    <cellStyle name="_БЮДЖЕТ 2004 от 22.12.03.инвестиц_Дайджест 2003-2004 гг._8_Налоги к плану на 2009 год (ДЗ и КЗ)" xfId="3929"/>
    <cellStyle name="_БЮДЖЕТ 2004 от 22.12.03.инвестиц_Дайджест 2003-2004 гг._8_Налоги к плану на февраль 2009 года" xfId="3930"/>
    <cellStyle name="_БЮДЖЕТ 2004 от 22.12.03.инвестиц_Дайджест 2003-2004 гг._8_Обжиговая" xfId="3931"/>
    <cellStyle name="_БЮДЖЕТ 2004 от 22.12.03.инвестиц_Дайджест 2003-2004 гг._8_Отчет за 1 кв_08_ДСМ ОТЧЕТ_10.07" xfId="3932"/>
    <cellStyle name="_БЮДЖЕТ 2004 от 22.12.03.инвестиц_Дайджест 2003-2004 гг._8_Отчет за 1 кв_08_ДСМ ОТЧЕТ_10.07_Отчет за 2 кв_10_ДСM ОТЧЕТ" xfId="3933"/>
    <cellStyle name="_БЮДЖЕТ 2004 от 22.12.03.инвестиц_Дайджест 2003-2004 гг._8_Отчет за 1 кв_08_ДСМ ОТЧЕТ_10.07_Отчет за 2 кв_10_ДСМ_1" xfId="3934"/>
    <cellStyle name="_БЮДЖЕТ 2004 от 22.12.03.инвестиц_Дайджест 2003-2004 гг._8_Отчет за сентябрь_11_ДСМ_ОТЧЕТ" xfId="3935"/>
    <cellStyle name="_БЮДЖЕТ 2004 от 22.12.03.инвестиц_Дайджест 2003-2004 гг._8_План ДСМ 2 квартал 2009 ОТЧЕТ отп" xfId="3936"/>
    <cellStyle name="_БЮДЖЕТ 2004 от 22.12.03.инвестиц_Дайджест 2003-2004 гг._8_План ДСМ на 4 квартал 2006 (последняя версия) 2" xfId="3937"/>
    <cellStyle name="_БЮДЖЕТ 2004 от 22.12.03.инвестиц_Дайджест 2003-2004 гг._8_План ДСМ на 4 квартал 2006 (последняя версия) 2_Ожидаемый факт 4 кв., год-1" xfId="3938"/>
    <cellStyle name="_БЮДЖЕТ 2004 от 22.12.03.инвестиц_Дайджест 2003-2004 гг._8_План ДСМ на 4 квартал 2006 (последняя версия) 2_План ДСМ 4 квартал 2009 ОТЧЕТ" xfId="3939"/>
    <cellStyle name="_БЮДЖЕТ 2004 от 22.12.03.инвестиц_Дайджест 2003-2004 гг._8_План ДСМ на 4 квартал 2006 (последняя версия) 2_План на 2009 год ДСМ_9_без разбивки по мес, изм уплаты НП" xfId="3940"/>
    <cellStyle name="_БЮДЖЕТ 2004 от 22.12.03.инвестиц_Дайджест 2003-2004 гг._8_План ДСМ на 4 квартал 2006 (последняя версия) 2_План на 2010 год ДСМ" xfId="3941"/>
    <cellStyle name="_БЮДЖЕТ 2004 от 22.12.03.инвестиц_Дайджест 2003-2004 гг._8_План ДСМ ноябрь 2011 ОТЧЕТ" xfId="3942"/>
    <cellStyle name="_БЮДЖЕТ 2004 от 22.12.03.инвестиц_Дайджест 2003-2004 гг._8_План ДСФ 1 квартал 2007" xfId="3943"/>
    <cellStyle name="_БЮДЖЕТ 2004 от 22.12.03.инвестиц_Дайджест 2003-2004 гг._8_План ДСФ 1 квартал 2007_План ДСМ 2 квартал 2009 ОТЧЕТ отп" xfId="3944"/>
    <cellStyle name="_БЮДЖЕТ 2004 от 22.12.03.инвестиц_Дайджест 2003-2004 гг._8_План ДСФ 1 квартал 2007_План ДСМ 2 квартал 2009 ОТЧЕТ отп_ф2 склад гп" xfId="3945"/>
    <cellStyle name="_БЮДЖЕТ 2004 от 22.12.03.инвестиц_Дайджест 2003-2004 гг._8_План ДСФ 1 квартал 2007_План ДСМ 3 квартал 2008_1" xfId="3946"/>
    <cellStyle name="_БЮДЖЕТ 2004 от 22.12.03.инвестиц_Дайджест 2003-2004 гг._8_План ДСФ 1 квартал 2007_План ДСМ 3 квартал 2009 ОТЧЕТ" xfId="3947"/>
    <cellStyle name="_БЮДЖЕТ 2004 от 22.12.03.инвестиц_Дайджест 2003-2004 гг._8_План ДСФ 1 квартал 2007_План ДСМ 3 квартал 2009 ОТЧЕТ отп" xfId="3948"/>
    <cellStyle name="_БЮДЖЕТ 2004 от 22.12.03.инвестиц_Дайджест 2003-2004 гг._8_План ДСФ 1 квартал 2007_План ДСМ 3 квартал 2010_1" xfId="3949"/>
    <cellStyle name="_БЮДЖЕТ 2004 от 22.12.03.инвестиц_Дайджест 2003-2004 гг._8_План ДСФ 1 квартал 2007_План ДСФ 4 квартал 2009 ОТЧЕТ" xfId="3950"/>
    <cellStyle name="_БЮДЖЕТ 2004 от 22.12.03.инвестиц_Дайджест 2003-2004 гг._8_План ДСФ 1 квартал 2007_План на 2010 год ДСМ ОТЧЕТ" xfId="3951"/>
    <cellStyle name="_БЮДЖЕТ 2004 от 22.12.03.инвестиц_Дайджест 2003-2004 гг._8_План ДСФ 2 квартал 2009 ОТЧЕТ отп" xfId="3952"/>
    <cellStyle name="_БЮДЖЕТ 2004 от 22.12.03.инвестиц_Дайджест 2003-2004 гг._8_План ДСФ 2 квартал 2009 ОТЧЕТ отп_ф2 склад гп" xfId="3953"/>
    <cellStyle name="_БЮДЖЕТ 2004 от 22.12.03.инвестиц_Дайджест 2003-2004 гг._8_План на 2009 год ДСФ" xfId="3954"/>
    <cellStyle name="_БЮДЖЕТ 2004 от 22.12.03.инвестиц_Дайджест 2003-2004 гг._8_План на 2010 год ДСЩ ОТЧЕТ" xfId="3955"/>
    <cellStyle name="_БЮДЖЕТ 2004 от 22.12.03.инвестиц_Дайджест 2003-2004 гг._8_Сравнение ожидаемого 2008 с 2009г  ОЭМК от 06 10 2008" xfId="3956"/>
    <cellStyle name="_БЮДЖЕТ 2004 от 22.12.03.инвестиц_Дайджест 2003-2004 гг._8_Сравнение ожидаемого 2008 УС c 2009г  от 06 10 2008" xfId="3957"/>
    <cellStyle name="_БЮДЖЕТ 2004 от 22.12.03.инвестиц_Дайджест 2003-2004 гг._8_Стан 150" xfId="3958"/>
    <cellStyle name="_БЮДЖЕТ 2004 от 22.12.03.инвестиц_Дайджест 2003-2004 гг._8_титульный лист" xfId="3959"/>
    <cellStyle name="_БЮДЖЕТ 2004 от 22.12.03.инвестиц_Дайджест 2003-2004 гг._8_УК отчет за 3 кв. 2009_29_10" xfId="3960"/>
    <cellStyle name="_БЮДЖЕТ 2004 от 22.12.03.инвестиц_Дайджест 2003-2004 гг._8_УК отчет за май 2009" xfId="3961"/>
    <cellStyle name="_БЮДЖЕТ 2004 от 22.12.03.инвестиц_Дайджест 2003-2004 гг._8_УралКирпич_план на 2 кв. 2009" xfId="3962"/>
    <cellStyle name="_БЮДЖЕТ 2004 от 22.12.03.инвестиц_Дайджест 2003-2004 гг._8_УралКирпич_план на 2 кв. 2009_ф2 склад гп" xfId="3963"/>
    <cellStyle name="_БЮДЖЕТ 2004 от 22.12.03.инвестиц_Дайджест 2003-2004 гг._8_ф 6рем пс(ноябрь) (2)" xfId="3964"/>
    <cellStyle name="_БЮДЖЕТ 2004 от 22.12.03.инвестиц_Дайджест 2003-2004 гг._8_ф2 склад ГП" xfId="3965"/>
    <cellStyle name="_БЮДЖЕТ 2004 от 22.12.03.инвестиц_Дайджест 2003-2004 гг._8_Ф20 от налоговой" xfId="3966"/>
    <cellStyle name="_БЮДЖЕТ 2004 от 22.12.03.инвестиц_Дайджест 2003-2004 гг._8_ф6 сентябрь с запчастями (3)" xfId="3967"/>
    <cellStyle name="_БЮДЖЕТ 2004 от 22.12.03.инвестиц_Дайджест 2003-2004 гг._8_фIIIкв Комплект ОЭМК (1-12,18,22) 28.10.08" xfId="3968"/>
    <cellStyle name="_БЮДЖЕТ 2004 от 22.12.03.инвестиц_Дайджест 2003-2004 гг._8_Форма №13" xfId="3969"/>
    <cellStyle name="_БЮДЖЕТ 2004 от 22.12.03.инвестиц_Дайджест 2003-2004 гг._8_Форма №19" xfId="3970"/>
    <cellStyle name="_БЮДЖЕТ 2004 от 22.12.03.инвестиц_Дайджест 2003-2004 гг._8_Форма №24" xfId="3971"/>
    <cellStyle name="_БЮДЖЕТ 2004 от 22.12.03.инвестиц_Дайджест 2003-2004 гг._8_Форма№13 (новая от 28 12 09г) февраль версия № и последняя" xfId="3972"/>
    <cellStyle name="_БЮДЖЕТ 2004 от 22.12.03.инвестиц_Дайджест 2003-2004 гг._8_Формы _28-30 (новые)1" xfId="3973"/>
    <cellStyle name="_БЮДЖЕТ 2004 от 22.12.03.инвестиц_Дайджест 2003-2004 гг._8_Формы 28-30" xfId="3974"/>
    <cellStyle name="_БЮДЖЕТ 2004 от 22.12.03.инвестиц_Дайджест 2003-2004 гг._8_Формы №28-30 (новые)1" xfId="3975"/>
    <cellStyle name="_БЮДЖЕТ 2004 от 22.12.03.инвестиц_Дайджест 2003-2004 гг._8_Шаропрокатный" xfId="3976"/>
    <cellStyle name="_БЮДЖЕТ 2004 от 22.12.03.инвестиц_Дайджест 2003-2004 гг._8_ЭНЦ-1" xfId="3977"/>
    <cellStyle name="_БЮДЖЕТ 2004 от 22.12.03.инвестиц_Дайджест 2003-2004 гг._EBITDA_дивизион_12.11.2007" xfId="3978"/>
    <cellStyle name="_БЮДЖЕТ 2004 от 22.12.03.инвестиц_Дайджест 2003-2004 гг._EBITDA_дивизион_12.11.2007 2" xfId="3979"/>
    <cellStyle name="_БЮДЖЕТ 2004 от 22.12.03.инвестиц_Дайджест 2003-2004 гг._EBITDA_дивизион_12.11.2007 3" xfId="3980"/>
    <cellStyle name="_БЮДЖЕТ 2004 от 22.12.03.инвестиц_Дайджест 2003-2004 гг._EBITDA_дивизион_12.11.2007 4" xfId="3981"/>
    <cellStyle name="_БЮДЖЕТ 2004 от 22.12.03.инвестиц_Дайджест 2003-2004 гг._EBITDA_дивизион_12.11.2007 5" xfId="3982"/>
    <cellStyle name="_БЮДЖЕТ 2004 от 22.12.03.инвестиц_Дайджест 2003-2004 гг._EBITDA_дивизион_12.11.2007 6" xfId="3983"/>
    <cellStyle name="_БЮДЖЕТ 2004 от 22.12.03.инвестиц_Дайджест 2003-2004 гг._EBITDA_дивизион_12.11.2007 7" xfId="3984"/>
    <cellStyle name="_БЮДЖЕТ 2004 от 22.12.03.инвестиц_Дайджест 2003-2004 гг._EBITDA_дивизион_12.11.2007 8" xfId="3985"/>
    <cellStyle name="_БЮДЖЕТ 2004 от 22.12.03.инвестиц_Дайджест 2003-2004 гг._EBITDA_дивизион_12.11.2007 9" xfId="3986"/>
    <cellStyle name="_БЮДЖЕТ 2004 от 22.12.03.инвестиц_Дайджест 2003-2004 гг._index" xfId="3987"/>
    <cellStyle name="_БЮДЖЕТ 2004 от 22.12.03.инвестиц_Дайджест 2003-2004 гг._№13, №14" xfId="3988"/>
    <cellStyle name="_БЮДЖЕТ 2004 от 22.12.03.инвестиц_Дайджест 2003-2004 гг._№13, №14 02.04.07" xfId="3989"/>
    <cellStyle name="_БЮДЖЕТ 2004 от 22.12.03.инвестиц_Дайджест 2003-2004 гг._№13, №14 2" xfId="3990"/>
    <cellStyle name="_БЮДЖЕТ 2004 от 22.12.03.инвестиц_Дайджест 2003-2004 гг._№13, №14 3" xfId="3991"/>
    <cellStyle name="_БЮДЖЕТ 2004 от 22.12.03.инвестиц_Дайджест 2003-2004 гг._№13, №14 4" xfId="3992"/>
    <cellStyle name="_БЮДЖЕТ 2004 от 22.12.03.инвестиц_Дайджест 2003-2004 гг._№13, №14 5" xfId="3993"/>
    <cellStyle name="_БЮДЖЕТ 2004 от 22.12.03.инвестиц_Дайджест 2003-2004 гг._№13, №14 6" xfId="3994"/>
    <cellStyle name="_БЮДЖЕТ 2004 от 22.12.03.инвестиц_Дайджест 2003-2004 гг._№13, №14 7" xfId="3995"/>
    <cellStyle name="_БЮДЖЕТ 2004 от 22.12.03.инвестиц_Дайджест 2003-2004 гг._№13, №14 8" xfId="3996"/>
    <cellStyle name="_БЮДЖЕТ 2004 от 22.12.03.инвестиц_Дайджест 2003-2004 гг._№13, №14 9" xfId="3997"/>
    <cellStyle name="_БЮДЖЕТ 2004 от 22.12.03.инвестиц_Дайджест 2003-2004 гг._№13, №14 от 15.12.2006" xfId="3998"/>
    <cellStyle name="_БЮДЖЕТ 2004 от 22.12.03.инвестиц_Дайджест 2003-2004 гг._№13, №14 от 15.12.2006 2" xfId="3999"/>
    <cellStyle name="_БЮДЖЕТ 2004 от 22.12.03.инвестиц_Дайджест 2003-2004 гг._№13, №14 от 15.12.2006 3" xfId="4000"/>
    <cellStyle name="_БЮДЖЕТ 2004 от 22.12.03.инвестиц_Дайджест 2003-2004 гг._№13, №14 от 15.12.2006 4" xfId="4001"/>
    <cellStyle name="_БЮДЖЕТ 2004 от 22.12.03.инвестиц_Дайджест 2003-2004 гг._№13, №14 от 15.12.2006 5" xfId="4002"/>
    <cellStyle name="_БЮДЖЕТ 2004 от 22.12.03.инвестиц_Дайджест 2003-2004 гг._№13, №14 от 15.12.2006 6" xfId="4003"/>
    <cellStyle name="_БЮДЖЕТ 2004 от 22.12.03.инвестиц_Дайджест 2003-2004 гг._№13, №14 от 15.12.2006 7" xfId="4004"/>
    <cellStyle name="_БЮДЖЕТ 2004 от 22.12.03.инвестиц_Дайджест 2003-2004 гг._№13, №14 от 15.12.2006 8" xfId="4005"/>
    <cellStyle name="_БЮДЖЕТ 2004 от 22.12.03.инвестиц_Дайджест 2003-2004 гг._№13, №14 от 15.12.2006 9" xfId="4006"/>
    <cellStyle name="_БЮДЖЕТ 2004 от 22.12.03.инвестиц_Дайджест 2003-2004 гг._№13, №14 январь 2007 25.02.07" xfId="4007"/>
    <cellStyle name="_БЮДЖЕТ 2004 от 22.12.03.инвестиц_Дайджест 2003-2004 гг._№13, №14 январь 2007 25.02.07 2" xfId="4008"/>
    <cellStyle name="_БЮДЖЕТ 2004 от 22.12.03.инвестиц_Дайджест 2003-2004 гг._№13, №14 январь 2007 25.02.07 3" xfId="4009"/>
    <cellStyle name="_БЮДЖЕТ 2004 от 22.12.03.инвестиц_Дайджест 2003-2004 гг._№13, №14 январь 2007 25.02.07 4" xfId="4010"/>
    <cellStyle name="_БЮДЖЕТ 2004 от 22.12.03.инвестиц_Дайджест 2003-2004 гг._№13, №14 январь 2007 25.02.07 5" xfId="4011"/>
    <cellStyle name="_БЮДЖЕТ 2004 от 22.12.03.инвестиц_Дайджест 2003-2004 гг._№13, №14 январь 2007 25.02.07 6" xfId="4012"/>
    <cellStyle name="_БЮДЖЕТ 2004 от 22.12.03.инвестиц_Дайджест 2003-2004 гг._№13, №14 январь 2007 25.02.07 7" xfId="4013"/>
    <cellStyle name="_БЮДЖЕТ 2004 от 22.12.03.инвестиц_Дайджест 2003-2004 гг._№13, №14 январь 2007 25.02.07 8" xfId="4014"/>
    <cellStyle name="_БЮДЖЕТ 2004 от 22.12.03.инвестиц_Дайджест 2003-2004 гг._№13, №14 январь 2007 25.02.07 9" xfId="4015"/>
    <cellStyle name="_БЮДЖЕТ 2004 от 22.12.03.инвестиц_Дайджест 2003-2004 гг._№13, №14 январь 2007 25.02.07_index" xfId="4016"/>
    <cellStyle name="_БЮДЖЕТ 2004 от 22.12.03.инвестиц_Дайджест 2003-2004 гг._№13, №14 январь 2007 25.02.07_Копия Потребность взаиморасч  от 28 02 2008 (2)" xfId="4017"/>
    <cellStyle name="_БЮДЖЕТ 2004 от 22.12.03.инвестиц_Дайджест 2003-2004 гг._№13, №14 январь 2007 25.02.07_Форма№13 (новая от 28 12 09г) февраль версия № и последняя" xfId="4018"/>
    <cellStyle name="_БЮДЖЕТ 2004 от 22.12.03.инвестиц_Дайджест 2003-2004 гг._№26 измен 03.04.07" xfId="4019"/>
    <cellStyle name="_БЮДЖЕТ 2004 от 22.12.03.инвестиц_Дайджест 2003-2004 гг._№26 измен 15.12.06 4 вар " xfId="4020"/>
    <cellStyle name="_БЮДЖЕТ 2004 от 22.12.03.инвестиц_Дайджест 2003-2004 гг._№26 измен 15.12.06 4 вар  2" xfId="4021"/>
    <cellStyle name="_БЮДЖЕТ 2004 от 22.12.03.инвестиц_Дайджест 2003-2004 гг._№26 измен 15.12.06 4 вар  3" xfId="4022"/>
    <cellStyle name="_БЮДЖЕТ 2004 от 22.12.03.инвестиц_Дайджест 2003-2004 гг._№26 измен 15.12.06 4 вар  4" xfId="4023"/>
    <cellStyle name="_БЮДЖЕТ 2004 от 22.12.03.инвестиц_Дайджест 2003-2004 гг._№26 измен 15.12.06 4 вар  5" xfId="4024"/>
    <cellStyle name="_БЮДЖЕТ 2004 от 22.12.03.инвестиц_Дайджест 2003-2004 гг._№26 измен 15.12.06 4 вар  6" xfId="4025"/>
    <cellStyle name="_БЮДЖЕТ 2004 от 22.12.03.инвестиц_Дайджест 2003-2004 гг._№26 измен 15.12.06 4 вар  7" xfId="4026"/>
    <cellStyle name="_БЮДЖЕТ 2004 от 22.12.03.инвестиц_Дайджест 2003-2004 гг._№26 измен 15.12.06 4 вар  8" xfId="4027"/>
    <cellStyle name="_БЮДЖЕТ 2004 от 22.12.03.инвестиц_Дайджест 2003-2004 гг._№26 измен 15.12.06 4 вар  9" xfId="4028"/>
    <cellStyle name="_БЮДЖЕТ 2004 от 22.12.03.инвестиц_Дайджест 2003-2004 гг._№26, от 25.02.07" xfId="4029"/>
    <cellStyle name="_БЮДЖЕТ 2004 от 22.12.03.инвестиц_Дайджест 2003-2004 гг._№26, от 25.02.07 2" xfId="4030"/>
    <cellStyle name="_БЮДЖЕТ 2004 от 22.12.03.инвестиц_Дайджест 2003-2004 гг._№26, от 25.02.07 3" xfId="4031"/>
    <cellStyle name="_БЮДЖЕТ 2004 от 22.12.03.инвестиц_Дайджест 2003-2004 гг._№26, от 25.02.07 4" xfId="4032"/>
    <cellStyle name="_БЮДЖЕТ 2004 от 22.12.03.инвестиц_Дайджест 2003-2004 гг._№26, от 25.02.07 5" xfId="4033"/>
    <cellStyle name="_БЮДЖЕТ 2004 от 22.12.03.инвестиц_Дайджест 2003-2004 гг._№26, от 25.02.07 6" xfId="4034"/>
    <cellStyle name="_БЮДЖЕТ 2004 от 22.12.03.инвестиц_Дайджест 2003-2004 гг._№26, от 25.02.07 7" xfId="4035"/>
    <cellStyle name="_БЮДЖЕТ 2004 от 22.12.03.инвестиц_Дайджест 2003-2004 гг._№26, от 25.02.07 8" xfId="4036"/>
    <cellStyle name="_БЮДЖЕТ 2004 от 22.12.03.инвестиц_Дайджест 2003-2004 гг._№26, от 25.02.07 9" xfId="4037"/>
    <cellStyle name="_БЮДЖЕТ 2004 от 22.12.03.инвестиц_Дайджест 2003-2004 гг._№26, от 25.02.07_index" xfId="4038"/>
    <cellStyle name="_БЮДЖЕТ 2004 от 22.12.03.инвестиц_Дайджест 2003-2004 гг._№26, от 25.02.07_Копия Потребность взаиморасч  от 28 02 2008 (2)" xfId="4039"/>
    <cellStyle name="_БЮДЖЕТ 2004 от 22.12.03.инвестиц_Дайджест 2003-2004 гг._№26, от 25.02.07_Форма№13 (новая от 28 12 09г) февраль версия № и последняя" xfId="4040"/>
    <cellStyle name="_БЮДЖЕТ 2004 от 22.12.03.инвестиц_Дайджест 2003-2004 гг._БДР - 2008 год 2-е чтение" xfId="4041"/>
    <cellStyle name="_БЮДЖЕТ 2004 от 22.12.03.инвестиц_Дайджест 2003-2004 гг._БДР - 2008 год 2-е чтение 2" xfId="4042"/>
    <cellStyle name="_БЮДЖЕТ 2004 от 22.12.03.инвестиц_Дайджест 2003-2004 гг._БДР - 2008 год 2-е чтение 3" xfId="4043"/>
    <cellStyle name="_БЮДЖЕТ 2004 от 22.12.03.инвестиц_Дайджест 2003-2004 гг._БДР - 2008 год 2-е чтение 4" xfId="4044"/>
    <cellStyle name="_БЮДЖЕТ 2004 от 22.12.03.инвестиц_Дайджест 2003-2004 гг._БДР - 2008 год 2-е чтение 5" xfId="4045"/>
    <cellStyle name="_БЮДЖЕТ 2004 от 22.12.03.инвестиц_Дайджест 2003-2004 гг._БДР - 2008 год 2-е чтение 6" xfId="4046"/>
    <cellStyle name="_БЮДЖЕТ 2004 от 22.12.03.инвестиц_Дайджест 2003-2004 гг._БДР - 2008 год 2-е чтение 7" xfId="4047"/>
    <cellStyle name="_БЮДЖЕТ 2004 от 22.12.03.инвестиц_Дайджест 2003-2004 гг._БДР - 2008 год 2-е чтение 8" xfId="4048"/>
    <cellStyle name="_БЮДЖЕТ 2004 от 22.12.03.инвестиц_Дайджест 2003-2004 гг._БДР - 2008 год 2-е чтение 9" xfId="4049"/>
    <cellStyle name="_БЮДЖЕТ 2004 от 22.12.03.инвестиц_Дайджест 2003-2004 гг._БДР 2 кв  презентационный_24 03 2008_11-45" xfId="4050"/>
    <cellStyle name="_БЮДЖЕТ 2004 от 22.12.03.инвестиц_Дайджест 2003-2004 гг._БДР 2 кв  презентационный_24 03 2008_15-55" xfId="4051"/>
    <cellStyle name="_БЮДЖЕТ 2004 от 22.12.03.инвестиц_Дайджест 2003-2004 гг._Больш. 1-8 октября" xfId="4052"/>
    <cellStyle name="_БЮДЖЕТ 2004 от 22.12.03.инвестиц_Дайджест 2003-2004 гг._БП  07 г. (нов.форма) 2" xfId="4053"/>
    <cellStyle name="_БЮДЖЕТ 2004 от 22.12.03.инвестиц_Дайджест 2003-2004 гг._БП  07 г. (нов.форма) 2 2" xfId="4054"/>
    <cellStyle name="_БЮДЖЕТ 2004 от 22.12.03.инвестиц_Дайджест 2003-2004 гг._БП  07 г. (нов.форма) 2 3" xfId="4055"/>
    <cellStyle name="_БЮДЖЕТ 2004 от 22.12.03.инвестиц_Дайджест 2003-2004 гг._БП  07 г. (нов.форма) 2 4" xfId="4056"/>
    <cellStyle name="_БЮДЖЕТ 2004 от 22.12.03.инвестиц_Дайджест 2003-2004 гг._БП  07 г. (нов.форма) 2 5" xfId="4057"/>
    <cellStyle name="_БЮДЖЕТ 2004 от 22.12.03.инвестиц_Дайджест 2003-2004 гг._БП  07 г. (нов.форма) 2 6" xfId="4058"/>
    <cellStyle name="_БЮДЖЕТ 2004 от 22.12.03.инвестиц_Дайджест 2003-2004 гг._БП  07 г. (нов.форма) 2 7" xfId="4059"/>
    <cellStyle name="_БЮДЖЕТ 2004 от 22.12.03.инвестиц_Дайджест 2003-2004 гг._БП  07 г. (нов.форма) 2 8" xfId="4060"/>
    <cellStyle name="_БЮДЖЕТ 2004 от 22.12.03.инвестиц_Дайджест 2003-2004 гг._БП  07 г. (нов.форма) 2 9" xfId="4061"/>
    <cellStyle name="_БЮДЖЕТ 2004 от 22.12.03.инвестиц_Дайджест 2003-2004 гг._БП Урал Кирпич 28 01 2008г" xfId="4062"/>
    <cellStyle name="_БЮДЖЕТ 2004 от 22.12.03.инвестиц_Дайджест 2003-2004 гг._БП_план на 1 кв. 2008г." xfId="4063"/>
    <cellStyle name="_БЮДЖЕТ 2004 от 22.12.03.инвестиц_Дайджест 2003-2004 гг._БП_план на 2 кв. 2008г." xfId="4064"/>
    <cellStyle name="_БЮДЖЕТ 2004 от 22.12.03.инвестиц_Дайджест 2003-2004 гг._бп2008 презентация 12.11.07" xfId="4065"/>
    <cellStyle name="_БЮДЖЕТ 2004 от 22.12.03.инвестиц_Дайджест 2003-2004 гг._бп2008 презентация 12.11.07 2" xfId="4066"/>
    <cellStyle name="_БЮДЖЕТ 2004 от 22.12.03.инвестиц_Дайджест 2003-2004 гг._бп2008 презентация 12.11.07 3" xfId="4067"/>
    <cellStyle name="_БЮДЖЕТ 2004 от 22.12.03.инвестиц_Дайджест 2003-2004 гг._бп2008 презентация 12.11.07 4" xfId="4068"/>
    <cellStyle name="_БЮДЖЕТ 2004 от 22.12.03.инвестиц_Дайджест 2003-2004 гг._бп2008 презентация 12.11.07 5" xfId="4069"/>
    <cellStyle name="_БЮДЖЕТ 2004 от 22.12.03.инвестиц_Дайджест 2003-2004 гг._бп2008 презентация 12.11.07 6" xfId="4070"/>
    <cellStyle name="_БЮДЖЕТ 2004 от 22.12.03.инвестиц_Дайджест 2003-2004 гг._бп2008 презентация 12.11.07 7" xfId="4071"/>
    <cellStyle name="_БЮДЖЕТ 2004 от 22.12.03.инвестиц_Дайджест 2003-2004 гг._бп2008 презентация 12.11.07 8" xfId="4072"/>
    <cellStyle name="_БЮДЖЕТ 2004 от 22.12.03.инвестиц_Дайджест 2003-2004 гг._бп2008 презентация 12.11.07 9" xfId="4073"/>
    <cellStyle name="_БЮДЖЕТ 2004 от 22.12.03.инвестиц_Дайджест 2003-2004 гг._Верх НА" xfId="4074"/>
    <cellStyle name="_БЮДЖЕТ 2004 от 22.12.03.инвестиц_Дайджест 2003-2004 гг._Выручка февраля 09 от 22 01 09 (1)" xfId="4075"/>
    <cellStyle name="_БЮДЖЕТ 2004 от 22.12.03.инвестиц_Дайджест 2003-2004 гг._ДИВИЗИОН Презентация 4 кв. 07 изм отгр" xfId="4076"/>
    <cellStyle name="_БЮДЖЕТ 2004 от 22.12.03.инвестиц_Дайджест 2003-2004 гг._ДИВИЗИОН Презентация 4 кв. 07 изм отгр 2" xfId="4077"/>
    <cellStyle name="_БЮДЖЕТ 2004 от 22.12.03.инвестиц_Дайджест 2003-2004 гг._ДИВИЗИОН Презентация 4 кв. 07 изм отгр 3" xfId="4078"/>
    <cellStyle name="_БЮДЖЕТ 2004 от 22.12.03.инвестиц_Дайджест 2003-2004 гг._ДИВИЗИОН Презентация 4 кв. 07 изм отгр 4" xfId="4079"/>
    <cellStyle name="_БЮДЖЕТ 2004 от 22.12.03.инвестиц_Дайджест 2003-2004 гг._ДИВИЗИОН Презентация 4 кв. 07 изм отгр 5" xfId="4080"/>
    <cellStyle name="_БЮДЖЕТ 2004 от 22.12.03.инвестиц_Дайджест 2003-2004 гг._ДИВИЗИОН Презентация 4 кв. 07 изм отгр 6" xfId="4081"/>
    <cellStyle name="_БЮДЖЕТ 2004 от 22.12.03.инвестиц_Дайджест 2003-2004 гг._ДИВИЗИОН Презентация 4 кв. 07 изм отгр 7" xfId="4082"/>
    <cellStyle name="_БЮДЖЕТ 2004 от 22.12.03.инвестиц_Дайджест 2003-2004 гг._ДИВИЗИОН Презентация 4 кв. 07 изм отгр 8" xfId="4083"/>
    <cellStyle name="_БЮДЖЕТ 2004 от 22.12.03.инвестиц_Дайджест 2003-2004 гг._ДИВИЗИОН Презентация 4 кв. 07 изм отгр 9" xfId="4084"/>
    <cellStyle name="_БЮДЖЕТ 2004 от 22.12.03.инвестиц_Дайджест 2003-2004 гг._ДИВИЗИОН_2008" xfId="4085"/>
    <cellStyle name="_БЮДЖЕТ 2004 от 22.12.03.инвестиц_Дайджест 2003-2004 гг._ДИВИЗИОН_2008 2" xfId="4086"/>
    <cellStyle name="_БЮДЖЕТ 2004 от 22.12.03.инвестиц_Дайджест 2003-2004 гг._ДИВИЗИОН_2008 3" xfId="4087"/>
    <cellStyle name="_БЮДЖЕТ 2004 от 22.12.03.инвестиц_Дайджест 2003-2004 гг._ДИВИЗИОН_2008 4" xfId="4088"/>
    <cellStyle name="_БЮДЖЕТ 2004 от 22.12.03.инвестиц_Дайджест 2003-2004 гг._ДИВИЗИОН_2008 5" xfId="4089"/>
    <cellStyle name="_БЮДЖЕТ 2004 от 22.12.03.инвестиц_Дайджест 2003-2004 гг._ДИВИЗИОН_2008 6" xfId="4090"/>
    <cellStyle name="_БЮДЖЕТ 2004 от 22.12.03.инвестиц_Дайджест 2003-2004 гг._ДИВИЗИОН_2008 7" xfId="4091"/>
    <cellStyle name="_БЮДЖЕТ 2004 от 22.12.03.инвестиц_Дайджест 2003-2004 гг._ДИВИЗИОН_2008 8" xfId="4092"/>
    <cellStyle name="_БЮДЖЕТ 2004 от 22.12.03.инвестиц_Дайджест 2003-2004 гг._ДИВИЗИОН_2008 9" xfId="4093"/>
    <cellStyle name="_БЮДЖЕТ 2004 от 22.12.03.инвестиц_Дайджест 2003-2004 гг._Дивизиональная форма БДР_14.12.2007" xfId="4094"/>
    <cellStyle name="_БЮДЖЕТ 2004 от 22.12.03.инвестиц_Дайджест 2003-2004 гг._Дивизиональная форма БДР_14.12.2007 2" xfId="4095"/>
    <cellStyle name="_БЮДЖЕТ 2004 от 22.12.03.инвестиц_Дайджест 2003-2004 гг._Дивизиональная форма БДР_14.12.2007 3" xfId="4096"/>
    <cellStyle name="_БЮДЖЕТ 2004 от 22.12.03.инвестиц_Дайджест 2003-2004 гг._Дивизиональная форма БДР_14.12.2007 4" xfId="4097"/>
    <cellStyle name="_БЮДЖЕТ 2004 от 22.12.03.инвестиц_Дайджест 2003-2004 гг._Дивизиональная форма БДР_14.12.2007 5" xfId="4098"/>
    <cellStyle name="_БЮДЖЕТ 2004 от 22.12.03.инвестиц_Дайджест 2003-2004 гг._Дивизиональная форма БДР_14.12.2007 6" xfId="4099"/>
    <cellStyle name="_БЮДЖЕТ 2004 от 22.12.03.инвестиц_Дайджест 2003-2004 гг._Дивизиональная форма БДР_14.12.2007 7" xfId="4100"/>
    <cellStyle name="_БЮДЖЕТ 2004 от 22.12.03.инвестиц_Дайджест 2003-2004 гг._Дивизиональная форма БДР_14.12.2007 8" xfId="4101"/>
    <cellStyle name="_БЮДЖЕТ 2004 от 22.12.03.инвестиц_Дайджест 2003-2004 гг._Дивизиональная форма БДР_14.12.2007 9" xfId="4102"/>
    <cellStyle name="_БЮДЖЕТ 2004 от 22.12.03.инвестиц_Дайджест 2003-2004 гг._Динамика Свод_Бизнес_MGOK 27_07_06" xfId="4103"/>
    <cellStyle name="_БЮДЖЕТ 2004 от 22.12.03.инвестиц_Дайджест 2003-2004 гг._Динамика Свод_Бизнес_MGOK 27_07_06 2" xfId="4104"/>
    <cellStyle name="_БЮДЖЕТ 2004 от 22.12.03.инвестиц_Дайджест 2003-2004 гг._Динамика Свод_Бизнес_MGOK 27_07_06 3" xfId="4105"/>
    <cellStyle name="_БЮДЖЕТ 2004 от 22.12.03.инвестиц_Дайджест 2003-2004 гг._Динамика Свод_Бизнес_MGOK 27_07_06 4" xfId="4106"/>
    <cellStyle name="_БЮДЖЕТ 2004 от 22.12.03.инвестиц_Дайджест 2003-2004 гг._Динамика Свод_Бизнес_MGOK 27_07_06 5" xfId="4107"/>
    <cellStyle name="_БЮДЖЕТ 2004 от 22.12.03.инвестиц_Дайджест 2003-2004 гг._Динамика Свод_Бизнес_MGOK 27_07_06 6" xfId="4108"/>
    <cellStyle name="_БЮДЖЕТ 2004 от 22.12.03.инвестиц_Дайджест 2003-2004 гг._Динамика Свод_Бизнес_MGOK 27_07_06 7" xfId="4109"/>
    <cellStyle name="_БЮДЖЕТ 2004 от 22.12.03.инвестиц_Дайджест 2003-2004 гг._Динамика Свод_Бизнес_MGOK 27_07_06 8" xfId="4110"/>
    <cellStyle name="_БЮДЖЕТ 2004 от 22.12.03.инвестиц_Дайджест 2003-2004 гг._Динамика Свод_Бизнес_MGOK 27_07_06 9" xfId="4111"/>
    <cellStyle name="_БЮДЖЕТ 2004 от 22.12.03.инвестиц_Дайджест 2003-2004 гг._Динамика Свод_Бизнес_MGOK 27_07_06_Книга2" xfId="4112"/>
    <cellStyle name="_БЮДЖЕТ 2004 от 22.12.03.инвестиц_Дайджест 2003-2004 гг._Динамика Свод_Бизнес_MGOK 27_07_06_Отчет за сентябрь_11_ДСМ" xfId="4113"/>
    <cellStyle name="_БЮДЖЕТ 2004 от 22.12.03.инвестиц_Дайджест 2003-2004 гг._Ежемесячные формы для ТД на 2004 год (version 1)" xfId="4114"/>
    <cellStyle name="_БЮДЖЕТ 2004 от 22.12.03.инвестиц_Дайджест 2003-2004 гг._Запрос МИ Менеджмент 18 08 06 (новый формат)" xfId="4115"/>
    <cellStyle name="_БЮДЖЕТ 2004 от 22.12.03.инвестиц_Дайджест 2003-2004 гг._Запрос МИ Менеджмент 18 08 06 (новый формат) 10" xfId="4116"/>
    <cellStyle name="_БЮДЖЕТ 2004 от 22.12.03.инвестиц_Дайджест 2003-2004 гг._Запрос МИ Менеджмент 18 08 06 (новый формат) 11" xfId="4117"/>
    <cellStyle name="_БЮДЖЕТ 2004 от 22.12.03.инвестиц_Дайджест 2003-2004 гг._Запрос МИ Менеджмент 18 08 06 (новый формат) 12" xfId="4118"/>
    <cellStyle name="_БЮДЖЕТ 2004 от 22.12.03.инвестиц_Дайджест 2003-2004 гг._Запрос МИ Менеджмент 18 08 06 (новый формат) 13" xfId="4119"/>
    <cellStyle name="_БЮДЖЕТ 2004 от 22.12.03.инвестиц_Дайджест 2003-2004 гг._Запрос МИ Менеджмент 18 08 06 (новый формат) 2" xfId="4120"/>
    <cellStyle name="_БЮДЖЕТ 2004 от 22.12.03.инвестиц_Дайджест 2003-2004 гг._Запрос МИ Менеджмент 18 08 06 (новый формат) 3" xfId="4121"/>
    <cellStyle name="_БЮДЖЕТ 2004 от 22.12.03.инвестиц_Дайджест 2003-2004 гг._Запрос МИ Менеджмент 18 08 06 (новый формат) 4" xfId="4122"/>
    <cellStyle name="_БЮДЖЕТ 2004 от 22.12.03.инвестиц_Дайджест 2003-2004 гг._Запрос МИ Менеджмент 18 08 06 (новый формат) 5" xfId="4123"/>
    <cellStyle name="_БЮДЖЕТ 2004 от 22.12.03.инвестиц_Дайджест 2003-2004 гг._Запрос МИ Менеджмент 18 08 06 (новый формат) 6" xfId="4124"/>
    <cellStyle name="_БЮДЖЕТ 2004 от 22.12.03.инвестиц_Дайджест 2003-2004 гг._Запрос МИ Менеджмент 18 08 06 (новый формат) 7" xfId="4125"/>
    <cellStyle name="_БЮДЖЕТ 2004 от 22.12.03.инвестиц_Дайджест 2003-2004 гг._Запрос МИ Менеджмент 18 08 06 (новый формат) 8" xfId="4126"/>
    <cellStyle name="_БЮДЖЕТ 2004 от 22.12.03.инвестиц_Дайджест 2003-2004 гг._Запрос МИ Менеджмент 18 08 06 (новый формат) 9" xfId="4127"/>
    <cellStyle name="_БЮДЖЕТ 2004 от 22.12.03.инвестиц_Дайджест 2003-2004 гг._Запрос МИ Менеджмент 18 08 06 (новый формат)__План по труду 2008 261107 (10% с января)" xfId="4128"/>
    <cellStyle name="_БЮДЖЕТ 2004 от 22.12.03.инвестиц_Дайджест 2003-2004 гг._Запрос МИ Менеджмент 18 08 06 (новый формат)__План по труду 2008 261107 (10% с января) 2" xfId="4129"/>
    <cellStyle name="_БЮДЖЕТ 2004 от 22.12.03.инвестиц_Дайджест 2003-2004 гг._Запрос МИ Менеджмент 18 08 06 (новый формат)__План по труду 2008 261107 (10% с января) 3" xfId="4130"/>
    <cellStyle name="_БЮДЖЕТ 2004 от 22.12.03.инвестиц_Дайджест 2003-2004 гг._Запрос МИ Менеджмент 18 08 06 (новый формат)__План по труду 2008 261107 (10% с января) 4" xfId="4131"/>
    <cellStyle name="_БЮДЖЕТ 2004 от 22.12.03.инвестиц_Дайджест 2003-2004 гг._Запрос МИ Менеджмент 18 08 06 (новый формат)__План по труду 2008 261107 (10% с января) 5" xfId="4132"/>
    <cellStyle name="_БЮДЖЕТ 2004 от 22.12.03.инвестиц_Дайджест 2003-2004 гг._Запрос МИ Менеджмент 18 08 06 (новый формат)__План по труду 2008 261107 (10% с января) 6" xfId="4133"/>
    <cellStyle name="_БЮДЖЕТ 2004 от 22.12.03.инвестиц_Дайджест 2003-2004 гг._Запрос МИ Менеджмент 18 08 06 (новый формат)__План по труду 2008 261107 (10% с января) 7" xfId="4134"/>
    <cellStyle name="_БЮДЖЕТ 2004 от 22.12.03.инвестиц_Дайджест 2003-2004 гг._Запрос МИ Менеджмент 18 08 06 (новый формат)__План по труду 2008 261107 (10% с января) 8" xfId="4135"/>
    <cellStyle name="_БЮДЖЕТ 2004 от 22.12.03.инвестиц_Дайджест 2003-2004 гг._Запрос МИ Менеджмент 18 08 06 (новый формат)__План по труду 2008 261107 (10% с января) 9" xfId="4136"/>
    <cellStyle name="_БЮДЖЕТ 2004 от 22.12.03.инвестиц_Дайджест 2003-2004 гг._Запрос МИ Менеджмент 18 08 06 (новый формат)__План по труду 2008 ИТОГ (правл. ПНР 161007)_" xfId="4137"/>
    <cellStyle name="_БЮДЖЕТ 2004 от 22.12.03.инвестиц_Дайджест 2003-2004 гг._Запрос МИ Менеджмент 18 08 06 (новый формат)__План по труду 2008 ИТОГ (правл. ПНР 161007)_ 2" xfId="4138"/>
    <cellStyle name="_БЮДЖЕТ 2004 от 22.12.03.инвестиц_Дайджест 2003-2004 гг._Запрос МИ Менеджмент 18 08 06 (новый формат)__План по труду 2008 ИТОГ (правл. ПНР 161007)_ 3" xfId="4139"/>
    <cellStyle name="_БЮДЖЕТ 2004 от 22.12.03.инвестиц_Дайджест 2003-2004 гг._Запрос МИ Менеджмент 18 08 06 (новый формат)__План по труду 2008 ИТОГ (правл. ПНР 161007)_ 4" xfId="4140"/>
    <cellStyle name="_БЮДЖЕТ 2004 от 22.12.03.инвестиц_Дайджест 2003-2004 гг._Запрос МИ Менеджмент 18 08 06 (новый формат)__План по труду 2008 ИТОГ (правл. ПНР 161007)_ 5" xfId="4141"/>
    <cellStyle name="_БЮДЖЕТ 2004 от 22.12.03.инвестиц_Дайджест 2003-2004 гг._Запрос МИ Менеджмент 18 08 06 (новый формат)__План по труду 2008 ИТОГ (правл. ПНР 161007)_ 6" xfId="4142"/>
    <cellStyle name="_БЮДЖЕТ 2004 от 22.12.03.инвестиц_Дайджест 2003-2004 гг._Запрос МИ Менеджмент 18 08 06 (новый формат)__План по труду 2008 ИТОГ (правл. ПНР 161007)_ 7" xfId="4143"/>
    <cellStyle name="_БЮДЖЕТ 2004 от 22.12.03.инвестиц_Дайджест 2003-2004 гг._Запрос МИ Менеджмент 18 08 06 (новый формат)__План по труду 2008 ИТОГ (правл. ПНР 161007)_ 8" xfId="4144"/>
    <cellStyle name="_БЮДЖЕТ 2004 от 22.12.03.инвестиц_Дайджест 2003-2004 гг._Запрос МИ Менеджмент 18 08 06 (новый формат)__План по труду 2008 ИТОГ (правл. ПНР 161007)_ 9" xfId="4145"/>
    <cellStyle name="_БЮДЖЕТ 2004 от 22.12.03.инвестиц_Дайджест 2003-2004 гг._Запрос МИ Менеджмент 18 08 06 (новый формат)_2_Инвестпрограмма на 2008 год (КОВАЛЕВ)" xfId="4146"/>
    <cellStyle name="_БЮДЖЕТ 2004 от 22.12.03.инвестиц_Дайджест 2003-2004 гг._Запрос МИ Менеджмент 18 08 06 (новый формат)_Данные для ФОТ на 2008 год" xfId="4147"/>
    <cellStyle name="_БЮДЖЕТ 2004 от 22.12.03.инвестиц_Дайджест 2003-2004 гг._Запрос МИ Менеджмент 18 08 06 (новый формат)_Данные для ФОТ на 2008 год 2" xfId="4148"/>
    <cellStyle name="_БЮДЖЕТ 2004 от 22.12.03.инвестиц_Дайджест 2003-2004 гг._Запрос МИ Менеджмент 18 08 06 (новый формат)_Данные для ФОТ на 2008 год 3" xfId="4149"/>
    <cellStyle name="_БЮДЖЕТ 2004 от 22.12.03.инвестиц_Дайджест 2003-2004 гг._Запрос МИ Менеджмент 18 08 06 (новый формат)_Данные для ФОТ на 2008 год 4" xfId="4150"/>
    <cellStyle name="_БЮДЖЕТ 2004 от 22.12.03.инвестиц_Дайджест 2003-2004 гг._Запрос МИ Менеджмент 18 08 06 (новый формат)_Данные для ФОТ на 2008 год 5" xfId="4151"/>
    <cellStyle name="_БЮДЖЕТ 2004 от 22.12.03.инвестиц_Дайджест 2003-2004 гг._Запрос МИ Менеджмент 18 08 06 (новый формат)_Данные для ФОТ на 2008 год 6" xfId="4152"/>
    <cellStyle name="_БЮДЖЕТ 2004 от 22.12.03.инвестиц_Дайджест 2003-2004 гг._Запрос МИ Менеджмент 18 08 06 (новый формат)_Данные для ФОТ на 2008 год 7" xfId="4153"/>
    <cellStyle name="_БЮДЖЕТ 2004 от 22.12.03.инвестиц_Дайджест 2003-2004 гг._Запрос МИ Менеджмент 18 08 06 (новый формат)_Данные для ФОТ на 2008 год 8" xfId="4154"/>
    <cellStyle name="_БЮДЖЕТ 2004 от 22.12.03.инвестиц_Дайджест 2003-2004 гг._Запрос МИ Менеджмент 18 08 06 (новый формат)_Данные для ФОТ на 2008 год 9" xfId="4155"/>
    <cellStyle name="_БЮДЖЕТ 2004 от 22.12.03.инвестиц_Дайджест 2003-2004 гг._Запрос МИ Менеджмент 18 08 06 (новый формат)_План по труду 2008 ИТОГ (2003_вер)" xfId="4156"/>
    <cellStyle name="_БЮДЖЕТ 2004 от 22.12.03.инвестиц_Дайджест 2003-2004 гг._Запрос МИ Менеджмент 18 08 06 (новый формат)_План по труду 2008 ИТОГ (2003_вер) 2" xfId="4157"/>
    <cellStyle name="_БЮДЖЕТ 2004 от 22.12.03.инвестиц_Дайджест 2003-2004 гг._Запрос МИ Менеджмент 18 08 06 (новый формат)_План по труду 2008 ИТОГ (2003_вер) 3" xfId="4158"/>
    <cellStyle name="_БЮДЖЕТ 2004 от 22.12.03.инвестиц_Дайджест 2003-2004 гг._Запрос МИ Менеджмент 18 08 06 (новый формат)_План по труду 2008 ИТОГ (2003_вер) 4" xfId="4159"/>
    <cellStyle name="_БЮДЖЕТ 2004 от 22.12.03.инвестиц_Дайджест 2003-2004 гг._Запрос МИ Менеджмент 18 08 06 (новый формат)_План по труду 2008 ИТОГ (2003_вер) 5" xfId="4160"/>
    <cellStyle name="_БЮДЖЕТ 2004 от 22.12.03.инвестиц_Дайджест 2003-2004 гг._Запрос МИ Менеджмент 18 08 06 (новый формат)_План по труду 2008 ИТОГ (2003_вер) 6" xfId="4161"/>
    <cellStyle name="_БЮДЖЕТ 2004 от 22.12.03.инвестиц_Дайджест 2003-2004 гг._Запрос МИ Менеджмент 18 08 06 (новый формат)_План по труду 2008 ИТОГ (2003_вер) 7" xfId="4162"/>
    <cellStyle name="_БЮДЖЕТ 2004 от 22.12.03.инвестиц_Дайджест 2003-2004 гг._Запрос МИ Менеджмент 18 08 06 (новый формат)_План по труду 2008 ИТОГ (2003_вер) 8" xfId="4163"/>
    <cellStyle name="_БЮДЖЕТ 2004 от 22.12.03.инвестиц_Дайджест 2003-2004 гг._Запрос МИ Менеджмент 18 08 06 (новый формат)_План по труду 2008 ИТОГ (2003_вер) 9" xfId="4164"/>
    <cellStyle name="_БЮДЖЕТ 2004 от 22.12.03.инвестиц_Дайджест 2003-2004 гг._Запрос МИ Менеджмент 18 08 06 (новый формат)_ТКВ 2008 от 19.07" xfId="4165"/>
    <cellStyle name="_БЮДЖЕТ 2004 от 22.12.03.инвестиц_Дайджест 2003-2004 гг._Запрос МИ Менеджмент 18 08 06 (новый формат)_ТКВ 2008 от 31.07" xfId="4166"/>
    <cellStyle name="_БЮДЖЕТ 2004 от 22.12.03.инвестиц_Дайджест 2003-2004 гг._ИПИТА" xfId="4167"/>
    <cellStyle name="_БЮДЖЕТ 2004 от 22.12.03.инвестиц_Дайджест 2003-2004 гг._ИПИТА 2" xfId="4168"/>
    <cellStyle name="_БЮДЖЕТ 2004 от 22.12.03.инвестиц_Дайджест 2003-2004 гг._ИПИТА 3" xfId="4169"/>
    <cellStyle name="_БЮДЖЕТ 2004 от 22.12.03.инвестиц_Дайджест 2003-2004 гг._ИПИТА 4" xfId="4170"/>
    <cellStyle name="_БЮДЖЕТ 2004 от 22.12.03.инвестиц_Дайджест 2003-2004 гг._ИПИТА 5" xfId="4171"/>
    <cellStyle name="_БЮДЖЕТ 2004 от 22.12.03.инвестиц_Дайджест 2003-2004 гг._ИПИТА 6" xfId="4172"/>
    <cellStyle name="_БЮДЖЕТ 2004 от 22.12.03.инвестиц_Дайджест 2003-2004 гг._ИПИТА 7" xfId="4173"/>
    <cellStyle name="_БЮДЖЕТ 2004 от 22.12.03.инвестиц_Дайджест 2003-2004 гг._ИПИТА 8" xfId="4174"/>
    <cellStyle name="_БЮДЖЕТ 2004 от 22.12.03.инвестиц_Дайджест 2003-2004 гг._ИПИТА 9" xfId="4175"/>
    <cellStyle name="_БЮДЖЕТ 2004 от 22.12.03.инвестиц_Дайджест 2003-2004 гг._КМА-Эн план 1 кв 200919.12.08отпр в Холдинг" xfId="4176"/>
    <cellStyle name="_БЮДЖЕТ 2004 от 22.12.03.инвестиц_Дайджест 2003-2004 гг._Книга БДР 4 кв" xfId="4177"/>
    <cellStyle name="_БЮДЖЕТ 2004 от 22.12.03.инвестиц_Дайджест 2003-2004 гг._Книга БДР 4 кв 2" xfId="4178"/>
    <cellStyle name="_БЮДЖЕТ 2004 от 22.12.03.инвестиц_Дайджест 2003-2004 гг._Книга БДР 4 кв 3" xfId="4179"/>
    <cellStyle name="_БЮДЖЕТ 2004 от 22.12.03.инвестиц_Дайджест 2003-2004 гг._Книга БДР 4 кв 4" xfId="4180"/>
    <cellStyle name="_БЮДЖЕТ 2004 от 22.12.03.инвестиц_Дайджест 2003-2004 гг._Книга БДР 4 кв 5" xfId="4181"/>
    <cellStyle name="_БЮДЖЕТ 2004 от 22.12.03.инвестиц_Дайджест 2003-2004 гг._Книга БДР 4 кв 6" xfId="4182"/>
    <cellStyle name="_БЮДЖЕТ 2004 от 22.12.03.инвестиц_Дайджест 2003-2004 гг._Книга БДР 4 кв 7" xfId="4183"/>
    <cellStyle name="_БЮДЖЕТ 2004 от 22.12.03.инвестиц_Дайджест 2003-2004 гг._Книга БДР 4 кв 8" xfId="4184"/>
    <cellStyle name="_БЮДЖЕТ 2004 от 22.12.03.инвестиц_Дайджест 2003-2004 гг._Книга БДР 4 кв 9" xfId="4185"/>
    <cellStyle name="_БЮДЖЕТ 2004 от 22.12.03.инвестиц_Дайджест 2003-2004 гг._Книга1" xfId="4186"/>
    <cellStyle name="_БЮДЖЕТ 2004 от 22.12.03.инвестиц_Дайджест 2003-2004 гг._Книга1 (1)" xfId="4187"/>
    <cellStyle name="_БЮДЖЕТ 2004 от 22.12.03.инвестиц_Дайджест 2003-2004 гг._Книга1 (1) 2" xfId="4188"/>
    <cellStyle name="_БЮДЖЕТ 2004 от 22.12.03.инвестиц_Дайджест 2003-2004 гг._Книга1 (1) 3" xfId="4189"/>
    <cellStyle name="_БЮДЖЕТ 2004 от 22.12.03.инвестиц_Дайджест 2003-2004 гг._Книга1 (1) 4" xfId="4190"/>
    <cellStyle name="_БЮДЖЕТ 2004 от 22.12.03.инвестиц_Дайджест 2003-2004 гг._Книга1 (1) 5" xfId="4191"/>
    <cellStyle name="_БЮДЖЕТ 2004 от 22.12.03.инвестиц_Дайджест 2003-2004 гг._Книга1 (1) 6" xfId="4192"/>
    <cellStyle name="_БЮДЖЕТ 2004 от 22.12.03.инвестиц_Дайджест 2003-2004 гг._Книга1 (1) 7" xfId="4193"/>
    <cellStyle name="_БЮДЖЕТ 2004 от 22.12.03.инвестиц_Дайджест 2003-2004 гг._Книга1 (1) 8" xfId="4194"/>
    <cellStyle name="_БЮДЖЕТ 2004 от 22.12.03.инвестиц_Дайджест 2003-2004 гг._Книга1 (1) 9" xfId="4195"/>
    <cellStyle name="_БЮДЖЕТ 2004 от 22.12.03.инвестиц_Дайджест 2003-2004 гг._Книга1 (5)" xfId="4196"/>
    <cellStyle name="_БЮДЖЕТ 2004 от 22.12.03.инвестиц_Дайджест 2003-2004 гг._Книга1 (5) 2" xfId="4197"/>
    <cellStyle name="_БЮДЖЕТ 2004 от 22.12.03.инвестиц_Дайджест 2003-2004 гг._Книга1 (5) 3" xfId="4198"/>
    <cellStyle name="_БЮДЖЕТ 2004 от 22.12.03.инвестиц_Дайджест 2003-2004 гг._Книга1 (5) 4" xfId="4199"/>
    <cellStyle name="_БЮДЖЕТ 2004 от 22.12.03.инвестиц_Дайджест 2003-2004 гг._Книга1 (5) 5" xfId="4200"/>
    <cellStyle name="_БЮДЖЕТ 2004 от 22.12.03.инвестиц_Дайджест 2003-2004 гг._Книга1 (5) 6" xfId="4201"/>
    <cellStyle name="_БЮДЖЕТ 2004 от 22.12.03.инвестиц_Дайджест 2003-2004 гг._Книга1 (5) 7" xfId="4202"/>
    <cellStyle name="_БЮДЖЕТ 2004 от 22.12.03.инвестиц_Дайджест 2003-2004 гг._Книга1 (5) 8" xfId="4203"/>
    <cellStyle name="_БЮДЖЕТ 2004 от 22.12.03.инвестиц_Дайджест 2003-2004 гг._Книга1 (5) 9" xfId="4204"/>
    <cellStyle name="_БЮДЖЕТ 2004 от 22.12.03.инвестиц_Дайджест 2003-2004 гг._Книга1 2" xfId="4205"/>
    <cellStyle name="_БЮДЖЕТ 2004 от 22.12.03.инвестиц_Дайджест 2003-2004 гг._Книга1 3" xfId="4206"/>
    <cellStyle name="_БЮДЖЕТ 2004 от 22.12.03.инвестиц_Дайджест 2003-2004 гг._Книга1 4" xfId="4207"/>
    <cellStyle name="_БЮДЖЕТ 2004 от 22.12.03.инвестиц_Дайджест 2003-2004 гг._Книга1 5" xfId="4208"/>
    <cellStyle name="_БЮДЖЕТ 2004 от 22.12.03.инвестиц_Дайджест 2003-2004 гг._Книга1 6" xfId="4209"/>
    <cellStyle name="_БЮДЖЕТ 2004 от 22.12.03.инвестиц_Дайджест 2003-2004 гг._Книга1 7" xfId="4210"/>
    <cellStyle name="_БЮДЖЕТ 2004 от 22.12.03.инвестиц_Дайджест 2003-2004 гг._Книга1 8" xfId="4211"/>
    <cellStyle name="_БЮДЖЕТ 2004 от 22.12.03.инвестиц_Дайджест 2003-2004 гг._Книга1 9" xfId="4212"/>
    <cellStyle name="_БЮДЖЕТ 2004 от 22.12.03.инвестиц_Дайджест 2003-2004 гг._Книга1_1" xfId="4213"/>
    <cellStyle name="_БЮДЖЕТ 2004 от 22.12.03.инвестиц_Дайджест 2003-2004 гг._Книга11" xfId="4214"/>
    <cellStyle name="_БЮДЖЕТ 2004 от 22.12.03.инвестиц_Дайджест 2003-2004 гг._Книга3" xfId="4215"/>
    <cellStyle name="_БЮДЖЕТ 2004 от 22.12.03.инвестиц_Дайджест 2003-2004 гг._Книга3 2" xfId="4216"/>
    <cellStyle name="_БЮДЖЕТ 2004 от 22.12.03.инвестиц_Дайджест 2003-2004 гг._Книга3 3" xfId="4217"/>
    <cellStyle name="_БЮДЖЕТ 2004 от 22.12.03.инвестиц_Дайджест 2003-2004 гг._Книга3 4" xfId="4218"/>
    <cellStyle name="_БЮДЖЕТ 2004 от 22.12.03.инвестиц_Дайджест 2003-2004 гг._Книга3 5" xfId="4219"/>
    <cellStyle name="_БЮДЖЕТ 2004 от 22.12.03.инвестиц_Дайджест 2003-2004 гг._Книга3 6" xfId="4220"/>
    <cellStyle name="_БЮДЖЕТ 2004 от 22.12.03.инвестиц_Дайджест 2003-2004 гг._Книга3 7" xfId="4221"/>
    <cellStyle name="_БЮДЖЕТ 2004 от 22.12.03.инвестиц_Дайджест 2003-2004 гг._Книга3 8" xfId="4222"/>
    <cellStyle name="_БЮДЖЕТ 2004 от 22.12.03.инвестиц_Дайджест 2003-2004 гг._Книга3 9" xfId="4223"/>
    <cellStyle name="_БЮДЖЕТ 2004 от 22.12.03.инвестиц_Дайджест 2003-2004 гг._Комплект документов - план на 2007 год - фин.часть 8.12.06 (укороч.)" xfId="4224"/>
    <cellStyle name="_БЮДЖЕТ 2004 от 22.12.03.инвестиц_Дайджест 2003-2004 гг._Комплект документов - план на 2007 год - фин.часть 8.12.06 (укороч.) 2" xfId="4225"/>
    <cellStyle name="_БЮДЖЕТ 2004 от 22.12.03.инвестиц_Дайджест 2003-2004 гг._Комплект документов - план на 2007 год - фин.часть 8.12.06 (укороч.) 3" xfId="4226"/>
    <cellStyle name="_БЮДЖЕТ 2004 от 22.12.03.инвестиц_Дайджест 2003-2004 гг._Комплект документов - план на 2007 год - фин.часть 8.12.06 (укороч.) 4" xfId="4227"/>
    <cellStyle name="_БЮДЖЕТ 2004 от 22.12.03.инвестиц_Дайджест 2003-2004 гг._Комплект документов - план на 2007 год - фин.часть 8.12.06 (укороч.) 5" xfId="4228"/>
    <cellStyle name="_БЮДЖЕТ 2004 от 22.12.03.инвестиц_Дайджест 2003-2004 гг._Комплект документов - план на 2007 год - фин.часть 8.12.06 (укороч.) 6" xfId="4229"/>
    <cellStyle name="_БЮДЖЕТ 2004 от 22.12.03.инвестиц_Дайджест 2003-2004 гг._Комплект документов - план на 2007 год - фин.часть 8.12.06 (укороч.) 7" xfId="4230"/>
    <cellStyle name="_БЮДЖЕТ 2004 от 22.12.03.инвестиц_Дайджест 2003-2004 гг._Комплект документов - план на 2007 год - фин.часть 8.12.06 (укороч.) 8" xfId="4231"/>
    <cellStyle name="_БЮДЖЕТ 2004 от 22.12.03.инвестиц_Дайджест 2003-2004 гг._Комплект документов - план на 2007 год - фин.часть 8.12.06 (укороч.) 9" xfId="4232"/>
    <cellStyle name="_БЮДЖЕТ 2004 от 22.12.03.инвестиц_Дайджест 2003-2004 гг._Конс  ЛГОК БП 2009 для Комбината 07 11 08" xfId="4233"/>
    <cellStyle name="_БЮДЖЕТ 2004 от 22.12.03.инвестиц_Дайджест 2003-2004 гг._Конс  ЛГОК БП 2009 от 14 10 08" xfId="4234"/>
    <cellStyle name="_БЮДЖЕТ 2004 от 22.12.03.инвестиц_Дайджест 2003-2004 гг._Конс  ЛГОК БП 2009 от 14 10 08 (2)" xfId="4235"/>
    <cellStyle name="_БЮДЖЕТ 2004 от 22.12.03.инвестиц_Дайджест 2003-2004 гг._Конс  МГОК БП 2009 от 14 10 08" xfId="4236"/>
    <cellStyle name="_БЮДЖЕТ 2004 от 22.12.03.инвестиц_Дайджест 2003-2004 гг._Конс. план ЛГОК мар.09 для Комбината 20.02.09" xfId="4237"/>
    <cellStyle name="_БЮДЖЕТ 2004 от 22.12.03.инвестиц_Дайджест 2003-2004 гг._Конс. план ЛГОК мар.09 для Комбината 25.02.09" xfId="4238"/>
    <cellStyle name="_БЮДЖЕТ 2004 от 22.12.03.инвестиц_Дайджест 2003-2004 гг._Копия Динамика цен (УС ) 2006-2009 сверен 30.01.09" xfId="4239"/>
    <cellStyle name="_БЮДЖЕТ 2004 от 22.12.03.инвестиц_Дайджест 2003-2004 гг._Копия Конс БП 2010 ЛГОК для Комбината от 21 08 09" xfId="4240"/>
    <cellStyle name="_БЮДЖЕТ 2004 от 22.12.03.инвестиц_Дайджест 2003-2004 гг._Копия Потребность взаиморасч  от 28 02 2008 (2)" xfId="4241"/>
    <cellStyle name="_БЮДЖЕТ 2004 от 22.12.03.инвестиц_Дайджест 2003-2004 гг._Лист1" xfId="4242"/>
    <cellStyle name="_БЮДЖЕТ 2004 от 22.12.03.инвестиц_Дайджест 2003-2004 гг._Лист1 2" xfId="4243"/>
    <cellStyle name="_БЮДЖЕТ 2004 от 22.12.03.инвестиц_Дайджест 2003-2004 гг._Лист1 3" xfId="4244"/>
    <cellStyle name="_БЮДЖЕТ 2004 от 22.12.03.инвестиц_Дайджест 2003-2004 гг._Лист1 4" xfId="4245"/>
    <cellStyle name="_БЮДЖЕТ 2004 от 22.12.03.инвестиц_Дайджест 2003-2004 гг._Лист1 5" xfId="4246"/>
    <cellStyle name="_БЮДЖЕТ 2004 от 22.12.03.инвестиц_Дайджест 2003-2004 гг._Лист1 6" xfId="4247"/>
    <cellStyle name="_БЮДЖЕТ 2004 от 22.12.03.инвестиц_Дайджест 2003-2004 гг._Лист1 7" xfId="4248"/>
    <cellStyle name="_БЮДЖЕТ 2004 от 22.12.03.инвестиц_Дайджест 2003-2004 гг._Лист1 8" xfId="4249"/>
    <cellStyle name="_БЮДЖЕТ 2004 от 22.12.03.инвестиц_Дайджест 2003-2004 гг._Лист1 9" xfId="4250"/>
    <cellStyle name="_БЮДЖЕТ 2004 от 22.12.03.инвестиц_Дайджест 2003-2004 гг._Мод 4 кв 2008" xfId="4251"/>
    <cellStyle name="_БЮДЖЕТ 2004 от 22.12.03.инвестиц_Дайджест 2003-2004 гг._Мод 4 кв 2008_Книга2" xfId="4252"/>
    <cellStyle name="_БЮДЖЕТ 2004 от 22.12.03.инвестиц_Дайджест 2003-2004 гг._Налог на прибыль" xfId="4253"/>
    <cellStyle name="_БЮДЖЕТ 2004 от 22.12.03.инвестиц_Дайджест 2003-2004 гг._Налоги А.А. Богоцкому 2005-2009" xfId="4254"/>
    <cellStyle name="_БЮДЖЕТ 2004 от 22.12.03.инвестиц_Дайджест 2003-2004 гг._Налоги к плану на 2009 год (ДЗ и КЗ)" xfId="4255"/>
    <cellStyle name="_БЮДЖЕТ 2004 от 22.12.03.инвестиц_Дайджест 2003-2004 гг._Налоги к плану на февраль 2009 года" xfId="4256"/>
    <cellStyle name="_БЮДЖЕТ 2004 от 22.12.03.инвестиц_Дайджест 2003-2004 гг._Новые формы Дивизиона_3 кв_send (без дивидендов)" xfId="4257"/>
    <cellStyle name="_БЮДЖЕТ 2004 от 22.12.03.инвестиц_Дайджест 2003-2004 гг._Новые формы Дивизиона_3кв.2007" xfId="4258"/>
    <cellStyle name="_БЮДЖЕТ 2004 от 22.12.03.инвестиц_Дайджест 2003-2004 гг._Новые формы Дивизиона_3кв.2007 2" xfId="4259"/>
    <cellStyle name="_БЮДЖЕТ 2004 от 22.12.03.инвестиц_Дайджест 2003-2004 гг._Новые формы Дивизиона_3кв.2007 3" xfId="4260"/>
    <cellStyle name="_БЮДЖЕТ 2004 от 22.12.03.инвестиц_Дайджест 2003-2004 гг._Новые формы Дивизиона_3кв.2007 4" xfId="4261"/>
    <cellStyle name="_БЮДЖЕТ 2004 от 22.12.03.инвестиц_Дайджест 2003-2004 гг._Новые формы Дивизиона_3кв.2007 5" xfId="4262"/>
    <cellStyle name="_БЮДЖЕТ 2004 от 22.12.03.инвестиц_Дайджест 2003-2004 гг._Новые формы Дивизиона_3кв.2007 6" xfId="4263"/>
    <cellStyle name="_БЮДЖЕТ 2004 от 22.12.03.инвестиц_Дайджест 2003-2004 гг._Новые формы Дивизиона_3кв.2007 7" xfId="4264"/>
    <cellStyle name="_БЮДЖЕТ 2004 от 22.12.03.инвестиц_Дайджест 2003-2004 гг._Новые формы Дивизиона_3кв.2007 8" xfId="4265"/>
    <cellStyle name="_БЮДЖЕТ 2004 от 22.12.03.инвестиц_Дайджест 2003-2004 гг._Новые формы Дивизиона_3кв.2007 9" xfId="4266"/>
    <cellStyle name="_БЮДЖЕТ 2004 от 22.12.03.инвестиц_Дайджест 2003-2004 гг._Обжиговая" xfId="4267"/>
    <cellStyle name="_БЮДЖЕТ 2004 от 22.12.03.инвестиц_Дайджест 2003-2004 гг._Оборотный капитал план 2-е полугодие 2006 г. 25.08.06" xfId="4268"/>
    <cellStyle name="_БЮДЖЕТ 2004 от 22.12.03.инвестиц_Дайджест 2003-2004 гг._Оборотный капитал план 2-е полугодие 2006 г. 25.08.06 10" xfId="4269"/>
    <cellStyle name="_БЮДЖЕТ 2004 от 22.12.03.инвестиц_Дайджест 2003-2004 гг._Оборотный капитал план 2-е полугодие 2006 г. 25.08.06 11" xfId="4270"/>
    <cellStyle name="_БЮДЖЕТ 2004 от 22.12.03.инвестиц_Дайджест 2003-2004 гг._Оборотный капитал план 2-е полугодие 2006 г. 25.08.06 12" xfId="4271"/>
    <cellStyle name="_БЮДЖЕТ 2004 от 22.12.03.инвестиц_Дайджест 2003-2004 гг._Оборотный капитал план 2-е полугодие 2006 г. 25.08.06 13" xfId="4272"/>
    <cellStyle name="_БЮДЖЕТ 2004 от 22.12.03.инвестиц_Дайджест 2003-2004 гг._Оборотный капитал план 2-е полугодие 2006 г. 25.08.06 2" xfId="4273"/>
    <cellStyle name="_БЮДЖЕТ 2004 от 22.12.03.инвестиц_Дайджест 2003-2004 гг._Оборотный капитал план 2-е полугодие 2006 г. 25.08.06 3" xfId="4274"/>
    <cellStyle name="_БЮДЖЕТ 2004 от 22.12.03.инвестиц_Дайджест 2003-2004 гг._Оборотный капитал план 2-е полугодие 2006 г. 25.08.06 4" xfId="4275"/>
    <cellStyle name="_БЮДЖЕТ 2004 от 22.12.03.инвестиц_Дайджест 2003-2004 гг._Оборотный капитал план 2-е полугодие 2006 г. 25.08.06 5" xfId="4276"/>
    <cellStyle name="_БЮДЖЕТ 2004 от 22.12.03.инвестиц_Дайджест 2003-2004 гг._Оборотный капитал план 2-е полугодие 2006 г. 25.08.06 6" xfId="4277"/>
    <cellStyle name="_БЮДЖЕТ 2004 от 22.12.03.инвестиц_Дайджест 2003-2004 гг._Оборотный капитал план 2-е полугодие 2006 г. 25.08.06 7" xfId="4278"/>
    <cellStyle name="_БЮДЖЕТ 2004 от 22.12.03.инвестиц_Дайджест 2003-2004 гг._Оборотный капитал план 2-е полугодие 2006 г. 25.08.06 8" xfId="4279"/>
    <cellStyle name="_БЮДЖЕТ 2004 от 22.12.03.инвестиц_Дайджест 2003-2004 гг._Оборотный капитал план 2-е полугодие 2006 г. 25.08.06 9" xfId="4280"/>
    <cellStyle name="_БЮДЖЕТ 2004 от 22.12.03.инвестиц_Дайджест 2003-2004 гг._ОБРАЗЕЦ Презентационный материал" xfId="4281"/>
    <cellStyle name="_БЮДЖЕТ 2004 от 22.12.03.инвестиц_Дайджест 2003-2004 гг._ОБРАЗЕЦ Презентационный материал 2" xfId="4282"/>
    <cellStyle name="_БЮДЖЕТ 2004 от 22.12.03.инвестиц_Дайджест 2003-2004 гг._ОБРАЗЕЦ Презентационный материал 3" xfId="4283"/>
    <cellStyle name="_БЮДЖЕТ 2004 от 22.12.03.инвестиц_Дайджест 2003-2004 гг._ОБРАЗЕЦ Презентационный материал 4" xfId="4284"/>
    <cellStyle name="_БЮДЖЕТ 2004 от 22.12.03.инвестиц_Дайджест 2003-2004 гг._ОБРАЗЕЦ Презентационный материал 5" xfId="4285"/>
    <cellStyle name="_БЮДЖЕТ 2004 от 22.12.03.инвестиц_Дайджест 2003-2004 гг._ОБРАЗЕЦ Презентационный материал 6" xfId="4286"/>
    <cellStyle name="_БЮДЖЕТ 2004 от 22.12.03.инвестиц_Дайджест 2003-2004 гг._ОБРАЗЕЦ Презентационный материал 7" xfId="4287"/>
    <cellStyle name="_БЮДЖЕТ 2004 от 22.12.03.инвестиц_Дайджест 2003-2004 гг._ОБРАЗЕЦ Презентационный материал 8" xfId="4288"/>
    <cellStyle name="_БЮДЖЕТ 2004 от 22.12.03.инвестиц_Дайджест 2003-2004 гг._ОБРАЗЕЦ Презентационный материал 9" xfId="4289"/>
    <cellStyle name="_БЮДЖЕТ 2004 от 22.12.03.инвестиц_Дайджест 2003-2004 гг._оперативное исполнение 8 02 2009" xfId="4290"/>
    <cellStyle name="_БЮДЖЕТ 2004 от 22.12.03.инвестиц_Дайджест 2003-2004 гг._Отклонения план март-план февраль 2009 конс" xfId="4291"/>
    <cellStyle name="_БЮДЖЕТ 2004 от 22.12.03.инвестиц_Дайджест 2003-2004 гг._Отклонения план март-план февраль 2009 конс 2" xfId="4292"/>
    <cellStyle name="_БЮДЖЕТ 2004 от 22.12.03.инвестиц_Дайджест 2003-2004 гг._Отклонения план март-план февраль 2009 конс 3" xfId="4293"/>
    <cellStyle name="_БЮДЖЕТ 2004 от 22.12.03.инвестиц_Дайджест 2003-2004 гг._Отклонения план март-план февраль 2009 конс 4" xfId="4294"/>
    <cellStyle name="_БЮДЖЕТ 2004 от 22.12.03.инвестиц_Дайджест 2003-2004 гг._Отклонения план март-план февраль 2009 конс 5" xfId="4295"/>
    <cellStyle name="_БЮДЖЕТ 2004 от 22.12.03.инвестиц_Дайджест 2003-2004 гг._Отклонения план март-план февраль 2009 конс 6" xfId="4296"/>
    <cellStyle name="_БЮДЖЕТ 2004 от 22.12.03.инвестиц_Дайджест 2003-2004 гг._Отклонения план март-план февраль 2009 конс 7" xfId="4297"/>
    <cellStyle name="_БЮДЖЕТ 2004 от 22.12.03.инвестиц_Дайджест 2003-2004 гг._Отклонения план март-план февраль 2009 конс 8" xfId="4298"/>
    <cellStyle name="_БЮДЖЕТ 2004 от 22.12.03.инвестиц_Дайджест 2003-2004 гг._Отклонения план март-план февраль 2009 конс 9" xfId="4299"/>
    <cellStyle name="_БЮДЖЕТ 2004 от 22.12.03.инвестиц_Дайджест 2003-2004 гг._пл 02 2009 акционеры СВОД 09.02.2009" xfId="4300"/>
    <cellStyle name="_БЮДЖЕТ 2004 от 22.12.03.инвестиц_Дайджест 2003-2004 гг._пл2007 Распределение ОЭМК 27.01.07" xfId="4301"/>
    <cellStyle name="_БЮДЖЕТ 2004 от 22.12.03.инвестиц_Дайджест 2003-2004 гг._пл2007 фин.часть 18.12.06" xfId="4302"/>
    <cellStyle name="_БЮДЖЕТ 2004 от 22.12.03.инвестиц_Дайджест 2003-2004 гг._пл2007 фин.часть 18.12.06 2" xfId="4303"/>
    <cellStyle name="_БЮДЖЕТ 2004 от 22.12.03.инвестиц_Дайджест 2003-2004 гг._пл2007 фин.часть 18.12.06 3" xfId="4304"/>
    <cellStyle name="_БЮДЖЕТ 2004 от 22.12.03.инвестиц_Дайджест 2003-2004 гг._пл2007 фин.часть 18.12.06 4" xfId="4305"/>
    <cellStyle name="_БЮДЖЕТ 2004 от 22.12.03.инвестиц_Дайджест 2003-2004 гг._пл2007 фин.часть 18.12.06 5" xfId="4306"/>
    <cellStyle name="_БЮДЖЕТ 2004 от 22.12.03.инвестиц_Дайджест 2003-2004 гг._пл2007 фин.часть 18.12.06 6" xfId="4307"/>
    <cellStyle name="_БЮДЖЕТ 2004 от 22.12.03.инвестиц_Дайджест 2003-2004 гг._пл2007 фин.часть 18.12.06 7" xfId="4308"/>
    <cellStyle name="_БЮДЖЕТ 2004 от 22.12.03.инвестиц_Дайджест 2003-2004 гг._пл2007 фин.часть 18.12.06 8" xfId="4309"/>
    <cellStyle name="_БЮДЖЕТ 2004 от 22.12.03.инвестиц_Дайджест 2003-2004 гг._пл2007 фин.часть 18.12.06 9" xfId="4310"/>
    <cellStyle name="_БЮДЖЕТ 2004 от 22.12.03.инвестиц_Дайджест 2003-2004 гг._План 2 кв 2007 год 6.04.07" xfId="4311"/>
    <cellStyle name="_БЮДЖЕТ 2004 от 22.12.03.инвестиц_Дайджест 2003-2004 гг._План 2 кв 2007 год 6.04.07 2" xfId="4312"/>
    <cellStyle name="_БЮДЖЕТ 2004 от 22.12.03.инвестиц_Дайджест 2003-2004 гг._План 2 кв 2007 год 6.04.07 3" xfId="4313"/>
    <cellStyle name="_БЮДЖЕТ 2004 от 22.12.03.инвестиц_Дайджест 2003-2004 гг._План 2 кв 2007 год 6.04.07 4" xfId="4314"/>
    <cellStyle name="_БЮДЖЕТ 2004 от 22.12.03.инвестиц_Дайджест 2003-2004 гг._План 2 кв 2007 год 6.04.07 5" xfId="4315"/>
    <cellStyle name="_БЮДЖЕТ 2004 от 22.12.03.инвестиц_Дайджест 2003-2004 гг._План 2 кв 2007 год 6.04.07 6" xfId="4316"/>
    <cellStyle name="_БЮДЖЕТ 2004 от 22.12.03.инвестиц_Дайджест 2003-2004 гг._План 2 кв 2007 год 6.04.07 7" xfId="4317"/>
    <cellStyle name="_БЮДЖЕТ 2004 от 22.12.03.инвестиц_Дайджест 2003-2004 гг._План 2 кв 2007 год 6.04.07 8" xfId="4318"/>
    <cellStyle name="_БЮДЖЕТ 2004 от 22.12.03.инвестиц_Дайджест 2003-2004 гг._План 2 кв 2007 год 6.04.07 9" xfId="4319"/>
    <cellStyle name="_БЮДЖЕТ 2004 от 22.12.03.инвестиц_Дайджест 2003-2004 гг._План ДСМ 2 квартал 2009 ОТЧЕТ отп" xfId="4320"/>
    <cellStyle name="_БЮДЖЕТ 2004 от 22.12.03.инвестиц_Дайджест 2003-2004 гг._План ДСМ 3 квартал 2009 ОТЧЕТ" xfId="4321"/>
    <cellStyle name="_БЮДЖЕТ 2004 от 22.12.03.инвестиц_Дайджест 2003-2004 гг._План ДСМ 4 квартал 2009 ОТЧЕТ" xfId="4322"/>
    <cellStyle name="_БЮДЖЕТ 2004 от 22.12.03.инвестиц_Дайджест 2003-2004 гг._План ДСМ на 4 квартал 2006 (последняя версия) 2" xfId="4323"/>
    <cellStyle name="_БЮДЖЕТ 2004 от 22.12.03.инвестиц_Дайджест 2003-2004 гг._План ДСМ ноябрь 2011 ОТЧЕТ" xfId="4324"/>
    <cellStyle name="_БЮДЖЕТ 2004 от 22.12.03.инвестиц_Дайджест 2003-2004 гг._План ДСФ 1 квартал 2007" xfId="4325"/>
    <cellStyle name="_БЮДЖЕТ 2004 от 22.12.03.инвестиц_Дайджест 2003-2004 гг._План ДСФ 2 квартал 2009 ОТЧЕТ отп" xfId="4326"/>
    <cellStyle name="_БЮДЖЕТ 2004 от 22.12.03.инвестиц_Дайджест 2003-2004 гг._План ДСФ 4 квартал 2009 ОТЧЕТ" xfId="4327"/>
    <cellStyle name="_БЮДЖЕТ 2004 от 22.12.03.инвестиц_Дайджест 2003-2004 гг._План на 2009 год ДСМ ОТЧЕТ отп (01.12.08)" xfId="4328"/>
    <cellStyle name="_БЮДЖЕТ 2004 от 22.12.03.инвестиц_Дайджест 2003-2004 гг._План на 2010 год ДСМ ОТЧЕТ" xfId="4329"/>
    <cellStyle name="_БЮДЖЕТ 2004 от 22.12.03.инвестиц_Дайджест 2003-2004 гг._план ноября (отправл) 13.11" xfId="4330"/>
    <cellStyle name="_БЮДЖЕТ 2004 от 22.12.03.инвестиц_Дайджест 2003-2004 гг._План_2008г._БДР" xfId="4331"/>
    <cellStyle name="_БЮДЖЕТ 2004 от 22.12.03.инвестиц_Дайджест 2003-2004 гг._План_2008г._БДР 2" xfId="4332"/>
    <cellStyle name="_БЮДЖЕТ 2004 от 22.12.03.инвестиц_Дайджест 2003-2004 гг._План_2008г._БДР 3" xfId="4333"/>
    <cellStyle name="_БЮДЖЕТ 2004 от 22.12.03.инвестиц_Дайджест 2003-2004 гг._План_2008г._БДР 4" xfId="4334"/>
    <cellStyle name="_БЮДЖЕТ 2004 от 22.12.03.инвестиц_Дайджест 2003-2004 гг._План_2008г._БДР 5" xfId="4335"/>
    <cellStyle name="_БЮДЖЕТ 2004 от 22.12.03.инвестиц_Дайджест 2003-2004 гг._План_2008г._БДР 6" xfId="4336"/>
    <cellStyle name="_БЮДЖЕТ 2004 от 22.12.03.инвестиц_Дайджест 2003-2004 гг._План_2008г._БДР 7" xfId="4337"/>
    <cellStyle name="_БЮДЖЕТ 2004 от 22.12.03.инвестиц_Дайджест 2003-2004 гг._План_2008г._БДР 8" xfId="4338"/>
    <cellStyle name="_БЮДЖЕТ 2004 от 22.12.03.инвестиц_Дайджест 2003-2004 гг._План_2008г._БДР 9" xfId="4339"/>
    <cellStyle name="_БЮДЖЕТ 2004 от 22.12.03.инвестиц_Дайджест 2003-2004 гг._План_2008г._БДР_отпр.13.12.2007_19-40" xfId="4340"/>
    <cellStyle name="_БЮДЖЕТ 2004 от 22.12.03.инвестиц_Дайджест 2003-2004 гг._План_2008г._БДР_отпр.13.12.2007_19-40 2" xfId="4341"/>
    <cellStyle name="_БЮДЖЕТ 2004 от 22.12.03.инвестиц_Дайджест 2003-2004 гг._План_2008г._БДР_отпр.13.12.2007_19-40 3" xfId="4342"/>
    <cellStyle name="_БЮДЖЕТ 2004 от 22.12.03.инвестиц_Дайджест 2003-2004 гг._План_2008г._БДР_отпр.13.12.2007_19-40 4" xfId="4343"/>
    <cellStyle name="_БЮДЖЕТ 2004 от 22.12.03.инвестиц_Дайджест 2003-2004 гг._План_2008г._БДР_отпр.13.12.2007_19-40 5" xfId="4344"/>
    <cellStyle name="_БЮДЖЕТ 2004 от 22.12.03.инвестиц_Дайджест 2003-2004 гг._План_2008г._БДР_отпр.13.12.2007_19-40 6" xfId="4345"/>
    <cellStyle name="_БЮДЖЕТ 2004 от 22.12.03.инвестиц_Дайджест 2003-2004 гг._План_2008г._БДР_отпр.13.12.2007_19-40 7" xfId="4346"/>
    <cellStyle name="_БЮДЖЕТ 2004 от 22.12.03.инвестиц_Дайджест 2003-2004 гг._План_2008г._БДР_отпр.13.12.2007_19-40 8" xfId="4347"/>
    <cellStyle name="_БЮДЖЕТ 2004 от 22.12.03.инвестиц_Дайджест 2003-2004 гг._План_2008г._БДР_отпр.13.12.2007_19-40 9" xfId="4348"/>
    <cellStyle name="_БЮДЖЕТ 2004 от 22.12.03.инвестиц_Дайджест 2003-2004 гг._Помесячный Чистов ФДе" xfId="4349"/>
    <cellStyle name="_БЮДЖЕТ 2004 от 22.12.03.инвестиц_Дайджест 2003-2004 гг._Помесячный Чистов ФДе 2" xfId="4350"/>
    <cellStyle name="_БЮДЖЕТ 2004 от 22.12.03.инвестиц_Дайджест 2003-2004 гг._Помесячный Чистов ФДе 3" xfId="4351"/>
    <cellStyle name="_БЮДЖЕТ 2004 от 22.12.03.инвестиц_Дайджест 2003-2004 гг._Помесячный Чистов ФДе 4" xfId="4352"/>
    <cellStyle name="_БЮДЖЕТ 2004 от 22.12.03.инвестиц_Дайджест 2003-2004 гг._Помесячный Чистов ФДе 5" xfId="4353"/>
    <cellStyle name="_БЮДЖЕТ 2004 от 22.12.03.инвестиц_Дайджест 2003-2004 гг._Помесячный Чистов ФДе 6" xfId="4354"/>
    <cellStyle name="_БЮДЖЕТ 2004 от 22.12.03.инвестиц_Дайджест 2003-2004 гг._Помесячный Чистов ФДе 7" xfId="4355"/>
    <cellStyle name="_БЮДЖЕТ 2004 от 22.12.03.инвестиц_Дайджест 2003-2004 гг._Помесячный Чистов ФДе 8" xfId="4356"/>
    <cellStyle name="_БЮДЖЕТ 2004 от 22.12.03.инвестиц_Дайджест 2003-2004 гг._Помесячный Чистов ФДе 9" xfId="4357"/>
    <cellStyle name="_БЮДЖЕТ 2004 от 22.12.03.инвестиц_Дайджест 2003-2004 гг._пр I кв 2008 форма презентации" xfId="4358"/>
    <cellStyle name="_БЮДЖЕТ 2004 от 22.12.03.инвестиц_Дайджест 2003-2004 гг._пр I кв 2008 форма презентации 2" xfId="4359"/>
    <cellStyle name="_БЮДЖЕТ 2004 от 22.12.03.инвестиц_Дайджест 2003-2004 гг._пр I кв 2008 форма презентации 3" xfId="4360"/>
    <cellStyle name="_БЮДЖЕТ 2004 от 22.12.03.инвестиц_Дайджест 2003-2004 гг._пр I кв 2008 форма презентации 4" xfId="4361"/>
    <cellStyle name="_БЮДЖЕТ 2004 от 22.12.03.инвестиц_Дайджест 2003-2004 гг._пр I кв 2008 форма презентации 5" xfId="4362"/>
    <cellStyle name="_БЮДЖЕТ 2004 от 22.12.03.инвестиц_Дайджест 2003-2004 гг._пр I кв 2008 форма презентации 6" xfId="4363"/>
    <cellStyle name="_БЮДЖЕТ 2004 от 22.12.03.инвестиц_Дайджест 2003-2004 гг._пр I кв 2008 форма презентации 7" xfId="4364"/>
    <cellStyle name="_БЮДЖЕТ 2004 от 22.12.03.инвестиц_Дайджест 2003-2004 гг._пр I кв 2008 форма презентации 8" xfId="4365"/>
    <cellStyle name="_БЮДЖЕТ 2004 от 22.12.03.инвестиц_Дайджест 2003-2004 гг._пр I кв 2008 форма презентации 9" xfId="4366"/>
    <cellStyle name="_БЮДЖЕТ 2004 от 22.12.03.инвестиц_Дайджест 2003-2004 гг._пр2006 Комплект ОЭМК 13.02.07 (рабочая)" xfId="4367"/>
    <cellStyle name="_БЮДЖЕТ 2004 от 22.12.03.инвестиц_Дайджест 2003-2004 гг._пр2006 Комплект ОЭМК 13.02.07 (рабочая) 2" xfId="4368"/>
    <cellStyle name="_БЮДЖЕТ 2004 от 22.12.03.инвестиц_Дайджест 2003-2004 гг._пр2006 Комплект ОЭМК 13.02.07 (рабочая) 3" xfId="4369"/>
    <cellStyle name="_БЮДЖЕТ 2004 от 22.12.03.инвестиц_Дайджест 2003-2004 гг._пр2006 Комплект ОЭМК 13.02.07 (рабочая) 4" xfId="4370"/>
    <cellStyle name="_БЮДЖЕТ 2004 от 22.12.03.инвестиц_Дайджест 2003-2004 гг._пр2006 Комплект ОЭМК 13.02.07 (рабочая) 5" xfId="4371"/>
    <cellStyle name="_БЮДЖЕТ 2004 от 22.12.03.инвестиц_Дайджест 2003-2004 гг._пр2006 Комплект ОЭМК 13.02.07 (рабочая) 6" xfId="4372"/>
    <cellStyle name="_БЮДЖЕТ 2004 от 22.12.03.инвестиц_Дайджест 2003-2004 гг._пр2006 Комплект ОЭМК 13.02.07 (рабочая) 7" xfId="4373"/>
    <cellStyle name="_БЮДЖЕТ 2004 от 22.12.03.инвестиц_Дайджест 2003-2004 гг._пр2006 Комплект ОЭМК 13.02.07 (рабочая) 8" xfId="4374"/>
    <cellStyle name="_БЮДЖЕТ 2004 от 22.12.03.инвестиц_Дайджест 2003-2004 гг._пр2006 Комплект ОЭМК 13.02.07 (рабочая) 9" xfId="4375"/>
    <cellStyle name="_БЮДЖЕТ 2004 от 22.12.03.инвестиц_Дайджест 2003-2004 гг._пр2006 Комплект ОЭМК 13.02.07 (рабочая)_Книга2" xfId="4376"/>
    <cellStyle name="_БЮДЖЕТ 2004 от 22.12.03.инвестиц_Дайджест 2003-2004 гг._пр2006 Комплект ОЭМК 13.02.07 (рабочая)_Отчет за сентябрь_11_ДСМ" xfId="4377"/>
    <cellStyle name="_БЮДЖЕТ 2004 от 22.12.03.инвестиц_Дайджест 2003-2004 гг._пр2006 формы(19-30) 14.02.07" xfId="4378"/>
    <cellStyle name="_БЮДЖЕТ 2004 от 22.12.03.инвестиц_Дайджест 2003-2004 гг._пр2006 формы(19-30) 14.02.07 2" xfId="4379"/>
    <cellStyle name="_БЮДЖЕТ 2004 от 22.12.03.инвестиц_Дайджест 2003-2004 гг._пр2006 формы(19-30) 14.02.07 3" xfId="4380"/>
    <cellStyle name="_БЮДЖЕТ 2004 от 22.12.03.инвестиц_Дайджест 2003-2004 гг._пр2006 формы(19-30) 14.02.07 4" xfId="4381"/>
    <cellStyle name="_БЮДЖЕТ 2004 от 22.12.03.инвестиц_Дайджест 2003-2004 гг._пр2006 формы(19-30) 14.02.07 5" xfId="4382"/>
    <cellStyle name="_БЮДЖЕТ 2004 от 22.12.03.инвестиц_Дайджест 2003-2004 гг._пр2006 формы(19-30) 14.02.07 6" xfId="4383"/>
    <cellStyle name="_БЮДЖЕТ 2004 от 22.12.03.инвестиц_Дайджест 2003-2004 гг._пр2006 формы(19-30) 14.02.07 7" xfId="4384"/>
    <cellStyle name="_БЮДЖЕТ 2004 от 22.12.03.инвестиц_Дайджест 2003-2004 гг._пр2006 формы(19-30) 14.02.07 8" xfId="4385"/>
    <cellStyle name="_БЮДЖЕТ 2004 от 22.12.03.инвестиц_Дайджест 2003-2004 гг._пр2006 формы(19-30) 14.02.07 9" xfId="4386"/>
    <cellStyle name="_БЮДЖЕТ 2004 от 22.12.03.инвестиц_Дайджест 2003-2004 гг._пр2006 формы(19-30) 14.02.07_Книга2" xfId="4387"/>
    <cellStyle name="_БЮДЖЕТ 2004 от 22.12.03.инвестиц_Дайджест 2003-2004 гг._пр2006 формы(19-30) 14.02.07_Отчет за сентябрь_11_ДСМ" xfId="4388"/>
    <cellStyle name="_БЮДЖЕТ 2004 от 22.12.03.инвестиц_Дайджест 2003-2004 гг._Презентационный БДР_21 02 2008" xfId="4389"/>
    <cellStyle name="_БЮДЖЕТ 2004 от 22.12.03.инвестиц_Дайджест 2003-2004 гг._Презентационный БДР_21 02 2008 2" xfId="4390"/>
    <cellStyle name="_БЮДЖЕТ 2004 от 22.12.03.инвестиц_Дайджест 2003-2004 гг._Презентационный БДР_21 02 2008 3" xfId="4391"/>
    <cellStyle name="_БЮДЖЕТ 2004 от 22.12.03.инвестиц_Дайджест 2003-2004 гг._Презентационный БДР_21 02 2008 4" xfId="4392"/>
    <cellStyle name="_БЮДЖЕТ 2004 от 22.12.03.инвестиц_Дайджест 2003-2004 гг._Презентационный БДР_21 02 2008 5" xfId="4393"/>
    <cellStyle name="_БЮДЖЕТ 2004 от 22.12.03.инвестиц_Дайджест 2003-2004 гг._Презентационный БДР_21 02 2008 6" xfId="4394"/>
    <cellStyle name="_БЮДЖЕТ 2004 от 22.12.03.инвестиц_Дайджест 2003-2004 гг._Презентационный БДР_21 02 2008 7" xfId="4395"/>
    <cellStyle name="_БЮДЖЕТ 2004 от 22.12.03.инвестиц_Дайджест 2003-2004 гг._Презентационный БДР_21 02 2008 8" xfId="4396"/>
    <cellStyle name="_БЮДЖЕТ 2004 от 22.12.03.инвестиц_Дайджест 2003-2004 гг._Презентационный БДР_21 02 2008 9" xfId="4397"/>
    <cellStyle name="_БЮДЖЕТ 2004 от 22.12.03.инвестиц_Дайджест 2003-2004 гг._Презентационный материал" xfId="4398"/>
    <cellStyle name="_БЮДЖЕТ 2004 от 22.12.03.инвестиц_Дайджест 2003-2004 гг._Презентационный материал 2" xfId="4399"/>
    <cellStyle name="_БЮДЖЕТ 2004 от 22.12.03.инвестиц_Дайджест 2003-2004 гг._Презентационный материал 2 кв_план" xfId="4400"/>
    <cellStyle name="_БЮДЖЕТ 2004 от 22.12.03.инвестиц_Дайджест 2003-2004 гг._Презентационный материал 3" xfId="4401"/>
    <cellStyle name="_БЮДЖЕТ 2004 от 22.12.03.инвестиц_Дайджест 2003-2004 гг._Презентационный материал 4" xfId="4402"/>
    <cellStyle name="_БЮДЖЕТ 2004 от 22.12.03.инвестиц_Дайджест 2003-2004 гг._Презентационный материал 5" xfId="4403"/>
    <cellStyle name="_БЮДЖЕТ 2004 от 22.12.03.инвестиц_Дайджест 2003-2004 гг._Презентационный материал 6" xfId="4404"/>
    <cellStyle name="_БЮДЖЕТ 2004 от 22.12.03.инвестиц_Дайджест 2003-2004 гг._Презентационный материал 7" xfId="4405"/>
    <cellStyle name="_БЮДЖЕТ 2004 от 22.12.03.инвестиц_Дайджест 2003-2004 гг._Презентационный материал 8" xfId="4406"/>
    <cellStyle name="_БЮДЖЕТ 2004 от 22.12.03.инвестиц_Дайджест 2003-2004 гг._Презентационный материал 9" xfId="4407"/>
    <cellStyle name="_БЮДЖЕТ 2004 от 22.12.03.инвестиц_Дайджест 2003-2004 гг._Презентация" xfId="4408"/>
    <cellStyle name="_БЮДЖЕТ 2004 от 22.12.03.инвестиц_Дайджест 2003-2004 гг._Презентация (фин.часть) 27.06.07" xfId="4409"/>
    <cellStyle name="_БЮДЖЕТ 2004 от 22.12.03.инвестиц_Дайджест 2003-2004 гг._Презентация (фин.часть) 27.06.07 2" xfId="4410"/>
    <cellStyle name="_БЮДЖЕТ 2004 от 22.12.03.инвестиц_Дайджест 2003-2004 гг._Презентация (фин.часть) 27.06.07 3" xfId="4411"/>
    <cellStyle name="_БЮДЖЕТ 2004 от 22.12.03.инвестиц_Дайджест 2003-2004 гг._Презентация (фин.часть) 27.06.07 4" xfId="4412"/>
    <cellStyle name="_БЮДЖЕТ 2004 от 22.12.03.инвестиц_Дайджест 2003-2004 гг._Презентация (фин.часть) 27.06.07 5" xfId="4413"/>
    <cellStyle name="_БЮДЖЕТ 2004 от 22.12.03.инвестиц_Дайджест 2003-2004 гг._Презентация (фин.часть) 27.06.07 6" xfId="4414"/>
    <cellStyle name="_БЮДЖЕТ 2004 от 22.12.03.инвестиц_Дайджест 2003-2004 гг._Презентация (фин.часть) 27.06.07 7" xfId="4415"/>
    <cellStyle name="_БЮДЖЕТ 2004 от 22.12.03.инвестиц_Дайджест 2003-2004 гг._Презентация (фин.часть) 27.06.07 8" xfId="4416"/>
    <cellStyle name="_БЮДЖЕТ 2004 от 22.12.03.инвестиц_Дайджест 2003-2004 гг._Презентация (фин.часть) 27.06.07 9" xfId="4417"/>
    <cellStyle name="_БЮДЖЕТ 2004 от 22.12.03.инвестиц_Дайджест 2003-2004 гг._Презентация 2" xfId="4418"/>
    <cellStyle name="_БЮДЖЕТ 2004 от 22.12.03.инвестиц_Дайджест 2003-2004 гг._Презентация 2007 пл-ож 17.12" xfId="4419"/>
    <cellStyle name="_БЮДЖЕТ 2004 от 22.12.03.инвестиц_Дайджест 2003-2004 гг._Презентация 2007 пл-ож 17.12 2" xfId="4420"/>
    <cellStyle name="_БЮДЖЕТ 2004 от 22.12.03.инвестиц_Дайджест 2003-2004 гг._Презентация 2007 пл-ож 17.12 3" xfId="4421"/>
    <cellStyle name="_БЮДЖЕТ 2004 от 22.12.03.инвестиц_Дайджест 2003-2004 гг._Презентация 2007 пл-ож 17.12 4" xfId="4422"/>
    <cellStyle name="_БЮДЖЕТ 2004 от 22.12.03.инвестиц_Дайджест 2003-2004 гг._Презентация 2007 пл-ож 17.12 5" xfId="4423"/>
    <cellStyle name="_БЮДЖЕТ 2004 от 22.12.03.инвестиц_Дайджест 2003-2004 гг._Презентация 2007 пл-ож 17.12 6" xfId="4424"/>
    <cellStyle name="_БЮДЖЕТ 2004 от 22.12.03.инвестиц_Дайджест 2003-2004 гг._Презентация 2007 пл-ож 17.12 7" xfId="4425"/>
    <cellStyle name="_БЮДЖЕТ 2004 от 22.12.03.инвестиц_Дайджест 2003-2004 гг._Презентация 2007 пл-ож 17.12 8" xfId="4426"/>
    <cellStyle name="_БЮДЖЕТ 2004 от 22.12.03.инвестиц_Дайджест 2003-2004 гг._Презентация 2007 пл-ож 17.12 9" xfId="4427"/>
    <cellStyle name="_БЮДЖЕТ 2004 от 22.12.03.инвестиц_Дайджест 2003-2004 гг._Презентация 2007-2008 17.12" xfId="4428"/>
    <cellStyle name="_БЮДЖЕТ 2004 от 22.12.03.инвестиц_Дайджест 2003-2004 гг._Презентация 2007-2008 17.12 2" xfId="4429"/>
    <cellStyle name="_БЮДЖЕТ 2004 от 22.12.03.инвестиц_Дайджест 2003-2004 гг._Презентация 2007-2008 17.12 3" xfId="4430"/>
    <cellStyle name="_БЮДЖЕТ 2004 от 22.12.03.инвестиц_Дайджест 2003-2004 гг._Презентация 2007-2008 17.12 4" xfId="4431"/>
    <cellStyle name="_БЮДЖЕТ 2004 от 22.12.03.инвестиц_Дайджест 2003-2004 гг._Презентация 2007-2008 17.12 5" xfId="4432"/>
    <cellStyle name="_БЮДЖЕТ 2004 от 22.12.03.инвестиц_Дайджест 2003-2004 гг._Презентация 2007-2008 17.12 6" xfId="4433"/>
    <cellStyle name="_БЮДЖЕТ 2004 от 22.12.03.инвестиц_Дайджест 2003-2004 гг._Презентация 2007-2008 17.12 7" xfId="4434"/>
    <cellStyle name="_БЮДЖЕТ 2004 от 22.12.03.инвестиц_Дайджест 2003-2004 гг._Презентация 2007-2008 17.12 8" xfId="4435"/>
    <cellStyle name="_БЮДЖЕТ 2004 от 22.12.03.инвестиц_Дайджест 2003-2004 гг._Презентация 2007-2008 17.12 9" xfId="4436"/>
    <cellStyle name="_БЮДЖЕТ 2004 от 22.12.03.инвестиц_Дайджест 2003-2004 гг._Презентация 2008 (2)" xfId="4437"/>
    <cellStyle name="_БЮДЖЕТ 2004 от 22.12.03.инвестиц_Дайджест 2003-2004 гг._Презентация 2008 (2) 2" xfId="4438"/>
    <cellStyle name="_БЮДЖЕТ 2004 от 22.12.03.инвестиц_Дайджест 2003-2004 гг._Презентация 2008 (2) 3" xfId="4439"/>
    <cellStyle name="_БЮДЖЕТ 2004 от 22.12.03.инвестиц_Дайджест 2003-2004 гг._Презентация 2008 (2) 4" xfId="4440"/>
    <cellStyle name="_БЮДЖЕТ 2004 от 22.12.03.инвестиц_Дайджест 2003-2004 гг._Презентация 2008 (2) 5" xfId="4441"/>
    <cellStyle name="_БЮДЖЕТ 2004 от 22.12.03.инвестиц_Дайджест 2003-2004 гг._Презентация 2008 (2) 6" xfId="4442"/>
    <cellStyle name="_БЮДЖЕТ 2004 от 22.12.03.инвестиц_Дайджест 2003-2004 гг._Презентация 2008 (2) 7" xfId="4443"/>
    <cellStyle name="_БЮДЖЕТ 2004 от 22.12.03.инвестиц_Дайджест 2003-2004 гг._Презентация 2008 (2) 8" xfId="4444"/>
    <cellStyle name="_БЮДЖЕТ 2004 от 22.12.03.инвестиц_Дайджест 2003-2004 гг._Презентация 2008 (2) 9" xfId="4445"/>
    <cellStyle name="_БЮДЖЕТ 2004 от 22.12.03.инвестиц_Дайджест 2003-2004 гг._Презентация 2008 год (фин. часть) от 22.10.07" xfId="4446"/>
    <cellStyle name="_БЮДЖЕТ 2004 от 22.12.03.инвестиц_Дайджест 2003-2004 гг._Презентация 2008 год (фин. часть) от 22.10.07 2" xfId="4447"/>
    <cellStyle name="_БЮДЖЕТ 2004 от 22.12.03.инвестиц_Дайджест 2003-2004 гг._Презентация 2008 год (фин. часть) от 22.10.07 3" xfId="4448"/>
    <cellStyle name="_БЮДЖЕТ 2004 от 22.12.03.инвестиц_Дайджест 2003-2004 гг._Презентация 2008 год (фин. часть) от 22.10.07 4" xfId="4449"/>
    <cellStyle name="_БЮДЖЕТ 2004 от 22.12.03.инвестиц_Дайджест 2003-2004 гг._Презентация 2008 год (фин. часть) от 22.10.07 5" xfId="4450"/>
    <cellStyle name="_БЮДЖЕТ 2004 от 22.12.03.инвестиц_Дайджест 2003-2004 гг._Презентация 2008 год (фин. часть) от 22.10.07 6" xfId="4451"/>
    <cellStyle name="_БЮДЖЕТ 2004 от 22.12.03.инвестиц_Дайджест 2003-2004 гг._Презентация 2008 год (фин. часть) от 22.10.07 7" xfId="4452"/>
    <cellStyle name="_БЮДЖЕТ 2004 от 22.12.03.инвестиц_Дайджест 2003-2004 гг._Презентация 2008 год (фин. часть) от 22.10.07 8" xfId="4453"/>
    <cellStyle name="_БЮДЖЕТ 2004 от 22.12.03.инвестиц_Дайджест 2003-2004 гг._Презентация 2008 год (фин. часть) от 22.10.07 9" xfId="4454"/>
    <cellStyle name="_БЮДЖЕТ 2004 от 22.12.03.инвестиц_Дайджест 2003-2004 гг._Презентация 2008 фин. часть (коричневые формы)" xfId="4455"/>
    <cellStyle name="_БЮДЖЕТ 2004 от 22.12.03.инвестиц_Дайджест 2003-2004 гг._Презентация 2008 фин. часть (коричневые формы) 2" xfId="4456"/>
    <cellStyle name="_БЮДЖЕТ 2004 от 22.12.03.инвестиц_Дайджест 2003-2004 гг._Презентация 2008 фин. часть (коричневые формы) 3" xfId="4457"/>
    <cellStyle name="_БЮДЖЕТ 2004 от 22.12.03.инвестиц_Дайджест 2003-2004 гг._Презентация 2008 фин. часть (коричневые формы) 4" xfId="4458"/>
    <cellStyle name="_БЮДЖЕТ 2004 от 22.12.03.инвестиц_Дайджест 2003-2004 гг._Презентация 2008 фин. часть (коричневые формы) 5" xfId="4459"/>
    <cellStyle name="_БЮДЖЕТ 2004 от 22.12.03.инвестиц_Дайджест 2003-2004 гг._Презентация 2008 фин. часть (коричневые формы) 6" xfId="4460"/>
    <cellStyle name="_БЮДЖЕТ 2004 от 22.12.03.инвестиц_Дайджест 2003-2004 гг._Презентация 2008 фин. часть (коричневые формы) 7" xfId="4461"/>
    <cellStyle name="_БЮДЖЕТ 2004 от 22.12.03.инвестиц_Дайджест 2003-2004 гг._Презентация 2008 фин. часть (коричневые формы) 8" xfId="4462"/>
    <cellStyle name="_БЮДЖЕТ 2004 от 22.12.03.инвестиц_Дайджест 2003-2004 гг._Презентация 2008 фин. часть (коричневые формы) 9" xfId="4463"/>
    <cellStyle name="_БЮДЖЕТ 2004 от 22.12.03.инвестиц_Дайджест 2003-2004 гг._Презентация 3" xfId="4464"/>
    <cellStyle name="_БЮДЖЕТ 2004 от 22.12.03.инвестиц_Дайджест 2003-2004 гг._Презентация 4" xfId="4465"/>
    <cellStyle name="_БЮДЖЕТ 2004 от 22.12.03.инвестиц_Дайджест 2003-2004 гг._Презентация 5" xfId="4466"/>
    <cellStyle name="_БЮДЖЕТ 2004 от 22.12.03.инвестиц_Дайджест 2003-2004 гг._Презентация 6" xfId="4467"/>
    <cellStyle name="_БЮДЖЕТ 2004 от 22.12.03.инвестиц_Дайджест 2003-2004 гг._Презентация 7" xfId="4468"/>
    <cellStyle name="_БЮДЖЕТ 2004 от 22.12.03.инвестиц_Дайджест 2003-2004 гг._Презентация 8" xfId="4469"/>
    <cellStyle name="_БЮДЖЕТ 2004 от 22.12.03.инвестиц_Дайджест 2003-2004 гг._презентация 8.02.07" xfId="4470"/>
    <cellStyle name="_БЮДЖЕТ 2004 от 22.12.03.инвестиц_Дайджест 2003-2004 гг._презентация 8.02.07 2" xfId="4471"/>
    <cellStyle name="_БЮДЖЕТ 2004 от 22.12.03.инвестиц_Дайджест 2003-2004 гг._презентация 8.02.07 3" xfId="4472"/>
    <cellStyle name="_БЮДЖЕТ 2004 от 22.12.03.инвестиц_Дайджест 2003-2004 гг._презентация 8.02.07 4" xfId="4473"/>
    <cellStyle name="_БЮДЖЕТ 2004 от 22.12.03.инвестиц_Дайджест 2003-2004 гг._презентация 8.02.07 5" xfId="4474"/>
    <cellStyle name="_БЮДЖЕТ 2004 от 22.12.03.инвестиц_Дайджест 2003-2004 гг._презентация 8.02.07 6" xfId="4475"/>
    <cellStyle name="_БЮДЖЕТ 2004 от 22.12.03.инвестиц_Дайджест 2003-2004 гг._презентация 8.02.07 7" xfId="4476"/>
    <cellStyle name="_БЮДЖЕТ 2004 от 22.12.03.инвестиц_Дайджест 2003-2004 гг._презентация 8.02.07 8" xfId="4477"/>
    <cellStyle name="_БЮДЖЕТ 2004 от 22.12.03.инвестиц_Дайджест 2003-2004 гг._презентация 8.02.07 9" xfId="4478"/>
    <cellStyle name="_БЮДЖЕТ 2004 от 22.12.03.инвестиц_Дайджест 2003-2004 гг._Презентация 9" xfId="4479"/>
    <cellStyle name="_БЮДЖЕТ 2004 от 22.12.03.инвестиц_Дайджест 2003-2004 гг._Презентация август 07 факт" xfId="4480"/>
    <cellStyle name="_БЮДЖЕТ 2004 от 22.12.03.инвестиц_Дайджест 2003-2004 гг._Презентация август 07 факт 2" xfId="4481"/>
    <cellStyle name="_БЮДЖЕТ 2004 от 22.12.03.инвестиц_Дайджест 2003-2004 гг._Презентация август 07 факт 3" xfId="4482"/>
    <cellStyle name="_БЮДЖЕТ 2004 от 22.12.03.инвестиц_Дайджест 2003-2004 гг._Презентация август 07 факт 4" xfId="4483"/>
    <cellStyle name="_БЮДЖЕТ 2004 от 22.12.03.инвестиц_Дайджест 2003-2004 гг._Презентация август 07 факт 5" xfId="4484"/>
    <cellStyle name="_БЮДЖЕТ 2004 от 22.12.03.инвестиц_Дайджест 2003-2004 гг._Презентация август 07 факт 6" xfId="4485"/>
    <cellStyle name="_БЮДЖЕТ 2004 от 22.12.03.инвестиц_Дайджест 2003-2004 гг._Презентация август 07 факт 7" xfId="4486"/>
    <cellStyle name="_БЮДЖЕТ 2004 от 22.12.03.инвестиц_Дайджест 2003-2004 гг._Презентация август 07 факт 8" xfId="4487"/>
    <cellStyle name="_БЮДЖЕТ 2004 от 22.12.03.инвестиц_Дайджест 2003-2004 гг._Презентация август 07 факт 9" xfId="4488"/>
    <cellStyle name="_БЮДЖЕТ 2004 от 22.12.03.инвестиц_Дайджест 2003-2004 гг._Презентация для Ульянова" xfId="4489"/>
    <cellStyle name="_БЮДЖЕТ 2004 от 22.12.03.инвестиц_Дайджест 2003-2004 гг._Презентация для Ульянова 2" xfId="4490"/>
    <cellStyle name="_БЮДЖЕТ 2004 от 22.12.03.инвестиц_Дайджест 2003-2004 гг._Презентация для Ульянова 3" xfId="4491"/>
    <cellStyle name="_БЮДЖЕТ 2004 от 22.12.03.инвестиц_Дайджест 2003-2004 гг._Презентация для Ульянова 4" xfId="4492"/>
    <cellStyle name="_БЮДЖЕТ 2004 от 22.12.03.инвестиц_Дайджест 2003-2004 гг._Презентация для Ульянова 5" xfId="4493"/>
    <cellStyle name="_БЮДЖЕТ 2004 от 22.12.03.инвестиц_Дайджест 2003-2004 гг._Презентация для Ульянова 6" xfId="4494"/>
    <cellStyle name="_БЮДЖЕТ 2004 от 22.12.03.инвестиц_Дайджест 2003-2004 гг._Презентация для Ульянова 7" xfId="4495"/>
    <cellStyle name="_БЮДЖЕТ 2004 от 22.12.03.инвестиц_Дайджест 2003-2004 гг._Презентация для Ульянова 8" xfId="4496"/>
    <cellStyle name="_БЮДЖЕТ 2004 от 22.12.03.инвестиц_Дайджест 2003-2004 гг._Презентация для Ульянова 9" xfId="4497"/>
    <cellStyle name="_БЮДЖЕТ 2004 от 22.12.03.инвестиц_Дайджест 2003-2004 гг._Презентация для Ульянова И.Г. от 17.12.07" xfId="4498"/>
    <cellStyle name="_БЮДЖЕТ 2004 от 22.12.03.инвестиц_Дайджест 2003-2004 гг._Презентация для Ульянова И.Г. от 17.12.07 2" xfId="4499"/>
    <cellStyle name="_БЮДЖЕТ 2004 от 22.12.03.инвестиц_Дайджест 2003-2004 гг._Презентация для Ульянова И.Г. от 17.12.07 3" xfId="4500"/>
    <cellStyle name="_БЮДЖЕТ 2004 от 22.12.03.инвестиц_Дайджест 2003-2004 гг._Презентация для Ульянова И.Г. от 17.12.07 4" xfId="4501"/>
    <cellStyle name="_БЮДЖЕТ 2004 от 22.12.03.инвестиц_Дайджест 2003-2004 гг._Презентация для Ульянова И.Г. от 17.12.07 5" xfId="4502"/>
    <cellStyle name="_БЮДЖЕТ 2004 от 22.12.03.инвестиц_Дайджест 2003-2004 гг._Презентация для Ульянова И.Г. от 17.12.07 6" xfId="4503"/>
    <cellStyle name="_БЮДЖЕТ 2004 от 22.12.03.инвестиц_Дайджест 2003-2004 гг._Презентация для Ульянова И.Г. от 17.12.07 7" xfId="4504"/>
    <cellStyle name="_БЮДЖЕТ 2004 от 22.12.03.инвестиц_Дайджест 2003-2004 гг._Презентация для Ульянова И.Г. от 17.12.07 8" xfId="4505"/>
    <cellStyle name="_БЮДЖЕТ 2004 от 22.12.03.инвестиц_Дайджест 2003-2004 гг._Презентация для Ульянова И.Г. от 17.12.07 9" xfId="4506"/>
    <cellStyle name="_БЮДЖЕТ 2004 от 22.12.03.инвестиц_Дайджест 2003-2004 гг._презентация займы РК г" xfId="4507"/>
    <cellStyle name="_БЮДЖЕТ 2004 от 22.12.03.инвестиц_Дайджест 2003-2004 гг._презентация займы РК г 2" xfId="4508"/>
    <cellStyle name="_БЮДЖЕТ 2004 от 22.12.03.инвестиц_Дайджест 2003-2004 гг._презентация займы РК г 3" xfId="4509"/>
    <cellStyle name="_БЮДЖЕТ 2004 от 22.12.03.инвестиц_Дайджест 2003-2004 гг._презентация займы РК г 4" xfId="4510"/>
    <cellStyle name="_БЮДЖЕТ 2004 от 22.12.03.инвестиц_Дайджест 2003-2004 гг._презентация займы РК г 5" xfId="4511"/>
    <cellStyle name="_БЮДЖЕТ 2004 от 22.12.03.инвестиц_Дайджест 2003-2004 гг._презентация займы РК г 6" xfId="4512"/>
    <cellStyle name="_БЮДЖЕТ 2004 от 22.12.03.инвестиц_Дайджест 2003-2004 гг._презентация займы РК г 7" xfId="4513"/>
    <cellStyle name="_БЮДЖЕТ 2004 от 22.12.03.инвестиц_Дайджест 2003-2004 гг._презентация займы РК г 8" xfId="4514"/>
    <cellStyle name="_БЮДЖЕТ 2004 от 22.12.03.инвестиц_Дайджест 2003-2004 гг._презентация займы РК г 9" xfId="4515"/>
    <cellStyle name="_БЮДЖЕТ 2004 от 22.12.03.инвестиц_Дайджест 2003-2004 гг._Презентация инвестиции" xfId="4516"/>
    <cellStyle name="_БЮДЖЕТ 2004 от 22.12.03.инвестиц_Дайджест 2003-2004 гг._Презентация инвестиции 2" xfId="4517"/>
    <cellStyle name="_БЮДЖЕТ 2004 от 22.12.03.инвестиц_Дайджест 2003-2004 гг._Презентация инвестиции 3" xfId="4518"/>
    <cellStyle name="_БЮДЖЕТ 2004 от 22.12.03.инвестиц_Дайджест 2003-2004 гг._Презентация инвестиции 4" xfId="4519"/>
    <cellStyle name="_БЮДЖЕТ 2004 от 22.12.03.инвестиц_Дайджест 2003-2004 гг._Презентация инвестиции 5" xfId="4520"/>
    <cellStyle name="_БЮДЖЕТ 2004 от 22.12.03.инвестиц_Дайджест 2003-2004 гг._Презентация инвестиции 6" xfId="4521"/>
    <cellStyle name="_БЮДЖЕТ 2004 от 22.12.03.инвестиц_Дайджест 2003-2004 гг._Презентация инвестиции 7" xfId="4522"/>
    <cellStyle name="_БЮДЖЕТ 2004 от 22.12.03.инвестиц_Дайджест 2003-2004 гг._Презентация инвестиции 8" xfId="4523"/>
    <cellStyle name="_БЮДЖЕТ 2004 от 22.12.03.инвестиц_Дайджест 2003-2004 гг._Презентация инвестиции 9" xfId="4524"/>
    <cellStyle name="_БЮДЖЕТ 2004 от 22.12.03.инвестиц_Дайджест 2003-2004 гг._Презентация коричн. СДП, РК, Инв план 2008 (фин. часть) от 24.03.08" xfId="4525"/>
    <cellStyle name="_БЮДЖЕТ 2004 от 22.12.03.инвестиц_Дайджест 2003-2004 гг._Презентация коричн. СДП, РК, Инв план 2008 (фин. часть) от 24.03.08 2" xfId="4526"/>
    <cellStyle name="_БЮДЖЕТ 2004 от 22.12.03.инвестиц_Дайджест 2003-2004 гг._Презентация коричн. СДП, РК, Инв план 2008 (фин. часть) от 24.03.08 3" xfId="4527"/>
    <cellStyle name="_БЮДЖЕТ 2004 от 22.12.03.инвестиц_Дайджест 2003-2004 гг._Презентация коричн. СДП, РК, Инв план 2008 (фин. часть) от 24.03.08 4" xfId="4528"/>
    <cellStyle name="_БЮДЖЕТ 2004 от 22.12.03.инвестиц_Дайджест 2003-2004 гг._Презентация коричн. СДП, РК, Инв план 2008 (фин. часть) от 24.03.08 5" xfId="4529"/>
    <cellStyle name="_БЮДЖЕТ 2004 от 22.12.03.инвестиц_Дайджест 2003-2004 гг._Презентация коричн. СДП, РК, Инв план 2008 (фин. часть) от 24.03.08 6" xfId="4530"/>
    <cellStyle name="_БЮДЖЕТ 2004 от 22.12.03.инвестиц_Дайджест 2003-2004 гг._Презентация коричн. СДП, РК, Инв план 2008 (фин. часть) от 24.03.08 7" xfId="4531"/>
    <cellStyle name="_БЮДЖЕТ 2004 от 22.12.03.инвестиц_Дайджест 2003-2004 гг._Презентация коричн. СДП, РК, Инв план 2008 (фин. часть) от 24.03.08 8" xfId="4532"/>
    <cellStyle name="_БЮДЖЕТ 2004 от 22.12.03.инвестиц_Дайджест 2003-2004 гг._Презентация коричн. СДП, РК, Инв план 2008 (фин. часть) от 24.03.08 9" xfId="4533"/>
    <cellStyle name="_БЮДЖЕТ 2004 от 22.12.03.инвестиц_Дайджест 2003-2004 гг._Презентация коричневая 2007 план + ож" xfId="4534"/>
    <cellStyle name="_БЮДЖЕТ 2004 от 22.12.03.инвестиц_Дайджест 2003-2004 гг._Презентация коричневая 2007 план + ож 2" xfId="4535"/>
    <cellStyle name="_БЮДЖЕТ 2004 от 22.12.03.инвестиц_Дайджест 2003-2004 гг._Презентация коричневая 2007 план + ож 3" xfId="4536"/>
    <cellStyle name="_БЮДЖЕТ 2004 от 22.12.03.инвестиц_Дайджест 2003-2004 гг._Презентация коричневая 2007 план + ож 4" xfId="4537"/>
    <cellStyle name="_БЮДЖЕТ 2004 от 22.12.03.инвестиц_Дайджест 2003-2004 гг._Презентация коричневая 2007 план + ож 5" xfId="4538"/>
    <cellStyle name="_БЮДЖЕТ 2004 от 22.12.03.инвестиц_Дайджест 2003-2004 гг._Презентация коричневая 2007 план + ож 6" xfId="4539"/>
    <cellStyle name="_БЮДЖЕТ 2004 от 22.12.03.инвестиц_Дайджест 2003-2004 гг._Презентация коричневая 2007 план + ож 7" xfId="4540"/>
    <cellStyle name="_БЮДЖЕТ 2004 от 22.12.03.инвестиц_Дайджест 2003-2004 гг._Презентация коричневая 2007 план + ож 8" xfId="4541"/>
    <cellStyle name="_БЮДЖЕТ 2004 от 22.12.03.инвестиц_Дайджест 2003-2004 гг._Презентация коричневая 2007 план + ож 9" xfId="4542"/>
    <cellStyle name="_БЮДЖЕТ 2004 от 22.12.03.инвестиц_Дайджест 2003-2004 гг._Презентация коричневая 2007-2008" xfId="4543"/>
    <cellStyle name="_БЮДЖЕТ 2004 от 22.12.03.инвестиц_Дайджест 2003-2004 гг._Презентация коричневая 2007-2008 2" xfId="4544"/>
    <cellStyle name="_БЮДЖЕТ 2004 от 22.12.03.инвестиц_Дайджест 2003-2004 гг._Презентация коричневая 2007-2008 3" xfId="4545"/>
    <cellStyle name="_БЮДЖЕТ 2004 от 22.12.03.инвестиц_Дайджест 2003-2004 гг._Презентация коричневая 2007-2008 4" xfId="4546"/>
    <cellStyle name="_БЮДЖЕТ 2004 от 22.12.03.инвестиц_Дайджест 2003-2004 гг._Презентация коричневая 2007-2008 5" xfId="4547"/>
    <cellStyle name="_БЮДЖЕТ 2004 от 22.12.03.инвестиц_Дайджест 2003-2004 гг._Презентация коричневая 2007-2008 6" xfId="4548"/>
    <cellStyle name="_БЮДЖЕТ 2004 от 22.12.03.инвестиц_Дайджест 2003-2004 гг._Презентация коричневая 2007-2008 7" xfId="4549"/>
    <cellStyle name="_БЮДЖЕТ 2004 от 22.12.03.инвестиц_Дайджест 2003-2004 гг._Презентация коричневая 2007-2008 8" xfId="4550"/>
    <cellStyle name="_БЮДЖЕТ 2004 от 22.12.03.инвестиц_Дайджест 2003-2004 гг._Презентация коричневая 2007-2008 9" xfId="4551"/>
    <cellStyle name="_БЮДЖЕТ 2004 от 22.12.03.инвестиц_Дайджест 2003-2004 гг._Презентация от 10.12.07 (СПД и РК)  2007план и 2007ожид." xfId="4552"/>
    <cellStyle name="_БЮДЖЕТ 2004 от 22.12.03.инвестиц_Дайджест 2003-2004 гг._Презентация от 10.12.07 (СПД и РК)  2007план и 2007ожид. 2" xfId="4553"/>
    <cellStyle name="_БЮДЖЕТ 2004 от 22.12.03.инвестиц_Дайджест 2003-2004 гг._Презентация от 10.12.07 (СПД и РК)  2007план и 2007ожид. 3" xfId="4554"/>
    <cellStyle name="_БЮДЖЕТ 2004 от 22.12.03.инвестиц_Дайджест 2003-2004 гг._Презентация от 10.12.07 (СПД и РК)  2007план и 2007ожид. 4" xfId="4555"/>
    <cellStyle name="_БЮДЖЕТ 2004 от 22.12.03.инвестиц_Дайджест 2003-2004 гг._Презентация от 10.12.07 (СПД и РК)  2007план и 2007ожид. 5" xfId="4556"/>
    <cellStyle name="_БЮДЖЕТ 2004 от 22.12.03.инвестиц_Дайджест 2003-2004 гг._Презентация от 10.12.07 (СПД и РК)  2007план и 2007ожид. 6" xfId="4557"/>
    <cellStyle name="_БЮДЖЕТ 2004 от 22.12.03.инвестиц_Дайджест 2003-2004 гг._Презентация от 10.12.07 (СПД и РК)  2007план и 2007ожид. 7" xfId="4558"/>
    <cellStyle name="_БЮДЖЕТ 2004 от 22.12.03.инвестиц_Дайджест 2003-2004 гг._Презентация от 10.12.07 (СПД и РК)  2007план и 2007ожид. 8" xfId="4559"/>
    <cellStyle name="_БЮДЖЕТ 2004 от 22.12.03.инвестиц_Дайджест 2003-2004 гг._Презентация от 10.12.07 (СПД и РК)  2007план и 2007ожид. 9" xfId="4560"/>
    <cellStyle name="_БЮДЖЕТ 2004 от 22.12.03.инвестиц_Дайджест 2003-2004 гг._Презентация от 10.12.07 (СПД и РК)  2008план и 2007ожид" xfId="4561"/>
    <cellStyle name="_БЮДЖЕТ 2004 от 22.12.03.инвестиц_Дайджест 2003-2004 гг._Презентация от 10.12.07 (СПД и РК)  2008план и 2007ожид 2" xfId="4562"/>
    <cellStyle name="_БЮДЖЕТ 2004 от 22.12.03.инвестиц_Дайджест 2003-2004 гг._Презентация от 10.12.07 (СПД и РК)  2008план и 2007ожид 3" xfId="4563"/>
    <cellStyle name="_БЮДЖЕТ 2004 от 22.12.03.инвестиц_Дайджест 2003-2004 гг._Презентация от 10.12.07 (СПД и РК)  2008план и 2007ожид 4" xfId="4564"/>
    <cellStyle name="_БЮДЖЕТ 2004 от 22.12.03.инвестиц_Дайджест 2003-2004 гг._Презентация от 10.12.07 (СПД и РК)  2008план и 2007ожид 5" xfId="4565"/>
    <cellStyle name="_БЮДЖЕТ 2004 от 22.12.03.инвестиц_Дайджест 2003-2004 гг._Презентация от 10.12.07 (СПД и РК)  2008план и 2007ожид 6" xfId="4566"/>
    <cellStyle name="_БЮДЖЕТ 2004 от 22.12.03.инвестиц_Дайджест 2003-2004 гг._Презентация от 10.12.07 (СПД и РК)  2008план и 2007ожид 7" xfId="4567"/>
    <cellStyle name="_БЮДЖЕТ 2004 от 22.12.03.инвестиц_Дайджест 2003-2004 гг._Презентация от 10.12.07 (СПД и РК)  2008план и 2007ожид 8" xfId="4568"/>
    <cellStyle name="_БЮДЖЕТ 2004 от 22.12.03.инвестиц_Дайджест 2003-2004 гг._Презентация от 10.12.07 (СПД и РК)  2008план и 2007ожид 9" xfId="4569"/>
    <cellStyle name="_БЮДЖЕТ 2004 от 22.12.03.инвестиц_Дайджест 2003-2004 гг._Презентация от 19 12 07" xfId="4570"/>
    <cellStyle name="_БЮДЖЕТ 2004 от 22.12.03.инвестиц_Дайджест 2003-2004 гг._Презентация от 19 12 07 2" xfId="4571"/>
    <cellStyle name="_БЮДЖЕТ 2004 от 22.12.03.инвестиц_Дайджест 2003-2004 гг._Презентация от 19 12 07 3" xfId="4572"/>
    <cellStyle name="_БЮДЖЕТ 2004 от 22.12.03.инвестиц_Дайджест 2003-2004 гг._Презентация от 19 12 07 4" xfId="4573"/>
    <cellStyle name="_БЮДЖЕТ 2004 от 22.12.03.инвестиц_Дайджест 2003-2004 гг._Презентация от 19 12 07 5" xfId="4574"/>
    <cellStyle name="_БЮДЖЕТ 2004 от 22.12.03.инвестиц_Дайджест 2003-2004 гг._Презентация от 19 12 07 6" xfId="4575"/>
    <cellStyle name="_БЮДЖЕТ 2004 от 22.12.03.инвестиц_Дайджест 2003-2004 гг._Презентация от 19 12 07 7" xfId="4576"/>
    <cellStyle name="_БЮДЖЕТ 2004 от 22.12.03.инвестиц_Дайджест 2003-2004 гг._Презентация от 19 12 07 8" xfId="4577"/>
    <cellStyle name="_БЮДЖЕТ 2004 от 22.12.03.инвестиц_Дайджест 2003-2004 гг._Презентация от 19 12 07 9" xfId="4578"/>
    <cellStyle name="_БЮДЖЕТ 2004 от 22.12.03.инвестиц_Дайджест 2003-2004 гг._Презентация СДП, РК, Инв план 2008 (фин. часть) от 24.03.08" xfId="4579"/>
    <cellStyle name="_БЮДЖЕТ 2004 от 22.12.03.инвестиц_Дайджест 2003-2004 гг._Презентация СДП, РК, Инв план 2008 (фин. часть) от 24.03.08 2" xfId="4580"/>
    <cellStyle name="_БЮДЖЕТ 2004 от 22.12.03.инвестиц_Дайджест 2003-2004 гг._Презентация СДП, РК, Инв план 2008 (фин. часть) от 24.03.08 3" xfId="4581"/>
    <cellStyle name="_БЮДЖЕТ 2004 от 22.12.03.инвестиц_Дайджест 2003-2004 гг._Презентация СДП, РК, Инв план 2008 (фин. часть) от 24.03.08 4" xfId="4582"/>
    <cellStyle name="_БЮДЖЕТ 2004 от 22.12.03.инвестиц_Дайджест 2003-2004 гг._Презентация СДП, РК, Инв план 2008 (фин. часть) от 24.03.08 5" xfId="4583"/>
    <cellStyle name="_БЮДЖЕТ 2004 от 22.12.03.инвестиц_Дайджест 2003-2004 гг._Презентация СДП, РК, Инв план 2008 (фин. часть) от 24.03.08 6" xfId="4584"/>
    <cellStyle name="_БЮДЖЕТ 2004 от 22.12.03.инвестиц_Дайджест 2003-2004 гг._Презентация СДП, РК, Инв план 2008 (фин. часть) от 24.03.08 7" xfId="4585"/>
    <cellStyle name="_БЮДЖЕТ 2004 от 22.12.03.инвестиц_Дайджест 2003-2004 гг._Презентация СДП, РК, Инв план 2008 (фин. часть) от 24.03.08 8" xfId="4586"/>
    <cellStyle name="_БЮДЖЕТ 2004 от 22.12.03.инвестиц_Дайджест 2003-2004 гг._Презентация СДП, РК, Инв план 2008 (фин. часть) от 24.03.08 9" xfId="4587"/>
    <cellStyle name="_БЮДЖЕТ 2004 от 22.12.03.инвестиц_Дайджест 2003-2004 гг._Презентация ФО от 17.12.07" xfId="4588"/>
    <cellStyle name="_БЮДЖЕТ 2004 от 22.12.03.инвестиц_Дайджест 2003-2004 гг._Презентация ФО от 17.12.07 2" xfId="4589"/>
    <cellStyle name="_БЮДЖЕТ 2004 от 22.12.03.инвестиц_Дайджест 2003-2004 гг._Презентация ФО от 17.12.07 3" xfId="4590"/>
    <cellStyle name="_БЮДЖЕТ 2004 от 22.12.03.инвестиц_Дайджест 2003-2004 гг._Презентация ФО от 17.12.07 4" xfId="4591"/>
    <cellStyle name="_БЮДЖЕТ 2004 от 22.12.03.инвестиц_Дайджест 2003-2004 гг._Презентация ФО от 17.12.07 5" xfId="4592"/>
    <cellStyle name="_БЮДЖЕТ 2004 от 22.12.03.инвестиц_Дайджест 2003-2004 гг._Презентация ФО от 17.12.07 6" xfId="4593"/>
    <cellStyle name="_БЮДЖЕТ 2004 от 22.12.03.инвестиц_Дайджест 2003-2004 гг._Презентация ФО от 17.12.07 7" xfId="4594"/>
    <cellStyle name="_БЮДЖЕТ 2004 от 22.12.03.инвестиц_Дайджест 2003-2004 гг._Презентация ФО от 17.12.07 8" xfId="4595"/>
    <cellStyle name="_БЮДЖЕТ 2004 от 22.12.03.инвестиц_Дайджест 2003-2004 гг._Презентация ФО от 17.12.07 9" xfId="4596"/>
    <cellStyle name="_БЮДЖЕТ 2004 от 22.12.03.инвестиц_Дайджест 2003-2004 гг._презентация-2008год " xfId="4597"/>
    <cellStyle name="_БЮДЖЕТ 2004 от 22.12.03.инвестиц_Дайджест 2003-2004 гг._презентация-2008год  2" xfId="4598"/>
    <cellStyle name="_БЮДЖЕТ 2004 от 22.12.03.инвестиц_Дайджест 2003-2004 гг._презентация-2008год  3" xfId="4599"/>
    <cellStyle name="_БЮДЖЕТ 2004 от 22.12.03.инвестиц_Дайджест 2003-2004 гг._презентация-2008год  4" xfId="4600"/>
    <cellStyle name="_БЮДЖЕТ 2004 от 22.12.03.инвестиц_Дайджест 2003-2004 гг._презентация-2008год  5" xfId="4601"/>
    <cellStyle name="_БЮДЖЕТ 2004 от 22.12.03.инвестиц_Дайджест 2003-2004 гг._презентация-2008год  6" xfId="4602"/>
    <cellStyle name="_БЮДЖЕТ 2004 от 22.12.03.инвестиц_Дайджест 2003-2004 гг._презентация-2008год  7" xfId="4603"/>
    <cellStyle name="_БЮДЖЕТ 2004 от 22.12.03.инвестиц_Дайджест 2003-2004 гг._презентация-2008год  8" xfId="4604"/>
    <cellStyle name="_БЮДЖЕТ 2004 от 22.12.03.инвестиц_Дайджест 2003-2004 гг._презентация-2008год  9" xfId="4605"/>
    <cellStyle name="_БЮДЖЕТ 2004 от 22.12.03.инвестиц_Дайджест 2003-2004 гг._Презетация ФО (с учетом инвестиций на 2341,2)" xfId="4606"/>
    <cellStyle name="_БЮДЖЕТ 2004 от 22.12.03.инвестиц_Дайджест 2003-2004 гг._Презетация ФО (с учетом инвестиций на 2341,2) 2" xfId="4607"/>
    <cellStyle name="_БЮДЖЕТ 2004 от 22.12.03.инвестиц_Дайджест 2003-2004 гг._Презетация ФО (с учетом инвестиций на 2341,2) 3" xfId="4608"/>
    <cellStyle name="_БЮДЖЕТ 2004 от 22.12.03.инвестиц_Дайджест 2003-2004 гг._Презетация ФО (с учетом инвестиций на 2341,2) 4" xfId="4609"/>
    <cellStyle name="_БЮДЖЕТ 2004 от 22.12.03.инвестиц_Дайджест 2003-2004 гг._Презетация ФО (с учетом инвестиций на 2341,2) 5" xfId="4610"/>
    <cellStyle name="_БЮДЖЕТ 2004 от 22.12.03.инвестиц_Дайджест 2003-2004 гг._Презетация ФО (с учетом инвестиций на 2341,2) 6" xfId="4611"/>
    <cellStyle name="_БЮДЖЕТ 2004 от 22.12.03.инвестиц_Дайджест 2003-2004 гг._Презетация ФО (с учетом инвестиций на 2341,2) 7" xfId="4612"/>
    <cellStyle name="_БЮДЖЕТ 2004 от 22.12.03.инвестиц_Дайджест 2003-2004 гг._Презетация ФО (с учетом инвестиций на 2341,2) 8" xfId="4613"/>
    <cellStyle name="_БЮДЖЕТ 2004 от 22.12.03.инвестиц_Дайджест 2003-2004 гг._Презетация ФО (с учетом инвестиций на 2341,2) 9" xfId="4614"/>
    <cellStyle name="_БЮДЖЕТ 2004 от 22.12.03.инвестиц_Дайджест 2003-2004 гг._Приложения (формы отчетности)" xfId="4615"/>
    <cellStyle name="_БЮДЖЕТ 2004 от 22.12.03.инвестиц_Дайджест 2003-2004 гг._Приложения февраль 09 (МП) отпр в УК от 04 02 09" xfId="4616"/>
    <cellStyle name="_БЮДЖЕТ 2004 от 22.12.03.инвестиц_Дайджест 2003-2004 гг._Приложения февраль 09 (МП) отпр в УК от 04 02 09 2" xfId="4617"/>
    <cellStyle name="_БЮДЖЕТ 2004 от 22.12.03.инвестиц_Дайджест 2003-2004 гг._Приложения февраль 09 (МП) отпр в УК от 04 02 09 3" xfId="4618"/>
    <cellStyle name="_БЮДЖЕТ 2004 от 22.12.03.инвестиц_Дайджест 2003-2004 гг._Приложения февраль 09 (МП) отпр в УК от 04 02 09 4" xfId="4619"/>
    <cellStyle name="_БЮДЖЕТ 2004 от 22.12.03.инвестиц_Дайджест 2003-2004 гг._Приложения февраль 09 (МП) отпр в УК от 04 02 09 5" xfId="4620"/>
    <cellStyle name="_БЮДЖЕТ 2004 от 22.12.03.инвестиц_Дайджест 2003-2004 гг._Приложения февраль 09 (МП) отпр в УК от 04 02 09 6" xfId="4621"/>
    <cellStyle name="_БЮДЖЕТ 2004 от 22.12.03.инвестиц_Дайджест 2003-2004 гг._Приложения февраль 09 (МП) отпр в УК от 04 02 09 7" xfId="4622"/>
    <cellStyle name="_БЮДЖЕТ 2004 от 22.12.03.инвестиц_Дайджест 2003-2004 гг._Приложения февраль 09 (МП) отпр в УК от 04 02 09 8" xfId="4623"/>
    <cellStyle name="_БЮДЖЕТ 2004 от 22.12.03.инвестиц_Дайджест 2003-2004 гг._Приложения февраль 09 (МП) отпр в УК от 04 02 09 9" xfId="4624"/>
    <cellStyle name="_БЮДЖЕТ 2004 от 22.12.03.инвестиц_Дайджест 2003-2004 гг._Прогноз консолидированный июнь" xfId="4625"/>
    <cellStyle name="_БЮДЖЕТ 2004 от 22.12.03.инвестиц_Дайджест 2003-2004 гг._РК+СДП 2008 год" xfId="4626"/>
    <cellStyle name="_БЮДЖЕТ 2004 от 22.12.03.инвестиц_Дайджест 2003-2004 гг._РК+СДП 2008 год 2" xfId="4627"/>
    <cellStyle name="_БЮДЖЕТ 2004 от 22.12.03.инвестиц_Дайджест 2003-2004 гг._РК+СДП 2008 год 3" xfId="4628"/>
    <cellStyle name="_БЮДЖЕТ 2004 от 22.12.03.инвестиц_Дайджест 2003-2004 гг._РК+СДП 2008 год 4" xfId="4629"/>
    <cellStyle name="_БЮДЖЕТ 2004 от 22.12.03.инвестиц_Дайджест 2003-2004 гг._РК+СДП 2008 год 5" xfId="4630"/>
    <cellStyle name="_БЮДЖЕТ 2004 от 22.12.03.инвестиц_Дайджест 2003-2004 гг._РК+СДП 2008 год 6" xfId="4631"/>
    <cellStyle name="_БЮДЖЕТ 2004 от 22.12.03.инвестиц_Дайджест 2003-2004 гг._РК+СДП 2008 год 7" xfId="4632"/>
    <cellStyle name="_БЮДЖЕТ 2004 от 22.12.03.инвестиц_Дайджест 2003-2004 гг._РК+СДП 2008 год 8" xfId="4633"/>
    <cellStyle name="_БЮДЖЕТ 2004 от 22.12.03.инвестиц_Дайджест 2003-2004 гг._РК+СДП 2008 год 9" xfId="4634"/>
    <cellStyle name="_БЮДЖЕТ 2004 от 22.12.03.инвестиц_Дайджест 2003-2004 гг._Свод производства 1 квартал" xfId="4635"/>
    <cellStyle name="_БЮДЖЕТ 2004 от 22.12.03.инвестиц_Дайджест 2003-2004 гг._Свод производства 1 квартал 2" xfId="4636"/>
    <cellStyle name="_БЮДЖЕТ 2004 от 22.12.03.инвестиц_Дайджест 2003-2004 гг._Свод производства 1 квартал 3" xfId="4637"/>
    <cellStyle name="_БЮДЖЕТ 2004 от 22.12.03.инвестиц_Дайджест 2003-2004 гг._Свод производства 1 квартал 4" xfId="4638"/>
    <cellStyle name="_БЮДЖЕТ 2004 от 22.12.03.инвестиц_Дайджест 2003-2004 гг._Свод производства 1 квартал 5" xfId="4639"/>
    <cellStyle name="_БЮДЖЕТ 2004 от 22.12.03.инвестиц_Дайджест 2003-2004 гг._Свод производства 1 квартал 6" xfId="4640"/>
    <cellStyle name="_БЮДЖЕТ 2004 от 22.12.03.инвестиц_Дайджест 2003-2004 гг._Свод производства 1 квартал 7" xfId="4641"/>
    <cellStyle name="_БЮДЖЕТ 2004 от 22.12.03.инвестиц_Дайджест 2003-2004 гг._Свод производства 1 квартал 8" xfId="4642"/>
    <cellStyle name="_БЮДЖЕТ 2004 от 22.12.03.инвестиц_Дайджест 2003-2004 гг._Свод производства 1 квартал 9" xfId="4643"/>
    <cellStyle name="_БЮДЖЕТ 2004 от 22.12.03.инвестиц_Дайджест 2003-2004 гг._Себестоимость" xfId="4644"/>
    <cellStyle name="_БЮДЖЕТ 2004 от 22.12.03.инвестиц_Дайджест 2003-2004 гг._Слайд осн показатели к совещанию в УК от 18 01 09" xfId="4645"/>
    <cellStyle name="_БЮДЖЕТ 2004 от 22.12.03.инвестиц_Дайджест 2003-2004 гг._Слайды 2-й квартал (ФП-КП)" xfId="4646"/>
    <cellStyle name="_БЮДЖЕТ 2004 от 22.12.03.инвестиц_Дайджест 2003-2004 гг._Слайды 2-й квартал (ФП-КП) 2" xfId="4647"/>
    <cellStyle name="_БЮДЖЕТ 2004 от 22.12.03.инвестиц_Дайджест 2003-2004 гг._Слайды 2-й квартал (ФП-КП) 3" xfId="4648"/>
    <cellStyle name="_БЮДЖЕТ 2004 от 22.12.03.инвестиц_Дайджест 2003-2004 гг._Слайды 2-й квартал (ФП-КП) 4" xfId="4649"/>
    <cellStyle name="_БЮДЖЕТ 2004 от 22.12.03.инвестиц_Дайджест 2003-2004 гг._Слайды 2-й квартал (ФП-КП) 5" xfId="4650"/>
    <cellStyle name="_БЮДЖЕТ 2004 от 22.12.03.инвестиц_Дайджест 2003-2004 гг._Слайды 2-й квартал (ФП-КП) 6" xfId="4651"/>
    <cellStyle name="_БЮДЖЕТ 2004 от 22.12.03.инвестиц_Дайджест 2003-2004 гг._Слайды 2-й квартал (ФП-КП) 7" xfId="4652"/>
    <cellStyle name="_БЮДЖЕТ 2004 от 22.12.03.инвестиц_Дайджест 2003-2004 гг._Слайды 2-й квартал (ФП-КП) 8" xfId="4653"/>
    <cellStyle name="_БЮДЖЕТ 2004 от 22.12.03.инвестиц_Дайджест 2003-2004 гг._Слайды 2-й квартал (ФП-КП) 9" xfId="4654"/>
    <cellStyle name="_БЮДЖЕТ 2004 от 22.12.03.инвестиц_Дайджест 2003-2004 гг._СПД, РК, Инв. 2008 коричневая" xfId="4655"/>
    <cellStyle name="_БЮДЖЕТ 2004 от 22.12.03.инвестиц_Дайджест 2003-2004 гг._СПД, РК, Инв. 2008 коричневая 2" xfId="4656"/>
    <cellStyle name="_БЮДЖЕТ 2004 от 22.12.03.инвестиц_Дайджест 2003-2004 гг._СПД, РК, Инв. 2008 коричневая 3" xfId="4657"/>
    <cellStyle name="_БЮДЖЕТ 2004 от 22.12.03.инвестиц_Дайджест 2003-2004 гг._СПД, РК, Инв. 2008 коричневая 4" xfId="4658"/>
    <cellStyle name="_БЮДЖЕТ 2004 от 22.12.03.инвестиц_Дайджест 2003-2004 гг._СПД, РК, Инв. 2008 коричневая 5" xfId="4659"/>
    <cellStyle name="_БЮДЖЕТ 2004 от 22.12.03.инвестиц_Дайджест 2003-2004 гг._СПД, РК, Инв. 2008 коричневая 6" xfId="4660"/>
    <cellStyle name="_БЮДЖЕТ 2004 от 22.12.03.инвестиц_Дайджест 2003-2004 гг._СПД, РК, Инв. 2008 коричневая 7" xfId="4661"/>
    <cellStyle name="_БЮДЖЕТ 2004 от 22.12.03.инвестиц_Дайджест 2003-2004 гг._СПД, РК, Инв. 2008 коричневая 8" xfId="4662"/>
    <cellStyle name="_БЮДЖЕТ 2004 от 22.12.03.инвестиц_Дайджест 2003-2004 гг._СПД, РК, Инв. 2008 коричневая 9" xfId="4663"/>
    <cellStyle name="_БЮДЖЕТ 2004 от 22.12.03.инвестиц_Дайджест 2003-2004 гг._Сравнение ожидаемого 2008  c БП 2009г. УрСт вариант 2 (скоррект. цены)" xfId="4664"/>
    <cellStyle name="_БЮДЖЕТ 2004 от 22.12.03.инвестиц_Дайджест 2003-2004 гг._Сравнение ожидаемого 2008 с 2009г  ОЭМК от 06 10 2008" xfId="4665"/>
    <cellStyle name="_БЮДЖЕТ 2004 от 22.12.03.инвестиц_Дайджест 2003-2004 гг._Сравнение ожидаемого 2008 с 2009г. ОЭМК  28.10.2008 (скорректир. цены)" xfId="4666"/>
    <cellStyle name="_БЮДЖЕТ 2004 от 22.12.03.инвестиц_Дайджест 2003-2004 гг._Сравнение ожидаемого 2008 УС c 2009г  от 06 10 2008" xfId="4667"/>
    <cellStyle name="_БЮДЖЕТ 2004 от 22.12.03.инвестиц_Дайджест 2003-2004 гг._Стан 150" xfId="4668"/>
    <cellStyle name="_БЮДЖЕТ 2004 от 22.12.03.инвестиц_Дайджест 2003-2004 гг._Структура затрат (Формат) ЛГОК" xfId="4669"/>
    <cellStyle name="_БЮДЖЕТ 2004 от 22.12.03.инвестиц_Дайджест 2003-2004 гг._Структура затрат (Формат) ЛГОК_28.01.2009" xfId="4670"/>
    <cellStyle name="_БЮДЖЕТ 2004 от 22.12.03.инвестиц_Дайджест 2003-2004 гг._титульный лист" xfId="4671"/>
    <cellStyle name="_БЮДЖЕТ 2004 от 22.12.03.инвестиц_Дайджест 2003-2004 гг._ТП на 2011_год покварт" xfId="4672"/>
    <cellStyle name="_БЮДЖЕТ 2004 от 22.12.03.инвестиц_Дайджест 2003-2004 гг._Труд для нас" xfId="4673"/>
    <cellStyle name="_БЮДЖЕТ 2004 от 22.12.03.инвестиц_Дайджест 2003-2004 гг._Труд для нас 2" xfId="4674"/>
    <cellStyle name="_БЮДЖЕТ 2004 от 22.12.03.инвестиц_Дайджест 2003-2004 гг._Труд для нас 3" xfId="4675"/>
    <cellStyle name="_БЮДЖЕТ 2004 от 22.12.03.инвестиц_Дайджест 2003-2004 гг._Труд для нас 4" xfId="4676"/>
    <cellStyle name="_БЮДЖЕТ 2004 от 22.12.03.инвестиц_Дайджест 2003-2004 гг._Труд для нас 5" xfId="4677"/>
    <cellStyle name="_БЮДЖЕТ 2004 от 22.12.03.инвестиц_Дайджест 2003-2004 гг._Труд для нас 6" xfId="4678"/>
    <cellStyle name="_БЮДЖЕТ 2004 от 22.12.03.инвестиц_Дайджест 2003-2004 гг._Труд для нас 7" xfId="4679"/>
    <cellStyle name="_БЮДЖЕТ 2004 от 22.12.03.инвестиц_Дайджест 2003-2004 гг._Труд для нас 8" xfId="4680"/>
    <cellStyle name="_БЮДЖЕТ 2004 от 22.12.03.инвестиц_Дайджест 2003-2004 гг._Труд для нас 9" xfId="4681"/>
    <cellStyle name="_БЮДЖЕТ 2004 от 22.12.03.инвестиц_Дайджест 2003-2004 гг._УралКирпич_план на 2 кв. 2009" xfId="4682"/>
    <cellStyle name="_БЮДЖЕТ 2004 от 22.12.03.инвестиц_Дайджест 2003-2004 гг._УСТ - любимая табличка по новому 2009 г." xfId="4683"/>
    <cellStyle name="_БЮДЖЕТ 2004 от 22.12.03.инвестиц_Дайджест 2003-2004 гг._Ф 29, 30" xfId="4684"/>
    <cellStyle name="_БЮДЖЕТ 2004 от 22.12.03.инвестиц_Дайджест 2003-2004 гг._Ф 29, 30 2" xfId="4685"/>
    <cellStyle name="_БЮДЖЕТ 2004 от 22.12.03.инвестиц_Дайджест 2003-2004 гг._Ф 29, 30 3" xfId="4686"/>
    <cellStyle name="_БЮДЖЕТ 2004 от 22.12.03.инвестиц_Дайджест 2003-2004 гг._Ф 29, 30 4" xfId="4687"/>
    <cellStyle name="_БЮДЖЕТ 2004 от 22.12.03.инвестиц_Дайджест 2003-2004 гг._Ф 29, 30 5" xfId="4688"/>
    <cellStyle name="_БЮДЖЕТ 2004 от 22.12.03.инвестиц_Дайджест 2003-2004 гг._Ф 29, 30 6" xfId="4689"/>
    <cellStyle name="_БЮДЖЕТ 2004 от 22.12.03.инвестиц_Дайджест 2003-2004 гг._Ф 29, 30 7" xfId="4690"/>
    <cellStyle name="_БЮДЖЕТ 2004 от 22.12.03.инвестиц_Дайджест 2003-2004 гг._Ф 29, 30 8" xfId="4691"/>
    <cellStyle name="_БЮДЖЕТ 2004 от 22.12.03.инвестиц_Дайджест 2003-2004 гг._Ф 29, 30 9" xfId="4692"/>
    <cellStyle name="_БЮДЖЕТ 2004 от 22.12.03.инвестиц_Дайджест 2003-2004 гг._ф IIкв.07 EBITDA ЛГОК 27.07.07" xfId="4693"/>
    <cellStyle name="_БЮДЖЕТ 2004 от 22.12.03.инвестиц_Дайджест 2003-2004 гг._ф IIкв.07 EBITDA ЛГОК 27.07.07 2" xfId="4694"/>
    <cellStyle name="_БЮДЖЕТ 2004 от 22.12.03.инвестиц_Дайджест 2003-2004 гг._ф IIкв.07 EBITDA ЛГОК 27.07.07 3" xfId="4695"/>
    <cellStyle name="_БЮДЖЕТ 2004 от 22.12.03.инвестиц_Дайджест 2003-2004 гг._ф IIкв.07 EBITDA ЛГОК 27.07.07 4" xfId="4696"/>
    <cellStyle name="_БЮДЖЕТ 2004 от 22.12.03.инвестиц_Дайджест 2003-2004 гг._ф IIкв.07 EBITDA ЛГОК 27.07.07 5" xfId="4697"/>
    <cellStyle name="_БЮДЖЕТ 2004 от 22.12.03.инвестиц_Дайджест 2003-2004 гг._ф IIкв.07 EBITDA ЛГОК 27.07.07 6" xfId="4698"/>
    <cellStyle name="_БЮДЖЕТ 2004 от 22.12.03.инвестиц_Дайджест 2003-2004 гг._ф IIкв.07 EBITDA ЛГОК 27.07.07 7" xfId="4699"/>
    <cellStyle name="_БЮДЖЕТ 2004 от 22.12.03.инвестиц_Дайджест 2003-2004 гг._ф IIкв.07 EBITDA ЛГОК 27.07.07 8" xfId="4700"/>
    <cellStyle name="_БЮДЖЕТ 2004 от 22.12.03.инвестиц_Дайджест 2003-2004 гг._ф IIкв.07 EBITDA ЛГОК 27.07.07 9" xfId="4701"/>
    <cellStyle name="_БЮДЖЕТ 2004 от 22.12.03.инвестиц_Дайджест 2003-2004 гг._ф01 2007 фин. часть МГОК 21.03.07" xfId="4702"/>
    <cellStyle name="_БЮДЖЕТ 2004 от 22.12.03.инвестиц_Дайджест 2003-2004 гг._ф01.07 EBITDA ОАО ЛГОК 02.03.07" xfId="4703"/>
    <cellStyle name="_БЮДЖЕТ 2004 от 22.12.03.инвестиц_Дайджест 2003-2004 гг._ф01.07 EBITDA ОАО ЛГОК 02.03.07 2" xfId="4704"/>
    <cellStyle name="_БЮДЖЕТ 2004 от 22.12.03.инвестиц_Дайджест 2003-2004 гг._ф01.07 EBITDA ОАО ЛГОК 02.03.07 3" xfId="4705"/>
    <cellStyle name="_БЮДЖЕТ 2004 от 22.12.03.инвестиц_Дайджест 2003-2004 гг._ф01.07 EBITDA ОАО ЛГОК 02.03.07 4" xfId="4706"/>
    <cellStyle name="_БЮДЖЕТ 2004 от 22.12.03.инвестиц_Дайджест 2003-2004 гг._ф01.07 EBITDA ОАО ЛГОК 02.03.07 5" xfId="4707"/>
    <cellStyle name="_БЮДЖЕТ 2004 от 22.12.03.инвестиц_Дайджест 2003-2004 гг._ф01.07 EBITDA ОАО ЛГОК 02.03.07 6" xfId="4708"/>
    <cellStyle name="_БЮДЖЕТ 2004 от 22.12.03.инвестиц_Дайджест 2003-2004 гг._ф01.07 EBITDA ОАО ЛГОК 02.03.07 7" xfId="4709"/>
    <cellStyle name="_БЮДЖЕТ 2004 от 22.12.03.инвестиц_Дайджест 2003-2004 гг._ф01.07 EBITDA ОАО ЛГОК 02.03.07 8" xfId="4710"/>
    <cellStyle name="_БЮДЖЕТ 2004 от 22.12.03.инвестиц_Дайджест 2003-2004 гг._ф01.07 EBITDA ОАО ЛГОК 02.03.07 9" xfId="4711"/>
    <cellStyle name="_БЮДЖЕТ 2004 от 22.12.03.инвестиц_Дайджест 2003-2004 гг._ф01.07 EBITDA ОАО ЛГОК 02.03.07_Книга2" xfId="4712"/>
    <cellStyle name="_БЮДЖЕТ 2004 от 22.12.03.инвестиц_Дайджест 2003-2004 гг._ф01.07 EBITDA ОАО ЛГОК 02.03.07_Отчет за сентябрь_11_ДСМ" xfId="4713"/>
    <cellStyle name="_БЮДЖЕТ 2004 от 22.12.03.инвестиц_Дайджест 2003-2004 гг._ф01.07 EBITDA ОАО ЛГОК 05.03.07" xfId="4714"/>
    <cellStyle name="_БЮДЖЕТ 2004 от 22.12.03.инвестиц_Дайджест 2003-2004 гг._ф01.07 EBITDA ОАО ЛГОК 05.03.07 2" xfId="4715"/>
    <cellStyle name="_БЮДЖЕТ 2004 от 22.12.03.инвестиц_Дайджест 2003-2004 гг._ф01.07 EBITDA ОАО ЛГОК 05.03.07 3" xfId="4716"/>
    <cellStyle name="_БЮДЖЕТ 2004 от 22.12.03.инвестиц_Дайджест 2003-2004 гг._ф01.07 EBITDA ОАО ЛГОК 05.03.07 4" xfId="4717"/>
    <cellStyle name="_БЮДЖЕТ 2004 от 22.12.03.инвестиц_Дайджест 2003-2004 гг._ф01.07 EBITDA ОАО ЛГОК 05.03.07 5" xfId="4718"/>
    <cellStyle name="_БЮДЖЕТ 2004 от 22.12.03.инвестиц_Дайджест 2003-2004 гг._ф01.07 EBITDA ОАО ЛГОК 05.03.07 6" xfId="4719"/>
    <cellStyle name="_БЮДЖЕТ 2004 от 22.12.03.инвестиц_Дайджест 2003-2004 гг._ф01.07 EBITDA ОАО ЛГОК 05.03.07 7" xfId="4720"/>
    <cellStyle name="_БЮДЖЕТ 2004 от 22.12.03.инвестиц_Дайджест 2003-2004 гг._ф01.07 EBITDA ОАО ЛГОК 05.03.07 8" xfId="4721"/>
    <cellStyle name="_БЮДЖЕТ 2004 от 22.12.03.инвестиц_Дайджест 2003-2004 гг._ф01.07 EBITDA ОАО ЛГОК 05.03.07 9" xfId="4722"/>
    <cellStyle name="_БЮДЖЕТ 2004 от 22.12.03.инвестиц_Дайджест 2003-2004 гг._ф01.07 EBITDA ОАО ЛГОК 05.03.07_Книга2" xfId="4723"/>
    <cellStyle name="_БЮДЖЕТ 2004 от 22.12.03.инвестиц_Дайджест 2003-2004 гг._ф01.07 EBITDA ОАО ЛГОК 05.03.07_Отчет за сентябрь_11_ДСМ" xfId="4724"/>
    <cellStyle name="_БЮДЖЕТ 2004 от 22.12.03.инвестиц_Дайджест 2003-2004 гг._ф01.07 EBITDA ОАО ЛГОК с изм. 30.03.07" xfId="4725"/>
    <cellStyle name="_БЮДЖЕТ 2004 от 22.12.03.инвестиц_Дайджест 2003-2004 гг._ф01.07 EBITDA ОАО ЛГОК с изм. 30.03.07 2" xfId="4726"/>
    <cellStyle name="_БЮДЖЕТ 2004 от 22.12.03.инвестиц_Дайджест 2003-2004 гг._ф01.07 EBITDA ОАО ЛГОК с изм. 30.03.07 3" xfId="4727"/>
    <cellStyle name="_БЮДЖЕТ 2004 от 22.12.03.инвестиц_Дайджест 2003-2004 гг._ф01.07 EBITDA ОАО ЛГОК с изм. 30.03.07 4" xfId="4728"/>
    <cellStyle name="_БЮДЖЕТ 2004 от 22.12.03.инвестиц_Дайджест 2003-2004 гг._ф01.07 EBITDA ОАО ЛГОК с изм. 30.03.07 5" xfId="4729"/>
    <cellStyle name="_БЮДЖЕТ 2004 от 22.12.03.инвестиц_Дайджест 2003-2004 гг._ф01.07 EBITDA ОАО ЛГОК с изм. 30.03.07 6" xfId="4730"/>
    <cellStyle name="_БЮДЖЕТ 2004 от 22.12.03.инвестиц_Дайджест 2003-2004 гг._ф01.07 EBITDA ОАО ЛГОК с изм. 30.03.07 7" xfId="4731"/>
    <cellStyle name="_БЮДЖЕТ 2004 от 22.12.03.инвестиц_Дайджест 2003-2004 гг._ф01.07 EBITDA ОАО ЛГОК с изм. 30.03.07 8" xfId="4732"/>
    <cellStyle name="_БЮДЖЕТ 2004 от 22.12.03.инвестиц_Дайджест 2003-2004 гг._ф01.07 EBITDA ОАО ЛГОК с изм. 30.03.07 9" xfId="4733"/>
    <cellStyle name="_БЮДЖЕТ 2004 от 22.12.03.инвестиц_Дайджест 2003-2004 гг._ф01.07 EBITDA ОАО ЛГОК с изм. 30.03.07_Книга2" xfId="4734"/>
    <cellStyle name="_БЮДЖЕТ 2004 от 22.12.03.инвестиц_Дайджест 2003-2004 гг._ф01.07 EBITDA ОАО УС 05.03.07" xfId="4735"/>
    <cellStyle name="_БЮДЖЕТ 2004 от 22.12.03.инвестиц_Дайджест 2003-2004 гг._ф01.07 EBITDA ОАО УС 05.03.07 2" xfId="4736"/>
    <cellStyle name="_БЮДЖЕТ 2004 от 22.12.03.инвестиц_Дайджест 2003-2004 гг._ф01.07 EBITDA ОАО УС 05.03.07 3" xfId="4737"/>
    <cellStyle name="_БЮДЖЕТ 2004 от 22.12.03.инвестиц_Дайджест 2003-2004 гг._ф01.07 EBITDA ОАО УС 05.03.07 4" xfId="4738"/>
    <cellStyle name="_БЮДЖЕТ 2004 от 22.12.03.инвестиц_Дайджест 2003-2004 гг._ф01.07 EBITDA ОАО УС 05.03.07 5" xfId="4739"/>
    <cellStyle name="_БЮДЖЕТ 2004 от 22.12.03.инвестиц_Дайджест 2003-2004 гг._ф01.07 EBITDA ОАО УС 05.03.07 6" xfId="4740"/>
    <cellStyle name="_БЮДЖЕТ 2004 от 22.12.03.инвестиц_Дайджест 2003-2004 гг._ф01.07 EBITDA ОАО УС 05.03.07 7" xfId="4741"/>
    <cellStyle name="_БЮДЖЕТ 2004 от 22.12.03.инвестиц_Дайджест 2003-2004 гг._ф01.07 EBITDA ОАО УС 05.03.07 8" xfId="4742"/>
    <cellStyle name="_БЮДЖЕТ 2004 от 22.12.03.инвестиц_Дайджест 2003-2004 гг._ф01.07 EBITDA ОАО УС 05.03.07 9" xfId="4743"/>
    <cellStyle name="_БЮДЖЕТ 2004 от 22.12.03.инвестиц_Дайджест 2003-2004 гг._ф01.07 EBITDA ОАО УС 05.03.07(26,2)" xfId="4744"/>
    <cellStyle name="_БЮДЖЕТ 2004 от 22.12.03.инвестиц_Дайджест 2003-2004 гг._ф01.07 EBITDA ОАО УС 05.03.07(26,2) 2" xfId="4745"/>
    <cellStyle name="_БЮДЖЕТ 2004 от 22.12.03.инвестиц_Дайджест 2003-2004 гг._ф01.07 EBITDA ОАО УС 05.03.07(26,2) 3" xfId="4746"/>
    <cellStyle name="_БЮДЖЕТ 2004 от 22.12.03.инвестиц_Дайджест 2003-2004 гг._ф01.07 EBITDA ОАО УС 05.03.07(26,2) 4" xfId="4747"/>
    <cellStyle name="_БЮДЖЕТ 2004 от 22.12.03.инвестиц_Дайджест 2003-2004 гг._ф01.07 EBITDA ОАО УС 05.03.07(26,2) 5" xfId="4748"/>
    <cellStyle name="_БЮДЖЕТ 2004 от 22.12.03.инвестиц_Дайджест 2003-2004 гг._ф01.07 EBITDA ОАО УС 05.03.07(26,2) 6" xfId="4749"/>
    <cellStyle name="_БЮДЖЕТ 2004 от 22.12.03.инвестиц_Дайджест 2003-2004 гг._ф01.07 EBITDA ОАО УС 05.03.07(26,2) 7" xfId="4750"/>
    <cellStyle name="_БЮДЖЕТ 2004 от 22.12.03.инвестиц_Дайджест 2003-2004 гг._ф01.07 EBITDA ОАО УС 05.03.07(26,2) 8" xfId="4751"/>
    <cellStyle name="_БЮДЖЕТ 2004 от 22.12.03.инвестиц_Дайджест 2003-2004 гг._ф01.07 EBITDA ОАО УС 05.03.07(26,2) 9" xfId="4752"/>
    <cellStyle name="_БЮДЖЕТ 2004 от 22.12.03.инвестиц_Дайджест 2003-2004 гг._ф01.07 EBITDA ОАО УС 05.03.07(26,2)_Книга2" xfId="4753"/>
    <cellStyle name="_БЮДЖЕТ 2004 от 22.12.03.инвестиц_Дайджест 2003-2004 гг._ф01.07 EBITDA ОАО УС 05.03.07_Книга2" xfId="4754"/>
    <cellStyle name="_БЮДЖЕТ 2004 от 22.12.03.инвестиц_Дайджест 2003-2004 гг._ф01.07 EBITDA ОЭМК 02.03.07" xfId="4755"/>
    <cellStyle name="_БЮДЖЕТ 2004 от 22.12.03.инвестиц_Дайджест 2003-2004 гг._ф01.07 EBITDA ОЭМК 02.03.07 2" xfId="4756"/>
    <cellStyle name="_БЮДЖЕТ 2004 от 22.12.03.инвестиц_Дайджест 2003-2004 гг._ф01.07 EBITDA ОЭМК 02.03.07 3" xfId="4757"/>
    <cellStyle name="_БЮДЖЕТ 2004 от 22.12.03.инвестиц_Дайджест 2003-2004 гг._ф01.07 EBITDA ОЭМК 02.03.07 4" xfId="4758"/>
    <cellStyle name="_БЮДЖЕТ 2004 от 22.12.03.инвестиц_Дайджест 2003-2004 гг._ф01.07 EBITDA ОЭМК 02.03.07 5" xfId="4759"/>
    <cellStyle name="_БЮДЖЕТ 2004 от 22.12.03.инвестиц_Дайджест 2003-2004 гг._ф01.07 EBITDA ОЭМК 02.03.07 6" xfId="4760"/>
    <cellStyle name="_БЮДЖЕТ 2004 от 22.12.03.инвестиц_Дайджест 2003-2004 гг._ф01.07 EBITDA ОЭМК 02.03.07 7" xfId="4761"/>
    <cellStyle name="_БЮДЖЕТ 2004 от 22.12.03.инвестиц_Дайджест 2003-2004 гг._ф01.07 EBITDA ОЭМК 02.03.07 8" xfId="4762"/>
    <cellStyle name="_БЮДЖЕТ 2004 от 22.12.03.инвестиц_Дайджест 2003-2004 гг._ф01.07 EBITDA ОЭМК 02.03.07 9" xfId="4763"/>
    <cellStyle name="_БЮДЖЕТ 2004 от 22.12.03.инвестиц_Дайджест 2003-2004 гг._ф01.07 EBITDA ОЭМК 02.03.07_Книга2" xfId="4764"/>
    <cellStyle name="_БЮДЖЕТ 2004 от 22.12.03.инвестиц_Дайджест 2003-2004 гг._ф02.07 EBITDA ОАО ЛГОК 28.03.07" xfId="4765"/>
    <cellStyle name="_БЮДЖЕТ 2004 от 22.12.03.инвестиц_Дайджест 2003-2004 гг._ф02.07 EBITDA ОАО ЛГОК 28.03.07 2" xfId="4766"/>
    <cellStyle name="_БЮДЖЕТ 2004 от 22.12.03.инвестиц_Дайджест 2003-2004 гг._ф02.07 EBITDA ОАО ЛГОК 28.03.07 3" xfId="4767"/>
    <cellStyle name="_БЮДЖЕТ 2004 от 22.12.03.инвестиц_Дайджест 2003-2004 гг._ф02.07 EBITDA ОАО ЛГОК 28.03.07 4" xfId="4768"/>
    <cellStyle name="_БЮДЖЕТ 2004 от 22.12.03.инвестиц_Дайджест 2003-2004 гг._ф02.07 EBITDA ОАО ЛГОК 28.03.07 5" xfId="4769"/>
    <cellStyle name="_БЮДЖЕТ 2004 от 22.12.03.инвестиц_Дайджест 2003-2004 гг._ф02.07 EBITDA ОАО ЛГОК 28.03.07 6" xfId="4770"/>
    <cellStyle name="_БЮДЖЕТ 2004 от 22.12.03.инвестиц_Дайджест 2003-2004 гг._ф02.07 EBITDA ОАО ЛГОК 28.03.07 7" xfId="4771"/>
    <cellStyle name="_БЮДЖЕТ 2004 от 22.12.03.инвестиц_Дайджест 2003-2004 гг._ф02.07 EBITDA ОАО ЛГОК 28.03.07 8" xfId="4772"/>
    <cellStyle name="_БЮДЖЕТ 2004 от 22.12.03.инвестиц_Дайджест 2003-2004 гг._ф02.07 EBITDA ОАО ЛГОК 28.03.07 9" xfId="4773"/>
    <cellStyle name="_БЮДЖЕТ 2004 от 22.12.03.инвестиц_Дайджест 2003-2004 гг._ф02.07 EBITDA ОАО ЛГОК 28.03.07_Книга2" xfId="4774"/>
    <cellStyle name="_БЮДЖЕТ 2004 от 22.12.03.инвестиц_Дайджест 2003-2004 гг._ф02.07 EBITDA ОАО УС 28.03.07" xfId="4775"/>
    <cellStyle name="_БЮДЖЕТ 2004 от 22.12.03.инвестиц_Дайджест 2003-2004 гг._ф02.07 EBITDA ОАО УС 28.03.07 2" xfId="4776"/>
    <cellStyle name="_БЮДЖЕТ 2004 от 22.12.03.инвестиц_Дайджест 2003-2004 гг._ф02.07 EBITDA ОАО УС 28.03.07 3" xfId="4777"/>
    <cellStyle name="_БЮДЖЕТ 2004 от 22.12.03.инвестиц_Дайджест 2003-2004 гг._ф02.07 EBITDA ОАО УС 28.03.07 4" xfId="4778"/>
    <cellStyle name="_БЮДЖЕТ 2004 от 22.12.03.инвестиц_Дайджест 2003-2004 гг._ф02.07 EBITDA ОАО УС 28.03.07 5" xfId="4779"/>
    <cellStyle name="_БЮДЖЕТ 2004 от 22.12.03.инвестиц_Дайджест 2003-2004 гг._ф02.07 EBITDA ОАО УС 28.03.07 6" xfId="4780"/>
    <cellStyle name="_БЮДЖЕТ 2004 от 22.12.03.инвестиц_Дайджест 2003-2004 гг._ф02.07 EBITDA ОАО УС 28.03.07 7" xfId="4781"/>
    <cellStyle name="_БЮДЖЕТ 2004 от 22.12.03.инвестиц_Дайджест 2003-2004 гг._ф02.07 EBITDA ОАО УС 28.03.07 8" xfId="4782"/>
    <cellStyle name="_БЮДЖЕТ 2004 от 22.12.03.инвестиц_Дайджест 2003-2004 гг._ф02.07 EBITDA ОАО УС 28.03.07 9" xfId="4783"/>
    <cellStyle name="_БЮДЖЕТ 2004 от 22.12.03.инвестиц_Дайджест 2003-2004 гг._ф02.07 EBITDA ОАО УС 28.03.07_Книга2" xfId="4784"/>
    <cellStyle name="_БЮДЖЕТ 2004 от 22.12.03.инвестиц_Дайджест 2003-2004 гг._ф02.07 EBITDA ОЭМК 28.03.07" xfId="4785"/>
    <cellStyle name="_БЮДЖЕТ 2004 от 22.12.03.инвестиц_Дайджест 2003-2004 гг._ф02.07 EBITDA ОЭМК 28.03.07 2" xfId="4786"/>
    <cellStyle name="_БЮДЖЕТ 2004 от 22.12.03.инвестиц_Дайджест 2003-2004 гг._ф02.07 EBITDA ОЭМК 28.03.07 3" xfId="4787"/>
    <cellStyle name="_БЮДЖЕТ 2004 от 22.12.03.инвестиц_Дайджест 2003-2004 гг._ф02.07 EBITDA ОЭМК 28.03.07 4" xfId="4788"/>
    <cellStyle name="_БЮДЖЕТ 2004 от 22.12.03.инвестиц_Дайджест 2003-2004 гг._ф02.07 EBITDA ОЭМК 28.03.07 5" xfId="4789"/>
    <cellStyle name="_БЮДЖЕТ 2004 от 22.12.03.инвестиц_Дайджест 2003-2004 гг._ф02.07 EBITDA ОЭМК 28.03.07 6" xfId="4790"/>
    <cellStyle name="_БЮДЖЕТ 2004 от 22.12.03.инвестиц_Дайджест 2003-2004 гг._ф02.07 EBITDA ОЭМК 28.03.07 7" xfId="4791"/>
    <cellStyle name="_БЮДЖЕТ 2004 от 22.12.03.инвестиц_Дайджест 2003-2004 гг._ф02.07 EBITDA ОЭМК 28.03.07 8" xfId="4792"/>
    <cellStyle name="_БЮДЖЕТ 2004 от 22.12.03.инвестиц_Дайджест 2003-2004 гг._ф02.07 EBITDA ОЭМК 28.03.07 9" xfId="4793"/>
    <cellStyle name="_БЮДЖЕТ 2004 от 22.12.03.инвестиц_Дайджест 2003-2004 гг._ф02.07 EBITDA ОЭМК 28.03.07_Книга2" xfId="4794"/>
    <cellStyle name="_БЮДЖЕТ 2004 от 22.12.03.инвестиц_Дайджест 2003-2004 гг._ф11 Депозиты" xfId="4795"/>
    <cellStyle name="_БЮДЖЕТ 2004 от 22.12.03.инвестиц_Дайджест 2003-2004 гг._ф11 Депозиты 2" xfId="4796"/>
    <cellStyle name="_БЮДЖЕТ 2004 от 22.12.03.инвестиц_Дайджест 2003-2004 гг._ф11 Депозиты 3" xfId="4797"/>
    <cellStyle name="_БЮДЖЕТ 2004 от 22.12.03.инвестиц_Дайджест 2003-2004 гг._ф11 Депозиты 4" xfId="4798"/>
    <cellStyle name="_БЮДЖЕТ 2004 от 22.12.03.инвестиц_Дайджест 2003-2004 гг._ф11 Депозиты 5" xfId="4799"/>
    <cellStyle name="_БЮДЖЕТ 2004 от 22.12.03.инвестиц_Дайджест 2003-2004 гг._ф11 Депозиты 6" xfId="4800"/>
    <cellStyle name="_БЮДЖЕТ 2004 от 22.12.03.инвестиц_Дайджест 2003-2004 гг._ф11 Депозиты 7" xfId="4801"/>
    <cellStyle name="_БЮДЖЕТ 2004 от 22.12.03.инвестиц_Дайджест 2003-2004 гг._ф11 Депозиты 8" xfId="4802"/>
    <cellStyle name="_БЮДЖЕТ 2004 от 22.12.03.инвестиц_Дайджест 2003-2004 гг._ф11 Депозиты 9" xfId="4803"/>
    <cellStyle name="_БЮДЖЕТ 2004 от 22.12.03.инвестиц_Дайджест 2003-2004 гг._ф1кв.07 EBITDA ЛГОК 28.04.07" xfId="4804"/>
    <cellStyle name="_БЮДЖЕТ 2004 от 22.12.03.инвестиц_Дайджест 2003-2004 гг._ф1кв.07 EBITDA ЛГОК 28.04.07 2" xfId="4805"/>
    <cellStyle name="_БЮДЖЕТ 2004 от 22.12.03.инвестиц_Дайджест 2003-2004 гг._ф1кв.07 EBITDA ЛГОК 28.04.07 3" xfId="4806"/>
    <cellStyle name="_БЮДЖЕТ 2004 от 22.12.03.инвестиц_Дайджест 2003-2004 гг._ф1кв.07 EBITDA ЛГОК 28.04.07 4" xfId="4807"/>
    <cellStyle name="_БЮДЖЕТ 2004 от 22.12.03.инвестиц_Дайджест 2003-2004 гг._ф1кв.07 EBITDA ЛГОК 28.04.07 5" xfId="4808"/>
    <cellStyle name="_БЮДЖЕТ 2004 от 22.12.03.инвестиц_Дайджест 2003-2004 гг._ф1кв.07 EBITDA ЛГОК 28.04.07 6" xfId="4809"/>
    <cellStyle name="_БЮДЖЕТ 2004 от 22.12.03.инвестиц_Дайджест 2003-2004 гг._ф1кв.07 EBITDA ЛГОК 28.04.07 7" xfId="4810"/>
    <cellStyle name="_БЮДЖЕТ 2004 от 22.12.03.инвестиц_Дайджест 2003-2004 гг._ф1кв.07 EBITDA ЛГОК 28.04.07 8" xfId="4811"/>
    <cellStyle name="_БЮДЖЕТ 2004 от 22.12.03.инвестиц_Дайджест 2003-2004 гг._ф1кв.07 EBITDA ЛГОК 28.04.07 9" xfId="4812"/>
    <cellStyle name="_БЮДЖЕТ 2004 от 22.12.03.инвестиц_Дайджест 2003-2004 гг._ф1кв.07 EBITDA ЛГОК 28.04.07_Книга2" xfId="4813"/>
    <cellStyle name="_БЮДЖЕТ 2004 от 22.12.03.инвестиц_Дайджест 2003-2004 гг._Ф20 от налоговой" xfId="4814"/>
    <cellStyle name="_БЮДЖЕТ 2004 от 22.12.03.инвестиц_Дайджест 2003-2004 гг._фIIIкв Комплект ОЭМК (1-12,18,22) 28.10.08" xfId="4815"/>
    <cellStyle name="_БЮДЖЕТ 2004 от 22.12.03.инвестиц_Дайджест 2003-2004 гг._фIкв EBITDA ОАО УС 28.04.07" xfId="4816"/>
    <cellStyle name="_БЮДЖЕТ 2004 от 22.12.03.инвестиц_Дайджест 2003-2004 гг._фIкв EBITDA ОАО УС 28.04.07 2" xfId="4817"/>
    <cellStyle name="_БЮДЖЕТ 2004 от 22.12.03.инвестиц_Дайджест 2003-2004 гг._фIкв EBITDA ОАО УС 28.04.07 3" xfId="4818"/>
    <cellStyle name="_БЮДЖЕТ 2004 от 22.12.03.инвестиц_Дайджест 2003-2004 гг._фIкв EBITDA ОАО УС 28.04.07 4" xfId="4819"/>
    <cellStyle name="_БЮДЖЕТ 2004 от 22.12.03.инвестиц_Дайджест 2003-2004 гг._фIкв EBITDA ОАО УС 28.04.07 5" xfId="4820"/>
    <cellStyle name="_БЮДЖЕТ 2004 от 22.12.03.инвестиц_Дайджест 2003-2004 гг._фIкв EBITDA ОАО УС 28.04.07 6" xfId="4821"/>
    <cellStyle name="_БЮДЖЕТ 2004 от 22.12.03.инвестиц_Дайджест 2003-2004 гг._фIкв EBITDA ОАО УС 28.04.07 7" xfId="4822"/>
    <cellStyle name="_БЮДЖЕТ 2004 от 22.12.03.инвестиц_Дайджест 2003-2004 гг._фIкв EBITDA ОАО УС 28.04.07 8" xfId="4823"/>
    <cellStyle name="_БЮДЖЕТ 2004 от 22.12.03.инвестиц_Дайджест 2003-2004 гг._фIкв EBITDA ОАО УС 28.04.07 9" xfId="4824"/>
    <cellStyle name="_БЮДЖЕТ 2004 от 22.12.03.инвестиц_Дайджест 2003-2004 гг._фIкв EBITDA ОАО УС 28.04.07_Книга2" xfId="4825"/>
    <cellStyle name="_БЮДЖЕТ 2004 от 22.12.03.инвестиц_Дайджест 2003-2004 гг._фIкв EBITDA ОЭМК 28.04.07" xfId="4826"/>
    <cellStyle name="_БЮДЖЕТ 2004 от 22.12.03.инвестиц_Дайджест 2003-2004 гг._фIкв EBITDA ОЭМК 28.04.07 2" xfId="4827"/>
    <cellStyle name="_БЮДЖЕТ 2004 от 22.12.03.инвестиц_Дайджест 2003-2004 гг._фIкв EBITDA ОЭМК 28.04.07 3" xfId="4828"/>
    <cellStyle name="_БЮДЖЕТ 2004 от 22.12.03.инвестиц_Дайджест 2003-2004 гг._фIкв EBITDA ОЭМК 28.04.07 4" xfId="4829"/>
    <cellStyle name="_БЮДЖЕТ 2004 от 22.12.03.инвестиц_Дайджест 2003-2004 гг._фIкв EBITDA ОЭМК 28.04.07 5" xfId="4830"/>
    <cellStyle name="_БЮДЖЕТ 2004 от 22.12.03.инвестиц_Дайджест 2003-2004 гг._фIкв EBITDA ОЭМК 28.04.07 6" xfId="4831"/>
    <cellStyle name="_БЮДЖЕТ 2004 от 22.12.03.инвестиц_Дайджест 2003-2004 гг._фIкв EBITDA ОЭМК 28.04.07 7" xfId="4832"/>
    <cellStyle name="_БЮДЖЕТ 2004 от 22.12.03.инвестиц_Дайджест 2003-2004 гг._фIкв EBITDA ОЭМК 28.04.07 8" xfId="4833"/>
    <cellStyle name="_БЮДЖЕТ 2004 от 22.12.03.инвестиц_Дайджест 2003-2004 гг._фIкв EBITDA ОЭМК 28.04.07 9" xfId="4834"/>
    <cellStyle name="_БЮДЖЕТ 2004 от 22.12.03.инвестиц_Дайджест 2003-2004 гг._фIкв EBITDA ОЭМК 28.04.07_Книга2" xfId="4835"/>
    <cellStyle name="_БЮДЖЕТ 2004 от 22.12.03.инвестиц_Дайджест 2003-2004 гг._Факт_2007_Часть 2" xfId="4836"/>
    <cellStyle name="_БЮДЖЕТ 2004 от 22.12.03.инвестиц_Дайджест 2003-2004 гг._Факт_2007_Часть 2 2" xfId="4837"/>
    <cellStyle name="_БЮДЖЕТ 2004 от 22.12.03.инвестиц_Дайджест 2003-2004 гг._Факт_2007_Часть 2 3" xfId="4838"/>
    <cellStyle name="_БЮДЖЕТ 2004 от 22.12.03.инвестиц_Дайджест 2003-2004 гг._Факт_2007_Часть 2 4" xfId="4839"/>
    <cellStyle name="_БЮДЖЕТ 2004 от 22.12.03.инвестиц_Дайджест 2003-2004 гг._Факт_2007_Часть 2 5" xfId="4840"/>
    <cellStyle name="_БЮДЖЕТ 2004 от 22.12.03.инвестиц_Дайджест 2003-2004 гг._Факт_2007_Часть 2 6" xfId="4841"/>
    <cellStyle name="_БЮДЖЕТ 2004 от 22.12.03.инвестиц_Дайджест 2003-2004 гг._Факт_2007_Часть 2 7" xfId="4842"/>
    <cellStyle name="_БЮДЖЕТ 2004 от 22.12.03.инвестиц_Дайджест 2003-2004 гг._Факт_2007_Часть 2 8" xfId="4843"/>
    <cellStyle name="_БЮДЖЕТ 2004 от 22.12.03.инвестиц_Дайджест 2003-2004 гг._Факт_2007_Часть 2 9" xfId="4844"/>
    <cellStyle name="_БЮДЖЕТ 2004 от 22.12.03.инвестиц_Дайджест 2003-2004 гг._Фин.часть  2007ожид и 2008 план" xfId="4845"/>
    <cellStyle name="_БЮДЖЕТ 2004 от 22.12.03.инвестиц_Дайджест 2003-2004 гг._Фин.часть  2007ожид и 2008 план 2" xfId="4846"/>
    <cellStyle name="_БЮДЖЕТ 2004 от 22.12.03.инвестиц_Дайджест 2003-2004 гг._Фин.часть  2007ожид и 2008 план 3" xfId="4847"/>
    <cellStyle name="_БЮДЖЕТ 2004 от 22.12.03.инвестиц_Дайджест 2003-2004 гг._Фин.часть  2007ожид и 2008 план 4" xfId="4848"/>
    <cellStyle name="_БЮДЖЕТ 2004 от 22.12.03.инвестиц_Дайджест 2003-2004 гг._Фин.часть  2007ожид и 2008 план 5" xfId="4849"/>
    <cellStyle name="_БЮДЖЕТ 2004 от 22.12.03.инвестиц_Дайджест 2003-2004 гг._Фин.часть  2007ожид и 2008 план 6" xfId="4850"/>
    <cellStyle name="_БЮДЖЕТ 2004 от 22.12.03.инвестиц_Дайджест 2003-2004 гг._Фин.часть  2007ожид и 2008 план 7" xfId="4851"/>
    <cellStyle name="_БЮДЖЕТ 2004 от 22.12.03.инвестиц_Дайджест 2003-2004 гг._Фин.часть  2007ожид и 2008 план 8" xfId="4852"/>
    <cellStyle name="_БЮДЖЕТ 2004 от 22.12.03.инвестиц_Дайджест 2003-2004 гг._Фин.часть  2007ожид и 2008 план 9" xfId="4853"/>
    <cellStyle name="_БЮДЖЕТ 2004 от 22.12.03.инвестиц_Дайджест 2003-2004 гг._Фин.часть 11.12.06" xfId="4854"/>
    <cellStyle name="_БЮДЖЕТ 2004 от 22.12.03.инвестиц_Дайджест 2003-2004 гг._Фин.часть 11.12.06 2" xfId="4855"/>
    <cellStyle name="_БЮДЖЕТ 2004 от 22.12.03.инвестиц_Дайджест 2003-2004 гг._Фин.часть 11.12.06 3" xfId="4856"/>
    <cellStyle name="_БЮДЖЕТ 2004 от 22.12.03.инвестиц_Дайджест 2003-2004 гг._Фин.часть 11.12.06 4" xfId="4857"/>
    <cellStyle name="_БЮДЖЕТ 2004 от 22.12.03.инвестиц_Дайджест 2003-2004 гг._Фин.часть 11.12.06 5" xfId="4858"/>
    <cellStyle name="_БЮДЖЕТ 2004 от 22.12.03.инвестиц_Дайджест 2003-2004 гг._Фин.часть 11.12.06 6" xfId="4859"/>
    <cellStyle name="_БЮДЖЕТ 2004 от 22.12.03.инвестиц_Дайджест 2003-2004 гг._Фин.часть 11.12.06 7" xfId="4860"/>
    <cellStyle name="_БЮДЖЕТ 2004 от 22.12.03.инвестиц_Дайджест 2003-2004 гг._Фин.часть 11.12.06 8" xfId="4861"/>
    <cellStyle name="_БЮДЖЕТ 2004 от 22.12.03.инвестиц_Дайджест 2003-2004 гг._Фин.часть 11.12.06 9" xfId="4862"/>
    <cellStyle name="_БЮДЖЕТ 2004 от 22.12.03.инвестиц_Дайджест 2003-2004 гг._Форма  19     27.03.07" xfId="4863"/>
    <cellStyle name="_БЮДЖЕТ 2004 от 22.12.03.инвестиц_Дайджест 2003-2004 гг._Форма  19     27.03.07 2" xfId="4864"/>
    <cellStyle name="_БЮДЖЕТ 2004 от 22.12.03.инвестиц_Дайджест 2003-2004 гг._Форма  19     27.03.07 3" xfId="4865"/>
    <cellStyle name="_БЮДЖЕТ 2004 от 22.12.03.инвестиц_Дайджест 2003-2004 гг._Форма  19     27.03.07 4" xfId="4866"/>
    <cellStyle name="_БЮДЖЕТ 2004 от 22.12.03.инвестиц_Дайджест 2003-2004 гг._Форма  19     27.03.07 5" xfId="4867"/>
    <cellStyle name="_БЮДЖЕТ 2004 от 22.12.03.инвестиц_Дайджест 2003-2004 гг._Форма  19     27.03.07 6" xfId="4868"/>
    <cellStyle name="_БЮДЖЕТ 2004 от 22.12.03.инвестиц_Дайджест 2003-2004 гг._Форма  19     27.03.07 7" xfId="4869"/>
    <cellStyle name="_БЮДЖЕТ 2004 от 22.12.03.инвестиц_Дайджест 2003-2004 гг._Форма  19     27.03.07 8" xfId="4870"/>
    <cellStyle name="_БЮДЖЕТ 2004 от 22.12.03.инвестиц_Дайджест 2003-2004 гг._Форма  19     27.03.07 9" xfId="4871"/>
    <cellStyle name="_БЮДЖЕТ 2004 от 22.12.03.инвестиц_Дайджест 2003-2004 гг._Форма  20,21 25.02.07" xfId="4872"/>
    <cellStyle name="_БЮДЖЕТ 2004 от 22.12.03.инвестиц_Дайджест 2003-2004 гг._Форма  20,21 25.02.07 2" xfId="4873"/>
    <cellStyle name="_БЮДЖЕТ 2004 от 22.12.03.инвестиц_Дайджест 2003-2004 гг._Форма  20,21 25.02.07 3" xfId="4874"/>
    <cellStyle name="_БЮДЖЕТ 2004 от 22.12.03.инвестиц_Дайджест 2003-2004 гг._Форма  20,21 25.02.07 4" xfId="4875"/>
    <cellStyle name="_БЮДЖЕТ 2004 от 22.12.03.инвестиц_Дайджест 2003-2004 гг._Форма  20,21 25.02.07 5" xfId="4876"/>
    <cellStyle name="_БЮДЖЕТ 2004 от 22.12.03.инвестиц_Дайджест 2003-2004 гг._Форма  20,21 25.02.07 6" xfId="4877"/>
    <cellStyle name="_БЮДЖЕТ 2004 от 22.12.03.инвестиц_Дайджест 2003-2004 гг._Форма  20,21 25.02.07 7" xfId="4878"/>
    <cellStyle name="_БЮДЖЕТ 2004 от 22.12.03.инвестиц_Дайджест 2003-2004 гг._Форма  20,21 25.02.07 8" xfId="4879"/>
    <cellStyle name="_БЮДЖЕТ 2004 от 22.12.03.инвестиц_Дайджест 2003-2004 гг._Форма  20,21 25.02.07 9" xfId="4880"/>
    <cellStyle name="_БЮДЖЕТ 2004 от 22.12.03.инвестиц_Дайджест 2003-2004 гг._Форма  20,21 25.02.07_index" xfId="4881"/>
    <cellStyle name="_БЮДЖЕТ 2004 от 22.12.03.инвестиц_Дайджест 2003-2004 гг._Форма  20,21 25.02.07_Копия Потребность взаиморасч  от 28 02 2008 (2)" xfId="4882"/>
    <cellStyle name="_БЮДЖЕТ 2004 от 22.12.03.инвестиц_Дайджест 2003-2004 гг._Форма  20,21 25.02.07_Форма№13 (новая от 28 12 09г) февраль версия № и последняя" xfId="4883"/>
    <cellStyle name="_БЮДЖЕТ 2004 от 22.12.03.инвестиц_Дайджест 2003-2004 гг._Форма _ 2,4,5,30 скорр." xfId="4884"/>
    <cellStyle name="_БЮДЖЕТ 2004 от 22.12.03.инвестиц_Дайджест 2003-2004 гг._Форма _ 2,4,5,30 скорр._index" xfId="4885"/>
    <cellStyle name="_БЮДЖЕТ 2004 от 22.12.03.инвестиц_Дайджест 2003-2004 гг._Форма _ 2,4,5,30 скорр._Копия Потребность взаиморасч  от 28 02 2008 (2)" xfId="4886"/>
    <cellStyle name="_БЮДЖЕТ 2004 от 22.12.03.инвестиц_Дайджест 2003-2004 гг._Форма 19 за 1 кв" xfId="4887"/>
    <cellStyle name="_БЮДЖЕТ 2004 от 22.12.03.инвестиц_Дайджест 2003-2004 гг._Форма 19 за 1 кв 2" xfId="4888"/>
    <cellStyle name="_БЮДЖЕТ 2004 от 22.12.03.инвестиц_Дайджест 2003-2004 гг._Форма 19 за 1 кв 3" xfId="4889"/>
    <cellStyle name="_БЮДЖЕТ 2004 от 22.12.03.инвестиц_Дайджест 2003-2004 гг._Форма 19 за 1 кв 4" xfId="4890"/>
    <cellStyle name="_БЮДЖЕТ 2004 от 22.12.03.инвестиц_Дайджест 2003-2004 гг._Форма 19 за 1 кв 5" xfId="4891"/>
    <cellStyle name="_БЮДЖЕТ 2004 от 22.12.03.инвестиц_Дайджест 2003-2004 гг._Форма 19 за 1 кв 6" xfId="4892"/>
    <cellStyle name="_БЮДЖЕТ 2004 от 22.12.03.инвестиц_Дайджест 2003-2004 гг._Форма 19 за 1 кв 7" xfId="4893"/>
    <cellStyle name="_БЮДЖЕТ 2004 от 22.12.03.инвестиц_Дайджест 2003-2004 гг._Форма 19 за 1 кв 8" xfId="4894"/>
    <cellStyle name="_БЮДЖЕТ 2004 от 22.12.03.инвестиц_Дайджест 2003-2004 гг._Форма 19 за 1 кв 9" xfId="4895"/>
    <cellStyle name="_БЮДЖЕТ 2004 от 22.12.03.инвестиц_Дайджест 2003-2004 гг._Форма 20,21за 1 кв 25.04.07" xfId="4896"/>
    <cellStyle name="_БЮДЖЕТ 2004 от 22.12.03.инвестиц_Дайджест 2003-2004 гг._Форма 20,21за 1 кв 25.04.07 2" xfId="4897"/>
    <cellStyle name="_БЮДЖЕТ 2004 от 22.12.03.инвестиц_Дайджест 2003-2004 гг._Форма 20,21за 1 кв 25.04.07 3" xfId="4898"/>
    <cellStyle name="_БЮДЖЕТ 2004 от 22.12.03.инвестиц_Дайджест 2003-2004 гг._Форма 20,21за 1 кв 25.04.07 4" xfId="4899"/>
    <cellStyle name="_БЮДЖЕТ 2004 от 22.12.03.инвестиц_Дайджест 2003-2004 гг._Форма 20,21за 1 кв 25.04.07 5" xfId="4900"/>
    <cellStyle name="_БЮДЖЕТ 2004 от 22.12.03.инвестиц_Дайджест 2003-2004 гг._Форма 20,21за 1 кв 25.04.07 6" xfId="4901"/>
    <cellStyle name="_БЮДЖЕТ 2004 от 22.12.03.инвестиц_Дайджест 2003-2004 гг._Форма 20,21за 1 кв 25.04.07 7" xfId="4902"/>
    <cellStyle name="_БЮДЖЕТ 2004 от 22.12.03.инвестиц_Дайджест 2003-2004 гг._Форма 20,21за 1 кв 25.04.07 8" xfId="4903"/>
    <cellStyle name="_БЮДЖЕТ 2004 от 22.12.03.инвестиц_Дайджест 2003-2004 гг._Форма 20,21за 1 кв 25.04.07 9" xfId="4904"/>
    <cellStyle name="_БЮДЖЕТ 2004 от 22.12.03.инвестиц_Дайджест 2003-2004 гг._Форма 28" xfId="4905"/>
    <cellStyle name="_БЮДЖЕТ 2004 от 22.12.03.инвестиц_Дайджест 2003-2004 гг._Форма 28 2" xfId="4906"/>
    <cellStyle name="_БЮДЖЕТ 2004 от 22.12.03.инвестиц_Дайджест 2003-2004 гг._Форма 28 3" xfId="4907"/>
    <cellStyle name="_БЮДЖЕТ 2004 от 22.12.03.инвестиц_Дайджест 2003-2004 гг._Форма 28 4" xfId="4908"/>
    <cellStyle name="_БЮДЖЕТ 2004 от 22.12.03.инвестиц_Дайджест 2003-2004 гг._Форма 28 5" xfId="4909"/>
    <cellStyle name="_БЮДЖЕТ 2004 от 22.12.03.инвестиц_Дайджест 2003-2004 гг._Форма 28 6" xfId="4910"/>
    <cellStyle name="_БЮДЖЕТ 2004 от 22.12.03.инвестиц_Дайджест 2003-2004 гг._Форма 28 7" xfId="4911"/>
    <cellStyle name="_БЮДЖЕТ 2004 от 22.12.03.инвестиц_Дайджест 2003-2004 гг._Форма 28 8" xfId="4912"/>
    <cellStyle name="_БЮДЖЕТ 2004 от 22.12.03.инвестиц_Дайджест 2003-2004 гг._Форма 28 9" xfId="4913"/>
    <cellStyle name="_БЮДЖЕТ 2004 от 22.12.03.инвестиц_Дайджест 2003-2004 гг._Форма 28_13,14,28-30" xfId="4914"/>
    <cellStyle name="_БЮДЖЕТ 2004 от 22.12.03.инвестиц_Дайджест 2003-2004 гг._Форма 28_26-30" xfId="4915"/>
    <cellStyle name="_БЮДЖЕТ 2004 от 22.12.03.инвестиц_Дайджест 2003-2004 гг._Форма 28_28" xfId="4916"/>
    <cellStyle name="_БЮДЖЕТ 2004 от 22.12.03.инвестиц_Дайджест 2003-2004 гг._Форма 28_3 квартал" xfId="4917"/>
    <cellStyle name="_БЮДЖЕТ 2004 от 22.12.03.инвестиц_Дайджест 2003-2004 гг._Форма 28_3 квартал 2" xfId="4918"/>
    <cellStyle name="_БЮДЖЕТ 2004 от 22.12.03.инвестиц_Дайджест 2003-2004 гг._Форма 28_Книга2" xfId="4919"/>
    <cellStyle name="_БЮДЖЕТ 2004 от 22.12.03.инвестиц_Дайджест 2003-2004 гг._Форма 28_Копия Динамика цен (УС ) 2006-2009 сверен 30.01.09" xfId="4920"/>
    <cellStyle name="_БЮДЖЕТ 2004 от 22.12.03.инвестиц_Дайджест 2003-2004 гг._Форма 28_Обжиговая" xfId="4921"/>
    <cellStyle name="_БЮДЖЕТ 2004 от 22.12.03.инвестиц_Дайджест 2003-2004 гг._Форма 28_Отчет за сентябрь_11_ДСМ" xfId="4922"/>
    <cellStyle name="_БЮДЖЕТ 2004 от 22.12.03.инвестиц_Дайджест 2003-2004 гг._Форма 28_Стан 150" xfId="4923"/>
    <cellStyle name="_БЮДЖЕТ 2004 от 22.12.03.инвестиц_Дайджест 2003-2004 гг._Форма 28_фIIIкв Комплект ОЭМК (1-12,18,22) 28.10.08" xfId="4924"/>
    <cellStyle name="_БЮДЖЕТ 2004 от 22.12.03.инвестиц_Дайджест 2003-2004 гг._Форма 28_Форма №19" xfId="4925"/>
    <cellStyle name="_БЮДЖЕТ 2004 от 22.12.03.инвестиц_Дайджест 2003-2004 гг._Форма 28_Форма №24" xfId="4926"/>
    <cellStyle name="_БЮДЖЕТ 2004 от 22.12.03.инвестиц_Дайджест 2003-2004 гг._Форма 28_Формы _28-30 (новые)1" xfId="4927"/>
    <cellStyle name="_БЮДЖЕТ 2004 от 22.12.03.инвестиц_Дайджест 2003-2004 гг._Форма 28_Формы 28-30" xfId="4928"/>
    <cellStyle name="_БЮДЖЕТ 2004 от 22.12.03.инвестиц_Дайджест 2003-2004 гг._Форма 28_Формы №28-30 (новые)1" xfId="4929"/>
    <cellStyle name="_БЮДЖЕТ 2004 от 22.12.03.инвестиц_Дайджест 2003-2004 гг._Форма 28_Шаропрокатный" xfId="4930"/>
    <cellStyle name="_БЮДЖЕТ 2004 от 22.12.03.инвестиц_Дайджест 2003-2004 гг._Форма 28_ЭНЦ-1" xfId="4931"/>
    <cellStyle name="_БЮДЖЕТ 2004 от 22.12.03.инвестиц_Дайджест 2003-2004 гг._Форма 9" xfId="4932"/>
    <cellStyle name="_БЮДЖЕТ 2004 от 22.12.03.инвестиц_Дайджест 2003-2004 гг._Форма 9 2" xfId="4933"/>
    <cellStyle name="_БЮДЖЕТ 2004 от 22.12.03.инвестиц_Дайджест 2003-2004 гг._Форма 9 3" xfId="4934"/>
    <cellStyle name="_БЮДЖЕТ 2004 от 22.12.03.инвестиц_Дайджест 2003-2004 гг._Форма 9 4" xfId="4935"/>
    <cellStyle name="_БЮДЖЕТ 2004 от 22.12.03.инвестиц_Дайджест 2003-2004 гг._Форма 9 5" xfId="4936"/>
    <cellStyle name="_БЮДЖЕТ 2004 от 22.12.03.инвестиц_Дайджест 2003-2004 гг._Форма 9 6" xfId="4937"/>
    <cellStyle name="_БЮДЖЕТ 2004 от 22.12.03.инвестиц_Дайджест 2003-2004 гг._Форма 9 7" xfId="4938"/>
    <cellStyle name="_БЮДЖЕТ 2004 от 22.12.03.инвестиц_Дайджест 2003-2004 гг._Форма 9 8" xfId="4939"/>
    <cellStyle name="_БЮДЖЕТ 2004 от 22.12.03.инвестиц_Дайджест 2003-2004 гг._Форма 9 9" xfId="4940"/>
    <cellStyle name="_БЮДЖЕТ 2004 от 22.12.03.инвестиц_Дайджест 2003-2004 гг._Форма № 13, 14" xfId="4941"/>
    <cellStyle name="_БЮДЖЕТ 2004 от 22.12.03.инвестиц_Дайджест 2003-2004 гг._Форма № 13, 14 2" xfId="4942"/>
    <cellStyle name="_БЮДЖЕТ 2004 от 22.12.03.инвестиц_Дайджест 2003-2004 гг._Форма № 13, 14 3" xfId="4943"/>
    <cellStyle name="_БЮДЖЕТ 2004 от 22.12.03.инвестиц_Дайджест 2003-2004 гг._Форма № 13, 14 4" xfId="4944"/>
    <cellStyle name="_БЮДЖЕТ 2004 от 22.12.03.инвестиц_Дайджест 2003-2004 гг._Форма № 13, 14 5" xfId="4945"/>
    <cellStyle name="_БЮДЖЕТ 2004 от 22.12.03.инвестиц_Дайджест 2003-2004 гг._Форма № 13, 14 6" xfId="4946"/>
    <cellStyle name="_БЮДЖЕТ 2004 от 22.12.03.инвестиц_Дайджест 2003-2004 гг._Форма № 13, 14 7" xfId="4947"/>
    <cellStyle name="_БЮДЖЕТ 2004 от 22.12.03.инвестиц_Дайджест 2003-2004 гг._Форма № 13, 14 8" xfId="4948"/>
    <cellStyle name="_БЮДЖЕТ 2004 от 22.12.03.инвестиц_Дайджест 2003-2004 гг._Форма № 13, 14 9" xfId="4949"/>
    <cellStyle name="_БЮДЖЕТ 2004 от 22.12.03.инвестиц_Дайджест 2003-2004 гг._Форма № 19 25.02.07" xfId="4950"/>
    <cellStyle name="_БЮДЖЕТ 2004 от 22.12.03.инвестиц_Дайджест 2003-2004 гг._Форма № 19 25.02.07 2" xfId="4951"/>
    <cellStyle name="_БЮДЖЕТ 2004 от 22.12.03.инвестиц_Дайджест 2003-2004 гг._Форма № 19 25.02.07 3" xfId="4952"/>
    <cellStyle name="_БЮДЖЕТ 2004 от 22.12.03.инвестиц_Дайджест 2003-2004 гг._Форма № 19 25.02.07 4" xfId="4953"/>
    <cellStyle name="_БЮДЖЕТ 2004 от 22.12.03.инвестиц_Дайджест 2003-2004 гг._Форма № 19 25.02.07 5" xfId="4954"/>
    <cellStyle name="_БЮДЖЕТ 2004 от 22.12.03.инвестиц_Дайджест 2003-2004 гг._Форма № 19 25.02.07 6" xfId="4955"/>
    <cellStyle name="_БЮДЖЕТ 2004 от 22.12.03.инвестиц_Дайджест 2003-2004 гг._Форма № 19 25.02.07 7" xfId="4956"/>
    <cellStyle name="_БЮДЖЕТ 2004 от 22.12.03.инвестиц_Дайджест 2003-2004 гг._Форма № 19 25.02.07 8" xfId="4957"/>
    <cellStyle name="_БЮДЖЕТ 2004 от 22.12.03.инвестиц_Дайджест 2003-2004 гг._Форма № 19 25.02.07 9" xfId="4958"/>
    <cellStyle name="_БЮДЖЕТ 2004 от 22.12.03.инвестиц_Дайджест 2003-2004 гг._Форма № 19 25.02.07_index" xfId="4959"/>
    <cellStyle name="_БЮДЖЕТ 2004 от 22.12.03.инвестиц_Дайджест 2003-2004 гг._Форма № 19 25.02.07_Копия Потребность взаиморасч  от 28 02 2008 (2)" xfId="4960"/>
    <cellStyle name="_БЮДЖЕТ 2004 от 22.12.03.инвестиц_Дайджест 2003-2004 гг._Форма № 19 25.02.07_Форма№13 (новая от 28 12 09г) февраль версия № и последняя" xfId="4961"/>
    <cellStyle name="_БЮДЖЕТ 2004 от 22.12.03.инвестиц_Дайджест 2003-2004 гг._Форма № 28, 29, 30 план год 2008 от 05.12.07 для отправки" xfId="4962"/>
    <cellStyle name="_БЮДЖЕТ 2004 от 22.12.03.инвестиц_Дайджест 2003-2004 гг._Форма № 28, 29, 30 план год 2008 от 05.12.07 для отправки 2" xfId="4963"/>
    <cellStyle name="_БЮДЖЕТ 2004 от 22.12.03.инвестиц_Дайджест 2003-2004 гг._Форма № 28, 29, 30 план год 2008 от 05.12.07 для отправки 3" xfId="4964"/>
    <cellStyle name="_БЮДЖЕТ 2004 от 22.12.03.инвестиц_Дайджест 2003-2004 гг._Форма № 28, 29, 30 план год 2008 от 05.12.07 для отправки 4" xfId="4965"/>
    <cellStyle name="_БЮДЖЕТ 2004 от 22.12.03.инвестиц_Дайджест 2003-2004 гг._Форма № 28, 29, 30 план год 2008 от 05.12.07 для отправки 5" xfId="4966"/>
    <cellStyle name="_БЮДЖЕТ 2004 от 22.12.03.инвестиц_Дайджест 2003-2004 гг._Форма № 28, 29, 30 план год 2008 от 05.12.07 для отправки 6" xfId="4967"/>
    <cellStyle name="_БЮДЖЕТ 2004 от 22.12.03.инвестиц_Дайджест 2003-2004 гг._Форма № 28, 29, 30 план год 2008 от 05.12.07 для отправки 7" xfId="4968"/>
    <cellStyle name="_БЮДЖЕТ 2004 от 22.12.03.инвестиц_Дайджест 2003-2004 гг._Форма № 28, 29, 30 план год 2008 от 05.12.07 для отправки 8" xfId="4969"/>
    <cellStyle name="_БЮДЖЕТ 2004 от 22.12.03.инвестиц_Дайджест 2003-2004 гг._Форма № 28, 29, 30 план год 2008 от 05.12.07 для отправки 9" xfId="4970"/>
    <cellStyle name="_БЮДЖЕТ 2004 от 22.12.03.инвестиц_Дайджест 2003-2004 гг._Форма № 29" xfId="4971"/>
    <cellStyle name="_БЮДЖЕТ 2004 от 22.12.03.инвестиц_Дайджест 2003-2004 гг._Форма № 29 2" xfId="4972"/>
    <cellStyle name="_БЮДЖЕТ 2004 от 22.12.03.инвестиц_Дайджест 2003-2004 гг._Форма № 29 3" xfId="4973"/>
    <cellStyle name="_БЮДЖЕТ 2004 от 22.12.03.инвестиц_Дайджест 2003-2004 гг._Форма № 29 4" xfId="4974"/>
    <cellStyle name="_БЮДЖЕТ 2004 от 22.12.03.инвестиц_Дайджест 2003-2004 гг._Форма № 29 5" xfId="4975"/>
    <cellStyle name="_БЮДЖЕТ 2004 от 22.12.03.инвестиц_Дайджест 2003-2004 гг._Форма № 29 6" xfId="4976"/>
    <cellStyle name="_БЮДЖЕТ 2004 от 22.12.03.инвестиц_Дайджест 2003-2004 гг._Форма № 29 7" xfId="4977"/>
    <cellStyle name="_БЮДЖЕТ 2004 от 22.12.03.инвестиц_Дайджест 2003-2004 гг._Форма № 29 8" xfId="4978"/>
    <cellStyle name="_БЮДЖЕТ 2004 от 22.12.03.инвестиц_Дайджест 2003-2004 гг._Форма № 29 9" xfId="4979"/>
    <cellStyle name="_БЮДЖЕТ 2004 от 22.12.03.инвестиц_Дайджест 2003-2004 гг._Форма № 30  26.02.07" xfId="4980"/>
    <cellStyle name="_БЮДЖЕТ 2004 от 22.12.03.инвестиц_Дайджест 2003-2004 гг._Форма №13" xfId="4981"/>
    <cellStyle name="_БЮДЖЕТ 2004 от 22.12.03.инвестиц_Дайджест 2003-2004 гг._Форма №13 2" xfId="4982"/>
    <cellStyle name="_БЮДЖЕТ 2004 от 22.12.03.инвестиц_Дайджест 2003-2004 гг._Форма №13 3" xfId="4983"/>
    <cellStyle name="_БЮДЖЕТ 2004 от 22.12.03.инвестиц_Дайджест 2003-2004 гг._Форма №13 4" xfId="4984"/>
    <cellStyle name="_БЮДЖЕТ 2004 от 22.12.03.инвестиц_Дайджест 2003-2004 гг._Форма №13 5" xfId="4985"/>
    <cellStyle name="_БЮДЖЕТ 2004 от 22.12.03.инвестиц_Дайджест 2003-2004 гг._Форма №13 6" xfId="4986"/>
    <cellStyle name="_БЮДЖЕТ 2004 от 22.12.03.инвестиц_Дайджест 2003-2004 гг._Форма №13 7" xfId="4987"/>
    <cellStyle name="_БЮДЖЕТ 2004 от 22.12.03.инвестиц_Дайджест 2003-2004 гг._Форма №13 8" xfId="4988"/>
    <cellStyle name="_БЮДЖЕТ 2004 от 22.12.03.инвестиц_Дайджест 2003-2004 гг._Форма №13 9" xfId="4989"/>
    <cellStyle name="_БЮДЖЕТ 2004 от 22.12.03.инвестиц_Дайджест 2003-2004 гг._Форма №13, 14 от 25.04.07" xfId="4990"/>
    <cellStyle name="_БЮДЖЕТ 2004 от 22.12.03.инвестиц_Дайджест 2003-2004 гг._Форма №13, 14 от 25.04.07 2" xfId="4991"/>
    <cellStyle name="_БЮДЖЕТ 2004 от 22.12.03.инвестиц_Дайджест 2003-2004 гг._Форма №13, 14 от 25.04.07 3" xfId="4992"/>
    <cellStyle name="_БЮДЖЕТ 2004 от 22.12.03.инвестиц_Дайджест 2003-2004 гг._Форма №13, 14 от 25.04.07 4" xfId="4993"/>
    <cellStyle name="_БЮДЖЕТ 2004 от 22.12.03.инвестиц_Дайджест 2003-2004 гг._Форма №13, 14 от 25.04.07 5" xfId="4994"/>
    <cellStyle name="_БЮДЖЕТ 2004 от 22.12.03.инвестиц_Дайджест 2003-2004 гг._Форма №13, 14 от 25.04.07 6" xfId="4995"/>
    <cellStyle name="_БЮДЖЕТ 2004 от 22.12.03.инвестиц_Дайджест 2003-2004 гг._Форма №13, 14 от 25.04.07 7" xfId="4996"/>
    <cellStyle name="_БЮДЖЕТ 2004 от 22.12.03.инвестиц_Дайджест 2003-2004 гг._Форма №13, 14 от 25.04.07 8" xfId="4997"/>
    <cellStyle name="_БЮДЖЕТ 2004 от 22.12.03.инвестиц_Дайджест 2003-2004 гг._Форма №13, 14 от 25.04.07 9" xfId="4998"/>
    <cellStyle name="_БЮДЖЕТ 2004 от 22.12.03.инвестиц_Дайджест 2003-2004 гг._Форма №14" xfId="4999"/>
    <cellStyle name="_БЮДЖЕТ 2004 от 22.12.03.инвестиц_Дайджест 2003-2004 гг._Форма №14 2" xfId="5000"/>
    <cellStyle name="_БЮДЖЕТ 2004 от 22.12.03.инвестиц_Дайджест 2003-2004 гг._Форма №14 3" xfId="5001"/>
    <cellStyle name="_БЮДЖЕТ 2004 от 22.12.03.инвестиц_Дайджест 2003-2004 гг._Форма №14 4" xfId="5002"/>
    <cellStyle name="_БЮДЖЕТ 2004 от 22.12.03.инвестиц_Дайджест 2003-2004 гг._Форма №14 5" xfId="5003"/>
    <cellStyle name="_БЮДЖЕТ 2004 от 22.12.03.инвестиц_Дайджест 2003-2004 гг._Форма №14 6" xfId="5004"/>
    <cellStyle name="_БЮДЖЕТ 2004 от 22.12.03.инвестиц_Дайджест 2003-2004 гг._Форма №14 7" xfId="5005"/>
    <cellStyle name="_БЮДЖЕТ 2004 от 22.12.03.инвестиц_Дайджест 2003-2004 гг._Форма №14 8" xfId="5006"/>
    <cellStyle name="_БЮДЖЕТ 2004 от 22.12.03.инвестиц_Дайджест 2003-2004 гг._Форма №14 9" xfId="5007"/>
    <cellStyle name="_БЮДЖЕТ 2004 от 22.12.03.инвестиц_Дайджест 2003-2004 гг._Форма №19" xfId="5008"/>
    <cellStyle name="_БЮДЖЕТ 2004 от 22.12.03.инвестиц_Дайджест 2003-2004 гг._Форма №19 июль факт" xfId="5009"/>
    <cellStyle name="_БЮДЖЕТ 2004 от 22.12.03.инвестиц_Дайджест 2003-2004 гг._Форма №24" xfId="5010"/>
    <cellStyle name="_БЮДЖЕТ 2004 от 22.12.03.инвестиц_Дайджест 2003-2004 гг._форма №24 от 07.12.2006г" xfId="5011"/>
    <cellStyle name="_БЮДЖЕТ 2004 от 22.12.03.инвестиц_Дайджест 2003-2004 гг._форма №24 от 07.12.2006г 2" xfId="5012"/>
    <cellStyle name="_БЮДЖЕТ 2004 от 22.12.03.инвестиц_Дайджест 2003-2004 гг._форма №24 от 07.12.2006г 3" xfId="5013"/>
    <cellStyle name="_БЮДЖЕТ 2004 от 22.12.03.инвестиц_Дайджест 2003-2004 гг._форма №24 от 07.12.2006г 4" xfId="5014"/>
    <cellStyle name="_БЮДЖЕТ 2004 от 22.12.03.инвестиц_Дайджест 2003-2004 гг._форма №24 от 07.12.2006г 5" xfId="5015"/>
    <cellStyle name="_БЮДЖЕТ 2004 от 22.12.03.инвестиц_Дайджест 2003-2004 гг._форма №24 от 07.12.2006г 6" xfId="5016"/>
    <cellStyle name="_БЮДЖЕТ 2004 от 22.12.03.инвестиц_Дайджест 2003-2004 гг._форма №24 от 07.12.2006г 7" xfId="5017"/>
    <cellStyle name="_БЮДЖЕТ 2004 от 22.12.03.инвестиц_Дайджест 2003-2004 гг._форма №24 от 07.12.2006г 8" xfId="5018"/>
    <cellStyle name="_БЮДЖЕТ 2004 от 22.12.03.инвестиц_Дайджест 2003-2004 гг._форма №24 от 07.12.2006г 9" xfId="5019"/>
    <cellStyle name="_БЮДЖЕТ 2004 от 22.12.03.инвестиц_Дайджест 2003-2004 гг._форма №24 от 11.12.2006г" xfId="5020"/>
    <cellStyle name="_БЮДЖЕТ 2004 от 22.12.03.инвестиц_Дайджест 2003-2004 гг._форма №24 от 11.12.2006г 2" xfId="5021"/>
    <cellStyle name="_БЮДЖЕТ 2004 от 22.12.03.инвестиц_Дайджест 2003-2004 гг._форма №24 от 11.12.2006г 3" xfId="5022"/>
    <cellStyle name="_БЮДЖЕТ 2004 от 22.12.03.инвестиц_Дайджест 2003-2004 гг._форма №24 от 11.12.2006г 4" xfId="5023"/>
    <cellStyle name="_БЮДЖЕТ 2004 от 22.12.03.инвестиц_Дайджест 2003-2004 гг._форма №24 от 11.12.2006г 5" xfId="5024"/>
    <cellStyle name="_БЮДЖЕТ 2004 от 22.12.03.инвестиц_Дайджест 2003-2004 гг._форма №24 от 11.12.2006г 6" xfId="5025"/>
    <cellStyle name="_БЮДЖЕТ 2004 от 22.12.03.инвестиц_Дайджест 2003-2004 гг._форма №24 от 11.12.2006г 7" xfId="5026"/>
    <cellStyle name="_БЮДЖЕТ 2004 от 22.12.03.инвестиц_Дайджест 2003-2004 гг._форма №24 от 11.12.2006г 8" xfId="5027"/>
    <cellStyle name="_БЮДЖЕТ 2004 от 22.12.03.инвестиц_Дайджест 2003-2004 гг._форма №24 от 11.12.2006г 9" xfId="5028"/>
    <cellStyle name="_БЮДЖЕТ 2004 от 22.12.03.инвестиц_Дайджест 2003-2004 гг._форма №24 от 15.12.2006г" xfId="5029"/>
    <cellStyle name="_БЮДЖЕТ 2004 от 22.12.03.инвестиц_Дайджест 2003-2004 гг._форма №24 от 15.12.2006г 2" xfId="5030"/>
    <cellStyle name="_БЮДЖЕТ 2004 от 22.12.03.инвестиц_Дайджест 2003-2004 гг._форма №24 от 15.12.2006г 3" xfId="5031"/>
    <cellStyle name="_БЮДЖЕТ 2004 от 22.12.03.инвестиц_Дайджест 2003-2004 гг._форма №24 от 15.12.2006г 4" xfId="5032"/>
    <cellStyle name="_БЮДЖЕТ 2004 от 22.12.03.инвестиц_Дайджест 2003-2004 гг._форма №24 от 15.12.2006г 5" xfId="5033"/>
    <cellStyle name="_БЮДЖЕТ 2004 от 22.12.03.инвестиц_Дайджест 2003-2004 гг._форма №24 от 15.12.2006г 6" xfId="5034"/>
    <cellStyle name="_БЮДЖЕТ 2004 от 22.12.03.инвестиц_Дайджест 2003-2004 гг._форма №24 от 15.12.2006г 7" xfId="5035"/>
    <cellStyle name="_БЮДЖЕТ 2004 от 22.12.03.инвестиц_Дайджест 2003-2004 гг._форма №24 от 15.12.2006г 8" xfId="5036"/>
    <cellStyle name="_БЮДЖЕТ 2004 от 22.12.03.инвестиц_Дайджест 2003-2004 гг._форма №24 от 15.12.2006г 9" xfId="5037"/>
    <cellStyle name="_БЮДЖЕТ 2004 от 22.12.03.инвестиц_Дайджест 2003-2004 гг._форма №24,25 2 кв. от 02.04.07" xfId="5038"/>
    <cellStyle name="_БЮДЖЕТ 2004 от 22.12.03.инвестиц_Дайджест 2003-2004 гг._Форма №24,25 за 1 кв 2007" xfId="5039"/>
    <cellStyle name="_БЮДЖЕТ 2004 от 22.12.03.инвестиц_Дайджест 2003-2004 гг._Форма №24,25 за 1 кв 2007 2" xfId="5040"/>
    <cellStyle name="_БЮДЖЕТ 2004 от 22.12.03.инвестиц_Дайджест 2003-2004 гг._Форма №24,25 за 1 кв 2007 3" xfId="5041"/>
    <cellStyle name="_БЮДЖЕТ 2004 от 22.12.03.инвестиц_Дайджест 2003-2004 гг._Форма №24,25 за 1 кв 2007 4" xfId="5042"/>
    <cellStyle name="_БЮДЖЕТ 2004 от 22.12.03.инвестиц_Дайджест 2003-2004 гг._Форма №24,25 за 1 кв 2007 5" xfId="5043"/>
    <cellStyle name="_БЮДЖЕТ 2004 от 22.12.03.инвестиц_Дайджест 2003-2004 гг._Форма №24,25 за 1 кв 2007 6" xfId="5044"/>
    <cellStyle name="_БЮДЖЕТ 2004 от 22.12.03.инвестиц_Дайджест 2003-2004 гг._Форма №24,25 за 1 кв 2007 7" xfId="5045"/>
    <cellStyle name="_БЮДЖЕТ 2004 от 22.12.03.инвестиц_Дайджест 2003-2004 гг._Форма №24,25 за 1 кв 2007 8" xfId="5046"/>
    <cellStyle name="_БЮДЖЕТ 2004 от 22.12.03.инвестиц_Дайджест 2003-2004 гг._Форма №24,25 за 1 кв 2007 9" xfId="5047"/>
    <cellStyle name="_БЮДЖЕТ 2004 от 22.12.03.инвестиц_Дайджест 2003-2004 гг._Форма №24,25 за янв 2007" xfId="5048"/>
    <cellStyle name="_БЮДЖЕТ 2004 от 22.12.03.инвестиц_Дайджест 2003-2004 гг._Форма №24,25 за янв 2007 2" xfId="5049"/>
    <cellStyle name="_БЮДЖЕТ 2004 от 22.12.03.инвестиц_Дайджест 2003-2004 гг._Форма №24,25 за янв 2007 3" xfId="5050"/>
    <cellStyle name="_БЮДЖЕТ 2004 от 22.12.03.инвестиц_Дайджест 2003-2004 гг._Форма №24,25 за янв 2007 4" xfId="5051"/>
    <cellStyle name="_БЮДЖЕТ 2004 от 22.12.03.инвестиц_Дайджест 2003-2004 гг._Форма №24,25 за янв 2007 5" xfId="5052"/>
    <cellStyle name="_БЮДЖЕТ 2004 от 22.12.03.инвестиц_Дайджест 2003-2004 гг._Форма №24,25 за янв 2007 6" xfId="5053"/>
    <cellStyle name="_БЮДЖЕТ 2004 от 22.12.03.инвестиц_Дайджест 2003-2004 гг._Форма №24,25 за янв 2007 7" xfId="5054"/>
    <cellStyle name="_БЮДЖЕТ 2004 от 22.12.03.инвестиц_Дайджест 2003-2004 гг._Форма №24,25 за янв 2007 8" xfId="5055"/>
    <cellStyle name="_БЮДЖЕТ 2004 от 22.12.03.инвестиц_Дайджест 2003-2004 гг._Форма №24,25 за янв 2007 9" xfId="5056"/>
    <cellStyle name="_БЮДЖЕТ 2004 от 22.12.03.инвестиц_Дайджест 2003-2004 гг._Форма №24,25 за янв 2007_index" xfId="5057"/>
    <cellStyle name="_БЮДЖЕТ 2004 от 22.12.03.инвестиц_Дайджест 2003-2004 гг._Форма №24,25 за янв 2007_Копия Потребность взаиморасч  от 28 02 2008 (2)" xfId="5058"/>
    <cellStyle name="_БЮДЖЕТ 2004 от 22.12.03.инвестиц_Дайджест 2003-2004 гг._Форма №24,25 за янв 2007_Форма№13 (новая от 28 12 09г) февраль версия № и последняя" xfId="5059"/>
    <cellStyle name="_БЮДЖЕТ 2004 от 22.12.03.инвестиц_Дайджест 2003-2004 гг._Форма №26 1 кв" xfId="5060"/>
    <cellStyle name="_БЮДЖЕТ 2004 от 22.12.03.инвестиц_Дайджест 2003-2004 гг._Форма №26 1 кв 2" xfId="5061"/>
    <cellStyle name="_БЮДЖЕТ 2004 от 22.12.03.инвестиц_Дайджест 2003-2004 гг._Форма №26 1 кв 3" xfId="5062"/>
    <cellStyle name="_БЮДЖЕТ 2004 от 22.12.03.инвестиц_Дайджест 2003-2004 гг._Форма №26 1 кв 4" xfId="5063"/>
    <cellStyle name="_БЮДЖЕТ 2004 от 22.12.03.инвестиц_Дайджест 2003-2004 гг._Форма №26 1 кв 5" xfId="5064"/>
    <cellStyle name="_БЮДЖЕТ 2004 от 22.12.03.инвестиц_Дайджест 2003-2004 гг._Форма №26 1 кв 6" xfId="5065"/>
    <cellStyle name="_БЮДЖЕТ 2004 от 22.12.03.инвестиц_Дайджест 2003-2004 гг._Форма №26 1 кв 7" xfId="5066"/>
    <cellStyle name="_БЮДЖЕТ 2004 от 22.12.03.инвестиц_Дайджест 2003-2004 гг._Форма №26 1 кв 8" xfId="5067"/>
    <cellStyle name="_БЮДЖЕТ 2004 от 22.12.03.инвестиц_Дайджест 2003-2004 гг._Форма №26 1 кв 9" xfId="5068"/>
    <cellStyle name="_БЮДЖЕТ 2004 от 22.12.03.инвестиц_Дайджест 2003-2004 гг._Форма №27 1 кв" xfId="5069"/>
    <cellStyle name="_БЮДЖЕТ 2004 от 22.12.03.инвестиц_Дайджест 2003-2004 гг._Форма №27 1 кв 2" xfId="5070"/>
    <cellStyle name="_БЮДЖЕТ 2004 от 22.12.03.инвестиц_Дайджест 2003-2004 гг._Форма №27 1 кв 3" xfId="5071"/>
    <cellStyle name="_БЮДЖЕТ 2004 от 22.12.03.инвестиц_Дайджест 2003-2004 гг._Форма №27 1 кв 4" xfId="5072"/>
    <cellStyle name="_БЮДЖЕТ 2004 от 22.12.03.инвестиц_Дайджест 2003-2004 гг._Форма №27 1 кв 5" xfId="5073"/>
    <cellStyle name="_БЮДЖЕТ 2004 от 22.12.03.инвестиц_Дайджест 2003-2004 гг._Форма №27 1 кв 6" xfId="5074"/>
    <cellStyle name="_БЮДЖЕТ 2004 от 22.12.03.инвестиц_Дайджест 2003-2004 гг._Форма №27 1 кв 7" xfId="5075"/>
    <cellStyle name="_БЮДЖЕТ 2004 от 22.12.03.инвестиц_Дайджест 2003-2004 гг._Форма №27 1 кв 8" xfId="5076"/>
    <cellStyle name="_БЮДЖЕТ 2004 от 22.12.03.инвестиц_Дайджест 2003-2004 гг._Форма №27 1 кв 9" xfId="5077"/>
    <cellStyle name="_БЮДЖЕТ 2004 от 22.12.03.инвестиц_Дайджест 2003-2004 гг._Форма №8" xfId="5078"/>
    <cellStyle name="_БЮДЖЕТ 2004 от 22.12.03.инвестиц_Дайджест 2003-2004 гг._Форма №8 2" xfId="5079"/>
    <cellStyle name="_БЮДЖЕТ 2004 от 22.12.03.инвестиц_Дайджест 2003-2004 гг._Форма №8 3" xfId="5080"/>
    <cellStyle name="_БЮДЖЕТ 2004 от 22.12.03.инвестиц_Дайджест 2003-2004 гг._Форма №8 4" xfId="5081"/>
    <cellStyle name="_БЮДЖЕТ 2004 от 22.12.03.инвестиц_Дайджест 2003-2004 гг._Форма №8 5" xfId="5082"/>
    <cellStyle name="_БЮДЖЕТ 2004 от 22.12.03.инвестиц_Дайджест 2003-2004 гг._Форма №8 6" xfId="5083"/>
    <cellStyle name="_БЮДЖЕТ 2004 от 22.12.03.инвестиц_Дайджест 2003-2004 гг._Форма №8 7" xfId="5084"/>
    <cellStyle name="_БЮДЖЕТ 2004 от 22.12.03.инвестиц_Дайджест 2003-2004 гг._Форма №8 8" xfId="5085"/>
    <cellStyle name="_БЮДЖЕТ 2004 от 22.12.03.инвестиц_Дайджест 2003-2004 гг._Форма №8 9" xfId="5086"/>
    <cellStyle name="_БЮДЖЕТ 2004 от 22.12.03.инвестиц_Дайджест 2003-2004 гг._форма презентации по численности и зарплате" xfId="5087"/>
    <cellStyle name="_БЮДЖЕТ 2004 от 22.12.03.инвестиц_Дайджест 2003-2004 гг._форма презентации по численности и зарплате 2" xfId="5088"/>
    <cellStyle name="_БЮДЖЕТ 2004 от 22.12.03.инвестиц_Дайджест 2003-2004 гг._форма презентации по численности и зарплате 3" xfId="5089"/>
    <cellStyle name="_БЮДЖЕТ 2004 от 22.12.03.инвестиц_Дайджест 2003-2004 гг._форма презентации по численности и зарплате 4" xfId="5090"/>
    <cellStyle name="_БЮДЖЕТ 2004 от 22.12.03.инвестиц_Дайджест 2003-2004 гг._форма презентации по численности и зарплате 5" xfId="5091"/>
    <cellStyle name="_БЮДЖЕТ 2004 от 22.12.03.инвестиц_Дайджест 2003-2004 гг._форма презентации по численности и зарплате 6" xfId="5092"/>
    <cellStyle name="_БЮДЖЕТ 2004 от 22.12.03.инвестиц_Дайджест 2003-2004 гг._форма презентации по численности и зарплате 7" xfId="5093"/>
    <cellStyle name="_БЮДЖЕТ 2004 от 22.12.03.инвестиц_Дайджест 2003-2004 гг._форма презентации по численности и зарплате 8" xfId="5094"/>
    <cellStyle name="_БЮДЖЕТ 2004 от 22.12.03.инвестиц_Дайджест 2003-2004 гг._форма презентации по численности и зарплате 9" xfId="5095"/>
    <cellStyle name="_БЮДЖЕТ 2004 от 22.12.03.инвестиц_Дайджест 2003-2004 гг._Форма№13 (новая от 28 12 09г) февраль версия № и последняя" xfId="5096"/>
    <cellStyle name="_БЮДЖЕТ 2004 от 22.12.03.инвестиц_Дайджест 2003-2004 гг._Формат" xfId="5097"/>
    <cellStyle name="_БЮДЖЕТ 2004 от 22.12.03.инвестиц_Дайджест 2003-2004 гг._формат отчетности(фев с март)" xfId="5098"/>
    <cellStyle name="_БЮДЖЕТ 2004 от 22.12.03.инвестиц_Дайджест 2003-2004 гг._Формат Январь прогноз" xfId="5099"/>
    <cellStyle name="_БЮДЖЕТ 2004 от 22.12.03.инвестиц_Дайджест 2003-2004 гг._Формы _28-30 (новые)1" xfId="5100"/>
    <cellStyle name="_БЮДЖЕТ 2004 от 22.12.03.инвестиц_Дайджест 2003-2004 гг._Формы 19,20,21" xfId="5101"/>
    <cellStyle name="_БЮДЖЕТ 2004 от 22.12.03.инвестиц_Дайджест 2003-2004 гг._Формы 19,20,21 16.12.06 " xfId="5102"/>
    <cellStyle name="_БЮДЖЕТ 2004 от 22.12.03.инвестиц_Дайджест 2003-2004 гг._Формы 19,20,21 16.12.06  2" xfId="5103"/>
    <cellStyle name="_БЮДЖЕТ 2004 от 22.12.03.инвестиц_Дайджест 2003-2004 гг._Формы 19,20,21 16.12.06  3" xfId="5104"/>
    <cellStyle name="_БЮДЖЕТ 2004 от 22.12.03.инвестиц_Дайджест 2003-2004 гг._Формы 19,20,21 16.12.06  4" xfId="5105"/>
    <cellStyle name="_БЮДЖЕТ 2004 от 22.12.03.инвестиц_Дайджест 2003-2004 гг._Формы 19,20,21 16.12.06  5" xfId="5106"/>
    <cellStyle name="_БЮДЖЕТ 2004 от 22.12.03.инвестиц_Дайджест 2003-2004 гг._Формы 19,20,21 16.12.06  6" xfId="5107"/>
    <cellStyle name="_БЮДЖЕТ 2004 от 22.12.03.инвестиц_Дайджест 2003-2004 гг._Формы 19,20,21 16.12.06  7" xfId="5108"/>
    <cellStyle name="_БЮДЖЕТ 2004 от 22.12.03.инвестиц_Дайджест 2003-2004 гг._Формы 19,20,21 16.12.06  8" xfId="5109"/>
    <cellStyle name="_БЮДЖЕТ 2004 от 22.12.03.инвестиц_Дайджест 2003-2004 гг._Формы 19,20,21 16.12.06  9" xfId="5110"/>
    <cellStyle name="_БЮДЖЕТ 2004 от 22.12.03.инвестиц_Дайджест 2003-2004 гг._Формы 19,20,21 2" xfId="5111"/>
    <cellStyle name="_БЮДЖЕТ 2004 от 22.12.03.инвестиц_Дайджест 2003-2004 гг._Формы 19,20,21 3" xfId="5112"/>
    <cellStyle name="_БЮДЖЕТ 2004 от 22.12.03.инвестиц_Дайджест 2003-2004 гг._Формы 19,20,21 4" xfId="5113"/>
    <cellStyle name="_БЮДЖЕТ 2004 от 22.12.03.инвестиц_Дайджест 2003-2004 гг._Формы 19,20,21 5" xfId="5114"/>
    <cellStyle name="_БЮДЖЕТ 2004 от 22.12.03.инвестиц_Дайджест 2003-2004 гг._Формы 19,20,21 6" xfId="5115"/>
    <cellStyle name="_БЮДЖЕТ 2004 от 22.12.03.инвестиц_Дайджест 2003-2004 гг._Формы 19,20,21 7" xfId="5116"/>
    <cellStyle name="_БЮДЖЕТ 2004 от 22.12.03.инвестиц_Дайджест 2003-2004 гг._Формы 19,20,21 8" xfId="5117"/>
    <cellStyle name="_БЮДЖЕТ 2004 от 22.12.03.инвестиц_Дайджест 2003-2004 гг._Формы 19,20,21 9" xfId="5118"/>
    <cellStyle name="_БЮДЖЕТ 2004 от 22.12.03.инвестиц_Дайджест 2003-2004 гг._Формы 19,20,21 на 2007г." xfId="5119"/>
    <cellStyle name="_БЮДЖЕТ 2004 от 22.12.03.инвестиц_Дайджест 2003-2004 гг._Формы 19,20,21 на 2007г. 2" xfId="5120"/>
    <cellStyle name="_БЮДЖЕТ 2004 от 22.12.03.инвестиц_Дайджест 2003-2004 гг._Формы 19,20,21 на 2007г. 3" xfId="5121"/>
    <cellStyle name="_БЮДЖЕТ 2004 от 22.12.03.инвестиц_Дайджест 2003-2004 гг._Формы 19,20,21 на 2007г. 4" xfId="5122"/>
    <cellStyle name="_БЮДЖЕТ 2004 от 22.12.03.инвестиц_Дайджест 2003-2004 гг._Формы 19,20,21 на 2007г. 5" xfId="5123"/>
    <cellStyle name="_БЮДЖЕТ 2004 от 22.12.03.инвестиц_Дайджест 2003-2004 гг._Формы 19,20,21 на 2007г. 6" xfId="5124"/>
    <cellStyle name="_БЮДЖЕТ 2004 от 22.12.03.инвестиц_Дайджест 2003-2004 гг._Формы 19,20,21 на 2007г. 7" xfId="5125"/>
    <cellStyle name="_БЮДЖЕТ 2004 от 22.12.03.инвестиц_Дайджест 2003-2004 гг._Формы 19,20,21 на 2007г. 8" xfId="5126"/>
    <cellStyle name="_БЮДЖЕТ 2004 от 22.12.03.инвестиц_Дайджест 2003-2004 гг._Формы 19,20,21 на 2007г. 9" xfId="5127"/>
    <cellStyle name="_БЮДЖЕТ 2004 от 22.12.03.инвестиц_Дайджест 2003-2004 гг._Формы 28-30" xfId="5128"/>
    <cellStyle name="_БЮДЖЕТ 2004 от 22.12.03.инвестиц_Дайджест 2003-2004 гг._Формы №28-30 (новые)1" xfId="5129"/>
    <cellStyle name="_БЮДЖЕТ 2004 от 22.12.03.инвестиц_Дайджест 2003-2004 гг._Формы Август-декбарь" xfId="5130"/>
    <cellStyle name="_БЮДЖЕТ 2004 от 22.12.03.инвестиц_Дайджест 2003-2004 гг._Формы Август-декбарь 2" xfId="5131"/>
    <cellStyle name="_БЮДЖЕТ 2004 от 22.12.03.инвестиц_Дайджест 2003-2004 гг._Формы Август-декбарь 3" xfId="5132"/>
    <cellStyle name="_БЮДЖЕТ 2004 от 22.12.03.инвестиц_Дайджест 2003-2004 гг._Формы Август-декбарь 4" xfId="5133"/>
    <cellStyle name="_БЮДЖЕТ 2004 от 22.12.03.инвестиц_Дайджест 2003-2004 гг._Формы Август-декбарь 5" xfId="5134"/>
    <cellStyle name="_БЮДЖЕТ 2004 от 22.12.03.инвестиц_Дайджест 2003-2004 гг._Формы Август-декбарь 6" xfId="5135"/>
    <cellStyle name="_БЮДЖЕТ 2004 от 22.12.03.инвестиц_Дайджест 2003-2004 гг._Формы Август-декбарь 7" xfId="5136"/>
    <cellStyle name="_БЮДЖЕТ 2004 от 22.12.03.инвестиц_Дайджест 2003-2004 гг._Формы Август-декбарь 8" xfId="5137"/>
    <cellStyle name="_БЮДЖЕТ 2004 от 22.12.03.инвестиц_Дайджест 2003-2004 гг._Формы Август-декбарь 9" xfId="5138"/>
    <cellStyle name="_БЮДЖЕТ 2004 от 22.12.03.инвестиц_Дайджест 2003-2004 гг._Формы Август-декбарь_13,14,28-30" xfId="5139"/>
    <cellStyle name="_БЮДЖЕТ 2004 от 22.12.03.инвестиц_Дайджест 2003-2004 гг._Формы Август-декбарь_19" xfId="5140"/>
    <cellStyle name="_БЮДЖЕТ 2004 от 22.12.03.инвестиц_Дайджест 2003-2004 гг._Формы Август-декбарь_26-30" xfId="5141"/>
    <cellStyle name="_БЮДЖЕТ 2004 от 22.12.03.инвестиц_Дайджест 2003-2004 гг._Формы Август-декбарь_28" xfId="5142"/>
    <cellStyle name="_БЮДЖЕТ 2004 от 22.12.03.инвестиц_Дайджест 2003-2004 гг._Формы Август-декбарь_3 квартал" xfId="5143"/>
    <cellStyle name="_БЮДЖЕТ 2004 от 22.12.03.инвестиц_Дайджест 2003-2004 гг._Формы Август-декбарь_3 квартал 2" xfId="5144"/>
    <cellStyle name="_БЮДЖЕТ 2004 от 22.12.03.инвестиц_Дайджест 2003-2004 гг._Формы Август-декбарь_index" xfId="5145"/>
    <cellStyle name="_БЮДЖЕТ 2004 от 22.12.03.инвестиц_Дайджест 2003-2004 гг._Формы Август-декбарь_Верх НА" xfId="5146"/>
    <cellStyle name="_БЮДЖЕТ 2004 от 22.12.03.инвестиц_Дайджест 2003-2004 гг._Формы Август-декбарь_Книга2" xfId="5147"/>
    <cellStyle name="_БЮДЖЕТ 2004 от 22.12.03.инвестиц_Дайджест 2003-2004 гг._Формы Август-декбарь_Копия Динамика цен (УС ) 2006-2009 сверен 30.01.09" xfId="5148"/>
    <cellStyle name="_БЮДЖЕТ 2004 от 22.12.03.инвестиц_Дайджест 2003-2004 гг._Формы Август-декбарь_Копия Потребность взаиморасч  от 28 02 2008 (2)" xfId="5149"/>
    <cellStyle name="_БЮДЖЕТ 2004 от 22.12.03.инвестиц_Дайджест 2003-2004 гг._Формы Август-декбарь_Налог на прибыль" xfId="5150"/>
    <cellStyle name="_БЮДЖЕТ 2004 от 22.12.03.инвестиц_Дайджест 2003-2004 гг._Формы Август-декбарь_Налоги А.А. Богоцкому 2005-2009" xfId="5151"/>
    <cellStyle name="_БЮДЖЕТ 2004 от 22.12.03.инвестиц_Дайджест 2003-2004 гг._Формы Август-декбарь_Налоги к плану на 2009 год (ДЗ и КЗ)" xfId="5152"/>
    <cellStyle name="_БЮДЖЕТ 2004 от 22.12.03.инвестиц_Дайджест 2003-2004 гг._Формы Август-декбарь_Налоги к плану на февраль 2009 года" xfId="5153"/>
    <cellStyle name="_БЮДЖЕТ 2004 от 22.12.03.инвестиц_Дайджест 2003-2004 гг._Формы Август-декбарь_Обжиговая" xfId="5154"/>
    <cellStyle name="_БЮДЖЕТ 2004 от 22.12.03.инвестиц_Дайджест 2003-2004 гг._Формы Август-декбарь_Отчет за сентябрь_11_ДСМ" xfId="5155"/>
    <cellStyle name="_БЮДЖЕТ 2004 от 22.12.03.инвестиц_Дайджест 2003-2004 гг._Формы Август-декбарь_Стан 150" xfId="5156"/>
    <cellStyle name="_БЮДЖЕТ 2004 от 22.12.03.инвестиц_Дайджест 2003-2004 гг._Формы Август-декбарь_Ф20 от налоговой" xfId="5157"/>
    <cellStyle name="_БЮДЖЕТ 2004 от 22.12.03.инвестиц_Дайджест 2003-2004 гг._Формы Август-декбарь_фIIIкв Комплект ОЭМК (1-12,18,22) 28.10.08" xfId="5158"/>
    <cellStyle name="_БЮДЖЕТ 2004 от 22.12.03.инвестиц_Дайджест 2003-2004 гг._Формы Август-декбарь_Форма №19" xfId="5159"/>
    <cellStyle name="_БЮДЖЕТ 2004 от 22.12.03.инвестиц_Дайджест 2003-2004 гг._Формы Август-декбарь_Форма №24" xfId="5160"/>
    <cellStyle name="_БЮДЖЕТ 2004 от 22.12.03.инвестиц_Дайджест 2003-2004 гг._Формы Август-декбарь_Форма№13 (новая от 28 12 09г) февраль версия № и последняя" xfId="5161"/>
    <cellStyle name="_БЮДЖЕТ 2004 от 22.12.03.инвестиц_Дайджест 2003-2004 гг._Формы Август-декбарь_Формы _28-30 (новые)1" xfId="5162"/>
    <cellStyle name="_БЮДЖЕТ 2004 от 22.12.03.инвестиц_Дайджест 2003-2004 гг._Формы Август-декбарь_Формы 28-30" xfId="5163"/>
    <cellStyle name="_БЮДЖЕТ 2004 от 22.12.03.инвестиц_Дайджест 2003-2004 гг._Формы Август-декбарь_Формы №28-30 (новые)1" xfId="5164"/>
    <cellStyle name="_БЮДЖЕТ 2004 от 22.12.03.инвестиц_Дайджест 2003-2004 гг._Формы Август-декбарь_Шаропрокатный" xfId="5165"/>
    <cellStyle name="_БЮДЖЕТ 2004 от 22.12.03.инвестиц_Дайджест 2003-2004 гг._Формы Август-декбарь_ЭНЦ-1" xfId="5166"/>
    <cellStyle name="_БЮДЖЕТ 2004 от 22.12.03.инвестиц_Дайджест 2003-2004 гг._Формы для ЛГОК (к отправке)" xfId="5167"/>
    <cellStyle name="_БЮДЖЕТ 2004 от 22.12.03.инвестиц_Дайджест 2003-2004 гг._Формы для ЛГОК (к отправке)_index" xfId="5168"/>
    <cellStyle name="_БЮДЖЕТ 2004 от 22.12.03.инвестиц_Дайджест 2003-2004 гг._Формы для ЛГОК (к отправке)_Копия Потребность взаиморасч  от 28 02 2008 (2)" xfId="5169"/>
    <cellStyle name="_БЮДЖЕТ 2004 от 22.12.03.инвестиц_Дайджест 2003-2004 гг._Формы для ОЭМК (к отправке)" xfId="5170"/>
    <cellStyle name="_БЮДЖЕТ 2004 от 22.12.03.инвестиц_Дайджест 2003-2004 гг._Формы для ОЭМК (к отправке) 2" xfId="5171"/>
    <cellStyle name="_БЮДЖЕТ 2004 от 22.12.03.инвестиц_Дайджест 2003-2004 гг._Формы для ОЭМК (к отправке) 3" xfId="5172"/>
    <cellStyle name="_БЮДЖЕТ 2004 от 22.12.03.инвестиц_Дайджест 2003-2004 гг._Формы для ОЭМК (к отправке) 4" xfId="5173"/>
    <cellStyle name="_БЮДЖЕТ 2004 от 22.12.03.инвестиц_Дайджест 2003-2004 гг._Формы для ОЭМК (к отправке) 5" xfId="5174"/>
    <cellStyle name="_БЮДЖЕТ 2004 от 22.12.03.инвестиц_Дайджест 2003-2004 гг._Формы для ОЭМК (к отправке) 6" xfId="5175"/>
    <cellStyle name="_БЮДЖЕТ 2004 от 22.12.03.инвестиц_Дайджест 2003-2004 гг._Формы для ОЭМК (к отправке) 7" xfId="5176"/>
    <cellStyle name="_БЮДЖЕТ 2004 от 22.12.03.инвестиц_Дайджест 2003-2004 гг._Формы для ОЭМК (к отправке) 8" xfId="5177"/>
    <cellStyle name="_БЮДЖЕТ 2004 от 22.12.03.инвестиц_Дайджест 2003-2004 гг._Формы для ОЭМК (к отправке) 9" xfId="5178"/>
    <cellStyle name="_БЮДЖЕТ 2004 от 22.12.03.инвестиц_Дайджест 2003-2004 гг._Формы для ОЭМК (к отправке)_13,14,28-30" xfId="5179"/>
    <cellStyle name="_БЮДЖЕТ 2004 от 22.12.03.инвестиц_Дайджест 2003-2004 гг._Формы для ОЭМК (к отправке)_19" xfId="5180"/>
    <cellStyle name="_БЮДЖЕТ 2004 от 22.12.03.инвестиц_Дайджест 2003-2004 гг._Формы для ОЭМК (к отправке)_26-30" xfId="5181"/>
    <cellStyle name="_БЮДЖЕТ 2004 от 22.12.03.инвестиц_Дайджест 2003-2004 гг._Формы для ОЭМК (к отправке)_28" xfId="5182"/>
    <cellStyle name="_БЮДЖЕТ 2004 от 22.12.03.инвестиц_Дайджест 2003-2004 гг._Формы для ОЭМК (к отправке)_3 квартал" xfId="5183"/>
    <cellStyle name="_БЮДЖЕТ 2004 от 22.12.03.инвестиц_Дайджест 2003-2004 гг._Формы для ОЭМК (к отправке)_3 квартал 2" xfId="5184"/>
    <cellStyle name="_БЮДЖЕТ 2004 от 22.12.03.инвестиц_Дайджест 2003-2004 гг._Формы для ОЭМК (к отправке)_index" xfId="5185"/>
    <cellStyle name="_БЮДЖЕТ 2004 от 22.12.03.инвестиц_Дайджест 2003-2004 гг._Формы для ОЭМК (к отправке)_Верх НА" xfId="5186"/>
    <cellStyle name="_БЮДЖЕТ 2004 от 22.12.03.инвестиц_Дайджест 2003-2004 гг._Формы для ОЭМК (к отправке)_Книга2" xfId="5187"/>
    <cellStyle name="_БЮДЖЕТ 2004 от 22.12.03.инвестиц_Дайджест 2003-2004 гг._Формы для ОЭМК (к отправке)_Копия Динамика цен (УС ) 2006-2009 сверен 30.01.09" xfId="5188"/>
    <cellStyle name="_БЮДЖЕТ 2004 от 22.12.03.инвестиц_Дайджест 2003-2004 гг._Формы для ОЭМК (к отправке)_Копия Потребность взаиморасч  от 28 02 2008 (2)" xfId="5189"/>
    <cellStyle name="_БЮДЖЕТ 2004 от 22.12.03.инвестиц_Дайджест 2003-2004 гг._Формы для ОЭМК (к отправке)_Налог на прибыль" xfId="5190"/>
    <cellStyle name="_БЮДЖЕТ 2004 от 22.12.03.инвестиц_Дайджест 2003-2004 гг._Формы для ОЭМК (к отправке)_Налоги А.А. Богоцкому 2005-2009" xfId="5191"/>
    <cellStyle name="_БЮДЖЕТ 2004 от 22.12.03.инвестиц_Дайджест 2003-2004 гг._Формы для ОЭМК (к отправке)_Налоги к плану на 2009 год (ДЗ и КЗ)" xfId="5192"/>
    <cellStyle name="_БЮДЖЕТ 2004 от 22.12.03.инвестиц_Дайджест 2003-2004 гг._Формы для ОЭМК (к отправке)_Налоги к плану на февраль 2009 года" xfId="5193"/>
    <cellStyle name="_БЮДЖЕТ 2004 от 22.12.03.инвестиц_Дайджест 2003-2004 гг._Формы для ОЭМК (к отправке)_Обжиговая" xfId="5194"/>
    <cellStyle name="_БЮДЖЕТ 2004 от 22.12.03.инвестиц_Дайджест 2003-2004 гг._Формы для ОЭМК (к отправке)_Отчет за сентябрь_11_ДСМ" xfId="5195"/>
    <cellStyle name="_БЮДЖЕТ 2004 от 22.12.03.инвестиц_Дайджест 2003-2004 гг._Формы для ОЭМК (к отправке)_Стан 150" xfId="5196"/>
    <cellStyle name="_БЮДЖЕТ 2004 от 22.12.03.инвестиц_Дайджест 2003-2004 гг._Формы для ОЭМК (к отправке)_Ф20 от налоговой" xfId="5197"/>
    <cellStyle name="_БЮДЖЕТ 2004 от 22.12.03.инвестиц_Дайджест 2003-2004 гг._Формы для ОЭМК (к отправке)_фIIIкв Комплект ОЭМК (1-12,18,22) 28.10.08" xfId="5198"/>
    <cellStyle name="_БЮДЖЕТ 2004 от 22.12.03.инвестиц_Дайджест 2003-2004 гг._Формы для ОЭМК (к отправке)_Форма №19" xfId="5199"/>
    <cellStyle name="_БЮДЖЕТ 2004 от 22.12.03.инвестиц_Дайджест 2003-2004 гг._Формы для ОЭМК (к отправке)_Форма №24" xfId="5200"/>
    <cellStyle name="_БЮДЖЕТ 2004 от 22.12.03.инвестиц_Дайджест 2003-2004 гг._Формы для ОЭМК (к отправке)_Форма№13 (новая от 28 12 09г) февраль версия № и последняя" xfId="5201"/>
    <cellStyle name="_БЮДЖЕТ 2004 от 22.12.03.инвестиц_Дайджест 2003-2004 гг._Формы для ОЭМК (к отправке)_Формы _28-30 (новые)1" xfId="5202"/>
    <cellStyle name="_БЮДЖЕТ 2004 от 22.12.03.инвестиц_Дайджест 2003-2004 гг._Формы для ОЭМК (к отправке)_Формы 28-30" xfId="5203"/>
    <cellStyle name="_БЮДЖЕТ 2004 от 22.12.03.инвестиц_Дайджест 2003-2004 гг._Формы для ОЭМК (к отправке)_Формы №28-30 (новые)1" xfId="5204"/>
    <cellStyle name="_БЮДЖЕТ 2004 от 22.12.03.инвестиц_Дайджест 2003-2004 гг._Формы для ОЭМК (к отправке)_Шаропрокатный" xfId="5205"/>
    <cellStyle name="_БЮДЖЕТ 2004 от 22.12.03.инвестиц_Дайджест 2003-2004 гг._Формы для ОЭМК (к отправке)_ЭНЦ-1" xfId="5206"/>
    <cellStyle name="_БЮДЖЕТ 2004 от 22.12.03.инвестиц_Дайджест 2003-2004 гг._Формы общие отчет за год" xfId="5207"/>
    <cellStyle name="_БЮДЖЕТ 2004 от 22.12.03.инвестиц_Дайджест 2003-2004 гг._Формы общие отчет за год 10" xfId="5208"/>
    <cellStyle name="_БЮДЖЕТ 2004 от 22.12.03.инвестиц_Дайджест 2003-2004 гг._Формы общие отчет за год 11" xfId="5209"/>
    <cellStyle name="_БЮДЖЕТ 2004 от 22.12.03.инвестиц_Дайджест 2003-2004 гг._Формы общие отчет за год 12" xfId="5210"/>
    <cellStyle name="_БЮДЖЕТ 2004 от 22.12.03.инвестиц_Дайджест 2003-2004 гг._Формы общие отчет за год 13" xfId="5211"/>
    <cellStyle name="_БЮДЖЕТ 2004 от 22.12.03.инвестиц_Дайджест 2003-2004 гг._Формы общие отчет за год 2" xfId="5212"/>
    <cellStyle name="_БЮДЖЕТ 2004 от 22.12.03.инвестиц_Дайджест 2003-2004 гг._Формы общие отчет за год 3" xfId="5213"/>
    <cellStyle name="_БЮДЖЕТ 2004 от 22.12.03.инвестиц_Дайджест 2003-2004 гг._Формы общие отчет за год 4" xfId="5214"/>
    <cellStyle name="_БЮДЖЕТ 2004 от 22.12.03.инвестиц_Дайджест 2003-2004 гг._Формы общие отчет за год 5" xfId="5215"/>
    <cellStyle name="_БЮДЖЕТ 2004 от 22.12.03.инвестиц_Дайджест 2003-2004 гг._Формы общие отчет за год 6" xfId="5216"/>
    <cellStyle name="_БЮДЖЕТ 2004 от 22.12.03.инвестиц_Дайджест 2003-2004 гг._Формы общие отчет за год 7" xfId="5217"/>
    <cellStyle name="_БЮДЖЕТ 2004 от 22.12.03.инвестиц_Дайджест 2003-2004 гг._Формы общие отчет за год 8" xfId="5218"/>
    <cellStyle name="_БЮДЖЕТ 2004 от 22.12.03.инвестиц_Дайджест 2003-2004 гг._Формы общие отчет за год 9" xfId="5219"/>
    <cellStyle name="_БЮДЖЕТ 2004 от 22.12.03.инвестиц_Дайджест 2003-2004 гг._Формы общие отчет за год__План по труду 2008 261107 (10% с января)" xfId="5220"/>
    <cellStyle name="_БЮДЖЕТ 2004 от 22.12.03.инвестиц_Дайджест 2003-2004 гг._Формы общие отчет за год__План по труду 2008 261107 (10% с января) 2" xfId="5221"/>
    <cellStyle name="_БЮДЖЕТ 2004 от 22.12.03.инвестиц_Дайджест 2003-2004 гг._Формы общие отчет за год__План по труду 2008 261107 (10% с января) 3" xfId="5222"/>
    <cellStyle name="_БЮДЖЕТ 2004 от 22.12.03.инвестиц_Дайджест 2003-2004 гг._Формы общие отчет за год__План по труду 2008 261107 (10% с января) 4" xfId="5223"/>
    <cellStyle name="_БЮДЖЕТ 2004 от 22.12.03.инвестиц_Дайджест 2003-2004 гг._Формы общие отчет за год__План по труду 2008 261107 (10% с января) 5" xfId="5224"/>
    <cellStyle name="_БЮДЖЕТ 2004 от 22.12.03.инвестиц_Дайджест 2003-2004 гг._Формы общие отчет за год__План по труду 2008 261107 (10% с января) 6" xfId="5225"/>
    <cellStyle name="_БЮДЖЕТ 2004 от 22.12.03.инвестиц_Дайджест 2003-2004 гг._Формы общие отчет за год__План по труду 2008 261107 (10% с января) 7" xfId="5226"/>
    <cellStyle name="_БЮДЖЕТ 2004 от 22.12.03.инвестиц_Дайджест 2003-2004 гг._Формы общие отчет за год__План по труду 2008 261107 (10% с января) 8" xfId="5227"/>
    <cellStyle name="_БЮДЖЕТ 2004 от 22.12.03.инвестиц_Дайджест 2003-2004 гг._Формы общие отчет за год__План по труду 2008 261107 (10% с января) 9" xfId="5228"/>
    <cellStyle name="_БЮДЖЕТ 2004 от 22.12.03.инвестиц_Дайджест 2003-2004 гг._Формы общие отчет за год__План по труду 2008 ИТОГ (правл. ПНР 161007)_" xfId="5229"/>
    <cellStyle name="_БЮДЖЕТ 2004 от 22.12.03.инвестиц_Дайджест 2003-2004 гг._Формы общие отчет за год__План по труду 2008 ИТОГ (правл. ПНР 161007)_ 2" xfId="5230"/>
    <cellStyle name="_БЮДЖЕТ 2004 от 22.12.03.инвестиц_Дайджест 2003-2004 гг._Формы общие отчет за год__План по труду 2008 ИТОГ (правл. ПНР 161007)_ 3" xfId="5231"/>
    <cellStyle name="_БЮДЖЕТ 2004 от 22.12.03.инвестиц_Дайджест 2003-2004 гг._Формы общие отчет за год__План по труду 2008 ИТОГ (правл. ПНР 161007)_ 4" xfId="5232"/>
    <cellStyle name="_БЮДЖЕТ 2004 от 22.12.03.инвестиц_Дайджест 2003-2004 гг._Формы общие отчет за год__План по труду 2008 ИТОГ (правл. ПНР 161007)_ 5" xfId="5233"/>
    <cellStyle name="_БЮДЖЕТ 2004 от 22.12.03.инвестиц_Дайджест 2003-2004 гг._Формы общие отчет за год__План по труду 2008 ИТОГ (правл. ПНР 161007)_ 6" xfId="5234"/>
    <cellStyle name="_БЮДЖЕТ 2004 от 22.12.03.инвестиц_Дайджест 2003-2004 гг._Формы общие отчет за год__План по труду 2008 ИТОГ (правл. ПНР 161007)_ 7" xfId="5235"/>
    <cellStyle name="_БЮДЖЕТ 2004 от 22.12.03.инвестиц_Дайджест 2003-2004 гг._Формы общие отчет за год__План по труду 2008 ИТОГ (правл. ПНР 161007)_ 8" xfId="5236"/>
    <cellStyle name="_БЮДЖЕТ 2004 от 22.12.03.инвестиц_Дайджест 2003-2004 гг._Формы общие отчет за год__План по труду 2008 ИТОГ (правл. ПНР 161007)_ 9" xfId="5237"/>
    <cellStyle name="_БЮДЖЕТ 2004 от 22.12.03.инвестиц_Дайджест 2003-2004 гг._Формы общие отчет за год_2_Инвестпрограмма на 2008 год (КОВАЛЕВ)" xfId="5238"/>
    <cellStyle name="_БЮДЖЕТ 2004 от 22.12.03.инвестиц_Дайджест 2003-2004 гг._Формы общие отчет за год_Данные для ФОТ на 2008 год" xfId="5239"/>
    <cellStyle name="_БЮДЖЕТ 2004 от 22.12.03.инвестиц_Дайджест 2003-2004 гг._Формы общие отчет за год_Данные для ФОТ на 2008 год 2" xfId="5240"/>
    <cellStyle name="_БЮДЖЕТ 2004 от 22.12.03.инвестиц_Дайджест 2003-2004 гг._Формы общие отчет за год_Данные для ФОТ на 2008 год 3" xfId="5241"/>
    <cellStyle name="_БЮДЖЕТ 2004 от 22.12.03.инвестиц_Дайджест 2003-2004 гг._Формы общие отчет за год_Данные для ФОТ на 2008 год 4" xfId="5242"/>
    <cellStyle name="_БЮДЖЕТ 2004 от 22.12.03.инвестиц_Дайджест 2003-2004 гг._Формы общие отчет за год_Данные для ФОТ на 2008 год 5" xfId="5243"/>
    <cellStyle name="_БЮДЖЕТ 2004 от 22.12.03.инвестиц_Дайджест 2003-2004 гг._Формы общие отчет за год_Данные для ФОТ на 2008 год 6" xfId="5244"/>
    <cellStyle name="_БЮДЖЕТ 2004 от 22.12.03.инвестиц_Дайджест 2003-2004 гг._Формы общие отчет за год_Данные для ФОТ на 2008 год 7" xfId="5245"/>
    <cellStyle name="_БЮДЖЕТ 2004 от 22.12.03.инвестиц_Дайджест 2003-2004 гг._Формы общие отчет за год_Данные для ФОТ на 2008 год 8" xfId="5246"/>
    <cellStyle name="_БЮДЖЕТ 2004 от 22.12.03.инвестиц_Дайджест 2003-2004 гг._Формы общие отчет за год_Данные для ФОТ на 2008 год 9" xfId="5247"/>
    <cellStyle name="_БЮДЖЕТ 2004 от 22.12.03.инвестиц_Дайджест 2003-2004 гг._Формы общие отчет за год_План по труду 2008 ИТОГ (2003_вер)" xfId="5248"/>
    <cellStyle name="_БЮДЖЕТ 2004 от 22.12.03.инвестиц_Дайджест 2003-2004 гг._Формы общие отчет за год_План по труду 2008 ИТОГ (2003_вер) 2" xfId="5249"/>
    <cellStyle name="_БЮДЖЕТ 2004 от 22.12.03.инвестиц_Дайджест 2003-2004 гг._Формы общие отчет за год_План по труду 2008 ИТОГ (2003_вер) 3" xfId="5250"/>
    <cellStyle name="_БЮДЖЕТ 2004 от 22.12.03.инвестиц_Дайджест 2003-2004 гг._Формы общие отчет за год_План по труду 2008 ИТОГ (2003_вер) 4" xfId="5251"/>
    <cellStyle name="_БЮДЖЕТ 2004 от 22.12.03.инвестиц_Дайджест 2003-2004 гг._Формы общие отчет за год_План по труду 2008 ИТОГ (2003_вер) 5" xfId="5252"/>
    <cellStyle name="_БЮДЖЕТ 2004 от 22.12.03.инвестиц_Дайджест 2003-2004 гг._Формы общие отчет за год_План по труду 2008 ИТОГ (2003_вер) 6" xfId="5253"/>
    <cellStyle name="_БЮДЖЕТ 2004 от 22.12.03.инвестиц_Дайджест 2003-2004 гг._Формы общие отчет за год_План по труду 2008 ИТОГ (2003_вер) 7" xfId="5254"/>
    <cellStyle name="_БЮДЖЕТ 2004 от 22.12.03.инвестиц_Дайджест 2003-2004 гг._Формы общие отчет за год_План по труду 2008 ИТОГ (2003_вер) 8" xfId="5255"/>
    <cellStyle name="_БЮДЖЕТ 2004 от 22.12.03.инвестиц_Дайджест 2003-2004 гг._Формы общие отчет за год_План по труду 2008 ИТОГ (2003_вер) 9" xfId="5256"/>
    <cellStyle name="_БЮДЖЕТ 2004 от 22.12.03.инвестиц_Дайджест 2003-2004 гг._Формы общие отчет за год_ТКВ 2008 от 19.07" xfId="5257"/>
    <cellStyle name="_БЮДЖЕТ 2004 от 22.12.03.инвестиц_Дайджест 2003-2004 гг._Формы общие отчет за год_ТКВ 2008 от 31.07" xfId="5258"/>
    <cellStyle name="_БЮДЖЕТ 2004 от 22.12.03.инвестиц_Дайджест 2003-2004 гг._Шаропрокатный" xfId="5259"/>
    <cellStyle name="_БЮДЖЕТ 2004 от 22.12.03.инвестиц_Дайджест 2003-2004 гг._Эконом.показатели за февраль" xfId="5260"/>
    <cellStyle name="_БЮДЖЕТ 2004 от 22.12.03.инвестиц_Дайджест 2003-2004 гг._Экономические показатели Большаковой" xfId="5261"/>
    <cellStyle name="_БЮДЖЕТ 2004 от 22.12.03.инвестиц_Дайджест 2003-2004 гг._Экономические показатели Большаковой 2" xfId="5262"/>
    <cellStyle name="_БЮДЖЕТ 2004 от 22.12.03.инвестиц_Дайджест 2003-2004 гг._Экономические показатели Большаковой 3" xfId="5263"/>
    <cellStyle name="_БЮДЖЕТ 2004 от 22.12.03.инвестиц_Дайджест 2003-2004 гг._Экономические показатели Большаковой 4" xfId="5264"/>
    <cellStyle name="_БЮДЖЕТ 2004 от 22.12.03.инвестиц_Дайджест 2003-2004 гг._Экономические показатели Большаковой 5" xfId="5265"/>
    <cellStyle name="_БЮДЖЕТ 2004 от 22.12.03.инвестиц_Дайджест 2003-2004 гг._Экономические показатели Большаковой 6" xfId="5266"/>
    <cellStyle name="_БЮДЖЕТ 2004 от 22.12.03.инвестиц_Дайджест 2003-2004 гг._Экономические показатели Большаковой 7" xfId="5267"/>
    <cellStyle name="_БЮДЖЕТ 2004 от 22.12.03.инвестиц_Дайджест 2003-2004 гг._Экономические показатели Большаковой 8" xfId="5268"/>
    <cellStyle name="_БЮДЖЕТ 2004 от 22.12.03.инвестиц_Дайджест 2003-2004 гг._Экономические показатели Большаковой 9" xfId="5269"/>
    <cellStyle name="_БЮДЖЕТ 2004 от 22.12.03.инвестиц_Дайджест 2003-2004 гг._ЭНЦ-1" xfId="5270"/>
    <cellStyle name="_БЮДЖЕТ 2004 от 22.12.03.инвестиц_Данные для ФОТ на 2008 год" xfId="5271"/>
    <cellStyle name="_БЮДЖЕТ 2004 от 22.12.03.инвестиц_Данные для ФОТ на 2008 год 2" xfId="5272"/>
    <cellStyle name="_БЮДЖЕТ 2004 от 22.12.03.инвестиц_Данные для ФОТ на 2008 год 3" xfId="5273"/>
    <cellStyle name="_БЮДЖЕТ 2004 от 22.12.03.инвестиц_Данные для ФОТ на 2008 год 4" xfId="5274"/>
    <cellStyle name="_БЮДЖЕТ 2004 от 22.12.03.инвестиц_Данные для ФОТ на 2008 год 5" xfId="5275"/>
    <cellStyle name="_БЮДЖЕТ 2004 от 22.12.03.инвестиц_Данные для ФОТ на 2008 год 6" xfId="5276"/>
    <cellStyle name="_БЮДЖЕТ 2004 от 22.12.03.инвестиц_Данные для ФОТ на 2008 год 7" xfId="5277"/>
    <cellStyle name="_БЮДЖЕТ 2004 от 22.12.03.инвестиц_Данные для ФОТ на 2008 год 8" xfId="5278"/>
    <cellStyle name="_БЮДЖЕТ 2004 от 22.12.03.инвестиц_Данные для ФОТ на 2008 год 9" xfId="5279"/>
    <cellStyle name="_БЮДЖЕТ 2004 от 22.12.03.инвестиц_План ДСМ 2 квартал 2009 ОТЧЕТ отп" xfId="5280"/>
    <cellStyle name="_БЮДЖЕТ 2004 от 22.12.03.инвестиц_План ДСМ 3 квартал 2009 ОТЧЕТ" xfId="5281"/>
    <cellStyle name="_БЮДЖЕТ 2004 от 22.12.03.инвестиц_План ДСМ 4 квартал 2009 ОТЧЕТ" xfId="5282"/>
    <cellStyle name="_БЮДЖЕТ 2004 от 22.12.03.инвестиц_План ДСМ на 4 квартал 2006 (последняя версия) 2" xfId="5283"/>
    <cellStyle name="_БЮДЖЕТ 2004 от 22.12.03.инвестиц_План ДСМ ноябрь 2011 ОТЧЕТ" xfId="5284"/>
    <cellStyle name="_БЮДЖЕТ 2004 от 22.12.03.инвестиц_План ДСФ 1 квартал 2007" xfId="5285"/>
    <cellStyle name="_БЮДЖЕТ 2004 от 22.12.03.инвестиц_План ДСФ 2 квартал 2009 ОТЧЕТ отп" xfId="5286"/>
    <cellStyle name="_БЮДЖЕТ 2004 от 22.12.03.инвестиц_План ДСФ 4 квартал 2009 ОТЧЕТ" xfId="5287"/>
    <cellStyle name="_БЮДЖЕТ 2004 от 22.12.03.инвестиц_План на 2009 год ДСМ ОТЧЕТ отп (01.12.08)" xfId="5288"/>
    <cellStyle name="_БЮДЖЕТ 2004 от 22.12.03.инвестиц_План на 2010 год ДСМ ОТЧЕТ" xfId="5289"/>
    <cellStyle name="_БЮДЖЕТ 2004 от 22.12.03.инвестиц_План по труду 2008 ИТОГ (2003_вер)" xfId="5290"/>
    <cellStyle name="_БЮДЖЕТ 2004 от 22.12.03.инвестиц_План по труду 2008 ИТОГ (2003_вер) 2" xfId="5291"/>
    <cellStyle name="_БЮДЖЕТ 2004 от 22.12.03.инвестиц_План по труду 2008 ИТОГ (2003_вер) 3" xfId="5292"/>
    <cellStyle name="_БЮДЖЕТ 2004 от 22.12.03.инвестиц_План по труду 2008 ИТОГ (2003_вер) 4" xfId="5293"/>
    <cellStyle name="_БЮДЖЕТ 2004 от 22.12.03.инвестиц_План по труду 2008 ИТОГ (2003_вер) 5" xfId="5294"/>
    <cellStyle name="_БЮДЖЕТ 2004 от 22.12.03.инвестиц_План по труду 2008 ИТОГ (2003_вер) 6" xfId="5295"/>
    <cellStyle name="_БЮДЖЕТ 2004 от 22.12.03.инвестиц_План по труду 2008 ИТОГ (2003_вер) 7" xfId="5296"/>
    <cellStyle name="_БЮДЖЕТ 2004 от 22.12.03.инвестиц_План по труду 2008 ИТОГ (2003_вер) 8" xfId="5297"/>
    <cellStyle name="_БЮДЖЕТ 2004 от 22.12.03.инвестиц_План по труду 2008 ИТОГ (2003_вер) 9" xfId="5298"/>
    <cellStyle name="_БЮДЖЕТ 2004 от 22.12.03.инвестиц_ТКВ 2008 от 19.07" xfId="5299"/>
    <cellStyle name="_БЮДЖЕТ 2004 от 22.12.03.инвестиц_ТКВ 2008 от 31.07" xfId="5300"/>
    <cellStyle name="_БЮДЖЕТ 2004 от 22.12.03.инвестиц_УралКирпич_план на 2 кв. 2009" xfId="5301"/>
    <cellStyle name="_БЮДЖЕТ 2004 от 9.12 газ" xfId="5302"/>
    <cellStyle name="_БЮДЖЕТ 2004 от 9.12 газ 10" xfId="5303"/>
    <cellStyle name="_БЮДЖЕТ 2004 от 9.12 газ 11" xfId="5304"/>
    <cellStyle name="_БЮДЖЕТ 2004 от 9.12 газ 12" xfId="5305"/>
    <cellStyle name="_БЮДЖЕТ 2004 от 9.12 газ 13" xfId="5306"/>
    <cellStyle name="_БЮДЖЕТ 2004 от 9.12 газ 2" xfId="5307"/>
    <cellStyle name="_БЮДЖЕТ 2004 от 9.12 газ 3" xfId="5308"/>
    <cellStyle name="_БЮДЖЕТ 2004 от 9.12 газ 4" xfId="5309"/>
    <cellStyle name="_БЮДЖЕТ 2004 от 9.12 газ 5" xfId="5310"/>
    <cellStyle name="_БЮДЖЕТ 2004 от 9.12 газ 6" xfId="5311"/>
    <cellStyle name="_БЮДЖЕТ 2004 от 9.12 газ 7" xfId="5312"/>
    <cellStyle name="_БЮДЖЕТ 2004 от 9.12 газ 8" xfId="5313"/>
    <cellStyle name="_БЮДЖЕТ 2004 от 9.12 газ 9" xfId="5314"/>
    <cellStyle name="_БЮДЖЕТ 2004 от 9.12 газ__План по труду 2008 261107 (10% с января)" xfId="5315"/>
    <cellStyle name="_БЮДЖЕТ 2004 от 9.12 газ__План по труду 2008 261107 (10% с января) 2" xfId="5316"/>
    <cellStyle name="_БЮДЖЕТ 2004 от 9.12 газ__План по труду 2008 261107 (10% с января) 3" xfId="5317"/>
    <cellStyle name="_БЮДЖЕТ 2004 от 9.12 газ__План по труду 2008 261107 (10% с января) 4" xfId="5318"/>
    <cellStyle name="_БЮДЖЕТ 2004 от 9.12 газ__План по труду 2008 261107 (10% с января) 5" xfId="5319"/>
    <cellStyle name="_БЮДЖЕТ 2004 от 9.12 газ__План по труду 2008 261107 (10% с января) 6" xfId="5320"/>
    <cellStyle name="_БЮДЖЕТ 2004 от 9.12 газ__План по труду 2008 261107 (10% с января) 7" xfId="5321"/>
    <cellStyle name="_БЮДЖЕТ 2004 от 9.12 газ__План по труду 2008 261107 (10% с января) 8" xfId="5322"/>
    <cellStyle name="_БЮДЖЕТ 2004 от 9.12 газ__План по труду 2008 261107 (10% с января) 9" xfId="5323"/>
    <cellStyle name="_БЮДЖЕТ 2004 от 9.12 газ__План по труду 2008 ИТОГ (правл. ПНР 161007)_" xfId="5324"/>
    <cellStyle name="_БЮДЖЕТ 2004 от 9.12 газ__План по труду 2008 ИТОГ (правл. ПНР 161007)_ 2" xfId="5325"/>
    <cellStyle name="_БЮДЖЕТ 2004 от 9.12 газ__План по труду 2008 ИТОГ (правл. ПНР 161007)_ 3" xfId="5326"/>
    <cellStyle name="_БЮДЖЕТ 2004 от 9.12 газ__План по труду 2008 ИТОГ (правл. ПНР 161007)_ 4" xfId="5327"/>
    <cellStyle name="_БЮДЖЕТ 2004 от 9.12 газ__План по труду 2008 ИТОГ (правл. ПНР 161007)_ 5" xfId="5328"/>
    <cellStyle name="_БЮДЖЕТ 2004 от 9.12 газ__План по труду 2008 ИТОГ (правл. ПНР 161007)_ 6" xfId="5329"/>
    <cellStyle name="_БЮДЖЕТ 2004 от 9.12 газ__План по труду 2008 ИТОГ (правл. ПНР 161007)_ 7" xfId="5330"/>
    <cellStyle name="_БЮДЖЕТ 2004 от 9.12 газ__План по труду 2008 ИТОГ (правл. ПНР 161007)_ 8" xfId="5331"/>
    <cellStyle name="_БЮДЖЕТ 2004 от 9.12 газ__План по труду 2008 ИТОГ (правл. ПНР 161007)_ 9" xfId="5332"/>
    <cellStyle name="_БЮДЖЕТ 2004 от 9.12 газ_2_Инвестпрограмма на 2008 год (КОВАЛЕВ)" xfId="5333"/>
    <cellStyle name="_БЮДЖЕТ 2004 от 9.12 газ_БП Урал Кирпич 28 01 2008г" xfId="5334"/>
    <cellStyle name="_БЮДЖЕТ 2004 от 9.12 газ_БП_план на 1 кв. 2008г." xfId="5335"/>
    <cellStyle name="_БЮДЖЕТ 2004 от 9.12 газ_БП_план на 2 кв. 2008г." xfId="5336"/>
    <cellStyle name="_БЮДЖЕТ 2004 от 9.12 газ_Дайджест 2003-2004 гг." xfId="5337"/>
    <cellStyle name="_БЮДЖЕТ 2004 от 9.12 газ_Дайджест 2003-2004 гг. 10" xfId="5338"/>
    <cellStyle name="_БЮДЖЕТ 2004 от 9.12 газ_Дайджест 2003-2004 гг. 11" xfId="5339"/>
    <cellStyle name="_БЮДЖЕТ 2004 от 9.12 газ_Дайджест 2003-2004 гг. 12" xfId="5340"/>
    <cellStyle name="_БЮДЖЕТ 2004 от 9.12 газ_Дайджест 2003-2004 гг. 13" xfId="5341"/>
    <cellStyle name="_БЮДЖЕТ 2004 от 9.12 газ_Дайджест 2003-2004 гг. 2" xfId="5342"/>
    <cellStyle name="_БЮДЖЕТ 2004 от 9.12 газ_Дайджест 2003-2004 гг. 3" xfId="5343"/>
    <cellStyle name="_БЮДЖЕТ 2004 от 9.12 газ_Дайджест 2003-2004 гг. 4" xfId="5344"/>
    <cellStyle name="_БЮДЖЕТ 2004 от 9.12 газ_Дайджест 2003-2004 гг. 5" xfId="5345"/>
    <cellStyle name="_БЮДЖЕТ 2004 от 9.12 газ_Дайджест 2003-2004 гг. 6" xfId="5346"/>
    <cellStyle name="_БЮДЖЕТ 2004 от 9.12 газ_Дайджест 2003-2004 гг. 7" xfId="5347"/>
    <cellStyle name="_БЮДЖЕТ 2004 от 9.12 газ_Дайджест 2003-2004 гг. 8" xfId="5348"/>
    <cellStyle name="_БЮДЖЕТ 2004 от 9.12 газ_Дайджест 2003-2004 гг. 9" xfId="5349"/>
    <cellStyle name="_БЮДЖЕТ 2004 от 9.12 газ_Дайджест 2003-2004 гг._! Металлургический дивизион для рассылки" xfId="5350"/>
    <cellStyle name="_БЮДЖЕТ 2004 от 9.12 газ_Дайджест 2003-2004 гг._01.04.06-01.10.06 Распред. ср-в ЛГОК 20.10.06" xfId="5351"/>
    <cellStyle name="_БЮДЖЕТ 2004 от 9.12 газ_Дайджест 2003-2004 гг._01.04.06-01.10.06 Распред. ср-в ЛГОК 20.10.06 2" xfId="5352"/>
    <cellStyle name="_БЮДЖЕТ 2004 от 9.12 газ_Дайджест 2003-2004 гг._01.04.06-01.10.06 Распред. ср-в ЛГОК 20.10.06 3" xfId="5353"/>
    <cellStyle name="_БЮДЖЕТ 2004 от 9.12 газ_Дайджест 2003-2004 гг._01.04.06-01.10.06 Распред. ср-в ЛГОК 20.10.06 4" xfId="5354"/>
    <cellStyle name="_БЮДЖЕТ 2004 от 9.12 газ_Дайджест 2003-2004 гг._01.04.06-01.10.06 Распред. ср-в ЛГОК 20.10.06 5" xfId="5355"/>
    <cellStyle name="_БЮДЖЕТ 2004 от 9.12 газ_Дайджест 2003-2004 гг._01.04.06-01.10.06 Распред. ср-в ЛГОК 20.10.06 6" xfId="5356"/>
    <cellStyle name="_БЮДЖЕТ 2004 от 9.12 газ_Дайджест 2003-2004 гг._01.04.06-01.10.06 Распред. ср-в ЛГОК 20.10.06 7" xfId="5357"/>
    <cellStyle name="_БЮДЖЕТ 2004 от 9.12 газ_Дайджест 2003-2004 гг._01.04.06-01.10.06 Распред. ср-в ЛГОК 20.10.06 8" xfId="5358"/>
    <cellStyle name="_БЮДЖЕТ 2004 от 9.12 газ_Дайджест 2003-2004 гг._01.04.06-01.10.06 Распред. ср-в ЛГОК 20.10.06 9" xfId="5359"/>
    <cellStyle name="_БЮДЖЕТ 2004 от 9.12 газ_Дайджест 2003-2004 гг._01.04.06-01.10.06 Распред. ср-в ОЭМК 20.10.06" xfId="5360"/>
    <cellStyle name="_БЮДЖЕТ 2004 от 9.12 газ_Дайджест 2003-2004 гг._01.04.06-01.10.06 Распред. ср-в ОЭМК 20.10.06 2" xfId="5361"/>
    <cellStyle name="_БЮДЖЕТ 2004 от 9.12 газ_Дайджест 2003-2004 гг._01.04.06-01.10.06 Распред. ср-в ОЭМК 20.10.06 3" xfId="5362"/>
    <cellStyle name="_БЮДЖЕТ 2004 от 9.12 газ_Дайджест 2003-2004 гг._01.04.06-01.10.06 Распред. ср-в ОЭМК 20.10.06 4" xfId="5363"/>
    <cellStyle name="_БЮДЖЕТ 2004 от 9.12 газ_Дайджест 2003-2004 гг._01.04.06-01.10.06 Распред. ср-в ОЭМК 20.10.06 5" xfId="5364"/>
    <cellStyle name="_БЮДЖЕТ 2004 от 9.12 газ_Дайджест 2003-2004 гг._01.04.06-01.10.06 Распред. ср-в ОЭМК 20.10.06 6" xfId="5365"/>
    <cellStyle name="_БЮДЖЕТ 2004 от 9.12 газ_Дайджест 2003-2004 гг._01.04.06-01.10.06 Распред. ср-в ОЭМК 20.10.06 7" xfId="5366"/>
    <cellStyle name="_БЮДЖЕТ 2004 от 9.12 газ_Дайджест 2003-2004 гг._01.04.06-01.10.06 Распред. ср-в ОЭМК 20.10.06 8" xfId="5367"/>
    <cellStyle name="_БЮДЖЕТ 2004 от 9.12 газ_Дайджест 2003-2004 гг._01.04.06-01.10.06 Распред. ср-в ОЭМК 20.10.06 9" xfId="5368"/>
    <cellStyle name="_БЮДЖЕТ 2004 от 9.12 газ_Дайджест 2003-2004 гг._090129 Погашение и уплата процентов Горшкова М." xfId="5369"/>
    <cellStyle name="_БЮДЖЕТ 2004 от 9.12 газ_Дайджест 2003-2004 гг._090129 Погашение и уплата процентов Горшкова М. 2" xfId="5370"/>
    <cellStyle name="_БЮДЖЕТ 2004 от 9.12 газ_Дайджест 2003-2004 гг._090129 Погашение и уплата процентов Горшкова М. 3" xfId="5371"/>
    <cellStyle name="_БЮДЖЕТ 2004 от 9.12 газ_Дайджест 2003-2004 гг._090129 Погашение и уплата процентов Горшкова М. 4" xfId="5372"/>
    <cellStyle name="_БЮДЖЕТ 2004 от 9.12 газ_Дайджест 2003-2004 гг._090129 Погашение и уплата процентов Горшкова М. 5" xfId="5373"/>
    <cellStyle name="_БЮДЖЕТ 2004 от 9.12 газ_Дайджест 2003-2004 гг._090129 Погашение и уплата процентов Горшкова М. 6" xfId="5374"/>
    <cellStyle name="_БЮДЖЕТ 2004 от 9.12 газ_Дайджест 2003-2004 гг._090129 Погашение и уплата процентов Горшкова М. 7" xfId="5375"/>
    <cellStyle name="_БЮДЖЕТ 2004 от 9.12 газ_Дайджест 2003-2004 гг._090129 Погашение и уплата процентов Горшкова М. 8" xfId="5376"/>
    <cellStyle name="_БЮДЖЕТ 2004 от 9.12 газ_Дайджест 2003-2004 гг._090129 Погашение и уплата процентов Горшкова М. 9" xfId="5377"/>
    <cellStyle name="_БЮДЖЕТ 2004 от 9.12 газ_Дайджест 2003-2004 гг._1 - 10 декабря" xfId="5378"/>
    <cellStyle name="_БЮДЖЕТ 2004 от 9.12 газ_Дайджест 2003-2004 гг._1-12,13,14 сентября" xfId="5379"/>
    <cellStyle name="_БЮДЖЕТ 2004 от 9.12 газ_Дайджест 2003-2004 гг._13,14,28-30" xfId="5380"/>
    <cellStyle name="_БЮДЖЕТ 2004 от 9.12 газ_Дайджест 2003-2004 гг._19" xfId="5381"/>
    <cellStyle name="_БЮДЖЕТ 2004 от 9.12 газ_Дайджест 2003-2004 гг._2007 + год " xfId="5382"/>
    <cellStyle name="_БЮДЖЕТ 2004 от 9.12 газ_Дайджест 2003-2004 гг._2007 + год  2" xfId="5383"/>
    <cellStyle name="_БЮДЖЕТ 2004 от 9.12 газ_Дайджест 2003-2004 гг._2007 + год  3" xfId="5384"/>
    <cellStyle name="_БЮДЖЕТ 2004 от 9.12 газ_Дайджест 2003-2004 гг._2007 + год  4" xfId="5385"/>
    <cellStyle name="_БЮДЖЕТ 2004 от 9.12 газ_Дайджест 2003-2004 гг._2007 + год  5" xfId="5386"/>
    <cellStyle name="_БЮДЖЕТ 2004 от 9.12 газ_Дайджест 2003-2004 гг._2007 + год  6" xfId="5387"/>
    <cellStyle name="_БЮДЖЕТ 2004 от 9.12 газ_Дайджест 2003-2004 гг._2007 + год  7" xfId="5388"/>
    <cellStyle name="_БЮДЖЕТ 2004 от 9.12 газ_Дайджест 2003-2004 гг._2007 + год  8" xfId="5389"/>
    <cellStyle name="_БЮДЖЕТ 2004 от 9.12 газ_Дайджест 2003-2004 гг._2007 + год  9" xfId="5390"/>
    <cellStyle name="_БЮДЖЕТ 2004 от 9.12 газ_Дайджест 2003-2004 гг._2007 г год план (фин.часть)" xfId="5391"/>
    <cellStyle name="_БЮДЖЕТ 2004 от 9.12 газ_Дайджест 2003-2004 гг._2007 г год план (фин.часть) 2" xfId="5392"/>
    <cellStyle name="_БЮДЖЕТ 2004 от 9.12 газ_Дайджест 2003-2004 гг._2007 г год план (фин.часть) 3" xfId="5393"/>
    <cellStyle name="_БЮДЖЕТ 2004 от 9.12 газ_Дайджест 2003-2004 гг._2007 г год план (фин.часть) 4" xfId="5394"/>
    <cellStyle name="_БЮДЖЕТ 2004 от 9.12 газ_Дайджест 2003-2004 гг._2007 г год план (фин.часть) 5" xfId="5395"/>
    <cellStyle name="_БЮДЖЕТ 2004 от 9.12 газ_Дайджест 2003-2004 гг._2007 г год план (фин.часть) 6" xfId="5396"/>
    <cellStyle name="_БЮДЖЕТ 2004 от 9.12 газ_Дайджест 2003-2004 гг._2007 г год план (фин.часть) 7" xfId="5397"/>
    <cellStyle name="_БЮДЖЕТ 2004 от 9.12 газ_Дайджест 2003-2004 гг._2007 г год план (фин.часть) 8" xfId="5398"/>
    <cellStyle name="_БЮДЖЕТ 2004 от 9.12 газ_Дайджест 2003-2004 гг._2007 г год план (фин.часть) 9" xfId="5399"/>
    <cellStyle name="_БЮДЖЕТ 2004 от 9.12 газ_Дайджест 2003-2004 гг._2007 год " xfId="5400"/>
    <cellStyle name="_БЮДЖЕТ 2004 от 9.12 газ_Дайджест 2003-2004 гг._2007 год  2" xfId="5401"/>
    <cellStyle name="_БЮДЖЕТ 2004 от 9.12 газ_Дайджест 2003-2004 гг._2007 год  3" xfId="5402"/>
    <cellStyle name="_БЮДЖЕТ 2004 от 9.12 газ_Дайджест 2003-2004 гг._2007 год  4" xfId="5403"/>
    <cellStyle name="_БЮДЖЕТ 2004 от 9.12 газ_Дайджест 2003-2004 гг._2007 год  5" xfId="5404"/>
    <cellStyle name="_БЮДЖЕТ 2004 от 9.12 газ_Дайджест 2003-2004 гг._2007 год  6" xfId="5405"/>
    <cellStyle name="_БЮДЖЕТ 2004 от 9.12 газ_Дайджест 2003-2004 гг._2007 год  7" xfId="5406"/>
    <cellStyle name="_БЮДЖЕТ 2004 от 9.12 газ_Дайджест 2003-2004 гг._2007 год  8" xfId="5407"/>
    <cellStyle name="_БЮДЖЕТ 2004 от 9.12 газ_Дайджест 2003-2004 гг._2007 год  9" xfId="5408"/>
    <cellStyle name="_БЮДЖЕТ 2004 от 9.12 газ_Дайджест 2003-2004 гг._2007 измен 11.12.06 2 вар " xfId="5409"/>
    <cellStyle name="_БЮДЖЕТ 2004 от 9.12 газ_Дайджест 2003-2004 гг._2007 измен 11.12.06 2 вар  2" xfId="5410"/>
    <cellStyle name="_БЮДЖЕТ 2004 от 9.12 газ_Дайджест 2003-2004 гг._2007 измен 11.12.06 2 вар  3" xfId="5411"/>
    <cellStyle name="_БЮДЖЕТ 2004 от 9.12 газ_Дайджест 2003-2004 гг._2007 измен 11.12.06 2 вар  4" xfId="5412"/>
    <cellStyle name="_БЮДЖЕТ 2004 от 9.12 газ_Дайджест 2003-2004 гг._2007 измен 11.12.06 2 вар  5" xfId="5413"/>
    <cellStyle name="_БЮДЖЕТ 2004 от 9.12 газ_Дайджест 2003-2004 гг._2007 измен 11.12.06 2 вар  6" xfId="5414"/>
    <cellStyle name="_БЮДЖЕТ 2004 от 9.12 газ_Дайджест 2003-2004 гг._2007 измен 11.12.06 2 вар  7" xfId="5415"/>
    <cellStyle name="_БЮДЖЕТ 2004 от 9.12 газ_Дайджест 2003-2004 гг._2007 измен 11.12.06 2 вар  8" xfId="5416"/>
    <cellStyle name="_БЮДЖЕТ 2004 от 9.12 газ_Дайджест 2003-2004 гг._2007 измен 11.12.06 2 вар  9" xfId="5417"/>
    <cellStyle name="_БЮДЖЕТ 2004 от 9.12 газ_Дайджест 2003-2004 гг._2009-03-03 План марта рус" xfId="5418"/>
    <cellStyle name="_БЮДЖЕТ 2004 от 9.12 газ_Дайджест 2003-2004 гг._2009-03-03 План марта рус 2" xfId="5419"/>
    <cellStyle name="_БЮДЖЕТ 2004 от 9.12 газ_Дайджест 2003-2004 гг._2009-03-03 План марта рус 3" xfId="5420"/>
    <cellStyle name="_БЮДЖЕТ 2004 от 9.12 газ_Дайджест 2003-2004 гг._2009-03-03 План марта рус 4" xfId="5421"/>
    <cellStyle name="_БЮДЖЕТ 2004 от 9.12 газ_Дайджест 2003-2004 гг._2009-03-03 План марта рус 5" xfId="5422"/>
    <cellStyle name="_БЮДЖЕТ 2004 от 9.12 газ_Дайджест 2003-2004 гг._2009-03-03 План марта рус 6" xfId="5423"/>
    <cellStyle name="_БЮДЖЕТ 2004 от 9.12 газ_Дайджест 2003-2004 гг._2009-03-03 План марта рус 7" xfId="5424"/>
    <cellStyle name="_БЮДЖЕТ 2004 от 9.12 газ_Дайджест 2003-2004 гг._2009-03-03 План марта рус 8" xfId="5425"/>
    <cellStyle name="_БЮДЖЕТ 2004 от 9.12 газ_Дайджест 2003-2004 гг._2009-03-03 План марта рус 9" xfId="5426"/>
    <cellStyle name="_БЮДЖЕТ 2004 от 9.12 газ_Дайджест 2003-2004 гг._25 разделы баланса раб (21.08.06)" xfId="5427"/>
    <cellStyle name="_БЮДЖЕТ 2004 от 9.12 газ_Дайджест 2003-2004 гг._25 разделы баланса раб (21.08.06) 2" xfId="5428"/>
    <cellStyle name="_БЮДЖЕТ 2004 от 9.12 газ_Дайджест 2003-2004 гг._25 разделы баланса раб (21.08.06) 3" xfId="5429"/>
    <cellStyle name="_БЮДЖЕТ 2004 от 9.12 газ_Дайджест 2003-2004 гг._25 разделы баланса раб (21.08.06) 4" xfId="5430"/>
    <cellStyle name="_БЮДЖЕТ 2004 от 9.12 газ_Дайджест 2003-2004 гг._25 разделы баланса раб (21.08.06) 5" xfId="5431"/>
    <cellStyle name="_БЮДЖЕТ 2004 от 9.12 газ_Дайджест 2003-2004 гг._25 разделы баланса раб (21.08.06) 6" xfId="5432"/>
    <cellStyle name="_БЮДЖЕТ 2004 от 9.12 газ_Дайджест 2003-2004 гг._25 разделы баланса раб (21.08.06) 7" xfId="5433"/>
    <cellStyle name="_БЮДЖЕТ 2004 от 9.12 газ_Дайджест 2003-2004 гг._25 разделы баланса раб (21.08.06) 8" xfId="5434"/>
    <cellStyle name="_БЮДЖЕТ 2004 от 9.12 газ_Дайджест 2003-2004 гг._25 разделы баланса раб (21.08.06) 9" xfId="5435"/>
    <cellStyle name="_БЮДЖЕТ 2004 от 9.12 газ_Дайджест 2003-2004 гг._25.06.07" xfId="5436"/>
    <cellStyle name="_БЮДЖЕТ 2004 от 9.12 газ_Дайджест 2003-2004 гг._25.06.07 2" xfId="5437"/>
    <cellStyle name="_БЮДЖЕТ 2004 от 9.12 газ_Дайджест 2003-2004 гг._25.06.07 3" xfId="5438"/>
    <cellStyle name="_БЮДЖЕТ 2004 от 9.12 газ_Дайджест 2003-2004 гг._25.06.07 4" xfId="5439"/>
    <cellStyle name="_БЮДЖЕТ 2004 от 9.12 газ_Дайджест 2003-2004 гг._25.06.07 5" xfId="5440"/>
    <cellStyle name="_БЮДЖЕТ 2004 от 9.12 газ_Дайджест 2003-2004 гг._25.06.07 6" xfId="5441"/>
    <cellStyle name="_БЮДЖЕТ 2004 от 9.12 газ_Дайджест 2003-2004 гг._25.06.07 7" xfId="5442"/>
    <cellStyle name="_БЮДЖЕТ 2004 от 9.12 газ_Дайджест 2003-2004 гг._25.06.07 8" xfId="5443"/>
    <cellStyle name="_БЮДЖЕТ 2004 от 9.12 газ_Дайджест 2003-2004 гг._25.06.07 9" xfId="5444"/>
    <cellStyle name="_БЮДЖЕТ 2004 от 9.12 газ_Дайджест 2003-2004 гг._26-30" xfId="5445"/>
    <cellStyle name="_БЮДЖЕТ 2004 от 9.12 газ_Дайджест 2003-2004 гг._28" xfId="5446"/>
    <cellStyle name="_БЮДЖЕТ 2004 от 9.12 газ_Дайджест 2003-2004 гг._28-30 (1)" xfId="5447"/>
    <cellStyle name="_БЮДЖЕТ 2004 от 9.12 газ_Дайджест 2003-2004 гг._28-30 (1) 2" xfId="5448"/>
    <cellStyle name="_БЮДЖЕТ 2004 от 9.12 газ_Дайджест 2003-2004 гг._28-30 (1) 3" xfId="5449"/>
    <cellStyle name="_БЮДЖЕТ 2004 от 9.12 газ_Дайджест 2003-2004 гг._28-30 (1) 4" xfId="5450"/>
    <cellStyle name="_БЮДЖЕТ 2004 от 9.12 газ_Дайджест 2003-2004 гг._28-30 (1) 5" xfId="5451"/>
    <cellStyle name="_БЮДЖЕТ 2004 от 9.12 газ_Дайджест 2003-2004 гг._28-30 (1) 6" xfId="5452"/>
    <cellStyle name="_БЮДЖЕТ 2004 от 9.12 газ_Дайджест 2003-2004 гг._28-30 (1) 7" xfId="5453"/>
    <cellStyle name="_БЮДЖЕТ 2004 от 9.12 газ_Дайджест 2003-2004 гг._28-30 (1) 8" xfId="5454"/>
    <cellStyle name="_БЮДЖЕТ 2004 от 9.12 газ_Дайджест 2003-2004 гг._28-30 (1) 9" xfId="5455"/>
    <cellStyle name="_БЮДЖЕТ 2004 от 9.12 газ_Дайджест 2003-2004 гг._29 форма 12 месяцев" xfId="5456"/>
    <cellStyle name="_БЮДЖЕТ 2004 от 9.12 газ_Дайджест 2003-2004 гг._29 форма 12 месяцев 2" xfId="5457"/>
    <cellStyle name="_БЮДЖЕТ 2004 от 9.12 газ_Дайджест 2003-2004 гг._29 форма 12 месяцев 3" xfId="5458"/>
    <cellStyle name="_БЮДЖЕТ 2004 от 9.12 газ_Дайджест 2003-2004 гг._29 форма 12 месяцев 4" xfId="5459"/>
    <cellStyle name="_БЮДЖЕТ 2004 от 9.12 газ_Дайджест 2003-2004 гг._29 форма 12 месяцев 5" xfId="5460"/>
    <cellStyle name="_БЮДЖЕТ 2004 от 9.12 газ_Дайджест 2003-2004 гг._29 форма 12 месяцев 6" xfId="5461"/>
    <cellStyle name="_БЮДЖЕТ 2004 от 9.12 газ_Дайджест 2003-2004 гг._29 форма 12 месяцев 7" xfId="5462"/>
    <cellStyle name="_БЮДЖЕТ 2004 от 9.12 газ_Дайджест 2003-2004 гг._29 форма 12 месяцев 8" xfId="5463"/>
    <cellStyle name="_БЮДЖЕТ 2004 от 9.12 газ_Дайджест 2003-2004 гг._29 форма 12 месяцев 9" xfId="5464"/>
    <cellStyle name="_БЮДЖЕТ 2004 от 9.12 газ_Дайджест 2003-2004 гг._29 форма 12 месяцев_13,14,28-30" xfId="5465"/>
    <cellStyle name="_БЮДЖЕТ 2004 от 9.12 газ_Дайджест 2003-2004 гг._29 форма 12 месяцев_26-30" xfId="5466"/>
    <cellStyle name="_БЮДЖЕТ 2004 от 9.12 газ_Дайджест 2003-2004 гг._29 форма 12 месяцев_28" xfId="5467"/>
    <cellStyle name="_БЮДЖЕТ 2004 от 9.12 газ_Дайджест 2003-2004 гг._29 форма 12 месяцев_3 квартал" xfId="5468"/>
    <cellStyle name="_БЮДЖЕТ 2004 от 9.12 газ_Дайджест 2003-2004 гг._29 форма 12 месяцев_3 квартал 2" xfId="5469"/>
    <cellStyle name="_БЮДЖЕТ 2004 от 9.12 газ_Дайджест 2003-2004 гг._29 форма 12 месяцев_Книга2" xfId="5470"/>
    <cellStyle name="_БЮДЖЕТ 2004 от 9.12 газ_Дайджест 2003-2004 гг._29 форма 12 месяцев_Копия Динамика цен (УС ) 2006-2009 сверен 30.01.09" xfId="5471"/>
    <cellStyle name="_БЮДЖЕТ 2004 от 9.12 газ_Дайджест 2003-2004 гг._29 форма 12 месяцев_Обжиговая" xfId="5472"/>
    <cellStyle name="_БЮДЖЕТ 2004 от 9.12 газ_Дайджест 2003-2004 гг._29 форма 12 месяцев_Отчет за сентябрь_11_ДСМ" xfId="5473"/>
    <cellStyle name="_БЮДЖЕТ 2004 от 9.12 газ_Дайджест 2003-2004 гг._29 форма 12 месяцев_Стан 150" xfId="5474"/>
    <cellStyle name="_БЮДЖЕТ 2004 от 9.12 газ_Дайджест 2003-2004 гг._29 форма 12 месяцев_фIIIкв Комплект ОЭМК (1-12,18,22) 28.10.08" xfId="5475"/>
    <cellStyle name="_БЮДЖЕТ 2004 от 9.12 газ_Дайджест 2003-2004 гг._29 форма 12 месяцев_Форма №19" xfId="5476"/>
    <cellStyle name="_БЮДЖЕТ 2004 от 9.12 газ_Дайджест 2003-2004 гг._29 форма 12 месяцев_Форма №24" xfId="5477"/>
    <cellStyle name="_БЮДЖЕТ 2004 от 9.12 газ_Дайджест 2003-2004 гг._29 форма 12 месяцев_Формы _28-30 (новые)1" xfId="5478"/>
    <cellStyle name="_БЮДЖЕТ 2004 от 9.12 газ_Дайджест 2003-2004 гг._29 форма 12 месяцев_Формы 28-30" xfId="5479"/>
    <cellStyle name="_БЮДЖЕТ 2004 от 9.12 газ_Дайджест 2003-2004 гг._29 форма 12 месяцев_Формы №28-30 (новые)1" xfId="5480"/>
    <cellStyle name="_БЮДЖЕТ 2004 от 9.12 газ_Дайджест 2003-2004 гг._29 форма 12 месяцев_Шаропрокатный" xfId="5481"/>
    <cellStyle name="_БЮДЖЕТ 2004 от 9.12 газ_Дайджест 2003-2004 гг._29 форма 12 месяцев_ЭНЦ-1" xfId="5482"/>
    <cellStyle name="_БЮДЖЕТ 2004 от 9.12 газ_Дайджест 2003-2004 гг._3 квартал" xfId="5483"/>
    <cellStyle name="_БЮДЖЕТ 2004 от 9.12 газ_Дайджест 2003-2004 гг._3 квартал 2" xfId="5484"/>
    <cellStyle name="_БЮДЖЕТ 2004 от 9.12 газ_Дайджест 2003-2004 гг._30" xfId="5485"/>
    <cellStyle name="_БЮДЖЕТ 2004 от 9.12 газ_Дайджест 2003-2004 гг._30 2" xfId="5486"/>
    <cellStyle name="_БЮДЖЕТ 2004 от 9.12 газ_Дайджест 2003-2004 гг._30 3" xfId="5487"/>
    <cellStyle name="_БЮДЖЕТ 2004 от 9.12 газ_Дайджест 2003-2004 гг._30 4" xfId="5488"/>
    <cellStyle name="_БЮДЖЕТ 2004 от 9.12 газ_Дайджест 2003-2004 гг._30 5" xfId="5489"/>
    <cellStyle name="_БЮДЖЕТ 2004 от 9.12 газ_Дайджест 2003-2004 гг._30 6" xfId="5490"/>
    <cellStyle name="_БЮДЖЕТ 2004 от 9.12 газ_Дайджест 2003-2004 гг._30 7" xfId="5491"/>
    <cellStyle name="_БЮДЖЕТ 2004 от 9.12 газ_Дайджест 2003-2004 гг._30 8" xfId="5492"/>
    <cellStyle name="_БЮДЖЕТ 2004 от 9.12 газ_Дайджест 2003-2004 гг._30 9" xfId="5493"/>
    <cellStyle name="_БЮДЖЕТ 2004 от 9.12 газ_Дайджест 2003-2004 гг._30 форма (январьфакт)" xfId="5494"/>
    <cellStyle name="_БЮДЖЕТ 2004 от 9.12 газ_Дайджест 2003-2004 гг._30 форма (январьфакт) 2" xfId="5495"/>
    <cellStyle name="_БЮДЖЕТ 2004 от 9.12 газ_Дайджест 2003-2004 гг._30 форма (январьфакт) 3" xfId="5496"/>
    <cellStyle name="_БЮДЖЕТ 2004 от 9.12 газ_Дайджест 2003-2004 гг._30 форма (январьфакт) 4" xfId="5497"/>
    <cellStyle name="_БЮДЖЕТ 2004 от 9.12 газ_Дайджест 2003-2004 гг._30 форма (январьфакт) 5" xfId="5498"/>
    <cellStyle name="_БЮДЖЕТ 2004 от 9.12 газ_Дайджест 2003-2004 гг._30 форма (январьфакт) 6" xfId="5499"/>
    <cellStyle name="_БЮДЖЕТ 2004 от 9.12 газ_Дайджест 2003-2004 гг._30 форма (январьфакт) 7" xfId="5500"/>
    <cellStyle name="_БЮДЖЕТ 2004 от 9.12 газ_Дайджест 2003-2004 гг._30 форма (январьфакт) 8" xfId="5501"/>
    <cellStyle name="_БЮДЖЕТ 2004 от 9.12 газ_Дайджест 2003-2004 гг._30 форма (январьфакт) 9" xfId="5502"/>
    <cellStyle name="_БЮДЖЕТ 2004 от 9.12 газ_Дайджест 2003-2004 гг._30 форма (январьфакт-мартплан)" xfId="5503"/>
    <cellStyle name="_БЮДЖЕТ 2004 от 9.12 газ_Дайджест 2003-2004 гг._30 форма (январьфакт-мартплан) 2" xfId="5504"/>
    <cellStyle name="_БЮДЖЕТ 2004 от 9.12 газ_Дайджест 2003-2004 гг._30 форма (январьфакт-мартплан) 3" xfId="5505"/>
    <cellStyle name="_БЮДЖЕТ 2004 от 9.12 газ_Дайджест 2003-2004 гг._30 форма (январьфакт-мартплан) 4" xfId="5506"/>
    <cellStyle name="_БЮДЖЕТ 2004 от 9.12 газ_Дайджест 2003-2004 гг._30 форма (январьфакт-мартплан) 5" xfId="5507"/>
    <cellStyle name="_БЮДЖЕТ 2004 от 9.12 газ_Дайджест 2003-2004 гг._30 форма (январьфакт-мартплан) 6" xfId="5508"/>
    <cellStyle name="_БЮДЖЕТ 2004 от 9.12 газ_Дайджест 2003-2004 гг._30 форма (январьфакт-мартплан) 7" xfId="5509"/>
    <cellStyle name="_БЮДЖЕТ 2004 от 9.12 газ_Дайджест 2003-2004 гг._30 форма (январьфакт-мартплан) 8" xfId="5510"/>
    <cellStyle name="_БЮДЖЕТ 2004 от 9.12 газ_Дайджест 2003-2004 гг._30 форма (январьфакт-мартплан) 9" xfId="5511"/>
    <cellStyle name="_БЮДЖЕТ 2004 от 9.12 газ_Дайджест 2003-2004 гг._30 форма с ожидаемым за январь" xfId="5512"/>
    <cellStyle name="_БЮДЖЕТ 2004 от 9.12 газ_Дайджест 2003-2004 гг._30 форма с ожидаемым за январь 2" xfId="5513"/>
    <cellStyle name="_БЮДЖЕТ 2004 от 9.12 газ_Дайджест 2003-2004 гг._30 форма с ожидаемым за январь 3" xfId="5514"/>
    <cellStyle name="_БЮДЖЕТ 2004 от 9.12 газ_Дайджест 2003-2004 гг._30 форма с ожидаемым за январь 4" xfId="5515"/>
    <cellStyle name="_БЮДЖЕТ 2004 от 9.12 газ_Дайджест 2003-2004 гг._30 форма с ожидаемым за январь 5" xfId="5516"/>
    <cellStyle name="_БЮДЖЕТ 2004 от 9.12 газ_Дайджест 2003-2004 гг._30 форма с ожидаемым за январь 6" xfId="5517"/>
    <cellStyle name="_БЮДЖЕТ 2004 от 9.12 газ_Дайджест 2003-2004 гг._30 форма с ожидаемым за январь 7" xfId="5518"/>
    <cellStyle name="_БЮДЖЕТ 2004 от 9.12 газ_Дайджест 2003-2004 гг._30 форма с ожидаемым за январь 8" xfId="5519"/>
    <cellStyle name="_БЮДЖЕТ 2004 от 9.12 газ_Дайджест 2003-2004 гг._30 форма с ожидаемым за январь 9" xfId="5520"/>
    <cellStyle name="_БЮДЖЕТ 2004 от 9.12 газ_Дайджест 2003-2004 гг._30 форма с фактом за декабрь" xfId="5521"/>
    <cellStyle name="_БЮДЖЕТ 2004 от 9.12 газ_Дайджест 2003-2004 гг._30 форма с фактом за декабрь 2" xfId="5522"/>
    <cellStyle name="_БЮДЖЕТ 2004 от 9.12 газ_Дайджест 2003-2004 гг._30 форма с фактом за декабрь 3" xfId="5523"/>
    <cellStyle name="_БЮДЖЕТ 2004 от 9.12 газ_Дайджест 2003-2004 гг._30 форма с фактом за декабрь 4" xfId="5524"/>
    <cellStyle name="_БЮДЖЕТ 2004 от 9.12 газ_Дайджест 2003-2004 гг._30 форма с фактом за декабрь 5" xfId="5525"/>
    <cellStyle name="_БЮДЖЕТ 2004 от 9.12 газ_Дайджест 2003-2004 гг._30 форма с фактом за декабрь 6" xfId="5526"/>
    <cellStyle name="_БЮДЖЕТ 2004 от 9.12 газ_Дайджест 2003-2004 гг._30 форма с фактом за декабрь 7" xfId="5527"/>
    <cellStyle name="_БЮДЖЕТ 2004 от 9.12 газ_Дайджест 2003-2004 гг._30 форма с фактом за декабрь 8" xfId="5528"/>
    <cellStyle name="_БЮДЖЕТ 2004 от 9.12 газ_Дайджест 2003-2004 гг._30 форма с фактом за декабрь 9" xfId="5529"/>
    <cellStyle name="_БЮДЖЕТ 2004 от 9.12 газ_Дайджест 2003-2004 гг._30 форма с фактом за ноябрь" xfId="5530"/>
    <cellStyle name="_БЮДЖЕТ 2004 от 9.12 газ_Дайджест 2003-2004 гг._30 форма с фактом за ноябрь 2" xfId="5531"/>
    <cellStyle name="_БЮДЖЕТ 2004 от 9.12 газ_Дайджест 2003-2004 гг._30 форма с фактом за ноябрь 3" xfId="5532"/>
    <cellStyle name="_БЮДЖЕТ 2004 от 9.12 газ_Дайджест 2003-2004 гг._30 форма с фактом за ноябрь 4" xfId="5533"/>
    <cellStyle name="_БЮДЖЕТ 2004 от 9.12 газ_Дайджест 2003-2004 гг._30 форма с фактом за ноябрь 5" xfId="5534"/>
    <cellStyle name="_БЮДЖЕТ 2004 от 9.12 газ_Дайджест 2003-2004 гг._30 форма с фактом за ноябрь 6" xfId="5535"/>
    <cellStyle name="_БЮДЖЕТ 2004 от 9.12 газ_Дайджест 2003-2004 гг._30 форма с фактом за ноябрь 7" xfId="5536"/>
    <cellStyle name="_БЮДЖЕТ 2004 от 9.12 газ_Дайджест 2003-2004 гг._30 форма с фактом за ноябрь 8" xfId="5537"/>
    <cellStyle name="_БЮДЖЕТ 2004 от 9.12 газ_Дайджест 2003-2004 гг._30 форма с фактом за ноябрь 9" xfId="5538"/>
    <cellStyle name="_БЮДЖЕТ 2004 от 9.12 газ_Дайджест 2003-2004 гг._8" xfId="5539"/>
    <cellStyle name="_БЮДЖЕТ 2004 от 9.12 газ_Дайджест 2003-2004 гг._8 2" xfId="5540"/>
    <cellStyle name="_БЮДЖЕТ 2004 от 9.12 газ_Дайджест 2003-2004 гг._8 3" xfId="5541"/>
    <cellStyle name="_БЮДЖЕТ 2004 от 9.12 газ_Дайджест 2003-2004 гг._8 4" xfId="5542"/>
    <cellStyle name="_БЮДЖЕТ 2004 от 9.12 газ_Дайджест 2003-2004 гг._8 5" xfId="5543"/>
    <cellStyle name="_БЮДЖЕТ 2004 от 9.12 газ_Дайджест 2003-2004 гг._8 6" xfId="5544"/>
    <cellStyle name="_БЮДЖЕТ 2004 от 9.12 газ_Дайджест 2003-2004 гг._8 7" xfId="5545"/>
    <cellStyle name="_БЮДЖЕТ 2004 от 9.12 газ_Дайджест 2003-2004 гг._8 8" xfId="5546"/>
    <cellStyle name="_БЮДЖЕТ 2004 от 9.12 газ_Дайджест 2003-2004 гг._8 9" xfId="5547"/>
    <cellStyle name="_БЮДЖЕТ 2004 от 9.12 газ_Дайджест 2003-2004 гг._8_13,14,28-30" xfId="5548"/>
    <cellStyle name="_БЮДЖЕТ 2004 от 9.12 газ_Дайджест 2003-2004 гг._8_19" xfId="5549"/>
    <cellStyle name="_БЮДЖЕТ 2004 от 9.12 газ_Дайджест 2003-2004 гг._8_26-30" xfId="5550"/>
    <cellStyle name="_БЮДЖЕТ 2004 от 9.12 газ_Дайджест 2003-2004 гг._8_28" xfId="5551"/>
    <cellStyle name="_БЮДЖЕТ 2004 от 9.12 газ_Дайджест 2003-2004 гг._8_3 квартал" xfId="5552"/>
    <cellStyle name="_БЮДЖЕТ 2004 от 9.12 газ_Дайджест 2003-2004 гг._8_3 квартал 2" xfId="5553"/>
    <cellStyle name="_БЮДЖЕТ 2004 от 9.12 газ_Дайджест 2003-2004 гг._8_index" xfId="5554"/>
    <cellStyle name="_БЮДЖЕТ 2004 от 9.12 газ_Дайджест 2003-2004 гг._8_БП Урал Кирпич 28 01 2008г" xfId="5555"/>
    <cellStyle name="_БЮДЖЕТ 2004 от 9.12 газ_Дайджест 2003-2004 гг._8_БП Урал Кирпич 28 01 2008г_ф2 склад гп" xfId="5556"/>
    <cellStyle name="_БЮДЖЕТ 2004 от 9.12 газ_Дайджест 2003-2004 гг._8_БП_план на 1 кв. 2008г." xfId="5557"/>
    <cellStyle name="_БЮДЖЕТ 2004 от 9.12 газ_Дайджест 2003-2004 гг._8_БП_план на 2 кв. 2008г." xfId="5558"/>
    <cellStyle name="_БЮДЖЕТ 2004 от 9.12 газ_Дайджест 2003-2004 гг._8_Верх НА" xfId="5559"/>
    <cellStyle name="_БЮДЖЕТ 2004 от 9.12 газ_Дайджест 2003-2004 гг._8_Выручка февраля 09 от 22 01 09 (1)" xfId="5560"/>
    <cellStyle name="_БЮДЖЕТ 2004 от 9.12 газ_Дайджест 2003-2004 гг._8_Запчасти май-апрель (12)" xfId="5561"/>
    <cellStyle name="_БЮДЖЕТ 2004 от 9.12 газ_Дайджест 2003-2004 гг._8_Калькуляции ДСМ" xfId="5562"/>
    <cellStyle name="_БЮДЖЕТ 2004 от 9.12 газ_Дайджест 2003-2004 гг._8_Книга2" xfId="5563"/>
    <cellStyle name="_БЮДЖЕТ 2004 от 9.12 газ_Дайджест 2003-2004 гг._8_Книга2_Динамика объемов производства и отгрузки 2009-2012" xfId="5564"/>
    <cellStyle name="_БЮДЖЕТ 2004 от 9.12 газ_Дайджест 2003-2004 гг._8_Конс  ЛГОК БП 2009 от 14 10 08" xfId="5565"/>
    <cellStyle name="_БЮДЖЕТ 2004 от 9.12 газ_Дайджест 2003-2004 гг._8_Конс  МГОК БП 2009 от 14 10 08" xfId="5566"/>
    <cellStyle name="_БЮДЖЕТ 2004 от 9.12 газ_Дайджест 2003-2004 гг._8_Копия Динамика цен (УС ) 2006-2009 сверен 30.01.09" xfId="5567"/>
    <cellStyle name="_БЮДЖЕТ 2004 от 9.12 газ_Дайджест 2003-2004 гг._8_Копия Потребность взаиморасч  от 28 02 2008 (2)" xfId="5568"/>
    <cellStyle name="_БЮДЖЕТ 2004 от 9.12 газ_Дайджест 2003-2004 гг._8_МИТ_РК и ДП за апрель" xfId="5569"/>
    <cellStyle name="_БЮДЖЕТ 2004 от 9.12 газ_Дайджест 2003-2004 гг._8_МИТ_РК и ДП за апрель_Отчет за сентябрь_11_ДСМ" xfId="5570"/>
    <cellStyle name="_БЮДЖЕТ 2004 от 9.12 газ_Дайджест 2003-2004 гг._8_Налог на прибыль" xfId="5571"/>
    <cellStyle name="_БЮДЖЕТ 2004 от 9.12 газ_Дайджест 2003-2004 гг._8_Налоги А.А. Богоцкому 2005-2009" xfId="5572"/>
    <cellStyle name="_БЮДЖЕТ 2004 от 9.12 газ_Дайджест 2003-2004 гг._8_Налоги к плану на 2009 год (ДЗ и КЗ)" xfId="5573"/>
    <cellStyle name="_БЮДЖЕТ 2004 от 9.12 газ_Дайджест 2003-2004 гг._8_Налоги к плану на февраль 2009 года" xfId="5574"/>
    <cellStyle name="_БЮДЖЕТ 2004 от 9.12 газ_Дайджест 2003-2004 гг._8_Обжиговая" xfId="5575"/>
    <cellStyle name="_БЮДЖЕТ 2004 от 9.12 газ_Дайджест 2003-2004 гг._8_Отчет за 1 кв_08_ДСМ ОТЧЕТ_10.07" xfId="5576"/>
    <cellStyle name="_БЮДЖЕТ 2004 от 9.12 газ_Дайджест 2003-2004 гг._8_Отчет за 1 кв_08_ДСМ ОТЧЕТ_10.07_Отчет за 2 кв_10_ДСM ОТЧЕТ" xfId="5577"/>
    <cellStyle name="_БЮДЖЕТ 2004 от 9.12 газ_Дайджест 2003-2004 гг._8_Отчет за 1 кв_08_ДСМ ОТЧЕТ_10.07_Отчет за 2 кв_10_ДСМ_1" xfId="5578"/>
    <cellStyle name="_БЮДЖЕТ 2004 от 9.12 газ_Дайджест 2003-2004 гг._8_Отчет за сентябрь_11_ДСМ_ОТЧЕТ" xfId="5579"/>
    <cellStyle name="_БЮДЖЕТ 2004 от 9.12 газ_Дайджест 2003-2004 гг._8_План ДСМ 2 квартал 2009 ОТЧЕТ отп" xfId="5580"/>
    <cellStyle name="_БЮДЖЕТ 2004 от 9.12 газ_Дайджест 2003-2004 гг._8_План ДСМ на 4 квартал 2006 (последняя версия) 2" xfId="5581"/>
    <cellStyle name="_БЮДЖЕТ 2004 от 9.12 газ_Дайджест 2003-2004 гг._8_План ДСМ на 4 квартал 2006 (последняя версия) 2_Ожидаемый факт 4 кв., год-1" xfId="5582"/>
    <cellStyle name="_БЮДЖЕТ 2004 от 9.12 газ_Дайджест 2003-2004 гг._8_План ДСМ на 4 квартал 2006 (последняя версия) 2_План ДСМ 4 квартал 2009 ОТЧЕТ" xfId="5583"/>
    <cellStyle name="_БЮДЖЕТ 2004 от 9.12 газ_Дайджест 2003-2004 гг._8_План ДСМ на 4 квартал 2006 (последняя версия) 2_План на 2009 год ДСМ_9_без разбивки по мес, изм уплаты НП" xfId="5584"/>
    <cellStyle name="_БЮДЖЕТ 2004 от 9.12 газ_Дайджест 2003-2004 гг._8_План ДСМ на 4 квартал 2006 (последняя версия) 2_План на 2010 год ДСМ" xfId="5585"/>
    <cellStyle name="_БЮДЖЕТ 2004 от 9.12 газ_Дайджест 2003-2004 гг._8_План ДСМ ноябрь 2011 ОТЧЕТ" xfId="5586"/>
    <cellStyle name="_БЮДЖЕТ 2004 от 9.12 газ_Дайджест 2003-2004 гг._8_План ДСФ 1 квартал 2007" xfId="5587"/>
    <cellStyle name="_БЮДЖЕТ 2004 от 9.12 газ_Дайджест 2003-2004 гг._8_План ДСФ 1 квартал 2007_План ДСМ 2 квартал 2009 ОТЧЕТ отп" xfId="5588"/>
    <cellStyle name="_БЮДЖЕТ 2004 от 9.12 газ_Дайджест 2003-2004 гг._8_План ДСФ 1 квартал 2007_План ДСМ 2 квартал 2009 ОТЧЕТ отп_ф2 склад гп" xfId="5589"/>
    <cellStyle name="_БЮДЖЕТ 2004 от 9.12 газ_Дайджест 2003-2004 гг._8_План ДСФ 1 квартал 2007_План ДСМ 3 квартал 2008_1" xfId="5590"/>
    <cellStyle name="_БЮДЖЕТ 2004 от 9.12 газ_Дайджест 2003-2004 гг._8_План ДСФ 1 квартал 2007_План ДСМ 3 квартал 2009 ОТЧЕТ" xfId="5591"/>
    <cellStyle name="_БЮДЖЕТ 2004 от 9.12 газ_Дайджест 2003-2004 гг._8_План ДСФ 1 квартал 2007_План ДСМ 3 квартал 2009 ОТЧЕТ отп" xfId="5592"/>
    <cellStyle name="_БЮДЖЕТ 2004 от 9.12 газ_Дайджест 2003-2004 гг._8_План ДСФ 1 квартал 2007_План ДСМ 3 квартал 2010_1" xfId="5593"/>
    <cellStyle name="_БЮДЖЕТ 2004 от 9.12 газ_Дайджест 2003-2004 гг._8_План ДСФ 1 квартал 2007_План ДСФ 4 квартал 2009 ОТЧЕТ" xfId="5594"/>
    <cellStyle name="_БЮДЖЕТ 2004 от 9.12 газ_Дайджест 2003-2004 гг._8_План ДСФ 1 квартал 2007_План на 2010 год ДСМ ОТЧЕТ" xfId="5595"/>
    <cellStyle name="_БЮДЖЕТ 2004 от 9.12 газ_Дайджест 2003-2004 гг._8_План ДСФ 2 квартал 2009 ОТЧЕТ отп" xfId="5596"/>
    <cellStyle name="_БЮДЖЕТ 2004 от 9.12 газ_Дайджест 2003-2004 гг._8_План ДСФ 2 квартал 2009 ОТЧЕТ отп_ф2 склад гп" xfId="5597"/>
    <cellStyle name="_БЮДЖЕТ 2004 от 9.12 газ_Дайджест 2003-2004 гг._8_План на 2009 год ДСФ" xfId="5598"/>
    <cellStyle name="_БЮДЖЕТ 2004 от 9.12 газ_Дайджест 2003-2004 гг._8_План на 2010 год ДСЩ ОТЧЕТ" xfId="5599"/>
    <cellStyle name="_БЮДЖЕТ 2004 от 9.12 газ_Дайджест 2003-2004 гг._8_Сравнение ожидаемого 2008 с 2009г  ОЭМК от 06 10 2008" xfId="5600"/>
    <cellStyle name="_БЮДЖЕТ 2004 от 9.12 газ_Дайджест 2003-2004 гг._8_Сравнение ожидаемого 2008 УС c 2009г  от 06 10 2008" xfId="5601"/>
    <cellStyle name="_БЮДЖЕТ 2004 от 9.12 газ_Дайджест 2003-2004 гг._8_Стан 150" xfId="5602"/>
    <cellStyle name="_БЮДЖЕТ 2004 от 9.12 газ_Дайджест 2003-2004 гг._8_титульный лист" xfId="5603"/>
    <cellStyle name="_БЮДЖЕТ 2004 от 9.12 газ_Дайджест 2003-2004 гг._8_УК отчет за 3 кв. 2009_29_10" xfId="5604"/>
    <cellStyle name="_БЮДЖЕТ 2004 от 9.12 газ_Дайджест 2003-2004 гг._8_УК отчет за май 2009" xfId="5605"/>
    <cellStyle name="_БЮДЖЕТ 2004 от 9.12 газ_Дайджест 2003-2004 гг._8_УралКирпич_план на 2 кв. 2009" xfId="5606"/>
    <cellStyle name="_БЮДЖЕТ 2004 от 9.12 газ_Дайджест 2003-2004 гг._8_УралКирпич_план на 2 кв. 2009_ф2 склад гп" xfId="5607"/>
    <cellStyle name="_БЮДЖЕТ 2004 от 9.12 газ_Дайджест 2003-2004 гг._8_ф 6рем пс(ноябрь) (2)" xfId="5608"/>
    <cellStyle name="_БЮДЖЕТ 2004 от 9.12 газ_Дайджест 2003-2004 гг._8_ф2 склад ГП" xfId="5609"/>
    <cellStyle name="_БЮДЖЕТ 2004 от 9.12 газ_Дайджест 2003-2004 гг._8_Ф20 от налоговой" xfId="5610"/>
    <cellStyle name="_БЮДЖЕТ 2004 от 9.12 газ_Дайджест 2003-2004 гг._8_ф6 сентябрь с запчастями (3)" xfId="5611"/>
    <cellStyle name="_БЮДЖЕТ 2004 от 9.12 газ_Дайджест 2003-2004 гг._8_фIIIкв Комплект ОЭМК (1-12,18,22) 28.10.08" xfId="5612"/>
    <cellStyle name="_БЮДЖЕТ 2004 от 9.12 газ_Дайджест 2003-2004 гг._8_Форма №13" xfId="5613"/>
    <cellStyle name="_БЮДЖЕТ 2004 от 9.12 газ_Дайджест 2003-2004 гг._8_Форма №19" xfId="5614"/>
    <cellStyle name="_БЮДЖЕТ 2004 от 9.12 газ_Дайджест 2003-2004 гг._8_Форма №24" xfId="5615"/>
    <cellStyle name="_БЮДЖЕТ 2004 от 9.12 газ_Дайджест 2003-2004 гг._8_Форма№13 (новая от 28 12 09г) февраль версия № и последняя" xfId="5616"/>
    <cellStyle name="_БЮДЖЕТ 2004 от 9.12 газ_Дайджест 2003-2004 гг._8_Формы _28-30 (новые)1" xfId="5617"/>
    <cellStyle name="_БЮДЖЕТ 2004 от 9.12 газ_Дайджест 2003-2004 гг._8_Формы 28-30" xfId="5618"/>
    <cellStyle name="_БЮДЖЕТ 2004 от 9.12 газ_Дайджест 2003-2004 гг._8_Формы №28-30 (новые)1" xfId="5619"/>
    <cellStyle name="_БЮДЖЕТ 2004 от 9.12 газ_Дайджест 2003-2004 гг._8_Шаропрокатный" xfId="5620"/>
    <cellStyle name="_БЮДЖЕТ 2004 от 9.12 газ_Дайджест 2003-2004 гг._8_ЭНЦ-1" xfId="5621"/>
    <cellStyle name="_БЮДЖЕТ 2004 от 9.12 газ_Дайджест 2003-2004 гг._EBITDA_дивизион_12.11.2007" xfId="5622"/>
    <cellStyle name="_БЮДЖЕТ 2004 от 9.12 газ_Дайджест 2003-2004 гг._EBITDA_дивизион_12.11.2007 2" xfId="5623"/>
    <cellStyle name="_БЮДЖЕТ 2004 от 9.12 газ_Дайджест 2003-2004 гг._EBITDA_дивизион_12.11.2007 3" xfId="5624"/>
    <cellStyle name="_БЮДЖЕТ 2004 от 9.12 газ_Дайджест 2003-2004 гг._EBITDA_дивизион_12.11.2007 4" xfId="5625"/>
    <cellStyle name="_БЮДЖЕТ 2004 от 9.12 газ_Дайджест 2003-2004 гг._EBITDA_дивизион_12.11.2007 5" xfId="5626"/>
    <cellStyle name="_БЮДЖЕТ 2004 от 9.12 газ_Дайджест 2003-2004 гг._EBITDA_дивизион_12.11.2007 6" xfId="5627"/>
    <cellStyle name="_БЮДЖЕТ 2004 от 9.12 газ_Дайджест 2003-2004 гг._EBITDA_дивизион_12.11.2007 7" xfId="5628"/>
    <cellStyle name="_БЮДЖЕТ 2004 от 9.12 газ_Дайджест 2003-2004 гг._EBITDA_дивизион_12.11.2007 8" xfId="5629"/>
    <cellStyle name="_БЮДЖЕТ 2004 от 9.12 газ_Дайджест 2003-2004 гг._EBITDA_дивизион_12.11.2007 9" xfId="5630"/>
    <cellStyle name="_БЮДЖЕТ 2004 от 9.12 газ_Дайджест 2003-2004 гг._index" xfId="5631"/>
    <cellStyle name="_БЮДЖЕТ 2004 от 9.12 газ_Дайджест 2003-2004 гг._№13, №14" xfId="5632"/>
    <cellStyle name="_БЮДЖЕТ 2004 от 9.12 газ_Дайджест 2003-2004 гг._№13, №14 02.04.07" xfId="5633"/>
    <cellStyle name="_БЮДЖЕТ 2004 от 9.12 газ_Дайджест 2003-2004 гг._№13, №14 2" xfId="5634"/>
    <cellStyle name="_БЮДЖЕТ 2004 от 9.12 газ_Дайджест 2003-2004 гг._№13, №14 3" xfId="5635"/>
    <cellStyle name="_БЮДЖЕТ 2004 от 9.12 газ_Дайджест 2003-2004 гг._№13, №14 4" xfId="5636"/>
    <cellStyle name="_БЮДЖЕТ 2004 от 9.12 газ_Дайджест 2003-2004 гг._№13, №14 5" xfId="5637"/>
    <cellStyle name="_БЮДЖЕТ 2004 от 9.12 газ_Дайджест 2003-2004 гг._№13, №14 6" xfId="5638"/>
    <cellStyle name="_БЮДЖЕТ 2004 от 9.12 газ_Дайджест 2003-2004 гг._№13, №14 7" xfId="5639"/>
    <cellStyle name="_БЮДЖЕТ 2004 от 9.12 газ_Дайджест 2003-2004 гг._№13, №14 8" xfId="5640"/>
    <cellStyle name="_БЮДЖЕТ 2004 от 9.12 газ_Дайджест 2003-2004 гг._№13, №14 9" xfId="5641"/>
    <cellStyle name="_БЮДЖЕТ 2004 от 9.12 газ_Дайджест 2003-2004 гг._№13, №14 от 15.12.2006" xfId="5642"/>
    <cellStyle name="_БЮДЖЕТ 2004 от 9.12 газ_Дайджест 2003-2004 гг._№13, №14 от 15.12.2006 2" xfId="5643"/>
    <cellStyle name="_БЮДЖЕТ 2004 от 9.12 газ_Дайджест 2003-2004 гг._№13, №14 от 15.12.2006 3" xfId="5644"/>
    <cellStyle name="_БЮДЖЕТ 2004 от 9.12 газ_Дайджест 2003-2004 гг._№13, №14 от 15.12.2006 4" xfId="5645"/>
    <cellStyle name="_БЮДЖЕТ 2004 от 9.12 газ_Дайджест 2003-2004 гг._№13, №14 от 15.12.2006 5" xfId="5646"/>
    <cellStyle name="_БЮДЖЕТ 2004 от 9.12 газ_Дайджест 2003-2004 гг._№13, №14 от 15.12.2006 6" xfId="5647"/>
    <cellStyle name="_БЮДЖЕТ 2004 от 9.12 газ_Дайджест 2003-2004 гг._№13, №14 от 15.12.2006 7" xfId="5648"/>
    <cellStyle name="_БЮДЖЕТ 2004 от 9.12 газ_Дайджест 2003-2004 гг._№13, №14 от 15.12.2006 8" xfId="5649"/>
    <cellStyle name="_БЮДЖЕТ 2004 от 9.12 газ_Дайджест 2003-2004 гг._№13, №14 от 15.12.2006 9" xfId="5650"/>
    <cellStyle name="_БЮДЖЕТ 2004 от 9.12 газ_Дайджест 2003-2004 гг._№13, №14 январь 2007 25.02.07" xfId="5651"/>
    <cellStyle name="_БЮДЖЕТ 2004 от 9.12 газ_Дайджест 2003-2004 гг._№13, №14 январь 2007 25.02.07 2" xfId="5652"/>
    <cellStyle name="_БЮДЖЕТ 2004 от 9.12 газ_Дайджест 2003-2004 гг._№13, №14 январь 2007 25.02.07 3" xfId="5653"/>
    <cellStyle name="_БЮДЖЕТ 2004 от 9.12 газ_Дайджест 2003-2004 гг._№13, №14 январь 2007 25.02.07 4" xfId="5654"/>
    <cellStyle name="_БЮДЖЕТ 2004 от 9.12 газ_Дайджест 2003-2004 гг._№13, №14 январь 2007 25.02.07 5" xfId="5655"/>
    <cellStyle name="_БЮДЖЕТ 2004 от 9.12 газ_Дайджест 2003-2004 гг._№13, №14 январь 2007 25.02.07 6" xfId="5656"/>
    <cellStyle name="_БЮДЖЕТ 2004 от 9.12 газ_Дайджест 2003-2004 гг._№13, №14 январь 2007 25.02.07 7" xfId="5657"/>
    <cellStyle name="_БЮДЖЕТ 2004 от 9.12 газ_Дайджест 2003-2004 гг._№13, №14 январь 2007 25.02.07 8" xfId="5658"/>
    <cellStyle name="_БЮДЖЕТ 2004 от 9.12 газ_Дайджест 2003-2004 гг._№13, №14 январь 2007 25.02.07 9" xfId="5659"/>
    <cellStyle name="_БЮДЖЕТ 2004 от 9.12 газ_Дайджест 2003-2004 гг._№13, №14 январь 2007 25.02.07_index" xfId="5660"/>
    <cellStyle name="_БЮДЖЕТ 2004 от 9.12 газ_Дайджест 2003-2004 гг._№13, №14 январь 2007 25.02.07_Копия Потребность взаиморасч  от 28 02 2008 (2)" xfId="5661"/>
    <cellStyle name="_БЮДЖЕТ 2004 от 9.12 газ_Дайджест 2003-2004 гг._№13, №14 январь 2007 25.02.07_Форма№13 (новая от 28 12 09г) февраль версия № и последняя" xfId="5662"/>
    <cellStyle name="_БЮДЖЕТ 2004 от 9.12 газ_Дайджест 2003-2004 гг._№26 измен 03.04.07" xfId="5663"/>
    <cellStyle name="_БЮДЖЕТ 2004 от 9.12 газ_Дайджест 2003-2004 гг._№26 измен 15.12.06 4 вар " xfId="5664"/>
    <cellStyle name="_БЮДЖЕТ 2004 от 9.12 газ_Дайджест 2003-2004 гг._№26 измен 15.12.06 4 вар  2" xfId="5665"/>
    <cellStyle name="_БЮДЖЕТ 2004 от 9.12 газ_Дайджест 2003-2004 гг._№26 измен 15.12.06 4 вар  3" xfId="5666"/>
    <cellStyle name="_БЮДЖЕТ 2004 от 9.12 газ_Дайджест 2003-2004 гг._№26 измен 15.12.06 4 вар  4" xfId="5667"/>
    <cellStyle name="_БЮДЖЕТ 2004 от 9.12 газ_Дайджест 2003-2004 гг._№26 измен 15.12.06 4 вар  5" xfId="5668"/>
    <cellStyle name="_БЮДЖЕТ 2004 от 9.12 газ_Дайджест 2003-2004 гг._№26 измен 15.12.06 4 вар  6" xfId="5669"/>
    <cellStyle name="_БЮДЖЕТ 2004 от 9.12 газ_Дайджест 2003-2004 гг._№26 измен 15.12.06 4 вар  7" xfId="5670"/>
    <cellStyle name="_БЮДЖЕТ 2004 от 9.12 газ_Дайджест 2003-2004 гг._№26 измен 15.12.06 4 вар  8" xfId="5671"/>
    <cellStyle name="_БЮДЖЕТ 2004 от 9.12 газ_Дайджест 2003-2004 гг._№26 измен 15.12.06 4 вар  9" xfId="5672"/>
    <cellStyle name="_БЮДЖЕТ 2004 от 9.12 газ_Дайджест 2003-2004 гг._№26, от 25.02.07" xfId="5673"/>
    <cellStyle name="_БЮДЖЕТ 2004 от 9.12 газ_Дайджест 2003-2004 гг._№26, от 25.02.07 2" xfId="5674"/>
    <cellStyle name="_БЮДЖЕТ 2004 от 9.12 газ_Дайджест 2003-2004 гг._№26, от 25.02.07 3" xfId="5675"/>
    <cellStyle name="_БЮДЖЕТ 2004 от 9.12 газ_Дайджест 2003-2004 гг._№26, от 25.02.07 4" xfId="5676"/>
    <cellStyle name="_БЮДЖЕТ 2004 от 9.12 газ_Дайджест 2003-2004 гг._№26, от 25.02.07 5" xfId="5677"/>
    <cellStyle name="_БЮДЖЕТ 2004 от 9.12 газ_Дайджест 2003-2004 гг._№26, от 25.02.07 6" xfId="5678"/>
    <cellStyle name="_БЮДЖЕТ 2004 от 9.12 газ_Дайджест 2003-2004 гг._№26, от 25.02.07 7" xfId="5679"/>
    <cellStyle name="_БЮДЖЕТ 2004 от 9.12 газ_Дайджест 2003-2004 гг._№26, от 25.02.07 8" xfId="5680"/>
    <cellStyle name="_БЮДЖЕТ 2004 от 9.12 газ_Дайджест 2003-2004 гг._№26, от 25.02.07 9" xfId="5681"/>
    <cellStyle name="_БЮДЖЕТ 2004 от 9.12 газ_Дайджест 2003-2004 гг._№26, от 25.02.07_index" xfId="5682"/>
    <cellStyle name="_БЮДЖЕТ 2004 от 9.12 газ_Дайджест 2003-2004 гг._№26, от 25.02.07_Копия Потребность взаиморасч  от 28 02 2008 (2)" xfId="5683"/>
    <cellStyle name="_БЮДЖЕТ 2004 от 9.12 газ_Дайджест 2003-2004 гг._№26, от 25.02.07_Форма№13 (новая от 28 12 09г) февраль версия № и последняя" xfId="5684"/>
    <cellStyle name="_БЮДЖЕТ 2004 от 9.12 газ_Дайджест 2003-2004 гг._БДР - 2008 год 2-е чтение" xfId="5685"/>
    <cellStyle name="_БЮДЖЕТ 2004 от 9.12 газ_Дайджест 2003-2004 гг._БДР - 2008 год 2-е чтение 2" xfId="5686"/>
    <cellStyle name="_БЮДЖЕТ 2004 от 9.12 газ_Дайджест 2003-2004 гг._БДР - 2008 год 2-е чтение 3" xfId="5687"/>
    <cellStyle name="_БЮДЖЕТ 2004 от 9.12 газ_Дайджест 2003-2004 гг._БДР - 2008 год 2-е чтение 4" xfId="5688"/>
    <cellStyle name="_БЮДЖЕТ 2004 от 9.12 газ_Дайджест 2003-2004 гг._БДР - 2008 год 2-е чтение 5" xfId="5689"/>
    <cellStyle name="_БЮДЖЕТ 2004 от 9.12 газ_Дайджест 2003-2004 гг._БДР - 2008 год 2-е чтение 6" xfId="5690"/>
    <cellStyle name="_БЮДЖЕТ 2004 от 9.12 газ_Дайджест 2003-2004 гг._БДР - 2008 год 2-е чтение 7" xfId="5691"/>
    <cellStyle name="_БЮДЖЕТ 2004 от 9.12 газ_Дайджест 2003-2004 гг._БДР - 2008 год 2-е чтение 8" xfId="5692"/>
    <cellStyle name="_БЮДЖЕТ 2004 от 9.12 газ_Дайджест 2003-2004 гг._БДР - 2008 год 2-е чтение 9" xfId="5693"/>
    <cellStyle name="_БЮДЖЕТ 2004 от 9.12 газ_Дайджест 2003-2004 гг._БДР 2 кв  презентационный_24 03 2008_11-45" xfId="5694"/>
    <cellStyle name="_БЮДЖЕТ 2004 от 9.12 газ_Дайджест 2003-2004 гг._БДР 2 кв  презентационный_24 03 2008_15-55" xfId="5695"/>
    <cellStyle name="_БЮДЖЕТ 2004 от 9.12 газ_Дайджест 2003-2004 гг._Больш. 1-8 октября" xfId="5696"/>
    <cellStyle name="_БЮДЖЕТ 2004 от 9.12 газ_Дайджест 2003-2004 гг._БП  07 г. (нов.форма) 2" xfId="5697"/>
    <cellStyle name="_БЮДЖЕТ 2004 от 9.12 газ_Дайджест 2003-2004 гг._БП  07 г. (нов.форма) 2 2" xfId="5698"/>
    <cellStyle name="_БЮДЖЕТ 2004 от 9.12 газ_Дайджест 2003-2004 гг._БП  07 г. (нов.форма) 2 3" xfId="5699"/>
    <cellStyle name="_БЮДЖЕТ 2004 от 9.12 газ_Дайджест 2003-2004 гг._БП  07 г. (нов.форма) 2 4" xfId="5700"/>
    <cellStyle name="_БЮДЖЕТ 2004 от 9.12 газ_Дайджест 2003-2004 гг._БП  07 г. (нов.форма) 2 5" xfId="5701"/>
    <cellStyle name="_БЮДЖЕТ 2004 от 9.12 газ_Дайджест 2003-2004 гг._БП  07 г. (нов.форма) 2 6" xfId="5702"/>
    <cellStyle name="_БЮДЖЕТ 2004 от 9.12 газ_Дайджест 2003-2004 гг._БП  07 г. (нов.форма) 2 7" xfId="5703"/>
    <cellStyle name="_БЮДЖЕТ 2004 от 9.12 газ_Дайджест 2003-2004 гг._БП  07 г. (нов.форма) 2 8" xfId="5704"/>
    <cellStyle name="_БЮДЖЕТ 2004 от 9.12 газ_Дайджест 2003-2004 гг._БП  07 г. (нов.форма) 2 9" xfId="5705"/>
    <cellStyle name="_БЮДЖЕТ 2004 от 9.12 газ_Дайджест 2003-2004 гг._БП Урал Кирпич 28 01 2008г" xfId="5706"/>
    <cellStyle name="_БЮДЖЕТ 2004 от 9.12 газ_Дайджест 2003-2004 гг._БП_план на 1 кв. 2008г." xfId="5707"/>
    <cellStyle name="_БЮДЖЕТ 2004 от 9.12 газ_Дайджест 2003-2004 гг._БП_план на 2 кв. 2008г." xfId="5708"/>
    <cellStyle name="_БЮДЖЕТ 2004 от 9.12 газ_Дайджест 2003-2004 гг._бп2008 презентация 12.11.07" xfId="5709"/>
    <cellStyle name="_БЮДЖЕТ 2004 от 9.12 газ_Дайджест 2003-2004 гг._бп2008 презентация 12.11.07 2" xfId="5710"/>
    <cellStyle name="_БЮДЖЕТ 2004 от 9.12 газ_Дайджест 2003-2004 гг._бп2008 презентация 12.11.07 3" xfId="5711"/>
    <cellStyle name="_БЮДЖЕТ 2004 от 9.12 газ_Дайджест 2003-2004 гг._бп2008 презентация 12.11.07 4" xfId="5712"/>
    <cellStyle name="_БЮДЖЕТ 2004 от 9.12 газ_Дайджест 2003-2004 гг._бп2008 презентация 12.11.07 5" xfId="5713"/>
    <cellStyle name="_БЮДЖЕТ 2004 от 9.12 газ_Дайджест 2003-2004 гг._бп2008 презентация 12.11.07 6" xfId="5714"/>
    <cellStyle name="_БЮДЖЕТ 2004 от 9.12 газ_Дайджест 2003-2004 гг._бп2008 презентация 12.11.07 7" xfId="5715"/>
    <cellStyle name="_БЮДЖЕТ 2004 от 9.12 газ_Дайджест 2003-2004 гг._бп2008 презентация 12.11.07 8" xfId="5716"/>
    <cellStyle name="_БЮДЖЕТ 2004 от 9.12 газ_Дайджест 2003-2004 гг._бп2008 презентация 12.11.07 9" xfId="5717"/>
    <cellStyle name="_БЮДЖЕТ 2004 от 9.12 газ_Дайджест 2003-2004 гг._Верх НА" xfId="5718"/>
    <cellStyle name="_БЮДЖЕТ 2004 от 9.12 газ_Дайджест 2003-2004 гг._Выручка февраля 09 от 22 01 09 (1)" xfId="5719"/>
    <cellStyle name="_БЮДЖЕТ 2004 от 9.12 газ_Дайджест 2003-2004 гг._ДИВИЗИОН Презентация 4 кв. 07 изм отгр" xfId="5720"/>
    <cellStyle name="_БЮДЖЕТ 2004 от 9.12 газ_Дайджест 2003-2004 гг._ДИВИЗИОН Презентация 4 кв. 07 изм отгр 2" xfId="5721"/>
    <cellStyle name="_БЮДЖЕТ 2004 от 9.12 газ_Дайджест 2003-2004 гг._ДИВИЗИОН Презентация 4 кв. 07 изм отгр 3" xfId="5722"/>
    <cellStyle name="_БЮДЖЕТ 2004 от 9.12 газ_Дайджест 2003-2004 гг._ДИВИЗИОН Презентация 4 кв. 07 изм отгр 4" xfId="5723"/>
    <cellStyle name="_БЮДЖЕТ 2004 от 9.12 газ_Дайджест 2003-2004 гг._ДИВИЗИОН Презентация 4 кв. 07 изм отгр 5" xfId="5724"/>
    <cellStyle name="_БЮДЖЕТ 2004 от 9.12 газ_Дайджест 2003-2004 гг._ДИВИЗИОН Презентация 4 кв. 07 изм отгр 6" xfId="5725"/>
    <cellStyle name="_БЮДЖЕТ 2004 от 9.12 газ_Дайджест 2003-2004 гг._ДИВИЗИОН Презентация 4 кв. 07 изм отгр 7" xfId="5726"/>
    <cellStyle name="_БЮДЖЕТ 2004 от 9.12 газ_Дайджест 2003-2004 гг._ДИВИЗИОН Презентация 4 кв. 07 изм отгр 8" xfId="5727"/>
    <cellStyle name="_БЮДЖЕТ 2004 от 9.12 газ_Дайджест 2003-2004 гг._ДИВИЗИОН Презентация 4 кв. 07 изм отгр 9" xfId="5728"/>
    <cellStyle name="_БЮДЖЕТ 2004 от 9.12 газ_Дайджест 2003-2004 гг._ДИВИЗИОН_2008" xfId="5729"/>
    <cellStyle name="_БЮДЖЕТ 2004 от 9.12 газ_Дайджест 2003-2004 гг._ДИВИЗИОН_2008 2" xfId="5730"/>
    <cellStyle name="_БЮДЖЕТ 2004 от 9.12 газ_Дайджест 2003-2004 гг._ДИВИЗИОН_2008 3" xfId="5731"/>
    <cellStyle name="_БЮДЖЕТ 2004 от 9.12 газ_Дайджест 2003-2004 гг._ДИВИЗИОН_2008 4" xfId="5732"/>
    <cellStyle name="_БЮДЖЕТ 2004 от 9.12 газ_Дайджест 2003-2004 гг._ДИВИЗИОН_2008 5" xfId="5733"/>
    <cellStyle name="_БЮДЖЕТ 2004 от 9.12 газ_Дайджест 2003-2004 гг._ДИВИЗИОН_2008 6" xfId="5734"/>
    <cellStyle name="_БЮДЖЕТ 2004 от 9.12 газ_Дайджест 2003-2004 гг._ДИВИЗИОН_2008 7" xfId="5735"/>
    <cellStyle name="_БЮДЖЕТ 2004 от 9.12 газ_Дайджест 2003-2004 гг._ДИВИЗИОН_2008 8" xfId="5736"/>
    <cellStyle name="_БЮДЖЕТ 2004 от 9.12 газ_Дайджест 2003-2004 гг._ДИВИЗИОН_2008 9" xfId="5737"/>
    <cellStyle name="_БЮДЖЕТ 2004 от 9.12 газ_Дайджест 2003-2004 гг._Дивизиональная форма БДР_14.12.2007" xfId="5738"/>
    <cellStyle name="_БЮДЖЕТ 2004 от 9.12 газ_Дайджест 2003-2004 гг._Дивизиональная форма БДР_14.12.2007 2" xfId="5739"/>
    <cellStyle name="_БЮДЖЕТ 2004 от 9.12 газ_Дайджест 2003-2004 гг._Дивизиональная форма БДР_14.12.2007 3" xfId="5740"/>
    <cellStyle name="_БЮДЖЕТ 2004 от 9.12 газ_Дайджест 2003-2004 гг._Дивизиональная форма БДР_14.12.2007 4" xfId="5741"/>
    <cellStyle name="_БЮДЖЕТ 2004 от 9.12 газ_Дайджест 2003-2004 гг._Дивизиональная форма БДР_14.12.2007 5" xfId="5742"/>
    <cellStyle name="_БЮДЖЕТ 2004 от 9.12 газ_Дайджест 2003-2004 гг._Дивизиональная форма БДР_14.12.2007 6" xfId="5743"/>
    <cellStyle name="_БЮДЖЕТ 2004 от 9.12 газ_Дайджест 2003-2004 гг._Дивизиональная форма БДР_14.12.2007 7" xfId="5744"/>
    <cellStyle name="_БЮДЖЕТ 2004 от 9.12 газ_Дайджест 2003-2004 гг._Дивизиональная форма БДР_14.12.2007 8" xfId="5745"/>
    <cellStyle name="_БЮДЖЕТ 2004 от 9.12 газ_Дайджест 2003-2004 гг._Дивизиональная форма БДР_14.12.2007 9" xfId="5746"/>
    <cellStyle name="_БЮДЖЕТ 2004 от 9.12 газ_Дайджест 2003-2004 гг._Динамика Свод_Бизнес_MGOK 27_07_06" xfId="5747"/>
    <cellStyle name="_БЮДЖЕТ 2004 от 9.12 газ_Дайджест 2003-2004 гг._Динамика Свод_Бизнес_MGOK 27_07_06 2" xfId="5748"/>
    <cellStyle name="_БЮДЖЕТ 2004 от 9.12 газ_Дайджест 2003-2004 гг._Динамика Свод_Бизнес_MGOK 27_07_06 3" xfId="5749"/>
    <cellStyle name="_БЮДЖЕТ 2004 от 9.12 газ_Дайджест 2003-2004 гг._Динамика Свод_Бизнес_MGOK 27_07_06 4" xfId="5750"/>
    <cellStyle name="_БЮДЖЕТ 2004 от 9.12 газ_Дайджест 2003-2004 гг._Динамика Свод_Бизнес_MGOK 27_07_06 5" xfId="5751"/>
    <cellStyle name="_БЮДЖЕТ 2004 от 9.12 газ_Дайджест 2003-2004 гг._Динамика Свод_Бизнес_MGOK 27_07_06 6" xfId="5752"/>
    <cellStyle name="_БЮДЖЕТ 2004 от 9.12 газ_Дайджест 2003-2004 гг._Динамика Свод_Бизнес_MGOK 27_07_06 7" xfId="5753"/>
    <cellStyle name="_БЮДЖЕТ 2004 от 9.12 газ_Дайджест 2003-2004 гг._Динамика Свод_Бизнес_MGOK 27_07_06 8" xfId="5754"/>
    <cellStyle name="_БЮДЖЕТ 2004 от 9.12 газ_Дайджест 2003-2004 гг._Динамика Свод_Бизнес_MGOK 27_07_06 9" xfId="5755"/>
    <cellStyle name="_БЮДЖЕТ 2004 от 9.12 газ_Дайджест 2003-2004 гг._Динамика Свод_Бизнес_MGOK 27_07_06_Книга2" xfId="5756"/>
    <cellStyle name="_БЮДЖЕТ 2004 от 9.12 газ_Дайджест 2003-2004 гг._Динамика Свод_Бизнес_MGOK 27_07_06_Отчет за сентябрь_11_ДСМ" xfId="5757"/>
    <cellStyle name="_БЮДЖЕТ 2004 от 9.12 газ_Дайджест 2003-2004 гг._Ежемесячные формы для ТД на 2004 год (version 1)" xfId="5758"/>
    <cellStyle name="_БЮДЖЕТ 2004 от 9.12 газ_Дайджест 2003-2004 гг._Запрос МИ Менеджмент 18 08 06 (новый формат)" xfId="5759"/>
    <cellStyle name="_БЮДЖЕТ 2004 от 9.12 газ_Дайджест 2003-2004 гг._Запрос МИ Менеджмент 18 08 06 (новый формат) 10" xfId="5760"/>
    <cellStyle name="_БЮДЖЕТ 2004 от 9.12 газ_Дайджест 2003-2004 гг._Запрос МИ Менеджмент 18 08 06 (новый формат) 11" xfId="5761"/>
    <cellStyle name="_БЮДЖЕТ 2004 от 9.12 газ_Дайджест 2003-2004 гг._Запрос МИ Менеджмент 18 08 06 (новый формат) 12" xfId="5762"/>
    <cellStyle name="_БЮДЖЕТ 2004 от 9.12 газ_Дайджест 2003-2004 гг._Запрос МИ Менеджмент 18 08 06 (новый формат) 13" xfId="5763"/>
    <cellStyle name="_БЮДЖЕТ 2004 от 9.12 газ_Дайджест 2003-2004 гг._Запрос МИ Менеджмент 18 08 06 (новый формат) 2" xfId="5764"/>
    <cellStyle name="_БЮДЖЕТ 2004 от 9.12 газ_Дайджест 2003-2004 гг._Запрос МИ Менеджмент 18 08 06 (новый формат) 3" xfId="5765"/>
    <cellStyle name="_БЮДЖЕТ 2004 от 9.12 газ_Дайджест 2003-2004 гг._Запрос МИ Менеджмент 18 08 06 (новый формат) 4" xfId="5766"/>
    <cellStyle name="_БЮДЖЕТ 2004 от 9.12 газ_Дайджест 2003-2004 гг._Запрос МИ Менеджмент 18 08 06 (новый формат) 5" xfId="5767"/>
    <cellStyle name="_БЮДЖЕТ 2004 от 9.12 газ_Дайджест 2003-2004 гг._Запрос МИ Менеджмент 18 08 06 (новый формат) 6" xfId="5768"/>
    <cellStyle name="_БЮДЖЕТ 2004 от 9.12 газ_Дайджест 2003-2004 гг._Запрос МИ Менеджмент 18 08 06 (новый формат) 7" xfId="5769"/>
    <cellStyle name="_БЮДЖЕТ 2004 от 9.12 газ_Дайджест 2003-2004 гг._Запрос МИ Менеджмент 18 08 06 (новый формат) 8" xfId="5770"/>
    <cellStyle name="_БЮДЖЕТ 2004 от 9.12 газ_Дайджест 2003-2004 гг._Запрос МИ Менеджмент 18 08 06 (новый формат) 9" xfId="5771"/>
    <cellStyle name="_БЮДЖЕТ 2004 от 9.12 газ_Дайджест 2003-2004 гг._Запрос МИ Менеджмент 18 08 06 (новый формат)__План по труду 2008 261107 (10% с января)" xfId="5772"/>
    <cellStyle name="_БЮДЖЕТ 2004 от 9.12 газ_Дайджест 2003-2004 гг._Запрос МИ Менеджмент 18 08 06 (новый формат)__План по труду 2008 261107 (10% с января) 2" xfId="5773"/>
    <cellStyle name="_БЮДЖЕТ 2004 от 9.12 газ_Дайджест 2003-2004 гг._Запрос МИ Менеджмент 18 08 06 (новый формат)__План по труду 2008 261107 (10% с января) 3" xfId="5774"/>
    <cellStyle name="_БЮДЖЕТ 2004 от 9.12 газ_Дайджест 2003-2004 гг._Запрос МИ Менеджмент 18 08 06 (новый формат)__План по труду 2008 261107 (10% с января) 4" xfId="5775"/>
    <cellStyle name="_БЮДЖЕТ 2004 от 9.12 газ_Дайджест 2003-2004 гг._Запрос МИ Менеджмент 18 08 06 (новый формат)__План по труду 2008 261107 (10% с января) 5" xfId="5776"/>
    <cellStyle name="_БЮДЖЕТ 2004 от 9.12 газ_Дайджест 2003-2004 гг._Запрос МИ Менеджмент 18 08 06 (новый формат)__План по труду 2008 261107 (10% с января) 6" xfId="5777"/>
    <cellStyle name="_БЮДЖЕТ 2004 от 9.12 газ_Дайджест 2003-2004 гг._Запрос МИ Менеджмент 18 08 06 (новый формат)__План по труду 2008 261107 (10% с января) 7" xfId="5778"/>
    <cellStyle name="_БЮДЖЕТ 2004 от 9.12 газ_Дайджест 2003-2004 гг._Запрос МИ Менеджмент 18 08 06 (новый формат)__План по труду 2008 261107 (10% с января) 8" xfId="5779"/>
    <cellStyle name="_БЮДЖЕТ 2004 от 9.12 газ_Дайджест 2003-2004 гг._Запрос МИ Менеджмент 18 08 06 (новый формат)__План по труду 2008 261107 (10% с января) 9" xfId="5780"/>
    <cellStyle name="_БЮДЖЕТ 2004 от 9.12 газ_Дайджест 2003-2004 гг._Запрос МИ Менеджмент 18 08 06 (новый формат)__План по труду 2008 ИТОГ (правл. ПНР 161007)_" xfId="5781"/>
    <cellStyle name="_БЮДЖЕТ 2004 от 9.12 газ_Дайджест 2003-2004 гг._Запрос МИ Менеджмент 18 08 06 (новый формат)__План по труду 2008 ИТОГ (правл. ПНР 161007)_ 2" xfId="5782"/>
    <cellStyle name="_БЮДЖЕТ 2004 от 9.12 газ_Дайджест 2003-2004 гг._Запрос МИ Менеджмент 18 08 06 (новый формат)__План по труду 2008 ИТОГ (правл. ПНР 161007)_ 3" xfId="5783"/>
    <cellStyle name="_БЮДЖЕТ 2004 от 9.12 газ_Дайджест 2003-2004 гг._Запрос МИ Менеджмент 18 08 06 (новый формат)__План по труду 2008 ИТОГ (правл. ПНР 161007)_ 4" xfId="5784"/>
    <cellStyle name="_БЮДЖЕТ 2004 от 9.12 газ_Дайджест 2003-2004 гг._Запрос МИ Менеджмент 18 08 06 (новый формат)__План по труду 2008 ИТОГ (правл. ПНР 161007)_ 5" xfId="5785"/>
    <cellStyle name="_БЮДЖЕТ 2004 от 9.12 газ_Дайджест 2003-2004 гг._Запрос МИ Менеджмент 18 08 06 (новый формат)__План по труду 2008 ИТОГ (правл. ПНР 161007)_ 6" xfId="5786"/>
    <cellStyle name="_БЮДЖЕТ 2004 от 9.12 газ_Дайджест 2003-2004 гг._Запрос МИ Менеджмент 18 08 06 (новый формат)__План по труду 2008 ИТОГ (правл. ПНР 161007)_ 7" xfId="5787"/>
    <cellStyle name="_БЮДЖЕТ 2004 от 9.12 газ_Дайджест 2003-2004 гг._Запрос МИ Менеджмент 18 08 06 (новый формат)__План по труду 2008 ИТОГ (правл. ПНР 161007)_ 8" xfId="5788"/>
    <cellStyle name="_БЮДЖЕТ 2004 от 9.12 газ_Дайджест 2003-2004 гг._Запрос МИ Менеджмент 18 08 06 (новый формат)__План по труду 2008 ИТОГ (правл. ПНР 161007)_ 9" xfId="5789"/>
    <cellStyle name="_БЮДЖЕТ 2004 от 9.12 газ_Дайджест 2003-2004 гг._Запрос МИ Менеджмент 18 08 06 (новый формат)_2_Инвестпрограмма на 2008 год (КОВАЛЕВ)" xfId="5790"/>
    <cellStyle name="_БЮДЖЕТ 2004 от 9.12 газ_Дайджест 2003-2004 гг._Запрос МИ Менеджмент 18 08 06 (новый формат)_Данные для ФОТ на 2008 год" xfId="5791"/>
    <cellStyle name="_БЮДЖЕТ 2004 от 9.12 газ_Дайджест 2003-2004 гг._Запрос МИ Менеджмент 18 08 06 (новый формат)_Данные для ФОТ на 2008 год 2" xfId="5792"/>
    <cellStyle name="_БЮДЖЕТ 2004 от 9.12 газ_Дайджест 2003-2004 гг._Запрос МИ Менеджмент 18 08 06 (новый формат)_Данные для ФОТ на 2008 год 3" xfId="5793"/>
    <cellStyle name="_БЮДЖЕТ 2004 от 9.12 газ_Дайджест 2003-2004 гг._Запрос МИ Менеджмент 18 08 06 (новый формат)_Данные для ФОТ на 2008 год 4" xfId="5794"/>
    <cellStyle name="_БЮДЖЕТ 2004 от 9.12 газ_Дайджест 2003-2004 гг._Запрос МИ Менеджмент 18 08 06 (новый формат)_Данные для ФОТ на 2008 год 5" xfId="5795"/>
    <cellStyle name="_БЮДЖЕТ 2004 от 9.12 газ_Дайджест 2003-2004 гг._Запрос МИ Менеджмент 18 08 06 (новый формат)_Данные для ФОТ на 2008 год 6" xfId="5796"/>
    <cellStyle name="_БЮДЖЕТ 2004 от 9.12 газ_Дайджест 2003-2004 гг._Запрос МИ Менеджмент 18 08 06 (новый формат)_Данные для ФОТ на 2008 год 7" xfId="5797"/>
    <cellStyle name="_БЮДЖЕТ 2004 от 9.12 газ_Дайджест 2003-2004 гг._Запрос МИ Менеджмент 18 08 06 (новый формат)_Данные для ФОТ на 2008 год 8" xfId="5798"/>
    <cellStyle name="_БЮДЖЕТ 2004 от 9.12 газ_Дайджест 2003-2004 гг._Запрос МИ Менеджмент 18 08 06 (новый формат)_Данные для ФОТ на 2008 год 9" xfId="5799"/>
    <cellStyle name="_БЮДЖЕТ 2004 от 9.12 газ_Дайджест 2003-2004 гг._Запрос МИ Менеджмент 18 08 06 (новый формат)_План по труду 2008 ИТОГ (2003_вер)" xfId="5800"/>
    <cellStyle name="_БЮДЖЕТ 2004 от 9.12 газ_Дайджест 2003-2004 гг._Запрос МИ Менеджмент 18 08 06 (новый формат)_План по труду 2008 ИТОГ (2003_вер) 2" xfId="5801"/>
    <cellStyle name="_БЮДЖЕТ 2004 от 9.12 газ_Дайджест 2003-2004 гг._Запрос МИ Менеджмент 18 08 06 (новый формат)_План по труду 2008 ИТОГ (2003_вер) 3" xfId="5802"/>
    <cellStyle name="_БЮДЖЕТ 2004 от 9.12 газ_Дайджест 2003-2004 гг._Запрос МИ Менеджмент 18 08 06 (новый формат)_План по труду 2008 ИТОГ (2003_вер) 4" xfId="5803"/>
    <cellStyle name="_БЮДЖЕТ 2004 от 9.12 газ_Дайджест 2003-2004 гг._Запрос МИ Менеджмент 18 08 06 (новый формат)_План по труду 2008 ИТОГ (2003_вер) 5" xfId="5804"/>
    <cellStyle name="_БЮДЖЕТ 2004 от 9.12 газ_Дайджест 2003-2004 гг._Запрос МИ Менеджмент 18 08 06 (новый формат)_План по труду 2008 ИТОГ (2003_вер) 6" xfId="5805"/>
    <cellStyle name="_БЮДЖЕТ 2004 от 9.12 газ_Дайджест 2003-2004 гг._Запрос МИ Менеджмент 18 08 06 (новый формат)_План по труду 2008 ИТОГ (2003_вер) 7" xfId="5806"/>
    <cellStyle name="_БЮДЖЕТ 2004 от 9.12 газ_Дайджест 2003-2004 гг._Запрос МИ Менеджмент 18 08 06 (новый формат)_План по труду 2008 ИТОГ (2003_вер) 8" xfId="5807"/>
    <cellStyle name="_БЮДЖЕТ 2004 от 9.12 газ_Дайджест 2003-2004 гг._Запрос МИ Менеджмент 18 08 06 (новый формат)_План по труду 2008 ИТОГ (2003_вер) 9" xfId="5808"/>
    <cellStyle name="_БЮДЖЕТ 2004 от 9.12 газ_Дайджест 2003-2004 гг._Запрос МИ Менеджмент 18 08 06 (новый формат)_ТКВ 2008 от 19.07" xfId="5809"/>
    <cellStyle name="_БЮДЖЕТ 2004 от 9.12 газ_Дайджест 2003-2004 гг._Запрос МИ Менеджмент 18 08 06 (новый формат)_ТКВ 2008 от 31.07" xfId="5810"/>
    <cellStyle name="_БЮДЖЕТ 2004 от 9.12 газ_Дайджест 2003-2004 гг._ИПИТА" xfId="5811"/>
    <cellStyle name="_БЮДЖЕТ 2004 от 9.12 газ_Дайджест 2003-2004 гг._ИПИТА 2" xfId="5812"/>
    <cellStyle name="_БЮДЖЕТ 2004 от 9.12 газ_Дайджест 2003-2004 гг._ИПИТА 3" xfId="5813"/>
    <cellStyle name="_БЮДЖЕТ 2004 от 9.12 газ_Дайджест 2003-2004 гг._ИПИТА 4" xfId="5814"/>
    <cellStyle name="_БЮДЖЕТ 2004 от 9.12 газ_Дайджест 2003-2004 гг._ИПИТА 5" xfId="5815"/>
    <cellStyle name="_БЮДЖЕТ 2004 от 9.12 газ_Дайджест 2003-2004 гг._ИПИТА 6" xfId="5816"/>
    <cellStyle name="_БЮДЖЕТ 2004 от 9.12 газ_Дайджест 2003-2004 гг._ИПИТА 7" xfId="5817"/>
    <cellStyle name="_БЮДЖЕТ 2004 от 9.12 газ_Дайджест 2003-2004 гг._ИПИТА 8" xfId="5818"/>
    <cellStyle name="_БЮДЖЕТ 2004 от 9.12 газ_Дайджест 2003-2004 гг._ИПИТА 9" xfId="5819"/>
    <cellStyle name="_БЮДЖЕТ 2004 от 9.12 газ_Дайджест 2003-2004 гг._КМА-Эн план 1 кв 200919.12.08отпр в Холдинг" xfId="5820"/>
    <cellStyle name="_БЮДЖЕТ 2004 от 9.12 газ_Дайджест 2003-2004 гг._Книга БДР 4 кв" xfId="5821"/>
    <cellStyle name="_БЮДЖЕТ 2004 от 9.12 газ_Дайджест 2003-2004 гг._Книга БДР 4 кв 2" xfId="5822"/>
    <cellStyle name="_БЮДЖЕТ 2004 от 9.12 газ_Дайджест 2003-2004 гг._Книга БДР 4 кв 3" xfId="5823"/>
    <cellStyle name="_БЮДЖЕТ 2004 от 9.12 газ_Дайджест 2003-2004 гг._Книга БДР 4 кв 4" xfId="5824"/>
    <cellStyle name="_БЮДЖЕТ 2004 от 9.12 газ_Дайджест 2003-2004 гг._Книга БДР 4 кв 5" xfId="5825"/>
    <cellStyle name="_БЮДЖЕТ 2004 от 9.12 газ_Дайджест 2003-2004 гг._Книга БДР 4 кв 6" xfId="5826"/>
    <cellStyle name="_БЮДЖЕТ 2004 от 9.12 газ_Дайджест 2003-2004 гг._Книга БДР 4 кв 7" xfId="5827"/>
    <cellStyle name="_БЮДЖЕТ 2004 от 9.12 газ_Дайджест 2003-2004 гг._Книга БДР 4 кв 8" xfId="5828"/>
    <cellStyle name="_БЮДЖЕТ 2004 от 9.12 газ_Дайджест 2003-2004 гг._Книга БДР 4 кв 9" xfId="5829"/>
    <cellStyle name="_БЮДЖЕТ 2004 от 9.12 газ_Дайджест 2003-2004 гг._Книга1" xfId="5830"/>
    <cellStyle name="_БЮДЖЕТ 2004 от 9.12 газ_Дайджест 2003-2004 гг._Книга1 (1)" xfId="5831"/>
    <cellStyle name="_БЮДЖЕТ 2004 от 9.12 газ_Дайджест 2003-2004 гг._Книга1 (1) 2" xfId="5832"/>
    <cellStyle name="_БЮДЖЕТ 2004 от 9.12 газ_Дайджест 2003-2004 гг._Книга1 (1) 3" xfId="5833"/>
    <cellStyle name="_БЮДЖЕТ 2004 от 9.12 газ_Дайджест 2003-2004 гг._Книга1 (1) 4" xfId="5834"/>
    <cellStyle name="_БЮДЖЕТ 2004 от 9.12 газ_Дайджест 2003-2004 гг._Книга1 (1) 5" xfId="5835"/>
    <cellStyle name="_БЮДЖЕТ 2004 от 9.12 газ_Дайджест 2003-2004 гг._Книга1 (1) 6" xfId="5836"/>
    <cellStyle name="_БЮДЖЕТ 2004 от 9.12 газ_Дайджест 2003-2004 гг._Книга1 (1) 7" xfId="5837"/>
    <cellStyle name="_БЮДЖЕТ 2004 от 9.12 газ_Дайджест 2003-2004 гг._Книга1 (1) 8" xfId="5838"/>
    <cellStyle name="_БЮДЖЕТ 2004 от 9.12 газ_Дайджест 2003-2004 гг._Книга1 (1) 9" xfId="5839"/>
    <cellStyle name="_БЮДЖЕТ 2004 от 9.12 газ_Дайджест 2003-2004 гг._Книга1 (5)" xfId="5840"/>
    <cellStyle name="_БЮДЖЕТ 2004 от 9.12 газ_Дайджест 2003-2004 гг._Книга1 (5) 2" xfId="5841"/>
    <cellStyle name="_БЮДЖЕТ 2004 от 9.12 газ_Дайджест 2003-2004 гг._Книга1 (5) 3" xfId="5842"/>
    <cellStyle name="_БЮДЖЕТ 2004 от 9.12 газ_Дайджест 2003-2004 гг._Книга1 (5) 4" xfId="5843"/>
    <cellStyle name="_БЮДЖЕТ 2004 от 9.12 газ_Дайджест 2003-2004 гг._Книга1 (5) 5" xfId="5844"/>
    <cellStyle name="_БЮДЖЕТ 2004 от 9.12 газ_Дайджест 2003-2004 гг._Книга1 (5) 6" xfId="5845"/>
    <cellStyle name="_БЮДЖЕТ 2004 от 9.12 газ_Дайджест 2003-2004 гг._Книга1 (5) 7" xfId="5846"/>
    <cellStyle name="_БЮДЖЕТ 2004 от 9.12 газ_Дайджест 2003-2004 гг._Книга1 (5) 8" xfId="5847"/>
    <cellStyle name="_БЮДЖЕТ 2004 от 9.12 газ_Дайджест 2003-2004 гг._Книга1 (5) 9" xfId="5848"/>
    <cellStyle name="_БЮДЖЕТ 2004 от 9.12 газ_Дайджест 2003-2004 гг._Книга1 2" xfId="5849"/>
    <cellStyle name="_БЮДЖЕТ 2004 от 9.12 газ_Дайджест 2003-2004 гг._Книга1 3" xfId="5850"/>
    <cellStyle name="_БЮДЖЕТ 2004 от 9.12 газ_Дайджест 2003-2004 гг._Книга1 4" xfId="5851"/>
    <cellStyle name="_БЮДЖЕТ 2004 от 9.12 газ_Дайджест 2003-2004 гг._Книга1 5" xfId="5852"/>
    <cellStyle name="_БЮДЖЕТ 2004 от 9.12 газ_Дайджест 2003-2004 гг._Книга1 6" xfId="5853"/>
    <cellStyle name="_БЮДЖЕТ 2004 от 9.12 газ_Дайджест 2003-2004 гг._Книга1 7" xfId="5854"/>
    <cellStyle name="_БЮДЖЕТ 2004 от 9.12 газ_Дайджест 2003-2004 гг._Книга1 8" xfId="5855"/>
    <cellStyle name="_БЮДЖЕТ 2004 от 9.12 газ_Дайджест 2003-2004 гг._Книга1 9" xfId="5856"/>
    <cellStyle name="_БЮДЖЕТ 2004 от 9.12 газ_Дайджест 2003-2004 гг._Книга1_1" xfId="5857"/>
    <cellStyle name="_БЮДЖЕТ 2004 от 9.12 газ_Дайджест 2003-2004 гг._Книга11" xfId="5858"/>
    <cellStyle name="_БЮДЖЕТ 2004 от 9.12 газ_Дайджест 2003-2004 гг._Книга3" xfId="5859"/>
    <cellStyle name="_БЮДЖЕТ 2004 от 9.12 газ_Дайджест 2003-2004 гг._Книга3 2" xfId="5860"/>
    <cellStyle name="_БЮДЖЕТ 2004 от 9.12 газ_Дайджест 2003-2004 гг._Книга3 3" xfId="5861"/>
    <cellStyle name="_БЮДЖЕТ 2004 от 9.12 газ_Дайджест 2003-2004 гг._Книга3 4" xfId="5862"/>
    <cellStyle name="_БЮДЖЕТ 2004 от 9.12 газ_Дайджест 2003-2004 гг._Книга3 5" xfId="5863"/>
    <cellStyle name="_БЮДЖЕТ 2004 от 9.12 газ_Дайджест 2003-2004 гг._Книга3 6" xfId="5864"/>
    <cellStyle name="_БЮДЖЕТ 2004 от 9.12 газ_Дайджест 2003-2004 гг._Книга3 7" xfId="5865"/>
    <cellStyle name="_БЮДЖЕТ 2004 от 9.12 газ_Дайджест 2003-2004 гг._Книга3 8" xfId="5866"/>
    <cellStyle name="_БЮДЖЕТ 2004 от 9.12 газ_Дайджест 2003-2004 гг._Книга3 9" xfId="5867"/>
    <cellStyle name="_БЮДЖЕТ 2004 от 9.12 газ_Дайджест 2003-2004 гг._Комплект документов - план на 2007 год - фин.часть 8.12.06 (укороч.)" xfId="5868"/>
    <cellStyle name="_БЮДЖЕТ 2004 от 9.12 газ_Дайджест 2003-2004 гг._Комплект документов - план на 2007 год - фин.часть 8.12.06 (укороч.) 2" xfId="5869"/>
    <cellStyle name="_БЮДЖЕТ 2004 от 9.12 газ_Дайджест 2003-2004 гг._Комплект документов - план на 2007 год - фин.часть 8.12.06 (укороч.) 3" xfId="5870"/>
    <cellStyle name="_БЮДЖЕТ 2004 от 9.12 газ_Дайджест 2003-2004 гг._Комплект документов - план на 2007 год - фин.часть 8.12.06 (укороч.) 4" xfId="5871"/>
    <cellStyle name="_БЮДЖЕТ 2004 от 9.12 газ_Дайджест 2003-2004 гг._Комплект документов - план на 2007 год - фин.часть 8.12.06 (укороч.) 5" xfId="5872"/>
    <cellStyle name="_БЮДЖЕТ 2004 от 9.12 газ_Дайджест 2003-2004 гг._Комплект документов - план на 2007 год - фин.часть 8.12.06 (укороч.) 6" xfId="5873"/>
    <cellStyle name="_БЮДЖЕТ 2004 от 9.12 газ_Дайджест 2003-2004 гг._Комплект документов - план на 2007 год - фин.часть 8.12.06 (укороч.) 7" xfId="5874"/>
    <cellStyle name="_БЮДЖЕТ 2004 от 9.12 газ_Дайджест 2003-2004 гг._Комплект документов - план на 2007 год - фин.часть 8.12.06 (укороч.) 8" xfId="5875"/>
    <cellStyle name="_БЮДЖЕТ 2004 от 9.12 газ_Дайджест 2003-2004 гг._Комплект документов - план на 2007 год - фин.часть 8.12.06 (укороч.) 9" xfId="5876"/>
    <cellStyle name="_БЮДЖЕТ 2004 от 9.12 газ_Дайджест 2003-2004 гг._Конс  ЛГОК БП 2009 для Комбината 07 11 08" xfId="5877"/>
    <cellStyle name="_БЮДЖЕТ 2004 от 9.12 газ_Дайджест 2003-2004 гг._Конс  ЛГОК БП 2009 от 14 10 08" xfId="5878"/>
    <cellStyle name="_БЮДЖЕТ 2004 от 9.12 газ_Дайджест 2003-2004 гг._Конс  ЛГОК БП 2009 от 14 10 08 (2)" xfId="5879"/>
    <cellStyle name="_БЮДЖЕТ 2004 от 9.12 газ_Дайджест 2003-2004 гг._Конс  МГОК БП 2009 от 14 10 08" xfId="5880"/>
    <cellStyle name="_БЮДЖЕТ 2004 от 9.12 газ_Дайджест 2003-2004 гг._Конс. план ЛГОК мар.09 для Комбината 20.02.09" xfId="5881"/>
    <cellStyle name="_БЮДЖЕТ 2004 от 9.12 газ_Дайджест 2003-2004 гг._Конс. план ЛГОК мар.09 для Комбината 25.02.09" xfId="5882"/>
    <cellStyle name="_БЮДЖЕТ 2004 от 9.12 газ_Дайджест 2003-2004 гг._Копия Динамика цен (УС ) 2006-2009 сверен 30.01.09" xfId="5883"/>
    <cellStyle name="_БЮДЖЕТ 2004 от 9.12 газ_Дайджест 2003-2004 гг._Копия Конс БП 2010 ЛГОК для Комбината от 21 08 09" xfId="5884"/>
    <cellStyle name="_БЮДЖЕТ 2004 от 9.12 газ_Дайджест 2003-2004 гг._Копия Потребность взаиморасч  от 28 02 2008 (2)" xfId="5885"/>
    <cellStyle name="_БЮДЖЕТ 2004 от 9.12 газ_Дайджест 2003-2004 гг._Лист1" xfId="5886"/>
    <cellStyle name="_БЮДЖЕТ 2004 от 9.12 газ_Дайджест 2003-2004 гг._Лист1 2" xfId="5887"/>
    <cellStyle name="_БЮДЖЕТ 2004 от 9.12 газ_Дайджест 2003-2004 гг._Лист1 3" xfId="5888"/>
    <cellStyle name="_БЮДЖЕТ 2004 от 9.12 газ_Дайджест 2003-2004 гг._Лист1 4" xfId="5889"/>
    <cellStyle name="_БЮДЖЕТ 2004 от 9.12 газ_Дайджест 2003-2004 гг._Лист1 5" xfId="5890"/>
    <cellStyle name="_БЮДЖЕТ 2004 от 9.12 газ_Дайджест 2003-2004 гг._Лист1 6" xfId="5891"/>
    <cellStyle name="_БЮДЖЕТ 2004 от 9.12 газ_Дайджест 2003-2004 гг._Лист1 7" xfId="5892"/>
    <cellStyle name="_БЮДЖЕТ 2004 от 9.12 газ_Дайджест 2003-2004 гг._Лист1 8" xfId="5893"/>
    <cellStyle name="_БЮДЖЕТ 2004 от 9.12 газ_Дайджест 2003-2004 гг._Лист1 9" xfId="5894"/>
    <cellStyle name="_БЮДЖЕТ 2004 от 9.12 газ_Дайджест 2003-2004 гг._Мод 4 кв 2008" xfId="5895"/>
    <cellStyle name="_БЮДЖЕТ 2004 от 9.12 газ_Дайджест 2003-2004 гг._Мод 4 кв 2008_Книга2" xfId="5896"/>
    <cellStyle name="_БЮДЖЕТ 2004 от 9.12 газ_Дайджест 2003-2004 гг._Налог на прибыль" xfId="5897"/>
    <cellStyle name="_БЮДЖЕТ 2004 от 9.12 газ_Дайджест 2003-2004 гг._Налоги А.А. Богоцкому 2005-2009" xfId="5898"/>
    <cellStyle name="_БЮДЖЕТ 2004 от 9.12 газ_Дайджест 2003-2004 гг._Налоги к плану на 2009 год (ДЗ и КЗ)" xfId="5899"/>
    <cellStyle name="_БЮДЖЕТ 2004 от 9.12 газ_Дайджест 2003-2004 гг._Налоги к плану на февраль 2009 года" xfId="5900"/>
    <cellStyle name="_БЮДЖЕТ 2004 от 9.12 газ_Дайджест 2003-2004 гг._Новые формы Дивизиона_3 кв_send (без дивидендов)" xfId="5901"/>
    <cellStyle name="_БЮДЖЕТ 2004 от 9.12 газ_Дайджест 2003-2004 гг._Новые формы Дивизиона_3кв.2007" xfId="5902"/>
    <cellStyle name="_БЮДЖЕТ 2004 от 9.12 газ_Дайджест 2003-2004 гг._Новые формы Дивизиона_3кв.2007 2" xfId="5903"/>
    <cellStyle name="_БЮДЖЕТ 2004 от 9.12 газ_Дайджест 2003-2004 гг._Новые формы Дивизиона_3кв.2007 3" xfId="5904"/>
    <cellStyle name="_БЮДЖЕТ 2004 от 9.12 газ_Дайджест 2003-2004 гг._Новые формы Дивизиона_3кв.2007 4" xfId="5905"/>
    <cellStyle name="_БЮДЖЕТ 2004 от 9.12 газ_Дайджест 2003-2004 гг._Новые формы Дивизиона_3кв.2007 5" xfId="5906"/>
    <cellStyle name="_БЮДЖЕТ 2004 от 9.12 газ_Дайджест 2003-2004 гг._Новые формы Дивизиона_3кв.2007 6" xfId="5907"/>
    <cellStyle name="_БЮДЖЕТ 2004 от 9.12 газ_Дайджест 2003-2004 гг._Новые формы Дивизиона_3кв.2007 7" xfId="5908"/>
    <cellStyle name="_БЮДЖЕТ 2004 от 9.12 газ_Дайджест 2003-2004 гг._Новые формы Дивизиона_3кв.2007 8" xfId="5909"/>
    <cellStyle name="_БЮДЖЕТ 2004 от 9.12 газ_Дайджест 2003-2004 гг._Новые формы Дивизиона_3кв.2007 9" xfId="5910"/>
    <cellStyle name="_БЮДЖЕТ 2004 от 9.12 газ_Дайджест 2003-2004 гг._Обжиговая" xfId="5911"/>
    <cellStyle name="_БЮДЖЕТ 2004 от 9.12 газ_Дайджест 2003-2004 гг._Оборотный капитал план 2-е полугодие 2006 г. 25.08.06" xfId="5912"/>
    <cellStyle name="_БЮДЖЕТ 2004 от 9.12 газ_Дайджест 2003-2004 гг._Оборотный капитал план 2-е полугодие 2006 г. 25.08.06 10" xfId="5913"/>
    <cellStyle name="_БЮДЖЕТ 2004 от 9.12 газ_Дайджест 2003-2004 гг._Оборотный капитал план 2-е полугодие 2006 г. 25.08.06 11" xfId="5914"/>
    <cellStyle name="_БЮДЖЕТ 2004 от 9.12 газ_Дайджест 2003-2004 гг._Оборотный капитал план 2-е полугодие 2006 г. 25.08.06 12" xfId="5915"/>
    <cellStyle name="_БЮДЖЕТ 2004 от 9.12 газ_Дайджест 2003-2004 гг._Оборотный капитал план 2-е полугодие 2006 г. 25.08.06 13" xfId="5916"/>
    <cellStyle name="_БЮДЖЕТ 2004 от 9.12 газ_Дайджест 2003-2004 гг._Оборотный капитал план 2-е полугодие 2006 г. 25.08.06 2" xfId="5917"/>
    <cellStyle name="_БЮДЖЕТ 2004 от 9.12 газ_Дайджест 2003-2004 гг._Оборотный капитал план 2-е полугодие 2006 г. 25.08.06 3" xfId="5918"/>
    <cellStyle name="_БЮДЖЕТ 2004 от 9.12 газ_Дайджест 2003-2004 гг._Оборотный капитал план 2-е полугодие 2006 г. 25.08.06 4" xfId="5919"/>
    <cellStyle name="_БЮДЖЕТ 2004 от 9.12 газ_Дайджест 2003-2004 гг._Оборотный капитал план 2-е полугодие 2006 г. 25.08.06 5" xfId="5920"/>
    <cellStyle name="_БЮДЖЕТ 2004 от 9.12 газ_Дайджест 2003-2004 гг._Оборотный капитал план 2-е полугодие 2006 г. 25.08.06 6" xfId="5921"/>
    <cellStyle name="_БЮДЖЕТ 2004 от 9.12 газ_Дайджест 2003-2004 гг._Оборотный капитал план 2-е полугодие 2006 г. 25.08.06 7" xfId="5922"/>
    <cellStyle name="_БЮДЖЕТ 2004 от 9.12 газ_Дайджест 2003-2004 гг._Оборотный капитал план 2-е полугодие 2006 г. 25.08.06 8" xfId="5923"/>
    <cellStyle name="_БЮДЖЕТ 2004 от 9.12 газ_Дайджест 2003-2004 гг._Оборотный капитал план 2-е полугодие 2006 г. 25.08.06 9" xfId="5924"/>
    <cellStyle name="_БЮДЖЕТ 2004 от 9.12 газ_Дайджест 2003-2004 гг._ОБРАЗЕЦ Презентационный материал" xfId="5925"/>
    <cellStyle name="_БЮДЖЕТ 2004 от 9.12 газ_Дайджест 2003-2004 гг._ОБРАЗЕЦ Презентационный материал 2" xfId="5926"/>
    <cellStyle name="_БЮДЖЕТ 2004 от 9.12 газ_Дайджест 2003-2004 гг._ОБРАЗЕЦ Презентационный материал 3" xfId="5927"/>
    <cellStyle name="_БЮДЖЕТ 2004 от 9.12 газ_Дайджест 2003-2004 гг._ОБРАЗЕЦ Презентационный материал 4" xfId="5928"/>
    <cellStyle name="_БЮДЖЕТ 2004 от 9.12 газ_Дайджест 2003-2004 гг._ОБРАЗЕЦ Презентационный материал 5" xfId="5929"/>
    <cellStyle name="_БЮДЖЕТ 2004 от 9.12 газ_Дайджест 2003-2004 гг._ОБРАЗЕЦ Презентационный материал 6" xfId="5930"/>
    <cellStyle name="_БЮДЖЕТ 2004 от 9.12 газ_Дайджест 2003-2004 гг._ОБРАЗЕЦ Презентационный материал 7" xfId="5931"/>
    <cellStyle name="_БЮДЖЕТ 2004 от 9.12 газ_Дайджест 2003-2004 гг._ОБРАЗЕЦ Презентационный материал 8" xfId="5932"/>
    <cellStyle name="_БЮДЖЕТ 2004 от 9.12 газ_Дайджест 2003-2004 гг._ОБРАЗЕЦ Презентационный материал 9" xfId="5933"/>
    <cellStyle name="_БЮДЖЕТ 2004 от 9.12 газ_Дайджест 2003-2004 гг._оперативное исполнение 8 02 2009" xfId="5934"/>
    <cellStyle name="_БЮДЖЕТ 2004 от 9.12 газ_Дайджест 2003-2004 гг._Отклонения план март-план февраль 2009 конс" xfId="5935"/>
    <cellStyle name="_БЮДЖЕТ 2004 от 9.12 газ_Дайджест 2003-2004 гг._Отклонения план март-план февраль 2009 конс 2" xfId="5936"/>
    <cellStyle name="_БЮДЖЕТ 2004 от 9.12 газ_Дайджест 2003-2004 гг._Отклонения план март-план февраль 2009 конс 3" xfId="5937"/>
    <cellStyle name="_БЮДЖЕТ 2004 от 9.12 газ_Дайджест 2003-2004 гг._Отклонения план март-план февраль 2009 конс 4" xfId="5938"/>
    <cellStyle name="_БЮДЖЕТ 2004 от 9.12 газ_Дайджест 2003-2004 гг._Отклонения план март-план февраль 2009 конс 5" xfId="5939"/>
    <cellStyle name="_БЮДЖЕТ 2004 от 9.12 газ_Дайджест 2003-2004 гг._Отклонения план март-план февраль 2009 конс 6" xfId="5940"/>
    <cellStyle name="_БЮДЖЕТ 2004 от 9.12 газ_Дайджест 2003-2004 гг._Отклонения план март-план февраль 2009 конс 7" xfId="5941"/>
    <cellStyle name="_БЮДЖЕТ 2004 от 9.12 газ_Дайджест 2003-2004 гг._Отклонения план март-план февраль 2009 конс 8" xfId="5942"/>
    <cellStyle name="_БЮДЖЕТ 2004 от 9.12 газ_Дайджест 2003-2004 гг._Отклонения план март-план февраль 2009 конс 9" xfId="5943"/>
    <cellStyle name="_БЮДЖЕТ 2004 от 9.12 газ_Дайджест 2003-2004 гг._пл 02 2009 акционеры СВОД 09.02.2009" xfId="5944"/>
    <cellStyle name="_БЮДЖЕТ 2004 от 9.12 газ_Дайджест 2003-2004 гг._пл2007 Распределение ОЭМК 27.01.07" xfId="5945"/>
    <cellStyle name="_БЮДЖЕТ 2004 от 9.12 газ_Дайджест 2003-2004 гг._пл2007 фин.часть 18.12.06" xfId="5946"/>
    <cellStyle name="_БЮДЖЕТ 2004 от 9.12 газ_Дайджест 2003-2004 гг._пл2007 фин.часть 18.12.06 2" xfId="5947"/>
    <cellStyle name="_БЮДЖЕТ 2004 от 9.12 газ_Дайджест 2003-2004 гг._пл2007 фин.часть 18.12.06 3" xfId="5948"/>
    <cellStyle name="_БЮДЖЕТ 2004 от 9.12 газ_Дайджест 2003-2004 гг._пл2007 фин.часть 18.12.06 4" xfId="5949"/>
    <cellStyle name="_БЮДЖЕТ 2004 от 9.12 газ_Дайджест 2003-2004 гг._пл2007 фин.часть 18.12.06 5" xfId="5950"/>
    <cellStyle name="_БЮДЖЕТ 2004 от 9.12 газ_Дайджест 2003-2004 гг._пл2007 фин.часть 18.12.06 6" xfId="5951"/>
    <cellStyle name="_БЮДЖЕТ 2004 от 9.12 газ_Дайджест 2003-2004 гг._пл2007 фин.часть 18.12.06 7" xfId="5952"/>
    <cellStyle name="_БЮДЖЕТ 2004 от 9.12 газ_Дайджест 2003-2004 гг._пл2007 фин.часть 18.12.06 8" xfId="5953"/>
    <cellStyle name="_БЮДЖЕТ 2004 от 9.12 газ_Дайджест 2003-2004 гг._пл2007 фин.часть 18.12.06 9" xfId="5954"/>
    <cellStyle name="_БЮДЖЕТ 2004 от 9.12 газ_Дайджест 2003-2004 гг._План 2 кв 2007 год 6.04.07" xfId="5955"/>
    <cellStyle name="_БЮДЖЕТ 2004 от 9.12 газ_Дайджест 2003-2004 гг._План 2 кв 2007 год 6.04.07 2" xfId="5956"/>
    <cellStyle name="_БЮДЖЕТ 2004 от 9.12 газ_Дайджест 2003-2004 гг._План 2 кв 2007 год 6.04.07 3" xfId="5957"/>
    <cellStyle name="_БЮДЖЕТ 2004 от 9.12 газ_Дайджест 2003-2004 гг._План 2 кв 2007 год 6.04.07 4" xfId="5958"/>
    <cellStyle name="_БЮДЖЕТ 2004 от 9.12 газ_Дайджест 2003-2004 гг._План 2 кв 2007 год 6.04.07 5" xfId="5959"/>
    <cellStyle name="_БЮДЖЕТ 2004 от 9.12 газ_Дайджест 2003-2004 гг._План 2 кв 2007 год 6.04.07 6" xfId="5960"/>
    <cellStyle name="_БЮДЖЕТ 2004 от 9.12 газ_Дайджест 2003-2004 гг._План 2 кв 2007 год 6.04.07 7" xfId="5961"/>
    <cellStyle name="_БЮДЖЕТ 2004 от 9.12 газ_Дайджест 2003-2004 гг._План 2 кв 2007 год 6.04.07 8" xfId="5962"/>
    <cellStyle name="_БЮДЖЕТ 2004 от 9.12 газ_Дайджест 2003-2004 гг._План 2 кв 2007 год 6.04.07 9" xfId="5963"/>
    <cellStyle name="_БЮДЖЕТ 2004 от 9.12 газ_Дайджест 2003-2004 гг._План ДСМ 2 квартал 2009 ОТЧЕТ отп" xfId="5964"/>
    <cellStyle name="_БЮДЖЕТ 2004 от 9.12 газ_Дайджест 2003-2004 гг._План ДСМ 3 квартал 2009 ОТЧЕТ" xfId="5965"/>
    <cellStyle name="_БЮДЖЕТ 2004 от 9.12 газ_Дайджест 2003-2004 гг._План ДСМ 4 квартал 2009 ОТЧЕТ" xfId="5966"/>
    <cellStyle name="_БЮДЖЕТ 2004 от 9.12 газ_Дайджест 2003-2004 гг._План ДСМ на 4 квартал 2006 (последняя версия) 2" xfId="5967"/>
    <cellStyle name="_БЮДЖЕТ 2004 от 9.12 газ_Дайджест 2003-2004 гг._План ДСМ ноябрь 2011 ОТЧЕТ" xfId="5968"/>
    <cellStyle name="_БЮДЖЕТ 2004 от 9.12 газ_Дайджест 2003-2004 гг._План ДСФ 1 квартал 2007" xfId="5969"/>
    <cellStyle name="_БЮДЖЕТ 2004 от 9.12 газ_Дайджест 2003-2004 гг._План ДСФ 2 квартал 2009 ОТЧЕТ отп" xfId="5970"/>
    <cellStyle name="_БЮДЖЕТ 2004 от 9.12 газ_Дайджест 2003-2004 гг._План ДСФ 4 квартал 2009 ОТЧЕТ" xfId="5971"/>
    <cellStyle name="_БЮДЖЕТ 2004 от 9.12 газ_Дайджест 2003-2004 гг._План на 2009 год ДСМ ОТЧЕТ отп (01.12.08)" xfId="5972"/>
    <cellStyle name="_БЮДЖЕТ 2004 от 9.12 газ_Дайджест 2003-2004 гг._План на 2010 год ДСМ ОТЧЕТ" xfId="5973"/>
    <cellStyle name="_БЮДЖЕТ 2004 от 9.12 газ_Дайджест 2003-2004 гг._план ноября (отправл) 13.11" xfId="5974"/>
    <cellStyle name="_БЮДЖЕТ 2004 от 9.12 газ_Дайджест 2003-2004 гг._План_2008г._БДР" xfId="5975"/>
    <cellStyle name="_БЮДЖЕТ 2004 от 9.12 газ_Дайджест 2003-2004 гг._План_2008г._БДР 2" xfId="5976"/>
    <cellStyle name="_БЮДЖЕТ 2004 от 9.12 газ_Дайджест 2003-2004 гг._План_2008г._БДР 3" xfId="5977"/>
    <cellStyle name="_БЮДЖЕТ 2004 от 9.12 газ_Дайджест 2003-2004 гг._План_2008г._БДР 4" xfId="5978"/>
    <cellStyle name="_БЮДЖЕТ 2004 от 9.12 газ_Дайджест 2003-2004 гг._План_2008г._БДР 5" xfId="5979"/>
    <cellStyle name="_БЮДЖЕТ 2004 от 9.12 газ_Дайджест 2003-2004 гг._План_2008г._БДР 6" xfId="5980"/>
    <cellStyle name="_БЮДЖЕТ 2004 от 9.12 газ_Дайджест 2003-2004 гг._План_2008г._БДР 7" xfId="5981"/>
    <cellStyle name="_БЮДЖЕТ 2004 от 9.12 газ_Дайджест 2003-2004 гг._План_2008г._БДР 8" xfId="5982"/>
    <cellStyle name="_БЮДЖЕТ 2004 от 9.12 газ_Дайджест 2003-2004 гг._План_2008г._БДР 9" xfId="5983"/>
    <cellStyle name="_БЮДЖЕТ 2004 от 9.12 газ_Дайджест 2003-2004 гг._План_2008г._БДР_отпр.13.12.2007_19-40" xfId="5984"/>
    <cellStyle name="_БЮДЖЕТ 2004 от 9.12 газ_Дайджест 2003-2004 гг._План_2008г._БДР_отпр.13.12.2007_19-40 2" xfId="5985"/>
    <cellStyle name="_БЮДЖЕТ 2004 от 9.12 газ_Дайджест 2003-2004 гг._План_2008г._БДР_отпр.13.12.2007_19-40 3" xfId="5986"/>
    <cellStyle name="_БЮДЖЕТ 2004 от 9.12 газ_Дайджест 2003-2004 гг._План_2008г._БДР_отпр.13.12.2007_19-40 4" xfId="5987"/>
    <cellStyle name="_БЮДЖЕТ 2004 от 9.12 газ_Дайджест 2003-2004 гг._План_2008г._БДР_отпр.13.12.2007_19-40 5" xfId="5988"/>
    <cellStyle name="_БЮДЖЕТ 2004 от 9.12 газ_Дайджест 2003-2004 гг._План_2008г._БДР_отпр.13.12.2007_19-40 6" xfId="5989"/>
    <cellStyle name="_БЮДЖЕТ 2004 от 9.12 газ_Дайджест 2003-2004 гг._План_2008г._БДР_отпр.13.12.2007_19-40 7" xfId="5990"/>
    <cellStyle name="_БЮДЖЕТ 2004 от 9.12 газ_Дайджест 2003-2004 гг._План_2008г._БДР_отпр.13.12.2007_19-40 8" xfId="5991"/>
    <cellStyle name="_БЮДЖЕТ 2004 от 9.12 газ_Дайджест 2003-2004 гг._План_2008г._БДР_отпр.13.12.2007_19-40 9" xfId="5992"/>
    <cellStyle name="_БЮДЖЕТ 2004 от 9.12 газ_Дайджест 2003-2004 гг._Помесячный Чистов ФДе" xfId="5993"/>
    <cellStyle name="_БЮДЖЕТ 2004 от 9.12 газ_Дайджест 2003-2004 гг._Помесячный Чистов ФДе 2" xfId="5994"/>
    <cellStyle name="_БЮДЖЕТ 2004 от 9.12 газ_Дайджест 2003-2004 гг._Помесячный Чистов ФДе 3" xfId="5995"/>
    <cellStyle name="_БЮДЖЕТ 2004 от 9.12 газ_Дайджест 2003-2004 гг._Помесячный Чистов ФДе 4" xfId="5996"/>
    <cellStyle name="_БЮДЖЕТ 2004 от 9.12 газ_Дайджест 2003-2004 гг._Помесячный Чистов ФДе 5" xfId="5997"/>
    <cellStyle name="_БЮДЖЕТ 2004 от 9.12 газ_Дайджест 2003-2004 гг._Помесячный Чистов ФДе 6" xfId="5998"/>
    <cellStyle name="_БЮДЖЕТ 2004 от 9.12 газ_Дайджест 2003-2004 гг._Помесячный Чистов ФДе 7" xfId="5999"/>
    <cellStyle name="_БЮДЖЕТ 2004 от 9.12 газ_Дайджест 2003-2004 гг._Помесячный Чистов ФДе 8" xfId="6000"/>
    <cellStyle name="_БЮДЖЕТ 2004 от 9.12 газ_Дайджест 2003-2004 гг._Помесячный Чистов ФДе 9" xfId="6001"/>
    <cellStyle name="_БЮДЖЕТ 2004 от 9.12 газ_Дайджест 2003-2004 гг._пр I кв 2008 форма презентации" xfId="6002"/>
    <cellStyle name="_БЮДЖЕТ 2004 от 9.12 газ_Дайджест 2003-2004 гг._пр I кв 2008 форма презентации 2" xfId="6003"/>
    <cellStyle name="_БЮДЖЕТ 2004 от 9.12 газ_Дайджест 2003-2004 гг._пр I кв 2008 форма презентации 3" xfId="6004"/>
    <cellStyle name="_БЮДЖЕТ 2004 от 9.12 газ_Дайджест 2003-2004 гг._пр I кв 2008 форма презентации 4" xfId="6005"/>
    <cellStyle name="_БЮДЖЕТ 2004 от 9.12 газ_Дайджест 2003-2004 гг._пр I кв 2008 форма презентации 5" xfId="6006"/>
    <cellStyle name="_БЮДЖЕТ 2004 от 9.12 газ_Дайджест 2003-2004 гг._пр I кв 2008 форма презентации 6" xfId="6007"/>
    <cellStyle name="_БЮДЖЕТ 2004 от 9.12 газ_Дайджест 2003-2004 гг._пр I кв 2008 форма презентации 7" xfId="6008"/>
    <cellStyle name="_БЮДЖЕТ 2004 от 9.12 газ_Дайджест 2003-2004 гг._пр I кв 2008 форма презентации 8" xfId="6009"/>
    <cellStyle name="_БЮДЖЕТ 2004 от 9.12 газ_Дайджест 2003-2004 гг._пр I кв 2008 форма презентации 9" xfId="6010"/>
    <cellStyle name="_БЮДЖЕТ 2004 от 9.12 газ_Дайджест 2003-2004 гг._пр2006 Комплект ОЭМК 13.02.07 (рабочая)" xfId="6011"/>
    <cellStyle name="_БЮДЖЕТ 2004 от 9.12 газ_Дайджест 2003-2004 гг._пр2006 Комплект ОЭМК 13.02.07 (рабочая) 2" xfId="6012"/>
    <cellStyle name="_БЮДЖЕТ 2004 от 9.12 газ_Дайджест 2003-2004 гг._пр2006 Комплект ОЭМК 13.02.07 (рабочая) 3" xfId="6013"/>
    <cellStyle name="_БЮДЖЕТ 2004 от 9.12 газ_Дайджест 2003-2004 гг._пр2006 Комплект ОЭМК 13.02.07 (рабочая) 4" xfId="6014"/>
    <cellStyle name="_БЮДЖЕТ 2004 от 9.12 газ_Дайджест 2003-2004 гг._пр2006 Комплект ОЭМК 13.02.07 (рабочая) 5" xfId="6015"/>
    <cellStyle name="_БЮДЖЕТ 2004 от 9.12 газ_Дайджест 2003-2004 гг._пр2006 Комплект ОЭМК 13.02.07 (рабочая) 6" xfId="6016"/>
    <cellStyle name="_БЮДЖЕТ 2004 от 9.12 газ_Дайджест 2003-2004 гг._пр2006 Комплект ОЭМК 13.02.07 (рабочая) 7" xfId="6017"/>
    <cellStyle name="_БЮДЖЕТ 2004 от 9.12 газ_Дайджест 2003-2004 гг._пр2006 Комплект ОЭМК 13.02.07 (рабочая) 8" xfId="6018"/>
    <cellStyle name="_БЮДЖЕТ 2004 от 9.12 газ_Дайджест 2003-2004 гг._пр2006 Комплект ОЭМК 13.02.07 (рабочая) 9" xfId="6019"/>
    <cellStyle name="_БЮДЖЕТ 2004 от 9.12 газ_Дайджест 2003-2004 гг._пр2006 Комплект ОЭМК 13.02.07 (рабочая)_Книга2" xfId="6020"/>
    <cellStyle name="_БЮДЖЕТ 2004 от 9.12 газ_Дайджест 2003-2004 гг._пр2006 Комплект ОЭМК 13.02.07 (рабочая)_Отчет за сентябрь_11_ДСМ" xfId="6021"/>
    <cellStyle name="_БЮДЖЕТ 2004 от 9.12 газ_Дайджест 2003-2004 гг._пр2006 формы(19-30) 14.02.07" xfId="6022"/>
    <cellStyle name="_БЮДЖЕТ 2004 от 9.12 газ_Дайджест 2003-2004 гг._пр2006 формы(19-30) 14.02.07 2" xfId="6023"/>
    <cellStyle name="_БЮДЖЕТ 2004 от 9.12 газ_Дайджест 2003-2004 гг._пр2006 формы(19-30) 14.02.07 3" xfId="6024"/>
    <cellStyle name="_БЮДЖЕТ 2004 от 9.12 газ_Дайджест 2003-2004 гг._пр2006 формы(19-30) 14.02.07 4" xfId="6025"/>
    <cellStyle name="_БЮДЖЕТ 2004 от 9.12 газ_Дайджест 2003-2004 гг._пр2006 формы(19-30) 14.02.07 5" xfId="6026"/>
    <cellStyle name="_БЮДЖЕТ 2004 от 9.12 газ_Дайджест 2003-2004 гг._пр2006 формы(19-30) 14.02.07 6" xfId="6027"/>
    <cellStyle name="_БЮДЖЕТ 2004 от 9.12 газ_Дайджест 2003-2004 гг._пр2006 формы(19-30) 14.02.07 7" xfId="6028"/>
    <cellStyle name="_БЮДЖЕТ 2004 от 9.12 газ_Дайджест 2003-2004 гг._пр2006 формы(19-30) 14.02.07 8" xfId="6029"/>
    <cellStyle name="_БЮДЖЕТ 2004 от 9.12 газ_Дайджест 2003-2004 гг._пр2006 формы(19-30) 14.02.07 9" xfId="6030"/>
    <cellStyle name="_БЮДЖЕТ 2004 от 9.12 газ_Дайджест 2003-2004 гг._пр2006 формы(19-30) 14.02.07_Книга2" xfId="6031"/>
    <cellStyle name="_БЮДЖЕТ 2004 от 9.12 газ_Дайджест 2003-2004 гг._пр2006 формы(19-30) 14.02.07_Отчет за сентябрь_11_ДСМ" xfId="6032"/>
    <cellStyle name="_БЮДЖЕТ 2004 от 9.12 газ_Дайджест 2003-2004 гг._Презентационный БДР_21 02 2008" xfId="6033"/>
    <cellStyle name="_БЮДЖЕТ 2004 от 9.12 газ_Дайджест 2003-2004 гг._Презентационный БДР_21 02 2008 2" xfId="6034"/>
    <cellStyle name="_БЮДЖЕТ 2004 от 9.12 газ_Дайджест 2003-2004 гг._Презентационный БДР_21 02 2008 3" xfId="6035"/>
    <cellStyle name="_БЮДЖЕТ 2004 от 9.12 газ_Дайджест 2003-2004 гг._Презентационный БДР_21 02 2008 4" xfId="6036"/>
    <cellStyle name="_БЮДЖЕТ 2004 от 9.12 газ_Дайджест 2003-2004 гг._Презентационный БДР_21 02 2008 5" xfId="6037"/>
    <cellStyle name="_БЮДЖЕТ 2004 от 9.12 газ_Дайджест 2003-2004 гг._Презентационный БДР_21 02 2008 6" xfId="6038"/>
    <cellStyle name="_БЮДЖЕТ 2004 от 9.12 газ_Дайджест 2003-2004 гг._Презентационный БДР_21 02 2008 7" xfId="6039"/>
    <cellStyle name="_БЮДЖЕТ 2004 от 9.12 газ_Дайджест 2003-2004 гг._Презентационный БДР_21 02 2008 8" xfId="6040"/>
    <cellStyle name="_БЮДЖЕТ 2004 от 9.12 газ_Дайджест 2003-2004 гг._Презентационный БДР_21 02 2008 9" xfId="6041"/>
    <cellStyle name="_БЮДЖЕТ 2004 от 9.12 газ_Дайджест 2003-2004 гг._Презентационный материал" xfId="6042"/>
    <cellStyle name="_БЮДЖЕТ 2004 от 9.12 газ_Дайджест 2003-2004 гг._Презентационный материал 2" xfId="6043"/>
    <cellStyle name="_БЮДЖЕТ 2004 от 9.12 газ_Дайджест 2003-2004 гг._Презентационный материал 2 кв_план" xfId="6044"/>
    <cellStyle name="_БЮДЖЕТ 2004 от 9.12 газ_Дайджест 2003-2004 гг._Презентационный материал 3" xfId="6045"/>
    <cellStyle name="_БЮДЖЕТ 2004 от 9.12 газ_Дайджест 2003-2004 гг._Презентационный материал 4" xfId="6046"/>
    <cellStyle name="_БЮДЖЕТ 2004 от 9.12 газ_Дайджест 2003-2004 гг._Презентационный материал 5" xfId="6047"/>
    <cellStyle name="_БЮДЖЕТ 2004 от 9.12 газ_Дайджест 2003-2004 гг._Презентационный материал 6" xfId="6048"/>
    <cellStyle name="_БЮДЖЕТ 2004 от 9.12 газ_Дайджест 2003-2004 гг._Презентационный материал 7" xfId="6049"/>
    <cellStyle name="_БЮДЖЕТ 2004 от 9.12 газ_Дайджест 2003-2004 гг._Презентационный материал 8" xfId="6050"/>
    <cellStyle name="_БЮДЖЕТ 2004 от 9.12 газ_Дайджест 2003-2004 гг._Презентационный материал 9" xfId="6051"/>
    <cellStyle name="_БЮДЖЕТ 2004 от 9.12 газ_Дайджест 2003-2004 гг._Презентация" xfId="6052"/>
    <cellStyle name="_БЮДЖЕТ 2004 от 9.12 газ_Дайджест 2003-2004 гг._Презентация (фин.часть) 27.06.07" xfId="6053"/>
    <cellStyle name="_БЮДЖЕТ 2004 от 9.12 газ_Дайджест 2003-2004 гг._Презентация (фин.часть) 27.06.07 2" xfId="6054"/>
    <cellStyle name="_БЮДЖЕТ 2004 от 9.12 газ_Дайджест 2003-2004 гг._Презентация (фин.часть) 27.06.07 3" xfId="6055"/>
    <cellStyle name="_БЮДЖЕТ 2004 от 9.12 газ_Дайджест 2003-2004 гг._Презентация (фин.часть) 27.06.07 4" xfId="6056"/>
    <cellStyle name="_БЮДЖЕТ 2004 от 9.12 газ_Дайджест 2003-2004 гг._Презентация (фин.часть) 27.06.07 5" xfId="6057"/>
    <cellStyle name="_БЮДЖЕТ 2004 от 9.12 газ_Дайджест 2003-2004 гг._Презентация (фин.часть) 27.06.07 6" xfId="6058"/>
    <cellStyle name="_БЮДЖЕТ 2004 от 9.12 газ_Дайджест 2003-2004 гг._Презентация (фин.часть) 27.06.07 7" xfId="6059"/>
    <cellStyle name="_БЮДЖЕТ 2004 от 9.12 газ_Дайджест 2003-2004 гг._Презентация (фин.часть) 27.06.07 8" xfId="6060"/>
    <cellStyle name="_БЮДЖЕТ 2004 от 9.12 газ_Дайджест 2003-2004 гг._Презентация (фин.часть) 27.06.07 9" xfId="6061"/>
    <cellStyle name="_БЮДЖЕТ 2004 от 9.12 газ_Дайджест 2003-2004 гг._Презентация 2" xfId="6062"/>
    <cellStyle name="_БЮДЖЕТ 2004 от 9.12 газ_Дайджест 2003-2004 гг._Презентация 2007 пл-ож 17.12" xfId="6063"/>
    <cellStyle name="_БЮДЖЕТ 2004 от 9.12 газ_Дайджест 2003-2004 гг._Презентация 2007 пл-ож 17.12 2" xfId="6064"/>
    <cellStyle name="_БЮДЖЕТ 2004 от 9.12 газ_Дайджест 2003-2004 гг._Презентация 2007 пл-ож 17.12 3" xfId="6065"/>
    <cellStyle name="_БЮДЖЕТ 2004 от 9.12 газ_Дайджест 2003-2004 гг._Презентация 2007 пл-ож 17.12 4" xfId="6066"/>
    <cellStyle name="_БЮДЖЕТ 2004 от 9.12 газ_Дайджест 2003-2004 гг._Презентация 2007 пл-ож 17.12 5" xfId="6067"/>
    <cellStyle name="_БЮДЖЕТ 2004 от 9.12 газ_Дайджест 2003-2004 гг._Презентация 2007 пл-ож 17.12 6" xfId="6068"/>
    <cellStyle name="_БЮДЖЕТ 2004 от 9.12 газ_Дайджест 2003-2004 гг._Презентация 2007 пл-ож 17.12 7" xfId="6069"/>
    <cellStyle name="_БЮДЖЕТ 2004 от 9.12 газ_Дайджест 2003-2004 гг._Презентация 2007 пл-ож 17.12 8" xfId="6070"/>
    <cellStyle name="_БЮДЖЕТ 2004 от 9.12 газ_Дайджест 2003-2004 гг._Презентация 2007 пл-ож 17.12 9" xfId="6071"/>
    <cellStyle name="_БЮДЖЕТ 2004 от 9.12 газ_Дайджест 2003-2004 гг._Презентация 2007-2008 17.12" xfId="6072"/>
    <cellStyle name="_БЮДЖЕТ 2004 от 9.12 газ_Дайджест 2003-2004 гг._Презентация 2007-2008 17.12 2" xfId="6073"/>
    <cellStyle name="_БЮДЖЕТ 2004 от 9.12 газ_Дайджест 2003-2004 гг._Презентация 2007-2008 17.12 3" xfId="6074"/>
    <cellStyle name="_БЮДЖЕТ 2004 от 9.12 газ_Дайджест 2003-2004 гг._Презентация 2007-2008 17.12 4" xfId="6075"/>
    <cellStyle name="_БЮДЖЕТ 2004 от 9.12 газ_Дайджест 2003-2004 гг._Презентация 2007-2008 17.12 5" xfId="6076"/>
    <cellStyle name="_БЮДЖЕТ 2004 от 9.12 газ_Дайджест 2003-2004 гг._Презентация 2007-2008 17.12 6" xfId="6077"/>
    <cellStyle name="_БЮДЖЕТ 2004 от 9.12 газ_Дайджест 2003-2004 гг._Презентация 2007-2008 17.12 7" xfId="6078"/>
    <cellStyle name="_БЮДЖЕТ 2004 от 9.12 газ_Дайджест 2003-2004 гг._Презентация 2007-2008 17.12 8" xfId="6079"/>
    <cellStyle name="_БЮДЖЕТ 2004 от 9.12 газ_Дайджест 2003-2004 гг._Презентация 2007-2008 17.12 9" xfId="6080"/>
    <cellStyle name="_БЮДЖЕТ 2004 от 9.12 газ_Дайджест 2003-2004 гг._Презентация 2008 (2)" xfId="6081"/>
    <cellStyle name="_БЮДЖЕТ 2004 от 9.12 газ_Дайджест 2003-2004 гг._Презентация 2008 (2) 2" xfId="6082"/>
    <cellStyle name="_БЮДЖЕТ 2004 от 9.12 газ_Дайджест 2003-2004 гг._Презентация 2008 (2) 3" xfId="6083"/>
    <cellStyle name="_БЮДЖЕТ 2004 от 9.12 газ_Дайджест 2003-2004 гг._Презентация 2008 (2) 4" xfId="6084"/>
    <cellStyle name="_БЮДЖЕТ 2004 от 9.12 газ_Дайджест 2003-2004 гг._Презентация 2008 (2) 5" xfId="6085"/>
    <cellStyle name="_БЮДЖЕТ 2004 от 9.12 газ_Дайджест 2003-2004 гг._Презентация 2008 (2) 6" xfId="6086"/>
    <cellStyle name="_БЮДЖЕТ 2004 от 9.12 газ_Дайджест 2003-2004 гг._Презентация 2008 (2) 7" xfId="6087"/>
    <cellStyle name="_БЮДЖЕТ 2004 от 9.12 газ_Дайджест 2003-2004 гг._Презентация 2008 (2) 8" xfId="6088"/>
    <cellStyle name="_БЮДЖЕТ 2004 от 9.12 газ_Дайджест 2003-2004 гг._Презентация 2008 (2) 9" xfId="6089"/>
    <cellStyle name="_БЮДЖЕТ 2004 от 9.12 газ_Дайджест 2003-2004 гг._Презентация 2008 год (фин. часть) от 22.10.07" xfId="6090"/>
    <cellStyle name="_БЮДЖЕТ 2004 от 9.12 газ_Дайджест 2003-2004 гг._Презентация 2008 год (фин. часть) от 22.10.07 2" xfId="6091"/>
    <cellStyle name="_БЮДЖЕТ 2004 от 9.12 газ_Дайджест 2003-2004 гг._Презентация 2008 год (фин. часть) от 22.10.07 3" xfId="6092"/>
    <cellStyle name="_БЮДЖЕТ 2004 от 9.12 газ_Дайджест 2003-2004 гг._Презентация 2008 год (фин. часть) от 22.10.07 4" xfId="6093"/>
    <cellStyle name="_БЮДЖЕТ 2004 от 9.12 газ_Дайджест 2003-2004 гг._Презентация 2008 год (фин. часть) от 22.10.07 5" xfId="6094"/>
    <cellStyle name="_БЮДЖЕТ 2004 от 9.12 газ_Дайджест 2003-2004 гг._Презентация 2008 год (фин. часть) от 22.10.07 6" xfId="6095"/>
    <cellStyle name="_БЮДЖЕТ 2004 от 9.12 газ_Дайджест 2003-2004 гг._Презентация 2008 год (фин. часть) от 22.10.07 7" xfId="6096"/>
    <cellStyle name="_БЮДЖЕТ 2004 от 9.12 газ_Дайджест 2003-2004 гг._Презентация 2008 год (фин. часть) от 22.10.07 8" xfId="6097"/>
    <cellStyle name="_БЮДЖЕТ 2004 от 9.12 газ_Дайджест 2003-2004 гг._Презентация 2008 год (фин. часть) от 22.10.07 9" xfId="6098"/>
    <cellStyle name="_БЮДЖЕТ 2004 от 9.12 газ_Дайджест 2003-2004 гг._Презентация 2008 фин. часть (коричневые формы)" xfId="6099"/>
    <cellStyle name="_БЮДЖЕТ 2004 от 9.12 газ_Дайджест 2003-2004 гг._Презентация 2008 фин. часть (коричневые формы) 2" xfId="6100"/>
    <cellStyle name="_БЮДЖЕТ 2004 от 9.12 газ_Дайджест 2003-2004 гг._Презентация 2008 фин. часть (коричневые формы) 3" xfId="6101"/>
    <cellStyle name="_БЮДЖЕТ 2004 от 9.12 газ_Дайджест 2003-2004 гг._Презентация 2008 фин. часть (коричневые формы) 4" xfId="6102"/>
    <cellStyle name="_БЮДЖЕТ 2004 от 9.12 газ_Дайджест 2003-2004 гг._Презентация 2008 фин. часть (коричневые формы) 5" xfId="6103"/>
    <cellStyle name="_БЮДЖЕТ 2004 от 9.12 газ_Дайджест 2003-2004 гг._Презентация 2008 фин. часть (коричневые формы) 6" xfId="6104"/>
    <cellStyle name="_БЮДЖЕТ 2004 от 9.12 газ_Дайджест 2003-2004 гг._Презентация 2008 фин. часть (коричневые формы) 7" xfId="6105"/>
    <cellStyle name="_БЮДЖЕТ 2004 от 9.12 газ_Дайджест 2003-2004 гг._Презентация 2008 фин. часть (коричневые формы) 8" xfId="6106"/>
    <cellStyle name="_БЮДЖЕТ 2004 от 9.12 газ_Дайджест 2003-2004 гг._Презентация 2008 фин. часть (коричневые формы) 9" xfId="6107"/>
    <cellStyle name="_БЮДЖЕТ 2004 от 9.12 газ_Дайджест 2003-2004 гг._Презентация 3" xfId="6108"/>
    <cellStyle name="_БЮДЖЕТ 2004 от 9.12 газ_Дайджест 2003-2004 гг._Презентация 4" xfId="6109"/>
    <cellStyle name="_БЮДЖЕТ 2004 от 9.12 газ_Дайджест 2003-2004 гг._Презентация 5" xfId="6110"/>
    <cellStyle name="_БЮДЖЕТ 2004 от 9.12 газ_Дайджест 2003-2004 гг._Презентация 6" xfId="6111"/>
    <cellStyle name="_БЮДЖЕТ 2004 от 9.12 газ_Дайджест 2003-2004 гг._Презентация 7" xfId="6112"/>
    <cellStyle name="_БЮДЖЕТ 2004 от 9.12 газ_Дайджест 2003-2004 гг._Презентация 8" xfId="6113"/>
    <cellStyle name="_БЮДЖЕТ 2004 от 9.12 газ_Дайджест 2003-2004 гг._презентация 8.02.07" xfId="6114"/>
    <cellStyle name="_БЮДЖЕТ 2004 от 9.12 газ_Дайджест 2003-2004 гг._презентация 8.02.07 2" xfId="6115"/>
    <cellStyle name="_БЮДЖЕТ 2004 от 9.12 газ_Дайджест 2003-2004 гг._презентация 8.02.07 3" xfId="6116"/>
    <cellStyle name="_БЮДЖЕТ 2004 от 9.12 газ_Дайджест 2003-2004 гг._презентация 8.02.07 4" xfId="6117"/>
    <cellStyle name="_БЮДЖЕТ 2004 от 9.12 газ_Дайджест 2003-2004 гг._презентация 8.02.07 5" xfId="6118"/>
    <cellStyle name="_БЮДЖЕТ 2004 от 9.12 газ_Дайджест 2003-2004 гг._презентация 8.02.07 6" xfId="6119"/>
    <cellStyle name="_БЮДЖЕТ 2004 от 9.12 газ_Дайджест 2003-2004 гг._презентация 8.02.07 7" xfId="6120"/>
    <cellStyle name="_БЮДЖЕТ 2004 от 9.12 газ_Дайджест 2003-2004 гг._презентация 8.02.07 8" xfId="6121"/>
    <cellStyle name="_БЮДЖЕТ 2004 от 9.12 газ_Дайджест 2003-2004 гг._презентация 8.02.07 9" xfId="6122"/>
    <cellStyle name="_БЮДЖЕТ 2004 от 9.12 газ_Дайджест 2003-2004 гг._Презентация 9" xfId="6123"/>
    <cellStyle name="_БЮДЖЕТ 2004 от 9.12 газ_Дайджест 2003-2004 гг._Презентация август 07 факт" xfId="6124"/>
    <cellStyle name="_БЮДЖЕТ 2004 от 9.12 газ_Дайджест 2003-2004 гг._Презентация август 07 факт 2" xfId="6125"/>
    <cellStyle name="_БЮДЖЕТ 2004 от 9.12 газ_Дайджест 2003-2004 гг._Презентация август 07 факт 3" xfId="6126"/>
    <cellStyle name="_БЮДЖЕТ 2004 от 9.12 газ_Дайджест 2003-2004 гг._Презентация август 07 факт 4" xfId="6127"/>
    <cellStyle name="_БЮДЖЕТ 2004 от 9.12 газ_Дайджест 2003-2004 гг._Презентация август 07 факт 5" xfId="6128"/>
    <cellStyle name="_БЮДЖЕТ 2004 от 9.12 газ_Дайджест 2003-2004 гг._Презентация август 07 факт 6" xfId="6129"/>
    <cellStyle name="_БЮДЖЕТ 2004 от 9.12 газ_Дайджест 2003-2004 гг._Презентация август 07 факт 7" xfId="6130"/>
    <cellStyle name="_БЮДЖЕТ 2004 от 9.12 газ_Дайджест 2003-2004 гг._Презентация август 07 факт 8" xfId="6131"/>
    <cellStyle name="_БЮДЖЕТ 2004 от 9.12 газ_Дайджест 2003-2004 гг._Презентация август 07 факт 9" xfId="6132"/>
    <cellStyle name="_БЮДЖЕТ 2004 от 9.12 газ_Дайджест 2003-2004 гг._Презентация для Ульянова" xfId="6133"/>
    <cellStyle name="_БЮДЖЕТ 2004 от 9.12 газ_Дайджест 2003-2004 гг._Презентация для Ульянова 2" xfId="6134"/>
    <cellStyle name="_БЮДЖЕТ 2004 от 9.12 газ_Дайджест 2003-2004 гг._Презентация для Ульянова 3" xfId="6135"/>
    <cellStyle name="_БЮДЖЕТ 2004 от 9.12 газ_Дайджест 2003-2004 гг._Презентация для Ульянова 4" xfId="6136"/>
    <cellStyle name="_БЮДЖЕТ 2004 от 9.12 газ_Дайджест 2003-2004 гг._Презентация для Ульянова 5" xfId="6137"/>
    <cellStyle name="_БЮДЖЕТ 2004 от 9.12 газ_Дайджест 2003-2004 гг._Презентация для Ульянова 6" xfId="6138"/>
    <cellStyle name="_БЮДЖЕТ 2004 от 9.12 газ_Дайджест 2003-2004 гг._Презентация для Ульянова 7" xfId="6139"/>
    <cellStyle name="_БЮДЖЕТ 2004 от 9.12 газ_Дайджест 2003-2004 гг._Презентация для Ульянова 8" xfId="6140"/>
    <cellStyle name="_БЮДЖЕТ 2004 от 9.12 газ_Дайджест 2003-2004 гг._Презентация для Ульянова 9" xfId="6141"/>
    <cellStyle name="_БЮДЖЕТ 2004 от 9.12 газ_Дайджест 2003-2004 гг._Презентация для Ульянова И.Г. от 17.12.07" xfId="6142"/>
    <cellStyle name="_БЮДЖЕТ 2004 от 9.12 газ_Дайджест 2003-2004 гг._Презентация для Ульянова И.Г. от 17.12.07 2" xfId="6143"/>
    <cellStyle name="_БЮДЖЕТ 2004 от 9.12 газ_Дайджест 2003-2004 гг._Презентация для Ульянова И.Г. от 17.12.07 3" xfId="6144"/>
    <cellStyle name="_БЮДЖЕТ 2004 от 9.12 газ_Дайджест 2003-2004 гг._Презентация для Ульянова И.Г. от 17.12.07 4" xfId="6145"/>
    <cellStyle name="_БЮДЖЕТ 2004 от 9.12 газ_Дайджест 2003-2004 гг._Презентация для Ульянова И.Г. от 17.12.07 5" xfId="6146"/>
    <cellStyle name="_БЮДЖЕТ 2004 от 9.12 газ_Дайджест 2003-2004 гг._Презентация для Ульянова И.Г. от 17.12.07 6" xfId="6147"/>
    <cellStyle name="_БЮДЖЕТ 2004 от 9.12 газ_Дайджест 2003-2004 гг._Презентация для Ульянова И.Г. от 17.12.07 7" xfId="6148"/>
    <cellStyle name="_БЮДЖЕТ 2004 от 9.12 газ_Дайджест 2003-2004 гг._Презентация для Ульянова И.Г. от 17.12.07 8" xfId="6149"/>
    <cellStyle name="_БЮДЖЕТ 2004 от 9.12 газ_Дайджест 2003-2004 гг._Презентация для Ульянова И.Г. от 17.12.07 9" xfId="6150"/>
    <cellStyle name="_БЮДЖЕТ 2004 от 9.12 газ_Дайджест 2003-2004 гг._презентация займы РК г" xfId="6151"/>
    <cellStyle name="_БЮДЖЕТ 2004 от 9.12 газ_Дайджест 2003-2004 гг._презентация займы РК г 2" xfId="6152"/>
    <cellStyle name="_БЮДЖЕТ 2004 от 9.12 газ_Дайджест 2003-2004 гг._презентация займы РК г 3" xfId="6153"/>
    <cellStyle name="_БЮДЖЕТ 2004 от 9.12 газ_Дайджест 2003-2004 гг._презентация займы РК г 4" xfId="6154"/>
    <cellStyle name="_БЮДЖЕТ 2004 от 9.12 газ_Дайджест 2003-2004 гг._презентация займы РК г 5" xfId="6155"/>
    <cellStyle name="_БЮДЖЕТ 2004 от 9.12 газ_Дайджест 2003-2004 гг._презентация займы РК г 6" xfId="6156"/>
    <cellStyle name="_БЮДЖЕТ 2004 от 9.12 газ_Дайджест 2003-2004 гг._презентация займы РК г 7" xfId="6157"/>
    <cellStyle name="_БЮДЖЕТ 2004 от 9.12 газ_Дайджест 2003-2004 гг._презентация займы РК г 8" xfId="6158"/>
    <cellStyle name="_БЮДЖЕТ 2004 от 9.12 газ_Дайджест 2003-2004 гг._презентация займы РК г 9" xfId="6159"/>
    <cellStyle name="_БЮДЖЕТ 2004 от 9.12 газ_Дайджест 2003-2004 гг._Презентация инвестиции" xfId="6160"/>
    <cellStyle name="_БЮДЖЕТ 2004 от 9.12 газ_Дайджест 2003-2004 гг._Презентация инвестиции 2" xfId="6161"/>
    <cellStyle name="_БЮДЖЕТ 2004 от 9.12 газ_Дайджест 2003-2004 гг._Презентация инвестиции 3" xfId="6162"/>
    <cellStyle name="_БЮДЖЕТ 2004 от 9.12 газ_Дайджест 2003-2004 гг._Презентация инвестиции 4" xfId="6163"/>
    <cellStyle name="_БЮДЖЕТ 2004 от 9.12 газ_Дайджест 2003-2004 гг._Презентация инвестиции 5" xfId="6164"/>
    <cellStyle name="_БЮДЖЕТ 2004 от 9.12 газ_Дайджест 2003-2004 гг._Презентация инвестиции 6" xfId="6165"/>
    <cellStyle name="_БЮДЖЕТ 2004 от 9.12 газ_Дайджест 2003-2004 гг._Презентация инвестиции 7" xfId="6166"/>
    <cellStyle name="_БЮДЖЕТ 2004 от 9.12 газ_Дайджест 2003-2004 гг._Презентация инвестиции 8" xfId="6167"/>
    <cellStyle name="_БЮДЖЕТ 2004 от 9.12 газ_Дайджест 2003-2004 гг._Презентация инвестиции 9" xfId="6168"/>
    <cellStyle name="_БЮДЖЕТ 2004 от 9.12 газ_Дайджест 2003-2004 гг._Презентация коричн. СДП, РК, Инв план 2008 (фин. часть) от 24.03.08" xfId="6169"/>
    <cellStyle name="_БЮДЖЕТ 2004 от 9.12 газ_Дайджест 2003-2004 гг._Презентация коричн. СДП, РК, Инв план 2008 (фин. часть) от 24.03.08 2" xfId="6170"/>
    <cellStyle name="_БЮДЖЕТ 2004 от 9.12 газ_Дайджест 2003-2004 гг._Презентация коричн. СДП, РК, Инв план 2008 (фин. часть) от 24.03.08 3" xfId="6171"/>
    <cellStyle name="_БЮДЖЕТ 2004 от 9.12 газ_Дайджест 2003-2004 гг._Презентация коричн. СДП, РК, Инв план 2008 (фин. часть) от 24.03.08 4" xfId="6172"/>
    <cellStyle name="_БЮДЖЕТ 2004 от 9.12 газ_Дайджест 2003-2004 гг._Презентация коричн. СДП, РК, Инв план 2008 (фин. часть) от 24.03.08 5" xfId="6173"/>
    <cellStyle name="_БЮДЖЕТ 2004 от 9.12 газ_Дайджест 2003-2004 гг._Презентация коричн. СДП, РК, Инв план 2008 (фин. часть) от 24.03.08 6" xfId="6174"/>
    <cellStyle name="_БЮДЖЕТ 2004 от 9.12 газ_Дайджест 2003-2004 гг._Презентация коричн. СДП, РК, Инв план 2008 (фин. часть) от 24.03.08 7" xfId="6175"/>
    <cellStyle name="_БЮДЖЕТ 2004 от 9.12 газ_Дайджест 2003-2004 гг._Презентация коричн. СДП, РК, Инв план 2008 (фин. часть) от 24.03.08 8" xfId="6176"/>
    <cellStyle name="_БЮДЖЕТ 2004 от 9.12 газ_Дайджест 2003-2004 гг._Презентация коричн. СДП, РК, Инв план 2008 (фин. часть) от 24.03.08 9" xfId="6177"/>
    <cellStyle name="_БЮДЖЕТ 2004 от 9.12 газ_Дайджест 2003-2004 гг._Презентация коричневая 2007 план + ож" xfId="6178"/>
    <cellStyle name="_БЮДЖЕТ 2004 от 9.12 газ_Дайджест 2003-2004 гг._Презентация коричневая 2007 план + ож 2" xfId="6179"/>
    <cellStyle name="_БЮДЖЕТ 2004 от 9.12 газ_Дайджест 2003-2004 гг._Презентация коричневая 2007 план + ож 3" xfId="6180"/>
    <cellStyle name="_БЮДЖЕТ 2004 от 9.12 газ_Дайджест 2003-2004 гг._Презентация коричневая 2007 план + ож 4" xfId="6181"/>
    <cellStyle name="_БЮДЖЕТ 2004 от 9.12 газ_Дайджест 2003-2004 гг._Презентация коричневая 2007 план + ож 5" xfId="6182"/>
    <cellStyle name="_БЮДЖЕТ 2004 от 9.12 газ_Дайджест 2003-2004 гг._Презентация коричневая 2007 план + ож 6" xfId="6183"/>
    <cellStyle name="_БЮДЖЕТ 2004 от 9.12 газ_Дайджест 2003-2004 гг._Презентация коричневая 2007 план + ож 7" xfId="6184"/>
    <cellStyle name="_БЮДЖЕТ 2004 от 9.12 газ_Дайджест 2003-2004 гг._Презентация коричневая 2007 план + ож 8" xfId="6185"/>
    <cellStyle name="_БЮДЖЕТ 2004 от 9.12 газ_Дайджест 2003-2004 гг._Презентация коричневая 2007 план + ож 9" xfId="6186"/>
    <cellStyle name="_БЮДЖЕТ 2004 от 9.12 газ_Дайджест 2003-2004 гг._Презентация коричневая 2007-2008" xfId="6187"/>
    <cellStyle name="_БЮДЖЕТ 2004 от 9.12 газ_Дайджест 2003-2004 гг._Презентация коричневая 2007-2008 2" xfId="6188"/>
    <cellStyle name="_БЮДЖЕТ 2004 от 9.12 газ_Дайджест 2003-2004 гг._Презентация коричневая 2007-2008 3" xfId="6189"/>
    <cellStyle name="_БЮДЖЕТ 2004 от 9.12 газ_Дайджест 2003-2004 гг._Презентация коричневая 2007-2008 4" xfId="6190"/>
    <cellStyle name="_БЮДЖЕТ 2004 от 9.12 газ_Дайджест 2003-2004 гг._Презентация коричневая 2007-2008 5" xfId="6191"/>
    <cellStyle name="_БЮДЖЕТ 2004 от 9.12 газ_Дайджест 2003-2004 гг._Презентация коричневая 2007-2008 6" xfId="6192"/>
    <cellStyle name="_БЮДЖЕТ 2004 от 9.12 газ_Дайджест 2003-2004 гг._Презентация коричневая 2007-2008 7" xfId="6193"/>
    <cellStyle name="_БЮДЖЕТ 2004 от 9.12 газ_Дайджест 2003-2004 гг._Презентация коричневая 2007-2008 8" xfId="6194"/>
    <cellStyle name="_БЮДЖЕТ 2004 от 9.12 газ_Дайджест 2003-2004 гг._Презентация коричневая 2007-2008 9" xfId="6195"/>
    <cellStyle name="_БЮДЖЕТ 2004 от 9.12 газ_Дайджест 2003-2004 гг._Презентация от 10.12.07 (СПД и РК)  2007план и 2007ожид." xfId="6196"/>
    <cellStyle name="_БЮДЖЕТ 2004 от 9.12 газ_Дайджест 2003-2004 гг._Презентация от 10.12.07 (СПД и РК)  2007план и 2007ожид. 2" xfId="6197"/>
    <cellStyle name="_БЮДЖЕТ 2004 от 9.12 газ_Дайджест 2003-2004 гг._Презентация от 10.12.07 (СПД и РК)  2007план и 2007ожид. 3" xfId="6198"/>
    <cellStyle name="_БЮДЖЕТ 2004 от 9.12 газ_Дайджест 2003-2004 гг._Презентация от 10.12.07 (СПД и РК)  2007план и 2007ожид. 4" xfId="6199"/>
    <cellStyle name="_БЮДЖЕТ 2004 от 9.12 газ_Дайджест 2003-2004 гг._Презентация от 10.12.07 (СПД и РК)  2007план и 2007ожид. 5" xfId="6200"/>
    <cellStyle name="_БЮДЖЕТ 2004 от 9.12 газ_Дайджест 2003-2004 гг._Презентация от 10.12.07 (СПД и РК)  2007план и 2007ожид. 6" xfId="6201"/>
    <cellStyle name="_БЮДЖЕТ 2004 от 9.12 газ_Дайджест 2003-2004 гг._Презентация от 10.12.07 (СПД и РК)  2007план и 2007ожид. 7" xfId="6202"/>
    <cellStyle name="_БЮДЖЕТ 2004 от 9.12 газ_Дайджест 2003-2004 гг._Презентация от 10.12.07 (СПД и РК)  2007план и 2007ожид. 8" xfId="6203"/>
    <cellStyle name="_БЮДЖЕТ 2004 от 9.12 газ_Дайджест 2003-2004 гг._Презентация от 10.12.07 (СПД и РК)  2007план и 2007ожид. 9" xfId="6204"/>
    <cellStyle name="_БЮДЖЕТ 2004 от 9.12 газ_Дайджест 2003-2004 гг._Презентация от 10.12.07 (СПД и РК)  2008план и 2007ожид" xfId="6205"/>
    <cellStyle name="_БЮДЖЕТ 2004 от 9.12 газ_Дайджест 2003-2004 гг._Презентация от 10.12.07 (СПД и РК)  2008план и 2007ожид 2" xfId="6206"/>
    <cellStyle name="_БЮДЖЕТ 2004 от 9.12 газ_Дайджест 2003-2004 гг._Презентация от 10.12.07 (СПД и РК)  2008план и 2007ожид 3" xfId="6207"/>
    <cellStyle name="_БЮДЖЕТ 2004 от 9.12 газ_Дайджест 2003-2004 гг._Презентация от 10.12.07 (СПД и РК)  2008план и 2007ожид 4" xfId="6208"/>
    <cellStyle name="_БЮДЖЕТ 2004 от 9.12 газ_Дайджест 2003-2004 гг._Презентация от 10.12.07 (СПД и РК)  2008план и 2007ожид 5" xfId="6209"/>
    <cellStyle name="_БЮДЖЕТ 2004 от 9.12 газ_Дайджест 2003-2004 гг._Презентация от 10.12.07 (СПД и РК)  2008план и 2007ожид 6" xfId="6210"/>
    <cellStyle name="_БЮДЖЕТ 2004 от 9.12 газ_Дайджест 2003-2004 гг._Презентация от 10.12.07 (СПД и РК)  2008план и 2007ожид 7" xfId="6211"/>
    <cellStyle name="_БЮДЖЕТ 2004 от 9.12 газ_Дайджест 2003-2004 гг._Презентация от 10.12.07 (СПД и РК)  2008план и 2007ожид 8" xfId="6212"/>
    <cellStyle name="_БЮДЖЕТ 2004 от 9.12 газ_Дайджест 2003-2004 гг._Презентация от 10.12.07 (СПД и РК)  2008план и 2007ожид 9" xfId="6213"/>
    <cellStyle name="_БЮДЖЕТ 2004 от 9.12 газ_Дайджест 2003-2004 гг._Презентация от 19 12 07" xfId="6214"/>
    <cellStyle name="_БЮДЖЕТ 2004 от 9.12 газ_Дайджест 2003-2004 гг._Презентация от 19 12 07 2" xfId="6215"/>
    <cellStyle name="_БЮДЖЕТ 2004 от 9.12 газ_Дайджест 2003-2004 гг._Презентация от 19 12 07 3" xfId="6216"/>
    <cellStyle name="_БЮДЖЕТ 2004 от 9.12 газ_Дайджест 2003-2004 гг._Презентация от 19 12 07 4" xfId="6217"/>
    <cellStyle name="_БЮДЖЕТ 2004 от 9.12 газ_Дайджест 2003-2004 гг._Презентация от 19 12 07 5" xfId="6218"/>
    <cellStyle name="_БЮДЖЕТ 2004 от 9.12 газ_Дайджест 2003-2004 гг._Презентация от 19 12 07 6" xfId="6219"/>
    <cellStyle name="_БЮДЖЕТ 2004 от 9.12 газ_Дайджест 2003-2004 гг._Презентация от 19 12 07 7" xfId="6220"/>
    <cellStyle name="_БЮДЖЕТ 2004 от 9.12 газ_Дайджест 2003-2004 гг._Презентация от 19 12 07 8" xfId="6221"/>
    <cellStyle name="_БЮДЖЕТ 2004 от 9.12 газ_Дайджест 2003-2004 гг._Презентация от 19 12 07 9" xfId="6222"/>
    <cellStyle name="_БЮДЖЕТ 2004 от 9.12 газ_Дайджест 2003-2004 гг._Презентация СДП, РК, Инв план 2008 (фин. часть) от 24.03.08" xfId="6223"/>
    <cellStyle name="_БЮДЖЕТ 2004 от 9.12 газ_Дайджест 2003-2004 гг._Презентация СДП, РК, Инв план 2008 (фин. часть) от 24.03.08 2" xfId="6224"/>
    <cellStyle name="_БЮДЖЕТ 2004 от 9.12 газ_Дайджест 2003-2004 гг._Презентация СДП, РК, Инв план 2008 (фин. часть) от 24.03.08 3" xfId="6225"/>
    <cellStyle name="_БЮДЖЕТ 2004 от 9.12 газ_Дайджест 2003-2004 гг._Презентация СДП, РК, Инв план 2008 (фин. часть) от 24.03.08 4" xfId="6226"/>
    <cellStyle name="_БЮДЖЕТ 2004 от 9.12 газ_Дайджест 2003-2004 гг._Презентация СДП, РК, Инв план 2008 (фин. часть) от 24.03.08 5" xfId="6227"/>
    <cellStyle name="_БЮДЖЕТ 2004 от 9.12 газ_Дайджест 2003-2004 гг._Презентация СДП, РК, Инв план 2008 (фин. часть) от 24.03.08 6" xfId="6228"/>
    <cellStyle name="_БЮДЖЕТ 2004 от 9.12 газ_Дайджест 2003-2004 гг._Презентация СДП, РК, Инв план 2008 (фин. часть) от 24.03.08 7" xfId="6229"/>
    <cellStyle name="_БЮДЖЕТ 2004 от 9.12 газ_Дайджест 2003-2004 гг._Презентация СДП, РК, Инв план 2008 (фин. часть) от 24.03.08 8" xfId="6230"/>
    <cellStyle name="_БЮДЖЕТ 2004 от 9.12 газ_Дайджест 2003-2004 гг._Презентация СДП, РК, Инв план 2008 (фин. часть) от 24.03.08 9" xfId="6231"/>
    <cellStyle name="_БЮДЖЕТ 2004 от 9.12 газ_Дайджест 2003-2004 гг._Презентация ФО от 17.12.07" xfId="6232"/>
    <cellStyle name="_БЮДЖЕТ 2004 от 9.12 газ_Дайджест 2003-2004 гг._Презентация ФО от 17.12.07 2" xfId="6233"/>
    <cellStyle name="_БЮДЖЕТ 2004 от 9.12 газ_Дайджест 2003-2004 гг._Презентация ФО от 17.12.07 3" xfId="6234"/>
    <cellStyle name="_БЮДЖЕТ 2004 от 9.12 газ_Дайджест 2003-2004 гг._Презентация ФО от 17.12.07 4" xfId="6235"/>
    <cellStyle name="_БЮДЖЕТ 2004 от 9.12 газ_Дайджест 2003-2004 гг._Презентация ФО от 17.12.07 5" xfId="6236"/>
    <cellStyle name="_БЮДЖЕТ 2004 от 9.12 газ_Дайджест 2003-2004 гг._Презентация ФО от 17.12.07 6" xfId="6237"/>
    <cellStyle name="_БЮДЖЕТ 2004 от 9.12 газ_Дайджест 2003-2004 гг._Презентация ФО от 17.12.07 7" xfId="6238"/>
    <cellStyle name="_БЮДЖЕТ 2004 от 9.12 газ_Дайджест 2003-2004 гг._Презентация ФО от 17.12.07 8" xfId="6239"/>
    <cellStyle name="_БЮДЖЕТ 2004 от 9.12 газ_Дайджест 2003-2004 гг._Презентация ФО от 17.12.07 9" xfId="6240"/>
    <cellStyle name="_БЮДЖЕТ 2004 от 9.12 газ_Дайджест 2003-2004 гг._презентация-2008год " xfId="6241"/>
    <cellStyle name="_БЮДЖЕТ 2004 от 9.12 газ_Дайджест 2003-2004 гг._презентация-2008год  2" xfId="6242"/>
    <cellStyle name="_БЮДЖЕТ 2004 от 9.12 газ_Дайджест 2003-2004 гг._презентация-2008год  3" xfId="6243"/>
    <cellStyle name="_БЮДЖЕТ 2004 от 9.12 газ_Дайджест 2003-2004 гг._презентация-2008год  4" xfId="6244"/>
    <cellStyle name="_БЮДЖЕТ 2004 от 9.12 газ_Дайджест 2003-2004 гг._презентация-2008год  5" xfId="6245"/>
    <cellStyle name="_БЮДЖЕТ 2004 от 9.12 газ_Дайджест 2003-2004 гг._презентация-2008год  6" xfId="6246"/>
    <cellStyle name="_БЮДЖЕТ 2004 от 9.12 газ_Дайджест 2003-2004 гг._презентация-2008год  7" xfId="6247"/>
    <cellStyle name="_БЮДЖЕТ 2004 от 9.12 газ_Дайджест 2003-2004 гг._презентация-2008год  8" xfId="6248"/>
    <cellStyle name="_БЮДЖЕТ 2004 от 9.12 газ_Дайджест 2003-2004 гг._презентация-2008год  9" xfId="6249"/>
    <cellStyle name="_БЮДЖЕТ 2004 от 9.12 газ_Дайджест 2003-2004 гг._Презетация ФО (с учетом инвестиций на 2341,2)" xfId="6250"/>
    <cellStyle name="_БЮДЖЕТ 2004 от 9.12 газ_Дайджест 2003-2004 гг._Презетация ФО (с учетом инвестиций на 2341,2) 2" xfId="6251"/>
    <cellStyle name="_БЮДЖЕТ 2004 от 9.12 газ_Дайджест 2003-2004 гг._Презетация ФО (с учетом инвестиций на 2341,2) 3" xfId="6252"/>
    <cellStyle name="_БЮДЖЕТ 2004 от 9.12 газ_Дайджест 2003-2004 гг._Презетация ФО (с учетом инвестиций на 2341,2) 4" xfId="6253"/>
    <cellStyle name="_БЮДЖЕТ 2004 от 9.12 газ_Дайджест 2003-2004 гг._Презетация ФО (с учетом инвестиций на 2341,2) 5" xfId="6254"/>
    <cellStyle name="_БЮДЖЕТ 2004 от 9.12 газ_Дайджест 2003-2004 гг._Презетация ФО (с учетом инвестиций на 2341,2) 6" xfId="6255"/>
    <cellStyle name="_БЮДЖЕТ 2004 от 9.12 газ_Дайджест 2003-2004 гг._Презетация ФО (с учетом инвестиций на 2341,2) 7" xfId="6256"/>
    <cellStyle name="_БЮДЖЕТ 2004 от 9.12 газ_Дайджест 2003-2004 гг._Презетация ФО (с учетом инвестиций на 2341,2) 8" xfId="6257"/>
    <cellStyle name="_БЮДЖЕТ 2004 от 9.12 газ_Дайджест 2003-2004 гг._Презетация ФО (с учетом инвестиций на 2341,2) 9" xfId="6258"/>
    <cellStyle name="_БЮДЖЕТ 2004 от 9.12 газ_Дайджест 2003-2004 гг._Приложения (формы отчетности)" xfId="6259"/>
    <cellStyle name="_БЮДЖЕТ 2004 от 9.12 газ_Дайджест 2003-2004 гг._Приложения февраль 09 (МП) отпр в УК от 04 02 09" xfId="6260"/>
    <cellStyle name="_БЮДЖЕТ 2004 от 9.12 газ_Дайджест 2003-2004 гг._Приложения февраль 09 (МП) отпр в УК от 04 02 09 2" xfId="6261"/>
    <cellStyle name="_БЮДЖЕТ 2004 от 9.12 газ_Дайджест 2003-2004 гг._Приложения февраль 09 (МП) отпр в УК от 04 02 09 3" xfId="6262"/>
    <cellStyle name="_БЮДЖЕТ 2004 от 9.12 газ_Дайджест 2003-2004 гг._Приложения февраль 09 (МП) отпр в УК от 04 02 09 4" xfId="6263"/>
    <cellStyle name="_БЮДЖЕТ 2004 от 9.12 газ_Дайджест 2003-2004 гг._Приложения февраль 09 (МП) отпр в УК от 04 02 09 5" xfId="6264"/>
    <cellStyle name="_БЮДЖЕТ 2004 от 9.12 газ_Дайджест 2003-2004 гг._Приложения февраль 09 (МП) отпр в УК от 04 02 09 6" xfId="6265"/>
    <cellStyle name="_БЮДЖЕТ 2004 от 9.12 газ_Дайджест 2003-2004 гг._Приложения февраль 09 (МП) отпр в УК от 04 02 09 7" xfId="6266"/>
    <cellStyle name="_БЮДЖЕТ 2004 от 9.12 газ_Дайджест 2003-2004 гг._Приложения февраль 09 (МП) отпр в УК от 04 02 09 8" xfId="6267"/>
    <cellStyle name="_БЮДЖЕТ 2004 от 9.12 газ_Дайджест 2003-2004 гг._Приложения февраль 09 (МП) отпр в УК от 04 02 09 9" xfId="6268"/>
    <cellStyle name="_БЮДЖЕТ 2004 от 9.12 газ_Дайджест 2003-2004 гг._Прогноз консолидированный июнь" xfId="6269"/>
    <cellStyle name="_БЮДЖЕТ 2004 от 9.12 газ_Дайджест 2003-2004 гг._РК+СДП 2008 год" xfId="6270"/>
    <cellStyle name="_БЮДЖЕТ 2004 от 9.12 газ_Дайджест 2003-2004 гг._РК+СДП 2008 год 2" xfId="6271"/>
    <cellStyle name="_БЮДЖЕТ 2004 от 9.12 газ_Дайджест 2003-2004 гг._РК+СДП 2008 год 3" xfId="6272"/>
    <cellStyle name="_БЮДЖЕТ 2004 от 9.12 газ_Дайджест 2003-2004 гг._РК+СДП 2008 год 4" xfId="6273"/>
    <cellStyle name="_БЮДЖЕТ 2004 от 9.12 газ_Дайджест 2003-2004 гг._РК+СДП 2008 год 5" xfId="6274"/>
    <cellStyle name="_БЮДЖЕТ 2004 от 9.12 газ_Дайджест 2003-2004 гг._РК+СДП 2008 год 6" xfId="6275"/>
    <cellStyle name="_БЮДЖЕТ 2004 от 9.12 газ_Дайджест 2003-2004 гг._РК+СДП 2008 год 7" xfId="6276"/>
    <cellStyle name="_БЮДЖЕТ 2004 от 9.12 газ_Дайджест 2003-2004 гг._РК+СДП 2008 год 8" xfId="6277"/>
    <cellStyle name="_БЮДЖЕТ 2004 от 9.12 газ_Дайджест 2003-2004 гг._РК+СДП 2008 год 9" xfId="6278"/>
    <cellStyle name="_БЮДЖЕТ 2004 от 9.12 газ_Дайджест 2003-2004 гг._Свод производства 1 квартал" xfId="6279"/>
    <cellStyle name="_БЮДЖЕТ 2004 от 9.12 газ_Дайджест 2003-2004 гг._Свод производства 1 квартал 2" xfId="6280"/>
    <cellStyle name="_БЮДЖЕТ 2004 от 9.12 газ_Дайджест 2003-2004 гг._Свод производства 1 квартал 3" xfId="6281"/>
    <cellStyle name="_БЮДЖЕТ 2004 от 9.12 газ_Дайджест 2003-2004 гг._Свод производства 1 квартал 4" xfId="6282"/>
    <cellStyle name="_БЮДЖЕТ 2004 от 9.12 газ_Дайджест 2003-2004 гг._Свод производства 1 квартал 5" xfId="6283"/>
    <cellStyle name="_БЮДЖЕТ 2004 от 9.12 газ_Дайджест 2003-2004 гг._Свод производства 1 квартал 6" xfId="6284"/>
    <cellStyle name="_БЮДЖЕТ 2004 от 9.12 газ_Дайджест 2003-2004 гг._Свод производства 1 квартал 7" xfId="6285"/>
    <cellStyle name="_БЮДЖЕТ 2004 от 9.12 газ_Дайджест 2003-2004 гг._Свод производства 1 квартал 8" xfId="6286"/>
    <cellStyle name="_БЮДЖЕТ 2004 от 9.12 газ_Дайджест 2003-2004 гг._Свод производства 1 квартал 9" xfId="6287"/>
    <cellStyle name="_БЮДЖЕТ 2004 от 9.12 газ_Дайджест 2003-2004 гг._Себестоимость" xfId="6288"/>
    <cellStyle name="_БЮДЖЕТ 2004 от 9.12 газ_Дайджест 2003-2004 гг._Слайд осн показатели к совещанию в УК от 18 01 09" xfId="6289"/>
    <cellStyle name="_БЮДЖЕТ 2004 от 9.12 газ_Дайджест 2003-2004 гг._Слайды 2-й квартал (ФП-КП)" xfId="6290"/>
    <cellStyle name="_БЮДЖЕТ 2004 от 9.12 газ_Дайджест 2003-2004 гг._Слайды 2-й квартал (ФП-КП) 2" xfId="6291"/>
    <cellStyle name="_БЮДЖЕТ 2004 от 9.12 газ_Дайджест 2003-2004 гг._Слайды 2-й квартал (ФП-КП) 3" xfId="6292"/>
    <cellStyle name="_БЮДЖЕТ 2004 от 9.12 газ_Дайджест 2003-2004 гг._Слайды 2-й квартал (ФП-КП) 4" xfId="6293"/>
    <cellStyle name="_БЮДЖЕТ 2004 от 9.12 газ_Дайджест 2003-2004 гг._Слайды 2-й квартал (ФП-КП) 5" xfId="6294"/>
    <cellStyle name="_БЮДЖЕТ 2004 от 9.12 газ_Дайджест 2003-2004 гг._Слайды 2-й квартал (ФП-КП) 6" xfId="6295"/>
    <cellStyle name="_БЮДЖЕТ 2004 от 9.12 газ_Дайджест 2003-2004 гг._Слайды 2-й квартал (ФП-КП) 7" xfId="6296"/>
    <cellStyle name="_БЮДЖЕТ 2004 от 9.12 газ_Дайджест 2003-2004 гг._Слайды 2-й квартал (ФП-КП) 8" xfId="6297"/>
    <cellStyle name="_БЮДЖЕТ 2004 от 9.12 газ_Дайджест 2003-2004 гг._Слайды 2-й квартал (ФП-КП) 9" xfId="6298"/>
    <cellStyle name="_БЮДЖЕТ 2004 от 9.12 газ_Дайджест 2003-2004 гг._СПД, РК, Инв. 2008 коричневая" xfId="6299"/>
    <cellStyle name="_БЮДЖЕТ 2004 от 9.12 газ_Дайджест 2003-2004 гг._СПД, РК, Инв. 2008 коричневая 2" xfId="6300"/>
    <cellStyle name="_БЮДЖЕТ 2004 от 9.12 газ_Дайджест 2003-2004 гг._СПД, РК, Инв. 2008 коричневая 3" xfId="6301"/>
    <cellStyle name="_БЮДЖЕТ 2004 от 9.12 газ_Дайджест 2003-2004 гг._СПД, РК, Инв. 2008 коричневая 4" xfId="6302"/>
    <cellStyle name="_БЮДЖЕТ 2004 от 9.12 газ_Дайджест 2003-2004 гг._СПД, РК, Инв. 2008 коричневая 5" xfId="6303"/>
    <cellStyle name="_БЮДЖЕТ 2004 от 9.12 газ_Дайджест 2003-2004 гг._СПД, РК, Инв. 2008 коричневая 6" xfId="6304"/>
    <cellStyle name="_БЮДЖЕТ 2004 от 9.12 газ_Дайджест 2003-2004 гг._СПД, РК, Инв. 2008 коричневая 7" xfId="6305"/>
    <cellStyle name="_БЮДЖЕТ 2004 от 9.12 газ_Дайджест 2003-2004 гг._СПД, РК, Инв. 2008 коричневая 8" xfId="6306"/>
    <cellStyle name="_БЮДЖЕТ 2004 от 9.12 газ_Дайджест 2003-2004 гг._СПД, РК, Инв. 2008 коричневая 9" xfId="6307"/>
    <cellStyle name="_БЮДЖЕТ 2004 от 9.12 газ_Дайджест 2003-2004 гг._Сравнение ожидаемого 2008  c БП 2009г. УрСт вариант 2 (скоррект. цены)" xfId="6308"/>
    <cellStyle name="_БЮДЖЕТ 2004 от 9.12 газ_Дайджест 2003-2004 гг._Сравнение ожидаемого 2008 с 2009г  ОЭМК от 06 10 2008" xfId="6309"/>
    <cellStyle name="_БЮДЖЕТ 2004 от 9.12 газ_Дайджест 2003-2004 гг._Сравнение ожидаемого 2008 с 2009г. ОЭМК  28.10.2008 (скорректир. цены)" xfId="6310"/>
    <cellStyle name="_БЮДЖЕТ 2004 от 9.12 газ_Дайджест 2003-2004 гг._Сравнение ожидаемого 2008 УС c 2009г  от 06 10 2008" xfId="6311"/>
    <cellStyle name="_БЮДЖЕТ 2004 от 9.12 газ_Дайджест 2003-2004 гг._Стан 150" xfId="6312"/>
    <cellStyle name="_БЮДЖЕТ 2004 от 9.12 газ_Дайджест 2003-2004 гг._Структура затрат (Формат) ЛГОК" xfId="6313"/>
    <cellStyle name="_БЮДЖЕТ 2004 от 9.12 газ_Дайджест 2003-2004 гг._Структура затрат (Формат) ЛГОК_28.01.2009" xfId="6314"/>
    <cellStyle name="_БЮДЖЕТ 2004 от 9.12 газ_Дайджест 2003-2004 гг._титульный лист" xfId="6315"/>
    <cellStyle name="_БЮДЖЕТ 2004 от 9.12 газ_Дайджест 2003-2004 гг._ТП на 2011_год покварт" xfId="6316"/>
    <cellStyle name="_БЮДЖЕТ 2004 от 9.12 газ_Дайджест 2003-2004 гг._Труд для нас" xfId="6317"/>
    <cellStyle name="_БЮДЖЕТ 2004 от 9.12 газ_Дайджест 2003-2004 гг._Труд для нас 2" xfId="6318"/>
    <cellStyle name="_БЮДЖЕТ 2004 от 9.12 газ_Дайджест 2003-2004 гг._Труд для нас 3" xfId="6319"/>
    <cellStyle name="_БЮДЖЕТ 2004 от 9.12 газ_Дайджест 2003-2004 гг._Труд для нас 4" xfId="6320"/>
    <cellStyle name="_БЮДЖЕТ 2004 от 9.12 газ_Дайджест 2003-2004 гг._Труд для нас 5" xfId="6321"/>
    <cellStyle name="_БЮДЖЕТ 2004 от 9.12 газ_Дайджест 2003-2004 гг._Труд для нас 6" xfId="6322"/>
    <cellStyle name="_БЮДЖЕТ 2004 от 9.12 газ_Дайджест 2003-2004 гг._Труд для нас 7" xfId="6323"/>
    <cellStyle name="_БЮДЖЕТ 2004 от 9.12 газ_Дайджест 2003-2004 гг._Труд для нас 8" xfId="6324"/>
    <cellStyle name="_БЮДЖЕТ 2004 от 9.12 газ_Дайджест 2003-2004 гг._Труд для нас 9" xfId="6325"/>
    <cellStyle name="_БЮДЖЕТ 2004 от 9.12 газ_Дайджест 2003-2004 гг._УралКирпич_план на 2 кв. 2009" xfId="6326"/>
    <cellStyle name="_БЮДЖЕТ 2004 от 9.12 газ_Дайджест 2003-2004 гг._УСТ - любимая табличка по новому 2009 г." xfId="6327"/>
    <cellStyle name="_БЮДЖЕТ 2004 от 9.12 газ_Дайджест 2003-2004 гг._Ф 29, 30" xfId="6328"/>
    <cellStyle name="_БЮДЖЕТ 2004 от 9.12 газ_Дайджест 2003-2004 гг._Ф 29, 30 2" xfId="6329"/>
    <cellStyle name="_БЮДЖЕТ 2004 от 9.12 газ_Дайджест 2003-2004 гг._Ф 29, 30 3" xfId="6330"/>
    <cellStyle name="_БЮДЖЕТ 2004 от 9.12 газ_Дайджест 2003-2004 гг._Ф 29, 30 4" xfId="6331"/>
    <cellStyle name="_БЮДЖЕТ 2004 от 9.12 газ_Дайджест 2003-2004 гг._Ф 29, 30 5" xfId="6332"/>
    <cellStyle name="_БЮДЖЕТ 2004 от 9.12 газ_Дайджест 2003-2004 гг._Ф 29, 30 6" xfId="6333"/>
    <cellStyle name="_БЮДЖЕТ 2004 от 9.12 газ_Дайджест 2003-2004 гг._Ф 29, 30 7" xfId="6334"/>
    <cellStyle name="_БЮДЖЕТ 2004 от 9.12 газ_Дайджест 2003-2004 гг._Ф 29, 30 8" xfId="6335"/>
    <cellStyle name="_БЮДЖЕТ 2004 от 9.12 газ_Дайджест 2003-2004 гг._Ф 29, 30 9" xfId="6336"/>
    <cellStyle name="_БЮДЖЕТ 2004 от 9.12 газ_Дайджест 2003-2004 гг._ф IIкв.07 EBITDA ЛГОК 27.07.07" xfId="6337"/>
    <cellStyle name="_БЮДЖЕТ 2004 от 9.12 газ_Дайджест 2003-2004 гг._ф IIкв.07 EBITDA ЛГОК 27.07.07 2" xfId="6338"/>
    <cellStyle name="_БЮДЖЕТ 2004 от 9.12 газ_Дайджест 2003-2004 гг._ф IIкв.07 EBITDA ЛГОК 27.07.07 3" xfId="6339"/>
    <cellStyle name="_БЮДЖЕТ 2004 от 9.12 газ_Дайджест 2003-2004 гг._ф IIкв.07 EBITDA ЛГОК 27.07.07 4" xfId="6340"/>
    <cellStyle name="_БЮДЖЕТ 2004 от 9.12 газ_Дайджест 2003-2004 гг._ф IIкв.07 EBITDA ЛГОК 27.07.07 5" xfId="6341"/>
    <cellStyle name="_БЮДЖЕТ 2004 от 9.12 газ_Дайджест 2003-2004 гг._ф IIкв.07 EBITDA ЛГОК 27.07.07 6" xfId="6342"/>
    <cellStyle name="_БЮДЖЕТ 2004 от 9.12 газ_Дайджест 2003-2004 гг._ф IIкв.07 EBITDA ЛГОК 27.07.07 7" xfId="6343"/>
    <cellStyle name="_БЮДЖЕТ 2004 от 9.12 газ_Дайджест 2003-2004 гг._ф IIкв.07 EBITDA ЛГОК 27.07.07 8" xfId="6344"/>
    <cellStyle name="_БЮДЖЕТ 2004 от 9.12 газ_Дайджест 2003-2004 гг._ф IIкв.07 EBITDA ЛГОК 27.07.07 9" xfId="6345"/>
    <cellStyle name="_БЮДЖЕТ 2004 от 9.12 газ_Дайджест 2003-2004 гг._ф01 2007 фин. часть МГОК 21.03.07" xfId="6346"/>
    <cellStyle name="_БЮДЖЕТ 2004 от 9.12 газ_Дайджест 2003-2004 гг._ф01.07 EBITDA ОАО ЛГОК 02.03.07" xfId="6347"/>
    <cellStyle name="_БЮДЖЕТ 2004 от 9.12 газ_Дайджест 2003-2004 гг._ф01.07 EBITDA ОАО ЛГОК 02.03.07 2" xfId="6348"/>
    <cellStyle name="_БЮДЖЕТ 2004 от 9.12 газ_Дайджест 2003-2004 гг._ф01.07 EBITDA ОАО ЛГОК 02.03.07 3" xfId="6349"/>
    <cellStyle name="_БЮДЖЕТ 2004 от 9.12 газ_Дайджест 2003-2004 гг._ф01.07 EBITDA ОАО ЛГОК 02.03.07 4" xfId="6350"/>
    <cellStyle name="_БЮДЖЕТ 2004 от 9.12 газ_Дайджест 2003-2004 гг._ф01.07 EBITDA ОАО ЛГОК 02.03.07 5" xfId="6351"/>
    <cellStyle name="_БЮДЖЕТ 2004 от 9.12 газ_Дайджест 2003-2004 гг._ф01.07 EBITDA ОАО ЛГОК 02.03.07 6" xfId="6352"/>
    <cellStyle name="_БЮДЖЕТ 2004 от 9.12 газ_Дайджест 2003-2004 гг._ф01.07 EBITDA ОАО ЛГОК 02.03.07 7" xfId="6353"/>
    <cellStyle name="_БЮДЖЕТ 2004 от 9.12 газ_Дайджест 2003-2004 гг._ф01.07 EBITDA ОАО ЛГОК 02.03.07 8" xfId="6354"/>
    <cellStyle name="_БЮДЖЕТ 2004 от 9.12 газ_Дайджест 2003-2004 гг._ф01.07 EBITDA ОАО ЛГОК 02.03.07 9" xfId="6355"/>
    <cellStyle name="_БЮДЖЕТ 2004 от 9.12 газ_Дайджест 2003-2004 гг._ф01.07 EBITDA ОАО ЛГОК 02.03.07_Книга2" xfId="6356"/>
    <cellStyle name="_БЮДЖЕТ 2004 от 9.12 газ_Дайджест 2003-2004 гг._ф01.07 EBITDA ОАО ЛГОК 02.03.07_Отчет за сентябрь_11_ДСМ" xfId="6357"/>
    <cellStyle name="_БЮДЖЕТ 2004 от 9.12 газ_Дайджест 2003-2004 гг._ф01.07 EBITDA ОАО ЛГОК 05.03.07" xfId="6358"/>
    <cellStyle name="_БЮДЖЕТ 2004 от 9.12 газ_Дайджест 2003-2004 гг._ф01.07 EBITDA ОАО ЛГОК 05.03.07 2" xfId="6359"/>
    <cellStyle name="_БЮДЖЕТ 2004 от 9.12 газ_Дайджест 2003-2004 гг._ф01.07 EBITDA ОАО ЛГОК 05.03.07 3" xfId="6360"/>
    <cellStyle name="_БЮДЖЕТ 2004 от 9.12 газ_Дайджест 2003-2004 гг._ф01.07 EBITDA ОАО ЛГОК 05.03.07 4" xfId="6361"/>
    <cellStyle name="_БЮДЖЕТ 2004 от 9.12 газ_Дайджест 2003-2004 гг._ф01.07 EBITDA ОАО ЛГОК 05.03.07 5" xfId="6362"/>
    <cellStyle name="_БЮДЖЕТ 2004 от 9.12 газ_Дайджест 2003-2004 гг._ф01.07 EBITDA ОАО ЛГОК 05.03.07 6" xfId="6363"/>
    <cellStyle name="_БЮДЖЕТ 2004 от 9.12 газ_Дайджест 2003-2004 гг._ф01.07 EBITDA ОАО ЛГОК 05.03.07 7" xfId="6364"/>
    <cellStyle name="_БЮДЖЕТ 2004 от 9.12 газ_Дайджест 2003-2004 гг._ф01.07 EBITDA ОАО ЛГОК 05.03.07 8" xfId="6365"/>
    <cellStyle name="_БЮДЖЕТ 2004 от 9.12 газ_Дайджест 2003-2004 гг._ф01.07 EBITDA ОАО ЛГОК 05.03.07 9" xfId="6366"/>
    <cellStyle name="_БЮДЖЕТ 2004 от 9.12 газ_Дайджест 2003-2004 гг._ф01.07 EBITDA ОАО ЛГОК 05.03.07_Книга2" xfId="6367"/>
    <cellStyle name="_БЮДЖЕТ 2004 от 9.12 газ_Дайджест 2003-2004 гг._ф01.07 EBITDA ОАО ЛГОК 05.03.07_Отчет за сентябрь_11_ДСМ" xfId="6368"/>
    <cellStyle name="_БЮДЖЕТ 2004 от 9.12 газ_Дайджест 2003-2004 гг._ф01.07 EBITDA ОАО ЛГОК с изм. 30.03.07" xfId="6369"/>
    <cellStyle name="_БЮДЖЕТ 2004 от 9.12 газ_Дайджест 2003-2004 гг._ф01.07 EBITDA ОАО ЛГОК с изм. 30.03.07 2" xfId="6370"/>
    <cellStyle name="_БЮДЖЕТ 2004 от 9.12 газ_Дайджест 2003-2004 гг._ф01.07 EBITDA ОАО ЛГОК с изм. 30.03.07 3" xfId="6371"/>
    <cellStyle name="_БЮДЖЕТ 2004 от 9.12 газ_Дайджест 2003-2004 гг._ф01.07 EBITDA ОАО ЛГОК с изм. 30.03.07 4" xfId="6372"/>
    <cellStyle name="_БЮДЖЕТ 2004 от 9.12 газ_Дайджест 2003-2004 гг._ф01.07 EBITDA ОАО ЛГОК с изм. 30.03.07 5" xfId="6373"/>
    <cellStyle name="_БЮДЖЕТ 2004 от 9.12 газ_Дайджест 2003-2004 гг._ф01.07 EBITDA ОАО ЛГОК с изм. 30.03.07 6" xfId="6374"/>
    <cellStyle name="_БЮДЖЕТ 2004 от 9.12 газ_Дайджест 2003-2004 гг._ф01.07 EBITDA ОАО ЛГОК с изм. 30.03.07 7" xfId="6375"/>
    <cellStyle name="_БЮДЖЕТ 2004 от 9.12 газ_Дайджест 2003-2004 гг._ф01.07 EBITDA ОАО ЛГОК с изм. 30.03.07 8" xfId="6376"/>
    <cellStyle name="_БЮДЖЕТ 2004 от 9.12 газ_Дайджест 2003-2004 гг._ф01.07 EBITDA ОАО ЛГОК с изм. 30.03.07 9" xfId="6377"/>
    <cellStyle name="_БЮДЖЕТ 2004 от 9.12 газ_Дайджест 2003-2004 гг._ф01.07 EBITDA ОАО ЛГОК с изм. 30.03.07_Книга2" xfId="6378"/>
    <cellStyle name="_БЮДЖЕТ 2004 от 9.12 газ_Дайджест 2003-2004 гг._ф01.07 EBITDA ОАО УС 05.03.07" xfId="6379"/>
    <cellStyle name="_БЮДЖЕТ 2004 от 9.12 газ_Дайджест 2003-2004 гг._ф01.07 EBITDA ОАО УС 05.03.07 2" xfId="6380"/>
    <cellStyle name="_БЮДЖЕТ 2004 от 9.12 газ_Дайджест 2003-2004 гг._ф01.07 EBITDA ОАО УС 05.03.07 3" xfId="6381"/>
    <cellStyle name="_БЮДЖЕТ 2004 от 9.12 газ_Дайджест 2003-2004 гг._ф01.07 EBITDA ОАО УС 05.03.07 4" xfId="6382"/>
    <cellStyle name="_БЮДЖЕТ 2004 от 9.12 газ_Дайджест 2003-2004 гг._ф01.07 EBITDA ОАО УС 05.03.07 5" xfId="6383"/>
    <cellStyle name="_БЮДЖЕТ 2004 от 9.12 газ_Дайджест 2003-2004 гг._ф01.07 EBITDA ОАО УС 05.03.07 6" xfId="6384"/>
    <cellStyle name="_БЮДЖЕТ 2004 от 9.12 газ_Дайджест 2003-2004 гг._ф01.07 EBITDA ОАО УС 05.03.07 7" xfId="6385"/>
    <cellStyle name="_БЮДЖЕТ 2004 от 9.12 газ_Дайджест 2003-2004 гг._ф01.07 EBITDA ОАО УС 05.03.07 8" xfId="6386"/>
    <cellStyle name="_БЮДЖЕТ 2004 от 9.12 газ_Дайджест 2003-2004 гг._ф01.07 EBITDA ОАО УС 05.03.07 9" xfId="6387"/>
    <cellStyle name="_БЮДЖЕТ 2004 от 9.12 газ_Дайджест 2003-2004 гг._ф01.07 EBITDA ОАО УС 05.03.07(26,2)" xfId="6388"/>
    <cellStyle name="_БЮДЖЕТ 2004 от 9.12 газ_Дайджест 2003-2004 гг._ф01.07 EBITDA ОАО УС 05.03.07(26,2) 2" xfId="6389"/>
    <cellStyle name="_БЮДЖЕТ 2004 от 9.12 газ_Дайджест 2003-2004 гг._ф01.07 EBITDA ОАО УС 05.03.07(26,2) 3" xfId="6390"/>
    <cellStyle name="_БЮДЖЕТ 2004 от 9.12 газ_Дайджест 2003-2004 гг._ф01.07 EBITDA ОАО УС 05.03.07(26,2) 4" xfId="6391"/>
    <cellStyle name="_БЮДЖЕТ 2004 от 9.12 газ_Дайджест 2003-2004 гг._ф01.07 EBITDA ОАО УС 05.03.07(26,2) 5" xfId="6392"/>
    <cellStyle name="_БЮДЖЕТ 2004 от 9.12 газ_Дайджест 2003-2004 гг._ф01.07 EBITDA ОАО УС 05.03.07(26,2) 6" xfId="6393"/>
    <cellStyle name="_БЮДЖЕТ 2004 от 9.12 газ_Дайджест 2003-2004 гг._ф01.07 EBITDA ОАО УС 05.03.07(26,2) 7" xfId="6394"/>
    <cellStyle name="_БЮДЖЕТ 2004 от 9.12 газ_Дайджест 2003-2004 гг._ф01.07 EBITDA ОАО УС 05.03.07(26,2) 8" xfId="6395"/>
    <cellStyle name="_БЮДЖЕТ 2004 от 9.12 газ_Дайджест 2003-2004 гг._ф01.07 EBITDA ОАО УС 05.03.07(26,2) 9" xfId="6396"/>
    <cellStyle name="_БЮДЖЕТ 2004 от 9.12 газ_Дайджест 2003-2004 гг._ф01.07 EBITDA ОАО УС 05.03.07(26,2)_Книга2" xfId="6397"/>
    <cellStyle name="_БЮДЖЕТ 2004 от 9.12 газ_Дайджест 2003-2004 гг._ф01.07 EBITDA ОАО УС 05.03.07_Книга2" xfId="6398"/>
    <cellStyle name="_БЮДЖЕТ 2004 от 9.12 газ_Дайджест 2003-2004 гг._ф01.07 EBITDA ОЭМК 02.03.07" xfId="6399"/>
    <cellStyle name="_БЮДЖЕТ 2004 от 9.12 газ_Дайджест 2003-2004 гг._ф01.07 EBITDA ОЭМК 02.03.07 2" xfId="6400"/>
    <cellStyle name="_БЮДЖЕТ 2004 от 9.12 газ_Дайджест 2003-2004 гг._ф01.07 EBITDA ОЭМК 02.03.07 3" xfId="6401"/>
    <cellStyle name="_БЮДЖЕТ 2004 от 9.12 газ_Дайджест 2003-2004 гг._ф01.07 EBITDA ОЭМК 02.03.07 4" xfId="6402"/>
    <cellStyle name="_БЮДЖЕТ 2004 от 9.12 газ_Дайджест 2003-2004 гг._ф01.07 EBITDA ОЭМК 02.03.07 5" xfId="6403"/>
    <cellStyle name="_БЮДЖЕТ 2004 от 9.12 газ_Дайджест 2003-2004 гг._ф01.07 EBITDA ОЭМК 02.03.07 6" xfId="6404"/>
    <cellStyle name="_БЮДЖЕТ 2004 от 9.12 газ_Дайджест 2003-2004 гг._ф01.07 EBITDA ОЭМК 02.03.07 7" xfId="6405"/>
    <cellStyle name="_БЮДЖЕТ 2004 от 9.12 газ_Дайджест 2003-2004 гг._ф01.07 EBITDA ОЭМК 02.03.07 8" xfId="6406"/>
    <cellStyle name="_БЮДЖЕТ 2004 от 9.12 газ_Дайджест 2003-2004 гг._ф01.07 EBITDA ОЭМК 02.03.07 9" xfId="6407"/>
    <cellStyle name="_БЮДЖЕТ 2004 от 9.12 газ_Дайджест 2003-2004 гг._ф01.07 EBITDA ОЭМК 02.03.07_Книга2" xfId="6408"/>
    <cellStyle name="_БЮДЖЕТ 2004 от 9.12 газ_Дайджест 2003-2004 гг._ф02.07 EBITDA ОАО ЛГОК 28.03.07" xfId="6409"/>
    <cellStyle name="_БЮДЖЕТ 2004 от 9.12 газ_Дайджест 2003-2004 гг._ф02.07 EBITDA ОАО ЛГОК 28.03.07 2" xfId="6410"/>
    <cellStyle name="_БЮДЖЕТ 2004 от 9.12 газ_Дайджест 2003-2004 гг._ф02.07 EBITDA ОАО ЛГОК 28.03.07 3" xfId="6411"/>
    <cellStyle name="_БЮДЖЕТ 2004 от 9.12 газ_Дайджест 2003-2004 гг._ф02.07 EBITDA ОАО ЛГОК 28.03.07 4" xfId="6412"/>
    <cellStyle name="_БЮДЖЕТ 2004 от 9.12 газ_Дайджест 2003-2004 гг._ф02.07 EBITDA ОАО ЛГОК 28.03.07 5" xfId="6413"/>
    <cellStyle name="_БЮДЖЕТ 2004 от 9.12 газ_Дайджест 2003-2004 гг._ф02.07 EBITDA ОАО ЛГОК 28.03.07 6" xfId="6414"/>
    <cellStyle name="_БЮДЖЕТ 2004 от 9.12 газ_Дайджест 2003-2004 гг._ф02.07 EBITDA ОАО ЛГОК 28.03.07 7" xfId="6415"/>
    <cellStyle name="_БЮДЖЕТ 2004 от 9.12 газ_Дайджест 2003-2004 гг._ф02.07 EBITDA ОАО ЛГОК 28.03.07 8" xfId="6416"/>
    <cellStyle name="_БЮДЖЕТ 2004 от 9.12 газ_Дайджест 2003-2004 гг._ф02.07 EBITDA ОАО ЛГОК 28.03.07 9" xfId="6417"/>
    <cellStyle name="_БЮДЖЕТ 2004 от 9.12 газ_Дайджест 2003-2004 гг._ф02.07 EBITDA ОАО ЛГОК 28.03.07_Книга2" xfId="6418"/>
    <cellStyle name="_БЮДЖЕТ 2004 от 9.12 газ_Дайджест 2003-2004 гг._ф02.07 EBITDA ОАО УС 28.03.07" xfId="6419"/>
    <cellStyle name="_БЮДЖЕТ 2004 от 9.12 газ_Дайджест 2003-2004 гг._ф02.07 EBITDA ОАО УС 28.03.07 2" xfId="6420"/>
    <cellStyle name="_БЮДЖЕТ 2004 от 9.12 газ_Дайджест 2003-2004 гг._ф02.07 EBITDA ОАО УС 28.03.07 3" xfId="6421"/>
    <cellStyle name="_БЮДЖЕТ 2004 от 9.12 газ_Дайджест 2003-2004 гг._ф02.07 EBITDA ОАО УС 28.03.07 4" xfId="6422"/>
    <cellStyle name="_БЮДЖЕТ 2004 от 9.12 газ_Дайджест 2003-2004 гг._ф02.07 EBITDA ОАО УС 28.03.07 5" xfId="6423"/>
    <cellStyle name="_БЮДЖЕТ 2004 от 9.12 газ_Дайджест 2003-2004 гг._ф02.07 EBITDA ОАО УС 28.03.07 6" xfId="6424"/>
    <cellStyle name="_БЮДЖЕТ 2004 от 9.12 газ_Дайджест 2003-2004 гг._ф02.07 EBITDA ОАО УС 28.03.07 7" xfId="6425"/>
    <cellStyle name="_БЮДЖЕТ 2004 от 9.12 газ_Дайджест 2003-2004 гг._ф02.07 EBITDA ОАО УС 28.03.07 8" xfId="6426"/>
    <cellStyle name="_БЮДЖЕТ 2004 от 9.12 газ_Дайджест 2003-2004 гг._ф02.07 EBITDA ОАО УС 28.03.07 9" xfId="6427"/>
    <cellStyle name="_БЮДЖЕТ 2004 от 9.12 газ_Дайджест 2003-2004 гг._ф02.07 EBITDA ОАО УС 28.03.07_Книга2" xfId="6428"/>
    <cellStyle name="_БЮДЖЕТ 2004 от 9.12 газ_Дайджест 2003-2004 гг._ф02.07 EBITDA ОЭМК 28.03.07" xfId="6429"/>
    <cellStyle name="_БЮДЖЕТ 2004 от 9.12 газ_Дайджест 2003-2004 гг._ф02.07 EBITDA ОЭМК 28.03.07 2" xfId="6430"/>
    <cellStyle name="_БЮДЖЕТ 2004 от 9.12 газ_Дайджест 2003-2004 гг._ф02.07 EBITDA ОЭМК 28.03.07 3" xfId="6431"/>
    <cellStyle name="_БЮДЖЕТ 2004 от 9.12 газ_Дайджест 2003-2004 гг._ф02.07 EBITDA ОЭМК 28.03.07 4" xfId="6432"/>
    <cellStyle name="_БЮДЖЕТ 2004 от 9.12 газ_Дайджест 2003-2004 гг._ф02.07 EBITDA ОЭМК 28.03.07 5" xfId="6433"/>
    <cellStyle name="_БЮДЖЕТ 2004 от 9.12 газ_Дайджест 2003-2004 гг._ф02.07 EBITDA ОЭМК 28.03.07 6" xfId="6434"/>
    <cellStyle name="_БЮДЖЕТ 2004 от 9.12 газ_Дайджест 2003-2004 гг._ф02.07 EBITDA ОЭМК 28.03.07 7" xfId="6435"/>
    <cellStyle name="_БЮДЖЕТ 2004 от 9.12 газ_Дайджест 2003-2004 гг._ф02.07 EBITDA ОЭМК 28.03.07 8" xfId="6436"/>
    <cellStyle name="_БЮДЖЕТ 2004 от 9.12 газ_Дайджест 2003-2004 гг._ф02.07 EBITDA ОЭМК 28.03.07 9" xfId="6437"/>
    <cellStyle name="_БЮДЖЕТ 2004 от 9.12 газ_Дайджест 2003-2004 гг._ф02.07 EBITDA ОЭМК 28.03.07_Книга2" xfId="6438"/>
    <cellStyle name="_БЮДЖЕТ 2004 от 9.12 газ_Дайджест 2003-2004 гг._ф11 Депозиты" xfId="6439"/>
    <cellStyle name="_БЮДЖЕТ 2004 от 9.12 газ_Дайджест 2003-2004 гг._ф11 Депозиты 2" xfId="6440"/>
    <cellStyle name="_БЮДЖЕТ 2004 от 9.12 газ_Дайджест 2003-2004 гг._ф11 Депозиты 3" xfId="6441"/>
    <cellStyle name="_БЮДЖЕТ 2004 от 9.12 газ_Дайджест 2003-2004 гг._ф11 Депозиты 4" xfId="6442"/>
    <cellStyle name="_БЮДЖЕТ 2004 от 9.12 газ_Дайджест 2003-2004 гг._ф11 Депозиты 5" xfId="6443"/>
    <cellStyle name="_БЮДЖЕТ 2004 от 9.12 газ_Дайджест 2003-2004 гг._ф11 Депозиты 6" xfId="6444"/>
    <cellStyle name="_БЮДЖЕТ 2004 от 9.12 газ_Дайджест 2003-2004 гг._ф11 Депозиты 7" xfId="6445"/>
    <cellStyle name="_БЮДЖЕТ 2004 от 9.12 газ_Дайджест 2003-2004 гг._ф11 Депозиты 8" xfId="6446"/>
    <cellStyle name="_БЮДЖЕТ 2004 от 9.12 газ_Дайджест 2003-2004 гг._ф11 Депозиты 9" xfId="6447"/>
    <cellStyle name="_БЮДЖЕТ 2004 от 9.12 газ_Дайджест 2003-2004 гг._ф1кв.07 EBITDA ЛГОК 28.04.07" xfId="6448"/>
    <cellStyle name="_БЮДЖЕТ 2004 от 9.12 газ_Дайджест 2003-2004 гг._ф1кв.07 EBITDA ЛГОК 28.04.07 2" xfId="6449"/>
    <cellStyle name="_БЮДЖЕТ 2004 от 9.12 газ_Дайджест 2003-2004 гг._ф1кв.07 EBITDA ЛГОК 28.04.07 3" xfId="6450"/>
    <cellStyle name="_БЮДЖЕТ 2004 от 9.12 газ_Дайджест 2003-2004 гг._ф1кв.07 EBITDA ЛГОК 28.04.07 4" xfId="6451"/>
    <cellStyle name="_БЮДЖЕТ 2004 от 9.12 газ_Дайджест 2003-2004 гг._ф1кв.07 EBITDA ЛГОК 28.04.07 5" xfId="6452"/>
    <cellStyle name="_БЮДЖЕТ 2004 от 9.12 газ_Дайджест 2003-2004 гг._ф1кв.07 EBITDA ЛГОК 28.04.07 6" xfId="6453"/>
    <cellStyle name="_БЮДЖЕТ 2004 от 9.12 газ_Дайджест 2003-2004 гг._ф1кв.07 EBITDA ЛГОК 28.04.07 7" xfId="6454"/>
    <cellStyle name="_БЮДЖЕТ 2004 от 9.12 газ_Дайджест 2003-2004 гг._ф1кв.07 EBITDA ЛГОК 28.04.07 8" xfId="6455"/>
    <cellStyle name="_БЮДЖЕТ 2004 от 9.12 газ_Дайджест 2003-2004 гг._ф1кв.07 EBITDA ЛГОК 28.04.07 9" xfId="6456"/>
    <cellStyle name="_БЮДЖЕТ 2004 от 9.12 газ_Дайджест 2003-2004 гг._ф1кв.07 EBITDA ЛГОК 28.04.07_Книга2" xfId="6457"/>
    <cellStyle name="_БЮДЖЕТ 2004 от 9.12 газ_Дайджест 2003-2004 гг._Ф20 от налоговой" xfId="6458"/>
    <cellStyle name="_БЮДЖЕТ 2004 от 9.12 газ_Дайджест 2003-2004 гг._фIIIкв Комплект ОЭМК (1-12,18,22) 28.10.08" xfId="6459"/>
    <cellStyle name="_БЮДЖЕТ 2004 от 9.12 газ_Дайджест 2003-2004 гг._фIкв EBITDA ОАО УС 28.04.07" xfId="6460"/>
    <cellStyle name="_БЮДЖЕТ 2004 от 9.12 газ_Дайджест 2003-2004 гг._фIкв EBITDA ОАО УС 28.04.07 2" xfId="6461"/>
    <cellStyle name="_БЮДЖЕТ 2004 от 9.12 газ_Дайджест 2003-2004 гг._фIкв EBITDA ОАО УС 28.04.07 3" xfId="6462"/>
    <cellStyle name="_БЮДЖЕТ 2004 от 9.12 газ_Дайджест 2003-2004 гг._фIкв EBITDA ОАО УС 28.04.07 4" xfId="6463"/>
    <cellStyle name="_БЮДЖЕТ 2004 от 9.12 газ_Дайджест 2003-2004 гг._фIкв EBITDA ОАО УС 28.04.07 5" xfId="6464"/>
    <cellStyle name="_БЮДЖЕТ 2004 от 9.12 газ_Дайджест 2003-2004 гг._фIкв EBITDA ОАО УС 28.04.07 6" xfId="6465"/>
    <cellStyle name="_БЮДЖЕТ 2004 от 9.12 газ_Дайджест 2003-2004 гг._фIкв EBITDA ОАО УС 28.04.07 7" xfId="6466"/>
    <cellStyle name="_БЮДЖЕТ 2004 от 9.12 газ_Дайджест 2003-2004 гг._фIкв EBITDA ОАО УС 28.04.07 8" xfId="6467"/>
    <cellStyle name="_БЮДЖЕТ 2004 от 9.12 газ_Дайджест 2003-2004 гг._фIкв EBITDA ОАО УС 28.04.07 9" xfId="6468"/>
    <cellStyle name="_БЮДЖЕТ 2004 от 9.12 газ_Дайджест 2003-2004 гг._фIкв EBITDA ОАО УС 28.04.07_Книга2" xfId="6469"/>
    <cellStyle name="_БЮДЖЕТ 2004 от 9.12 газ_Дайджест 2003-2004 гг._фIкв EBITDA ОЭМК 28.04.07" xfId="6470"/>
    <cellStyle name="_БЮДЖЕТ 2004 от 9.12 газ_Дайджест 2003-2004 гг._фIкв EBITDA ОЭМК 28.04.07 2" xfId="6471"/>
    <cellStyle name="_БЮДЖЕТ 2004 от 9.12 газ_Дайджест 2003-2004 гг._фIкв EBITDA ОЭМК 28.04.07 3" xfId="6472"/>
    <cellStyle name="_БЮДЖЕТ 2004 от 9.12 газ_Дайджест 2003-2004 гг._фIкв EBITDA ОЭМК 28.04.07 4" xfId="6473"/>
    <cellStyle name="_БЮДЖЕТ 2004 от 9.12 газ_Дайджест 2003-2004 гг._фIкв EBITDA ОЭМК 28.04.07 5" xfId="6474"/>
    <cellStyle name="_БЮДЖЕТ 2004 от 9.12 газ_Дайджест 2003-2004 гг._фIкв EBITDA ОЭМК 28.04.07 6" xfId="6475"/>
    <cellStyle name="_БЮДЖЕТ 2004 от 9.12 газ_Дайджест 2003-2004 гг._фIкв EBITDA ОЭМК 28.04.07 7" xfId="6476"/>
    <cellStyle name="_БЮДЖЕТ 2004 от 9.12 газ_Дайджест 2003-2004 гг._фIкв EBITDA ОЭМК 28.04.07 8" xfId="6477"/>
    <cellStyle name="_БЮДЖЕТ 2004 от 9.12 газ_Дайджест 2003-2004 гг._фIкв EBITDA ОЭМК 28.04.07 9" xfId="6478"/>
    <cellStyle name="_БЮДЖЕТ 2004 от 9.12 газ_Дайджест 2003-2004 гг._фIкв EBITDA ОЭМК 28.04.07_Книга2" xfId="6479"/>
    <cellStyle name="_БЮДЖЕТ 2004 от 9.12 газ_Дайджест 2003-2004 гг._Факт_2007_Часть 2" xfId="6480"/>
    <cellStyle name="_БЮДЖЕТ 2004 от 9.12 газ_Дайджест 2003-2004 гг._Факт_2007_Часть 2 2" xfId="6481"/>
    <cellStyle name="_БЮДЖЕТ 2004 от 9.12 газ_Дайджест 2003-2004 гг._Факт_2007_Часть 2 3" xfId="6482"/>
    <cellStyle name="_БЮДЖЕТ 2004 от 9.12 газ_Дайджест 2003-2004 гг._Факт_2007_Часть 2 4" xfId="6483"/>
    <cellStyle name="_БЮДЖЕТ 2004 от 9.12 газ_Дайджест 2003-2004 гг._Факт_2007_Часть 2 5" xfId="6484"/>
    <cellStyle name="_БЮДЖЕТ 2004 от 9.12 газ_Дайджест 2003-2004 гг._Факт_2007_Часть 2 6" xfId="6485"/>
    <cellStyle name="_БЮДЖЕТ 2004 от 9.12 газ_Дайджест 2003-2004 гг._Факт_2007_Часть 2 7" xfId="6486"/>
    <cellStyle name="_БЮДЖЕТ 2004 от 9.12 газ_Дайджест 2003-2004 гг._Факт_2007_Часть 2 8" xfId="6487"/>
    <cellStyle name="_БЮДЖЕТ 2004 от 9.12 газ_Дайджест 2003-2004 гг._Факт_2007_Часть 2 9" xfId="6488"/>
    <cellStyle name="_БЮДЖЕТ 2004 от 9.12 газ_Дайджест 2003-2004 гг._Фин.часть  2007ожид и 2008 план" xfId="6489"/>
    <cellStyle name="_БЮДЖЕТ 2004 от 9.12 газ_Дайджест 2003-2004 гг._Фин.часть  2007ожид и 2008 план 2" xfId="6490"/>
    <cellStyle name="_БЮДЖЕТ 2004 от 9.12 газ_Дайджест 2003-2004 гг._Фин.часть  2007ожид и 2008 план 3" xfId="6491"/>
    <cellStyle name="_БЮДЖЕТ 2004 от 9.12 газ_Дайджест 2003-2004 гг._Фин.часть  2007ожид и 2008 план 4" xfId="6492"/>
    <cellStyle name="_БЮДЖЕТ 2004 от 9.12 газ_Дайджест 2003-2004 гг._Фин.часть  2007ожид и 2008 план 5" xfId="6493"/>
    <cellStyle name="_БЮДЖЕТ 2004 от 9.12 газ_Дайджест 2003-2004 гг._Фин.часть  2007ожид и 2008 план 6" xfId="6494"/>
    <cellStyle name="_БЮДЖЕТ 2004 от 9.12 газ_Дайджест 2003-2004 гг._Фин.часть  2007ожид и 2008 план 7" xfId="6495"/>
    <cellStyle name="_БЮДЖЕТ 2004 от 9.12 газ_Дайджест 2003-2004 гг._Фин.часть  2007ожид и 2008 план 8" xfId="6496"/>
    <cellStyle name="_БЮДЖЕТ 2004 от 9.12 газ_Дайджест 2003-2004 гг._Фин.часть  2007ожид и 2008 план 9" xfId="6497"/>
    <cellStyle name="_БЮДЖЕТ 2004 от 9.12 газ_Дайджест 2003-2004 гг._Фин.часть 11.12.06" xfId="6498"/>
    <cellStyle name="_БЮДЖЕТ 2004 от 9.12 газ_Дайджест 2003-2004 гг._Фин.часть 11.12.06 2" xfId="6499"/>
    <cellStyle name="_БЮДЖЕТ 2004 от 9.12 газ_Дайджест 2003-2004 гг._Фин.часть 11.12.06 3" xfId="6500"/>
    <cellStyle name="_БЮДЖЕТ 2004 от 9.12 газ_Дайджест 2003-2004 гг._Фин.часть 11.12.06 4" xfId="6501"/>
    <cellStyle name="_БЮДЖЕТ 2004 от 9.12 газ_Дайджест 2003-2004 гг._Фин.часть 11.12.06 5" xfId="6502"/>
    <cellStyle name="_БЮДЖЕТ 2004 от 9.12 газ_Дайджест 2003-2004 гг._Фин.часть 11.12.06 6" xfId="6503"/>
    <cellStyle name="_БЮДЖЕТ 2004 от 9.12 газ_Дайджест 2003-2004 гг._Фин.часть 11.12.06 7" xfId="6504"/>
    <cellStyle name="_БЮДЖЕТ 2004 от 9.12 газ_Дайджест 2003-2004 гг._Фин.часть 11.12.06 8" xfId="6505"/>
    <cellStyle name="_БЮДЖЕТ 2004 от 9.12 газ_Дайджест 2003-2004 гг._Фин.часть 11.12.06 9" xfId="6506"/>
    <cellStyle name="_БЮДЖЕТ 2004 от 9.12 газ_Дайджест 2003-2004 гг._Форма  19     27.03.07" xfId="6507"/>
    <cellStyle name="_БЮДЖЕТ 2004 от 9.12 газ_Дайджест 2003-2004 гг._Форма  19     27.03.07 2" xfId="6508"/>
    <cellStyle name="_БЮДЖЕТ 2004 от 9.12 газ_Дайджест 2003-2004 гг._Форма  19     27.03.07 3" xfId="6509"/>
    <cellStyle name="_БЮДЖЕТ 2004 от 9.12 газ_Дайджест 2003-2004 гг._Форма  19     27.03.07 4" xfId="6510"/>
    <cellStyle name="_БЮДЖЕТ 2004 от 9.12 газ_Дайджест 2003-2004 гг._Форма  19     27.03.07 5" xfId="6511"/>
    <cellStyle name="_БЮДЖЕТ 2004 от 9.12 газ_Дайджест 2003-2004 гг._Форма  19     27.03.07 6" xfId="6512"/>
    <cellStyle name="_БЮДЖЕТ 2004 от 9.12 газ_Дайджест 2003-2004 гг._Форма  19     27.03.07 7" xfId="6513"/>
    <cellStyle name="_БЮДЖЕТ 2004 от 9.12 газ_Дайджест 2003-2004 гг._Форма  19     27.03.07 8" xfId="6514"/>
    <cellStyle name="_БЮДЖЕТ 2004 от 9.12 газ_Дайджест 2003-2004 гг._Форма  19     27.03.07 9" xfId="6515"/>
    <cellStyle name="_БЮДЖЕТ 2004 от 9.12 газ_Дайджест 2003-2004 гг._Форма  20,21 25.02.07" xfId="6516"/>
    <cellStyle name="_БЮДЖЕТ 2004 от 9.12 газ_Дайджест 2003-2004 гг._Форма  20,21 25.02.07 2" xfId="6517"/>
    <cellStyle name="_БЮДЖЕТ 2004 от 9.12 газ_Дайджест 2003-2004 гг._Форма  20,21 25.02.07 3" xfId="6518"/>
    <cellStyle name="_БЮДЖЕТ 2004 от 9.12 газ_Дайджест 2003-2004 гг._Форма  20,21 25.02.07 4" xfId="6519"/>
    <cellStyle name="_БЮДЖЕТ 2004 от 9.12 газ_Дайджест 2003-2004 гг._Форма  20,21 25.02.07 5" xfId="6520"/>
    <cellStyle name="_БЮДЖЕТ 2004 от 9.12 газ_Дайджест 2003-2004 гг._Форма  20,21 25.02.07 6" xfId="6521"/>
    <cellStyle name="_БЮДЖЕТ 2004 от 9.12 газ_Дайджест 2003-2004 гг._Форма  20,21 25.02.07 7" xfId="6522"/>
    <cellStyle name="_БЮДЖЕТ 2004 от 9.12 газ_Дайджест 2003-2004 гг._Форма  20,21 25.02.07 8" xfId="6523"/>
    <cellStyle name="_БЮДЖЕТ 2004 от 9.12 газ_Дайджест 2003-2004 гг._Форма  20,21 25.02.07 9" xfId="6524"/>
    <cellStyle name="_БЮДЖЕТ 2004 от 9.12 газ_Дайджест 2003-2004 гг._Форма  20,21 25.02.07_index" xfId="6525"/>
    <cellStyle name="_БЮДЖЕТ 2004 от 9.12 газ_Дайджест 2003-2004 гг._Форма  20,21 25.02.07_Копия Потребность взаиморасч  от 28 02 2008 (2)" xfId="6526"/>
    <cellStyle name="_БЮДЖЕТ 2004 от 9.12 газ_Дайджест 2003-2004 гг._Форма  20,21 25.02.07_Форма№13 (новая от 28 12 09г) февраль версия № и последняя" xfId="6527"/>
    <cellStyle name="_БЮДЖЕТ 2004 от 9.12 газ_Дайджест 2003-2004 гг._Форма _ 2,4,5,30 скорр." xfId="6528"/>
    <cellStyle name="_БЮДЖЕТ 2004 от 9.12 газ_Дайджест 2003-2004 гг._Форма _ 2,4,5,30 скорр._index" xfId="6529"/>
    <cellStyle name="_БЮДЖЕТ 2004 от 9.12 газ_Дайджест 2003-2004 гг._Форма _ 2,4,5,30 скорр._Копия Потребность взаиморасч  от 28 02 2008 (2)" xfId="6530"/>
    <cellStyle name="_БЮДЖЕТ 2004 от 9.12 газ_Дайджест 2003-2004 гг._Форма 19 за 1 кв" xfId="6531"/>
    <cellStyle name="_БЮДЖЕТ 2004 от 9.12 газ_Дайджест 2003-2004 гг._Форма 19 за 1 кв 2" xfId="6532"/>
    <cellStyle name="_БЮДЖЕТ 2004 от 9.12 газ_Дайджест 2003-2004 гг._Форма 19 за 1 кв 3" xfId="6533"/>
    <cellStyle name="_БЮДЖЕТ 2004 от 9.12 газ_Дайджест 2003-2004 гг._Форма 19 за 1 кв 4" xfId="6534"/>
    <cellStyle name="_БЮДЖЕТ 2004 от 9.12 газ_Дайджест 2003-2004 гг._Форма 19 за 1 кв 5" xfId="6535"/>
    <cellStyle name="_БЮДЖЕТ 2004 от 9.12 газ_Дайджест 2003-2004 гг._Форма 19 за 1 кв 6" xfId="6536"/>
    <cellStyle name="_БЮДЖЕТ 2004 от 9.12 газ_Дайджест 2003-2004 гг._Форма 19 за 1 кв 7" xfId="6537"/>
    <cellStyle name="_БЮДЖЕТ 2004 от 9.12 газ_Дайджест 2003-2004 гг._Форма 19 за 1 кв 8" xfId="6538"/>
    <cellStyle name="_БЮДЖЕТ 2004 от 9.12 газ_Дайджест 2003-2004 гг._Форма 19 за 1 кв 9" xfId="6539"/>
    <cellStyle name="_БЮДЖЕТ 2004 от 9.12 газ_Дайджест 2003-2004 гг._Форма 20,21за 1 кв 25.04.07" xfId="6540"/>
    <cellStyle name="_БЮДЖЕТ 2004 от 9.12 газ_Дайджест 2003-2004 гг._Форма 20,21за 1 кв 25.04.07 2" xfId="6541"/>
    <cellStyle name="_БЮДЖЕТ 2004 от 9.12 газ_Дайджест 2003-2004 гг._Форма 20,21за 1 кв 25.04.07 3" xfId="6542"/>
    <cellStyle name="_БЮДЖЕТ 2004 от 9.12 газ_Дайджест 2003-2004 гг._Форма 20,21за 1 кв 25.04.07 4" xfId="6543"/>
    <cellStyle name="_БЮДЖЕТ 2004 от 9.12 газ_Дайджест 2003-2004 гг._Форма 20,21за 1 кв 25.04.07 5" xfId="6544"/>
    <cellStyle name="_БЮДЖЕТ 2004 от 9.12 газ_Дайджест 2003-2004 гг._Форма 20,21за 1 кв 25.04.07 6" xfId="6545"/>
    <cellStyle name="_БЮДЖЕТ 2004 от 9.12 газ_Дайджест 2003-2004 гг._Форма 20,21за 1 кв 25.04.07 7" xfId="6546"/>
    <cellStyle name="_БЮДЖЕТ 2004 от 9.12 газ_Дайджест 2003-2004 гг._Форма 20,21за 1 кв 25.04.07 8" xfId="6547"/>
    <cellStyle name="_БЮДЖЕТ 2004 от 9.12 газ_Дайджест 2003-2004 гг._Форма 20,21за 1 кв 25.04.07 9" xfId="6548"/>
    <cellStyle name="_БЮДЖЕТ 2004 от 9.12 газ_Дайджест 2003-2004 гг._Форма 28" xfId="6549"/>
    <cellStyle name="_БЮДЖЕТ 2004 от 9.12 газ_Дайджест 2003-2004 гг._Форма 28 2" xfId="6550"/>
    <cellStyle name="_БЮДЖЕТ 2004 от 9.12 газ_Дайджест 2003-2004 гг._Форма 28 3" xfId="6551"/>
    <cellStyle name="_БЮДЖЕТ 2004 от 9.12 газ_Дайджест 2003-2004 гг._Форма 28 4" xfId="6552"/>
    <cellStyle name="_БЮДЖЕТ 2004 от 9.12 газ_Дайджест 2003-2004 гг._Форма 28 5" xfId="6553"/>
    <cellStyle name="_БЮДЖЕТ 2004 от 9.12 газ_Дайджест 2003-2004 гг._Форма 28 6" xfId="6554"/>
    <cellStyle name="_БЮДЖЕТ 2004 от 9.12 газ_Дайджест 2003-2004 гг._Форма 28 7" xfId="6555"/>
    <cellStyle name="_БЮДЖЕТ 2004 от 9.12 газ_Дайджест 2003-2004 гг._Форма 28 8" xfId="6556"/>
    <cellStyle name="_БЮДЖЕТ 2004 от 9.12 газ_Дайджест 2003-2004 гг._Форма 28 9" xfId="6557"/>
    <cellStyle name="_БЮДЖЕТ 2004 от 9.12 газ_Дайджест 2003-2004 гг._Форма 28_13,14,28-30" xfId="6558"/>
    <cellStyle name="_БЮДЖЕТ 2004 от 9.12 газ_Дайджест 2003-2004 гг._Форма 28_26-30" xfId="6559"/>
    <cellStyle name="_БЮДЖЕТ 2004 от 9.12 газ_Дайджест 2003-2004 гг._Форма 28_28" xfId="6560"/>
    <cellStyle name="_БЮДЖЕТ 2004 от 9.12 газ_Дайджест 2003-2004 гг._Форма 28_3 квартал" xfId="6561"/>
    <cellStyle name="_БЮДЖЕТ 2004 от 9.12 газ_Дайджест 2003-2004 гг._Форма 28_3 квартал 2" xfId="6562"/>
    <cellStyle name="_БЮДЖЕТ 2004 от 9.12 газ_Дайджест 2003-2004 гг._Форма 28_Книга2" xfId="6563"/>
    <cellStyle name="_БЮДЖЕТ 2004 от 9.12 газ_Дайджест 2003-2004 гг._Форма 28_Копия Динамика цен (УС ) 2006-2009 сверен 30.01.09" xfId="6564"/>
    <cellStyle name="_БЮДЖЕТ 2004 от 9.12 газ_Дайджест 2003-2004 гг._Форма 28_Обжиговая" xfId="6565"/>
    <cellStyle name="_БЮДЖЕТ 2004 от 9.12 газ_Дайджест 2003-2004 гг._Форма 28_Отчет за сентябрь_11_ДСМ" xfId="6566"/>
    <cellStyle name="_БЮДЖЕТ 2004 от 9.12 газ_Дайджест 2003-2004 гг._Форма 28_Стан 150" xfId="6567"/>
    <cellStyle name="_БЮДЖЕТ 2004 от 9.12 газ_Дайджест 2003-2004 гг._Форма 28_фIIIкв Комплект ОЭМК (1-12,18,22) 28.10.08" xfId="6568"/>
    <cellStyle name="_БЮДЖЕТ 2004 от 9.12 газ_Дайджест 2003-2004 гг._Форма 28_Форма №19" xfId="6569"/>
    <cellStyle name="_БЮДЖЕТ 2004 от 9.12 газ_Дайджест 2003-2004 гг._Форма 28_Форма №24" xfId="6570"/>
    <cellStyle name="_БЮДЖЕТ 2004 от 9.12 газ_Дайджест 2003-2004 гг._Форма 28_Формы _28-30 (новые)1" xfId="6571"/>
    <cellStyle name="_БЮДЖЕТ 2004 от 9.12 газ_Дайджест 2003-2004 гг._Форма 28_Формы 28-30" xfId="6572"/>
    <cellStyle name="_БЮДЖЕТ 2004 от 9.12 газ_Дайджест 2003-2004 гг._Форма 28_Формы №28-30 (новые)1" xfId="6573"/>
    <cellStyle name="_БЮДЖЕТ 2004 от 9.12 газ_Дайджест 2003-2004 гг._Форма 28_Шаропрокатный" xfId="6574"/>
    <cellStyle name="_БЮДЖЕТ 2004 от 9.12 газ_Дайджест 2003-2004 гг._Форма 28_ЭНЦ-1" xfId="6575"/>
    <cellStyle name="_БЮДЖЕТ 2004 от 9.12 газ_Дайджест 2003-2004 гг._Форма 9" xfId="6576"/>
    <cellStyle name="_БЮДЖЕТ 2004 от 9.12 газ_Дайджест 2003-2004 гг._Форма 9 2" xfId="6577"/>
    <cellStyle name="_БЮДЖЕТ 2004 от 9.12 газ_Дайджест 2003-2004 гг._Форма 9 3" xfId="6578"/>
    <cellStyle name="_БЮДЖЕТ 2004 от 9.12 газ_Дайджест 2003-2004 гг._Форма 9 4" xfId="6579"/>
    <cellStyle name="_БЮДЖЕТ 2004 от 9.12 газ_Дайджест 2003-2004 гг._Форма 9 5" xfId="6580"/>
    <cellStyle name="_БЮДЖЕТ 2004 от 9.12 газ_Дайджест 2003-2004 гг._Форма 9 6" xfId="6581"/>
    <cellStyle name="_БЮДЖЕТ 2004 от 9.12 газ_Дайджест 2003-2004 гг._Форма 9 7" xfId="6582"/>
    <cellStyle name="_БЮДЖЕТ 2004 от 9.12 газ_Дайджест 2003-2004 гг._Форма 9 8" xfId="6583"/>
    <cellStyle name="_БЮДЖЕТ 2004 от 9.12 газ_Дайджест 2003-2004 гг._Форма 9 9" xfId="6584"/>
    <cellStyle name="_БЮДЖЕТ 2004 от 9.12 газ_Дайджест 2003-2004 гг._Форма № 13, 14" xfId="6585"/>
    <cellStyle name="_БЮДЖЕТ 2004 от 9.12 газ_Дайджест 2003-2004 гг._Форма № 13, 14 2" xfId="6586"/>
    <cellStyle name="_БЮДЖЕТ 2004 от 9.12 газ_Дайджест 2003-2004 гг._Форма № 13, 14 3" xfId="6587"/>
    <cellStyle name="_БЮДЖЕТ 2004 от 9.12 газ_Дайджест 2003-2004 гг._Форма № 13, 14 4" xfId="6588"/>
    <cellStyle name="_БЮДЖЕТ 2004 от 9.12 газ_Дайджест 2003-2004 гг._Форма № 13, 14 5" xfId="6589"/>
    <cellStyle name="_БЮДЖЕТ 2004 от 9.12 газ_Дайджест 2003-2004 гг._Форма № 13, 14 6" xfId="6590"/>
    <cellStyle name="_БЮДЖЕТ 2004 от 9.12 газ_Дайджест 2003-2004 гг._Форма № 13, 14 7" xfId="6591"/>
    <cellStyle name="_БЮДЖЕТ 2004 от 9.12 газ_Дайджест 2003-2004 гг._Форма № 13, 14 8" xfId="6592"/>
    <cellStyle name="_БЮДЖЕТ 2004 от 9.12 газ_Дайджест 2003-2004 гг._Форма № 13, 14 9" xfId="6593"/>
    <cellStyle name="_БЮДЖЕТ 2004 от 9.12 газ_Дайджест 2003-2004 гг._Форма № 19 25.02.07" xfId="6594"/>
    <cellStyle name="_БЮДЖЕТ 2004 от 9.12 газ_Дайджест 2003-2004 гг._Форма № 19 25.02.07 2" xfId="6595"/>
    <cellStyle name="_БЮДЖЕТ 2004 от 9.12 газ_Дайджест 2003-2004 гг._Форма № 19 25.02.07 3" xfId="6596"/>
    <cellStyle name="_БЮДЖЕТ 2004 от 9.12 газ_Дайджест 2003-2004 гг._Форма № 19 25.02.07 4" xfId="6597"/>
    <cellStyle name="_БЮДЖЕТ 2004 от 9.12 газ_Дайджест 2003-2004 гг._Форма № 19 25.02.07 5" xfId="6598"/>
    <cellStyle name="_БЮДЖЕТ 2004 от 9.12 газ_Дайджест 2003-2004 гг._Форма № 19 25.02.07 6" xfId="6599"/>
    <cellStyle name="_БЮДЖЕТ 2004 от 9.12 газ_Дайджест 2003-2004 гг._Форма № 19 25.02.07 7" xfId="6600"/>
    <cellStyle name="_БЮДЖЕТ 2004 от 9.12 газ_Дайджест 2003-2004 гг._Форма № 19 25.02.07 8" xfId="6601"/>
    <cellStyle name="_БЮДЖЕТ 2004 от 9.12 газ_Дайджест 2003-2004 гг._Форма № 19 25.02.07 9" xfId="6602"/>
    <cellStyle name="_БЮДЖЕТ 2004 от 9.12 газ_Дайджест 2003-2004 гг._Форма № 19 25.02.07_index" xfId="6603"/>
    <cellStyle name="_БЮДЖЕТ 2004 от 9.12 газ_Дайджест 2003-2004 гг._Форма № 19 25.02.07_Копия Потребность взаиморасч  от 28 02 2008 (2)" xfId="6604"/>
    <cellStyle name="_БЮДЖЕТ 2004 от 9.12 газ_Дайджест 2003-2004 гг._Форма № 19 25.02.07_Форма№13 (новая от 28 12 09г) февраль версия № и последняя" xfId="6605"/>
    <cellStyle name="_БЮДЖЕТ 2004 от 9.12 газ_Дайджест 2003-2004 гг._Форма № 28, 29, 30 план год 2008 от 05.12.07 для отправки" xfId="6606"/>
    <cellStyle name="_БЮДЖЕТ 2004 от 9.12 газ_Дайджест 2003-2004 гг._Форма № 28, 29, 30 план год 2008 от 05.12.07 для отправки 2" xfId="6607"/>
    <cellStyle name="_БЮДЖЕТ 2004 от 9.12 газ_Дайджест 2003-2004 гг._Форма № 28, 29, 30 план год 2008 от 05.12.07 для отправки 3" xfId="6608"/>
    <cellStyle name="_БЮДЖЕТ 2004 от 9.12 газ_Дайджест 2003-2004 гг._Форма № 28, 29, 30 план год 2008 от 05.12.07 для отправки 4" xfId="6609"/>
    <cellStyle name="_БЮДЖЕТ 2004 от 9.12 газ_Дайджест 2003-2004 гг._Форма № 28, 29, 30 план год 2008 от 05.12.07 для отправки 5" xfId="6610"/>
    <cellStyle name="_БЮДЖЕТ 2004 от 9.12 газ_Дайджест 2003-2004 гг._Форма № 28, 29, 30 план год 2008 от 05.12.07 для отправки 6" xfId="6611"/>
    <cellStyle name="_БЮДЖЕТ 2004 от 9.12 газ_Дайджест 2003-2004 гг._Форма № 28, 29, 30 план год 2008 от 05.12.07 для отправки 7" xfId="6612"/>
    <cellStyle name="_БЮДЖЕТ 2004 от 9.12 газ_Дайджест 2003-2004 гг._Форма № 28, 29, 30 план год 2008 от 05.12.07 для отправки 8" xfId="6613"/>
    <cellStyle name="_БЮДЖЕТ 2004 от 9.12 газ_Дайджест 2003-2004 гг._Форма № 28, 29, 30 план год 2008 от 05.12.07 для отправки 9" xfId="6614"/>
    <cellStyle name="_БЮДЖЕТ 2004 от 9.12 газ_Дайджест 2003-2004 гг._Форма № 29" xfId="6615"/>
    <cellStyle name="_БЮДЖЕТ 2004 от 9.12 газ_Дайджест 2003-2004 гг._Форма № 29 2" xfId="6616"/>
    <cellStyle name="_БЮДЖЕТ 2004 от 9.12 газ_Дайджест 2003-2004 гг._Форма № 29 3" xfId="6617"/>
    <cellStyle name="_БЮДЖЕТ 2004 от 9.12 газ_Дайджест 2003-2004 гг._Форма № 29 4" xfId="6618"/>
    <cellStyle name="_БЮДЖЕТ 2004 от 9.12 газ_Дайджест 2003-2004 гг._Форма № 29 5" xfId="6619"/>
    <cellStyle name="_БЮДЖЕТ 2004 от 9.12 газ_Дайджест 2003-2004 гг._Форма № 29 6" xfId="6620"/>
    <cellStyle name="_БЮДЖЕТ 2004 от 9.12 газ_Дайджест 2003-2004 гг._Форма № 29 7" xfId="6621"/>
    <cellStyle name="_БЮДЖЕТ 2004 от 9.12 газ_Дайджест 2003-2004 гг._Форма № 29 8" xfId="6622"/>
    <cellStyle name="_БЮДЖЕТ 2004 от 9.12 газ_Дайджест 2003-2004 гг._Форма № 29 9" xfId="6623"/>
    <cellStyle name="_БЮДЖЕТ 2004 от 9.12 газ_Дайджест 2003-2004 гг._Форма № 30  26.02.07" xfId="6624"/>
    <cellStyle name="_БЮДЖЕТ 2004 от 9.12 газ_Дайджест 2003-2004 гг._Форма №13" xfId="6625"/>
    <cellStyle name="_БЮДЖЕТ 2004 от 9.12 газ_Дайджест 2003-2004 гг._Форма №13 2" xfId="6626"/>
    <cellStyle name="_БЮДЖЕТ 2004 от 9.12 газ_Дайджест 2003-2004 гг._Форма №13 3" xfId="6627"/>
    <cellStyle name="_БЮДЖЕТ 2004 от 9.12 газ_Дайджест 2003-2004 гг._Форма №13 4" xfId="6628"/>
    <cellStyle name="_БЮДЖЕТ 2004 от 9.12 газ_Дайджест 2003-2004 гг._Форма №13 5" xfId="6629"/>
    <cellStyle name="_БЮДЖЕТ 2004 от 9.12 газ_Дайджест 2003-2004 гг._Форма №13 6" xfId="6630"/>
    <cellStyle name="_БЮДЖЕТ 2004 от 9.12 газ_Дайджест 2003-2004 гг._Форма №13 7" xfId="6631"/>
    <cellStyle name="_БЮДЖЕТ 2004 от 9.12 газ_Дайджест 2003-2004 гг._Форма №13 8" xfId="6632"/>
    <cellStyle name="_БЮДЖЕТ 2004 от 9.12 газ_Дайджест 2003-2004 гг._Форма №13 9" xfId="6633"/>
    <cellStyle name="_БЮДЖЕТ 2004 от 9.12 газ_Дайджест 2003-2004 гг._Форма №13, 14 от 25.04.07" xfId="6634"/>
    <cellStyle name="_БЮДЖЕТ 2004 от 9.12 газ_Дайджест 2003-2004 гг._Форма №13, 14 от 25.04.07 2" xfId="6635"/>
    <cellStyle name="_БЮДЖЕТ 2004 от 9.12 газ_Дайджест 2003-2004 гг._Форма №13, 14 от 25.04.07 3" xfId="6636"/>
    <cellStyle name="_БЮДЖЕТ 2004 от 9.12 газ_Дайджест 2003-2004 гг._Форма №13, 14 от 25.04.07 4" xfId="6637"/>
    <cellStyle name="_БЮДЖЕТ 2004 от 9.12 газ_Дайджест 2003-2004 гг._Форма №13, 14 от 25.04.07 5" xfId="6638"/>
    <cellStyle name="_БЮДЖЕТ 2004 от 9.12 газ_Дайджест 2003-2004 гг._Форма №13, 14 от 25.04.07 6" xfId="6639"/>
    <cellStyle name="_БЮДЖЕТ 2004 от 9.12 газ_Дайджест 2003-2004 гг._Форма №13, 14 от 25.04.07 7" xfId="6640"/>
    <cellStyle name="_БЮДЖЕТ 2004 от 9.12 газ_Дайджест 2003-2004 гг._Форма №13, 14 от 25.04.07 8" xfId="6641"/>
    <cellStyle name="_БЮДЖЕТ 2004 от 9.12 газ_Дайджест 2003-2004 гг._Форма №13, 14 от 25.04.07 9" xfId="6642"/>
    <cellStyle name="_БЮДЖЕТ 2004 от 9.12 газ_Дайджест 2003-2004 гг._Форма №14" xfId="6643"/>
    <cellStyle name="_БЮДЖЕТ 2004 от 9.12 газ_Дайджест 2003-2004 гг._Форма №14 2" xfId="6644"/>
    <cellStyle name="_БЮДЖЕТ 2004 от 9.12 газ_Дайджест 2003-2004 гг._Форма №14 3" xfId="6645"/>
    <cellStyle name="_БЮДЖЕТ 2004 от 9.12 газ_Дайджест 2003-2004 гг._Форма №14 4" xfId="6646"/>
    <cellStyle name="_БЮДЖЕТ 2004 от 9.12 газ_Дайджест 2003-2004 гг._Форма №14 5" xfId="6647"/>
    <cellStyle name="_БЮДЖЕТ 2004 от 9.12 газ_Дайджест 2003-2004 гг._Форма №14 6" xfId="6648"/>
    <cellStyle name="_БЮДЖЕТ 2004 от 9.12 газ_Дайджест 2003-2004 гг._Форма №14 7" xfId="6649"/>
    <cellStyle name="_БЮДЖЕТ 2004 от 9.12 газ_Дайджест 2003-2004 гг._Форма №14 8" xfId="6650"/>
    <cellStyle name="_БЮДЖЕТ 2004 от 9.12 газ_Дайджест 2003-2004 гг._Форма №14 9" xfId="6651"/>
    <cellStyle name="_БЮДЖЕТ 2004 от 9.12 газ_Дайджест 2003-2004 гг._Форма №19" xfId="6652"/>
    <cellStyle name="_БЮДЖЕТ 2004 от 9.12 газ_Дайджест 2003-2004 гг._Форма №19 июль факт" xfId="6653"/>
    <cellStyle name="_БЮДЖЕТ 2004 от 9.12 газ_Дайджест 2003-2004 гг._Форма №24" xfId="6654"/>
    <cellStyle name="_БЮДЖЕТ 2004 от 9.12 газ_Дайджест 2003-2004 гг._форма №24 от 07.12.2006г" xfId="6655"/>
    <cellStyle name="_БЮДЖЕТ 2004 от 9.12 газ_Дайджест 2003-2004 гг._форма №24 от 07.12.2006г 2" xfId="6656"/>
    <cellStyle name="_БЮДЖЕТ 2004 от 9.12 газ_Дайджест 2003-2004 гг._форма №24 от 07.12.2006г 3" xfId="6657"/>
    <cellStyle name="_БЮДЖЕТ 2004 от 9.12 газ_Дайджест 2003-2004 гг._форма №24 от 07.12.2006г 4" xfId="6658"/>
    <cellStyle name="_БЮДЖЕТ 2004 от 9.12 газ_Дайджест 2003-2004 гг._форма №24 от 07.12.2006г 5" xfId="6659"/>
    <cellStyle name="_БЮДЖЕТ 2004 от 9.12 газ_Дайджест 2003-2004 гг._форма №24 от 07.12.2006г 6" xfId="6660"/>
    <cellStyle name="_БЮДЖЕТ 2004 от 9.12 газ_Дайджест 2003-2004 гг._форма №24 от 07.12.2006г 7" xfId="6661"/>
    <cellStyle name="_БЮДЖЕТ 2004 от 9.12 газ_Дайджест 2003-2004 гг._форма №24 от 07.12.2006г 8" xfId="6662"/>
    <cellStyle name="_БЮДЖЕТ 2004 от 9.12 газ_Дайджест 2003-2004 гг._форма №24 от 07.12.2006г 9" xfId="6663"/>
    <cellStyle name="_БЮДЖЕТ 2004 от 9.12 газ_Дайджест 2003-2004 гг._форма №24 от 11.12.2006г" xfId="6664"/>
    <cellStyle name="_БЮДЖЕТ 2004 от 9.12 газ_Дайджест 2003-2004 гг._форма №24 от 11.12.2006г 2" xfId="6665"/>
    <cellStyle name="_БЮДЖЕТ 2004 от 9.12 газ_Дайджест 2003-2004 гг._форма №24 от 11.12.2006г 3" xfId="6666"/>
    <cellStyle name="_БЮДЖЕТ 2004 от 9.12 газ_Дайджест 2003-2004 гг._форма №24 от 11.12.2006г 4" xfId="6667"/>
    <cellStyle name="_БЮДЖЕТ 2004 от 9.12 газ_Дайджест 2003-2004 гг._форма №24 от 11.12.2006г 5" xfId="6668"/>
    <cellStyle name="_БЮДЖЕТ 2004 от 9.12 газ_Дайджест 2003-2004 гг._форма №24 от 11.12.2006г 6" xfId="6669"/>
    <cellStyle name="_БЮДЖЕТ 2004 от 9.12 газ_Дайджест 2003-2004 гг._форма №24 от 11.12.2006г 7" xfId="6670"/>
    <cellStyle name="_БЮДЖЕТ 2004 от 9.12 газ_Дайджест 2003-2004 гг._форма №24 от 11.12.2006г 8" xfId="6671"/>
    <cellStyle name="_БЮДЖЕТ 2004 от 9.12 газ_Дайджест 2003-2004 гг._форма №24 от 11.12.2006г 9" xfId="6672"/>
    <cellStyle name="_БЮДЖЕТ 2004 от 9.12 газ_Дайджест 2003-2004 гг._форма №24 от 15.12.2006г" xfId="6673"/>
    <cellStyle name="_БЮДЖЕТ 2004 от 9.12 газ_Дайджест 2003-2004 гг._форма №24 от 15.12.2006г 2" xfId="6674"/>
    <cellStyle name="_БЮДЖЕТ 2004 от 9.12 газ_Дайджест 2003-2004 гг._форма №24 от 15.12.2006г 3" xfId="6675"/>
    <cellStyle name="_БЮДЖЕТ 2004 от 9.12 газ_Дайджест 2003-2004 гг._форма №24 от 15.12.2006г 4" xfId="6676"/>
    <cellStyle name="_БЮДЖЕТ 2004 от 9.12 газ_Дайджест 2003-2004 гг._форма №24 от 15.12.2006г 5" xfId="6677"/>
    <cellStyle name="_БЮДЖЕТ 2004 от 9.12 газ_Дайджест 2003-2004 гг._форма №24 от 15.12.2006г 6" xfId="6678"/>
    <cellStyle name="_БЮДЖЕТ 2004 от 9.12 газ_Дайджест 2003-2004 гг._форма №24 от 15.12.2006г 7" xfId="6679"/>
    <cellStyle name="_БЮДЖЕТ 2004 от 9.12 газ_Дайджест 2003-2004 гг._форма №24 от 15.12.2006г 8" xfId="6680"/>
    <cellStyle name="_БЮДЖЕТ 2004 от 9.12 газ_Дайджест 2003-2004 гг._форма №24 от 15.12.2006г 9" xfId="6681"/>
    <cellStyle name="_БЮДЖЕТ 2004 от 9.12 газ_Дайджест 2003-2004 гг._форма №24,25 2 кв. от 02.04.07" xfId="6682"/>
    <cellStyle name="_БЮДЖЕТ 2004 от 9.12 газ_Дайджест 2003-2004 гг._Форма №24,25 за 1 кв 2007" xfId="6683"/>
    <cellStyle name="_БЮДЖЕТ 2004 от 9.12 газ_Дайджест 2003-2004 гг._Форма №24,25 за 1 кв 2007 2" xfId="6684"/>
    <cellStyle name="_БЮДЖЕТ 2004 от 9.12 газ_Дайджест 2003-2004 гг._Форма №24,25 за 1 кв 2007 3" xfId="6685"/>
    <cellStyle name="_БЮДЖЕТ 2004 от 9.12 газ_Дайджест 2003-2004 гг._Форма №24,25 за 1 кв 2007 4" xfId="6686"/>
    <cellStyle name="_БЮДЖЕТ 2004 от 9.12 газ_Дайджест 2003-2004 гг._Форма №24,25 за 1 кв 2007 5" xfId="6687"/>
    <cellStyle name="_БЮДЖЕТ 2004 от 9.12 газ_Дайджест 2003-2004 гг._Форма №24,25 за 1 кв 2007 6" xfId="6688"/>
    <cellStyle name="_БЮДЖЕТ 2004 от 9.12 газ_Дайджест 2003-2004 гг._Форма №24,25 за 1 кв 2007 7" xfId="6689"/>
    <cellStyle name="_БЮДЖЕТ 2004 от 9.12 газ_Дайджест 2003-2004 гг._Форма №24,25 за 1 кв 2007 8" xfId="6690"/>
    <cellStyle name="_БЮДЖЕТ 2004 от 9.12 газ_Дайджест 2003-2004 гг._Форма №24,25 за 1 кв 2007 9" xfId="6691"/>
    <cellStyle name="_БЮДЖЕТ 2004 от 9.12 газ_Дайджест 2003-2004 гг._Форма №24,25 за янв 2007" xfId="6692"/>
    <cellStyle name="_БЮДЖЕТ 2004 от 9.12 газ_Дайджест 2003-2004 гг._Форма №24,25 за янв 2007 2" xfId="6693"/>
    <cellStyle name="_БЮДЖЕТ 2004 от 9.12 газ_Дайджест 2003-2004 гг._Форма №24,25 за янв 2007 3" xfId="6694"/>
    <cellStyle name="_БЮДЖЕТ 2004 от 9.12 газ_Дайджест 2003-2004 гг._Форма №24,25 за янв 2007 4" xfId="6695"/>
    <cellStyle name="_БЮДЖЕТ 2004 от 9.12 газ_Дайджест 2003-2004 гг._Форма №24,25 за янв 2007 5" xfId="6696"/>
    <cellStyle name="_БЮДЖЕТ 2004 от 9.12 газ_Дайджест 2003-2004 гг._Форма №24,25 за янв 2007 6" xfId="6697"/>
    <cellStyle name="_БЮДЖЕТ 2004 от 9.12 газ_Дайджест 2003-2004 гг._Форма №24,25 за янв 2007 7" xfId="6698"/>
    <cellStyle name="_БЮДЖЕТ 2004 от 9.12 газ_Дайджест 2003-2004 гг._Форма №24,25 за янв 2007 8" xfId="6699"/>
    <cellStyle name="_БЮДЖЕТ 2004 от 9.12 газ_Дайджест 2003-2004 гг._Форма №24,25 за янв 2007 9" xfId="6700"/>
    <cellStyle name="_БЮДЖЕТ 2004 от 9.12 газ_Дайджест 2003-2004 гг._Форма №24,25 за янв 2007_index" xfId="6701"/>
    <cellStyle name="_БЮДЖЕТ 2004 от 9.12 газ_Дайджест 2003-2004 гг._Форма №24,25 за янв 2007_Копия Потребность взаиморасч  от 28 02 2008 (2)" xfId="6702"/>
    <cellStyle name="_БЮДЖЕТ 2004 от 9.12 газ_Дайджест 2003-2004 гг._Форма №24,25 за янв 2007_Форма№13 (новая от 28 12 09г) февраль версия № и последняя" xfId="6703"/>
    <cellStyle name="_БЮДЖЕТ 2004 от 9.12 газ_Дайджест 2003-2004 гг._Форма №26 1 кв" xfId="6704"/>
    <cellStyle name="_БЮДЖЕТ 2004 от 9.12 газ_Дайджест 2003-2004 гг._Форма №26 1 кв 2" xfId="6705"/>
    <cellStyle name="_БЮДЖЕТ 2004 от 9.12 газ_Дайджест 2003-2004 гг._Форма №26 1 кв 3" xfId="6706"/>
    <cellStyle name="_БЮДЖЕТ 2004 от 9.12 газ_Дайджест 2003-2004 гг._Форма №26 1 кв 4" xfId="6707"/>
    <cellStyle name="_БЮДЖЕТ 2004 от 9.12 газ_Дайджест 2003-2004 гг._Форма №26 1 кв 5" xfId="6708"/>
    <cellStyle name="_БЮДЖЕТ 2004 от 9.12 газ_Дайджест 2003-2004 гг._Форма №26 1 кв 6" xfId="6709"/>
    <cellStyle name="_БЮДЖЕТ 2004 от 9.12 газ_Дайджест 2003-2004 гг._Форма №26 1 кв 7" xfId="6710"/>
    <cellStyle name="_БЮДЖЕТ 2004 от 9.12 газ_Дайджест 2003-2004 гг._Форма №26 1 кв 8" xfId="6711"/>
    <cellStyle name="_БЮДЖЕТ 2004 от 9.12 газ_Дайджест 2003-2004 гг._Форма №26 1 кв 9" xfId="6712"/>
    <cellStyle name="_БЮДЖЕТ 2004 от 9.12 газ_Дайджест 2003-2004 гг._Форма №27 1 кв" xfId="6713"/>
    <cellStyle name="_БЮДЖЕТ 2004 от 9.12 газ_Дайджест 2003-2004 гг._Форма №27 1 кв 2" xfId="6714"/>
    <cellStyle name="_БЮДЖЕТ 2004 от 9.12 газ_Дайджест 2003-2004 гг._Форма №27 1 кв 3" xfId="6715"/>
    <cellStyle name="_БЮДЖЕТ 2004 от 9.12 газ_Дайджест 2003-2004 гг._Форма №27 1 кв 4" xfId="6716"/>
    <cellStyle name="_БЮДЖЕТ 2004 от 9.12 газ_Дайджест 2003-2004 гг._Форма №27 1 кв 5" xfId="6717"/>
    <cellStyle name="_БЮДЖЕТ 2004 от 9.12 газ_Дайджест 2003-2004 гг._Форма №27 1 кв 6" xfId="6718"/>
    <cellStyle name="_БЮДЖЕТ 2004 от 9.12 газ_Дайджест 2003-2004 гг._Форма №27 1 кв 7" xfId="6719"/>
    <cellStyle name="_БЮДЖЕТ 2004 от 9.12 газ_Дайджест 2003-2004 гг._Форма №27 1 кв 8" xfId="6720"/>
    <cellStyle name="_БЮДЖЕТ 2004 от 9.12 газ_Дайджест 2003-2004 гг._Форма №27 1 кв 9" xfId="6721"/>
    <cellStyle name="_БЮДЖЕТ 2004 от 9.12 газ_Дайджест 2003-2004 гг._Форма №8" xfId="6722"/>
    <cellStyle name="_БЮДЖЕТ 2004 от 9.12 газ_Дайджест 2003-2004 гг._Форма №8 2" xfId="6723"/>
    <cellStyle name="_БЮДЖЕТ 2004 от 9.12 газ_Дайджест 2003-2004 гг._Форма №8 3" xfId="6724"/>
    <cellStyle name="_БЮДЖЕТ 2004 от 9.12 газ_Дайджест 2003-2004 гг._Форма №8 4" xfId="6725"/>
    <cellStyle name="_БЮДЖЕТ 2004 от 9.12 газ_Дайджест 2003-2004 гг._Форма №8 5" xfId="6726"/>
    <cellStyle name="_БЮДЖЕТ 2004 от 9.12 газ_Дайджест 2003-2004 гг._Форма №8 6" xfId="6727"/>
    <cellStyle name="_БЮДЖЕТ 2004 от 9.12 газ_Дайджест 2003-2004 гг._Форма №8 7" xfId="6728"/>
    <cellStyle name="_БЮДЖЕТ 2004 от 9.12 газ_Дайджест 2003-2004 гг._Форма №8 8" xfId="6729"/>
    <cellStyle name="_БЮДЖЕТ 2004 от 9.12 газ_Дайджест 2003-2004 гг._Форма №8 9" xfId="6730"/>
    <cellStyle name="_БЮДЖЕТ 2004 от 9.12 газ_Дайджест 2003-2004 гг._форма презентации по численности и зарплате" xfId="6731"/>
    <cellStyle name="_БЮДЖЕТ 2004 от 9.12 газ_Дайджест 2003-2004 гг._форма презентации по численности и зарплате 2" xfId="6732"/>
    <cellStyle name="_БЮДЖЕТ 2004 от 9.12 газ_Дайджест 2003-2004 гг._форма презентации по численности и зарплате 3" xfId="6733"/>
    <cellStyle name="_БЮДЖЕТ 2004 от 9.12 газ_Дайджест 2003-2004 гг._форма презентации по численности и зарплате 4" xfId="6734"/>
    <cellStyle name="_БЮДЖЕТ 2004 от 9.12 газ_Дайджест 2003-2004 гг._форма презентации по численности и зарплате 5" xfId="6735"/>
    <cellStyle name="_БЮДЖЕТ 2004 от 9.12 газ_Дайджест 2003-2004 гг._форма презентации по численности и зарплате 6" xfId="6736"/>
    <cellStyle name="_БЮДЖЕТ 2004 от 9.12 газ_Дайджест 2003-2004 гг._форма презентации по численности и зарплате 7" xfId="6737"/>
    <cellStyle name="_БЮДЖЕТ 2004 от 9.12 газ_Дайджест 2003-2004 гг._форма презентации по численности и зарплате 8" xfId="6738"/>
    <cellStyle name="_БЮДЖЕТ 2004 от 9.12 газ_Дайджест 2003-2004 гг._форма презентации по численности и зарплате 9" xfId="6739"/>
    <cellStyle name="_БЮДЖЕТ 2004 от 9.12 газ_Дайджест 2003-2004 гг._Форма№13 (новая от 28 12 09г) февраль версия № и последняя" xfId="6740"/>
    <cellStyle name="_БЮДЖЕТ 2004 от 9.12 газ_Дайджест 2003-2004 гг._Формат" xfId="6741"/>
    <cellStyle name="_БЮДЖЕТ 2004 от 9.12 газ_Дайджест 2003-2004 гг._формат отчетности(фев с март)" xfId="6742"/>
    <cellStyle name="_БЮДЖЕТ 2004 от 9.12 газ_Дайджест 2003-2004 гг._Формат Январь прогноз" xfId="6743"/>
    <cellStyle name="_БЮДЖЕТ 2004 от 9.12 газ_Дайджест 2003-2004 гг._Формы _28-30 (новые)1" xfId="6744"/>
    <cellStyle name="_БЮДЖЕТ 2004 от 9.12 газ_Дайджест 2003-2004 гг._Формы 19,20,21" xfId="6745"/>
    <cellStyle name="_БЮДЖЕТ 2004 от 9.12 газ_Дайджест 2003-2004 гг._Формы 19,20,21 16.12.06 " xfId="6746"/>
    <cellStyle name="_БЮДЖЕТ 2004 от 9.12 газ_Дайджест 2003-2004 гг._Формы 19,20,21 16.12.06  2" xfId="6747"/>
    <cellStyle name="_БЮДЖЕТ 2004 от 9.12 газ_Дайджест 2003-2004 гг._Формы 19,20,21 16.12.06  3" xfId="6748"/>
    <cellStyle name="_БЮДЖЕТ 2004 от 9.12 газ_Дайджест 2003-2004 гг._Формы 19,20,21 16.12.06  4" xfId="6749"/>
    <cellStyle name="_БЮДЖЕТ 2004 от 9.12 газ_Дайджест 2003-2004 гг._Формы 19,20,21 16.12.06  5" xfId="6750"/>
    <cellStyle name="_БЮДЖЕТ 2004 от 9.12 газ_Дайджест 2003-2004 гг._Формы 19,20,21 16.12.06  6" xfId="6751"/>
    <cellStyle name="_БЮДЖЕТ 2004 от 9.12 газ_Дайджест 2003-2004 гг._Формы 19,20,21 16.12.06  7" xfId="6752"/>
    <cellStyle name="_БЮДЖЕТ 2004 от 9.12 газ_Дайджест 2003-2004 гг._Формы 19,20,21 16.12.06  8" xfId="6753"/>
    <cellStyle name="_БЮДЖЕТ 2004 от 9.12 газ_Дайджест 2003-2004 гг._Формы 19,20,21 16.12.06  9" xfId="6754"/>
    <cellStyle name="_БЮДЖЕТ 2004 от 9.12 газ_Дайджест 2003-2004 гг._Формы 19,20,21 2" xfId="6755"/>
    <cellStyle name="_БЮДЖЕТ 2004 от 9.12 газ_Дайджест 2003-2004 гг._Формы 19,20,21 3" xfId="6756"/>
    <cellStyle name="_БЮДЖЕТ 2004 от 9.12 газ_Дайджест 2003-2004 гг._Формы 19,20,21 4" xfId="6757"/>
    <cellStyle name="_БЮДЖЕТ 2004 от 9.12 газ_Дайджест 2003-2004 гг._Формы 19,20,21 5" xfId="6758"/>
    <cellStyle name="_БЮДЖЕТ 2004 от 9.12 газ_Дайджест 2003-2004 гг._Формы 19,20,21 6" xfId="6759"/>
    <cellStyle name="_БЮДЖЕТ 2004 от 9.12 газ_Дайджест 2003-2004 гг._Формы 19,20,21 7" xfId="6760"/>
    <cellStyle name="_БЮДЖЕТ 2004 от 9.12 газ_Дайджест 2003-2004 гг._Формы 19,20,21 8" xfId="6761"/>
    <cellStyle name="_БЮДЖЕТ 2004 от 9.12 газ_Дайджест 2003-2004 гг._Формы 19,20,21 9" xfId="6762"/>
    <cellStyle name="_БЮДЖЕТ 2004 от 9.12 газ_Дайджест 2003-2004 гг._Формы 19,20,21 на 2007г." xfId="6763"/>
    <cellStyle name="_БЮДЖЕТ 2004 от 9.12 газ_Дайджест 2003-2004 гг._Формы 19,20,21 на 2007г. 2" xfId="6764"/>
    <cellStyle name="_БЮДЖЕТ 2004 от 9.12 газ_Дайджест 2003-2004 гг._Формы 19,20,21 на 2007г. 3" xfId="6765"/>
    <cellStyle name="_БЮДЖЕТ 2004 от 9.12 газ_Дайджест 2003-2004 гг._Формы 19,20,21 на 2007г. 4" xfId="6766"/>
    <cellStyle name="_БЮДЖЕТ 2004 от 9.12 газ_Дайджест 2003-2004 гг._Формы 19,20,21 на 2007г. 5" xfId="6767"/>
    <cellStyle name="_БЮДЖЕТ 2004 от 9.12 газ_Дайджест 2003-2004 гг._Формы 19,20,21 на 2007г. 6" xfId="6768"/>
    <cellStyle name="_БЮДЖЕТ 2004 от 9.12 газ_Дайджест 2003-2004 гг._Формы 19,20,21 на 2007г. 7" xfId="6769"/>
    <cellStyle name="_БЮДЖЕТ 2004 от 9.12 газ_Дайджест 2003-2004 гг._Формы 19,20,21 на 2007г. 8" xfId="6770"/>
    <cellStyle name="_БЮДЖЕТ 2004 от 9.12 газ_Дайджест 2003-2004 гг._Формы 19,20,21 на 2007г. 9" xfId="6771"/>
    <cellStyle name="_БЮДЖЕТ 2004 от 9.12 газ_Дайджест 2003-2004 гг._Формы 28-30" xfId="6772"/>
    <cellStyle name="_БЮДЖЕТ 2004 от 9.12 газ_Дайджест 2003-2004 гг._Формы №28-30 (новые)1" xfId="6773"/>
    <cellStyle name="_БЮДЖЕТ 2004 от 9.12 газ_Дайджест 2003-2004 гг._Формы Август-декбарь" xfId="6774"/>
    <cellStyle name="_БЮДЖЕТ 2004 от 9.12 газ_Дайджест 2003-2004 гг._Формы Август-декбарь 2" xfId="6775"/>
    <cellStyle name="_БЮДЖЕТ 2004 от 9.12 газ_Дайджест 2003-2004 гг._Формы Август-декбарь 3" xfId="6776"/>
    <cellStyle name="_БЮДЖЕТ 2004 от 9.12 газ_Дайджест 2003-2004 гг._Формы Август-декбарь 4" xfId="6777"/>
    <cellStyle name="_БЮДЖЕТ 2004 от 9.12 газ_Дайджест 2003-2004 гг._Формы Август-декбарь 5" xfId="6778"/>
    <cellStyle name="_БЮДЖЕТ 2004 от 9.12 газ_Дайджест 2003-2004 гг._Формы Август-декбарь 6" xfId="6779"/>
    <cellStyle name="_БЮДЖЕТ 2004 от 9.12 газ_Дайджест 2003-2004 гг._Формы Август-декбарь 7" xfId="6780"/>
    <cellStyle name="_БЮДЖЕТ 2004 от 9.12 газ_Дайджест 2003-2004 гг._Формы Август-декбарь 8" xfId="6781"/>
    <cellStyle name="_БЮДЖЕТ 2004 от 9.12 газ_Дайджест 2003-2004 гг._Формы Август-декбарь 9" xfId="6782"/>
    <cellStyle name="_БЮДЖЕТ 2004 от 9.12 газ_Дайджест 2003-2004 гг._Формы Август-декбарь_13,14,28-30" xfId="6783"/>
    <cellStyle name="_БЮДЖЕТ 2004 от 9.12 газ_Дайджест 2003-2004 гг._Формы Август-декбарь_19" xfId="6784"/>
    <cellStyle name="_БЮДЖЕТ 2004 от 9.12 газ_Дайджест 2003-2004 гг._Формы Август-декбарь_26-30" xfId="6785"/>
    <cellStyle name="_БЮДЖЕТ 2004 от 9.12 газ_Дайджест 2003-2004 гг._Формы Август-декбарь_28" xfId="6786"/>
    <cellStyle name="_БЮДЖЕТ 2004 от 9.12 газ_Дайджест 2003-2004 гг._Формы Август-декбарь_3 квартал" xfId="6787"/>
    <cellStyle name="_БЮДЖЕТ 2004 от 9.12 газ_Дайджест 2003-2004 гг._Формы Август-декбарь_3 квартал 2" xfId="6788"/>
    <cellStyle name="_БЮДЖЕТ 2004 от 9.12 газ_Дайджест 2003-2004 гг._Формы Август-декбарь_index" xfId="6789"/>
    <cellStyle name="_БЮДЖЕТ 2004 от 9.12 газ_Дайджест 2003-2004 гг._Формы Август-декбарь_Верх НА" xfId="6790"/>
    <cellStyle name="_БЮДЖЕТ 2004 от 9.12 газ_Дайджест 2003-2004 гг._Формы Август-декбарь_Книга2" xfId="6791"/>
    <cellStyle name="_БЮДЖЕТ 2004 от 9.12 газ_Дайджест 2003-2004 гг._Формы Август-декбарь_Копия Динамика цен (УС ) 2006-2009 сверен 30.01.09" xfId="6792"/>
    <cellStyle name="_БЮДЖЕТ 2004 от 9.12 газ_Дайджест 2003-2004 гг._Формы Август-декбарь_Копия Потребность взаиморасч  от 28 02 2008 (2)" xfId="6793"/>
    <cellStyle name="_БЮДЖЕТ 2004 от 9.12 газ_Дайджест 2003-2004 гг._Формы Август-декбарь_Налог на прибыль" xfId="6794"/>
    <cellStyle name="_БЮДЖЕТ 2004 от 9.12 газ_Дайджест 2003-2004 гг._Формы Август-декбарь_Налоги А.А. Богоцкому 2005-2009" xfId="6795"/>
    <cellStyle name="_БЮДЖЕТ 2004 от 9.12 газ_Дайджест 2003-2004 гг._Формы Август-декбарь_Налоги к плану на 2009 год (ДЗ и КЗ)" xfId="6796"/>
    <cellStyle name="_БЮДЖЕТ 2004 от 9.12 газ_Дайджест 2003-2004 гг._Формы Август-декбарь_Налоги к плану на февраль 2009 года" xfId="6797"/>
    <cellStyle name="_БЮДЖЕТ 2004 от 9.12 газ_Дайджест 2003-2004 гг._Формы Август-декбарь_Обжиговая" xfId="6798"/>
    <cellStyle name="_БЮДЖЕТ 2004 от 9.12 газ_Дайджест 2003-2004 гг._Формы Август-декбарь_Отчет за сентябрь_11_ДСМ" xfId="6799"/>
    <cellStyle name="_БЮДЖЕТ 2004 от 9.12 газ_Дайджест 2003-2004 гг._Формы Август-декбарь_Стан 150" xfId="6800"/>
    <cellStyle name="_БЮДЖЕТ 2004 от 9.12 газ_Дайджест 2003-2004 гг._Формы Август-декбарь_Ф20 от налоговой" xfId="6801"/>
    <cellStyle name="_БЮДЖЕТ 2004 от 9.12 газ_Дайджест 2003-2004 гг._Формы Август-декбарь_фIIIкв Комплект ОЭМК (1-12,18,22) 28.10.08" xfId="6802"/>
    <cellStyle name="_БЮДЖЕТ 2004 от 9.12 газ_Дайджест 2003-2004 гг._Формы Август-декбарь_Форма №19" xfId="6803"/>
    <cellStyle name="_БЮДЖЕТ 2004 от 9.12 газ_Дайджест 2003-2004 гг._Формы Август-декбарь_Форма №24" xfId="6804"/>
    <cellStyle name="_БЮДЖЕТ 2004 от 9.12 газ_Дайджест 2003-2004 гг._Формы Август-декбарь_Форма№13 (новая от 28 12 09г) февраль версия № и последняя" xfId="6805"/>
    <cellStyle name="_БЮДЖЕТ 2004 от 9.12 газ_Дайджест 2003-2004 гг._Формы Август-декбарь_Формы _28-30 (новые)1" xfId="6806"/>
    <cellStyle name="_БЮДЖЕТ 2004 от 9.12 газ_Дайджест 2003-2004 гг._Формы Август-декбарь_Формы 28-30" xfId="6807"/>
    <cellStyle name="_БЮДЖЕТ 2004 от 9.12 газ_Дайджест 2003-2004 гг._Формы Август-декбарь_Формы №28-30 (новые)1" xfId="6808"/>
    <cellStyle name="_БЮДЖЕТ 2004 от 9.12 газ_Дайджест 2003-2004 гг._Формы Август-декбарь_Шаропрокатный" xfId="6809"/>
    <cellStyle name="_БЮДЖЕТ 2004 от 9.12 газ_Дайджест 2003-2004 гг._Формы Август-декбарь_ЭНЦ-1" xfId="6810"/>
    <cellStyle name="_БЮДЖЕТ 2004 от 9.12 газ_Дайджест 2003-2004 гг._Формы для ЛГОК (к отправке)" xfId="6811"/>
    <cellStyle name="_БЮДЖЕТ 2004 от 9.12 газ_Дайджест 2003-2004 гг._Формы для ЛГОК (к отправке)_index" xfId="6812"/>
    <cellStyle name="_БЮДЖЕТ 2004 от 9.12 газ_Дайджест 2003-2004 гг._Формы для ЛГОК (к отправке)_Копия Потребность взаиморасч  от 28 02 2008 (2)" xfId="6813"/>
    <cellStyle name="_БЮДЖЕТ 2004 от 9.12 газ_Дайджест 2003-2004 гг._Формы для ОЭМК (к отправке)" xfId="6814"/>
    <cellStyle name="_БЮДЖЕТ 2004 от 9.12 газ_Дайджест 2003-2004 гг._Формы для ОЭМК (к отправке) 2" xfId="6815"/>
    <cellStyle name="_БЮДЖЕТ 2004 от 9.12 газ_Дайджест 2003-2004 гг._Формы для ОЭМК (к отправке) 3" xfId="6816"/>
    <cellStyle name="_БЮДЖЕТ 2004 от 9.12 газ_Дайджест 2003-2004 гг._Формы для ОЭМК (к отправке) 4" xfId="6817"/>
    <cellStyle name="_БЮДЖЕТ 2004 от 9.12 газ_Дайджест 2003-2004 гг._Формы для ОЭМК (к отправке) 5" xfId="6818"/>
    <cellStyle name="_БЮДЖЕТ 2004 от 9.12 газ_Дайджест 2003-2004 гг._Формы для ОЭМК (к отправке) 6" xfId="6819"/>
    <cellStyle name="_БЮДЖЕТ 2004 от 9.12 газ_Дайджест 2003-2004 гг._Формы для ОЭМК (к отправке) 7" xfId="6820"/>
    <cellStyle name="_БЮДЖЕТ 2004 от 9.12 газ_Дайджест 2003-2004 гг._Формы для ОЭМК (к отправке) 8" xfId="6821"/>
    <cellStyle name="_БЮДЖЕТ 2004 от 9.12 газ_Дайджест 2003-2004 гг._Формы для ОЭМК (к отправке) 9" xfId="6822"/>
    <cellStyle name="_БЮДЖЕТ 2004 от 9.12 газ_Дайджест 2003-2004 гг._Формы для ОЭМК (к отправке)_13,14,28-30" xfId="6823"/>
    <cellStyle name="_БЮДЖЕТ 2004 от 9.12 газ_Дайджест 2003-2004 гг._Формы для ОЭМК (к отправке)_19" xfId="6824"/>
    <cellStyle name="_БЮДЖЕТ 2004 от 9.12 газ_Дайджест 2003-2004 гг._Формы для ОЭМК (к отправке)_26-30" xfId="6825"/>
    <cellStyle name="_БЮДЖЕТ 2004 от 9.12 газ_Дайджест 2003-2004 гг._Формы для ОЭМК (к отправке)_28" xfId="6826"/>
    <cellStyle name="_БЮДЖЕТ 2004 от 9.12 газ_Дайджест 2003-2004 гг._Формы для ОЭМК (к отправке)_3 квартал" xfId="6827"/>
    <cellStyle name="_БЮДЖЕТ 2004 от 9.12 газ_Дайджест 2003-2004 гг._Формы для ОЭМК (к отправке)_3 квартал 2" xfId="6828"/>
    <cellStyle name="_БЮДЖЕТ 2004 от 9.12 газ_Дайджест 2003-2004 гг._Формы для ОЭМК (к отправке)_index" xfId="6829"/>
    <cellStyle name="_БЮДЖЕТ 2004 от 9.12 газ_Дайджест 2003-2004 гг._Формы для ОЭМК (к отправке)_Верх НА" xfId="6830"/>
    <cellStyle name="_БЮДЖЕТ 2004 от 9.12 газ_Дайджест 2003-2004 гг._Формы для ОЭМК (к отправке)_Книга2" xfId="6831"/>
    <cellStyle name="_БЮДЖЕТ 2004 от 9.12 газ_Дайджест 2003-2004 гг._Формы для ОЭМК (к отправке)_Копия Динамика цен (УС ) 2006-2009 сверен 30.01.09" xfId="6832"/>
    <cellStyle name="_БЮДЖЕТ 2004 от 9.12 газ_Дайджест 2003-2004 гг._Формы для ОЭМК (к отправке)_Копия Потребность взаиморасч  от 28 02 2008 (2)" xfId="6833"/>
    <cellStyle name="_БЮДЖЕТ 2004 от 9.12 газ_Дайджест 2003-2004 гг._Формы для ОЭМК (к отправке)_Налог на прибыль" xfId="6834"/>
    <cellStyle name="_БЮДЖЕТ 2004 от 9.12 газ_Дайджест 2003-2004 гг._Формы для ОЭМК (к отправке)_Налоги А.А. Богоцкому 2005-2009" xfId="6835"/>
    <cellStyle name="_БЮДЖЕТ 2004 от 9.12 газ_Дайджест 2003-2004 гг._Формы для ОЭМК (к отправке)_Налоги к плану на 2009 год (ДЗ и КЗ)" xfId="6836"/>
    <cellStyle name="_БЮДЖЕТ 2004 от 9.12 газ_Дайджест 2003-2004 гг._Формы для ОЭМК (к отправке)_Налоги к плану на февраль 2009 года" xfId="6837"/>
    <cellStyle name="_БЮДЖЕТ 2004 от 9.12 газ_Дайджест 2003-2004 гг._Формы для ОЭМК (к отправке)_Обжиговая" xfId="6838"/>
    <cellStyle name="_БЮДЖЕТ 2004 от 9.12 газ_Дайджест 2003-2004 гг._Формы для ОЭМК (к отправке)_Отчет за сентябрь_11_ДСМ" xfId="6839"/>
    <cellStyle name="_БЮДЖЕТ 2004 от 9.12 газ_Дайджест 2003-2004 гг._Формы для ОЭМК (к отправке)_Стан 150" xfId="6840"/>
    <cellStyle name="_БЮДЖЕТ 2004 от 9.12 газ_Дайджест 2003-2004 гг._Формы для ОЭМК (к отправке)_Ф20 от налоговой" xfId="6841"/>
    <cellStyle name="_БЮДЖЕТ 2004 от 9.12 газ_Дайджест 2003-2004 гг._Формы для ОЭМК (к отправке)_фIIIкв Комплект ОЭМК (1-12,18,22) 28.10.08" xfId="6842"/>
    <cellStyle name="_БЮДЖЕТ 2004 от 9.12 газ_Дайджест 2003-2004 гг._Формы для ОЭМК (к отправке)_Форма №19" xfId="6843"/>
    <cellStyle name="_БЮДЖЕТ 2004 от 9.12 газ_Дайджест 2003-2004 гг._Формы для ОЭМК (к отправке)_Форма №24" xfId="6844"/>
    <cellStyle name="_БЮДЖЕТ 2004 от 9.12 газ_Дайджест 2003-2004 гг._Формы для ОЭМК (к отправке)_Форма№13 (новая от 28 12 09г) февраль версия № и последняя" xfId="6845"/>
    <cellStyle name="_БЮДЖЕТ 2004 от 9.12 газ_Дайджест 2003-2004 гг._Формы для ОЭМК (к отправке)_Формы _28-30 (новые)1" xfId="6846"/>
    <cellStyle name="_БЮДЖЕТ 2004 от 9.12 газ_Дайджест 2003-2004 гг._Формы для ОЭМК (к отправке)_Формы 28-30" xfId="6847"/>
    <cellStyle name="_БЮДЖЕТ 2004 от 9.12 газ_Дайджест 2003-2004 гг._Формы для ОЭМК (к отправке)_Формы №28-30 (новые)1" xfId="6848"/>
    <cellStyle name="_БЮДЖЕТ 2004 от 9.12 газ_Дайджест 2003-2004 гг._Формы для ОЭМК (к отправке)_Шаропрокатный" xfId="6849"/>
    <cellStyle name="_БЮДЖЕТ 2004 от 9.12 газ_Дайджест 2003-2004 гг._Формы для ОЭМК (к отправке)_ЭНЦ-1" xfId="6850"/>
    <cellStyle name="_БЮДЖЕТ 2004 от 9.12 газ_Дайджест 2003-2004 гг._Формы общие отчет за год" xfId="6851"/>
    <cellStyle name="_БЮДЖЕТ 2004 от 9.12 газ_Дайджест 2003-2004 гг._Формы общие отчет за год 10" xfId="6852"/>
    <cellStyle name="_БЮДЖЕТ 2004 от 9.12 газ_Дайджест 2003-2004 гг._Формы общие отчет за год 11" xfId="6853"/>
    <cellStyle name="_БЮДЖЕТ 2004 от 9.12 газ_Дайджест 2003-2004 гг._Формы общие отчет за год 12" xfId="6854"/>
    <cellStyle name="_БЮДЖЕТ 2004 от 9.12 газ_Дайджест 2003-2004 гг._Формы общие отчет за год 13" xfId="6855"/>
    <cellStyle name="_БЮДЖЕТ 2004 от 9.12 газ_Дайджест 2003-2004 гг._Формы общие отчет за год 2" xfId="6856"/>
    <cellStyle name="_БЮДЖЕТ 2004 от 9.12 газ_Дайджест 2003-2004 гг._Формы общие отчет за год 3" xfId="6857"/>
    <cellStyle name="_БЮДЖЕТ 2004 от 9.12 газ_Дайджест 2003-2004 гг._Формы общие отчет за год 4" xfId="6858"/>
    <cellStyle name="_БЮДЖЕТ 2004 от 9.12 газ_Дайджест 2003-2004 гг._Формы общие отчет за год 5" xfId="6859"/>
    <cellStyle name="_БЮДЖЕТ 2004 от 9.12 газ_Дайджест 2003-2004 гг._Формы общие отчет за год 6" xfId="6860"/>
    <cellStyle name="_БЮДЖЕТ 2004 от 9.12 газ_Дайджест 2003-2004 гг._Формы общие отчет за год 7" xfId="6861"/>
    <cellStyle name="_БЮДЖЕТ 2004 от 9.12 газ_Дайджест 2003-2004 гг._Формы общие отчет за год 8" xfId="6862"/>
    <cellStyle name="_БЮДЖЕТ 2004 от 9.12 газ_Дайджест 2003-2004 гг._Формы общие отчет за год 9" xfId="6863"/>
    <cellStyle name="_БЮДЖЕТ 2004 от 9.12 газ_Дайджест 2003-2004 гг._Формы общие отчет за год__План по труду 2008 261107 (10% с января)" xfId="6864"/>
    <cellStyle name="_БЮДЖЕТ 2004 от 9.12 газ_Дайджест 2003-2004 гг._Формы общие отчет за год__План по труду 2008 261107 (10% с января) 2" xfId="6865"/>
    <cellStyle name="_БЮДЖЕТ 2004 от 9.12 газ_Дайджест 2003-2004 гг._Формы общие отчет за год__План по труду 2008 261107 (10% с января) 3" xfId="6866"/>
    <cellStyle name="_БЮДЖЕТ 2004 от 9.12 газ_Дайджест 2003-2004 гг._Формы общие отчет за год__План по труду 2008 261107 (10% с января) 4" xfId="6867"/>
    <cellStyle name="_БЮДЖЕТ 2004 от 9.12 газ_Дайджест 2003-2004 гг._Формы общие отчет за год__План по труду 2008 261107 (10% с января) 5" xfId="6868"/>
    <cellStyle name="_БЮДЖЕТ 2004 от 9.12 газ_Дайджест 2003-2004 гг._Формы общие отчет за год__План по труду 2008 261107 (10% с января) 6" xfId="6869"/>
    <cellStyle name="_БЮДЖЕТ 2004 от 9.12 газ_Дайджест 2003-2004 гг._Формы общие отчет за год__План по труду 2008 261107 (10% с января) 7" xfId="6870"/>
    <cellStyle name="_БЮДЖЕТ 2004 от 9.12 газ_Дайджест 2003-2004 гг._Формы общие отчет за год__План по труду 2008 261107 (10% с января) 8" xfId="6871"/>
    <cellStyle name="_БЮДЖЕТ 2004 от 9.12 газ_Дайджест 2003-2004 гг._Формы общие отчет за год__План по труду 2008 261107 (10% с января) 9" xfId="6872"/>
    <cellStyle name="_БЮДЖЕТ 2004 от 9.12 газ_Дайджест 2003-2004 гг._Формы общие отчет за год__План по труду 2008 ИТОГ (правл. ПНР 161007)_" xfId="6873"/>
    <cellStyle name="_БЮДЖЕТ 2004 от 9.12 газ_Дайджест 2003-2004 гг._Формы общие отчет за год__План по труду 2008 ИТОГ (правл. ПНР 161007)_ 2" xfId="6874"/>
    <cellStyle name="_БЮДЖЕТ 2004 от 9.12 газ_Дайджест 2003-2004 гг._Формы общие отчет за год__План по труду 2008 ИТОГ (правл. ПНР 161007)_ 3" xfId="6875"/>
    <cellStyle name="_БЮДЖЕТ 2004 от 9.12 газ_Дайджест 2003-2004 гг._Формы общие отчет за год__План по труду 2008 ИТОГ (правл. ПНР 161007)_ 4" xfId="6876"/>
    <cellStyle name="_БЮДЖЕТ 2004 от 9.12 газ_Дайджест 2003-2004 гг._Формы общие отчет за год__План по труду 2008 ИТОГ (правл. ПНР 161007)_ 5" xfId="6877"/>
    <cellStyle name="_БЮДЖЕТ 2004 от 9.12 газ_Дайджест 2003-2004 гг._Формы общие отчет за год__План по труду 2008 ИТОГ (правл. ПНР 161007)_ 6" xfId="6878"/>
    <cellStyle name="_БЮДЖЕТ 2004 от 9.12 газ_Дайджест 2003-2004 гг._Формы общие отчет за год__План по труду 2008 ИТОГ (правл. ПНР 161007)_ 7" xfId="6879"/>
    <cellStyle name="_БЮДЖЕТ 2004 от 9.12 газ_Дайджест 2003-2004 гг._Формы общие отчет за год__План по труду 2008 ИТОГ (правл. ПНР 161007)_ 8" xfId="6880"/>
    <cellStyle name="_БЮДЖЕТ 2004 от 9.12 газ_Дайджест 2003-2004 гг._Формы общие отчет за год__План по труду 2008 ИТОГ (правл. ПНР 161007)_ 9" xfId="6881"/>
    <cellStyle name="_БЮДЖЕТ 2004 от 9.12 газ_Дайджест 2003-2004 гг._Формы общие отчет за год_2_Инвестпрограмма на 2008 год (КОВАЛЕВ)" xfId="6882"/>
    <cellStyle name="_БЮДЖЕТ 2004 от 9.12 газ_Дайджест 2003-2004 гг._Формы общие отчет за год_Данные для ФОТ на 2008 год" xfId="6883"/>
    <cellStyle name="_БЮДЖЕТ 2004 от 9.12 газ_Дайджест 2003-2004 гг._Формы общие отчет за год_Данные для ФОТ на 2008 год 2" xfId="6884"/>
    <cellStyle name="_БЮДЖЕТ 2004 от 9.12 газ_Дайджест 2003-2004 гг._Формы общие отчет за год_Данные для ФОТ на 2008 год 3" xfId="6885"/>
    <cellStyle name="_БЮДЖЕТ 2004 от 9.12 газ_Дайджест 2003-2004 гг._Формы общие отчет за год_Данные для ФОТ на 2008 год 4" xfId="6886"/>
    <cellStyle name="_БЮДЖЕТ 2004 от 9.12 газ_Дайджест 2003-2004 гг._Формы общие отчет за год_Данные для ФОТ на 2008 год 5" xfId="6887"/>
    <cellStyle name="_БЮДЖЕТ 2004 от 9.12 газ_Дайджест 2003-2004 гг._Формы общие отчет за год_Данные для ФОТ на 2008 год 6" xfId="6888"/>
    <cellStyle name="_БЮДЖЕТ 2004 от 9.12 газ_Дайджест 2003-2004 гг._Формы общие отчет за год_Данные для ФОТ на 2008 год 7" xfId="6889"/>
    <cellStyle name="_БЮДЖЕТ 2004 от 9.12 газ_Дайджест 2003-2004 гг._Формы общие отчет за год_Данные для ФОТ на 2008 год 8" xfId="6890"/>
    <cellStyle name="_БЮДЖЕТ 2004 от 9.12 газ_Дайджест 2003-2004 гг._Формы общие отчет за год_Данные для ФОТ на 2008 год 9" xfId="6891"/>
    <cellStyle name="_БЮДЖЕТ 2004 от 9.12 газ_Дайджест 2003-2004 гг._Формы общие отчет за год_План по труду 2008 ИТОГ (2003_вер)" xfId="6892"/>
    <cellStyle name="_БЮДЖЕТ 2004 от 9.12 газ_Дайджест 2003-2004 гг._Формы общие отчет за год_План по труду 2008 ИТОГ (2003_вер) 2" xfId="6893"/>
    <cellStyle name="_БЮДЖЕТ 2004 от 9.12 газ_Дайджест 2003-2004 гг._Формы общие отчет за год_План по труду 2008 ИТОГ (2003_вер) 3" xfId="6894"/>
    <cellStyle name="_БЮДЖЕТ 2004 от 9.12 газ_Дайджест 2003-2004 гг._Формы общие отчет за год_План по труду 2008 ИТОГ (2003_вер) 4" xfId="6895"/>
    <cellStyle name="_БЮДЖЕТ 2004 от 9.12 газ_Дайджест 2003-2004 гг._Формы общие отчет за год_План по труду 2008 ИТОГ (2003_вер) 5" xfId="6896"/>
    <cellStyle name="_БЮДЖЕТ 2004 от 9.12 газ_Дайджест 2003-2004 гг._Формы общие отчет за год_План по труду 2008 ИТОГ (2003_вер) 6" xfId="6897"/>
    <cellStyle name="_БЮДЖЕТ 2004 от 9.12 газ_Дайджест 2003-2004 гг._Формы общие отчет за год_План по труду 2008 ИТОГ (2003_вер) 7" xfId="6898"/>
    <cellStyle name="_БЮДЖЕТ 2004 от 9.12 газ_Дайджест 2003-2004 гг._Формы общие отчет за год_План по труду 2008 ИТОГ (2003_вер) 8" xfId="6899"/>
    <cellStyle name="_БЮДЖЕТ 2004 от 9.12 газ_Дайджест 2003-2004 гг._Формы общие отчет за год_План по труду 2008 ИТОГ (2003_вер) 9" xfId="6900"/>
    <cellStyle name="_БЮДЖЕТ 2004 от 9.12 газ_Дайджест 2003-2004 гг._Формы общие отчет за год_ТКВ 2008 от 19.07" xfId="6901"/>
    <cellStyle name="_БЮДЖЕТ 2004 от 9.12 газ_Дайджест 2003-2004 гг._Формы общие отчет за год_ТКВ 2008 от 31.07" xfId="6902"/>
    <cellStyle name="_БЮДЖЕТ 2004 от 9.12 газ_Дайджест 2003-2004 гг._Шаропрокатный" xfId="6903"/>
    <cellStyle name="_БЮДЖЕТ 2004 от 9.12 газ_Дайджест 2003-2004 гг._Эконом.показатели за февраль" xfId="6904"/>
    <cellStyle name="_БЮДЖЕТ 2004 от 9.12 газ_Дайджест 2003-2004 гг._Экономические показатели Большаковой" xfId="6905"/>
    <cellStyle name="_БЮДЖЕТ 2004 от 9.12 газ_Дайджест 2003-2004 гг._Экономические показатели Большаковой 2" xfId="6906"/>
    <cellStyle name="_БЮДЖЕТ 2004 от 9.12 газ_Дайджест 2003-2004 гг._Экономические показатели Большаковой 3" xfId="6907"/>
    <cellStyle name="_БЮДЖЕТ 2004 от 9.12 газ_Дайджест 2003-2004 гг._Экономические показатели Большаковой 4" xfId="6908"/>
    <cellStyle name="_БЮДЖЕТ 2004 от 9.12 газ_Дайджест 2003-2004 гг._Экономические показатели Большаковой 5" xfId="6909"/>
    <cellStyle name="_БЮДЖЕТ 2004 от 9.12 газ_Дайджест 2003-2004 гг._Экономические показатели Большаковой 6" xfId="6910"/>
    <cellStyle name="_БЮДЖЕТ 2004 от 9.12 газ_Дайджест 2003-2004 гг._Экономические показатели Большаковой 7" xfId="6911"/>
    <cellStyle name="_БЮДЖЕТ 2004 от 9.12 газ_Дайджест 2003-2004 гг._Экономические показатели Большаковой 8" xfId="6912"/>
    <cellStyle name="_БЮДЖЕТ 2004 от 9.12 газ_Дайджест 2003-2004 гг._Экономические показатели Большаковой 9" xfId="6913"/>
    <cellStyle name="_БЮДЖЕТ 2004 от 9.12 газ_Дайджест 2003-2004 гг._ЭНЦ-1" xfId="6914"/>
    <cellStyle name="_БЮДЖЕТ 2004 от 9.12 газ_Данные для ФОТ на 2008 год" xfId="6915"/>
    <cellStyle name="_БЮДЖЕТ 2004 от 9.12 газ_Данные для ФОТ на 2008 год 2" xfId="6916"/>
    <cellStyle name="_БЮДЖЕТ 2004 от 9.12 газ_Данные для ФОТ на 2008 год 3" xfId="6917"/>
    <cellStyle name="_БЮДЖЕТ 2004 от 9.12 газ_Данные для ФОТ на 2008 год 4" xfId="6918"/>
    <cellStyle name="_БЮДЖЕТ 2004 от 9.12 газ_Данные для ФОТ на 2008 год 5" xfId="6919"/>
    <cellStyle name="_БЮДЖЕТ 2004 от 9.12 газ_Данные для ФОТ на 2008 год 6" xfId="6920"/>
    <cellStyle name="_БЮДЖЕТ 2004 от 9.12 газ_Данные для ФОТ на 2008 год 7" xfId="6921"/>
    <cellStyle name="_БЮДЖЕТ 2004 от 9.12 газ_Данные для ФОТ на 2008 год 8" xfId="6922"/>
    <cellStyle name="_БЮДЖЕТ 2004 от 9.12 газ_Данные для ФОТ на 2008 год 9" xfId="6923"/>
    <cellStyle name="_БЮДЖЕТ 2004 от 9.12 газ_План ДСМ 2 квартал 2009 ОТЧЕТ отп" xfId="6924"/>
    <cellStyle name="_БЮДЖЕТ 2004 от 9.12 газ_План ДСМ 3 квартал 2009 ОТЧЕТ" xfId="6925"/>
    <cellStyle name="_БЮДЖЕТ 2004 от 9.12 газ_План ДСМ 4 квартал 2009 ОТЧЕТ" xfId="6926"/>
    <cellStyle name="_БЮДЖЕТ 2004 от 9.12 газ_План ДСМ на 4 квартал 2006 (последняя версия) 2" xfId="6927"/>
    <cellStyle name="_БЮДЖЕТ 2004 от 9.12 газ_План ДСМ ноябрь 2011 ОТЧЕТ" xfId="6928"/>
    <cellStyle name="_БЮДЖЕТ 2004 от 9.12 газ_План ДСФ 1 квартал 2007" xfId="6929"/>
    <cellStyle name="_БЮДЖЕТ 2004 от 9.12 газ_План ДСФ 2 квартал 2009 ОТЧЕТ отп" xfId="6930"/>
    <cellStyle name="_БЮДЖЕТ 2004 от 9.12 газ_План ДСФ 4 квартал 2009 ОТЧЕТ" xfId="6931"/>
    <cellStyle name="_БЮДЖЕТ 2004 от 9.12 газ_План на 2009 год ДСМ ОТЧЕТ отп (01.12.08)" xfId="6932"/>
    <cellStyle name="_БЮДЖЕТ 2004 от 9.12 газ_План на 2010 год ДСМ ОТЧЕТ" xfId="6933"/>
    <cellStyle name="_БЮДЖЕТ 2004 от 9.12 газ_План по труду 2008 ИТОГ (2003_вер)" xfId="6934"/>
    <cellStyle name="_БЮДЖЕТ 2004 от 9.12 газ_План по труду 2008 ИТОГ (2003_вер) 2" xfId="6935"/>
    <cellStyle name="_БЮДЖЕТ 2004 от 9.12 газ_План по труду 2008 ИТОГ (2003_вер) 3" xfId="6936"/>
    <cellStyle name="_БЮДЖЕТ 2004 от 9.12 газ_План по труду 2008 ИТОГ (2003_вер) 4" xfId="6937"/>
    <cellStyle name="_БЮДЖЕТ 2004 от 9.12 газ_План по труду 2008 ИТОГ (2003_вер) 5" xfId="6938"/>
    <cellStyle name="_БЮДЖЕТ 2004 от 9.12 газ_План по труду 2008 ИТОГ (2003_вер) 6" xfId="6939"/>
    <cellStyle name="_БЮДЖЕТ 2004 от 9.12 газ_План по труду 2008 ИТОГ (2003_вер) 7" xfId="6940"/>
    <cellStyle name="_БЮДЖЕТ 2004 от 9.12 газ_План по труду 2008 ИТОГ (2003_вер) 8" xfId="6941"/>
    <cellStyle name="_БЮДЖЕТ 2004 от 9.12 газ_План по труду 2008 ИТОГ (2003_вер) 9" xfId="6942"/>
    <cellStyle name="_БЮДЖЕТ 2004 от 9.12 газ_ТКВ 2008 от 19.07" xfId="6943"/>
    <cellStyle name="_БЮДЖЕТ 2004 от 9.12 газ_ТКВ 2008 от 31.07" xfId="6944"/>
    <cellStyle name="_БЮДЖЕТ 2004 от 9.12 газ_УралКирпич_план на 2 кв. 2009" xfId="6945"/>
    <cellStyle name="_Бюджет 4 кв уменьш." xfId="6946"/>
    <cellStyle name="_Бюджет на ноябрь 01 11 07" xfId="6947"/>
    <cellStyle name="_Бюджет прочих расходов 2004" xfId="6948"/>
    <cellStyle name="_Бюджет прочих расходов 2004 2" xfId="6949"/>
    <cellStyle name="_Бюджет прочих расходов 2004_БП Урал Кирпич 28 01 2008г" xfId="6950"/>
    <cellStyle name="_Бюджет прочих расходов 2004_БП Урал Кирпич 28 01 2008г_Отчет за сентябрь_11_ДСМ_ОТЧЕТ" xfId="6951"/>
    <cellStyle name="_Бюджет прочих расходов 2004_БП Урал Кирпич 28 01 2008г_План ДСМ ноябрь 2011 ОТЧЕТ" xfId="6952"/>
    <cellStyle name="_Бюджет прочих расходов 2004_БП_план на 1 кв. 2008г." xfId="6953"/>
    <cellStyle name="_Бюджет прочих расходов 2004_БП_план на 1 кв. 2008г._Отчет за сентябрь_11_ДСМ_ОТЧЕТ" xfId="6954"/>
    <cellStyle name="_Бюджет прочих расходов 2004_БП_план на 1 кв. 2008г._План ДСМ ноябрь 2011 ОТЧЕТ" xfId="6955"/>
    <cellStyle name="_Бюджет прочих расходов 2004_БП_план на 2 кв. 2008г." xfId="6956"/>
    <cellStyle name="_Бюджет прочих расходов 2004_БП_план на 2 кв. 2008г._Отчет за сентябрь_11_ДСМ_ОТЧЕТ" xfId="6957"/>
    <cellStyle name="_Бюджет прочих расходов 2004_БП_план на 2 кв. 2008г._План ДСМ ноябрь 2011 ОТЧЕТ" xfId="6958"/>
    <cellStyle name="_Бюджет прочих расходов 2004_Дайджест 2003-2004 гг." xfId="6959"/>
    <cellStyle name="_Бюджет прочих расходов 2004_Дайджест 2003-2004 гг. 10" xfId="6960"/>
    <cellStyle name="_Бюджет прочих расходов 2004_Дайджест 2003-2004 гг. 11" xfId="6961"/>
    <cellStyle name="_Бюджет прочих расходов 2004_Дайджест 2003-2004 гг. 12" xfId="6962"/>
    <cellStyle name="_Бюджет прочих расходов 2004_Дайджест 2003-2004 гг. 13" xfId="6963"/>
    <cellStyle name="_Бюджет прочих расходов 2004_Дайджест 2003-2004 гг. 2" xfId="6964"/>
    <cellStyle name="_Бюджет прочих расходов 2004_Дайджест 2003-2004 гг. 3" xfId="6965"/>
    <cellStyle name="_Бюджет прочих расходов 2004_Дайджест 2003-2004 гг. 4" xfId="6966"/>
    <cellStyle name="_Бюджет прочих расходов 2004_Дайджест 2003-2004 гг. 5" xfId="6967"/>
    <cellStyle name="_Бюджет прочих расходов 2004_Дайджест 2003-2004 гг. 6" xfId="6968"/>
    <cellStyle name="_Бюджет прочих расходов 2004_Дайджест 2003-2004 гг. 7" xfId="6969"/>
    <cellStyle name="_Бюджет прочих расходов 2004_Дайджест 2003-2004 гг. 8" xfId="6970"/>
    <cellStyle name="_Бюджет прочих расходов 2004_Дайджест 2003-2004 гг. 9" xfId="6971"/>
    <cellStyle name="_Бюджет прочих расходов 2004_Дайджест 2003-2004 гг._! Металлургический дивизион для рассылки" xfId="6972"/>
    <cellStyle name="_Бюджет прочих расходов 2004_Дайджест 2003-2004 гг._01.04.06-01.10.06 Распред. ср-в ЛГОК 20.10.06" xfId="6973"/>
    <cellStyle name="_Бюджет прочих расходов 2004_Дайджест 2003-2004 гг._01.04.06-01.10.06 Распред. ср-в ЛГОК 20.10.06 2" xfId="6974"/>
    <cellStyle name="_Бюджет прочих расходов 2004_Дайджест 2003-2004 гг._01.04.06-01.10.06 Распред. ср-в ЛГОК 20.10.06 3" xfId="6975"/>
    <cellStyle name="_Бюджет прочих расходов 2004_Дайджест 2003-2004 гг._01.04.06-01.10.06 Распред. ср-в ЛГОК 20.10.06 4" xfId="6976"/>
    <cellStyle name="_Бюджет прочих расходов 2004_Дайджест 2003-2004 гг._01.04.06-01.10.06 Распред. ср-в ЛГОК 20.10.06 5" xfId="6977"/>
    <cellStyle name="_Бюджет прочих расходов 2004_Дайджест 2003-2004 гг._01.04.06-01.10.06 Распред. ср-в ЛГОК 20.10.06 6" xfId="6978"/>
    <cellStyle name="_Бюджет прочих расходов 2004_Дайджест 2003-2004 гг._01.04.06-01.10.06 Распред. ср-в ЛГОК 20.10.06 7" xfId="6979"/>
    <cellStyle name="_Бюджет прочих расходов 2004_Дайджест 2003-2004 гг._01.04.06-01.10.06 Распред. ср-в ЛГОК 20.10.06 8" xfId="6980"/>
    <cellStyle name="_Бюджет прочих расходов 2004_Дайджест 2003-2004 гг._01.04.06-01.10.06 Распред. ср-в ЛГОК 20.10.06 9" xfId="6981"/>
    <cellStyle name="_Бюджет прочих расходов 2004_Дайджест 2003-2004 гг._01.04.06-01.10.06 Распред. ср-в ОЭМК 20.10.06" xfId="6982"/>
    <cellStyle name="_Бюджет прочих расходов 2004_Дайджест 2003-2004 гг._01.04.06-01.10.06 Распред. ср-в ОЭМК 20.10.06 2" xfId="6983"/>
    <cellStyle name="_Бюджет прочих расходов 2004_Дайджест 2003-2004 гг._01.04.06-01.10.06 Распред. ср-в ОЭМК 20.10.06 3" xfId="6984"/>
    <cellStyle name="_Бюджет прочих расходов 2004_Дайджест 2003-2004 гг._01.04.06-01.10.06 Распред. ср-в ОЭМК 20.10.06 4" xfId="6985"/>
    <cellStyle name="_Бюджет прочих расходов 2004_Дайджест 2003-2004 гг._01.04.06-01.10.06 Распред. ср-в ОЭМК 20.10.06 5" xfId="6986"/>
    <cellStyle name="_Бюджет прочих расходов 2004_Дайджест 2003-2004 гг._01.04.06-01.10.06 Распред. ср-в ОЭМК 20.10.06 6" xfId="6987"/>
    <cellStyle name="_Бюджет прочих расходов 2004_Дайджест 2003-2004 гг._01.04.06-01.10.06 Распред. ср-в ОЭМК 20.10.06 7" xfId="6988"/>
    <cellStyle name="_Бюджет прочих расходов 2004_Дайджест 2003-2004 гг._01.04.06-01.10.06 Распред. ср-в ОЭМК 20.10.06 8" xfId="6989"/>
    <cellStyle name="_Бюджет прочих расходов 2004_Дайджест 2003-2004 гг._01.04.06-01.10.06 Распред. ср-в ОЭМК 20.10.06 9" xfId="6990"/>
    <cellStyle name="_Бюджет прочих расходов 2004_Дайджест 2003-2004 гг._090129 Погашение и уплата процентов Горшкова М." xfId="6991"/>
    <cellStyle name="_Бюджет прочих расходов 2004_Дайджест 2003-2004 гг._1 - 10 декабря" xfId="6992"/>
    <cellStyle name="_Бюджет прочих расходов 2004_Дайджест 2003-2004 гг._1-12,13,14 сентября" xfId="6993"/>
    <cellStyle name="_Бюджет прочих расходов 2004_Дайджест 2003-2004 гг._2007 + год " xfId="6994"/>
    <cellStyle name="_Бюджет прочих расходов 2004_Дайджест 2003-2004 гг._2007 г год план (фин.часть)" xfId="6995"/>
    <cellStyle name="_Бюджет прочих расходов 2004_Дайджест 2003-2004 гг._2007 г год план (фин.часть) 2" xfId="6996"/>
    <cellStyle name="_Бюджет прочих расходов 2004_Дайджест 2003-2004 гг._2007 г год план (фин.часть) 3" xfId="6997"/>
    <cellStyle name="_Бюджет прочих расходов 2004_Дайджест 2003-2004 гг._2007 г год план (фин.часть) 4" xfId="6998"/>
    <cellStyle name="_Бюджет прочих расходов 2004_Дайджест 2003-2004 гг._2007 г год план (фин.часть) 5" xfId="6999"/>
    <cellStyle name="_Бюджет прочих расходов 2004_Дайджест 2003-2004 гг._2007 г год план (фин.часть) 6" xfId="7000"/>
    <cellStyle name="_Бюджет прочих расходов 2004_Дайджест 2003-2004 гг._2007 г год план (фин.часть) 7" xfId="7001"/>
    <cellStyle name="_Бюджет прочих расходов 2004_Дайджест 2003-2004 гг._2007 г год план (фин.часть) 8" xfId="7002"/>
    <cellStyle name="_Бюджет прочих расходов 2004_Дайджест 2003-2004 гг._2007 г год план (фин.часть) 9" xfId="7003"/>
    <cellStyle name="_Бюджет прочих расходов 2004_Дайджест 2003-2004 гг._2007 год " xfId="7004"/>
    <cellStyle name="_Бюджет прочих расходов 2004_Дайджест 2003-2004 гг._2007 измен 11.12.06 2 вар " xfId="7005"/>
    <cellStyle name="_Бюджет прочих расходов 2004_Дайджест 2003-2004 гг._2009-03-03 План марта рус" xfId="7006"/>
    <cellStyle name="_Бюджет прочих расходов 2004_Дайджест 2003-2004 гг._25 разделы баланса раб (21.08.06)" xfId="7007"/>
    <cellStyle name="_Бюджет прочих расходов 2004_Дайджест 2003-2004 гг._25 разделы баланса раб (21.08.06) 2" xfId="7008"/>
    <cellStyle name="_Бюджет прочих расходов 2004_Дайджест 2003-2004 гг._25 разделы баланса раб (21.08.06) 3" xfId="7009"/>
    <cellStyle name="_Бюджет прочих расходов 2004_Дайджест 2003-2004 гг._25 разделы баланса раб (21.08.06) 4" xfId="7010"/>
    <cellStyle name="_Бюджет прочих расходов 2004_Дайджест 2003-2004 гг._25 разделы баланса раб (21.08.06) 5" xfId="7011"/>
    <cellStyle name="_Бюджет прочих расходов 2004_Дайджест 2003-2004 гг._25 разделы баланса раб (21.08.06) 6" xfId="7012"/>
    <cellStyle name="_Бюджет прочих расходов 2004_Дайджест 2003-2004 гг._25 разделы баланса раб (21.08.06) 7" xfId="7013"/>
    <cellStyle name="_Бюджет прочих расходов 2004_Дайджест 2003-2004 гг._25 разделы баланса раб (21.08.06) 8" xfId="7014"/>
    <cellStyle name="_Бюджет прочих расходов 2004_Дайджест 2003-2004 гг._25 разделы баланса раб (21.08.06) 9" xfId="7015"/>
    <cellStyle name="_Бюджет прочих расходов 2004_Дайджест 2003-2004 гг._25.06.07" xfId="7016"/>
    <cellStyle name="_Бюджет прочих расходов 2004_Дайджест 2003-2004 гг._25.06.07 2" xfId="7017"/>
    <cellStyle name="_Бюджет прочих расходов 2004_Дайджест 2003-2004 гг._25.06.07 3" xfId="7018"/>
    <cellStyle name="_Бюджет прочих расходов 2004_Дайджест 2003-2004 гг._25.06.07 4" xfId="7019"/>
    <cellStyle name="_Бюджет прочих расходов 2004_Дайджест 2003-2004 гг._25.06.07 5" xfId="7020"/>
    <cellStyle name="_Бюджет прочих расходов 2004_Дайджест 2003-2004 гг._25.06.07 6" xfId="7021"/>
    <cellStyle name="_Бюджет прочих расходов 2004_Дайджест 2003-2004 гг._25.06.07 7" xfId="7022"/>
    <cellStyle name="_Бюджет прочих расходов 2004_Дайджест 2003-2004 гг._25.06.07 8" xfId="7023"/>
    <cellStyle name="_Бюджет прочих расходов 2004_Дайджест 2003-2004 гг._25.06.07 9" xfId="7024"/>
    <cellStyle name="_Бюджет прочих расходов 2004_Дайджест 2003-2004 гг._28-30 (1)" xfId="7025"/>
    <cellStyle name="_Бюджет прочих расходов 2004_Дайджест 2003-2004 гг._28-30 (1) 2" xfId="7026"/>
    <cellStyle name="_Бюджет прочих расходов 2004_Дайджест 2003-2004 гг._28-30 (1) 3" xfId="7027"/>
    <cellStyle name="_Бюджет прочих расходов 2004_Дайджест 2003-2004 гг._28-30 (1) 4" xfId="7028"/>
    <cellStyle name="_Бюджет прочих расходов 2004_Дайджест 2003-2004 гг._28-30 (1) 5" xfId="7029"/>
    <cellStyle name="_Бюджет прочих расходов 2004_Дайджест 2003-2004 гг._28-30 (1) 6" xfId="7030"/>
    <cellStyle name="_Бюджет прочих расходов 2004_Дайджест 2003-2004 гг._28-30 (1) 7" xfId="7031"/>
    <cellStyle name="_Бюджет прочих расходов 2004_Дайджест 2003-2004 гг._28-30 (1) 8" xfId="7032"/>
    <cellStyle name="_Бюджет прочих расходов 2004_Дайджест 2003-2004 гг._28-30 (1) 9" xfId="7033"/>
    <cellStyle name="_Бюджет прочих расходов 2004_Дайджест 2003-2004 гг._29 форма 12 месяцев" xfId="7034"/>
    <cellStyle name="_Бюджет прочих расходов 2004_Дайджест 2003-2004 гг._30" xfId="7035"/>
    <cellStyle name="_Бюджет прочих расходов 2004_Дайджест 2003-2004 гг._30 2" xfId="7036"/>
    <cellStyle name="_Бюджет прочих расходов 2004_Дайджест 2003-2004 гг._30 3" xfId="7037"/>
    <cellStyle name="_Бюджет прочих расходов 2004_Дайджест 2003-2004 гг._30 4" xfId="7038"/>
    <cellStyle name="_Бюджет прочих расходов 2004_Дайджест 2003-2004 гг._30 5" xfId="7039"/>
    <cellStyle name="_Бюджет прочих расходов 2004_Дайджест 2003-2004 гг._30 6" xfId="7040"/>
    <cellStyle name="_Бюджет прочих расходов 2004_Дайджест 2003-2004 гг._30 7" xfId="7041"/>
    <cellStyle name="_Бюджет прочих расходов 2004_Дайджест 2003-2004 гг._30 8" xfId="7042"/>
    <cellStyle name="_Бюджет прочих расходов 2004_Дайджест 2003-2004 гг._30 9" xfId="7043"/>
    <cellStyle name="_Бюджет прочих расходов 2004_Дайджест 2003-2004 гг._30 форма (январьфакт)" xfId="7044"/>
    <cellStyle name="_Бюджет прочих расходов 2004_Дайджест 2003-2004 гг._30 форма (январьфакт) 2" xfId="7045"/>
    <cellStyle name="_Бюджет прочих расходов 2004_Дайджест 2003-2004 гг._30 форма (январьфакт) 3" xfId="7046"/>
    <cellStyle name="_Бюджет прочих расходов 2004_Дайджест 2003-2004 гг._30 форма (январьфакт) 4" xfId="7047"/>
    <cellStyle name="_Бюджет прочих расходов 2004_Дайджест 2003-2004 гг._30 форма (январьфакт) 5" xfId="7048"/>
    <cellStyle name="_Бюджет прочих расходов 2004_Дайджест 2003-2004 гг._30 форма (январьфакт) 6" xfId="7049"/>
    <cellStyle name="_Бюджет прочих расходов 2004_Дайджест 2003-2004 гг._30 форма (январьфакт) 7" xfId="7050"/>
    <cellStyle name="_Бюджет прочих расходов 2004_Дайджест 2003-2004 гг._30 форма (январьфакт) 8" xfId="7051"/>
    <cellStyle name="_Бюджет прочих расходов 2004_Дайджест 2003-2004 гг._30 форма (январьфакт) 9" xfId="7052"/>
    <cellStyle name="_Бюджет прочих расходов 2004_Дайджест 2003-2004 гг._30 форма (январьфакт-мартплан)" xfId="7053"/>
    <cellStyle name="_Бюджет прочих расходов 2004_Дайджест 2003-2004 гг._30 форма (январьфакт-мартплан) 2" xfId="7054"/>
    <cellStyle name="_Бюджет прочих расходов 2004_Дайджест 2003-2004 гг._30 форма (январьфакт-мартплан) 3" xfId="7055"/>
    <cellStyle name="_Бюджет прочих расходов 2004_Дайджест 2003-2004 гг._30 форма (январьфакт-мартплан) 4" xfId="7056"/>
    <cellStyle name="_Бюджет прочих расходов 2004_Дайджест 2003-2004 гг._30 форма (январьфакт-мартплан) 5" xfId="7057"/>
    <cellStyle name="_Бюджет прочих расходов 2004_Дайджест 2003-2004 гг._30 форма (январьфакт-мартплан) 6" xfId="7058"/>
    <cellStyle name="_Бюджет прочих расходов 2004_Дайджест 2003-2004 гг._30 форма (январьфакт-мартплан) 7" xfId="7059"/>
    <cellStyle name="_Бюджет прочих расходов 2004_Дайджест 2003-2004 гг._30 форма (январьфакт-мартплан) 8" xfId="7060"/>
    <cellStyle name="_Бюджет прочих расходов 2004_Дайджест 2003-2004 гг._30 форма (январьфакт-мартплан) 9" xfId="7061"/>
    <cellStyle name="_Бюджет прочих расходов 2004_Дайджест 2003-2004 гг._30 форма с ожидаемым за январь" xfId="7062"/>
    <cellStyle name="_Бюджет прочих расходов 2004_Дайджест 2003-2004 гг._30 форма с ожидаемым за январь 2" xfId="7063"/>
    <cellStyle name="_Бюджет прочих расходов 2004_Дайджест 2003-2004 гг._30 форма с ожидаемым за январь 3" xfId="7064"/>
    <cellStyle name="_Бюджет прочих расходов 2004_Дайджест 2003-2004 гг._30 форма с ожидаемым за январь 4" xfId="7065"/>
    <cellStyle name="_Бюджет прочих расходов 2004_Дайджест 2003-2004 гг._30 форма с ожидаемым за январь 5" xfId="7066"/>
    <cellStyle name="_Бюджет прочих расходов 2004_Дайджест 2003-2004 гг._30 форма с ожидаемым за январь 6" xfId="7067"/>
    <cellStyle name="_Бюджет прочих расходов 2004_Дайджест 2003-2004 гг._30 форма с ожидаемым за январь 7" xfId="7068"/>
    <cellStyle name="_Бюджет прочих расходов 2004_Дайджест 2003-2004 гг._30 форма с ожидаемым за январь 8" xfId="7069"/>
    <cellStyle name="_Бюджет прочих расходов 2004_Дайджест 2003-2004 гг._30 форма с ожидаемым за январь 9" xfId="7070"/>
    <cellStyle name="_Бюджет прочих расходов 2004_Дайджест 2003-2004 гг._30 форма с фактом за декабрь" xfId="7071"/>
    <cellStyle name="_Бюджет прочих расходов 2004_Дайджест 2003-2004 гг._30 форма с фактом за декабрь 2" xfId="7072"/>
    <cellStyle name="_Бюджет прочих расходов 2004_Дайджест 2003-2004 гг._30 форма с фактом за декабрь 3" xfId="7073"/>
    <cellStyle name="_Бюджет прочих расходов 2004_Дайджест 2003-2004 гг._30 форма с фактом за декабрь 4" xfId="7074"/>
    <cellStyle name="_Бюджет прочих расходов 2004_Дайджест 2003-2004 гг._30 форма с фактом за декабрь 5" xfId="7075"/>
    <cellStyle name="_Бюджет прочих расходов 2004_Дайджест 2003-2004 гг._30 форма с фактом за декабрь 6" xfId="7076"/>
    <cellStyle name="_Бюджет прочих расходов 2004_Дайджест 2003-2004 гг._30 форма с фактом за декабрь 7" xfId="7077"/>
    <cellStyle name="_Бюджет прочих расходов 2004_Дайджест 2003-2004 гг._30 форма с фактом за декабрь 8" xfId="7078"/>
    <cellStyle name="_Бюджет прочих расходов 2004_Дайджест 2003-2004 гг._30 форма с фактом за декабрь 9" xfId="7079"/>
    <cellStyle name="_Бюджет прочих расходов 2004_Дайджест 2003-2004 гг._30 форма с фактом за ноябрь" xfId="7080"/>
    <cellStyle name="_Бюджет прочих расходов 2004_Дайджест 2003-2004 гг._30 форма с фактом за ноябрь 2" xfId="7081"/>
    <cellStyle name="_Бюджет прочих расходов 2004_Дайджест 2003-2004 гг._30 форма с фактом за ноябрь 3" xfId="7082"/>
    <cellStyle name="_Бюджет прочих расходов 2004_Дайджест 2003-2004 гг._30 форма с фактом за ноябрь 4" xfId="7083"/>
    <cellStyle name="_Бюджет прочих расходов 2004_Дайджест 2003-2004 гг._30 форма с фактом за ноябрь 5" xfId="7084"/>
    <cellStyle name="_Бюджет прочих расходов 2004_Дайджест 2003-2004 гг._30 форма с фактом за ноябрь 6" xfId="7085"/>
    <cellStyle name="_Бюджет прочих расходов 2004_Дайджест 2003-2004 гг._30 форма с фактом за ноябрь 7" xfId="7086"/>
    <cellStyle name="_Бюджет прочих расходов 2004_Дайджест 2003-2004 гг._30 форма с фактом за ноябрь 8" xfId="7087"/>
    <cellStyle name="_Бюджет прочих расходов 2004_Дайджест 2003-2004 гг._30 форма с фактом за ноябрь 9" xfId="7088"/>
    <cellStyle name="_Бюджет прочих расходов 2004_Дайджест 2003-2004 гг._8" xfId="7089"/>
    <cellStyle name="_Бюджет прочих расходов 2004_Дайджест 2003-2004 гг._8_исходные_291107" xfId="7090"/>
    <cellStyle name="_Бюджет прочих расходов 2004_Дайджест 2003-2004 гг._8_Книга1" xfId="7091"/>
    <cellStyle name="_Бюджет прочих расходов 2004_Дайджест 2003-2004 гг._8_Книга1 (32)" xfId="7092"/>
    <cellStyle name="_Бюджет прочих расходов 2004_Дайджест 2003-2004 гг._8_Книга3" xfId="7093"/>
    <cellStyle name="_Бюджет прочих расходов 2004_Дайджест 2003-2004 гг._8_Лист1" xfId="7094"/>
    <cellStyle name="_Бюджет прочих расходов 2004_Дайджест 2003-2004 гг._8_Лист2" xfId="7095"/>
    <cellStyle name="_Бюджет прочих расходов 2004_Дайджест 2003-2004 гг._8_Лист3" xfId="7096"/>
    <cellStyle name="_Бюджет прочих расходов 2004_Дайджест 2003-2004 гг._8_ф 12 за дек(с учет и без резерв)12 03 09" xfId="7097"/>
    <cellStyle name="_Бюджет прочих расходов 2004_Дайджест 2003-2004 гг._8_Ф12 факт 2008 (помесячно)" xfId="7098"/>
    <cellStyle name="_Бюджет прочих расходов 2004_Дайджест 2003-2004 гг._8_Ф12 факт 2008 (ф)" xfId="7099"/>
    <cellStyle name="_Бюджет прочих расходов 2004_Дайджест 2003-2004 гг._8_ф2 склад ГП" xfId="7100"/>
    <cellStyle name="_Бюджет прочих расходов 2004_Дайджест 2003-2004 гг._EBITDA_дивизион_12.11.2007" xfId="7101"/>
    <cellStyle name="_Бюджет прочих расходов 2004_Дайджест 2003-2004 гг._№13, №14" xfId="7102"/>
    <cellStyle name="_Бюджет прочих расходов 2004_Дайджест 2003-2004 гг._№13, №14 02.04.07" xfId="7103"/>
    <cellStyle name="_Бюджет прочих расходов 2004_Дайджест 2003-2004 гг._№13, №14 от 15.12.2006" xfId="7104"/>
    <cellStyle name="_Бюджет прочих расходов 2004_Дайджест 2003-2004 гг._№13, №14 январь 2007 25.02.07" xfId="7105"/>
    <cellStyle name="_Бюджет прочих расходов 2004_Дайджест 2003-2004 гг._№26 измен 03.04.07" xfId="7106"/>
    <cellStyle name="_Бюджет прочих расходов 2004_Дайджест 2003-2004 гг._№26 измен 15.12.06 4 вар " xfId="7107"/>
    <cellStyle name="_Бюджет прочих расходов 2004_Дайджест 2003-2004 гг._№26, от 25.02.07" xfId="7108"/>
    <cellStyle name="_Бюджет прочих расходов 2004_Дайджест 2003-2004 гг._БДР - 2008 год 2-е чтение" xfId="7109"/>
    <cellStyle name="_Бюджет прочих расходов 2004_Дайджест 2003-2004 гг._БДР 2 кв  презентационный_24 03 2008_11-45" xfId="7110"/>
    <cellStyle name="_Бюджет прочих расходов 2004_Дайджест 2003-2004 гг._БДР 2 кв  презентационный_24 03 2008_15-55" xfId="7111"/>
    <cellStyle name="_Бюджет прочих расходов 2004_Дайджест 2003-2004 гг._Больш. 1-8 октября" xfId="7112"/>
    <cellStyle name="_Бюджет прочих расходов 2004_Дайджест 2003-2004 гг._БП  07 г. (нов.форма) 2" xfId="7113"/>
    <cellStyle name="_Бюджет прочих расходов 2004_Дайджест 2003-2004 гг._БП  07 г. (нов.форма) 2 2" xfId="7114"/>
    <cellStyle name="_Бюджет прочих расходов 2004_Дайджест 2003-2004 гг._БП  07 г. (нов.форма) 2 3" xfId="7115"/>
    <cellStyle name="_Бюджет прочих расходов 2004_Дайджест 2003-2004 гг._БП  07 г. (нов.форма) 2 4" xfId="7116"/>
    <cellStyle name="_Бюджет прочих расходов 2004_Дайджест 2003-2004 гг._БП  07 г. (нов.форма) 2 5" xfId="7117"/>
    <cellStyle name="_Бюджет прочих расходов 2004_Дайджест 2003-2004 гг._БП  07 г. (нов.форма) 2 6" xfId="7118"/>
    <cellStyle name="_Бюджет прочих расходов 2004_Дайджест 2003-2004 гг._БП  07 г. (нов.форма) 2 7" xfId="7119"/>
    <cellStyle name="_Бюджет прочих расходов 2004_Дайджест 2003-2004 гг._БП  07 г. (нов.форма) 2 8" xfId="7120"/>
    <cellStyle name="_Бюджет прочих расходов 2004_Дайджест 2003-2004 гг._БП  07 г. (нов.форма) 2 9" xfId="7121"/>
    <cellStyle name="_Бюджет прочих расходов 2004_Дайджест 2003-2004 гг._БП Урал Кирпич 28 01 2008г" xfId="7122"/>
    <cellStyle name="_Бюджет прочих расходов 2004_Дайджест 2003-2004 гг._БП_план на 1 кв. 2008г." xfId="7123"/>
    <cellStyle name="_Бюджет прочих расходов 2004_Дайджест 2003-2004 гг._БП_план на 2 кв. 2008г." xfId="7124"/>
    <cellStyle name="_Бюджет прочих расходов 2004_Дайджест 2003-2004 гг._бп2008 презентация 12.11.07" xfId="7125"/>
    <cellStyle name="_Бюджет прочих расходов 2004_Дайджест 2003-2004 гг._ДИВИЗИОН Презентация 4 кв. 07 изм отгр" xfId="7126"/>
    <cellStyle name="_Бюджет прочих расходов 2004_Дайджест 2003-2004 гг._ДИВИЗИОН Презентация 4 кв. 07 изм отгр 2" xfId="7127"/>
    <cellStyle name="_Бюджет прочих расходов 2004_Дайджест 2003-2004 гг._ДИВИЗИОН Презентация 4 кв. 07 изм отгр 3" xfId="7128"/>
    <cellStyle name="_Бюджет прочих расходов 2004_Дайджест 2003-2004 гг._ДИВИЗИОН Презентация 4 кв. 07 изм отгр 4" xfId="7129"/>
    <cellStyle name="_Бюджет прочих расходов 2004_Дайджест 2003-2004 гг._ДИВИЗИОН Презентация 4 кв. 07 изм отгр 5" xfId="7130"/>
    <cellStyle name="_Бюджет прочих расходов 2004_Дайджест 2003-2004 гг._ДИВИЗИОН Презентация 4 кв. 07 изм отгр 6" xfId="7131"/>
    <cellStyle name="_Бюджет прочих расходов 2004_Дайджест 2003-2004 гг._ДИВИЗИОН Презентация 4 кв. 07 изм отгр 7" xfId="7132"/>
    <cellStyle name="_Бюджет прочих расходов 2004_Дайджест 2003-2004 гг._ДИВИЗИОН Презентация 4 кв. 07 изм отгр 8" xfId="7133"/>
    <cellStyle name="_Бюджет прочих расходов 2004_Дайджест 2003-2004 гг._ДИВИЗИОН Презентация 4 кв. 07 изм отгр 9" xfId="7134"/>
    <cellStyle name="_Бюджет прочих расходов 2004_Дайджест 2003-2004 гг._ДИВИЗИОН_2008" xfId="7135"/>
    <cellStyle name="_Бюджет прочих расходов 2004_Дайджест 2003-2004 гг._Дивизиональная форма БДР_14.12.2007" xfId="7136"/>
    <cellStyle name="_Бюджет прочих расходов 2004_Дайджест 2003-2004 гг._Динамика Свод_Бизнес_MGOK 27_07_06" xfId="7137"/>
    <cellStyle name="_Бюджет прочих расходов 2004_Дайджест 2003-2004 гг._Ежемесячные формы для ТД на 2004 год (version 1)" xfId="7138"/>
    <cellStyle name="_Бюджет прочих расходов 2004_Дайджест 2003-2004 гг._Запрос МИ Менеджмент 18 08 06 (новый формат)" xfId="7139"/>
    <cellStyle name="_Бюджет прочих расходов 2004_Дайджест 2003-2004 гг._Запрос МИ Менеджмент 18 08 06 (новый формат) 10" xfId="7140"/>
    <cellStyle name="_Бюджет прочих расходов 2004_Дайджест 2003-2004 гг._Запрос МИ Менеджмент 18 08 06 (новый формат) 11" xfId="7141"/>
    <cellStyle name="_Бюджет прочих расходов 2004_Дайджест 2003-2004 гг._Запрос МИ Менеджмент 18 08 06 (новый формат) 12" xfId="7142"/>
    <cellStyle name="_Бюджет прочих расходов 2004_Дайджест 2003-2004 гг._Запрос МИ Менеджмент 18 08 06 (новый формат) 13" xfId="7143"/>
    <cellStyle name="_Бюджет прочих расходов 2004_Дайджест 2003-2004 гг._Запрос МИ Менеджмент 18 08 06 (новый формат) 2" xfId="7144"/>
    <cellStyle name="_Бюджет прочих расходов 2004_Дайджест 2003-2004 гг._Запрос МИ Менеджмент 18 08 06 (новый формат) 3" xfId="7145"/>
    <cellStyle name="_Бюджет прочих расходов 2004_Дайджест 2003-2004 гг._Запрос МИ Менеджмент 18 08 06 (новый формат) 4" xfId="7146"/>
    <cellStyle name="_Бюджет прочих расходов 2004_Дайджест 2003-2004 гг._Запрос МИ Менеджмент 18 08 06 (новый формат) 5" xfId="7147"/>
    <cellStyle name="_Бюджет прочих расходов 2004_Дайджест 2003-2004 гг._Запрос МИ Менеджмент 18 08 06 (новый формат) 6" xfId="7148"/>
    <cellStyle name="_Бюджет прочих расходов 2004_Дайджест 2003-2004 гг._Запрос МИ Менеджмент 18 08 06 (новый формат) 7" xfId="7149"/>
    <cellStyle name="_Бюджет прочих расходов 2004_Дайджест 2003-2004 гг._Запрос МИ Менеджмент 18 08 06 (новый формат) 8" xfId="7150"/>
    <cellStyle name="_Бюджет прочих расходов 2004_Дайджест 2003-2004 гг._Запрос МИ Менеджмент 18 08 06 (новый формат) 9" xfId="7151"/>
    <cellStyle name="_Бюджет прочих расходов 2004_Дайджест 2003-2004 гг._Запрос МИ Менеджмент 18 08 06 (новый формат)__План по труду 2008 261107 (10% с января)" xfId="7152"/>
    <cellStyle name="_Бюджет прочих расходов 2004_Дайджест 2003-2004 гг._Запрос МИ Менеджмент 18 08 06 (новый формат)__План по труду 2008 261107 (10% с января) 2" xfId="7153"/>
    <cellStyle name="_Бюджет прочих расходов 2004_Дайджест 2003-2004 гг._Запрос МИ Менеджмент 18 08 06 (новый формат)__План по труду 2008 261107 (10% с января) 3" xfId="7154"/>
    <cellStyle name="_Бюджет прочих расходов 2004_Дайджест 2003-2004 гг._Запрос МИ Менеджмент 18 08 06 (новый формат)__План по труду 2008 261107 (10% с января) 4" xfId="7155"/>
    <cellStyle name="_Бюджет прочих расходов 2004_Дайджест 2003-2004 гг._Запрос МИ Менеджмент 18 08 06 (новый формат)__План по труду 2008 261107 (10% с января) 5" xfId="7156"/>
    <cellStyle name="_Бюджет прочих расходов 2004_Дайджест 2003-2004 гг._Запрос МИ Менеджмент 18 08 06 (новый формат)__План по труду 2008 261107 (10% с января) 6" xfId="7157"/>
    <cellStyle name="_Бюджет прочих расходов 2004_Дайджест 2003-2004 гг._Запрос МИ Менеджмент 18 08 06 (новый формат)__План по труду 2008 261107 (10% с января) 7" xfId="7158"/>
    <cellStyle name="_Бюджет прочих расходов 2004_Дайджест 2003-2004 гг._Запрос МИ Менеджмент 18 08 06 (новый формат)__План по труду 2008 261107 (10% с января) 8" xfId="7159"/>
    <cellStyle name="_Бюджет прочих расходов 2004_Дайджест 2003-2004 гг._Запрос МИ Менеджмент 18 08 06 (новый формат)__План по труду 2008 261107 (10% с января) 9" xfId="7160"/>
    <cellStyle name="_Бюджет прочих расходов 2004_Дайджест 2003-2004 гг._Запрос МИ Менеджмент 18 08 06 (новый формат)__План по труду 2008 ИТОГ (правл. ПНР 161007)_" xfId="7161"/>
    <cellStyle name="_Бюджет прочих расходов 2004_Дайджест 2003-2004 гг._Запрос МИ Менеджмент 18 08 06 (новый формат)__План по труду 2008 ИТОГ (правл. ПНР 161007)_ 2" xfId="7162"/>
    <cellStyle name="_Бюджет прочих расходов 2004_Дайджест 2003-2004 гг._Запрос МИ Менеджмент 18 08 06 (новый формат)__План по труду 2008 ИТОГ (правл. ПНР 161007)_ 3" xfId="7163"/>
    <cellStyle name="_Бюджет прочих расходов 2004_Дайджест 2003-2004 гг._Запрос МИ Менеджмент 18 08 06 (новый формат)__План по труду 2008 ИТОГ (правл. ПНР 161007)_ 4" xfId="7164"/>
    <cellStyle name="_Бюджет прочих расходов 2004_Дайджест 2003-2004 гг._Запрос МИ Менеджмент 18 08 06 (новый формат)__План по труду 2008 ИТОГ (правл. ПНР 161007)_ 5" xfId="7165"/>
    <cellStyle name="_Бюджет прочих расходов 2004_Дайджест 2003-2004 гг._Запрос МИ Менеджмент 18 08 06 (новый формат)__План по труду 2008 ИТОГ (правл. ПНР 161007)_ 6" xfId="7166"/>
    <cellStyle name="_Бюджет прочих расходов 2004_Дайджест 2003-2004 гг._Запрос МИ Менеджмент 18 08 06 (новый формат)__План по труду 2008 ИТОГ (правл. ПНР 161007)_ 7" xfId="7167"/>
    <cellStyle name="_Бюджет прочих расходов 2004_Дайджест 2003-2004 гг._Запрос МИ Менеджмент 18 08 06 (новый формат)__План по труду 2008 ИТОГ (правл. ПНР 161007)_ 8" xfId="7168"/>
    <cellStyle name="_Бюджет прочих расходов 2004_Дайджест 2003-2004 гг._Запрос МИ Менеджмент 18 08 06 (новый формат)__План по труду 2008 ИТОГ (правл. ПНР 161007)_ 9" xfId="7169"/>
    <cellStyle name="_Бюджет прочих расходов 2004_Дайджест 2003-2004 гг._Запрос МИ Менеджмент 18 08 06 (новый формат)_2_Инвестпрограмма на 2008 год (КОВАЛЕВ)" xfId="7170"/>
    <cellStyle name="_Бюджет прочих расходов 2004_Дайджест 2003-2004 гг._Запрос МИ Менеджмент 18 08 06 (новый формат)_Данные для ФОТ на 2008 год" xfId="7171"/>
    <cellStyle name="_Бюджет прочих расходов 2004_Дайджест 2003-2004 гг._Запрос МИ Менеджмент 18 08 06 (новый формат)_Данные для ФОТ на 2008 год 2" xfId="7172"/>
    <cellStyle name="_Бюджет прочих расходов 2004_Дайджест 2003-2004 гг._Запрос МИ Менеджмент 18 08 06 (новый формат)_Данные для ФОТ на 2008 год 3" xfId="7173"/>
    <cellStyle name="_Бюджет прочих расходов 2004_Дайджест 2003-2004 гг._Запрос МИ Менеджмент 18 08 06 (новый формат)_Данные для ФОТ на 2008 год 4" xfId="7174"/>
    <cellStyle name="_Бюджет прочих расходов 2004_Дайджест 2003-2004 гг._Запрос МИ Менеджмент 18 08 06 (новый формат)_Данные для ФОТ на 2008 год 5" xfId="7175"/>
    <cellStyle name="_Бюджет прочих расходов 2004_Дайджест 2003-2004 гг._Запрос МИ Менеджмент 18 08 06 (новый формат)_Данные для ФОТ на 2008 год 6" xfId="7176"/>
    <cellStyle name="_Бюджет прочих расходов 2004_Дайджест 2003-2004 гг._Запрос МИ Менеджмент 18 08 06 (новый формат)_Данные для ФОТ на 2008 год 7" xfId="7177"/>
    <cellStyle name="_Бюджет прочих расходов 2004_Дайджест 2003-2004 гг._Запрос МИ Менеджмент 18 08 06 (новый формат)_Данные для ФОТ на 2008 год 8" xfId="7178"/>
    <cellStyle name="_Бюджет прочих расходов 2004_Дайджест 2003-2004 гг._Запрос МИ Менеджмент 18 08 06 (новый формат)_Данные для ФОТ на 2008 год 9" xfId="7179"/>
    <cellStyle name="_Бюджет прочих расходов 2004_Дайджест 2003-2004 гг._Запрос МИ Менеджмент 18 08 06 (новый формат)_План по труду 2008 ИТОГ (2003_вер)" xfId="7180"/>
    <cellStyle name="_Бюджет прочих расходов 2004_Дайджест 2003-2004 гг._Запрос МИ Менеджмент 18 08 06 (новый формат)_План по труду 2008 ИТОГ (2003_вер) 2" xfId="7181"/>
    <cellStyle name="_Бюджет прочих расходов 2004_Дайджест 2003-2004 гг._Запрос МИ Менеджмент 18 08 06 (новый формат)_План по труду 2008 ИТОГ (2003_вер) 3" xfId="7182"/>
    <cellStyle name="_Бюджет прочих расходов 2004_Дайджест 2003-2004 гг._Запрос МИ Менеджмент 18 08 06 (новый формат)_План по труду 2008 ИТОГ (2003_вер) 4" xfId="7183"/>
    <cellStyle name="_Бюджет прочих расходов 2004_Дайджест 2003-2004 гг._Запрос МИ Менеджмент 18 08 06 (новый формат)_План по труду 2008 ИТОГ (2003_вер) 5" xfId="7184"/>
    <cellStyle name="_Бюджет прочих расходов 2004_Дайджест 2003-2004 гг._Запрос МИ Менеджмент 18 08 06 (новый формат)_План по труду 2008 ИТОГ (2003_вер) 6" xfId="7185"/>
    <cellStyle name="_Бюджет прочих расходов 2004_Дайджест 2003-2004 гг._Запрос МИ Менеджмент 18 08 06 (новый формат)_План по труду 2008 ИТОГ (2003_вер) 7" xfId="7186"/>
    <cellStyle name="_Бюджет прочих расходов 2004_Дайджест 2003-2004 гг._Запрос МИ Менеджмент 18 08 06 (новый формат)_План по труду 2008 ИТОГ (2003_вер) 8" xfId="7187"/>
    <cellStyle name="_Бюджет прочих расходов 2004_Дайджест 2003-2004 гг._Запрос МИ Менеджмент 18 08 06 (новый формат)_План по труду 2008 ИТОГ (2003_вер) 9" xfId="7188"/>
    <cellStyle name="_Бюджет прочих расходов 2004_Дайджест 2003-2004 гг._Запрос МИ Менеджмент 18 08 06 (новый формат)_ТКВ 2008 от 19.07" xfId="7189"/>
    <cellStyle name="_Бюджет прочих расходов 2004_Дайджест 2003-2004 гг._Запрос МИ Менеджмент 18 08 06 (новый формат)_ТКВ 2008 от 31.07" xfId="7190"/>
    <cellStyle name="_Бюджет прочих расходов 2004_Дайджест 2003-2004 гг._ИПИТА" xfId="7191"/>
    <cellStyle name="_Бюджет прочих расходов 2004_Дайджест 2003-2004 гг._ИПИТА 2" xfId="7192"/>
    <cellStyle name="_Бюджет прочих расходов 2004_Дайджест 2003-2004 гг._ИПИТА 3" xfId="7193"/>
    <cellStyle name="_Бюджет прочих расходов 2004_Дайджест 2003-2004 гг._ИПИТА 4" xfId="7194"/>
    <cellStyle name="_Бюджет прочих расходов 2004_Дайджест 2003-2004 гг._ИПИТА 5" xfId="7195"/>
    <cellStyle name="_Бюджет прочих расходов 2004_Дайджест 2003-2004 гг._ИПИТА 6" xfId="7196"/>
    <cellStyle name="_Бюджет прочих расходов 2004_Дайджест 2003-2004 гг._ИПИТА 7" xfId="7197"/>
    <cellStyle name="_Бюджет прочих расходов 2004_Дайджест 2003-2004 гг._ИПИТА 8" xfId="7198"/>
    <cellStyle name="_Бюджет прочих расходов 2004_Дайджест 2003-2004 гг._ИПИТА 9" xfId="7199"/>
    <cellStyle name="_Бюджет прочих расходов 2004_Дайджест 2003-2004 гг._исходные_291107" xfId="7200"/>
    <cellStyle name="_Бюджет прочих расходов 2004_Дайджест 2003-2004 гг._КМА-Эн план 1 кв 200919.12.08отпр в Холдинг" xfId="7201"/>
    <cellStyle name="_Бюджет прочих расходов 2004_Дайджест 2003-2004 гг._Книга БДР 4 кв" xfId="7202"/>
    <cellStyle name="_Бюджет прочих расходов 2004_Дайджест 2003-2004 гг._Книга1" xfId="7203"/>
    <cellStyle name="_Бюджет прочих расходов 2004_Дайджест 2003-2004 гг._Книга1 (1)" xfId="7204"/>
    <cellStyle name="_Бюджет прочих расходов 2004_Дайджест 2003-2004 гг._Книга1 (1) 2" xfId="7205"/>
    <cellStyle name="_Бюджет прочих расходов 2004_Дайджест 2003-2004 гг._Книга1 (1) 3" xfId="7206"/>
    <cellStyle name="_Бюджет прочих расходов 2004_Дайджест 2003-2004 гг._Книга1 (1) 4" xfId="7207"/>
    <cellStyle name="_Бюджет прочих расходов 2004_Дайджест 2003-2004 гг._Книга1 (1) 5" xfId="7208"/>
    <cellStyle name="_Бюджет прочих расходов 2004_Дайджест 2003-2004 гг._Книга1 (1) 6" xfId="7209"/>
    <cellStyle name="_Бюджет прочих расходов 2004_Дайджест 2003-2004 гг._Книга1 (1) 7" xfId="7210"/>
    <cellStyle name="_Бюджет прочих расходов 2004_Дайджест 2003-2004 гг._Книга1 (1) 8" xfId="7211"/>
    <cellStyle name="_Бюджет прочих расходов 2004_Дайджест 2003-2004 гг._Книга1 (1) 9" xfId="7212"/>
    <cellStyle name="_Бюджет прочих расходов 2004_Дайджест 2003-2004 гг._Книга1 (5)" xfId="7213"/>
    <cellStyle name="_Бюджет прочих расходов 2004_Дайджест 2003-2004 гг._Книга1_1" xfId="7214"/>
    <cellStyle name="_Бюджет прочих расходов 2004_Дайджест 2003-2004 гг._Книга11" xfId="7215"/>
    <cellStyle name="_Бюджет прочих расходов 2004_Дайджест 2003-2004 гг._Книга3" xfId="7216"/>
    <cellStyle name="_Бюджет прочих расходов 2004_Дайджест 2003-2004 гг._Комплект документов - план на 2007 год - фин.часть 8.12.06 (укороч.)" xfId="7217"/>
    <cellStyle name="_Бюджет прочих расходов 2004_Дайджест 2003-2004 гг._Комплект документов - план на 2007 год - фин.часть 8.12.06 (укороч.) 2" xfId="7218"/>
    <cellStyle name="_Бюджет прочих расходов 2004_Дайджест 2003-2004 гг._Комплект документов - план на 2007 год - фин.часть 8.12.06 (укороч.) 3" xfId="7219"/>
    <cellStyle name="_Бюджет прочих расходов 2004_Дайджест 2003-2004 гг._Комплект документов - план на 2007 год - фин.часть 8.12.06 (укороч.) 4" xfId="7220"/>
    <cellStyle name="_Бюджет прочих расходов 2004_Дайджест 2003-2004 гг._Комплект документов - план на 2007 год - фин.часть 8.12.06 (укороч.) 5" xfId="7221"/>
    <cellStyle name="_Бюджет прочих расходов 2004_Дайджест 2003-2004 гг._Комплект документов - план на 2007 год - фин.часть 8.12.06 (укороч.) 6" xfId="7222"/>
    <cellStyle name="_Бюджет прочих расходов 2004_Дайджест 2003-2004 гг._Комплект документов - план на 2007 год - фин.часть 8.12.06 (укороч.) 7" xfId="7223"/>
    <cellStyle name="_Бюджет прочих расходов 2004_Дайджест 2003-2004 гг._Комплект документов - план на 2007 год - фин.часть 8.12.06 (укороч.) 8" xfId="7224"/>
    <cellStyle name="_Бюджет прочих расходов 2004_Дайджест 2003-2004 гг._Комплект документов - план на 2007 год - фин.часть 8.12.06 (укороч.) 9" xfId="7225"/>
    <cellStyle name="_Бюджет прочих расходов 2004_Дайджест 2003-2004 гг._Конс  ЛГОК БП 2009 для Комбината 07 11 08" xfId="7226"/>
    <cellStyle name="_Бюджет прочих расходов 2004_Дайджест 2003-2004 гг._Конс  ЛГОК БП 2009 от 14 10 08" xfId="7227"/>
    <cellStyle name="_Бюджет прочих расходов 2004_Дайджест 2003-2004 гг._Конс  ЛГОК БП 2009 от 14 10 08 (2)" xfId="7228"/>
    <cellStyle name="_Бюджет прочих расходов 2004_Дайджест 2003-2004 гг._Конс  МГОК БП 2009 от 14 10 08" xfId="7229"/>
    <cellStyle name="_Бюджет прочих расходов 2004_Дайджест 2003-2004 гг._Конс. план ЛГОК мар.09 для Комбината 20.02.09" xfId="7230"/>
    <cellStyle name="_Бюджет прочих расходов 2004_Дайджест 2003-2004 гг._Конс. план ЛГОК мар.09 для Комбината 25.02.09" xfId="7231"/>
    <cellStyle name="_Бюджет прочих расходов 2004_Дайджест 2003-2004 гг._Копия Конс БП 2010 ЛГОК для Комбината от 21 08 09" xfId="7232"/>
    <cellStyle name="_Бюджет прочих расходов 2004_Дайджест 2003-2004 гг._Лист1" xfId="7233"/>
    <cellStyle name="_Бюджет прочих расходов 2004_Дайджест 2003-2004 гг._Лист1 2" xfId="7234"/>
    <cellStyle name="_Бюджет прочих расходов 2004_Дайджест 2003-2004 гг._Лист1 3" xfId="7235"/>
    <cellStyle name="_Бюджет прочих расходов 2004_Дайджест 2003-2004 гг._Лист1 4" xfId="7236"/>
    <cellStyle name="_Бюджет прочих расходов 2004_Дайджест 2003-2004 гг._Лист1 5" xfId="7237"/>
    <cellStyle name="_Бюджет прочих расходов 2004_Дайджест 2003-2004 гг._Лист1 6" xfId="7238"/>
    <cellStyle name="_Бюджет прочих расходов 2004_Дайджест 2003-2004 гг._Лист1 7" xfId="7239"/>
    <cellStyle name="_Бюджет прочих расходов 2004_Дайджест 2003-2004 гг._Лист1 8" xfId="7240"/>
    <cellStyle name="_Бюджет прочих расходов 2004_Дайджест 2003-2004 гг._Лист1 9" xfId="7241"/>
    <cellStyle name="_Бюджет прочих расходов 2004_Дайджест 2003-2004 гг._Лист1_НОВАЯ ФОРМА ПО СОЦИАЛЬНЫМ ПРОГРАММАМ" xfId="7242"/>
    <cellStyle name="_Бюджет прочих расходов 2004_Дайджест 2003-2004 гг._Лист1_Приложения План Март (23)" xfId="7243"/>
    <cellStyle name="_Бюджет прочих расходов 2004_Дайджест 2003-2004 гг._Лист2" xfId="7244"/>
    <cellStyle name="_Бюджет прочих расходов 2004_Дайджест 2003-2004 гг._Лист3" xfId="7245"/>
    <cellStyle name="_Бюджет прочих расходов 2004_Дайджест 2003-2004 гг._Мод 4 кв 2008" xfId="7246"/>
    <cellStyle name="_Бюджет прочих расходов 2004_Дайджест 2003-2004 гг._Новые формы Дивизиона_3 кв_send (без дивидендов)" xfId="7247"/>
    <cellStyle name="_Бюджет прочих расходов 2004_Дайджест 2003-2004 гг._Новые формы Дивизиона_3кв.2007" xfId="7248"/>
    <cellStyle name="_Бюджет прочих расходов 2004_Дайджест 2003-2004 гг._Новые формы Дивизиона_3кв.2007 2" xfId="7249"/>
    <cellStyle name="_Бюджет прочих расходов 2004_Дайджест 2003-2004 гг._Новые формы Дивизиона_3кв.2007 3" xfId="7250"/>
    <cellStyle name="_Бюджет прочих расходов 2004_Дайджест 2003-2004 гг._Новые формы Дивизиона_3кв.2007 4" xfId="7251"/>
    <cellStyle name="_Бюджет прочих расходов 2004_Дайджест 2003-2004 гг._Новые формы Дивизиона_3кв.2007 5" xfId="7252"/>
    <cellStyle name="_Бюджет прочих расходов 2004_Дайджест 2003-2004 гг._Новые формы Дивизиона_3кв.2007 6" xfId="7253"/>
    <cellStyle name="_Бюджет прочих расходов 2004_Дайджест 2003-2004 гг._Новые формы Дивизиона_3кв.2007 7" xfId="7254"/>
    <cellStyle name="_Бюджет прочих расходов 2004_Дайджест 2003-2004 гг._Новые формы Дивизиона_3кв.2007 8" xfId="7255"/>
    <cellStyle name="_Бюджет прочих расходов 2004_Дайджест 2003-2004 гг._Новые формы Дивизиона_3кв.2007 9" xfId="7256"/>
    <cellStyle name="_Бюджет прочих расходов 2004_Дайджест 2003-2004 гг._Оборотный капитал план 2-е полугодие 2006 г. 25.08.06" xfId="7257"/>
    <cellStyle name="_Бюджет прочих расходов 2004_Дайджест 2003-2004 гг._Оборотный капитал план 2-е полугодие 2006 г. 25.08.06 10" xfId="7258"/>
    <cellStyle name="_Бюджет прочих расходов 2004_Дайджест 2003-2004 гг._Оборотный капитал план 2-е полугодие 2006 г. 25.08.06 11" xfId="7259"/>
    <cellStyle name="_Бюджет прочих расходов 2004_Дайджест 2003-2004 гг._Оборотный капитал план 2-е полугодие 2006 г. 25.08.06 12" xfId="7260"/>
    <cellStyle name="_Бюджет прочих расходов 2004_Дайджест 2003-2004 гг._Оборотный капитал план 2-е полугодие 2006 г. 25.08.06 13" xfId="7261"/>
    <cellStyle name="_Бюджет прочих расходов 2004_Дайджест 2003-2004 гг._Оборотный капитал план 2-е полугодие 2006 г. 25.08.06 2" xfId="7262"/>
    <cellStyle name="_Бюджет прочих расходов 2004_Дайджест 2003-2004 гг._Оборотный капитал план 2-е полугодие 2006 г. 25.08.06 3" xfId="7263"/>
    <cellStyle name="_Бюджет прочих расходов 2004_Дайджест 2003-2004 гг._Оборотный капитал план 2-е полугодие 2006 г. 25.08.06 4" xfId="7264"/>
    <cellStyle name="_Бюджет прочих расходов 2004_Дайджест 2003-2004 гг._Оборотный капитал план 2-е полугодие 2006 г. 25.08.06 5" xfId="7265"/>
    <cellStyle name="_Бюджет прочих расходов 2004_Дайджест 2003-2004 гг._Оборотный капитал план 2-е полугодие 2006 г. 25.08.06 6" xfId="7266"/>
    <cellStyle name="_Бюджет прочих расходов 2004_Дайджест 2003-2004 гг._Оборотный капитал план 2-е полугодие 2006 г. 25.08.06 7" xfId="7267"/>
    <cellStyle name="_Бюджет прочих расходов 2004_Дайджест 2003-2004 гг._Оборотный капитал план 2-е полугодие 2006 г. 25.08.06 8" xfId="7268"/>
    <cellStyle name="_Бюджет прочих расходов 2004_Дайджест 2003-2004 гг._Оборотный капитал план 2-е полугодие 2006 г. 25.08.06 9" xfId="7269"/>
    <cellStyle name="_Бюджет прочих расходов 2004_Дайджест 2003-2004 гг._ОБРАЗЕЦ Презентационный материал" xfId="7270"/>
    <cellStyle name="_Бюджет прочих расходов 2004_Дайджест 2003-2004 гг._ОБРАЗЕЦ Презентационный материал 2" xfId="7271"/>
    <cellStyle name="_Бюджет прочих расходов 2004_Дайджест 2003-2004 гг._ОБРАЗЕЦ Презентационный материал 3" xfId="7272"/>
    <cellStyle name="_Бюджет прочих расходов 2004_Дайджест 2003-2004 гг._ОБРАЗЕЦ Презентационный материал 4" xfId="7273"/>
    <cellStyle name="_Бюджет прочих расходов 2004_Дайджест 2003-2004 гг._ОБРАЗЕЦ Презентационный материал 5" xfId="7274"/>
    <cellStyle name="_Бюджет прочих расходов 2004_Дайджест 2003-2004 гг._ОБРАЗЕЦ Презентационный материал 6" xfId="7275"/>
    <cellStyle name="_Бюджет прочих расходов 2004_Дайджест 2003-2004 гг._ОБРАЗЕЦ Презентационный материал 7" xfId="7276"/>
    <cellStyle name="_Бюджет прочих расходов 2004_Дайджест 2003-2004 гг._ОБРАЗЕЦ Презентационный материал 8" xfId="7277"/>
    <cellStyle name="_Бюджет прочих расходов 2004_Дайджест 2003-2004 гг._ОБРАЗЕЦ Презентационный материал 9" xfId="7278"/>
    <cellStyle name="_Бюджет прочих расходов 2004_Дайджест 2003-2004 гг._оперативное исполнение 8 02 2009" xfId="7279"/>
    <cellStyle name="_Бюджет прочих расходов 2004_Дайджест 2003-2004 гг._Отклонения план март-план февраль 2009 конс" xfId="7280"/>
    <cellStyle name="_Бюджет прочих расходов 2004_Дайджест 2003-2004 гг._пл 02 2009 акционеры СВОД 09.02.2009" xfId="7281"/>
    <cellStyle name="_Бюджет прочих расходов 2004_Дайджест 2003-2004 гг._пл2007 Распределение ОЭМК 27.01.07" xfId="7282"/>
    <cellStyle name="_Бюджет прочих расходов 2004_Дайджест 2003-2004 гг._пл2007 фин.часть 18.12.06" xfId="7283"/>
    <cellStyle name="_Бюджет прочих расходов 2004_Дайджест 2003-2004 гг._пл2007 фин.часть 18.12.06 2" xfId="7284"/>
    <cellStyle name="_Бюджет прочих расходов 2004_Дайджест 2003-2004 гг._пл2007 фин.часть 18.12.06 3" xfId="7285"/>
    <cellStyle name="_Бюджет прочих расходов 2004_Дайджест 2003-2004 гг._пл2007 фин.часть 18.12.06 4" xfId="7286"/>
    <cellStyle name="_Бюджет прочих расходов 2004_Дайджест 2003-2004 гг._пл2007 фин.часть 18.12.06 5" xfId="7287"/>
    <cellStyle name="_Бюджет прочих расходов 2004_Дайджест 2003-2004 гг._пл2007 фин.часть 18.12.06 6" xfId="7288"/>
    <cellStyle name="_Бюджет прочих расходов 2004_Дайджест 2003-2004 гг._пл2007 фин.часть 18.12.06 7" xfId="7289"/>
    <cellStyle name="_Бюджет прочих расходов 2004_Дайджест 2003-2004 гг._пл2007 фин.часть 18.12.06 8" xfId="7290"/>
    <cellStyle name="_Бюджет прочих расходов 2004_Дайджест 2003-2004 гг._пл2007 фин.часть 18.12.06 9" xfId="7291"/>
    <cellStyle name="_Бюджет прочих расходов 2004_Дайджест 2003-2004 гг._План 2 кв 2007 год 6.04.07" xfId="7292"/>
    <cellStyle name="_Бюджет прочих расходов 2004_Дайджест 2003-2004 гг._План 2 кв 2007 год 6.04.07 2" xfId="7293"/>
    <cellStyle name="_Бюджет прочих расходов 2004_Дайджест 2003-2004 гг._План 2 кв 2007 год 6.04.07 3" xfId="7294"/>
    <cellStyle name="_Бюджет прочих расходов 2004_Дайджест 2003-2004 гг._План 2 кв 2007 год 6.04.07 4" xfId="7295"/>
    <cellStyle name="_Бюджет прочих расходов 2004_Дайджест 2003-2004 гг._План 2 кв 2007 год 6.04.07 5" xfId="7296"/>
    <cellStyle name="_Бюджет прочих расходов 2004_Дайджест 2003-2004 гг._План 2 кв 2007 год 6.04.07 6" xfId="7297"/>
    <cellStyle name="_Бюджет прочих расходов 2004_Дайджест 2003-2004 гг._План 2 кв 2007 год 6.04.07 7" xfId="7298"/>
    <cellStyle name="_Бюджет прочих расходов 2004_Дайджест 2003-2004 гг._План 2 кв 2007 год 6.04.07 8" xfId="7299"/>
    <cellStyle name="_Бюджет прочих расходов 2004_Дайджест 2003-2004 гг._План 2 кв 2007 год 6.04.07 9" xfId="7300"/>
    <cellStyle name="_Бюджет прочих расходов 2004_Дайджест 2003-2004 гг._План ДСМ 2 квартал 2009 ОТЧЕТ отп" xfId="7301"/>
    <cellStyle name="_Бюджет прочих расходов 2004_Дайджест 2003-2004 гг._План ДСМ 3 квартал 2009 ОТЧЕТ" xfId="7302"/>
    <cellStyle name="_Бюджет прочих расходов 2004_Дайджест 2003-2004 гг._План ДСМ 4 квартал 2009 ОТЧЕТ" xfId="7303"/>
    <cellStyle name="_Бюджет прочих расходов 2004_Дайджест 2003-2004 гг._План ДСМ на 4 квартал 2006 (последняя версия) 2" xfId="7304"/>
    <cellStyle name="_Бюджет прочих расходов 2004_Дайджест 2003-2004 гг._План ДСМ ноябрь 2011 ОТЧЕТ" xfId="7305"/>
    <cellStyle name="_Бюджет прочих расходов 2004_Дайджест 2003-2004 гг._План ДСФ 1 квартал 2007" xfId="7306"/>
    <cellStyle name="_Бюджет прочих расходов 2004_Дайджест 2003-2004 гг._План ДСФ 2 квартал 2009 ОТЧЕТ отп" xfId="7307"/>
    <cellStyle name="_Бюджет прочих расходов 2004_Дайджест 2003-2004 гг._План ДСФ 4 квартал 2009 ОТЧЕТ" xfId="7308"/>
    <cellStyle name="_Бюджет прочих расходов 2004_Дайджест 2003-2004 гг._План на 2009 год ДСМ ОТЧЕТ отп (01.12.08)" xfId="7309"/>
    <cellStyle name="_Бюджет прочих расходов 2004_Дайджест 2003-2004 гг._План на 2010 год ДСМ ОТЧЕТ" xfId="7310"/>
    <cellStyle name="_Бюджет прочих расходов 2004_Дайджест 2003-2004 гг._план ноября (отправл) 13.11" xfId="7311"/>
    <cellStyle name="_Бюджет прочих расходов 2004_Дайджест 2003-2004 гг._План_2008г._БДР" xfId="7312"/>
    <cellStyle name="_Бюджет прочих расходов 2004_Дайджест 2003-2004 гг._План_2008г._БДР_отпр.13.12.2007_19-40" xfId="7313"/>
    <cellStyle name="_Бюджет прочих расходов 2004_Дайджест 2003-2004 гг._Помесячный Чистов ФДе" xfId="7314"/>
    <cellStyle name="_Бюджет прочих расходов 2004_Дайджест 2003-2004 гг._Помесячный Чистов ФДе 2" xfId="7315"/>
    <cellStyle name="_Бюджет прочих расходов 2004_Дайджест 2003-2004 гг._Помесячный Чистов ФДе 3" xfId="7316"/>
    <cellStyle name="_Бюджет прочих расходов 2004_Дайджест 2003-2004 гг._Помесячный Чистов ФДе 4" xfId="7317"/>
    <cellStyle name="_Бюджет прочих расходов 2004_Дайджест 2003-2004 гг._Помесячный Чистов ФДе 5" xfId="7318"/>
    <cellStyle name="_Бюджет прочих расходов 2004_Дайджест 2003-2004 гг._Помесячный Чистов ФДе 6" xfId="7319"/>
    <cellStyle name="_Бюджет прочих расходов 2004_Дайджест 2003-2004 гг._Помесячный Чистов ФДе 7" xfId="7320"/>
    <cellStyle name="_Бюджет прочих расходов 2004_Дайджест 2003-2004 гг._Помесячный Чистов ФДе 8" xfId="7321"/>
    <cellStyle name="_Бюджет прочих расходов 2004_Дайджест 2003-2004 гг._Помесячный Чистов ФДе 9" xfId="7322"/>
    <cellStyle name="_Бюджет прочих расходов 2004_Дайджест 2003-2004 гг._пр I кв 2008 форма презентации" xfId="7323"/>
    <cellStyle name="_Бюджет прочих расходов 2004_Дайджест 2003-2004 гг._пр I кв 2008 форма презентации 2" xfId="7324"/>
    <cellStyle name="_Бюджет прочих расходов 2004_Дайджест 2003-2004 гг._пр I кв 2008 форма презентации 3" xfId="7325"/>
    <cellStyle name="_Бюджет прочих расходов 2004_Дайджест 2003-2004 гг._пр I кв 2008 форма презентации 4" xfId="7326"/>
    <cellStyle name="_Бюджет прочих расходов 2004_Дайджест 2003-2004 гг._пр I кв 2008 форма презентации 5" xfId="7327"/>
    <cellStyle name="_Бюджет прочих расходов 2004_Дайджест 2003-2004 гг._пр I кв 2008 форма презентации 6" xfId="7328"/>
    <cellStyle name="_Бюджет прочих расходов 2004_Дайджест 2003-2004 гг._пр I кв 2008 форма презентации 7" xfId="7329"/>
    <cellStyle name="_Бюджет прочих расходов 2004_Дайджест 2003-2004 гг._пр I кв 2008 форма презентации 8" xfId="7330"/>
    <cellStyle name="_Бюджет прочих расходов 2004_Дайджест 2003-2004 гг._пр I кв 2008 форма презентации 9" xfId="7331"/>
    <cellStyle name="_Бюджет прочих расходов 2004_Дайджест 2003-2004 гг._пр2006 Комплект ОЭМК 13.02.07 (рабочая)" xfId="7332"/>
    <cellStyle name="_Бюджет прочих расходов 2004_Дайджест 2003-2004 гг._пр2006 формы(19-30) 14.02.07" xfId="7333"/>
    <cellStyle name="_Бюджет прочих расходов 2004_Дайджест 2003-2004 гг._Презентационный БДР_21 02 2008" xfId="7334"/>
    <cellStyle name="_Бюджет прочих расходов 2004_Дайджест 2003-2004 гг._Презентационный материал" xfId="7335"/>
    <cellStyle name="_Бюджет прочих расходов 2004_Дайджест 2003-2004 гг._Презентационный материал 2" xfId="7336"/>
    <cellStyle name="_Бюджет прочих расходов 2004_Дайджест 2003-2004 гг._Презентационный материал 2 кв_план" xfId="7337"/>
    <cellStyle name="_Бюджет прочих расходов 2004_Дайджест 2003-2004 гг._Презентационный материал 3" xfId="7338"/>
    <cellStyle name="_Бюджет прочих расходов 2004_Дайджест 2003-2004 гг._Презентационный материал 4" xfId="7339"/>
    <cellStyle name="_Бюджет прочих расходов 2004_Дайджест 2003-2004 гг._Презентационный материал 5" xfId="7340"/>
    <cellStyle name="_Бюджет прочих расходов 2004_Дайджест 2003-2004 гг._Презентационный материал 6" xfId="7341"/>
    <cellStyle name="_Бюджет прочих расходов 2004_Дайджест 2003-2004 гг._Презентационный материал 7" xfId="7342"/>
    <cellStyle name="_Бюджет прочих расходов 2004_Дайджест 2003-2004 гг._Презентационный материал 8" xfId="7343"/>
    <cellStyle name="_Бюджет прочих расходов 2004_Дайджест 2003-2004 гг._Презентационный материал 9" xfId="7344"/>
    <cellStyle name="_Бюджет прочих расходов 2004_Дайджест 2003-2004 гг._Презентация" xfId="7345"/>
    <cellStyle name="_Бюджет прочих расходов 2004_Дайджест 2003-2004 гг._Презентация (фин.часть) 27.06.07" xfId="7346"/>
    <cellStyle name="_Бюджет прочих расходов 2004_Дайджест 2003-2004 гг._Презентация 2" xfId="7347"/>
    <cellStyle name="_Бюджет прочих расходов 2004_Дайджест 2003-2004 гг._Презентация 2007 пл-ож 17.12" xfId="7348"/>
    <cellStyle name="_Бюджет прочих расходов 2004_Дайджест 2003-2004 гг._Презентация 2007 пл-ож 17.12 2" xfId="7349"/>
    <cellStyle name="_Бюджет прочих расходов 2004_Дайджест 2003-2004 гг._Презентация 2007 пл-ож 17.12 3" xfId="7350"/>
    <cellStyle name="_Бюджет прочих расходов 2004_Дайджест 2003-2004 гг._Презентация 2007 пл-ож 17.12 4" xfId="7351"/>
    <cellStyle name="_Бюджет прочих расходов 2004_Дайджест 2003-2004 гг._Презентация 2007 пл-ож 17.12 5" xfId="7352"/>
    <cellStyle name="_Бюджет прочих расходов 2004_Дайджест 2003-2004 гг._Презентация 2007 пл-ож 17.12 6" xfId="7353"/>
    <cellStyle name="_Бюджет прочих расходов 2004_Дайджест 2003-2004 гг._Презентация 2007 пл-ож 17.12 7" xfId="7354"/>
    <cellStyle name="_Бюджет прочих расходов 2004_Дайджест 2003-2004 гг._Презентация 2007 пл-ож 17.12 8" xfId="7355"/>
    <cellStyle name="_Бюджет прочих расходов 2004_Дайджест 2003-2004 гг._Презентация 2007 пл-ож 17.12 9" xfId="7356"/>
    <cellStyle name="_Бюджет прочих расходов 2004_Дайджест 2003-2004 гг._Презентация 2007-2008 17.12" xfId="7357"/>
    <cellStyle name="_Бюджет прочих расходов 2004_Дайджест 2003-2004 гг._Презентация 2007-2008 17.12 2" xfId="7358"/>
    <cellStyle name="_Бюджет прочих расходов 2004_Дайджест 2003-2004 гг._Презентация 2007-2008 17.12 3" xfId="7359"/>
    <cellStyle name="_Бюджет прочих расходов 2004_Дайджест 2003-2004 гг._Презентация 2007-2008 17.12 4" xfId="7360"/>
    <cellStyle name="_Бюджет прочих расходов 2004_Дайджест 2003-2004 гг._Презентация 2007-2008 17.12 5" xfId="7361"/>
    <cellStyle name="_Бюджет прочих расходов 2004_Дайджест 2003-2004 гг._Презентация 2007-2008 17.12 6" xfId="7362"/>
    <cellStyle name="_Бюджет прочих расходов 2004_Дайджест 2003-2004 гг._Презентация 2007-2008 17.12 7" xfId="7363"/>
    <cellStyle name="_Бюджет прочих расходов 2004_Дайджест 2003-2004 гг._Презентация 2007-2008 17.12 8" xfId="7364"/>
    <cellStyle name="_Бюджет прочих расходов 2004_Дайджест 2003-2004 гг._Презентация 2007-2008 17.12 9" xfId="7365"/>
    <cellStyle name="_Бюджет прочих расходов 2004_Дайджест 2003-2004 гг._Презентация 2008 (2)" xfId="7366"/>
    <cellStyle name="_Бюджет прочих расходов 2004_Дайджест 2003-2004 гг._Презентация 2008 год (фин. часть) от 22.10.07" xfId="7367"/>
    <cellStyle name="_Бюджет прочих расходов 2004_Дайджест 2003-2004 гг._Презентация 2008 год (фин. часть) от 22.10.07 2" xfId="7368"/>
    <cellStyle name="_Бюджет прочих расходов 2004_Дайджест 2003-2004 гг._Презентация 2008 год (фин. часть) от 22.10.07 3" xfId="7369"/>
    <cellStyle name="_Бюджет прочих расходов 2004_Дайджест 2003-2004 гг._Презентация 2008 год (фин. часть) от 22.10.07 4" xfId="7370"/>
    <cellStyle name="_Бюджет прочих расходов 2004_Дайджест 2003-2004 гг._Презентация 2008 год (фин. часть) от 22.10.07 5" xfId="7371"/>
    <cellStyle name="_Бюджет прочих расходов 2004_Дайджест 2003-2004 гг._Презентация 2008 год (фин. часть) от 22.10.07 6" xfId="7372"/>
    <cellStyle name="_Бюджет прочих расходов 2004_Дайджест 2003-2004 гг._Презентация 2008 год (фин. часть) от 22.10.07 7" xfId="7373"/>
    <cellStyle name="_Бюджет прочих расходов 2004_Дайджест 2003-2004 гг._Презентация 2008 год (фин. часть) от 22.10.07 8" xfId="7374"/>
    <cellStyle name="_Бюджет прочих расходов 2004_Дайджест 2003-2004 гг._Презентация 2008 год (фин. часть) от 22.10.07 9" xfId="7375"/>
    <cellStyle name="_Бюджет прочих расходов 2004_Дайджест 2003-2004 гг._Презентация 2008 фин. часть (коричневые формы)" xfId="7376"/>
    <cellStyle name="_Бюджет прочих расходов 2004_Дайджест 2003-2004 гг._Презентация 2008 фин. часть (коричневые формы) 2" xfId="7377"/>
    <cellStyle name="_Бюджет прочих расходов 2004_Дайджест 2003-2004 гг._Презентация 2008 фин. часть (коричневые формы) 3" xfId="7378"/>
    <cellStyle name="_Бюджет прочих расходов 2004_Дайджест 2003-2004 гг._Презентация 2008 фин. часть (коричневые формы) 4" xfId="7379"/>
    <cellStyle name="_Бюджет прочих расходов 2004_Дайджест 2003-2004 гг._Презентация 2008 фин. часть (коричневые формы) 5" xfId="7380"/>
    <cellStyle name="_Бюджет прочих расходов 2004_Дайджест 2003-2004 гг._Презентация 2008 фин. часть (коричневые формы) 6" xfId="7381"/>
    <cellStyle name="_Бюджет прочих расходов 2004_Дайджест 2003-2004 гг._Презентация 2008 фин. часть (коричневые формы) 7" xfId="7382"/>
    <cellStyle name="_Бюджет прочих расходов 2004_Дайджест 2003-2004 гг._Презентация 2008 фин. часть (коричневые формы) 8" xfId="7383"/>
    <cellStyle name="_Бюджет прочих расходов 2004_Дайджест 2003-2004 гг._Презентация 2008 фин. часть (коричневые формы) 9" xfId="7384"/>
    <cellStyle name="_Бюджет прочих расходов 2004_Дайджест 2003-2004 гг._Презентация 3" xfId="7385"/>
    <cellStyle name="_Бюджет прочих расходов 2004_Дайджест 2003-2004 гг._Презентация 4" xfId="7386"/>
    <cellStyle name="_Бюджет прочих расходов 2004_Дайджест 2003-2004 гг._Презентация 5" xfId="7387"/>
    <cellStyle name="_Бюджет прочих расходов 2004_Дайджест 2003-2004 гг._Презентация 6" xfId="7388"/>
    <cellStyle name="_Бюджет прочих расходов 2004_Дайджест 2003-2004 гг._Презентация 7" xfId="7389"/>
    <cellStyle name="_Бюджет прочих расходов 2004_Дайджест 2003-2004 гг._Презентация 8" xfId="7390"/>
    <cellStyle name="_Бюджет прочих расходов 2004_Дайджест 2003-2004 гг._презентация 8.02.07" xfId="7391"/>
    <cellStyle name="_Бюджет прочих расходов 2004_Дайджест 2003-2004 гг._презентация 8.02.07 2" xfId="7392"/>
    <cellStyle name="_Бюджет прочих расходов 2004_Дайджест 2003-2004 гг._презентация 8.02.07 3" xfId="7393"/>
    <cellStyle name="_Бюджет прочих расходов 2004_Дайджест 2003-2004 гг._презентация 8.02.07 4" xfId="7394"/>
    <cellStyle name="_Бюджет прочих расходов 2004_Дайджест 2003-2004 гг._презентация 8.02.07 5" xfId="7395"/>
    <cellStyle name="_Бюджет прочих расходов 2004_Дайджест 2003-2004 гг._презентация 8.02.07 6" xfId="7396"/>
    <cellStyle name="_Бюджет прочих расходов 2004_Дайджест 2003-2004 гг._презентация 8.02.07 7" xfId="7397"/>
    <cellStyle name="_Бюджет прочих расходов 2004_Дайджест 2003-2004 гг._презентация 8.02.07 8" xfId="7398"/>
    <cellStyle name="_Бюджет прочих расходов 2004_Дайджест 2003-2004 гг._презентация 8.02.07 9" xfId="7399"/>
    <cellStyle name="_Бюджет прочих расходов 2004_Дайджест 2003-2004 гг._Презентация 9" xfId="7400"/>
    <cellStyle name="_Бюджет прочих расходов 2004_Дайджест 2003-2004 гг._Презентация август 07 факт" xfId="7401"/>
    <cellStyle name="_Бюджет прочих расходов 2004_Дайджест 2003-2004 гг._Презентация август 07 факт 2" xfId="7402"/>
    <cellStyle name="_Бюджет прочих расходов 2004_Дайджест 2003-2004 гг._Презентация август 07 факт 3" xfId="7403"/>
    <cellStyle name="_Бюджет прочих расходов 2004_Дайджест 2003-2004 гг._Презентация август 07 факт 4" xfId="7404"/>
    <cellStyle name="_Бюджет прочих расходов 2004_Дайджест 2003-2004 гг._Презентация август 07 факт 5" xfId="7405"/>
    <cellStyle name="_Бюджет прочих расходов 2004_Дайджест 2003-2004 гг._Презентация август 07 факт 6" xfId="7406"/>
    <cellStyle name="_Бюджет прочих расходов 2004_Дайджест 2003-2004 гг._Презентация август 07 факт 7" xfId="7407"/>
    <cellStyle name="_Бюджет прочих расходов 2004_Дайджест 2003-2004 гг._Презентация август 07 факт 8" xfId="7408"/>
    <cellStyle name="_Бюджет прочих расходов 2004_Дайджест 2003-2004 гг._Презентация август 07 факт 9" xfId="7409"/>
    <cellStyle name="_Бюджет прочих расходов 2004_Дайджест 2003-2004 гг._Презентация для Ульянова" xfId="7410"/>
    <cellStyle name="_Бюджет прочих расходов 2004_Дайджест 2003-2004 гг._Презентация для Ульянова 2" xfId="7411"/>
    <cellStyle name="_Бюджет прочих расходов 2004_Дайджест 2003-2004 гг._Презентация для Ульянова 3" xfId="7412"/>
    <cellStyle name="_Бюджет прочих расходов 2004_Дайджест 2003-2004 гг._Презентация для Ульянова 4" xfId="7413"/>
    <cellStyle name="_Бюджет прочих расходов 2004_Дайджест 2003-2004 гг._Презентация для Ульянова 5" xfId="7414"/>
    <cellStyle name="_Бюджет прочих расходов 2004_Дайджест 2003-2004 гг._Презентация для Ульянова 6" xfId="7415"/>
    <cellStyle name="_Бюджет прочих расходов 2004_Дайджест 2003-2004 гг._Презентация для Ульянова 7" xfId="7416"/>
    <cellStyle name="_Бюджет прочих расходов 2004_Дайджест 2003-2004 гг._Презентация для Ульянова 8" xfId="7417"/>
    <cellStyle name="_Бюджет прочих расходов 2004_Дайджест 2003-2004 гг._Презентация для Ульянова 9" xfId="7418"/>
    <cellStyle name="_Бюджет прочих расходов 2004_Дайджест 2003-2004 гг._Презентация для Ульянова И.Г. от 17.12.07" xfId="7419"/>
    <cellStyle name="_Бюджет прочих расходов 2004_Дайджест 2003-2004 гг._Презентация для Ульянова И.Г. от 17.12.07 2" xfId="7420"/>
    <cellStyle name="_Бюджет прочих расходов 2004_Дайджест 2003-2004 гг._Презентация для Ульянова И.Г. от 17.12.07 3" xfId="7421"/>
    <cellStyle name="_Бюджет прочих расходов 2004_Дайджест 2003-2004 гг._Презентация для Ульянова И.Г. от 17.12.07 4" xfId="7422"/>
    <cellStyle name="_Бюджет прочих расходов 2004_Дайджест 2003-2004 гг._Презентация для Ульянова И.Г. от 17.12.07 5" xfId="7423"/>
    <cellStyle name="_Бюджет прочих расходов 2004_Дайджест 2003-2004 гг._Презентация для Ульянова И.Г. от 17.12.07 6" xfId="7424"/>
    <cellStyle name="_Бюджет прочих расходов 2004_Дайджест 2003-2004 гг._Презентация для Ульянова И.Г. от 17.12.07 7" xfId="7425"/>
    <cellStyle name="_Бюджет прочих расходов 2004_Дайджест 2003-2004 гг._Презентация для Ульянова И.Г. от 17.12.07 8" xfId="7426"/>
    <cellStyle name="_Бюджет прочих расходов 2004_Дайджест 2003-2004 гг._Презентация для Ульянова И.Г. от 17.12.07 9" xfId="7427"/>
    <cellStyle name="_Бюджет прочих расходов 2004_Дайджест 2003-2004 гг._презентация займы РК г" xfId="7428"/>
    <cellStyle name="_Бюджет прочих расходов 2004_Дайджест 2003-2004 гг._презентация займы РК г 2" xfId="7429"/>
    <cellStyle name="_Бюджет прочих расходов 2004_Дайджест 2003-2004 гг._презентация займы РК г 3" xfId="7430"/>
    <cellStyle name="_Бюджет прочих расходов 2004_Дайджест 2003-2004 гг._презентация займы РК г 4" xfId="7431"/>
    <cellStyle name="_Бюджет прочих расходов 2004_Дайджест 2003-2004 гг._презентация займы РК г 5" xfId="7432"/>
    <cellStyle name="_Бюджет прочих расходов 2004_Дайджест 2003-2004 гг._презентация займы РК г 6" xfId="7433"/>
    <cellStyle name="_Бюджет прочих расходов 2004_Дайджест 2003-2004 гг._презентация займы РК г 7" xfId="7434"/>
    <cellStyle name="_Бюджет прочих расходов 2004_Дайджест 2003-2004 гг._презентация займы РК г 8" xfId="7435"/>
    <cellStyle name="_Бюджет прочих расходов 2004_Дайджест 2003-2004 гг._презентация займы РК г 9" xfId="7436"/>
    <cellStyle name="_Бюджет прочих расходов 2004_Дайджест 2003-2004 гг._Презентация инвестиции" xfId="7437"/>
    <cellStyle name="_Бюджет прочих расходов 2004_Дайджест 2003-2004 гг._Презентация инвестиции 2" xfId="7438"/>
    <cellStyle name="_Бюджет прочих расходов 2004_Дайджест 2003-2004 гг._Презентация инвестиции 3" xfId="7439"/>
    <cellStyle name="_Бюджет прочих расходов 2004_Дайджест 2003-2004 гг._Презентация инвестиции 4" xfId="7440"/>
    <cellStyle name="_Бюджет прочих расходов 2004_Дайджест 2003-2004 гг._Презентация инвестиции 5" xfId="7441"/>
    <cellStyle name="_Бюджет прочих расходов 2004_Дайджест 2003-2004 гг._Презентация инвестиции 6" xfId="7442"/>
    <cellStyle name="_Бюджет прочих расходов 2004_Дайджест 2003-2004 гг._Презентация инвестиции 7" xfId="7443"/>
    <cellStyle name="_Бюджет прочих расходов 2004_Дайджест 2003-2004 гг._Презентация инвестиции 8" xfId="7444"/>
    <cellStyle name="_Бюджет прочих расходов 2004_Дайджест 2003-2004 гг._Презентация инвестиции 9" xfId="7445"/>
    <cellStyle name="_Бюджет прочих расходов 2004_Дайджест 2003-2004 гг._Презентация коричн. СДП, РК, Инв план 2008 (фин. часть) от 24.03.08" xfId="7446"/>
    <cellStyle name="_Бюджет прочих расходов 2004_Дайджест 2003-2004 гг._Презентация коричн. СДП, РК, Инв план 2008 (фин. часть) от 24.03.08 2" xfId="7447"/>
    <cellStyle name="_Бюджет прочих расходов 2004_Дайджест 2003-2004 гг._Презентация коричн. СДП, РК, Инв план 2008 (фин. часть) от 24.03.08 3" xfId="7448"/>
    <cellStyle name="_Бюджет прочих расходов 2004_Дайджест 2003-2004 гг._Презентация коричн. СДП, РК, Инв план 2008 (фин. часть) от 24.03.08 4" xfId="7449"/>
    <cellStyle name="_Бюджет прочих расходов 2004_Дайджест 2003-2004 гг._Презентация коричн. СДП, РК, Инв план 2008 (фин. часть) от 24.03.08 5" xfId="7450"/>
    <cellStyle name="_Бюджет прочих расходов 2004_Дайджест 2003-2004 гг._Презентация коричн. СДП, РК, Инв план 2008 (фин. часть) от 24.03.08 6" xfId="7451"/>
    <cellStyle name="_Бюджет прочих расходов 2004_Дайджест 2003-2004 гг._Презентация коричн. СДП, РК, Инв план 2008 (фин. часть) от 24.03.08 7" xfId="7452"/>
    <cellStyle name="_Бюджет прочих расходов 2004_Дайджест 2003-2004 гг._Презентация коричн. СДП, РК, Инв план 2008 (фин. часть) от 24.03.08 8" xfId="7453"/>
    <cellStyle name="_Бюджет прочих расходов 2004_Дайджест 2003-2004 гг._Презентация коричн. СДП, РК, Инв план 2008 (фин. часть) от 24.03.08 9" xfId="7454"/>
    <cellStyle name="_Бюджет прочих расходов 2004_Дайджест 2003-2004 гг._Презентация коричневая 2007 план + ож" xfId="7455"/>
    <cellStyle name="_Бюджет прочих расходов 2004_Дайджест 2003-2004 гг._Презентация коричневая 2007-2008" xfId="7456"/>
    <cellStyle name="_Бюджет прочих расходов 2004_Дайджест 2003-2004 гг._Презентация от 10.12.07 (СПД и РК)  2007план и 2007ожид." xfId="7457"/>
    <cellStyle name="_Бюджет прочих расходов 2004_Дайджест 2003-2004 гг._Презентация от 10.12.07 (СПД и РК)  2007план и 2007ожид. 2" xfId="7458"/>
    <cellStyle name="_Бюджет прочих расходов 2004_Дайджест 2003-2004 гг._Презентация от 10.12.07 (СПД и РК)  2007план и 2007ожид. 3" xfId="7459"/>
    <cellStyle name="_Бюджет прочих расходов 2004_Дайджест 2003-2004 гг._Презентация от 10.12.07 (СПД и РК)  2007план и 2007ожид. 4" xfId="7460"/>
    <cellStyle name="_Бюджет прочих расходов 2004_Дайджест 2003-2004 гг._Презентация от 10.12.07 (СПД и РК)  2007план и 2007ожид. 5" xfId="7461"/>
    <cellStyle name="_Бюджет прочих расходов 2004_Дайджест 2003-2004 гг._Презентация от 10.12.07 (СПД и РК)  2007план и 2007ожид. 6" xfId="7462"/>
    <cellStyle name="_Бюджет прочих расходов 2004_Дайджест 2003-2004 гг._Презентация от 10.12.07 (СПД и РК)  2007план и 2007ожид. 7" xfId="7463"/>
    <cellStyle name="_Бюджет прочих расходов 2004_Дайджест 2003-2004 гг._Презентация от 10.12.07 (СПД и РК)  2007план и 2007ожид. 8" xfId="7464"/>
    <cellStyle name="_Бюджет прочих расходов 2004_Дайджест 2003-2004 гг._Презентация от 10.12.07 (СПД и РК)  2007план и 2007ожид. 9" xfId="7465"/>
    <cellStyle name="_Бюджет прочих расходов 2004_Дайджест 2003-2004 гг._Презентация от 10.12.07 (СПД и РК)  2008план и 2007ожид" xfId="7466"/>
    <cellStyle name="_Бюджет прочих расходов 2004_Дайджест 2003-2004 гг._Презентация от 10.12.07 (СПД и РК)  2008план и 2007ожид 2" xfId="7467"/>
    <cellStyle name="_Бюджет прочих расходов 2004_Дайджест 2003-2004 гг._Презентация от 10.12.07 (СПД и РК)  2008план и 2007ожид 3" xfId="7468"/>
    <cellStyle name="_Бюджет прочих расходов 2004_Дайджест 2003-2004 гг._Презентация от 10.12.07 (СПД и РК)  2008план и 2007ожид 4" xfId="7469"/>
    <cellStyle name="_Бюджет прочих расходов 2004_Дайджест 2003-2004 гг._Презентация от 10.12.07 (СПД и РК)  2008план и 2007ожид 5" xfId="7470"/>
    <cellStyle name="_Бюджет прочих расходов 2004_Дайджест 2003-2004 гг._Презентация от 10.12.07 (СПД и РК)  2008план и 2007ожид 6" xfId="7471"/>
    <cellStyle name="_Бюджет прочих расходов 2004_Дайджест 2003-2004 гг._Презентация от 10.12.07 (СПД и РК)  2008план и 2007ожид 7" xfId="7472"/>
    <cellStyle name="_Бюджет прочих расходов 2004_Дайджест 2003-2004 гг._Презентация от 10.12.07 (СПД и РК)  2008план и 2007ожид 8" xfId="7473"/>
    <cellStyle name="_Бюджет прочих расходов 2004_Дайджест 2003-2004 гг._Презентация от 10.12.07 (СПД и РК)  2008план и 2007ожид 9" xfId="7474"/>
    <cellStyle name="_Бюджет прочих расходов 2004_Дайджест 2003-2004 гг._Презентация от 19 12 07" xfId="7475"/>
    <cellStyle name="_Бюджет прочих расходов 2004_Дайджест 2003-2004 гг._Презентация от 19 12 07 2" xfId="7476"/>
    <cellStyle name="_Бюджет прочих расходов 2004_Дайджест 2003-2004 гг._Презентация от 19 12 07 3" xfId="7477"/>
    <cellStyle name="_Бюджет прочих расходов 2004_Дайджест 2003-2004 гг._Презентация от 19 12 07 4" xfId="7478"/>
    <cellStyle name="_Бюджет прочих расходов 2004_Дайджест 2003-2004 гг._Презентация от 19 12 07 5" xfId="7479"/>
    <cellStyle name="_Бюджет прочих расходов 2004_Дайджест 2003-2004 гг._Презентация от 19 12 07 6" xfId="7480"/>
    <cellStyle name="_Бюджет прочих расходов 2004_Дайджест 2003-2004 гг._Презентация от 19 12 07 7" xfId="7481"/>
    <cellStyle name="_Бюджет прочих расходов 2004_Дайджест 2003-2004 гг._Презентация от 19 12 07 8" xfId="7482"/>
    <cellStyle name="_Бюджет прочих расходов 2004_Дайджест 2003-2004 гг._Презентация от 19 12 07 9" xfId="7483"/>
    <cellStyle name="_Бюджет прочих расходов 2004_Дайджест 2003-2004 гг._Презентация СДП, РК, Инв план 2008 (фин. часть) от 24.03.08" xfId="7484"/>
    <cellStyle name="_Бюджет прочих расходов 2004_Дайджест 2003-2004 гг._Презентация СДП, РК, Инв план 2008 (фин. часть) от 24.03.08 2" xfId="7485"/>
    <cellStyle name="_Бюджет прочих расходов 2004_Дайджест 2003-2004 гг._Презентация СДП, РК, Инв план 2008 (фин. часть) от 24.03.08 3" xfId="7486"/>
    <cellStyle name="_Бюджет прочих расходов 2004_Дайджест 2003-2004 гг._Презентация СДП, РК, Инв план 2008 (фин. часть) от 24.03.08 4" xfId="7487"/>
    <cellStyle name="_Бюджет прочих расходов 2004_Дайджест 2003-2004 гг._Презентация СДП, РК, Инв план 2008 (фин. часть) от 24.03.08 5" xfId="7488"/>
    <cellStyle name="_Бюджет прочих расходов 2004_Дайджест 2003-2004 гг._Презентация СДП, РК, Инв план 2008 (фин. часть) от 24.03.08 6" xfId="7489"/>
    <cellStyle name="_Бюджет прочих расходов 2004_Дайджест 2003-2004 гг._Презентация СДП, РК, Инв план 2008 (фин. часть) от 24.03.08 7" xfId="7490"/>
    <cellStyle name="_Бюджет прочих расходов 2004_Дайджест 2003-2004 гг._Презентация СДП, РК, Инв план 2008 (фин. часть) от 24.03.08 8" xfId="7491"/>
    <cellStyle name="_Бюджет прочих расходов 2004_Дайджест 2003-2004 гг._Презентация СДП, РК, Инв план 2008 (фин. часть) от 24.03.08 9" xfId="7492"/>
    <cellStyle name="_Бюджет прочих расходов 2004_Дайджест 2003-2004 гг._Презентация ФО от 17.12.07" xfId="7493"/>
    <cellStyle name="_Бюджет прочих расходов 2004_Дайджест 2003-2004 гг._Презентация ФО от 17.12.07 2" xfId="7494"/>
    <cellStyle name="_Бюджет прочих расходов 2004_Дайджест 2003-2004 гг._Презентация ФО от 17.12.07 3" xfId="7495"/>
    <cellStyle name="_Бюджет прочих расходов 2004_Дайджест 2003-2004 гг._Презентация ФО от 17.12.07 4" xfId="7496"/>
    <cellStyle name="_Бюджет прочих расходов 2004_Дайджест 2003-2004 гг._Презентация ФО от 17.12.07 5" xfId="7497"/>
    <cellStyle name="_Бюджет прочих расходов 2004_Дайджест 2003-2004 гг._Презентация ФО от 17.12.07 6" xfId="7498"/>
    <cellStyle name="_Бюджет прочих расходов 2004_Дайджест 2003-2004 гг._Презентация ФО от 17.12.07 7" xfId="7499"/>
    <cellStyle name="_Бюджет прочих расходов 2004_Дайджест 2003-2004 гг._Презентация ФО от 17.12.07 8" xfId="7500"/>
    <cellStyle name="_Бюджет прочих расходов 2004_Дайджест 2003-2004 гг._Презентация ФО от 17.12.07 9" xfId="7501"/>
    <cellStyle name="_Бюджет прочих расходов 2004_Дайджест 2003-2004 гг._презентация-2008год " xfId="7502"/>
    <cellStyle name="_Бюджет прочих расходов 2004_Дайджест 2003-2004 гг._презентация-2008год  2" xfId="7503"/>
    <cellStyle name="_Бюджет прочих расходов 2004_Дайджест 2003-2004 гг._презентация-2008год  3" xfId="7504"/>
    <cellStyle name="_Бюджет прочих расходов 2004_Дайджест 2003-2004 гг._презентация-2008год  4" xfId="7505"/>
    <cellStyle name="_Бюджет прочих расходов 2004_Дайджест 2003-2004 гг._презентация-2008год  5" xfId="7506"/>
    <cellStyle name="_Бюджет прочих расходов 2004_Дайджест 2003-2004 гг._презентация-2008год  6" xfId="7507"/>
    <cellStyle name="_Бюджет прочих расходов 2004_Дайджест 2003-2004 гг._презентация-2008год  7" xfId="7508"/>
    <cellStyle name="_Бюджет прочих расходов 2004_Дайджест 2003-2004 гг._презентация-2008год  8" xfId="7509"/>
    <cellStyle name="_Бюджет прочих расходов 2004_Дайджест 2003-2004 гг._презентация-2008год  9" xfId="7510"/>
    <cellStyle name="_Бюджет прочих расходов 2004_Дайджест 2003-2004 гг._Презетация ФО (с учетом инвестиций на 2341,2)" xfId="7511"/>
    <cellStyle name="_Бюджет прочих расходов 2004_Дайджест 2003-2004 гг._Презетация ФО (с учетом инвестиций на 2341,2) 2" xfId="7512"/>
    <cellStyle name="_Бюджет прочих расходов 2004_Дайджест 2003-2004 гг._Презетация ФО (с учетом инвестиций на 2341,2) 3" xfId="7513"/>
    <cellStyle name="_Бюджет прочих расходов 2004_Дайджест 2003-2004 гг._Презетация ФО (с учетом инвестиций на 2341,2) 4" xfId="7514"/>
    <cellStyle name="_Бюджет прочих расходов 2004_Дайджест 2003-2004 гг._Презетация ФО (с учетом инвестиций на 2341,2) 5" xfId="7515"/>
    <cellStyle name="_Бюджет прочих расходов 2004_Дайджест 2003-2004 гг._Презетация ФО (с учетом инвестиций на 2341,2) 6" xfId="7516"/>
    <cellStyle name="_Бюджет прочих расходов 2004_Дайджест 2003-2004 гг._Презетация ФО (с учетом инвестиций на 2341,2) 7" xfId="7517"/>
    <cellStyle name="_Бюджет прочих расходов 2004_Дайджест 2003-2004 гг._Презетация ФО (с учетом инвестиций на 2341,2) 8" xfId="7518"/>
    <cellStyle name="_Бюджет прочих расходов 2004_Дайджест 2003-2004 гг._Презетация ФО (с учетом инвестиций на 2341,2) 9" xfId="7519"/>
    <cellStyle name="_Бюджет прочих расходов 2004_Дайджест 2003-2004 гг._Приложения (формы отчетности)" xfId="7520"/>
    <cellStyle name="_Бюджет прочих расходов 2004_Дайджест 2003-2004 гг._Приложения февраль 09 (МП) отпр в УК от 04 02 09" xfId="7521"/>
    <cellStyle name="_Бюджет прочих расходов 2004_Дайджест 2003-2004 гг._Прогноз консолидированный июнь" xfId="7522"/>
    <cellStyle name="_Бюджет прочих расходов 2004_Дайджест 2003-2004 гг._РК+СДП 2008 год" xfId="7523"/>
    <cellStyle name="_Бюджет прочих расходов 2004_Дайджест 2003-2004 гг._РК+СДП 2008 год 2" xfId="7524"/>
    <cellStyle name="_Бюджет прочих расходов 2004_Дайджест 2003-2004 гг._РК+СДП 2008 год 3" xfId="7525"/>
    <cellStyle name="_Бюджет прочих расходов 2004_Дайджест 2003-2004 гг._РК+СДП 2008 год 4" xfId="7526"/>
    <cellStyle name="_Бюджет прочих расходов 2004_Дайджест 2003-2004 гг._РК+СДП 2008 год 5" xfId="7527"/>
    <cellStyle name="_Бюджет прочих расходов 2004_Дайджест 2003-2004 гг._РК+СДП 2008 год 6" xfId="7528"/>
    <cellStyle name="_Бюджет прочих расходов 2004_Дайджест 2003-2004 гг._РК+СДП 2008 год 7" xfId="7529"/>
    <cellStyle name="_Бюджет прочих расходов 2004_Дайджест 2003-2004 гг._РК+СДП 2008 год 8" xfId="7530"/>
    <cellStyle name="_Бюджет прочих расходов 2004_Дайджест 2003-2004 гг._РК+СДП 2008 год 9" xfId="7531"/>
    <cellStyle name="_Бюджет прочих расходов 2004_Дайджест 2003-2004 гг._Свод производства 1 квартал" xfId="7532"/>
    <cellStyle name="_Бюджет прочих расходов 2004_Дайджест 2003-2004 гг._Себестоимость" xfId="7533"/>
    <cellStyle name="_Бюджет прочих расходов 2004_Дайджест 2003-2004 гг._Слайд осн показатели к совещанию в УК от 18 01 09" xfId="7534"/>
    <cellStyle name="_Бюджет прочих расходов 2004_Дайджест 2003-2004 гг._Слайды 2-й квартал (ФП-КП)" xfId="7535"/>
    <cellStyle name="_Бюджет прочих расходов 2004_Дайджест 2003-2004 гг._Слайды 2-й квартал (ФП-КП) 2" xfId="7536"/>
    <cellStyle name="_Бюджет прочих расходов 2004_Дайджест 2003-2004 гг._Слайды 2-й квартал (ФП-КП) 3" xfId="7537"/>
    <cellStyle name="_Бюджет прочих расходов 2004_Дайджест 2003-2004 гг._Слайды 2-й квартал (ФП-КП) 4" xfId="7538"/>
    <cellStyle name="_Бюджет прочих расходов 2004_Дайджест 2003-2004 гг._Слайды 2-й квартал (ФП-КП) 5" xfId="7539"/>
    <cellStyle name="_Бюджет прочих расходов 2004_Дайджест 2003-2004 гг._Слайды 2-й квартал (ФП-КП) 6" xfId="7540"/>
    <cellStyle name="_Бюджет прочих расходов 2004_Дайджест 2003-2004 гг._Слайды 2-й квартал (ФП-КП) 7" xfId="7541"/>
    <cellStyle name="_Бюджет прочих расходов 2004_Дайджест 2003-2004 гг._Слайды 2-й квартал (ФП-КП) 8" xfId="7542"/>
    <cellStyle name="_Бюджет прочих расходов 2004_Дайджест 2003-2004 гг._Слайды 2-й квартал (ФП-КП) 9" xfId="7543"/>
    <cellStyle name="_Бюджет прочих расходов 2004_Дайджест 2003-2004 гг._СПД, РК, Инв. 2008 коричневая" xfId="7544"/>
    <cellStyle name="_Бюджет прочих расходов 2004_Дайджест 2003-2004 гг._СПД, РК, Инв. 2008 коричневая 2" xfId="7545"/>
    <cellStyle name="_Бюджет прочих расходов 2004_Дайджест 2003-2004 гг._СПД, РК, Инв. 2008 коричневая 3" xfId="7546"/>
    <cellStyle name="_Бюджет прочих расходов 2004_Дайджест 2003-2004 гг._СПД, РК, Инв. 2008 коричневая 4" xfId="7547"/>
    <cellStyle name="_Бюджет прочих расходов 2004_Дайджест 2003-2004 гг._СПД, РК, Инв. 2008 коричневая 5" xfId="7548"/>
    <cellStyle name="_Бюджет прочих расходов 2004_Дайджест 2003-2004 гг._СПД, РК, Инв. 2008 коричневая 6" xfId="7549"/>
    <cellStyle name="_Бюджет прочих расходов 2004_Дайджест 2003-2004 гг._СПД, РК, Инв. 2008 коричневая 7" xfId="7550"/>
    <cellStyle name="_Бюджет прочих расходов 2004_Дайджест 2003-2004 гг._СПД, РК, Инв. 2008 коричневая 8" xfId="7551"/>
    <cellStyle name="_Бюджет прочих расходов 2004_Дайджест 2003-2004 гг._СПД, РК, Инв. 2008 коричневая 9" xfId="7552"/>
    <cellStyle name="_Бюджет прочих расходов 2004_Дайджест 2003-2004 гг._Сравнение ожидаемого 2008  c БП 2009г. УрСт вариант 2 (скоррект. цены)" xfId="7553"/>
    <cellStyle name="_Бюджет прочих расходов 2004_Дайджест 2003-2004 гг._Сравнение ожидаемого 2008 с 2009г  ОЭМК от 06 10 2008" xfId="7554"/>
    <cellStyle name="_Бюджет прочих расходов 2004_Дайджест 2003-2004 гг._Сравнение ожидаемого 2008 с 2009г. ОЭМК  28.10.2008 (скорректир. цены)" xfId="7555"/>
    <cellStyle name="_Бюджет прочих расходов 2004_Дайджест 2003-2004 гг._Сравнение ожидаемого 2008 УС c 2009г  от 06 10 2008" xfId="7556"/>
    <cellStyle name="_Бюджет прочих расходов 2004_Дайджест 2003-2004 гг._Структура затрат (Формат) ЛГОК" xfId="7557"/>
    <cellStyle name="_Бюджет прочих расходов 2004_Дайджест 2003-2004 гг._Структура затрат (Формат) ЛГОК_28.01.2009" xfId="7558"/>
    <cellStyle name="_Бюджет прочих расходов 2004_Дайджест 2003-2004 гг._ТП на 2011_год покварт" xfId="7559"/>
    <cellStyle name="_Бюджет прочих расходов 2004_Дайджест 2003-2004 гг._Труд для нас" xfId="7560"/>
    <cellStyle name="_Бюджет прочих расходов 2004_Дайджест 2003-2004 гг._Труд для нас 2" xfId="7561"/>
    <cellStyle name="_Бюджет прочих расходов 2004_Дайджест 2003-2004 гг._Труд для нас 3" xfId="7562"/>
    <cellStyle name="_Бюджет прочих расходов 2004_Дайджест 2003-2004 гг._Труд для нас 4" xfId="7563"/>
    <cellStyle name="_Бюджет прочих расходов 2004_Дайджест 2003-2004 гг._Труд для нас 5" xfId="7564"/>
    <cellStyle name="_Бюджет прочих расходов 2004_Дайджест 2003-2004 гг._Труд для нас 6" xfId="7565"/>
    <cellStyle name="_Бюджет прочих расходов 2004_Дайджест 2003-2004 гг._Труд для нас 7" xfId="7566"/>
    <cellStyle name="_Бюджет прочих расходов 2004_Дайджест 2003-2004 гг._Труд для нас 8" xfId="7567"/>
    <cellStyle name="_Бюджет прочих расходов 2004_Дайджест 2003-2004 гг._Труд для нас 9" xfId="7568"/>
    <cellStyle name="_Бюджет прочих расходов 2004_Дайджест 2003-2004 гг._УралКирпич_план на 2 кв. 2009" xfId="7569"/>
    <cellStyle name="_Бюджет прочих расходов 2004_Дайджест 2003-2004 гг._УСТ - любимая табличка по новому 2009 г." xfId="7570"/>
    <cellStyle name="_Бюджет прочих расходов 2004_Дайджест 2003-2004 гг._Ф 29, 30" xfId="7571"/>
    <cellStyle name="_Бюджет прочих расходов 2004_Дайджест 2003-2004 гг._Ф 29, 30 2" xfId="7572"/>
    <cellStyle name="_Бюджет прочих расходов 2004_Дайджест 2003-2004 гг._Ф 29, 30 3" xfId="7573"/>
    <cellStyle name="_Бюджет прочих расходов 2004_Дайджест 2003-2004 гг._Ф 29, 30 4" xfId="7574"/>
    <cellStyle name="_Бюджет прочих расходов 2004_Дайджест 2003-2004 гг._Ф 29, 30 5" xfId="7575"/>
    <cellStyle name="_Бюджет прочих расходов 2004_Дайджест 2003-2004 гг._Ф 29, 30 6" xfId="7576"/>
    <cellStyle name="_Бюджет прочих расходов 2004_Дайджест 2003-2004 гг._Ф 29, 30 7" xfId="7577"/>
    <cellStyle name="_Бюджет прочих расходов 2004_Дайджест 2003-2004 гг._Ф 29, 30 8" xfId="7578"/>
    <cellStyle name="_Бюджет прочих расходов 2004_Дайджест 2003-2004 гг._Ф 29, 30 9" xfId="7579"/>
    <cellStyle name="_Бюджет прочих расходов 2004_Дайджест 2003-2004 гг._ф IIкв.07 EBITDA ЛГОК 27.07.07" xfId="7580"/>
    <cellStyle name="_Бюджет прочих расходов 2004_Дайджест 2003-2004 гг._ф01 2007 фин. часть МГОК 21.03.07" xfId="7581"/>
    <cellStyle name="_Бюджет прочих расходов 2004_Дайджест 2003-2004 гг._ф01.07 EBITDA ОАО ЛГОК 02.03.07" xfId="7582"/>
    <cellStyle name="_Бюджет прочих расходов 2004_Дайджест 2003-2004 гг._ф01.07 EBITDA ОАО ЛГОК 05.03.07" xfId="7583"/>
    <cellStyle name="_Бюджет прочих расходов 2004_Дайджест 2003-2004 гг._ф01.07 EBITDA ОАО ЛГОК с изм. 30.03.07" xfId="7584"/>
    <cellStyle name="_Бюджет прочих расходов 2004_Дайджест 2003-2004 гг._ф01.07 EBITDA ОАО УС 05.03.07" xfId="7585"/>
    <cellStyle name="_Бюджет прочих расходов 2004_Дайджест 2003-2004 гг._ф01.07 EBITDA ОАО УС 05.03.07(26,2)" xfId="7586"/>
    <cellStyle name="_Бюджет прочих расходов 2004_Дайджест 2003-2004 гг._ф01.07 EBITDA ОЭМК 02.03.07" xfId="7587"/>
    <cellStyle name="_Бюджет прочих расходов 2004_Дайджест 2003-2004 гг._ф02.07 EBITDA ОАО ЛГОК 28.03.07" xfId="7588"/>
    <cellStyle name="_Бюджет прочих расходов 2004_Дайджест 2003-2004 гг._ф02.07 EBITDA ОАО УС 28.03.07" xfId="7589"/>
    <cellStyle name="_Бюджет прочих расходов 2004_Дайджест 2003-2004 гг._ф02.07 EBITDA ОЭМК 28.03.07" xfId="7590"/>
    <cellStyle name="_Бюджет прочих расходов 2004_Дайджест 2003-2004 гг._ф11 Депозиты" xfId="7591"/>
    <cellStyle name="_Бюджет прочих расходов 2004_Дайджест 2003-2004 гг._ф1кв.07 EBITDA ЛГОК 28.04.07" xfId="7592"/>
    <cellStyle name="_Бюджет прочих расходов 2004_Дайджест 2003-2004 гг._фIкв EBITDA ОАО УС 28.04.07" xfId="7593"/>
    <cellStyle name="_Бюджет прочих расходов 2004_Дайджест 2003-2004 гг._фIкв EBITDA ОЭМК 28.04.07" xfId="7594"/>
    <cellStyle name="_Бюджет прочих расходов 2004_Дайджест 2003-2004 гг._Факт_2007_Часть 2" xfId="7595"/>
    <cellStyle name="_Бюджет прочих расходов 2004_Дайджест 2003-2004 гг._Фин.часть  2007ожид и 2008 план" xfId="7596"/>
    <cellStyle name="_Бюджет прочих расходов 2004_Дайджест 2003-2004 гг._Фин.часть  2007ожид и 2008 план 2" xfId="7597"/>
    <cellStyle name="_Бюджет прочих расходов 2004_Дайджест 2003-2004 гг._Фин.часть  2007ожид и 2008 план 3" xfId="7598"/>
    <cellStyle name="_Бюджет прочих расходов 2004_Дайджест 2003-2004 гг._Фин.часть  2007ожид и 2008 план 4" xfId="7599"/>
    <cellStyle name="_Бюджет прочих расходов 2004_Дайджест 2003-2004 гг._Фин.часть  2007ожид и 2008 план 5" xfId="7600"/>
    <cellStyle name="_Бюджет прочих расходов 2004_Дайджест 2003-2004 гг._Фин.часть  2007ожид и 2008 план 6" xfId="7601"/>
    <cellStyle name="_Бюджет прочих расходов 2004_Дайджест 2003-2004 гг._Фин.часть  2007ожид и 2008 план 7" xfId="7602"/>
    <cellStyle name="_Бюджет прочих расходов 2004_Дайджест 2003-2004 гг._Фин.часть  2007ожид и 2008 план 8" xfId="7603"/>
    <cellStyle name="_Бюджет прочих расходов 2004_Дайджест 2003-2004 гг._Фин.часть  2007ожид и 2008 план 9" xfId="7604"/>
    <cellStyle name="_Бюджет прочих расходов 2004_Дайджест 2003-2004 гг._Фин.часть 11.12.06" xfId="7605"/>
    <cellStyle name="_Бюджет прочих расходов 2004_Дайджест 2003-2004 гг._Фин.часть 11.12.06 2" xfId="7606"/>
    <cellStyle name="_Бюджет прочих расходов 2004_Дайджест 2003-2004 гг._Фин.часть 11.12.06 3" xfId="7607"/>
    <cellStyle name="_Бюджет прочих расходов 2004_Дайджест 2003-2004 гг._Фин.часть 11.12.06 4" xfId="7608"/>
    <cellStyle name="_Бюджет прочих расходов 2004_Дайджест 2003-2004 гг._Фин.часть 11.12.06 5" xfId="7609"/>
    <cellStyle name="_Бюджет прочих расходов 2004_Дайджест 2003-2004 гг._Фин.часть 11.12.06 6" xfId="7610"/>
    <cellStyle name="_Бюджет прочих расходов 2004_Дайджест 2003-2004 гг._Фин.часть 11.12.06 7" xfId="7611"/>
    <cellStyle name="_Бюджет прочих расходов 2004_Дайджест 2003-2004 гг._Фин.часть 11.12.06 8" xfId="7612"/>
    <cellStyle name="_Бюджет прочих расходов 2004_Дайджест 2003-2004 гг._Фин.часть 11.12.06 9" xfId="7613"/>
    <cellStyle name="_Бюджет прочих расходов 2004_Дайджест 2003-2004 гг._Форма  19     27.03.07" xfId="7614"/>
    <cellStyle name="_Бюджет прочих расходов 2004_Дайджест 2003-2004 гг._Форма  19     27.03.07 2" xfId="7615"/>
    <cellStyle name="_Бюджет прочих расходов 2004_Дайджест 2003-2004 гг._Форма  19     27.03.07 3" xfId="7616"/>
    <cellStyle name="_Бюджет прочих расходов 2004_Дайджест 2003-2004 гг._Форма  19     27.03.07 4" xfId="7617"/>
    <cellStyle name="_Бюджет прочих расходов 2004_Дайджест 2003-2004 гг._Форма  19     27.03.07 5" xfId="7618"/>
    <cellStyle name="_Бюджет прочих расходов 2004_Дайджест 2003-2004 гг._Форма  19     27.03.07 6" xfId="7619"/>
    <cellStyle name="_Бюджет прочих расходов 2004_Дайджест 2003-2004 гг._Форма  19     27.03.07 7" xfId="7620"/>
    <cellStyle name="_Бюджет прочих расходов 2004_Дайджест 2003-2004 гг._Форма  19     27.03.07 8" xfId="7621"/>
    <cellStyle name="_Бюджет прочих расходов 2004_Дайджест 2003-2004 гг._Форма  19     27.03.07 9" xfId="7622"/>
    <cellStyle name="_Бюджет прочих расходов 2004_Дайджест 2003-2004 гг._Форма  20,21 25.02.07" xfId="7623"/>
    <cellStyle name="_Бюджет прочих расходов 2004_Дайджест 2003-2004 гг._Форма _ 2,4,5,30 скорр." xfId="7624"/>
    <cellStyle name="_Бюджет прочих расходов 2004_Дайджест 2003-2004 гг._Форма 19 за 1 кв" xfId="7625"/>
    <cellStyle name="_Бюджет прочих расходов 2004_Дайджест 2003-2004 гг._Форма 20,21за 1 кв 25.04.07" xfId="7626"/>
    <cellStyle name="_Бюджет прочих расходов 2004_Дайджест 2003-2004 гг._Форма 28" xfId="7627"/>
    <cellStyle name="_Бюджет прочих расходов 2004_Дайджест 2003-2004 гг._Форма 9" xfId="7628"/>
    <cellStyle name="_Бюджет прочих расходов 2004_Дайджест 2003-2004 гг._Форма 9 2" xfId="7629"/>
    <cellStyle name="_Бюджет прочих расходов 2004_Дайджест 2003-2004 гг._Форма 9 3" xfId="7630"/>
    <cellStyle name="_Бюджет прочих расходов 2004_Дайджест 2003-2004 гг._Форма 9 4" xfId="7631"/>
    <cellStyle name="_Бюджет прочих расходов 2004_Дайджест 2003-2004 гг._Форма 9 5" xfId="7632"/>
    <cellStyle name="_Бюджет прочих расходов 2004_Дайджест 2003-2004 гг._Форма 9 6" xfId="7633"/>
    <cellStyle name="_Бюджет прочих расходов 2004_Дайджест 2003-2004 гг._Форма 9 7" xfId="7634"/>
    <cellStyle name="_Бюджет прочих расходов 2004_Дайджест 2003-2004 гг._Форма 9 8" xfId="7635"/>
    <cellStyle name="_Бюджет прочих расходов 2004_Дайджест 2003-2004 гг._Форма 9 9" xfId="7636"/>
    <cellStyle name="_Бюджет прочих расходов 2004_Дайджест 2003-2004 гг._Форма № 13, 14" xfId="7637"/>
    <cellStyle name="_Бюджет прочих расходов 2004_Дайджест 2003-2004 гг._Форма № 19 25.02.07" xfId="7638"/>
    <cellStyle name="_Бюджет прочих расходов 2004_Дайджест 2003-2004 гг._Форма № 28, 29, 30 план год 2008 от 05.12.07 для отправки" xfId="7639"/>
    <cellStyle name="_Бюджет прочих расходов 2004_Дайджест 2003-2004 гг._Форма № 28, 29, 30 план год 2008 от 05.12.07 для отправки 2" xfId="7640"/>
    <cellStyle name="_Бюджет прочих расходов 2004_Дайджест 2003-2004 гг._Форма № 28, 29, 30 план год 2008 от 05.12.07 для отправки 3" xfId="7641"/>
    <cellStyle name="_Бюджет прочих расходов 2004_Дайджест 2003-2004 гг._Форма № 28, 29, 30 план год 2008 от 05.12.07 для отправки 4" xfId="7642"/>
    <cellStyle name="_Бюджет прочих расходов 2004_Дайджест 2003-2004 гг._Форма № 28, 29, 30 план год 2008 от 05.12.07 для отправки 5" xfId="7643"/>
    <cellStyle name="_Бюджет прочих расходов 2004_Дайджест 2003-2004 гг._Форма № 28, 29, 30 план год 2008 от 05.12.07 для отправки 6" xfId="7644"/>
    <cellStyle name="_Бюджет прочих расходов 2004_Дайджест 2003-2004 гг._Форма № 28, 29, 30 план год 2008 от 05.12.07 для отправки 7" xfId="7645"/>
    <cellStyle name="_Бюджет прочих расходов 2004_Дайджест 2003-2004 гг._Форма № 28, 29, 30 план год 2008 от 05.12.07 для отправки 8" xfId="7646"/>
    <cellStyle name="_Бюджет прочих расходов 2004_Дайджест 2003-2004 гг._Форма № 28, 29, 30 план год 2008 от 05.12.07 для отправки 9" xfId="7647"/>
    <cellStyle name="_Бюджет прочих расходов 2004_Дайджест 2003-2004 гг._Форма № 29" xfId="7648"/>
    <cellStyle name="_Бюджет прочих расходов 2004_Дайджест 2003-2004 гг._Форма № 29 2" xfId="7649"/>
    <cellStyle name="_Бюджет прочих расходов 2004_Дайджест 2003-2004 гг._Форма № 29 3" xfId="7650"/>
    <cellStyle name="_Бюджет прочих расходов 2004_Дайджест 2003-2004 гг._Форма № 29 4" xfId="7651"/>
    <cellStyle name="_Бюджет прочих расходов 2004_Дайджест 2003-2004 гг._Форма № 29 5" xfId="7652"/>
    <cellStyle name="_Бюджет прочих расходов 2004_Дайджест 2003-2004 гг._Форма № 29 6" xfId="7653"/>
    <cellStyle name="_Бюджет прочих расходов 2004_Дайджест 2003-2004 гг._Форма № 29 7" xfId="7654"/>
    <cellStyle name="_Бюджет прочих расходов 2004_Дайджест 2003-2004 гг._Форма № 29 8" xfId="7655"/>
    <cellStyle name="_Бюджет прочих расходов 2004_Дайджест 2003-2004 гг._Форма № 29 9" xfId="7656"/>
    <cellStyle name="_Бюджет прочих расходов 2004_Дайджест 2003-2004 гг._Форма № 30  26.02.07" xfId="7657"/>
    <cellStyle name="_Бюджет прочих расходов 2004_Дайджест 2003-2004 гг._Форма №13" xfId="7658"/>
    <cellStyle name="_Бюджет прочих расходов 2004_Дайджест 2003-2004 гг._Форма №13, 14 от 25.04.07" xfId="7659"/>
    <cellStyle name="_Бюджет прочих расходов 2004_Дайджест 2003-2004 гг._Форма №14" xfId="7660"/>
    <cellStyle name="_Бюджет прочих расходов 2004_Дайджест 2003-2004 гг._Форма №19 июль факт" xfId="7661"/>
    <cellStyle name="_Бюджет прочих расходов 2004_Дайджест 2003-2004 гг._форма №24 от 07.12.2006г" xfId="7662"/>
    <cellStyle name="_Бюджет прочих расходов 2004_Дайджест 2003-2004 гг._форма №24 от 11.12.2006г" xfId="7663"/>
    <cellStyle name="_Бюджет прочих расходов 2004_Дайджест 2003-2004 гг._форма №24 от 15.12.2006г" xfId="7664"/>
    <cellStyle name="_Бюджет прочих расходов 2004_Дайджест 2003-2004 гг._форма №24,25 2 кв. от 02.04.07" xfId="7665"/>
    <cellStyle name="_Бюджет прочих расходов 2004_Дайджест 2003-2004 гг._Форма №24,25 за 1 кв 2007" xfId="7666"/>
    <cellStyle name="_Бюджет прочих расходов 2004_Дайджест 2003-2004 гг._Форма №24,25 за янв 2007" xfId="7667"/>
    <cellStyle name="_Бюджет прочих расходов 2004_Дайджест 2003-2004 гг._Форма №26 1 кв" xfId="7668"/>
    <cellStyle name="_Бюджет прочих расходов 2004_Дайджест 2003-2004 гг._Форма №27 1 кв" xfId="7669"/>
    <cellStyle name="_Бюджет прочих расходов 2004_Дайджест 2003-2004 гг._Форма №8" xfId="7670"/>
    <cellStyle name="_Бюджет прочих расходов 2004_Дайджест 2003-2004 гг._форма презентации по численности и зарплате" xfId="7671"/>
    <cellStyle name="_Бюджет прочих расходов 2004_Дайджест 2003-2004 гг._форма презентации по численности и зарплате 2" xfId="7672"/>
    <cellStyle name="_Бюджет прочих расходов 2004_Дайджест 2003-2004 гг._форма презентации по численности и зарплате 3" xfId="7673"/>
    <cellStyle name="_Бюджет прочих расходов 2004_Дайджест 2003-2004 гг._форма презентации по численности и зарплате 4" xfId="7674"/>
    <cellStyle name="_Бюджет прочих расходов 2004_Дайджест 2003-2004 гг._форма презентации по численности и зарплате 5" xfId="7675"/>
    <cellStyle name="_Бюджет прочих расходов 2004_Дайджест 2003-2004 гг._форма презентации по численности и зарплате 6" xfId="7676"/>
    <cellStyle name="_Бюджет прочих расходов 2004_Дайджест 2003-2004 гг._форма презентации по численности и зарплате 7" xfId="7677"/>
    <cellStyle name="_Бюджет прочих расходов 2004_Дайджест 2003-2004 гг._форма презентации по численности и зарплате 8" xfId="7678"/>
    <cellStyle name="_Бюджет прочих расходов 2004_Дайджест 2003-2004 гг._форма презентации по численности и зарплате 9" xfId="7679"/>
    <cellStyle name="_Бюджет прочих расходов 2004_Дайджест 2003-2004 гг._Форма№13 (новая от 28 12 09г) февраль версия № и последняя" xfId="7680"/>
    <cellStyle name="_Бюджет прочих расходов 2004_Дайджест 2003-2004 гг._Формат" xfId="7681"/>
    <cellStyle name="_Бюджет прочих расходов 2004_Дайджест 2003-2004 гг._формат отчетности(фев с март)" xfId="7682"/>
    <cellStyle name="_Бюджет прочих расходов 2004_Дайджест 2003-2004 гг._Формат Январь прогноз" xfId="7683"/>
    <cellStyle name="_Бюджет прочих расходов 2004_Дайджест 2003-2004 гг._Формы 19,20,21" xfId="7684"/>
    <cellStyle name="_Бюджет прочих расходов 2004_Дайджест 2003-2004 гг._Формы 19,20,21 16.12.06 " xfId="7685"/>
    <cellStyle name="_Бюджет прочих расходов 2004_Дайджест 2003-2004 гг._Формы 19,20,21 на 2007г." xfId="7686"/>
    <cellStyle name="_Бюджет прочих расходов 2004_Дайджест 2003-2004 гг._Формы Август-декбарь" xfId="7687"/>
    <cellStyle name="_Бюджет прочих расходов 2004_Дайджест 2003-2004 гг._Формы для ЛГОК (к отправке)" xfId="7688"/>
    <cellStyle name="_Бюджет прочих расходов 2004_Дайджест 2003-2004 гг._Формы для ОЭМК (к отправке)" xfId="7689"/>
    <cellStyle name="_Бюджет прочих расходов 2004_Дайджест 2003-2004 гг._Формы общие отчет за год" xfId="7690"/>
    <cellStyle name="_Бюджет прочих расходов 2004_Дайджест 2003-2004 гг._Формы общие отчет за год 10" xfId="7691"/>
    <cellStyle name="_Бюджет прочих расходов 2004_Дайджест 2003-2004 гг._Формы общие отчет за год 11" xfId="7692"/>
    <cellStyle name="_Бюджет прочих расходов 2004_Дайджест 2003-2004 гг._Формы общие отчет за год 12" xfId="7693"/>
    <cellStyle name="_Бюджет прочих расходов 2004_Дайджест 2003-2004 гг._Формы общие отчет за год 13" xfId="7694"/>
    <cellStyle name="_Бюджет прочих расходов 2004_Дайджест 2003-2004 гг._Формы общие отчет за год 2" xfId="7695"/>
    <cellStyle name="_Бюджет прочих расходов 2004_Дайджест 2003-2004 гг._Формы общие отчет за год 3" xfId="7696"/>
    <cellStyle name="_Бюджет прочих расходов 2004_Дайджест 2003-2004 гг._Формы общие отчет за год 4" xfId="7697"/>
    <cellStyle name="_Бюджет прочих расходов 2004_Дайджест 2003-2004 гг._Формы общие отчет за год 5" xfId="7698"/>
    <cellStyle name="_Бюджет прочих расходов 2004_Дайджест 2003-2004 гг._Формы общие отчет за год 6" xfId="7699"/>
    <cellStyle name="_Бюджет прочих расходов 2004_Дайджест 2003-2004 гг._Формы общие отчет за год 7" xfId="7700"/>
    <cellStyle name="_Бюджет прочих расходов 2004_Дайджест 2003-2004 гг._Формы общие отчет за год 8" xfId="7701"/>
    <cellStyle name="_Бюджет прочих расходов 2004_Дайджест 2003-2004 гг._Формы общие отчет за год 9" xfId="7702"/>
    <cellStyle name="_Бюджет прочих расходов 2004_Дайджест 2003-2004 гг._Формы общие отчет за год__План по труду 2008 261107 (10% с января)" xfId="7703"/>
    <cellStyle name="_Бюджет прочих расходов 2004_Дайджест 2003-2004 гг._Формы общие отчет за год__План по труду 2008 261107 (10% с января) 2" xfId="7704"/>
    <cellStyle name="_Бюджет прочих расходов 2004_Дайджест 2003-2004 гг._Формы общие отчет за год__План по труду 2008 261107 (10% с января) 3" xfId="7705"/>
    <cellStyle name="_Бюджет прочих расходов 2004_Дайджест 2003-2004 гг._Формы общие отчет за год__План по труду 2008 261107 (10% с января) 4" xfId="7706"/>
    <cellStyle name="_Бюджет прочих расходов 2004_Дайджест 2003-2004 гг._Формы общие отчет за год__План по труду 2008 261107 (10% с января) 5" xfId="7707"/>
    <cellStyle name="_Бюджет прочих расходов 2004_Дайджест 2003-2004 гг._Формы общие отчет за год__План по труду 2008 261107 (10% с января) 6" xfId="7708"/>
    <cellStyle name="_Бюджет прочих расходов 2004_Дайджест 2003-2004 гг._Формы общие отчет за год__План по труду 2008 261107 (10% с января) 7" xfId="7709"/>
    <cellStyle name="_Бюджет прочих расходов 2004_Дайджест 2003-2004 гг._Формы общие отчет за год__План по труду 2008 261107 (10% с января) 8" xfId="7710"/>
    <cellStyle name="_Бюджет прочих расходов 2004_Дайджест 2003-2004 гг._Формы общие отчет за год__План по труду 2008 261107 (10% с января) 9" xfId="7711"/>
    <cellStyle name="_Бюджет прочих расходов 2004_Дайджест 2003-2004 гг._Формы общие отчет за год__План по труду 2008 ИТОГ (правл. ПНР 161007)_" xfId="7712"/>
    <cellStyle name="_Бюджет прочих расходов 2004_Дайджест 2003-2004 гг._Формы общие отчет за год__План по труду 2008 ИТОГ (правл. ПНР 161007)_ 2" xfId="7713"/>
    <cellStyle name="_Бюджет прочих расходов 2004_Дайджест 2003-2004 гг._Формы общие отчет за год__План по труду 2008 ИТОГ (правл. ПНР 161007)_ 3" xfId="7714"/>
    <cellStyle name="_Бюджет прочих расходов 2004_Дайджест 2003-2004 гг._Формы общие отчет за год__План по труду 2008 ИТОГ (правл. ПНР 161007)_ 4" xfId="7715"/>
    <cellStyle name="_Бюджет прочих расходов 2004_Дайджест 2003-2004 гг._Формы общие отчет за год__План по труду 2008 ИТОГ (правл. ПНР 161007)_ 5" xfId="7716"/>
    <cellStyle name="_Бюджет прочих расходов 2004_Дайджест 2003-2004 гг._Формы общие отчет за год__План по труду 2008 ИТОГ (правл. ПНР 161007)_ 6" xfId="7717"/>
    <cellStyle name="_Бюджет прочих расходов 2004_Дайджест 2003-2004 гг._Формы общие отчет за год__План по труду 2008 ИТОГ (правл. ПНР 161007)_ 7" xfId="7718"/>
    <cellStyle name="_Бюджет прочих расходов 2004_Дайджест 2003-2004 гг._Формы общие отчет за год__План по труду 2008 ИТОГ (правл. ПНР 161007)_ 8" xfId="7719"/>
    <cellStyle name="_Бюджет прочих расходов 2004_Дайджест 2003-2004 гг._Формы общие отчет за год__План по труду 2008 ИТОГ (правл. ПНР 161007)_ 9" xfId="7720"/>
    <cellStyle name="_Бюджет прочих расходов 2004_Дайджест 2003-2004 гг._Формы общие отчет за год_2_Инвестпрограмма на 2008 год (КОВАЛЕВ)" xfId="7721"/>
    <cellStyle name="_Бюджет прочих расходов 2004_Дайджест 2003-2004 гг._Формы общие отчет за год_Данные для ФОТ на 2008 год" xfId="7722"/>
    <cellStyle name="_Бюджет прочих расходов 2004_Дайджест 2003-2004 гг._Формы общие отчет за год_Данные для ФОТ на 2008 год 2" xfId="7723"/>
    <cellStyle name="_Бюджет прочих расходов 2004_Дайджест 2003-2004 гг._Формы общие отчет за год_Данные для ФОТ на 2008 год 3" xfId="7724"/>
    <cellStyle name="_Бюджет прочих расходов 2004_Дайджест 2003-2004 гг._Формы общие отчет за год_Данные для ФОТ на 2008 год 4" xfId="7725"/>
    <cellStyle name="_Бюджет прочих расходов 2004_Дайджест 2003-2004 гг._Формы общие отчет за год_Данные для ФОТ на 2008 год 5" xfId="7726"/>
    <cellStyle name="_Бюджет прочих расходов 2004_Дайджест 2003-2004 гг._Формы общие отчет за год_Данные для ФОТ на 2008 год 6" xfId="7727"/>
    <cellStyle name="_Бюджет прочих расходов 2004_Дайджест 2003-2004 гг._Формы общие отчет за год_Данные для ФОТ на 2008 год 7" xfId="7728"/>
    <cellStyle name="_Бюджет прочих расходов 2004_Дайджест 2003-2004 гг._Формы общие отчет за год_Данные для ФОТ на 2008 год 8" xfId="7729"/>
    <cellStyle name="_Бюджет прочих расходов 2004_Дайджест 2003-2004 гг._Формы общие отчет за год_Данные для ФОТ на 2008 год 9" xfId="7730"/>
    <cellStyle name="_Бюджет прочих расходов 2004_Дайджест 2003-2004 гг._Формы общие отчет за год_План по труду 2008 ИТОГ (2003_вер)" xfId="7731"/>
    <cellStyle name="_Бюджет прочих расходов 2004_Дайджест 2003-2004 гг._Формы общие отчет за год_План по труду 2008 ИТОГ (2003_вер) 2" xfId="7732"/>
    <cellStyle name="_Бюджет прочих расходов 2004_Дайджест 2003-2004 гг._Формы общие отчет за год_План по труду 2008 ИТОГ (2003_вер) 3" xfId="7733"/>
    <cellStyle name="_Бюджет прочих расходов 2004_Дайджест 2003-2004 гг._Формы общие отчет за год_План по труду 2008 ИТОГ (2003_вер) 4" xfId="7734"/>
    <cellStyle name="_Бюджет прочих расходов 2004_Дайджест 2003-2004 гг._Формы общие отчет за год_План по труду 2008 ИТОГ (2003_вер) 5" xfId="7735"/>
    <cellStyle name="_Бюджет прочих расходов 2004_Дайджест 2003-2004 гг._Формы общие отчет за год_План по труду 2008 ИТОГ (2003_вер) 6" xfId="7736"/>
    <cellStyle name="_Бюджет прочих расходов 2004_Дайджест 2003-2004 гг._Формы общие отчет за год_План по труду 2008 ИТОГ (2003_вер) 7" xfId="7737"/>
    <cellStyle name="_Бюджет прочих расходов 2004_Дайджест 2003-2004 гг._Формы общие отчет за год_План по труду 2008 ИТОГ (2003_вер) 8" xfId="7738"/>
    <cellStyle name="_Бюджет прочих расходов 2004_Дайджест 2003-2004 гг._Формы общие отчет за год_План по труду 2008 ИТОГ (2003_вер) 9" xfId="7739"/>
    <cellStyle name="_Бюджет прочих расходов 2004_Дайджест 2003-2004 гг._Формы общие отчет за год_ТКВ 2008 от 19.07" xfId="7740"/>
    <cellStyle name="_Бюджет прочих расходов 2004_Дайджест 2003-2004 гг._Формы общие отчет за год_ТКВ 2008 от 31.07" xfId="7741"/>
    <cellStyle name="_Бюджет прочих расходов 2004_Дайджест 2003-2004 гг._Эконом.показатели за февраль" xfId="7742"/>
    <cellStyle name="_Бюджет прочих расходов 2004_Дайджест 2003-2004 гг._Экономические показатели Большаковой" xfId="7743"/>
    <cellStyle name="_Бюджет прочих расходов 2004_Дайджест 2003-2004 гг._Экономические показатели Большаковой 2" xfId="7744"/>
    <cellStyle name="_Бюджет прочих расходов 2004_Дайджест 2003-2004 гг._Экономические показатели Большаковой 3" xfId="7745"/>
    <cellStyle name="_Бюджет прочих расходов 2004_Дайджест 2003-2004 гг._Экономические показатели Большаковой 4" xfId="7746"/>
    <cellStyle name="_Бюджет прочих расходов 2004_Дайджест 2003-2004 гг._Экономические показатели Большаковой 5" xfId="7747"/>
    <cellStyle name="_Бюджет прочих расходов 2004_Дайджест 2003-2004 гг._Экономические показатели Большаковой 6" xfId="7748"/>
    <cellStyle name="_Бюджет прочих расходов 2004_Дайджест 2003-2004 гг._Экономические показатели Большаковой 7" xfId="7749"/>
    <cellStyle name="_Бюджет прочих расходов 2004_Дайджест 2003-2004 гг._Экономические показатели Большаковой 8" xfId="7750"/>
    <cellStyle name="_Бюджет прочих расходов 2004_Дайджест 2003-2004 гг._Экономические показатели Большаковой 9" xfId="7751"/>
    <cellStyle name="_Бюджет прочих расходов 2004_исходные_291107" xfId="7752"/>
    <cellStyle name="_Бюджет прочих расходов 2004_Лист1" xfId="7753"/>
    <cellStyle name="_Бюджет прочих расходов 2004_Лист2" xfId="7754"/>
    <cellStyle name="_Бюджет прочих расходов 2004_Лист3" xfId="7755"/>
    <cellStyle name="_Бюджет прочих расходов 2004_План ДСМ 2 квартал 2009 ОТЧЕТ отп" xfId="7756"/>
    <cellStyle name="_Бюджет прочих расходов 2004_План ДСМ 2 квартал 2009 ОТЧЕТ отп_Отчет за сентябрь_11_ДСМ_ОТЧЕТ" xfId="7757"/>
    <cellStyle name="_Бюджет прочих расходов 2004_План ДСМ 2 квартал 2009 ОТЧЕТ отп_План ДСМ ноябрь 2011 ОТЧЕТ" xfId="7758"/>
    <cellStyle name="_Бюджет прочих расходов 2004_План ДСМ 3 квартал 2009 ОТЧЕТ" xfId="7759"/>
    <cellStyle name="_Бюджет прочих расходов 2004_План ДСМ 3 квартал 2009 ОТЧЕТ_Отчет за сентябрь_11_ДСМ_ОТЧЕТ" xfId="7760"/>
    <cellStyle name="_Бюджет прочих расходов 2004_План ДСМ 3 квартал 2009 ОТЧЕТ_План ДСМ ноябрь 2011 ОТЧЕТ" xfId="7761"/>
    <cellStyle name="_Бюджет прочих расходов 2004_План ДСМ 4 квартал 2009 ОТЧЕТ" xfId="7762"/>
    <cellStyle name="_Бюджет прочих расходов 2004_План ДСМ на 4 квартал 2006 (последняя версия) 2" xfId="7763"/>
    <cellStyle name="_Бюджет прочих расходов 2004_План ДСМ на 4 квартал 2006 (последняя версия) 2_Отчет за сентябрь_11_ДСМ_ОТЧЕТ" xfId="7764"/>
    <cellStyle name="_Бюджет прочих расходов 2004_План ДСМ на 4 квартал 2006 (последняя версия) 2_План ДСМ ноябрь 2011 ОТЧЕТ" xfId="7765"/>
    <cellStyle name="_Бюджет прочих расходов 2004_План ДСМ ноябрь 2011 ОТЧЕТ" xfId="7766"/>
    <cellStyle name="_Бюджет прочих расходов 2004_План ДСФ 1 квартал 2007" xfId="7767"/>
    <cellStyle name="_Бюджет прочих расходов 2004_План ДСФ 1 квартал 2007_Отчет за сентябрь_11_ДСМ_ОТЧЕТ" xfId="7768"/>
    <cellStyle name="_Бюджет прочих расходов 2004_План ДСФ 1 квартал 2007_План ДСМ ноябрь 2011 ОТЧЕТ" xfId="7769"/>
    <cellStyle name="_Бюджет прочих расходов 2004_План ДСФ 2 квартал 2009 ОТЧЕТ отп" xfId="7770"/>
    <cellStyle name="_Бюджет прочих расходов 2004_План ДСФ 2 квартал 2009 ОТЧЕТ отп_Отчет за сентябрь_11_ДСМ_ОТЧЕТ" xfId="7771"/>
    <cellStyle name="_Бюджет прочих расходов 2004_План ДСФ 2 квартал 2009 ОТЧЕТ отп_План ДСМ ноябрь 2011 ОТЧЕТ" xfId="7772"/>
    <cellStyle name="_Бюджет прочих расходов 2004_План ДСФ 4 квартал 2009 ОТЧЕТ" xfId="7773"/>
    <cellStyle name="_Бюджет прочих расходов 2004_План на 2009 год ДСМ ОТЧЕТ отп (01.12.08)" xfId="7774"/>
    <cellStyle name="_Бюджет прочих расходов 2004_План на 2009 год ДСМ ОТЧЕТ отп (01.12.08)_Отчет за сентябрь_11_ДСМ_ОТЧЕТ" xfId="7775"/>
    <cellStyle name="_Бюджет прочих расходов 2004_План на 2009 год ДСМ ОТЧЕТ отп (01.12.08)_План ДСМ ноябрь 2011 ОТЧЕТ" xfId="7776"/>
    <cellStyle name="_Бюджет прочих расходов 2004_План на 2010 год ДСМ ОТЧЕТ" xfId="7777"/>
    <cellStyle name="_Бюджет прочих расходов 2004_УралКирпич_план на 2 кв. 2009" xfId="7778"/>
    <cellStyle name="_Бюджет прочих расходов 2004_УралКирпич_план на 2 кв. 2009_Отчет за сентябрь_11_ДСМ_ОТЧЕТ" xfId="7779"/>
    <cellStyle name="_Бюджет прочих расходов 2004_УралКирпич_план на 2 кв. 2009_План ДСМ ноябрь 2011 ОТЧЕТ" xfId="7780"/>
    <cellStyle name="_Бюджет прочих расходов 2004_ф2 склад ГП" xfId="7781"/>
    <cellStyle name="_Бюджет СПБиОТ + ООС с ценами" xfId="7782"/>
    <cellStyle name="_Бюджет2004" xfId="7783"/>
    <cellStyle name="_Бюджет2004 2" xfId="7784"/>
    <cellStyle name="_Бюджет2004_БП Урал Кирпич 28 01 2008г" xfId="7785"/>
    <cellStyle name="_Бюджет2004_БП Урал Кирпич 28 01 2008г_Отчет за сентябрь_11_ДСМ_ОТЧЕТ" xfId="7786"/>
    <cellStyle name="_Бюджет2004_БП Урал Кирпич 28 01 2008г_План ДСМ ноябрь 2011 ОТЧЕТ" xfId="7787"/>
    <cellStyle name="_Бюджет2004_БП_план на 1 кв. 2008г." xfId="7788"/>
    <cellStyle name="_Бюджет2004_БП_план на 1 кв. 2008г._Отчет за сентябрь_11_ДСМ_ОТЧЕТ" xfId="7789"/>
    <cellStyle name="_Бюджет2004_БП_план на 1 кв. 2008г._План ДСМ ноябрь 2011 ОТЧЕТ" xfId="7790"/>
    <cellStyle name="_Бюджет2004_БП_план на 2 кв. 2008г." xfId="7791"/>
    <cellStyle name="_Бюджет2004_БП_план на 2 кв. 2008г._Отчет за сентябрь_11_ДСМ_ОТЧЕТ" xfId="7792"/>
    <cellStyle name="_Бюджет2004_БП_план на 2 кв. 2008г._План ДСМ ноябрь 2011 ОТЧЕТ" xfId="7793"/>
    <cellStyle name="_Бюджет2004_Дайджест 2003-2004 гг." xfId="7794"/>
    <cellStyle name="_Бюджет2004_Дайджест 2003-2004 гг. 10" xfId="7795"/>
    <cellStyle name="_Бюджет2004_Дайджест 2003-2004 гг. 11" xfId="7796"/>
    <cellStyle name="_Бюджет2004_Дайджест 2003-2004 гг. 12" xfId="7797"/>
    <cellStyle name="_Бюджет2004_Дайджест 2003-2004 гг. 13" xfId="7798"/>
    <cellStyle name="_Бюджет2004_Дайджест 2003-2004 гг. 2" xfId="7799"/>
    <cellStyle name="_Бюджет2004_Дайджест 2003-2004 гг. 3" xfId="7800"/>
    <cellStyle name="_Бюджет2004_Дайджест 2003-2004 гг. 4" xfId="7801"/>
    <cellStyle name="_Бюджет2004_Дайджест 2003-2004 гг. 5" xfId="7802"/>
    <cellStyle name="_Бюджет2004_Дайджест 2003-2004 гг. 6" xfId="7803"/>
    <cellStyle name="_Бюджет2004_Дайджест 2003-2004 гг. 7" xfId="7804"/>
    <cellStyle name="_Бюджет2004_Дайджест 2003-2004 гг. 8" xfId="7805"/>
    <cellStyle name="_Бюджет2004_Дайджест 2003-2004 гг. 9" xfId="7806"/>
    <cellStyle name="_Бюджет2004_Дайджест 2003-2004 гг._! Металлургический дивизион для рассылки" xfId="7807"/>
    <cellStyle name="_Бюджет2004_Дайджест 2003-2004 гг._01.04.06-01.10.06 Распред. ср-в ЛГОК 20.10.06" xfId="7808"/>
    <cellStyle name="_Бюджет2004_Дайджест 2003-2004 гг._01.04.06-01.10.06 Распред. ср-в ЛГОК 20.10.06 2" xfId="7809"/>
    <cellStyle name="_Бюджет2004_Дайджест 2003-2004 гг._01.04.06-01.10.06 Распред. ср-в ЛГОК 20.10.06 3" xfId="7810"/>
    <cellStyle name="_Бюджет2004_Дайджест 2003-2004 гг._01.04.06-01.10.06 Распред. ср-в ЛГОК 20.10.06 4" xfId="7811"/>
    <cellStyle name="_Бюджет2004_Дайджест 2003-2004 гг._01.04.06-01.10.06 Распред. ср-в ЛГОК 20.10.06 5" xfId="7812"/>
    <cellStyle name="_Бюджет2004_Дайджест 2003-2004 гг._01.04.06-01.10.06 Распред. ср-в ЛГОК 20.10.06 6" xfId="7813"/>
    <cellStyle name="_Бюджет2004_Дайджест 2003-2004 гг._01.04.06-01.10.06 Распред. ср-в ЛГОК 20.10.06 7" xfId="7814"/>
    <cellStyle name="_Бюджет2004_Дайджест 2003-2004 гг._01.04.06-01.10.06 Распред. ср-в ЛГОК 20.10.06 8" xfId="7815"/>
    <cellStyle name="_Бюджет2004_Дайджест 2003-2004 гг._01.04.06-01.10.06 Распред. ср-в ЛГОК 20.10.06 9" xfId="7816"/>
    <cellStyle name="_Бюджет2004_Дайджест 2003-2004 гг._01.04.06-01.10.06 Распред. ср-в ОЭМК 20.10.06" xfId="7817"/>
    <cellStyle name="_Бюджет2004_Дайджест 2003-2004 гг._01.04.06-01.10.06 Распред. ср-в ОЭМК 20.10.06 2" xfId="7818"/>
    <cellStyle name="_Бюджет2004_Дайджест 2003-2004 гг._01.04.06-01.10.06 Распред. ср-в ОЭМК 20.10.06 3" xfId="7819"/>
    <cellStyle name="_Бюджет2004_Дайджест 2003-2004 гг._01.04.06-01.10.06 Распред. ср-в ОЭМК 20.10.06 4" xfId="7820"/>
    <cellStyle name="_Бюджет2004_Дайджест 2003-2004 гг._01.04.06-01.10.06 Распред. ср-в ОЭМК 20.10.06 5" xfId="7821"/>
    <cellStyle name="_Бюджет2004_Дайджест 2003-2004 гг._01.04.06-01.10.06 Распред. ср-в ОЭМК 20.10.06 6" xfId="7822"/>
    <cellStyle name="_Бюджет2004_Дайджест 2003-2004 гг._01.04.06-01.10.06 Распред. ср-в ОЭМК 20.10.06 7" xfId="7823"/>
    <cellStyle name="_Бюджет2004_Дайджест 2003-2004 гг._01.04.06-01.10.06 Распред. ср-в ОЭМК 20.10.06 8" xfId="7824"/>
    <cellStyle name="_Бюджет2004_Дайджест 2003-2004 гг._01.04.06-01.10.06 Распред. ср-в ОЭМК 20.10.06 9" xfId="7825"/>
    <cellStyle name="_Бюджет2004_Дайджест 2003-2004 гг._090129 Погашение и уплата процентов Горшкова М." xfId="7826"/>
    <cellStyle name="_Бюджет2004_Дайджест 2003-2004 гг._1 - 10 декабря" xfId="7827"/>
    <cellStyle name="_Бюджет2004_Дайджест 2003-2004 гг._1-12,13,14 сентября" xfId="7828"/>
    <cellStyle name="_Бюджет2004_Дайджест 2003-2004 гг._2007 + год " xfId="7829"/>
    <cellStyle name="_Бюджет2004_Дайджест 2003-2004 гг._2007 г год план (фин.часть)" xfId="7830"/>
    <cellStyle name="_Бюджет2004_Дайджест 2003-2004 гг._2007 г год план (фин.часть) 2" xfId="7831"/>
    <cellStyle name="_Бюджет2004_Дайджест 2003-2004 гг._2007 г год план (фин.часть) 3" xfId="7832"/>
    <cellStyle name="_Бюджет2004_Дайджест 2003-2004 гг._2007 г год план (фин.часть) 4" xfId="7833"/>
    <cellStyle name="_Бюджет2004_Дайджест 2003-2004 гг._2007 г год план (фин.часть) 5" xfId="7834"/>
    <cellStyle name="_Бюджет2004_Дайджест 2003-2004 гг._2007 г год план (фин.часть) 6" xfId="7835"/>
    <cellStyle name="_Бюджет2004_Дайджест 2003-2004 гг._2007 г год план (фин.часть) 7" xfId="7836"/>
    <cellStyle name="_Бюджет2004_Дайджест 2003-2004 гг._2007 г год план (фин.часть) 8" xfId="7837"/>
    <cellStyle name="_Бюджет2004_Дайджест 2003-2004 гг._2007 г год план (фин.часть) 9" xfId="7838"/>
    <cellStyle name="_Бюджет2004_Дайджест 2003-2004 гг._2007 год " xfId="7839"/>
    <cellStyle name="_Бюджет2004_Дайджест 2003-2004 гг._2007 измен 11.12.06 2 вар " xfId="7840"/>
    <cellStyle name="_Бюджет2004_Дайджест 2003-2004 гг._2009-03-03 План марта рус" xfId="7841"/>
    <cellStyle name="_Бюджет2004_Дайджест 2003-2004 гг._25 разделы баланса раб (21.08.06)" xfId="7842"/>
    <cellStyle name="_Бюджет2004_Дайджест 2003-2004 гг._25 разделы баланса раб (21.08.06) 2" xfId="7843"/>
    <cellStyle name="_Бюджет2004_Дайджест 2003-2004 гг._25 разделы баланса раб (21.08.06) 3" xfId="7844"/>
    <cellStyle name="_Бюджет2004_Дайджест 2003-2004 гг._25 разделы баланса раб (21.08.06) 4" xfId="7845"/>
    <cellStyle name="_Бюджет2004_Дайджест 2003-2004 гг._25 разделы баланса раб (21.08.06) 5" xfId="7846"/>
    <cellStyle name="_Бюджет2004_Дайджест 2003-2004 гг._25 разделы баланса раб (21.08.06) 6" xfId="7847"/>
    <cellStyle name="_Бюджет2004_Дайджест 2003-2004 гг._25 разделы баланса раб (21.08.06) 7" xfId="7848"/>
    <cellStyle name="_Бюджет2004_Дайджест 2003-2004 гг._25 разделы баланса раб (21.08.06) 8" xfId="7849"/>
    <cellStyle name="_Бюджет2004_Дайджест 2003-2004 гг._25 разделы баланса раб (21.08.06) 9" xfId="7850"/>
    <cellStyle name="_Бюджет2004_Дайджест 2003-2004 гг._25.06.07" xfId="7851"/>
    <cellStyle name="_Бюджет2004_Дайджест 2003-2004 гг._25.06.07 2" xfId="7852"/>
    <cellStyle name="_Бюджет2004_Дайджест 2003-2004 гг._25.06.07 3" xfId="7853"/>
    <cellStyle name="_Бюджет2004_Дайджест 2003-2004 гг._25.06.07 4" xfId="7854"/>
    <cellStyle name="_Бюджет2004_Дайджест 2003-2004 гг._25.06.07 5" xfId="7855"/>
    <cellStyle name="_Бюджет2004_Дайджест 2003-2004 гг._25.06.07 6" xfId="7856"/>
    <cellStyle name="_Бюджет2004_Дайджест 2003-2004 гг._25.06.07 7" xfId="7857"/>
    <cellStyle name="_Бюджет2004_Дайджест 2003-2004 гг._25.06.07 8" xfId="7858"/>
    <cellStyle name="_Бюджет2004_Дайджест 2003-2004 гг._25.06.07 9" xfId="7859"/>
    <cellStyle name="_Бюджет2004_Дайджест 2003-2004 гг._28-30 (1)" xfId="7860"/>
    <cellStyle name="_Бюджет2004_Дайджест 2003-2004 гг._28-30 (1) 2" xfId="7861"/>
    <cellStyle name="_Бюджет2004_Дайджест 2003-2004 гг._28-30 (1) 3" xfId="7862"/>
    <cellStyle name="_Бюджет2004_Дайджест 2003-2004 гг._28-30 (1) 4" xfId="7863"/>
    <cellStyle name="_Бюджет2004_Дайджест 2003-2004 гг._28-30 (1) 5" xfId="7864"/>
    <cellStyle name="_Бюджет2004_Дайджест 2003-2004 гг._28-30 (1) 6" xfId="7865"/>
    <cellStyle name="_Бюджет2004_Дайджест 2003-2004 гг._28-30 (1) 7" xfId="7866"/>
    <cellStyle name="_Бюджет2004_Дайджест 2003-2004 гг._28-30 (1) 8" xfId="7867"/>
    <cellStyle name="_Бюджет2004_Дайджест 2003-2004 гг._28-30 (1) 9" xfId="7868"/>
    <cellStyle name="_Бюджет2004_Дайджест 2003-2004 гг._29 форма 12 месяцев" xfId="7869"/>
    <cellStyle name="_Бюджет2004_Дайджест 2003-2004 гг._30" xfId="7870"/>
    <cellStyle name="_Бюджет2004_Дайджест 2003-2004 гг._30 2" xfId="7871"/>
    <cellStyle name="_Бюджет2004_Дайджест 2003-2004 гг._30 3" xfId="7872"/>
    <cellStyle name="_Бюджет2004_Дайджест 2003-2004 гг._30 4" xfId="7873"/>
    <cellStyle name="_Бюджет2004_Дайджест 2003-2004 гг._30 5" xfId="7874"/>
    <cellStyle name="_Бюджет2004_Дайджест 2003-2004 гг._30 6" xfId="7875"/>
    <cellStyle name="_Бюджет2004_Дайджест 2003-2004 гг._30 7" xfId="7876"/>
    <cellStyle name="_Бюджет2004_Дайджест 2003-2004 гг._30 8" xfId="7877"/>
    <cellStyle name="_Бюджет2004_Дайджест 2003-2004 гг._30 9" xfId="7878"/>
    <cellStyle name="_Бюджет2004_Дайджест 2003-2004 гг._30 форма (январьфакт)" xfId="7879"/>
    <cellStyle name="_Бюджет2004_Дайджест 2003-2004 гг._30 форма (январьфакт) 2" xfId="7880"/>
    <cellStyle name="_Бюджет2004_Дайджест 2003-2004 гг._30 форма (январьфакт) 3" xfId="7881"/>
    <cellStyle name="_Бюджет2004_Дайджест 2003-2004 гг._30 форма (январьфакт) 4" xfId="7882"/>
    <cellStyle name="_Бюджет2004_Дайджест 2003-2004 гг._30 форма (январьфакт) 5" xfId="7883"/>
    <cellStyle name="_Бюджет2004_Дайджест 2003-2004 гг._30 форма (январьфакт) 6" xfId="7884"/>
    <cellStyle name="_Бюджет2004_Дайджест 2003-2004 гг._30 форма (январьфакт) 7" xfId="7885"/>
    <cellStyle name="_Бюджет2004_Дайджест 2003-2004 гг._30 форма (январьфакт) 8" xfId="7886"/>
    <cellStyle name="_Бюджет2004_Дайджест 2003-2004 гг._30 форма (январьфакт) 9" xfId="7887"/>
    <cellStyle name="_Бюджет2004_Дайджест 2003-2004 гг._30 форма (январьфакт-мартплан)" xfId="7888"/>
    <cellStyle name="_Бюджет2004_Дайджест 2003-2004 гг._30 форма (январьфакт-мартплан) 2" xfId="7889"/>
    <cellStyle name="_Бюджет2004_Дайджест 2003-2004 гг._30 форма (январьфакт-мартплан) 3" xfId="7890"/>
    <cellStyle name="_Бюджет2004_Дайджест 2003-2004 гг._30 форма (январьфакт-мартплан) 4" xfId="7891"/>
    <cellStyle name="_Бюджет2004_Дайджест 2003-2004 гг._30 форма (январьфакт-мартплан) 5" xfId="7892"/>
    <cellStyle name="_Бюджет2004_Дайджест 2003-2004 гг._30 форма (январьфакт-мартплан) 6" xfId="7893"/>
    <cellStyle name="_Бюджет2004_Дайджест 2003-2004 гг._30 форма (январьфакт-мартплан) 7" xfId="7894"/>
    <cellStyle name="_Бюджет2004_Дайджест 2003-2004 гг._30 форма (январьфакт-мартплан) 8" xfId="7895"/>
    <cellStyle name="_Бюджет2004_Дайджест 2003-2004 гг._30 форма (январьфакт-мартплан) 9" xfId="7896"/>
    <cellStyle name="_Бюджет2004_Дайджест 2003-2004 гг._30 форма с ожидаемым за январь" xfId="7897"/>
    <cellStyle name="_Бюджет2004_Дайджест 2003-2004 гг._30 форма с ожидаемым за январь 2" xfId="7898"/>
    <cellStyle name="_Бюджет2004_Дайджест 2003-2004 гг._30 форма с ожидаемым за январь 3" xfId="7899"/>
    <cellStyle name="_Бюджет2004_Дайджест 2003-2004 гг._30 форма с ожидаемым за январь 4" xfId="7900"/>
    <cellStyle name="_Бюджет2004_Дайджест 2003-2004 гг._30 форма с ожидаемым за январь 5" xfId="7901"/>
    <cellStyle name="_Бюджет2004_Дайджест 2003-2004 гг._30 форма с ожидаемым за январь 6" xfId="7902"/>
    <cellStyle name="_Бюджет2004_Дайджест 2003-2004 гг._30 форма с ожидаемым за январь 7" xfId="7903"/>
    <cellStyle name="_Бюджет2004_Дайджест 2003-2004 гг._30 форма с ожидаемым за январь 8" xfId="7904"/>
    <cellStyle name="_Бюджет2004_Дайджест 2003-2004 гг._30 форма с ожидаемым за январь 9" xfId="7905"/>
    <cellStyle name="_Бюджет2004_Дайджест 2003-2004 гг._30 форма с фактом за декабрь" xfId="7906"/>
    <cellStyle name="_Бюджет2004_Дайджест 2003-2004 гг._30 форма с фактом за декабрь 2" xfId="7907"/>
    <cellStyle name="_Бюджет2004_Дайджест 2003-2004 гг._30 форма с фактом за декабрь 3" xfId="7908"/>
    <cellStyle name="_Бюджет2004_Дайджест 2003-2004 гг._30 форма с фактом за декабрь 4" xfId="7909"/>
    <cellStyle name="_Бюджет2004_Дайджест 2003-2004 гг._30 форма с фактом за декабрь 5" xfId="7910"/>
    <cellStyle name="_Бюджет2004_Дайджест 2003-2004 гг._30 форма с фактом за декабрь 6" xfId="7911"/>
    <cellStyle name="_Бюджет2004_Дайджест 2003-2004 гг._30 форма с фактом за декабрь 7" xfId="7912"/>
    <cellStyle name="_Бюджет2004_Дайджест 2003-2004 гг._30 форма с фактом за декабрь 8" xfId="7913"/>
    <cellStyle name="_Бюджет2004_Дайджест 2003-2004 гг._30 форма с фактом за декабрь 9" xfId="7914"/>
    <cellStyle name="_Бюджет2004_Дайджест 2003-2004 гг._30 форма с фактом за ноябрь" xfId="7915"/>
    <cellStyle name="_Бюджет2004_Дайджест 2003-2004 гг._30 форма с фактом за ноябрь 2" xfId="7916"/>
    <cellStyle name="_Бюджет2004_Дайджест 2003-2004 гг._30 форма с фактом за ноябрь 3" xfId="7917"/>
    <cellStyle name="_Бюджет2004_Дайджест 2003-2004 гг._30 форма с фактом за ноябрь 4" xfId="7918"/>
    <cellStyle name="_Бюджет2004_Дайджест 2003-2004 гг._30 форма с фактом за ноябрь 5" xfId="7919"/>
    <cellStyle name="_Бюджет2004_Дайджест 2003-2004 гг._30 форма с фактом за ноябрь 6" xfId="7920"/>
    <cellStyle name="_Бюджет2004_Дайджест 2003-2004 гг._30 форма с фактом за ноябрь 7" xfId="7921"/>
    <cellStyle name="_Бюджет2004_Дайджест 2003-2004 гг._30 форма с фактом за ноябрь 8" xfId="7922"/>
    <cellStyle name="_Бюджет2004_Дайджест 2003-2004 гг._30 форма с фактом за ноябрь 9" xfId="7923"/>
    <cellStyle name="_Бюджет2004_Дайджест 2003-2004 гг._8" xfId="7924"/>
    <cellStyle name="_Бюджет2004_Дайджест 2003-2004 гг._8_исходные_291107" xfId="7925"/>
    <cellStyle name="_Бюджет2004_Дайджест 2003-2004 гг._8_Лист1" xfId="7926"/>
    <cellStyle name="_Бюджет2004_Дайджест 2003-2004 гг._8_Лист2" xfId="7927"/>
    <cellStyle name="_Бюджет2004_Дайджест 2003-2004 гг._8_Лист3" xfId="7928"/>
    <cellStyle name="_Бюджет2004_Дайджест 2003-2004 гг._8_ф2 склад ГП" xfId="7929"/>
    <cellStyle name="_Бюджет2004_Дайджест 2003-2004 гг._EBITDA_дивизион_12.11.2007" xfId="7930"/>
    <cellStyle name="_Бюджет2004_Дайджест 2003-2004 гг._№13, №14" xfId="7931"/>
    <cellStyle name="_Бюджет2004_Дайджест 2003-2004 гг._№13, №14 02.04.07" xfId="7932"/>
    <cellStyle name="_Бюджет2004_Дайджест 2003-2004 гг._№13, №14 от 15.12.2006" xfId="7933"/>
    <cellStyle name="_Бюджет2004_Дайджест 2003-2004 гг._№13, №14 январь 2007 25.02.07" xfId="7934"/>
    <cellStyle name="_Бюджет2004_Дайджест 2003-2004 гг._№26 измен 03.04.07" xfId="7935"/>
    <cellStyle name="_Бюджет2004_Дайджест 2003-2004 гг._№26 измен 15.12.06 4 вар " xfId="7936"/>
    <cellStyle name="_Бюджет2004_Дайджест 2003-2004 гг._№26, от 25.02.07" xfId="7937"/>
    <cellStyle name="_Бюджет2004_Дайджест 2003-2004 гг._БДР - 2008 год 2-е чтение" xfId="7938"/>
    <cellStyle name="_Бюджет2004_Дайджест 2003-2004 гг._БДР 2 кв  презентационный_24 03 2008_11-45" xfId="7939"/>
    <cellStyle name="_Бюджет2004_Дайджест 2003-2004 гг._БДР 2 кв  презентационный_24 03 2008_15-55" xfId="7940"/>
    <cellStyle name="_Бюджет2004_Дайджест 2003-2004 гг._Больш. 1-8 октября" xfId="7941"/>
    <cellStyle name="_Бюджет2004_Дайджест 2003-2004 гг._БП  07 г. (нов.форма) 2" xfId="7942"/>
    <cellStyle name="_Бюджет2004_Дайджест 2003-2004 гг._БП  07 г. (нов.форма) 2 2" xfId="7943"/>
    <cellStyle name="_Бюджет2004_Дайджест 2003-2004 гг._БП  07 г. (нов.форма) 2 3" xfId="7944"/>
    <cellStyle name="_Бюджет2004_Дайджест 2003-2004 гг._БП  07 г. (нов.форма) 2 4" xfId="7945"/>
    <cellStyle name="_Бюджет2004_Дайджест 2003-2004 гг._БП  07 г. (нов.форма) 2 5" xfId="7946"/>
    <cellStyle name="_Бюджет2004_Дайджест 2003-2004 гг._БП  07 г. (нов.форма) 2 6" xfId="7947"/>
    <cellStyle name="_Бюджет2004_Дайджест 2003-2004 гг._БП  07 г. (нов.форма) 2 7" xfId="7948"/>
    <cellStyle name="_Бюджет2004_Дайджест 2003-2004 гг._БП  07 г. (нов.форма) 2 8" xfId="7949"/>
    <cellStyle name="_Бюджет2004_Дайджест 2003-2004 гг._БП  07 г. (нов.форма) 2 9" xfId="7950"/>
    <cellStyle name="_Бюджет2004_Дайджест 2003-2004 гг._БП Урал Кирпич 28 01 2008г" xfId="7951"/>
    <cellStyle name="_Бюджет2004_Дайджест 2003-2004 гг._БП_план на 1 кв. 2008г." xfId="7952"/>
    <cellStyle name="_Бюджет2004_Дайджест 2003-2004 гг._БП_план на 2 кв. 2008г." xfId="7953"/>
    <cellStyle name="_Бюджет2004_Дайджест 2003-2004 гг._бп2008 презентация 12.11.07" xfId="7954"/>
    <cellStyle name="_Бюджет2004_Дайджест 2003-2004 гг._ДИВИЗИОН Презентация 4 кв. 07 изм отгр" xfId="7955"/>
    <cellStyle name="_Бюджет2004_Дайджест 2003-2004 гг._ДИВИЗИОН Презентация 4 кв. 07 изм отгр 2" xfId="7956"/>
    <cellStyle name="_Бюджет2004_Дайджест 2003-2004 гг._ДИВИЗИОН Презентация 4 кв. 07 изм отгр 3" xfId="7957"/>
    <cellStyle name="_Бюджет2004_Дайджест 2003-2004 гг._ДИВИЗИОН Презентация 4 кв. 07 изм отгр 4" xfId="7958"/>
    <cellStyle name="_Бюджет2004_Дайджест 2003-2004 гг._ДИВИЗИОН Презентация 4 кв. 07 изм отгр 5" xfId="7959"/>
    <cellStyle name="_Бюджет2004_Дайджест 2003-2004 гг._ДИВИЗИОН Презентация 4 кв. 07 изм отгр 6" xfId="7960"/>
    <cellStyle name="_Бюджет2004_Дайджест 2003-2004 гг._ДИВИЗИОН Презентация 4 кв. 07 изм отгр 7" xfId="7961"/>
    <cellStyle name="_Бюджет2004_Дайджест 2003-2004 гг._ДИВИЗИОН Презентация 4 кв. 07 изм отгр 8" xfId="7962"/>
    <cellStyle name="_Бюджет2004_Дайджест 2003-2004 гг._ДИВИЗИОН Презентация 4 кв. 07 изм отгр 9" xfId="7963"/>
    <cellStyle name="_Бюджет2004_Дайджест 2003-2004 гг._ДИВИЗИОН_2008" xfId="7964"/>
    <cellStyle name="_Бюджет2004_Дайджест 2003-2004 гг._Дивизиональная форма БДР_14.12.2007" xfId="7965"/>
    <cellStyle name="_Бюджет2004_Дайджест 2003-2004 гг._Динамика Свод_Бизнес_MGOK 27_07_06" xfId="7966"/>
    <cellStyle name="_Бюджет2004_Дайджест 2003-2004 гг._Ежемесячные формы для ТД на 2004 год (version 1)" xfId="7967"/>
    <cellStyle name="_Бюджет2004_Дайджест 2003-2004 гг._Запрос МИ Менеджмент 18 08 06 (новый формат)" xfId="7968"/>
    <cellStyle name="_Бюджет2004_Дайджест 2003-2004 гг._Запрос МИ Менеджмент 18 08 06 (новый формат) 10" xfId="7969"/>
    <cellStyle name="_Бюджет2004_Дайджест 2003-2004 гг._Запрос МИ Менеджмент 18 08 06 (новый формат) 11" xfId="7970"/>
    <cellStyle name="_Бюджет2004_Дайджест 2003-2004 гг._Запрос МИ Менеджмент 18 08 06 (новый формат) 12" xfId="7971"/>
    <cellStyle name="_Бюджет2004_Дайджест 2003-2004 гг._Запрос МИ Менеджмент 18 08 06 (новый формат) 13" xfId="7972"/>
    <cellStyle name="_Бюджет2004_Дайджест 2003-2004 гг._Запрос МИ Менеджмент 18 08 06 (новый формат) 2" xfId="7973"/>
    <cellStyle name="_Бюджет2004_Дайджест 2003-2004 гг._Запрос МИ Менеджмент 18 08 06 (новый формат) 3" xfId="7974"/>
    <cellStyle name="_Бюджет2004_Дайджест 2003-2004 гг._Запрос МИ Менеджмент 18 08 06 (новый формат) 4" xfId="7975"/>
    <cellStyle name="_Бюджет2004_Дайджест 2003-2004 гг._Запрос МИ Менеджмент 18 08 06 (новый формат) 5" xfId="7976"/>
    <cellStyle name="_Бюджет2004_Дайджест 2003-2004 гг._Запрос МИ Менеджмент 18 08 06 (новый формат) 6" xfId="7977"/>
    <cellStyle name="_Бюджет2004_Дайджест 2003-2004 гг._Запрос МИ Менеджмент 18 08 06 (новый формат) 7" xfId="7978"/>
    <cellStyle name="_Бюджет2004_Дайджест 2003-2004 гг._Запрос МИ Менеджмент 18 08 06 (новый формат) 8" xfId="7979"/>
    <cellStyle name="_Бюджет2004_Дайджест 2003-2004 гг._Запрос МИ Менеджмент 18 08 06 (новый формат) 9" xfId="7980"/>
    <cellStyle name="_Бюджет2004_Дайджест 2003-2004 гг._Запрос МИ Менеджмент 18 08 06 (новый формат)__План по труду 2008 261107 (10% с января)" xfId="7981"/>
    <cellStyle name="_Бюджет2004_Дайджест 2003-2004 гг._Запрос МИ Менеджмент 18 08 06 (новый формат)__План по труду 2008 261107 (10% с января) 2" xfId="7982"/>
    <cellStyle name="_Бюджет2004_Дайджест 2003-2004 гг._Запрос МИ Менеджмент 18 08 06 (новый формат)__План по труду 2008 261107 (10% с января) 3" xfId="7983"/>
    <cellStyle name="_Бюджет2004_Дайджест 2003-2004 гг._Запрос МИ Менеджмент 18 08 06 (новый формат)__План по труду 2008 261107 (10% с января) 4" xfId="7984"/>
    <cellStyle name="_Бюджет2004_Дайджест 2003-2004 гг._Запрос МИ Менеджмент 18 08 06 (новый формат)__План по труду 2008 261107 (10% с января) 5" xfId="7985"/>
    <cellStyle name="_Бюджет2004_Дайджест 2003-2004 гг._Запрос МИ Менеджмент 18 08 06 (новый формат)__План по труду 2008 261107 (10% с января) 6" xfId="7986"/>
    <cellStyle name="_Бюджет2004_Дайджест 2003-2004 гг._Запрос МИ Менеджмент 18 08 06 (новый формат)__План по труду 2008 261107 (10% с января) 7" xfId="7987"/>
    <cellStyle name="_Бюджет2004_Дайджест 2003-2004 гг._Запрос МИ Менеджмент 18 08 06 (новый формат)__План по труду 2008 261107 (10% с января) 8" xfId="7988"/>
    <cellStyle name="_Бюджет2004_Дайджест 2003-2004 гг._Запрос МИ Менеджмент 18 08 06 (новый формат)__План по труду 2008 261107 (10% с января) 9" xfId="7989"/>
    <cellStyle name="_Бюджет2004_Дайджест 2003-2004 гг._Запрос МИ Менеджмент 18 08 06 (новый формат)__План по труду 2008 ИТОГ (правл. ПНР 161007)_" xfId="7990"/>
    <cellStyle name="_Бюджет2004_Дайджест 2003-2004 гг._Запрос МИ Менеджмент 18 08 06 (новый формат)__План по труду 2008 ИТОГ (правл. ПНР 161007)_ 2" xfId="7991"/>
    <cellStyle name="_Бюджет2004_Дайджест 2003-2004 гг._Запрос МИ Менеджмент 18 08 06 (новый формат)__План по труду 2008 ИТОГ (правл. ПНР 161007)_ 3" xfId="7992"/>
    <cellStyle name="_Бюджет2004_Дайджест 2003-2004 гг._Запрос МИ Менеджмент 18 08 06 (новый формат)__План по труду 2008 ИТОГ (правл. ПНР 161007)_ 4" xfId="7993"/>
    <cellStyle name="_Бюджет2004_Дайджест 2003-2004 гг._Запрос МИ Менеджмент 18 08 06 (новый формат)__План по труду 2008 ИТОГ (правл. ПНР 161007)_ 5" xfId="7994"/>
    <cellStyle name="_Бюджет2004_Дайджест 2003-2004 гг._Запрос МИ Менеджмент 18 08 06 (новый формат)__План по труду 2008 ИТОГ (правл. ПНР 161007)_ 6" xfId="7995"/>
    <cellStyle name="_Бюджет2004_Дайджест 2003-2004 гг._Запрос МИ Менеджмент 18 08 06 (новый формат)__План по труду 2008 ИТОГ (правл. ПНР 161007)_ 7" xfId="7996"/>
    <cellStyle name="_Бюджет2004_Дайджест 2003-2004 гг._Запрос МИ Менеджмент 18 08 06 (новый формат)__План по труду 2008 ИТОГ (правл. ПНР 161007)_ 8" xfId="7997"/>
    <cellStyle name="_Бюджет2004_Дайджест 2003-2004 гг._Запрос МИ Менеджмент 18 08 06 (новый формат)__План по труду 2008 ИТОГ (правл. ПНР 161007)_ 9" xfId="7998"/>
    <cellStyle name="_Бюджет2004_Дайджест 2003-2004 гг._Запрос МИ Менеджмент 18 08 06 (новый формат)_2_Инвестпрограмма на 2008 год (КОВАЛЕВ)" xfId="7999"/>
    <cellStyle name="_Бюджет2004_Дайджест 2003-2004 гг._Запрос МИ Менеджмент 18 08 06 (новый формат)_Данные для ФОТ на 2008 год" xfId="8000"/>
    <cellStyle name="_Бюджет2004_Дайджест 2003-2004 гг._Запрос МИ Менеджмент 18 08 06 (новый формат)_Данные для ФОТ на 2008 год 2" xfId="8001"/>
    <cellStyle name="_Бюджет2004_Дайджест 2003-2004 гг._Запрос МИ Менеджмент 18 08 06 (новый формат)_Данные для ФОТ на 2008 год 3" xfId="8002"/>
    <cellStyle name="_Бюджет2004_Дайджест 2003-2004 гг._Запрос МИ Менеджмент 18 08 06 (новый формат)_Данные для ФОТ на 2008 год 4" xfId="8003"/>
    <cellStyle name="_Бюджет2004_Дайджест 2003-2004 гг._Запрос МИ Менеджмент 18 08 06 (новый формат)_Данные для ФОТ на 2008 год 5" xfId="8004"/>
    <cellStyle name="_Бюджет2004_Дайджест 2003-2004 гг._Запрос МИ Менеджмент 18 08 06 (новый формат)_Данные для ФОТ на 2008 год 6" xfId="8005"/>
    <cellStyle name="_Бюджет2004_Дайджест 2003-2004 гг._Запрос МИ Менеджмент 18 08 06 (новый формат)_Данные для ФОТ на 2008 год 7" xfId="8006"/>
    <cellStyle name="_Бюджет2004_Дайджест 2003-2004 гг._Запрос МИ Менеджмент 18 08 06 (новый формат)_Данные для ФОТ на 2008 год 8" xfId="8007"/>
    <cellStyle name="_Бюджет2004_Дайджест 2003-2004 гг._Запрос МИ Менеджмент 18 08 06 (новый формат)_Данные для ФОТ на 2008 год 9" xfId="8008"/>
    <cellStyle name="_Бюджет2004_Дайджест 2003-2004 гг._Запрос МИ Менеджмент 18 08 06 (новый формат)_План по труду 2008 ИТОГ (2003_вер)" xfId="8009"/>
    <cellStyle name="_Бюджет2004_Дайджест 2003-2004 гг._Запрос МИ Менеджмент 18 08 06 (новый формат)_План по труду 2008 ИТОГ (2003_вер) 2" xfId="8010"/>
    <cellStyle name="_Бюджет2004_Дайджест 2003-2004 гг._Запрос МИ Менеджмент 18 08 06 (новый формат)_План по труду 2008 ИТОГ (2003_вер) 3" xfId="8011"/>
    <cellStyle name="_Бюджет2004_Дайджест 2003-2004 гг._Запрос МИ Менеджмент 18 08 06 (новый формат)_План по труду 2008 ИТОГ (2003_вер) 4" xfId="8012"/>
    <cellStyle name="_Бюджет2004_Дайджест 2003-2004 гг._Запрос МИ Менеджмент 18 08 06 (новый формат)_План по труду 2008 ИТОГ (2003_вер) 5" xfId="8013"/>
    <cellStyle name="_Бюджет2004_Дайджест 2003-2004 гг._Запрос МИ Менеджмент 18 08 06 (новый формат)_План по труду 2008 ИТОГ (2003_вер) 6" xfId="8014"/>
    <cellStyle name="_Бюджет2004_Дайджест 2003-2004 гг._Запрос МИ Менеджмент 18 08 06 (новый формат)_План по труду 2008 ИТОГ (2003_вер) 7" xfId="8015"/>
    <cellStyle name="_Бюджет2004_Дайджест 2003-2004 гг._Запрос МИ Менеджмент 18 08 06 (новый формат)_План по труду 2008 ИТОГ (2003_вер) 8" xfId="8016"/>
    <cellStyle name="_Бюджет2004_Дайджест 2003-2004 гг._Запрос МИ Менеджмент 18 08 06 (новый формат)_План по труду 2008 ИТОГ (2003_вер) 9" xfId="8017"/>
    <cellStyle name="_Бюджет2004_Дайджест 2003-2004 гг._Запрос МИ Менеджмент 18 08 06 (новый формат)_ТКВ 2008 от 19.07" xfId="8018"/>
    <cellStyle name="_Бюджет2004_Дайджест 2003-2004 гг._Запрос МИ Менеджмент 18 08 06 (новый формат)_ТКВ 2008 от 31.07" xfId="8019"/>
    <cellStyle name="_Бюджет2004_Дайджест 2003-2004 гг._ИПИТА" xfId="8020"/>
    <cellStyle name="_Бюджет2004_Дайджест 2003-2004 гг._ИПИТА 2" xfId="8021"/>
    <cellStyle name="_Бюджет2004_Дайджест 2003-2004 гг._ИПИТА 3" xfId="8022"/>
    <cellStyle name="_Бюджет2004_Дайджест 2003-2004 гг._ИПИТА 4" xfId="8023"/>
    <cellStyle name="_Бюджет2004_Дайджест 2003-2004 гг._ИПИТА 5" xfId="8024"/>
    <cellStyle name="_Бюджет2004_Дайджест 2003-2004 гг._ИПИТА 6" xfId="8025"/>
    <cellStyle name="_Бюджет2004_Дайджест 2003-2004 гг._ИПИТА 7" xfId="8026"/>
    <cellStyle name="_Бюджет2004_Дайджест 2003-2004 гг._ИПИТА 8" xfId="8027"/>
    <cellStyle name="_Бюджет2004_Дайджест 2003-2004 гг._ИПИТА 9" xfId="8028"/>
    <cellStyle name="_Бюджет2004_Дайджест 2003-2004 гг._исходные_291107" xfId="8029"/>
    <cellStyle name="_Бюджет2004_Дайджест 2003-2004 гг._КМА-Эн план 1 кв 200919.12.08отпр в Холдинг" xfId="8030"/>
    <cellStyle name="_Бюджет2004_Дайджест 2003-2004 гг._Книга БДР 4 кв" xfId="8031"/>
    <cellStyle name="_Бюджет2004_Дайджест 2003-2004 гг._Книга1" xfId="8032"/>
    <cellStyle name="_Бюджет2004_Дайджест 2003-2004 гг._Книга1 (1)" xfId="8033"/>
    <cellStyle name="_Бюджет2004_Дайджест 2003-2004 гг._Книга1 (1) 2" xfId="8034"/>
    <cellStyle name="_Бюджет2004_Дайджест 2003-2004 гг._Книга1 (1) 3" xfId="8035"/>
    <cellStyle name="_Бюджет2004_Дайджест 2003-2004 гг._Книга1 (1) 4" xfId="8036"/>
    <cellStyle name="_Бюджет2004_Дайджест 2003-2004 гг._Книга1 (1) 5" xfId="8037"/>
    <cellStyle name="_Бюджет2004_Дайджест 2003-2004 гг._Книга1 (1) 6" xfId="8038"/>
    <cellStyle name="_Бюджет2004_Дайджест 2003-2004 гг._Книга1 (1) 7" xfId="8039"/>
    <cellStyle name="_Бюджет2004_Дайджест 2003-2004 гг._Книга1 (1) 8" xfId="8040"/>
    <cellStyle name="_Бюджет2004_Дайджест 2003-2004 гг._Книга1 (1) 9" xfId="8041"/>
    <cellStyle name="_Бюджет2004_Дайджест 2003-2004 гг._Книга1 (5)" xfId="8042"/>
    <cellStyle name="_Бюджет2004_Дайджест 2003-2004 гг._Книга1_1" xfId="8043"/>
    <cellStyle name="_Бюджет2004_Дайджест 2003-2004 гг._Книга11" xfId="8044"/>
    <cellStyle name="_Бюджет2004_Дайджест 2003-2004 гг._Книга3" xfId="8045"/>
    <cellStyle name="_Бюджет2004_Дайджест 2003-2004 гг._Комплект документов - план на 2007 год - фин.часть 8.12.06 (укороч.)" xfId="8046"/>
    <cellStyle name="_Бюджет2004_Дайджест 2003-2004 гг._Комплект документов - план на 2007 год - фин.часть 8.12.06 (укороч.) 2" xfId="8047"/>
    <cellStyle name="_Бюджет2004_Дайджест 2003-2004 гг._Комплект документов - план на 2007 год - фин.часть 8.12.06 (укороч.) 3" xfId="8048"/>
    <cellStyle name="_Бюджет2004_Дайджест 2003-2004 гг._Комплект документов - план на 2007 год - фин.часть 8.12.06 (укороч.) 4" xfId="8049"/>
    <cellStyle name="_Бюджет2004_Дайджест 2003-2004 гг._Комплект документов - план на 2007 год - фин.часть 8.12.06 (укороч.) 5" xfId="8050"/>
    <cellStyle name="_Бюджет2004_Дайджест 2003-2004 гг._Комплект документов - план на 2007 год - фин.часть 8.12.06 (укороч.) 6" xfId="8051"/>
    <cellStyle name="_Бюджет2004_Дайджест 2003-2004 гг._Комплект документов - план на 2007 год - фин.часть 8.12.06 (укороч.) 7" xfId="8052"/>
    <cellStyle name="_Бюджет2004_Дайджест 2003-2004 гг._Комплект документов - план на 2007 год - фин.часть 8.12.06 (укороч.) 8" xfId="8053"/>
    <cellStyle name="_Бюджет2004_Дайджест 2003-2004 гг._Комплект документов - план на 2007 год - фин.часть 8.12.06 (укороч.) 9" xfId="8054"/>
    <cellStyle name="_Бюджет2004_Дайджест 2003-2004 гг._Конс  ЛГОК БП 2009 для Комбината 07 11 08" xfId="8055"/>
    <cellStyle name="_Бюджет2004_Дайджест 2003-2004 гг._Конс  ЛГОК БП 2009 от 14 10 08" xfId="8056"/>
    <cellStyle name="_Бюджет2004_Дайджест 2003-2004 гг._Конс  ЛГОК БП 2009 от 14 10 08 (2)" xfId="8057"/>
    <cellStyle name="_Бюджет2004_Дайджест 2003-2004 гг._Конс  МГОК БП 2009 от 14 10 08" xfId="8058"/>
    <cellStyle name="_Бюджет2004_Дайджест 2003-2004 гг._Конс. план ЛГОК мар.09 для Комбината 20.02.09" xfId="8059"/>
    <cellStyle name="_Бюджет2004_Дайджест 2003-2004 гг._Конс. план ЛГОК мар.09 для Комбината 25.02.09" xfId="8060"/>
    <cellStyle name="_Бюджет2004_Дайджест 2003-2004 гг._Копия Конс БП 2010 ЛГОК для Комбината от 21 08 09" xfId="8061"/>
    <cellStyle name="_Бюджет2004_Дайджест 2003-2004 гг._Лист1" xfId="8062"/>
    <cellStyle name="_Бюджет2004_Дайджест 2003-2004 гг._Лист1 2" xfId="8063"/>
    <cellStyle name="_Бюджет2004_Дайджест 2003-2004 гг._Лист1 3" xfId="8064"/>
    <cellStyle name="_Бюджет2004_Дайджест 2003-2004 гг._Лист1 4" xfId="8065"/>
    <cellStyle name="_Бюджет2004_Дайджест 2003-2004 гг._Лист1 5" xfId="8066"/>
    <cellStyle name="_Бюджет2004_Дайджест 2003-2004 гг._Лист1 6" xfId="8067"/>
    <cellStyle name="_Бюджет2004_Дайджест 2003-2004 гг._Лист1 7" xfId="8068"/>
    <cellStyle name="_Бюджет2004_Дайджест 2003-2004 гг._Лист1 8" xfId="8069"/>
    <cellStyle name="_Бюджет2004_Дайджест 2003-2004 гг._Лист1 9" xfId="8070"/>
    <cellStyle name="_Бюджет2004_Дайджест 2003-2004 гг._Лист1_НОВАЯ ФОРМА ПО СОЦИАЛЬНЫМ ПРОГРАММАМ" xfId="8071"/>
    <cellStyle name="_Бюджет2004_Дайджест 2003-2004 гг._Лист1_Приложения План Март (23)" xfId="8072"/>
    <cellStyle name="_Бюджет2004_Дайджест 2003-2004 гг._Лист2" xfId="8073"/>
    <cellStyle name="_Бюджет2004_Дайджест 2003-2004 гг._Лист3" xfId="8074"/>
    <cellStyle name="_Бюджет2004_Дайджест 2003-2004 гг._Мод 4 кв 2008" xfId="8075"/>
    <cellStyle name="_Бюджет2004_Дайджест 2003-2004 гг._Новые формы Дивизиона_3 кв_send (без дивидендов)" xfId="8076"/>
    <cellStyle name="_Бюджет2004_Дайджест 2003-2004 гг._Новые формы Дивизиона_3кв.2007" xfId="8077"/>
    <cellStyle name="_Бюджет2004_Дайджест 2003-2004 гг._Новые формы Дивизиона_3кв.2007 2" xfId="8078"/>
    <cellStyle name="_Бюджет2004_Дайджест 2003-2004 гг._Новые формы Дивизиона_3кв.2007 3" xfId="8079"/>
    <cellStyle name="_Бюджет2004_Дайджест 2003-2004 гг._Новые формы Дивизиона_3кв.2007 4" xfId="8080"/>
    <cellStyle name="_Бюджет2004_Дайджест 2003-2004 гг._Новые формы Дивизиона_3кв.2007 5" xfId="8081"/>
    <cellStyle name="_Бюджет2004_Дайджест 2003-2004 гг._Новые формы Дивизиона_3кв.2007 6" xfId="8082"/>
    <cellStyle name="_Бюджет2004_Дайджест 2003-2004 гг._Новые формы Дивизиона_3кв.2007 7" xfId="8083"/>
    <cellStyle name="_Бюджет2004_Дайджест 2003-2004 гг._Новые формы Дивизиона_3кв.2007 8" xfId="8084"/>
    <cellStyle name="_Бюджет2004_Дайджест 2003-2004 гг._Новые формы Дивизиона_3кв.2007 9" xfId="8085"/>
    <cellStyle name="_Бюджет2004_Дайджест 2003-2004 гг._Оборотный капитал план 2-е полугодие 2006 г. 25.08.06" xfId="8086"/>
    <cellStyle name="_Бюджет2004_Дайджест 2003-2004 гг._Оборотный капитал план 2-е полугодие 2006 г. 25.08.06 10" xfId="8087"/>
    <cellStyle name="_Бюджет2004_Дайджест 2003-2004 гг._Оборотный капитал план 2-е полугодие 2006 г. 25.08.06 11" xfId="8088"/>
    <cellStyle name="_Бюджет2004_Дайджест 2003-2004 гг._Оборотный капитал план 2-е полугодие 2006 г. 25.08.06 12" xfId="8089"/>
    <cellStyle name="_Бюджет2004_Дайджест 2003-2004 гг._Оборотный капитал план 2-е полугодие 2006 г. 25.08.06 13" xfId="8090"/>
    <cellStyle name="_Бюджет2004_Дайджест 2003-2004 гг._Оборотный капитал план 2-е полугодие 2006 г. 25.08.06 2" xfId="8091"/>
    <cellStyle name="_Бюджет2004_Дайджест 2003-2004 гг._Оборотный капитал план 2-е полугодие 2006 г. 25.08.06 3" xfId="8092"/>
    <cellStyle name="_Бюджет2004_Дайджест 2003-2004 гг._Оборотный капитал план 2-е полугодие 2006 г. 25.08.06 4" xfId="8093"/>
    <cellStyle name="_Бюджет2004_Дайджест 2003-2004 гг._Оборотный капитал план 2-е полугодие 2006 г. 25.08.06 5" xfId="8094"/>
    <cellStyle name="_Бюджет2004_Дайджест 2003-2004 гг._Оборотный капитал план 2-е полугодие 2006 г. 25.08.06 6" xfId="8095"/>
    <cellStyle name="_Бюджет2004_Дайджест 2003-2004 гг._Оборотный капитал план 2-е полугодие 2006 г. 25.08.06 7" xfId="8096"/>
    <cellStyle name="_Бюджет2004_Дайджест 2003-2004 гг._Оборотный капитал план 2-е полугодие 2006 г. 25.08.06 8" xfId="8097"/>
    <cellStyle name="_Бюджет2004_Дайджест 2003-2004 гг._Оборотный капитал план 2-е полугодие 2006 г. 25.08.06 9" xfId="8098"/>
    <cellStyle name="_Бюджет2004_Дайджест 2003-2004 гг._ОБРАЗЕЦ Презентационный материал" xfId="8099"/>
    <cellStyle name="_Бюджет2004_Дайджест 2003-2004 гг._ОБРАЗЕЦ Презентационный материал 2" xfId="8100"/>
    <cellStyle name="_Бюджет2004_Дайджест 2003-2004 гг._ОБРАЗЕЦ Презентационный материал 3" xfId="8101"/>
    <cellStyle name="_Бюджет2004_Дайджест 2003-2004 гг._ОБРАЗЕЦ Презентационный материал 4" xfId="8102"/>
    <cellStyle name="_Бюджет2004_Дайджест 2003-2004 гг._ОБРАЗЕЦ Презентационный материал 5" xfId="8103"/>
    <cellStyle name="_Бюджет2004_Дайджест 2003-2004 гг._ОБРАЗЕЦ Презентационный материал 6" xfId="8104"/>
    <cellStyle name="_Бюджет2004_Дайджест 2003-2004 гг._ОБРАЗЕЦ Презентационный материал 7" xfId="8105"/>
    <cellStyle name="_Бюджет2004_Дайджест 2003-2004 гг._ОБРАЗЕЦ Презентационный материал 8" xfId="8106"/>
    <cellStyle name="_Бюджет2004_Дайджест 2003-2004 гг._ОБРАЗЕЦ Презентационный материал 9" xfId="8107"/>
    <cellStyle name="_Бюджет2004_Дайджест 2003-2004 гг._оперативное исполнение 8 02 2009" xfId="8108"/>
    <cellStyle name="_Бюджет2004_Дайджест 2003-2004 гг._Отклонения план март-план февраль 2009 конс" xfId="8109"/>
    <cellStyle name="_Бюджет2004_Дайджест 2003-2004 гг._пл 02 2009 акционеры СВОД 09.02.2009" xfId="8110"/>
    <cellStyle name="_Бюджет2004_Дайджест 2003-2004 гг._пл2007 Распределение ОЭМК 27.01.07" xfId="8111"/>
    <cellStyle name="_Бюджет2004_Дайджест 2003-2004 гг._пл2007 фин.часть 18.12.06" xfId="8112"/>
    <cellStyle name="_Бюджет2004_Дайджест 2003-2004 гг._пл2007 фин.часть 18.12.06 2" xfId="8113"/>
    <cellStyle name="_Бюджет2004_Дайджест 2003-2004 гг._пл2007 фин.часть 18.12.06 3" xfId="8114"/>
    <cellStyle name="_Бюджет2004_Дайджест 2003-2004 гг._пл2007 фин.часть 18.12.06 4" xfId="8115"/>
    <cellStyle name="_Бюджет2004_Дайджест 2003-2004 гг._пл2007 фин.часть 18.12.06 5" xfId="8116"/>
    <cellStyle name="_Бюджет2004_Дайджест 2003-2004 гг._пл2007 фин.часть 18.12.06 6" xfId="8117"/>
    <cellStyle name="_Бюджет2004_Дайджест 2003-2004 гг._пл2007 фин.часть 18.12.06 7" xfId="8118"/>
    <cellStyle name="_Бюджет2004_Дайджест 2003-2004 гг._пл2007 фин.часть 18.12.06 8" xfId="8119"/>
    <cellStyle name="_Бюджет2004_Дайджест 2003-2004 гг._пл2007 фин.часть 18.12.06 9" xfId="8120"/>
    <cellStyle name="_Бюджет2004_Дайджест 2003-2004 гг._План 2 кв 2007 год 6.04.07" xfId="8121"/>
    <cellStyle name="_Бюджет2004_Дайджест 2003-2004 гг._План 2 кв 2007 год 6.04.07 2" xfId="8122"/>
    <cellStyle name="_Бюджет2004_Дайджест 2003-2004 гг._План 2 кв 2007 год 6.04.07 3" xfId="8123"/>
    <cellStyle name="_Бюджет2004_Дайджест 2003-2004 гг._План 2 кв 2007 год 6.04.07 4" xfId="8124"/>
    <cellStyle name="_Бюджет2004_Дайджест 2003-2004 гг._План 2 кв 2007 год 6.04.07 5" xfId="8125"/>
    <cellStyle name="_Бюджет2004_Дайджест 2003-2004 гг._План 2 кв 2007 год 6.04.07 6" xfId="8126"/>
    <cellStyle name="_Бюджет2004_Дайджест 2003-2004 гг._План 2 кв 2007 год 6.04.07 7" xfId="8127"/>
    <cellStyle name="_Бюджет2004_Дайджест 2003-2004 гг._План 2 кв 2007 год 6.04.07 8" xfId="8128"/>
    <cellStyle name="_Бюджет2004_Дайджест 2003-2004 гг._План 2 кв 2007 год 6.04.07 9" xfId="8129"/>
    <cellStyle name="_Бюджет2004_Дайджест 2003-2004 гг._План ДСМ 2 квартал 2009 ОТЧЕТ отп" xfId="8130"/>
    <cellStyle name="_Бюджет2004_Дайджест 2003-2004 гг._План ДСМ 3 квартал 2009 ОТЧЕТ" xfId="8131"/>
    <cellStyle name="_Бюджет2004_Дайджест 2003-2004 гг._План ДСМ 4 квартал 2009 ОТЧЕТ" xfId="8132"/>
    <cellStyle name="_Бюджет2004_Дайджест 2003-2004 гг._План ДСМ на 4 квартал 2006 (последняя версия) 2" xfId="8133"/>
    <cellStyle name="_Бюджет2004_Дайджест 2003-2004 гг._План ДСМ ноябрь 2011 ОТЧЕТ" xfId="8134"/>
    <cellStyle name="_Бюджет2004_Дайджест 2003-2004 гг._План ДСФ 1 квартал 2007" xfId="8135"/>
    <cellStyle name="_Бюджет2004_Дайджест 2003-2004 гг._План ДСФ 2 квартал 2009 ОТЧЕТ отп" xfId="8136"/>
    <cellStyle name="_Бюджет2004_Дайджест 2003-2004 гг._План ДСФ 4 квартал 2009 ОТЧЕТ" xfId="8137"/>
    <cellStyle name="_Бюджет2004_Дайджест 2003-2004 гг._План на 2009 год ДСМ ОТЧЕТ отп (01.12.08)" xfId="8138"/>
    <cellStyle name="_Бюджет2004_Дайджест 2003-2004 гг._План на 2010 год ДСМ ОТЧЕТ" xfId="8139"/>
    <cellStyle name="_Бюджет2004_Дайджест 2003-2004 гг._план ноября (отправл) 13.11" xfId="8140"/>
    <cellStyle name="_Бюджет2004_Дайджест 2003-2004 гг._План_2008г._БДР" xfId="8141"/>
    <cellStyle name="_Бюджет2004_Дайджест 2003-2004 гг._План_2008г._БДР_отпр.13.12.2007_19-40" xfId="8142"/>
    <cellStyle name="_Бюджет2004_Дайджест 2003-2004 гг._Помесячный Чистов ФДе" xfId="8143"/>
    <cellStyle name="_Бюджет2004_Дайджест 2003-2004 гг._Помесячный Чистов ФДе 2" xfId="8144"/>
    <cellStyle name="_Бюджет2004_Дайджест 2003-2004 гг._Помесячный Чистов ФДе 3" xfId="8145"/>
    <cellStyle name="_Бюджет2004_Дайджест 2003-2004 гг._Помесячный Чистов ФДе 4" xfId="8146"/>
    <cellStyle name="_Бюджет2004_Дайджест 2003-2004 гг._Помесячный Чистов ФДе 5" xfId="8147"/>
    <cellStyle name="_Бюджет2004_Дайджест 2003-2004 гг._Помесячный Чистов ФДе 6" xfId="8148"/>
    <cellStyle name="_Бюджет2004_Дайджест 2003-2004 гг._Помесячный Чистов ФДе 7" xfId="8149"/>
    <cellStyle name="_Бюджет2004_Дайджест 2003-2004 гг._Помесячный Чистов ФДе 8" xfId="8150"/>
    <cellStyle name="_Бюджет2004_Дайджест 2003-2004 гг._Помесячный Чистов ФДе 9" xfId="8151"/>
    <cellStyle name="_Бюджет2004_Дайджест 2003-2004 гг._пр I кв 2008 форма презентации" xfId="8152"/>
    <cellStyle name="_Бюджет2004_Дайджест 2003-2004 гг._пр I кв 2008 форма презентации 2" xfId="8153"/>
    <cellStyle name="_Бюджет2004_Дайджест 2003-2004 гг._пр I кв 2008 форма презентации 3" xfId="8154"/>
    <cellStyle name="_Бюджет2004_Дайджест 2003-2004 гг._пр I кв 2008 форма презентации 4" xfId="8155"/>
    <cellStyle name="_Бюджет2004_Дайджест 2003-2004 гг._пр I кв 2008 форма презентации 5" xfId="8156"/>
    <cellStyle name="_Бюджет2004_Дайджест 2003-2004 гг._пр I кв 2008 форма презентации 6" xfId="8157"/>
    <cellStyle name="_Бюджет2004_Дайджест 2003-2004 гг._пр I кв 2008 форма презентации 7" xfId="8158"/>
    <cellStyle name="_Бюджет2004_Дайджест 2003-2004 гг._пр I кв 2008 форма презентации 8" xfId="8159"/>
    <cellStyle name="_Бюджет2004_Дайджест 2003-2004 гг._пр I кв 2008 форма презентации 9" xfId="8160"/>
    <cellStyle name="_Бюджет2004_Дайджест 2003-2004 гг._пр2006 Комплект ОЭМК 13.02.07 (рабочая)" xfId="8161"/>
    <cellStyle name="_Бюджет2004_Дайджест 2003-2004 гг._пр2006 формы(19-30) 14.02.07" xfId="8162"/>
    <cellStyle name="_Бюджет2004_Дайджест 2003-2004 гг._Презентационный БДР_21 02 2008" xfId="8163"/>
    <cellStyle name="_Бюджет2004_Дайджест 2003-2004 гг._Презентационный материал" xfId="8164"/>
    <cellStyle name="_Бюджет2004_Дайджест 2003-2004 гг._Презентационный материал 2" xfId="8165"/>
    <cellStyle name="_Бюджет2004_Дайджест 2003-2004 гг._Презентационный материал 2 кв_план" xfId="8166"/>
    <cellStyle name="_Бюджет2004_Дайджест 2003-2004 гг._Презентационный материал 3" xfId="8167"/>
    <cellStyle name="_Бюджет2004_Дайджест 2003-2004 гг._Презентационный материал 4" xfId="8168"/>
    <cellStyle name="_Бюджет2004_Дайджест 2003-2004 гг._Презентационный материал 5" xfId="8169"/>
    <cellStyle name="_Бюджет2004_Дайджест 2003-2004 гг._Презентационный материал 6" xfId="8170"/>
    <cellStyle name="_Бюджет2004_Дайджест 2003-2004 гг._Презентационный материал 7" xfId="8171"/>
    <cellStyle name="_Бюджет2004_Дайджест 2003-2004 гг._Презентационный материал 8" xfId="8172"/>
    <cellStyle name="_Бюджет2004_Дайджест 2003-2004 гг._Презентационный материал 9" xfId="8173"/>
    <cellStyle name="_Бюджет2004_Дайджест 2003-2004 гг._Презентация" xfId="8174"/>
    <cellStyle name="_Бюджет2004_Дайджест 2003-2004 гг._Презентация (фин.часть) 27.06.07" xfId="8175"/>
    <cellStyle name="_Бюджет2004_Дайджест 2003-2004 гг._Презентация 2" xfId="8176"/>
    <cellStyle name="_Бюджет2004_Дайджест 2003-2004 гг._Презентация 2007 пл-ож 17.12" xfId="8177"/>
    <cellStyle name="_Бюджет2004_Дайджест 2003-2004 гг._Презентация 2007 пл-ож 17.12 2" xfId="8178"/>
    <cellStyle name="_Бюджет2004_Дайджест 2003-2004 гг._Презентация 2007 пл-ож 17.12 3" xfId="8179"/>
    <cellStyle name="_Бюджет2004_Дайджест 2003-2004 гг._Презентация 2007 пл-ож 17.12 4" xfId="8180"/>
    <cellStyle name="_Бюджет2004_Дайджест 2003-2004 гг._Презентация 2007 пл-ож 17.12 5" xfId="8181"/>
    <cellStyle name="_Бюджет2004_Дайджест 2003-2004 гг._Презентация 2007 пл-ож 17.12 6" xfId="8182"/>
    <cellStyle name="_Бюджет2004_Дайджест 2003-2004 гг._Презентация 2007 пл-ож 17.12 7" xfId="8183"/>
    <cellStyle name="_Бюджет2004_Дайджест 2003-2004 гг._Презентация 2007 пл-ож 17.12 8" xfId="8184"/>
    <cellStyle name="_Бюджет2004_Дайджест 2003-2004 гг._Презентация 2007 пл-ож 17.12 9" xfId="8185"/>
    <cellStyle name="_Бюджет2004_Дайджест 2003-2004 гг._Презентация 2007-2008 17.12" xfId="8186"/>
    <cellStyle name="_Бюджет2004_Дайджест 2003-2004 гг._Презентация 2007-2008 17.12 2" xfId="8187"/>
    <cellStyle name="_Бюджет2004_Дайджест 2003-2004 гг._Презентация 2007-2008 17.12 3" xfId="8188"/>
    <cellStyle name="_Бюджет2004_Дайджест 2003-2004 гг._Презентация 2007-2008 17.12 4" xfId="8189"/>
    <cellStyle name="_Бюджет2004_Дайджест 2003-2004 гг._Презентация 2007-2008 17.12 5" xfId="8190"/>
    <cellStyle name="_Бюджет2004_Дайджест 2003-2004 гг._Презентация 2007-2008 17.12 6" xfId="8191"/>
    <cellStyle name="_Бюджет2004_Дайджест 2003-2004 гг._Презентация 2007-2008 17.12 7" xfId="8192"/>
    <cellStyle name="_Бюджет2004_Дайджест 2003-2004 гг._Презентация 2007-2008 17.12 8" xfId="8193"/>
    <cellStyle name="_Бюджет2004_Дайджест 2003-2004 гг._Презентация 2007-2008 17.12 9" xfId="8194"/>
    <cellStyle name="_Бюджет2004_Дайджест 2003-2004 гг._Презентация 2008 (2)" xfId="8195"/>
    <cellStyle name="_Бюджет2004_Дайджест 2003-2004 гг._Презентация 2008 год (фин. часть) от 22.10.07" xfId="8196"/>
    <cellStyle name="_Бюджет2004_Дайджест 2003-2004 гг._Презентация 2008 год (фин. часть) от 22.10.07 2" xfId="8197"/>
    <cellStyle name="_Бюджет2004_Дайджест 2003-2004 гг._Презентация 2008 год (фин. часть) от 22.10.07 3" xfId="8198"/>
    <cellStyle name="_Бюджет2004_Дайджест 2003-2004 гг._Презентация 2008 год (фин. часть) от 22.10.07 4" xfId="8199"/>
    <cellStyle name="_Бюджет2004_Дайджест 2003-2004 гг._Презентация 2008 год (фин. часть) от 22.10.07 5" xfId="8200"/>
    <cellStyle name="_Бюджет2004_Дайджест 2003-2004 гг._Презентация 2008 год (фин. часть) от 22.10.07 6" xfId="8201"/>
    <cellStyle name="_Бюджет2004_Дайджест 2003-2004 гг._Презентация 2008 год (фин. часть) от 22.10.07 7" xfId="8202"/>
    <cellStyle name="_Бюджет2004_Дайджест 2003-2004 гг._Презентация 2008 год (фин. часть) от 22.10.07 8" xfId="8203"/>
    <cellStyle name="_Бюджет2004_Дайджест 2003-2004 гг._Презентация 2008 год (фин. часть) от 22.10.07 9" xfId="8204"/>
    <cellStyle name="_Бюджет2004_Дайджест 2003-2004 гг._Презентация 2008 фин. часть (коричневые формы)" xfId="8205"/>
    <cellStyle name="_Бюджет2004_Дайджест 2003-2004 гг._Презентация 2008 фин. часть (коричневые формы) 2" xfId="8206"/>
    <cellStyle name="_Бюджет2004_Дайджест 2003-2004 гг._Презентация 2008 фин. часть (коричневые формы) 3" xfId="8207"/>
    <cellStyle name="_Бюджет2004_Дайджест 2003-2004 гг._Презентация 2008 фин. часть (коричневые формы) 4" xfId="8208"/>
    <cellStyle name="_Бюджет2004_Дайджест 2003-2004 гг._Презентация 2008 фин. часть (коричневые формы) 5" xfId="8209"/>
    <cellStyle name="_Бюджет2004_Дайджест 2003-2004 гг._Презентация 2008 фин. часть (коричневые формы) 6" xfId="8210"/>
    <cellStyle name="_Бюджет2004_Дайджест 2003-2004 гг._Презентация 2008 фин. часть (коричневые формы) 7" xfId="8211"/>
    <cellStyle name="_Бюджет2004_Дайджест 2003-2004 гг._Презентация 2008 фин. часть (коричневые формы) 8" xfId="8212"/>
    <cellStyle name="_Бюджет2004_Дайджест 2003-2004 гг._Презентация 2008 фин. часть (коричневые формы) 9" xfId="8213"/>
    <cellStyle name="_Бюджет2004_Дайджест 2003-2004 гг._Презентация 3" xfId="8214"/>
    <cellStyle name="_Бюджет2004_Дайджест 2003-2004 гг._Презентация 4" xfId="8215"/>
    <cellStyle name="_Бюджет2004_Дайджест 2003-2004 гг._Презентация 5" xfId="8216"/>
    <cellStyle name="_Бюджет2004_Дайджест 2003-2004 гг._Презентация 6" xfId="8217"/>
    <cellStyle name="_Бюджет2004_Дайджест 2003-2004 гг._Презентация 7" xfId="8218"/>
    <cellStyle name="_Бюджет2004_Дайджест 2003-2004 гг._Презентация 8" xfId="8219"/>
    <cellStyle name="_Бюджет2004_Дайджест 2003-2004 гг._презентация 8.02.07" xfId="8220"/>
    <cellStyle name="_Бюджет2004_Дайджест 2003-2004 гг._презентация 8.02.07 2" xfId="8221"/>
    <cellStyle name="_Бюджет2004_Дайджест 2003-2004 гг._презентация 8.02.07 3" xfId="8222"/>
    <cellStyle name="_Бюджет2004_Дайджест 2003-2004 гг._презентация 8.02.07 4" xfId="8223"/>
    <cellStyle name="_Бюджет2004_Дайджест 2003-2004 гг._презентация 8.02.07 5" xfId="8224"/>
    <cellStyle name="_Бюджет2004_Дайджест 2003-2004 гг._презентация 8.02.07 6" xfId="8225"/>
    <cellStyle name="_Бюджет2004_Дайджест 2003-2004 гг._презентация 8.02.07 7" xfId="8226"/>
    <cellStyle name="_Бюджет2004_Дайджест 2003-2004 гг._презентация 8.02.07 8" xfId="8227"/>
    <cellStyle name="_Бюджет2004_Дайджест 2003-2004 гг._презентация 8.02.07 9" xfId="8228"/>
    <cellStyle name="_Бюджет2004_Дайджест 2003-2004 гг._Презентация 9" xfId="8229"/>
    <cellStyle name="_Бюджет2004_Дайджест 2003-2004 гг._Презентация август 07 факт" xfId="8230"/>
    <cellStyle name="_Бюджет2004_Дайджест 2003-2004 гг._Презентация август 07 факт 2" xfId="8231"/>
    <cellStyle name="_Бюджет2004_Дайджест 2003-2004 гг._Презентация август 07 факт 3" xfId="8232"/>
    <cellStyle name="_Бюджет2004_Дайджест 2003-2004 гг._Презентация август 07 факт 4" xfId="8233"/>
    <cellStyle name="_Бюджет2004_Дайджест 2003-2004 гг._Презентация август 07 факт 5" xfId="8234"/>
    <cellStyle name="_Бюджет2004_Дайджест 2003-2004 гг._Презентация август 07 факт 6" xfId="8235"/>
    <cellStyle name="_Бюджет2004_Дайджест 2003-2004 гг._Презентация август 07 факт 7" xfId="8236"/>
    <cellStyle name="_Бюджет2004_Дайджест 2003-2004 гг._Презентация август 07 факт 8" xfId="8237"/>
    <cellStyle name="_Бюджет2004_Дайджест 2003-2004 гг._Презентация август 07 факт 9" xfId="8238"/>
    <cellStyle name="_Бюджет2004_Дайджест 2003-2004 гг._Презентация для Ульянова" xfId="8239"/>
    <cellStyle name="_Бюджет2004_Дайджест 2003-2004 гг._Презентация для Ульянова 2" xfId="8240"/>
    <cellStyle name="_Бюджет2004_Дайджест 2003-2004 гг._Презентация для Ульянова 3" xfId="8241"/>
    <cellStyle name="_Бюджет2004_Дайджест 2003-2004 гг._Презентация для Ульянова 4" xfId="8242"/>
    <cellStyle name="_Бюджет2004_Дайджест 2003-2004 гг._Презентация для Ульянова 5" xfId="8243"/>
    <cellStyle name="_Бюджет2004_Дайджест 2003-2004 гг._Презентация для Ульянова 6" xfId="8244"/>
    <cellStyle name="_Бюджет2004_Дайджест 2003-2004 гг._Презентация для Ульянова 7" xfId="8245"/>
    <cellStyle name="_Бюджет2004_Дайджест 2003-2004 гг._Презентация для Ульянова 8" xfId="8246"/>
    <cellStyle name="_Бюджет2004_Дайджест 2003-2004 гг._Презентация для Ульянова 9" xfId="8247"/>
    <cellStyle name="_Бюджет2004_Дайджест 2003-2004 гг._Презентация для Ульянова И.Г. от 17.12.07" xfId="8248"/>
    <cellStyle name="_Бюджет2004_Дайджест 2003-2004 гг._Презентация для Ульянова И.Г. от 17.12.07 2" xfId="8249"/>
    <cellStyle name="_Бюджет2004_Дайджест 2003-2004 гг._Презентация для Ульянова И.Г. от 17.12.07 3" xfId="8250"/>
    <cellStyle name="_Бюджет2004_Дайджест 2003-2004 гг._Презентация для Ульянова И.Г. от 17.12.07 4" xfId="8251"/>
    <cellStyle name="_Бюджет2004_Дайджест 2003-2004 гг._Презентация для Ульянова И.Г. от 17.12.07 5" xfId="8252"/>
    <cellStyle name="_Бюджет2004_Дайджест 2003-2004 гг._Презентация для Ульянова И.Г. от 17.12.07 6" xfId="8253"/>
    <cellStyle name="_Бюджет2004_Дайджест 2003-2004 гг._Презентация для Ульянова И.Г. от 17.12.07 7" xfId="8254"/>
    <cellStyle name="_Бюджет2004_Дайджест 2003-2004 гг._Презентация для Ульянова И.Г. от 17.12.07 8" xfId="8255"/>
    <cellStyle name="_Бюджет2004_Дайджест 2003-2004 гг._Презентация для Ульянова И.Г. от 17.12.07 9" xfId="8256"/>
    <cellStyle name="_Бюджет2004_Дайджест 2003-2004 гг._презентация займы РК г" xfId="8257"/>
    <cellStyle name="_Бюджет2004_Дайджест 2003-2004 гг._презентация займы РК г 2" xfId="8258"/>
    <cellStyle name="_Бюджет2004_Дайджест 2003-2004 гг._презентация займы РК г 3" xfId="8259"/>
    <cellStyle name="_Бюджет2004_Дайджест 2003-2004 гг._презентация займы РК г 4" xfId="8260"/>
    <cellStyle name="_Бюджет2004_Дайджест 2003-2004 гг._презентация займы РК г 5" xfId="8261"/>
    <cellStyle name="_Бюджет2004_Дайджест 2003-2004 гг._презентация займы РК г 6" xfId="8262"/>
    <cellStyle name="_Бюджет2004_Дайджест 2003-2004 гг._презентация займы РК г 7" xfId="8263"/>
    <cellStyle name="_Бюджет2004_Дайджест 2003-2004 гг._презентация займы РК г 8" xfId="8264"/>
    <cellStyle name="_Бюджет2004_Дайджест 2003-2004 гг._презентация займы РК г 9" xfId="8265"/>
    <cellStyle name="_Бюджет2004_Дайджест 2003-2004 гг._Презентация инвестиции" xfId="8266"/>
    <cellStyle name="_Бюджет2004_Дайджест 2003-2004 гг._Презентация инвестиции 2" xfId="8267"/>
    <cellStyle name="_Бюджет2004_Дайджест 2003-2004 гг._Презентация инвестиции 3" xfId="8268"/>
    <cellStyle name="_Бюджет2004_Дайджест 2003-2004 гг._Презентация инвестиции 4" xfId="8269"/>
    <cellStyle name="_Бюджет2004_Дайджест 2003-2004 гг._Презентация инвестиции 5" xfId="8270"/>
    <cellStyle name="_Бюджет2004_Дайджест 2003-2004 гг._Презентация инвестиции 6" xfId="8271"/>
    <cellStyle name="_Бюджет2004_Дайджест 2003-2004 гг._Презентация инвестиции 7" xfId="8272"/>
    <cellStyle name="_Бюджет2004_Дайджест 2003-2004 гг._Презентация инвестиции 8" xfId="8273"/>
    <cellStyle name="_Бюджет2004_Дайджест 2003-2004 гг._Презентация инвестиции 9" xfId="8274"/>
    <cellStyle name="_Бюджет2004_Дайджест 2003-2004 гг._Презентация коричн. СДП, РК, Инв план 2008 (фин. часть) от 24.03.08" xfId="8275"/>
    <cellStyle name="_Бюджет2004_Дайджест 2003-2004 гг._Презентация коричн. СДП, РК, Инв план 2008 (фин. часть) от 24.03.08 2" xfId="8276"/>
    <cellStyle name="_Бюджет2004_Дайджест 2003-2004 гг._Презентация коричн. СДП, РК, Инв план 2008 (фин. часть) от 24.03.08 3" xfId="8277"/>
    <cellStyle name="_Бюджет2004_Дайджест 2003-2004 гг._Презентация коричн. СДП, РК, Инв план 2008 (фин. часть) от 24.03.08 4" xfId="8278"/>
    <cellStyle name="_Бюджет2004_Дайджест 2003-2004 гг._Презентация коричн. СДП, РК, Инв план 2008 (фин. часть) от 24.03.08 5" xfId="8279"/>
    <cellStyle name="_Бюджет2004_Дайджест 2003-2004 гг._Презентация коричн. СДП, РК, Инв план 2008 (фин. часть) от 24.03.08 6" xfId="8280"/>
    <cellStyle name="_Бюджет2004_Дайджест 2003-2004 гг._Презентация коричн. СДП, РК, Инв план 2008 (фин. часть) от 24.03.08 7" xfId="8281"/>
    <cellStyle name="_Бюджет2004_Дайджест 2003-2004 гг._Презентация коричн. СДП, РК, Инв план 2008 (фин. часть) от 24.03.08 8" xfId="8282"/>
    <cellStyle name="_Бюджет2004_Дайджест 2003-2004 гг._Презентация коричн. СДП, РК, Инв план 2008 (фин. часть) от 24.03.08 9" xfId="8283"/>
    <cellStyle name="_Бюджет2004_Дайджест 2003-2004 гг._Презентация коричневая 2007 план + ож" xfId="8284"/>
    <cellStyle name="_Бюджет2004_Дайджест 2003-2004 гг._Презентация коричневая 2007-2008" xfId="8285"/>
    <cellStyle name="_Бюджет2004_Дайджест 2003-2004 гг._Презентация от 10.12.07 (СПД и РК)  2007план и 2007ожид." xfId="8286"/>
    <cellStyle name="_Бюджет2004_Дайджест 2003-2004 гг._Презентация от 10.12.07 (СПД и РК)  2007план и 2007ожид. 2" xfId="8287"/>
    <cellStyle name="_Бюджет2004_Дайджест 2003-2004 гг._Презентация от 10.12.07 (СПД и РК)  2007план и 2007ожид. 3" xfId="8288"/>
    <cellStyle name="_Бюджет2004_Дайджест 2003-2004 гг._Презентация от 10.12.07 (СПД и РК)  2007план и 2007ожид. 4" xfId="8289"/>
    <cellStyle name="_Бюджет2004_Дайджест 2003-2004 гг._Презентация от 10.12.07 (СПД и РК)  2007план и 2007ожид. 5" xfId="8290"/>
    <cellStyle name="_Бюджет2004_Дайджест 2003-2004 гг._Презентация от 10.12.07 (СПД и РК)  2007план и 2007ожид. 6" xfId="8291"/>
    <cellStyle name="_Бюджет2004_Дайджест 2003-2004 гг._Презентация от 10.12.07 (СПД и РК)  2007план и 2007ожид. 7" xfId="8292"/>
    <cellStyle name="_Бюджет2004_Дайджест 2003-2004 гг._Презентация от 10.12.07 (СПД и РК)  2007план и 2007ожид. 8" xfId="8293"/>
    <cellStyle name="_Бюджет2004_Дайджест 2003-2004 гг._Презентация от 10.12.07 (СПД и РК)  2007план и 2007ожид. 9" xfId="8294"/>
    <cellStyle name="_Бюджет2004_Дайджест 2003-2004 гг._Презентация от 10.12.07 (СПД и РК)  2008план и 2007ожид" xfId="8295"/>
    <cellStyle name="_Бюджет2004_Дайджест 2003-2004 гг._Презентация от 10.12.07 (СПД и РК)  2008план и 2007ожид 2" xfId="8296"/>
    <cellStyle name="_Бюджет2004_Дайджест 2003-2004 гг._Презентация от 10.12.07 (СПД и РК)  2008план и 2007ожид 3" xfId="8297"/>
    <cellStyle name="_Бюджет2004_Дайджест 2003-2004 гг._Презентация от 10.12.07 (СПД и РК)  2008план и 2007ожид 4" xfId="8298"/>
    <cellStyle name="_Бюджет2004_Дайджест 2003-2004 гг._Презентация от 10.12.07 (СПД и РК)  2008план и 2007ожид 5" xfId="8299"/>
    <cellStyle name="_Бюджет2004_Дайджест 2003-2004 гг._Презентация от 10.12.07 (СПД и РК)  2008план и 2007ожид 6" xfId="8300"/>
    <cellStyle name="_Бюджет2004_Дайджест 2003-2004 гг._Презентация от 10.12.07 (СПД и РК)  2008план и 2007ожид 7" xfId="8301"/>
    <cellStyle name="_Бюджет2004_Дайджест 2003-2004 гг._Презентация от 10.12.07 (СПД и РК)  2008план и 2007ожид 8" xfId="8302"/>
    <cellStyle name="_Бюджет2004_Дайджест 2003-2004 гг._Презентация от 10.12.07 (СПД и РК)  2008план и 2007ожид 9" xfId="8303"/>
    <cellStyle name="_Бюджет2004_Дайджест 2003-2004 гг._Презентация от 19 12 07" xfId="8304"/>
    <cellStyle name="_Бюджет2004_Дайджест 2003-2004 гг._Презентация от 19 12 07 2" xfId="8305"/>
    <cellStyle name="_Бюджет2004_Дайджест 2003-2004 гг._Презентация от 19 12 07 3" xfId="8306"/>
    <cellStyle name="_Бюджет2004_Дайджест 2003-2004 гг._Презентация от 19 12 07 4" xfId="8307"/>
    <cellStyle name="_Бюджет2004_Дайджест 2003-2004 гг._Презентация от 19 12 07 5" xfId="8308"/>
    <cellStyle name="_Бюджет2004_Дайджест 2003-2004 гг._Презентация от 19 12 07 6" xfId="8309"/>
    <cellStyle name="_Бюджет2004_Дайджест 2003-2004 гг._Презентация от 19 12 07 7" xfId="8310"/>
    <cellStyle name="_Бюджет2004_Дайджест 2003-2004 гг._Презентация от 19 12 07 8" xfId="8311"/>
    <cellStyle name="_Бюджет2004_Дайджест 2003-2004 гг._Презентация от 19 12 07 9" xfId="8312"/>
    <cellStyle name="_Бюджет2004_Дайджест 2003-2004 гг._Презентация СДП, РК, Инв план 2008 (фин. часть) от 24.03.08" xfId="8313"/>
    <cellStyle name="_Бюджет2004_Дайджест 2003-2004 гг._Презентация СДП, РК, Инв план 2008 (фин. часть) от 24.03.08 2" xfId="8314"/>
    <cellStyle name="_Бюджет2004_Дайджест 2003-2004 гг._Презентация СДП, РК, Инв план 2008 (фин. часть) от 24.03.08 3" xfId="8315"/>
    <cellStyle name="_Бюджет2004_Дайджест 2003-2004 гг._Презентация СДП, РК, Инв план 2008 (фин. часть) от 24.03.08 4" xfId="8316"/>
    <cellStyle name="_Бюджет2004_Дайджест 2003-2004 гг._Презентация СДП, РК, Инв план 2008 (фин. часть) от 24.03.08 5" xfId="8317"/>
    <cellStyle name="_Бюджет2004_Дайджест 2003-2004 гг._Презентация СДП, РК, Инв план 2008 (фин. часть) от 24.03.08 6" xfId="8318"/>
    <cellStyle name="_Бюджет2004_Дайджест 2003-2004 гг._Презентация СДП, РК, Инв план 2008 (фин. часть) от 24.03.08 7" xfId="8319"/>
    <cellStyle name="_Бюджет2004_Дайджест 2003-2004 гг._Презентация СДП, РК, Инв план 2008 (фин. часть) от 24.03.08 8" xfId="8320"/>
    <cellStyle name="_Бюджет2004_Дайджест 2003-2004 гг._Презентация СДП, РК, Инв план 2008 (фин. часть) от 24.03.08 9" xfId="8321"/>
    <cellStyle name="_Бюджет2004_Дайджест 2003-2004 гг._Презентация ФО от 17.12.07" xfId="8322"/>
    <cellStyle name="_Бюджет2004_Дайджест 2003-2004 гг._Презентация ФО от 17.12.07 2" xfId="8323"/>
    <cellStyle name="_Бюджет2004_Дайджест 2003-2004 гг._Презентация ФО от 17.12.07 3" xfId="8324"/>
    <cellStyle name="_Бюджет2004_Дайджест 2003-2004 гг._Презентация ФО от 17.12.07 4" xfId="8325"/>
    <cellStyle name="_Бюджет2004_Дайджест 2003-2004 гг._Презентация ФО от 17.12.07 5" xfId="8326"/>
    <cellStyle name="_Бюджет2004_Дайджест 2003-2004 гг._Презентация ФО от 17.12.07 6" xfId="8327"/>
    <cellStyle name="_Бюджет2004_Дайджест 2003-2004 гг._Презентация ФО от 17.12.07 7" xfId="8328"/>
    <cellStyle name="_Бюджет2004_Дайджест 2003-2004 гг._Презентация ФО от 17.12.07 8" xfId="8329"/>
    <cellStyle name="_Бюджет2004_Дайджест 2003-2004 гг._Презентация ФО от 17.12.07 9" xfId="8330"/>
    <cellStyle name="_Бюджет2004_Дайджест 2003-2004 гг._презентация-2008год " xfId="8331"/>
    <cellStyle name="_Бюджет2004_Дайджест 2003-2004 гг._презентация-2008год  2" xfId="8332"/>
    <cellStyle name="_Бюджет2004_Дайджест 2003-2004 гг._презентация-2008год  3" xfId="8333"/>
    <cellStyle name="_Бюджет2004_Дайджест 2003-2004 гг._презентация-2008год  4" xfId="8334"/>
    <cellStyle name="_Бюджет2004_Дайджест 2003-2004 гг._презентация-2008год  5" xfId="8335"/>
    <cellStyle name="_Бюджет2004_Дайджест 2003-2004 гг._презентация-2008год  6" xfId="8336"/>
    <cellStyle name="_Бюджет2004_Дайджест 2003-2004 гг._презентация-2008год  7" xfId="8337"/>
    <cellStyle name="_Бюджет2004_Дайджест 2003-2004 гг._презентация-2008год  8" xfId="8338"/>
    <cellStyle name="_Бюджет2004_Дайджест 2003-2004 гг._презентация-2008год  9" xfId="8339"/>
    <cellStyle name="_Бюджет2004_Дайджест 2003-2004 гг._Презетация ФО (с учетом инвестиций на 2341,2)" xfId="8340"/>
    <cellStyle name="_Бюджет2004_Дайджест 2003-2004 гг._Презетация ФО (с учетом инвестиций на 2341,2) 2" xfId="8341"/>
    <cellStyle name="_Бюджет2004_Дайджест 2003-2004 гг._Презетация ФО (с учетом инвестиций на 2341,2) 3" xfId="8342"/>
    <cellStyle name="_Бюджет2004_Дайджест 2003-2004 гг._Презетация ФО (с учетом инвестиций на 2341,2) 4" xfId="8343"/>
    <cellStyle name="_Бюджет2004_Дайджест 2003-2004 гг._Презетация ФО (с учетом инвестиций на 2341,2) 5" xfId="8344"/>
    <cellStyle name="_Бюджет2004_Дайджест 2003-2004 гг._Презетация ФО (с учетом инвестиций на 2341,2) 6" xfId="8345"/>
    <cellStyle name="_Бюджет2004_Дайджест 2003-2004 гг._Презетация ФО (с учетом инвестиций на 2341,2) 7" xfId="8346"/>
    <cellStyle name="_Бюджет2004_Дайджест 2003-2004 гг._Презетация ФО (с учетом инвестиций на 2341,2) 8" xfId="8347"/>
    <cellStyle name="_Бюджет2004_Дайджест 2003-2004 гг._Презетация ФО (с учетом инвестиций на 2341,2) 9" xfId="8348"/>
    <cellStyle name="_Бюджет2004_Дайджест 2003-2004 гг._Приложения (формы отчетности)" xfId="8349"/>
    <cellStyle name="_Бюджет2004_Дайджест 2003-2004 гг._Приложения февраль 09 (МП) отпр в УК от 04 02 09" xfId="8350"/>
    <cellStyle name="_Бюджет2004_Дайджест 2003-2004 гг._Прогноз консолидированный июнь" xfId="8351"/>
    <cellStyle name="_Бюджет2004_Дайджест 2003-2004 гг._РК+СДП 2008 год" xfId="8352"/>
    <cellStyle name="_Бюджет2004_Дайджест 2003-2004 гг._РК+СДП 2008 год 2" xfId="8353"/>
    <cellStyle name="_Бюджет2004_Дайджест 2003-2004 гг._РК+СДП 2008 год 3" xfId="8354"/>
    <cellStyle name="_Бюджет2004_Дайджест 2003-2004 гг._РК+СДП 2008 год 4" xfId="8355"/>
    <cellStyle name="_Бюджет2004_Дайджест 2003-2004 гг._РК+СДП 2008 год 5" xfId="8356"/>
    <cellStyle name="_Бюджет2004_Дайджест 2003-2004 гг._РК+СДП 2008 год 6" xfId="8357"/>
    <cellStyle name="_Бюджет2004_Дайджест 2003-2004 гг._РК+СДП 2008 год 7" xfId="8358"/>
    <cellStyle name="_Бюджет2004_Дайджест 2003-2004 гг._РК+СДП 2008 год 8" xfId="8359"/>
    <cellStyle name="_Бюджет2004_Дайджест 2003-2004 гг._РК+СДП 2008 год 9" xfId="8360"/>
    <cellStyle name="_Бюджет2004_Дайджест 2003-2004 гг._Свод производства 1 квартал" xfId="8361"/>
    <cellStyle name="_Бюджет2004_Дайджест 2003-2004 гг._Себестоимость" xfId="8362"/>
    <cellStyle name="_Бюджет2004_Дайджест 2003-2004 гг._Слайд осн показатели к совещанию в УК от 18 01 09" xfId="8363"/>
    <cellStyle name="_Бюджет2004_Дайджест 2003-2004 гг._Слайды 2-й квартал (ФП-КП)" xfId="8364"/>
    <cellStyle name="_Бюджет2004_Дайджест 2003-2004 гг._Слайды 2-й квартал (ФП-КП) 2" xfId="8365"/>
    <cellStyle name="_Бюджет2004_Дайджест 2003-2004 гг._Слайды 2-й квартал (ФП-КП) 3" xfId="8366"/>
    <cellStyle name="_Бюджет2004_Дайджест 2003-2004 гг._Слайды 2-й квартал (ФП-КП) 4" xfId="8367"/>
    <cellStyle name="_Бюджет2004_Дайджест 2003-2004 гг._Слайды 2-й квартал (ФП-КП) 5" xfId="8368"/>
    <cellStyle name="_Бюджет2004_Дайджест 2003-2004 гг._Слайды 2-й квартал (ФП-КП) 6" xfId="8369"/>
    <cellStyle name="_Бюджет2004_Дайджест 2003-2004 гг._Слайды 2-й квартал (ФП-КП) 7" xfId="8370"/>
    <cellStyle name="_Бюджет2004_Дайджест 2003-2004 гг._Слайды 2-й квартал (ФП-КП) 8" xfId="8371"/>
    <cellStyle name="_Бюджет2004_Дайджест 2003-2004 гг._Слайды 2-й квартал (ФП-КП) 9" xfId="8372"/>
    <cellStyle name="_Бюджет2004_Дайджест 2003-2004 гг._СПД, РК, Инв. 2008 коричневая" xfId="8373"/>
    <cellStyle name="_Бюджет2004_Дайджест 2003-2004 гг._СПД, РК, Инв. 2008 коричневая 2" xfId="8374"/>
    <cellStyle name="_Бюджет2004_Дайджест 2003-2004 гг._СПД, РК, Инв. 2008 коричневая 3" xfId="8375"/>
    <cellStyle name="_Бюджет2004_Дайджест 2003-2004 гг._СПД, РК, Инв. 2008 коричневая 4" xfId="8376"/>
    <cellStyle name="_Бюджет2004_Дайджест 2003-2004 гг._СПД, РК, Инв. 2008 коричневая 5" xfId="8377"/>
    <cellStyle name="_Бюджет2004_Дайджест 2003-2004 гг._СПД, РК, Инв. 2008 коричневая 6" xfId="8378"/>
    <cellStyle name="_Бюджет2004_Дайджест 2003-2004 гг._СПД, РК, Инв. 2008 коричневая 7" xfId="8379"/>
    <cellStyle name="_Бюджет2004_Дайджест 2003-2004 гг._СПД, РК, Инв. 2008 коричневая 8" xfId="8380"/>
    <cellStyle name="_Бюджет2004_Дайджест 2003-2004 гг._СПД, РК, Инв. 2008 коричневая 9" xfId="8381"/>
    <cellStyle name="_Бюджет2004_Дайджест 2003-2004 гг._Сравнение ожидаемого 2008  c БП 2009г. УрСт вариант 2 (скоррект. цены)" xfId="8382"/>
    <cellStyle name="_Бюджет2004_Дайджест 2003-2004 гг._Сравнение ожидаемого 2008 с 2009г  ОЭМК от 06 10 2008" xfId="8383"/>
    <cellStyle name="_Бюджет2004_Дайджест 2003-2004 гг._Сравнение ожидаемого 2008 с 2009г. ОЭМК  28.10.2008 (скорректир. цены)" xfId="8384"/>
    <cellStyle name="_Бюджет2004_Дайджест 2003-2004 гг._Сравнение ожидаемого 2008 УС c 2009г  от 06 10 2008" xfId="8385"/>
    <cellStyle name="_Бюджет2004_Дайджест 2003-2004 гг._Структура затрат (Формат) ЛГОК" xfId="8386"/>
    <cellStyle name="_Бюджет2004_Дайджест 2003-2004 гг._Структура затрат (Формат) ЛГОК_28.01.2009" xfId="8387"/>
    <cellStyle name="_Бюджет2004_Дайджест 2003-2004 гг._ТП на 2011_год покварт" xfId="8388"/>
    <cellStyle name="_Бюджет2004_Дайджест 2003-2004 гг._Труд для нас" xfId="8389"/>
    <cellStyle name="_Бюджет2004_Дайджест 2003-2004 гг._Труд для нас 2" xfId="8390"/>
    <cellStyle name="_Бюджет2004_Дайджест 2003-2004 гг._Труд для нас 3" xfId="8391"/>
    <cellStyle name="_Бюджет2004_Дайджест 2003-2004 гг._Труд для нас 4" xfId="8392"/>
    <cellStyle name="_Бюджет2004_Дайджест 2003-2004 гг._Труд для нас 5" xfId="8393"/>
    <cellStyle name="_Бюджет2004_Дайджест 2003-2004 гг._Труд для нас 6" xfId="8394"/>
    <cellStyle name="_Бюджет2004_Дайджест 2003-2004 гг._Труд для нас 7" xfId="8395"/>
    <cellStyle name="_Бюджет2004_Дайджест 2003-2004 гг._Труд для нас 8" xfId="8396"/>
    <cellStyle name="_Бюджет2004_Дайджест 2003-2004 гг._Труд для нас 9" xfId="8397"/>
    <cellStyle name="_Бюджет2004_Дайджест 2003-2004 гг._УралКирпич_план на 2 кв. 2009" xfId="8398"/>
    <cellStyle name="_Бюджет2004_Дайджест 2003-2004 гг._УСТ - любимая табличка по новому 2009 г." xfId="8399"/>
    <cellStyle name="_Бюджет2004_Дайджест 2003-2004 гг._Ф 29, 30" xfId="8400"/>
    <cellStyle name="_Бюджет2004_Дайджест 2003-2004 гг._Ф 29, 30 2" xfId="8401"/>
    <cellStyle name="_Бюджет2004_Дайджест 2003-2004 гг._Ф 29, 30 3" xfId="8402"/>
    <cellStyle name="_Бюджет2004_Дайджест 2003-2004 гг._Ф 29, 30 4" xfId="8403"/>
    <cellStyle name="_Бюджет2004_Дайджест 2003-2004 гг._Ф 29, 30 5" xfId="8404"/>
    <cellStyle name="_Бюджет2004_Дайджест 2003-2004 гг._Ф 29, 30 6" xfId="8405"/>
    <cellStyle name="_Бюджет2004_Дайджест 2003-2004 гг._Ф 29, 30 7" xfId="8406"/>
    <cellStyle name="_Бюджет2004_Дайджест 2003-2004 гг._Ф 29, 30 8" xfId="8407"/>
    <cellStyle name="_Бюджет2004_Дайджест 2003-2004 гг._Ф 29, 30 9" xfId="8408"/>
    <cellStyle name="_Бюджет2004_Дайджест 2003-2004 гг._ф IIкв.07 EBITDA ЛГОК 27.07.07" xfId="8409"/>
    <cellStyle name="_Бюджет2004_Дайджест 2003-2004 гг._ф01 2007 фин. часть МГОК 21.03.07" xfId="8410"/>
    <cellStyle name="_Бюджет2004_Дайджест 2003-2004 гг._ф01.07 EBITDA ОАО ЛГОК 02.03.07" xfId="8411"/>
    <cellStyle name="_Бюджет2004_Дайджест 2003-2004 гг._ф01.07 EBITDA ОАО ЛГОК 05.03.07" xfId="8412"/>
    <cellStyle name="_Бюджет2004_Дайджест 2003-2004 гг._ф01.07 EBITDA ОАО ЛГОК с изм. 30.03.07" xfId="8413"/>
    <cellStyle name="_Бюджет2004_Дайджест 2003-2004 гг._ф01.07 EBITDA ОАО УС 05.03.07" xfId="8414"/>
    <cellStyle name="_Бюджет2004_Дайджест 2003-2004 гг._ф01.07 EBITDA ОАО УС 05.03.07(26,2)" xfId="8415"/>
    <cellStyle name="_Бюджет2004_Дайджест 2003-2004 гг._ф01.07 EBITDA ОЭМК 02.03.07" xfId="8416"/>
    <cellStyle name="_Бюджет2004_Дайджест 2003-2004 гг._ф02.07 EBITDA ОАО ЛГОК 28.03.07" xfId="8417"/>
    <cellStyle name="_Бюджет2004_Дайджест 2003-2004 гг._ф02.07 EBITDA ОАО УС 28.03.07" xfId="8418"/>
    <cellStyle name="_Бюджет2004_Дайджест 2003-2004 гг._ф02.07 EBITDA ОЭМК 28.03.07" xfId="8419"/>
    <cellStyle name="_Бюджет2004_Дайджест 2003-2004 гг._ф11 Депозиты" xfId="8420"/>
    <cellStyle name="_Бюджет2004_Дайджест 2003-2004 гг._ф1кв.07 EBITDA ЛГОК 28.04.07" xfId="8421"/>
    <cellStyle name="_Бюджет2004_Дайджест 2003-2004 гг._фIкв EBITDA ОАО УС 28.04.07" xfId="8422"/>
    <cellStyle name="_Бюджет2004_Дайджест 2003-2004 гг._фIкв EBITDA ОЭМК 28.04.07" xfId="8423"/>
    <cellStyle name="_Бюджет2004_Дайджест 2003-2004 гг._Факт_2007_Часть 2" xfId="8424"/>
    <cellStyle name="_Бюджет2004_Дайджест 2003-2004 гг._Фин.часть  2007ожид и 2008 план" xfId="8425"/>
    <cellStyle name="_Бюджет2004_Дайджест 2003-2004 гг._Фин.часть  2007ожид и 2008 план 2" xfId="8426"/>
    <cellStyle name="_Бюджет2004_Дайджест 2003-2004 гг._Фин.часть  2007ожид и 2008 план 3" xfId="8427"/>
    <cellStyle name="_Бюджет2004_Дайджест 2003-2004 гг._Фин.часть  2007ожид и 2008 план 4" xfId="8428"/>
    <cellStyle name="_Бюджет2004_Дайджест 2003-2004 гг._Фин.часть  2007ожид и 2008 план 5" xfId="8429"/>
    <cellStyle name="_Бюджет2004_Дайджест 2003-2004 гг._Фин.часть  2007ожид и 2008 план 6" xfId="8430"/>
    <cellStyle name="_Бюджет2004_Дайджест 2003-2004 гг._Фин.часть  2007ожид и 2008 план 7" xfId="8431"/>
    <cellStyle name="_Бюджет2004_Дайджест 2003-2004 гг._Фин.часть  2007ожид и 2008 план 8" xfId="8432"/>
    <cellStyle name="_Бюджет2004_Дайджест 2003-2004 гг._Фин.часть  2007ожид и 2008 план 9" xfId="8433"/>
    <cellStyle name="_Бюджет2004_Дайджест 2003-2004 гг._Фин.часть 11.12.06" xfId="8434"/>
    <cellStyle name="_Бюджет2004_Дайджест 2003-2004 гг._Фин.часть 11.12.06 2" xfId="8435"/>
    <cellStyle name="_Бюджет2004_Дайджест 2003-2004 гг._Фин.часть 11.12.06 3" xfId="8436"/>
    <cellStyle name="_Бюджет2004_Дайджест 2003-2004 гг._Фин.часть 11.12.06 4" xfId="8437"/>
    <cellStyle name="_Бюджет2004_Дайджест 2003-2004 гг._Фин.часть 11.12.06 5" xfId="8438"/>
    <cellStyle name="_Бюджет2004_Дайджест 2003-2004 гг._Фин.часть 11.12.06 6" xfId="8439"/>
    <cellStyle name="_Бюджет2004_Дайджест 2003-2004 гг._Фин.часть 11.12.06 7" xfId="8440"/>
    <cellStyle name="_Бюджет2004_Дайджест 2003-2004 гг._Фин.часть 11.12.06 8" xfId="8441"/>
    <cellStyle name="_Бюджет2004_Дайджест 2003-2004 гг._Фин.часть 11.12.06 9" xfId="8442"/>
    <cellStyle name="_Бюджет2004_Дайджест 2003-2004 гг._Форма  19     27.03.07" xfId="8443"/>
    <cellStyle name="_Бюджет2004_Дайджест 2003-2004 гг._Форма  19     27.03.07 2" xfId="8444"/>
    <cellStyle name="_Бюджет2004_Дайджест 2003-2004 гг._Форма  19     27.03.07 3" xfId="8445"/>
    <cellStyle name="_Бюджет2004_Дайджест 2003-2004 гг._Форма  19     27.03.07 4" xfId="8446"/>
    <cellStyle name="_Бюджет2004_Дайджест 2003-2004 гг._Форма  19     27.03.07 5" xfId="8447"/>
    <cellStyle name="_Бюджет2004_Дайджест 2003-2004 гг._Форма  19     27.03.07 6" xfId="8448"/>
    <cellStyle name="_Бюджет2004_Дайджест 2003-2004 гг._Форма  19     27.03.07 7" xfId="8449"/>
    <cellStyle name="_Бюджет2004_Дайджест 2003-2004 гг._Форма  19     27.03.07 8" xfId="8450"/>
    <cellStyle name="_Бюджет2004_Дайджест 2003-2004 гг._Форма  19     27.03.07 9" xfId="8451"/>
    <cellStyle name="_Бюджет2004_Дайджест 2003-2004 гг._Форма  20,21 25.02.07" xfId="8452"/>
    <cellStyle name="_Бюджет2004_Дайджест 2003-2004 гг._Форма _ 2,4,5,30 скорр." xfId="8453"/>
    <cellStyle name="_Бюджет2004_Дайджест 2003-2004 гг._Форма 19 за 1 кв" xfId="8454"/>
    <cellStyle name="_Бюджет2004_Дайджест 2003-2004 гг._Форма 20,21за 1 кв 25.04.07" xfId="8455"/>
    <cellStyle name="_Бюджет2004_Дайджест 2003-2004 гг._Форма 28" xfId="8456"/>
    <cellStyle name="_Бюджет2004_Дайджест 2003-2004 гг._Форма 9" xfId="8457"/>
    <cellStyle name="_Бюджет2004_Дайджест 2003-2004 гг._Форма 9 2" xfId="8458"/>
    <cellStyle name="_Бюджет2004_Дайджест 2003-2004 гг._Форма 9 3" xfId="8459"/>
    <cellStyle name="_Бюджет2004_Дайджест 2003-2004 гг._Форма 9 4" xfId="8460"/>
    <cellStyle name="_Бюджет2004_Дайджест 2003-2004 гг._Форма 9 5" xfId="8461"/>
    <cellStyle name="_Бюджет2004_Дайджест 2003-2004 гг._Форма 9 6" xfId="8462"/>
    <cellStyle name="_Бюджет2004_Дайджест 2003-2004 гг._Форма 9 7" xfId="8463"/>
    <cellStyle name="_Бюджет2004_Дайджест 2003-2004 гг._Форма 9 8" xfId="8464"/>
    <cellStyle name="_Бюджет2004_Дайджест 2003-2004 гг._Форма 9 9" xfId="8465"/>
    <cellStyle name="_Бюджет2004_Дайджест 2003-2004 гг._Форма № 13, 14" xfId="8466"/>
    <cellStyle name="_Бюджет2004_Дайджест 2003-2004 гг._Форма № 19 25.02.07" xfId="8467"/>
    <cellStyle name="_Бюджет2004_Дайджест 2003-2004 гг._Форма № 28, 29, 30 план год 2008 от 05.12.07 для отправки" xfId="8468"/>
    <cellStyle name="_Бюджет2004_Дайджест 2003-2004 гг._Форма № 28, 29, 30 план год 2008 от 05.12.07 для отправки 2" xfId="8469"/>
    <cellStyle name="_Бюджет2004_Дайджест 2003-2004 гг._Форма № 28, 29, 30 план год 2008 от 05.12.07 для отправки 3" xfId="8470"/>
    <cellStyle name="_Бюджет2004_Дайджест 2003-2004 гг._Форма № 28, 29, 30 план год 2008 от 05.12.07 для отправки 4" xfId="8471"/>
    <cellStyle name="_Бюджет2004_Дайджест 2003-2004 гг._Форма № 28, 29, 30 план год 2008 от 05.12.07 для отправки 5" xfId="8472"/>
    <cellStyle name="_Бюджет2004_Дайджест 2003-2004 гг._Форма № 28, 29, 30 план год 2008 от 05.12.07 для отправки 6" xfId="8473"/>
    <cellStyle name="_Бюджет2004_Дайджест 2003-2004 гг._Форма № 28, 29, 30 план год 2008 от 05.12.07 для отправки 7" xfId="8474"/>
    <cellStyle name="_Бюджет2004_Дайджест 2003-2004 гг._Форма № 28, 29, 30 план год 2008 от 05.12.07 для отправки 8" xfId="8475"/>
    <cellStyle name="_Бюджет2004_Дайджест 2003-2004 гг._Форма № 28, 29, 30 план год 2008 от 05.12.07 для отправки 9" xfId="8476"/>
    <cellStyle name="_Бюджет2004_Дайджест 2003-2004 гг._Форма № 29" xfId="8477"/>
    <cellStyle name="_Бюджет2004_Дайджест 2003-2004 гг._Форма № 29 2" xfId="8478"/>
    <cellStyle name="_Бюджет2004_Дайджест 2003-2004 гг._Форма № 29 3" xfId="8479"/>
    <cellStyle name="_Бюджет2004_Дайджест 2003-2004 гг._Форма № 29 4" xfId="8480"/>
    <cellStyle name="_Бюджет2004_Дайджест 2003-2004 гг._Форма № 29 5" xfId="8481"/>
    <cellStyle name="_Бюджет2004_Дайджест 2003-2004 гг._Форма № 29 6" xfId="8482"/>
    <cellStyle name="_Бюджет2004_Дайджест 2003-2004 гг._Форма № 29 7" xfId="8483"/>
    <cellStyle name="_Бюджет2004_Дайджест 2003-2004 гг._Форма № 29 8" xfId="8484"/>
    <cellStyle name="_Бюджет2004_Дайджест 2003-2004 гг._Форма № 29 9" xfId="8485"/>
    <cellStyle name="_Бюджет2004_Дайджест 2003-2004 гг._Форма № 30  26.02.07" xfId="8486"/>
    <cellStyle name="_Бюджет2004_Дайджест 2003-2004 гг._Форма №13" xfId="8487"/>
    <cellStyle name="_Бюджет2004_Дайджест 2003-2004 гг._Форма №13, 14 от 25.04.07" xfId="8488"/>
    <cellStyle name="_Бюджет2004_Дайджест 2003-2004 гг._Форма №14" xfId="8489"/>
    <cellStyle name="_Бюджет2004_Дайджест 2003-2004 гг._Форма №19 июль факт" xfId="8490"/>
    <cellStyle name="_Бюджет2004_Дайджест 2003-2004 гг._форма №24 от 07.12.2006г" xfId="8491"/>
    <cellStyle name="_Бюджет2004_Дайджест 2003-2004 гг._форма №24 от 11.12.2006г" xfId="8492"/>
    <cellStyle name="_Бюджет2004_Дайджест 2003-2004 гг._форма №24 от 15.12.2006г" xfId="8493"/>
    <cellStyle name="_Бюджет2004_Дайджест 2003-2004 гг._форма №24,25 2 кв. от 02.04.07" xfId="8494"/>
    <cellStyle name="_Бюджет2004_Дайджест 2003-2004 гг._Форма №24,25 за 1 кв 2007" xfId="8495"/>
    <cellStyle name="_Бюджет2004_Дайджест 2003-2004 гг._Форма №24,25 за янв 2007" xfId="8496"/>
    <cellStyle name="_Бюджет2004_Дайджест 2003-2004 гг._Форма №26 1 кв" xfId="8497"/>
    <cellStyle name="_Бюджет2004_Дайджест 2003-2004 гг._Форма №27 1 кв" xfId="8498"/>
    <cellStyle name="_Бюджет2004_Дайджест 2003-2004 гг._Форма №8" xfId="8499"/>
    <cellStyle name="_Бюджет2004_Дайджест 2003-2004 гг._форма презентации по численности и зарплате" xfId="8500"/>
    <cellStyle name="_Бюджет2004_Дайджест 2003-2004 гг._форма презентации по численности и зарплате 2" xfId="8501"/>
    <cellStyle name="_Бюджет2004_Дайджест 2003-2004 гг._форма презентации по численности и зарплате 3" xfId="8502"/>
    <cellStyle name="_Бюджет2004_Дайджест 2003-2004 гг._форма презентации по численности и зарплате 4" xfId="8503"/>
    <cellStyle name="_Бюджет2004_Дайджест 2003-2004 гг._форма презентации по численности и зарплате 5" xfId="8504"/>
    <cellStyle name="_Бюджет2004_Дайджест 2003-2004 гг._форма презентации по численности и зарплате 6" xfId="8505"/>
    <cellStyle name="_Бюджет2004_Дайджест 2003-2004 гг._форма презентации по численности и зарплате 7" xfId="8506"/>
    <cellStyle name="_Бюджет2004_Дайджест 2003-2004 гг._форма презентации по численности и зарплате 8" xfId="8507"/>
    <cellStyle name="_Бюджет2004_Дайджест 2003-2004 гг._форма презентации по численности и зарплате 9" xfId="8508"/>
    <cellStyle name="_Бюджет2004_Дайджест 2003-2004 гг._Форма№13 (новая от 28 12 09г) февраль версия № и последняя" xfId="8509"/>
    <cellStyle name="_Бюджет2004_Дайджест 2003-2004 гг._Формат" xfId="8510"/>
    <cellStyle name="_Бюджет2004_Дайджест 2003-2004 гг._формат отчетности(фев с март)" xfId="8511"/>
    <cellStyle name="_Бюджет2004_Дайджест 2003-2004 гг._Формат Январь прогноз" xfId="8512"/>
    <cellStyle name="_Бюджет2004_Дайджест 2003-2004 гг._Формы 19,20,21" xfId="8513"/>
    <cellStyle name="_Бюджет2004_Дайджест 2003-2004 гг._Формы 19,20,21 16.12.06 " xfId="8514"/>
    <cellStyle name="_Бюджет2004_Дайджест 2003-2004 гг._Формы 19,20,21 на 2007г." xfId="8515"/>
    <cellStyle name="_Бюджет2004_Дайджест 2003-2004 гг._Формы Август-декбарь" xfId="8516"/>
    <cellStyle name="_Бюджет2004_Дайджест 2003-2004 гг._Формы для ЛГОК (к отправке)" xfId="8517"/>
    <cellStyle name="_Бюджет2004_Дайджест 2003-2004 гг._Формы для ОЭМК (к отправке)" xfId="8518"/>
    <cellStyle name="_Бюджет2004_Дайджест 2003-2004 гг._Формы общие отчет за год" xfId="8519"/>
    <cellStyle name="_Бюджет2004_Дайджест 2003-2004 гг._Формы общие отчет за год 10" xfId="8520"/>
    <cellStyle name="_Бюджет2004_Дайджест 2003-2004 гг._Формы общие отчет за год 11" xfId="8521"/>
    <cellStyle name="_Бюджет2004_Дайджест 2003-2004 гг._Формы общие отчет за год 12" xfId="8522"/>
    <cellStyle name="_Бюджет2004_Дайджест 2003-2004 гг._Формы общие отчет за год 13" xfId="8523"/>
    <cellStyle name="_Бюджет2004_Дайджест 2003-2004 гг._Формы общие отчет за год 2" xfId="8524"/>
    <cellStyle name="_Бюджет2004_Дайджест 2003-2004 гг._Формы общие отчет за год 3" xfId="8525"/>
    <cellStyle name="_Бюджет2004_Дайджест 2003-2004 гг._Формы общие отчет за год 4" xfId="8526"/>
    <cellStyle name="_Бюджет2004_Дайджест 2003-2004 гг._Формы общие отчет за год 5" xfId="8527"/>
    <cellStyle name="_Бюджет2004_Дайджест 2003-2004 гг._Формы общие отчет за год 6" xfId="8528"/>
    <cellStyle name="_Бюджет2004_Дайджест 2003-2004 гг._Формы общие отчет за год 7" xfId="8529"/>
    <cellStyle name="_Бюджет2004_Дайджест 2003-2004 гг._Формы общие отчет за год 8" xfId="8530"/>
    <cellStyle name="_Бюджет2004_Дайджест 2003-2004 гг._Формы общие отчет за год 9" xfId="8531"/>
    <cellStyle name="_Бюджет2004_Дайджест 2003-2004 гг._Формы общие отчет за год__План по труду 2008 261107 (10% с января)" xfId="8532"/>
    <cellStyle name="_Бюджет2004_Дайджест 2003-2004 гг._Формы общие отчет за год__План по труду 2008 261107 (10% с января) 2" xfId="8533"/>
    <cellStyle name="_Бюджет2004_Дайджест 2003-2004 гг._Формы общие отчет за год__План по труду 2008 261107 (10% с января) 3" xfId="8534"/>
    <cellStyle name="_Бюджет2004_Дайджест 2003-2004 гг._Формы общие отчет за год__План по труду 2008 261107 (10% с января) 4" xfId="8535"/>
    <cellStyle name="_Бюджет2004_Дайджест 2003-2004 гг._Формы общие отчет за год__План по труду 2008 261107 (10% с января) 5" xfId="8536"/>
    <cellStyle name="_Бюджет2004_Дайджест 2003-2004 гг._Формы общие отчет за год__План по труду 2008 261107 (10% с января) 6" xfId="8537"/>
    <cellStyle name="_Бюджет2004_Дайджест 2003-2004 гг._Формы общие отчет за год__План по труду 2008 261107 (10% с января) 7" xfId="8538"/>
    <cellStyle name="_Бюджет2004_Дайджест 2003-2004 гг._Формы общие отчет за год__План по труду 2008 261107 (10% с января) 8" xfId="8539"/>
    <cellStyle name="_Бюджет2004_Дайджест 2003-2004 гг._Формы общие отчет за год__План по труду 2008 261107 (10% с января) 9" xfId="8540"/>
    <cellStyle name="_Бюджет2004_Дайджест 2003-2004 гг._Формы общие отчет за год__План по труду 2008 ИТОГ (правл. ПНР 161007)_" xfId="8541"/>
    <cellStyle name="_Бюджет2004_Дайджест 2003-2004 гг._Формы общие отчет за год__План по труду 2008 ИТОГ (правл. ПНР 161007)_ 2" xfId="8542"/>
    <cellStyle name="_Бюджет2004_Дайджест 2003-2004 гг._Формы общие отчет за год__План по труду 2008 ИТОГ (правл. ПНР 161007)_ 3" xfId="8543"/>
    <cellStyle name="_Бюджет2004_Дайджест 2003-2004 гг._Формы общие отчет за год__План по труду 2008 ИТОГ (правл. ПНР 161007)_ 4" xfId="8544"/>
    <cellStyle name="_Бюджет2004_Дайджест 2003-2004 гг._Формы общие отчет за год__План по труду 2008 ИТОГ (правл. ПНР 161007)_ 5" xfId="8545"/>
    <cellStyle name="_Бюджет2004_Дайджест 2003-2004 гг._Формы общие отчет за год__План по труду 2008 ИТОГ (правл. ПНР 161007)_ 6" xfId="8546"/>
    <cellStyle name="_Бюджет2004_Дайджест 2003-2004 гг._Формы общие отчет за год__План по труду 2008 ИТОГ (правл. ПНР 161007)_ 7" xfId="8547"/>
    <cellStyle name="_Бюджет2004_Дайджест 2003-2004 гг._Формы общие отчет за год__План по труду 2008 ИТОГ (правл. ПНР 161007)_ 8" xfId="8548"/>
    <cellStyle name="_Бюджет2004_Дайджест 2003-2004 гг._Формы общие отчет за год__План по труду 2008 ИТОГ (правл. ПНР 161007)_ 9" xfId="8549"/>
    <cellStyle name="_Бюджет2004_Дайджест 2003-2004 гг._Формы общие отчет за год_2_Инвестпрограмма на 2008 год (КОВАЛЕВ)" xfId="8550"/>
    <cellStyle name="_Бюджет2004_Дайджест 2003-2004 гг._Формы общие отчет за год_Данные для ФОТ на 2008 год" xfId="8551"/>
    <cellStyle name="_Бюджет2004_Дайджест 2003-2004 гг._Формы общие отчет за год_Данные для ФОТ на 2008 год 2" xfId="8552"/>
    <cellStyle name="_Бюджет2004_Дайджест 2003-2004 гг._Формы общие отчет за год_Данные для ФОТ на 2008 год 3" xfId="8553"/>
    <cellStyle name="_Бюджет2004_Дайджест 2003-2004 гг._Формы общие отчет за год_Данные для ФОТ на 2008 год 4" xfId="8554"/>
    <cellStyle name="_Бюджет2004_Дайджест 2003-2004 гг._Формы общие отчет за год_Данные для ФОТ на 2008 год 5" xfId="8555"/>
    <cellStyle name="_Бюджет2004_Дайджест 2003-2004 гг._Формы общие отчет за год_Данные для ФОТ на 2008 год 6" xfId="8556"/>
    <cellStyle name="_Бюджет2004_Дайджест 2003-2004 гг._Формы общие отчет за год_Данные для ФОТ на 2008 год 7" xfId="8557"/>
    <cellStyle name="_Бюджет2004_Дайджест 2003-2004 гг._Формы общие отчет за год_Данные для ФОТ на 2008 год 8" xfId="8558"/>
    <cellStyle name="_Бюджет2004_Дайджест 2003-2004 гг._Формы общие отчет за год_Данные для ФОТ на 2008 год 9" xfId="8559"/>
    <cellStyle name="_Бюджет2004_Дайджест 2003-2004 гг._Формы общие отчет за год_План по труду 2008 ИТОГ (2003_вер)" xfId="8560"/>
    <cellStyle name="_Бюджет2004_Дайджест 2003-2004 гг._Формы общие отчет за год_План по труду 2008 ИТОГ (2003_вер) 2" xfId="8561"/>
    <cellStyle name="_Бюджет2004_Дайджест 2003-2004 гг._Формы общие отчет за год_План по труду 2008 ИТОГ (2003_вер) 3" xfId="8562"/>
    <cellStyle name="_Бюджет2004_Дайджест 2003-2004 гг._Формы общие отчет за год_План по труду 2008 ИТОГ (2003_вер) 4" xfId="8563"/>
    <cellStyle name="_Бюджет2004_Дайджест 2003-2004 гг._Формы общие отчет за год_План по труду 2008 ИТОГ (2003_вер) 5" xfId="8564"/>
    <cellStyle name="_Бюджет2004_Дайджест 2003-2004 гг._Формы общие отчет за год_План по труду 2008 ИТОГ (2003_вер) 6" xfId="8565"/>
    <cellStyle name="_Бюджет2004_Дайджест 2003-2004 гг._Формы общие отчет за год_План по труду 2008 ИТОГ (2003_вер) 7" xfId="8566"/>
    <cellStyle name="_Бюджет2004_Дайджест 2003-2004 гг._Формы общие отчет за год_План по труду 2008 ИТОГ (2003_вер) 8" xfId="8567"/>
    <cellStyle name="_Бюджет2004_Дайджест 2003-2004 гг._Формы общие отчет за год_План по труду 2008 ИТОГ (2003_вер) 9" xfId="8568"/>
    <cellStyle name="_Бюджет2004_Дайджест 2003-2004 гг._Формы общие отчет за год_ТКВ 2008 от 19.07" xfId="8569"/>
    <cellStyle name="_Бюджет2004_Дайджест 2003-2004 гг._Формы общие отчет за год_ТКВ 2008 от 31.07" xfId="8570"/>
    <cellStyle name="_Бюджет2004_Дайджест 2003-2004 гг._Эконом.показатели за февраль" xfId="8571"/>
    <cellStyle name="_Бюджет2004_Дайджест 2003-2004 гг._Экономические показатели Большаковой" xfId="8572"/>
    <cellStyle name="_Бюджет2004_Дайджест 2003-2004 гг._Экономические показатели Большаковой 2" xfId="8573"/>
    <cellStyle name="_Бюджет2004_Дайджест 2003-2004 гг._Экономические показатели Большаковой 3" xfId="8574"/>
    <cellStyle name="_Бюджет2004_Дайджест 2003-2004 гг._Экономические показатели Большаковой 4" xfId="8575"/>
    <cellStyle name="_Бюджет2004_Дайджест 2003-2004 гг._Экономические показатели Большаковой 5" xfId="8576"/>
    <cellStyle name="_Бюджет2004_Дайджест 2003-2004 гг._Экономические показатели Большаковой 6" xfId="8577"/>
    <cellStyle name="_Бюджет2004_Дайджест 2003-2004 гг._Экономические показатели Большаковой 7" xfId="8578"/>
    <cellStyle name="_Бюджет2004_Дайджест 2003-2004 гг._Экономические показатели Большаковой 8" xfId="8579"/>
    <cellStyle name="_Бюджет2004_Дайджест 2003-2004 гг._Экономические показатели Большаковой 9" xfId="8580"/>
    <cellStyle name="_Бюджет2004_исходные_291107" xfId="8581"/>
    <cellStyle name="_Бюджет2004_Лист1" xfId="8582"/>
    <cellStyle name="_Бюджет2004_Лист2" xfId="8583"/>
    <cellStyle name="_Бюджет2004_Лист3" xfId="8584"/>
    <cellStyle name="_Бюджет2004_План ДСМ 2 квартал 2009 ОТЧЕТ отп" xfId="8585"/>
    <cellStyle name="_Бюджет2004_План ДСМ 2 квартал 2009 ОТЧЕТ отп_Отчет за сентябрь_11_ДСМ_ОТЧЕТ" xfId="8586"/>
    <cellStyle name="_Бюджет2004_План ДСМ 2 квартал 2009 ОТЧЕТ отп_План ДСМ ноябрь 2011 ОТЧЕТ" xfId="8587"/>
    <cellStyle name="_Бюджет2004_План ДСМ 3 квартал 2009 ОТЧЕТ" xfId="8588"/>
    <cellStyle name="_Бюджет2004_План ДСМ 3 квартал 2009 ОТЧЕТ_Отчет за сентябрь_11_ДСМ_ОТЧЕТ" xfId="8589"/>
    <cellStyle name="_Бюджет2004_План ДСМ 3 квартал 2009 ОТЧЕТ_План ДСМ ноябрь 2011 ОТЧЕТ" xfId="8590"/>
    <cellStyle name="_Бюджет2004_План ДСМ 4 квартал 2009 ОТЧЕТ" xfId="8591"/>
    <cellStyle name="_Бюджет2004_План ДСМ на 4 квартал 2006 (последняя версия) 2" xfId="8592"/>
    <cellStyle name="_Бюджет2004_План ДСМ на 4 квартал 2006 (последняя версия) 2_Отчет за сентябрь_11_ДСМ_ОТЧЕТ" xfId="8593"/>
    <cellStyle name="_Бюджет2004_План ДСМ на 4 квартал 2006 (последняя версия) 2_План ДСМ ноябрь 2011 ОТЧЕТ" xfId="8594"/>
    <cellStyle name="_Бюджет2004_План ДСМ ноябрь 2011 ОТЧЕТ" xfId="8595"/>
    <cellStyle name="_Бюджет2004_План ДСФ 1 квартал 2007" xfId="8596"/>
    <cellStyle name="_Бюджет2004_План ДСФ 1 квартал 2007_Отчет за сентябрь_11_ДСМ_ОТЧЕТ" xfId="8597"/>
    <cellStyle name="_Бюджет2004_План ДСФ 1 квартал 2007_План ДСМ ноябрь 2011 ОТЧЕТ" xfId="8598"/>
    <cellStyle name="_Бюджет2004_План ДСФ 2 квартал 2009 ОТЧЕТ отп" xfId="8599"/>
    <cellStyle name="_Бюджет2004_План ДСФ 2 квартал 2009 ОТЧЕТ отп_Отчет за сентябрь_11_ДСМ_ОТЧЕТ" xfId="8600"/>
    <cellStyle name="_Бюджет2004_План ДСФ 2 квартал 2009 ОТЧЕТ отп_План ДСМ ноябрь 2011 ОТЧЕТ" xfId="8601"/>
    <cellStyle name="_Бюджет2004_План ДСФ 4 квартал 2009 ОТЧЕТ" xfId="8602"/>
    <cellStyle name="_Бюджет2004_План на 2009 год ДСМ ОТЧЕТ отп (01.12.08)" xfId="8603"/>
    <cellStyle name="_Бюджет2004_План на 2009 год ДСМ ОТЧЕТ отп (01.12.08)_Отчет за сентябрь_11_ДСМ_ОТЧЕТ" xfId="8604"/>
    <cellStyle name="_Бюджет2004_План на 2009 год ДСМ ОТЧЕТ отп (01.12.08)_План ДСМ ноябрь 2011 ОТЧЕТ" xfId="8605"/>
    <cellStyle name="_Бюджет2004_План на 2010 год ДСМ ОТЧЕТ" xfId="8606"/>
    <cellStyle name="_Бюджет2004_УралКирпич_план на 2 кв. 2009" xfId="8607"/>
    <cellStyle name="_Бюджет2004_УралКирпич_план на 2 кв. 2009_Отчет за сентябрь_11_ДСМ_ОТЧЕТ" xfId="8608"/>
    <cellStyle name="_Бюджет2004_УралКирпич_план на 2 кв. 2009_План ДСМ ноябрь 2011 ОТЧЕТ" xfId="8609"/>
    <cellStyle name="_Бюджет2004_ф2 склад ГП" xfId="8610"/>
    <cellStyle name="_Бюджетные формы за февраль для плановиков 2009г (241)" xfId="8611"/>
    <cellStyle name="_Ведомость Январь" xfId="8612"/>
    <cellStyle name="_видео дк пре-я" xfId="8613"/>
    <cellStyle name="_видео дк пре-я_111" xfId="8614"/>
    <cellStyle name="_видео дк пре-я_Д-К ДЕКАБРЯ К ВИДЕОКОНФ  11_01_06____2" xfId="8615"/>
    <cellStyle name="_видео дк пре-я_Д-К МАРТА К ВИДЕОКОНФ  12_04_06_ред_4" xfId="8616"/>
    <cellStyle name="_видео дк пре-я_Д-К МАЯ  к видеоконференции 08_06_05" xfId="8617"/>
    <cellStyle name="_видео дк пре-я_Д-К НОЯБРЯ К ВИДЕОКОНФ  09_12_05_1___ок_1" xfId="8618"/>
    <cellStyle name="_видео дк пре-я_Д-К ФЕВРАЛЯ К ВИДЕОКОНФ  13_03_06_3" xfId="8619"/>
    <cellStyle name="_видео дк пре-я_Д-К ФЕВРАЛЯ К ВИДЕОКОНФ  13_03_06_31" xfId="8620"/>
    <cellStyle name="_видео дк пре-я_Д-К ЯНВАРЯ К ВИДЕОКОНФ  09_02_06_13_3" xfId="8621"/>
    <cellStyle name="_видео дк пре-я_план 3 кв" xfId="8622"/>
    <cellStyle name="_видео дк пре-я_план 4 кв" xfId="8623"/>
    <cellStyle name="_видео дк пре-я_план_2_кв_2006_внутренний" xfId="8624"/>
    <cellStyle name="_Внеплановые поставки сентябрь-март" xfId="8625"/>
    <cellStyle name="_Внеплановые поставки январь-март 2003г." xfId="8626"/>
    <cellStyle name="_ВЫПИСКА ЗА АВГУСТ 2005" xfId="8627"/>
    <cellStyle name="_ГП 2008 ожид (4 кв)" xfId="8628"/>
    <cellStyle name="_График по капремонту ГБЖ" xfId="8629"/>
    <cellStyle name="_График по неликвидам (производство)" xfId="8630"/>
    <cellStyle name="_График финансирования" xfId="8631"/>
    <cellStyle name="_ДАЙДЖЕСТ  2007г." xfId="8632"/>
    <cellStyle name="_ДАЙДЖЕСТ  2008г" xfId="8633"/>
    <cellStyle name="_ДАЙДЖЕСТ  2008г." xfId="8634"/>
    <cellStyle name="_ДАЙДЖЕСТ  2009г" xfId="8635"/>
    <cellStyle name="_ДАЙДЖЕСТ  2010 г" xfId="8636"/>
    <cellStyle name="_ДАЙДЖЕСТ  факт январь  2010 г" xfId="8637"/>
    <cellStyle name="_Дайджест 2003-2004 гг." xfId="8638"/>
    <cellStyle name="_Дайджест 2003-2004 гг. 10" xfId="8639"/>
    <cellStyle name="_Дайджест 2003-2004 гг. 11" xfId="8640"/>
    <cellStyle name="_Дайджест 2003-2004 гг. 12" xfId="8641"/>
    <cellStyle name="_Дайджест 2003-2004 гг. 13" xfId="8642"/>
    <cellStyle name="_Дайджест 2003-2004 гг. 2" xfId="8643"/>
    <cellStyle name="_Дайджест 2003-2004 гг. 3" xfId="8644"/>
    <cellStyle name="_Дайджест 2003-2004 гг. 4" xfId="8645"/>
    <cellStyle name="_Дайджест 2003-2004 гг. 5" xfId="8646"/>
    <cellStyle name="_Дайджест 2003-2004 гг. 6" xfId="8647"/>
    <cellStyle name="_Дайджест 2003-2004 гг. 7" xfId="8648"/>
    <cellStyle name="_Дайджест 2003-2004 гг. 8" xfId="8649"/>
    <cellStyle name="_Дайджест 2003-2004 гг. 9" xfId="8650"/>
    <cellStyle name="_Дайджест 2003-2004 гг._! Металлургический дивизион для рассылки" xfId="8651"/>
    <cellStyle name="_Дайджест 2003-2004 гг._01.04.06-01.10.06 Распред. ср-в ЛГОК 20.10.06" xfId="8652"/>
    <cellStyle name="_Дайджест 2003-2004 гг._01.04.06-01.10.06 Распред. ср-в ЛГОК 20.10.06 2" xfId="8653"/>
    <cellStyle name="_Дайджест 2003-2004 гг._01.04.06-01.10.06 Распред. ср-в ЛГОК 20.10.06 3" xfId="8654"/>
    <cellStyle name="_Дайджест 2003-2004 гг._01.04.06-01.10.06 Распред. ср-в ЛГОК 20.10.06 4" xfId="8655"/>
    <cellStyle name="_Дайджест 2003-2004 гг._01.04.06-01.10.06 Распред. ср-в ЛГОК 20.10.06 5" xfId="8656"/>
    <cellStyle name="_Дайджест 2003-2004 гг._01.04.06-01.10.06 Распред. ср-в ЛГОК 20.10.06 6" xfId="8657"/>
    <cellStyle name="_Дайджест 2003-2004 гг._01.04.06-01.10.06 Распред. ср-в ЛГОК 20.10.06 7" xfId="8658"/>
    <cellStyle name="_Дайджест 2003-2004 гг._01.04.06-01.10.06 Распред. ср-в ЛГОК 20.10.06 8" xfId="8659"/>
    <cellStyle name="_Дайджест 2003-2004 гг._01.04.06-01.10.06 Распред. ср-в ЛГОК 20.10.06 9" xfId="8660"/>
    <cellStyle name="_Дайджест 2003-2004 гг._01.04.06-01.10.06 Распред. ср-в ОЭМК 20.10.06" xfId="8661"/>
    <cellStyle name="_Дайджест 2003-2004 гг._01.04.06-01.10.06 Распред. ср-в ОЭМК 20.10.06 2" xfId="8662"/>
    <cellStyle name="_Дайджест 2003-2004 гг._01.04.06-01.10.06 Распред. ср-в ОЭМК 20.10.06 3" xfId="8663"/>
    <cellStyle name="_Дайджест 2003-2004 гг._01.04.06-01.10.06 Распред. ср-в ОЭМК 20.10.06 4" xfId="8664"/>
    <cellStyle name="_Дайджест 2003-2004 гг._01.04.06-01.10.06 Распред. ср-в ОЭМК 20.10.06 5" xfId="8665"/>
    <cellStyle name="_Дайджест 2003-2004 гг._01.04.06-01.10.06 Распред. ср-в ОЭМК 20.10.06 6" xfId="8666"/>
    <cellStyle name="_Дайджест 2003-2004 гг._01.04.06-01.10.06 Распред. ср-в ОЭМК 20.10.06 7" xfId="8667"/>
    <cellStyle name="_Дайджест 2003-2004 гг._01.04.06-01.10.06 Распред. ср-в ОЭМК 20.10.06 8" xfId="8668"/>
    <cellStyle name="_Дайджест 2003-2004 гг._01.04.06-01.10.06 Распред. ср-в ОЭМК 20.10.06 9" xfId="8669"/>
    <cellStyle name="_Дайджест 2003-2004 гг._090129 Погашение и уплата процентов Горшкова М." xfId="8670"/>
    <cellStyle name="_Дайджест 2003-2004 гг._1 - 10 декабря" xfId="8671"/>
    <cellStyle name="_Дайджест 2003-2004 гг._1-12,13,14 сентября" xfId="8672"/>
    <cellStyle name="_Дайджест 2003-2004 гг._2007 + год " xfId="8673"/>
    <cellStyle name="_Дайджест 2003-2004 гг._2007 г год план (фин.часть)" xfId="8674"/>
    <cellStyle name="_Дайджест 2003-2004 гг._2007 г год план (фин.часть) 2" xfId="8675"/>
    <cellStyle name="_Дайджест 2003-2004 гг._2007 г год план (фин.часть) 3" xfId="8676"/>
    <cellStyle name="_Дайджест 2003-2004 гг._2007 г год план (фин.часть) 4" xfId="8677"/>
    <cellStyle name="_Дайджест 2003-2004 гг._2007 г год план (фин.часть) 5" xfId="8678"/>
    <cellStyle name="_Дайджест 2003-2004 гг._2007 г год план (фин.часть) 6" xfId="8679"/>
    <cellStyle name="_Дайджест 2003-2004 гг._2007 г год план (фин.часть) 7" xfId="8680"/>
    <cellStyle name="_Дайджест 2003-2004 гг._2007 г год план (фин.часть) 8" xfId="8681"/>
    <cellStyle name="_Дайджест 2003-2004 гг._2007 г год план (фин.часть) 9" xfId="8682"/>
    <cellStyle name="_Дайджест 2003-2004 гг._2007 год " xfId="8683"/>
    <cellStyle name="_Дайджест 2003-2004 гг._2007 измен 11.12.06 2 вар " xfId="8684"/>
    <cellStyle name="_Дайджест 2003-2004 гг._2009-03-03 План марта рус" xfId="8685"/>
    <cellStyle name="_Дайджест 2003-2004 гг._25 разделы баланса раб (21.08.06)" xfId="8686"/>
    <cellStyle name="_Дайджест 2003-2004 гг._25 разделы баланса раб (21.08.06) 2" xfId="8687"/>
    <cellStyle name="_Дайджест 2003-2004 гг._25 разделы баланса раб (21.08.06) 3" xfId="8688"/>
    <cellStyle name="_Дайджест 2003-2004 гг._25 разделы баланса раб (21.08.06) 4" xfId="8689"/>
    <cellStyle name="_Дайджест 2003-2004 гг._25 разделы баланса раб (21.08.06) 5" xfId="8690"/>
    <cellStyle name="_Дайджест 2003-2004 гг._25 разделы баланса раб (21.08.06) 6" xfId="8691"/>
    <cellStyle name="_Дайджест 2003-2004 гг._25 разделы баланса раб (21.08.06) 7" xfId="8692"/>
    <cellStyle name="_Дайджест 2003-2004 гг._25 разделы баланса раб (21.08.06) 8" xfId="8693"/>
    <cellStyle name="_Дайджест 2003-2004 гг._25 разделы баланса раб (21.08.06) 9" xfId="8694"/>
    <cellStyle name="_Дайджест 2003-2004 гг._25.06.07" xfId="8695"/>
    <cellStyle name="_Дайджест 2003-2004 гг._25.06.07 2" xfId="8696"/>
    <cellStyle name="_Дайджест 2003-2004 гг._25.06.07 3" xfId="8697"/>
    <cellStyle name="_Дайджест 2003-2004 гг._25.06.07 4" xfId="8698"/>
    <cellStyle name="_Дайджест 2003-2004 гг._25.06.07 5" xfId="8699"/>
    <cellStyle name="_Дайджест 2003-2004 гг._25.06.07 6" xfId="8700"/>
    <cellStyle name="_Дайджест 2003-2004 гг._25.06.07 7" xfId="8701"/>
    <cellStyle name="_Дайджест 2003-2004 гг._25.06.07 8" xfId="8702"/>
    <cellStyle name="_Дайджест 2003-2004 гг._25.06.07 9" xfId="8703"/>
    <cellStyle name="_Дайджест 2003-2004 гг._28-30 (1)" xfId="8704"/>
    <cellStyle name="_Дайджест 2003-2004 гг._28-30 (1) 2" xfId="8705"/>
    <cellStyle name="_Дайджест 2003-2004 гг._28-30 (1) 3" xfId="8706"/>
    <cellStyle name="_Дайджест 2003-2004 гг._28-30 (1) 4" xfId="8707"/>
    <cellStyle name="_Дайджест 2003-2004 гг._28-30 (1) 5" xfId="8708"/>
    <cellStyle name="_Дайджест 2003-2004 гг._28-30 (1) 6" xfId="8709"/>
    <cellStyle name="_Дайджест 2003-2004 гг._28-30 (1) 7" xfId="8710"/>
    <cellStyle name="_Дайджест 2003-2004 гг._28-30 (1) 8" xfId="8711"/>
    <cellStyle name="_Дайджест 2003-2004 гг._28-30 (1) 9" xfId="8712"/>
    <cellStyle name="_Дайджест 2003-2004 гг._29 форма 12 месяцев" xfId="8713"/>
    <cellStyle name="_Дайджест 2003-2004 гг._30" xfId="8714"/>
    <cellStyle name="_Дайджест 2003-2004 гг._30 2" xfId="8715"/>
    <cellStyle name="_Дайджест 2003-2004 гг._30 3" xfId="8716"/>
    <cellStyle name="_Дайджест 2003-2004 гг._30 4" xfId="8717"/>
    <cellStyle name="_Дайджест 2003-2004 гг._30 5" xfId="8718"/>
    <cellStyle name="_Дайджест 2003-2004 гг._30 6" xfId="8719"/>
    <cellStyle name="_Дайджест 2003-2004 гг._30 7" xfId="8720"/>
    <cellStyle name="_Дайджест 2003-2004 гг._30 8" xfId="8721"/>
    <cellStyle name="_Дайджест 2003-2004 гг._30 9" xfId="8722"/>
    <cellStyle name="_Дайджест 2003-2004 гг._30 форма (январьфакт)" xfId="8723"/>
    <cellStyle name="_Дайджест 2003-2004 гг._30 форма (январьфакт) 2" xfId="8724"/>
    <cellStyle name="_Дайджест 2003-2004 гг._30 форма (январьфакт) 3" xfId="8725"/>
    <cellStyle name="_Дайджест 2003-2004 гг._30 форма (январьфакт) 4" xfId="8726"/>
    <cellStyle name="_Дайджест 2003-2004 гг._30 форма (январьфакт) 5" xfId="8727"/>
    <cellStyle name="_Дайджест 2003-2004 гг._30 форма (январьфакт) 6" xfId="8728"/>
    <cellStyle name="_Дайджест 2003-2004 гг._30 форма (январьфакт) 7" xfId="8729"/>
    <cellStyle name="_Дайджест 2003-2004 гг._30 форма (январьфакт) 8" xfId="8730"/>
    <cellStyle name="_Дайджест 2003-2004 гг._30 форма (январьфакт) 9" xfId="8731"/>
    <cellStyle name="_Дайджест 2003-2004 гг._30 форма (январьфакт-мартплан)" xfId="8732"/>
    <cellStyle name="_Дайджест 2003-2004 гг._30 форма (январьфакт-мартплан) 2" xfId="8733"/>
    <cellStyle name="_Дайджест 2003-2004 гг._30 форма (январьфакт-мартплан) 3" xfId="8734"/>
    <cellStyle name="_Дайджест 2003-2004 гг._30 форма (январьфакт-мартплан) 4" xfId="8735"/>
    <cellStyle name="_Дайджест 2003-2004 гг._30 форма (январьфакт-мартплан) 5" xfId="8736"/>
    <cellStyle name="_Дайджест 2003-2004 гг._30 форма (январьфакт-мартплан) 6" xfId="8737"/>
    <cellStyle name="_Дайджест 2003-2004 гг._30 форма (январьфакт-мартплан) 7" xfId="8738"/>
    <cellStyle name="_Дайджест 2003-2004 гг._30 форма (январьфакт-мартплан) 8" xfId="8739"/>
    <cellStyle name="_Дайджест 2003-2004 гг._30 форма (январьфакт-мартплан) 9" xfId="8740"/>
    <cellStyle name="_Дайджест 2003-2004 гг._30 форма с ожидаемым за январь" xfId="8741"/>
    <cellStyle name="_Дайджест 2003-2004 гг._30 форма с ожидаемым за январь 2" xfId="8742"/>
    <cellStyle name="_Дайджест 2003-2004 гг._30 форма с ожидаемым за январь 3" xfId="8743"/>
    <cellStyle name="_Дайджест 2003-2004 гг._30 форма с ожидаемым за январь 4" xfId="8744"/>
    <cellStyle name="_Дайджест 2003-2004 гг._30 форма с ожидаемым за январь 5" xfId="8745"/>
    <cellStyle name="_Дайджест 2003-2004 гг._30 форма с ожидаемым за январь 6" xfId="8746"/>
    <cellStyle name="_Дайджест 2003-2004 гг._30 форма с ожидаемым за январь 7" xfId="8747"/>
    <cellStyle name="_Дайджест 2003-2004 гг._30 форма с ожидаемым за январь 8" xfId="8748"/>
    <cellStyle name="_Дайджест 2003-2004 гг._30 форма с ожидаемым за январь 9" xfId="8749"/>
    <cellStyle name="_Дайджест 2003-2004 гг._30 форма с фактом за декабрь" xfId="8750"/>
    <cellStyle name="_Дайджест 2003-2004 гг._30 форма с фактом за декабрь 2" xfId="8751"/>
    <cellStyle name="_Дайджест 2003-2004 гг._30 форма с фактом за декабрь 3" xfId="8752"/>
    <cellStyle name="_Дайджест 2003-2004 гг._30 форма с фактом за декабрь 4" xfId="8753"/>
    <cellStyle name="_Дайджест 2003-2004 гг._30 форма с фактом за декабрь 5" xfId="8754"/>
    <cellStyle name="_Дайджест 2003-2004 гг._30 форма с фактом за декабрь 6" xfId="8755"/>
    <cellStyle name="_Дайджест 2003-2004 гг._30 форма с фактом за декабрь 7" xfId="8756"/>
    <cellStyle name="_Дайджест 2003-2004 гг._30 форма с фактом за декабрь 8" xfId="8757"/>
    <cellStyle name="_Дайджест 2003-2004 гг._30 форма с фактом за декабрь 9" xfId="8758"/>
    <cellStyle name="_Дайджест 2003-2004 гг._30 форма с фактом за ноябрь" xfId="8759"/>
    <cellStyle name="_Дайджест 2003-2004 гг._30 форма с фактом за ноябрь 2" xfId="8760"/>
    <cellStyle name="_Дайджест 2003-2004 гг._30 форма с фактом за ноябрь 3" xfId="8761"/>
    <cellStyle name="_Дайджест 2003-2004 гг._30 форма с фактом за ноябрь 4" xfId="8762"/>
    <cellStyle name="_Дайджест 2003-2004 гг._30 форма с фактом за ноябрь 5" xfId="8763"/>
    <cellStyle name="_Дайджест 2003-2004 гг._30 форма с фактом за ноябрь 6" xfId="8764"/>
    <cellStyle name="_Дайджест 2003-2004 гг._30 форма с фактом за ноябрь 7" xfId="8765"/>
    <cellStyle name="_Дайджест 2003-2004 гг._30 форма с фактом за ноябрь 8" xfId="8766"/>
    <cellStyle name="_Дайджест 2003-2004 гг._30 форма с фактом за ноябрь 9" xfId="8767"/>
    <cellStyle name="_Дайджест 2003-2004 гг._8" xfId="8768"/>
    <cellStyle name="_Дайджест 2003-2004 гг._8_исходные_291107" xfId="8769"/>
    <cellStyle name="_Дайджест 2003-2004 гг._8_Лист1" xfId="8770"/>
    <cellStyle name="_Дайджест 2003-2004 гг._8_Лист2" xfId="8771"/>
    <cellStyle name="_Дайджест 2003-2004 гг._8_Лист3" xfId="8772"/>
    <cellStyle name="_Дайджест 2003-2004 гг._8_ф2 склад ГП" xfId="8773"/>
    <cellStyle name="_Дайджест 2003-2004 гг._EBITDA_дивизион_12.11.2007" xfId="8774"/>
    <cellStyle name="_Дайджест 2003-2004 гг._№13, №14" xfId="8775"/>
    <cellStyle name="_Дайджест 2003-2004 гг._№13, №14 02.04.07" xfId="8776"/>
    <cellStyle name="_Дайджест 2003-2004 гг._№13, №14 от 15.12.2006" xfId="8777"/>
    <cellStyle name="_Дайджест 2003-2004 гг._№13, №14 январь 2007 25.02.07" xfId="8778"/>
    <cellStyle name="_Дайджест 2003-2004 гг._№26 измен 03.04.07" xfId="8779"/>
    <cellStyle name="_Дайджест 2003-2004 гг._№26 измен 15.12.06 4 вар " xfId="8780"/>
    <cellStyle name="_Дайджест 2003-2004 гг._№26, от 25.02.07" xfId="8781"/>
    <cellStyle name="_Дайджест 2003-2004 гг._БДР - 2008 год 2-е чтение" xfId="8782"/>
    <cellStyle name="_Дайджест 2003-2004 гг._БДР 2 кв  презентационный_24 03 2008_11-45" xfId="8783"/>
    <cellStyle name="_Дайджест 2003-2004 гг._БДР 2 кв  презентационный_24 03 2008_15-55" xfId="8784"/>
    <cellStyle name="_Дайджест 2003-2004 гг._Больш. 1-8 октября" xfId="8785"/>
    <cellStyle name="_Дайджест 2003-2004 гг._БП  07 г. (нов.форма) 2" xfId="8786"/>
    <cellStyle name="_Дайджест 2003-2004 гг._БП  07 г. (нов.форма) 2 2" xfId="8787"/>
    <cellStyle name="_Дайджест 2003-2004 гг._БП  07 г. (нов.форма) 2 3" xfId="8788"/>
    <cellStyle name="_Дайджест 2003-2004 гг._БП  07 г. (нов.форма) 2 4" xfId="8789"/>
    <cellStyle name="_Дайджест 2003-2004 гг._БП  07 г. (нов.форма) 2 5" xfId="8790"/>
    <cellStyle name="_Дайджест 2003-2004 гг._БП  07 г. (нов.форма) 2 6" xfId="8791"/>
    <cellStyle name="_Дайджест 2003-2004 гг._БП  07 г. (нов.форма) 2 7" xfId="8792"/>
    <cellStyle name="_Дайджест 2003-2004 гг._БП  07 г. (нов.форма) 2 8" xfId="8793"/>
    <cellStyle name="_Дайджест 2003-2004 гг._БП  07 г. (нов.форма) 2 9" xfId="8794"/>
    <cellStyle name="_Дайджест 2003-2004 гг._БП Урал Кирпич 28 01 2008г" xfId="8795"/>
    <cellStyle name="_Дайджест 2003-2004 гг._БП_план на 1 кв. 2008г." xfId="8796"/>
    <cellStyle name="_Дайджест 2003-2004 гг._БП_план на 2 кв. 2008г." xfId="8797"/>
    <cellStyle name="_Дайджест 2003-2004 гг._бп2008 презентация 12.11.07" xfId="8798"/>
    <cellStyle name="_Дайджест 2003-2004 гг._ДИВИЗИОН Презентация 4 кв. 07 изм отгр" xfId="8799"/>
    <cellStyle name="_Дайджест 2003-2004 гг._ДИВИЗИОН Презентация 4 кв. 07 изм отгр 2" xfId="8800"/>
    <cellStyle name="_Дайджест 2003-2004 гг._ДИВИЗИОН Презентация 4 кв. 07 изм отгр 3" xfId="8801"/>
    <cellStyle name="_Дайджест 2003-2004 гг._ДИВИЗИОН Презентация 4 кв. 07 изм отгр 4" xfId="8802"/>
    <cellStyle name="_Дайджест 2003-2004 гг._ДИВИЗИОН Презентация 4 кв. 07 изм отгр 5" xfId="8803"/>
    <cellStyle name="_Дайджест 2003-2004 гг._ДИВИЗИОН Презентация 4 кв. 07 изм отгр 6" xfId="8804"/>
    <cellStyle name="_Дайджест 2003-2004 гг._ДИВИЗИОН Презентация 4 кв. 07 изм отгр 7" xfId="8805"/>
    <cellStyle name="_Дайджест 2003-2004 гг._ДИВИЗИОН Презентация 4 кв. 07 изм отгр 8" xfId="8806"/>
    <cellStyle name="_Дайджест 2003-2004 гг._ДИВИЗИОН Презентация 4 кв. 07 изм отгр 9" xfId="8807"/>
    <cellStyle name="_Дайджест 2003-2004 гг._ДИВИЗИОН_2008" xfId="8808"/>
    <cellStyle name="_Дайджест 2003-2004 гг._Дивизиональная форма БДР_14.12.2007" xfId="8809"/>
    <cellStyle name="_Дайджест 2003-2004 гг._Динамика Свод_Бизнес_MGOK 27_07_06" xfId="8810"/>
    <cellStyle name="_Дайджест 2003-2004 гг._Ежемесячные формы для ТД на 2004 год (version 1)" xfId="8811"/>
    <cellStyle name="_Дайджест 2003-2004 гг._Запрос МИ Менеджмент 18 08 06 (новый формат)" xfId="8812"/>
    <cellStyle name="_Дайджест 2003-2004 гг._Запрос МИ Менеджмент 18 08 06 (новый формат) 10" xfId="8813"/>
    <cellStyle name="_Дайджест 2003-2004 гг._Запрос МИ Менеджмент 18 08 06 (новый формат) 11" xfId="8814"/>
    <cellStyle name="_Дайджест 2003-2004 гг._Запрос МИ Менеджмент 18 08 06 (новый формат) 12" xfId="8815"/>
    <cellStyle name="_Дайджест 2003-2004 гг._Запрос МИ Менеджмент 18 08 06 (новый формат) 13" xfId="8816"/>
    <cellStyle name="_Дайджест 2003-2004 гг._Запрос МИ Менеджмент 18 08 06 (новый формат) 2" xfId="8817"/>
    <cellStyle name="_Дайджест 2003-2004 гг._Запрос МИ Менеджмент 18 08 06 (новый формат) 3" xfId="8818"/>
    <cellStyle name="_Дайджест 2003-2004 гг._Запрос МИ Менеджмент 18 08 06 (новый формат) 4" xfId="8819"/>
    <cellStyle name="_Дайджест 2003-2004 гг._Запрос МИ Менеджмент 18 08 06 (новый формат) 5" xfId="8820"/>
    <cellStyle name="_Дайджест 2003-2004 гг._Запрос МИ Менеджмент 18 08 06 (новый формат) 6" xfId="8821"/>
    <cellStyle name="_Дайджест 2003-2004 гг._Запрос МИ Менеджмент 18 08 06 (новый формат) 7" xfId="8822"/>
    <cellStyle name="_Дайджест 2003-2004 гг._Запрос МИ Менеджмент 18 08 06 (новый формат) 8" xfId="8823"/>
    <cellStyle name="_Дайджест 2003-2004 гг._Запрос МИ Менеджмент 18 08 06 (новый формат) 9" xfId="8824"/>
    <cellStyle name="_Дайджест 2003-2004 гг._Запрос МИ Менеджмент 18 08 06 (новый формат)__План по труду 2008 261107 (10% с января)" xfId="8825"/>
    <cellStyle name="_Дайджест 2003-2004 гг._Запрос МИ Менеджмент 18 08 06 (новый формат)__План по труду 2008 261107 (10% с января) 2" xfId="8826"/>
    <cellStyle name="_Дайджест 2003-2004 гг._Запрос МИ Менеджмент 18 08 06 (новый формат)__План по труду 2008 261107 (10% с января) 3" xfId="8827"/>
    <cellStyle name="_Дайджест 2003-2004 гг._Запрос МИ Менеджмент 18 08 06 (новый формат)__План по труду 2008 261107 (10% с января) 4" xfId="8828"/>
    <cellStyle name="_Дайджест 2003-2004 гг._Запрос МИ Менеджмент 18 08 06 (новый формат)__План по труду 2008 261107 (10% с января) 5" xfId="8829"/>
    <cellStyle name="_Дайджест 2003-2004 гг._Запрос МИ Менеджмент 18 08 06 (новый формат)__План по труду 2008 261107 (10% с января) 6" xfId="8830"/>
    <cellStyle name="_Дайджест 2003-2004 гг._Запрос МИ Менеджмент 18 08 06 (новый формат)__План по труду 2008 261107 (10% с января) 7" xfId="8831"/>
    <cellStyle name="_Дайджест 2003-2004 гг._Запрос МИ Менеджмент 18 08 06 (новый формат)__План по труду 2008 261107 (10% с января) 8" xfId="8832"/>
    <cellStyle name="_Дайджест 2003-2004 гг._Запрос МИ Менеджмент 18 08 06 (новый формат)__План по труду 2008 261107 (10% с января) 9" xfId="8833"/>
    <cellStyle name="_Дайджест 2003-2004 гг._Запрос МИ Менеджмент 18 08 06 (новый формат)__План по труду 2008 ИТОГ (правл. ПНР 161007)_" xfId="8834"/>
    <cellStyle name="_Дайджест 2003-2004 гг._Запрос МИ Менеджмент 18 08 06 (новый формат)__План по труду 2008 ИТОГ (правл. ПНР 161007)_ 2" xfId="8835"/>
    <cellStyle name="_Дайджест 2003-2004 гг._Запрос МИ Менеджмент 18 08 06 (новый формат)__План по труду 2008 ИТОГ (правл. ПНР 161007)_ 3" xfId="8836"/>
    <cellStyle name="_Дайджест 2003-2004 гг._Запрос МИ Менеджмент 18 08 06 (новый формат)__План по труду 2008 ИТОГ (правл. ПНР 161007)_ 4" xfId="8837"/>
    <cellStyle name="_Дайджест 2003-2004 гг._Запрос МИ Менеджмент 18 08 06 (новый формат)__План по труду 2008 ИТОГ (правл. ПНР 161007)_ 5" xfId="8838"/>
    <cellStyle name="_Дайджест 2003-2004 гг._Запрос МИ Менеджмент 18 08 06 (новый формат)__План по труду 2008 ИТОГ (правл. ПНР 161007)_ 6" xfId="8839"/>
    <cellStyle name="_Дайджест 2003-2004 гг._Запрос МИ Менеджмент 18 08 06 (новый формат)__План по труду 2008 ИТОГ (правл. ПНР 161007)_ 7" xfId="8840"/>
    <cellStyle name="_Дайджест 2003-2004 гг._Запрос МИ Менеджмент 18 08 06 (новый формат)__План по труду 2008 ИТОГ (правл. ПНР 161007)_ 8" xfId="8841"/>
    <cellStyle name="_Дайджест 2003-2004 гг._Запрос МИ Менеджмент 18 08 06 (новый формат)__План по труду 2008 ИТОГ (правл. ПНР 161007)_ 9" xfId="8842"/>
    <cellStyle name="_Дайджест 2003-2004 гг._Запрос МИ Менеджмент 18 08 06 (новый формат)_2_Инвестпрограмма на 2008 год (КОВАЛЕВ)" xfId="8843"/>
    <cellStyle name="_Дайджест 2003-2004 гг._Запрос МИ Менеджмент 18 08 06 (новый формат)_Данные для ФОТ на 2008 год" xfId="8844"/>
    <cellStyle name="_Дайджест 2003-2004 гг._Запрос МИ Менеджмент 18 08 06 (новый формат)_Данные для ФОТ на 2008 год 2" xfId="8845"/>
    <cellStyle name="_Дайджест 2003-2004 гг._Запрос МИ Менеджмент 18 08 06 (новый формат)_Данные для ФОТ на 2008 год 3" xfId="8846"/>
    <cellStyle name="_Дайджест 2003-2004 гг._Запрос МИ Менеджмент 18 08 06 (новый формат)_Данные для ФОТ на 2008 год 4" xfId="8847"/>
    <cellStyle name="_Дайджест 2003-2004 гг._Запрос МИ Менеджмент 18 08 06 (новый формат)_Данные для ФОТ на 2008 год 5" xfId="8848"/>
    <cellStyle name="_Дайджест 2003-2004 гг._Запрос МИ Менеджмент 18 08 06 (новый формат)_Данные для ФОТ на 2008 год 6" xfId="8849"/>
    <cellStyle name="_Дайджест 2003-2004 гг._Запрос МИ Менеджмент 18 08 06 (новый формат)_Данные для ФОТ на 2008 год 7" xfId="8850"/>
    <cellStyle name="_Дайджест 2003-2004 гг._Запрос МИ Менеджмент 18 08 06 (новый формат)_Данные для ФОТ на 2008 год 8" xfId="8851"/>
    <cellStyle name="_Дайджест 2003-2004 гг._Запрос МИ Менеджмент 18 08 06 (новый формат)_Данные для ФОТ на 2008 год 9" xfId="8852"/>
    <cellStyle name="_Дайджест 2003-2004 гг._Запрос МИ Менеджмент 18 08 06 (новый формат)_План по труду 2008 ИТОГ (2003_вер)" xfId="8853"/>
    <cellStyle name="_Дайджест 2003-2004 гг._Запрос МИ Менеджмент 18 08 06 (новый формат)_План по труду 2008 ИТОГ (2003_вер) 2" xfId="8854"/>
    <cellStyle name="_Дайджест 2003-2004 гг._Запрос МИ Менеджмент 18 08 06 (новый формат)_План по труду 2008 ИТОГ (2003_вер) 3" xfId="8855"/>
    <cellStyle name="_Дайджест 2003-2004 гг._Запрос МИ Менеджмент 18 08 06 (новый формат)_План по труду 2008 ИТОГ (2003_вер) 4" xfId="8856"/>
    <cellStyle name="_Дайджест 2003-2004 гг._Запрос МИ Менеджмент 18 08 06 (новый формат)_План по труду 2008 ИТОГ (2003_вер) 5" xfId="8857"/>
    <cellStyle name="_Дайджест 2003-2004 гг._Запрос МИ Менеджмент 18 08 06 (новый формат)_План по труду 2008 ИТОГ (2003_вер) 6" xfId="8858"/>
    <cellStyle name="_Дайджест 2003-2004 гг._Запрос МИ Менеджмент 18 08 06 (новый формат)_План по труду 2008 ИТОГ (2003_вер) 7" xfId="8859"/>
    <cellStyle name="_Дайджест 2003-2004 гг._Запрос МИ Менеджмент 18 08 06 (новый формат)_План по труду 2008 ИТОГ (2003_вер) 8" xfId="8860"/>
    <cellStyle name="_Дайджест 2003-2004 гг._Запрос МИ Менеджмент 18 08 06 (новый формат)_План по труду 2008 ИТОГ (2003_вер) 9" xfId="8861"/>
    <cellStyle name="_Дайджест 2003-2004 гг._Запрос МИ Менеджмент 18 08 06 (новый формат)_ТКВ 2008 от 19.07" xfId="8862"/>
    <cellStyle name="_Дайджест 2003-2004 гг._Запрос МИ Менеджмент 18 08 06 (новый формат)_ТКВ 2008 от 31.07" xfId="8863"/>
    <cellStyle name="_Дайджест 2003-2004 гг._ИПИТА" xfId="8864"/>
    <cellStyle name="_Дайджест 2003-2004 гг._ИПИТА 2" xfId="8865"/>
    <cellStyle name="_Дайджест 2003-2004 гг._ИПИТА 3" xfId="8866"/>
    <cellStyle name="_Дайджест 2003-2004 гг._ИПИТА 4" xfId="8867"/>
    <cellStyle name="_Дайджест 2003-2004 гг._ИПИТА 5" xfId="8868"/>
    <cellStyle name="_Дайджест 2003-2004 гг._ИПИТА 6" xfId="8869"/>
    <cellStyle name="_Дайджест 2003-2004 гг._ИПИТА 7" xfId="8870"/>
    <cellStyle name="_Дайджест 2003-2004 гг._ИПИТА 8" xfId="8871"/>
    <cellStyle name="_Дайджест 2003-2004 гг._ИПИТА 9" xfId="8872"/>
    <cellStyle name="_Дайджест 2003-2004 гг._исходные_291107" xfId="8873"/>
    <cellStyle name="_Дайджест 2003-2004 гг._КМА-Эн план 1 кв 200919.12.08отпр в Холдинг" xfId="8874"/>
    <cellStyle name="_Дайджест 2003-2004 гг._Книга БДР 4 кв" xfId="8875"/>
    <cellStyle name="_Дайджест 2003-2004 гг._Книга1" xfId="8876"/>
    <cellStyle name="_Дайджест 2003-2004 гг._Книга1 (1)" xfId="8877"/>
    <cellStyle name="_Дайджест 2003-2004 гг._Книга1 (1) 2" xfId="8878"/>
    <cellStyle name="_Дайджест 2003-2004 гг._Книга1 (1) 3" xfId="8879"/>
    <cellStyle name="_Дайджест 2003-2004 гг._Книга1 (1) 4" xfId="8880"/>
    <cellStyle name="_Дайджест 2003-2004 гг._Книга1 (1) 5" xfId="8881"/>
    <cellStyle name="_Дайджест 2003-2004 гг._Книга1 (1) 6" xfId="8882"/>
    <cellStyle name="_Дайджест 2003-2004 гг._Книга1 (1) 7" xfId="8883"/>
    <cellStyle name="_Дайджест 2003-2004 гг._Книга1 (1) 8" xfId="8884"/>
    <cellStyle name="_Дайджест 2003-2004 гг._Книга1 (1) 9" xfId="8885"/>
    <cellStyle name="_Дайджест 2003-2004 гг._Книга1 (5)" xfId="8886"/>
    <cellStyle name="_Дайджест 2003-2004 гг._Книга1_1" xfId="8887"/>
    <cellStyle name="_Дайджест 2003-2004 гг._Книга11" xfId="8888"/>
    <cellStyle name="_Дайджест 2003-2004 гг._Книга3" xfId="8889"/>
    <cellStyle name="_Дайджест 2003-2004 гг._Комплект документов - план на 2007 год - фин.часть 8.12.06 (укороч.)" xfId="8890"/>
    <cellStyle name="_Дайджест 2003-2004 гг._Комплект документов - план на 2007 год - фин.часть 8.12.06 (укороч.) 2" xfId="8891"/>
    <cellStyle name="_Дайджест 2003-2004 гг._Комплект документов - план на 2007 год - фин.часть 8.12.06 (укороч.) 3" xfId="8892"/>
    <cellStyle name="_Дайджест 2003-2004 гг._Комплект документов - план на 2007 год - фин.часть 8.12.06 (укороч.) 4" xfId="8893"/>
    <cellStyle name="_Дайджест 2003-2004 гг._Комплект документов - план на 2007 год - фин.часть 8.12.06 (укороч.) 5" xfId="8894"/>
    <cellStyle name="_Дайджест 2003-2004 гг._Комплект документов - план на 2007 год - фин.часть 8.12.06 (укороч.) 6" xfId="8895"/>
    <cellStyle name="_Дайджест 2003-2004 гг._Комплект документов - план на 2007 год - фин.часть 8.12.06 (укороч.) 7" xfId="8896"/>
    <cellStyle name="_Дайджест 2003-2004 гг._Комплект документов - план на 2007 год - фин.часть 8.12.06 (укороч.) 8" xfId="8897"/>
    <cellStyle name="_Дайджест 2003-2004 гг._Комплект документов - план на 2007 год - фин.часть 8.12.06 (укороч.) 9" xfId="8898"/>
    <cellStyle name="_Дайджест 2003-2004 гг._Конс  ЛГОК БП 2009 для Комбината 07 11 08" xfId="8899"/>
    <cellStyle name="_Дайджест 2003-2004 гг._Конс  ЛГОК БП 2009 от 14 10 08" xfId="8900"/>
    <cellStyle name="_Дайджест 2003-2004 гг._Конс  ЛГОК БП 2009 от 14 10 08 (2)" xfId="8901"/>
    <cellStyle name="_Дайджест 2003-2004 гг._Конс  МГОК БП 2009 от 14 10 08" xfId="8902"/>
    <cellStyle name="_Дайджест 2003-2004 гг._Конс. план ЛГОК мар.09 для Комбината 20.02.09" xfId="8903"/>
    <cellStyle name="_Дайджест 2003-2004 гг._Конс. план ЛГОК мар.09 для Комбината 25.02.09" xfId="8904"/>
    <cellStyle name="_Дайджест 2003-2004 гг._Копия Конс БП 2010 ЛГОК для Комбината от 21 08 09" xfId="8905"/>
    <cellStyle name="_Дайджест 2003-2004 гг._Лист1" xfId="8906"/>
    <cellStyle name="_Дайджест 2003-2004 гг._Лист1 2" xfId="8907"/>
    <cellStyle name="_Дайджест 2003-2004 гг._Лист1 3" xfId="8908"/>
    <cellStyle name="_Дайджест 2003-2004 гг._Лист1 4" xfId="8909"/>
    <cellStyle name="_Дайджест 2003-2004 гг._Лист1 5" xfId="8910"/>
    <cellStyle name="_Дайджест 2003-2004 гг._Лист1 6" xfId="8911"/>
    <cellStyle name="_Дайджест 2003-2004 гг._Лист1 7" xfId="8912"/>
    <cellStyle name="_Дайджест 2003-2004 гг._Лист1 8" xfId="8913"/>
    <cellStyle name="_Дайджест 2003-2004 гг._Лист1 9" xfId="8914"/>
    <cellStyle name="_Дайджест 2003-2004 гг._Лист1_НОВАЯ ФОРМА ПО СОЦИАЛЬНЫМ ПРОГРАММАМ" xfId="8915"/>
    <cellStyle name="_Дайджест 2003-2004 гг._Лист1_Приложения План Март (23)" xfId="8916"/>
    <cellStyle name="_Дайджест 2003-2004 гг._Лист2" xfId="8917"/>
    <cellStyle name="_Дайджест 2003-2004 гг._Лист3" xfId="8918"/>
    <cellStyle name="_Дайджест 2003-2004 гг._Мод 4 кв 2008" xfId="8919"/>
    <cellStyle name="_Дайджест 2003-2004 гг._Новые формы Дивизиона_3 кв_send (без дивидендов)" xfId="8920"/>
    <cellStyle name="_Дайджест 2003-2004 гг._Новые формы Дивизиона_3кв.2007" xfId="8921"/>
    <cellStyle name="_Дайджест 2003-2004 гг._Новые формы Дивизиона_3кв.2007 2" xfId="8922"/>
    <cellStyle name="_Дайджест 2003-2004 гг._Новые формы Дивизиона_3кв.2007 3" xfId="8923"/>
    <cellStyle name="_Дайджест 2003-2004 гг._Новые формы Дивизиона_3кв.2007 4" xfId="8924"/>
    <cellStyle name="_Дайджест 2003-2004 гг._Новые формы Дивизиона_3кв.2007 5" xfId="8925"/>
    <cellStyle name="_Дайджест 2003-2004 гг._Новые формы Дивизиона_3кв.2007 6" xfId="8926"/>
    <cellStyle name="_Дайджест 2003-2004 гг._Новые формы Дивизиона_3кв.2007 7" xfId="8927"/>
    <cellStyle name="_Дайджест 2003-2004 гг._Новые формы Дивизиона_3кв.2007 8" xfId="8928"/>
    <cellStyle name="_Дайджест 2003-2004 гг._Новые формы Дивизиона_3кв.2007 9" xfId="8929"/>
    <cellStyle name="_Дайджест 2003-2004 гг._Оборотный капитал план 2-е полугодие 2006 г. 25.08.06" xfId="8930"/>
    <cellStyle name="_Дайджест 2003-2004 гг._Оборотный капитал план 2-е полугодие 2006 г. 25.08.06 10" xfId="8931"/>
    <cellStyle name="_Дайджест 2003-2004 гг._Оборотный капитал план 2-е полугодие 2006 г. 25.08.06 11" xfId="8932"/>
    <cellStyle name="_Дайджест 2003-2004 гг._Оборотный капитал план 2-е полугодие 2006 г. 25.08.06 12" xfId="8933"/>
    <cellStyle name="_Дайджест 2003-2004 гг._Оборотный капитал план 2-е полугодие 2006 г. 25.08.06 13" xfId="8934"/>
    <cellStyle name="_Дайджест 2003-2004 гг._Оборотный капитал план 2-е полугодие 2006 г. 25.08.06 2" xfId="8935"/>
    <cellStyle name="_Дайджест 2003-2004 гг._Оборотный капитал план 2-е полугодие 2006 г. 25.08.06 3" xfId="8936"/>
    <cellStyle name="_Дайджест 2003-2004 гг._Оборотный капитал план 2-е полугодие 2006 г. 25.08.06 4" xfId="8937"/>
    <cellStyle name="_Дайджест 2003-2004 гг._Оборотный капитал план 2-е полугодие 2006 г. 25.08.06 5" xfId="8938"/>
    <cellStyle name="_Дайджест 2003-2004 гг._Оборотный капитал план 2-е полугодие 2006 г. 25.08.06 6" xfId="8939"/>
    <cellStyle name="_Дайджест 2003-2004 гг._Оборотный капитал план 2-е полугодие 2006 г. 25.08.06 7" xfId="8940"/>
    <cellStyle name="_Дайджест 2003-2004 гг._Оборотный капитал план 2-е полугодие 2006 г. 25.08.06 8" xfId="8941"/>
    <cellStyle name="_Дайджест 2003-2004 гг._Оборотный капитал план 2-е полугодие 2006 г. 25.08.06 9" xfId="8942"/>
    <cellStyle name="_Дайджест 2003-2004 гг._ОБРАЗЕЦ Презентационный материал" xfId="8943"/>
    <cellStyle name="_Дайджест 2003-2004 гг._ОБРАЗЕЦ Презентационный материал 2" xfId="8944"/>
    <cellStyle name="_Дайджест 2003-2004 гг._ОБРАЗЕЦ Презентационный материал 3" xfId="8945"/>
    <cellStyle name="_Дайджест 2003-2004 гг._ОБРАЗЕЦ Презентационный материал 4" xfId="8946"/>
    <cellStyle name="_Дайджест 2003-2004 гг._ОБРАЗЕЦ Презентационный материал 5" xfId="8947"/>
    <cellStyle name="_Дайджест 2003-2004 гг._ОБРАЗЕЦ Презентационный материал 6" xfId="8948"/>
    <cellStyle name="_Дайджест 2003-2004 гг._ОБРАЗЕЦ Презентационный материал 7" xfId="8949"/>
    <cellStyle name="_Дайджест 2003-2004 гг._ОБРАЗЕЦ Презентационный материал 8" xfId="8950"/>
    <cellStyle name="_Дайджест 2003-2004 гг._ОБРАЗЕЦ Презентационный материал 9" xfId="8951"/>
    <cellStyle name="_Дайджест 2003-2004 гг._оперативное исполнение 8 02 2009" xfId="8952"/>
    <cellStyle name="_Дайджест 2003-2004 гг._Отклонения план март-план февраль 2009 конс" xfId="8953"/>
    <cellStyle name="_Дайджест 2003-2004 гг._пл 02 2009 акционеры СВОД 09.02.2009" xfId="8954"/>
    <cellStyle name="_Дайджест 2003-2004 гг._пл2007 Распределение ОЭМК 27.01.07" xfId="8955"/>
    <cellStyle name="_Дайджест 2003-2004 гг._пл2007 фин.часть 18.12.06" xfId="8956"/>
    <cellStyle name="_Дайджест 2003-2004 гг._пл2007 фин.часть 18.12.06 2" xfId="8957"/>
    <cellStyle name="_Дайджест 2003-2004 гг._пл2007 фин.часть 18.12.06 3" xfId="8958"/>
    <cellStyle name="_Дайджест 2003-2004 гг._пл2007 фин.часть 18.12.06 4" xfId="8959"/>
    <cellStyle name="_Дайджест 2003-2004 гг._пл2007 фин.часть 18.12.06 5" xfId="8960"/>
    <cellStyle name="_Дайджест 2003-2004 гг._пл2007 фин.часть 18.12.06 6" xfId="8961"/>
    <cellStyle name="_Дайджест 2003-2004 гг._пл2007 фин.часть 18.12.06 7" xfId="8962"/>
    <cellStyle name="_Дайджест 2003-2004 гг._пл2007 фин.часть 18.12.06 8" xfId="8963"/>
    <cellStyle name="_Дайджест 2003-2004 гг._пл2007 фин.часть 18.12.06 9" xfId="8964"/>
    <cellStyle name="_Дайджест 2003-2004 гг._План 2 кв 2007 год 6.04.07" xfId="8965"/>
    <cellStyle name="_Дайджест 2003-2004 гг._План 2 кв 2007 год 6.04.07 2" xfId="8966"/>
    <cellStyle name="_Дайджест 2003-2004 гг._План 2 кв 2007 год 6.04.07 3" xfId="8967"/>
    <cellStyle name="_Дайджест 2003-2004 гг._План 2 кв 2007 год 6.04.07 4" xfId="8968"/>
    <cellStyle name="_Дайджест 2003-2004 гг._План 2 кв 2007 год 6.04.07 5" xfId="8969"/>
    <cellStyle name="_Дайджест 2003-2004 гг._План 2 кв 2007 год 6.04.07 6" xfId="8970"/>
    <cellStyle name="_Дайджест 2003-2004 гг._План 2 кв 2007 год 6.04.07 7" xfId="8971"/>
    <cellStyle name="_Дайджест 2003-2004 гг._План 2 кв 2007 год 6.04.07 8" xfId="8972"/>
    <cellStyle name="_Дайджест 2003-2004 гг._План 2 кв 2007 год 6.04.07 9" xfId="8973"/>
    <cellStyle name="_Дайджест 2003-2004 гг._План ДСМ 2 квартал 2009 ОТЧЕТ отп" xfId="8974"/>
    <cellStyle name="_Дайджест 2003-2004 гг._План ДСМ 3 квартал 2009 ОТЧЕТ" xfId="8975"/>
    <cellStyle name="_Дайджест 2003-2004 гг._План ДСМ 4 квартал 2009 ОТЧЕТ" xfId="8976"/>
    <cellStyle name="_Дайджест 2003-2004 гг._План ДСМ на 4 квартал 2006 (последняя версия) 2" xfId="8977"/>
    <cellStyle name="_Дайджест 2003-2004 гг._План ДСМ ноябрь 2011 ОТЧЕТ" xfId="8978"/>
    <cellStyle name="_Дайджест 2003-2004 гг._План ДСФ 1 квартал 2007" xfId="8979"/>
    <cellStyle name="_Дайджест 2003-2004 гг._План ДСФ 2 квартал 2009 ОТЧЕТ отп" xfId="8980"/>
    <cellStyle name="_Дайджест 2003-2004 гг._План ДСФ 4 квартал 2009 ОТЧЕТ" xfId="8981"/>
    <cellStyle name="_Дайджест 2003-2004 гг._План на 2009 год ДСМ ОТЧЕТ отп (01.12.08)" xfId="8982"/>
    <cellStyle name="_Дайджест 2003-2004 гг._План на 2010 год ДСМ ОТЧЕТ" xfId="8983"/>
    <cellStyle name="_Дайджест 2003-2004 гг._план ноября (отправл) 13.11" xfId="8984"/>
    <cellStyle name="_Дайджест 2003-2004 гг._План_2008г._БДР" xfId="8985"/>
    <cellStyle name="_Дайджест 2003-2004 гг._План_2008г._БДР_отпр.13.12.2007_19-40" xfId="8986"/>
    <cellStyle name="_Дайджест 2003-2004 гг._Помесячный Чистов ФДе" xfId="8987"/>
    <cellStyle name="_Дайджест 2003-2004 гг._Помесячный Чистов ФДе 2" xfId="8988"/>
    <cellStyle name="_Дайджест 2003-2004 гг._Помесячный Чистов ФДе 3" xfId="8989"/>
    <cellStyle name="_Дайджест 2003-2004 гг._Помесячный Чистов ФДе 4" xfId="8990"/>
    <cellStyle name="_Дайджест 2003-2004 гг._Помесячный Чистов ФДе 5" xfId="8991"/>
    <cellStyle name="_Дайджест 2003-2004 гг._Помесячный Чистов ФДе 6" xfId="8992"/>
    <cellStyle name="_Дайджест 2003-2004 гг._Помесячный Чистов ФДе 7" xfId="8993"/>
    <cellStyle name="_Дайджест 2003-2004 гг._Помесячный Чистов ФДе 8" xfId="8994"/>
    <cellStyle name="_Дайджест 2003-2004 гг._Помесячный Чистов ФДе 9" xfId="8995"/>
    <cellStyle name="_Дайджест 2003-2004 гг._пр I кв 2008 форма презентации" xfId="8996"/>
    <cellStyle name="_Дайджест 2003-2004 гг._пр I кв 2008 форма презентации 2" xfId="8997"/>
    <cellStyle name="_Дайджест 2003-2004 гг._пр I кв 2008 форма презентации 3" xfId="8998"/>
    <cellStyle name="_Дайджест 2003-2004 гг._пр I кв 2008 форма презентации 4" xfId="8999"/>
    <cellStyle name="_Дайджест 2003-2004 гг._пр I кв 2008 форма презентации 5" xfId="9000"/>
    <cellStyle name="_Дайджест 2003-2004 гг._пр I кв 2008 форма презентации 6" xfId="9001"/>
    <cellStyle name="_Дайджест 2003-2004 гг._пр I кв 2008 форма презентации 7" xfId="9002"/>
    <cellStyle name="_Дайджест 2003-2004 гг._пр I кв 2008 форма презентации 8" xfId="9003"/>
    <cellStyle name="_Дайджест 2003-2004 гг._пр I кв 2008 форма презентации 9" xfId="9004"/>
    <cellStyle name="_Дайджест 2003-2004 гг._пр2006 Комплект ОЭМК 13.02.07 (рабочая)" xfId="9005"/>
    <cellStyle name="_Дайджест 2003-2004 гг._пр2006 формы(19-30) 14.02.07" xfId="9006"/>
    <cellStyle name="_Дайджест 2003-2004 гг._Презентационный БДР_21 02 2008" xfId="9007"/>
    <cellStyle name="_Дайджест 2003-2004 гг._Презентационный материал" xfId="9008"/>
    <cellStyle name="_Дайджест 2003-2004 гг._Презентационный материал 2" xfId="9009"/>
    <cellStyle name="_Дайджест 2003-2004 гг._Презентационный материал 2 кв_план" xfId="9010"/>
    <cellStyle name="_Дайджест 2003-2004 гг._Презентационный материал 3" xfId="9011"/>
    <cellStyle name="_Дайджест 2003-2004 гг._Презентационный материал 4" xfId="9012"/>
    <cellStyle name="_Дайджест 2003-2004 гг._Презентационный материал 5" xfId="9013"/>
    <cellStyle name="_Дайджест 2003-2004 гг._Презентационный материал 6" xfId="9014"/>
    <cellStyle name="_Дайджест 2003-2004 гг._Презентационный материал 7" xfId="9015"/>
    <cellStyle name="_Дайджест 2003-2004 гг._Презентационный материал 8" xfId="9016"/>
    <cellStyle name="_Дайджест 2003-2004 гг._Презентационный материал 9" xfId="9017"/>
    <cellStyle name="_Дайджест 2003-2004 гг._Презентация" xfId="9018"/>
    <cellStyle name="_Дайджест 2003-2004 гг._Презентация (фин.часть) 27.06.07" xfId="9019"/>
    <cellStyle name="_Дайджест 2003-2004 гг._Презентация 2" xfId="9020"/>
    <cellStyle name="_Дайджест 2003-2004 гг._Презентация 2007 пл-ож 17.12" xfId="9021"/>
    <cellStyle name="_Дайджест 2003-2004 гг._Презентация 2007 пл-ож 17.12 2" xfId="9022"/>
    <cellStyle name="_Дайджест 2003-2004 гг._Презентация 2007 пл-ож 17.12 3" xfId="9023"/>
    <cellStyle name="_Дайджест 2003-2004 гг._Презентация 2007 пл-ож 17.12 4" xfId="9024"/>
    <cellStyle name="_Дайджест 2003-2004 гг._Презентация 2007 пл-ож 17.12 5" xfId="9025"/>
    <cellStyle name="_Дайджест 2003-2004 гг._Презентация 2007 пл-ож 17.12 6" xfId="9026"/>
    <cellStyle name="_Дайджест 2003-2004 гг._Презентация 2007 пл-ож 17.12 7" xfId="9027"/>
    <cellStyle name="_Дайджест 2003-2004 гг._Презентация 2007 пл-ож 17.12 8" xfId="9028"/>
    <cellStyle name="_Дайджест 2003-2004 гг._Презентация 2007 пл-ож 17.12 9" xfId="9029"/>
    <cellStyle name="_Дайджест 2003-2004 гг._Презентация 2007-2008 17.12" xfId="9030"/>
    <cellStyle name="_Дайджест 2003-2004 гг._Презентация 2007-2008 17.12 2" xfId="9031"/>
    <cellStyle name="_Дайджест 2003-2004 гг._Презентация 2007-2008 17.12 3" xfId="9032"/>
    <cellStyle name="_Дайджест 2003-2004 гг._Презентация 2007-2008 17.12 4" xfId="9033"/>
    <cellStyle name="_Дайджест 2003-2004 гг._Презентация 2007-2008 17.12 5" xfId="9034"/>
    <cellStyle name="_Дайджест 2003-2004 гг._Презентация 2007-2008 17.12 6" xfId="9035"/>
    <cellStyle name="_Дайджест 2003-2004 гг._Презентация 2007-2008 17.12 7" xfId="9036"/>
    <cellStyle name="_Дайджест 2003-2004 гг._Презентация 2007-2008 17.12 8" xfId="9037"/>
    <cellStyle name="_Дайджест 2003-2004 гг._Презентация 2007-2008 17.12 9" xfId="9038"/>
    <cellStyle name="_Дайджест 2003-2004 гг._Презентация 2008 (2)" xfId="9039"/>
    <cellStyle name="_Дайджест 2003-2004 гг._Презентация 2008 год (фин. часть) от 22.10.07" xfId="9040"/>
    <cellStyle name="_Дайджест 2003-2004 гг._Презентация 2008 год (фин. часть) от 22.10.07 2" xfId="9041"/>
    <cellStyle name="_Дайджест 2003-2004 гг._Презентация 2008 год (фин. часть) от 22.10.07 3" xfId="9042"/>
    <cellStyle name="_Дайджест 2003-2004 гг._Презентация 2008 год (фин. часть) от 22.10.07 4" xfId="9043"/>
    <cellStyle name="_Дайджест 2003-2004 гг._Презентация 2008 год (фин. часть) от 22.10.07 5" xfId="9044"/>
    <cellStyle name="_Дайджест 2003-2004 гг._Презентация 2008 год (фин. часть) от 22.10.07 6" xfId="9045"/>
    <cellStyle name="_Дайджест 2003-2004 гг._Презентация 2008 год (фин. часть) от 22.10.07 7" xfId="9046"/>
    <cellStyle name="_Дайджест 2003-2004 гг._Презентация 2008 год (фин. часть) от 22.10.07 8" xfId="9047"/>
    <cellStyle name="_Дайджест 2003-2004 гг._Презентация 2008 год (фин. часть) от 22.10.07 9" xfId="9048"/>
    <cellStyle name="_Дайджест 2003-2004 гг._Презентация 2008 фин. часть (коричневые формы)" xfId="9049"/>
    <cellStyle name="_Дайджест 2003-2004 гг._Презентация 2008 фин. часть (коричневые формы) 2" xfId="9050"/>
    <cellStyle name="_Дайджест 2003-2004 гг._Презентация 2008 фин. часть (коричневые формы) 3" xfId="9051"/>
    <cellStyle name="_Дайджест 2003-2004 гг._Презентация 2008 фин. часть (коричневые формы) 4" xfId="9052"/>
    <cellStyle name="_Дайджест 2003-2004 гг._Презентация 2008 фин. часть (коричневые формы) 5" xfId="9053"/>
    <cellStyle name="_Дайджест 2003-2004 гг._Презентация 2008 фин. часть (коричневые формы) 6" xfId="9054"/>
    <cellStyle name="_Дайджест 2003-2004 гг._Презентация 2008 фин. часть (коричневые формы) 7" xfId="9055"/>
    <cellStyle name="_Дайджест 2003-2004 гг._Презентация 2008 фин. часть (коричневые формы) 8" xfId="9056"/>
    <cellStyle name="_Дайджест 2003-2004 гг._Презентация 2008 фин. часть (коричневые формы) 9" xfId="9057"/>
    <cellStyle name="_Дайджест 2003-2004 гг._Презентация 3" xfId="9058"/>
    <cellStyle name="_Дайджест 2003-2004 гг._Презентация 4" xfId="9059"/>
    <cellStyle name="_Дайджест 2003-2004 гг._Презентация 5" xfId="9060"/>
    <cellStyle name="_Дайджест 2003-2004 гг._Презентация 6" xfId="9061"/>
    <cellStyle name="_Дайджест 2003-2004 гг._Презентация 7" xfId="9062"/>
    <cellStyle name="_Дайджест 2003-2004 гг._Презентация 8" xfId="9063"/>
    <cellStyle name="_Дайджест 2003-2004 гг._презентация 8.02.07" xfId="9064"/>
    <cellStyle name="_Дайджест 2003-2004 гг._презентация 8.02.07 2" xfId="9065"/>
    <cellStyle name="_Дайджест 2003-2004 гг._презентация 8.02.07 3" xfId="9066"/>
    <cellStyle name="_Дайджест 2003-2004 гг._презентация 8.02.07 4" xfId="9067"/>
    <cellStyle name="_Дайджест 2003-2004 гг._презентация 8.02.07 5" xfId="9068"/>
    <cellStyle name="_Дайджест 2003-2004 гг._презентация 8.02.07 6" xfId="9069"/>
    <cellStyle name="_Дайджест 2003-2004 гг._презентация 8.02.07 7" xfId="9070"/>
    <cellStyle name="_Дайджест 2003-2004 гг._презентация 8.02.07 8" xfId="9071"/>
    <cellStyle name="_Дайджест 2003-2004 гг._презентация 8.02.07 9" xfId="9072"/>
    <cellStyle name="_Дайджест 2003-2004 гг._Презентация 9" xfId="9073"/>
    <cellStyle name="_Дайджест 2003-2004 гг._Презентация август 07 факт" xfId="9074"/>
    <cellStyle name="_Дайджест 2003-2004 гг._Презентация август 07 факт 2" xfId="9075"/>
    <cellStyle name="_Дайджест 2003-2004 гг._Презентация август 07 факт 3" xfId="9076"/>
    <cellStyle name="_Дайджест 2003-2004 гг._Презентация август 07 факт 4" xfId="9077"/>
    <cellStyle name="_Дайджест 2003-2004 гг._Презентация август 07 факт 5" xfId="9078"/>
    <cellStyle name="_Дайджест 2003-2004 гг._Презентация август 07 факт 6" xfId="9079"/>
    <cellStyle name="_Дайджест 2003-2004 гг._Презентация август 07 факт 7" xfId="9080"/>
    <cellStyle name="_Дайджест 2003-2004 гг._Презентация август 07 факт 8" xfId="9081"/>
    <cellStyle name="_Дайджест 2003-2004 гг._Презентация август 07 факт 9" xfId="9082"/>
    <cellStyle name="_Дайджест 2003-2004 гг._Презентация для Ульянова" xfId="9083"/>
    <cellStyle name="_Дайджест 2003-2004 гг._Презентация для Ульянова 2" xfId="9084"/>
    <cellStyle name="_Дайджест 2003-2004 гг._Презентация для Ульянова 3" xfId="9085"/>
    <cellStyle name="_Дайджест 2003-2004 гг._Презентация для Ульянова 4" xfId="9086"/>
    <cellStyle name="_Дайджест 2003-2004 гг._Презентация для Ульянова 5" xfId="9087"/>
    <cellStyle name="_Дайджест 2003-2004 гг._Презентация для Ульянова 6" xfId="9088"/>
    <cellStyle name="_Дайджест 2003-2004 гг._Презентация для Ульянова 7" xfId="9089"/>
    <cellStyle name="_Дайджест 2003-2004 гг._Презентация для Ульянова 8" xfId="9090"/>
    <cellStyle name="_Дайджест 2003-2004 гг._Презентация для Ульянова 9" xfId="9091"/>
    <cellStyle name="_Дайджест 2003-2004 гг._Презентация для Ульянова И.Г. от 17.12.07" xfId="9092"/>
    <cellStyle name="_Дайджест 2003-2004 гг._Презентация для Ульянова И.Г. от 17.12.07 2" xfId="9093"/>
    <cellStyle name="_Дайджест 2003-2004 гг._Презентация для Ульянова И.Г. от 17.12.07 3" xfId="9094"/>
    <cellStyle name="_Дайджест 2003-2004 гг._Презентация для Ульянова И.Г. от 17.12.07 4" xfId="9095"/>
    <cellStyle name="_Дайджест 2003-2004 гг._Презентация для Ульянова И.Г. от 17.12.07 5" xfId="9096"/>
    <cellStyle name="_Дайджест 2003-2004 гг._Презентация для Ульянова И.Г. от 17.12.07 6" xfId="9097"/>
    <cellStyle name="_Дайджест 2003-2004 гг._Презентация для Ульянова И.Г. от 17.12.07 7" xfId="9098"/>
    <cellStyle name="_Дайджест 2003-2004 гг._Презентация для Ульянова И.Г. от 17.12.07 8" xfId="9099"/>
    <cellStyle name="_Дайджест 2003-2004 гг._Презентация для Ульянова И.Г. от 17.12.07 9" xfId="9100"/>
    <cellStyle name="_Дайджест 2003-2004 гг._презентация займы РК г" xfId="9101"/>
    <cellStyle name="_Дайджест 2003-2004 гг._презентация займы РК г 2" xfId="9102"/>
    <cellStyle name="_Дайджест 2003-2004 гг._презентация займы РК г 3" xfId="9103"/>
    <cellStyle name="_Дайджест 2003-2004 гг._презентация займы РК г 4" xfId="9104"/>
    <cellStyle name="_Дайджест 2003-2004 гг._презентация займы РК г 5" xfId="9105"/>
    <cellStyle name="_Дайджест 2003-2004 гг._презентация займы РК г 6" xfId="9106"/>
    <cellStyle name="_Дайджест 2003-2004 гг._презентация займы РК г 7" xfId="9107"/>
    <cellStyle name="_Дайджест 2003-2004 гг._презентация займы РК г 8" xfId="9108"/>
    <cellStyle name="_Дайджест 2003-2004 гг._презентация займы РК г 9" xfId="9109"/>
    <cellStyle name="_Дайджест 2003-2004 гг._Презентация инвестиции" xfId="9110"/>
    <cellStyle name="_Дайджест 2003-2004 гг._Презентация инвестиции 2" xfId="9111"/>
    <cellStyle name="_Дайджест 2003-2004 гг._Презентация инвестиции 3" xfId="9112"/>
    <cellStyle name="_Дайджест 2003-2004 гг._Презентация инвестиции 4" xfId="9113"/>
    <cellStyle name="_Дайджест 2003-2004 гг._Презентация инвестиции 5" xfId="9114"/>
    <cellStyle name="_Дайджест 2003-2004 гг._Презентация инвестиции 6" xfId="9115"/>
    <cellStyle name="_Дайджест 2003-2004 гг._Презентация инвестиции 7" xfId="9116"/>
    <cellStyle name="_Дайджест 2003-2004 гг._Презентация инвестиции 8" xfId="9117"/>
    <cellStyle name="_Дайджест 2003-2004 гг._Презентация инвестиции 9" xfId="9118"/>
    <cellStyle name="_Дайджест 2003-2004 гг._Презентация коричн. СДП, РК, Инв план 2008 (фин. часть) от 24.03.08" xfId="9119"/>
    <cellStyle name="_Дайджест 2003-2004 гг._Презентация коричн. СДП, РК, Инв план 2008 (фин. часть) от 24.03.08 2" xfId="9120"/>
    <cellStyle name="_Дайджест 2003-2004 гг._Презентация коричн. СДП, РК, Инв план 2008 (фин. часть) от 24.03.08 3" xfId="9121"/>
    <cellStyle name="_Дайджест 2003-2004 гг._Презентация коричн. СДП, РК, Инв план 2008 (фин. часть) от 24.03.08 4" xfId="9122"/>
    <cellStyle name="_Дайджест 2003-2004 гг._Презентация коричн. СДП, РК, Инв план 2008 (фин. часть) от 24.03.08 5" xfId="9123"/>
    <cellStyle name="_Дайджест 2003-2004 гг._Презентация коричн. СДП, РК, Инв план 2008 (фин. часть) от 24.03.08 6" xfId="9124"/>
    <cellStyle name="_Дайджест 2003-2004 гг._Презентация коричн. СДП, РК, Инв план 2008 (фин. часть) от 24.03.08 7" xfId="9125"/>
    <cellStyle name="_Дайджест 2003-2004 гг._Презентация коричн. СДП, РК, Инв план 2008 (фин. часть) от 24.03.08 8" xfId="9126"/>
    <cellStyle name="_Дайджест 2003-2004 гг._Презентация коричн. СДП, РК, Инв план 2008 (фин. часть) от 24.03.08 9" xfId="9127"/>
    <cellStyle name="_Дайджест 2003-2004 гг._Презентация коричневая 2007 план + ож" xfId="9128"/>
    <cellStyle name="_Дайджест 2003-2004 гг._Презентация коричневая 2007-2008" xfId="9129"/>
    <cellStyle name="_Дайджест 2003-2004 гг._Презентация от 10.12.07 (СПД и РК)  2007план и 2007ожид." xfId="9130"/>
    <cellStyle name="_Дайджест 2003-2004 гг._Презентация от 10.12.07 (СПД и РК)  2007план и 2007ожид. 2" xfId="9131"/>
    <cellStyle name="_Дайджест 2003-2004 гг._Презентация от 10.12.07 (СПД и РК)  2007план и 2007ожид. 3" xfId="9132"/>
    <cellStyle name="_Дайджест 2003-2004 гг._Презентация от 10.12.07 (СПД и РК)  2007план и 2007ожид. 4" xfId="9133"/>
    <cellStyle name="_Дайджест 2003-2004 гг._Презентация от 10.12.07 (СПД и РК)  2007план и 2007ожид. 5" xfId="9134"/>
    <cellStyle name="_Дайджест 2003-2004 гг._Презентация от 10.12.07 (СПД и РК)  2007план и 2007ожид. 6" xfId="9135"/>
    <cellStyle name="_Дайджест 2003-2004 гг._Презентация от 10.12.07 (СПД и РК)  2007план и 2007ожид. 7" xfId="9136"/>
    <cellStyle name="_Дайджест 2003-2004 гг._Презентация от 10.12.07 (СПД и РК)  2007план и 2007ожид. 8" xfId="9137"/>
    <cellStyle name="_Дайджест 2003-2004 гг._Презентация от 10.12.07 (СПД и РК)  2007план и 2007ожид. 9" xfId="9138"/>
    <cellStyle name="_Дайджест 2003-2004 гг._Презентация от 10.12.07 (СПД и РК)  2008план и 2007ожид" xfId="9139"/>
    <cellStyle name="_Дайджест 2003-2004 гг._Презентация от 10.12.07 (СПД и РК)  2008план и 2007ожид 2" xfId="9140"/>
    <cellStyle name="_Дайджест 2003-2004 гг._Презентация от 10.12.07 (СПД и РК)  2008план и 2007ожид 3" xfId="9141"/>
    <cellStyle name="_Дайджест 2003-2004 гг._Презентация от 10.12.07 (СПД и РК)  2008план и 2007ожид 4" xfId="9142"/>
    <cellStyle name="_Дайджест 2003-2004 гг._Презентация от 10.12.07 (СПД и РК)  2008план и 2007ожид 5" xfId="9143"/>
    <cellStyle name="_Дайджест 2003-2004 гг._Презентация от 10.12.07 (СПД и РК)  2008план и 2007ожид 6" xfId="9144"/>
    <cellStyle name="_Дайджест 2003-2004 гг._Презентация от 10.12.07 (СПД и РК)  2008план и 2007ожид 7" xfId="9145"/>
    <cellStyle name="_Дайджест 2003-2004 гг._Презентация от 10.12.07 (СПД и РК)  2008план и 2007ожид 8" xfId="9146"/>
    <cellStyle name="_Дайджест 2003-2004 гг._Презентация от 10.12.07 (СПД и РК)  2008план и 2007ожид 9" xfId="9147"/>
    <cellStyle name="_Дайджест 2003-2004 гг._Презентация от 19 12 07" xfId="9148"/>
    <cellStyle name="_Дайджест 2003-2004 гг._Презентация от 19 12 07 2" xfId="9149"/>
    <cellStyle name="_Дайджест 2003-2004 гг._Презентация от 19 12 07 3" xfId="9150"/>
    <cellStyle name="_Дайджест 2003-2004 гг._Презентация от 19 12 07 4" xfId="9151"/>
    <cellStyle name="_Дайджест 2003-2004 гг._Презентация от 19 12 07 5" xfId="9152"/>
    <cellStyle name="_Дайджест 2003-2004 гг._Презентация от 19 12 07 6" xfId="9153"/>
    <cellStyle name="_Дайджест 2003-2004 гг._Презентация от 19 12 07 7" xfId="9154"/>
    <cellStyle name="_Дайджест 2003-2004 гг._Презентация от 19 12 07 8" xfId="9155"/>
    <cellStyle name="_Дайджест 2003-2004 гг._Презентация от 19 12 07 9" xfId="9156"/>
    <cellStyle name="_Дайджест 2003-2004 гг._Презентация СДП, РК, Инв план 2008 (фин. часть) от 24.03.08" xfId="9157"/>
    <cellStyle name="_Дайджест 2003-2004 гг._Презентация СДП, РК, Инв план 2008 (фин. часть) от 24.03.08 2" xfId="9158"/>
    <cellStyle name="_Дайджест 2003-2004 гг._Презентация СДП, РК, Инв план 2008 (фин. часть) от 24.03.08 3" xfId="9159"/>
    <cellStyle name="_Дайджест 2003-2004 гг._Презентация СДП, РК, Инв план 2008 (фин. часть) от 24.03.08 4" xfId="9160"/>
    <cellStyle name="_Дайджест 2003-2004 гг._Презентация СДП, РК, Инв план 2008 (фин. часть) от 24.03.08 5" xfId="9161"/>
    <cellStyle name="_Дайджест 2003-2004 гг._Презентация СДП, РК, Инв план 2008 (фин. часть) от 24.03.08 6" xfId="9162"/>
    <cellStyle name="_Дайджест 2003-2004 гг._Презентация СДП, РК, Инв план 2008 (фин. часть) от 24.03.08 7" xfId="9163"/>
    <cellStyle name="_Дайджест 2003-2004 гг._Презентация СДП, РК, Инв план 2008 (фин. часть) от 24.03.08 8" xfId="9164"/>
    <cellStyle name="_Дайджест 2003-2004 гг._Презентация СДП, РК, Инв план 2008 (фин. часть) от 24.03.08 9" xfId="9165"/>
    <cellStyle name="_Дайджест 2003-2004 гг._Презентация ФО от 17.12.07" xfId="9166"/>
    <cellStyle name="_Дайджест 2003-2004 гг._Презентация ФО от 17.12.07 2" xfId="9167"/>
    <cellStyle name="_Дайджест 2003-2004 гг._Презентация ФО от 17.12.07 3" xfId="9168"/>
    <cellStyle name="_Дайджест 2003-2004 гг._Презентация ФО от 17.12.07 4" xfId="9169"/>
    <cellStyle name="_Дайджест 2003-2004 гг._Презентация ФО от 17.12.07 5" xfId="9170"/>
    <cellStyle name="_Дайджест 2003-2004 гг._Презентация ФО от 17.12.07 6" xfId="9171"/>
    <cellStyle name="_Дайджест 2003-2004 гг._Презентация ФО от 17.12.07 7" xfId="9172"/>
    <cellStyle name="_Дайджест 2003-2004 гг._Презентация ФО от 17.12.07 8" xfId="9173"/>
    <cellStyle name="_Дайджест 2003-2004 гг._Презентация ФО от 17.12.07 9" xfId="9174"/>
    <cellStyle name="_Дайджест 2003-2004 гг._презентация-2008год " xfId="9175"/>
    <cellStyle name="_Дайджест 2003-2004 гг._презентация-2008год  2" xfId="9176"/>
    <cellStyle name="_Дайджест 2003-2004 гг._презентация-2008год  3" xfId="9177"/>
    <cellStyle name="_Дайджест 2003-2004 гг._презентация-2008год  4" xfId="9178"/>
    <cellStyle name="_Дайджест 2003-2004 гг._презентация-2008год  5" xfId="9179"/>
    <cellStyle name="_Дайджест 2003-2004 гг._презентация-2008год  6" xfId="9180"/>
    <cellStyle name="_Дайджест 2003-2004 гг._презентация-2008год  7" xfId="9181"/>
    <cellStyle name="_Дайджест 2003-2004 гг._презентация-2008год  8" xfId="9182"/>
    <cellStyle name="_Дайджест 2003-2004 гг._презентация-2008год  9" xfId="9183"/>
    <cellStyle name="_Дайджест 2003-2004 гг._Презетация ФО (с учетом инвестиций на 2341,2)" xfId="9184"/>
    <cellStyle name="_Дайджест 2003-2004 гг._Презетация ФО (с учетом инвестиций на 2341,2) 2" xfId="9185"/>
    <cellStyle name="_Дайджест 2003-2004 гг._Презетация ФО (с учетом инвестиций на 2341,2) 3" xfId="9186"/>
    <cellStyle name="_Дайджест 2003-2004 гг._Презетация ФО (с учетом инвестиций на 2341,2) 4" xfId="9187"/>
    <cellStyle name="_Дайджест 2003-2004 гг._Презетация ФО (с учетом инвестиций на 2341,2) 5" xfId="9188"/>
    <cellStyle name="_Дайджест 2003-2004 гг._Презетация ФО (с учетом инвестиций на 2341,2) 6" xfId="9189"/>
    <cellStyle name="_Дайджест 2003-2004 гг._Презетация ФО (с учетом инвестиций на 2341,2) 7" xfId="9190"/>
    <cellStyle name="_Дайджест 2003-2004 гг._Презетация ФО (с учетом инвестиций на 2341,2) 8" xfId="9191"/>
    <cellStyle name="_Дайджест 2003-2004 гг._Презетация ФО (с учетом инвестиций на 2341,2) 9" xfId="9192"/>
    <cellStyle name="_Дайджест 2003-2004 гг._Приложения (формы отчетности)" xfId="9193"/>
    <cellStyle name="_Дайджест 2003-2004 гг._Приложения февраль 09 (МП) отпр в УК от 04 02 09" xfId="9194"/>
    <cellStyle name="_Дайджест 2003-2004 гг._Прогноз консолидированный июнь" xfId="9195"/>
    <cellStyle name="_Дайджест 2003-2004 гг._РК+СДП 2008 год" xfId="9196"/>
    <cellStyle name="_Дайджест 2003-2004 гг._РК+СДП 2008 год 2" xfId="9197"/>
    <cellStyle name="_Дайджест 2003-2004 гг._РК+СДП 2008 год 3" xfId="9198"/>
    <cellStyle name="_Дайджест 2003-2004 гг._РК+СДП 2008 год 4" xfId="9199"/>
    <cellStyle name="_Дайджест 2003-2004 гг._РК+СДП 2008 год 5" xfId="9200"/>
    <cellStyle name="_Дайджест 2003-2004 гг._РК+СДП 2008 год 6" xfId="9201"/>
    <cellStyle name="_Дайджест 2003-2004 гг._РК+СДП 2008 год 7" xfId="9202"/>
    <cellStyle name="_Дайджест 2003-2004 гг._РК+СДП 2008 год 8" xfId="9203"/>
    <cellStyle name="_Дайджест 2003-2004 гг._РК+СДП 2008 год 9" xfId="9204"/>
    <cellStyle name="_Дайджест 2003-2004 гг._Свод производства 1 квартал" xfId="9205"/>
    <cellStyle name="_Дайджест 2003-2004 гг._Себестоимость" xfId="9206"/>
    <cellStyle name="_Дайджест 2003-2004 гг._Слайд осн показатели к совещанию в УК от 18 01 09" xfId="9207"/>
    <cellStyle name="_Дайджест 2003-2004 гг._Слайды 2-й квартал (ФП-КП)" xfId="9208"/>
    <cellStyle name="_Дайджест 2003-2004 гг._Слайды 2-й квартал (ФП-КП) 2" xfId="9209"/>
    <cellStyle name="_Дайджест 2003-2004 гг._Слайды 2-й квартал (ФП-КП) 3" xfId="9210"/>
    <cellStyle name="_Дайджест 2003-2004 гг._Слайды 2-й квартал (ФП-КП) 4" xfId="9211"/>
    <cellStyle name="_Дайджест 2003-2004 гг._Слайды 2-й квартал (ФП-КП) 5" xfId="9212"/>
    <cellStyle name="_Дайджест 2003-2004 гг._Слайды 2-й квартал (ФП-КП) 6" xfId="9213"/>
    <cellStyle name="_Дайджест 2003-2004 гг._Слайды 2-й квартал (ФП-КП) 7" xfId="9214"/>
    <cellStyle name="_Дайджест 2003-2004 гг._Слайды 2-й квартал (ФП-КП) 8" xfId="9215"/>
    <cellStyle name="_Дайджест 2003-2004 гг._Слайды 2-й квартал (ФП-КП) 9" xfId="9216"/>
    <cellStyle name="_Дайджест 2003-2004 гг._СПД, РК, Инв. 2008 коричневая" xfId="9217"/>
    <cellStyle name="_Дайджест 2003-2004 гг._СПД, РК, Инв. 2008 коричневая 2" xfId="9218"/>
    <cellStyle name="_Дайджест 2003-2004 гг._СПД, РК, Инв. 2008 коричневая 3" xfId="9219"/>
    <cellStyle name="_Дайджест 2003-2004 гг._СПД, РК, Инв. 2008 коричневая 4" xfId="9220"/>
    <cellStyle name="_Дайджест 2003-2004 гг._СПД, РК, Инв. 2008 коричневая 5" xfId="9221"/>
    <cellStyle name="_Дайджест 2003-2004 гг._СПД, РК, Инв. 2008 коричневая 6" xfId="9222"/>
    <cellStyle name="_Дайджест 2003-2004 гг._СПД, РК, Инв. 2008 коричневая 7" xfId="9223"/>
    <cellStyle name="_Дайджест 2003-2004 гг._СПД, РК, Инв. 2008 коричневая 8" xfId="9224"/>
    <cellStyle name="_Дайджест 2003-2004 гг._СПД, РК, Инв. 2008 коричневая 9" xfId="9225"/>
    <cellStyle name="_Дайджест 2003-2004 гг._Сравнение ожидаемого 2008  c БП 2009г. УрСт вариант 2 (скоррект. цены)" xfId="9226"/>
    <cellStyle name="_Дайджест 2003-2004 гг._Сравнение ожидаемого 2008 с 2009г  ОЭМК от 06 10 2008" xfId="9227"/>
    <cellStyle name="_Дайджест 2003-2004 гг._Сравнение ожидаемого 2008 с 2009г. ОЭМК  28.10.2008 (скорректир. цены)" xfId="9228"/>
    <cellStyle name="_Дайджест 2003-2004 гг._Сравнение ожидаемого 2008 УС c 2009г  от 06 10 2008" xfId="9229"/>
    <cellStyle name="_Дайджест 2003-2004 гг._Структура затрат (Формат) ЛГОК" xfId="9230"/>
    <cellStyle name="_Дайджест 2003-2004 гг._Структура затрат (Формат) ЛГОК_28.01.2009" xfId="9231"/>
    <cellStyle name="_Дайджест 2003-2004 гг._ТП на 2011_год покварт" xfId="9232"/>
    <cellStyle name="_Дайджест 2003-2004 гг._Труд для нас" xfId="9233"/>
    <cellStyle name="_Дайджест 2003-2004 гг._Труд для нас 2" xfId="9234"/>
    <cellStyle name="_Дайджест 2003-2004 гг._Труд для нас 3" xfId="9235"/>
    <cellStyle name="_Дайджест 2003-2004 гг._Труд для нас 4" xfId="9236"/>
    <cellStyle name="_Дайджест 2003-2004 гг._Труд для нас 5" xfId="9237"/>
    <cellStyle name="_Дайджест 2003-2004 гг._Труд для нас 6" xfId="9238"/>
    <cellStyle name="_Дайджест 2003-2004 гг._Труд для нас 7" xfId="9239"/>
    <cellStyle name="_Дайджест 2003-2004 гг._Труд для нас 8" xfId="9240"/>
    <cellStyle name="_Дайджест 2003-2004 гг._Труд для нас 9" xfId="9241"/>
    <cellStyle name="_Дайджест 2003-2004 гг._УралКирпич_план на 2 кв. 2009" xfId="9242"/>
    <cellStyle name="_Дайджест 2003-2004 гг._УСТ - любимая табличка по новому 2009 г." xfId="9243"/>
    <cellStyle name="_Дайджест 2003-2004 гг._Ф 29, 30" xfId="9244"/>
    <cellStyle name="_Дайджест 2003-2004 гг._Ф 29, 30 2" xfId="9245"/>
    <cellStyle name="_Дайджест 2003-2004 гг._Ф 29, 30 3" xfId="9246"/>
    <cellStyle name="_Дайджест 2003-2004 гг._Ф 29, 30 4" xfId="9247"/>
    <cellStyle name="_Дайджест 2003-2004 гг._Ф 29, 30 5" xfId="9248"/>
    <cellStyle name="_Дайджест 2003-2004 гг._Ф 29, 30 6" xfId="9249"/>
    <cellStyle name="_Дайджест 2003-2004 гг._Ф 29, 30 7" xfId="9250"/>
    <cellStyle name="_Дайджест 2003-2004 гг._Ф 29, 30 8" xfId="9251"/>
    <cellStyle name="_Дайджест 2003-2004 гг._Ф 29, 30 9" xfId="9252"/>
    <cellStyle name="_Дайджест 2003-2004 гг._ф IIкв.07 EBITDA ЛГОК 27.07.07" xfId="9253"/>
    <cellStyle name="_Дайджест 2003-2004 гг._ф01 2007 фин. часть МГОК 21.03.07" xfId="9254"/>
    <cellStyle name="_Дайджест 2003-2004 гг._ф01.07 EBITDA ОАО ЛГОК 02.03.07" xfId="9255"/>
    <cellStyle name="_Дайджест 2003-2004 гг._ф01.07 EBITDA ОАО ЛГОК 05.03.07" xfId="9256"/>
    <cellStyle name="_Дайджест 2003-2004 гг._ф01.07 EBITDA ОАО ЛГОК с изм. 30.03.07" xfId="9257"/>
    <cellStyle name="_Дайджест 2003-2004 гг._ф01.07 EBITDA ОАО УС 05.03.07" xfId="9258"/>
    <cellStyle name="_Дайджест 2003-2004 гг._ф01.07 EBITDA ОАО УС 05.03.07(26,2)" xfId="9259"/>
    <cellStyle name="_Дайджест 2003-2004 гг._ф01.07 EBITDA ОЭМК 02.03.07" xfId="9260"/>
    <cellStyle name="_Дайджест 2003-2004 гг._ф02.07 EBITDA ОАО ЛГОК 28.03.07" xfId="9261"/>
    <cellStyle name="_Дайджест 2003-2004 гг._ф02.07 EBITDA ОАО УС 28.03.07" xfId="9262"/>
    <cellStyle name="_Дайджест 2003-2004 гг._ф02.07 EBITDA ОЭМК 28.03.07" xfId="9263"/>
    <cellStyle name="_Дайджест 2003-2004 гг._ф11 Депозиты" xfId="9264"/>
    <cellStyle name="_Дайджест 2003-2004 гг._ф1кв.07 EBITDA ЛГОК 28.04.07" xfId="9265"/>
    <cellStyle name="_Дайджест 2003-2004 гг._фIкв EBITDA ОАО УС 28.04.07" xfId="9266"/>
    <cellStyle name="_Дайджест 2003-2004 гг._фIкв EBITDA ОЭМК 28.04.07" xfId="9267"/>
    <cellStyle name="_Дайджест 2003-2004 гг._Факт_2007_Часть 2" xfId="9268"/>
    <cellStyle name="_Дайджест 2003-2004 гг._Фин.часть  2007ожид и 2008 план" xfId="9269"/>
    <cellStyle name="_Дайджест 2003-2004 гг._Фин.часть  2007ожид и 2008 план 2" xfId="9270"/>
    <cellStyle name="_Дайджест 2003-2004 гг._Фин.часть  2007ожид и 2008 план 3" xfId="9271"/>
    <cellStyle name="_Дайджест 2003-2004 гг._Фин.часть  2007ожид и 2008 план 4" xfId="9272"/>
    <cellStyle name="_Дайджест 2003-2004 гг._Фин.часть  2007ожид и 2008 план 5" xfId="9273"/>
    <cellStyle name="_Дайджест 2003-2004 гг._Фин.часть  2007ожид и 2008 план 6" xfId="9274"/>
    <cellStyle name="_Дайджест 2003-2004 гг._Фин.часть  2007ожид и 2008 план 7" xfId="9275"/>
    <cellStyle name="_Дайджест 2003-2004 гг._Фин.часть  2007ожид и 2008 план 8" xfId="9276"/>
    <cellStyle name="_Дайджест 2003-2004 гг._Фин.часть  2007ожид и 2008 план 9" xfId="9277"/>
    <cellStyle name="_Дайджест 2003-2004 гг._Фин.часть 11.12.06" xfId="9278"/>
    <cellStyle name="_Дайджест 2003-2004 гг._Фин.часть 11.12.06 2" xfId="9279"/>
    <cellStyle name="_Дайджест 2003-2004 гг._Фин.часть 11.12.06 3" xfId="9280"/>
    <cellStyle name="_Дайджест 2003-2004 гг._Фин.часть 11.12.06 4" xfId="9281"/>
    <cellStyle name="_Дайджест 2003-2004 гг._Фин.часть 11.12.06 5" xfId="9282"/>
    <cellStyle name="_Дайджест 2003-2004 гг._Фин.часть 11.12.06 6" xfId="9283"/>
    <cellStyle name="_Дайджест 2003-2004 гг._Фин.часть 11.12.06 7" xfId="9284"/>
    <cellStyle name="_Дайджест 2003-2004 гг._Фин.часть 11.12.06 8" xfId="9285"/>
    <cellStyle name="_Дайджест 2003-2004 гг._Фин.часть 11.12.06 9" xfId="9286"/>
    <cellStyle name="_Дайджест 2003-2004 гг._Форма  19     27.03.07" xfId="9287"/>
    <cellStyle name="_Дайджест 2003-2004 гг._Форма  19     27.03.07 2" xfId="9288"/>
    <cellStyle name="_Дайджест 2003-2004 гг._Форма  19     27.03.07 3" xfId="9289"/>
    <cellStyle name="_Дайджест 2003-2004 гг._Форма  19     27.03.07 4" xfId="9290"/>
    <cellStyle name="_Дайджест 2003-2004 гг._Форма  19     27.03.07 5" xfId="9291"/>
    <cellStyle name="_Дайджест 2003-2004 гг._Форма  19     27.03.07 6" xfId="9292"/>
    <cellStyle name="_Дайджест 2003-2004 гг._Форма  19     27.03.07 7" xfId="9293"/>
    <cellStyle name="_Дайджест 2003-2004 гг._Форма  19     27.03.07 8" xfId="9294"/>
    <cellStyle name="_Дайджест 2003-2004 гг._Форма  19     27.03.07 9" xfId="9295"/>
    <cellStyle name="_Дайджест 2003-2004 гг._Форма  20,21 25.02.07" xfId="9296"/>
    <cellStyle name="_Дайджест 2003-2004 гг._Форма _ 2,4,5,30 скорр." xfId="9297"/>
    <cellStyle name="_Дайджест 2003-2004 гг._Форма 19 за 1 кв" xfId="9298"/>
    <cellStyle name="_Дайджест 2003-2004 гг._Форма 20,21за 1 кв 25.04.07" xfId="9299"/>
    <cellStyle name="_Дайджест 2003-2004 гг._Форма 28" xfId="9300"/>
    <cellStyle name="_Дайджест 2003-2004 гг._Форма 9" xfId="9301"/>
    <cellStyle name="_Дайджест 2003-2004 гг._Форма 9 2" xfId="9302"/>
    <cellStyle name="_Дайджест 2003-2004 гг._Форма 9 3" xfId="9303"/>
    <cellStyle name="_Дайджест 2003-2004 гг._Форма 9 4" xfId="9304"/>
    <cellStyle name="_Дайджест 2003-2004 гг._Форма 9 5" xfId="9305"/>
    <cellStyle name="_Дайджест 2003-2004 гг._Форма 9 6" xfId="9306"/>
    <cellStyle name="_Дайджест 2003-2004 гг._Форма 9 7" xfId="9307"/>
    <cellStyle name="_Дайджест 2003-2004 гг._Форма 9 8" xfId="9308"/>
    <cellStyle name="_Дайджест 2003-2004 гг._Форма 9 9" xfId="9309"/>
    <cellStyle name="_Дайджест 2003-2004 гг._Форма № 13, 14" xfId="9310"/>
    <cellStyle name="_Дайджест 2003-2004 гг._Форма № 19 25.02.07" xfId="9311"/>
    <cellStyle name="_Дайджест 2003-2004 гг._Форма № 28, 29, 30 план год 2008 от 05.12.07 для отправки" xfId="9312"/>
    <cellStyle name="_Дайджест 2003-2004 гг._Форма № 28, 29, 30 план год 2008 от 05.12.07 для отправки 2" xfId="9313"/>
    <cellStyle name="_Дайджест 2003-2004 гг._Форма № 28, 29, 30 план год 2008 от 05.12.07 для отправки 3" xfId="9314"/>
    <cellStyle name="_Дайджест 2003-2004 гг._Форма № 28, 29, 30 план год 2008 от 05.12.07 для отправки 4" xfId="9315"/>
    <cellStyle name="_Дайджест 2003-2004 гг._Форма № 28, 29, 30 план год 2008 от 05.12.07 для отправки 5" xfId="9316"/>
    <cellStyle name="_Дайджест 2003-2004 гг._Форма № 28, 29, 30 план год 2008 от 05.12.07 для отправки 6" xfId="9317"/>
    <cellStyle name="_Дайджест 2003-2004 гг._Форма № 28, 29, 30 план год 2008 от 05.12.07 для отправки 7" xfId="9318"/>
    <cellStyle name="_Дайджест 2003-2004 гг._Форма № 28, 29, 30 план год 2008 от 05.12.07 для отправки 8" xfId="9319"/>
    <cellStyle name="_Дайджест 2003-2004 гг._Форма № 28, 29, 30 план год 2008 от 05.12.07 для отправки 9" xfId="9320"/>
    <cellStyle name="_Дайджест 2003-2004 гг._Форма № 29" xfId="9321"/>
    <cellStyle name="_Дайджест 2003-2004 гг._Форма № 29 2" xfId="9322"/>
    <cellStyle name="_Дайджест 2003-2004 гг._Форма № 29 3" xfId="9323"/>
    <cellStyle name="_Дайджест 2003-2004 гг._Форма № 29 4" xfId="9324"/>
    <cellStyle name="_Дайджест 2003-2004 гг._Форма № 29 5" xfId="9325"/>
    <cellStyle name="_Дайджест 2003-2004 гг._Форма № 29 6" xfId="9326"/>
    <cellStyle name="_Дайджест 2003-2004 гг._Форма № 29 7" xfId="9327"/>
    <cellStyle name="_Дайджест 2003-2004 гг._Форма № 29 8" xfId="9328"/>
    <cellStyle name="_Дайджест 2003-2004 гг._Форма № 29 9" xfId="9329"/>
    <cellStyle name="_Дайджест 2003-2004 гг._Форма № 30  26.02.07" xfId="9330"/>
    <cellStyle name="_Дайджест 2003-2004 гг._Форма №13" xfId="9331"/>
    <cellStyle name="_Дайджест 2003-2004 гг._Форма №13, 14 от 25.04.07" xfId="9332"/>
    <cellStyle name="_Дайджест 2003-2004 гг._Форма №14" xfId="9333"/>
    <cellStyle name="_Дайджест 2003-2004 гг._Форма №19 июль факт" xfId="9334"/>
    <cellStyle name="_Дайджест 2003-2004 гг._форма №24 от 07.12.2006г" xfId="9335"/>
    <cellStyle name="_Дайджест 2003-2004 гг._форма №24 от 11.12.2006г" xfId="9336"/>
    <cellStyle name="_Дайджест 2003-2004 гг._форма №24 от 15.12.2006г" xfId="9337"/>
    <cellStyle name="_Дайджест 2003-2004 гг._форма №24,25 2 кв. от 02.04.07" xfId="9338"/>
    <cellStyle name="_Дайджест 2003-2004 гг._Форма №24,25 за 1 кв 2007" xfId="9339"/>
    <cellStyle name="_Дайджест 2003-2004 гг._Форма №24,25 за янв 2007" xfId="9340"/>
    <cellStyle name="_Дайджест 2003-2004 гг._Форма №26 1 кв" xfId="9341"/>
    <cellStyle name="_Дайджест 2003-2004 гг._Форма №27 1 кв" xfId="9342"/>
    <cellStyle name="_Дайджест 2003-2004 гг._Форма №8" xfId="9343"/>
    <cellStyle name="_Дайджест 2003-2004 гг._форма презентации по численности и зарплате" xfId="9344"/>
    <cellStyle name="_Дайджест 2003-2004 гг._форма презентации по численности и зарплате 2" xfId="9345"/>
    <cellStyle name="_Дайджест 2003-2004 гг._форма презентации по численности и зарплате 3" xfId="9346"/>
    <cellStyle name="_Дайджест 2003-2004 гг._форма презентации по численности и зарплате 4" xfId="9347"/>
    <cellStyle name="_Дайджест 2003-2004 гг._форма презентации по численности и зарплате 5" xfId="9348"/>
    <cellStyle name="_Дайджест 2003-2004 гг._форма презентации по численности и зарплате 6" xfId="9349"/>
    <cellStyle name="_Дайджест 2003-2004 гг._форма презентации по численности и зарплате 7" xfId="9350"/>
    <cellStyle name="_Дайджест 2003-2004 гг._форма презентации по численности и зарплате 8" xfId="9351"/>
    <cellStyle name="_Дайджест 2003-2004 гг._форма презентации по численности и зарплате 9" xfId="9352"/>
    <cellStyle name="_Дайджест 2003-2004 гг._Форма№13 (новая от 28 12 09г) февраль версия № и последняя" xfId="9353"/>
    <cellStyle name="_Дайджест 2003-2004 гг._Формат" xfId="9354"/>
    <cellStyle name="_Дайджест 2003-2004 гг._формат отчетности(фев с март)" xfId="9355"/>
    <cellStyle name="_Дайджест 2003-2004 гг._Формат Январь прогноз" xfId="9356"/>
    <cellStyle name="_Дайджест 2003-2004 гг._Формы 19,20,21" xfId="9357"/>
    <cellStyle name="_Дайджест 2003-2004 гг._Формы 19,20,21 16.12.06 " xfId="9358"/>
    <cellStyle name="_Дайджест 2003-2004 гг._Формы 19,20,21 на 2007г." xfId="9359"/>
    <cellStyle name="_Дайджест 2003-2004 гг._Формы Август-декбарь" xfId="9360"/>
    <cellStyle name="_Дайджест 2003-2004 гг._Формы для ЛГОК (к отправке)" xfId="9361"/>
    <cellStyle name="_Дайджест 2003-2004 гг._Формы для ОЭМК (к отправке)" xfId="9362"/>
    <cellStyle name="_Дайджест 2003-2004 гг._Формы общие отчет за год" xfId="9363"/>
    <cellStyle name="_Дайджест 2003-2004 гг._Формы общие отчет за год 10" xfId="9364"/>
    <cellStyle name="_Дайджест 2003-2004 гг._Формы общие отчет за год 11" xfId="9365"/>
    <cellStyle name="_Дайджест 2003-2004 гг._Формы общие отчет за год 12" xfId="9366"/>
    <cellStyle name="_Дайджест 2003-2004 гг._Формы общие отчет за год 13" xfId="9367"/>
    <cellStyle name="_Дайджест 2003-2004 гг._Формы общие отчет за год 2" xfId="9368"/>
    <cellStyle name="_Дайджест 2003-2004 гг._Формы общие отчет за год 3" xfId="9369"/>
    <cellStyle name="_Дайджест 2003-2004 гг._Формы общие отчет за год 4" xfId="9370"/>
    <cellStyle name="_Дайджест 2003-2004 гг._Формы общие отчет за год 5" xfId="9371"/>
    <cellStyle name="_Дайджест 2003-2004 гг._Формы общие отчет за год 6" xfId="9372"/>
    <cellStyle name="_Дайджест 2003-2004 гг._Формы общие отчет за год 7" xfId="9373"/>
    <cellStyle name="_Дайджест 2003-2004 гг._Формы общие отчет за год 8" xfId="9374"/>
    <cellStyle name="_Дайджест 2003-2004 гг._Формы общие отчет за год 9" xfId="9375"/>
    <cellStyle name="_Дайджест 2003-2004 гг._Формы общие отчет за год__План по труду 2008 261107 (10% с января)" xfId="9376"/>
    <cellStyle name="_Дайджест 2003-2004 гг._Формы общие отчет за год__План по труду 2008 261107 (10% с января) 2" xfId="9377"/>
    <cellStyle name="_Дайджест 2003-2004 гг._Формы общие отчет за год__План по труду 2008 261107 (10% с января) 3" xfId="9378"/>
    <cellStyle name="_Дайджест 2003-2004 гг._Формы общие отчет за год__План по труду 2008 261107 (10% с января) 4" xfId="9379"/>
    <cellStyle name="_Дайджест 2003-2004 гг._Формы общие отчет за год__План по труду 2008 261107 (10% с января) 5" xfId="9380"/>
    <cellStyle name="_Дайджест 2003-2004 гг._Формы общие отчет за год__План по труду 2008 261107 (10% с января) 6" xfId="9381"/>
    <cellStyle name="_Дайджест 2003-2004 гг._Формы общие отчет за год__План по труду 2008 261107 (10% с января) 7" xfId="9382"/>
    <cellStyle name="_Дайджест 2003-2004 гг._Формы общие отчет за год__План по труду 2008 261107 (10% с января) 8" xfId="9383"/>
    <cellStyle name="_Дайджест 2003-2004 гг._Формы общие отчет за год__План по труду 2008 261107 (10% с января) 9" xfId="9384"/>
    <cellStyle name="_Дайджест 2003-2004 гг._Формы общие отчет за год__План по труду 2008 ИТОГ (правл. ПНР 161007)_" xfId="9385"/>
    <cellStyle name="_Дайджест 2003-2004 гг._Формы общие отчет за год__План по труду 2008 ИТОГ (правл. ПНР 161007)_ 2" xfId="9386"/>
    <cellStyle name="_Дайджест 2003-2004 гг._Формы общие отчет за год__План по труду 2008 ИТОГ (правл. ПНР 161007)_ 3" xfId="9387"/>
    <cellStyle name="_Дайджест 2003-2004 гг._Формы общие отчет за год__План по труду 2008 ИТОГ (правл. ПНР 161007)_ 4" xfId="9388"/>
    <cellStyle name="_Дайджест 2003-2004 гг._Формы общие отчет за год__План по труду 2008 ИТОГ (правл. ПНР 161007)_ 5" xfId="9389"/>
    <cellStyle name="_Дайджест 2003-2004 гг._Формы общие отчет за год__План по труду 2008 ИТОГ (правл. ПНР 161007)_ 6" xfId="9390"/>
    <cellStyle name="_Дайджест 2003-2004 гг._Формы общие отчет за год__План по труду 2008 ИТОГ (правл. ПНР 161007)_ 7" xfId="9391"/>
    <cellStyle name="_Дайджест 2003-2004 гг._Формы общие отчет за год__План по труду 2008 ИТОГ (правл. ПНР 161007)_ 8" xfId="9392"/>
    <cellStyle name="_Дайджест 2003-2004 гг._Формы общие отчет за год__План по труду 2008 ИТОГ (правл. ПНР 161007)_ 9" xfId="9393"/>
    <cellStyle name="_Дайджест 2003-2004 гг._Формы общие отчет за год_2_Инвестпрограмма на 2008 год (КОВАЛЕВ)" xfId="9394"/>
    <cellStyle name="_Дайджест 2003-2004 гг._Формы общие отчет за год_Данные для ФОТ на 2008 год" xfId="9395"/>
    <cellStyle name="_Дайджест 2003-2004 гг._Формы общие отчет за год_Данные для ФОТ на 2008 год 2" xfId="9396"/>
    <cellStyle name="_Дайджест 2003-2004 гг._Формы общие отчет за год_Данные для ФОТ на 2008 год 3" xfId="9397"/>
    <cellStyle name="_Дайджест 2003-2004 гг._Формы общие отчет за год_Данные для ФОТ на 2008 год 4" xfId="9398"/>
    <cellStyle name="_Дайджест 2003-2004 гг._Формы общие отчет за год_Данные для ФОТ на 2008 год 5" xfId="9399"/>
    <cellStyle name="_Дайджест 2003-2004 гг._Формы общие отчет за год_Данные для ФОТ на 2008 год 6" xfId="9400"/>
    <cellStyle name="_Дайджест 2003-2004 гг._Формы общие отчет за год_Данные для ФОТ на 2008 год 7" xfId="9401"/>
    <cellStyle name="_Дайджест 2003-2004 гг._Формы общие отчет за год_Данные для ФОТ на 2008 год 8" xfId="9402"/>
    <cellStyle name="_Дайджест 2003-2004 гг._Формы общие отчет за год_Данные для ФОТ на 2008 год 9" xfId="9403"/>
    <cellStyle name="_Дайджест 2003-2004 гг._Формы общие отчет за год_План по труду 2008 ИТОГ (2003_вер)" xfId="9404"/>
    <cellStyle name="_Дайджест 2003-2004 гг._Формы общие отчет за год_План по труду 2008 ИТОГ (2003_вер) 2" xfId="9405"/>
    <cellStyle name="_Дайджест 2003-2004 гг._Формы общие отчет за год_План по труду 2008 ИТОГ (2003_вер) 3" xfId="9406"/>
    <cellStyle name="_Дайджест 2003-2004 гг._Формы общие отчет за год_План по труду 2008 ИТОГ (2003_вер) 4" xfId="9407"/>
    <cellStyle name="_Дайджест 2003-2004 гг._Формы общие отчет за год_План по труду 2008 ИТОГ (2003_вер) 5" xfId="9408"/>
    <cellStyle name="_Дайджест 2003-2004 гг._Формы общие отчет за год_План по труду 2008 ИТОГ (2003_вер) 6" xfId="9409"/>
    <cellStyle name="_Дайджест 2003-2004 гг._Формы общие отчет за год_План по труду 2008 ИТОГ (2003_вер) 7" xfId="9410"/>
    <cellStyle name="_Дайджест 2003-2004 гг._Формы общие отчет за год_План по труду 2008 ИТОГ (2003_вер) 8" xfId="9411"/>
    <cellStyle name="_Дайджест 2003-2004 гг._Формы общие отчет за год_План по труду 2008 ИТОГ (2003_вер) 9" xfId="9412"/>
    <cellStyle name="_Дайджест 2003-2004 гг._Формы общие отчет за год_ТКВ 2008 от 19.07" xfId="9413"/>
    <cellStyle name="_Дайджест 2003-2004 гг._Формы общие отчет за год_ТКВ 2008 от 31.07" xfId="9414"/>
    <cellStyle name="_Дайджест 2003-2004 гг._Эконом.показатели за февраль" xfId="9415"/>
    <cellStyle name="_Дайджест 2003-2004 гг._Экономические показатели Большаковой" xfId="9416"/>
    <cellStyle name="_Дайджест 2003-2004 гг._Экономические показатели Большаковой 2" xfId="9417"/>
    <cellStyle name="_Дайджест 2003-2004 гг._Экономические показатели Большаковой 3" xfId="9418"/>
    <cellStyle name="_Дайджест 2003-2004 гг._Экономические показатели Большаковой 4" xfId="9419"/>
    <cellStyle name="_Дайджест 2003-2004 гг._Экономические показатели Большаковой 5" xfId="9420"/>
    <cellStyle name="_Дайджест 2003-2004 гг._Экономические показатели Большаковой 6" xfId="9421"/>
    <cellStyle name="_Дайджест 2003-2004 гг._Экономические показатели Большаковой 7" xfId="9422"/>
    <cellStyle name="_Дайджест 2003-2004 гг._Экономические показатели Большаковой 8" xfId="9423"/>
    <cellStyle name="_Дайджест 2003-2004 гг._Экономические показатели Большаковой 9" xfId="9424"/>
    <cellStyle name="_Данные для планирования 2008г." xfId="9425"/>
    <cellStyle name="_Движение 2008 г" xfId="9426"/>
    <cellStyle name="_ДДС ноябрь 2007" xfId="9427"/>
    <cellStyle name="_ДДС_май" xfId="9428"/>
    <cellStyle name="_Дебет-кредит к видеоконференции 14.09.2004" xfId="9429"/>
    <cellStyle name="_Дебет-кредит к видеоконференции 14.09.2004_111" xfId="9430"/>
    <cellStyle name="_Дебет-кредит к видеоконференции 14.09.2004_Д-К ДЕКАБРЯ К ВИДЕОКОНФ  11_01_06____2" xfId="9431"/>
    <cellStyle name="_Дебет-кредит к видеоконференции 14.09.2004_Д-К МАРТА К ВИДЕОКОНФ  12_04_06_ред_4" xfId="9432"/>
    <cellStyle name="_Дебет-кредит к видеоконференции 14.09.2004_Д-К МАЯ  к видеоконференции 08_06_05" xfId="9433"/>
    <cellStyle name="_Дебет-кредит к видеоконференции 14.09.2004_Д-К НОЯБРЯ К ВИДЕОКОНФ  09_12_05_1___ок_1" xfId="9434"/>
    <cellStyle name="_Дебет-кредит к видеоконференции 14.09.2004_Д-К ФЕВРАЛЯ К ВИДЕОКОНФ  13_03_06_3" xfId="9435"/>
    <cellStyle name="_Дебет-кредит к видеоконференции 14.09.2004_Д-К ФЕВРАЛЯ К ВИДЕОКОНФ  13_03_06_31" xfId="9436"/>
    <cellStyle name="_Дебет-кредит к видеоконференции 14.09.2004_Д-К ЯНВАРЯ К ВИДЕОКОНФ  09_02_06_13_3" xfId="9437"/>
    <cellStyle name="_Дебет-кредит к видеоконференции 14.09.2004_план 3 кв" xfId="9438"/>
    <cellStyle name="_Дебет-кредит к видеоконференции 14.09.2004_план 4 кв" xfId="9439"/>
    <cellStyle name="_Дебет-кредит к видеоконференции 14.09.2004_план_2_кв_2006_внутренний" xfId="9440"/>
    <cellStyle name="_ДЕКАБРЬ  2008  ФАКТ    АНАЛИЗ СЫРЬЯ " xfId="9441"/>
    <cellStyle name="_ДЕКАБРЬ  2008  ФАКТ    АНАЛИЗ СЫРЬЯ  с ГБЖ от24.02.09" xfId="9442"/>
    <cellStyle name="_декабрь  2008 года 13.03.09 с кв.планом" xfId="9443"/>
    <cellStyle name="_ДЕКАБРЬ  ФАКТ  2007  АНАЛИЗ СЫРЬЯ" xfId="9444"/>
    <cellStyle name="_ДЕКАБРЬ  ФАКТ 2006  АНАЛИЗ СЫРЬЯ" xfId="9445"/>
    <cellStyle name="_ДИВИЗИОН_2008" xfId="9446"/>
    <cellStyle name="_Дивизиональная форма БДР_14.12.2007" xfId="9447"/>
    <cellStyle name="_Динамика деб.и кредит." xfId="9448"/>
    <cellStyle name="_Д-К ДЕКАБРЯ К ВИДЕОКОНФ  11_01_06____2" xfId="9449"/>
    <cellStyle name="_Д-К МАРТА К ВИДЕОКОНФ  12_04_06_ред_4" xfId="9450"/>
    <cellStyle name="_Д-К НОЯБРЯ К ВИДЕОКОНФ  09_12_05_1___ок_1" xfId="9451"/>
    <cellStyle name="_Д-К ФЕВРАЛЯ К ВИДЕОКОНФ  13_03_06_3" xfId="9452"/>
    <cellStyle name="_Д-К ФЕВРАЛЯ К ВИДЕОКОНФ  13_03_06_31" xfId="9453"/>
    <cellStyle name="_Д-К ЯНВАРЯ К ВИДЕОКОНФ  09_02_06_13_3" xfId="9454"/>
    <cellStyle name="_ДЛя Дорохина" xfId="9455"/>
    <cellStyle name="_для Любы" xfId="9456"/>
    <cellStyle name="_для Москвы  ФОРМЫ   факт 4 квартал28.01.08" xfId="9457"/>
    <cellStyle name="_Для Ф_25_апель2007(опер.)Н" xfId="9458"/>
    <cellStyle name="_Для ФП" xfId="9459"/>
    <cellStyle name="_Для ФП (1 кв.) (2)" xfId="9460"/>
    <cellStyle name="_Для ФП (1 кв.) (2)_исходные_291107" xfId="9461"/>
    <cellStyle name="_Для ФП (1 кв.) (2)_Лист1" xfId="9462"/>
    <cellStyle name="_Для ФП (1 кв.) (2)_Лист2" xfId="9463"/>
    <cellStyle name="_Для ФП (1 кв.) (2)_Лист3" xfId="9464"/>
    <cellStyle name="_Для ФП (3 кв.план)" xfId="9465"/>
    <cellStyle name="_Для ХВД ОЭМК _2" xfId="9466"/>
    <cellStyle name="_док-т БК 2 кв (ф.19 для ФУ)" xfId="9467"/>
    <cellStyle name="_док-ты БК-07.07г. (для ФУ ф.19)" xfId="9468"/>
    <cellStyle name="_док-ты БК-10 06г 1" xfId="9469"/>
    <cellStyle name="_док-ты БК-10 06г 1_Книга2" xfId="9470"/>
    <cellStyle name="_док-ты к БК 3 кв. 2007г. с утв. ИП" xfId="9471"/>
    <cellStyle name="_дополнение к Ф-2-3" xfId="9472"/>
    <cellStyle name="_Еханый капитал" xfId="9473"/>
    <cellStyle name="_Еханый капитал_Книга2" xfId="9474"/>
    <cellStyle name="_З А Я В К И 11.12.03 ГОДА !!!!!!!" xfId="9475"/>
    <cellStyle name="_З А Я В К И 13.12.03" xfId="9476"/>
    <cellStyle name="_Задачи по остаткам из протоколов УЗ" xfId="9477"/>
    <cellStyle name="_Запасы 1 квартал 06 Москвитину" xfId="9478"/>
    <cellStyle name="_Заявка на 19.02.04г." xfId="9479"/>
    <cellStyle name="_заявки" xfId="9480"/>
    <cellStyle name="_Заявки 04.12.03 г" xfId="9481"/>
    <cellStyle name="_Заявки 06.03.04 года" xfId="9482"/>
    <cellStyle name="_Заявки 1 Квартал" xfId="9483"/>
    <cellStyle name="_Заявки 1.12.03" xfId="9484"/>
    <cellStyle name="_Заявки 10.02.04 года" xfId="9485"/>
    <cellStyle name="_Заявки 10.07.2003г. на13ч.59м." xfId="9486"/>
    <cellStyle name="_Заявки 10.07.2003г. на13ч.59м._01.08.03  глав. инженера" xfId="9487"/>
    <cellStyle name="_Заявки 10.07.2003г. на13ч.59м._01.10.03" xfId="9488"/>
    <cellStyle name="_Заявки 10.07.2003г. на13ч.59м._03.10.03  глав. инженера" xfId="9489"/>
    <cellStyle name="_Заявки 10.07.2003г. на13ч.59м._07.10.2003" xfId="9490"/>
    <cellStyle name="_Заявки 10.07.2003г. на13ч.59м._10.10.2003" xfId="9491"/>
    <cellStyle name="_Заявки 10.07.2003г. на13ч.59м._14.10.2003" xfId="9492"/>
    <cellStyle name="_Заявки 10.07.2003г. на13ч.59м._16.10.2003" xfId="9493"/>
    <cellStyle name="_Заявки 10.07.2003г. на13ч.59м._17.09.03" xfId="9494"/>
    <cellStyle name="_Заявки 10.07.2003г. на13ч.59м._17.10.2003" xfId="9495"/>
    <cellStyle name="_Заявки 10.07.2003г. на13ч.59м._18.09.03" xfId="9496"/>
    <cellStyle name="_Заявки 10.07.2003г. на13ч.59м._19.09.03" xfId="9497"/>
    <cellStyle name="_Заявки 10.07.2003г. на13ч.59м._19.09.03  глав. инженера" xfId="9498"/>
    <cellStyle name="_Заявки 10.07.2003г. на13ч.59м._21.10.2003" xfId="9499"/>
    <cellStyle name="_Заявки 10.07.2003г. на13ч.59м._22.09.03" xfId="9500"/>
    <cellStyle name="_Заявки 10.07.2003г. на13ч.59м._22.10.2003" xfId="9501"/>
    <cellStyle name="_Заявки 10.07.2003г. на13ч.59м._23.09.03" xfId="9502"/>
    <cellStyle name="_Заявки 10.07.2003г. на13ч.59м._23.10.2003" xfId="9503"/>
    <cellStyle name="_Заявки 10.07.2003г. на13ч.59м._24.09.03" xfId="9504"/>
    <cellStyle name="_Заявки 10.07.2003г. на13ч.59м._25.09.03" xfId="9505"/>
    <cellStyle name="_Заявки 10.07.2003г. на13ч.59м._26.09.03" xfId="9506"/>
    <cellStyle name="_Заявки 10.07.2003г. на13ч.59м._26.09.03  глав. инженера" xfId="9507"/>
    <cellStyle name="_Заявки 10.07.2003г. на13ч.59м._28.09.03" xfId="9508"/>
    <cellStyle name="_Заявки 10.07.2003г. на13ч.59м._Ведомость(август)" xfId="9509"/>
    <cellStyle name="_Заявки 10.07.2003г. на13ч.59м._Заявки  16.09.03  в 11 ч 40 мин" xfId="9510"/>
    <cellStyle name="_Заявки 10.07.2003г. на13ч.59м._Заявки  17.09.03  в 11 ч 40 мин" xfId="9511"/>
    <cellStyle name="_Заявки 10.07.2003г. на13ч.59м._Заявки  18.09.03  в 11 ч 40 мин" xfId="9512"/>
    <cellStyle name="_Заявки 10.07.2003г. на13ч.59м._Заявки  19.09.03  в 09 ч 00 мин" xfId="9513"/>
    <cellStyle name="_Заявки 10.07.2003г. на13ч.59м._Заявки все 03.09.03 г" xfId="9514"/>
    <cellStyle name="_Заявки 10.07.2003г. на13ч.59м._Заявки ВСЕ 10.09.03" xfId="9515"/>
    <cellStyle name="_Заявки 10.07.2003г. на13ч.59м._Заявки ВСЕ 11.09.03" xfId="9516"/>
    <cellStyle name="_Заявки 10.07.2003г. на13ч.59м._Заявки ВСЕ 15.09.03" xfId="9517"/>
    <cellStyle name="_Заявки 10.07.2003г. на13ч.59м._Заявки все 5.09.03 г" xfId="9518"/>
    <cellStyle name="_Заявки 10.07.2003г. на13ч.59м._Заявки ВСЕ 9.09.03" xfId="9519"/>
    <cellStyle name="_Заявки 10.07.2003г. на13ч.59м._Исходники август" xfId="9520"/>
    <cellStyle name="_Заявки 10.07.2003г. на13ч.59м._Исходники сентябрь" xfId="9521"/>
    <cellStyle name="_Заявки 10.07.2003г. на13ч.59м._К оперативке 01.09.03" xfId="9522"/>
    <cellStyle name="_Заявки 10.07.2003г. на13ч.59м._К оперативке 01.10.2003(New)" xfId="9523"/>
    <cellStyle name="_Заявки 10.07.2003г. на13ч.59м._К оперативке 03.10.2003" xfId="9524"/>
    <cellStyle name="_Заявки 10.07.2003г. на13ч.59м._К оперативке 04.08.03" xfId="9525"/>
    <cellStyle name="_Заявки 10.07.2003г. на13ч.59м._К оперативке 04.09.03" xfId="9526"/>
    <cellStyle name="_Заявки 10.07.2003г. на13ч.59м._К оперативке 04.09.03_1" xfId="9527"/>
    <cellStyle name="_Заявки 10.07.2003г. на13ч.59м._К оперативке 05.08.03" xfId="9528"/>
    <cellStyle name="_Заявки 10.07.2003г. на13ч.59м._К оперативке 06.08.03" xfId="9529"/>
    <cellStyle name="_Заявки 10.07.2003г. на13ч.59м._К оперативке 06.08.03 итог" xfId="9530"/>
    <cellStyle name="_Заявки 10.07.2003г. на13ч.59м._К оперативке 07.08.03" xfId="9531"/>
    <cellStyle name="_Заявки 10.07.2003г. на13ч.59м._К оперативке 08.10.2003" xfId="9532"/>
    <cellStyle name="_Заявки 10.07.2003г. на13ч.59м._К оперативке 09.10.2003" xfId="9533"/>
    <cellStyle name="_Заявки 10.07.2003г. на13ч.59м._К оперативке 14.08.03" xfId="9534"/>
    <cellStyle name="_Заявки 10.07.2003г. на13ч.59м._К оперативке 16 07 03" xfId="9535"/>
    <cellStyle name="_Заявки 10.07.2003г. на13ч.59м._К оперативке 16 10 2003(ПАУ)" xfId="9536"/>
    <cellStyle name="_Заявки 10.07.2003г. на13ч.59м._К оперативке 16.09.03" xfId="9537"/>
    <cellStyle name="_Заявки 10.07.2003г. на13ч.59м._К оперативке 20 07 03" xfId="9538"/>
    <cellStyle name="_Заявки 10.07.2003г. на13ч.59м._К оперативке 21.08.03" xfId="9539"/>
    <cellStyle name="_Заявки 10.07.2003г. на13ч.59м._К оперативке 23.08.03" xfId="9540"/>
    <cellStyle name="_Заявки 10.07.2003г. на13ч.59м._К оперативке 27.08.03" xfId="9541"/>
    <cellStyle name="_Заявки 10.07.2003г. на13ч.59м._К оперативке 30 07 03" xfId="9542"/>
    <cellStyle name="_Заявки 10.07.2003г. на13ч.59м._К оперативке 30.09.03" xfId="9543"/>
    <cellStyle name="_Заявки 10.07.2003г. на13ч.59м._Лизинг 2003" xfId="9544"/>
    <cellStyle name="_Заявки 10.07.2003г. на13ч.59м._Не ликвиды ПБК" xfId="9545"/>
    <cellStyle name="_Заявки 10.07.2003г. на13ч.59м._Не ликвиды ПБК (нов)" xfId="9546"/>
    <cellStyle name="_Заявки 10.07.2003г. на13ч.59м._НЕлеквиды ПБК" xfId="9547"/>
    <cellStyle name="_Заявки 10.07.2003г. на13ч.59м._Неликвиды июля" xfId="9548"/>
    <cellStyle name="_Заявки 10.07.2003г. на13ч.59м._Неликвиды ПБК" xfId="9549"/>
    <cellStyle name="_Заявки 10.07.2003г. на13ч.59м._Неликвиды ПБК(1)" xfId="9550"/>
    <cellStyle name="_Заявки 10.07.2003г. на13ч.59м._Неликвиды ПБК(11)" xfId="9551"/>
    <cellStyle name="_Заявки 10.07.2003г. на13ч.59м._Остатки 12.10.2003" xfId="9552"/>
    <cellStyle name="_Заявки 10.07.2003г. на13ч.59м._Остатки новая форма 13 10 2003" xfId="9553"/>
    <cellStyle name="_Заявки 10.07.2003г. на13ч.59м._остатки подразд" xfId="9554"/>
    <cellStyle name="_Заявки 10.07.2003г. на13ч.59м._ОФ 1 квартал" xfId="9555"/>
    <cellStyle name="_ЗАЯВКИ 10.12.03 ГОДА" xfId="9556"/>
    <cellStyle name="_Заявки 11.11.03" xfId="9557"/>
    <cellStyle name="_Заявки 12.01.04 года" xfId="9558"/>
    <cellStyle name="_Заявки 12.02.04 года" xfId="9559"/>
    <cellStyle name="_Заявки 12.03.2004. на 11час. 15 мин." xfId="9560"/>
    <cellStyle name="_Заявки 13.01.04 года" xfId="9561"/>
    <cellStyle name="_Заявки 13.02.04 года" xfId="9562"/>
    <cellStyle name="_Заявки 14.01.04 года" xfId="9563"/>
    <cellStyle name="_Заявки 14.02.2004." xfId="9564"/>
    <cellStyle name="_заявки 14.04.04" xfId="9565"/>
    <cellStyle name="_Заявки 15.01.04 года" xfId="9566"/>
    <cellStyle name="_Заявки 16.02.04 года" xfId="9567"/>
    <cellStyle name="_ЗаЯвКи 16.12.03 года !" xfId="9568"/>
    <cellStyle name="_Заявки 17.04.04" xfId="9569"/>
    <cellStyle name="_ЗАЯВКИ 17.12.03 ГОДА!" xfId="9570"/>
    <cellStyle name="_Заявки 18.02.04 года" xfId="9571"/>
    <cellStyle name="_ЗАЯВКИ 18.11.03 года" xfId="9572"/>
    <cellStyle name="_Заявки 19.12.03 года" xfId="9573"/>
    <cellStyle name="_Заявки 2.02.04 года" xfId="9574"/>
    <cellStyle name="_Заявки 2.12.03" xfId="9575"/>
    <cellStyle name="_Заявки 20.04.2004 год на 09час.25мит." xfId="9576"/>
    <cellStyle name="_Заявки 2004 год" xfId="9577"/>
    <cellStyle name="_Заявки 2005 год" xfId="9578"/>
    <cellStyle name="_Заявки 24.11.03" xfId="9579"/>
    <cellStyle name="_Заявки 25.11.03 г." xfId="9580"/>
    <cellStyle name="_Заявки 26.11.03" xfId="9581"/>
    <cellStyle name="_Заявки 27.11.03 г" xfId="9582"/>
    <cellStyle name="_Заявки 27.12.03 года !!!" xfId="9583"/>
    <cellStyle name="_Заявки 3.02.04 года" xfId="9584"/>
    <cellStyle name="_Заявки 4.02.04 года" xfId="9585"/>
    <cellStyle name="_Заявки 5.02.04 года" xfId="9586"/>
    <cellStyle name="_Заявки 5.12.03 г." xfId="9587"/>
    <cellStyle name="_Заявки 6.02.04 года" xfId="9588"/>
    <cellStyle name="_Заявки 8.12.03" xfId="9589"/>
    <cellStyle name="_Заявки 9.02.04 года" xfId="9590"/>
    <cellStyle name="_Заявки 9.03.04 года" xfId="9591"/>
    <cellStyle name="_Заявки 9.12.03 г." xfId="9592"/>
    <cellStyle name="_Заявки IV квартал и октябрь" xfId="9593"/>
    <cellStyle name="_Заявки Год" xfId="9594"/>
    <cellStyle name="_Заявки для Антона (оперативка)" xfId="9595"/>
    <cellStyle name="_Заявки на 13.03.04 10.30" xfId="9596"/>
    <cellStyle name="_Заявки на 16.03.04г." xfId="9597"/>
    <cellStyle name="_Заявки на18.03.04г." xfId="9598"/>
    <cellStyle name="_Заявки по сентябрю 2005г." xfId="9599"/>
    <cellStyle name="_Заявки Январь" xfId="9600"/>
    <cellStyle name="_ИБ Здоровье март, 1 кв., год 2006" xfId="9601"/>
    <cellStyle name="_ИБ Здоровье март, 1 кв., год 2006 2" xfId="9602"/>
    <cellStyle name="_ИБ Здоровье март, 1 кв., год 2006_БП Урал Кирпич 28 01 2008г" xfId="9603"/>
    <cellStyle name="_ИБ Здоровье март, 1 кв., год 2006_БП_план на 1 кв. 2008г." xfId="9604"/>
    <cellStyle name="_ИБ Здоровье март, 1 кв., год 2006_БП_план на 2 кв. 2008г." xfId="9605"/>
    <cellStyle name="_ИБ Здоровье март, 1 кв., год 2006_Книга2" xfId="9606"/>
    <cellStyle name="_ИБ Здоровье март, 1 кв., год 2006_Конс  ЛГОК БП 2009 от 14 10 08" xfId="9607"/>
    <cellStyle name="_ИБ Здоровье март, 1 кв., год 2006_Конс  МГОК БП 2009 от 14 10 08" xfId="9608"/>
    <cellStyle name="_ИБ Здоровье март, 1 кв., год 2006_План ДСМ 2 квартал 2009 ОТЧЕТ отп" xfId="9609"/>
    <cellStyle name="_ИБ Здоровье март, 1 кв., год 2006_План ДСМ 3 квартал 2009 ОТЧЕТ" xfId="9610"/>
    <cellStyle name="_ИБ Здоровье март, 1 кв., год 2006_План ДСМ 4 квартал 2009 ОТЧЕТ" xfId="9611"/>
    <cellStyle name="_ИБ Здоровье март, 1 кв., год 2006_План ДСМ на 4 квартал 2006 (последняя версия) 2" xfId="9612"/>
    <cellStyle name="_ИБ Здоровье март, 1 кв., год 2006_План ДСМ ноябрь 2011 ОТЧЕТ" xfId="9613"/>
    <cellStyle name="_ИБ Здоровье март, 1 кв., год 2006_План ДСФ 1 квартал 2007" xfId="9614"/>
    <cellStyle name="_ИБ Здоровье март, 1 кв., год 2006_План ДСФ 2 квартал 2009 ОТЧЕТ отп" xfId="9615"/>
    <cellStyle name="_ИБ Здоровье март, 1 кв., год 2006_План ДСФ 4 квартал 2009 ОТЧЕТ" xfId="9616"/>
    <cellStyle name="_ИБ Здоровье март, 1 кв., год 2006_План на 2009 год ДСМ ОТЧЕТ отп (01.12.08)" xfId="9617"/>
    <cellStyle name="_ИБ Здоровье март, 1 кв., год 2006_План на 2010 год ДСМ ОТЧЕТ" xfId="9618"/>
    <cellStyle name="_ИБ Здоровье март, 1 кв., год 2006_Сравнение ожидаемого 2008 с 2009г  ОЭМК от 06 10 2008" xfId="9619"/>
    <cellStyle name="_ИБ Здоровье март, 1 кв., год 2006_Сравнение ожидаемого 2008 УС c 2009г  от 06 10 2008" xfId="9620"/>
    <cellStyle name="_ИБ Здоровье март, 1 кв., год 2006_УралКирпич_план на 2 кв. 2009" xfId="9621"/>
    <cellStyle name="_ИБП Транспорт 05" xfId="9622"/>
    <cellStyle name="_ИБП Транспорт 05 2" xfId="9623"/>
    <cellStyle name="_ИБП Транспорт 05_БП Урал Кирпич 28 01 2008г" xfId="9624"/>
    <cellStyle name="_ИБП Транспорт 05_БП_план на 1 кв. 2008г." xfId="9625"/>
    <cellStyle name="_ИБП Транспорт 05_БП_план на 2 кв. 2008г." xfId="9626"/>
    <cellStyle name="_ИБП Транспорт 05_Книга2" xfId="9627"/>
    <cellStyle name="_ИБП Транспорт 05_Конс  ЛГОК БП 2009 от 14 10 08" xfId="9628"/>
    <cellStyle name="_ИБП Транспорт 05_Конс  МГОК БП 2009 от 14 10 08" xfId="9629"/>
    <cellStyle name="_ИБП Транспорт 05_План ДСМ 2 квартал 2009 ОТЧЕТ отп" xfId="9630"/>
    <cellStyle name="_ИБП Транспорт 05_План ДСМ 3 квартал 2009 ОТЧЕТ" xfId="9631"/>
    <cellStyle name="_ИБП Транспорт 05_План ДСМ 4 квартал 2009 ОТЧЕТ" xfId="9632"/>
    <cellStyle name="_ИБП Транспорт 05_План ДСМ на 4 квартал 2006 (последняя версия) 2" xfId="9633"/>
    <cellStyle name="_ИБП Транспорт 05_План ДСМ ноябрь 2011 ОТЧЕТ" xfId="9634"/>
    <cellStyle name="_ИБП Транспорт 05_План ДСФ 1 квартал 2007" xfId="9635"/>
    <cellStyle name="_ИБП Транспорт 05_План ДСФ 2 квартал 2009 ОТЧЕТ отп" xfId="9636"/>
    <cellStyle name="_ИБП Транспорт 05_План ДСФ 4 квартал 2009 ОТЧЕТ" xfId="9637"/>
    <cellStyle name="_ИБП Транспорт 05_План на 2009 год ДСМ ОТЧЕТ отп (01.12.08)" xfId="9638"/>
    <cellStyle name="_ИБП Транспорт 05_План на 2010 год ДСМ ОТЧЕТ" xfId="9639"/>
    <cellStyle name="_ИБП Транспорт 05_Сравнение ожидаемого 2008 с 2009г  ОЭМК от 06 10 2008" xfId="9640"/>
    <cellStyle name="_ИБП Транспорт 05_Сравнение ожидаемого 2008 УС c 2009г  от 06 10 2008" xfId="9641"/>
    <cellStyle name="_ИБП Транспорт 05_УралКирпич_план на 2 кв. 2009" xfId="9642"/>
    <cellStyle name="_измененные формы 2425" xfId="9643"/>
    <cellStyle name="_Инвест_Программа УС 2008г (10.12.07.) - от 11.12.07" xfId="9644"/>
    <cellStyle name="_инвестиции-2кв." xfId="9645"/>
    <cellStyle name="_Инвестпрограмма 2008 (анализ отклонений)_УК" xfId="9646"/>
    <cellStyle name="_Инвестпрограмма 2008 ожид  (покварт )_09092008_2 (3)" xfId="9647"/>
    <cellStyle name="_Инвестпрограмма на 2008г (ф.19,20,40) от 28.11.07" xfId="9648"/>
    <cellStyle name="_Инвестпрограмма_апрель 2008_form" xfId="9649"/>
    <cellStyle name="_ИПИТА" xfId="9650"/>
    <cellStyle name="_Исолнение БДДС в декабре 2006" xfId="9651"/>
    <cellStyle name="_исп заказов ТД" xfId="9652"/>
    <cellStyle name="_испол портфелей тмц" xfId="9653"/>
    <cellStyle name="_испол портфелей тмц_111" xfId="9654"/>
    <cellStyle name="_испол портфелей тмц_Д-К ДЕКАБРЯ К ВИДЕОКОНФ  11_01_06____2" xfId="9655"/>
    <cellStyle name="_испол портфелей тмц_Д-К МАРТА К ВИДЕОКОНФ  12_04_06_ред_4" xfId="9656"/>
    <cellStyle name="_испол портфелей тмц_Д-К МАЯ  к видеоконференции 08_06_05" xfId="9657"/>
    <cellStyle name="_испол портфелей тмц_Д-К НОЯБРЯ К ВИДЕОКОНФ  09_12_05_1___ок_1" xfId="9658"/>
    <cellStyle name="_испол портфелей тмц_Д-К ФЕВРАЛЯ К ВИДЕОКОНФ  13_03_06_3" xfId="9659"/>
    <cellStyle name="_испол портфелей тмц_Д-К ФЕВРАЛЯ К ВИДЕОКОНФ  13_03_06_31" xfId="9660"/>
    <cellStyle name="_испол портфелей тмц_Д-К ЯНВАРЯ К ВИДЕОКОНФ  09_02_06_13_3" xfId="9661"/>
    <cellStyle name="_испол портфелей тмц_план 3 кв" xfId="9662"/>
    <cellStyle name="_испол портфелей тмц_план 4 кв" xfId="9663"/>
    <cellStyle name="_испол портфелей тмц_план_2_кв_2006_внутренний" xfId="9664"/>
    <cellStyle name="_Исполнение" xfId="9665"/>
    <cellStyle name="_ИСПОЛНЕНИЕ БДДС В НОЯБРЕ  2006" xfId="9666"/>
    <cellStyle name="_Исполнение БДДС ОАО ОЭМК за октябрь 2006 года" xfId="9667"/>
    <cellStyle name="_Исполнение новый" xfId="9668"/>
    <cellStyle name="_Исполнение плана платежей за 01.09.06" xfId="9669"/>
    <cellStyle name="_Исполнение протокола" xfId="9670"/>
    <cellStyle name="_Исполнение протокола № 20" xfId="9671"/>
    <cellStyle name="_Исполнение протокола № 21" xfId="9672"/>
    <cellStyle name="_Исполнение протокола № 25" xfId="9673"/>
    <cellStyle name="_Исполнение протокола №15" xfId="9674"/>
    <cellStyle name="_Исполнение протокола №18" xfId="9675"/>
    <cellStyle name="_Исполнение протокола №19" xfId="9676"/>
    <cellStyle name="_Исполнение протокола №36" xfId="9677"/>
    <cellStyle name="_Исполнение протокола №37" xfId="9678"/>
    <cellStyle name="_Исполнение протокола №39" xfId="9679"/>
    <cellStyle name="_Исполнение протокола УЗ" xfId="9680"/>
    <cellStyle name="_Исходники " xfId="9681"/>
    <cellStyle name="_Исходники Декабрь" xfId="9682"/>
    <cellStyle name="_Исходники Январь" xfId="9683"/>
    <cellStyle name="_июль" xfId="9684"/>
    <cellStyle name="_ИЮЛЬ    2009 ГОД   ФАКТ   АНАЛИЗ СЫРЬЯ  " xfId="9685"/>
    <cellStyle name="_ИЮЛЬ   2008  ФАКТ    АНАЛИЗ СЫРЬЯ" xfId="9686"/>
    <cellStyle name="_ИЮЛЬ  ФАКТ  2007  АНАЛИЗ СЫРЬЯ" xfId="9687"/>
    <cellStyle name="_Июль 03 07 " xfId="9688"/>
    <cellStyle name="_Июль 03 07  (2)" xfId="9689"/>
    <cellStyle name="_Июль 03.07." xfId="9690"/>
    <cellStyle name="_Июль 03.07_13-00." xfId="9691"/>
    <cellStyle name="_Июль факт Ф20" xfId="9692"/>
    <cellStyle name="_июль-планов." xfId="9693"/>
    <cellStyle name="_Июнь" xfId="9694"/>
    <cellStyle name="_ИЮНЬ   2008  ФАКТ    АНАЛИЗ СЫРЬЯ" xfId="9695"/>
    <cellStyle name="_ИЮНЬ  ФАКТ  2007  АНАЛИЗ СЫРЬЯ" xfId="9696"/>
    <cellStyle name="_К оперативке 00 01 2004" xfId="9697"/>
    <cellStyle name="_К оперативке 01 12 2003" xfId="9698"/>
    <cellStyle name="_К оперативке 01.02.2007" xfId="9699"/>
    <cellStyle name="_К оперативке 01.03. 2004" xfId="9700"/>
    <cellStyle name="_К оперативке 01.03.2005" xfId="9701"/>
    <cellStyle name="_К оперативке 01.10.2004 (30.09.04)" xfId="9702"/>
    <cellStyle name="_К оперативке 01.11.2004 (31.10.04)" xfId="9703"/>
    <cellStyle name="_К оперативке 01.11.2006" xfId="9704"/>
    <cellStyle name="_К оперативке 02 08 2004" xfId="9705"/>
    <cellStyle name="_К оперативке 02 08 2004г." xfId="9706"/>
    <cellStyle name="_К оперативке 02.03.2006" xfId="9707"/>
    <cellStyle name="_К оперативке 02.09.2004 (31.08.04)" xfId="9708"/>
    <cellStyle name="_К оперативке 02.12.2004" xfId="9709"/>
    <cellStyle name="_К оперативке 03 01 2004" xfId="9710"/>
    <cellStyle name="_К оперативке 03 03 2004" xfId="9711"/>
    <cellStyle name="_К оперативке 03 11 2003" xfId="9712"/>
    <cellStyle name="_К оперативке 03.05.2007" xfId="9713"/>
    <cellStyle name="_К оперативке 03.07.2004" xfId="9714"/>
    <cellStyle name="_К оперативке 03.12.2004" xfId="9715"/>
    <cellStyle name="_К оперативке 04 02 2004" xfId="9716"/>
    <cellStyle name="_К оперативке 04 03 2004" xfId="9717"/>
    <cellStyle name="_К оперативке 04 11 2003" xfId="9718"/>
    <cellStyle name="_К оперативке 04.05.2006" xfId="9719"/>
    <cellStyle name="_К оперативке 05 02 2004" xfId="9720"/>
    <cellStyle name="_К оперативке 05 03 2004" xfId="9721"/>
    <cellStyle name="_К оперативке 05 08 2004 (31.07.04)" xfId="9722"/>
    <cellStyle name="_К оперативке 05 11 2003" xfId="9723"/>
    <cellStyle name="_К оперативке 05.04.2006" xfId="9724"/>
    <cellStyle name="_К оперативке 05.10.2006" xfId="9725"/>
    <cellStyle name="_К оперативке 05.11.2004" xfId="9726"/>
    <cellStyle name="_К оперативке 06 02 2004" xfId="9727"/>
    <cellStyle name="_К оперативке 06 11 2003 ПАУ" xfId="9728"/>
    <cellStyle name="_К оперативке 06 12 2003" xfId="9729"/>
    <cellStyle name="_К оперативке 06.07.2006" xfId="9730"/>
    <cellStyle name="_К оперативке 07.10.2004" xfId="9731"/>
    <cellStyle name="_К оперативке 07.12.2006" xfId="9732"/>
    <cellStyle name="_К оперативке 08.02.2007" xfId="9733"/>
    <cellStyle name="_К оперативке 09.04. 2004" xfId="9734"/>
    <cellStyle name="_К оперативке 09.11.2006" xfId="9735"/>
    <cellStyle name="_К оперативке 09.12.2004" xfId="9736"/>
    <cellStyle name="_К оперативке 10 01 2004" xfId="9737"/>
    <cellStyle name="_К оперативке 10 10 02 г." xfId="9738"/>
    <cellStyle name="_К оперативке 10.11.2005" xfId="9739"/>
    <cellStyle name="_К оперативке 11 03 2004" xfId="9740"/>
    <cellStyle name="_К оперативке 11.01.2007" xfId="9741"/>
    <cellStyle name="_К оперативке 11.11.2004" xfId="9742"/>
    <cellStyle name="_К оперативке 12.01.2006" xfId="9743"/>
    <cellStyle name="_К оперативке 12.06.2004" xfId="9744"/>
    <cellStyle name="_К оперативке 13.04.2007" xfId="9745"/>
    <cellStyle name="_К оперативке 13.07.2007" xfId="9746"/>
    <cellStyle name="_К оперативке 14.05.2004" xfId="9747"/>
    <cellStyle name="_К оперативке 14.08.03" xfId="9748"/>
    <cellStyle name="_К оперативке 14.09.2007" xfId="9749"/>
    <cellStyle name="_К оперативке 14.10.2005" xfId="9750"/>
    <cellStyle name="_К оперативке 15 07 2004" xfId="9751"/>
    <cellStyle name="_К оперативке 15.02.2007" xfId="9752"/>
    <cellStyle name="_К оперативке 15.09.2005" xfId="9753"/>
    <cellStyle name="_К оперативке 16 07 2004" xfId="9754"/>
    <cellStyle name="_К оперативке 16 09 2004 цвет" xfId="9755"/>
    <cellStyle name="_К оперативке 16.04. 2004" xfId="9756"/>
    <cellStyle name="_К оперативке 16.09.2004" xfId="9757"/>
    <cellStyle name="_К оперативке 17 09 2004 цвет с об" xfId="9758"/>
    <cellStyle name="_К оперативке 17.11.2005" xfId="9759"/>
    <cellStyle name="_К оперативке 17.12.2004" xfId="9760"/>
    <cellStyle name="_К оперативке 18.11.2005" xfId="9761"/>
    <cellStyle name="_К оперативке 19 02 2004" xfId="9762"/>
    <cellStyle name="_К оперативке 19.03. 2004" xfId="9763"/>
    <cellStyle name="_К оперативке 20 02 2004" xfId="9764"/>
    <cellStyle name="_К оперативке 20 11 2003" xfId="9765"/>
    <cellStyle name="_К оперативке 20.07.2006" xfId="9766"/>
    <cellStyle name="_К оперативке 20.10.2004" xfId="9767"/>
    <cellStyle name="_К оперативке 20.10.2005" xfId="9768"/>
    <cellStyle name="_К оперативке 22 01 2004" xfId="9769"/>
    <cellStyle name="_К оперативке 22.04.2005" xfId="9770"/>
    <cellStyle name="_К оперативке 22.10.2004" xfId="9771"/>
    <cellStyle name="_К оперативке 23 01 2004" xfId="9772"/>
    <cellStyle name="_К оперативке 23 09 2004" xfId="9773"/>
    <cellStyle name="_К оперативке 23.04. 2004" xfId="9774"/>
    <cellStyle name="_К оперативке 23.11.2006" xfId="9775"/>
    <cellStyle name="_К оперативке 25.02.2005" xfId="9776"/>
    <cellStyle name="_К оперативке 25.04.2007" xfId="9777"/>
    <cellStyle name="_К оперативке 26 08 2004" xfId="9778"/>
    <cellStyle name="_К оперативке 26.08.2005" xfId="9779"/>
    <cellStyle name="_К оперативке 26.11.2004" xfId="9780"/>
    <cellStyle name="_К оперативке 27 02 2004" xfId="9781"/>
    <cellStyle name="_К оперативке 29.05.2004" xfId="9782"/>
    <cellStyle name="_К оперативке 30 01 2004" xfId="9783"/>
    <cellStyle name="_К оперативке 30 08 2004" xfId="9784"/>
    <cellStyle name="_К оперативке 30 10 2003г" xfId="9785"/>
    <cellStyle name="_К оперативке 30.06.2004 (05.07.04)" xfId="9786"/>
    <cellStyle name="_К оперативке 30.12.2004" xfId="9787"/>
    <cellStyle name="_К оперативке 31 01 2004" xfId="9788"/>
    <cellStyle name="_К оперативке 31 12 2003" xfId="9789"/>
    <cellStyle name="_К оперативке 31.05.2004(03.06.04)" xfId="9790"/>
    <cellStyle name="_К оперативке 31.07.2006" xfId="9791"/>
    <cellStyle name="_К оперативке 31.08.2007" xfId="9792"/>
    <cellStyle name="_К оперативке гл. инж. 08.10.2004" xfId="9793"/>
    <cellStyle name="_К оперативке гл.инж. 05.11.2004" xfId="9794"/>
    <cellStyle name="_К оперативке гл.инженера 04.03.2005" xfId="9795"/>
    <cellStyle name="_К оперативке гл.инженера 04.11.2005" xfId="9796"/>
    <cellStyle name="_К оперативке гл.инженера 08.04.2005" xfId="9797"/>
    <cellStyle name="_К оперативке гл.инженера 11.03.2005" xfId="9798"/>
    <cellStyle name="_К оперативке гл.инженера 15.04.2005" xfId="9799"/>
    <cellStyle name="_К оперативке гл.инженера 16.09.2005" xfId="9800"/>
    <cellStyle name="_К оперативке гл.инженера 18.02.2005" xfId="9801"/>
    <cellStyle name="_К оперативке гл.инженера 24.12.2004" xfId="9802"/>
    <cellStyle name="_К оперативке гл.инженера 25.02.2005" xfId="9803"/>
    <cellStyle name="_К оперативке УЗ 06.03.2004" xfId="9804"/>
    <cellStyle name="_К оперативке УЗ 13.03.2004" xfId="9805"/>
    <cellStyle name="_К оперативке УЗ 14.02.2004" xfId="9806"/>
    <cellStyle name="_К оперативке Фин.директора 17.02.2004" xfId="9807"/>
    <cellStyle name="_К отправке - 2 чтение" xfId="9808"/>
    <cellStyle name="_К отправке - коричневая презентация" xfId="9809"/>
    <cellStyle name="_Календарный график на месяц" xfId="9810"/>
    <cellStyle name="_Кап Ремонт Апрель" xfId="9811"/>
    <cellStyle name="_кап ремонт ЦГБЖ в октябре 2005г" xfId="9812"/>
    <cellStyle name="_Кап ремонту ЦГБЖ апрель 2007 для Семенова" xfId="9813"/>
    <cellStyle name="_Кап.вложения 2006г. ожид. по новой форме_ИННА" xfId="9814"/>
    <cellStyle name="_Кап.вложения 2006г. ожид. по новой форме_ИННА_исходные_291107" xfId="9815"/>
    <cellStyle name="_Кап.вложения 2006г. ожид. по новой форме_ИННА_Лист1" xfId="9816"/>
    <cellStyle name="_Кап.вложения 2006г. ожид. по новой форме_ИННА_Лист2" xfId="9817"/>
    <cellStyle name="_Кап.вложения 2006г. ожид. по новой форме_ИННА_Лист3" xfId="9818"/>
    <cellStyle name="_Капвложения" xfId="9819"/>
    <cellStyle name="_Капвложения 2" xfId="9820"/>
    <cellStyle name="_Капвложения_БП Урал Кирпич 28 01 2008г" xfId="9821"/>
    <cellStyle name="_Капвложения_БП Урал Кирпич 28 01 2008г_Отчет за сентябрь_11_ДСМ_ОТЧЕТ" xfId="9822"/>
    <cellStyle name="_Капвложения_БП Урал Кирпич 28 01 2008г_План ДСМ ноябрь 2011 ОТЧЕТ" xfId="9823"/>
    <cellStyle name="_Капвложения_БП_план на 1 кв. 2008г." xfId="9824"/>
    <cellStyle name="_Капвложения_БП_план на 1 кв. 2008г._Отчет за сентябрь_11_ДСМ_ОТЧЕТ" xfId="9825"/>
    <cellStyle name="_Капвложения_БП_план на 1 кв. 2008г._План ДСМ ноябрь 2011 ОТЧЕТ" xfId="9826"/>
    <cellStyle name="_Капвложения_БП_план на 2 кв. 2008г." xfId="9827"/>
    <cellStyle name="_Капвложения_БП_план на 2 кв. 2008г._Отчет за сентябрь_11_ДСМ_ОТЧЕТ" xfId="9828"/>
    <cellStyle name="_Капвложения_БП_план на 2 кв. 2008г._План ДСМ ноябрь 2011 ОТЧЕТ" xfId="9829"/>
    <cellStyle name="_Капвложения_исходные_291107" xfId="9830"/>
    <cellStyle name="_Капвложения_Лист1" xfId="9831"/>
    <cellStyle name="_Капвложения_Лист2" xfId="9832"/>
    <cellStyle name="_Капвложения_Лист3" xfId="9833"/>
    <cellStyle name="_Капвложения_План ДСМ 2 квартал 2009 ОТЧЕТ отп" xfId="9834"/>
    <cellStyle name="_Капвложения_План ДСМ 2 квартал 2009 ОТЧЕТ отп_Отчет за сентябрь_11_ДСМ_ОТЧЕТ" xfId="9835"/>
    <cellStyle name="_Капвложения_План ДСМ 2 квартал 2009 ОТЧЕТ отп_План ДСМ ноябрь 2011 ОТЧЕТ" xfId="9836"/>
    <cellStyle name="_Капвложения_План ДСМ 3 квартал 2009 ОТЧЕТ" xfId="9837"/>
    <cellStyle name="_Капвложения_План ДСМ 3 квартал 2009 ОТЧЕТ_Отчет за сентябрь_11_ДСМ_ОТЧЕТ" xfId="9838"/>
    <cellStyle name="_Капвложения_План ДСМ 3 квартал 2009 ОТЧЕТ_План ДСМ ноябрь 2011 ОТЧЕТ" xfId="9839"/>
    <cellStyle name="_Капвложения_План ДСМ 4 квартал 2009 ОТЧЕТ" xfId="9840"/>
    <cellStyle name="_Капвложения_План ДСМ на 4 квартал 2006 (последняя версия) 2" xfId="9841"/>
    <cellStyle name="_Капвложения_План ДСМ на 4 квартал 2006 (последняя версия) 2_Отчет за сентябрь_11_ДСМ_ОТЧЕТ" xfId="9842"/>
    <cellStyle name="_Капвложения_План ДСМ на 4 квартал 2006 (последняя версия) 2_План ДСМ ноябрь 2011 ОТЧЕТ" xfId="9843"/>
    <cellStyle name="_Капвложения_План ДСМ ноябрь 2011 ОТЧЕТ" xfId="9844"/>
    <cellStyle name="_Капвложения_План ДСФ 1 квартал 2007" xfId="9845"/>
    <cellStyle name="_Капвложения_План ДСФ 1 квартал 2007_Отчет за сентябрь_11_ДСМ_ОТЧЕТ" xfId="9846"/>
    <cellStyle name="_Капвложения_План ДСФ 1 квартал 2007_План ДСМ ноябрь 2011 ОТЧЕТ" xfId="9847"/>
    <cellStyle name="_Капвложения_План ДСФ 2 квартал 2009 ОТЧЕТ отп" xfId="9848"/>
    <cellStyle name="_Капвложения_План ДСФ 2 квартал 2009 ОТЧЕТ отп_Отчет за сентябрь_11_ДСМ_ОТЧЕТ" xfId="9849"/>
    <cellStyle name="_Капвложения_План ДСФ 2 квартал 2009 ОТЧЕТ отп_План ДСМ ноябрь 2011 ОТЧЕТ" xfId="9850"/>
    <cellStyle name="_Капвложения_План ДСФ 4 квартал 2009 ОТЧЕТ" xfId="9851"/>
    <cellStyle name="_Капвложения_План на 2009 год ДСМ ОТЧЕТ отп (01.12.08)" xfId="9852"/>
    <cellStyle name="_Капвложения_План на 2009 год ДСМ ОТЧЕТ отп (01.12.08)_Отчет за сентябрь_11_ДСМ_ОТЧЕТ" xfId="9853"/>
    <cellStyle name="_Капвложения_План на 2009 год ДСМ ОТЧЕТ отп (01.12.08)_План ДСМ ноябрь 2011 ОТЧЕТ" xfId="9854"/>
    <cellStyle name="_Капвложения_План на 2010 год ДСМ ОТЧЕТ" xfId="9855"/>
    <cellStyle name="_Капвложения_УралКирпич_план на 2 кв. 2009" xfId="9856"/>
    <cellStyle name="_Капвложения_УралКирпич_план на 2 кв. 2009_Отчет за сентябрь_11_ДСМ_ОТЧЕТ" xfId="9857"/>
    <cellStyle name="_Капвложения_УралКирпич_план на 2 кв. 2009_План ДСМ ноябрь 2011 ОТЧЕТ" xfId="9858"/>
    <cellStyle name="_Капвложения_ф2 склад ГП" xfId="9859"/>
    <cellStyle name="_Капитальные ремонты Август" xfId="9860"/>
    <cellStyle name="_Капитальные ремонты Август 2005-" xfId="9861"/>
    <cellStyle name="_Капремонты Август 2006" xfId="9862"/>
    <cellStyle name="_Капремонты Август 2007" xfId="9863"/>
    <cellStyle name="_Капремонты Апрель 2006" xfId="9864"/>
    <cellStyle name="_Капремонты Апреля 2007" xfId="9865"/>
    <cellStyle name="_Капремонты Декабрь" xfId="9866"/>
    <cellStyle name="_Капремонты Декабрь-" xfId="9867"/>
    <cellStyle name="_Капремонты Декабрь(заполнять этот файл)" xfId="9868"/>
    <cellStyle name="_Капремонты Декабря" xfId="9869"/>
    <cellStyle name="_Капремонты Декабря 2006" xfId="9870"/>
    <cellStyle name="_Капремонты Июль 2006" xfId="9871"/>
    <cellStyle name="_Капремонты Июль 2007" xfId="9872"/>
    <cellStyle name="_Капремонты Июнь 2006" xfId="9873"/>
    <cellStyle name="_Капремонты Июнь 2007" xfId="9874"/>
    <cellStyle name="_Капремонты Май 2006" xfId="9875"/>
    <cellStyle name="_Капремонты Май 2007" xfId="9876"/>
    <cellStyle name="_Капремонты Март 2006" xfId="9877"/>
    <cellStyle name="_Капремонты Марта 2007" xfId="9878"/>
    <cellStyle name="_Капремонты Ноябрь (заполнять этот файл)" xfId="9879"/>
    <cellStyle name="_Капремонты Ноября 2006" xfId="9880"/>
    <cellStyle name="_Капремонты Октябрь" xfId="9881"/>
    <cellStyle name="_Капремонты Октябрь-" xfId="9882"/>
    <cellStyle name="_Капремонты Октябрь (Заполнять этот файл)" xfId="9883"/>
    <cellStyle name="_Капремонты Октябрь 2006" xfId="9884"/>
    <cellStyle name="_Капремонты сентябрь" xfId="9885"/>
    <cellStyle name="_Капремонты сентябрь-" xfId="9886"/>
    <cellStyle name="_Капремонты Февраль (новая форма)" xfId="9887"/>
    <cellStyle name="_Капремонты Февраля 2007" xfId="9888"/>
    <cellStyle name="_Капремонты Февраля 2007 (Заполнять этот файл)" xfId="9889"/>
    <cellStyle name="_Капремонты Январь (заполнять этот файл)" xfId="9890"/>
    <cellStyle name="_Капремонты Января" xfId="9891"/>
    <cellStyle name="_Капремонты Января 2007" xfId="9892"/>
    <cellStyle name="_Капремонты_Август_2006" xfId="9893"/>
    <cellStyle name="_Капремонты_Ноябрь_2006" xfId="9894"/>
    <cellStyle name="_Капремонты_Ноября_2006" xfId="9895"/>
    <cellStyle name="_Капремонты_Октябрь_2006" xfId="9896"/>
    <cellStyle name="_Капремонты_Сентябрь_2006" xfId="9897"/>
    <cellStyle name="_Капремонты_Сентября_2006" xfId="9898"/>
    <cellStyle name="_Капремонты_Января_2007" xfId="9899"/>
    <cellStyle name="_КМА-Эн план 1 кв 200919.12.08отпр в Холдинг" xfId="9900"/>
    <cellStyle name="_Книга БДР 4 кв" xfId="9901"/>
    <cellStyle name="_Книга1" xfId="9902"/>
    <cellStyle name="_Книга1 (1)" xfId="9903"/>
    <cellStyle name="_Книга1 (1)_1" xfId="9904"/>
    <cellStyle name="_Книга1 (1)_Книга2" xfId="9905"/>
    <cellStyle name="_Книга1 (1)_Конс  ЛГОК БП 2009 от 14 10 08" xfId="9906"/>
    <cellStyle name="_Книга1 (1)_Конс  МГОК БП 2009 от 14 10 08" xfId="9907"/>
    <cellStyle name="_Книга1 (1)_Сравнение ожидаемого 2008 с 2009г  ОЭМК от 06 10 2008" xfId="9908"/>
    <cellStyle name="_Книга1 (1)_Сравнение ожидаемого 2008 УС c 2009г  от 06 10 2008" xfId="9909"/>
    <cellStyle name="_Книга1 (10)" xfId="9910"/>
    <cellStyle name="_Книга1 (10) 2" xfId="9911"/>
    <cellStyle name="_Книга1 (10) 3" xfId="9912"/>
    <cellStyle name="_Книга1 (10) 4" xfId="9913"/>
    <cellStyle name="_Книга1 (10) 5" xfId="9914"/>
    <cellStyle name="_Книга1 (10) 6" xfId="9915"/>
    <cellStyle name="_Книга1 (10) 7" xfId="9916"/>
    <cellStyle name="_Книга1 (10)_Отчет за декабрь 2009г. (ф 1-12)" xfId="9917"/>
    <cellStyle name="_Книга1 (10)_Отчет за март  2010г(ф 1)" xfId="9918"/>
    <cellStyle name="_Книга1 (11)" xfId="9919"/>
    <cellStyle name="_Книга1 (11) 2" xfId="9920"/>
    <cellStyle name="_Книга1 (11) 3" xfId="9921"/>
    <cellStyle name="_Книга1 (11) 4" xfId="9922"/>
    <cellStyle name="_Книга1 (11) 5" xfId="9923"/>
    <cellStyle name="_Книга1 (11) 6" xfId="9924"/>
    <cellStyle name="_Книга1 (11) 7" xfId="9925"/>
    <cellStyle name="_Книга1 (11)_Отчет за март  2010г(ф 1)" xfId="9926"/>
    <cellStyle name="_Книга1 (12)" xfId="9927"/>
    <cellStyle name="_Книга1 (12) 10" xfId="9928"/>
    <cellStyle name="_Книга1 (12) 11" xfId="9929"/>
    <cellStyle name="_Книга1 (12) 12" xfId="9930"/>
    <cellStyle name="_Книга1 (12) 13" xfId="9931"/>
    <cellStyle name="_Книга1 (12) 2" xfId="9932"/>
    <cellStyle name="_Книга1 (12) 3" xfId="9933"/>
    <cellStyle name="_Книга1 (12) 4" xfId="9934"/>
    <cellStyle name="_Книга1 (12) 5" xfId="9935"/>
    <cellStyle name="_Книга1 (12) 6" xfId="9936"/>
    <cellStyle name="_Книга1 (12) 7" xfId="9937"/>
    <cellStyle name="_Книга1 (12) 8" xfId="9938"/>
    <cellStyle name="_Книга1 (12) 9" xfId="9939"/>
    <cellStyle name="_Книга1 (12)_Содержание" xfId="9940"/>
    <cellStyle name="_Книга1 (13)" xfId="9941"/>
    <cellStyle name="_Книга1 (13)_ФОРМЫ ДЕКАБРЬ ФАКТ " xfId="9942"/>
    <cellStyle name="_Книга1 (13)_ФОРМЫ ДЕКАБРЬ ФАКТ (ф 10)" xfId="9943"/>
    <cellStyle name="_Книга1 (14)" xfId="9944"/>
    <cellStyle name="_Книга1 (17)" xfId="9945"/>
    <cellStyle name="_Книга1 (19)" xfId="9946"/>
    <cellStyle name="_Книга1 (2)" xfId="9947"/>
    <cellStyle name="_Книга1 (2)_1" xfId="9948"/>
    <cellStyle name="_Книга1 (2)_12 2009" xfId="9949"/>
    <cellStyle name="_Книга1 (2)_12111 _2nd" xfId="9950"/>
    <cellStyle name="_Книга1 (2)_24,25" xfId="9951"/>
    <cellStyle name="_Книга1 (2)_25(send ver 3)" xfId="9952"/>
    <cellStyle name="_Книга1 (2)_25(send)" xfId="9953"/>
    <cellStyle name="_Книга1 (2)_25(send2)" xfId="9954"/>
    <cellStyle name="_Книга1 (2)_FinPlan 2008_NF_1-18" xfId="9955"/>
    <cellStyle name="_Книга1 (2)_FinPlan 2008_NF_Модель" xfId="9956"/>
    <cellStyle name="_Книга1 (2)_Альбом форм верхнего уровня (корр БП)" xfId="9957"/>
    <cellStyle name="_Книга1 (2)_БДДС" xfId="9958"/>
    <cellStyle name="_Книга1 (2)_БДР март_29 02 08_17-00" xfId="9959"/>
    <cellStyle name="_Книга1 (2)_БДР_10 01 2008_17-25" xfId="9960"/>
    <cellStyle name="_Книга1 (2)_БДР_11 01 2008_10-00" xfId="9961"/>
    <cellStyle name="_Книга1 (2)_БДР_14 01 2008_14-00" xfId="9962"/>
    <cellStyle name="_Книга1 (2)_БДР_15 01 2008_8-50" xfId="9963"/>
    <cellStyle name="_Книга1 (2)_БДР_25 12 2008" xfId="9964"/>
    <cellStyle name="_Книга1 (2)_БДР_25 12 2008_15-00" xfId="9965"/>
    <cellStyle name="_Книга1 (2)_БДР_25 12 2008_17-15" xfId="9966"/>
    <cellStyle name="_Книга1 (2)_БДР_25 12 2008_17-30" xfId="9967"/>
    <cellStyle name="_Книга1 (2)_БДР_Апрель ОП 2009_01 04 2009г " xfId="9968"/>
    <cellStyle name="_Книга1 (2)_БДР_декабрь ОП_04 12 2008_17-58" xfId="9969"/>
    <cellStyle name="_Книга1 (2)_БДР_май 2009 г _30 04 2009_8-55т " xfId="9970"/>
    <cellStyle name="_Книга1 (2)_БДР_май_30 04 2008_16-55" xfId="9971"/>
    <cellStyle name="_Книга1 (2)_БДР_План на апрель_02 04 2008_17-10" xfId="9972"/>
    <cellStyle name="_Книга1 (2)_БДР2007 ожид _05 02 08_18-30" xfId="9973"/>
    <cellStyle name="_Книга1 (2)_БДР2007 ожид _06 02 08_9-40" xfId="9974"/>
    <cellStyle name="_Книга1 (2)_БДР-ы_26 11 2008" xfId="9975"/>
    <cellStyle name="_Книга1 (2)_Болванка 15-16" xfId="9976"/>
    <cellStyle name="_Книга1 (2)_Выручка и реализ Февраль" xfId="9977"/>
    <cellStyle name="_Книга1 (2)_Выручка и реализ.июнь мой" xfId="9978"/>
    <cellStyle name="_Книга1 (2)_Выручка и реализ.июнь мой_ВЕЧЕР" xfId="9979"/>
    <cellStyle name="_Книга1 (2)_Движение ТМЦ за декабрь 2009 г  (ФАКТ) сокр 22-01 (86 842)" xfId="9980"/>
    <cellStyle name="_Книга1 (2)_Движение ТМЦ за ноябрь 2009 г  (ФАКТ) сокращ 22-11" xfId="9981"/>
    <cellStyle name="_Книга1 (2)_Движение ТМЦ за октябрь 2009 г  (ФАКТ) сокращ 26-11" xfId="9982"/>
    <cellStyle name="_Книга1 (2)_Движение ТМЦ за октябрь 2009 г  (ФАКТ) сокращ все 24-11" xfId="9983"/>
    <cellStyle name="_Книга1 (2)_Движение ТМЦ запчастей и оборудования  за август 2009 г  (ФАКТ) от Собкив" xfId="9984"/>
    <cellStyle name="_Книга1 (2)_ДДС_май" xfId="9985"/>
    <cellStyle name="_Книга1 (2)_Инвестпрограмма 2008 (анализ отклонений)_УК" xfId="9986"/>
    <cellStyle name="_Книга1 (2)_Инвестпрограмма 2008 ожид  (покварт )_09092008_2 (3)" xfId="9987"/>
    <cellStyle name="_Книга1 (2)_Инвестпрограмма_апрель 2008_form" xfId="9988"/>
    <cellStyle name="_Книга1 (2)_Исправленные формы_2009" xfId="9989"/>
    <cellStyle name="_Книга1 (2)_Книга1" xfId="9990"/>
    <cellStyle name="_Книга1 (2)_Книга17" xfId="9991"/>
    <cellStyle name="_Книга1 (2)_Книга2" xfId="9992"/>
    <cellStyle name="_Книга1 (2)_Книга2 (2)" xfId="9993"/>
    <cellStyle name="_Книга1 (2)_Книга2_1" xfId="9994"/>
    <cellStyle name="_Книга1 (2)_Книга2_ТП на 2011_год покварт" xfId="9995"/>
    <cellStyle name="_Книга1 (2)_Книга3" xfId="9996"/>
    <cellStyle name="_Книга1 (2)_Книга6" xfId="9997"/>
    <cellStyle name="_Книга1 (2)_Конс  ЛГОК БП 2009 от 14 10 08" xfId="9998"/>
    <cellStyle name="_Книга1 (2)_Конс  МГОК БП 2009 от 14 10 08" xfId="9999"/>
    <cellStyle name="_Книга1 (2)_Копия Ф-13 Октябрь 2009 План (30 09 09) (2) (4)" xfId="10000"/>
    <cellStyle name="_Книга1 (2)_КРЕДИТЫ_2009_План" xfId="10001"/>
    <cellStyle name="_Книга1 (2)_ЛебГОК октябрь 2" xfId="10002"/>
    <cellStyle name="_Книга1 (2)_МОДЕЛЬ_2008_2 просчет" xfId="10003"/>
    <cellStyle name="_Книга1 (2)_Ноябрь_2008_отчет_Часть 1" xfId="10004"/>
    <cellStyle name="_Книга1 (2)_Ожидаемое выполнение апреля ОПРиС" xfId="10005"/>
    <cellStyle name="_Книга1 (2)_План Август_2009_Часть 2 " xfId="10006"/>
    <cellStyle name="_Книга1 (2)_План БДР_июнь 2009_02 06 2009" xfId="10007"/>
    <cellStyle name="_Книга1 (2)_План ф 13 на январь 2010 (05 01 2010)" xfId="10008"/>
    <cellStyle name="_Книга1 (2)_План_2008г _БДР_222" xfId="10009"/>
    <cellStyle name="_Книга1 (2)_План_2008г._БДР" xfId="10010"/>
    <cellStyle name="_Книга1 (2)_План_БДР_январьОП_23 12 2008_гот" xfId="10011"/>
    <cellStyle name="_Книга1 (2)_План_февраль 2008г _БДР_30 01 2008_18-10" xfId="10012"/>
    <cellStyle name="_Книга1 (2)_План_февраль 2008г _БДР_31 01 2008" xfId="10013"/>
    <cellStyle name="_Книга1 (2)_План_февраль 2008г _БДР_31 01 2008_11-37" xfId="10014"/>
    <cellStyle name="_Книга1 (2)_СКЛАД_Октябрь" xfId="10015"/>
    <cellStyle name="_Книга1 (2)_СКЛАД_Сентябрь" xfId="10016"/>
    <cellStyle name="_Книга1 (2)_Сравнение ожидаемого 2008 с 2009г  ОЭМК от 06 10 2008" xfId="10017"/>
    <cellStyle name="_Книга1 (2)_Сравнение ожидаемого 2008 УС c 2009г  от 06 10 2008" xfId="10018"/>
    <cellStyle name="_Книга1 (2)_Ф 10" xfId="10019"/>
    <cellStyle name="_Книга1 (2)_Ф 10 (2)" xfId="10020"/>
    <cellStyle name="_Книга1 (2)_Ф 13" xfId="10021"/>
    <cellStyle name="_Книга1 (2)_Ф_25 2 кв (send2)" xfId="10022"/>
    <cellStyle name="_Книга1 (2)_Ф_25 2 кв (send3)" xfId="10023"/>
    <cellStyle name="_Книга1 (2)_Ф-13 Октябрь 2009 План (30 09 09)" xfId="10024"/>
    <cellStyle name="_Книга1 (2)_Ф13 План" xfId="10025"/>
    <cellStyle name="_Книга1 (2)_ф1кв БДР конс 11.07.08" xfId="10026"/>
    <cellStyle name="_Книга1 (2)_ф2007 вопросы ЛГОК 06 02 08" xfId="10027"/>
    <cellStyle name="_Книга1 (2)_Ф25" xfId="10028"/>
    <cellStyle name="_Книга1 (2)_Ф25(4)" xfId="10029"/>
    <cellStyle name="_Книга1 (2)_Ф25(send)" xfId="10030"/>
    <cellStyle name="_Книга1 (2)_Ф25(отпр)" xfId="10031"/>
    <cellStyle name="_Книга1 (2)_Ф28-1" xfId="10032"/>
    <cellStyle name="_Книга1 (2)_Ф29-28 (send2)" xfId="10033"/>
    <cellStyle name="_Книга1 (2)_Факт №10 02.2010 Итог" xfId="10034"/>
    <cellStyle name="_Книга1 (2)_Факт_2007_Часть 2" xfId="10035"/>
    <cellStyle name="_Книга1 (2)_Февраль_2009_отчет_Часть 2" xfId="10036"/>
    <cellStyle name="_Книга1 (2)_Февраль_ОП_03 02 2009" xfId="10037"/>
    <cellStyle name="_Книга1 (2)_Февраль_ОП_04 02 2009" xfId="10038"/>
    <cellStyle name="_Книга1 (2)_Февраль_ОП_05 02 2009_к 12-00" xfId="10039"/>
    <cellStyle name="_Книга1 (2)_Февраль_ОП_30 01 2009" xfId="10040"/>
    <cellStyle name="_Книга1 (2)_Форма _ 10 отправленная" xfId="10041"/>
    <cellStyle name="_Книга1 (2)_форма _10 отправленная" xfId="10042"/>
    <cellStyle name="_Книга1 (2)_Форма 10 факт 08 2010" xfId="10043"/>
    <cellStyle name="_Книга1 (2)_Форма 10 факт 09 2010" xfId="10044"/>
    <cellStyle name="_Книга1 (2)_Форма 10 факт 10 2010" xfId="10045"/>
    <cellStyle name="_Книга1 (2)_Форма 10 факт 11 2010" xfId="10046"/>
    <cellStyle name="_Книга1 (2)_Форма 13 ПЛАН Декабрь 2009 (сокращ) 08-12" xfId="10047"/>
    <cellStyle name="_Книга1 (2)_Форма 13 ПЛАН январь 2010 12-01 сокращ (ТЗР СВС)" xfId="10048"/>
    <cellStyle name="_Книга1 (2)_Форма 13 ПЛАН январь 2010 24-12 сокращ" xfId="10049"/>
    <cellStyle name="_Книга1 (2)_Форма -13 Расчетная поставка декабрь 2009 30-11" xfId="10050"/>
    <cellStyle name="_Книга1 (2)_Форма 13 Сентябрь (факт)" xfId="10051"/>
    <cellStyle name="_Книга1 (2)_Форма 19 (2 кварт  план)_со снижением" xfId="10052"/>
    <cellStyle name="_Книга1 (2)_Форма 19 (4 кварт  план финансирование)_с переносами" xfId="10053"/>
    <cellStyle name="_Книга1 (2)_Форма 25 (send 5)" xfId="10054"/>
    <cellStyle name="_Книга1 (2)_Форма 25(send ver 4)" xfId="10055"/>
    <cellStyle name="_Книга1 (2)_Форма 3_январь ОП_25 12 2008" xfId="10056"/>
    <cellStyle name="_Книга1 (2)_Форма №10 январь готовая!!!" xfId="10057"/>
    <cellStyle name="_Книга1 (2)_Формы 235 2009 г _26 11 2008" xfId="10058"/>
    <cellStyle name="_Книга1 (2)_Часть 1 2009" xfId="10059"/>
    <cellStyle name="_Книга1 (2)_Часть 1_2008 план_СКОРРЕКТИРОВАННЫЙ- к 2007 от 29.03.08" xfId="10060"/>
    <cellStyle name="_Книга1 (21)" xfId="10061"/>
    <cellStyle name="_Книга1 (21)_Книга2" xfId="10062"/>
    <cellStyle name="_Книга1 (22)" xfId="10063"/>
    <cellStyle name="_Книга1 (25)" xfId="10064"/>
    <cellStyle name="_Книга1 (26)" xfId="10065"/>
    <cellStyle name="_Книга1 (27)" xfId="10066"/>
    <cellStyle name="_Книга1 (28)" xfId="10067"/>
    <cellStyle name="_Книга1 (29)" xfId="10068"/>
    <cellStyle name="_Книга1 (3)" xfId="10069"/>
    <cellStyle name="_Книга1 (3)_1" xfId="10070"/>
    <cellStyle name="_Книга1 (3)_Книга2" xfId="10071"/>
    <cellStyle name="_Книга1 (30)" xfId="10072"/>
    <cellStyle name="_Книга1 (31)" xfId="10073"/>
    <cellStyle name="_Книга1 (37)" xfId="10074"/>
    <cellStyle name="_Книга1 (38)" xfId="10075"/>
    <cellStyle name="_Книга1 (4)" xfId="10076"/>
    <cellStyle name="_Книга1 (4)_формы факт июнь ( 24.07 14-00)" xfId="10077"/>
    <cellStyle name="_Книга1 (40)" xfId="10078"/>
    <cellStyle name="_Книга1 (41)" xfId="10079"/>
    <cellStyle name="_Книга1 (43)" xfId="10080"/>
    <cellStyle name="_Книга1 (5)" xfId="10081"/>
    <cellStyle name="_Книга1 (5)_Книга2" xfId="10082"/>
    <cellStyle name="_Книга1 (5)_Конс  ЛГОК БП 2009 от 14 10 08" xfId="10083"/>
    <cellStyle name="_Книга1 (5)_Конс  МГОК БП 2009 от 14 10 08" xfId="10084"/>
    <cellStyle name="_Книга1 (5)_Сравнение ожидаемого 2008 с 2009г  ОЭМК от 06 10 2008" xfId="10085"/>
    <cellStyle name="_Книга1 (5)_Сравнение ожидаемого 2008 УС c 2009г  от 06 10 2008" xfId="10086"/>
    <cellStyle name="_Книга1 (53)" xfId="10087"/>
    <cellStyle name="_Книга1 (6)" xfId="10088"/>
    <cellStyle name="_Книга1 (6)_Книга2" xfId="10089"/>
    <cellStyle name="_Книга1 (6)_Конс  ЛГОК БП 2009 от 14 10 08" xfId="10090"/>
    <cellStyle name="_Книга1 (6)_Конс  МГОК БП 2009 от 14 10 08" xfId="10091"/>
    <cellStyle name="_Книга1 (6)_Сравнение ожидаемого 2008 с 2009г  ОЭМК от 06 10 2008" xfId="10092"/>
    <cellStyle name="_Книга1 (6)_Сравнение ожидаемого 2008 УС c 2009г  от 06 10 2008" xfId="10093"/>
    <cellStyle name="_Книга1 (61)" xfId="10094"/>
    <cellStyle name="_Книга1 (62)" xfId="10095"/>
    <cellStyle name="_Книга1 (63)" xfId="10096"/>
    <cellStyle name="_Книга1 (7)" xfId="10097"/>
    <cellStyle name="_Книга1 (7)_1" xfId="10098"/>
    <cellStyle name="_Книга1 (7)_Книга2" xfId="10099"/>
    <cellStyle name="_Книга1 (7)_Книга2 (3)" xfId="10100"/>
    <cellStyle name="_Книга1 (7)_Формы февраль 2009 ( 28.01.10)-отправленные" xfId="10101"/>
    <cellStyle name="_Книга1 (8)" xfId="10102"/>
    <cellStyle name="_Книга1 (8)_Книга2" xfId="10103"/>
    <cellStyle name="_Книга1 (8)_Конс  ЛГОК БП 2009 от 14 10 08" xfId="10104"/>
    <cellStyle name="_Книга1 (8)_Конс  МГОК БП 2009 от 14 10 08" xfId="10105"/>
    <cellStyle name="_Книга1 (8)_Сравнение ожидаемого 2008 с 2009г  ОЭМК от 06 10 2008" xfId="10106"/>
    <cellStyle name="_Книга1 (8)_Сравнение ожидаемого 2008 УС c 2009г  от 06 10 2008" xfId="10107"/>
    <cellStyle name="_Книга1 (9)" xfId="10108"/>
    <cellStyle name="_Книга1_1" xfId="10109"/>
    <cellStyle name="_Книга1_1_Движение ТМЦ за декабрь 2009 г  (ФАКТ) сокр 22-01 (86 842)" xfId="10110"/>
    <cellStyle name="_Книга1_1_Движение ТМЦ за ноябрь 2009 г  (ФАКТ) сокращ 22-11" xfId="10111"/>
    <cellStyle name="_Книга1_1_Движение ТМЦ за октябрь 2009 г  (ФАКТ) сокращ 26-11" xfId="10112"/>
    <cellStyle name="_Книга1_1_Движение ТМЦ за октябрь 2009 г  (ФАКТ) сокращ все 24-11" xfId="10113"/>
    <cellStyle name="_Книга1_1_Движение ТМЦ запчастей и оборудования  за август 2009 г  (ФАКТ) от Собкив" xfId="10114"/>
    <cellStyle name="_Книга1_1_Книга17" xfId="10115"/>
    <cellStyle name="_Книга1_1_Книга2" xfId="10116"/>
    <cellStyle name="_Книга1_1_Копия Ф-13 Октябрь 2009 План (30 09 09) (2) (4)" xfId="10117"/>
    <cellStyle name="_Книга1_1_План ф 13 на январь 2010 (05 01 2010)" xfId="10118"/>
    <cellStyle name="_Книга1_1_Ф 13" xfId="10119"/>
    <cellStyle name="_Книга1_1_Ф-13 Октябрь 2009 План (30 09 09)" xfId="10120"/>
    <cellStyle name="_Книга1_1_Ф13 План" xfId="10121"/>
    <cellStyle name="_Книга1_1_Форма 13 ПЛАН Декабрь 2009 (сокращ) 08-12" xfId="10122"/>
    <cellStyle name="_Книга1_1_Форма 13 ПЛАН январь 2010 12-01 сокращ (ТЗР СВС)" xfId="10123"/>
    <cellStyle name="_Книга1_1_Форма 13 ПЛАН январь 2010 24-12 сокращ" xfId="10124"/>
    <cellStyle name="_Книга1_1_Форма -13 Расчетная поставка декабрь 2009 30-11" xfId="10125"/>
    <cellStyle name="_Книга1_1_Форма 13 Сентябрь (факт)" xfId="10126"/>
    <cellStyle name="_Книга1_Книга2" xfId="10127"/>
    <cellStyle name="_Книга1_Конс  ЛГОК БП 2009 от 14 10 08" xfId="10128"/>
    <cellStyle name="_Книга1_Конс  МГОК БП 2009 от 14 10 08" xfId="10129"/>
    <cellStyle name="_Книга1_Сравнение ожидаемого 2008 с 2009г  ОЭМК от 06 10 2008" xfId="10130"/>
    <cellStyle name="_Книга1_Сравнение ожидаемого 2008 УС c 2009г  от 06 10 2008" xfId="10131"/>
    <cellStyle name="_Книга11" xfId="10132"/>
    <cellStyle name="_Книга11 2" xfId="10133"/>
    <cellStyle name="_Книга11_1" xfId="10134"/>
    <cellStyle name="_Книга11_БП Урал Кирпич 28 01 2008г" xfId="10135"/>
    <cellStyle name="_Книга11_БП Урал Кирпич 28 01 2008г_Отчет за сентябрь_11_ДСМ_ОТЧЕТ" xfId="10136"/>
    <cellStyle name="_Книга11_БП Урал Кирпич 28 01 2008г_План ДСМ ноябрь 2011 ОТЧЕТ" xfId="10137"/>
    <cellStyle name="_Книга11_БП_план на 1 кв. 2008г." xfId="10138"/>
    <cellStyle name="_Книга11_БП_план на 1 кв. 2008г._Отчет за сентябрь_11_ДСМ_ОТЧЕТ" xfId="10139"/>
    <cellStyle name="_Книга11_БП_план на 1 кв. 2008г._План ДСМ ноябрь 2011 ОТЧЕТ" xfId="10140"/>
    <cellStyle name="_Книга11_БП_план на 2 кв. 2008г." xfId="10141"/>
    <cellStyle name="_Книга11_БП_план на 2 кв. 2008г._Отчет за сентябрь_11_ДСМ_ОТЧЕТ" xfId="10142"/>
    <cellStyle name="_Книга11_БП_план на 2 кв. 2008г._План ДСМ ноябрь 2011 ОТЧЕТ" xfId="10143"/>
    <cellStyle name="_Книга11_Дайджест 2003-2004 гг." xfId="10144"/>
    <cellStyle name="_Книга11_Дайджест 2003-2004 гг. 10" xfId="10145"/>
    <cellStyle name="_Книга11_Дайджест 2003-2004 гг. 11" xfId="10146"/>
    <cellStyle name="_Книга11_Дайджест 2003-2004 гг. 12" xfId="10147"/>
    <cellStyle name="_Книга11_Дайджест 2003-2004 гг. 13" xfId="10148"/>
    <cellStyle name="_Книга11_Дайджест 2003-2004 гг. 2" xfId="10149"/>
    <cellStyle name="_Книга11_Дайджест 2003-2004 гг. 3" xfId="10150"/>
    <cellStyle name="_Книга11_Дайджест 2003-2004 гг. 4" xfId="10151"/>
    <cellStyle name="_Книга11_Дайджест 2003-2004 гг. 5" xfId="10152"/>
    <cellStyle name="_Книга11_Дайджест 2003-2004 гг. 6" xfId="10153"/>
    <cellStyle name="_Книга11_Дайджест 2003-2004 гг. 7" xfId="10154"/>
    <cellStyle name="_Книга11_Дайджест 2003-2004 гг. 8" xfId="10155"/>
    <cellStyle name="_Книга11_Дайджест 2003-2004 гг. 9" xfId="10156"/>
    <cellStyle name="_Книга11_Дайджест 2003-2004 гг._! Металлургический дивизион для рассылки" xfId="10157"/>
    <cellStyle name="_Книга11_Дайджест 2003-2004 гг._01.04.06-01.10.06 Распред. ср-в ЛГОК 20.10.06" xfId="10158"/>
    <cellStyle name="_Книга11_Дайджест 2003-2004 гг._01.04.06-01.10.06 Распред. ср-в ЛГОК 20.10.06 2" xfId="10159"/>
    <cellStyle name="_Книга11_Дайджест 2003-2004 гг._01.04.06-01.10.06 Распред. ср-в ЛГОК 20.10.06 3" xfId="10160"/>
    <cellStyle name="_Книга11_Дайджест 2003-2004 гг._01.04.06-01.10.06 Распред. ср-в ЛГОК 20.10.06 4" xfId="10161"/>
    <cellStyle name="_Книга11_Дайджест 2003-2004 гг._01.04.06-01.10.06 Распред. ср-в ЛГОК 20.10.06 5" xfId="10162"/>
    <cellStyle name="_Книга11_Дайджест 2003-2004 гг._01.04.06-01.10.06 Распред. ср-в ЛГОК 20.10.06 6" xfId="10163"/>
    <cellStyle name="_Книга11_Дайджест 2003-2004 гг._01.04.06-01.10.06 Распред. ср-в ЛГОК 20.10.06 7" xfId="10164"/>
    <cellStyle name="_Книга11_Дайджест 2003-2004 гг._01.04.06-01.10.06 Распред. ср-в ЛГОК 20.10.06 8" xfId="10165"/>
    <cellStyle name="_Книга11_Дайджест 2003-2004 гг._01.04.06-01.10.06 Распред. ср-в ЛГОК 20.10.06 9" xfId="10166"/>
    <cellStyle name="_Книга11_Дайджест 2003-2004 гг._01.04.06-01.10.06 Распред. ср-в ОЭМК 20.10.06" xfId="10167"/>
    <cellStyle name="_Книга11_Дайджест 2003-2004 гг._01.04.06-01.10.06 Распред. ср-в ОЭМК 20.10.06 2" xfId="10168"/>
    <cellStyle name="_Книга11_Дайджест 2003-2004 гг._01.04.06-01.10.06 Распред. ср-в ОЭМК 20.10.06 3" xfId="10169"/>
    <cellStyle name="_Книга11_Дайджест 2003-2004 гг._01.04.06-01.10.06 Распред. ср-в ОЭМК 20.10.06 4" xfId="10170"/>
    <cellStyle name="_Книга11_Дайджест 2003-2004 гг._01.04.06-01.10.06 Распред. ср-в ОЭМК 20.10.06 5" xfId="10171"/>
    <cellStyle name="_Книга11_Дайджест 2003-2004 гг._01.04.06-01.10.06 Распред. ср-в ОЭМК 20.10.06 6" xfId="10172"/>
    <cellStyle name="_Книга11_Дайджест 2003-2004 гг._01.04.06-01.10.06 Распред. ср-в ОЭМК 20.10.06 7" xfId="10173"/>
    <cellStyle name="_Книга11_Дайджест 2003-2004 гг._01.04.06-01.10.06 Распред. ср-в ОЭМК 20.10.06 8" xfId="10174"/>
    <cellStyle name="_Книга11_Дайджест 2003-2004 гг._01.04.06-01.10.06 Распред. ср-в ОЭМК 20.10.06 9" xfId="10175"/>
    <cellStyle name="_Книга11_Дайджест 2003-2004 гг._090129 Погашение и уплата процентов Горшкова М." xfId="10176"/>
    <cellStyle name="_Книга11_Дайджест 2003-2004 гг._1 - 10 декабря" xfId="10177"/>
    <cellStyle name="_Книга11_Дайджест 2003-2004 гг._1-12,13,14 сентября" xfId="10178"/>
    <cellStyle name="_Книга11_Дайджест 2003-2004 гг._2007 + год " xfId="10179"/>
    <cellStyle name="_Книга11_Дайджест 2003-2004 гг._2007 г год план (фин.часть)" xfId="10180"/>
    <cellStyle name="_Книга11_Дайджест 2003-2004 гг._2007 г год план (фин.часть) 2" xfId="10181"/>
    <cellStyle name="_Книга11_Дайджест 2003-2004 гг._2007 г год план (фин.часть) 3" xfId="10182"/>
    <cellStyle name="_Книга11_Дайджест 2003-2004 гг._2007 г год план (фин.часть) 4" xfId="10183"/>
    <cellStyle name="_Книга11_Дайджест 2003-2004 гг._2007 г год план (фин.часть) 5" xfId="10184"/>
    <cellStyle name="_Книга11_Дайджест 2003-2004 гг._2007 г год план (фин.часть) 6" xfId="10185"/>
    <cellStyle name="_Книга11_Дайджест 2003-2004 гг._2007 г год план (фин.часть) 7" xfId="10186"/>
    <cellStyle name="_Книга11_Дайджест 2003-2004 гг._2007 г год план (фин.часть) 8" xfId="10187"/>
    <cellStyle name="_Книга11_Дайджест 2003-2004 гг._2007 г год план (фин.часть) 9" xfId="10188"/>
    <cellStyle name="_Книга11_Дайджест 2003-2004 гг._2007 год " xfId="10189"/>
    <cellStyle name="_Книга11_Дайджест 2003-2004 гг._2007 измен 11.12.06 2 вар " xfId="10190"/>
    <cellStyle name="_Книга11_Дайджест 2003-2004 гг._2009-03-03 План марта рус" xfId="10191"/>
    <cellStyle name="_Книга11_Дайджест 2003-2004 гг._25 разделы баланса раб (21.08.06)" xfId="10192"/>
    <cellStyle name="_Книга11_Дайджест 2003-2004 гг._25 разделы баланса раб (21.08.06) 2" xfId="10193"/>
    <cellStyle name="_Книга11_Дайджест 2003-2004 гг._25 разделы баланса раб (21.08.06) 3" xfId="10194"/>
    <cellStyle name="_Книга11_Дайджест 2003-2004 гг._25 разделы баланса раб (21.08.06) 4" xfId="10195"/>
    <cellStyle name="_Книга11_Дайджест 2003-2004 гг._25 разделы баланса раб (21.08.06) 5" xfId="10196"/>
    <cellStyle name="_Книга11_Дайджест 2003-2004 гг._25 разделы баланса раб (21.08.06) 6" xfId="10197"/>
    <cellStyle name="_Книга11_Дайджест 2003-2004 гг._25 разделы баланса раб (21.08.06) 7" xfId="10198"/>
    <cellStyle name="_Книга11_Дайджест 2003-2004 гг._25 разделы баланса раб (21.08.06) 8" xfId="10199"/>
    <cellStyle name="_Книга11_Дайджест 2003-2004 гг._25 разделы баланса раб (21.08.06) 9" xfId="10200"/>
    <cellStyle name="_Книга11_Дайджест 2003-2004 гг._25.06.07" xfId="10201"/>
    <cellStyle name="_Книга11_Дайджест 2003-2004 гг._25.06.07 2" xfId="10202"/>
    <cellStyle name="_Книга11_Дайджест 2003-2004 гг._25.06.07 3" xfId="10203"/>
    <cellStyle name="_Книга11_Дайджест 2003-2004 гг._25.06.07 4" xfId="10204"/>
    <cellStyle name="_Книга11_Дайджест 2003-2004 гг._25.06.07 5" xfId="10205"/>
    <cellStyle name="_Книга11_Дайджест 2003-2004 гг._25.06.07 6" xfId="10206"/>
    <cellStyle name="_Книга11_Дайджест 2003-2004 гг._25.06.07 7" xfId="10207"/>
    <cellStyle name="_Книга11_Дайджест 2003-2004 гг._25.06.07 8" xfId="10208"/>
    <cellStyle name="_Книга11_Дайджест 2003-2004 гг._25.06.07 9" xfId="10209"/>
    <cellStyle name="_Книга11_Дайджест 2003-2004 гг._28-30 (1)" xfId="10210"/>
    <cellStyle name="_Книга11_Дайджест 2003-2004 гг._28-30 (1) 2" xfId="10211"/>
    <cellStyle name="_Книга11_Дайджест 2003-2004 гг._28-30 (1) 3" xfId="10212"/>
    <cellStyle name="_Книга11_Дайджест 2003-2004 гг._28-30 (1) 4" xfId="10213"/>
    <cellStyle name="_Книга11_Дайджест 2003-2004 гг._28-30 (1) 5" xfId="10214"/>
    <cellStyle name="_Книга11_Дайджест 2003-2004 гг._28-30 (1) 6" xfId="10215"/>
    <cellStyle name="_Книга11_Дайджест 2003-2004 гг._28-30 (1) 7" xfId="10216"/>
    <cellStyle name="_Книга11_Дайджест 2003-2004 гг._28-30 (1) 8" xfId="10217"/>
    <cellStyle name="_Книга11_Дайджест 2003-2004 гг._28-30 (1) 9" xfId="10218"/>
    <cellStyle name="_Книга11_Дайджест 2003-2004 гг._29 форма 12 месяцев" xfId="10219"/>
    <cellStyle name="_Книга11_Дайджест 2003-2004 гг._30" xfId="10220"/>
    <cellStyle name="_Книга11_Дайджест 2003-2004 гг._30 2" xfId="10221"/>
    <cellStyle name="_Книга11_Дайджест 2003-2004 гг._30 3" xfId="10222"/>
    <cellStyle name="_Книга11_Дайджест 2003-2004 гг._30 4" xfId="10223"/>
    <cellStyle name="_Книга11_Дайджест 2003-2004 гг._30 5" xfId="10224"/>
    <cellStyle name="_Книга11_Дайджест 2003-2004 гг._30 6" xfId="10225"/>
    <cellStyle name="_Книга11_Дайджест 2003-2004 гг._30 7" xfId="10226"/>
    <cellStyle name="_Книга11_Дайджест 2003-2004 гг._30 8" xfId="10227"/>
    <cellStyle name="_Книга11_Дайджест 2003-2004 гг._30 9" xfId="10228"/>
    <cellStyle name="_Книга11_Дайджест 2003-2004 гг._30 форма (январьфакт)" xfId="10229"/>
    <cellStyle name="_Книга11_Дайджест 2003-2004 гг._30 форма (январьфакт) 2" xfId="10230"/>
    <cellStyle name="_Книга11_Дайджест 2003-2004 гг._30 форма (январьфакт) 3" xfId="10231"/>
    <cellStyle name="_Книга11_Дайджест 2003-2004 гг._30 форма (январьфакт) 4" xfId="10232"/>
    <cellStyle name="_Книга11_Дайджест 2003-2004 гг._30 форма (январьфакт) 5" xfId="10233"/>
    <cellStyle name="_Книга11_Дайджест 2003-2004 гг._30 форма (январьфакт) 6" xfId="10234"/>
    <cellStyle name="_Книга11_Дайджест 2003-2004 гг._30 форма (январьфакт) 7" xfId="10235"/>
    <cellStyle name="_Книга11_Дайджест 2003-2004 гг._30 форма (январьфакт) 8" xfId="10236"/>
    <cellStyle name="_Книга11_Дайджест 2003-2004 гг._30 форма (январьфакт) 9" xfId="10237"/>
    <cellStyle name="_Книга11_Дайджест 2003-2004 гг._30 форма (январьфакт-мартплан)" xfId="10238"/>
    <cellStyle name="_Книга11_Дайджест 2003-2004 гг._30 форма (январьфакт-мартплан) 2" xfId="10239"/>
    <cellStyle name="_Книга11_Дайджест 2003-2004 гг._30 форма (январьфакт-мартплан) 3" xfId="10240"/>
    <cellStyle name="_Книга11_Дайджест 2003-2004 гг._30 форма (январьфакт-мартплан) 4" xfId="10241"/>
    <cellStyle name="_Книга11_Дайджест 2003-2004 гг._30 форма (январьфакт-мартплан) 5" xfId="10242"/>
    <cellStyle name="_Книга11_Дайджест 2003-2004 гг._30 форма (январьфакт-мартплан) 6" xfId="10243"/>
    <cellStyle name="_Книга11_Дайджест 2003-2004 гг._30 форма (январьфакт-мартплан) 7" xfId="10244"/>
    <cellStyle name="_Книга11_Дайджест 2003-2004 гг._30 форма (январьфакт-мартплан) 8" xfId="10245"/>
    <cellStyle name="_Книга11_Дайджест 2003-2004 гг._30 форма (январьфакт-мартплан) 9" xfId="10246"/>
    <cellStyle name="_Книга11_Дайджест 2003-2004 гг._30 форма с ожидаемым за январь" xfId="10247"/>
    <cellStyle name="_Книга11_Дайджест 2003-2004 гг._30 форма с ожидаемым за январь 2" xfId="10248"/>
    <cellStyle name="_Книга11_Дайджест 2003-2004 гг._30 форма с ожидаемым за январь 3" xfId="10249"/>
    <cellStyle name="_Книга11_Дайджест 2003-2004 гг._30 форма с ожидаемым за январь 4" xfId="10250"/>
    <cellStyle name="_Книга11_Дайджест 2003-2004 гг._30 форма с ожидаемым за январь 5" xfId="10251"/>
    <cellStyle name="_Книга11_Дайджест 2003-2004 гг._30 форма с ожидаемым за январь 6" xfId="10252"/>
    <cellStyle name="_Книга11_Дайджест 2003-2004 гг._30 форма с ожидаемым за январь 7" xfId="10253"/>
    <cellStyle name="_Книга11_Дайджест 2003-2004 гг._30 форма с ожидаемым за январь 8" xfId="10254"/>
    <cellStyle name="_Книга11_Дайджест 2003-2004 гг._30 форма с ожидаемым за январь 9" xfId="10255"/>
    <cellStyle name="_Книга11_Дайджест 2003-2004 гг._30 форма с фактом за декабрь" xfId="10256"/>
    <cellStyle name="_Книга11_Дайджест 2003-2004 гг._30 форма с фактом за декабрь 2" xfId="10257"/>
    <cellStyle name="_Книга11_Дайджест 2003-2004 гг._30 форма с фактом за декабрь 3" xfId="10258"/>
    <cellStyle name="_Книга11_Дайджест 2003-2004 гг._30 форма с фактом за декабрь 4" xfId="10259"/>
    <cellStyle name="_Книга11_Дайджест 2003-2004 гг._30 форма с фактом за декабрь 5" xfId="10260"/>
    <cellStyle name="_Книга11_Дайджест 2003-2004 гг._30 форма с фактом за декабрь 6" xfId="10261"/>
    <cellStyle name="_Книга11_Дайджест 2003-2004 гг._30 форма с фактом за декабрь 7" xfId="10262"/>
    <cellStyle name="_Книга11_Дайджест 2003-2004 гг._30 форма с фактом за декабрь 8" xfId="10263"/>
    <cellStyle name="_Книга11_Дайджест 2003-2004 гг._30 форма с фактом за декабрь 9" xfId="10264"/>
    <cellStyle name="_Книга11_Дайджест 2003-2004 гг._30 форма с фактом за ноябрь" xfId="10265"/>
    <cellStyle name="_Книга11_Дайджест 2003-2004 гг._30 форма с фактом за ноябрь 2" xfId="10266"/>
    <cellStyle name="_Книга11_Дайджест 2003-2004 гг._30 форма с фактом за ноябрь 3" xfId="10267"/>
    <cellStyle name="_Книга11_Дайджест 2003-2004 гг._30 форма с фактом за ноябрь 4" xfId="10268"/>
    <cellStyle name="_Книга11_Дайджест 2003-2004 гг._30 форма с фактом за ноябрь 5" xfId="10269"/>
    <cellStyle name="_Книга11_Дайджест 2003-2004 гг._30 форма с фактом за ноябрь 6" xfId="10270"/>
    <cellStyle name="_Книга11_Дайджест 2003-2004 гг._30 форма с фактом за ноябрь 7" xfId="10271"/>
    <cellStyle name="_Книга11_Дайджест 2003-2004 гг._30 форма с фактом за ноябрь 8" xfId="10272"/>
    <cellStyle name="_Книга11_Дайджест 2003-2004 гг._30 форма с фактом за ноябрь 9" xfId="10273"/>
    <cellStyle name="_Книга11_Дайджест 2003-2004 гг._8" xfId="10274"/>
    <cellStyle name="_Книга11_Дайджест 2003-2004 гг._8_исходные_291107" xfId="10275"/>
    <cellStyle name="_Книга11_Дайджест 2003-2004 гг._8_Лист1" xfId="10276"/>
    <cellStyle name="_Книга11_Дайджест 2003-2004 гг._8_Лист2" xfId="10277"/>
    <cellStyle name="_Книга11_Дайджест 2003-2004 гг._8_Лист3" xfId="10278"/>
    <cellStyle name="_Книга11_Дайджест 2003-2004 гг._8_ф2 склад ГП" xfId="10279"/>
    <cellStyle name="_Книга11_Дайджест 2003-2004 гг._EBITDA_дивизион_12.11.2007" xfId="10280"/>
    <cellStyle name="_Книга11_Дайджест 2003-2004 гг._№13, №14" xfId="10281"/>
    <cellStyle name="_Книга11_Дайджест 2003-2004 гг._№13, №14 02.04.07" xfId="10282"/>
    <cellStyle name="_Книга11_Дайджест 2003-2004 гг._№13, №14 от 15.12.2006" xfId="10283"/>
    <cellStyle name="_Книга11_Дайджест 2003-2004 гг._№13, №14 январь 2007 25.02.07" xfId="10284"/>
    <cellStyle name="_Книга11_Дайджест 2003-2004 гг._№26 измен 03.04.07" xfId="10285"/>
    <cellStyle name="_Книга11_Дайджест 2003-2004 гг._№26 измен 15.12.06 4 вар " xfId="10286"/>
    <cellStyle name="_Книга11_Дайджест 2003-2004 гг._№26, от 25.02.07" xfId="10287"/>
    <cellStyle name="_Книга11_Дайджест 2003-2004 гг._БДР - 2008 год 2-е чтение" xfId="10288"/>
    <cellStyle name="_Книга11_Дайджест 2003-2004 гг._БДР 2 кв  презентационный_24 03 2008_11-45" xfId="10289"/>
    <cellStyle name="_Книга11_Дайджест 2003-2004 гг._БДР 2 кв  презентационный_24 03 2008_15-55" xfId="10290"/>
    <cellStyle name="_Книга11_Дайджест 2003-2004 гг._Больш. 1-8 октября" xfId="10291"/>
    <cellStyle name="_Книга11_Дайджест 2003-2004 гг._БП  07 г. (нов.форма) 2" xfId="10292"/>
    <cellStyle name="_Книга11_Дайджест 2003-2004 гг._БП  07 г. (нов.форма) 2 2" xfId="10293"/>
    <cellStyle name="_Книга11_Дайджест 2003-2004 гг._БП  07 г. (нов.форма) 2 3" xfId="10294"/>
    <cellStyle name="_Книга11_Дайджест 2003-2004 гг._БП  07 г. (нов.форма) 2 4" xfId="10295"/>
    <cellStyle name="_Книга11_Дайджест 2003-2004 гг._БП  07 г. (нов.форма) 2 5" xfId="10296"/>
    <cellStyle name="_Книга11_Дайджест 2003-2004 гг._БП  07 г. (нов.форма) 2 6" xfId="10297"/>
    <cellStyle name="_Книга11_Дайджест 2003-2004 гг._БП  07 г. (нов.форма) 2 7" xfId="10298"/>
    <cellStyle name="_Книга11_Дайджест 2003-2004 гг._БП  07 г. (нов.форма) 2 8" xfId="10299"/>
    <cellStyle name="_Книга11_Дайджест 2003-2004 гг._БП  07 г. (нов.форма) 2 9" xfId="10300"/>
    <cellStyle name="_Книга11_Дайджест 2003-2004 гг._БП Урал Кирпич 28 01 2008г" xfId="10301"/>
    <cellStyle name="_Книга11_Дайджест 2003-2004 гг._БП_план на 1 кв. 2008г." xfId="10302"/>
    <cellStyle name="_Книга11_Дайджест 2003-2004 гг._БП_план на 2 кв. 2008г." xfId="10303"/>
    <cellStyle name="_Книга11_Дайджест 2003-2004 гг._бп2008 презентация 12.11.07" xfId="10304"/>
    <cellStyle name="_Книга11_Дайджест 2003-2004 гг._ДИВИЗИОН Презентация 4 кв. 07 изм отгр" xfId="10305"/>
    <cellStyle name="_Книга11_Дайджест 2003-2004 гг._ДИВИЗИОН Презентация 4 кв. 07 изм отгр 2" xfId="10306"/>
    <cellStyle name="_Книга11_Дайджест 2003-2004 гг._ДИВИЗИОН Презентация 4 кв. 07 изм отгр 3" xfId="10307"/>
    <cellStyle name="_Книга11_Дайджест 2003-2004 гг._ДИВИЗИОН Презентация 4 кв. 07 изм отгр 4" xfId="10308"/>
    <cellStyle name="_Книга11_Дайджест 2003-2004 гг._ДИВИЗИОН Презентация 4 кв. 07 изм отгр 5" xfId="10309"/>
    <cellStyle name="_Книга11_Дайджест 2003-2004 гг._ДИВИЗИОН Презентация 4 кв. 07 изм отгр 6" xfId="10310"/>
    <cellStyle name="_Книга11_Дайджест 2003-2004 гг._ДИВИЗИОН Презентация 4 кв. 07 изм отгр 7" xfId="10311"/>
    <cellStyle name="_Книга11_Дайджест 2003-2004 гг._ДИВИЗИОН Презентация 4 кв. 07 изм отгр 8" xfId="10312"/>
    <cellStyle name="_Книга11_Дайджест 2003-2004 гг._ДИВИЗИОН Презентация 4 кв. 07 изм отгр 9" xfId="10313"/>
    <cellStyle name="_Книга11_Дайджест 2003-2004 гг._ДИВИЗИОН_2008" xfId="10314"/>
    <cellStyle name="_Книга11_Дайджест 2003-2004 гг._Дивизиональная форма БДР_14.12.2007" xfId="10315"/>
    <cellStyle name="_Книга11_Дайджест 2003-2004 гг._Динамика Свод_Бизнес_MGOK 27_07_06" xfId="10316"/>
    <cellStyle name="_Книга11_Дайджест 2003-2004 гг._Ежемесячные формы для ТД на 2004 год (version 1)" xfId="10317"/>
    <cellStyle name="_Книга11_Дайджест 2003-2004 гг._Запрос МИ Менеджмент 18 08 06 (новый формат)" xfId="10318"/>
    <cellStyle name="_Книга11_Дайджест 2003-2004 гг._Запрос МИ Менеджмент 18 08 06 (новый формат) 10" xfId="10319"/>
    <cellStyle name="_Книга11_Дайджест 2003-2004 гг._Запрос МИ Менеджмент 18 08 06 (новый формат) 11" xfId="10320"/>
    <cellStyle name="_Книга11_Дайджест 2003-2004 гг._Запрос МИ Менеджмент 18 08 06 (новый формат) 12" xfId="10321"/>
    <cellStyle name="_Книга11_Дайджест 2003-2004 гг._Запрос МИ Менеджмент 18 08 06 (новый формат) 13" xfId="10322"/>
    <cellStyle name="_Книга11_Дайджест 2003-2004 гг._Запрос МИ Менеджмент 18 08 06 (новый формат) 2" xfId="10323"/>
    <cellStyle name="_Книга11_Дайджест 2003-2004 гг._Запрос МИ Менеджмент 18 08 06 (новый формат) 3" xfId="10324"/>
    <cellStyle name="_Книга11_Дайджест 2003-2004 гг._Запрос МИ Менеджмент 18 08 06 (новый формат) 4" xfId="10325"/>
    <cellStyle name="_Книга11_Дайджест 2003-2004 гг._Запрос МИ Менеджмент 18 08 06 (новый формат) 5" xfId="10326"/>
    <cellStyle name="_Книга11_Дайджест 2003-2004 гг._Запрос МИ Менеджмент 18 08 06 (новый формат) 6" xfId="10327"/>
    <cellStyle name="_Книга11_Дайджест 2003-2004 гг._Запрос МИ Менеджмент 18 08 06 (новый формат) 7" xfId="10328"/>
    <cellStyle name="_Книга11_Дайджест 2003-2004 гг._Запрос МИ Менеджмент 18 08 06 (новый формат) 8" xfId="10329"/>
    <cellStyle name="_Книга11_Дайджест 2003-2004 гг._Запрос МИ Менеджмент 18 08 06 (новый формат) 9" xfId="10330"/>
    <cellStyle name="_Книга11_Дайджест 2003-2004 гг._Запрос МИ Менеджмент 18 08 06 (новый формат)__План по труду 2008 261107 (10% с января)" xfId="10331"/>
    <cellStyle name="_Книга11_Дайджест 2003-2004 гг._Запрос МИ Менеджмент 18 08 06 (новый формат)__План по труду 2008 261107 (10% с января) 2" xfId="10332"/>
    <cellStyle name="_Книга11_Дайджест 2003-2004 гг._Запрос МИ Менеджмент 18 08 06 (новый формат)__План по труду 2008 261107 (10% с января) 3" xfId="10333"/>
    <cellStyle name="_Книга11_Дайджест 2003-2004 гг._Запрос МИ Менеджмент 18 08 06 (новый формат)__План по труду 2008 261107 (10% с января) 4" xfId="10334"/>
    <cellStyle name="_Книга11_Дайджест 2003-2004 гг._Запрос МИ Менеджмент 18 08 06 (новый формат)__План по труду 2008 261107 (10% с января) 5" xfId="10335"/>
    <cellStyle name="_Книга11_Дайджест 2003-2004 гг._Запрос МИ Менеджмент 18 08 06 (новый формат)__План по труду 2008 261107 (10% с января) 6" xfId="10336"/>
    <cellStyle name="_Книга11_Дайджест 2003-2004 гг._Запрос МИ Менеджмент 18 08 06 (новый формат)__План по труду 2008 261107 (10% с января) 7" xfId="10337"/>
    <cellStyle name="_Книга11_Дайджест 2003-2004 гг._Запрос МИ Менеджмент 18 08 06 (новый формат)__План по труду 2008 261107 (10% с января) 8" xfId="10338"/>
    <cellStyle name="_Книга11_Дайджест 2003-2004 гг._Запрос МИ Менеджмент 18 08 06 (новый формат)__План по труду 2008 261107 (10% с января) 9" xfId="10339"/>
    <cellStyle name="_Книга11_Дайджест 2003-2004 гг._Запрос МИ Менеджмент 18 08 06 (новый формат)__План по труду 2008 ИТОГ (правл. ПНР 161007)_" xfId="10340"/>
    <cellStyle name="_Книга11_Дайджест 2003-2004 гг._Запрос МИ Менеджмент 18 08 06 (новый формат)__План по труду 2008 ИТОГ (правл. ПНР 161007)_ 2" xfId="10341"/>
    <cellStyle name="_Книга11_Дайджест 2003-2004 гг._Запрос МИ Менеджмент 18 08 06 (новый формат)__План по труду 2008 ИТОГ (правл. ПНР 161007)_ 3" xfId="10342"/>
    <cellStyle name="_Книга11_Дайджест 2003-2004 гг._Запрос МИ Менеджмент 18 08 06 (новый формат)__План по труду 2008 ИТОГ (правл. ПНР 161007)_ 4" xfId="10343"/>
    <cellStyle name="_Книга11_Дайджест 2003-2004 гг._Запрос МИ Менеджмент 18 08 06 (новый формат)__План по труду 2008 ИТОГ (правл. ПНР 161007)_ 5" xfId="10344"/>
    <cellStyle name="_Книга11_Дайджест 2003-2004 гг._Запрос МИ Менеджмент 18 08 06 (новый формат)__План по труду 2008 ИТОГ (правл. ПНР 161007)_ 6" xfId="10345"/>
    <cellStyle name="_Книга11_Дайджест 2003-2004 гг._Запрос МИ Менеджмент 18 08 06 (новый формат)__План по труду 2008 ИТОГ (правл. ПНР 161007)_ 7" xfId="10346"/>
    <cellStyle name="_Книга11_Дайджест 2003-2004 гг._Запрос МИ Менеджмент 18 08 06 (новый формат)__План по труду 2008 ИТОГ (правл. ПНР 161007)_ 8" xfId="10347"/>
    <cellStyle name="_Книга11_Дайджест 2003-2004 гг._Запрос МИ Менеджмент 18 08 06 (новый формат)__План по труду 2008 ИТОГ (правл. ПНР 161007)_ 9" xfId="10348"/>
    <cellStyle name="_Книга11_Дайджест 2003-2004 гг._Запрос МИ Менеджмент 18 08 06 (новый формат)_2_Инвестпрограмма на 2008 год (КОВАЛЕВ)" xfId="10349"/>
    <cellStyle name="_Книга11_Дайджест 2003-2004 гг._Запрос МИ Менеджмент 18 08 06 (новый формат)_Данные для ФОТ на 2008 год" xfId="10350"/>
    <cellStyle name="_Книга11_Дайджест 2003-2004 гг._Запрос МИ Менеджмент 18 08 06 (новый формат)_Данные для ФОТ на 2008 год 2" xfId="10351"/>
    <cellStyle name="_Книга11_Дайджест 2003-2004 гг._Запрос МИ Менеджмент 18 08 06 (новый формат)_Данные для ФОТ на 2008 год 3" xfId="10352"/>
    <cellStyle name="_Книга11_Дайджест 2003-2004 гг._Запрос МИ Менеджмент 18 08 06 (новый формат)_Данные для ФОТ на 2008 год 4" xfId="10353"/>
    <cellStyle name="_Книга11_Дайджест 2003-2004 гг._Запрос МИ Менеджмент 18 08 06 (новый формат)_Данные для ФОТ на 2008 год 5" xfId="10354"/>
    <cellStyle name="_Книга11_Дайджест 2003-2004 гг._Запрос МИ Менеджмент 18 08 06 (новый формат)_Данные для ФОТ на 2008 год 6" xfId="10355"/>
    <cellStyle name="_Книга11_Дайджест 2003-2004 гг._Запрос МИ Менеджмент 18 08 06 (новый формат)_Данные для ФОТ на 2008 год 7" xfId="10356"/>
    <cellStyle name="_Книга11_Дайджест 2003-2004 гг._Запрос МИ Менеджмент 18 08 06 (новый формат)_Данные для ФОТ на 2008 год 8" xfId="10357"/>
    <cellStyle name="_Книга11_Дайджест 2003-2004 гг._Запрос МИ Менеджмент 18 08 06 (новый формат)_Данные для ФОТ на 2008 год 9" xfId="10358"/>
    <cellStyle name="_Книга11_Дайджест 2003-2004 гг._Запрос МИ Менеджмент 18 08 06 (новый формат)_План по труду 2008 ИТОГ (2003_вер)" xfId="10359"/>
    <cellStyle name="_Книга11_Дайджест 2003-2004 гг._Запрос МИ Менеджмент 18 08 06 (новый формат)_План по труду 2008 ИТОГ (2003_вер) 2" xfId="10360"/>
    <cellStyle name="_Книга11_Дайджест 2003-2004 гг._Запрос МИ Менеджмент 18 08 06 (новый формат)_План по труду 2008 ИТОГ (2003_вер) 3" xfId="10361"/>
    <cellStyle name="_Книга11_Дайджест 2003-2004 гг._Запрос МИ Менеджмент 18 08 06 (новый формат)_План по труду 2008 ИТОГ (2003_вер) 4" xfId="10362"/>
    <cellStyle name="_Книга11_Дайджест 2003-2004 гг._Запрос МИ Менеджмент 18 08 06 (новый формат)_План по труду 2008 ИТОГ (2003_вер) 5" xfId="10363"/>
    <cellStyle name="_Книга11_Дайджест 2003-2004 гг._Запрос МИ Менеджмент 18 08 06 (новый формат)_План по труду 2008 ИТОГ (2003_вер) 6" xfId="10364"/>
    <cellStyle name="_Книга11_Дайджест 2003-2004 гг._Запрос МИ Менеджмент 18 08 06 (новый формат)_План по труду 2008 ИТОГ (2003_вер) 7" xfId="10365"/>
    <cellStyle name="_Книга11_Дайджест 2003-2004 гг._Запрос МИ Менеджмент 18 08 06 (новый формат)_План по труду 2008 ИТОГ (2003_вер) 8" xfId="10366"/>
    <cellStyle name="_Книга11_Дайджест 2003-2004 гг._Запрос МИ Менеджмент 18 08 06 (новый формат)_План по труду 2008 ИТОГ (2003_вер) 9" xfId="10367"/>
    <cellStyle name="_Книга11_Дайджест 2003-2004 гг._Запрос МИ Менеджмент 18 08 06 (новый формат)_ТКВ 2008 от 19.07" xfId="10368"/>
    <cellStyle name="_Книга11_Дайджест 2003-2004 гг._Запрос МИ Менеджмент 18 08 06 (новый формат)_ТКВ 2008 от 31.07" xfId="10369"/>
    <cellStyle name="_Книга11_Дайджест 2003-2004 гг._ИПИТА" xfId="10370"/>
    <cellStyle name="_Книга11_Дайджест 2003-2004 гг._ИПИТА 2" xfId="10371"/>
    <cellStyle name="_Книга11_Дайджест 2003-2004 гг._ИПИТА 3" xfId="10372"/>
    <cellStyle name="_Книга11_Дайджест 2003-2004 гг._ИПИТА 4" xfId="10373"/>
    <cellStyle name="_Книга11_Дайджест 2003-2004 гг._ИПИТА 5" xfId="10374"/>
    <cellStyle name="_Книга11_Дайджест 2003-2004 гг._ИПИТА 6" xfId="10375"/>
    <cellStyle name="_Книга11_Дайджест 2003-2004 гг._ИПИТА 7" xfId="10376"/>
    <cellStyle name="_Книга11_Дайджест 2003-2004 гг._ИПИТА 8" xfId="10377"/>
    <cellStyle name="_Книга11_Дайджест 2003-2004 гг._ИПИТА 9" xfId="10378"/>
    <cellStyle name="_Книга11_Дайджест 2003-2004 гг._исходные_291107" xfId="10379"/>
    <cellStyle name="_Книга11_Дайджест 2003-2004 гг._КМА-Эн план 1 кв 200919.12.08отпр в Холдинг" xfId="10380"/>
    <cellStyle name="_Книга11_Дайджест 2003-2004 гг._Книга БДР 4 кв" xfId="10381"/>
    <cellStyle name="_Книга11_Дайджест 2003-2004 гг._Книга1" xfId="10382"/>
    <cellStyle name="_Книга11_Дайджест 2003-2004 гг._Книга1 (1)" xfId="10383"/>
    <cellStyle name="_Книга11_Дайджест 2003-2004 гг._Книга1 (1) 2" xfId="10384"/>
    <cellStyle name="_Книга11_Дайджест 2003-2004 гг._Книга1 (1) 3" xfId="10385"/>
    <cellStyle name="_Книга11_Дайджест 2003-2004 гг._Книга1 (1) 4" xfId="10386"/>
    <cellStyle name="_Книга11_Дайджест 2003-2004 гг._Книга1 (1) 5" xfId="10387"/>
    <cellStyle name="_Книга11_Дайджест 2003-2004 гг._Книга1 (1) 6" xfId="10388"/>
    <cellStyle name="_Книга11_Дайджест 2003-2004 гг._Книга1 (1) 7" xfId="10389"/>
    <cellStyle name="_Книга11_Дайджест 2003-2004 гг._Книга1 (1) 8" xfId="10390"/>
    <cellStyle name="_Книга11_Дайджест 2003-2004 гг._Книга1 (1) 9" xfId="10391"/>
    <cellStyle name="_Книга11_Дайджест 2003-2004 гг._Книга1 (5)" xfId="10392"/>
    <cellStyle name="_Книга11_Дайджест 2003-2004 гг._Книга1_1" xfId="10393"/>
    <cellStyle name="_Книга11_Дайджест 2003-2004 гг._Книга11" xfId="10394"/>
    <cellStyle name="_Книга11_Дайджест 2003-2004 гг._Книга3" xfId="10395"/>
    <cellStyle name="_Книга11_Дайджест 2003-2004 гг._Комплект документов - план на 2007 год - фин.часть 8.12.06 (укороч.)" xfId="10396"/>
    <cellStyle name="_Книга11_Дайджест 2003-2004 гг._Комплект документов - план на 2007 год - фин.часть 8.12.06 (укороч.) 2" xfId="10397"/>
    <cellStyle name="_Книга11_Дайджест 2003-2004 гг._Комплект документов - план на 2007 год - фин.часть 8.12.06 (укороч.) 3" xfId="10398"/>
    <cellStyle name="_Книга11_Дайджест 2003-2004 гг._Комплект документов - план на 2007 год - фин.часть 8.12.06 (укороч.) 4" xfId="10399"/>
    <cellStyle name="_Книга11_Дайджест 2003-2004 гг._Комплект документов - план на 2007 год - фин.часть 8.12.06 (укороч.) 5" xfId="10400"/>
    <cellStyle name="_Книга11_Дайджест 2003-2004 гг._Комплект документов - план на 2007 год - фин.часть 8.12.06 (укороч.) 6" xfId="10401"/>
    <cellStyle name="_Книга11_Дайджест 2003-2004 гг._Комплект документов - план на 2007 год - фин.часть 8.12.06 (укороч.) 7" xfId="10402"/>
    <cellStyle name="_Книга11_Дайджест 2003-2004 гг._Комплект документов - план на 2007 год - фин.часть 8.12.06 (укороч.) 8" xfId="10403"/>
    <cellStyle name="_Книга11_Дайджест 2003-2004 гг._Комплект документов - план на 2007 год - фин.часть 8.12.06 (укороч.) 9" xfId="10404"/>
    <cellStyle name="_Книга11_Дайджест 2003-2004 гг._Конс  ЛГОК БП 2009 для Комбината 07 11 08" xfId="10405"/>
    <cellStyle name="_Книга11_Дайджест 2003-2004 гг._Конс  ЛГОК БП 2009 от 14 10 08" xfId="10406"/>
    <cellStyle name="_Книга11_Дайджест 2003-2004 гг._Конс  ЛГОК БП 2009 от 14 10 08 (2)" xfId="10407"/>
    <cellStyle name="_Книга11_Дайджест 2003-2004 гг._Конс  МГОК БП 2009 от 14 10 08" xfId="10408"/>
    <cellStyle name="_Книга11_Дайджест 2003-2004 гг._Конс. план ЛГОК мар.09 для Комбината 20.02.09" xfId="10409"/>
    <cellStyle name="_Книга11_Дайджест 2003-2004 гг._Конс. план ЛГОК мар.09 для Комбината 25.02.09" xfId="10410"/>
    <cellStyle name="_Книга11_Дайджест 2003-2004 гг._Копия Конс БП 2010 ЛГОК для Комбината от 21 08 09" xfId="10411"/>
    <cellStyle name="_Книга11_Дайджест 2003-2004 гг._Лист1" xfId="10412"/>
    <cellStyle name="_Книга11_Дайджест 2003-2004 гг._Лист1 2" xfId="10413"/>
    <cellStyle name="_Книга11_Дайджест 2003-2004 гг._Лист1 3" xfId="10414"/>
    <cellStyle name="_Книга11_Дайджест 2003-2004 гг._Лист1 4" xfId="10415"/>
    <cellStyle name="_Книга11_Дайджест 2003-2004 гг._Лист1 5" xfId="10416"/>
    <cellStyle name="_Книга11_Дайджест 2003-2004 гг._Лист1 6" xfId="10417"/>
    <cellStyle name="_Книга11_Дайджест 2003-2004 гг._Лист1 7" xfId="10418"/>
    <cellStyle name="_Книга11_Дайджест 2003-2004 гг._Лист1 8" xfId="10419"/>
    <cellStyle name="_Книга11_Дайджест 2003-2004 гг._Лист1 9" xfId="10420"/>
    <cellStyle name="_Книга11_Дайджест 2003-2004 гг._Лист1_НОВАЯ ФОРМА ПО СОЦИАЛЬНЫМ ПРОГРАММАМ" xfId="10421"/>
    <cellStyle name="_Книга11_Дайджест 2003-2004 гг._Лист1_Приложения План Март (23)" xfId="10422"/>
    <cellStyle name="_Книга11_Дайджест 2003-2004 гг._Лист2" xfId="10423"/>
    <cellStyle name="_Книга11_Дайджест 2003-2004 гг._Лист3" xfId="10424"/>
    <cellStyle name="_Книга11_Дайджест 2003-2004 гг._Мод 4 кв 2008" xfId="10425"/>
    <cellStyle name="_Книга11_Дайджест 2003-2004 гг._Новые формы Дивизиона_3 кв_send (без дивидендов)" xfId="10426"/>
    <cellStyle name="_Книга11_Дайджест 2003-2004 гг._Новые формы Дивизиона_3кв.2007" xfId="10427"/>
    <cellStyle name="_Книга11_Дайджест 2003-2004 гг._Новые формы Дивизиона_3кв.2007 2" xfId="10428"/>
    <cellStyle name="_Книга11_Дайджест 2003-2004 гг._Новые формы Дивизиона_3кв.2007 3" xfId="10429"/>
    <cellStyle name="_Книга11_Дайджест 2003-2004 гг._Новые формы Дивизиона_3кв.2007 4" xfId="10430"/>
    <cellStyle name="_Книга11_Дайджест 2003-2004 гг._Новые формы Дивизиона_3кв.2007 5" xfId="10431"/>
    <cellStyle name="_Книга11_Дайджест 2003-2004 гг._Новые формы Дивизиона_3кв.2007 6" xfId="10432"/>
    <cellStyle name="_Книга11_Дайджест 2003-2004 гг._Новые формы Дивизиона_3кв.2007 7" xfId="10433"/>
    <cellStyle name="_Книга11_Дайджест 2003-2004 гг._Новые формы Дивизиона_3кв.2007 8" xfId="10434"/>
    <cellStyle name="_Книга11_Дайджест 2003-2004 гг._Новые формы Дивизиона_3кв.2007 9" xfId="10435"/>
    <cellStyle name="_Книга11_Дайджест 2003-2004 гг._Оборотный капитал план 2-е полугодие 2006 г. 25.08.06" xfId="10436"/>
    <cellStyle name="_Книга11_Дайджест 2003-2004 гг._Оборотный капитал план 2-е полугодие 2006 г. 25.08.06 10" xfId="10437"/>
    <cellStyle name="_Книга11_Дайджест 2003-2004 гг._Оборотный капитал план 2-е полугодие 2006 г. 25.08.06 11" xfId="10438"/>
    <cellStyle name="_Книга11_Дайджест 2003-2004 гг._Оборотный капитал план 2-е полугодие 2006 г. 25.08.06 12" xfId="10439"/>
    <cellStyle name="_Книга11_Дайджест 2003-2004 гг._Оборотный капитал план 2-е полугодие 2006 г. 25.08.06 13" xfId="10440"/>
    <cellStyle name="_Книга11_Дайджест 2003-2004 гг._Оборотный капитал план 2-е полугодие 2006 г. 25.08.06 2" xfId="10441"/>
    <cellStyle name="_Книга11_Дайджест 2003-2004 гг._Оборотный капитал план 2-е полугодие 2006 г. 25.08.06 3" xfId="10442"/>
    <cellStyle name="_Книга11_Дайджест 2003-2004 гг._Оборотный капитал план 2-е полугодие 2006 г. 25.08.06 4" xfId="10443"/>
    <cellStyle name="_Книга11_Дайджест 2003-2004 гг._Оборотный капитал план 2-е полугодие 2006 г. 25.08.06 5" xfId="10444"/>
    <cellStyle name="_Книга11_Дайджест 2003-2004 гг._Оборотный капитал план 2-е полугодие 2006 г. 25.08.06 6" xfId="10445"/>
    <cellStyle name="_Книга11_Дайджест 2003-2004 гг._Оборотный капитал план 2-е полугодие 2006 г. 25.08.06 7" xfId="10446"/>
    <cellStyle name="_Книга11_Дайджест 2003-2004 гг._Оборотный капитал план 2-е полугодие 2006 г. 25.08.06 8" xfId="10447"/>
    <cellStyle name="_Книга11_Дайджест 2003-2004 гг._Оборотный капитал план 2-е полугодие 2006 г. 25.08.06 9" xfId="10448"/>
    <cellStyle name="_Книга11_Дайджест 2003-2004 гг._ОБРАЗЕЦ Презентационный материал" xfId="10449"/>
    <cellStyle name="_Книга11_Дайджест 2003-2004 гг._ОБРАЗЕЦ Презентационный материал 2" xfId="10450"/>
    <cellStyle name="_Книга11_Дайджест 2003-2004 гг._ОБРАЗЕЦ Презентационный материал 3" xfId="10451"/>
    <cellStyle name="_Книга11_Дайджест 2003-2004 гг._ОБРАЗЕЦ Презентационный материал 4" xfId="10452"/>
    <cellStyle name="_Книга11_Дайджест 2003-2004 гг._ОБРАЗЕЦ Презентационный материал 5" xfId="10453"/>
    <cellStyle name="_Книга11_Дайджест 2003-2004 гг._ОБРАЗЕЦ Презентационный материал 6" xfId="10454"/>
    <cellStyle name="_Книга11_Дайджест 2003-2004 гг._ОБРАЗЕЦ Презентационный материал 7" xfId="10455"/>
    <cellStyle name="_Книга11_Дайджест 2003-2004 гг._ОБРАЗЕЦ Презентационный материал 8" xfId="10456"/>
    <cellStyle name="_Книга11_Дайджест 2003-2004 гг._ОБРАЗЕЦ Презентационный материал 9" xfId="10457"/>
    <cellStyle name="_Книга11_Дайджест 2003-2004 гг._оперативное исполнение 8 02 2009" xfId="10458"/>
    <cellStyle name="_Книга11_Дайджест 2003-2004 гг._Отклонения план март-план февраль 2009 конс" xfId="10459"/>
    <cellStyle name="_Книга11_Дайджест 2003-2004 гг._пл 02 2009 акционеры СВОД 09.02.2009" xfId="10460"/>
    <cellStyle name="_Книга11_Дайджест 2003-2004 гг._пл2007 Распределение ОЭМК 27.01.07" xfId="10461"/>
    <cellStyle name="_Книга11_Дайджест 2003-2004 гг._пл2007 фин.часть 18.12.06" xfId="10462"/>
    <cellStyle name="_Книга11_Дайджест 2003-2004 гг._пл2007 фин.часть 18.12.06 2" xfId="10463"/>
    <cellStyle name="_Книга11_Дайджест 2003-2004 гг._пл2007 фин.часть 18.12.06 3" xfId="10464"/>
    <cellStyle name="_Книга11_Дайджест 2003-2004 гг._пл2007 фин.часть 18.12.06 4" xfId="10465"/>
    <cellStyle name="_Книга11_Дайджест 2003-2004 гг._пл2007 фин.часть 18.12.06 5" xfId="10466"/>
    <cellStyle name="_Книга11_Дайджест 2003-2004 гг._пл2007 фин.часть 18.12.06 6" xfId="10467"/>
    <cellStyle name="_Книга11_Дайджест 2003-2004 гг._пл2007 фин.часть 18.12.06 7" xfId="10468"/>
    <cellStyle name="_Книга11_Дайджест 2003-2004 гг._пл2007 фин.часть 18.12.06 8" xfId="10469"/>
    <cellStyle name="_Книга11_Дайджест 2003-2004 гг._пл2007 фин.часть 18.12.06 9" xfId="10470"/>
    <cellStyle name="_Книга11_Дайджест 2003-2004 гг._План 2 кв 2007 год 6.04.07" xfId="10471"/>
    <cellStyle name="_Книга11_Дайджест 2003-2004 гг._План 2 кв 2007 год 6.04.07 2" xfId="10472"/>
    <cellStyle name="_Книга11_Дайджест 2003-2004 гг._План 2 кв 2007 год 6.04.07 3" xfId="10473"/>
    <cellStyle name="_Книга11_Дайджест 2003-2004 гг._План 2 кв 2007 год 6.04.07 4" xfId="10474"/>
    <cellStyle name="_Книга11_Дайджест 2003-2004 гг._План 2 кв 2007 год 6.04.07 5" xfId="10475"/>
    <cellStyle name="_Книга11_Дайджест 2003-2004 гг._План 2 кв 2007 год 6.04.07 6" xfId="10476"/>
    <cellStyle name="_Книга11_Дайджест 2003-2004 гг._План 2 кв 2007 год 6.04.07 7" xfId="10477"/>
    <cellStyle name="_Книга11_Дайджест 2003-2004 гг._План 2 кв 2007 год 6.04.07 8" xfId="10478"/>
    <cellStyle name="_Книга11_Дайджест 2003-2004 гг._План 2 кв 2007 год 6.04.07 9" xfId="10479"/>
    <cellStyle name="_Книга11_Дайджест 2003-2004 гг._План ДСМ 2 квартал 2009 ОТЧЕТ отп" xfId="10480"/>
    <cellStyle name="_Книга11_Дайджест 2003-2004 гг._План ДСМ 3 квартал 2009 ОТЧЕТ" xfId="10481"/>
    <cellStyle name="_Книга11_Дайджест 2003-2004 гг._План ДСМ 4 квартал 2009 ОТЧЕТ" xfId="10482"/>
    <cellStyle name="_Книга11_Дайджест 2003-2004 гг._План ДСМ на 4 квартал 2006 (последняя версия) 2" xfId="10483"/>
    <cellStyle name="_Книга11_Дайджест 2003-2004 гг._План ДСМ ноябрь 2011 ОТЧЕТ" xfId="10484"/>
    <cellStyle name="_Книга11_Дайджест 2003-2004 гг._План ДСФ 1 квартал 2007" xfId="10485"/>
    <cellStyle name="_Книга11_Дайджест 2003-2004 гг._План ДСФ 2 квартал 2009 ОТЧЕТ отп" xfId="10486"/>
    <cellStyle name="_Книга11_Дайджест 2003-2004 гг._План ДСФ 4 квартал 2009 ОТЧЕТ" xfId="10487"/>
    <cellStyle name="_Книга11_Дайджест 2003-2004 гг._План на 2009 год ДСМ ОТЧЕТ отп (01.12.08)" xfId="10488"/>
    <cellStyle name="_Книга11_Дайджест 2003-2004 гг._План на 2010 год ДСМ ОТЧЕТ" xfId="10489"/>
    <cellStyle name="_Книга11_Дайджест 2003-2004 гг._план ноября (отправл) 13.11" xfId="10490"/>
    <cellStyle name="_Книга11_Дайджест 2003-2004 гг._План_2008г._БДР" xfId="10491"/>
    <cellStyle name="_Книга11_Дайджест 2003-2004 гг._План_2008г._БДР_отпр.13.12.2007_19-40" xfId="10492"/>
    <cellStyle name="_Книга11_Дайджест 2003-2004 гг._Помесячный Чистов ФДе" xfId="10493"/>
    <cellStyle name="_Книга11_Дайджест 2003-2004 гг._Помесячный Чистов ФДе 2" xfId="10494"/>
    <cellStyle name="_Книга11_Дайджест 2003-2004 гг._Помесячный Чистов ФДе 3" xfId="10495"/>
    <cellStyle name="_Книга11_Дайджест 2003-2004 гг._Помесячный Чистов ФДе 4" xfId="10496"/>
    <cellStyle name="_Книга11_Дайджест 2003-2004 гг._Помесячный Чистов ФДе 5" xfId="10497"/>
    <cellStyle name="_Книга11_Дайджест 2003-2004 гг._Помесячный Чистов ФДе 6" xfId="10498"/>
    <cellStyle name="_Книга11_Дайджест 2003-2004 гг._Помесячный Чистов ФДе 7" xfId="10499"/>
    <cellStyle name="_Книга11_Дайджест 2003-2004 гг._Помесячный Чистов ФДе 8" xfId="10500"/>
    <cellStyle name="_Книга11_Дайджест 2003-2004 гг._Помесячный Чистов ФДе 9" xfId="10501"/>
    <cellStyle name="_Книга11_Дайджест 2003-2004 гг._пр I кв 2008 форма презентации" xfId="10502"/>
    <cellStyle name="_Книга11_Дайджест 2003-2004 гг._пр I кв 2008 форма презентации 2" xfId="10503"/>
    <cellStyle name="_Книга11_Дайджест 2003-2004 гг._пр I кв 2008 форма презентации 3" xfId="10504"/>
    <cellStyle name="_Книга11_Дайджест 2003-2004 гг._пр I кв 2008 форма презентации 4" xfId="10505"/>
    <cellStyle name="_Книга11_Дайджест 2003-2004 гг._пр I кв 2008 форма презентации 5" xfId="10506"/>
    <cellStyle name="_Книга11_Дайджест 2003-2004 гг._пр I кв 2008 форма презентации 6" xfId="10507"/>
    <cellStyle name="_Книга11_Дайджест 2003-2004 гг._пр I кв 2008 форма презентации 7" xfId="10508"/>
    <cellStyle name="_Книга11_Дайджест 2003-2004 гг._пр I кв 2008 форма презентации 8" xfId="10509"/>
    <cellStyle name="_Книга11_Дайджест 2003-2004 гг._пр I кв 2008 форма презентации 9" xfId="10510"/>
    <cellStyle name="_Книга11_Дайджест 2003-2004 гг._пр2006 Комплект ОЭМК 13.02.07 (рабочая)" xfId="10511"/>
    <cellStyle name="_Книга11_Дайджест 2003-2004 гг._пр2006 формы(19-30) 14.02.07" xfId="10512"/>
    <cellStyle name="_Книга11_Дайджест 2003-2004 гг._Презентационный БДР_21 02 2008" xfId="10513"/>
    <cellStyle name="_Книга11_Дайджест 2003-2004 гг._Презентационный материал" xfId="10514"/>
    <cellStyle name="_Книга11_Дайджест 2003-2004 гг._Презентационный материал 2" xfId="10515"/>
    <cellStyle name="_Книга11_Дайджест 2003-2004 гг._Презентационный материал 2 кв_план" xfId="10516"/>
    <cellStyle name="_Книга11_Дайджест 2003-2004 гг._Презентационный материал 3" xfId="10517"/>
    <cellStyle name="_Книга11_Дайджест 2003-2004 гг._Презентационный материал 4" xfId="10518"/>
    <cellStyle name="_Книга11_Дайджест 2003-2004 гг._Презентационный материал 5" xfId="10519"/>
    <cellStyle name="_Книга11_Дайджест 2003-2004 гг._Презентационный материал 6" xfId="10520"/>
    <cellStyle name="_Книга11_Дайджест 2003-2004 гг._Презентационный материал 7" xfId="10521"/>
    <cellStyle name="_Книга11_Дайджест 2003-2004 гг._Презентационный материал 8" xfId="10522"/>
    <cellStyle name="_Книга11_Дайджест 2003-2004 гг._Презентационный материал 9" xfId="10523"/>
    <cellStyle name="_Книга11_Дайджест 2003-2004 гг._Презентация" xfId="10524"/>
    <cellStyle name="_Книга11_Дайджест 2003-2004 гг._Презентация (фин.часть) 27.06.07" xfId="10525"/>
    <cellStyle name="_Книга11_Дайджест 2003-2004 гг._Презентация 2" xfId="10526"/>
    <cellStyle name="_Книга11_Дайджест 2003-2004 гг._Презентация 2007 пл-ож 17.12" xfId="10527"/>
    <cellStyle name="_Книга11_Дайджест 2003-2004 гг._Презентация 2007 пл-ож 17.12 2" xfId="10528"/>
    <cellStyle name="_Книга11_Дайджест 2003-2004 гг._Презентация 2007 пл-ож 17.12 3" xfId="10529"/>
    <cellStyle name="_Книга11_Дайджест 2003-2004 гг._Презентация 2007 пл-ож 17.12 4" xfId="10530"/>
    <cellStyle name="_Книга11_Дайджест 2003-2004 гг._Презентация 2007 пл-ож 17.12 5" xfId="10531"/>
    <cellStyle name="_Книга11_Дайджест 2003-2004 гг._Презентация 2007 пл-ож 17.12 6" xfId="10532"/>
    <cellStyle name="_Книга11_Дайджест 2003-2004 гг._Презентация 2007 пл-ож 17.12 7" xfId="10533"/>
    <cellStyle name="_Книга11_Дайджест 2003-2004 гг._Презентация 2007 пл-ож 17.12 8" xfId="10534"/>
    <cellStyle name="_Книга11_Дайджест 2003-2004 гг._Презентация 2007 пл-ож 17.12 9" xfId="10535"/>
    <cellStyle name="_Книга11_Дайджест 2003-2004 гг._Презентация 2007-2008 17.12" xfId="10536"/>
    <cellStyle name="_Книга11_Дайджест 2003-2004 гг._Презентация 2007-2008 17.12 2" xfId="10537"/>
    <cellStyle name="_Книга11_Дайджест 2003-2004 гг._Презентация 2007-2008 17.12 3" xfId="10538"/>
    <cellStyle name="_Книга11_Дайджест 2003-2004 гг._Презентация 2007-2008 17.12 4" xfId="10539"/>
    <cellStyle name="_Книга11_Дайджест 2003-2004 гг._Презентация 2007-2008 17.12 5" xfId="10540"/>
    <cellStyle name="_Книга11_Дайджест 2003-2004 гг._Презентация 2007-2008 17.12 6" xfId="10541"/>
    <cellStyle name="_Книга11_Дайджест 2003-2004 гг._Презентация 2007-2008 17.12 7" xfId="10542"/>
    <cellStyle name="_Книга11_Дайджест 2003-2004 гг._Презентация 2007-2008 17.12 8" xfId="10543"/>
    <cellStyle name="_Книга11_Дайджест 2003-2004 гг._Презентация 2007-2008 17.12 9" xfId="10544"/>
    <cellStyle name="_Книга11_Дайджест 2003-2004 гг._Презентация 2008 (2)" xfId="10545"/>
    <cellStyle name="_Книга11_Дайджест 2003-2004 гг._Презентация 2008 год (фин. часть) от 22.10.07" xfId="10546"/>
    <cellStyle name="_Книга11_Дайджест 2003-2004 гг._Презентация 2008 год (фин. часть) от 22.10.07 2" xfId="10547"/>
    <cellStyle name="_Книга11_Дайджест 2003-2004 гг._Презентация 2008 год (фин. часть) от 22.10.07 3" xfId="10548"/>
    <cellStyle name="_Книга11_Дайджест 2003-2004 гг._Презентация 2008 год (фин. часть) от 22.10.07 4" xfId="10549"/>
    <cellStyle name="_Книга11_Дайджест 2003-2004 гг._Презентация 2008 год (фин. часть) от 22.10.07 5" xfId="10550"/>
    <cellStyle name="_Книга11_Дайджест 2003-2004 гг._Презентация 2008 год (фин. часть) от 22.10.07 6" xfId="10551"/>
    <cellStyle name="_Книга11_Дайджест 2003-2004 гг._Презентация 2008 год (фин. часть) от 22.10.07 7" xfId="10552"/>
    <cellStyle name="_Книга11_Дайджест 2003-2004 гг._Презентация 2008 год (фин. часть) от 22.10.07 8" xfId="10553"/>
    <cellStyle name="_Книга11_Дайджест 2003-2004 гг._Презентация 2008 год (фин. часть) от 22.10.07 9" xfId="10554"/>
    <cellStyle name="_Книга11_Дайджест 2003-2004 гг._Презентация 2008 фин. часть (коричневые формы)" xfId="10555"/>
    <cellStyle name="_Книга11_Дайджест 2003-2004 гг._Презентация 2008 фин. часть (коричневые формы) 2" xfId="10556"/>
    <cellStyle name="_Книга11_Дайджест 2003-2004 гг._Презентация 2008 фин. часть (коричневые формы) 3" xfId="10557"/>
    <cellStyle name="_Книга11_Дайджест 2003-2004 гг._Презентация 2008 фин. часть (коричневые формы) 4" xfId="10558"/>
    <cellStyle name="_Книга11_Дайджест 2003-2004 гг._Презентация 2008 фин. часть (коричневые формы) 5" xfId="10559"/>
    <cellStyle name="_Книга11_Дайджест 2003-2004 гг._Презентация 2008 фин. часть (коричневые формы) 6" xfId="10560"/>
    <cellStyle name="_Книга11_Дайджест 2003-2004 гг._Презентация 2008 фин. часть (коричневые формы) 7" xfId="10561"/>
    <cellStyle name="_Книга11_Дайджест 2003-2004 гг._Презентация 2008 фин. часть (коричневые формы) 8" xfId="10562"/>
    <cellStyle name="_Книга11_Дайджест 2003-2004 гг._Презентация 2008 фин. часть (коричневые формы) 9" xfId="10563"/>
    <cellStyle name="_Книга11_Дайджест 2003-2004 гг._Презентация 3" xfId="10564"/>
    <cellStyle name="_Книга11_Дайджест 2003-2004 гг._Презентация 4" xfId="10565"/>
    <cellStyle name="_Книга11_Дайджест 2003-2004 гг._Презентация 5" xfId="10566"/>
    <cellStyle name="_Книга11_Дайджест 2003-2004 гг._Презентация 6" xfId="10567"/>
    <cellStyle name="_Книга11_Дайджест 2003-2004 гг._Презентация 7" xfId="10568"/>
    <cellStyle name="_Книга11_Дайджест 2003-2004 гг._Презентация 8" xfId="10569"/>
    <cellStyle name="_Книга11_Дайджест 2003-2004 гг._презентация 8.02.07" xfId="10570"/>
    <cellStyle name="_Книга11_Дайджест 2003-2004 гг._презентация 8.02.07 2" xfId="10571"/>
    <cellStyle name="_Книга11_Дайджест 2003-2004 гг._презентация 8.02.07 3" xfId="10572"/>
    <cellStyle name="_Книга11_Дайджест 2003-2004 гг._презентация 8.02.07 4" xfId="10573"/>
    <cellStyle name="_Книга11_Дайджест 2003-2004 гг._презентация 8.02.07 5" xfId="10574"/>
    <cellStyle name="_Книга11_Дайджест 2003-2004 гг._презентация 8.02.07 6" xfId="10575"/>
    <cellStyle name="_Книга11_Дайджест 2003-2004 гг._презентация 8.02.07 7" xfId="10576"/>
    <cellStyle name="_Книга11_Дайджест 2003-2004 гг._презентация 8.02.07 8" xfId="10577"/>
    <cellStyle name="_Книга11_Дайджест 2003-2004 гг._презентация 8.02.07 9" xfId="10578"/>
    <cellStyle name="_Книга11_Дайджест 2003-2004 гг._Презентация 9" xfId="10579"/>
    <cellStyle name="_Книга11_Дайджест 2003-2004 гг._Презентация август 07 факт" xfId="10580"/>
    <cellStyle name="_Книга11_Дайджест 2003-2004 гг._Презентация август 07 факт 2" xfId="10581"/>
    <cellStyle name="_Книга11_Дайджест 2003-2004 гг._Презентация август 07 факт 3" xfId="10582"/>
    <cellStyle name="_Книга11_Дайджест 2003-2004 гг._Презентация август 07 факт 4" xfId="10583"/>
    <cellStyle name="_Книга11_Дайджест 2003-2004 гг._Презентация август 07 факт 5" xfId="10584"/>
    <cellStyle name="_Книга11_Дайджест 2003-2004 гг._Презентация август 07 факт 6" xfId="10585"/>
    <cellStyle name="_Книга11_Дайджест 2003-2004 гг._Презентация август 07 факт 7" xfId="10586"/>
    <cellStyle name="_Книга11_Дайджест 2003-2004 гг._Презентация август 07 факт 8" xfId="10587"/>
    <cellStyle name="_Книга11_Дайджест 2003-2004 гг._Презентация август 07 факт 9" xfId="10588"/>
    <cellStyle name="_Книга11_Дайджест 2003-2004 гг._Презентация для Ульянова" xfId="10589"/>
    <cellStyle name="_Книга11_Дайджест 2003-2004 гг._Презентация для Ульянова 2" xfId="10590"/>
    <cellStyle name="_Книга11_Дайджест 2003-2004 гг._Презентация для Ульянова 3" xfId="10591"/>
    <cellStyle name="_Книга11_Дайджест 2003-2004 гг._Презентация для Ульянова 4" xfId="10592"/>
    <cellStyle name="_Книга11_Дайджест 2003-2004 гг._Презентация для Ульянова 5" xfId="10593"/>
    <cellStyle name="_Книга11_Дайджест 2003-2004 гг._Презентация для Ульянова 6" xfId="10594"/>
    <cellStyle name="_Книга11_Дайджест 2003-2004 гг._Презентация для Ульянова 7" xfId="10595"/>
    <cellStyle name="_Книга11_Дайджест 2003-2004 гг._Презентация для Ульянова 8" xfId="10596"/>
    <cellStyle name="_Книга11_Дайджест 2003-2004 гг._Презентация для Ульянова 9" xfId="10597"/>
    <cellStyle name="_Книга11_Дайджест 2003-2004 гг._Презентация для Ульянова И.Г. от 17.12.07" xfId="10598"/>
    <cellStyle name="_Книга11_Дайджест 2003-2004 гг._Презентация для Ульянова И.Г. от 17.12.07 2" xfId="10599"/>
    <cellStyle name="_Книга11_Дайджест 2003-2004 гг._Презентация для Ульянова И.Г. от 17.12.07 3" xfId="10600"/>
    <cellStyle name="_Книга11_Дайджест 2003-2004 гг._Презентация для Ульянова И.Г. от 17.12.07 4" xfId="10601"/>
    <cellStyle name="_Книга11_Дайджест 2003-2004 гг._Презентация для Ульянова И.Г. от 17.12.07 5" xfId="10602"/>
    <cellStyle name="_Книга11_Дайджест 2003-2004 гг._Презентация для Ульянова И.Г. от 17.12.07 6" xfId="10603"/>
    <cellStyle name="_Книга11_Дайджест 2003-2004 гг._Презентация для Ульянова И.Г. от 17.12.07 7" xfId="10604"/>
    <cellStyle name="_Книга11_Дайджест 2003-2004 гг._Презентация для Ульянова И.Г. от 17.12.07 8" xfId="10605"/>
    <cellStyle name="_Книга11_Дайджест 2003-2004 гг._Презентация для Ульянова И.Г. от 17.12.07 9" xfId="10606"/>
    <cellStyle name="_Книга11_Дайджест 2003-2004 гг._презентация займы РК г" xfId="10607"/>
    <cellStyle name="_Книга11_Дайджест 2003-2004 гг._презентация займы РК г 2" xfId="10608"/>
    <cellStyle name="_Книга11_Дайджест 2003-2004 гг._презентация займы РК г 3" xfId="10609"/>
    <cellStyle name="_Книга11_Дайджест 2003-2004 гг._презентация займы РК г 4" xfId="10610"/>
    <cellStyle name="_Книга11_Дайджест 2003-2004 гг._презентация займы РК г 5" xfId="10611"/>
    <cellStyle name="_Книга11_Дайджест 2003-2004 гг._презентация займы РК г 6" xfId="10612"/>
    <cellStyle name="_Книга11_Дайджест 2003-2004 гг._презентация займы РК г 7" xfId="10613"/>
    <cellStyle name="_Книга11_Дайджест 2003-2004 гг._презентация займы РК г 8" xfId="10614"/>
    <cellStyle name="_Книга11_Дайджест 2003-2004 гг._презентация займы РК г 9" xfId="10615"/>
    <cellStyle name="_Книга11_Дайджест 2003-2004 гг._Презентация инвестиции" xfId="10616"/>
    <cellStyle name="_Книга11_Дайджест 2003-2004 гг._Презентация инвестиции 2" xfId="10617"/>
    <cellStyle name="_Книга11_Дайджест 2003-2004 гг._Презентация инвестиции 3" xfId="10618"/>
    <cellStyle name="_Книга11_Дайджест 2003-2004 гг._Презентация инвестиции 4" xfId="10619"/>
    <cellStyle name="_Книга11_Дайджест 2003-2004 гг._Презентация инвестиции 5" xfId="10620"/>
    <cellStyle name="_Книга11_Дайджест 2003-2004 гг._Презентация инвестиции 6" xfId="10621"/>
    <cellStyle name="_Книга11_Дайджест 2003-2004 гг._Презентация инвестиции 7" xfId="10622"/>
    <cellStyle name="_Книга11_Дайджест 2003-2004 гг._Презентация инвестиции 8" xfId="10623"/>
    <cellStyle name="_Книга11_Дайджест 2003-2004 гг._Презентация инвестиции 9" xfId="10624"/>
    <cellStyle name="_Книга11_Дайджест 2003-2004 гг._Презентация коричн. СДП, РК, Инв план 2008 (фин. часть) от 24.03.08" xfId="10625"/>
    <cellStyle name="_Книга11_Дайджест 2003-2004 гг._Презентация коричн. СДП, РК, Инв план 2008 (фин. часть) от 24.03.08 2" xfId="10626"/>
    <cellStyle name="_Книга11_Дайджест 2003-2004 гг._Презентация коричн. СДП, РК, Инв план 2008 (фин. часть) от 24.03.08 3" xfId="10627"/>
    <cellStyle name="_Книга11_Дайджест 2003-2004 гг._Презентация коричн. СДП, РК, Инв план 2008 (фин. часть) от 24.03.08 4" xfId="10628"/>
    <cellStyle name="_Книга11_Дайджест 2003-2004 гг._Презентация коричн. СДП, РК, Инв план 2008 (фин. часть) от 24.03.08 5" xfId="10629"/>
    <cellStyle name="_Книга11_Дайджест 2003-2004 гг._Презентация коричн. СДП, РК, Инв план 2008 (фин. часть) от 24.03.08 6" xfId="10630"/>
    <cellStyle name="_Книга11_Дайджест 2003-2004 гг._Презентация коричн. СДП, РК, Инв план 2008 (фин. часть) от 24.03.08 7" xfId="10631"/>
    <cellStyle name="_Книга11_Дайджест 2003-2004 гг._Презентация коричн. СДП, РК, Инв план 2008 (фин. часть) от 24.03.08 8" xfId="10632"/>
    <cellStyle name="_Книга11_Дайджест 2003-2004 гг._Презентация коричн. СДП, РК, Инв план 2008 (фин. часть) от 24.03.08 9" xfId="10633"/>
    <cellStyle name="_Книга11_Дайджест 2003-2004 гг._Презентация коричневая 2007 план + ож" xfId="10634"/>
    <cellStyle name="_Книга11_Дайджест 2003-2004 гг._Презентация коричневая 2007-2008" xfId="10635"/>
    <cellStyle name="_Книга11_Дайджест 2003-2004 гг._Презентация от 10.12.07 (СПД и РК)  2007план и 2007ожид." xfId="10636"/>
    <cellStyle name="_Книга11_Дайджест 2003-2004 гг._Презентация от 10.12.07 (СПД и РК)  2007план и 2007ожид. 2" xfId="10637"/>
    <cellStyle name="_Книга11_Дайджест 2003-2004 гг._Презентация от 10.12.07 (СПД и РК)  2007план и 2007ожид. 3" xfId="10638"/>
    <cellStyle name="_Книга11_Дайджест 2003-2004 гг._Презентация от 10.12.07 (СПД и РК)  2007план и 2007ожид. 4" xfId="10639"/>
    <cellStyle name="_Книга11_Дайджест 2003-2004 гг._Презентация от 10.12.07 (СПД и РК)  2007план и 2007ожид. 5" xfId="10640"/>
    <cellStyle name="_Книга11_Дайджест 2003-2004 гг._Презентация от 10.12.07 (СПД и РК)  2007план и 2007ожид. 6" xfId="10641"/>
    <cellStyle name="_Книга11_Дайджест 2003-2004 гг._Презентация от 10.12.07 (СПД и РК)  2007план и 2007ожид. 7" xfId="10642"/>
    <cellStyle name="_Книга11_Дайджест 2003-2004 гг._Презентация от 10.12.07 (СПД и РК)  2007план и 2007ожид. 8" xfId="10643"/>
    <cellStyle name="_Книга11_Дайджест 2003-2004 гг._Презентация от 10.12.07 (СПД и РК)  2007план и 2007ожид. 9" xfId="10644"/>
    <cellStyle name="_Книга11_Дайджест 2003-2004 гг._Презентация от 10.12.07 (СПД и РК)  2008план и 2007ожид" xfId="10645"/>
    <cellStyle name="_Книга11_Дайджест 2003-2004 гг._Презентация от 10.12.07 (СПД и РК)  2008план и 2007ожид 2" xfId="10646"/>
    <cellStyle name="_Книга11_Дайджест 2003-2004 гг._Презентация от 10.12.07 (СПД и РК)  2008план и 2007ожид 3" xfId="10647"/>
    <cellStyle name="_Книга11_Дайджест 2003-2004 гг._Презентация от 10.12.07 (СПД и РК)  2008план и 2007ожид 4" xfId="10648"/>
    <cellStyle name="_Книга11_Дайджест 2003-2004 гг._Презентация от 10.12.07 (СПД и РК)  2008план и 2007ожид 5" xfId="10649"/>
    <cellStyle name="_Книга11_Дайджест 2003-2004 гг._Презентация от 10.12.07 (СПД и РК)  2008план и 2007ожид 6" xfId="10650"/>
    <cellStyle name="_Книга11_Дайджест 2003-2004 гг._Презентация от 10.12.07 (СПД и РК)  2008план и 2007ожид 7" xfId="10651"/>
    <cellStyle name="_Книга11_Дайджест 2003-2004 гг._Презентация от 10.12.07 (СПД и РК)  2008план и 2007ожид 8" xfId="10652"/>
    <cellStyle name="_Книга11_Дайджест 2003-2004 гг._Презентация от 10.12.07 (СПД и РК)  2008план и 2007ожид 9" xfId="10653"/>
    <cellStyle name="_Книга11_Дайджест 2003-2004 гг._Презентация от 19 12 07" xfId="10654"/>
    <cellStyle name="_Книга11_Дайджест 2003-2004 гг._Презентация от 19 12 07 2" xfId="10655"/>
    <cellStyle name="_Книга11_Дайджест 2003-2004 гг._Презентация от 19 12 07 3" xfId="10656"/>
    <cellStyle name="_Книга11_Дайджест 2003-2004 гг._Презентация от 19 12 07 4" xfId="10657"/>
    <cellStyle name="_Книга11_Дайджест 2003-2004 гг._Презентация от 19 12 07 5" xfId="10658"/>
    <cellStyle name="_Книга11_Дайджест 2003-2004 гг._Презентация от 19 12 07 6" xfId="10659"/>
    <cellStyle name="_Книга11_Дайджест 2003-2004 гг._Презентация от 19 12 07 7" xfId="10660"/>
    <cellStyle name="_Книга11_Дайджест 2003-2004 гг._Презентация от 19 12 07 8" xfId="10661"/>
    <cellStyle name="_Книга11_Дайджест 2003-2004 гг._Презентация от 19 12 07 9" xfId="10662"/>
    <cellStyle name="_Книга11_Дайджест 2003-2004 гг._Презентация СДП, РК, Инв план 2008 (фин. часть) от 24.03.08" xfId="10663"/>
    <cellStyle name="_Книга11_Дайджест 2003-2004 гг._Презентация СДП, РК, Инв план 2008 (фин. часть) от 24.03.08 2" xfId="10664"/>
    <cellStyle name="_Книга11_Дайджест 2003-2004 гг._Презентация СДП, РК, Инв план 2008 (фин. часть) от 24.03.08 3" xfId="10665"/>
    <cellStyle name="_Книга11_Дайджест 2003-2004 гг._Презентация СДП, РК, Инв план 2008 (фин. часть) от 24.03.08 4" xfId="10666"/>
    <cellStyle name="_Книга11_Дайджест 2003-2004 гг._Презентация СДП, РК, Инв план 2008 (фин. часть) от 24.03.08 5" xfId="10667"/>
    <cellStyle name="_Книга11_Дайджест 2003-2004 гг._Презентация СДП, РК, Инв план 2008 (фин. часть) от 24.03.08 6" xfId="10668"/>
    <cellStyle name="_Книга11_Дайджест 2003-2004 гг._Презентация СДП, РК, Инв план 2008 (фин. часть) от 24.03.08 7" xfId="10669"/>
    <cellStyle name="_Книга11_Дайджест 2003-2004 гг._Презентация СДП, РК, Инв план 2008 (фин. часть) от 24.03.08 8" xfId="10670"/>
    <cellStyle name="_Книга11_Дайджест 2003-2004 гг._Презентация СДП, РК, Инв план 2008 (фин. часть) от 24.03.08 9" xfId="10671"/>
    <cellStyle name="_Книга11_Дайджест 2003-2004 гг._Презентация ФО от 17.12.07" xfId="10672"/>
    <cellStyle name="_Книга11_Дайджест 2003-2004 гг._Презентация ФО от 17.12.07 2" xfId="10673"/>
    <cellStyle name="_Книга11_Дайджест 2003-2004 гг._Презентация ФО от 17.12.07 3" xfId="10674"/>
    <cellStyle name="_Книга11_Дайджест 2003-2004 гг._Презентация ФО от 17.12.07 4" xfId="10675"/>
    <cellStyle name="_Книга11_Дайджест 2003-2004 гг._Презентация ФО от 17.12.07 5" xfId="10676"/>
    <cellStyle name="_Книга11_Дайджест 2003-2004 гг._Презентация ФО от 17.12.07 6" xfId="10677"/>
    <cellStyle name="_Книга11_Дайджест 2003-2004 гг._Презентация ФО от 17.12.07 7" xfId="10678"/>
    <cellStyle name="_Книга11_Дайджест 2003-2004 гг._Презентация ФО от 17.12.07 8" xfId="10679"/>
    <cellStyle name="_Книга11_Дайджест 2003-2004 гг._Презентация ФО от 17.12.07 9" xfId="10680"/>
    <cellStyle name="_Книга11_Дайджест 2003-2004 гг._презентация-2008год " xfId="10681"/>
    <cellStyle name="_Книга11_Дайджест 2003-2004 гг._презентация-2008год  2" xfId="10682"/>
    <cellStyle name="_Книга11_Дайджест 2003-2004 гг._презентация-2008год  3" xfId="10683"/>
    <cellStyle name="_Книга11_Дайджест 2003-2004 гг._презентация-2008год  4" xfId="10684"/>
    <cellStyle name="_Книга11_Дайджест 2003-2004 гг._презентация-2008год  5" xfId="10685"/>
    <cellStyle name="_Книга11_Дайджест 2003-2004 гг._презентация-2008год  6" xfId="10686"/>
    <cellStyle name="_Книга11_Дайджест 2003-2004 гг._презентация-2008год  7" xfId="10687"/>
    <cellStyle name="_Книга11_Дайджест 2003-2004 гг._презентация-2008год  8" xfId="10688"/>
    <cellStyle name="_Книга11_Дайджест 2003-2004 гг._презентация-2008год  9" xfId="10689"/>
    <cellStyle name="_Книга11_Дайджест 2003-2004 гг._Презетация ФО (с учетом инвестиций на 2341,2)" xfId="10690"/>
    <cellStyle name="_Книга11_Дайджест 2003-2004 гг._Презетация ФО (с учетом инвестиций на 2341,2) 2" xfId="10691"/>
    <cellStyle name="_Книга11_Дайджест 2003-2004 гг._Презетация ФО (с учетом инвестиций на 2341,2) 3" xfId="10692"/>
    <cellStyle name="_Книга11_Дайджест 2003-2004 гг._Презетация ФО (с учетом инвестиций на 2341,2) 4" xfId="10693"/>
    <cellStyle name="_Книга11_Дайджест 2003-2004 гг._Презетация ФО (с учетом инвестиций на 2341,2) 5" xfId="10694"/>
    <cellStyle name="_Книга11_Дайджест 2003-2004 гг._Презетация ФО (с учетом инвестиций на 2341,2) 6" xfId="10695"/>
    <cellStyle name="_Книга11_Дайджест 2003-2004 гг._Презетация ФО (с учетом инвестиций на 2341,2) 7" xfId="10696"/>
    <cellStyle name="_Книга11_Дайджест 2003-2004 гг._Презетация ФО (с учетом инвестиций на 2341,2) 8" xfId="10697"/>
    <cellStyle name="_Книга11_Дайджест 2003-2004 гг._Презетация ФО (с учетом инвестиций на 2341,2) 9" xfId="10698"/>
    <cellStyle name="_Книга11_Дайджест 2003-2004 гг._Приложения (формы отчетности)" xfId="10699"/>
    <cellStyle name="_Книга11_Дайджест 2003-2004 гг._Приложения февраль 09 (МП) отпр в УК от 04 02 09" xfId="10700"/>
    <cellStyle name="_Книга11_Дайджест 2003-2004 гг._Прогноз консолидированный июнь" xfId="10701"/>
    <cellStyle name="_Книга11_Дайджест 2003-2004 гг._РК+СДП 2008 год" xfId="10702"/>
    <cellStyle name="_Книга11_Дайджест 2003-2004 гг._РК+СДП 2008 год 2" xfId="10703"/>
    <cellStyle name="_Книга11_Дайджест 2003-2004 гг._РК+СДП 2008 год 3" xfId="10704"/>
    <cellStyle name="_Книга11_Дайджест 2003-2004 гг._РК+СДП 2008 год 4" xfId="10705"/>
    <cellStyle name="_Книга11_Дайджест 2003-2004 гг._РК+СДП 2008 год 5" xfId="10706"/>
    <cellStyle name="_Книга11_Дайджест 2003-2004 гг._РК+СДП 2008 год 6" xfId="10707"/>
    <cellStyle name="_Книга11_Дайджест 2003-2004 гг._РК+СДП 2008 год 7" xfId="10708"/>
    <cellStyle name="_Книга11_Дайджест 2003-2004 гг._РК+СДП 2008 год 8" xfId="10709"/>
    <cellStyle name="_Книга11_Дайджест 2003-2004 гг._РК+СДП 2008 год 9" xfId="10710"/>
    <cellStyle name="_Книга11_Дайджест 2003-2004 гг._Свод производства 1 квартал" xfId="10711"/>
    <cellStyle name="_Книга11_Дайджест 2003-2004 гг._Себестоимость" xfId="10712"/>
    <cellStyle name="_Книга11_Дайджест 2003-2004 гг._Слайд осн показатели к совещанию в УК от 18 01 09" xfId="10713"/>
    <cellStyle name="_Книга11_Дайджест 2003-2004 гг._Слайды 2-й квартал (ФП-КП)" xfId="10714"/>
    <cellStyle name="_Книга11_Дайджест 2003-2004 гг._Слайды 2-й квартал (ФП-КП) 2" xfId="10715"/>
    <cellStyle name="_Книга11_Дайджест 2003-2004 гг._Слайды 2-й квартал (ФП-КП) 3" xfId="10716"/>
    <cellStyle name="_Книга11_Дайджест 2003-2004 гг._Слайды 2-й квартал (ФП-КП) 4" xfId="10717"/>
    <cellStyle name="_Книга11_Дайджест 2003-2004 гг._Слайды 2-й квартал (ФП-КП) 5" xfId="10718"/>
    <cellStyle name="_Книга11_Дайджест 2003-2004 гг._Слайды 2-й квартал (ФП-КП) 6" xfId="10719"/>
    <cellStyle name="_Книга11_Дайджест 2003-2004 гг._Слайды 2-й квартал (ФП-КП) 7" xfId="10720"/>
    <cellStyle name="_Книга11_Дайджест 2003-2004 гг._Слайды 2-й квартал (ФП-КП) 8" xfId="10721"/>
    <cellStyle name="_Книга11_Дайджест 2003-2004 гг._Слайды 2-й квартал (ФП-КП) 9" xfId="10722"/>
    <cellStyle name="_Книга11_Дайджест 2003-2004 гг._СПД, РК, Инв. 2008 коричневая" xfId="10723"/>
    <cellStyle name="_Книга11_Дайджест 2003-2004 гг._СПД, РК, Инв. 2008 коричневая 2" xfId="10724"/>
    <cellStyle name="_Книга11_Дайджест 2003-2004 гг._СПД, РК, Инв. 2008 коричневая 3" xfId="10725"/>
    <cellStyle name="_Книга11_Дайджест 2003-2004 гг._СПД, РК, Инв. 2008 коричневая 4" xfId="10726"/>
    <cellStyle name="_Книга11_Дайджест 2003-2004 гг._СПД, РК, Инв. 2008 коричневая 5" xfId="10727"/>
    <cellStyle name="_Книга11_Дайджест 2003-2004 гг._СПД, РК, Инв. 2008 коричневая 6" xfId="10728"/>
    <cellStyle name="_Книга11_Дайджест 2003-2004 гг._СПД, РК, Инв. 2008 коричневая 7" xfId="10729"/>
    <cellStyle name="_Книга11_Дайджест 2003-2004 гг._СПД, РК, Инв. 2008 коричневая 8" xfId="10730"/>
    <cellStyle name="_Книга11_Дайджест 2003-2004 гг._СПД, РК, Инв. 2008 коричневая 9" xfId="10731"/>
    <cellStyle name="_Книга11_Дайджест 2003-2004 гг._Сравнение ожидаемого 2008  c БП 2009г. УрСт вариант 2 (скоррект. цены)" xfId="10732"/>
    <cellStyle name="_Книга11_Дайджест 2003-2004 гг._Сравнение ожидаемого 2008 с 2009г  ОЭМК от 06 10 2008" xfId="10733"/>
    <cellStyle name="_Книга11_Дайджест 2003-2004 гг._Сравнение ожидаемого 2008 с 2009г. ОЭМК  28.10.2008 (скорректир. цены)" xfId="10734"/>
    <cellStyle name="_Книга11_Дайджест 2003-2004 гг._Сравнение ожидаемого 2008 УС c 2009г  от 06 10 2008" xfId="10735"/>
    <cellStyle name="_Книга11_Дайджест 2003-2004 гг._Структура затрат (Формат) ЛГОК" xfId="10736"/>
    <cellStyle name="_Книга11_Дайджест 2003-2004 гг._Структура затрат (Формат) ЛГОК_28.01.2009" xfId="10737"/>
    <cellStyle name="_Книга11_Дайджест 2003-2004 гг._ТП на 2011_год покварт" xfId="10738"/>
    <cellStyle name="_Книга11_Дайджест 2003-2004 гг._Труд для нас" xfId="10739"/>
    <cellStyle name="_Книга11_Дайджест 2003-2004 гг._Труд для нас 2" xfId="10740"/>
    <cellStyle name="_Книга11_Дайджест 2003-2004 гг._Труд для нас 3" xfId="10741"/>
    <cellStyle name="_Книга11_Дайджест 2003-2004 гг._Труд для нас 4" xfId="10742"/>
    <cellStyle name="_Книга11_Дайджест 2003-2004 гг._Труд для нас 5" xfId="10743"/>
    <cellStyle name="_Книга11_Дайджест 2003-2004 гг._Труд для нас 6" xfId="10744"/>
    <cellStyle name="_Книга11_Дайджест 2003-2004 гг._Труд для нас 7" xfId="10745"/>
    <cellStyle name="_Книга11_Дайджест 2003-2004 гг._Труд для нас 8" xfId="10746"/>
    <cellStyle name="_Книга11_Дайджест 2003-2004 гг._Труд для нас 9" xfId="10747"/>
    <cellStyle name="_Книга11_Дайджест 2003-2004 гг._УралКирпич_план на 2 кв. 2009" xfId="10748"/>
    <cellStyle name="_Книга11_Дайджест 2003-2004 гг._УСТ - любимая табличка по новому 2009 г." xfId="10749"/>
    <cellStyle name="_Книга11_Дайджест 2003-2004 гг._Ф 29, 30" xfId="10750"/>
    <cellStyle name="_Книга11_Дайджест 2003-2004 гг._Ф 29, 30 2" xfId="10751"/>
    <cellStyle name="_Книга11_Дайджест 2003-2004 гг._Ф 29, 30 3" xfId="10752"/>
    <cellStyle name="_Книга11_Дайджест 2003-2004 гг._Ф 29, 30 4" xfId="10753"/>
    <cellStyle name="_Книга11_Дайджест 2003-2004 гг._Ф 29, 30 5" xfId="10754"/>
    <cellStyle name="_Книга11_Дайджест 2003-2004 гг._Ф 29, 30 6" xfId="10755"/>
    <cellStyle name="_Книга11_Дайджест 2003-2004 гг._Ф 29, 30 7" xfId="10756"/>
    <cellStyle name="_Книга11_Дайджест 2003-2004 гг._Ф 29, 30 8" xfId="10757"/>
    <cellStyle name="_Книга11_Дайджест 2003-2004 гг._Ф 29, 30 9" xfId="10758"/>
    <cellStyle name="_Книга11_Дайджест 2003-2004 гг._ф IIкв.07 EBITDA ЛГОК 27.07.07" xfId="10759"/>
    <cellStyle name="_Книга11_Дайджест 2003-2004 гг._ф01 2007 фин. часть МГОК 21.03.07" xfId="10760"/>
    <cellStyle name="_Книга11_Дайджест 2003-2004 гг._ф01.07 EBITDA ОАО ЛГОК 02.03.07" xfId="10761"/>
    <cellStyle name="_Книга11_Дайджест 2003-2004 гг._ф01.07 EBITDA ОАО ЛГОК 05.03.07" xfId="10762"/>
    <cellStyle name="_Книга11_Дайджест 2003-2004 гг._ф01.07 EBITDA ОАО ЛГОК с изм. 30.03.07" xfId="10763"/>
    <cellStyle name="_Книга11_Дайджест 2003-2004 гг._ф01.07 EBITDA ОАО УС 05.03.07" xfId="10764"/>
    <cellStyle name="_Книга11_Дайджест 2003-2004 гг._ф01.07 EBITDA ОАО УС 05.03.07(26,2)" xfId="10765"/>
    <cellStyle name="_Книга11_Дайджест 2003-2004 гг._ф01.07 EBITDA ОЭМК 02.03.07" xfId="10766"/>
    <cellStyle name="_Книга11_Дайджест 2003-2004 гг._ф02.07 EBITDA ОАО ЛГОК 28.03.07" xfId="10767"/>
    <cellStyle name="_Книга11_Дайджест 2003-2004 гг._ф02.07 EBITDA ОАО УС 28.03.07" xfId="10768"/>
    <cellStyle name="_Книга11_Дайджест 2003-2004 гг._ф02.07 EBITDA ОЭМК 28.03.07" xfId="10769"/>
    <cellStyle name="_Книга11_Дайджест 2003-2004 гг._ф11 Депозиты" xfId="10770"/>
    <cellStyle name="_Книга11_Дайджест 2003-2004 гг._ф1кв.07 EBITDA ЛГОК 28.04.07" xfId="10771"/>
    <cellStyle name="_Книга11_Дайджест 2003-2004 гг._фIкв EBITDA ОАО УС 28.04.07" xfId="10772"/>
    <cellStyle name="_Книга11_Дайджест 2003-2004 гг._фIкв EBITDA ОЭМК 28.04.07" xfId="10773"/>
    <cellStyle name="_Книга11_Дайджест 2003-2004 гг._Факт_2007_Часть 2" xfId="10774"/>
    <cellStyle name="_Книга11_Дайджест 2003-2004 гг._Фин.часть  2007ожид и 2008 план" xfId="10775"/>
    <cellStyle name="_Книга11_Дайджест 2003-2004 гг._Фин.часть  2007ожид и 2008 план 2" xfId="10776"/>
    <cellStyle name="_Книга11_Дайджест 2003-2004 гг._Фин.часть  2007ожид и 2008 план 3" xfId="10777"/>
    <cellStyle name="_Книга11_Дайджест 2003-2004 гг._Фин.часть  2007ожид и 2008 план 4" xfId="10778"/>
    <cellStyle name="_Книга11_Дайджест 2003-2004 гг._Фин.часть  2007ожид и 2008 план 5" xfId="10779"/>
    <cellStyle name="_Книга11_Дайджест 2003-2004 гг._Фин.часть  2007ожид и 2008 план 6" xfId="10780"/>
    <cellStyle name="_Книга11_Дайджест 2003-2004 гг._Фин.часть  2007ожид и 2008 план 7" xfId="10781"/>
    <cellStyle name="_Книга11_Дайджест 2003-2004 гг._Фин.часть  2007ожид и 2008 план 8" xfId="10782"/>
    <cellStyle name="_Книга11_Дайджест 2003-2004 гг._Фин.часть  2007ожид и 2008 план 9" xfId="10783"/>
    <cellStyle name="_Книга11_Дайджест 2003-2004 гг._Фин.часть 11.12.06" xfId="10784"/>
    <cellStyle name="_Книга11_Дайджест 2003-2004 гг._Фин.часть 11.12.06 2" xfId="10785"/>
    <cellStyle name="_Книга11_Дайджест 2003-2004 гг._Фин.часть 11.12.06 3" xfId="10786"/>
    <cellStyle name="_Книга11_Дайджест 2003-2004 гг._Фин.часть 11.12.06 4" xfId="10787"/>
    <cellStyle name="_Книга11_Дайджест 2003-2004 гг._Фин.часть 11.12.06 5" xfId="10788"/>
    <cellStyle name="_Книга11_Дайджест 2003-2004 гг._Фин.часть 11.12.06 6" xfId="10789"/>
    <cellStyle name="_Книга11_Дайджест 2003-2004 гг._Фин.часть 11.12.06 7" xfId="10790"/>
    <cellStyle name="_Книга11_Дайджест 2003-2004 гг._Фин.часть 11.12.06 8" xfId="10791"/>
    <cellStyle name="_Книга11_Дайджест 2003-2004 гг._Фин.часть 11.12.06 9" xfId="10792"/>
    <cellStyle name="_Книга11_Дайджест 2003-2004 гг._Форма  19     27.03.07" xfId="10793"/>
    <cellStyle name="_Книга11_Дайджест 2003-2004 гг._Форма  19     27.03.07 2" xfId="10794"/>
    <cellStyle name="_Книга11_Дайджест 2003-2004 гг._Форма  19     27.03.07 3" xfId="10795"/>
    <cellStyle name="_Книга11_Дайджест 2003-2004 гг._Форма  19     27.03.07 4" xfId="10796"/>
    <cellStyle name="_Книга11_Дайджест 2003-2004 гг._Форма  19     27.03.07 5" xfId="10797"/>
    <cellStyle name="_Книга11_Дайджест 2003-2004 гг._Форма  19     27.03.07 6" xfId="10798"/>
    <cellStyle name="_Книга11_Дайджест 2003-2004 гг._Форма  19     27.03.07 7" xfId="10799"/>
    <cellStyle name="_Книга11_Дайджест 2003-2004 гг._Форма  19     27.03.07 8" xfId="10800"/>
    <cellStyle name="_Книга11_Дайджест 2003-2004 гг._Форма  19     27.03.07 9" xfId="10801"/>
    <cellStyle name="_Книга11_Дайджест 2003-2004 гг._Форма  20,21 25.02.07" xfId="10802"/>
    <cellStyle name="_Книга11_Дайджест 2003-2004 гг._Форма _ 2,4,5,30 скорр." xfId="10803"/>
    <cellStyle name="_Книга11_Дайджест 2003-2004 гг._Форма 19 за 1 кв" xfId="10804"/>
    <cellStyle name="_Книга11_Дайджест 2003-2004 гг._Форма 20,21за 1 кв 25.04.07" xfId="10805"/>
    <cellStyle name="_Книга11_Дайджест 2003-2004 гг._Форма 28" xfId="10806"/>
    <cellStyle name="_Книга11_Дайджест 2003-2004 гг._Форма 9" xfId="10807"/>
    <cellStyle name="_Книга11_Дайджест 2003-2004 гг._Форма 9 2" xfId="10808"/>
    <cellStyle name="_Книга11_Дайджест 2003-2004 гг._Форма 9 3" xfId="10809"/>
    <cellStyle name="_Книга11_Дайджест 2003-2004 гг._Форма 9 4" xfId="10810"/>
    <cellStyle name="_Книга11_Дайджест 2003-2004 гг._Форма 9 5" xfId="10811"/>
    <cellStyle name="_Книга11_Дайджест 2003-2004 гг._Форма 9 6" xfId="10812"/>
    <cellStyle name="_Книга11_Дайджест 2003-2004 гг._Форма 9 7" xfId="10813"/>
    <cellStyle name="_Книга11_Дайджест 2003-2004 гг._Форма 9 8" xfId="10814"/>
    <cellStyle name="_Книга11_Дайджест 2003-2004 гг._Форма 9 9" xfId="10815"/>
    <cellStyle name="_Книга11_Дайджест 2003-2004 гг._Форма № 13, 14" xfId="10816"/>
    <cellStyle name="_Книга11_Дайджест 2003-2004 гг._Форма № 19 25.02.07" xfId="10817"/>
    <cellStyle name="_Книга11_Дайджест 2003-2004 гг._Форма № 28, 29, 30 план год 2008 от 05.12.07 для отправки" xfId="10818"/>
    <cellStyle name="_Книга11_Дайджест 2003-2004 гг._Форма № 28, 29, 30 план год 2008 от 05.12.07 для отправки 2" xfId="10819"/>
    <cellStyle name="_Книга11_Дайджест 2003-2004 гг._Форма № 28, 29, 30 план год 2008 от 05.12.07 для отправки 3" xfId="10820"/>
    <cellStyle name="_Книга11_Дайджест 2003-2004 гг._Форма № 28, 29, 30 план год 2008 от 05.12.07 для отправки 4" xfId="10821"/>
    <cellStyle name="_Книга11_Дайджест 2003-2004 гг._Форма № 28, 29, 30 план год 2008 от 05.12.07 для отправки 5" xfId="10822"/>
    <cellStyle name="_Книга11_Дайджест 2003-2004 гг._Форма № 28, 29, 30 план год 2008 от 05.12.07 для отправки 6" xfId="10823"/>
    <cellStyle name="_Книга11_Дайджест 2003-2004 гг._Форма № 28, 29, 30 план год 2008 от 05.12.07 для отправки 7" xfId="10824"/>
    <cellStyle name="_Книга11_Дайджест 2003-2004 гг._Форма № 28, 29, 30 план год 2008 от 05.12.07 для отправки 8" xfId="10825"/>
    <cellStyle name="_Книга11_Дайджест 2003-2004 гг._Форма № 28, 29, 30 план год 2008 от 05.12.07 для отправки 9" xfId="10826"/>
    <cellStyle name="_Книга11_Дайджест 2003-2004 гг._Форма № 29" xfId="10827"/>
    <cellStyle name="_Книга11_Дайджест 2003-2004 гг._Форма № 29 2" xfId="10828"/>
    <cellStyle name="_Книга11_Дайджест 2003-2004 гг._Форма № 29 3" xfId="10829"/>
    <cellStyle name="_Книга11_Дайджест 2003-2004 гг._Форма № 29 4" xfId="10830"/>
    <cellStyle name="_Книга11_Дайджест 2003-2004 гг._Форма № 29 5" xfId="10831"/>
    <cellStyle name="_Книга11_Дайджест 2003-2004 гг._Форма № 29 6" xfId="10832"/>
    <cellStyle name="_Книга11_Дайджест 2003-2004 гг._Форма № 29 7" xfId="10833"/>
    <cellStyle name="_Книга11_Дайджест 2003-2004 гг._Форма № 29 8" xfId="10834"/>
    <cellStyle name="_Книга11_Дайджест 2003-2004 гг._Форма № 29 9" xfId="10835"/>
    <cellStyle name="_Книга11_Дайджест 2003-2004 гг._Форма № 30  26.02.07" xfId="10836"/>
    <cellStyle name="_Книга11_Дайджест 2003-2004 гг._Форма №13" xfId="10837"/>
    <cellStyle name="_Книга11_Дайджест 2003-2004 гг._Форма №13, 14 от 25.04.07" xfId="10838"/>
    <cellStyle name="_Книга11_Дайджест 2003-2004 гг._Форма №14" xfId="10839"/>
    <cellStyle name="_Книга11_Дайджест 2003-2004 гг._Форма №19 июль факт" xfId="10840"/>
    <cellStyle name="_Книга11_Дайджест 2003-2004 гг._форма №24 от 07.12.2006г" xfId="10841"/>
    <cellStyle name="_Книга11_Дайджест 2003-2004 гг._форма №24 от 11.12.2006г" xfId="10842"/>
    <cellStyle name="_Книга11_Дайджест 2003-2004 гг._форма №24 от 15.12.2006г" xfId="10843"/>
    <cellStyle name="_Книга11_Дайджест 2003-2004 гг._форма №24,25 2 кв. от 02.04.07" xfId="10844"/>
    <cellStyle name="_Книга11_Дайджест 2003-2004 гг._Форма №24,25 за 1 кв 2007" xfId="10845"/>
    <cellStyle name="_Книга11_Дайджест 2003-2004 гг._Форма №24,25 за янв 2007" xfId="10846"/>
    <cellStyle name="_Книга11_Дайджест 2003-2004 гг._Форма №26 1 кв" xfId="10847"/>
    <cellStyle name="_Книга11_Дайджест 2003-2004 гг._Форма №27 1 кв" xfId="10848"/>
    <cellStyle name="_Книга11_Дайджест 2003-2004 гг._Форма №8" xfId="10849"/>
    <cellStyle name="_Книга11_Дайджест 2003-2004 гг._форма презентации по численности и зарплате" xfId="10850"/>
    <cellStyle name="_Книга11_Дайджест 2003-2004 гг._форма презентации по численности и зарплате 2" xfId="10851"/>
    <cellStyle name="_Книга11_Дайджест 2003-2004 гг._форма презентации по численности и зарплате 3" xfId="10852"/>
    <cellStyle name="_Книга11_Дайджест 2003-2004 гг._форма презентации по численности и зарплате 4" xfId="10853"/>
    <cellStyle name="_Книга11_Дайджест 2003-2004 гг._форма презентации по численности и зарплате 5" xfId="10854"/>
    <cellStyle name="_Книга11_Дайджест 2003-2004 гг._форма презентации по численности и зарплате 6" xfId="10855"/>
    <cellStyle name="_Книга11_Дайджест 2003-2004 гг._форма презентации по численности и зарплате 7" xfId="10856"/>
    <cellStyle name="_Книга11_Дайджест 2003-2004 гг._форма презентации по численности и зарплате 8" xfId="10857"/>
    <cellStyle name="_Книга11_Дайджест 2003-2004 гг._форма презентации по численности и зарплате 9" xfId="10858"/>
    <cellStyle name="_Книга11_Дайджест 2003-2004 гг._Форма№13 (новая от 28 12 09г) февраль версия № и последняя" xfId="10859"/>
    <cellStyle name="_Книга11_Дайджест 2003-2004 гг._Формат" xfId="10860"/>
    <cellStyle name="_Книга11_Дайджест 2003-2004 гг._формат отчетности(фев с март)" xfId="10861"/>
    <cellStyle name="_Книга11_Дайджест 2003-2004 гг._Формат Январь прогноз" xfId="10862"/>
    <cellStyle name="_Книга11_Дайджест 2003-2004 гг._Формы 19,20,21" xfId="10863"/>
    <cellStyle name="_Книга11_Дайджест 2003-2004 гг._Формы 19,20,21 16.12.06 " xfId="10864"/>
    <cellStyle name="_Книга11_Дайджест 2003-2004 гг._Формы 19,20,21 на 2007г." xfId="10865"/>
    <cellStyle name="_Книга11_Дайджест 2003-2004 гг._Формы Август-декбарь" xfId="10866"/>
    <cellStyle name="_Книга11_Дайджест 2003-2004 гг._Формы для ЛГОК (к отправке)" xfId="10867"/>
    <cellStyle name="_Книга11_Дайджест 2003-2004 гг._Формы для ОЭМК (к отправке)" xfId="10868"/>
    <cellStyle name="_Книга11_Дайджест 2003-2004 гг._Формы общие отчет за год" xfId="10869"/>
    <cellStyle name="_Книга11_Дайджест 2003-2004 гг._Формы общие отчет за год 10" xfId="10870"/>
    <cellStyle name="_Книга11_Дайджест 2003-2004 гг._Формы общие отчет за год 11" xfId="10871"/>
    <cellStyle name="_Книга11_Дайджест 2003-2004 гг._Формы общие отчет за год 12" xfId="10872"/>
    <cellStyle name="_Книга11_Дайджест 2003-2004 гг._Формы общие отчет за год 13" xfId="10873"/>
    <cellStyle name="_Книга11_Дайджест 2003-2004 гг._Формы общие отчет за год 2" xfId="10874"/>
    <cellStyle name="_Книга11_Дайджест 2003-2004 гг._Формы общие отчет за год 3" xfId="10875"/>
    <cellStyle name="_Книга11_Дайджест 2003-2004 гг._Формы общие отчет за год 4" xfId="10876"/>
    <cellStyle name="_Книга11_Дайджест 2003-2004 гг._Формы общие отчет за год 5" xfId="10877"/>
    <cellStyle name="_Книга11_Дайджест 2003-2004 гг._Формы общие отчет за год 6" xfId="10878"/>
    <cellStyle name="_Книга11_Дайджест 2003-2004 гг._Формы общие отчет за год 7" xfId="10879"/>
    <cellStyle name="_Книга11_Дайджест 2003-2004 гг._Формы общие отчет за год 8" xfId="10880"/>
    <cellStyle name="_Книга11_Дайджест 2003-2004 гг._Формы общие отчет за год 9" xfId="10881"/>
    <cellStyle name="_Книга11_Дайджест 2003-2004 гг._Формы общие отчет за год__План по труду 2008 261107 (10% с января)" xfId="10882"/>
    <cellStyle name="_Книга11_Дайджест 2003-2004 гг._Формы общие отчет за год__План по труду 2008 261107 (10% с января) 2" xfId="10883"/>
    <cellStyle name="_Книга11_Дайджест 2003-2004 гг._Формы общие отчет за год__План по труду 2008 261107 (10% с января) 3" xfId="10884"/>
    <cellStyle name="_Книга11_Дайджест 2003-2004 гг._Формы общие отчет за год__План по труду 2008 261107 (10% с января) 4" xfId="10885"/>
    <cellStyle name="_Книга11_Дайджест 2003-2004 гг._Формы общие отчет за год__План по труду 2008 261107 (10% с января) 5" xfId="10886"/>
    <cellStyle name="_Книга11_Дайджест 2003-2004 гг._Формы общие отчет за год__План по труду 2008 261107 (10% с января) 6" xfId="10887"/>
    <cellStyle name="_Книга11_Дайджест 2003-2004 гг._Формы общие отчет за год__План по труду 2008 261107 (10% с января) 7" xfId="10888"/>
    <cellStyle name="_Книга11_Дайджест 2003-2004 гг._Формы общие отчет за год__План по труду 2008 261107 (10% с января) 8" xfId="10889"/>
    <cellStyle name="_Книга11_Дайджест 2003-2004 гг._Формы общие отчет за год__План по труду 2008 261107 (10% с января) 9" xfId="10890"/>
    <cellStyle name="_Книга11_Дайджест 2003-2004 гг._Формы общие отчет за год__План по труду 2008 ИТОГ (правл. ПНР 161007)_" xfId="10891"/>
    <cellStyle name="_Книга11_Дайджест 2003-2004 гг._Формы общие отчет за год__План по труду 2008 ИТОГ (правл. ПНР 161007)_ 2" xfId="10892"/>
    <cellStyle name="_Книга11_Дайджест 2003-2004 гг._Формы общие отчет за год__План по труду 2008 ИТОГ (правл. ПНР 161007)_ 3" xfId="10893"/>
    <cellStyle name="_Книга11_Дайджест 2003-2004 гг._Формы общие отчет за год__План по труду 2008 ИТОГ (правл. ПНР 161007)_ 4" xfId="10894"/>
    <cellStyle name="_Книга11_Дайджест 2003-2004 гг._Формы общие отчет за год__План по труду 2008 ИТОГ (правл. ПНР 161007)_ 5" xfId="10895"/>
    <cellStyle name="_Книга11_Дайджест 2003-2004 гг._Формы общие отчет за год__План по труду 2008 ИТОГ (правл. ПНР 161007)_ 6" xfId="10896"/>
    <cellStyle name="_Книга11_Дайджест 2003-2004 гг._Формы общие отчет за год__План по труду 2008 ИТОГ (правл. ПНР 161007)_ 7" xfId="10897"/>
    <cellStyle name="_Книга11_Дайджест 2003-2004 гг._Формы общие отчет за год__План по труду 2008 ИТОГ (правл. ПНР 161007)_ 8" xfId="10898"/>
    <cellStyle name="_Книга11_Дайджест 2003-2004 гг._Формы общие отчет за год__План по труду 2008 ИТОГ (правл. ПНР 161007)_ 9" xfId="10899"/>
    <cellStyle name="_Книга11_Дайджест 2003-2004 гг._Формы общие отчет за год_2_Инвестпрограмма на 2008 год (КОВАЛЕВ)" xfId="10900"/>
    <cellStyle name="_Книга11_Дайджест 2003-2004 гг._Формы общие отчет за год_Данные для ФОТ на 2008 год" xfId="10901"/>
    <cellStyle name="_Книга11_Дайджест 2003-2004 гг._Формы общие отчет за год_Данные для ФОТ на 2008 год 2" xfId="10902"/>
    <cellStyle name="_Книга11_Дайджест 2003-2004 гг._Формы общие отчет за год_Данные для ФОТ на 2008 год 3" xfId="10903"/>
    <cellStyle name="_Книга11_Дайджест 2003-2004 гг._Формы общие отчет за год_Данные для ФОТ на 2008 год 4" xfId="10904"/>
    <cellStyle name="_Книга11_Дайджест 2003-2004 гг._Формы общие отчет за год_Данные для ФОТ на 2008 год 5" xfId="10905"/>
    <cellStyle name="_Книга11_Дайджест 2003-2004 гг._Формы общие отчет за год_Данные для ФОТ на 2008 год 6" xfId="10906"/>
    <cellStyle name="_Книга11_Дайджест 2003-2004 гг._Формы общие отчет за год_Данные для ФОТ на 2008 год 7" xfId="10907"/>
    <cellStyle name="_Книга11_Дайджест 2003-2004 гг._Формы общие отчет за год_Данные для ФОТ на 2008 год 8" xfId="10908"/>
    <cellStyle name="_Книга11_Дайджест 2003-2004 гг._Формы общие отчет за год_Данные для ФОТ на 2008 год 9" xfId="10909"/>
    <cellStyle name="_Книга11_Дайджест 2003-2004 гг._Формы общие отчет за год_План по труду 2008 ИТОГ (2003_вер)" xfId="10910"/>
    <cellStyle name="_Книга11_Дайджест 2003-2004 гг._Формы общие отчет за год_План по труду 2008 ИТОГ (2003_вер) 2" xfId="10911"/>
    <cellStyle name="_Книга11_Дайджест 2003-2004 гг._Формы общие отчет за год_План по труду 2008 ИТОГ (2003_вер) 3" xfId="10912"/>
    <cellStyle name="_Книга11_Дайджест 2003-2004 гг._Формы общие отчет за год_План по труду 2008 ИТОГ (2003_вер) 4" xfId="10913"/>
    <cellStyle name="_Книга11_Дайджест 2003-2004 гг._Формы общие отчет за год_План по труду 2008 ИТОГ (2003_вер) 5" xfId="10914"/>
    <cellStyle name="_Книга11_Дайджест 2003-2004 гг._Формы общие отчет за год_План по труду 2008 ИТОГ (2003_вер) 6" xfId="10915"/>
    <cellStyle name="_Книга11_Дайджест 2003-2004 гг._Формы общие отчет за год_План по труду 2008 ИТОГ (2003_вер) 7" xfId="10916"/>
    <cellStyle name="_Книга11_Дайджест 2003-2004 гг._Формы общие отчет за год_План по труду 2008 ИТОГ (2003_вер) 8" xfId="10917"/>
    <cellStyle name="_Книга11_Дайджест 2003-2004 гг._Формы общие отчет за год_План по труду 2008 ИТОГ (2003_вер) 9" xfId="10918"/>
    <cellStyle name="_Книга11_Дайджест 2003-2004 гг._Формы общие отчет за год_ТКВ 2008 от 19.07" xfId="10919"/>
    <cellStyle name="_Книга11_Дайджест 2003-2004 гг._Формы общие отчет за год_ТКВ 2008 от 31.07" xfId="10920"/>
    <cellStyle name="_Книга11_Дайджест 2003-2004 гг._Эконом.показатели за февраль" xfId="10921"/>
    <cellStyle name="_Книга11_Дайджест 2003-2004 гг._Экономические показатели Большаковой" xfId="10922"/>
    <cellStyle name="_Книга11_Дайджест 2003-2004 гг._Экономические показатели Большаковой 2" xfId="10923"/>
    <cellStyle name="_Книга11_Дайджест 2003-2004 гг._Экономические показатели Большаковой 3" xfId="10924"/>
    <cellStyle name="_Книга11_Дайджест 2003-2004 гг._Экономические показатели Большаковой 4" xfId="10925"/>
    <cellStyle name="_Книга11_Дайджест 2003-2004 гг._Экономические показатели Большаковой 5" xfId="10926"/>
    <cellStyle name="_Книга11_Дайджест 2003-2004 гг._Экономические показатели Большаковой 6" xfId="10927"/>
    <cellStyle name="_Книга11_Дайджест 2003-2004 гг._Экономические показатели Большаковой 7" xfId="10928"/>
    <cellStyle name="_Книга11_Дайджест 2003-2004 гг._Экономические показатели Большаковой 8" xfId="10929"/>
    <cellStyle name="_Книга11_Дайджест 2003-2004 гг._Экономические показатели Большаковой 9" xfId="10930"/>
    <cellStyle name="_Книга11_исходные_291107" xfId="10931"/>
    <cellStyle name="_Книга11_Лист1" xfId="10932"/>
    <cellStyle name="_Книга11_Лист2" xfId="10933"/>
    <cellStyle name="_Книга11_Лист3" xfId="10934"/>
    <cellStyle name="_Книга11_План ДСМ 2 квартал 2009 ОТЧЕТ отп" xfId="10935"/>
    <cellStyle name="_Книга11_План ДСМ 2 квартал 2009 ОТЧЕТ отп_Отчет за сентябрь_11_ДСМ_ОТЧЕТ" xfId="10936"/>
    <cellStyle name="_Книга11_План ДСМ 2 квартал 2009 ОТЧЕТ отп_План ДСМ ноябрь 2011 ОТЧЕТ" xfId="10937"/>
    <cellStyle name="_Книга11_План ДСМ 3 квартал 2009 ОТЧЕТ" xfId="10938"/>
    <cellStyle name="_Книга11_План ДСМ 3 квартал 2009 ОТЧЕТ_Отчет за сентябрь_11_ДСМ_ОТЧЕТ" xfId="10939"/>
    <cellStyle name="_Книга11_План ДСМ 3 квартал 2009 ОТЧЕТ_План ДСМ ноябрь 2011 ОТЧЕТ" xfId="10940"/>
    <cellStyle name="_Книга11_План ДСМ 4 квартал 2009 ОТЧЕТ" xfId="10941"/>
    <cellStyle name="_Книга11_План ДСМ на 4 квартал 2006 (последняя версия) 2" xfId="10942"/>
    <cellStyle name="_Книга11_План ДСМ на 4 квартал 2006 (последняя версия) 2_Отчет за сентябрь_11_ДСМ_ОТЧЕТ" xfId="10943"/>
    <cellStyle name="_Книга11_План ДСМ на 4 квартал 2006 (последняя версия) 2_План ДСМ ноябрь 2011 ОТЧЕТ" xfId="10944"/>
    <cellStyle name="_Книга11_План ДСМ ноябрь 2011 ОТЧЕТ" xfId="10945"/>
    <cellStyle name="_Книга11_План ДСФ 1 квартал 2007" xfId="10946"/>
    <cellStyle name="_Книга11_План ДСФ 1 квартал 2007_Отчет за сентябрь_11_ДСМ_ОТЧЕТ" xfId="10947"/>
    <cellStyle name="_Книга11_План ДСФ 1 квартал 2007_План ДСМ ноябрь 2011 ОТЧЕТ" xfId="10948"/>
    <cellStyle name="_Книга11_План ДСФ 2 квартал 2009 ОТЧЕТ отп" xfId="10949"/>
    <cellStyle name="_Книга11_План ДСФ 2 квартал 2009 ОТЧЕТ отп_Отчет за сентябрь_11_ДСМ_ОТЧЕТ" xfId="10950"/>
    <cellStyle name="_Книга11_План ДСФ 2 квартал 2009 ОТЧЕТ отп_План ДСМ ноябрь 2011 ОТЧЕТ" xfId="10951"/>
    <cellStyle name="_Книга11_План ДСФ 4 квартал 2009 ОТЧЕТ" xfId="10952"/>
    <cellStyle name="_Книга11_План на 2009 год ДСМ ОТЧЕТ отп (01.12.08)" xfId="10953"/>
    <cellStyle name="_Книга11_План на 2009 год ДСМ ОТЧЕТ отп (01.12.08)_Отчет за сентябрь_11_ДСМ_ОТЧЕТ" xfId="10954"/>
    <cellStyle name="_Книга11_План на 2009 год ДСМ ОТЧЕТ отп (01.12.08)_План ДСМ ноябрь 2011 ОТЧЕТ" xfId="10955"/>
    <cellStyle name="_Книга11_План на 2010 год ДСМ ОТЧЕТ" xfId="10956"/>
    <cellStyle name="_Книга11_УралКирпич_план на 2 кв. 2009" xfId="10957"/>
    <cellStyle name="_Книга11_УралКирпич_план на 2 кв. 2009_Отчет за сентябрь_11_ДСМ_ОТЧЕТ" xfId="10958"/>
    <cellStyle name="_Книга11_УралКирпич_план на 2 кв. 2009_План ДСМ ноябрь 2011 ОТЧЕТ" xfId="10959"/>
    <cellStyle name="_Книга11_ф2 склад ГП" xfId="10960"/>
    <cellStyle name="_Книга1111111111" xfId="10961"/>
    <cellStyle name="_Книга113" xfId="10962"/>
    <cellStyle name="_Книга113_Книга2" xfId="10963"/>
    <cellStyle name="_Книга113_Конс  ЛГОК БП 2009 от 14 10 08" xfId="10964"/>
    <cellStyle name="_Книга113_Конс  МГОК БП 2009 от 14 10 08" xfId="10965"/>
    <cellStyle name="_Книга113_Сравнение ожидаемого 2008 с 2009г  ОЭМК от 06 10 2008" xfId="10966"/>
    <cellStyle name="_Книга113_Сравнение ожидаемого 2008 УС c 2009г  от 06 10 2008" xfId="10967"/>
    <cellStyle name="_Книга115" xfId="10968"/>
    <cellStyle name="_Книга115_Книга2" xfId="10969"/>
    <cellStyle name="_Книга12222" xfId="10970"/>
    <cellStyle name="_Книга14" xfId="10971"/>
    <cellStyle name="_Книга17" xfId="10972"/>
    <cellStyle name="_Книга1-ф2,4,5" xfId="10973"/>
    <cellStyle name="_Книга2" xfId="10974"/>
    <cellStyle name="_Книга2 (18)" xfId="10975"/>
    <cellStyle name="_Книга2 (2)" xfId="10976"/>
    <cellStyle name="_Книга2 (3)" xfId="10977"/>
    <cellStyle name="_Книга2 (3)_Книга2" xfId="10978"/>
    <cellStyle name="_Книга2 (3)_Формы февраль 2009 ( 28.01.10)-отправленные" xfId="10979"/>
    <cellStyle name="_Книга2 (5)" xfId="10980"/>
    <cellStyle name="_Книга2 (7)" xfId="10981"/>
    <cellStyle name="_Книга2 (7)_1" xfId="10982"/>
    <cellStyle name="_Книга2 (7)_Книга2" xfId="10983"/>
    <cellStyle name="_Книга2 (7)_Конс  ЛГОК БП 2009 от 14 10 08" xfId="10984"/>
    <cellStyle name="_Книга2 (7)_Конс  МГОК БП 2009 от 14 10 08" xfId="10985"/>
    <cellStyle name="_Книга2 (7)_Сравнение ожидаемого 2008 с 2009г  ОЭМК от 06 10 2008" xfId="10986"/>
    <cellStyle name="_Книга2 (7)_Сравнение ожидаемого 2008 УС c 2009г  от 06 10 2008" xfId="10987"/>
    <cellStyle name="_Книга2_Движение ТМЦ за декабрь 2009 г  (ФАКТ) сокр 22-01 (86 842)" xfId="10988"/>
    <cellStyle name="_Книга2_Движение ТМЦ за ноябрь 2009 г  (ФАКТ) сокращ 22-11" xfId="10989"/>
    <cellStyle name="_Книга2_Движение ТМЦ за октябрь 2009 г  (ФАКТ) сокращ 26-11" xfId="10990"/>
    <cellStyle name="_Книга2_Движение ТМЦ за октябрь 2009 г  (ФАКТ) сокращ все 24-11" xfId="10991"/>
    <cellStyle name="_Книга2_Движение ТМЦ запчастей и оборудования  за август 2009 г  (ФАКТ) от Собкив" xfId="10992"/>
    <cellStyle name="_Книга2_Книга17" xfId="10993"/>
    <cellStyle name="_Книга2_Книга2" xfId="10994"/>
    <cellStyle name="_Книга2_Копия Ф-13 Октябрь 2009 План (30 09 09) (2) (4)" xfId="10995"/>
    <cellStyle name="_Книга2_План ф 13 на январь 2010 (05 01 2010)" xfId="10996"/>
    <cellStyle name="_Книга2_Ф 13" xfId="10997"/>
    <cellStyle name="_Книга2_Ф-13 Октябрь 2009 План (30 09 09)" xfId="10998"/>
    <cellStyle name="_Книга2_Ф13 План" xfId="10999"/>
    <cellStyle name="_Книга2_Форма 13 ПЛАН Декабрь 2009 (сокращ) 08-12" xfId="11000"/>
    <cellStyle name="_Книга2_Форма 13 ПЛАН январь 2010 12-01 сокращ (ТЗР СВС)" xfId="11001"/>
    <cellStyle name="_Книга2_Форма 13 ПЛАН январь 2010 24-12 сокращ" xfId="11002"/>
    <cellStyle name="_Книга2_Форма -13 Расчетная поставка декабрь 2009 30-11" xfId="11003"/>
    <cellStyle name="_Книга2_Форма 13 Сентябрь (факт)" xfId="11004"/>
    <cellStyle name="_Книга21" xfId="11005"/>
    <cellStyle name="_Книга22" xfId="11006"/>
    <cellStyle name="_Книга22 10" xfId="11007"/>
    <cellStyle name="_Книга22 11" xfId="11008"/>
    <cellStyle name="_Книга22 12" xfId="11009"/>
    <cellStyle name="_Книга22 13" xfId="11010"/>
    <cellStyle name="_Книга22 2" xfId="11011"/>
    <cellStyle name="_Книга22 3" xfId="11012"/>
    <cellStyle name="_Книга22 4" xfId="11013"/>
    <cellStyle name="_Книга22 5" xfId="11014"/>
    <cellStyle name="_Книга22 6" xfId="11015"/>
    <cellStyle name="_Книга22 7" xfId="11016"/>
    <cellStyle name="_Книга22 8" xfId="11017"/>
    <cellStyle name="_Книга22 9" xfId="11018"/>
    <cellStyle name="_Книга22__План по труду 2008 261107 (10% с января)" xfId="11019"/>
    <cellStyle name="_Книга22__План по труду 2008 261107 (10% с января) 2" xfId="11020"/>
    <cellStyle name="_Книга22__План по труду 2008 261107 (10% с января) 3" xfId="11021"/>
    <cellStyle name="_Книга22__План по труду 2008 261107 (10% с января) 4" xfId="11022"/>
    <cellStyle name="_Книга22__План по труду 2008 261107 (10% с января) 5" xfId="11023"/>
    <cellStyle name="_Книга22__План по труду 2008 261107 (10% с января) 6" xfId="11024"/>
    <cellStyle name="_Книга22__План по труду 2008 261107 (10% с января) 7" xfId="11025"/>
    <cellStyle name="_Книга22__План по труду 2008 261107 (10% с января) 8" xfId="11026"/>
    <cellStyle name="_Книга22__План по труду 2008 261107 (10% с января) 9" xfId="11027"/>
    <cellStyle name="_Книга22__План по труду 2008 ИТОГ (правл. ПНР 161007)_" xfId="11028"/>
    <cellStyle name="_Книга22__План по труду 2008 ИТОГ (правл. ПНР 161007)_ 2" xfId="11029"/>
    <cellStyle name="_Книга22__План по труду 2008 ИТОГ (правл. ПНР 161007)_ 3" xfId="11030"/>
    <cellStyle name="_Книга22__План по труду 2008 ИТОГ (правл. ПНР 161007)_ 4" xfId="11031"/>
    <cellStyle name="_Книга22__План по труду 2008 ИТОГ (правл. ПНР 161007)_ 5" xfId="11032"/>
    <cellStyle name="_Книга22__План по труду 2008 ИТОГ (правл. ПНР 161007)_ 6" xfId="11033"/>
    <cellStyle name="_Книга22__План по труду 2008 ИТОГ (правл. ПНР 161007)_ 7" xfId="11034"/>
    <cellStyle name="_Книга22__План по труду 2008 ИТОГ (правл. ПНР 161007)_ 8" xfId="11035"/>
    <cellStyle name="_Книга22__План по труду 2008 ИТОГ (правл. ПНР 161007)_ 9" xfId="11036"/>
    <cellStyle name="_Книга22_1" xfId="11037"/>
    <cellStyle name="_Книга22_1 2" xfId="11038"/>
    <cellStyle name="_Книга22_1_БП Урал Кирпич 28 01 2008г" xfId="11039"/>
    <cellStyle name="_Книга22_1_БП Урал Кирпич 28 01 2008г_Отчет за сентябрь_11_ДСМ_ОТЧЕТ" xfId="11040"/>
    <cellStyle name="_Книга22_1_БП Урал Кирпич 28 01 2008г_План ДСМ ноябрь 2011 ОТЧЕТ" xfId="11041"/>
    <cellStyle name="_Книга22_1_БП_план на 1 кв. 2008г." xfId="11042"/>
    <cellStyle name="_Книга22_1_БП_план на 1 кв. 2008г._Отчет за сентябрь_11_ДСМ_ОТЧЕТ" xfId="11043"/>
    <cellStyle name="_Книга22_1_БП_план на 1 кв. 2008г._План ДСМ ноябрь 2011 ОТЧЕТ" xfId="11044"/>
    <cellStyle name="_Книга22_1_БП_план на 2 кв. 2008г." xfId="11045"/>
    <cellStyle name="_Книга22_1_БП_план на 2 кв. 2008г._Отчет за сентябрь_11_ДСМ_ОТЧЕТ" xfId="11046"/>
    <cellStyle name="_Книга22_1_БП_план на 2 кв. 2008г._План ДСМ ноябрь 2011 ОТЧЕТ" xfId="11047"/>
    <cellStyle name="_Книга22_1_Дайджест 2003-2004 гг." xfId="11048"/>
    <cellStyle name="_Книга22_1_Дайджест 2003-2004 гг. 10" xfId="11049"/>
    <cellStyle name="_Книга22_1_Дайджест 2003-2004 гг. 11" xfId="11050"/>
    <cellStyle name="_Книга22_1_Дайджест 2003-2004 гг. 12" xfId="11051"/>
    <cellStyle name="_Книга22_1_Дайджест 2003-2004 гг. 13" xfId="11052"/>
    <cellStyle name="_Книга22_1_Дайджест 2003-2004 гг. 2" xfId="11053"/>
    <cellStyle name="_Книга22_1_Дайджест 2003-2004 гг. 3" xfId="11054"/>
    <cellStyle name="_Книга22_1_Дайджест 2003-2004 гг. 4" xfId="11055"/>
    <cellStyle name="_Книга22_1_Дайджест 2003-2004 гг. 5" xfId="11056"/>
    <cellStyle name="_Книга22_1_Дайджест 2003-2004 гг. 6" xfId="11057"/>
    <cellStyle name="_Книга22_1_Дайджест 2003-2004 гг. 7" xfId="11058"/>
    <cellStyle name="_Книга22_1_Дайджест 2003-2004 гг. 8" xfId="11059"/>
    <cellStyle name="_Книга22_1_Дайджест 2003-2004 гг. 9" xfId="11060"/>
    <cellStyle name="_Книга22_1_Дайджест 2003-2004 гг._! Металлургический дивизион для рассылки" xfId="11061"/>
    <cellStyle name="_Книга22_1_Дайджест 2003-2004 гг._01.04.06-01.10.06 Распред. ср-в ЛГОК 20.10.06" xfId="11062"/>
    <cellStyle name="_Книга22_1_Дайджест 2003-2004 гг._01.04.06-01.10.06 Распред. ср-в ЛГОК 20.10.06 2" xfId="11063"/>
    <cellStyle name="_Книга22_1_Дайджест 2003-2004 гг._01.04.06-01.10.06 Распред. ср-в ЛГОК 20.10.06 3" xfId="11064"/>
    <cellStyle name="_Книга22_1_Дайджест 2003-2004 гг._01.04.06-01.10.06 Распред. ср-в ЛГОК 20.10.06 4" xfId="11065"/>
    <cellStyle name="_Книга22_1_Дайджест 2003-2004 гг._01.04.06-01.10.06 Распред. ср-в ЛГОК 20.10.06 5" xfId="11066"/>
    <cellStyle name="_Книга22_1_Дайджест 2003-2004 гг._01.04.06-01.10.06 Распред. ср-в ЛГОК 20.10.06 6" xfId="11067"/>
    <cellStyle name="_Книга22_1_Дайджест 2003-2004 гг._01.04.06-01.10.06 Распред. ср-в ЛГОК 20.10.06 7" xfId="11068"/>
    <cellStyle name="_Книга22_1_Дайджест 2003-2004 гг._01.04.06-01.10.06 Распред. ср-в ЛГОК 20.10.06 8" xfId="11069"/>
    <cellStyle name="_Книга22_1_Дайджест 2003-2004 гг._01.04.06-01.10.06 Распред. ср-в ЛГОК 20.10.06 9" xfId="11070"/>
    <cellStyle name="_Книга22_1_Дайджест 2003-2004 гг._01.04.06-01.10.06 Распред. ср-в ОЭМК 20.10.06" xfId="11071"/>
    <cellStyle name="_Книга22_1_Дайджест 2003-2004 гг._01.04.06-01.10.06 Распред. ср-в ОЭМК 20.10.06 2" xfId="11072"/>
    <cellStyle name="_Книга22_1_Дайджест 2003-2004 гг._01.04.06-01.10.06 Распред. ср-в ОЭМК 20.10.06 3" xfId="11073"/>
    <cellStyle name="_Книга22_1_Дайджест 2003-2004 гг._01.04.06-01.10.06 Распред. ср-в ОЭМК 20.10.06 4" xfId="11074"/>
    <cellStyle name="_Книга22_1_Дайджест 2003-2004 гг._01.04.06-01.10.06 Распред. ср-в ОЭМК 20.10.06 5" xfId="11075"/>
    <cellStyle name="_Книга22_1_Дайджест 2003-2004 гг._01.04.06-01.10.06 Распред. ср-в ОЭМК 20.10.06 6" xfId="11076"/>
    <cellStyle name="_Книга22_1_Дайджест 2003-2004 гг._01.04.06-01.10.06 Распред. ср-в ОЭМК 20.10.06 7" xfId="11077"/>
    <cellStyle name="_Книга22_1_Дайджест 2003-2004 гг._01.04.06-01.10.06 Распред. ср-в ОЭМК 20.10.06 8" xfId="11078"/>
    <cellStyle name="_Книга22_1_Дайджест 2003-2004 гг._01.04.06-01.10.06 Распред. ср-в ОЭМК 20.10.06 9" xfId="11079"/>
    <cellStyle name="_Книга22_1_Дайджест 2003-2004 гг._090129 Погашение и уплата процентов Горшкова М." xfId="11080"/>
    <cellStyle name="_Книга22_1_Дайджест 2003-2004 гг._1 - 10 декабря" xfId="11081"/>
    <cellStyle name="_Книга22_1_Дайджест 2003-2004 гг._1-12,13,14 сентября" xfId="11082"/>
    <cellStyle name="_Книга22_1_Дайджест 2003-2004 гг._2007 + год " xfId="11083"/>
    <cellStyle name="_Книга22_1_Дайджест 2003-2004 гг._2007 г год план (фин.часть)" xfId="11084"/>
    <cellStyle name="_Книга22_1_Дайджест 2003-2004 гг._2007 г год план (фин.часть) 2" xfId="11085"/>
    <cellStyle name="_Книга22_1_Дайджест 2003-2004 гг._2007 г год план (фин.часть) 3" xfId="11086"/>
    <cellStyle name="_Книга22_1_Дайджест 2003-2004 гг._2007 г год план (фин.часть) 4" xfId="11087"/>
    <cellStyle name="_Книга22_1_Дайджест 2003-2004 гг._2007 г год план (фин.часть) 5" xfId="11088"/>
    <cellStyle name="_Книга22_1_Дайджест 2003-2004 гг._2007 г год план (фин.часть) 6" xfId="11089"/>
    <cellStyle name="_Книга22_1_Дайджест 2003-2004 гг._2007 г год план (фин.часть) 7" xfId="11090"/>
    <cellStyle name="_Книга22_1_Дайджест 2003-2004 гг._2007 г год план (фин.часть) 8" xfId="11091"/>
    <cellStyle name="_Книга22_1_Дайджест 2003-2004 гг._2007 г год план (фин.часть) 9" xfId="11092"/>
    <cellStyle name="_Книга22_1_Дайджест 2003-2004 гг._2007 год " xfId="11093"/>
    <cellStyle name="_Книга22_1_Дайджест 2003-2004 гг._2007 измен 11.12.06 2 вар " xfId="11094"/>
    <cellStyle name="_Книга22_1_Дайджест 2003-2004 гг._2009-03-03 План марта рус" xfId="11095"/>
    <cellStyle name="_Книга22_1_Дайджест 2003-2004 гг._25 разделы баланса раб (21.08.06)" xfId="11096"/>
    <cellStyle name="_Книга22_1_Дайджест 2003-2004 гг._25 разделы баланса раб (21.08.06) 2" xfId="11097"/>
    <cellStyle name="_Книга22_1_Дайджест 2003-2004 гг._25 разделы баланса раб (21.08.06) 3" xfId="11098"/>
    <cellStyle name="_Книга22_1_Дайджест 2003-2004 гг._25 разделы баланса раб (21.08.06) 4" xfId="11099"/>
    <cellStyle name="_Книга22_1_Дайджест 2003-2004 гг._25 разделы баланса раб (21.08.06) 5" xfId="11100"/>
    <cellStyle name="_Книга22_1_Дайджест 2003-2004 гг._25 разделы баланса раб (21.08.06) 6" xfId="11101"/>
    <cellStyle name="_Книга22_1_Дайджест 2003-2004 гг._25 разделы баланса раб (21.08.06) 7" xfId="11102"/>
    <cellStyle name="_Книга22_1_Дайджест 2003-2004 гг._25 разделы баланса раб (21.08.06) 8" xfId="11103"/>
    <cellStyle name="_Книга22_1_Дайджест 2003-2004 гг._25 разделы баланса раб (21.08.06) 9" xfId="11104"/>
    <cellStyle name="_Книга22_1_Дайджест 2003-2004 гг._25.06.07" xfId="11105"/>
    <cellStyle name="_Книга22_1_Дайджест 2003-2004 гг._25.06.07 2" xfId="11106"/>
    <cellStyle name="_Книга22_1_Дайджест 2003-2004 гг._25.06.07 3" xfId="11107"/>
    <cellStyle name="_Книга22_1_Дайджест 2003-2004 гг._25.06.07 4" xfId="11108"/>
    <cellStyle name="_Книга22_1_Дайджест 2003-2004 гг._25.06.07 5" xfId="11109"/>
    <cellStyle name="_Книга22_1_Дайджест 2003-2004 гг._25.06.07 6" xfId="11110"/>
    <cellStyle name="_Книга22_1_Дайджест 2003-2004 гг._25.06.07 7" xfId="11111"/>
    <cellStyle name="_Книга22_1_Дайджест 2003-2004 гг._25.06.07 8" xfId="11112"/>
    <cellStyle name="_Книга22_1_Дайджест 2003-2004 гг._25.06.07 9" xfId="11113"/>
    <cellStyle name="_Книга22_1_Дайджест 2003-2004 гг._28-30 (1)" xfId="11114"/>
    <cellStyle name="_Книга22_1_Дайджест 2003-2004 гг._28-30 (1) 2" xfId="11115"/>
    <cellStyle name="_Книга22_1_Дайджест 2003-2004 гг._28-30 (1) 3" xfId="11116"/>
    <cellStyle name="_Книга22_1_Дайджест 2003-2004 гг._28-30 (1) 4" xfId="11117"/>
    <cellStyle name="_Книга22_1_Дайджест 2003-2004 гг._28-30 (1) 5" xfId="11118"/>
    <cellStyle name="_Книга22_1_Дайджест 2003-2004 гг._28-30 (1) 6" xfId="11119"/>
    <cellStyle name="_Книга22_1_Дайджест 2003-2004 гг._28-30 (1) 7" xfId="11120"/>
    <cellStyle name="_Книга22_1_Дайджест 2003-2004 гг._28-30 (1) 8" xfId="11121"/>
    <cellStyle name="_Книга22_1_Дайджест 2003-2004 гг._28-30 (1) 9" xfId="11122"/>
    <cellStyle name="_Книга22_1_Дайджест 2003-2004 гг._29 форма 12 месяцев" xfId="11123"/>
    <cellStyle name="_Книга22_1_Дайджест 2003-2004 гг._30" xfId="11124"/>
    <cellStyle name="_Книга22_1_Дайджест 2003-2004 гг._30 2" xfId="11125"/>
    <cellStyle name="_Книга22_1_Дайджест 2003-2004 гг._30 3" xfId="11126"/>
    <cellStyle name="_Книга22_1_Дайджест 2003-2004 гг._30 4" xfId="11127"/>
    <cellStyle name="_Книга22_1_Дайджест 2003-2004 гг._30 5" xfId="11128"/>
    <cellStyle name="_Книга22_1_Дайджест 2003-2004 гг._30 6" xfId="11129"/>
    <cellStyle name="_Книга22_1_Дайджест 2003-2004 гг._30 7" xfId="11130"/>
    <cellStyle name="_Книга22_1_Дайджест 2003-2004 гг._30 8" xfId="11131"/>
    <cellStyle name="_Книга22_1_Дайджест 2003-2004 гг._30 9" xfId="11132"/>
    <cellStyle name="_Книга22_1_Дайджест 2003-2004 гг._30 форма (январьфакт)" xfId="11133"/>
    <cellStyle name="_Книга22_1_Дайджест 2003-2004 гг._30 форма (январьфакт) 2" xfId="11134"/>
    <cellStyle name="_Книга22_1_Дайджест 2003-2004 гг._30 форма (январьфакт) 3" xfId="11135"/>
    <cellStyle name="_Книга22_1_Дайджест 2003-2004 гг._30 форма (январьфакт) 4" xfId="11136"/>
    <cellStyle name="_Книга22_1_Дайджест 2003-2004 гг._30 форма (январьфакт) 5" xfId="11137"/>
    <cellStyle name="_Книга22_1_Дайджест 2003-2004 гг._30 форма (январьфакт) 6" xfId="11138"/>
    <cellStyle name="_Книга22_1_Дайджест 2003-2004 гг._30 форма (январьфакт) 7" xfId="11139"/>
    <cellStyle name="_Книга22_1_Дайджест 2003-2004 гг._30 форма (январьфакт) 8" xfId="11140"/>
    <cellStyle name="_Книга22_1_Дайджест 2003-2004 гг._30 форма (январьфакт) 9" xfId="11141"/>
    <cellStyle name="_Книга22_1_Дайджест 2003-2004 гг._30 форма (январьфакт-мартплан)" xfId="11142"/>
    <cellStyle name="_Книга22_1_Дайджест 2003-2004 гг._30 форма (январьфакт-мартплан) 2" xfId="11143"/>
    <cellStyle name="_Книга22_1_Дайджест 2003-2004 гг._30 форма (январьфакт-мартплан) 3" xfId="11144"/>
    <cellStyle name="_Книга22_1_Дайджест 2003-2004 гг._30 форма (январьфакт-мартплан) 4" xfId="11145"/>
    <cellStyle name="_Книга22_1_Дайджест 2003-2004 гг._30 форма (январьфакт-мартплан) 5" xfId="11146"/>
    <cellStyle name="_Книга22_1_Дайджест 2003-2004 гг._30 форма (январьфакт-мартплан) 6" xfId="11147"/>
    <cellStyle name="_Книга22_1_Дайджест 2003-2004 гг._30 форма (январьфакт-мартплан) 7" xfId="11148"/>
    <cellStyle name="_Книга22_1_Дайджест 2003-2004 гг._30 форма (январьфакт-мартплан) 8" xfId="11149"/>
    <cellStyle name="_Книга22_1_Дайджест 2003-2004 гг._30 форма (январьфакт-мартплан) 9" xfId="11150"/>
    <cellStyle name="_Книга22_1_Дайджест 2003-2004 гг._30 форма с ожидаемым за январь" xfId="11151"/>
    <cellStyle name="_Книга22_1_Дайджест 2003-2004 гг._30 форма с ожидаемым за январь 2" xfId="11152"/>
    <cellStyle name="_Книга22_1_Дайджест 2003-2004 гг._30 форма с ожидаемым за январь 3" xfId="11153"/>
    <cellStyle name="_Книга22_1_Дайджест 2003-2004 гг._30 форма с ожидаемым за январь 4" xfId="11154"/>
    <cellStyle name="_Книга22_1_Дайджест 2003-2004 гг._30 форма с ожидаемым за январь 5" xfId="11155"/>
    <cellStyle name="_Книга22_1_Дайджест 2003-2004 гг._30 форма с ожидаемым за январь 6" xfId="11156"/>
    <cellStyle name="_Книга22_1_Дайджест 2003-2004 гг._30 форма с ожидаемым за январь 7" xfId="11157"/>
    <cellStyle name="_Книга22_1_Дайджест 2003-2004 гг._30 форма с ожидаемым за январь 8" xfId="11158"/>
    <cellStyle name="_Книга22_1_Дайджест 2003-2004 гг._30 форма с ожидаемым за январь 9" xfId="11159"/>
    <cellStyle name="_Книга22_1_Дайджест 2003-2004 гг._30 форма с фактом за декабрь" xfId="11160"/>
    <cellStyle name="_Книга22_1_Дайджест 2003-2004 гг._30 форма с фактом за декабрь 2" xfId="11161"/>
    <cellStyle name="_Книга22_1_Дайджест 2003-2004 гг._30 форма с фактом за декабрь 3" xfId="11162"/>
    <cellStyle name="_Книга22_1_Дайджест 2003-2004 гг._30 форма с фактом за декабрь 4" xfId="11163"/>
    <cellStyle name="_Книга22_1_Дайджест 2003-2004 гг._30 форма с фактом за декабрь 5" xfId="11164"/>
    <cellStyle name="_Книга22_1_Дайджест 2003-2004 гг._30 форма с фактом за декабрь 6" xfId="11165"/>
    <cellStyle name="_Книга22_1_Дайджест 2003-2004 гг._30 форма с фактом за декабрь 7" xfId="11166"/>
    <cellStyle name="_Книга22_1_Дайджест 2003-2004 гг._30 форма с фактом за декабрь 8" xfId="11167"/>
    <cellStyle name="_Книга22_1_Дайджест 2003-2004 гг._30 форма с фактом за декабрь 9" xfId="11168"/>
    <cellStyle name="_Книга22_1_Дайджест 2003-2004 гг._30 форма с фактом за ноябрь" xfId="11169"/>
    <cellStyle name="_Книга22_1_Дайджест 2003-2004 гг._30 форма с фактом за ноябрь 2" xfId="11170"/>
    <cellStyle name="_Книга22_1_Дайджест 2003-2004 гг._30 форма с фактом за ноябрь 3" xfId="11171"/>
    <cellStyle name="_Книга22_1_Дайджест 2003-2004 гг._30 форма с фактом за ноябрь 4" xfId="11172"/>
    <cellStyle name="_Книга22_1_Дайджест 2003-2004 гг._30 форма с фактом за ноябрь 5" xfId="11173"/>
    <cellStyle name="_Книга22_1_Дайджест 2003-2004 гг._30 форма с фактом за ноябрь 6" xfId="11174"/>
    <cellStyle name="_Книга22_1_Дайджест 2003-2004 гг._30 форма с фактом за ноябрь 7" xfId="11175"/>
    <cellStyle name="_Книга22_1_Дайджест 2003-2004 гг._30 форма с фактом за ноябрь 8" xfId="11176"/>
    <cellStyle name="_Книга22_1_Дайджест 2003-2004 гг._30 форма с фактом за ноябрь 9" xfId="11177"/>
    <cellStyle name="_Книга22_1_Дайджест 2003-2004 гг._8" xfId="11178"/>
    <cellStyle name="_Книга22_1_Дайджест 2003-2004 гг._8_исходные_291107" xfId="11179"/>
    <cellStyle name="_Книга22_1_Дайджест 2003-2004 гг._8_Лист1" xfId="11180"/>
    <cellStyle name="_Книга22_1_Дайджест 2003-2004 гг._8_Лист2" xfId="11181"/>
    <cellStyle name="_Книга22_1_Дайджест 2003-2004 гг._8_Лист3" xfId="11182"/>
    <cellStyle name="_Книга22_1_Дайджест 2003-2004 гг._8_ф2 склад ГП" xfId="11183"/>
    <cellStyle name="_Книга22_1_Дайджест 2003-2004 гг._EBITDA_дивизион_12.11.2007" xfId="11184"/>
    <cellStyle name="_Книга22_1_Дайджест 2003-2004 гг._№13, №14" xfId="11185"/>
    <cellStyle name="_Книга22_1_Дайджест 2003-2004 гг._№13, №14 02.04.07" xfId="11186"/>
    <cellStyle name="_Книга22_1_Дайджест 2003-2004 гг._№13, №14 от 15.12.2006" xfId="11187"/>
    <cellStyle name="_Книга22_1_Дайджест 2003-2004 гг._№13, №14 январь 2007 25.02.07" xfId="11188"/>
    <cellStyle name="_Книга22_1_Дайджест 2003-2004 гг._№26 измен 03.04.07" xfId="11189"/>
    <cellStyle name="_Книга22_1_Дайджест 2003-2004 гг._№26 измен 15.12.06 4 вар " xfId="11190"/>
    <cellStyle name="_Книга22_1_Дайджест 2003-2004 гг._№26, от 25.02.07" xfId="11191"/>
    <cellStyle name="_Книга22_1_Дайджест 2003-2004 гг._БДР - 2008 год 2-е чтение" xfId="11192"/>
    <cellStyle name="_Книга22_1_Дайджест 2003-2004 гг._БДР 2 кв  презентационный_24 03 2008_11-45" xfId="11193"/>
    <cellStyle name="_Книга22_1_Дайджест 2003-2004 гг._БДР 2 кв  презентационный_24 03 2008_15-55" xfId="11194"/>
    <cellStyle name="_Книга22_1_Дайджест 2003-2004 гг._Больш. 1-8 октября" xfId="11195"/>
    <cellStyle name="_Книга22_1_Дайджест 2003-2004 гг._БП  07 г. (нов.форма) 2" xfId="11196"/>
    <cellStyle name="_Книга22_1_Дайджест 2003-2004 гг._БП  07 г. (нов.форма) 2 2" xfId="11197"/>
    <cellStyle name="_Книга22_1_Дайджест 2003-2004 гг._БП  07 г. (нов.форма) 2 3" xfId="11198"/>
    <cellStyle name="_Книга22_1_Дайджест 2003-2004 гг._БП  07 г. (нов.форма) 2 4" xfId="11199"/>
    <cellStyle name="_Книга22_1_Дайджест 2003-2004 гг._БП  07 г. (нов.форма) 2 5" xfId="11200"/>
    <cellStyle name="_Книга22_1_Дайджест 2003-2004 гг._БП  07 г. (нов.форма) 2 6" xfId="11201"/>
    <cellStyle name="_Книга22_1_Дайджест 2003-2004 гг._БП  07 г. (нов.форма) 2 7" xfId="11202"/>
    <cellStyle name="_Книга22_1_Дайджест 2003-2004 гг._БП  07 г. (нов.форма) 2 8" xfId="11203"/>
    <cellStyle name="_Книга22_1_Дайджест 2003-2004 гг._БП  07 г. (нов.форма) 2 9" xfId="11204"/>
    <cellStyle name="_Книга22_1_Дайджест 2003-2004 гг._БП Урал Кирпич 28 01 2008г" xfId="11205"/>
    <cellStyle name="_Книга22_1_Дайджест 2003-2004 гг._БП_план на 1 кв. 2008г." xfId="11206"/>
    <cellStyle name="_Книга22_1_Дайджест 2003-2004 гг._БП_план на 2 кв. 2008г." xfId="11207"/>
    <cellStyle name="_Книга22_1_Дайджест 2003-2004 гг._бп2008 презентация 12.11.07" xfId="11208"/>
    <cellStyle name="_Книга22_1_Дайджест 2003-2004 гг._ДИВИЗИОН Презентация 4 кв. 07 изм отгр" xfId="11209"/>
    <cellStyle name="_Книга22_1_Дайджест 2003-2004 гг._ДИВИЗИОН Презентация 4 кв. 07 изм отгр 2" xfId="11210"/>
    <cellStyle name="_Книга22_1_Дайджест 2003-2004 гг._ДИВИЗИОН Презентация 4 кв. 07 изм отгр 3" xfId="11211"/>
    <cellStyle name="_Книга22_1_Дайджест 2003-2004 гг._ДИВИЗИОН Презентация 4 кв. 07 изм отгр 4" xfId="11212"/>
    <cellStyle name="_Книга22_1_Дайджест 2003-2004 гг._ДИВИЗИОН Презентация 4 кв. 07 изм отгр 5" xfId="11213"/>
    <cellStyle name="_Книга22_1_Дайджест 2003-2004 гг._ДИВИЗИОН Презентация 4 кв. 07 изм отгр 6" xfId="11214"/>
    <cellStyle name="_Книга22_1_Дайджест 2003-2004 гг._ДИВИЗИОН Презентация 4 кв. 07 изм отгр 7" xfId="11215"/>
    <cellStyle name="_Книга22_1_Дайджест 2003-2004 гг._ДИВИЗИОН Презентация 4 кв. 07 изм отгр 8" xfId="11216"/>
    <cellStyle name="_Книга22_1_Дайджест 2003-2004 гг._ДИВИЗИОН Презентация 4 кв. 07 изм отгр 9" xfId="11217"/>
    <cellStyle name="_Книга22_1_Дайджест 2003-2004 гг._ДИВИЗИОН_2008" xfId="11218"/>
    <cellStyle name="_Книга22_1_Дайджест 2003-2004 гг._Дивизиональная форма БДР_14.12.2007" xfId="11219"/>
    <cellStyle name="_Книга22_1_Дайджест 2003-2004 гг._Динамика Свод_Бизнес_MGOK 27_07_06" xfId="11220"/>
    <cellStyle name="_Книга22_1_Дайджест 2003-2004 гг._Ежемесячные формы для ТД на 2004 год (version 1)" xfId="11221"/>
    <cellStyle name="_Книга22_1_Дайджест 2003-2004 гг._Запрос МИ Менеджмент 18 08 06 (новый формат)" xfId="11222"/>
    <cellStyle name="_Книга22_1_Дайджест 2003-2004 гг._Запрос МИ Менеджмент 18 08 06 (новый формат) 10" xfId="11223"/>
    <cellStyle name="_Книга22_1_Дайджест 2003-2004 гг._Запрос МИ Менеджмент 18 08 06 (новый формат) 11" xfId="11224"/>
    <cellStyle name="_Книга22_1_Дайджест 2003-2004 гг._Запрос МИ Менеджмент 18 08 06 (новый формат) 12" xfId="11225"/>
    <cellStyle name="_Книга22_1_Дайджест 2003-2004 гг._Запрос МИ Менеджмент 18 08 06 (новый формат) 13" xfId="11226"/>
    <cellStyle name="_Книга22_1_Дайджест 2003-2004 гг._Запрос МИ Менеджмент 18 08 06 (новый формат) 2" xfId="11227"/>
    <cellStyle name="_Книга22_1_Дайджест 2003-2004 гг._Запрос МИ Менеджмент 18 08 06 (новый формат) 3" xfId="11228"/>
    <cellStyle name="_Книга22_1_Дайджест 2003-2004 гг._Запрос МИ Менеджмент 18 08 06 (новый формат) 4" xfId="11229"/>
    <cellStyle name="_Книга22_1_Дайджест 2003-2004 гг._Запрос МИ Менеджмент 18 08 06 (новый формат) 5" xfId="11230"/>
    <cellStyle name="_Книга22_1_Дайджест 2003-2004 гг._Запрос МИ Менеджмент 18 08 06 (новый формат) 6" xfId="11231"/>
    <cellStyle name="_Книга22_1_Дайджест 2003-2004 гг._Запрос МИ Менеджмент 18 08 06 (новый формат) 7" xfId="11232"/>
    <cellStyle name="_Книга22_1_Дайджест 2003-2004 гг._Запрос МИ Менеджмент 18 08 06 (новый формат) 8" xfId="11233"/>
    <cellStyle name="_Книга22_1_Дайджест 2003-2004 гг._Запрос МИ Менеджмент 18 08 06 (новый формат) 9" xfId="11234"/>
    <cellStyle name="_Книга22_1_Дайджест 2003-2004 гг._Запрос МИ Менеджмент 18 08 06 (новый формат)__План по труду 2008 261107 (10% с января)" xfId="11235"/>
    <cellStyle name="_Книга22_1_Дайджест 2003-2004 гг._Запрос МИ Менеджмент 18 08 06 (новый формат)__План по труду 2008 261107 (10% с января) 2" xfId="11236"/>
    <cellStyle name="_Книга22_1_Дайджест 2003-2004 гг._Запрос МИ Менеджмент 18 08 06 (новый формат)__План по труду 2008 261107 (10% с января) 3" xfId="11237"/>
    <cellStyle name="_Книга22_1_Дайджест 2003-2004 гг._Запрос МИ Менеджмент 18 08 06 (новый формат)__План по труду 2008 261107 (10% с января) 4" xfId="11238"/>
    <cellStyle name="_Книга22_1_Дайджест 2003-2004 гг._Запрос МИ Менеджмент 18 08 06 (новый формат)__План по труду 2008 261107 (10% с января) 5" xfId="11239"/>
    <cellStyle name="_Книга22_1_Дайджест 2003-2004 гг._Запрос МИ Менеджмент 18 08 06 (новый формат)__План по труду 2008 261107 (10% с января) 6" xfId="11240"/>
    <cellStyle name="_Книга22_1_Дайджест 2003-2004 гг._Запрос МИ Менеджмент 18 08 06 (новый формат)__План по труду 2008 261107 (10% с января) 7" xfId="11241"/>
    <cellStyle name="_Книга22_1_Дайджест 2003-2004 гг._Запрос МИ Менеджмент 18 08 06 (новый формат)__План по труду 2008 261107 (10% с января) 8" xfId="11242"/>
    <cellStyle name="_Книга22_1_Дайджест 2003-2004 гг._Запрос МИ Менеджмент 18 08 06 (новый формат)__План по труду 2008 261107 (10% с января) 9" xfId="11243"/>
    <cellStyle name="_Книга22_1_Дайджест 2003-2004 гг._Запрос МИ Менеджмент 18 08 06 (новый формат)__План по труду 2008 ИТОГ (правл. ПНР 161007)_" xfId="11244"/>
    <cellStyle name="_Книга22_1_Дайджест 2003-2004 гг._Запрос МИ Менеджмент 18 08 06 (новый формат)__План по труду 2008 ИТОГ (правл. ПНР 161007)_ 2" xfId="11245"/>
    <cellStyle name="_Книга22_1_Дайджест 2003-2004 гг._Запрос МИ Менеджмент 18 08 06 (новый формат)__План по труду 2008 ИТОГ (правл. ПНР 161007)_ 3" xfId="11246"/>
    <cellStyle name="_Книга22_1_Дайджест 2003-2004 гг._Запрос МИ Менеджмент 18 08 06 (новый формат)__План по труду 2008 ИТОГ (правл. ПНР 161007)_ 4" xfId="11247"/>
    <cellStyle name="_Книга22_1_Дайджест 2003-2004 гг._Запрос МИ Менеджмент 18 08 06 (новый формат)__План по труду 2008 ИТОГ (правл. ПНР 161007)_ 5" xfId="11248"/>
    <cellStyle name="_Книга22_1_Дайджест 2003-2004 гг._Запрос МИ Менеджмент 18 08 06 (новый формат)__План по труду 2008 ИТОГ (правл. ПНР 161007)_ 6" xfId="11249"/>
    <cellStyle name="_Книга22_1_Дайджест 2003-2004 гг._Запрос МИ Менеджмент 18 08 06 (новый формат)__План по труду 2008 ИТОГ (правл. ПНР 161007)_ 7" xfId="11250"/>
    <cellStyle name="_Книга22_1_Дайджест 2003-2004 гг._Запрос МИ Менеджмент 18 08 06 (новый формат)__План по труду 2008 ИТОГ (правл. ПНР 161007)_ 8" xfId="11251"/>
    <cellStyle name="_Книга22_1_Дайджест 2003-2004 гг._Запрос МИ Менеджмент 18 08 06 (новый формат)__План по труду 2008 ИТОГ (правл. ПНР 161007)_ 9" xfId="11252"/>
    <cellStyle name="_Книга22_1_Дайджест 2003-2004 гг._Запрос МИ Менеджмент 18 08 06 (новый формат)_2_Инвестпрограмма на 2008 год (КОВАЛЕВ)" xfId="11253"/>
    <cellStyle name="_Книга22_1_Дайджест 2003-2004 гг._Запрос МИ Менеджмент 18 08 06 (новый формат)_Данные для ФОТ на 2008 год" xfId="11254"/>
    <cellStyle name="_Книга22_1_Дайджест 2003-2004 гг._Запрос МИ Менеджмент 18 08 06 (новый формат)_Данные для ФОТ на 2008 год 2" xfId="11255"/>
    <cellStyle name="_Книга22_1_Дайджест 2003-2004 гг._Запрос МИ Менеджмент 18 08 06 (новый формат)_Данные для ФОТ на 2008 год 3" xfId="11256"/>
    <cellStyle name="_Книга22_1_Дайджест 2003-2004 гг._Запрос МИ Менеджмент 18 08 06 (новый формат)_Данные для ФОТ на 2008 год 4" xfId="11257"/>
    <cellStyle name="_Книга22_1_Дайджест 2003-2004 гг._Запрос МИ Менеджмент 18 08 06 (новый формат)_Данные для ФОТ на 2008 год 5" xfId="11258"/>
    <cellStyle name="_Книга22_1_Дайджест 2003-2004 гг._Запрос МИ Менеджмент 18 08 06 (новый формат)_Данные для ФОТ на 2008 год 6" xfId="11259"/>
    <cellStyle name="_Книга22_1_Дайджест 2003-2004 гг._Запрос МИ Менеджмент 18 08 06 (новый формат)_Данные для ФОТ на 2008 год 7" xfId="11260"/>
    <cellStyle name="_Книга22_1_Дайджест 2003-2004 гг._Запрос МИ Менеджмент 18 08 06 (новый формат)_Данные для ФОТ на 2008 год 8" xfId="11261"/>
    <cellStyle name="_Книга22_1_Дайджест 2003-2004 гг._Запрос МИ Менеджмент 18 08 06 (новый формат)_Данные для ФОТ на 2008 год 9" xfId="11262"/>
    <cellStyle name="_Книга22_1_Дайджест 2003-2004 гг._Запрос МИ Менеджмент 18 08 06 (новый формат)_План по труду 2008 ИТОГ (2003_вер)" xfId="11263"/>
    <cellStyle name="_Книга22_1_Дайджест 2003-2004 гг._Запрос МИ Менеджмент 18 08 06 (новый формат)_План по труду 2008 ИТОГ (2003_вер) 2" xfId="11264"/>
    <cellStyle name="_Книга22_1_Дайджест 2003-2004 гг._Запрос МИ Менеджмент 18 08 06 (новый формат)_План по труду 2008 ИТОГ (2003_вер) 3" xfId="11265"/>
    <cellStyle name="_Книга22_1_Дайджест 2003-2004 гг._Запрос МИ Менеджмент 18 08 06 (новый формат)_План по труду 2008 ИТОГ (2003_вер) 4" xfId="11266"/>
    <cellStyle name="_Книга22_1_Дайджест 2003-2004 гг._Запрос МИ Менеджмент 18 08 06 (новый формат)_План по труду 2008 ИТОГ (2003_вер) 5" xfId="11267"/>
    <cellStyle name="_Книга22_1_Дайджест 2003-2004 гг._Запрос МИ Менеджмент 18 08 06 (новый формат)_План по труду 2008 ИТОГ (2003_вер) 6" xfId="11268"/>
    <cellStyle name="_Книга22_1_Дайджест 2003-2004 гг._Запрос МИ Менеджмент 18 08 06 (новый формат)_План по труду 2008 ИТОГ (2003_вер) 7" xfId="11269"/>
    <cellStyle name="_Книга22_1_Дайджест 2003-2004 гг._Запрос МИ Менеджмент 18 08 06 (новый формат)_План по труду 2008 ИТОГ (2003_вер) 8" xfId="11270"/>
    <cellStyle name="_Книга22_1_Дайджест 2003-2004 гг._Запрос МИ Менеджмент 18 08 06 (новый формат)_План по труду 2008 ИТОГ (2003_вер) 9" xfId="11271"/>
    <cellStyle name="_Книга22_1_Дайджест 2003-2004 гг._Запрос МИ Менеджмент 18 08 06 (новый формат)_ТКВ 2008 от 19.07" xfId="11272"/>
    <cellStyle name="_Книга22_1_Дайджест 2003-2004 гг._Запрос МИ Менеджмент 18 08 06 (новый формат)_ТКВ 2008 от 31.07" xfId="11273"/>
    <cellStyle name="_Книга22_1_Дайджест 2003-2004 гг._ИПИТА" xfId="11274"/>
    <cellStyle name="_Книга22_1_Дайджест 2003-2004 гг._ИПИТА 2" xfId="11275"/>
    <cellStyle name="_Книга22_1_Дайджест 2003-2004 гг._ИПИТА 3" xfId="11276"/>
    <cellStyle name="_Книга22_1_Дайджест 2003-2004 гг._ИПИТА 4" xfId="11277"/>
    <cellStyle name="_Книга22_1_Дайджест 2003-2004 гг._ИПИТА 5" xfId="11278"/>
    <cellStyle name="_Книга22_1_Дайджест 2003-2004 гг._ИПИТА 6" xfId="11279"/>
    <cellStyle name="_Книга22_1_Дайджест 2003-2004 гг._ИПИТА 7" xfId="11280"/>
    <cellStyle name="_Книга22_1_Дайджест 2003-2004 гг._ИПИТА 8" xfId="11281"/>
    <cellStyle name="_Книга22_1_Дайджест 2003-2004 гг._ИПИТА 9" xfId="11282"/>
    <cellStyle name="_Книга22_1_Дайджест 2003-2004 гг._исходные_291107" xfId="11283"/>
    <cellStyle name="_Книга22_1_Дайджест 2003-2004 гг._КМА-Эн план 1 кв 200919.12.08отпр в Холдинг" xfId="11284"/>
    <cellStyle name="_Книга22_1_Дайджест 2003-2004 гг._Книга БДР 4 кв" xfId="11285"/>
    <cellStyle name="_Книга22_1_Дайджест 2003-2004 гг._Книга1" xfId="11286"/>
    <cellStyle name="_Книга22_1_Дайджест 2003-2004 гг._Книга1 (1)" xfId="11287"/>
    <cellStyle name="_Книга22_1_Дайджест 2003-2004 гг._Книга1 (1) 2" xfId="11288"/>
    <cellStyle name="_Книга22_1_Дайджест 2003-2004 гг._Книга1 (1) 3" xfId="11289"/>
    <cellStyle name="_Книга22_1_Дайджест 2003-2004 гг._Книга1 (1) 4" xfId="11290"/>
    <cellStyle name="_Книга22_1_Дайджест 2003-2004 гг._Книга1 (1) 5" xfId="11291"/>
    <cellStyle name="_Книга22_1_Дайджест 2003-2004 гг._Книга1 (1) 6" xfId="11292"/>
    <cellStyle name="_Книга22_1_Дайджест 2003-2004 гг._Книга1 (1) 7" xfId="11293"/>
    <cellStyle name="_Книга22_1_Дайджест 2003-2004 гг._Книга1 (1) 8" xfId="11294"/>
    <cellStyle name="_Книга22_1_Дайджест 2003-2004 гг._Книга1 (1) 9" xfId="11295"/>
    <cellStyle name="_Книга22_1_Дайджест 2003-2004 гг._Книга1 (5)" xfId="11296"/>
    <cellStyle name="_Книга22_1_Дайджест 2003-2004 гг._Книга1_1" xfId="11297"/>
    <cellStyle name="_Книга22_1_Дайджест 2003-2004 гг._Книга11" xfId="11298"/>
    <cellStyle name="_Книга22_1_Дайджест 2003-2004 гг._Книга3" xfId="11299"/>
    <cellStyle name="_Книга22_1_Дайджест 2003-2004 гг._Комплект документов - план на 2007 год - фин.часть 8.12.06 (укороч.)" xfId="11300"/>
    <cellStyle name="_Книга22_1_Дайджест 2003-2004 гг._Комплект документов - план на 2007 год - фин.часть 8.12.06 (укороч.) 2" xfId="11301"/>
    <cellStyle name="_Книга22_1_Дайджест 2003-2004 гг._Комплект документов - план на 2007 год - фин.часть 8.12.06 (укороч.) 3" xfId="11302"/>
    <cellStyle name="_Книга22_1_Дайджест 2003-2004 гг._Комплект документов - план на 2007 год - фин.часть 8.12.06 (укороч.) 4" xfId="11303"/>
    <cellStyle name="_Книга22_1_Дайджест 2003-2004 гг._Комплект документов - план на 2007 год - фин.часть 8.12.06 (укороч.) 5" xfId="11304"/>
    <cellStyle name="_Книга22_1_Дайджест 2003-2004 гг._Комплект документов - план на 2007 год - фин.часть 8.12.06 (укороч.) 6" xfId="11305"/>
    <cellStyle name="_Книга22_1_Дайджест 2003-2004 гг._Комплект документов - план на 2007 год - фин.часть 8.12.06 (укороч.) 7" xfId="11306"/>
    <cellStyle name="_Книга22_1_Дайджест 2003-2004 гг._Комплект документов - план на 2007 год - фин.часть 8.12.06 (укороч.) 8" xfId="11307"/>
    <cellStyle name="_Книга22_1_Дайджест 2003-2004 гг._Комплект документов - план на 2007 год - фин.часть 8.12.06 (укороч.) 9" xfId="11308"/>
    <cellStyle name="_Книга22_1_Дайджест 2003-2004 гг._Конс  ЛГОК БП 2009 для Комбината 07 11 08" xfId="11309"/>
    <cellStyle name="_Книга22_1_Дайджест 2003-2004 гг._Конс  ЛГОК БП 2009 от 14 10 08" xfId="11310"/>
    <cellStyle name="_Книга22_1_Дайджест 2003-2004 гг._Конс  ЛГОК БП 2009 от 14 10 08 (2)" xfId="11311"/>
    <cellStyle name="_Книга22_1_Дайджест 2003-2004 гг._Конс  МГОК БП 2009 от 14 10 08" xfId="11312"/>
    <cellStyle name="_Книга22_1_Дайджест 2003-2004 гг._Конс. план ЛГОК мар.09 для Комбината 20.02.09" xfId="11313"/>
    <cellStyle name="_Книга22_1_Дайджест 2003-2004 гг._Конс. план ЛГОК мар.09 для Комбината 25.02.09" xfId="11314"/>
    <cellStyle name="_Книга22_1_Дайджест 2003-2004 гг._Копия Конс БП 2010 ЛГОК для Комбината от 21 08 09" xfId="11315"/>
    <cellStyle name="_Книга22_1_Дайджест 2003-2004 гг._Лист1" xfId="11316"/>
    <cellStyle name="_Книга22_1_Дайджест 2003-2004 гг._Лист1 2" xfId="11317"/>
    <cellStyle name="_Книга22_1_Дайджест 2003-2004 гг._Лист1 3" xfId="11318"/>
    <cellStyle name="_Книга22_1_Дайджест 2003-2004 гг._Лист1 4" xfId="11319"/>
    <cellStyle name="_Книга22_1_Дайджест 2003-2004 гг._Лист1 5" xfId="11320"/>
    <cellStyle name="_Книга22_1_Дайджест 2003-2004 гг._Лист1 6" xfId="11321"/>
    <cellStyle name="_Книга22_1_Дайджест 2003-2004 гг._Лист1 7" xfId="11322"/>
    <cellStyle name="_Книга22_1_Дайджест 2003-2004 гг._Лист1 8" xfId="11323"/>
    <cellStyle name="_Книга22_1_Дайджест 2003-2004 гг._Лист1 9" xfId="11324"/>
    <cellStyle name="_Книга22_1_Дайджест 2003-2004 гг._Лист1_НОВАЯ ФОРМА ПО СОЦИАЛЬНЫМ ПРОГРАММАМ" xfId="11325"/>
    <cellStyle name="_Книга22_1_Дайджест 2003-2004 гг._Лист1_Приложения План Март (23)" xfId="11326"/>
    <cellStyle name="_Книга22_1_Дайджест 2003-2004 гг._Лист2" xfId="11327"/>
    <cellStyle name="_Книга22_1_Дайджест 2003-2004 гг._Лист3" xfId="11328"/>
    <cellStyle name="_Книга22_1_Дайджест 2003-2004 гг._Мод 4 кв 2008" xfId="11329"/>
    <cellStyle name="_Книга22_1_Дайджест 2003-2004 гг._Новые формы Дивизиона_3 кв_send (без дивидендов)" xfId="11330"/>
    <cellStyle name="_Книга22_1_Дайджест 2003-2004 гг._Новые формы Дивизиона_3кв.2007" xfId="11331"/>
    <cellStyle name="_Книга22_1_Дайджест 2003-2004 гг._Новые формы Дивизиона_3кв.2007 2" xfId="11332"/>
    <cellStyle name="_Книга22_1_Дайджест 2003-2004 гг._Новые формы Дивизиона_3кв.2007 3" xfId="11333"/>
    <cellStyle name="_Книга22_1_Дайджест 2003-2004 гг._Новые формы Дивизиона_3кв.2007 4" xfId="11334"/>
    <cellStyle name="_Книга22_1_Дайджест 2003-2004 гг._Новые формы Дивизиона_3кв.2007 5" xfId="11335"/>
    <cellStyle name="_Книга22_1_Дайджест 2003-2004 гг._Новые формы Дивизиона_3кв.2007 6" xfId="11336"/>
    <cellStyle name="_Книга22_1_Дайджест 2003-2004 гг._Новые формы Дивизиона_3кв.2007 7" xfId="11337"/>
    <cellStyle name="_Книга22_1_Дайджест 2003-2004 гг._Новые формы Дивизиона_3кв.2007 8" xfId="11338"/>
    <cellStyle name="_Книга22_1_Дайджест 2003-2004 гг._Новые формы Дивизиона_3кв.2007 9" xfId="11339"/>
    <cellStyle name="_Книга22_1_Дайджест 2003-2004 гг._Оборотный капитал план 2-е полугодие 2006 г. 25.08.06" xfId="11340"/>
    <cellStyle name="_Книга22_1_Дайджест 2003-2004 гг._Оборотный капитал план 2-е полугодие 2006 г. 25.08.06 10" xfId="11341"/>
    <cellStyle name="_Книга22_1_Дайджест 2003-2004 гг._Оборотный капитал план 2-е полугодие 2006 г. 25.08.06 11" xfId="11342"/>
    <cellStyle name="_Книга22_1_Дайджест 2003-2004 гг._Оборотный капитал план 2-е полугодие 2006 г. 25.08.06 12" xfId="11343"/>
    <cellStyle name="_Книга22_1_Дайджест 2003-2004 гг._Оборотный капитал план 2-е полугодие 2006 г. 25.08.06 13" xfId="11344"/>
    <cellStyle name="_Книга22_1_Дайджест 2003-2004 гг._Оборотный капитал план 2-е полугодие 2006 г. 25.08.06 2" xfId="11345"/>
    <cellStyle name="_Книга22_1_Дайджест 2003-2004 гг._Оборотный капитал план 2-е полугодие 2006 г. 25.08.06 3" xfId="11346"/>
    <cellStyle name="_Книга22_1_Дайджест 2003-2004 гг._Оборотный капитал план 2-е полугодие 2006 г. 25.08.06 4" xfId="11347"/>
    <cellStyle name="_Книга22_1_Дайджест 2003-2004 гг._Оборотный капитал план 2-е полугодие 2006 г. 25.08.06 5" xfId="11348"/>
    <cellStyle name="_Книга22_1_Дайджест 2003-2004 гг._Оборотный капитал план 2-е полугодие 2006 г. 25.08.06 6" xfId="11349"/>
    <cellStyle name="_Книга22_1_Дайджест 2003-2004 гг._Оборотный капитал план 2-е полугодие 2006 г. 25.08.06 7" xfId="11350"/>
    <cellStyle name="_Книга22_1_Дайджест 2003-2004 гг._Оборотный капитал план 2-е полугодие 2006 г. 25.08.06 8" xfId="11351"/>
    <cellStyle name="_Книга22_1_Дайджест 2003-2004 гг._Оборотный капитал план 2-е полугодие 2006 г. 25.08.06 9" xfId="11352"/>
    <cellStyle name="_Книга22_1_Дайджест 2003-2004 гг._ОБРАЗЕЦ Презентационный материал" xfId="11353"/>
    <cellStyle name="_Книга22_1_Дайджест 2003-2004 гг._ОБРАЗЕЦ Презентационный материал 2" xfId="11354"/>
    <cellStyle name="_Книга22_1_Дайджест 2003-2004 гг._ОБРАЗЕЦ Презентационный материал 3" xfId="11355"/>
    <cellStyle name="_Книга22_1_Дайджест 2003-2004 гг._ОБРАЗЕЦ Презентационный материал 4" xfId="11356"/>
    <cellStyle name="_Книга22_1_Дайджест 2003-2004 гг._ОБРАЗЕЦ Презентационный материал 5" xfId="11357"/>
    <cellStyle name="_Книга22_1_Дайджест 2003-2004 гг._ОБРАЗЕЦ Презентационный материал 6" xfId="11358"/>
    <cellStyle name="_Книга22_1_Дайджест 2003-2004 гг._ОБРАЗЕЦ Презентационный материал 7" xfId="11359"/>
    <cellStyle name="_Книга22_1_Дайджест 2003-2004 гг._ОБРАЗЕЦ Презентационный материал 8" xfId="11360"/>
    <cellStyle name="_Книга22_1_Дайджест 2003-2004 гг._ОБРАЗЕЦ Презентационный материал 9" xfId="11361"/>
    <cellStyle name="_Книга22_1_Дайджест 2003-2004 гг._оперативное исполнение 8 02 2009" xfId="11362"/>
    <cellStyle name="_Книга22_1_Дайджест 2003-2004 гг._Отклонения план март-план февраль 2009 конс" xfId="11363"/>
    <cellStyle name="_Книга22_1_Дайджест 2003-2004 гг._пл 02 2009 акционеры СВОД 09.02.2009" xfId="11364"/>
    <cellStyle name="_Книга22_1_Дайджест 2003-2004 гг._пл2007 Распределение ОЭМК 27.01.07" xfId="11365"/>
    <cellStyle name="_Книга22_1_Дайджест 2003-2004 гг._пл2007 фин.часть 18.12.06" xfId="11366"/>
    <cellStyle name="_Книга22_1_Дайджест 2003-2004 гг._пл2007 фин.часть 18.12.06 2" xfId="11367"/>
    <cellStyle name="_Книга22_1_Дайджест 2003-2004 гг._пл2007 фин.часть 18.12.06 3" xfId="11368"/>
    <cellStyle name="_Книга22_1_Дайджест 2003-2004 гг._пл2007 фин.часть 18.12.06 4" xfId="11369"/>
    <cellStyle name="_Книга22_1_Дайджест 2003-2004 гг._пл2007 фин.часть 18.12.06 5" xfId="11370"/>
    <cellStyle name="_Книга22_1_Дайджест 2003-2004 гг._пл2007 фин.часть 18.12.06 6" xfId="11371"/>
    <cellStyle name="_Книга22_1_Дайджест 2003-2004 гг._пл2007 фин.часть 18.12.06 7" xfId="11372"/>
    <cellStyle name="_Книга22_1_Дайджест 2003-2004 гг._пл2007 фин.часть 18.12.06 8" xfId="11373"/>
    <cellStyle name="_Книга22_1_Дайджест 2003-2004 гг._пл2007 фин.часть 18.12.06 9" xfId="11374"/>
    <cellStyle name="_Книга22_1_Дайджест 2003-2004 гг._План 2 кв 2007 год 6.04.07" xfId="11375"/>
    <cellStyle name="_Книга22_1_Дайджест 2003-2004 гг._План 2 кв 2007 год 6.04.07 2" xfId="11376"/>
    <cellStyle name="_Книга22_1_Дайджест 2003-2004 гг._План 2 кв 2007 год 6.04.07 3" xfId="11377"/>
    <cellStyle name="_Книга22_1_Дайджест 2003-2004 гг._План 2 кв 2007 год 6.04.07 4" xfId="11378"/>
    <cellStyle name="_Книга22_1_Дайджест 2003-2004 гг._План 2 кв 2007 год 6.04.07 5" xfId="11379"/>
    <cellStyle name="_Книга22_1_Дайджест 2003-2004 гг._План 2 кв 2007 год 6.04.07 6" xfId="11380"/>
    <cellStyle name="_Книга22_1_Дайджест 2003-2004 гг._План 2 кв 2007 год 6.04.07 7" xfId="11381"/>
    <cellStyle name="_Книга22_1_Дайджест 2003-2004 гг._План 2 кв 2007 год 6.04.07 8" xfId="11382"/>
    <cellStyle name="_Книга22_1_Дайджест 2003-2004 гг._План 2 кв 2007 год 6.04.07 9" xfId="11383"/>
    <cellStyle name="_Книга22_1_Дайджест 2003-2004 гг._План ДСМ 2 квартал 2009 ОТЧЕТ отп" xfId="11384"/>
    <cellStyle name="_Книга22_1_Дайджест 2003-2004 гг._План ДСМ 3 квартал 2009 ОТЧЕТ" xfId="11385"/>
    <cellStyle name="_Книга22_1_Дайджест 2003-2004 гг._План ДСМ 4 квартал 2009 ОТЧЕТ" xfId="11386"/>
    <cellStyle name="_Книга22_1_Дайджест 2003-2004 гг._План ДСМ на 4 квартал 2006 (последняя версия) 2" xfId="11387"/>
    <cellStyle name="_Книга22_1_Дайджест 2003-2004 гг._План ДСМ ноябрь 2011 ОТЧЕТ" xfId="11388"/>
    <cellStyle name="_Книга22_1_Дайджест 2003-2004 гг._План ДСФ 1 квартал 2007" xfId="11389"/>
    <cellStyle name="_Книга22_1_Дайджест 2003-2004 гг._План ДСФ 2 квартал 2009 ОТЧЕТ отп" xfId="11390"/>
    <cellStyle name="_Книга22_1_Дайджест 2003-2004 гг._План ДСФ 4 квартал 2009 ОТЧЕТ" xfId="11391"/>
    <cellStyle name="_Книга22_1_Дайджест 2003-2004 гг._План на 2009 год ДСМ ОТЧЕТ отп (01.12.08)" xfId="11392"/>
    <cellStyle name="_Книга22_1_Дайджест 2003-2004 гг._План на 2010 год ДСМ ОТЧЕТ" xfId="11393"/>
    <cellStyle name="_Книга22_1_Дайджест 2003-2004 гг._план ноября (отправл) 13.11" xfId="11394"/>
    <cellStyle name="_Книга22_1_Дайджест 2003-2004 гг._План_2008г._БДР" xfId="11395"/>
    <cellStyle name="_Книга22_1_Дайджест 2003-2004 гг._План_2008г._БДР_отпр.13.12.2007_19-40" xfId="11396"/>
    <cellStyle name="_Книга22_1_Дайджест 2003-2004 гг._Помесячный Чистов ФДе" xfId="11397"/>
    <cellStyle name="_Книга22_1_Дайджест 2003-2004 гг._Помесячный Чистов ФДе 2" xfId="11398"/>
    <cellStyle name="_Книга22_1_Дайджест 2003-2004 гг._Помесячный Чистов ФДе 3" xfId="11399"/>
    <cellStyle name="_Книга22_1_Дайджест 2003-2004 гг._Помесячный Чистов ФДе 4" xfId="11400"/>
    <cellStyle name="_Книга22_1_Дайджест 2003-2004 гг._Помесячный Чистов ФДе 5" xfId="11401"/>
    <cellStyle name="_Книга22_1_Дайджест 2003-2004 гг._Помесячный Чистов ФДе 6" xfId="11402"/>
    <cellStyle name="_Книга22_1_Дайджест 2003-2004 гг._Помесячный Чистов ФДе 7" xfId="11403"/>
    <cellStyle name="_Книга22_1_Дайджест 2003-2004 гг._Помесячный Чистов ФДе 8" xfId="11404"/>
    <cellStyle name="_Книга22_1_Дайджест 2003-2004 гг._Помесячный Чистов ФДе 9" xfId="11405"/>
    <cellStyle name="_Книга22_1_Дайджест 2003-2004 гг._пр I кв 2008 форма презентации" xfId="11406"/>
    <cellStyle name="_Книга22_1_Дайджест 2003-2004 гг._пр I кв 2008 форма презентации 2" xfId="11407"/>
    <cellStyle name="_Книга22_1_Дайджест 2003-2004 гг._пр I кв 2008 форма презентации 3" xfId="11408"/>
    <cellStyle name="_Книга22_1_Дайджест 2003-2004 гг._пр I кв 2008 форма презентации 4" xfId="11409"/>
    <cellStyle name="_Книга22_1_Дайджест 2003-2004 гг._пр I кв 2008 форма презентации 5" xfId="11410"/>
    <cellStyle name="_Книга22_1_Дайджест 2003-2004 гг._пр I кв 2008 форма презентации 6" xfId="11411"/>
    <cellStyle name="_Книга22_1_Дайджест 2003-2004 гг._пр I кв 2008 форма презентации 7" xfId="11412"/>
    <cellStyle name="_Книга22_1_Дайджест 2003-2004 гг._пр I кв 2008 форма презентации 8" xfId="11413"/>
    <cellStyle name="_Книга22_1_Дайджест 2003-2004 гг._пр I кв 2008 форма презентации 9" xfId="11414"/>
    <cellStyle name="_Книга22_1_Дайджест 2003-2004 гг._пр2006 Комплект ОЭМК 13.02.07 (рабочая)" xfId="11415"/>
    <cellStyle name="_Книга22_1_Дайджест 2003-2004 гг._пр2006 формы(19-30) 14.02.07" xfId="11416"/>
    <cellStyle name="_Книга22_1_Дайджест 2003-2004 гг._Презентационный БДР_21 02 2008" xfId="11417"/>
    <cellStyle name="_Книга22_1_Дайджест 2003-2004 гг._Презентационный материал" xfId="11418"/>
    <cellStyle name="_Книга22_1_Дайджест 2003-2004 гг._Презентационный материал 2" xfId="11419"/>
    <cellStyle name="_Книга22_1_Дайджест 2003-2004 гг._Презентационный материал 2 кв_план" xfId="11420"/>
    <cellStyle name="_Книга22_1_Дайджест 2003-2004 гг._Презентационный материал 3" xfId="11421"/>
    <cellStyle name="_Книга22_1_Дайджест 2003-2004 гг._Презентационный материал 4" xfId="11422"/>
    <cellStyle name="_Книга22_1_Дайджест 2003-2004 гг._Презентационный материал 5" xfId="11423"/>
    <cellStyle name="_Книга22_1_Дайджест 2003-2004 гг._Презентационный материал 6" xfId="11424"/>
    <cellStyle name="_Книга22_1_Дайджест 2003-2004 гг._Презентационный материал 7" xfId="11425"/>
    <cellStyle name="_Книга22_1_Дайджест 2003-2004 гг._Презентационный материал 8" xfId="11426"/>
    <cellStyle name="_Книга22_1_Дайджест 2003-2004 гг._Презентационный материал 9" xfId="11427"/>
    <cellStyle name="_Книга22_1_Дайджест 2003-2004 гг._Презентация" xfId="11428"/>
    <cellStyle name="_Книга22_1_Дайджест 2003-2004 гг._Презентация (фин.часть) 27.06.07" xfId="11429"/>
    <cellStyle name="_Книга22_1_Дайджест 2003-2004 гг._Презентация 2" xfId="11430"/>
    <cellStyle name="_Книга22_1_Дайджест 2003-2004 гг._Презентация 2007 пл-ож 17.12" xfId="11431"/>
    <cellStyle name="_Книга22_1_Дайджест 2003-2004 гг._Презентация 2007 пл-ож 17.12 2" xfId="11432"/>
    <cellStyle name="_Книга22_1_Дайджест 2003-2004 гг._Презентация 2007 пл-ож 17.12 3" xfId="11433"/>
    <cellStyle name="_Книга22_1_Дайджест 2003-2004 гг._Презентация 2007 пл-ож 17.12 4" xfId="11434"/>
    <cellStyle name="_Книга22_1_Дайджест 2003-2004 гг._Презентация 2007 пл-ож 17.12 5" xfId="11435"/>
    <cellStyle name="_Книга22_1_Дайджест 2003-2004 гг._Презентация 2007 пл-ож 17.12 6" xfId="11436"/>
    <cellStyle name="_Книга22_1_Дайджест 2003-2004 гг._Презентация 2007 пл-ож 17.12 7" xfId="11437"/>
    <cellStyle name="_Книга22_1_Дайджест 2003-2004 гг._Презентация 2007 пл-ож 17.12 8" xfId="11438"/>
    <cellStyle name="_Книга22_1_Дайджест 2003-2004 гг._Презентация 2007 пл-ож 17.12 9" xfId="11439"/>
    <cellStyle name="_Книга22_1_Дайджест 2003-2004 гг._Презентация 2007-2008 17.12" xfId="11440"/>
    <cellStyle name="_Книга22_1_Дайджест 2003-2004 гг._Презентация 2007-2008 17.12 2" xfId="11441"/>
    <cellStyle name="_Книга22_1_Дайджест 2003-2004 гг._Презентация 2007-2008 17.12 3" xfId="11442"/>
    <cellStyle name="_Книга22_1_Дайджест 2003-2004 гг._Презентация 2007-2008 17.12 4" xfId="11443"/>
    <cellStyle name="_Книга22_1_Дайджест 2003-2004 гг._Презентация 2007-2008 17.12 5" xfId="11444"/>
    <cellStyle name="_Книга22_1_Дайджест 2003-2004 гг._Презентация 2007-2008 17.12 6" xfId="11445"/>
    <cellStyle name="_Книга22_1_Дайджест 2003-2004 гг._Презентация 2007-2008 17.12 7" xfId="11446"/>
    <cellStyle name="_Книга22_1_Дайджест 2003-2004 гг._Презентация 2007-2008 17.12 8" xfId="11447"/>
    <cellStyle name="_Книга22_1_Дайджест 2003-2004 гг._Презентация 2007-2008 17.12 9" xfId="11448"/>
    <cellStyle name="_Книга22_1_Дайджест 2003-2004 гг._Презентация 2008 (2)" xfId="11449"/>
    <cellStyle name="_Книга22_1_Дайджест 2003-2004 гг._Презентация 2008 год (фин. часть) от 22.10.07" xfId="11450"/>
    <cellStyle name="_Книга22_1_Дайджест 2003-2004 гг._Презентация 2008 год (фин. часть) от 22.10.07 2" xfId="11451"/>
    <cellStyle name="_Книга22_1_Дайджест 2003-2004 гг._Презентация 2008 год (фин. часть) от 22.10.07 3" xfId="11452"/>
    <cellStyle name="_Книга22_1_Дайджест 2003-2004 гг._Презентация 2008 год (фин. часть) от 22.10.07 4" xfId="11453"/>
    <cellStyle name="_Книга22_1_Дайджест 2003-2004 гг._Презентация 2008 год (фин. часть) от 22.10.07 5" xfId="11454"/>
    <cellStyle name="_Книга22_1_Дайджест 2003-2004 гг._Презентация 2008 год (фин. часть) от 22.10.07 6" xfId="11455"/>
    <cellStyle name="_Книга22_1_Дайджест 2003-2004 гг._Презентация 2008 год (фин. часть) от 22.10.07 7" xfId="11456"/>
    <cellStyle name="_Книга22_1_Дайджест 2003-2004 гг._Презентация 2008 год (фин. часть) от 22.10.07 8" xfId="11457"/>
    <cellStyle name="_Книга22_1_Дайджест 2003-2004 гг._Презентация 2008 год (фин. часть) от 22.10.07 9" xfId="11458"/>
    <cellStyle name="_Книга22_1_Дайджест 2003-2004 гг._Презентация 2008 фин. часть (коричневые формы)" xfId="11459"/>
    <cellStyle name="_Книга22_1_Дайджест 2003-2004 гг._Презентация 2008 фин. часть (коричневые формы) 2" xfId="11460"/>
    <cellStyle name="_Книга22_1_Дайджест 2003-2004 гг._Презентация 2008 фин. часть (коричневые формы) 3" xfId="11461"/>
    <cellStyle name="_Книга22_1_Дайджест 2003-2004 гг._Презентация 2008 фин. часть (коричневые формы) 4" xfId="11462"/>
    <cellStyle name="_Книга22_1_Дайджест 2003-2004 гг._Презентация 2008 фин. часть (коричневые формы) 5" xfId="11463"/>
    <cellStyle name="_Книга22_1_Дайджест 2003-2004 гг._Презентация 2008 фин. часть (коричневые формы) 6" xfId="11464"/>
    <cellStyle name="_Книга22_1_Дайджест 2003-2004 гг._Презентация 2008 фин. часть (коричневые формы) 7" xfId="11465"/>
    <cellStyle name="_Книга22_1_Дайджест 2003-2004 гг._Презентация 2008 фин. часть (коричневые формы) 8" xfId="11466"/>
    <cellStyle name="_Книга22_1_Дайджест 2003-2004 гг._Презентация 2008 фин. часть (коричневые формы) 9" xfId="11467"/>
    <cellStyle name="_Книга22_1_Дайджест 2003-2004 гг._Презентация 3" xfId="11468"/>
    <cellStyle name="_Книга22_1_Дайджест 2003-2004 гг._Презентация 4" xfId="11469"/>
    <cellStyle name="_Книга22_1_Дайджест 2003-2004 гг._Презентация 5" xfId="11470"/>
    <cellStyle name="_Книга22_1_Дайджест 2003-2004 гг._Презентация 6" xfId="11471"/>
    <cellStyle name="_Книга22_1_Дайджест 2003-2004 гг._Презентация 7" xfId="11472"/>
    <cellStyle name="_Книга22_1_Дайджест 2003-2004 гг._Презентация 8" xfId="11473"/>
    <cellStyle name="_Книга22_1_Дайджест 2003-2004 гг._презентация 8.02.07" xfId="11474"/>
    <cellStyle name="_Книга22_1_Дайджест 2003-2004 гг._презентация 8.02.07 2" xfId="11475"/>
    <cellStyle name="_Книга22_1_Дайджест 2003-2004 гг._презентация 8.02.07 3" xfId="11476"/>
    <cellStyle name="_Книга22_1_Дайджест 2003-2004 гг._презентация 8.02.07 4" xfId="11477"/>
    <cellStyle name="_Книга22_1_Дайджест 2003-2004 гг._презентация 8.02.07 5" xfId="11478"/>
    <cellStyle name="_Книга22_1_Дайджест 2003-2004 гг._презентация 8.02.07 6" xfId="11479"/>
    <cellStyle name="_Книга22_1_Дайджест 2003-2004 гг._презентация 8.02.07 7" xfId="11480"/>
    <cellStyle name="_Книга22_1_Дайджест 2003-2004 гг._презентация 8.02.07 8" xfId="11481"/>
    <cellStyle name="_Книга22_1_Дайджест 2003-2004 гг._презентация 8.02.07 9" xfId="11482"/>
    <cellStyle name="_Книга22_1_Дайджест 2003-2004 гг._Презентация 9" xfId="11483"/>
    <cellStyle name="_Книга22_1_Дайджест 2003-2004 гг._Презентация август 07 факт" xfId="11484"/>
    <cellStyle name="_Книга22_1_Дайджест 2003-2004 гг._Презентация август 07 факт 2" xfId="11485"/>
    <cellStyle name="_Книга22_1_Дайджест 2003-2004 гг._Презентация август 07 факт 3" xfId="11486"/>
    <cellStyle name="_Книга22_1_Дайджест 2003-2004 гг._Презентация август 07 факт 4" xfId="11487"/>
    <cellStyle name="_Книга22_1_Дайджест 2003-2004 гг._Презентация август 07 факт 5" xfId="11488"/>
    <cellStyle name="_Книга22_1_Дайджест 2003-2004 гг._Презентация август 07 факт 6" xfId="11489"/>
    <cellStyle name="_Книга22_1_Дайджест 2003-2004 гг._Презентация август 07 факт 7" xfId="11490"/>
    <cellStyle name="_Книга22_1_Дайджест 2003-2004 гг._Презентация август 07 факт 8" xfId="11491"/>
    <cellStyle name="_Книга22_1_Дайджест 2003-2004 гг._Презентация август 07 факт 9" xfId="11492"/>
    <cellStyle name="_Книга22_1_Дайджест 2003-2004 гг._Презентация для Ульянова" xfId="11493"/>
    <cellStyle name="_Книга22_1_Дайджест 2003-2004 гг._Презентация для Ульянова 2" xfId="11494"/>
    <cellStyle name="_Книга22_1_Дайджест 2003-2004 гг._Презентация для Ульянова 3" xfId="11495"/>
    <cellStyle name="_Книга22_1_Дайджест 2003-2004 гг._Презентация для Ульянова 4" xfId="11496"/>
    <cellStyle name="_Книга22_1_Дайджест 2003-2004 гг._Презентация для Ульянова 5" xfId="11497"/>
    <cellStyle name="_Книга22_1_Дайджест 2003-2004 гг._Презентация для Ульянова 6" xfId="11498"/>
    <cellStyle name="_Книга22_1_Дайджест 2003-2004 гг._Презентация для Ульянова 7" xfId="11499"/>
    <cellStyle name="_Книга22_1_Дайджест 2003-2004 гг._Презентация для Ульянова 8" xfId="11500"/>
    <cellStyle name="_Книга22_1_Дайджест 2003-2004 гг._Презентация для Ульянова 9" xfId="11501"/>
    <cellStyle name="_Книга22_1_Дайджест 2003-2004 гг._Презентация для Ульянова И.Г. от 17.12.07" xfId="11502"/>
    <cellStyle name="_Книга22_1_Дайджест 2003-2004 гг._Презентация для Ульянова И.Г. от 17.12.07 2" xfId="11503"/>
    <cellStyle name="_Книга22_1_Дайджест 2003-2004 гг._Презентация для Ульянова И.Г. от 17.12.07 3" xfId="11504"/>
    <cellStyle name="_Книга22_1_Дайджест 2003-2004 гг._Презентация для Ульянова И.Г. от 17.12.07 4" xfId="11505"/>
    <cellStyle name="_Книга22_1_Дайджест 2003-2004 гг._Презентация для Ульянова И.Г. от 17.12.07 5" xfId="11506"/>
    <cellStyle name="_Книга22_1_Дайджест 2003-2004 гг._Презентация для Ульянова И.Г. от 17.12.07 6" xfId="11507"/>
    <cellStyle name="_Книга22_1_Дайджест 2003-2004 гг._Презентация для Ульянова И.Г. от 17.12.07 7" xfId="11508"/>
    <cellStyle name="_Книга22_1_Дайджест 2003-2004 гг._Презентация для Ульянова И.Г. от 17.12.07 8" xfId="11509"/>
    <cellStyle name="_Книга22_1_Дайджест 2003-2004 гг._Презентация для Ульянова И.Г. от 17.12.07 9" xfId="11510"/>
    <cellStyle name="_Книга22_1_Дайджест 2003-2004 гг._презентация займы РК г" xfId="11511"/>
    <cellStyle name="_Книга22_1_Дайджест 2003-2004 гг._презентация займы РК г 2" xfId="11512"/>
    <cellStyle name="_Книга22_1_Дайджест 2003-2004 гг._презентация займы РК г 3" xfId="11513"/>
    <cellStyle name="_Книга22_1_Дайджест 2003-2004 гг._презентация займы РК г 4" xfId="11514"/>
    <cellStyle name="_Книга22_1_Дайджест 2003-2004 гг._презентация займы РК г 5" xfId="11515"/>
    <cellStyle name="_Книга22_1_Дайджест 2003-2004 гг._презентация займы РК г 6" xfId="11516"/>
    <cellStyle name="_Книга22_1_Дайджест 2003-2004 гг._презентация займы РК г 7" xfId="11517"/>
    <cellStyle name="_Книга22_1_Дайджест 2003-2004 гг._презентация займы РК г 8" xfId="11518"/>
    <cellStyle name="_Книга22_1_Дайджест 2003-2004 гг._презентация займы РК г 9" xfId="11519"/>
    <cellStyle name="_Книга22_1_Дайджест 2003-2004 гг._Презентация инвестиции" xfId="11520"/>
    <cellStyle name="_Книга22_1_Дайджест 2003-2004 гг._Презентация инвестиции 2" xfId="11521"/>
    <cellStyle name="_Книга22_1_Дайджест 2003-2004 гг._Презентация инвестиции 3" xfId="11522"/>
    <cellStyle name="_Книга22_1_Дайджест 2003-2004 гг._Презентация инвестиции 4" xfId="11523"/>
    <cellStyle name="_Книга22_1_Дайджест 2003-2004 гг._Презентация инвестиции 5" xfId="11524"/>
    <cellStyle name="_Книга22_1_Дайджест 2003-2004 гг._Презентация инвестиции 6" xfId="11525"/>
    <cellStyle name="_Книга22_1_Дайджест 2003-2004 гг._Презентация инвестиции 7" xfId="11526"/>
    <cellStyle name="_Книга22_1_Дайджест 2003-2004 гг._Презентация инвестиции 8" xfId="11527"/>
    <cellStyle name="_Книга22_1_Дайджест 2003-2004 гг._Презентация инвестиции 9" xfId="11528"/>
    <cellStyle name="_Книга22_1_Дайджест 2003-2004 гг._Презентация коричн. СДП, РК, Инв план 2008 (фин. часть) от 24.03.08" xfId="11529"/>
    <cellStyle name="_Книга22_1_Дайджест 2003-2004 гг._Презентация коричн. СДП, РК, Инв план 2008 (фин. часть) от 24.03.08 2" xfId="11530"/>
    <cellStyle name="_Книга22_1_Дайджест 2003-2004 гг._Презентация коричн. СДП, РК, Инв план 2008 (фин. часть) от 24.03.08 3" xfId="11531"/>
    <cellStyle name="_Книга22_1_Дайджест 2003-2004 гг._Презентация коричн. СДП, РК, Инв план 2008 (фин. часть) от 24.03.08 4" xfId="11532"/>
    <cellStyle name="_Книга22_1_Дайджест 2003-2004 гг._Презентация коричн. СДП, РК, Инв план 2008 (фин. часть) от 24.03.08 5" xfId="11533"/>
    <cellStyle name="_Книга22_1_Дайджест 2003-2004 гг._Презентация коричн. СДП, РК, Инв план 2008 (фин. часть) от 24.03.08 6" xfId="11534"/>
    <cellStyle name="_Книга22_1_Дайджест 2003-2004 гг._Презентация коричн. СДП, РК, Инв план 2008 (фин. часть) от 24.03.08 7" xfId="11535"/>
    <cellStyle name="_Книга22_1_Дайджест 2003-2004 гг._Презентация коричн. СДП, РК, Инв план 2008 (фин. часть) от 24.03.08 8" xfId="11536"/>
    <cellStyle name="_Книга22_1_Дайджест 2003-2004 гг._Презентация коричн. СДП, РК, Инв план 2008 (фин. часть) от 24.03.08 9" xfId="11537"/>
    <cellStyle name="_Книга22_1_Дайджест 2003-2004 гг._Презентация коричневая 2007 план + ож" xfId="11538"/>
    <cellStyle name="_Книга22_1_Дайджест 2003-2004 гг._Презентация коричневая 2007-2008" xfId="11539"/>
    <cellStyle name="_Книга22_1_Дайджест 2003-2004 гг._Презентация от 10.12.07 (СПД и РК)  2007план и 2007ожид." xfId="11540"/>
    <cellStyle name="_Книга22_1_Дайджест 2003-2004 гг._Презентация от 10.12.07 (СПД и РК)  2007план и 2007ожид. 2" xfId="11541"/>
    <cellStyle name="_Книга22_1_Дайджест 2003-2004 гг._Презентация от 10.12.07 (СПД и РК)  2007план и 2007ожид. 3" xfId="11542"/>
    <cellStyle name="_Книга22_1_Дайджест 2003-2004 гг._Презентация от 10.12.07 (СПД и РК)  2007план и 2007ожид. 4" xfId="11543"/>
    <cellStyle name="_Книга22_1_Дайджест 2003-2004 гг._Презентация от 10.12.07 (СПД и РК)  2007план и 2007ожид. 5" xfId="11544"/>
    <cellStyle name="_Книга22_1_Дайджест 2003-2004 гг._Презентация от 10.12.07 (СПД и РК)  2007план и 2007ожид. 6" xfId="11545"/>
    <cellStyle name="_Книга22_1_Дайджест 2003-2004 гг._Презентация от 10.12.07 (СПД и РК)  2007план и 2007ожид. 7" xfId="11546"/>
    <cellStyle name="_Книга22_1_Дайджест 2003-2004 гг._Презентация от 10.12.07 (СПД и РК)  2007план и 2007ожид. 8" xfId="11547"/>
    <cellStyle name="_Книга22_1_Дайджест 2003-2004 гг._Презентация от 10.12.07 (СПД и РК)  2007план и 2007ожид. 9" xfId="11548"/>
    <cellStyle name="_Книга22_1_Дайджест 2003-2004 гг._Презентация от 10.12.07 (СПД и РК)  2008план и 2007ожид" xfId="11549"/>
    <cellStyle name="_Книга22_1_Дайджест 2003-2004 гг._Презентация от 10.12.07 (СПД и РК)  2008план и 2007ожид 2" xfId="11550"/>
    <cellStyle name="_Книга22_1_Дайджест 2003-2004 гг._Презентация от 10.12.07 (СПД и РК)  2008план и 2007ожид 3" xfId="11551"/>
    <cellStyle name="_Книга22_1_Дайджест 2003-2004 гг._Презентация от 10.12.07 (СПД и РК)  2008план и 2007ожид 4" xfId="11552"/>
    <cellStyle name="_Книга22_1_Дайджест 2003-2004 гг._Презентация от 10.12.07 (СПД и РК)  2008план и 2007ожид 5" xfId="11553"/>
    <cellStyle name="_Книга22_1_Дайджест 2003-2004 гг._Презентация от 10.12.07 (СПД и РК)  2008план и 2007ожид 6" xfId="11554"/>
    <cellStyle name="_Книга22_1_Дайджест 2003-2004 гг._Презентация от 10.12.07 (СПД и РК)  2008план и 2007ожид 7" xfId="11555"/>
    <cellStyle name="_Книга22_1_Дайджест 2003-2004 гг._Презентация от 10.12.07 (СПД и РК)  2008план и 2007ожид 8" xfId="11556"/>
    <cellStyle name="_Книга22_1_Дайджест 2003-2004 гг._Презентация от 10.12.07 (СПД и РК)  2008план и 2007ожид 9" xfId="11557"/>
    <cellStyle name="_Книга22_1_Дайджест 2003-2004 гг._Презентация от 19 12 07" xfId="11558"/>
    <cellStyle name="_Книга22_1_Дайджест 2003-2004 гг._Презентация от 19 12 07 2" xfId="11559"/>
    <cellStyle name="_Книга22_1_Дайджест 2003-2004 гг._Презентация от 19 12 07 3" xfId="11560"/>
    <cellStyle name="_Книга22_1_Дайджест 2003-2004 гг._Презентация от 19 12 07 4" xfId="11561"/>
    <cellStyle name="_Книга22_1_Дайджест 2003-2004 гг._Презентация от 19 12 07 5" xfId="11562"/>
    <cellStyle name="_Книга22_1_Дайджест 2003-2004 гг._Презентация от 19 12 07 6" xfId="11563"/>
    <cellStyle name="_Книга22_1_Дайджест 2003-2004 гг._Презентация от 19 12 07 7" xfId="11564"/>
    <cellStyle name="_Книга22_1_Дайджест 2003-2004 гг._Презентация от 19 12 07 8" xfId="11565"/>
    <cellStyle name="_Книга22_1_Дайджест 2003-2004 гг._Презентация от 19 12 07 9" xfId="11566"/>
    <cellStyle name="_Книга22_1_Дайджест 2003-2004 гг._Презентация СДП, РК, Инв план 2008 (фин. часть) от 24.03.08" xfId="11567"/>
    <cellStyle name="_Книга22_1_Дайджест 2003-2004 гг._Презентация СДП, РК, Инв план 2008 (фин. часть) от 24.03.08 2" xfId="11568"/>
    <cellStyle name="_Книга22_1_Дайджест 2003-2004 гг._Презентация СДП, РК, Инв план 2008 (фин. часть) от 24.03.08 3" xfId="11569"/>
    <cellStyle name="_Книга22_1_Дайджест 2003-2004 гг._Презентация СДП, РК, Инв план 2008 (фин. часть) от 24.03.08 4" xfId="11570"/>
    <cellStyle name="_Книга22_1_Дайджест 2003-2004 гг._Презентация СДП, РК, Инв план 2008 (фин. часть) от 24.03.08 5" xfId="11571"/>
    <cellStyle name="_Книга22_1_Дайджест 2003-2004 гг._Презентация СДП, РК, Инв план 2008 (фин. часть) от 24.03.08 6" xfId="11572"/>
    <cellStyle name="_Книга22_1_Дайджест 2003-2004 гг._Презентация СДП, РК, Инв план 2008 (фин. часть) от 24.03.08 7" xfId="11573"/>
    <cellStyle name="_Книга22_1_Дайджест 2003-2004 гг._Презентация СДП, РК, Инв план 2008 (фин. часть) от 24.03.08 8" xfId="11574"/>
    <cellStyle name="_Книга22_1_Дайджест 2003-2004 гг._Презентация СДП, РК, Инв план 2008 (фин. часть) от 24.03.08 9" xfId="11575"/>
    <cellStyle name="_Книга22_1_Дайджест 2003-2004 гг._Презентация ФО от 17.12.07" xfId="11576"/>
    <cellStyle name="_Книга22_1_Дайджест 2003-2004 гг._Презентация ФО от 17.12.07 2" xfId="11577"/>
    <cellStyle name="_Книга22_1_Дайджест 2003-2004 гг._Презентация ФО от 17.12.07 3" xfId="11578"/>
    <cellStyle name="_Книга22_1_Дайджест 2003-2004 гг._Презентация ФО от 17.12.07 4" xfId="11579"/>
    <cellStyle name="_Книга22_1_Дайджест 2003-2004 гг._Презентация ФО от 17.12.07 5" xfId="11580"/>
    <cellStyle name="_Книга22_1_Дайджест 2003-2004 гг._Презентация ФО от 17.12.07 6" xfId="11581"/>
    <cellStyle name="_Книга22_1_Дайджест 2003-2004 гг._Презентация ФО от 17.12.07 7" xfId="11582"/>
    <cellStyle name="_Книга22_1_Дайджест 2003-2004 гг._Презентация ФО от 17.12.07 8" xfId="11583"/>
    <cellStyle name="_Книга22_1_Дайджест 2003-2004 гг._Презентация ФО от 17.12.07 9" xfId="11584"/>
    <cellStyle name="_Книга22_1_Дайджест 2003-2004 гг._презентация-2008год " xfId="11585"/>
    <cellStyle name="_Книга22_1_Дайджест 2003-2004 гг._презентация-2008год  2" xfId="11586"/>
    <cellStyle name="_Книга22_1_Дайджест 2003-2004 гг._презентация-2008год  3" xfId="11587"/>
    <cellStyle name="_Книга22_1_Дайджест 2003-2004 гг._презентация-2008год  4" xfId="11588"/>
    <cellStyle name="_Книга22_1_Дайджест 2003-2004 гг._презентация-2008год  5" xfId="11589"/>
    <cellStyle name="_Книга22_1_Дайджест 2003-2004 гг._презентация-2008год  6" xfId="11590"/>
    <cellStyle name="_Книга22_1_Дайджест 2003-2004 гг._презентация-2008год  7" xfId="11591"/>
    <cellStyle name="_Книга22_1_Дайджест 2003-2004 гг._презентация-2008год  8" xfId="11592"/>
    <cellStyle name="_Книга22_1_Дайджест 2003-2004 гг._презентация-2008год  9" xfId="11593"/>
    <cellStyle name="_Книга22_1_Дайджест 2003-2004 гг._Презетация ФО (с учетом инвестиций на 2341,2)" xfId="11594"/>
    <cellStyle name="_Книга22_1_Дайджест 2003-2004 гг._Презетация ФО (с учетом инвестиций на 2341,2) 2" xfId="11595"/>
    <cellStyle name="_Книга22_1_Дайджест 2003-2004 гг._Презетация ФО (с учетом инвестиций на 2341,2) 3" xfId="11596"/>
    <cellStyle name="_Книга22_1_Дайджест 2003-2004 гг._Презетация ФО (с учетом инвестиций на 2341,2) 4" xfId="11597"/>
    <cellStyle name="_Книга22_1_Дайджест 2003-2004 гг._Презетация ФО (с учетом инвестиций на 2341,2) 5" xfId="11598"/>
    <cellStyle name="_Книга22_1_Дайджест 2003-2004 гг._Презетация ФО (с учетом инвестиций на 2341,2) 6" xfId="11599"/>
    <cellStyle name="_Книга22_1_Дайджест 2003-2004 гг._Презетация ФО (с учетом инвестиций на 2341,2) 7" xfId="11600"/>
    <cellStyle name="_Книга22_1_Дайджест 2003-2004 гг._Презетация ФО (с учетом инвестиций на 2341,2) 8" xfId="11601"/>
    <cellStyle name="_Книга22_1_Дайджест 2003-2004 гг._Презетация ФО (с учетом инвестиций на 2341,2) 9" xfId="11602"/>
    <cellStyle name="_Книга22_1_Дайджест 2003-2004 гг._Приложения (формы отчетности)" xfId="11603"/>
    <cellStyle name="_Книга22_1_Дайджест 2003-2004 гг._Приложения февраль 09 (МП) отпр в УК от 04 02 09" xfId="11604"/>
    <cellStyle name="_Книга22_1_Дайджест 2003-2004 гг._Прогноз консолидированный июнь" xfId="11605"/>
    <cellStyle name="_Книга22_1_Дайджест 2003-2004 гг._РК+СДП 2008 год" xfId="11606"/>
    <cellStyle name="_Книга22_1_Дайджест 2003-2004 гг._РК+СДП 2008 год 2" xfId="11607"/>
    <cellStyle name="_Книга22_1_Дайджест 2003-2004 гг._РК+СДП 2008 год 3" xfId="11608"/>
    <cellStyle name="_Книга22_1_Дайджест 2003-2004 гг._РК+СДП 2008 год 4" xfId="11609"/>
    <cellStyle name="_Книга22_1_Дайджест 2003-2004 гг._РК+СДП 2008 год 5" xfId="11610"/>
    <cellStyle name="_Книга22_1_Дайджест 2003-2004 гг._РК+СДП 2008 год 6" xfId="11611"/>
    <cellStyle name="_Книга22_1_Дайджест 2003-2004 гг._РК+СДП 2008 год 7" xfId="11612"/>
    <cellStyle name="_Книга22_1_Дайджест 2003-2004 гг._РК+СДП 2008 год 8" xfId="11613"/>
    <cellStyle name="_Книга22_1_Дайджест 2003-2004 гг._РК+СДП 2008 год 9" xfId="11614"/>
    <cellStyle name="_Книга22_1_Дайджест 2003-2004 гг._Свод производства 1 квартал" xfId="11615"/>
    <cellStyle name="_Книга22_1_Дайджест 2003-2004 гг._Себестоимость" xfId="11616"/>
    <cellStyle name="_Книга22_1_Дайджест 2003-2004 гг._Слайд осн показатели к совещанию в УК от 18 01 09" xfId="11617"/>
    <cellStyle name="_Книга22_1_Дайджест 2003-2004 гг._Слайды 2-й квартал (ФП-КП)" xfId="11618"/>
    <cellStyle name="_Книга22_1_Дайджест 2003-2004 гг._Слайды 2-й квартал (ФП-КП) 2" xfId="11619"/>
    <cellStyle name="_Книга22_1_Дайджест 2003-2004 гг._Слайды 2-й квартал (ФП-КП) 3" xfId="11620"/>
    <cellStyle name="_Книга22_1_Дайджест 2003-2004 гг._Слайды 2-й квартал (ФП-КП) 4" xfId="11621"/>
    <cellStyle name="_Книга22_1_Дайджест 2003-2004 гг._Слайды 2-й квартал (ФП-КП) 5" xfId="11622"/>
    <cellStyle name="_Книга22_1_Дайджест 2003-2004 гг._Слайды 2-й квартал (ФП-КП) 6" xfId="11623"/>
    <cellStyle name="_Книга22_1_Дайджест 2003-2004 гг._Слайды 2-й квартал (ФП-КП) 7" xfId="11624"/>
    <cellStyle name="_Книга22_1_Дайджест 2003-2004 гг._Слайды 2-й квартал (ФП-КП) 8" xfId="11625"/>
    <cellStyle name="_Книга22_1_Дайджест 2003-2004 гг._Слайды 2-й квартал (ФП-КП) 9" xfId="11626"/>
    <cellStyle name="_Книга22_1_Дайджест 2003-2004 гг._СПД, РК, Инв. 2008 коричневая" xfId="11627"/>
    <cellStyle name="_Книга22_1_Дайджест 2003-2004 гг._СПД, РК, Инв. 2008 коричневая 2" xfId="11628"/>
    <cellStyle name="_Книга22_1_Дайджест 2003-2004 гг._СПД, РК, Инв. 2008 коричневая 3" xfId="11629"/>
    <cellStyle name="_Книга22_1_Дайджест 2003-2004 гг._СПД, РК, Инв. 2008 коричневая 4" xfId="11630"/>
    <cellStyle name="_Книга22_1_Дайджест 2003-2004 гг._СПД, РК, Инв. 2008 коричневая 5" xfId="11631"/>
    <cellStyle name="_Книга22_1_Дайджест 2003-2004 гг._СПД, РК, Инв. 2008 коричневая 6" xfId="11632"/>
    <cellStyle name="_Книга22_1_Дайджест 2003-2004 гг._СПД, РК, Инв. 2008 коричневая 7" xfId="11633"/>
    <cellStyle name="_Книга22_1_Дайджест 2003-2004 гг._СПД, РК, Инв. 2008 коричневая 8" xfId="11634"/>
    <cellStyle name="_Книга22_1_Дайджест 2003-2004 гг._СПД, РК, Инв. 2008 коричневая 9" xfId="11635"/>
    <cellStyle name="_Книга22_1_Дайджест 2003-2004 гг._Сравнение ожидаемого 2008  c БП 2009г. УрСт вариант 2 (скоррект. цены)" xfId="11636"/>
    <cellStyle name="_Книга22_1_Дайджест 2003-2004 гг._Сравнение ожидаемого 2008 с 2009г  ОЭМК от 06 10 2008" xfId="11637"/>
    <cellStyle name="_Книга22_1_Дайджест 2003-2004 гг._Сравнение ожидаемого 2008 с 2009г. ОЭМК  28.10.2008 (скорректир. цены)" xfId="11638"/>
    <cellStyle name="_Книга22_1_Дайджест 2003-2004 гг._Сравнение ожидаемого 2008 УС c 2009г  от 06 10 2008" xfId="11639"/>
    <cellStyle name="_Книга22_1_Дайджест 2003-2004 гг._Структура затрат (Формат) ЛГОК" xfId="11640"/>
    <cellStyle name="_Книга22_1_Дайджест 2003-2004 гг._Структура затрат (Формат) ЛГОК_28.01.2009" xfId="11641"/>
    <cellStyle name="_Книга22_1_Дайджест 2003-2004 гг._ТП на 2011_год покварт" xfId="11642"/>
    <cellStyle name="_Книга22_1_Дайджест 2003-2004 гг._Труд для нас" xfId="11643"/>
    <cellStyle name="_Книга22_1_Дайджест 2003-2004 гг._Труд для нас 2" xfId="11644"/>
    <cellStyle name="_Книга22_1_Дайджест 2003-2004 гг._Труд для нас 3" xfId="11645"/>
    <cellStyle name="_Книга22_1_Дайджест 2003-2004 гг._Труд для нас 4" xfId="11646"/>
    <cellStyle name="_Книга22_1_Дайджест 2003-2004 гг._Труд для нас 5" xfId="11647"/>
    <cellStyle name="_Книга22_1_Дайджест 2003-2004 гг._Труд для нас 6" xfId="11648"/>
    <cellStyle name="_Книга22_1_Дайджест 2003-2004 гг._Труд для нас 7" xfId="11649"/>
    <cellStyle name="_Книга22_1_Дайджест 2003-2004 гг._Труд для нас 8" xfId="11650"/>
    <cellStyle name="_Книга22_1_Дайджест 2003-2004 гг._Труд для нас 9" xfId="11651"/>
    <cellStyle name="_Книга22_1_Дайджест 2003-2004 гг._УралКирпич_план на 2 кв. 2009" xfId="11652"/>
    <cellStyle name="_Книга22_1_Дайджест 2003-2004 гг._УСТ - любимая табличка по новому 2009 г." xfId="11653"/>
    <cellStyle name="_Книга22_1_Дайджест 2003-2004 гг._Ф 29, 30" xfId="11654"/>
    <cellStyle name="_Книга22_1_Дайджест 2003-2004 гг._Ф 29, 30 2" xfId="11655"/>
    <cellStyle name="_Книга22_1_Дайджест 2003-2004 гг._Ф 29, 30 3" xfId="11656"/>
    <cellStyle name="_Книга22_1_Дайджест 2003-2004 гг._Ф 29, 30 4" xfId="11657"/>
    <cellStyle name="_Книга22_1_Дайджест 2003-2004 гг._Ф 29, 30 5" xfId="11658"/>
    <cellStyle name="_Книга22_1_Дайджест 2003-2004 гг._Ф 29, 30 6" xfId="11659"/>
    <cellStyle name="_Книга22_1_Дайджест 2003-2004 гг._Ф 29, 30 7" xfId="11660"/>
    <cellStyle name="_Книга22_1_Дайджест 2003-2004 гг._Ф 29, 30 8" xfId="11661"/>
    <cellStyle name="_Книга22_1_Дайджест 2003-2004 гг._Ф 29, 30 9" xfId="11662"/>
    <cellStyle name="_Книга22_1_Дайджест 2003-2004 гг._ф IIкв.07 EBITDA ЛГОК 27.07.07" xfId="11663"/>
    <cellStyle name="_Книга22_1_Дайджест 2003-2004 гг._ф01 2007 фин. часть МГОК 21.03.07" xfId="11664"/>
    <cellStyle name="_Книга22_1_Дайджест 2003-2004 гг._ф01.07 EBITDA ОАО ЛГОК 02.03.07" xfId="11665"/>
    <cellStyle name="_Книга22_1_Дайджест 2003-2004 гг._ф01.07 EBITDA ОАО ЛГОК 05.03.07" xfId="11666"/>
    <cellStyle name="_Книга22_1_Дайджест 2003-2004 гг._ф01.07 EBITDA ОАО ЛГОК с изм. 30.03.07" xfId="11667"/>
    <cellStyle name="_Книга22_1_Дайджест 2003-2004 гг._ф01.07 EBITDA ОАО УС 05.03.07" xfId="11668"/>
    <cellStyle name="_Книга22_1_Дайджест 2003-2004 гг._ф01.07 EBITDA ОАО УС 05.03.07(26,2)" xfId="11669"/>
    <cellStyle name="_Книга22_1_Дайджест 2003-2004 гг._ф01.07 EBITDA ОЭМК 02.03.07" xfId="11670"/>
    <cellStyle name="_Книга22_1_Дайджест 2003-2004 гг._ф02.07 EBITDA ОАО ЛГОК 28.03.07" xfId="11671"/>
    <cellStyle name="_Книга22_1_Дайджест 2003-2004 гг._ф02.07 EBITDA ОАО УС 28.03.07" xfId="11672"/>
    <cellStyle name="_Книга22_1_Дайджест 2003-2004 гг._ф02.07 EBITDA ОЭМК 28.03.07" xfId="11673"/>
    <cellStyle name="_Книга22_1_Дайджест 2003-2004 гг._ф11 Депозиты" xfId="11674"/>
    <cellStyle name="_Книга22_1_Дайджест 2003-2004 гг._ф1кв.07 EBITDA ЛГОК 28.04.07" xfId="11675"/>
    <cellStyle name="_Книга22_1_Дайджест 2003-2004 гг._фIкв EBITDA ОАО УС 28.04.07" xfId="11676"/>
    <cellStyle name="_Книга22_1_Дайджест 2003-2004 гг._фIкв EBITDA ОЭМК 28.04.07" xfId="11677"/>
    <cellStyle name="_Книга22_1_Дайджест 2003-2004 гг._Факт_2007_Часть 2" xfId="11678"/>
    <cellStyle name="_Книга22_1_Дайджест 2003-2004 гг._Фин.часть  2007ожид и 2008 план" xfId="11679"/>
    <cellStyle name="_Книга22_1_Дайджест 2003-2004 гг._Фин.часть  2007ожид и 2008 план 2" xfId="11680"/>
    <cellStyle name="_Книга22_1_Дайджест 2003-2004 гг._Фин.часть  2007ожид и 2008 план 3" xfId="11681"/>
    <cellStyle name="_Книга22_1_Дайджест 2003-2004 гг._Фин.часть  2007ожид и 2008 план 4" xfId="11682"/>
    <cellStyle name="_Книга22_1_Дайджест 2003-2004 гг._Фин.часть  2007ожид и 2008 план 5" xfId="11683"/>
    <cellStyle name="_Книга22_1_Дайджест 2003-2004 гг._Фин.часть  2007ожид и 2008 план 6" xfId="11684"/>
    <cellStyle name="_Книга22_1_Дайджест 2003-2004 гг._Фин.часть  2007ожид и 2008 план 7" xfId="11685"/>
    <cellStyle name="_Книга22_1_Дайджест 2003-2004 гг._Фин.часть  2007ожид и 2008 план 8" xfId="11686"/>
    <cellStyle name="_Книга22_1_Дайджест 2003-2004 гг._Фин.часть  2007ожид и 2008 план 9" xfId="11687"/>
    <cellStyle name="_Книга22_1_Дайджест 2003-2004 гг._Фин.часть 11.12.06" xfId="11688"/>
    <cellStyle name="_Книга22_1_Дайджест 2003-2004 гг._Фин.часть 11.12.06 2" xfId="11689"/>
    <cellStyle name="_Книга22_1_Дайджест 2003-2004 гг._Фин.часть 11.12.06 3" xfId="11690"/>
    <cellStyle name="_Книга22_1_Дайджест 2003-2004 гг._Фин.часть 11.12.06 4" xfId="11691"/>
    <cellStyle name="_Книга22_1_Дайджест 2003-2004 гг._Фин.часть 11.12.06 5" xfId="11692"/>
    <cellStyle name="_Книга22_1_Дайджест 2003-2004 гг._Фин.часть 11.12.06 6" xfId="11693"/>
    <cellStyle name="_Книга22_1_Дайджест 2003-2004 гг._Фин.часть 11.12.06 7" xfId="11694"/>
    <cellStyle name="_Книга22_1_Дайджест 2003-2004 гг._Фин.часть 11.12.06 8" xfId="11695"/>
    <cellStyle name="_Книга22_1_Дайджест 2003-2004 гг._Фин.часть 11.12.06 9" xfId="11696"/>
    <cellStyle name="_Книга22_1_Дайджест 2003-2004 гг._Форма  19     27.03.07" xfId="11697"/>
    <cellStyle name="_Книга22_1_Дайджест 2003-2004 гг._Форма  19     27.03.07 2" xfId="11698"/>
    <cellStyle name="_Книга22_1_Дайджест 2003-2004 гг._Форма  19     27.03.07 3" xfId="11699"/>
    <cellStyle name="_Книга22_1_Дайджест 2003-2004 гг._Форма  19     27.03.07 4" xfId="11700"/>
    <cellStyle name="_Книга22_1_Дайджест 2003-2004 гг._Форма  19     27.03.07 5" xfId="11701"/>
    <cellStyle name="_Книга22_1_Дайджест 2003-2004 гг._Форма  19     27.03.07 6" xfId="11702"/>
    <cellStyle name="_Книга22_1_Дайджест 2003-2004 гг._Форма  19     27.03.07 7" xfId="11703"/>
    <cellStyle name="_Книга22_1_Дайджест 2003-2004 гг._Форма  19     27.03.07 8" xfId="11704"/>
    <cellStyle name="_Книга22_1_Дайджест 2003-2004 гг._Форма  19     27.03.07 9" xfId="11705"/>
    <cellStyle name="_Книга22_1_Дайджест 2003-2004 гг._Форма  20,21 25.02.07" xfId="11706"/>
    <cellStyle name="_Книга22_1_Дайджест 2003-2004 гг._Форма _ 2,4,5,30 скорр." xfId="11707"/>
    <cellStyle name="_Книга22_1_Дайджест 2003-2004 гг._Форма 19 за 1 кв" xfId="11708"/>
    <cellStyle name="_Книга22_1_Дайджест 2003-2004 гг._Форма 20,21за 1 кв 25.04.07" xfId="11709"/>
    <cellStyle name="_Книга22_1_Дайджест 2003-2004 гг._Форма 28" xfId="11710"/>
    <cellStyle name="_Книга22_1_Дайджест 2003-2004 гг._Форма 9" xfId="11711"/>
    <cellStyle name="_Книга22_1_Дайджест 2003-2004 гг._Форма 9 2" xfId="11712"/>
    <cellStyle name="_Книга22_1_Дайджест 2003-2004 гг._Форма 9 3" xfId="11713"/>
    <cellStyle name="_Книга22_1_Дайджест 2003-2004 гг._Форма 9 4" xfId="11714"/>
    <cellStyle name="_Книга22_1_Дайджест 2003-2004 гг._Форма 9 5" xfId="11715"/>
    <cellStyle name="_Книга22_1_Дайджест 2003-2004 гг._Форма 9 6" xfId="11716"/>
    <cellStyle name="_Книга22_1_Дайджест 2003-2004 гг._Форма 9 7" xfId="11717"/>
    <cellStyle name="_Книга22_1_Дайджест 2003-2004 гг._Форма 9 8" xfId="11718"/>
    <cellStyle name="_Книга22_1_Дайджест 2003-2004 гг._Форма 9 9" xfId="11719"/>
    <cellStyle name="_Книга22_1_Дайджест 2003-2004 гг._Форма № 13, 14" xfId="11720"/>
    <cellStyle name="_Книга22_1_Дайджест 2003-2004 гг._Форма № 19 25.02.07" xfId="11721"/>
    <cellStyle name="_Книга22_1_Дайджест 2003-2004 гг._Форма № 28, 29, 30 план год 2008 от 05.12.07 для отправки" xfId="11722"/>
    <cellStyle name="_Книга22_1_Дайджест 2003-2004 гг._Форма № 28, 29, 30 план год 2008 от 05.12.07 для отправки 2" xfId="11723"/>
    <cellStyle name="_Книга22_1_Дайджест 2003-2004 гг._Форма № 28, 29, 30 план год 2008 от 05.12.07 для отправки 3" xfId="11724"/>
    <cellStyle name="_Книга22_1_Дайджест 2003-2004 гг._Форма № 28, 29, 30 план год 2008 от 05.12.07 для отправки 4" xfId="11725"/>
    <cellStyle name="_Книга22_1_Дайджест 2003-2004 гг._Форма № 28, 29, 30 план год 2008 от 05.12.07 для отправки 5" xfId="11726"/>
    <cellStyle name="_Книга22_1_Дайджест 2003-2004 гг._Форма № 28, 29, 30 план год 2008 от 05.12.07 для отправки 6" xfId="11727"/>
    <cellStyle name="_Книга22_1_Дайджест 2003-2004 гг._Форма № 28, 29, 30 план год 2008 от 05.12.07 для отправки 7" xfId="11728"/>
    <cellStyle name="_Книга22_1_Дайджест 2003-2004 гг._Форма № 28, 29, 30 план год 2008 от 05.12.07 для отправки 8" xfId="11729"/>
    <cellStyle name="_Книга22_1_Дайджест 2003-2004 гг._Форма № 28, 29, 30 план год 2008 от 05.12.07 для отправки 9" xfId="11730"/>
    <cellStyle name="_Книга22_1_Дайджест 2003-2004 гг._Форма № 29" xfId="11731"/>
    <cellStyle name="_Книга22_1_Дайджест 2003-2004 гг._Форма № 29 2" xfId="11732"/>
    <cellStyle name="_Книга22_1_Дайджест 2003-2004 гг._Форма № 29 3" xfId="11733"/>
    <cellStyle name="_Книга22_1_Дайджест 2003-2004 гг._Форма № 29 4" xfId="11734"/>
    <cellStyle name="_Книга22_1_Дайджест 2003-2004 гг._Форма № 29 5" xfId="11735"/>
    <cellStyle name="_Книга22_1_Дайджест 2003-2004 гг._Форма № 29 6" xfId="11736"/>
    <cellStyle name="_Книга22_1_Дайджест 2003-2004 гг._Форма № 29 7" xfId="11737"/>
    <cellStyle name="_Книга22_1_Дайджест 2003-2004 гг._Форма № 29 8" xfId="11738"/>
    <cellStyle name="_Книга22_1_Дайджест 2003-2004 гг._Форма № 29 9" xfId="11739"/>
    <cellStyle name="_Книга22_1_Дайджест 2003-2004 гг._Форма № 30  26.02.07" xfId="11740"/>
    <cellStyle name="_Книга22_1_Дайджест 2003-2004 гг._Форма №13" xfId="11741"/>
    <cellStyle name="_Книга22_1_Дайджест 2003-2004 гг._Форма №13, 14 от 25.04.07" xfId="11742"/>
    <cellStyle name="_Книга22_1_Дайджест 2003-2004 гг._Форма №14" xfId="11743"/>
    <cellStyle name="_Книга22_1_Дайджест 2003-2004 гг._Форма №19 июль факт" xfId="11744"/>
    <cellStyle name="_Книга22_1_Дайджест 2003-2004 гг._форма №24 от 07.12.2006г" xfId="11745"/>
    <cellStyle name="_Книга22_1_Дайджест 2003-2004 гг._форма №24 от 11.12.2006г" xfId="11746"/>
    <cellStyle name="_Книга22_1_Дайджест 2003-2004 гг._форма №24 от 15.12.2006г" xfId="11747"/>
    <cellStyle name="_Книга22_1_Дайджест 2003-2004 гг._форма №24,25 2 кв. от 02.04.07" xfId="11748"/>
    <cellStyle name="_Книга22_1_Дайджест 2003-2004 гг._Форма №24,25 за 1 кв 2007" xfId="11749"/>
    <cellStyle name="_Книга22_1_Дайджест 2003-2004 гг._Форма №24,25 за янв 2007" xfId="11750"/>
    <cellStyle name="_Книга22_1_Дайджест 2003-2004 гг._Форма №26 1 кв" xfId="11751"/>
    <cellStyle name="_Книга22_1_Дайджест 2003-2004 гг._Форма №27 1 кв" xfId="11752"/>
    <cellStyle name="_Книга22_1_Дайджест 2003-2004 гг._Форма №8" xfId="11753"/>
    <cellStyle name="_Книга22_1_Дайджест 2003-2004 гг._форма презентации по численности и зарплате" xfId="11754"/>
    <cellStyle name="_Книга22_1_Дайджест 2003-2004 гг._форма презентации по численности и зарплате 2" xfId="11755"/>
    <cellStyle name="_Книга22_1_Дайджест 2003-2004 гг._форма презентации по численности и зарплате 3" xfId="11756"/>
    <cellStyle name="_Книга22_1_Дайджест 2003-2004 гг._форма презентации по численности и зарплате 4" xfId="11757"/>
    <cellStyle name="_Книга22_1_Дайджест 2003-2004 гг._форма презентации по численности и зарплате 5" xfId="11758"/>
    <cellStyle name="_Книга22_1_Дайджест 2003-2004 гг._форма презентации по численности и зарплате 6" xfId="11759"/>
    <cellStyle name="_Книга22_1_Дайджест 2003-2004 гг._форма презентации по численности и зарплате 7" xfId="11760"/>
    <cellStyle name="_Книга22_1_Дайджест 2003-2004 гг._форма презентации по численности и зарплате 8" xfId="11761"/>
    <cellStyle name="_Книга22_1_Дайджест 2003-2004 гг._форма презентации по численности и зарплате 9" xfId="11762"/>
    <cellStyle name="_Книга22_1_Дайджест 2003-2004 гг._Форма№13 (новая от 28 12 09г) февраль версия № и последняя" xfId="11763"/>
    <cellStyle name="_Книга22_1_Дайджест 2003-2004 гг._Формат" xfId="11764"/>
    <cellStyle name="_Книга22_1_Дайджест 2003-2004 гг._формат отчетности(фев с март)" xfId="11765"/>
    <cellStyle name="_Книга22_1_Дайджест 2003-2004 гг._Формат Январь прогноз" xfId="11766"/>
    <cellStyle name="_Книга22_1_Дайджест 2003-2004 гг._Формы 19,20,21" xfId="11767"/>
    <cellStyle name="_Книга22_1_Дайджест 2003-2004 гг._Формы 19,20,21 16.12.06 " xfId="11768"/>
    <cellStyle name="_Книга22_1_Дайджест 2003-2004 гг._Формы 19,20,21 на 2007г." xfId="11769"/>
    <cellStyle name="_Книга22_1_Дайджест 2003-2004 гг._Формы Август-декбарь" xfId="11770"/>
    <cellStyle name="_Книга22_1_Дайджест 2003-2004 гг._Формы для ЛГОК (к отправке)" xfId="11771"/>
    <cellStyle name="_Книга22_1_Дайджест 2003-2004 гг._Формы для ОЭМК (к отправке)" xfId="11772"/>
    <cellStyle name="_Книга22_1_Дайджест 2003-2004 гг._Формы общие отчет за год" xfId="11773"/>
    <cellStyle name="_Книга22_1_Дайджест 2003-2004 гг._Формы общие отчет за год 10" xfId="11774"/>
    <cellStyle name="_Книга22_1_Дайджест 2003-2004 гг._Формы общие отчет за год 11" xfId="11775"/>
    <cellStyle name="_Книга22_1_Дайджест 2003-2004 гг._Формы общие отчет за год 12" xfId="11776"/>
    <cellStyle name="_Книга22_1_Дайджест 2003-2004 гг._Формы общие отчет за год 13" xfId="11777"/>
    <cellStyle name="_Книга22_1_Дайджест 2003-2004 гг._Формы общие отчет за год 2" xfId="11778"/>
    <cellStyle name="_Книга22_1_Дайджест 2003-2004 гг._Формы общие отчет за год 3" xfId="11779"/>
    <cellStyle name="_Книга22_1_Дайджест 2003-2004 гг._Формы общие отчет за год 4" xfId="11780"/>
    <cellStyle name="_Книга22_1_Дайджест 2003-2004 гг._Формы общие отчет за год 5" xfId="11781"/>
    <cellStyle name="_Книга22_1_Дайджест 2003-2004 гг._Формы общие отчет за год 6" xfId="11782"/>
    <cellStyle name="_Книга22_1_Дайджест 2003-2004 гг._Формы общие отчет за год 7" xfId="11783"/>
    <cellStyle name="_Книга22_1_Дайджест 2003-2004 гг._Формы общие отчет за год 8" xfId="11784"/>
    <cellStyle name="_Книга22_1_Дайджест 2003-2004 гг._Формы общие отчет за год 9" xfId="11785"/>
    <cellStyle name="_Книга22_1_Дайджест 2003-2004 гг._Формы общие отчет за год__План по труду 2008 261107 (10% с января)" xfId="11786"/>
    <cellStyle name="_Книга22_1_Дайджест 2003-2004 гг._Формы общие отчет за год__План по труду 2008 261107 (10% с января) 2" xfId="11787"/>
    <cellStyle name="_Книга22_1_Дайджест 2003-2004 гг._Формы общие отчет за год__План по труду 2008 261107 (10% с января) 3" xfId="11788"/>
    <cellStyle name="_Книга22_1_Дайджест 2003-2004 гг._Формы общие отчет за год__План по труду 2008 261107 (10% с января) 4" xfId="11789"/>
    <cellStyle name="_Книга22_1_Дайджест 2003-2004 гг._Формы общие отчет за год__План по труду 2008 261107 (10% с января) 5" xfId="11790"/>
    <cellStyle name="_Книга22_1_Дайджест 2003-2004 гг._Формы общие отчет за год__План по труду 2008 261107 (10% с января) 6" xfId="11791"/>
    <cellStyle name="_Книга22_1_Дайджест 2003-2004 гг._Формы общие отчет за год__План по труду 2008 261107 (10% с января) 7" xfId="11792"/>
    <cellStyle name="_Книга22_1_Дайджест 2003-2004 гг._Формы общие отчет за год__План по труду 2008 261107 (10% с января) 8" xfId="11793"/>
    <cellStyle name="_Книга22_1_Дайджест 2003-2004 гг._Формы общие отчет за год__План по труду 2008 261107 (10% с января) 9" xfId="11794"/>
    <cellStyle name="_Книга22_1_Дайджест 2003-2004 гг._Формы общие отчет за год__План по труду 2008 ИТОГ (правл. ПНР 161007)_" xfId="11795"/>
    <cellStyle name="_Книга22_1_Дайджест 2003-2004 гг._Формы общие отчет за год__План по труду 2008 ИТОГ (правл. ПНР 161007)_ 2" xfId="11796"/>
    <cellStyle name="_Книга22_1_Дайджест 2003-2004 гг._Формы общие отчет за год__План по труду 2008 ИТОГ (правл. ПНР 161007)_ 3" xfId="11797"/>
    <cellStyle name="_Книга22_1_Дайджест 2003-2004 гг._Формы общие отчет за год__План по труду 2008 ИТОГ (правл. ПНР 161007)_ 4" xfId="11798"/>
    <cellStyle name="_Книга22_1_Дайджест 2003-2004 гг._Формы общие отчет за год__План по труду 2008 ИТОГ (правл. ПНР 161007)_ 5" xfId="11799"/>
    <cellStyle name="_Книга22_1_Дайджест 2003-2004 гг._Формы общие отчет за год__План по труду 2008 ИТОГ (правл. ПНР 161007)_ 6" xfId="11800"/>
    <cellStyle name="_Книга22_1_Дайджест 2003-2004 гг._Формы общие отчет за год__План по труду 2008 ИТОГ (правл. ПНР 161007)_ 7" xfId="11801"/>
    <cellStyle name="_Книга22_1_Дайджест 2003-2004 гг._Формы общие отчет за год__План по труду 2008 ИТОГ (правл. ПНР 161007)_ 8" xfId="11802"/>
    <cellStyle name="_Книга22_1_Дайджест 2003-2004 гг._Формы общие отчет за год__План по труду 2008 ИТОГ (правл. ПНР 161007)_ 9" xfId="11803"/>
    <cellStyle name="_Книга22_1_Дайджест 2003-2004 гг._Формы общие отчет за год_2_Инвестпрограмма на 2008 год (КОВАЛЕВ)" xfId="11804"/>
    <cellStyle name="_Книга22_1_Дайджест 2003-2004 гг._Формы общие отчет за год_Данные для ФОТ на 2008 год" xfId="11805"/>
    <cellStyle name="_Книга22_1_Дайджест 2003-2004 гг._Формы общие отчет за год_Данные для ФОТ на 2008 год 2" xfId="11806"/>
    <cellStyle name="_Книга22_1_Дайджест 2003-2004 гг._Формы общие отчет за год_Данные для ФОТ на 2008 год 3" xfId="11807"/>
    <cellStyle name="_Книга22_1_Дайджест 2003-2004 гг._Формы общие отчет за год_Данные для ФОТ на 2008 год 4" xfId="11808"/>
    <cellStyle name="_Книга22_1_Дайджест 2003-2004 гг._Формы общие отчет за год_Данные для ФОТ на 2008 год 5" xfId="11809"/>
    <cellStyle name="_Книга22_1_Дайджест 2003-2004 гг._Формы общие отчет за год_Данные для ФОТ на 2008 год 6" xfId="11810"/>
    <cellStyle name="_Книга22_1_Дайджест 2003-2004 гг._Формы общие отчет за год_Данные для ФОТ на 2008 год 7" xfId="11811"/>
    <cellStyle name="_Книга22_1_Дайджест 2003-2004 гг._Формы общие отчет за год_Данные для ФОТ на 2008 год 8" xfId="11812"/>
    <cellStyle name="_Книга22_1_Дайджест 2003-2004 гг._Формы общие отчет за год_Данные для ФОТ на 2008 год 9" xfId="11813"/>
    <cellStyle name="_Книга22_1_Дайджест 2003-2004 гг._Формы общие отчет за год_План по труду 2008 ИТОГ (2003_вер)" xfId="11814"/>
    <cellStyle name="_Книга22_1_Дайджест 2003-2004 гг._Формы общие отчет за год_План по труду 2008 ИТОГ (2003_вер) 2" xfId="11815"/>
    <cellStyle name="_Книга22_1_Дайджест 2003-2004 гг._Формы общие отчет за год_План по труду 2008 ИТОГ (2003_вер) 3" xfId="11816"/>
    <cellStyle name="_Книга22_1_Дайджест 2003-2004 гг._Формы общие отчет за год_План по труду 2008 ИТОГ (2003_вер) 4" xfId="11817"/>
    <cellStyle name="_Книга22_1_Дайджест 2003-2004 гг._Формы общие отчет за год_План по труду 2008 ИТОГ (2003_вер) 5" xfId="11818"/>
    <cellStyle name="_Книга22_1_Дайджест 2003-2004 гг._Формы общие отчет за год_План по труду 2008 ИТОГ (2003_вер) 6" xfId="11819"/>
    <cellStyle name="_Книга22_1_Дайджест 2003-2004 гг._Формы общие отчет за год_План по труду 2008 ИТОГ (2003_вер) 7" xfId="11820"/>
    <cellStyle name="_Книга22_1_Дайджест 2003-2004 гг._Формы общие отчет за год_План по труду 2008 ИТОГ (2003_вер) 8" xfId="11821"/>
    <cellStyle name="_Книга22_1_Дайджест 2003-2004 гг._Формы общие отчет за год_План по труду 2008 ИТОГ (2003_вер) 9" xfId="11822"/>
    <cellStyle name="_Книга22_1_Дайджест 2003-2004 гг._Формы общие отчет за год_ТКВ 2008 от 19.07" xfId="11823"/>
    <cellStyle name="_Книга22_1_Дайджест 2003-2004 гг._Формы общие отчет за год_ТКВ 2008 от 31.07" xfId="11824"/>
    <cellStyle name="_Книга22_1_Дайджест 2003-2004 гг._Эконом.показатели за февраль" xfId="11825"/>
    <cellStyle name="_Книга22_1_Дайджест 2003-2004 гг._Экономические показатели Большаковой" xfId="11826"/>
    <cellStyle name="_Книга22_1_Дайджест 2003-2004 гг._Экономические показатели Большаковой 2" xfId="11827"/>
    <cellStyle name="_Книга22_1_Дайджест 2003-2004 гг._Экономические показатели Большаковой 3" xfId="11828"/>
    <cellStyle name="_Книга22_1_Дайджест 2003-2004 гг._Экономические показатели Большаковой 4" xfId="11829"/>
    <cellStyle name="_Книга22_1_Дайджест 2003-2004 гг._Экономические показатели Большаковой 5" xfId="11830"/>
    <cellStyle name="_Книга22_1_Дайджест 2003-2004 гг._Экономические показатели Большаковой 6" xfId="11831"/>
    <cellStyle name="_Книга22_1_Дайджест 2003-2004 гг._Экономические показатели Большаковой 7" xfId="11832"/>
    <cellStyle name="_Книга22_1_Дайджест 2003-2004 гг._Экономические показатели Большаковой 8" xfId="11833"/>
    <cellStyle name="_Книга22_1_Дайджест 2003-2004 гг._Экономические показатели Большаковой 9" xfId="11834"/>
    <cellStyle name="_Книга22_1_исходные_291107" xfId="11835"/>
    <cellStyle name="_Книга22_1_Лист1" xfId="11836"/>
    <cellStyle name="_Книга22_1_Лист2" xfId="11837"/>
    <cellStyle name="_Книга22_1_Лист3" xfId="11838"/>
    <cellStyle name="_Книга22_1_План ДСМ 2 квартал 2009 ОТЧЕТ отп" xfId="11839"/>
    <cellStyle name="_Книга22_1_План ДСМ 2 квартал 2009 ОТЧЕТ отп_Отчет за сентябрь_11_ДСМ_ОТЧЕТ" xfId="11840"/>
    <cellStyle name="_Книга22_1_План ДСМ 2 квартал 2009 ОТЧЕТ отп_План ДСМ ноябрь 2011 ОТЧЕТ" xfId="11841"/>
    <cellStyle name="_Книга22_1_План ДСМ 3 квартал 2009 ОТЧЕТ" xfId="11842"/>
    <cellStyle name="_Книга22_1_План ДСМ 3 квартал 2009 ОТЧЕТ_Отчет за сентябрь_11_ДСМ_ОТЧЕТ" xfId="11843"/>
    <cellStyle name="_Книга22_1_План ДСМ 3 квартал 2009 ОТЧЕТ_План ДСМ ноябрь 2011 ОТЧЕТ" xfId="11844"/>
    <cellStyle name="_Книга22_1_План ДСМ 4 квартал 2009 ОТЧЕТ" xfId="11845"/>
    <cellStyle name="_Книга22_1_План ДСМ на 4 квартал 2006 (последняя версия) 2" xfId="11846"/>
    <cellStyle name="_Книга22_1_План ДСМ на 4 квартал 2006 (последняя версия) 2_Отчет за сентябрь_11_ДСМ_ОТЧЕТ" xfId="11847"/>
    <cellStyle name="_Книга22_1_План ДСМ на 4 квартал 2006 (последняя версия) 2_План ДСМ ноябрь 2011 ОТЧЕТ" xfId="11848"/>
    <cellStyle name="_Книга22_1_План ДСМ ноябрь 2011 ОТЧЕТ" xfId="11849"/>
    <cellStyle name="_Книга22_1_План ДСФ 1 квартал 2007" xfId="11850"/>
    <cellStyle name="_Книга22_1_План ДСФ 1 квартал 2007_Отчет за сентябрь_11_ДСМ_ОТЧЕТ" xfId="11851"/>
    <cellStyle name="_Книга22_1_План ДСФ 1 квартал 2007_План ДСМ ноябрь 2011 ОТЧЕТ" xfId="11852"/>
    <cellStyle name="_Книга22_1_План ДСФ 2 квартал 2009 ОТЧЕТ отп" xfId="11853"/>
    <cellStyle name="_Книга22_1_План ДСФ 2 квартал 2009 ОТЧЕТ отп_Отчет за сентябрь_11_ДСМ_ОТЧЕТ" xfId="11854"/>
    <cellStyle name="_Книга22_1_План ДСФ 2 квартал 2009 ОТЧЕТ отп_План ДСМ ноябрь 2011 ОТЧЕТ" xfId="11855"/>
    <cellStyle name="_Книга22_1_План ДСФ 4 квартал 2009 ОТЧЕТ" xfId="11856"/>
    <cellStyle name="_Книга22_1_План на 2009 год ДСМ ОТЧЕТ отп (01.12.08)" xfId="11857"/>
    <cellStyle name="_Книга22_1_План на 2009 год ДСМ ОТЧЕТ отп (01.12.08)_Отчет за сентябрь_11_ДСМ_ОТЧЕТ" xfId="11858"/>
    <cellStyle name="_Книга22_1_План на 2009 год ДСМ ОТЧЕТ отп (01.12.08)_План ДСМ ноябрь 2011 ОТЧЕТ" xfId="11859"/>
    <cellStyle name="_Книга22_1_План на 2010 год ДСМ ОТЧЕТ" xfId="11860"/>
    <cellStyle name="_Книга22_1_УралКирпич_план на 2 кв. 2009" xfId="11861"/>
    <cellStyle name="_Книга22_1_УралКирпич_план на 2 кв. 2009_Отчет за сентябрь_11_ДСМ_ОТЧЕТ" xfId="11862"/>
    <cellStyle name="_Книга22_1_УралКирпич_план на 2 кв. 2009_План ДСМ ноябрь 2011 ОТЧЕТ" xfId="11863"/>
    <cellStyle name="_Книга22_1_ф2 склад ГП" xfId="11864"/>
    <cellStyle name="_Книга22_2_Инвестпрограмма на 2008 год (КОВАЛЕВ)" xfId="11865"/>
    <cellStyle name="_Книга22_БП Урал Кирпич 28 01 2008г" xfId="11866"/>
    <cellStyle name="_Книга22_БП_план на 1 кв. 2008г." xfId="11867"/>
    <cellStyle name="_Книга22_БП_план на 2 кв. 2008г." xfId="11868"/>
    <cellStyle name="_Книга22_Дайджест 2003-2004 гг." xfId="11869"/>
    <cellStyle name="_Книга22_Дайджест 2003-2004 гг. 10" xfId="11870"/>
    <cellStyle name="_Книга22_Дайджест 2003-2004 гг. 11" xfId="11871"/>
    <cellStyle name="_Книга22_Дайджест 2003-2004 гг. 12" xfId="11872"/>
    <cellStyle name="_Книга22_Дайджест 2003-2004 гг. 13" xfId="11873"/>
    <cellStyle name="_Книга22_Дайджест 2003-2004 гг. 2" xfId="11874"/>
    <cellStyle name="_Книга22_Дайджест 2003-2004 гг. 3" xfId="11875"/>
    <cellStyle name="_Книга22_Дайджест 2003-2004 гг. 4" xfId="11876"/>
    <cellStyle name="_Книга22_Дайджест 2003-2004 гг. 5" xfId="11877"/>
    <cellStyle name="_Книга22_Дайджест 2003-2004 гг. 6" xfId="11878"/>
    <cellStyle name="_Книга22_Дайджест 2003-2004 гг. 7" xfId="11879"/>
    <cellStyle name="_Книга22_Дайджест 2003-2004 гг. 8" xfId="11880"/>
    <cellStyle name="_Книга22_Дайджест 2003-2004 гг. 9" xfId="11881"/>
    <cellStyle name="_Книга22_Дайджест 2003-2004 гг._! Металлургический дивизион для рассылки" xfId="11882"/>
    <cellStyle name="_Книга22_Дайджест 2003-2004 гг._01.04.06-01.10.06 Распред. ср-в ЛГОК 20.10.06" xfId="11883"/>
    <cellStyle name="_Книга22_Дайджест 2003-2004 гг._01.04.06-01.10.06 Распред. ср-в ЛГОК 20.10.06 2" xfId="11884"/>
    <cellStyle name="_Книга22_Дайджест 2003-2004 гг._01.04.06-01.10.06 Распред. ср-в ЛГОК 20.10.06 3" xfId="11885"/>
    <cellStyle name="_Книга22_Дайджест 2003-2004 гг._01.04.06-01.10.06 Распред. ср-в ЛГОК 20.10.06 4" xfId="11886"/>
    <cellStyle name="_Книга22_Дайджест 2003-2004 гг._01.04.06-01.10.06 Распред. ср-в ЛГОК 20.10.06 5" xfId="11887"/>
    <cellStyle name="_Книга22_Дайджест 2003-2004 гг._01.04.06-01.10.06 Распред. ср-в ЛГОК 20.10.06 6" xfId="11888"/>
    <cellStyle name="_Книга22_Дайджест 2003-2004 гг._01.04.06-01.10.06 Распред. ср-в ЛГОК 20.10.06 7" xfId="11889"/>
    <cellStyle name="_Книга22_Дайджест 2003-2004 гг._01.04.06-01.10.06 Распред. ср-в ЛГОК 20.10.06 8" xfId="11890"/>
    <cellStyle name="_Книга22_Дайджест 2003-2004 гг._01.04.06-01.10.06 Распред. ср-в ЛГОК 20.10.06 9" xfId="11891"/>
    <cellStyle name="_Книга22_Дайджест 2003-2004 гг._01.04.06-01.10.06 Распред. ср-в ОЭМК 20.10.06" xfId="11892"/>
    <cellStyle name="_Книга22_Дайджест 2003-2004 гг._01.04.06-01.10.06 Распред. ср-в ОЭМК 20.10.06 2" xfId="11893"/>
    <cellStyle name="_Книга22_Дайджест 2003-2004 гг._01.04.06-01.10.06 Распред. ср-в ОЭМК 20.10.06 3" xfId="11894"/>
    <cellStyle name="_Книга22_Дайджест 2003-2004 гг._01.04.06-01.10.06 Распред. ср-в ОЭМК 20.10.06 4" xfId="11895"/>
    <cellStyle name="_Книга22_Дайджест 2003-2004 гг._01.04.06-01.10.06 Распред. ср-в ОЭМК 20.10.06 5" xfId="11896"/>
    <cellStyle name="_Книга22_Дайджест 2003-2004 гг._01.04.06-01.10.06 Распред. ср-в ОЭМК 20.10.06 6" xfId="11897"/>
    <cellStyle name="_Книга22_Дайджест 2003-2004 гг._01.04.06-01.10.06 Распред. ср-в ОЭМК 20.10.06 7" xfId="11898"/>
    <cellStyle name="_Книга22_Дайджест 2003-2004 гг._01.04.06-01.10.06 Распред. ср-в ОЭМК 20.10.06 8" xfId="11899"/>
    <cellStyle name="_Книга22_Дайджест 2003-2004 гг._01.04.06-01.10.06 Распред. ср-в ОЭМК 20.10.06 9" xfId="11900"/>
    <cellStyle name="_Книга22_Дайджест 2003-2004 гг._090129 Погашение и уплата процентов Горшкова М." xfId="11901"/>
    <cellStyle name="_Книга22_Дайджест 2003-2004 гг._090129 Погашение и уплата процентов Горшкова М. 2" xfId="11902"/>
    <cellStyle name="_Книга22_Дайджест 2003-2004 гг._090129 Погашение и уплата процентов Горшкова М. 3" xfId="11903"/>
    <cellStyle name="_Книга22_Дайджест 2003-2004 гг._090129 Погашение и уплата процентов Горшкова М. 4" xfId="11904"/>
    <cellStyle name="_Книга22_Дайджест 2003-2004 гг._090129 Погашение и уплата процентов Горшкова М. 5" xfId="11905"/>
    <cellStyle name="_Книга22_Дайджест 2003-2004 гг._090129 Погашение и уплата процентов Горшкова М. 6" xfId="11906"/>
    <cellStyle name="_Книга22_Дайджест 2003-2004 гг._090129 Погашение и уплата процентов Горшкова М. 7" xfId="11907"/>
    <cellStyle name="_Книга22_Дайджест 2003-2004 гг._090129 Погашение и уплата процентов Горшкова М. 8" xfId="11908"/>
    <cellStyle name="_Книга22_Дайджест 2003-2004 гг._090129 Погашение и уплата процентов Горшкова М. 9" xfId="11909"/>
    <cellStyle name="_Книга22_Дайджест 2003-2004 гг._1 - 10 декабря" xfId="11910"/>
    <cellStyle name="_Книга22_Дайджест 2003-2004 гг._1-12,13,14 сентября" xfId="11911"/>
    <cellStyle name="_Книга22_Дайджест 2003-2004 гг._13,14,28-30" xfId="11912"/>
    <cellStyle name="_Книга22_Дайджест 2003-2004 гг._19" xfId="11913"/>
    <cellStyle name="_Книга22_Дайджест 2003-2004 гг._2007 + год " xfId="11914"/>
    <cellStyle name="_Книга22_Дайджест 2003-2004 гг._2007 + год  2" xfId="11915"/>
    <cellStyle name="_Книга22_Дайджест 2003-2004 гг._2007 + год  3" xfId="11916"/>
    <cellStyle name="_Книга22_Дайджест 2003-2004 гг._2007 + год  4" xfId="11917"/>
    <cellStyle name="_Книга22_Дайджест 2003-2004 гг._2007 + год  5" xfId="11918"/>
    <cellStyle name="_Книга22_Дайджест 2003-2004 гг._2007 + год  6" xfId="11919"/>
    <cellStyle name="_Книга22_Дайджест 2003-2004 гг._2007 + год  7" xfId="11920"/>
    <cellStyle name="_Книга22_Дайджест 2003-2004 гг._2007 + год  8" xfId="11921"/>
    <cellStyle name="_Книга22_Дайджест 2003-2004 гг._2007 + год  9" xfId="11922"/>
    <cellStyle name="_Книга22_Дайджест 2003-2004 гг._2007 г год план (фин.часть)" xfId="11923"/>
    <cellStyle name="_Книга22_Дайджест 2003-2004 гг._2007 г год план (фин.часть) 2" xfId="11924"/>
    <cellStyle name="_Книга22_Дайджест 2003-2004 гг._2007 г год план (фин.часть) 3" xfId="11925"/>
    <cellStyle name="_Книга22_Дайджест 2003-2004 гг._2007 г год план (фин.часть) 4" xfId="11926"/>
    <cellStyle name="_Книга22_Дайджест 2003-2004 гг._2007 г год план (фин.часть) 5" xfId="11927"/>
    <cellStyle name="_Книга22_Дайджест 2003-2004 гг._2007 г год план (фин.часть) 6" xfId="11928"/>
    <cellStyle name="_Книга22_Дайджест 2003-2004 гг._2007 г год план (фин.часть) 7" xfId="11929"/>
    <cellStyle name="_Книга22_Дайджест 2003-2004 гг._2007 г год план (фин.часть) 8" xfId="11930"/>
    <cellStyle name="_Книга22_Дайджест 2003-2004 гг._2007 г год план (фин.часть) 9" xfId="11931"/>
    <cellStyle name="_Книга22_Дайджест 2003-2004 гг._2007 год " xfId="11932"/>
    <cellStyle name="_Книга22_Дайджест 2003-2004 гг._2007 год  2" xfId="11933"/>
    <cellStyle name="_Книга22_Дайджест 2003-2004 гг._2007 год  3" xfId="11934"/>
    <cellStyle name="_Книга22_Дайджест 2003-2004 гг._2007 год  4" xfId="11935"/>
    <cellStyle name="_Книга22_Дайджест 2003-2004 гг._2007 год  5" xfId="11936"/>
    <cellStyle name="_Книга22_Дайджест 2003-2004 гг._2007 год  6" xfId="11937"/>
    <cellStyle name="_Книга22_Дайджест 2003-2004 гг._2007 год  7" xfId="11938"/>
    <cellStyle name="_Книга22_Дайджест 2003-2004 гг._2007 год  8" xfId="11939"/>
    <cellStyle name="_Книга22_Дайджест 2003-2004 гг._2007 год  9" xfId="11940"/>
    <cellStyle name="_Книга22_Дайджест 2003-2004 гг._2007 измен 11.12.06 2 вар " xfId="11941"/>
    <cellStyle name="_Книга22_Дайджест 2003-2004 гг._2007 измен 11.12.06 2 вар  2" xfId="11942"/>
    <cellStyle name="_Книга22_Дайджест 2003-2004 гг._2007 измен 11.12.06 2 вар  3" xfId="11943"/>
    <cellStyle name="_Книга22_Дайджест 2003-2004 гг._2007 измен 11.12.06 2 вар  4" xfId="11944"/>
    <cellStyle name="_Книга22_Дайджест 2003-2004 гг._2007 измен 11.12.06 2 вар  5" xfId="11945"/>
    <cellStyle name="_Книга22_Дайджест 2003-2004 гг._2007 измен 11.12.06 2 вар  6" xfId="11946"/>
    <cellStyle name="_Книга22_Дайджест 2003-2004 гг._2007 измен 11.12.06 2 вар  7" xfId="11947"/>
    <cellStyle name="_Книга22_Дайджест 2003-2004 гг._2007 измен 11.12.06 2 вар  8" xfId="11948"/>
    <cellStyle name="_Книга22_Дайджест 2003-2004 гг._2007 измен 11.12.06 2 вар  9" xfId="11949"/>
    <cellStyle name="_Книга22_Дайджест 2003-2004 гг._2009-03-03 План марта рус" xfId="11950"/>
    <cellStyle name="_Книга22_Дайджест 2003-2004 гг._2009-03-03 План марта рус 2" xfId="11951"/>
    <cellStyle name="_Книга22_Дайджест 2003-2004 гг._2009-03-03 План марта рус 3" xfId="11952"/>
    <cellStyle name="_Книга22_Дайджест 2003-2004 гг._2009-03-03 План марта рус 4" xfId="11953"/>
    <cellStyle name="_Книга22_Дайджест 2003-2004 гг._2009-03-03 План марта рус 5" xfId="11954"/>
    <cellStyle name="_Книга22_Дайджест 2003-2004 гг._2009-03-03 План марта рус 6" xfId="11955"/>
    <cellStyle name="_Книга22_Дайджест 2003-2004 гг._2009-03-03 План марта рус 7" xfId="11956"/>
    <cellStyle name="_Книга22_Дайджест 2003-2004 гг._2009-03-03 План марта рус 8" xfId="11957"/>
    <cellStyle name="_Книга22_Дайджест 2003-2004 гг._2009-03-03 План марта рус 9" xfId="11958"/>
    <cellStyle name="_Книга22_Дайджест 2003-2004 гг._25 разделы баланса раб (21.08.06)" xfId="11959"/>
    <cellStyle name="_Книга22_Дайджест 2003-2004 гг._25 разделы баланса раб (21.08.06) 2" xfId="11960"/>
    <cellStyle name="_Книга22_Дайджест 2003-2004 гг._25 разделы баланса раб (21.08.06) 3" xfId="11961"/>
    <cellStyle name="_Книга22_Дайджест 2003-2004 гг._25 разделы баланса раб (21.08.06) 4" xfId="11962"/>
    <cellStyle name="_Книга22_Дайджест 2003-2004 гг._25 разделы баланса раб (21.08.06) 5" xfId="11963"/>
    <cellStyle name="_Книга22_Дайджест 2003-2004 гг._25 разделы баланса раб (21.08.06) 6" xfId="11964"/>
    <cellStyle name="_Книга22_Дайджест 2003-2004 гг._25 разделы баланса раб (21.08.06) 7" xfId="11965"/>
    <cellStyle name="_Книга22_Дайджест 2003-2004 гг._25 разделы баланса раб (21.08.06) 8" xfId="11966"/>
    <cellStyle name="_Книга22_Дайджест 2003-2004 гг._25 разделы баланса раб (21.08.06) 9" xfId="11967"/>
    <cellStyle name="_Книга22_Дайджест 2003-2004 гг._25.06.07" xfId="11968"/>
    <cellStyle name="_Книга22_Дайджест 2003-2004 гг._25.06.07 2" xfId="11969"/>
    <cellStyle name="_Книга22_Дайджест 2003-2004 гг._25.06.07 3" xfId="11970"/>
    <cellStyle name="_Книга22_Дайджест 2003-2004 гг._25.06.07 4" xfId="11971"/>
    <cellStyle name="_Книга22_Дайджест 2003-2004 гг._25.06.07 5" xfId="11972"/>
    <cellStyle name="_Книга22_Дайджест 2003-2004 гг._25.06.07 6" xfId="11973"/>
    <cellStyle name="_Книга22_Дайджест 2003-2004 гг._25.06.07 7" xfId="11974"/>
    <cellStyle name="_Книга22_Дайджест 2003-2004 гг._25.06.07 8" xfId="11975"/>
    <cellStyle name="_Книга22_Дайджест 2003-2004 гг._25.06.07 9" xfId="11976"/>
    <cellStyle name="_Книга22_Дайджест 2003-2004 гг._26-30" xfId="11977"/>
    <cellStyle name="_Книга22_Дайджест 2003-2004 гг._28" xfId="11978"/>
    <cellStyle name="_Книга22_Дайджест 2003-2004 гг._28-30 (1)" xfId="11979"/>
    <cellStyle name="_Книга22_Дайджест 2003-2004 гг._28-30 (1) 2" xfId="11980"/>
    <cellStyle name="_Книга22_Дайджест 2003-2004 гг._28-30 (1) 3" xfId="11981"/>
    <cellStyle name="_Книга22_Дайджест 2003-2004 гг._28-30 (1) 4" xfId="11982"/>
    <cellStyle name="_Книга22_Дайджест 2003-2004 гг._28-30 (1) 5" xfId="11983"/>
    <cellStyle name="_Книга22_Дайджест 2003-2004 гг._28-30 (1) 6" xfId="11984"/>
    <cellStyle name="_Книга22_Дайджест 2003-2004 гг._28-30 (1) 7" xfId="11985"/>
    <cellStyle name="_Книга22_Дайджест 2003-2004 гг._28-30 (1) 8" xfId="11986"/>
    <cellStyle name="_Книга22_Дайджест 2003-2004 гг._28-30 (1) 9" xfId="11987"/>
    <cellStyle name="_Книга22_Дайджест 2003-2004 гг._29 форма 12 месяцев" xfId="11988"/>
    <cellStyle name="_Книга22_Дайджест 2003-2004 гг._29 форма 12 месяцев 2" xfId="11989"/>
    <cellStyle name="_Книга22_Дайджест 2003-2004 гг._29 форма 12 месяцев 3" xfId="11990"/>
    <cellStyle name="_Книга22_Дайджест 2003-2004 гг._29 форма 12 месяцев 4" xfId="11991"/>
    <cellStyle name="_Книга22_Дайджест 2003-2004 гг._29 форма 12 месяцев 5" xfId="11992"/>
    <cellStyle name="_Книга22_Дайджест 2003-2004 гг._29 форма 12 месяцев 6" xfId="11993"/>
    <cellStyle name="_Книга22_Дайджест 2003-2004 гг._29 форма 12 месяцев 7" xfId="11994"/>
    <cellStyle name="_Книга22_Дайджест 2003-2004 гг._29 форма 12 месяцев 8" xfId="11995"/>
    <cellStyle name="_Книга22_Дайджест 2003-2004 гг._29 форма 12 месяцев 9" xfId="11996"/>
    <cellStyle name="_Книга22_Дайджест 2003-2004 гг._29 форма 12 месяцев_13,14,28-30" xfId="11997"/>
    <cellStyle name="_Книга22_Дайджест 2003-2004 гг._29 форма 12 месяцев_26-30" xfId="11998"/>
    <cellStyle name="_Книга22_Дайджест 2003-2004 гг._29 форма 12 месяцев_28" xfId="11999"/>
    <cellStyle name="_Книга22_Дайджест 2003-2004 гг._29 форма 12 месяцев_3 квартал" xfId="12000"/>
    <cellStyle name="_Книга22_Дайджест 2003-2004 гг._29 форма 12 месяцев_3 квартал 2" xfId="12001"/>
    <cellStyle name="_Книга22_Дайджест 2003-2004 гг._29 форма 12 месяцев_Книга2" xfId="12002"/>
    <cellStyle name="_Книга22_Дайджест 2003-2004 гг._29 форма 12 месяцев_Копия Динамика цен (УС ) 2006-2009 сверен 30.01.09" xfId="12003"/>
    <cellStyle name="_Книга22_Дайджест 2003-2004 гг._29 форма 12 месяцев_Обжиговая" xfId="12004"/>
    <cellStyle name="_Книга22_Дайджест 2003-2004 гг._29 форма 12 месяцев_Отчет за сентябрь_11_ДСМ" xfId="12005"/>
    <cellStyle name="_Книга22_Дайджест 2003-2004 гг._29 форма 12 месяцев_Стан 150" xfId="12006"/>
    <cellStyle name="_Книга22_Дайджест 2003-2004 гг._29 форма 12 месяцев_фIIIкв Комплект ОЭМК (1-12,18,22) 28.10.08" xfId="12007"/>
    <cellStyle name="_Книга22_Дайджест 2003-2004 гг._29 форма 12 месяцев_Форма №19" xfId="12008"/>
    <cellStyle name="_Книга22_Дайджест 2003-2004 гг._29 форма 12 месяцев_Форма №24" xfId="12009"/>
    <cellStyle name="_Книга22_Дайджест 2003-2004 гг._29 форма 12 месяцев_Формы _28-30 (новые)1" xfId="12010"/>
    <cellStyle name="_Книга22_Дайджест 2003-2004 гг._29 форма 12 месяцев_Формы 28-30" xfId="12011"/>
    <cellStyle name="_Книга22_Дайджест 2003-2004 гг._29 форма 12 месяцев_Формы №28-30 (новые)1" xfId="12012"/>
    <cellStyle name="_Книга22_Дайджест 2003-2004 гг._29 форма 12 месяцев_Шаропрокатный" xfId="12013"/>
    <cellStyle name="_Книга22_Дайджест 2003-2004 гг._29 форма 12 месяцев_ЭНЦ-1" xfId="12014"/>
    <cellStyle name="_Книга22_Дайджест 2003-2004 гг._3 квартал" xfId="12015"/>
    <cellStyle name="_Книга22_Дайджест 2003-2004 гг._3 квартал 2" xfId="12016"/>
    <cellStyle name="_Книга22_Дайджест 2003-2004 гг._30" xfId="12017"/>
    <cellStyle name="_Книга22_Дайджест 2003-2004 гг._30 2" xfId="12018"/>
    <cellStyle name="_Книга22_Дайджест 2003-2004 гг._30 3" xfId="12019"/>
    <cellStyle name="_Книга22_Дайджест 2003-2004 гг._30 4" xfId="12020"/>
    <cellStyle name="_Книга22_Дайджест 2003-2004 гг._30 5" xfId="12021"/>
    <cellStyle name="_Книга22_Дайджест 2003-2004 гг._30 6" xfId="12022"/>
    <cellStyle name="_Книга22_Дайджест 2003-2004 гг._30 7" xfId="12023"/>
    <cellStyle name="_Книга22_Дайджест 2003-2004 гг._30 8" xfId="12024"/>
    <cellStyle name="_Книга22_Дайджест 2003-2004 гг._30 9" xfId="12025"/>
    <cellStyle name="_Книга22_Дайджест 2003-2004 гг._30 форма (январьфакт)" xfId="12026"/>
    <cellStyle name="_Книга22_Дайджест 2003-2004 гг._30 форма (январьфакт) 2" xfId="12027"/>
    <cellStyle name="_Книга22_Дайджест 2003-2004 гг._30 форма (январьфакт) 3" xfId="12028"/>
    <cellStyle name="_Книга22_Дайджест 2003-2004 гг._30 форма (январьфакт) 4" xfId="12029"/>
    <cellStyle name="_Книга22_Дайджест 2003-2004 гг._30 форма (январьфакт) 5" xfId="12030"/>
    <cellStyle name="_Книга22_Дайджест 2003-2004 гг._30 форма (январьфакт) 6" xfId="12031"/>
    <cellStyle name="_Книга22_Дайджест 2003-2004 гг._30 форма (январьфакт) 7" xfId="12032"/>
    <cellStyle name="_Книга22_Дайджест 2003-2004 гг._30 форма (январьфакт) 8" xfId="12033"/>
    <cellStyle name="_Книга22_Дайджест 2003-2004 гг._30 форма (январьфакт) 9" xfId="12034"/>
    <cellStyle name="_Книга22_Дайджест 2003-2004 гг._30 форма (январьфакт-мартплан)" xfId="12035"/>
    <cellStyle name="_Книга22_Дайджест 2003-2004 гг._30 форма (январьфакт-мартплан) 2" xfId="12036"/>
    <cellStyle name="_Книга22_Дайджест 2003-2004 гг._30 форма (январьфакт-мартплан) 3" xfId="12037"/>
    <cellStyle name="_Книга22_Дайджест 2003-2004 гг._30 форма (январьфакт-мартплан) 4" xfId="12038"/>
    <cellStyle name="_Книга22_Дайджест 2003-2004 гг._30 форма (январьфакт-мартплан) 5" xfId="12039"/>
    <cellStyle name="_Книга22_Дайджест 2003-2004 гг._30 форма (январьфакт-мартплан) 6" xfId="12040"/>
    <cellStyle name="_Книга22_Дайджест 2003-2004 гг._30 форма (январьфакт-мартплан) 7" xfId="12041"/>
    <cellStyle name="_Книга22_Дайджест 2003-2004 гг._30 форма (январьфакт-мартплан) 8" xfId="12042"/>
    <cellStyle name="_Книга22_Дайджест 2003-2004 гг._30 форма (январьфакт-мартплан) 9" xfId="12043"/>
    <cellStyle name="_Книга22_Дайджест 2003-2004 гг._30 форма с ожидаемым за январь" xfId="12044"/>
    <cellStyle name="_Книга22_Дайджест 2003-2004 гг._30 форма с ожидаемым за январь 2" xfId="12045"/>
    <cellStyle name="_Книга22_Дайджест 2003-2004 гг._30 форма с ожидаемым за январь 3" xfId="12046"/>
    <cellStyle name="_Книга22_Дайджест 2003-2004 гг._30 форма с ожидаемым за январь 4" xfId="12047"/>
    <cellStyle name="_Книга22_Дайджест 2003-2004 гг._30 форма с ожидаемым за январь 5" xfId="12048"/>
    <cellStyle name="_Книга22_Дайджест 2003-2004 гг._30 форма с ожидаемым за январь 6" xfId="12049"/>
    <cellStyle name="_Книга22_Дайджест 2003-2004 гг._30 форма с ожидаемым за январь 7" xfId="12050"/>
    <cellStyle name="_Книга22_Дайджест 2003-2004 гг._30 форма с ожидаемым за январь 8" xfId="12051"/>
    <cellStyle name="_Книга22_Дайджест 2003-2004 гг._30 форма с ожидаемым за январь 9" xfId="12052"/>
    <cellStyle name="_Книга22_Дайджест 2003-2004 гг._30 форма с фактом за декабрь" xfId="12053"/>
    <cellStyle name="_Книга22_Дайджест 2003-2004 гг._30 форма с фактом за декабрь 2" xfId="12054"/>
    <cellStyle name="_Книга22_Дайджест 2003-2004 гг._30 форма с фактом за декабрь 3" xfId="12055"/>
    <cellStyle name="_Книга22_Дайджест 2003-2004 гг._30 форма с фактом за декабрь 4" xfId="12056"/>
    <cellStyle name="_Книга22_Дайджест 2003-2004 гг._30 форма с фактом за декабрь 5" xfId="12057"/>
    <cellStyle name="_Книга22_Дайджест 2003-2004 гг._30 форма с фактом за декабрь 6" xfId="12058"/>
    <cellStyle name="_Книга22_Дайджест 2003-2004 гг._30 форма с фактом за декабрь 7" xfId="12059"/>
    <cellStyle name="_Книга22_Дайджест 2003-2004 гг._30 форма с фактом за декабрь 8" xfId="12060"/>
    <cellStyle name="_Книга22_Дайджест 2003-2004 гг._30 форма с фактом за декабрь 9" xfId="12061"/>
    <cellStyle name="_Книга22_Дайджест 2003-2004 гг._30 форма с фактом за ноябрь" xfId="12062"/>
    <cellStyle name="_Книга22_Дайджест 2003-2004 гг._30 форма с фактом за ноябрь 2" xfId="12063"/>
    <cellStyle name="_Книга22_Дайджест 2003-2004 гг._30 форма с фактом за ноябрь 3" xfId="12064"/>
    <cellStyle name="_Книга22_Дайджест 2003-2004 гг._30 форма с фактом за ноябрь 4" xfId="12065"/>
    <cellStyle name="_Книга22_Дайджест 2003-2004 гг._30 форма с фактом за ноябрь 5" xfId="12066"/>
    <cellStyle name="_Книга22_Дайджест 2003-2004 гг._30 форма с фактом за ноябрь 6" xfId="12067"/>
    <cellStyle name="_Книга22_Дайджест 2003-2004 гг._30 форма с фактом за ноябрь 7" xfId="12068"/>
    <cellStyle name="_Книга22_Дайджест 2003-2004 гг._30 форма с фактом за ноябрь 8" xfId="12069"/>
    <cellStyle name="_Книга22_Дайджест 2003-2004 гг._30 форма с фактом за ноябрь 9" xfId="12070"/>
    <cellStyle name="_Книга22_Дайджест 2003-2004 гг._8" xfId="12071"/>
    <cellStyle name="_Книга22_Дайджест 2003-2004 гг._8 2" xfId="12072"/>
    <cellStyle name="_Книга22_Дайджест 2003-2004 гг._8 3" xfId="12073"/>
    <cellStyle name="_Книга22_Дайджест 2003-2004 гг._8 4" xfId="12074"/>
    <cellStyle name="_Книга22_Дайджест 2003-2004 гг._8 5" xfId="12075"/>
    <cellStyle name="_Книга22_Дайджест 2003-2004 гг._8 6" xfId="12076"/>
    <cellStyle name="_Книга22_Дайджест 2003-2004 гг._8 7" xfId="12077"/>
    <cellStyle name="_Книга22_Дайджест 2003-2004 гг._8 8" xfId="12078"/>
    <cellStyle name="_Книга22_Дайджест 2003-2004 гг._8 9" xfId="12079"/>
    <cellStyle name="_Книга22_Дайджест 2003-2004 гг._8_13,14,28-30" xfId="12080"/>
    <cellStyle name="_Книга22_Дайджест 2003-2004 гг._8_19" xfId="12081"/>
    <cellStyle name="_Книга22_Дайджест 2003-2004 гг._8_26-30" xfId="12082"/>
    <cellStyle name="_Книга22_Дайджест 2003-2004 гг._8_28" xfId="12083"/>
    <cellStyle name="_Книга22_Дайджест 2003-2004 гг._8_3 квартал" xfId="12084"/>
    <cellStyle name="_Книга22_Дайджест 2003-2004 гг._8_3 квартал 2" xfId="12085"/>
    <cellStyle name="_Книга22_Дайджест 2003-2004 гг._8_index" xfId="12086"/>
    <cellStyle name="_Книга22_Дайджест 2003-2004 гг._8_БП Урал Кирпич 28 01 2008г" xfId="12087"/>
    <cellStyle name="_Книга22_Дайджест 2003-2004 гг._8_БП Урал Кирпич 28 01 2008г_ф2 склад гп" xfId="12088"/>
    <cellStyle name="_Книга22_Дайджест 2003-2004 гг._8_БП_план на 1 кв. 2008г." xfId="12089"/>
    <cellStyle name="_Книга22_Дайджест 2003-2004 гг._8_БП_план на 2 кв. 2008г." xfId="12090"/>
    <cellStyle name="_Книга22_Дайджест 2003-2004 гг._8_Верх НА" xfId="12091"/>
    <cellStyle name="_Книга22_Дайджест 2003-2004 гг._8_Выручка февраля 09 от 22 01 09 (1)" xfId="12092"/>
    <cellStyle name="_Книга22_Дайджест 2003-2004 гг._8_Запчасти май-апрель (12)" xfId="12093"/>
    <cellStyle name="_Книга22_Дайджест 2003-2004 гг._8_Калькуляции ДСМ" xfId="12094"/>
    <cellStyle name="_Книга22_Дайджест 2003-2004 гг._8_Книга2" xfId="12095"/>
    <cellStyle name="_Книга22_Дайджест 2003-2004 гг._8_Книга2_Динамика объемов производства и отгрузки 2009-2012" xfId="12096"/>
    <cellStyle name="_Книга22_Дайджест 2003-2004 гг._8_Конс  ЛГОК БП 2009 от 14 10 08" xfId="12097"/>
    <cellStyle name="_Книга22_Дайджест 2003-2004 гг._8_Конс  МГОК БП 2009 от 14 10 08" xfId="12098"/>
    <cellStyle name="_Книга22_Дайджест 2003-2004 гг._8_Копия Динамика цен (УС ) 2006-2009 сверен 30.01.09" xfId="12099"/>
    <cellStyle name="_Книга22_Дайджест 2003-2004 гг._8_Копия Потребность взаиморасч  от 28 02 2008 (2)" xfId="12100"/>
    <cellStyle name="_Книга22_Дайджест 2003-2004 гг._8_МИТ_РК и ДП за апрель" xfId="12101"/>
    <cellStyle name="_Книга22_Дайджест 2003-2004 гг._8_МИТ_РК и ДП за апрель_Отчет за сентябрь_11_ДСМ" xfId="12102"/>
    <cellStyle name="_Книга22_Дайджест 2003-2004 гг._8_Налог на прибыль" xfId="12103"/>
    <cellStyle name="_Книга22_Дайджест 2003-2004 гг._8_Налоги А.А. Богоцкому 2005-2009" xfId="12104"/>
    <cellStyle name="_Книга22_Дайджест 2003-2004 гг._8_Налоги к плану на 2009 год (ДЗ и КЗ)" xfId="12105"/>
    <cellStyle name="_Книга22_Дайджест 2003-2004 гг._8_Налоги к плану на февраль 2009 года" xfId="12106"/>
    <cellStyle name="_Книга22_Дайджест 2003-2004 гг._8_Обжиговая" xfId="12107"/>
    <cellStyle name="_Книга22_Дайджест 2003-2004 гг._8_Отчет за 1 кв_08_ДСМ ОТЧЕТ_10.07" xfId="12108"/>
    <cellStyle name="_Книга22_Дайджест 2003-2004 гг._8_Отчет за 1 кв_08_ДСМ ОТЧЕТ_10.07_Отчет за 2 кв_10_ДСM ОТЧЕТ" xfId="12109"/>
    <cellStyle name="_Книга22_Дайджест 2003-2004 гг._8_Отчет за 1 кв_08_ДСМ ОТЧЕТ_10.07_Отчет за 2 кв_10_ДСМ_1" xfId="12110"/>
    <cellStyle name="_Книга22_Дайджест 2003-2004 гг._8_Отчет за сентябрь_11_ДСМ_ОТЧЕТ" xfId="12111"/>
    <cellStyle name="_Книга22_Дайджест 2003-2004 гг._8_План ДСМ 2 квартал 2009 ОТЧЕТ отп" xfId="12112"/>
    <cellStyle name="_Книга22_Дайджест 2003-2004 гг._8_План ДСМ на 4 квартал 2006 (последняя версия) 2" xfId="12113"/>
    <cellStyle name="_Книга22_Дайджест 2003-2004 гг._8_План ДСМ на 4 квартал 2006 (последняя версия) 2_Ожидаемый факт 4 кв., год-1" xfId="12114"/>
    <cellStyle name="_Книга22_Дайджест 2003-2004 гг._8_План ДСМ на 4 квартал 2006 (последняя версия) 2_План ДСМ 4 квартал 2009 ОТЧЕТ" xfId="12115"/>
    <cellStyle name="_Книга22_Дайджест 2003-2004 гг._8_План ДСМ на 4 квартал 2006 (последняя версия) 2_План на 2009 год ДСМ_9_без разбивки по мес, изм уплаты НП" xfId="12116"/>
    <cellStyle name="_Книга22_Дайджест 2003-2004 гг._8_План ДСМ на 4 квартал 2006 (последняя версия) 2_План на 2010 год ДСМ" xfId="12117"/>
    <cellStyle name="_Книга22_Дайджест 2003-2004 гг._8_План ДСМ ноябрь 2011 ОТЧЕТ" xfId="12118"/>
    <cellStyle name="_Книга22_Дайджест 2003-2004 гг._8_План ДСФ 1 квартал 2007" xfId="12119"/>
    <cellStyle name="_Книга22_Дайджест 2003-2004 гг._8_План ДСФ 1 квартал 2007_План ДСМ 2 квартал 2009 ОТЧЕТ отп" xfId="12120"/>
    <cellStyle name="_Книга22_Дайджест 2003-2004 гг._8_План ДСФ 1 квартал 2007_План ДСМ 2 квартал 2009 ОТЧЕТ отп_ф2 склад гп" xfId="12121"/>
    <cellStyle name="_Книга22_Дайджест 2003-2004 гг._8_План ДСФ 1 квартал 2007_План ДСМ 3 квартал 2008_1" xfId="12122"/>
    <cellStyle name="_Книга22_Дайджест 2003-2004 гг._8_План ДСФ 1 квартал 2007_План ДСМ 3 квартал 2009 ОТЧЕТ" xfId="12123"/>
    <cellStyle name="_Книга22_Дайджест 2003-2004 гг._8_План ДСФ 1 квартал 2007_План ДСМ 3 квартал 2009 ОТЧЕТ отп" xfId="12124"/>
    <cellStyle name="_Книга22_Дайджест 2003-2004 гг._8_План ДСФ 1 квартал 2007_План ДСМ 3 квартал 2010_1" xfId="12125"/>
    <cellStyle name="_Книга22_Дайджест 2003-2004 гг._8_План ДСФ 1 квартал 2007_План ДСФ 4 квартал 2009 ОТЧЕТ" xfId="12126"/>
    <cellStyle name="_Книга22_Дайджест 2003-2004 гг._8_План ДСФ 1 квартал 2007_План на 2010 год ДСМ ОТЧЕТ" xfId="12127"/>
    <cellStyle name="_Книга22_Дайджест 2003-2004 гг._8_План ДСФ 2 квартал 2009 ОТЧЕТ отп" xfId="12128"/>
    <cellStyle name="_Книга22_Дайджест 2003-2004 гг._8_План ДСФ 2 квартал 2009 ОТЧЕТ отп_ф2 склад гп" xfId="12129"/>
    <cellStyle name="_Книга22_Дайджест 2003-2004 гг._8_План на 2009 год ДСФ" xfId="12130"/>
    <cellStyle name="_Книга22_Дайджест 2003-2004 гг._8_План на 2010 год ДСЩ ОТЧЕТ" xfId="12131"/>
    <cellStyle name="_Книга22_Дайджест 2003-2004 гг._8_Сравнение ожидаемого 2008 с 2009г  ОЭМК от 06 10 2008" xfId="12132"/>
    <cellStyle name="_Книга22_Дайджест 2003-2004 гг._8_Сравнение ожидаемого 2008 УС c 2009г  от 06 10 2008" xfId="12133"/>
    <cellStyle name="_Книга22_Дайджест 2003-2004 гг._8_Стан 150" xfId="12134"/>
    <cellStyle name="_Книга22_Дайджест 2003-2004 гг._8_титульный лист" xfId="12135"/>
    <cellStyle name="_Книга22_Дайджест 2003-2004 гг._8_УК отчет за 3 кв. 2009_29_10" xfId="12136"/>
    <cellStyle name="_Книга22_Дайджест 2003-2004 гг._8_УК отчет за май 2009" xfId="12137"/>
    <cellStyle name="_Книга22_Дайджест 2003-2004 гг._8_УралКирпич_план на 2 кв. 2009" xfId="12138"/>
    <cellStyle name="_Книга22_Дайджест 2003-2004 гг._8_УралКирпич_план на 2 кв. 2009_ф2 склад гп" xfId="12139"/>
    <cellStyle name="_Книга22_Дайджест 2003-2004 гг._8_ф 6рем пс(ноябрь) (2)" xfId="12140"/>
    <cellStyle name="_Книга22_Дайджест 2003-2004 гг._8_ф2 склад ГП" xfId="12141"/>
    <cellStyle name="_Книга22_Дайджест 2003-2004 гг._8_Ф20 от налоговой" xfId="12142"/>
    <cellStyle name="_Книга22_Дайджест 2003-2004 гг._8_ф6 сентябрь с запчастями (3)" xfId="12143"/>
    <cellStyle name="_Книга22_Дайджест 2003-2004 гг._8_фIIIкв Комплект ОЭМК (1-12,18,22) 28.10.08" xfId="12144"/>
    <cellStyle name="_Книга22_Дайджест 2003-2004 гг._8_Форма №13" xfId="12145"/>
    <cellStyle name="_Книга22_Дайджест 2003-2004 гг._8_Форма №19" xfId="12146"/>
    <cellStyle name="_Книга22_Дайджест 2003-2004 гг._8_Форма №24" xfId="12147"/>
    <cellStyle name="_Книга22_Дайджест 2003-2004 гг._8_Форма№13 (новая от 28 12 09г) февраль версия № и последняя" xfId="12148"/>
    <cellStyle name="_Книга22_Дайджест 2003-2004 гг._8_Формы _28-30 (новые)1" xfId="12149"/>
    <cellStyle name="_Книга22_Дайджест 2003-2004 гг._8_Формы 28-30" xfId="12150"/>
    <cellStyle name="_Книга22_Дайджест 2003-2004 гг._8_Формы №28-30 (новые)1" xfId="12151"/>
    <cellStyle name="_Книга22_Дайджест 2003-2004 гг._8_Шаропрокатный" xfId="12152"/>
    <cellStyle name="_Книга22_Дайджест 2003-2004 гг._8_ЭНЦ-1" xfId="12153"/>
    <cellStyle name="_Книга22_Дайджест 2003-2004 гг._EBITDA_дивизион_12.11.2007" xfId="12154"/>
    <cellStyle name="_Книга22_Дайджест 2003-2004 гг._EBITDA_дивизион_12.11.2007 2" xfId="12155"/>
    <cellStyle name="_Книга22_Дайджест 2003-2004 гг._EBITDA_дивизион_12.11.2007 3" xfId="12156"/>
    <cellStyle name="_Книга22_Дайджест 2003-2004 гг._EBITDA_дивизион_12.11.2007 4" xfId="12157"/>
    <cellStyle name="_Книга22_Дайджест 2003-2004 гг._EBITDA_дивизион_12.11.2007 5" xfId="12158"/>
    <cellStyle name="_Книга22_Дайджест 2003-2004 гг._EBITDA_дивизион_12.11.2007 6" xfId="12159"/>
    <cellStyle name="_Книга22_Дайджест 2003-2004 гг._EBITDA_дивизион_12.11.2007 7" xfId="12160"/>
    <cellStyle name="_Книга22_Дайджест 2003-2004 гг._EBITDA_дивизион_12.11.2007 8" xfId="12161"/>
    <cellStyle name="_Книга22_Дайджест 2003-2004 гг._EBITDA_дивизион_12.11.2007 9" xfId="12162"/>
    <cellStyle name="_Книга22_Дайджест 2003-2004 гг._index" xfId="12163"/>
    <cellStyle name="_Книга22_Дайджест 2003-2004 гг._№13, №14" xfId="12164"/>
    <cellStyle name="_Книга22_Дайджест 2003-2004 гг._№13, №14 02.04.07" xfId="12165"/>
    <cellStyle name="_Книга22_Дайджест 2003-2004 гг._№13, №14 2" xfId="12166"/>
    <cellStyle name="_Книга22_Дайджест 2003-2004 гг._№13, №14 3" xfId="12167"/>
    <cellStyle name="_Книга22_Дайджест 2003-2004 гг._№13, №14 4" xfId="12168"/>
    <cellStyle name="_Книга22_Дайджест 2003-2004 гг._№13, №14 5" xfId="12169"/>
    <cellStyle name="_Книга22_Дайджест 2003-2004 гг._№13, №14 6" xfId="12170"/>
    <cellStyle name="_Книга22_Дайджест 2003-2004 гг._№13, №14 7" xfId="12171"/>
    <cellStyle name="_Книга22_Дайджест 2003-2004 гг._№13, №14 8" xfId="12172"/>
    <cellStyle name="_Книга22_Дайджест 2003-2004 гг._№13, №14 9" xfId="12173"/>
    <cellStyle name="_Книга22_Дайджест 2003-2004 гг._№13, №14 от 15.12.2006" xfId="12174"/>
    <cellStyle name="_Книга22_Дайджест 2003-2004 гг._№13, №14 от 15.12.2006 2" xfId="12175"/>
    <cellStyle name="_Книга22_Дайджест 2003-2004 гг._№13, №14 от 15.12.2006 3" xfId="12176"/>
    <cellStyle name="_Книга22_Дайджест 2003-2004 гг._№13, №14 от 15.12.2006 4" xfId="12177"/>
    <cellStyle name="_Книга22_Дайджест 2003-2004 гг._№13, №14 от 15.12.2006 5" xfId="12178"/>
    <cellStyle name="_Книга22_Дайджест 2003-2004 гг._№13, №14 от 15.12.2006 6" xfId="12179"/>
    <cellStyle name="_Книга22_Дайджест 2003-2004 гг._№13, №14 от 15.12.2006 7" xfId="12180"/>
    <cellStyle name="_Книга22_Дайджест 2003-2004 гг._№13, №14 от 15.12.2006 8" xfId="12181"/>
    <cellStyle name="_Книга22_Дайджест 2003-2004 гг._№13, №14 от 15.12.2006 9" xfId="12182"/>
    <cellStyle name="_Книга22_Дайджест 2003-2004 гг._№13, №14 январь 2007 25.02.07" xfId="12183"/>
    <cellStyle name="_Книга22_Дайджест 2003-2004 гг._№13, №14 январь 2007 25.02.07 2" xfId="12184"/>
    <cellStyle name="_Книга22_Дайджест 2003-2004 гг._№13, №14 январь 2007 25.02.07 3" xfId="12185"/>
    <cellStyle name="_Книга22_Дайджест 2003-2004 гг._№13, №14 январь 2007 25.02.07 4" xfId="12186"/>
    <cellStyle name="_Книга22_Дайджест 2003-2004 гг._№13, №14 январь 2007 25.02.07 5" xfId="12187"/>
    <cellStyle name="_Книга22_Дайджест 2003-2004 гг._№13, №14 январь 2007 25.02.07 6" xfId="12188"/>
    <cellStyle name="_Книга22_Дайджест 2003-2004 гг._№13, №14 январь 2007 25.02.07 7" xfId="12189"/>
    <cellStyle name="_Книга22_Дайджест 2003-2004 гг._№13, №14 январь 2007 25.02.07 8" xfId="12190"/>
    <cellStyle name="_Книга22_Дайджест 2003-2004 гг._№13, №14 январь 2007 25.02.07 9" xfId="12191"/>
    <cellStyle name="_Книга22_Дайджест 2003-2004 гг._№13, №14 январь 2007 25.02.07_index" xfId="12192"/>
    <cellStyle name="_Книга22_Дайджест 2003-2004 гг._№13, №14 январь 2007 25.02.07_Копия Потребность взаиморасч  от 28 02 2008 (2)" xfId="12193"/>
    <cellStyle name="_Книга22_Дайджест 2003-2004 гг._№13, №14 январь 2007 25.02.07_Форма№13 (новая от 28 12 09г) февраль версия № и последняя" xfId="12194"/>
    <cellStyle name="_Книга22_Дайджест 2003-2004 гг._№26 измен 03.04.07" xfId="12195"/>
    <cellStyle name="_Книга22_Дайджест 2003-2004 гг._№26 измен 15.12.06 4 вар " xfId="12196"/>
    <cellStyle name="_Книга22_Дайджест 2003-2004 гг._№26 измен 15.12.06 4 вар  2" xfId="12197"/>
    <cellStyle name="_Книга22_Дайджест 2003-2004 гг._№26 измен 15.12.06 4 вар  3" xfId="12198"/>
    <cellStyle name="_Книга22_Дайджест 2003-2004 гг._№26 измен 15.12.06 4 вар  4" xfId="12199"/>
    <cellStyle name="_Книга22_Дайджест 2003-2004 гг._№26 измен 15.12.06 4 вар  5" xfId="12200"/>
    <cellStyle name="_Книга22_Дайджест 2003-2004 гг._№26 измен 15.12.06 4 вар  6" xfId="12201"/>
    <cellStyle name="_Книга22_Дайджест 2003-2004 гг._№26 измен 15.12.06 4 вар  7" xfId="12202"/>
    <cellStyle name="_Книга22_Дайджест 2003-2004 гг._№26 измен 15.12.06 4 вар  8" xfId="12203"/>
    <cellStyle name="_Книга22_Дайджест 2003-2004 гг._№26 измен 15.12.06 4 вар  9" xfId="12204"/>
    <cellStyle name="_Книга22_Дайджест 2003-2004 гг._№26, от 25.02.07" xfId="12205"/>
    <cellStyle name="_Книга22_Дайджест 2003-2004 гг._№26, от 25.02.07 2" xfId="12206"/>
    <cellStyle name="_Книга22_Дайджест 2003-2004 гг._№26, от 25.02.07 3" xfId="12207"/>
    <cellStyle name="_Книга22_Дайджест 2003-2004 гг._№26, от 25.02.07 4" xfId="12208"/>
    <cellStyle name="_Книга22_Дайджест 2003-2004 гг._№26, от 25.02.07 5" xfId="12209"/>
    <cellStyle name="_Книга22_Дайджест 2003-2004 гг._№26, от 25.02.07 6" xfId="12210"/>
    <cellStyle name="_Книга22_Дайджест 2003-2004 гг._№26, от 25.02.07 7" xfId="12211"/>
    <cellStyle name="_Книга22_Дайджест 2003-2004 гг._№26, от 25.02.07 8" xfId="12212"/>
    <cellStyle name="_Книга22_Дайджест 2003-2004 гг._№26, от 25.02.07 9" xfId="12213"/>
    <cellStyle name="_Книга22_Дайджест 2003-2004 гг._№26, от 25.02.07_index" xfId="12214"/>
    <cellStyle name="_Книга22_Дайджест 2003-2004 гг._№26, от 25.02.07_Копия Потребность взаиморасч  от 28 02 2008 (2)" xfId="12215"/>
    <cellStyle name="_Книга22_Дайджест 2003-2004 гг._№26, от 25.02.07_Форма№13 (новая от 28 12 09г) февраль версия № и последняя" xfId="12216"/>
    <cellStyle name="_Книга22_Дайджест 2003-2004 гг._БДР - 2008 год 2-е чтение" xfId="12217"/>
    <cellStyle name="_Книга22_Дайджест 2003-2004 гг._БДР - 2008 год 2-е чтение 2" xfId="12218"/>
    <cellStyle name="_Книга22_Дайджест 2003-2004 гг._БДР - 2008 год 2-е чтение 3" xfId="12219"/>
    <cellStyle name="_Книга22_Дайджест 2003-2004 гг._БДР - 2008 год 2-е чтение 4" xfId="12220"/>
    <cellStyle name="_Книга22_Дайджест 2003-2004 гг._БДР - 2008 год 2-е чтение 5" xfId="12221"/>
    <cellStyle name="_Книга22_Дайджест 2003-2004 гг._БДР - 2008 год 2-е чтение 6" xfId="12222"/>
    <cellStyle name="_Книга22_Дайджест 2003-2004 гг._БДР - 2008 год 2-е чтение 7" xfId="12223"/>
    <cellStyle name="_Книга22_Дайджест 2003-2004 гг._БДР - 2008 год 2-е чтение 8" xfId="12224"/>
    <cellStyle name="_Книга22_Дайджест 2003-2004 гг._БДР - 2008 год 2-е чтение 9" xfId="12225"/>
    <cellStyle name="_Книга22_Дайджест 2003-2004 гг._БДР 2 кв  презентационный_24 03 2008_11-45" xfId="12226"/>
    <cellStyle name="_Книга22_Дайджест 2003-2004 гг._БДР 2 кв  презентационный_24 03 2008_15-55" xfId="12227"/>
    <cellStyle name="_Книга22_Дайджест 2003-2004 гг._Больш. 1-8 октября" xfId="12228"/>
    <cellStyle name="_Книга22_Дайджест 2003-2004 гг._БП  07 г. (нов.форма) 2" xfId="12229"/>
    <cellStyle name="_Книга22_Дайджест 2003-2004 гг._БП  07 г. (нов.форма) 2 2" xfId="12230"/>
    <cellStyle name="_Книга22_Дайджест 2003-2004 гг._БП  07 г. (нов.форма) 2 3" xfId="12231"/>
    <cellStyle name="_Книга22_Дайджест 2003-2004 гг._БП  07 г. (нов.форма) 2 4" xfId="12232"/>
    <cellStyle name="_Книга22_Дайджест 2003-2004 гг._БП  07 г. (нов.форма) 2 5" xfId="12233"/>
    <cellStyle name="_Книга22_Дайджест 2003-2004 гг._БП  07 г. (нов.форма) 2 6" xfId="12234"/>
    <cellStyle name="_Книга22_Дайджест 2003-2004 гг._БП  07 г. (нов.форма) 2 7" xfId="12235"/>
    <cellStyle name="_Книга22_Дайджест 2003-2004 гг._БП  07 г. (нов.форма) 2 8" xfId="12236"/>
    <cellStyle name="_Книга22_Дайджест 2003-2004 гг._БП  07 г. (нов.форма) 2 9" xfId="12237"/>
    <cellStyle name="_Книга22_Дайджест 2003-2004 гг._БП Урал Кирпич 28 01 2008г" xfId="12238"/>
    <cellStyle name="_Книга22_Дайджест 2003-2004 гг._БП_план на 1 кв. 2008г." xfId="12239"/>
    <cellStyle name="_Книга22_Дайджест 2003-2004 гг._БП_план на 2 кв. 2008г." xfId="12240"/>
    <cellStyle name="_Книга22_Дайджест 2003-2004 гг._бп2008 презентация 12.11.07" xfId="12241"/>
    <cellStyle name="_Книга22_Дайджест 2003-2004 гг._бп2008 презентация 12.11.07 2" xfId="12242"/>
    <cellStyle name="_Книга22_Дайджест 2003-2004 гг._бп2008 презентация 12.11.07 3" xfId="12243"/>
    <cellStyle name="_Книга22_Дайджест 2003-2004 гг._бп2008 презентация 12.11.07 4" xfId="12244"/>
    <cellStyle name="_Книга22_Дайджест 2003-2004 гг._бп2008 презентация 12.11.07 5" xfId="12245"/>
    <cellStyle name="_Книга22_Дайджест 2003-2004 гг._бп2008 презентация 12.11.07 6" xfId="12246"/>
    <cellStyle name="_Книга22_Дайджест 2003-2004 гг._бп2008 презентация 12.11.07 7" xfId="12247"/>
    <cellStyle name="_Книга22_Дайджест 2003-2004 гг._бп2008 презентация 12.11.07 8" xfId="12248"/>
    <cellStyle name="_Книга22_Дайджест 2003-2004 гг._бп2008 презентация 12.11.07 9" xfId="12249"/>
    <cellStyle name="_Книга22_Дайджест 2003-2004 гг._Верх НА" xfId="12250"/>
    <cellStyle name="_Книга22_Дайджест 2003-2004 гг._Выручка февраля 09 от 22 01 09 (1)" xfId="12251"/>
    <cellStyle name="_Книга22_Дайджест 2003-2004 гг._ДИВИЗИОН Презентация 4 кв. 07 изм отгр" xfId="12252"/>
    <cellStyle name="_Книга22_Дайджест 2003-2004 гг._ДИВИЗИОН Презентация 4 кв. 07 изм отгр 2" xfId="12253"/>
    <cellStyle name="_Книга22_Дайджест 2003-2004 гг._ДИВИЗИОН Презентация 4 кв. 07 изм отгр 3" xfId="12254"/>
    <cellStyle name="_Книга22_Дайджест 2003-2004 гг._ДИВИЗИОН Презентация 4 кв. 07 изм отгр 4" xfId="12255"/>
    <cellStyle name="_Книга22_Дайджест 2003-2004 гг._ДИВИЗИОН Презентация 4 кв. 07 изм отгр 5" xfId="12256"/>
    <cellStyle name="_Книга22_Дайджест 2003-2004 гг._ДИВИЗИОН Презентация 4 кв. 07 изм отгр 6" xfId="12257"/>
    <cellStyle name="_Книга22_Дайджест 2003-2004 гг._ДИВИЗИОН Презентация 4 кв. 07 изм отгр 7" xfId="12258"/>
    <cellStyle name="_Книга22_Дайджест 2003-2004 гг._ДИВИЗИОН Презентация 4 кв. 07 изм отгр 8" xfId="12259"/>
    <cellStyle name="_Книга22_Дайджест 2003-2004 гг._ДИВИЗИОН Презентация 4 кв. 07 изм отгр 9" xfId="12260"/>
    <cellStyle name="_Книга22_Дайджест 2003-2004 гг._ДИВИЗИОН_2008" xfId="12261"/>
    <cellStyle name="_Книга22_Дайджест 2003-2004 гг._ДИВИЗИОН_2008 2" xfId="12262"/>
    <cellStyle name="_Книга22_Дайджест 2003-2004 гг._ДИВИЗИОН_2008 3" xfId="12263"/>
    <cellStyle name="_Книга22_Дайджест 2003-2004 гг._ДИВИЗИОН_2008 4" xfId="12264"/>
    <cellStyle name="_Книга22_Дайджест 2003-2004 гг._ДИВИЗИОН_2008 5" xfId="12265"/>
    <cellStyle name="_Книга22_Дайджест 2003-2004 гг._ДИВИЗИОН_2008 6" xfId="12266"/>
    <cellStyle name="_Книга22_Дайджест 2003-2004 гг._ДИВИЗИОН_2008 7" xfId="12267"/>
    <cellStyle name="_Книга22_Дайджест 2003-2004 гг._ДИВИЗИОН_2008 8" xfId="12268"/>
    <cellStyle name="_Книга22_Дайджест 2003-2004 гг._ДИВИЗИОН_2008 9" xfId="12269"/>
    <cellStyle name="_Книга22_Дайджест 2003-2004 гг._Дивизиональная форма БДР_14.12.2007" xfId="12270"/>
    <cellStyle name="_Книга22_Дайджест 2003-2004 гг._Дивизиональная форма БДР_14.12.2007 2" xfId="12271"/>
    <cellStyle name="_Книга22_Дайджест 2003-2004 гг._Дивизиональная форма БДР_14.12.2007 3" xfId="12272"/>
    <cellStyle name="_Книга22_Дайджест 2003-2004 гг._Дивизиональная форма БДР_14.12.2007 4" xfId="12273"/>
    <cellStyle name="_Книга22_Дайджест 2003-2004 гг._Дивизиональная форма БДР_14.12.2007 5" xfId="12274"/>
    <cellStyle name="_Книга22_Дайджест 2003-2004 гг._Дивизиональная форма БДР_14.12.2007 6" xfId="12275"/>
    <cellStyle name="_Книга22_Дайджест 2003-2004 гг._Дивизиональная форма БДР_14.12.2007 7" xfId="12276"/>
    <cellStyle name="_Книга22_Дайджест 2003-2004 гг._Дивизиональная форма БДР_14.12.2007 8" xfId="12277"/>
    <cellStyle name="_Книга22_Дайджест 2003-2004 гг._Дивизиональная форма БДР_14.12.2007 9" xfId="12278"/>
    <cellStyle name="_Книга22_Дайджест 2003-2004 гг._Динамика Свод_Бизнес_MGOK 27_07_06" xfId="12279"/>
    <cellStyle name="_Книга22_Дайджест 2003-2004 гг._Динамика Свод_Бизнес_MGOK 27_07_06 2" xfId="12280"/>
    <cellStyle name="_Книга22_Дайджест 2003-2004 гг._Динамика Свод_Бизнес_MGOK 27_07_06 3" xfId="12281"/>
    <cellStyle name="_Книга22_Дайджест 2003-2004 гг._Динамика Свод_Бизнес_MGOK 27_07_06 4" xfId="12282"/>
    <cellStyle name="_Книга22_Дайджест 2003-2004 гг._Динамика Свод_Бизнес_MGOK 27_07_06 5" xfId="12283"/>
    <cellStyle name="_Книга22_Дайджест 2003-2004 гг._Динамика Свод_Бизнес_MGOK 27_07_06 6" xfId="12284"/>
    <cellStyle name="_Книга22_Дайджест 2003-2004 гг._Динамика Свод_Бизнес_MGOK 27_07_06 7" xfId="12285"/>
    <cellStyle name="_Книга22_Дайджест 2003-2004 гг._Динамика Свод_Бизнес_MGOK 27_07_06 8" xfId="12286"/>
    <cellStyle name="_Книга22_Дайджест 2003-2004 гг._Динамика Свод_Бизнес_MGOK 27_07_06 9" xfId="12287"/>
    <cellStyle name="_Книга22_Дайджест 2003-2004 гг._Динамика Свод_Бизнес_MGOK 27_07_06_Книга2" xfId="12288"/>
    <cellStyle name="_Книга22_Дайджест 2003-2004 гг._Динамика Свод_Бизнес_MGOK 27_07_06_Отчет за сентябрь_11_ДСМ" xfId="12289"/>
    <cellStyle name="_Книга22_Дайджест 2003-2004 гг._Ежемесячные формы для ТД на 2004 год (version 1)" xfId="12290"/>
    <cellStyle name="_Книга22_Дайджест 2003-2004 гг._Запрос МИ Менеджмент 18 08 06 (новый формат)" xfId="12291"/>
    <cellStyle name="_Книга22_Дайджест 2003-2004 гг._Запрос МИ Менеджмент 18 08 06 (новый формат) 10" xfId="12292"/>
    <cellStyle name="_Книга22_Дайджест 2003-2004 гг._Запрос МИ Менеджмент 18 08 06 (новый формат) 11" xfId="12293"/>
    <cellStyle name="_Книга22_Дайджест 2003-2004 гг._Запрос МИ Менеджмент 18 08 06 (новый формат) 12" xfId="12294"/>
    <cellStyle name="_Книга22_Дайджест 2003-2004 гг._Запрос МИ Менеджмент 18 08 06 (новый формат) 13" xfId="12295"/>
    <cellStyle name="_Книга22_Дайджест 2003-2004 гг._Запрос МИ Менеджмент 18 08 06 (новый формат) 2" xfId="12296"/>
    <cellStyle name="_Книга22_Дайджест 2003-2004 гг._Запрос МИ Менеджмент 18 08 06 (новый формат) 3" xfId="12297"/>
    <cellStyle name="_Книга22_Дайджест 2003-2004 гг._Запрос МИ Менеджмент 18 08 06 (новый формат) 4" xfId="12298"/>
    <cellStyle name="_Книга22_Дайджест 2003-2004 гг._Запрос МИ Менеджмент 18 08 06 (новый формат) 5" xfId="12299"/>
    <cellStyle name="_Книга22_Дайджест 2003-2004 гг._Запрос МИ Менеджмент 18 08 06 (новый формат) 6" xfId="12300"/>
    <cellStyle name="_Книга22_Дайджест 2003-2004 гг._Запрос МИ Менеджмент 18 08 06 (новый формат) 7" xfId="12301"/>
    <cellStyle name="_Книга22_Дайджест 2003-2004 гг._Запрос МИ Менеджмент 18 08 06 (новый формат) 8" xfId="12302"/>
    <cellStyle name="_Книга22_Дайджест 2003-2004 гг._Запрос МИ Менеджмент 18 08 06 (новый формат) 9" xfId="12303"/>
    <cellStyle name="_Книга22_Дайджест 2003-2004 гг._Запрос МИ Менеджмент 18 08 06 (новый формат)__План по труду 2008 261107 (10% с января)" xfId="12304"/>
    <cellStyle name="_Книга22_Дайджест 2003-2004 гг._Запрос МИ Менеджмент 18 08 06 (новый формат)__План по труду 2008 261107 (10% с января) 2" xfId="12305"/>
    <cellStyle name="_Книга22_Дайджест 2003-2004 гг._Запрос МИ Менеджмент 18 08 06 (новый формат)__План по труду 2008 261107 (10% с января) 3" xfId="12306"/>
    <cellStyle name="_Книга22_Дайджест 2003-2004 гг._Запрос МИ Менеджмент 18 08 06 (новый формат)__План по труду 2008 261107 (10% с января) 4" xfId="12307"/>
    <cellStyle name="_Книга22_Дайджест 2003-2004 гг._Запрос МИ Менеджмент 18 08 06 (новый формат)__План по труду 2008 261107 (10% с января) 5" xfId="12308"/>
    <cellStyle name="_Книга22_Дайджест 2003-2004 гг._Запрос МИ Менеджмент 18 08 06 (новый формат)__План по труду 2008 261107 (10% с января) 6" xfId="12309"/>
    <cellStyle name="_Книга22_Дайджест 2003-2004 гг._Запрос МИ Менеджмент 18 08 06 (новый формат)__План по труду 2008 261107 (10% с января) 7" xfId="12310"/>
    <cellStyle name="_Книга22_Дайджест 2003-2004 гг._Запрос МИ Менеджмент 18 08 06 (новый формат)__План по труду 2008 261107 (10% с января) 8" xfId="12311"/>
    <cellStyle name="_Книга22_Дайджест 2003-2004 гг._Запрос МИ Менеджмент 18 08 06 (новый формат)__План по труду 2008 261107 (10% с января) 9" xfId="12312"/>
    <cellStyle name="_Книга22_Дайджест 2003-2004 гг._Запрос МИ Менеджмент 18 08 06 (новый формат)__План по труду 2008 ИТОГ (правл. ПНР 161007)_" xfId="12313"/>
    <cellStyle name="_Книга22_Дайджест 2003-2004 гг._Запрос МИ Менеджмент 18 08 06 (новый формат)__План по труду 2008 ИТОГ (правл. ПНР 161007)_ 2" xfId="12314"/>
    <cellStyle name="_Книга22_Дайджест 2003-2004 гг._Запрос МИ Менеджмент 18 08 06 (новый формат)__План по труду 2008 ИТОГ (правл. ПНР 161007)_ 3" xfId="12315"/>
    <cellStyle name="_Книга22_Дайджест 2003-2004 гг._Запрос МИ Менеджмент 18 08 06 (новый формат)__План по труду 2008 ИТОГ (правл. ПНР 161007)_ 4" xfId="12316"/>
    <cellStyle name="_Книга22_Дайджест 2003-2004 гг._Запрос МИ Менеджмент 18 08 06 (новый формат)__План по труду 2008 ИТОГ (правл. ПНР 161007)_ 5" xfId="12317"/>
    <cellStyle name="_Книга22_Дайджест 2003-2004 гг._Запрос МИ Менеджмент 18 08 06 (новый формат)__План по труду 2008 ИТОГ (правл. ПНР 161007)_ 6" xfId="12318"/>
    <cellStyle name="_Книга22_Дайджест 2003-2004 гг._Запрос МИ Менеджмент 18 08 06 (новый формат)__План по труду 2008 ИТОГ (правл. ПНР 161007)_ 7" xfId="12319"/>
    <cellStyle name="_Книга22_Дайджест 2003-2004 гг._Запрос МИ Менеджмент 18 08 06 (новый формат)__План по труду 2008 ИТОГ (правл. ПНР 161007)_ 8" xfId="12320"/>
    <cellStyle name="_Книга22_Дайджест 2003-2004 гг._Запрос МИ Менеджмент 18 08 06 (новый формат)__План по труду 2008 ИТОГ (правл. ПНР 161007)_ 9" xfId="12321"/>
    <cellStyle name="_Книга22_Дайджест 2003-2004 гг._Запрос МИ Менеджмент 18 08 06 (новый формат)_2_Инвестпрограмма на 2008 год (КОВАЛЕВ)" xfId="12322"/>
    <cellStyle name="_Книга22_Дайджест 2003-2004 гг._Запрос МИ Менеджмент 18 08 06 (новый формат)_Данные для ФОТ на 2008 год" xfId="12323"/>
    <cellStyle name="_Книга22_Дайджест 2003-2004 гг._Запрос МИ Менеджмент 18 08 06 (новый формат)_Данные для ФОТ на 2008 год 2" xfId="12324"/>
    <cellStyle name="_Книга22_Дайджест 2003-2004 гг._Запрос МИ Менеджмент 18 08 06 (новый формат)_Данные для ФОТ на 2008 год 3" xfId="12325"/>
    <cellStyle name="_Книга22_Дайджест 2003-2004 гг._Запрос МИ Менеджмент 18 08 06 (новый формат)_Данные для ФОТ на 2008 год 4" xfId="12326"/>
    <cellStyle name="_Книга22_Дайджест 2003-2004 гг._Запрос МИ Менеджмент 18 08 06 (новый формат)_Данные для ФОТ на 2008 год 5" xfId="12327"/>
    <cellStyle name="_Книга22_Дайджест 2003-2004 гг._Запрос МИ Менеджмент 18 08 06 (новый формат)_Данные для ФОТ на 2008 год 6" xfId="12328"/>
    <cellStyle name="_Книга22_Дайджест 2003-2004 гг._Запрос МИ Менеджмент 18 08 06 (новый формат)_Данные для ФОТ на 2008 год 7" xfId="12329"/>
    <cellStyle name="_Книга22_Дайджест 2003-2004 гг._Запрос МИ Менеджмент 18 08 06 (новый формат)_Данные для ФОТ на 2008 год 8" xfId="12330"/>
    <cellStyle name="_Книга22_Дайджест 2003-2004 гг._Запрос МИ Менеджмент 18 08 06 (новый формат)_Данные для ФОТ на 2008 год 9" xfId="12331"/>
    <cellStyle name="_Книга22_Дайджест 2003-2004 гг._Запрос МИ Менеджмент 18 08 06 (новый формат)_План по труду 2008 ИТОГ (2003_вер)" xfId="12332"/>
    <cellStyle name="_Книга22_Дайджест 2003-2004 гг._Запрос МИ Менеджмент 18 08 06 (новый формат)_План по труду 2008 ИТОГ (2003_вер) 2" xfId="12333"/>
    <cellStyle name="_Книга22_Дайджест 2003-2004 гг._Запрос МИ Менеджмент 18 08 06 (новый формат)_План по труду 2008 ИТОГ (2003_вер) 3" xfId="12334"/>
    <cellStyle name="_Книга22_Дайджест 2003-2004 гг._Запрос МИ Менеджмент 18 08 06 (новый формат)_План по труду 2008 ИТОГ (2003_вер) 4" xfId="12335"/>
    <cellStyle name="_Книга22_Дайджест 2003-2004 гг._Запрос МИ Менеджмент 18 08 06 (новый формат)_План по труду 2008 ИТОГ (2003_вер) 5" xfId="12336"/>
    <cellStyle name="_Книга22_Дайджест 2003-2004 гг._Запрос МИ Менеджмент 18 08 06 (новый формат)_План по труду 2008 ИТОГ (2003_вер) 6" xfId="12337"/>
    <cellStyle name="_Книга22_Дайджест 2003-2004 гг._Запрос МИ Менеджмент 18 08 06 (новый формат)_План по труду 2008 ИТОГ (2003_вер) 7" xfId="12338"/>
    <cellStyle name="_Книга22_Дайджест 2003-2004 гг._Запрос МИ Менеджмент 18 08 06 (новый формат)_План по труду 2008 ИТОГ (2003_вер) 8" xfId="12339"/>
    <cellStyle name="_Книга22_Дайджест 2003-2004 гг._Запрос МИ Менеджмент 18 08 06 (новый формат)_План по труду 2008 ИТОГ (2003_вер) 9" xfId="12340"/>
    <cellStyle name="_Книга22_Дайджест 2003-2004 гг._Запрос МИ Менеджмент 18 08 06 (новый формат)_ТКВ 2008 от 19.07" xfId="12341"/>
    <cellStyle name="_Книга22_Дайджест 2003-2004 гг._Запрос МИ Менеджмент 18 08 06 (новый формат)_ТКВ 2008 от 31.07" xfId="12342"/>
    <cellStyle name="_Книга22_Дайджест 2003-2004 гг._ИПИТА" xfId="12343"/>
    <cellStyle name="_Книга22_Дайджест 2003-2004 гг._ИПИТА 2" xfId="12344"/>
    <cellStyle name="_Книга22_Дайджест 2003-2004 гг._ИПИТА 3" xfId="12345"/>
    <cellStyle name="_Книга22_Дайджест 2003-2004 гг._ИПИТА 4" xfId="12346"/>
    <cellStyle name="_Книга22_Дайджест 2003-2004 гг._ИПИТА 5" xfId="12347"/>
    <cellStyle name="_Книга22_Дайджест 2003-2004 гг._ИПИТА 6" xfId="12348"/>
    <cellStyle name="_Книга22_Дайджест 2003-2004 гг._ИПИТА 7" xfId="12349"/>
    <cellStyle name="_Книга22_Дайджест 2003-2004 гг._ИПИТА 8" xfId="12350"/>
    <cellStyle name="_Книга22_Дайджест 2003-2004 гг._ИПИТА 9" xfId="12351"/>
    <cellStyle name="_Книга22_Дайджест 2003-2004 гг._КМА-Эн план 1 кв 200919.12.08отпр в Холдинг" xfId="12352"/>
    <cellStyle name="_Книга22_Дайджест 2003-2004 гг._Книга БДР 4 кв" xfId="12353"/>
    <cellStyle name="_Книга22_Дайджест 2003-2004 гг._Книга БДР 4 кв 2" xfId="12354"/>
    <cellStyle name="_Книга22_Дайджест 2003-2004 гг._Книга БДР 4 кв 3" xfId="12355"/>
    <cellStyle name="_Книга22_Дайджест 2003-2004 гг._Книга БДР 4 кв 4" xfId="12356"/>
    <cellStyle name="_Книга22_Дайджест 2003-2004 гг._Книга БДР 4 кв 5" xfId="12357"/>
    <cellStyle name="_Книга22_Дайджест 2003-2004 гг._Книга БДР 4 кв 6" xfId="12358"/>
    <cellStyle name="_Книга22_Дайджест 2003-2004 гг._Книга БДР 4 кв 7" xfId="12359"/>
    <cellStyle name="_Книга22_Дайджест 2003-2004 гг._Книга БДР 4 кв 8" xfId="12360"/>
    <cellStyle name="_Книга22_Дайджест 2003-2004 гг._Книга БДР 4 кв 9" xfId="12361"/>
    <cellStyle name="_Книга22_Дайджест 2003-2004 гг._Книга1" xfId="12362"/>
    <cellStyle name="_Книга22_Дайджест 2003-2004 гг._Книга1 (1)" xfId="12363"/>
    <cellStyle name="_Книга22_Дайджест 2003-2004 гг._Книга1 (1) 2" xfId="12364"/>
    <cellStyle name="_Книга22_Дайджест 2003-2004 гг._Книга1 (1) 3" xfId="12365"/>
    <cellStyle name="_Книга22_Дайджест 2003-2004 гг._Книга1 (1) 4" xfId="12366"/>
    <cellStyle name="_Книга22_Дайджест 2003-2004 гг._Книга1 (1) 5" xfId="12367"/>
    <cellStyle name="_Книга22_Дайджест 2003-2004 гг._Книга1 (1) 6" xfId="12368"/>
    <cellStyle name="_Книга22_Дайджест 2003-2004 гг._Книга1 (1) 7" xfId="12369"/>
    <cellStyle name="_Книга22_Дайджест 2003-2004 гг._Книга1 (1) 8" xfId="12370"/>
    <cellStyle name="_Книга22_Дайджест 2003-2004 гг._Книга1 (1) 9" xfId="12371"/>
    <cellStyle name="_Книга22_Дайджест 2003-2004 гг._Книга1 (5)" xfId="12372"/>
    <cellStyle name="_Книга22_Дайджест 2003-2004 гг._Книга1 (5) 2" xfId="12373"/>
    <cellStyle name="_Книга22_Дайджест 2003-2004 гг._Книга1 (5) 3" xfId="12374"/>
    <cellStyle name="_Книга22_Дайджест 2003-2004 гг._Книга1 (5) 4" xfId="12375"/>
    <cellStyle name="_Книга22_Дайджест 2003-2004 гг._Книга1 (5) 5" xfId="12376"/>
    <cellStyle name="_Книга22_Дайджест 2003-2004 гг._Книга1 (5) 6" xfId="12377"/>
    <cellStyle name="_Книга22_Дайджест 2003-2004 гг._Книга1 (5) 7" xfId="12378"/>
    <cellStyle name="_Книга22_Дайджест 2003-2004 гг._Книга1 (5) 8" xfId="12379"/>
    <cellStyle name="_Книга22_Дайджест 2003-2004 гг._Книга1 (5) 9" xfId="12380"/>
    <cellStyle name="_Книга22_Дайджест 2003-2004 гг._Книга1 2" xfId="12381"/>
    <cellStyle name="_Книга22_Дайджест 2003-2004 гг._Книга1 3" xfId="12382"/>
    <cellStyle name="_Книга22_Дайджест 2003-2004 гг._Книга1 4" xfId="12383"/>
    <cellStyle name="_Книга22_Дайджест 2003-2004 гг._Книга1 5" xfId="12384"/>
    <cellStyle name="_Книга22_Дайджест 2003-2004 гг._Книга1 6" xfId="12385"/>
    <cellStyle name="_Книга22_Дайджест 2003-2004 гг._Книга1 7" xfId="12386"/>
    <cellStyle name="_Книга22_Дайджест 2003-2004 гг._Книга1 8" xfId="12387"/>
    <cellStyle name="_Книга22_Дайджест 2003-2004 гг._Книга1 9" xfId="12388"/>
    <cellStyle name="_Книга22_Дайджест 2003-2004 гг._Книга1_1" xfId="12389"/>
    <cellStyle name="_Книга22_Дайджест 2003-2004 гг._Книга11" xfId="12390"/>
    <cellStyle name="_Книга22_Дайджест 2003-2004 гг._Книга3" xfId="12391"/>
    <cellStyle name="_Книга22_Дайджест 2003-2004 гг._Книга3 2" xfId="12392"/>
    <cellStyle name="_Книга22_Дайджест 2003-2004 гг._Книга3 3" xfId="12393"/>
    <cellStyle name="_Книга22_Дайджест 2003-2004 гг._Книга3 4" xfId="12394"/>
    <cellStyle name="_Книга22_Дайджест 2003-2004 гг._Книга3 5" xfId="12395"/>
    <cellStyle name="_Книга22_Дайджест 2003-2004 гг._Книга3 6" xfId="12396"/>
    <cellStyle name="_Книга22_Дайджест 2003-2004 гг._Книга3 7" xfId="12397"/>
    <cellStyle name="_Книга22_Дайджест 2003-2004 гг._Книга3 8" xfId="12398"/>
    <cellStyle name="_Книга22_Дайджест 2003-2004 гг._Книга3 9" xfId="12399"/>
    <cellStyle name="_Книга22_Дайджест 2003-2004 гг._Комплект документов - план на 2007 год - фин.часть 8.12.06 (укороч.)" xfId="12400"/>
    <cellStyle name="_Книга22_Дайджест 2003-2004 гг._Комплект документов - план на 2007 год - фин.часть 8.12.06 (укороч.) 2" xfId="12401"/>
    <cellStyle name="_Книга22_Дайджест 2003-2004 гг._Комплект документов - план на 2007 год - фин.часть 8.12.06 (укороч.) 3" xfId="12402"/>
    <cellStyle name="_Книга22_Дайджест 2003-2004 гг._Комплект документов - план на 2007 год - фин.часть 8.12.06 (укороч.) 4" xfId="12403"/>
    <cellStyle name="_Книга22_Дайджест 2003-2004 гг._Комплект документов - план на 2007 год - фин.часть 8.12.06 (укороч.) 5" xfId="12404"/>
    <cellStyle name="_Книга22_Дайджест 2003-2004 гг._Комплект документов - план на 2007 год - фин.часть 8.12.06 (укороч.) 6" xfId="12405"/>
    <cellStyle name="_Книга22_Дайджест 2003-2004 гг._Комплект документов - план на 2007 год - фин.часть 8.12.06 (укороч.) 7" xfId="12406"/>
    <cellStyle name="_Книга22_Дайджест 2003-2004 гг._Комплект документов - план на 2007 год - фин.часть 8.12.06 (укороч.) 8" xfId="12407"/>
    <cellStyle name="_Книга22_Дайджест 2003-2004 гг._Комплект документов - план на 2007 год - фин.часть 8.12.06 (укороч.) 9" xfId="12408"/>
    <cellStyle name="_Книга22_Дайджест 2003-2004 гг._Конс  ЛГОК БП 2009 для Комбината 07 11 08" xfId="12409"/>
    <cellStyle name="_Книга22_Дайджест 2003-2004 гг._Конс  ЛГОК БП 2009 от 14 10 08" xfId="12410"/>
    <cellStyle name="_Книга22_Дайджест 2003-2004 гг._Конс  ЛГОК БП 2009 от 14 10 08 (2)" xfId="12411"/>
    <cellStyle name="_Книга22_Дайджест 2003-2004 гг._Конс  МГОК БП 2009 от 14 10 08" xfId="12412"/>
    <cellStyle name="_Книга22_Дайджест 2003-2004 гг._Конс. план ЛГОК мар.09 для Комбината 20.02.09" xfId="12413"/>
    <cellStyle name="_Книга22_Дайджест 2003-2004 гг._Конс. план ЛГОК мар.09 для Комбината 25.02.09" xfId="12414"/>
    <cellStyle name="_Книга22_Дайджест 2003-2004 гг._Копия Динамика цен (УС ) 2006-2009 сверен 30.01.09" xfId="12415"/>
    <cellStyle name="_Книга22_Дайджест 2003-2004 гг._Копия Конс БП 2010 ЛГОК для Комбината от 21 08 09" xfId="12416"/>
    <cellStyle name="_Книга22_Дайджест 2003-2004 гг._Копия Потребность взаиморасч  от 28 02 2008 (2)" xfId="12417"/>
    <cellStyle name="_Книга22_Дайджест 2003-2004 гг._Лист1" xfId="12418"/>
    <cellStyle name="_Книга22_Дайджест 2003-2004 гг._Лист1 2" xfId="12419"/>
    <cellStyle name="_Книга22_Дайджест 2003-2004 гг._Лист1 3" xfId="12420"/>
    <cellStyle name="_Книга22_Дайджест 2003-2004 гг._Лист1 4" xfId="12421"/>
    <cellStyle name="_Книга22_Дайджест 2003-2004 гг._Лист1 5" xfId="12422"/>
    <cellStyle name="_Книга22_Дайджест 2003-2004 гг._Лист1 6" xfId="12423"/>
    <cellStyle name="_Книга22_Дайджест 2003-2004 гг._Лист1 7" xfId="12424"/>
    <cellStyle name="_Книга22_Дайджест 2003-2004 гг._Лист1 8" xfId="12425"/>
    <cellStyle name="_Книга22_Дайджест 2003-2004 гг._Лист1 9" xfId="12426"/>
    <cellStyle name="_Книга22_Дайджест 2003-2004 гг._Мод 4 кв 2008" xfId="12427"/>
    <cellStyle name="_Книга22_Дайджест 2003-2004 гг._Мод 4 кв 2008_Книга2" xfId="12428"/>
    <cellStyle name="_Книга22_Дайджест 2003-2004 гг._Налог на прибыль" xfId="12429"/>
    <cellStyle name="_Книга22_Дайджест 2003-2004 гг._Налоги А.А. Богоцкому 2005-2009" xfId="12430"/>
    <cellStyle name="_Книга22_Дайджест 2003-2004 гг._Налоги к плану на 2009 год (ДЗ и КЗ)" xfId="12431"/>
    <cellStyle name="_Книга22_Дайджест 2003-2004 гг._Налоги к плану на февраль 2009 года" xfId="12432"/>
    <cellStyle name="_Книга22_Дайджест 2003-2004 гг._Новые формы Дивизиона_3 кв_send (без дивидендов)" xfId="12433"/>
    <cellStyle name="_Книга22_Дайджест 2003-2004 гг._Новые формы Дивизиона_3кв.2007" xfId="12434"/>
    <cellStyle name="_Книга22_Дайджест 2003-2004 гг._Новые формы Дивизиона_3кв.2007 2" xfId="12435"/>
    <cellStyle name="_Книга22_Дайджест 2003-2004 гг._Новые формы Дивизиона_3кв.2007 3" xfId="12436"/>
    <cellStyle name="_Книга22_Дайджест 2003-2004 гг._Новые формы Дивизиона_3кв.2007 4" xfId="12437"/>
    <cellStyle name="_Книга22_Дайджест 2003-2004 гг._Новые формы Дивизиона_3кв.2007 5" xfId="12438"/>
    <cellStyle name="_Книга22_Дайджест 2003-2004 гг._Новые формы Дивизиона_3кв.2007 6" xfId="12439"/>
    <cellStyle name="_Книга22_Дайджест 2003-2004 гг._Новые формы Дивизиона_3кв.2007 7" xfId="12440"/>
    <cellStyle name="_Книга22_Дайджест 2003-2004 гг._Новые формы Дивизиона_3кв.2007 8" xfId="12441"/>
    <cellStyle name="_Книга22_Дайджест 2003-2004 гг._Новые формы Дивизиона_3кв.2007 9" xfId="12442"/>
    <cellStyle name="_Книга22_Дайджест 2003-2004 гг._Обжиговая" xfId="12443"/>
    <cellStyle name="_Книга22_Дайджест 2003-2004 гг._Оборотный капитал план 2-е полугодие 2006 г. 25.08.06" xfId="12444"/>
    <cellStyle name="_Книга22_Дайджест 2003-2004 гг._Оборотный капитал план 2-е полугодие 2006 г. 25.08.06 10" xfId="12445"/>
    <cellStyle name="_Книга22_Дайджест 2003-2004 гг._Оборотный капитал план 2-е полугодие 2006 г. 25.08.06 11" xfId="12446"/>
    <cellStyle name="_Книга22_Дайджест 2003-2004 гг._Оборотный капитал план 2-е полугодие 2006 г. 25.08.06 12" xfId="12447"/>
    <cellStyle name="_Книга22_Дайджест 2003-2004 гг._Оборотный капитал план 2-е полугодие 2006 г. 25.08.06 13" xfId="12448"/>
    <cellStyle name="_Книга22_Дайджест 2003-2004 гг._Оборотный капитал план 2-е полугодие 2006 г. 25.08.06 2" xfId="12449"/>
    <cellStyle name="_Книга22_Дайджест 2003-2004 гг._Оборотный капитал план 2-е полугодие 2006 г. 25.08.06 3" xfId="12450"/>
    <cellStyle name="_Книга22_Дайджест 2003-2004 гг._Оборотный капитал план 2-е полугодие 2006 г. 25.08.06 4" xfId="12451"/>
    <cellStyle name="_Книга22_Дайджест 2003-2004 гг._Оборотный капитал план 2-е полугодие 2006 г. 25.08.06 5" xfId="12452"/>
    <cellStyle name="_Книга22_Дайджест 2003-2004 гг._Оборотный капитал план 2-е полугодие 2006 г. 25.08.06 6" xfId="12453"/>
    <cellStyle name="_Книга22_Дайджест 2003-2004 гг._Оборотный капитал план 2-е полугодие 2006 г. 25.08.06 7" xfId="12454"/>
    <cellStyle name="_Книга22_Дайджест 2003-2004 гг._Оборотный капитал план 2-е полугодие 2006 г. 25.08.06 8" xfId="12455"/>
    <cellStyle name="_Книга22_Дайджест 2003-2004 гг._Оборотный капитал план 2-е полугодие 2006 г. 25.08.06 9" xfId="12456"/>
    <cellStyle name="_Книга22_Дайджест 2003-2004 гг._ОБРАЗЕЦ Презентационный материал" xfId="12457"/>
    <cellStyle name="_Книга22_Дайджест 2003-2004 гг._ОБРАЗЕЦ Презентационный материал 2" xfId="12458"/>
    <cellStyle name="_Книга22_Дайджест 2003-2004 гг._ОБРАЗЕЦ Презентационный материал 3" xfId="12459"/>
    <cellStyle name="_Книга22_Дайджест 2003-2004 гг._ОБРАЗЕЦ Презентационный материал 4" xfId="12460"/>
    <cellStyle name="_Книга22_Дайджест 2003-2004 гг._ОБРАЗЕЦ Презентационный материал 5" xfId="12461"/>
    <cellStyle name="_Книга22_Дайджест 2003-2004 гг._ОБРАЗЕЦ Презентационный материал 6" xfId="12462"/>
    <cellStyle name="_Книга22_Дайджест 2003-2004 гг._ОБРАЗЕЦ Презентационный материал 7" xfId="12463"/>
    <cellStyle name="_Книга22_Дайджест 2003-2004 гг._ОБРАЗЕЦ Презентационный материал 8" xfId="12464"/>
    <cellStyle name="_Книга22_Дайджест 2003-2004 гг._ОБРАЗЕЦ Презентационный материал 9" xfId="12465"/>
    <cellStyle name="_Книга22_Дайджест 2003-2004 гг._оперативное исполнение 8 02 2009" xfId="12466"/>
    <cellStyle name="_Книга22_Дайджест 2003-2004 гг._Отклонения план март-план февраль 2009 конс" xfId="12467"/>
    <cellStyle name="_Книга22_Дайджест 2003-2004 гг._Отклонения план март-план февраль 2009 конс 2" xfId="12468"/>
    <cellStyle name="_Книга22_Дайджест 2003-2004 гг._Отклонения план март-план февраль 2009 конс 3" xfId="12469"/>
    <cellStyle name="_Книга22_Дайджест 2003-2004 гг._Отклонения план март-план февраль 2009 конс 4" xfId="12470"/>
    <cellStyle name="_Книга22_Дайджест 2003-2004 гг._Отклонения план март-план февраль 2009 конс 5" xfId="12471"/>
    <cellStyle name="_Книга22_Дайджест 2003-2004 гг._Отклонения план март-план февраль 2009 конс 6" xfId="12472"/>
    <cellStyle name="_Книга22_Дайджест 2003-2004 гг._Отклонения план март-план февраль 2009 конс 7" xfId="12473"/>
    <cellStyle name="_Книга22_Дайджест 2003-2004 гг._Отклонения план март-план февраль 2009 конс 8" xfId="12474"/>
    <cellStyle name="_Книга22_Дайджест 2003-2004 гг._Отклонения план март-план февраль 2009 конс 9" xfId="12475"/>
    <cellStyle name="_Книга22_Дайджест 2003-2004 гг._пл 02 2009 акционеры СВОД 09.02.2009" xfId="12476"/>
    <cellStyle name="_Книга22_Дайджест 2003-2004 гг._пл2007 Распределение ОЭМК 27.01.07" xfId="12477"/>
    <cellStyle name="_Книга22_Дайджест 2003-2004 гг._пл2007 фин.часть 18.12.06" xfId="12478"/>
    <cellStyle name="_Книга22_Дайджест 2003-2004 гг._пл2007 фин.часть 18.12.06 2" xfId="12479"/>
    <cellStyle name="_Книга22_Дайджест 2003-2004 гг._пл2007 фин.часть 18.12.06 3" xfId="12480"/>
    <cellStyle name="_Книга22_Дайджест 2003-2004 гг._пл2007 фин.часть 18.12.06 4" xfId="12481"/>
    <cellStyle name="_Книга22_Дайджест 2003-2004 гг._пл2007 фин.часть 18.12.06 5" xfId="12482"/>
    <cellStyle name="_Книга22_Дайджест 2003-2004 гг._пл2007 фин.часть 18.12.06 6" xfId="12483"/>
    <cellStyle name="_Книга22_Дайджест 2003-2004 гг._пл2007 фин.часть 18.12.06 7" xfId="12484"/>
    <cellStyle name="_Книга22_Дайджест 2003-2004 гг._пл2007 фин.часть 18.12.06 8" xfId="12485"/>
    <cellStyle name="_Книга22_Дайджест 2003-2004 гг._пл2007 фин.часть 18.12.06 9" xfId="12486"/>
    <cellStyle name="_Книга22_Дайджест 2003-2004 гг._План 2 кв 2007 год 6.04.07" xfId="12487"/>
    <cellStyle name="_Книга22_Дайджест 2003-2004 гг._План 2 кв 2007 год 6.04.07 2" xfId="12488"/>
    <cellStyle name="_Книга22_Дайджест 2003-2004 гг._План 2 кв 2007 год 6.04.07 3" xfId="12489"/>
    <cellStyle name="_Книга22_Дайджест 2003-2004 гг._План 2 кв 2007 год 6.04.07 4" xfId="12490"/>
    <cellStyle name="_Книга22_Дайджест 2003-2004 гг._План 2 кв 2007 год 6.04.07 5" xfId="12491"/>
    <cellStyle name="_Книга22_Дайджест 2003-2004 гг._План 2 кв 2007 год 6.04.07 6" xfId="12492"/>
    <cellStyle name="_Книга22_Дайджест 2003-2004 гг._План 2 кв 2007 год 6.04.07 7" xfId="12493"/>
    <cellStyle name="_Книга22_Дайджест 2003-2004 гг._План 2 кв 2007 год 6.04.07 8" xfId="12494"/>
    <cellStyle name="_Книга22_Дайджест 2003-2004 гг._План 2 кв 2007 год 6.04.07 9" xfId="12495"/>
    <cellStyle name="_Книга22_Дайджест 2003-2004 гг._План ДСМ 2 квартал 2009 ОТЧЕТ отп" xfId="12496"/>
    <cellStyle name="_Книга22_Дайджест 2003-2004 гг._План ДСМ 3 квартал 2009 ОТЧЕТ" xfId="12497"/>
    <cellStyle name="_Книга22_Дайджест 2003-2004 гг._План ДСМ 4 квартал 2009 ОТЧЕТ" xfId="12498"/>
    <cellStyle name="_Книга22_Дайджест 2003-2004 гг._План ДСМ на 4 квартал 2006 (последняя версия) 2" xfId="12499"/>
    <cellStyle name="_Книга22_Дайджест 2003-2004 гг._План ДСМ ноябрь 2011 ОТЧЕТ" xfId="12500"/>
    <cellStyle name="_Книга22_Дайджест 2003-2004 гг._План ДСФ 1 квартал 2007" xfId="12501"/>
    <cellStyle name="_Книга22_Дайджест 2003-2004 гг._План ДСФ 2 квартал 2009 ОТЧЕТ отп" xfId="12502"/>
    <cellStyle name="_Книга22_Дайджест 2003-2004 гг._План ДСФ 4 квартал 2009 ОТЧЕТ" xfId="12503"/>
    <cellStyle name="_Книга22_Дайджест 2003-2004 гг._План на 2009 год ДСМ ОТЧЕТ отп (01.12.08)" xfId="12504"/>
    <cellStyle name="_Книга22_Дайджест 2003-2004 гг._План на 2010 год ДСМ ОТЧЕТ" xfId="12505"/>
    <cellStyle name="_Книга22_Дайджест 2003-2004 гг._план ноября (отправл) 13.11" xfId="12506"/>
    <cellStyle name="_Книга22_Дайджест 2003-2004 гг._План_2008г._БДР" xfId="12507"/>
    <cellStyle name="_Книга22_Дайджест 2003-2004 гг._План_2008г._БДР 2" xfId="12508"/>
    <cellStyle name="_Книга22_Дайджест 2003-2004 гг._План_2008г._БДР 3" xfId="12509"/>
    <cellStyle name="_Книга22_Дайджест 2003-2004 гг._План_2008г._БДР 4" xfId="12510"/>
    <cellStyle name="_Книга22_Дайджест 2003-2004 гг._План_2008г._БДР 5" xfId="12511"/>
    <cellStyle name="_Книга22_Дайджест 2003-2004 гг._План_2008г._БДР 6" xfId="12512"/>
    <cellStyle name="_Книга22_Дайджест 2003-2004 гг._План_2008г._БДР 7" xfId="12513"/>
    <cellStyle name="_Книга22_Дайджест 2003-2004 гг._План_2008г._БДР 8" xfId="12514"/>
    <cellStyle name="_Книга22_Дайджест 2003-2004 гг._План_2008г._БДР 9" xfId="12515"/>
    <cellStyle name="_Книга22_Дайджест 2003-2004 гг._План_2008г._БДР_отпр.13.12.2007_19-40" xfId="12516"/>
    <cellStyle name="_Книга22_Дайджест 2003-2004 гг._План_2008г._БДР_отпр.13.12.2007_19-40 2" xfId="12517"/>
    <cellStyle name="_Книга22_Дайджест 2003-2004 гг._План_2008г._БДР_отпр.13.12.2007_19-40 3" xfId="12518"/>
    <cellStyle name="_Книга22_Дайджест 2003-2004 гг._План_2008г._БДР_отпр.13.12.2007_19-40 4" xfId="12519"/>
    <cellStyle name="_Книга22_Дайджест 2003-2004 гг._План_2008г._БДР_отпр.13.12.2007_19-40 5" xfId="12520"/>
    <cellStyle name="_Книга22_Дайджест 2003-2004 гг._План_2008г._БДР_отпр.13.12.2007_19-40 6" xfId="12521"/>
    <cellStyle name="_Книга22_Дайджест 2003-2004 гг._План_2008г._БДР_отпр.13.12.2007_19-40 7" xfId="12522"/>
    <cellStyle name="_Книга22_Дайджест 2003-2004 гг._План_2008г._БДР_отпр.13.12.2007_19-40 8" xfId="12523"/>
    <cellStyle name="_Книга22_Дайджест 2003-2004 гг._План_2008г._БДР_отпр.13.12.2007_19-40 9" xfId="12524"/>
    <cellStyle name="_Книга22_Дайджест 2003-2004 гг._Помесячный Чистов ФДе" xfId="12525"/>
    <cellStyle name="_Книга22_Дайджест 2003-2004 гг._Помесячный Чистов ФДе 2" xfId="12526"/>
    <cellStyle name="_Книга22_Дайджест 2003-2004 гг._Помесячный Чистов ФДе 3" xfId="12527"/>
    <cellStyle name="_Книга22_Дайджест 2003-2004 гг._Помесячный Чистов ФДе 4" xfId="12528"/>
    <cellStyle name="_Книга22_Дайджест 2003-2004 гг._Помесячный Чистов ФДе 5" xfId="12529"/>
    <cellStyle name="_Книга22_Дайджест 2003-2004 гг._Помесячный Чистов ФДе 6" xfId="12530"/>
    <cellStyle name="_Книга22_Дайджест 2003-2004 гг._Помесячный Чистов ФДе 7" xfId="12531"/>
    <cellStyle name="_Книга22_Дайджест 2003-2004 гг._Помесячный Чистов ФДе 8" xfId="12532"/>
    <cellStyle name="_Книга22_Дайджест 2003-2004 гг._Помесячный Чистов ФДе 9" xfId="12533"/>
    <cellStyle name="_Книга22_Дайджест 2003-2004 гг._пр I кв 2008 форма презентации" xfId="12534"/>
    <cellStyle name="_Книга22_Дайджест 2003-2004 гг._пр I кв 2008 форма презентации 2" xfId="12535"/>
    <cellStyle name="_Книга22_Дайджест 2003-2004 гг._пр I кв 2008 форма презентации 3" xfId="12536"/>
    <cellStyle name="_Книга22_Дайджест 2003-2004 гг._пр I кв 2008 форма презентации 4" xfId="12537"/>
    <cellStyle name="_Книга22_Дайджест 2003-2004 гг._пр I кв 2008 форма презентации 5" xfId="12538"/>
    <cellStyle name="_Книга22_Дайджест 2003-2004 гг._пр I кв 2008 форма презентации 6" xfId="12539"/>
    <cellStyle name="_Книга22_Дайджест 2003-2004 гг._пр I кв 2008 форма презентации 7" xfId="12540"/>
    <cellStyle name="_Книга22_Дайджест 2003-2004 гг._пр I кв 2008 форма презентации 8" xfId="12541"/>
    <cellStyle name="_Книга22_Дайджест 2003-2004 гг._пр I кв 2008 форма презентации 9" xfId="12542"/>
    <cellStyle name="_Книга22_Дайджест 2003-2004 гг._пр2006 Комплект ОЭМК 13.02.07 (рабочая)" xfId="12543"/>
    <cellStyle name="_Книга22_Дайджест 2003-2004 гг._пр2006 Комплект ОЭМК 13.02.07 (рабочая) 2" xfId="12544"/>
    <cellStyle name="_Книга22_Дайджест 2003-2004 гг._пр2006 Комплект ОЭМК 13.02.07 (рабочая) 3" xfId="12545"/>
    <cellStyle name="_Книга22_Дайджест 2003-2004 гг._пр2006 Комплект ОЭМК 13.02.07 (рабочая) 4" xfId="12546"/>
    <cellStyle name="_Книга22_Дайджест 2003-2004 гг._пр2006 Комплект ОЭМК 13.02.07 (рабочая) 5" xfId="12547"/>
    <cellStyle name="_Книга22_Дайджест 2003-2004 гг._пр2006 Комплект ОЭМК 13.02.07 (рабочая) 6" xfId="12548"/>
    <cellStyle name="_Книга22_Дайджест 2003-2004 гг._пр2006 Комплект ОЭМК 13.02.07 (рабочая) 7" xfId="12549"/>
    <cellStyle name="_Книга22_Дайджест 2003-2004 гг._пр2006 Комплект ОЭМК 13.02.07 (рабочая) 8" xfId="12550"/>
    <cellStyle name="_Книга22_Дайджест 2003-2004 гг._пр2006 Комплект ОЭМК 13.02.07 (рабочая) 9" xfId="12551"/>
    <cellStyle name="_Книга22_Дайджест 2003-2004 гг._пр2006 Комплект ОЭМК 13.02.07 (рабочая)_Книга2" xfId="12552"/>
    <cellStyle name="_Книга22_Дайджест 2003-2004 гг._пр2006 Комплект ОЭМК 13.02.07 (рабочая)_Отчет за сентябрь_11_ДСМ" xfId="12553"/>
    <cellStyle name="_Книга22_Дайджест 2003-2004 гг._пр2006 формы(19-30) 14.02.07" xfId="12554"/>
    <cellStyle name="_Книга22_Дайджест 2003-2004 гг._пр2006 формы(19-30) 14.02.07 2" xfId="12555"/>
    <cellStyle name="_Книга22_Дайджест 2003-2004 гг._пр2006 формы(19-30) 14.02.07 3" xfId="12556"/>
    <cellStyle name="_Книга22_Дайджест 2003-2004 гг._пр2006 формы(19-30) 14.02.07 4" xfId="12557"/>
    <cellStyle name="_Книга22_Дайджест 2003-2004 гг._пр2006 формы(19-30) 14.02.07 5" xfId="12558"/>
    <cellStyle name="_Книга22_Дайджест 2003-2004 гг._пр2006 формы(19-30) 14.02.07 6" xfId="12559"/>
    <cellStyle name="_Книга22_Дайджест 2003-2004 гг._пр2006 формы(19-30) 14.02.07 7" xfId="12560"/>
    <cellStyle name="_Книга22_Дайджест 2003-2004 гг._пр2006 формы(19-30) 14.02.07 8" xfId="12561"/>
    <cellStyle name="_Книга22_Дайджест 2003-2004 гг._пр2006 формы(19-30) 14.02.07 9" xfId="12562"/>
    <cellStyle name="_Книга22_Дайджест 2003-2004 гг._пр2006 формы(19-30) 14.02.07_Книга2" xfId="12563"/>
    <cellStyle name="_Книга22_Дайджест 2003-2004 гг._пр2006 формы(19-30) 14.02.07_Отчет за сентябрь_11_ДСМ" xfId="12564"/>
    <cellStyle name="_Книга22_Дайджест 2003-2004 гг._Презентационный БДР_21 02 2008" xfId="12565"/>
    <cellStyle name="_Книга22_Дайджест 2003-2004 гг._Презентационный БДР_21 02 2008 2" xfId="12566"/>
    <cellStyle name="_Книга22_Дайджест 2003-2004 гг._Презентационный БДР_21 02 2008 3" xfId="12567"/>
    <cellStyle name="_Книга22_Дайджест 2003-2004 гг._Презентационный БДР_21 02 2008 4" xfId="12568"/>
    <cellStyle name="_Книга22_Дайджест 2003-2004 гг._Презентационный БДР_21 02 2008 5" xfId="12569"/>
    <cellStyle name="_Книга22_Дайджест 2003-2004 гг._Презентационный БДР_21 02 2008 6" xfId="12570"/>
    <cellStyle name="_Книга22_Дайджест 2003-2004 гг._Презентационный БДР_21 02 2008 7" xfId="12571"/>
    <cellStyle name="_Книга22_Дайджест 2003-2004 гг._Презентационный БДР_21 02 2008 8" xfId="12572"/>
    <cellStyle name="_Книга22_Дайджест 2003-2004 гг._Презентационный БДР_21 02 2008 9" xfId="12573"/>
    <cellStyle name="_Книга22_Дайджест 2003-2004 гг._Презентационный материал" xfId="12574"/>
    <cellStyle name="_Книга22_Дайджест 2003-2004 гг._Презентационный материал 2" xfId="12575"/>
    <cellStyle name="_Книга22_Дайджест 2003-2004 гг._Презентационный материал 2 кв_план" xfId="12576"/>
    <cellStyle name="_Книга22_Дайджест 2003-2004 гг._Презентационный материал 3" xfId="12577"/>
    <cellStyle name="_Книга22_Дайджест 2003-2004 гг._Презентационный материал 4" xfId="12578"/>
    <cellStyle name="_Книга22_Дайджест 2003-2004 гг._Презентационный материал 5" xfId="12579"/>
    <cellStyle name="_Книга22_Дайджест 2003-2004 гг._Презентационный материал 6" xfId="12580"/>
    <cellStyle name="_Книга22_Дайджест 2003-2004 гг._Презентационный материал 7" xfId="12581"/>
    <cellStyle name="_Книга22_Дайджест 2003-2004 гг._Презентационный материал 8" xfId="12582"/>
    <cellStyle name="_Книга22_Дайджест 2003-2004 гг._Презентационный материал 9" xfId="12583"/>
    <cellStyle name="_Книга22_Дайджест 2003-2004 гг._Презентация" xfId="12584"/>
    <cellStyle name="_Книга22_Дайджест 2003-2004 гг._Презентация (фин.часть) 27.06.07" xfId="12585"/>
    <cellStyle name="_Книга22_Дайджест 2003-2004 гг._Презентация (фин.часть) 27.06.07 2" xfId="12586"/>
    <cellStyle name="_Книга22_Дайджест 2003-2004 гг._Презентация (фин.часть) 27.06.07 3" xfId="12587"/>
    <cellStyle name="_Книга22_Дайджест 2003-2004 гг._Презентация (фин.часть) 27.06.07 4" xfId="12588"/>
    <cellStyle name="_Книга22_Дайджест 2003-2004 гг._Презентация (фин.часть) 27.06.07 5" xfId="12589"/>
    <cellStyle name="_Книга22_Дайджест 2003-2004 гг._Презентация (фин.часть) 27.06.07 6" xfId="12590"/>
    <cellStyle name="_Книга22_Дайджест 2003-2004 гг._Презентация (фин.часть) 27.06.07 7" xfId="12591"/>
    <cellStyle name="_Книга22_Дайджест 2003-2004 гг._Презентация (фин.часть) 27.06.07 8" xfId="12592"/>
    <cellStyle name="_Книга22_Дайджест 2003-2004 гг._Презентация (фин.часть) 27.06.07 9" xfId="12593"/>
    <cellStyle name="_Книга22_Дайджест 2003-2004 гг._Презентация 2" xfId="12594"/>
    <cellStyle name="_Книга22_Дайджест 2003-2004 гг._Презентация 2007 пл-ож 17.12" xfId="12595"/>
    <cellStyle name="_Книга22_Дайджест 2003-2004 гг._Презентация 2007 пл-ож 17.12 2" xfId="12596"/>
    <cellStyle name="_Книга22_Дайджест 2003-2004 гг._Презентация 2007 пл-ож 17.12 3" xfId="12597"/>
    <cellStyle name="_Книга22_Дайджест 2003-2004 гг._Презентация 2007 пл-ож 17.12 4" xfId="12598"/>
    <cellStyle name="_Книга22_Дайджест 2003-2004 гг._Презентация 2007 пл-ож 17.12 5" xfId="12599"/>
    <cellStyle name="_Книга22_Дайджест 2003-2004 гг._Презентация 2007 пл-ож 17.12 6" xfId="12600"/>
    <cellStyle name="_Книга22_Дайджест 2003-2004 гг._Презентация 2007 пл-ож 17.12 7" xfId="12601"/>
    <cellStyle name="_Книга22_Дайджест 2003-2004 гг._Презентация 2007 пл-ож 17.12 8" xfId="12602"/>
    <cellStyle name="_Книга22_Дайджест 2003-2004 гг._Презентация 2007 пл-ож 17.12 9" xfId="12603"/>
    <cellStyle name="_Книга22_Дайджест 2003-2004 гг._Презентация 2007-2008 17.12" xfId="12604"/>
    <cellStyle name="_Книга22_Дайджест 2003-2004 гг._Презентация 2007-2008 17.12 2" xfId="12605"/>
    <cellStyle name="_Книга22_Дайджест 2003-2004 гг._Презентация 2007-2008 17.12 3" xfId="12606"/>
    <cellStyle name="_Книга22_Дайджест 2003-2004 гг._Презентация 2007-2008 17.12 4" xfId="12607"/>
    <cellStyle name="_Книга22_Дайджест 2003-2004 гг._Презентация 2007-2008 17.12 5" xfId="12608"/>
    <cellStyle name="_Книга22_Дайджест 2003-2004 гг._Презентация 2007-2008 17.12 6" xfId="12609"/>
    <cellStyle name="_Книга22_Дайджест 2003-2004 гг._Презентация 2007-2008 17.12 7" xfId="12610"/>
    <cellStyle name="_Книга22_Дайджест 2003-2004 гг._Презентация 2007-2008 17.12 8" xfId="12611"/>
    <cellStyle name="_Книга22_Дайджест 2003-2004 гг._Презентация 2007-2008 17.12 9" xfId="12612"/>
    <cellStyle name="_Книга22_Дайджест 2003-2004 гг._Презентация 2008 (2)" xfId="12613"/>
    <cellStyle name="_Книга22_Дайджест 2003-2004 гг._Презентация 2008 (2) 2" xfId="12614"/>
    <cellStyle name="_Книга22_Дайджест 2003-2004 гг._Презентация 2008 (2) 3" xfId="12615"/>
    <cellStyle name="_Книга22_Дайджест 2003-2004 гг._Презентация 2008 (2) 4" xfId="12616"/>
    <cellStyle name="_Книга22_Дайджест 2003-2004 гг._Презентация 2008 (2) 5" xfId="12617"/>
    <cellStyle name="_Книга22_Дайджест 2003-2004 гг._Презентация 2008 (2) 6" xfId="12618"/>
    <cellStyle name="_Книга22_Дайджест 2003-2004 гг._Презентация 2008 (2) 7" xfId="12619"/>
    <cellStyle name="_Книга22_Дайджест 2003-2004 гг._Презентация 2008 (2) 8" xfId="12620"/>
    <cellStyle name="_Книга22_Дайджест 2003-2004 гг._Презентация 2008 (2) 9" xfId="12621"/>
    <cellStyle name="_Книга22_Дайджест 2003-2004 гг._Презентация 2008 год (фин. часть) от 22.10.07" xfId="12622"/>
    <cellStyle name="_Книга22_Дайджест 2003-2004 гг._Презентация 2008 год (фин. часть) от 22.10.07 2" xfId="12623"/>
    <cellStyle name="_Книга22_Дайджест 2003-2004 гг._Презентация 2008 год (фин. часть) от 22.10.07 3" xfId="12624"/>
    <cellStyle name="_Книга22_Дайджест 2003-2004 гг._Презентация 2008 год (фин. часть) от 22.10.07 4" xfId="12625"/>
    <cellStyle name="_Книга22_Дайджест 2003-2004 гг._Презентация 2008 год (фин. часть) от 22.10.07 5" xfId="12626"/>
    <cellStyle name="_Книга22_Дайджест 2003-2004 гг._Презентация 2008 год (фин. часть) от 22.10.07 6" xfId="12627"/>
    <cellStyle name="_Книга22_Дайджест 2003-2004 гг._Презентация 2008 год (фин. часть) от 22.10.07 7" xfId="12628"/>
    <cellStyle name="_Книга22_Дайджест 2003-2004 гг._Презентация 2008 год (фин. часть) от 22.10.07 8" xfId="12629"/>
    <cellStyle name="_Книга22_Дайджест 2003-2004 гг._Презентация 2008 год (фин. часть) от 22.10.07 9" xfId="12630"/>
    <cellStyle name="_Книга22_Дайджест 2003-2004 гг._Презентация 2008 фин. часть (коричневые формы)" xfId="12631"/>
    <cellStyle name="_Книга22_Дайджест 2003-2004 гг._Презентация 2008 фин. часть (коричневые формы) 2" xfId="12632"/>
    <cellStyle name="_Книга22_Дайджест 2003-2004 гг._Презентация 2008 фин. часть (коричневые формы) 3" xfId="12633"/>
    <cellStyle name="_Книга22_Дайджест 2003-2004 гг._Презентация 2008 фин. часть (коричневые формы) 4" xfId="12634"/>
    <cellStyle name="_Книга22_Дайджест 2003-2004 гг._Презентация 2008 фин. часть (коричневые формы) 5" xfId="12635"/>
    <cellStyle name="_Книга22_Дайджест 2003-2004 гг._Презентация 2008 фин. часть (коричневые формы) 6" xfId="12636"/>
    <cellStyle name="_Книга22_Дайджест 2003-2004 гг._Презентация 2008 фин. часть (коричневые формы) 7" xfId="12637"/>
    <cellStyle name="_Книга22_Дайджест 2003-2004 гг._Презентация 2008 фин. часть (коричневые формы) 8" xfId="12638"/>
    <cellStyle name="_Книга22_Дайджест 2003-2004 гг._Презентация 2008 фин. часть (коричневые формы) 9" xfId="12639"/>
    <cellStyle name="_Книга22_Дайджест 2003-2004 гг._Презентация 3" xfId="12640"/>
    <cellStyle name="_Книга22_Дайджест 2003-2004 гг._Презентация 4" xfId="12641"/>
    <cellStyle name="_Книга22_Дайджест 2003-2004 гг._Презентация 5" xfId="12642"/>
    <cellStyle name="_Книга22_Дайджест 2003-2004 гг._Презентация 6" xfId="12643"/>
    <cellStyle name="_Книга22_Дайджест 2003-2004 гг._Презентация 7" xfId="12644"/>
    <cellStyle name="_Книга22_Дайджест 2003-2004 гг._Презентация 8" xfId="12645"/>
    <cellStyle name="_Книга22_Дайджест 2003-2004 гг._презентация 8.02.07" xfId="12646"/>
    <cellStyle name="_Книга22_Дайджест 2003-2004 гг._презентация 8.02.07 2" xfId="12647"/>
    <cellStyle name="_Книга22_Дайджест 2003-2004 гг._презентация 8.02.07 3" xfId="12648"/>
    <cellStyle name="_Книга22_Дайджест 2003-2004 гг._презентация 8.02.07 4" xfId="12649"/>
    <cellStyle name="_Книга22_Дайджест 2003-2004 гг._презентация 8.02.07 5" xfId="12650"/>
    <cellStyle name="_Книга22_Дайджест 2003-2004 гг._презентация 8.02.07 6" xfId="12651"/>
    <cellStyle name="_Книга22_Дайджест 2003-2004 гг._презентация 8.02.07 7" xfId="12652"/>
    <cellStyle name="_Книга22_Дайджест 2003-2004 гг._презентация 8.02.07 8" xfId="12653"/>
    <cellStyle name="_Книга22_Дайджест 2003-2004 гг._презентация 8.02.07 9" xfId="12654"/>
    <cellStyle name="_Книга22_Дайджест 2003-2004 гг._Презентация 9" xfId="12655"/>
    <cellStyle name="_Книга22_Дайджест 2003-2004 гг._Презентация август 07 факт" xfId="12656"/>
    <cellStyle name="_Книга22_Дайджест 2003-2004 гг._Презентация август 07 факт 2" xfId="12657"/>
    <cellStyle name="_Книга22_Дайджест 2003-2004 гг._Презентация август 07 факт 3" xfId="12658"/>
    <cellStyle name="_Книга22_Дайджест 2003-2004 гг._Презентация август 07 факт 4" xfId="12659"/>
    <cellStyle name="_Книга22_Дайджест 2003-2004 гг._Презентация август 07 факт 5" xfId="12660"/>
    <cellStyle name="_Книга22_Дайджест 2003-2004 гг._Презентация август 07 факт 6" xfId="12661"/>
    <cellStyle name="_Книга22_Дайджест 2003-2004 гг._Презентация август 07 факт 7" xfId="12662"/>
    <cellStyle name="_Книга22_Дайджест 2003-2004 гг._Презентация август 07 факт 8" xfId="12663"/>
    <cellStyle name="_Книга22_Дайджест 2003-2004 гг._Презентация август 07 факт 9" xfId="12664"/>
    <cellStyle name="_Книга22_Дайджест 2003-2004 гг._Презентация для Ульянова" xfId="12665"/>
    <cellStyle name="_Книга22_Дайджест 2003-2004 гг._Презентация для Ульянова 2" xfId="12666"/>
    <cellStyle name="_Книга22_Дайджест 2003-2004 гг._Презентация для Ульянова 3" xfId="12667"/>
    <cellStyle name="_Книга22_Дайджест 2003-2004 гг._Презентация для Ульянова 4" xfId="12668"/>
    <cellStyle name="_Книга22_Дайджест 2003-2004 гг._Презентация для Ульянова 5" xfId="12669"/>
    <cellStyle name="_Книга22_Дайджест 2003-2004 гг._Презентация для Ульянова 6" xfId="12670"/>
    <cellStyle name="_Книга22_Дайджест 2003-2004 гг._Презентация для Ульянова 7" xfId="12671"/>
    <cellStyle name="_Книга22_Дайджест 2003-2004 гг._Презентация для Ульянова 8" xfId="12672"/>
    <cellStyle name="_Книга22_Дайджест 2003-2004 гг._Презентация для Ульянова 9" xfId="12673"/>
    <cellStyle name="_Книга22_Дайджест 2003-2004 гг._Презентация для Ульянова И.Г. от 17.12.07" xfId="12674"/>
    <cellStyle name="_Книга22_Дайджест 2003-2004 гг._Презентация для Ульянова И.Г. от 17.12.07 2" xfId="12675"/>
    <cellStyle name="_Книга22_Дайджест 2003-2004 гг._Презентация для Ульянова И.Г. от 17.12.07 3" xfId="12676"/>
    <cellStyle name="_Книга22_Дайджест 2003-2004 гг._Презентация для Ульянова И.Г. от 17.12.07 4" xfId="12677"/>
    <cellStyle name="_Книга22_Дайджест 2003-2004 гг._Презентация для Ульянова И.Г. от 17.12.07 5" xfId="12678"/>
    <cellStyle name="_Книга22_Дайджест 2003-2004 гг._Презентация для Ульянова И.Г. от 17.12.07 6" xfId="12679"/>
    <cellStyle name="_Книга22_Дайджест 2003-2004 гг._Презентация для Ульянова И.Г. от 17.12.07 7" xfId="12680"/>
    <cellStyle name="_Книга22_Дайджест 2003-2004 гг._Презентация для Ульянова И.Г. от 17.12.07 8" xfId="12681"/>
    <cellStyle name="_Книга22_Дайджест 2003-2004 гг._Презентация для Ульянова И.Г. от 17.12.07 9" xfId="12682"/>
    <cellStyle name="_Книга22_Дайджест 2003-2004 гг._презентация займы РК г" xfId="12683"/>
    <cellStyle name="_Книга22_Дайджест 2003-2004 гг._презентация займы РК г 2" xfId="12684"/>
    <cellStyle name="_Книга22_Дайджест 2003-2004 гг._презентация займы РК г 3" xfId="12685"/>
    <cellStyle name="_Книга22_Дайджест 2003-2004 гг._презентация займы РК г 4" xfId="12686"/>
    <cellStyle name="_Книга22_Дайджест 2003-2004 гг._презентация займы РК г 5" xfId="12687"/>
    <cellStyle name="_Книга22_Дайджест 2003-2004 гг._презентация займы РК г 6" xfId="12688"/>
    <cellStyle name="_Книга22_Дайджест 2003-2004 гг._презентация займы РК г 7" xfId="12689"/>
    <cellStyle name="_Книга22_Дайджест 2003-2004 гг._презентация займы РК г 8" xfId="12690"/>
    <cellStyle name="_Книга22_Дайджест 2003-2004 гг._презентация займы РК г 9" xfId="12691"/>
    <cellStyle name="_Книга22_Дайджест 2003-2004 гг._Презентация инвестиции" xfId="12692"/>
    <cellStyle name="_Книга22_Дайджест 2003-2004 гг._Презентация инвестиции 2" xfId="12693"/>
    <cellStyle name="_Книга22_Дайджест 2003-2004 гг._Презентация инвестиции 3" xfId="12694"/>
    <cellStyle name="_Книга22_Дайджест 2003-2004 гг._Презентация инвестиции 4" xfId="12695"/>
    <cellStyle name="_Книга22_Дайджест 2003-2004 гг._Презентация инвестиции 5" xfId="12696"/>
    <cellStyle name="_Книга22_Дайджест 2003-2004 гг._Презентация инвестиции 6" xfId="12697"/>
    <cellStyle name="_Книга22_Дайджест 2003-2004 гг._Презентация инвестиции 7" xfId="12698"/>
    <cellStyle name="_Книга22_Дайджест 2003-2004 гг._Презентация инвестиции 8" xfId="12699"/>
    <cellStyle name="_Книга22_Дайджест 2003-2004 гг._Презентация инвестиции 9" xfId="12700"/>
    <cellStyle name="_Книга22_Дайджест 2003-2004 гг._Презентация коричн. СДП, РК, Инв план 2008 (фин. часть) от 24.03.08" xfId="12701"/>
    <cellStyle name="_Книга22_Дайджест 2003-2004 гг._Презентация коричн. СДП, РК, Инв план 2008 (фин. часть) от 24.03.08 2" xfId="12702"/>
    <cellStyle name="_Книга22_Дайджест 2003-2004 гг._Презентация коричн. СДП, РК, Инв план 2008 (фин. часть) от 24.03.08 3" xfId="12703"/>
    <cellStyle name="_Книга22_Дайджест 2003-2004 гг._Презентация коричн. СДП, РК, Инв план 2008 (фин. часть) от 24.03.08 4" xfId="12704"/>
    <cellStyle name="_Книга22_Дайджест 2003-2004 гг._Презентация коричн. СДП, РК, Инв план 2008 (фин. часть) от 24.03.08 5" xfId="12705"/>
    <cellStyle name="_Книга22_Дайджест 2003-2004 гг._Презентация коричн. СДП, РК, Инв план 2008 (фин. часть) от 24.03.08 6" xfId="12706"/>
    <cellStyle name="_Книга22_Дайджест 2003-2004 гг._Презентация коричн. СДП, РК, Инв план 2008 (фин. часть) от 24.03.08 7" xfId="12707"/>
    <cellStyle name="_Книга22_Дайджест 2003-2004 гг._Презентация коричн. СДП, РК, Инв план 2008 (фин. часть) от 24.03.08 8" xfId="12708"/>
    <cellStyle name="_Книга22_Дайджест 2003-2004 гг._Презентация коричн. СДП, РК, Инв план 2008 (фин. часть) от 24.03.08 9" xfId="12709"/>
    <cellStyle name="_Книга22_Дайджест 2003-2004 гг._Презентация коричневая 2007 план + ож" xfId="12710"/>
    <cellStyle name="_Книга22_Дайджест 2003-2004 гг._Презентация коричневая 2007 план + ож 2" xfId="12711"/>
    <cellStyle name="_Книга22_Дайджест 2003-2004 гг._Презентация коричневая 2007 план + ож 3" xfId="12712"/>
    <cellStyle name="_Книга22_Дайджест 2003-2004 гг._Презентация коричневая 2007 план + ож 4" xfId="12713"/>
    <cellStyle name="_Книга22_Дайджест 2003-2004 гг._Презентация коричневая 2007 план + ож 5" xfId="12714"/>
    <cellStyle name="_Книга22_Дайджест 2003-2004 гг._Презентация коричневая 2007 план + ож 6" xfId="12715"/>
    <cellStyle name="_Книга22_Дайджест 2003-2004 гг._Презентация коричневая 2007 план + ож 7" xfId="12716"/>
    <cellStyle name="_Книга22_Дайджест 2003-2004 гг._Презентация коричневая 2007 план + ож 8" xfId="12717"/>
    <cellStyle name="_Книга22_Дайджест 2003-2004 гг._Презентация коричневая 2007 план + ож 9" xfId="12718"/>
    <cellStyle name="_Книга22_Дайджест 2003-2004 гг._Презентация коричневая 2007-2008" xfId="12719"/>
    <cellStyle name="_Книга22_Дайджест 2003-2004 гг._Презентация коричневая 2007-2008 2" xfId="12720"/>
    <cellStyle name="_Книга22_Дайджест 2003-2004 гг._Презентация коричневая 2007-2008 3" xfId="12721"/>
    <cellStyle name="_Книга22_Дайджест 2003-2004 гг._Презентация коричневая 2007-2008 4" xfId="12722"/>
    <cellStyle name="_Книга22_Дайджест 2003-2004 гг._Презентация коричневая 2007-2008 5" xfId="12723"/>
    <cellStyle name="_Книга22_Дайджест 2003-2004 гг._Презентация коричневая 2007-2008 6" xfId="12724"/>
    <cellStyle name="_Книга22_Дайджест 2003-2004 гг._Презентация коричневая 2007-2008 7" xfId="12725"/>
    <cellStyle name="_Книга22_Дайджест 2003-2004 гг._Презентация коричневая 2007-2008 8" xfId="12726"/>
    <cellStyle name="_Книга22_Дайджест 2003-2004 гг._Презентация коричневая 2007-2008 9" xfId="12727"/>
    <cellStyle name="_Книга22_Дайджест 2003-2004 гг._Презентация от 10.12.07 (СПД и РК)  2007план и 2007ожид." xfId="12728"/>
    <cellStyle name="_Книга22_Дайджест 2003-2004 гг._Презентация от 10.12.07 (СПД и РК)  2007план и 2007ожид. 2" xfId="12729"/>
    <cellStyle name="_Книга22_Дайджест 2003-2004 гг._Презентация от 10.12.07 (СПД и РК)  2007план и 2007ожид. 3" xfId="12730"/>
    <cellStyle name="_Книга22_Дайджест 2003-2004 гг._Презентация от 10.12.07 (СПД и РК)  2007план и 2007ожид. 4" xfId="12731"/>
    <cellStyle name="_Книга22_Дайджест 2003-2004 гг._Презентация от 10.12.07 (СПД и РК)  2007план и 2007ожид. 5" xfId="12732"/>
    <cellStyle name="_Книга22_Дайджест 2003-2004 гг._Презентация от 10.12.07 (СПД и РК)  2007план и 2007ожид. 6" xfId="12733"/>
    <cellStyle name="_Книга22_Дайджест 2003-2004 гг._Презентация от 10.12.07 (СПД и РК)  2007план и 2007ожид. 7" xfId="12734"/>
    <cellStyle name="_Книга22_Дайджест 2003-2004 гг._Презентация от 10.12.07 (СПД и РК)  2007план и 2007ожид. 8" xfId="12735"/>
    <cellStyle name="_Книга22_Дайджест 2003-2004 гг._Презентация от 10.12.07 (СПД и РК)  2007план и 2007ожид. 9" xfId="12736"/>
    <cellStyle name="_Книга22_Дайджест 2003-2004 гг._Презентация от 10.12.07 (СПД и РК)  2008план и 2007ожид" xfId="12737"/>
    <cellStyle name="_Книга22_Дайджест 2003-2004 гг._Презентация от 10.12.07 (СПД и РК)  2008план и 2007ожид 2" xfId="12738"/>
    <cellStyle name="_Книга22_Дайджест 2003-2004 гг._Презентация от 10.12.07 (СПД и РК)  2008план и 2007ожид 3" xfId="12739"/>
    <cellStyle name="_Книга22_Дайджест 2003-2004 гг._Презентация от 10.12.07 (СПД и РК)  2008план и 2007ожид 4" xfId="12740"/>
    <cellStyle name="_Книга22_Дайджест 2003-2004 гг._Презентация от 10.12.07 (СПД и РК)  2008план и 2007ожид 5" xfId="12741"/>
    <cellStyle name="_Книга22_Дайджест 2003-2004 гг._Презентация от 10.12.07 (СПД и РК)  2008план и 2007ожид 6" xfId="12742"/>
    <cellStyle name="_Книга22_Дайджест 2003-2004 гг._Презентация от 10.12.07 (СПД и РК)  2008план и 2007ожид 7" xfId="12743"/>
    <cellStyle name="_Книга22_Дайджест 2003-2004 гг._Презентация от 10.12.07 (СПД и РК)  2008план и 2007ожид 8" xfId="12744"/>
    <cellStyle name="_Книга22_Дайджест 2003-2004 гг._Презентация от 10.12.07 (СПД и РК)  2008план и 2007ожид 9" xfId="12745"/>
    <cellStyle name="_Книга22_Дайджест 2003-2004 гг._Презентация от 19 12 07" xfId="12746"/>
    <cellStyle name="_Книга22_Дайджест 2003-2004 гг._Презентация от 19 12 07 2" xfId="12747"/>
    <cellStyle name="_Книга22_Дайджест 2003-2004 гг._Презентация от 19 12 07 3" xfId="12748"/>
    <cellStyle name="_Книга22_Дайджест 2003-2004 гг._Презентация от 19 12 07 4" xfId="12749"/>
    <cellStyle name="_Книга22_Дайджест 2003-2004 гг._Презентация от 19 12 07 5" xfId="12750"/>
    <cellStyle name="_Книга22_Дайджест 2003-2004 гг._Презентация от 19 12 07 6" xfId="12751"/>
    <cellStyle name="_Книга22_Дайджест 2003-2004 гг._Презентация от 19 12 07 7" xfId="12752"/>
    <cellStyle name="_Книга22_Дайджест 2003-2004 гг._Презентация от 19 12 07 8" xfId="12753"/>
    <cellStyle name="_Книга22_Дайджест 2003-2004 гг._Презентация от 19 12 07 9" xfId="12754"/>
    <cellStyle name="_Книга22_Дайджест 2003-2004 гг._Презентация СДП, РК, Инв план 2008 (фин. часть) от 24.03.08" xfId="12755"/>
    <cellStyle name="_Книга22_Дайджест 2003-2004 гг._Презентация СДП, РК, Инв план 2008 (фин. часть) от 24.03.08 2" xfId="12756"/>
    <cellStyle name="_Книга22_Дайджест 2003-2004 гг._Презентация СДП, РК, Инв план 2008 (фин. часть) от 24.03.08 3" xfId="12757"/>
    <cellStyle name="_Книга22_Дайджест 2003-2004 гг._Презентация СДП, РК, Инв план 2008 (фин. часть) от 24.03.08 4" xfId="12758"/>
    <cellStyle name="_Книга22_Дайджест 2003-2004 гг._Презентация СДП, РК, Инв план 2008 (фин. часть) от 24.03.08 5" xfId="12759"/>
    <cellStyle name="_Книга22_Дайджест 2003-2004 гг._Презентация СДП, РК, Инв план 2008 (фин. часть) от 24.03.08 6" xfId="12760"/>
    <cellStyle name="_Книга22_Дайджест 2003-2004 гг._Презентация СДП, РК, Инв план 2008 (фин. часть) от 24.03.08 7" xfId="12761"/>
    <cellStyle name="_Книга22_Дайджест 2003-2004 гг._Презентация СДП, РК, Инв план 2008 (фин. часть) от 24.03.08 8" xfId="12762"/>
    <cellStyle name="_Книга22_Дайджест 2003-2004 гг._Презентация СДП, РК, Инв план 2008 (фин. часть) от 24.03.08 9" xfId="12763"/>
    <cellStyle name="_Книга22_Дайджест 2003-2004 гг._Презентация ФО от 17.12.07" xfId="12764"/>
    <cellStyle name="_Книга22_Дайджест 2003-2004 гг._Презентация ФО от 17.12.07 2" xfId="12765"/>
    <cellStyle name="_Книга22_Дайджест 2003-2004 гг._Презентация ФО от 17.12.07 3" xfId="12766"/>
    <cellStyle name="_Книга22_Дайджест 2003-2004 гг._Презентация ФО от 17.12.07 4" xfId="12767"/>
    <cellStyle name="_Книга22_Дайджест 2003-2004 гг._Презентация ФО от 17.12.07 5" xfId="12768"/>
    <cellStyle name="_Книга22_Дайджест 2003-2004 гг._Презентация ФО от 17.12.07 6" xfId="12769"/>
    <cellStyle name="_Книга22_Дайджест 2003-2004 гг._Презентация ФО от 17.12.07 7" xfId="12770"/>
    <cellStyle name="_Книга22_Дайджест 2003-2004 гг._Презентация ФО от 17.12.07 8" xfId="12771"/>
    <cellStyle name="_Книга22_Дайджест 2003-2004 гг._Презентация ФО от 17.12.07 9" xfId="12772"/>
    <cellStyle name="_Книга22_Дайджест 2003-2004 гг._презентация-2008год " xfId="12773"/>
    <cellStyle name="_Книга22_Дайджест 2003-2004 гг._презентация-2008год  2" xfId="12774"/>
    <cellStyle name="_Книга22_Дайджест 2003-2004 гг._презентация-2008год  3" xfId="12775"/>
    <cellStyle name="_Книга22_Дайджест 2003-2004 гг._презентация-2008год  4" xfId="12776"/>
    <cellStyle name="_Книга22_Дайджест 2003-2004 гг._презентация-2008год  5" xfId="12777"/>
    <cellStyle name="_Книга22_Дайджест 2003-2004 гг._презентация-2008год  6" xfId="12778"/>
    <cellStyle name="_Книга22_Дайджест 2003-2004 гг._презентация-2008год  7" xfId="12779"/>
    <cellStyle name="_Книга22_Дайджест 2003-2004 гг._презентация-2008год  8" xfId="12780"/>
    <cellStyle name="_Книга22_Дайджест 2003-2004 гг._презентация-2008год  9" xfId="12781"/>
    <cellStyle name="_Книга22_Дайджест 2003-2004 гг._Презетация ФО (с учетом инвестиций на 2341,2)" xfId="12782"/>
    <cellStyle name="_Книга22_Дайджест 2003-2004 гг._Презетация ФО (с учетом инвестиций на 2341,2) 2" xfId="12783"/>
    <cellStyle name="_Книга22_Дайджест 2003-2004 гг._Презетация ФО (с учетом инвестиций на 2341,2) 3" xfId="12784"/>
    <cellStyle name="_Книга22_Дайджест 2003-2004 гг._Презетация ФО (с учетом инвестиций на 2341,2) 4" xfId="12785"/>
    <cellStyle name="_Книга22_Дайджест 2003-2004 гг._Презетация ФО (с учетом инвестиций на 2341,2) 5" xfId="12786"/>
    <cellStyle name="_Книга22_Дайджест 2003-2004 гг._Презетация ФО (с учетом инвестиций на 2341,2) 6" xfId="12787"/>
    <cellStyle name="_Книга22_Дайджест 2003-2004 гг._Презетация ФО (с учетом инвестиций на 2341,2) 7" xfId="12788"/>
    <cellStyle name="_Книга22_Дайджест 2003-2004 гг._Презетация ФО (с учетом инвестиций на 2341,2) 8" xfId="12789"/>
    <cellStyle name="_Книга22_Дайджест 2003-2004 гг._Презетация ФО (с учетом инвестиций на 2341,2) 9" xfId="12790"/>
    <cellStyle name="_Книга22_Дайджест 2003-2004 гг._Приложения (формы отчетности)" xfId="12791"/>
    <cellStyle name="_Книга22_Дайджест 2003-2004 гг._Приложения февраль 09 (МП) отпр в УК от 04 02 09" xfId="12792"/>
    <cellStyle name="_Книга22_Дайджест 2003-2004 гг._Приложения февраль 09 (МП) отпр в УК от 04 02 09 2" xfId="12793"/>
    <cellStyle name="_Книга22_Дайджест 2003-2004 гг._Приложения февраль 09 (МП) отпр в УК от 04 02 09 3" xfId="12794"/>
    <cellStyle name="_Книга22_Дайджест 2003-2004 гг._Приложения февраль 09 (МП) отпр в УК от 04 02 09 4" xfId="12795"/>
    <cellStyle name="_Книга22_Дайджест 2003-2004 гг._Приложения февраль 09 (МП) отпр в УК от 04 02 09 5" xfId="12796"/>
    <cellStyle name="_Книга22_Дайджест 2003-2004 гг._Приложения февраль 09 (МП) отпр в УК от 04 02 09 6" xfId="12797"/>
    <cellStyle name="_Книга22_Дайджест 2003-2004 гг._Приложения февраль 09 (МП) отпр в УК от 04 02 09 7" xfId="12798"/>
    <cellStyle name="_Книга22_Дайджест 2003-2004 гг._Приложения февраль 09 (МП) отпр в УК от 04 02 09 8" xfId="12799"/>
    <cellStyle name="_Книга22_Дайджест 2003-2004 гг._Приложения февраль 09 (МП) отпр в УК от 04 02 09 9" xfId="12800"/>
    <cellStyle name="_Книга22_Дайджест 2003-2004 гг._Прогноз консолидированный июнь" xfId="12801"/>
    <cellStyle name="_Книга22_Дайджест 2003-2004 гг._РК+СДП 2008 год" xfId="12802"/>
    <cellStyle name="_Книга22_Дайджест 2003-2004 гг._РК+СДП 2008 год 2" xfId="12803"/>
    <cellStyle name="_Книга22_Дайджест 2003-2004 гг._РК+СДП 2008 год 3" xfId="12804"/>
    <cellStyle name="_Книга22_Дайджест 2003-2004 гг._РК+СДП 2008 год 4" xfId="12805"/>
    <cellStyle name="_Книга22_Дайджест 2003-2004 гг._РК+СДП 2008 год 5" xfId="12806"/>
    <cellStyle name="_Книга22_Дайджест 2003-2004 гг._РК+СДП 2008 год 6" xfId="12807"/>
    <cellStyle name="_Книга22_Дайджест 2003-2004 гг._РК+СДП 2008 год 7" xfId="12808"/>
    <cellStyle name="_Книга22_Дайджест 2003-2004 гг._РК+СДП 2008 год 8" xfId="12809"/>
    <cellStyle name="_Книга22_Дайджест 2003-2004 гг._РК+СДП 2008 год 9" xfId="12810"/>
    <cellStyle name="_Книга22_Дайджест 2003-2004 гг._Свод производства 1 квартал" xfId="12811"/>
    <cellStyle name="_Книга22_Дайджест 2003-2004 гг._Свод производства 1 квартал 2" xfId="12812"/>
    <cellStyle name="_Книга22_Дайджест 2003-2004 гг._Свод производства 1 квартал 3" xfId="12813"/>
    <cellStyle name="_Книга22_Дайджест 2003-2004 гг._Свод производства 1 квартал 4" xfId="12814"/>
    <cellStyle name="_Книга22_Дайджест 2003-2004 гг._Свод производства 1 квартал 5" xfId="12815"/>
    <cellStyle name="_Книга22_Дайджест 2003-2004 гг._Свод производства 1 квартал 6" xfId="12816"/>
    <cellStyle name="_Книга22_Дайджест 2003-2004 гг._Свод производства 1 квартал 7" xfId="12817"/>
    <cellStyle name="_Книга22_Дайджест 2003-2004 гг._Свод производства 1 квартал 8" xfId="12818"/>
    <cellStyle name="_Книга22_Дайджест 2003-2004 гг._Свод производства 1 квартал 9" xfId="12819"/>
    <cellStyle name="_Книга22_Дайджест 2003-2004 гг._Себестоимость" xfId="12820"/>
    <cellStyle name="_Книга22_Дайджест 2003-2004 гг._Слайд осн показатели к совещанию в УК от 18 01 09" xfId="12821"/>
    <cellStyle name="_Книга22_Дайджест 2003-2004 гг._Слайды 2-й квартал (ФП-КП)" xfId="12822"/>
    <cellStyle name="_Книга22_Дайджест 2003-2004 гг._Слайды 2-й квартал (ФП-КП) 2" xfId="12823"/>
    <cellStyle name="_Книга22_Дайджест 2003-2004 гг._Слайды 2-й квартал (ФП-КП) 3" xfId="12824"/>
    <cellStyle name="_Книга22_Дайджест 2003-2004 гг._Слайды 2-й квартал (ФП-КП) 4" xfId="12825"/>
    <cellStyle name="_Книга22_Дайджест 2003-2004 гг._Слайды 2-й квартал (ФП-КП) 5" xfId="12826"/>
    <cellStyle name="_Книга22_Дайджест 2003-2004 гг._Слайды 2-й квартал (ФП-КП) 6" xfId="12827"/>
    <cellStyle name="_Книга22_Дайджест 2003-2004 гг._Слайды 2-й квартал (ФП-КП) 7" xfId="12828"/>
    <cellStyle name="_Книга22_Дайджест 2003-2004 гг._Слайды 2-й квартал (ФП-КП) 8" xfId="12829"/>
    <cellStyle name="_Книга22_Дайджест 2003-2004 гг._Слайды 2-й квартал (ФП-КП) 9" xfId="12830"/>
    <cellStyle name="_Книга22_Дайджест 2003-2004 гг._СПД, РК, Инв. 2008 коричневая" xfId="12831"/>
    <cellStyle name="_Книга22_Дайджест 2003-2004 гг._СПД, РК, Инв. 2008 коричневая 2" xfId="12832"/>
    <cellStyle name="_Книга22_Дайджест 2003-2004 гг._СПД, РК, Инв. 2008 коричневая 3" xfId="12833"/>
    <cellStyle name="_Книга22_Дайджест 2003-2004 гг._СПД, РК, Инв. 2008 коричневая 4" xfId="12834"/>
    <cellStyle name="_Книга22_Дайджест 2003-2004 гг._СПД, РК, Инв. 2008 коричневая 5" xfId="12835"/>
    <cellStyle name="_Книга22_Дайджест 2003-2004 гг._СПД, РК, Инв. 2008 коричневая 6" xfId="12836"/>
    <cellStyle name="_Книга22_Дайджест 2003-2004 гг._СПД, РК, Инв. 2008 коричневая 7" xfId="12837"/>
    <cellStyle name="_Книга22_Дайджест 2003-2004 гг._СПД, РК, Инв. 2008 коричневая 8" xfId="12838"/>
    <cellStyle name="_Книга22_Дайджест 2003-2004 гг._СПД, РК, Инв. 2008 коричневая 9" xfId="12839"/>
    <cellStyle name="_Книга22_Дайджест 2003-2004 гг._Сравнение ожидаемого 2008  c БП 2009г. УрСт вариант 2 (скоррект. цены)" xfId="12840"/>
    <cellStyle name="_Книга22_Дайджест 2003-2004 гг._Сравнение ожидаемого 2008 с 2009г  ОЭМК от 06 10 2008" xfId="12841"/>
    <cellStyle name="_Книга22_Дайджест 2003-2004 гг._Сравнение ожидаемого 2008 с 2009г. ОЭМК  28.10.2008 (скорректир. цены)" xfId="12842"/>
    <cellStyle name="_Книга22_Дайджест 2003-2004 гг._Сравнение ожидаемого 2008 УС c 2009г  от 06 10 2008" xfId="12843"/>
    <cellStyle name="_Книга22_Дайджест 2003-2004 гг._Стан 150" xfId="12844"/>
    <cellStyle name="_Книга22_Дайджест 2003-2004 гг._Структура затрат (Формат) ЛГОК" xfId="12845"/>
    <cellStyle name="_Книга22_Дайджест 2003-2004 гг._Структура затрат (Формат) ЛГОК_28.01.2009" xfId="12846"/>
    <cellStyle name="_Книга22_Дайджест 2003-2004 гг._титульный лист" xfId="12847"/>
    <cellStyle name="_Книга22_Дайджест 2003-2004 гг._ТП на 2011_год покварт" xfId="12848"/>
    <cellStyle name="_Книга22_Дайджест 2003-2004 гг._Труд для нас" xfId="12849"/>
    <cellStyle name="_Книга22_Дайджест 2003-2004 гг._Труд для нас 2" xfId="12850"/>
    <cellStyle name="_Книга22_Дайджест 2003-2004 гг._Труд для нас 3" xfId="12851"/>
    <cellStyle name="_Книга22_Дайджест 2003-2004 гг._Труд для нас 4" xfId="12852"/>
    <cellStyle name="_Книга22_Дайджест 2003-2004 гг._Труд для нас 5" xfId="12853"/>
    <cellStyle name="_Книга22_Дайджест 2003-2004 гг._Труд для нас 6" xfId="12854"/>
    <cellStyle name="_Книга22_Дайджест 2003-2004 гг._Труд для нас 7" xfId="12855"/>
    <cellStyle name="_Книга22_Дайджест 2003-2004 гг._Труд для нас 8" xfId="12856"/>
    <cellStyle name="_Книга22_Дайджест 2003-2004 гг._Труд для нас 9" xfId="12857"/>
    <cellStyle name="_Книга22_Дайджест 2003-2004 гг._УралКирпич_план на 2 кв. 2009" xfId="12858"/>
    <cellStyle name="_Книга22_Дайджест 2003-2004 гг._УСТ - любимая табличка по новому 2009 г." xfId="12859"/>
    <cellStyle name="_Книга22_Дайджест 2003-2004 гг._Ф 29, 30" xfId="12860"/>
    <cellStyle name="_Книга22_Дайджест 2003-2004 гг._Ф 29, 30 2" xfId="12861"/>
    <cellStyle name="_Книга22_Дайджест 2003-2004 гг._Ф 29, 30 3" xfId="12862"/>
    <cellStyle name="_Книга22_Дайджест 2003-2004 гг._Ф 29, 30 4" xfId="12863"/>
    <cellStyle name="_Книга22_Дайджест 2003-2004 гг._Ф 29, 30 5" xfId="12864"/>
    <cellStyle name="_Книга22_Дайджест 2003-2004 гг._Ф 29, 30 6" xfId="12865"/>
    <cellStyle name="_Книга22_Дайджест 2003-2004 гг._Ф 29, 30 7" xfId="12866"/>
    <cellStyle name="_Книга22_Дайджест 2003-2004 гг._Ф 29, 30 8" xfId="12867"/>
    <cellStyle name="_Книга22_Дайджест 2003-2004 гг._Ф 29, 30 9" xfId="12868"/>
    <cellStyle name="_Книга22_Дайджест 2003-2004 гг._ф IIкв.07 EBITDA ЛГОК 27.07.07" xfId="12869"/>
    <cellStyle name="_Книга22_Дайджест 2003-2004 гг._ф IIкв.07 EBITDA ЛГОК 27.07.07 2" xfId="12870"/>
    <cellStyle name="_Книга22_Дайджест 2003-2004 гг._ф IIкв.07 EBITDA ЛГОК 27.07.07 3" xfId="12871"/>
    <cellStyle name="_Книга22_Дайджест 2003-2004 гг._ф IIкв.07 EBITDA ЛГОК 27.07.07 4" xfId="12872"/>
    <cellStyle name="_Книга22_Дайджест 2003-2004 гг._ф IIкв.07 EBITDA ЛГОК 27.07.07 5" xfId="12873"/>
    <cellStyle name="_Книга22_Дайджест 2003-2004 гг._ф IIкв.07 EBITDA ЛГОК 27.07.07 6" xfId="12874"/>
    <cellStyle name="_Книга22_Дайджест 2003-2004 гг._ф IIкв.07 EBITDA ЛГОК 27.07.07 7" xfId="12875"/>
    <cellStyle name="_Книга22_Дайджест 2003-2004 гг._ф IIкв.07 EBITDA ЛГОК 27.07.07 8" xfId="12876"/>
    <cellStyle name="_Книга22_Дайджест 2003-2004 гг._ф IIкв.07 EBITDA ЛГОК 27.07.07 9" xfId="12877"/>
    <cellStyle name="_Книга22_Дайджест 2003-2004 гг._ф01 2007 фин. часть МГОК 21.03.07" xfId="12878"/>
    <cellStyle name="_Книга22_Дайджест 2003-2004 гг._ф01.07 EBITDA ОАО ЛГОК 02.03.07" xfId="12879"/>
    <cellStyle name="_Книга22_Дайджест 2003-2004 гг._ф01.07 EBITDA ОАО ЛГОК 02.03.07 2" xfId="12880"/>
    <cellStyle name="_Книга22_Дайджест 2003-2004 гг._ф01.07 EBITDA ОАО ЛГОК 02.03.07 3" xfId="12881"/>
    <cellStyle name="_Книга22_Дайджест 2003-2004 гг._ф01.07 EBITDA ОАО ЛГОК 02.03.07 4" xfId="12882"/>
    <cellStyle name="_Книга22_Дайджест 2003-2004 гг._ф01.07 EBITDA ОАО ЛГОК 02.03.07 5" xfId="12883"/>
    <cellStyle name="_Книга22_Дайджест 2003-2004 гг._ф01.07 EBITDA ОАО ЛГОК 02.03.07 6" xfId="12884"/>
    <cellStyle name="_Книга22_Дайджест 2003-2004 гг._ф01.07 EBITDA ОАО ЛГОК 02.03.07 7" xfId="12885"/>
    <cellStyle name="_Книга22_Дайджест 2003-2004 гг._ф01.07 EBITDA ОАО ЛГОК 02.03.07 8" xfId="12886"/>
    <cellStyle name="_Книга22_Дайджест 2003-2004 гг._ф01.07 EBITDA ОАО ЛГОК 02.03.07 9" xfId="12887"/>
    <cellStyle name="_Книга22_Дайджест 2003-2004 гг._ф01.07 EBITDA ОАО ЛГОК 02.03.07_Книга2" xfId="12888"/>
    <cellStyle name="_Книга22_Дайджест 2003-2004 гг._ф01.07 EBITDA ОАО ЛГОК 02.03.07_Отчет за сентябрь_11_ДСМ" xfId="12889"/>
    <cellStyle name="_Книга22_Дайджест 2003-2004 гг._ф01.07 EBITDA ОАО ЛГОК 05.03.07" xfId="12890"/>
    <cellStyle name="_Книга22_Дайджест 2003-2004 гг._ф01.07 EBITDA ОАО ЛГОК 05.03.07 2" xfId="12891"/>
    <cellStyle name="_Книга22_Дайджест 2003-2004 гг._ф01.07 EBITDA ОАО ЛГОК 05.03.07 3" xfId="12892"/>
    <cellStyle name="_Книга22_Дайджест 2003-2004 гг._ф01.07 EBITDA ОАО ЛГОК 05.03.07 4" xfId="12893"/>
    <cellStyle name="_Книга22_Дайджест 2003-2004 гг._ф01.07 EBITDA ОАО ЛГОК 05.03.07 5" xfId="12894"/>
    <cellStyle name="_Книга22_Дайджест 2003-2004 гг._ф01.07 EBITDA ОАО ЛГОК 05.03.07 6" xfId="12895"/>
    <cellStyle name="_Книга22_Дайджест 2003-2004 гг._ф01.07 EBITDA ОАО ЛГОК 05.03.07 7" xfId="12896"/>
    <cellStyle name="_Книга22_Дайджест 2003-2004 гг._ф01.07 EBITDA ОАО ЛГОК 05.03.07 8" xfId="12897"/>
    <cellStyle name="_Книга22_Дайджест 2003-2004 гг._ф01.07 EBITDA ОАО ЛГОК 05.03.07 9" xfId="12898"/>
    <cellStyle name="_Книга22_Дайджест 2003-2004 гг._ф01.07 EBITDA ОАО ЛГОК 05.03.07_Книга2" xfId="12899"/>
    <cellStyle name="_Книга22_Дайджест 2003-2004 гг._ф01.07 EBITDA ОАО ЛГОК 05.03.07_Отчет за сентябрь_11_ДСМ" xfId="12900"/>
    <cellStyle name="_Книга22_Дайджест 2003-2004 гг._ф01.07 EBITDA ОАО ЛГОК с изм. 30.03.07" xfId="12901"/>
    <cellStyle name="_Книга22_Дайджест 2003-2004 гг._ф01.07 EBITDA ОАО ЛГОК с изм. 30.03.07 2" xfId="12902"/>
    <cellStyle name="_Книга22_Дайджест 2003-2004 гг._ф01.07 EBITDA ОАО ЛГОК с изм. 30.03.07 3" xfId="12903"/>
    <cellStyle name="_Книга22_Дайджест 2003-2004 гг._ф01.07 EBITDA ОАО ЛГОК с изм. 30.03.07 4" xfId="12904"/>
    <cellStyle name="_Книга22_Дайджест 2003-2004 гг._ф01.07 EBITDA ОАО ЛГОК с изм. 30.03.07 5" xfId="12905"/>
    <cellStyle name="_Книга22_Дайджест 2003-2004 гг._ф01.07 EBITDA ОАО ЛГОК с изм. 30.03.07 6" xfId="12906"/>
    <cellStyle name="_Книга22_Дайджест 2003-2004 гг._ф01.07 EBITDA ОАО ЛГОК с изм. 30.03.07 7" xfId="12907"/>
    <cellStyle name="_Книга22_Дайджест 2003-2004 гг._ф01.07 EBITDA ОАО ЛГОК с изм. 30.03.07 8" xfId="12908"/>
    <cellStyle name="_Книга22_Дайджест 2003-2004 гг._ф01.07 EBITDA ОАО ЛГОК с изм. 30.03.07 9" xfId="12909"/>
    <cellStyle name="_Книга22_Дайджест 2003-2004 гг._ф01.07 EBITDA ОАО ЛГОК с изм. 30.03.07_Книга2" xfId="12910"/>
    <cellStyle name="_Книга22_Дайджест 2003-2004 гг._ф01.07 EBITDA ОАО УС 05.03.07" xfId="12911"/>
    <cellStyle name="_Книга22_Дайджест 2003-2004 гг._ф01.07 EBITDA ОАО УС 05.03.07 2" xfId="12912"/>
    <cellStyle name="_Книга22_Дайджест 2003-2004 гг._ф01.07 EBITDA ОАО УС 05.03.07 3" xfId="12913"/>
    <cellStyle name="_Книга22_Дайджест 2003-2004 гг._ф01.07 EBITDA ОАО УС 05.03.07 4" xfId="12914"/>
    <cellStyle name="_Книга22_Дайджест 2003-2004 гг._ф01.07 EBITDA ОАО УС 05.03.07 5" xfId="12915"/>
    <cellStyle name="_Книга22_Дайджест 2003-2004 гг._ф01.07 EBITDA ОАО УС 05.03.07 6" xfId="12916"/>
    <cellStyle name="_Книга22_Дайджест 2003-2004 гг._ф01.07 EBITDA ОАО УС 05.03.07 7" xfId="12917"/>
    <cellStyle name="_Книга22_Дайджест 2003-2004 гг._ф01.07 EBITDA ОАО УС 05.03.07 8" xfId="12918"/>
    <cellStyle name="_Книга22_Дайджест 2003-2004 гг._ф01.07 EBITDA ОАО УС 05.03.07 9" xfId="12919"/>
    <cellStyle name="_Книга22_Дайджест 2003-2004 гг._ф01.07 EBITDA ОАО УС 05.03.07(26,2)" xfId="12920"/>
    <cellStyle name="_Книга22_Дайджест 2003-2004 гг._ф01.07 EBITDA ОАО УС 05.03.07(26,2) 2" xfId="12921"/>
    <cellStyle name="_Книга22_Дайджест 2003-2004 гг._ф01.07 EBITDA ОАО УС 05.03.07(26,2) 3" xfId="12922"/>
    <cellStyle name="_Книга22_Дайджест 2003-2004 гг._ф01.07 EBITDA ОАО УС 05.03.07(26,2) 4" xfId="12923"/>
    <cellStyle name="_Книга22_Дайджест 2003-2004 гг._ф01.07 EBITDA ОАО УС 05.03.07(26,2) 5" xfId="12924"/>
    <cellStyle name="_Книга22_Дайджест 2003-2004 гг._ф01.07 EBITDA ОАО УС 05.03.07(26,2) 6" xfId="12925"/>
    <cellStyle name="_Книга22_Дайджест 2003-2004 гг._ф01.07 EBITDA ОАО УС 05.03.07(26,2) 7" xfId="12926"/>
    <cellStyle name="_Книга22_Дайджест 2003-2004 гг._ф01.07 EBITDA ОАО УС 05.03.07(26,2) 8" xfId="12927"/>
    <cellStyle name="_Книга22_Дайджест 2003-2004 гг._ф01.07 EBITDA ОАО УС 05.03.07(26,2) 9" xfId="12928"/>
    <cellStyle name="_Книга22_Дайджест 2003-2004 гг._ф01.07 EBITDA ОАО УС 05.03.07(26,2)_Книга2" xfId="12929"/>
    <cellStyle name="_Книга22_Дайджест 2003-2004 гг._ф01.07 EBITDA ОАО УС 05.03.07_Книга2" xfId="12930"/>
    <cellStyle name="_Книга22_Дайджест 2003-2004 гг._ф01.07 EBITDA ОЭМК 02.03.07" xfId="12931"/>
    <cellStyle name="_Книга22_Дайджест 2003-2004 гг._ф01.07 EBITDA ОЭМК 02.03.07 2" xfId="12932"/>
    <cellStyle name="_Книга22_Дайджест 2003-2004 гг._ф01.07 EBITDA ОЭМК 02.03.07 3" xfId="12933"/>
    <cellStyle name="_Книга22_Дайджест 2003-2004 гг._ф01.07 EBITDA ОЭМК 02.03.07 4" xfId="12934"/>
    <cellStyle name="_Книга22_Дайджест 2003-2004 гг._ф01.07 EBITDA ОЭМК 02.03.07 5" xfId="12935"/>
    <cellStyle name="_Книга22_Дайджест 2003-2004 гг._ф01.07 EBITDA ОЭМК 02.03.07 6" xfId="12936"/>
    <cellStyle name="_Книга22_Дайджест 2003-2004 гг._ф01.07 EBITDA ОЭМК 02.03.07 7" xfId="12937"/>
    <cellStyle name="_Книга22_Дайджест 2003-2004 гг._ф01.07 EBITDA ОЭМК 02.03.07 8" xfId="12938"/>
    <cellStyle name="_Книга22_Дайджест 2003-2004 гг._ф01.07 EBITDA ОЭМК 02.03.07 9" xfId="12939"/>
    <cellStyle name="_Книга22_Дайджест 2003-2004 гг._ф01.07 EBITDA ОЭМК 02.03.07_Книга2" xfId="12940"/>
    <cellStyle name="_Книга22_Дайджест 2003-2004 гг._ф02.07 EBITDA ОАО ЛГОК 28.03.07" xfId="12941"/>
    <cellStyle name="_Книга22_Дайджест 2003-2004 гг._ф02.07 EBITDA ОАО ЛГОК 28.03.07 2" xfId="12942"/>
    <cellStyle name="_Книга22_Дайджест 2003-2004 гг._ф02.07 EBITDA ОАО ЛГОК 28.03.07 3" xfId="12943"/>
    <cellStyle name="_Книга22_Дайджест 2003-2004 гг._ф02.07 EBITDA ОАО ЛГОК 28.03.07 4" xfId="12944"/>
    <cellStyle name="_Книга22_Дайджест 2003-2004 гг._ф02.07 EBITDA ОАО ЛГОК 28.03.07 5" xfId="12945"/>
    <cellStyle name="_Книга22_Дайджест 2003-2004 гг._ф02.07 EBITDA ОАО ЛГОК 28.03.07 6" xfId="12946"/>
    <cellStyle name="_Книга22_Дайджест 2003-2004 гг._ф02.07 EBITDA ОАО ЛГОК 28.03.07 7" xfId="12947"/>
    <cellStyle name="_Книга22_Дайджест 2003-2004 гг._ф02.07 EBITDA ОАО ЛГОК 28.03.07 8" xfId="12948"/>
    <cellStyle name="_Книга22_Дайджест 2003-2004 гг._ф02.07 EBITDA ОАО ЛГОК 28.03.07 9" xfId="12949"/>
    <cellStyle name="_Книга22_Дайджест 2003-2004 гг._ф02.07 EBITDA ОАО ЛГОК 28.03.07_Книга2" xfId="12950"/>
    <cellStyle name="_Книга22_Дайджест 2003-2004 гг._ф02.07 EBITDA ОАО УС 28.03.07" xfId="12951"/>
    <cellStyle name="_Книга22_Дайджест 2003-2004 гг._ф02.07 EBITDA ОАО УС 28.03.07 2" xfId="12952"/>
    <cellStyle name="_Книга22_Дайджест 2003-2004 гг._ф02.07 EBITDA ОАО УС 28.03.07 3" xfId="12953"/>
    <cellStyle name="_Книга22_Дайджест 2003-2004 гг._ф02.07 EBITDA ОАО УС 28.03.07 4" xfId="12954"/>
    <cellStyle name="_Книга22_Дайджест 2003-2004 гг._ф02.07 EBITDA ОАО УС 28.03.07 5" xfId="12955"/>
    <cellStyle name="_Книга22_Дайджест 2003-2004 гг._ф02.07 EBITDA ОАО УС 28.03.07 6" xfId="12956"/>
    <cellStyle name="_Книга22_Дайджест 2003-2004 гг._ф02.07 EBITDA ОАО УС 28.03.07 7" xfId="12957"/>
    <cellStyle name="_Книга22_Дайджест 2003-2004 гг._ф02.07 EBITDA ОАО УС 28.03.07 8" xfId="12958"/>
    <cellStyle name="_Книга22_Дайджест 2003-2004 гг._ф02.07 EBITDA ОАО УС 28.03.07 9" xfId="12959"/>
    <cellStyle name="_Книга22_Дайджест 2003-2004 гг._ф02.07 EBITDA ОАО УС 28.03.07_Книга2" xfId="12960"/>
    <cellStyle name="_Книга22_Дайджест 2003-2004 гг._ф02.07 EBITDA ОЭМК 28.03.07" xfId="12961"/>
    <cellStyle name="_Книга22_Дайджест 2003-2004 гг._ф02.07 EBITDA ОЭМК 28.03.07 2" xfId="12962"/>
    <cellStyle name="_Книга22_Дайджест 2003-2004 гг._ф02.07 EBITDA ОЭМК 28.03.07 3" xfId="12963"/>
    <cellStyle name="_Книга22_Дайджест 2003-2004 гг._ф02.07 EBITDA ОЭМК 28.03.07 4" xfId="12964"/>
    <cellStyle name="_Книга22_Дайджест 2003-2004 гг._ф02.07 EBITDA ОЭМК 28.03.07 5" xfId="12965"/>
    <cellStyle name="_Книга22_Дайджест 2003-2004 гг._ф02.07 EBITDA ОЭМК 28.03.07 6" xfId="12966"/>
    <cellStyle name="_Книга22_Дайджест 2003-2004 гг._ф02.07 EBITDA ОЭМК 28.03.07 7" xfId="12967"/>
    <cellStyle name="_Книга22_Дайджест 2003-2004 гг._ф02.07 EBITDA ОЭМК 28.03.07 8" xfId="12968"/>
    <cellStyle name="_Книга22_Дайджест 2003-2004 гг._ф02.07 EBITDA ОЭМК 28.03.07 9" xfId="12969"/>
    <cellStyle name="_Книга22_Дайджест 2003-2004 гг._ф02.07 EBITDA ОЭМК 28.03.07_Книга2" xfId="12970"/>
    <cellStyle name="_Книга22_Дайджест 2003-2004 гг._ф11 Депозиты" xfId="12971"/>
    <cellStyle name="_Книга22_Дайджест 2003-2004 гг._ф11 Депозиты 2" xfId="12972"/>
    <cellStyle name="_Книга22_Дайджест 2003-2004 гг._ф11 Депозиты 3" xfId="12973"/>
    <cellStyle name="_Книга22_Дайджест 2003-2004 гг._ф11 Депозиты 4" xfId="12974"/>
    <cellStyle name="_Книга22_Дайджест 2003-2004 гг._ф11 Депозиты 5" xfId="12975"/>
    <cellStyle name="_Книга22_Дайджест 2003-2004 гг._ф11 Депозиты 6" xfId="12976"/>
    <cellStyle name="_Книга22_Дайджест 2003-2004 гг._ф11 Депозиты 7" xfId="12977"/>
    <cellStyle name="_Книга22_Дайджест 2003-2004 гг._ф11 Депозиты 8" xfId="12978"/>
    <cellStyle name="_Книга22_Дайджест 2003-2004 гг._ф11 Депозиты 9" xfId="12979"/>
    <cellStyle name="_Книга22_Дайджест 2003-2004 гг._ф1кв.07 EBITDA ЛГОК 28.04.07" xfId="12980"/>
    <cellStyle name="_Книга22_Дайджест 2003-2004 гг._ф1кв.07 EBITDA ЛГОК 28.04.07 2" xfId="12981"/>
    <cellStyle name="_Книга22_Дайджест 2003-2004 гг._ф1кв.07 EBITDA ЛГОК 28.04.07 3" xfId="12982"/>
    <cellStyle name="_Книга22_Дайджест 2003-2004 гг._ф1кв.07 EBITDA ЛГОК 28.04.07 4" xfId="12983"/>
    <cellStyle name="_Книга22_Дайджест 2003-2004 гг._ф1кв.07 EBITDA ЛГОК 28.04.07 5" xfId="12984"/>
    <cellStyle name="_Книга22_Дайджест 2003-2004 гг._ф1кв.07 EBITDA ЛГОК 28.04.07 6" xfId="12985"/>
    <cellStyle name="_Книга22_Дайджест 2003-2004 гг._ф1кв.07 EBITDA ЛГОК 28.04.07 7" xfId="12986"/>
    <cellStyle name="_Книга22_Дайджест 2003-2004 гг._ф1кв.07 EBITDA ЛГОК 28.04.07 8" xfId="12987"/>
    <cellStyle name="_Книга22_Дайджест 2003-2004 гг._ф1кв.07 EBITDA ЛГОК 28.04.07 9" xfId="12988"/>
    <cellStyle name="_Книга22_Дайджест 2003-2004 гг._ф1кв.07 EBITDA ЛГОК 28.04.07_Книга2" xfId="12989"/>
    <cellStyle name="_Книга22_Дайджест 2003-2004 гг._Ф20 от налоговой" xfId="12990"/>
    <cellStyle name="_Книга22_Дайджест 2003-2004 гг._фIIIкв Комплект ОЭМК (1-12,18,22) 28.10.08" xfId="12991"/>
    <cellStyle name="_Книга22_Дайджест 2003-2004 гг._фIкв EBITDA ОАО УС 28.04.07" xfId="12992"/>
    <cellStyle name="_Книга22_Дайджест 2003-2004 гг._фIкв EBITDA ОАО УС 28.04.07 2" xfId="12993"/>
    <cellStyle name="_Книга22_Дайджест 2003-2004 гг._фIкв EBITDA ОАО УС 28.04.07 3" xfId="12994"/>
    <cellStyle name="_Книга22_Дайджест 2003-2004 гг._фIкв EBITDA ОАО УС 28.04.07 4" xfId="12995"/>
    <cellStyle name="_Книга22_Дайджест 2003-2004 гг._фIкв EBITDA ОАО УС 28.04.07 5" xfId="12996"/>
    <cellStyle name="_Книга22_Дайджест 2003-2004 гг._фIкв EBITDA ОАО УС 28.04.07 6" xfId="12997"/>
    <cellStyle name="_Книга22_Дайджест 2003-2004 гг._фIкв EBITDA ОАО УС 28.04.07 7" xfId="12998"/>
    <cellStyle name="_Книга22_Дайджест 2003-2004 гг._фIкв EBITDA ОАО УС 28.04.07 8" xfId="12999"/>
    <cellStyle name="_Книга22_Дайджест 2003-2004 гг._фIкв EBITDA ОАО УС 28.04.07 9" xfId="13000"/>
    <cellStyle name="_Книга22_Дайджест 2003-2004 гг._фIкв EBITDA ОАО УС 28.04.07_Книга2" xfId="13001"/>
    <cellStyle name="_Книга22_Дайджест 2003-2004 гг._фIкв EBITDA ОЭМК 28.04.07" xfId="13002"/>
    <cellStyle name="_Книга22_Дайджест 2003-2004 гг._фIкв EBITDA ОЭМК 28.04.07 2" xfId="13003"/>
    <cellStyle name="_Книга22_Дайджест 2003-2004 гг._фIкв EBITDA ОЭМК 28.04.07 3" xfId="13004"/>
    <cellStyle name="_Книга22_Дайджест 2003-2004 гг._фIкв EBITDA ОЭМК 28.04.07 4" xfId="13005"/>
    <cellStyle name="_Книга22_Дайджест 2003-2004 гг._фIкв EBITDA ОЭМК 28.04.07 5" xfId="13006"/>
    <cellStyle name="_Книга22_Дайджест 2003-2004 гг._фIкв EBITDA ОЭМК 28.04.07 6" xfId="13007"/>
    <cellStyle name="_Книга22_Дайджест 2003-2004 гг._фIкв EBITDA ОЭМК 28.04.07 7" xfId="13008"/>
    <cellStyle name="_Книга22_Дайджест 2003-2004 гг._фIкв EBITDA ОЭМК 28.04.07 8" xfId="13009"/>
    <cellStyle name="_Книга22_Дайджест 2003-2004 гг._фIкв EBITDA ОЭМК 28.04.07 9" xfId="13010"/>
    <cellStyle name="_Книга22_Дайджест 2003-2004 гг._фIкв EBITDA ОЭМК 28.04.07_Книга2" xfId="13011"/>
    <cellStyle name="_Книга22_Дайджест 2003-2004 гг._Факт_2007_Часть 2" xfId="13012"/>
    <cellStyle name="_Книга22_Дайджест 2003-2004 гг._Факт_2007_Часть 2 2" xfId="13013"/>
    <cellStyle name="_Книга22_Дайджест 2003-2004 гг._Факт_2007_Часть 2 3" xfId="13014"/>
    <cellStyle name="_Книга22_Дайджест 2003-2004 гг._Факт_2007_Часть 2 4" xfId="13015"/>
    <cellStyle name="_Книга22_Дайджест 2003-2004 гг._Факт_2007_Часть 2 5" xfId="13016"/>
    <cellStyle name="_Книга22_Дайджест 2003-2004 гг._Факт_2007_Часть 2 6" xfId="13017"/>
    <cellStyle name="_Книга22_Дайджест 2003-2004 гг._Факт_2007_Часть 2 7" xfId="13018"/>
    <cellStyle name="_Книга22_Дайджест 2003-2004 гг._Факт_2007_Часть 2 8" xfId="13019"/>
    <cellStyle name="_Книга22_Дайджест 2003-2004 гг._Факт_2007_Часть 2 9" xfId="13020"/>
    <cellStyle name="_Книга22_Дайджест 2003-2004 гг._Фин.часть  2007ожид и 2008 план" xfId="13021"/>
    <cellStyle name="_Книга22_Дайджест 2003-2004 гг._Фин.часть  2007ожид и 2008 план 2" xfId="13022"/>
    <cellStyle name="_Книга22_Дайджест 2003-2004 гг._Фин.часть  2007ожид и 2008 план 3" xfId="13023"/>
    <cellStyle name="_Книга22_Дайджест 2003-2004 гг._Фин.часть  2007ожид и 2008 план 4" xfId="13024"/>
    <cellStyle name="_Книга22_Дайджест 2003-2004 гг._Фин.часть  2007ожид и 2008 план 5" xfId="13025"/>
    <cellStyle name="_Книга22_Дайджест 2003-2004 гг._Фин.часть  2007ожид и 2008 план 6" xfId="13026"/>
    <cellStyle name="_Книга22_Дайджест 2003-2004 гг._Фин.часть  2007ожид и 2008 план 7" xfId="13027"/>
    <cellStyle name="_Книга22_Дайджест 2003-2004 гг._Фин.часть  2007ожид и 2008 план 8" xfId="13028"/>
    <cellStyle name="_Книга22_Дайджест 2003-2004 гг._Фин.часть  2007ожид и 2008 план 9" xfId="13029"/>
    <cellStyle name="_Книга22_Дайджест 2003-2004 гг._Фин.часть 11.12.06" xfId="13030"/>
    <cellStyle name="_Книга22_Дайджест 2003-2004 гг._Фин.часть 11.12.06 2" xfId="13031"/>
    <cellStyle name="_Книга22_Дайджест 2003-2004 гг._Фин.часть 11.12.06 3" xfId="13032"/>
    <cellStyle name="_Книга22_Дайджест 2003-2004 гг._Фин.часть 11.12.06 4" xfId="13033"/>
    <cellStyle name="_Книга22_Дайджест 2003-2004 гг._Фин.часть 11.12.06 5" xfId="13034"/>
    <cellStyle name="_Книга22_Дайджест 2003-2004 гг._Фин.часть 11.12.06 6" xfId="13035"/>
    <cellStyle name="_Книга22_Дайджест 2003-2004 гг._Фин.часть 11.12.06 7" xfId="13036"/>
    <cellStyle name="_Книга22_Дайджест 2003-2004 гг._Фин.часть 11.12.06 8" xfId="13037"/>
    <cellStyle name="_Книга22_Дайджест 2003-2004 гг._Фин.часть 11.12.06 9" xfId="13038"/>
    <cellStyle name="_Книга22_Дайджест 2003-2004 гг._Форма  19     27.03.07" xfId="13039"/>
    <cellStyle name="_Книга22_Дайджест 2003-2004 гг._Форма  19     27.03.07 2" xfId="13040"/>
    <cellStyle name="_Книга22_Дайджест 2003-2004 гг._Форма  19     27.03.07 3" xfId="13041"/>
    <cellStyle name="_Книга22_Дайджест 2003-2004 гг._Форма  19     27.03.07 4" xfId="13042"/>
    <cellStyle name="_Книга22_Дайджест 2003-2004 гг._Форма  19     27.03.07 5" xfId="13043"/>
    <cellStyle name="_Книга22_Дайджест 2003-2004 гг._Форма  19     27.03.07 6" xfId="13044"/>
    <cellStyle name="_Книга22_Дайджест 2003-2004 гг._Форма  19     27.03.07 7" xfId="13045"/>
    <cellStyle name="_Книга22_Дайджест 2003-2004 гг._Форма  19     27.03.07 8" xfId="13046"/>
    <cellStyle name="_Книга22_Дайджест 2003-2004 гг._Форма  19     27.03.07 9" xfId="13047"/>
    <cellStyle name="_Книга22_Дайджест 2003-2004 гг._Форма  20,21 25.02.07" xfId="13048"/>
    <cellStyle name="_Книга22_Дайджест 2003-2004 гг._Форма  20,21 25.02.07 2" xfId="13049"/>
    <cellStyle name="_Книга22_Дайджест 2003-2004 гг._Форма  20,21 25.02.07 3" xfId="13050"/>
    <cellStyle name="_Книга22_Дайджест 2003-2004 гг._Форма  20,21 25.02.07 4" xfId="13051"/>
    <cellStyle name="_Книга22_Дайджест 2003-2004 гг._Форма  20,21 25.02.07 5" xfId="13052"/>
    <cellStyle name="_Книга22_Дайджест 2003-2004 гг._Форма  20,21 25.02.07 6" xfId="13053"/>
    <cellStyle name="_Книга22_Дайджест 2003-2004 гг._Форма  20,21 25.02.07 7" xfId="13054"/>
    <cellStyle name="_Книга22_Дайджест 2003-2004 гг._Форма  20,21 25.02.07 8" xfId="13055"/>
    <cellStyle name="_Книга22_Дайджест 2003-2004 гг._Форма  20,21 25.02.07 9" xfId="13056"/>
    <cellStyle name="_Книга22_Дайджест 2003-2004 гг._Форма  20,21 25.02.07_index" xfId="13057"/>
    <cellStyle name="_Книга22_Дайджест 2003-2004 гг._Форма  20,21 25.02.07_Копия Потребность взаиморасч  от 28 02 2008 (2)" xfId="13058"/>
    <cellStyle name="_Книга22_Дайджест 2003-2004 гг._Форма  20,21 25.02.07_Форма№13 (новая от 28 12 09г) февраль версия № и последняя" xfId="13059"/>
    <cellStyle name="_Книга22_Дайджест 2003-2004 гг._Форма _ 2,4,5,30 скорр." xfId="13060"/>
    <cellStyle name="_Книга22_Дайджест 2003-2004 гг._Форма _ 2,4,5,30 скорр._index" xfId="13061"/>
    <cellStyle name="_Книга22_Дайджест 2003-2004 гг._Форма _ 2,4,5,30 скорр._Копия Потребность взаиморасч  от 28 02 2008 (2)" xfId="13062"/>
    <cellStyle name="_Книга22_Дайджест 2003-2004 гг._Форма 19 за 1 кв" xfId="13063"/>
    <cellStyle name="_Книга22_Дайджест 2003-2004 гг._Форма 19 за 1 кв 2" xfId="13064"/>
    <cellStyle name="_Книга22_Дайджест 2003-2004 гг._Форма 19 за 1 кв 3" xfId="13065"/>
    <cellStyle name="_Книга22_Дайджест 2003-2004 гг._Форма 19 за 1 кв 4" xfId="13066"/>
    <cellStyle name="_Книга22_Дайджест 2003-2004 гг._Форма 19 за 1 кв 5" xfId="13067"/>
    <cellStyle name="_Книга22_Дайджест 2003-2004 гг._Форма 19 за 1 кв 6" xfId="13068"/>
    <cellStyle name="_Книга22_Дайджест 2003-2004 гг._Форма 19 за 1 кв 7" xfId="13069"/>
    <cellStyle name="_Книга22_Дайджест 2003-2004 гг._Форма 19 за 1 кв 8" xfId="13070"/>
    <cellStyle name="_Книга22_Дайджест 2003-2004 гг._Форма 19 за 1 кв 9" xfId="13071"/>
    <cellStyle name="_Книга22_Дайджест 2003-2004 гг._Форма 20,21за 1 кв 25.04.07" xfId="13072"/>
    <cellStyle name="_Книга22_Дайджест 2003-2004 гг._Форма 20,21за 1 кв 25.04.07 2" xfId="13073"/>
    <cellStyle name="_Книга22_Дайджест 2003-2004 гг._Форма 20,21за 1 кв 25.04.07 3" xfId="13074"/>
    <cellStyle name="_Книга22_Дайджест 2003-2004 гг._Форма 20,21за 1 кв 25.04.07 4" xfId="13075"/>
    <cellStyle name="_Книга22_Дайджест 2003-2004 гг._Форма 20,21за 1 кв 25.04.07 5" xfId="13076"/>
    <cellStyle name="_Книга22_Дайджест 2003-2004 гг._Форма 20,21за 1 кв 25.04.07 6" xfId="13077"/>
    <cellStyle name="_Книга22_Дайджест 2003-2004 гг._Форма 20,21за 1 кв 25.04.07 7" xfId="13078"/>
    <cellStyle name="_Книга22_Дайджест 2003-2004 гг._Форма 20,21за 1 кв 25.04.07 8" xfId="13079"/>
    <cellStyle name="_Книга22_Дайджест 2003-2004 гг._Форма 20,21за 1 кв 25.04.07 9" xfId="13080"/>
    <cellStyle name="_Книга22_Дайджест 2003-2004 гг._Форма 28" xfId="13081"/>
    <cellStyle name="_Книга22_Дайджест 2003-2004 гг._Форма 28 2" xfId="13082"/>
    <cellStyle name="_Книга22_Дайджест 2003-2004 гг._Форма 28 3" xfId="13083"/>
    <cellStyle name="_Книга22_Дайджест 2003-2004 гг._Форма 28 4" xfId="13084"/>
    <cellStyle name="_Книга22_Дайджест 2003-2004 гг._Форма 28 5" xfId="13085"/>
    <cellStyle name="_Книга22_Дайджест 2003-2004 гг._Форма 28 6" xfId="13086"/>
    <cellStyle name="_Книга22_Дайджест 2003-2004 гг._Форма 28 7" xfId="13087"/>
    <cellStyle name="_Книга22_Дайджест 2003-2004 гг._Форма 28 8" xfId="13088"/>
    <cellStyle name="_Книга22_Дайджест 2003-2004 гг._Форма 28 9" xfId="13089"/>
    <cellStyle name="_Книга22_Дайджест 2003-2004 гг._Форма 28_13,14,28-30" xfId="13090"/>
    <cellStyle name="_Книга22_Дайджест 2003-2004 гг._Форма 28_26-30" xfId="13091"/>
    <cellStyle name="_Книга22_Дайджест 2003-2004 гг._Форма 28_28" xfId="13092"/>
    <cellStyle name="_Книга22_Дайджест 2003-2004 гг._Форма 28_3 квартал" xfId="13093"/>
    <cellStyle name="_Книга22_Дайджест 2003-2004 гг._Форма 28_3 квартал 2" xfId="13094"/>
    <cellStyle name="_Книга22_Дайджест 2003-2004 гг._Форма 28_Книга2" xfId="13095"/>
    <cellStyle name="_Книга22_Дайджест 2003-2004 гг._Форма 28_Копия Динамика цен (УС ) 2006-2009 сверен 30.01.09" xfId="13096"/>
    <cellStyle name="_Книга22_Дайджест 2003-2004 гг._Форма 28_Обжиговая" xfId="13097"/>
    <cellStyle name="_Книга22_Дайджест 2003-2004 гг._Форма 28_Отчет за сентябрь_11_ДСМ" xfId="13098"/>
    <cellStyle name="_Книга22_Дайджест 2003-2004 гг._Форма 28_Стан 150" xfId="13099"/>
    <cellStyle name="_Книга22_Дайджест 2003-2004 гг._Форма 28_фIIIкв Комплект ОЭМК (1-12,18,22) 28.10.08" xfId="13100"/>
    <cellStyle name="_Книга22_Дайджест 2003-2004 гг._Форма 28_Форма №19" xfId="13101"/>
    <cellStyle name="_Книга22_Дайджест 2003-2004 гг._Форма 28_Форма №24" xfId="13102"/>
    <cellStyle name="_Книга22_Дайджест 2003-2004 гг._Форма 28_Формы _28-30 (новые)1" xfId="13103"/>
    <cellStyle name="_Книга22_Дайджест 2003-2004 гг._Форма 28_Формы 28-30" xfId="13104"/>
    <cellStyle name="_Книга22_Дайджест 2003-2004 гг._Форма 28_Формы №28-30 (новые)1" xfId="13105"/>
    <cellStyle name="_Книга22_Дайджест 2003-2004 гг._Форма 28_Шаропрокатный" xfId="13106"/>
    <cellStyle name="_Книга22_Дайджест 2003-2004 гг._Форма 28_ЭНЦ-1" xfId="13107"/>
    <cellStyle name="_Книга22_Дайджест 2003-2004 гг._Форма 9" xfId="13108"/>
    <cellStyle name="_Книга22_Дайджест 2003-2004 гг._Форма 9 2" xfId="13109"/>
    <cellStyle name="_Книга22_Дайджест 2003-2004 гг._Форма 9 3" xfId="13110"/>
    <cellStyle name="_Книга22_Дайджест 2003-2004 гг._Форма 9 4" xfId="13111"/>
    <cellStyle name="_Книга22_Дайджест 2003-2004 гг._Форма 9 5" xfId="13112"/>
    <cellStyle name="_Книга22_Дайджест 2003-2004 гг._Форма 9 6" xfId="13113"/>
    <cellStyle name="_Книга22_Дайджест 2003-2004 гг._Форма 9 7" xfId="13114"/>
    <cellStyle name="_Книга22_Дайджест 2003-2004 гг._Форма 9 8" xfId="13115"/>
    <cellStyle name="_Книга22_Дайджест 2003-2004 гг._Форма 9 9" xfId="13116"/>
    <cellStyle name="_Книга22_Дайджест 2003-2004 гг._Форма № 13, 14" xfId="13117"/>
    <cellStyle name="_Книга22_Дайджест 2003-2004 гг._Форма № 13, 14 2" xfId="13118"/>
    <cellStyle name="_Книга22_Дайджест 2003-2004 гг._Форма № 13, 14 3" xfId="13119"/>
    <cellStyle name="_Книга22_Дайджест 2003-2004 гг._Форма № 13, 14 4" xfId="13120"/>
    <cellStyle name="_Книга22_Дайджест 2003-2004 гг._Форма № 13, 14 5" xfId="13121"/>
    <cellStyle name="_Книга22_Дайджест 2003-2004 гг._Форма № 13, 14 6" xfId="13122"/>
    <cellStyle name="_Книга22_Дайджест 2003-2004 гг._Форма № 13, 14 7" xfId="13123"/>
    <cellStyle name="_Книга22_Дайджест 2003-2004 гг._Форма № 13, 14 8" xfId="13124"/>
    <cellStyle name="_Книга22_Дайджест 2003-2004 гг._Форма № 13, 14 9" xfId="13125"/>
    <cellStyle name="_Книга22_Дайджест 2003-2004 гг._Форма № 19 25.02.07" xfId="13126"/>
    <cellStyle name="_Книга22_Дайджест 2003-2004 гг._Форма № 19 25.02.07 2" xfId="13127"/>
    <cellStyle name="_Книга22_Дайджест 2003-2004 гг._Форма № 19 25.02.07 3" xfId="13128"/>
    <cellStyle name="_Книга22_Дайджест 2003-2004 гг._Форма № 19 25.02.07 4" xfId="13129"/>
    <cellStyle name="_Книга22_Дайджест 2003-2004 гг._Форма № 19 25.02.07 5" xfId="13130"/>
    <cellStyle name="_Книга22_Дайджест 2003-2004 гг._Форма № 19 25.02.07 6" xfId="13131"/>
    <cellStyle name="_Книга22_Дайджест 2003-2004 гг._Форма № 19 25.02.07 7" xfId="13132"/>
    <cellStyle name="_Книга22_Дайджест 2003-2004 гг._Форма № 19 25.02.07 8" xfId="13133"/>
    <cellStyle name="_Книга22_Дайджест 2003-2004 гг._Форма № 19 25.02.07 9" xfId="13134"/>
    <cellStyle name="_Книга22_Дайджест 2003-2004 гг._Форма № 19 25.02.07_index" xfId="13135"/>
    <cellStyle name="_Книга22_Дайджест 2003-2004 гг._Форма № 19 25.02.07_Копия Потребность взаиморасч  от 28 02 2008 (2)" xfId="13136"/>
    <cellStyle name="_Книга22_Дайджест 2003-2004 гг._Форма № 19 25.02.07_Форма№13 (новая от 28 12 09г) февраль версия № и последняя" xfId="13137"/>
    <cellStyle name="_Книга22_Дайджест 2003-2004 гг._Форма № 28, 29, 30 план год 2008 от 05.12.07 для отправки" xfId="13138"/>
    <cellStyle name="_Книга22_Дайджест 2003-2004 гг._Форма № 28, 29, 30 план год 2008 от 05.12.07 для отправки 2" xfId="13139"/>
    <cellStyle name="_Книга22_Дайджест 2003-2004 гг._Форма № 28, 29, 30 план год 2008 от 05.12.07 для отправки 3" xfId="13140"/>
    <cellStyle name="_Книга22_Дайджест 2003-2004 гг._Форма № 28, 29, 30 план год 2008 от 05.12.07 для отправки 4" xfId="13141"/>
    <cellStyle name="_Книга22_Дайджест 2003-2004 гг._Форма № 28, 29, 30 план год 2008 от 05.12.07 для отправки 5" xfId="13142"/>
    <cellStyle name="_Книга22_Дайджест 2003-2004 гг._Форма № 28, 29, 30 план год 2008 от 05.12.07 для отправки 6" xfId="13143"/>
    <cellStyle name="_Книга22_Дайджест 2003-2004 гг._Форма № 28, 29, 30 план год 2008 от 05.12.07 для отправки 7" xfId="13144"/>
    <cellStyle name="_Книга22_Дайджест 2003-2004 гг._Форма № 28, 29, 30 план год 2008 от 05.12.07 для отправки 8" xfId="13145"/>
    <cellStyle name="_Книга22_Дайджест 2003-2004 гг._Форма № 28, 29, 30 план год 2008 от 05.12.07 для отправки 9" xfId="13146"/>
    <cellStyle name="_Книга22_Дайджест 2003-2004 гг._Форма № 29" xfId="13147"/>
    <cellStyle name="_Книга22_Дайджест 2003-2004 гг._Форма № 29 2" xfId="13148"/>
    <cellStyle name="_Книга22_Дайджест 2003-2004 гг._Форма № 29 3" xfId="13149"/>
    <cellStyle name="_Книга22_Дайджест 2003-2004 гг._Форма № 29 4" xfId="13150"/>
    <cellStyle name="_Книга22_Дайджест 2003-2004 гг._Форма № 29 5" xfId="13151"/>
    <cellStyle name="_Книга22_Дайджест 2003-2004 гг._Форма № 29 6" xfId="13152"/>
    <cellStyle name="_Книга22_Дайджест 2003-2004 гг._Форма № 29 7" xfId="13153"/>
    <cellStyle name="_Книга22_Дайджест 2003-2004 гг._Форма № 29 8" xfId="13154"/>
    <cellStyle name="_Книга22_Дайджест 2003-2004 гг._Форма № 29 9" xfId="13155"/>
    <cellStyle name="_Книга22_Дайджест 2003-2004 гг._Форма № 30  26.02.07" xfId="13156"/>
    <cellStyle name="_Книга22_Дайджест 2003-2004 гг._Форма №13" xfId="13157"/>
    <cellStyle name="_Книга22_Дайджест 2003-2004 гг._Форма №13 2" xfId="13158"/>
    <cellStyle name="_Книга22_Дайджест 2003-2004 гг._Форма №13 3" xfId="13159"/>
    <cellStyle name="_Книга22_Дайджест 2003-2004 гг._Форма №13 4" xfId="13160"/>
    <cellStyle name="_Книга22_Дайджест 2003-2004 гг._Форма №13 5" xfId="13161"/>
    <cellStyle name="_Книга22_Дайджест 2003-2004 гг._Форма №13 6" xfId="13162"/>
    <cellStyle name="_Книга22_Дайджест 2003-2004 гг._Форма №13 7" xfId="13163"/>
    <cellStyle name="_Книга22_Дайджест 2003-2004 гг._Форма №13 8" xfId="13164"/>
    <cellStyle name="_Книга22_Дайджест 2003-2004 гг._Форма №13 9" xfId="13165"/>
    <cellStyle name="_Книга22_Дайджест 2003-2004 гг._Форма №13, 14 от 25.04.07" xfId="13166"/>
    <cellStyle name="_Книга22_Дайджест 2003-2004 гг._Форма №13, 14 от 25.04.07 2" xfId="13167"/>
    <cellStyle name="_Книга22_Дайджест 2003-2004 гг._Форма №13, 14 от 25.04.07 3" xfId="13168"/>
    <cellStyle name="_Книга22_Дайджест 2003-2004 гг._Форма №13, 14 от 25.04.07 4" xfId="13169"/>
    <cellStyle name="_Книга22_Дайджест 2003-2004 гг._Форма №13, 14 от 25.04.07 5" xfId="13170"/>
    <cellStyle name="_Книга22_Дайджест 2003-2004 гг._Форма №13, 14 от 25.04.07 6" xfId="13171"/>
    <cellStyle name="_Книга22_Дайджест 2003-2004 гг._Форма №13, 14 от 25.04.07 7" xfId="13172"/>
    <cellStyle name="_Книга22_Дайджест 2003-2004 гг._Форма №13, 14 от 25.04.07 8" xfId="13173"/>
    <cellStyle name="_Книга22_Дайджест 2003-2004 гг._Форма №13, 14 от 25.04.07 9" xfId="13174"/>
    <cellStyle name="_Книга22_Дайджест 2003-2004 гг._Форма №14" xfId="13175"/>
    <cellStyle name="_Книга22_Дайджест 2003-2004 гг._Форма №14 2" xfId="13176"/>
    <cellStyle name="_Книга22_Дайджест 2003-2004 гг._Форма №14 3" xfId="13177"/>
    <cellStyle name="_Книга22_Дайджест 2003-2004 гг._Форма №14 4" xfId="13178"/>
    <cellStyle name="_Книга22_Дайджест 2003-2004 гг._Форма №14 5" xfId="13179"/>
    <cellStyle name="_Книга22_Дайджест 2003-2004 гг._Форма №14 6" xfId="13180"/>
    <cellStyle name="_Книга22_Дайджест 2003-2004 гг._Форма №14 7" xfId="13181"/>
    <cellStyle name="_Книга22_Дайджест 2003-2004 гг._Форма №14 8" xfId="13182"/>
    <cellStyle name="_Книга22_Дайджест 2003-2004 гг._Форма №14 9" xfId="13183"/>
    <cellStyle name="_Книга22_Дайджест 2003-2004 гг._Форма №19" xfId="13184"/>
    <cellStyle name="_Книга22_Дайджест 2003-2004 гг._Форма №19 июль факт" xfId="13185"/>
    <cellStyle name="_Книга22_Дайджест 2003-2004 гг._Форма №24" xfId="13186"/>
    <cellStyle name="_Книга22_Дайджест 2003-2004 гг._форма №24 от 07.12.2006г" xfId="13187"/>
    <cellStyle name="_Книга22_Дайджест 2003-2004 гг._форма №24 от 07.12.2006г 2" xfId="13188"/>
    <cellStyle name="_Книга22_Дайджест 2003-2004 гг._форма №24 от 07.12.2006г 3" xfId="13189"/>
    <cellStyle name="_Книга22_Дайджест 2003-2004 гг._форма №24 от 07.12.2006г 4" xfId="13190"/>
    <cellStyle name="_Книга22_Дайджест 2003-2004 гг._форма №24 от 07.12.2006г 5" xfId="13191"/>
    <cellStyle name="_Книга22_Дайджест 2003-2004 гг._форма №24 от 07.12.2006г 6" xfId="13192"/>
    <cellStyle name="_Книга22_Дайджест 2003-2004 гг._форма №24 от 07.12.2006г 7" xfId="13193"/>
    <cellStyle name="_Книга22_Дайджест 2003-2004 гг._форма №24 от 07.12.2006г 8" xfId="13194"/>
    <cellStyle name="_Книга22_Дайджест 2003-2004 гг._форма №24 от 07.12.2006г 9" xfId="13195"/>
    <cellStyle name="_Книга22_Дайджест 2003-2004 гг._форма №24 от 11.12.2006г" xfId="13196"/>
    <cellStyle name="_Книга22_Дайджест 2003-2004 гг._форма №24 от 11.12.2006г 2" xfId="13197"/>
    <cellStyle name="_Книга22_Дайджест 2003-2004 гг._форма №24 от 11.12.2006г 3" xfId="13198"/>
    <cellStyle name="_Книга22_Дайджест 2003-2004 гг._форма №24 от 11.12.2006г 4" xfId="13199"/>
    <cellStyle name="_Книга22_Дайджест 2003-2004 гг._форма №24 от 11.12.2006г 5" xfId="13200"/>
    <cellStyle name="_Книга22_Дайджест 2003-2004 гг._форма №24 от 11.12.2006г 6" xfId="13201"/>
    <cellStyle name="_Книга22_Дайджест 2003-2004 гг._форма №24 от 11.12.2006г 7" xfId="13202"/>
    <cellStyle name="_Книга22_Дайджест 2003-2004 гг._форма №24 от 11.12.2006г 8" xfId="13203"/>
    <cellStyle name="_Книга22_Дайджест 2003-2004 гг._форма №24 от 11.12.2006г 9" xfId="13204"/>
    <cellStyle name="_Книга22_Дайджест 2003-2004 гг._форма №24 от 15.12.2006г" xfId="13205"/>
    <cellStyle name="_Книга22_Дайджест 2003-2004 гг._форма №24 от 15.12.2006г 2" xfId="13206"/>
    <cellStyle name="_Книга22_Дайджест 2003-2004 гг._форма №24 от 15.12.2006г 3" xfId="13207"/>
    <cellStyle name="_Книга22_Дайджест 2003-2004 гг._форма №24 от 15.12.2006г 4" xfId="13208"/>
    <cellStyle name="_Книга22_Дайджест 2003-2004 гг._форма №24 от 15.12.2006г 5" xfId="13209"/>
    <cellStyle name="_Книга22_Дайджест 2003-2004 гг._форма №24 от 15.12.2006г 6" xfId="13210"/>
    <cellStyle name="_Книга22_Дайджест 2003-2004 гг._форма №24 от 15.12.2006г 7" xfId="13211"/>
    <cellStyle name="_Книга22_Дайджест 2003-2004 гг._форма №24 от 15.12.2006г 8" xfId="13212"/>
    <cellStyle name="_Книга22_Дайджест 2003-2004 гг._форма №24 от 15.12.2006г 9" xfId="13213"/>
    <cellStyle name="_Книга22_Дайджест 2003-2004 гг._форма №24,25 2 кв. от 02.04.07" xfId="13214"/>
    <cellStyle name="_Книга22_Дайджест 2003-2004 гг._Форма №24,25 за 1 кв 2007" xfId="13215"/>
    <cellStyle name="_Книга22_Дайджест 2003-2004 гг._Форма №24,25 за 1 кв 2007 2" xfId="13216"/>
    <cellStyle name="_Книга22_Дайджест 2003-2004 гг._Форма №24,25 за 1 кв 2007 3" xfId="13217"/>
    <cellStyle name="_Книга22_Дайджест 2003-2004 гг._Форма №24,25 за 1 кв 2007 4" xfId="13218"/>
    <cellStyle name="_Книга22_Дайджест 2003-2004 гг._Форма №24,25 за 1 кв 2007 5" xfId="13219"/>
    <cellStyle name="_Книга22_Дайджест 2003-2004 гг._Форма №24,25 за 1 кв 2007 6" xfId="13220"/>
    <cellStyle name="_Книга22_Дайджест 2003-2004 гг._Форма №24,25 за 1 кв 2007 7" xfId="13221"/>
    <cellStyle name="_Книга22_Дайджест 2003-2004 гг._Форма №24,25 за 1 кв 2007 8" xfId="13222"/>
    <cellStyle name="_Книга22_Дайджест 2003-2004 гг._Форма №24,25 за 1 кв 2007 9" xfId="13223"/>
    <cellStyle name="_Книга22_Дайджест 2003-2004 гг._Форма №24,25 за янв 2007" xfId="13224"/>
    <cellStyle name="_Книга22_Дайджест 2003-2004 гг._Форма №24,25 за янв 2007 2" xfId="13225"/>
    <cellStyle name="_Книга22_Дайджест 2003-2004 гг._Форма №24,25 за янв 2007 3" xfId="13226"/>
    <cellStyle name="_Книга22_Дайджест 2003-2004 гг._Форма №24,25 за янв 2007 4" xfId="13227"/>
    <cellStyle name="_Книга22_Дайджест 2003-2004 гг._Форма №24,25 за янв 2007 5" xfId="13228"/>
    <cellStyle name="_Книга22_Дайджест 2003-2004 гг._Форма №24,25 за янв 2007 6" xfId="13229"/>
    <cellStyle name="_Книга22_Дайджест 2003-2004 гг._Форма №24,25 за янв 2007 7" xfId="13230"/>
    <cellStyle name="_Книга22_Дайджест 2003-2004 гг._Форма №24,25 за янв 2007 8" xfId="13231"/>
    <cellStyle name="_Книга22_Дайджест 2003-2004 гг._Форма №24,25 за янв 2007 9" xfId="13232"/>
    <cellStyle name="_Книга22_Дайджест 2003-2004 гг._Форма №24,25 за янв 2007_index" xfId="13233"/>
    <cellStyle name="_Книга22_Дайджест 2003-2004 гг._Форма №24,25 за янв 2007_Копия Потребность взаиморасч  от 28 02 2008 (2)" xfId="13234"/>
    <cellStyle name="_Книга22_Дайджест 2003-2004 гг._Форма №24,25 за янв 2007_Форма№13 (новая от 28 12 09г) февраль версия № и последняя" xfId="13235"/>
    <cellStyle name="_Книга22_Дайджест 2003-2004 гг._Форма №26 1 кв" xfId="13236"/>
    <cellStyle name="_Книга22_Дайджест 2003-2004 гг._Форма №26 1 кв 2" xfId="13237"/>
    <cellStyle name="_Книга22_Дайджест 2003-2004 гг._Форма №26 1 кв 3" xfId="13238"/>
    <cellStyle name="_Книга22_Дайджест 2003-2004 гг._Форма №26 1 кв 4" xfId="13239"/>
    <cellStyle name="_Книга22_Дайджест 2003-2004 гг._Форма №26 1 кв 5" xfId="13240"/>
    <cellStyle name="_Книга22_Дайджест 2003-2004 гг._Форма №26 1 кв 6" xfId="13241"/>
    <cellStyle name="_Книга22_Дайджест 2003-2004 гг._Форма №26 1 кв 7" xfId="13242"/>
    <cellStyle name="_Книга22_Дайджест 2003-2004 гг._Форма №26 1 кв 8" xfId="13243"/>
    <cellStyle name="_Книга22_Дайджест 2003-2004 гг._Форма №26 1 кв 9" xfId="13244"/>
    <cellStyle name="_Книга22_Дайджест 2003-2004 гг._Форма №27 1 кв" xfId="13245"/>
    <cellStyle name="_Книга22_Дайджест 2003-2004 гг._Форма №27 1 кв 2" xfId="13246"/>
    <cellStyle name="_Книга22_Дайджест 2003-2004 гг._Форма №27 1 кв 3" xfId="13247"/>
    <cellStyle name="_Книга22_Дайджест 2003-2004 гг._Форма №27 1 кв 4" xfId="13248"/>
    <cellStyle name="_Книга22_Дайджест 2003-2004 гг._Форма №27 1 кв 5" xfId="13249"/>
    <cellStyle name="_Книга22_Дайджест 2003-2004 гг._Форма №27 1 кв 6" xfId="13250"/>
    <cellStyle name="_Книга22_Дайджест 2003-2004 гг._Форма №27 1 кв 7" xfId="13251"/>
    <cellStyle name="_Книга22_Дайджест 2003-2004 гг._Форма №27 1 кв 8" xfId="13252"/>
    <cellStyle name="_Книга22_Дайджест 2003-2004 гг._Форма №27 1 кв 9" xfId="13253"/>
    <cellStyle name="_Книга22_Дайджест 2003-2004 гг._Форма №8" xfId="13254"/>
    <cellStyle name="_Книга22_Дайджест 2003-2004 гг._Форма №8 2" xfId="13255"/>
    <cellStyle name="_Книга22_Дайджест 2003-2004 гг._Форма №8 3" xfId="13256"/>
    <cellStyle name="_Книга22_Дайджест 2003-2004 гг._Форма №8 4" xfId="13257"/>
    <cellStyle name="_Книга22_Дайджест 2003-2004 гг._Форма №8 5" xfId="13258"/>
    <cellStyle name="_Книга22_Дайджест 2003-2004 гг._Форма №8 6" xfId="13259"/>
    <cellStyle name="_Книга22_Дайджест 2003-2004 гг._Форма №8 7" xfId="13260"/>
    <cellStyle name="_Книга22_Дайджест 2003-2004 гг._Форма №8 8" xfId="13261"/>
    <cellStyle name="_Книга22_Дайджест 2003-2004 гг._Форма №8 9" xfId="13262"/>
    <cellStyle name="_Книга22_Дайджест 2003-2004 гг._форма презентации по численности и зарплате" xfId="13263"/>
    <cellStyle name="_Книга22_Дайджест 2003-2004 гг._форма презентации по численности и зарплате 2" xfId="13264"/>
    <cellStyle name="_Книга22_Дайджест 2003-2004 гг._форма презентации по численности и зарплате 3" xfId="13265"/>
    <cellStyle name="_Книга22_Дайджест 2003-2004 гг._форма презентации по численности и зарплате 4" xfId="13266"/>
    <cellStyle name="_Книга22_Дайджест 2003-2004 гг._форма презентации по численности и зарплате 5" xfId="13267"/>
    <cellStyle name="_Книга22_Дайджест 2003-2004 гг._форма презентации по численности и зарплате 6" xfId="13268"/>
    <cellStyle name="_Книга22_Дайджест 2003-2004 гг._форма презентации по численности и зарплате 7" xfId="13269"/>
    <cellStyle name="_Книга22_Дайджест 2003-2004 гг._форма презентации по численности и зарплате 8" xfId="13270"/>
    <cellStyle name="_Книга22_Дайджест 2003-2004 гг._форма презентации по численности и зарплате 9" xfId="13271"/>
    <cellStyle name="_Книга22_Дайджест 2003-2004 гг._Форма№13 (новая от 28 12 09г) февраль версия № и последняя" xfId="13272"/>
    <cellStyle name="_Книга22_Дайджест 2003-2004 гг._Формат" xfId="13273"/>
    <cellStyle name="_Книга22_Дайджест 2003-2004 гг._формат отчетности(фев с март)" xfId="13274"/>
    <cellStyle name="_Книга22_Дайджест 2003-2004 гг._Формат Январь прогноз" xfId="13275"/>
    <cellStyle name="_Книга22_Дайджест 2003-2004 гг._Формы _28-30 (новые)1" xfId="13276"/>
    <cellStyle name="_Книга22_Дайджест 2003-2004 гг._Формы 19,20,21" xfId="13277"/>
    <cellStyle name="_Книга22_Дайджест 2003-2004 гг._Формы 19,20,21 16.12.06 " xfId="13278"/>
    <cellStyle name="_Книга22_Дайджест 2003-2004 гг._Формы 19,20,21 16.12.06  2" xfId="13279"/>
    <cellStyle name="_Книга22_Дайджест 2003-2004 гг._Формы 19,20,21 16.12.06  3" xfId="13280"/>
    <cellStyle name="_Книга22_Дайджест 2003-2004 гг._Формы 19,20,21 16.12.06  4" xfId="13281"/>
    <cellStyle name="_Книга22_Дайджест 2003-2004 гг._Формы 19,20,21 16.12.06  5" xfId="13282"/>
    <cellStyle name="_Книга22_Дайджест 2003-2004 гг._Формы 19,20,21 16.12.06  6" xfId="13283"/>
    <cellStyle name="_Книга22_Дайджест 2003-2004 гг._Формы 19,20,21 16.12.06  7" xfId="13284"/>
    <cellStyle name="_Книга22_Дайджест 2003-2004 гг._Формы 19,20,21 16.12.06  8" xfId="13285"/>
    <cellStyle name="_Книга22_Дайджест 2003-2004 гг._Формы 19,20,21 16.12.06  9" xfId="13286"/>
    <cellStyle name="_Книга22_Дайджест 2003-2004 гг._Формы 19,20,21 2" xfId="13287"/>
    <cellStyle name="_Книга22_Дайджест 2003-2004 гг._Формы 19,20,21 3" xfId="13288"/>
    <cellStyle name="_Книга22_Дайджест 2003-2004 гг._Формы 19,20,21 4" xfId="13289"/>
    <cellStyle name="_Книга22_Дайджест 2003-2004 гг._Формы 19,20,21 5" xfId="13290"/>
    <cellStyle name="_Книга22_Дайджест 2003-2004 гг._Формы 19,20,21 6" xfId="13291"/>
    <cellStyle name="_Книга22_Дайджест 2003-2004 гг._Формы 19,20,21 7" xfId="13292"/>
    <cellStyle name="_Книга22_Дайджест 2003-2004 гг._Формы 19,20,21 8" xfId="13293"/>
    <cellStyle name="_Книга22_Дайджест 2003-2004 гг._Формы 19,20,21 9" xfId="13294"/>
    <cellStyle name="_Книга22_Дайджест 2003-2004 гг._Формы 19,20,21 на 2007г." xfId="13295"/>
    <cellStyle name="_Книга22_Дайджест 2003-2004 гг._Формы 19,20,21 на 2007г. 2" xfId="13296"/>
    <cellStyle name="_Книга22_Дайджест 2003-2004 гг._Формы 19,20,21 на 2007г. 3" xfId="13297"/>
    <cellStyle name="_Книга22_Дайджест 2003-2004 гг._Формы 19,20,21 на 2007г. 4" xfId="13298"/>
    <cellStyle name="_Книга22_Дайджест 2003-2004 гг._Формы 19,20,21 на 2007г. 5" xfId="13299"/>
    <cellStyle name="_Книга22_Дайджест 2003-2004 гг._Формы 19,20,21 на 2007г. 6" xfId="13300"/>
    <cellStyle name="_Книга22_Дайджест 2003-2004 гг._Формы 19,20,21 на 2007г. 7" xfId="13301"/>
    <cellStyle name="_Книга22_Дайджест 2003-2004 гг._Формы 19,20,21 на 2007г. 8" xfId="13302"/>
    <cellStyle name="_Книга22_Дайджест 2003-2004 гг._Формы 19,20,21 на 2007г. 9" xfId="13303"/>
    <cellStyle name="_Книга22_Дайджест 2003-2004 гг._Формы 28-30" xfId="13304"/>
    <cellStyle name="_Книга22_Дайджест 2003-2004 гг._Формы №28-30 (новые)1" xfId="13305"/>
    <cellStyle name="_Книга22_Дайджест 2003-2004 гг._Формы Август-декбарь" xfId="13306"/>
    <cellStyle name="_Книга22_Дайджест 2003-2004 гг._Формы Август-декбарь 2" xfId="13307"/>
    <cellStyle name="_Книга22_Дайджест 2003-2004 гг._Формы Август-декбарь 3" xfId="13308"/>
    <cellStyle name="_Книга22_Дайджест 2003-2004 гг._Формы Август-декбарь 4" xfId="13309"/>
    <cellStyle name="_Книга22_Дайджест 2003-2004 гг._Формы Август-декбарь 5" xfId="13310"/>
    <cellStyle name="_Книга22_Дайджест 2003-2004 гг._Формы Август-декбарь 6" xfId="13311"/>
    <cellStyle name="_Книга22_Дайджест 2003-2004 гг._Формы Август-декбарь 7" xfId="13312"/>
    <cellStyle name="_Книга22_Дайджест 2003-2004 гг._Формы Август-декбарь 8" xfId="13313"/>
    <cellStyle name="_Книга22_Дайджест 2003-2004 гг._Формы Август-декбарь 9" xfId="13314"/>
    <cellStyle name="_Книга22_Дайджест 2003-2004 гг._Формы Август-декбарь_13,14,28-30" xfId="13315"/>
    <cellStyle name="_Книга22_Дайджест 2003-2004 гг._Формы Август-декбарь_19" xfId="13316"/>
    <cellStyle name="_Книга22_Дайджест 2003-2004 гг._Формы Август-декбарь_26-30" xfId="13317"/>
    <cellStyle name="_Книга22_Дайджест 2003-2004 гг._Формы Август-декбарь_28" xfId="13318"/>
    <cellStyle name="_Книга22_Дайджест 2003-2004 гг._Формы Август-декбарь_3 квартал" xfId="13319"/>
    <cellStyle name="_Книга22_Дайджест 2003-2004 гг._Формы Август-декбарь_3 квартал 2" xfId="13320"/>
    <cellStyle name="_Книга22_Дайджест 2003-2004 гг._Формы Август-декбарь_index" xfId="13321"/>
    <cellStyle name="_Книга22_Дайджест 2003-2004 гг._Формы Август-декбарь_Верх НА" xfId="13322"/>
    <cellStyle name="_Книга22_Дайджест 2003-2004 гг._Формы Август-декбарь_Книга2" xfId="13323"/>
    <cellStyle name="_Книга22_Дайджест 2003-2004 гг._Формы Август-декбарь_Копия Динамика цен (УС ) 2006-2009 сверен 30.01.09" xfId="13324"/>
    <cellStyle name="_Книга22_Дайджест 2003-2004 гг._Формы Август-декбарь_Копия Потребность взаиморасч  от 28 02 2008 (2)" xfId="13325"/>
    <cellStyle name="_Книга22_Дайджест 2003-2004 гг._Формы Август-декбарь_Налог на прибыль" xfId="13326"/>
    <cellStyle name="_Книга22_Дайджест 2003-2004 гг._Формы Август-декбарь_Налоги А.А. Богоцкому 2005-2009" xfId="13327"/>
    <cellStyle name="_Книга22_Дайджест 2003-2004 гг._Формы Август-декбарь_Налоги к плану на 2009 год (ДЗ и КЗ)" xfId="13328"/>
    <cellStyle name="_Книга22_Дайджест 2003-2004 гг._Формы Август-декбарь_Налоги к плану на февраль 2009 года" xfId="13329"/>
    <cellStyle name="_Книга22_Дайджест 2003-2004 гг._Формы Август-декбарь_Обжиговая" xfId="13330"/>
    <cellStyle name="_Книга22_Дайджест 2003-2004 гг._Формы Август-декбарь_Отчет за сентябрь_11_ДСМ" xfId="13331"/>
    <cellStyle name="_Книга22_Дайджест 2003-2004 гг._Формы Август-декбарь_Стан 150" xfId="13332"/>
    <cellStyle name="_Книга22_Дайджест 2003-2004 гг._Формы Август-декбарь_Ф20 от налоговой" xfId="13333"/>
    <cellStyle name="_Книга22_Дайджест 2003-2004 гг._Формы Август-декбарь_фIIIкв Комплект ОЭМК (1-12,18,22) 28.10.08" xfId="13334"/>
    <cellStyle name="_Книга22_Дайджест 2003-2004 гг._Формы Август-декбарь_Форма №19" xfId="13335"/>
    <cellStyle name="_Книга22_Дайджест 2003-2004 гг._Формы Август-декбарь_Форма №24" xfId="13336"/>
    <cellStyle name="_Книга22_Дайджест 2003-2004 гг._Формы Август-декбарь_Форма№13 (новая от 28 12 09г) февраль версия № и последняя" xfId="13337"/>
    <cellStyle name="_Книга22_Дайджест 2003-2004 гг._Формы Август-декбарь_Формы _28-30 (новые)1" xfId="13338"/>
    <cellStyle name="_Книга22_Дайджест 2003-2004 гг._Формы Август-декбарь_Формы 28-30" xfId="13339"/>
    <cellStyle name="_Книга22_Дайджест 2003-2004 гг._Формы Август-декбарь_Формы №28-30 (новые)1" xfId="13340"/>
    <cellStyle name="_Книга22_Дайджест 2003-2004 гг._Формы Август-декбарь_Шаропрокатный" xfId="13341"/>
    <cellStyle name="_Книга22_Дайджест 2003-2004 гг._Формы Август-декбарь_ЭНЦ-1" xfId="13342"/>
    <cellStyle name="_Книга22_Дайджест 2003-2004 гг._Формы для ЛГОК (к отправке)" xfId="13343"/>
    <cellStyle name="_Книга22_Дайджест 2003-2004 гг._Формы для ЛГОК (к отправке)_index" xfId="13344"/>
    <cellStyle name="_Книга22_Дайджест 2003-2004 гг._Формы для ЛГОК (к отправке)_Копия Потребность взаиморасч  от 28 02 2008 (2)" xfId="13345"/>
    <cellStyle name="_Книга22_Дайджест 2003-2004 гг._Формы для ОЭМК (к отправке)" xfId="13346"/>
    <cellStyle name="_Книга22_Дайджест 2003-2004 гг._Формы для ОЭМК (к отправке) 2" xfId="13347"/>
    <cellStyle name="_Книга22_Дайджест 2003-2004 гг._Формы для ОЭМК (к отправке) 3" xfId="13348"/>
    <cellStyle name="_Книга22_Дайджест 2003-2004 гг._Формы для ОЭМК (к отправке) 4" xfId="13349"/>
    <cellStyle name="_Книга22_Дайджест 2003-2004 гг._Формы для ОЭМК (к отправке) 5" xfId="13350"/>
    <cellStyle name="_Книга22_Дайджест 2003-2004 гг._Формы для ОЭМК (к отправке) 6" xfId="13351"/>
    <cellStyle name="_Книга22_Дайджест 2003-2004 гг._Формы для ОЭМК (к отправке) 7" xfId="13352"/>
    <cellStyle name="_Книга22_Дайджест 2003-2004 гг._Формы для ОЭМК (к отправке) 8" xfId="13353"/>
    <cellStyle name="_Книга22_Дайджест 2003-2004 гг._Формы для ОЭМК (к отправке) 9" xfId="13354"/>
    <cellStyle name="_Книга22_Дайджест 2003-2004 гг._Формы для ОЭМК (к отправке)_13,14,28-30" xfId="13355"/>
    <cellStyle name="_Книга22_Дайджест 2003-2004 гг._Формы для ОЭМК (к отправке)_19" xfId="13356"/>
    <cellStyle name="_Книга22_Дайджест 2003-2004 гг._Формы для ОЭМК (к отправке)_26-30" xfId="13357"/>
    <cellStyle name="_Книга22_Дайджест 2003-2004 гг._Формы для ОЭМК (к отправке)_28" xfId="13358"/>
    <cellStyle name="_Книга22_Дайджест 2003-2004 гг._Формы для ОЭМК (к отправке)_3 квартал" xfId="13359"/>
    <cellStyle name="_Книга22_Дайджест 2003-2004 гг._Формы для ОЭМК (к отправке)_3 квартал 2" xfId="13360"/>
    <cellStyle name="_Книга22_Дайджест 2003-2004 гг._Формы для ОЭМК (к отправке)_index" xfId="13361"/>
    <cellStyle name="_Книга22_Дайджест 2003-2004 гг._Формы для ОЭМК (к отправке)_Верх НА" xfId="13362"/>
    <cellStyle name="_Книга22_Дайджест 2003-2004 гг._Формы для ОЭМК (к отправке)_Книга2" xfId="13363"/>
    <cellStyle name="_Книга22_Дайджест 2003-2004 гг._Формы для ОЭМК (к отправке)_Копия Динамика цен (УС ) 2006-2009 сверен 30.01.09" xfId="13364"/>
    <cellStyle name="_Книга22_Дайджест 2003-2004 гг._Формы для ОЭМК (к отправке)_Копия Потребность взаиморасч  от 28 02 2008 (2)" xfId="13365"/>
    <cellStyle name="_Книга22_Дайджест 2003-2004 гг._Формы для ОЭМК (к отправке)_Налог на прибыль" xfId="13366"/>
    <cellStyle name="_Книга22_Дайджест 2003-2004 гг._Формы для ОЭМК (к отправке)_Налоги А.А. Богоцкому 2005-2009" xfId="13367"/>
    <cellStyle name="_Книга22_Дайджест 2003-2004 гг._Формы для ОЭМК (к отправке)_Налоги к плану на 2009 год (ДЗ и КЗ)" xfId="13368"/>
    <cellStyle name="_Книга22_Дайджест 2003-2004 гг._Формы для ОЭМК (к отправке)_Налоги к плану на февраль 2009 года" xfId="13369"/>
    <cellStyle name="_Книга22_Дайджест 2003-2004 гг._Формы для ОЭМК (к отправке)_Обжиговая" xfId="13370"/>
    <cellStyle name="_Книга22_Дайджест 2003-2004 гг._Формы для ОЭМК (к отправке)_Отчет за сентябрь_11_ДСМ" xfId="13371"/>
    <cellStyle name="_Книга22_Дайджест 2003-2004 гг._Формы для ОЭМК (к отправке)_Стан 150" xfId="13372"/>
    <cellStyle name="_Книга22_Дайджест 2003-2004 гг._Формы для ОЭМК (к отправке)_Ф20 от налоговой" xfId="13373"/>
    <cellStyle name="_Книга22_Дайджест 2003-2004 гг._Формы для ОЭМК (к отправке)_фIIIкв Комплект ОЭМК (1-12,18,22) 28.10.08" xfId="13374"/>
    <cellStyle name="_Книга22_Дайджест 2003-2004 гг._Формы для ОЭМК (к отправке)_Форма №19" xfId="13375"/>
    <cellStyle name="_Книга22_Дайджест 2003-2004 гг._Формы для ОЭМК (к отправке)_Форма №24" xfId="13376"/>
    <cellStyle name="_Книга22_Дайджест 2003-2004 гг._Формы для ОЭМК (к отправке)_Форма№13 (новая от 28 12 09г) февраль версия № и последняя" xfId="13377"/>
    <cellStyle name="_Книга22_Дайджест 2003-2004 гг._Формы для ОЭМК (к отправке)_Формы _28-30 (новые)1" xfId="13378"/>
    <cellStyle name="_Книга22_Дайджест 2003-2004 гг._Формы для ОЭМК (к отправке)_Формы 28-30" xfId="13379"/>
    <cellStyle name="_Книга22_Дайджест 2003-2004 гг._Формы для ОЭМК (к отправке)_Формы №28-30 (новые)1" xfId="13380"/>
    <cellStyle name="_Книга22_Дайджест 2003-2004 гг._Формы для ОЭМК (к отправке)_Шаропрокатный" xfId="13381"/>
    <cellStyle name="_Книга22_Дайджест 2003-2004 гг._Формы для ОЭМК (к отправке)_ЭНЦ-1" xfId="13382"/>
    <cellStyle name="_Книга22_Дайджест 2003-2004 гг._Формы общие отчет за год" xfId="13383"/>
    <cellStyle name="_Книга22_Дайджест 2003-2004 гг._Формы общие отчет за год 10" xfId="13384"/>
    <cellStyle name="_Книга22_Дайджест 2003-2004 гг._Формы общие отчет за год 11" xfId="13385"/>
    <cellStyle name="_Книга22_Дайджест 2003-2004 гг._Формы общие отчет за год 12" xfId="13386"/>
    <cellStyle name="_Книга22_Дайджест 2003-2004 гг._Формы общие отчет за год 13" xfId="13387"/>
    <cellStyle name="_Книга22_Дайджест 2003-2004 гг._Формы общие отчет за год 2" xfId="13388"/>
    <cellStyle name="_Книга22_Дайджест 2003-2004 гг._Формы общие отчет за год 3" xfId="13389"/>
    <cellStyle name="_Книга22_Дайджест 2003-2004 гг._Формы общие отчет за год 4" xfId="13390"/>
    <cellStyle name="_Книга22_Дайджест 2003-2004 гг._Формы общие отчет за год 5" xfId="13391"/>
    <cellStyle name="_Книга22_Дайджест 2003-2004 гг._Формы общие отчет за год 6" xfId="13392"/>
    <cellStyle name="_Книга22_Дайджест 2003-2004 гг._Формы общие отчет за год 7" xfId="13393"/>
    <cellStyle name="_Книга22_Дайджест 2003-2004 гг._Формы общие отчет за год 8" xfId="13394"/>
    <cellStyle name="_Книга22_Дайджест 2003-2004 гг._Формы общие отчет за год 9" xfId="13395"/>
    <cellStyle name="_Книга22_Дайджест 2003-2004 гг._Формы общие отчет за год__План по труду 2008 261107 (10% с января)" xfId="13396"/>
    <cellStyle name="_Книга22_Дайджест 2003-2004 гг._Формы общие отчет за год__План по труду 2008 261107 (10% с января) 2" xfId="13397"/>
    <cellStyle name="_Книга22_Дайджест 2003-2004 гг._Формы общие отчет за год__План по труду 2008 261107 (10% с января) 3" xfId="13398"/>
    <cellStyle name="_Книга22_Дайджест 2003-2004 гг._Формы общие отчет за год__План по труду 2008 261107 (10% с января) 4" xfId="13399"/>
    <cellStyle name="_Книга22_Дайджест 2003-2004 гг._Формы общие отчет за год__План по труду 2008 261107 (10% с января) 5" xfId="13400"/>
    <cellStyle name="_Книга22_Дайджест 2003-2004 гг._Формы общие отчет за год__План по труду 2008 261107 (10% с января) 6" xfId="13401"/>
    <cellStyle name="_Книга22_Дайджест 2003-2004 гг._Формы общие отчет за год__План по труду 2008 261107 (10% с января) 7" xfId="13402"/>
    <cellStyle name="_Книга22_Дайджест 2003-2004 гг._Формы общие отчет за год__План по труду 2008 261107 (10% с января) 8" xfId="13403"/>
    <cellStyle name="_Книга22_Дайджест 2003-2004 гг._Формы общие отчет за год__План по труду 2008 261107 (10% с января) 9" xfId="13404"/>
    <cellStyle name="_Книга22_Дайджест 2003-2004 гг._Формы общие отчет за год__План по труду 2008 ИТОГ (правл. ПНР 161007)_" xfId="13405"/>
    <cellStyle name="_Книга22_Дайджест 2003-2004 гг._Формы общие отчет за год__План по труду 2008 ИТОГ (правл. ПНР 161007)_ 2" xfId="13406"/>
    <cellStyle name="_Книга22_Дайджест 2003-2004 гг._Формы общие отчет за год__План по труду 2008 ИТОГ (правл. ПНР 161007)_ 3" xfId="13407"/>
    <cellStyle name="_Книга22_Дайджест 2003-2004 гг._Формы общие отчет за год__План по труду 2008 ИТОГ (правл. ПНР 161007)_ 4" xfId="13408"/>
    <cellStyle name="_Книга22_Дайджест 2003-2004 гг._Формы общие отчет за год__План по труду 2008 ИТОГ (правл. ПНР 161007)_ 5" xfId="13409"/>
    <cellStyle name="_Книга22_Дайджест 2003-2004 гг._Формы общие отчет за год__План по труду 2008 ИТОГ (правл. ПНР 161007)_ 6" xfId="13410"/>
    <cellStyle name="_Книга22_Дайджест 2003-2004 гг._Формы общие отчет за год__План по труду 2008 ИТОГ (правл. ПНР 161007)_ 7" xfId="13411"/>
    <cellStyle name="_Книга22_Дайджест 2003-2004 гг._Формы общие отчет за год__План по труду 2008 ИТОГ (правл. ПНР 161007)_ 8" xfId="13412"/>
    <cellStyle name="_Книга22_Дайджест 2003-2004 гг._Формы общие отчет за год__План по труду 2008 ИТОГ (правл. ПНР 161007)_ 9" xfId="13413"/>
    <cellStyle name="_Книга22_Дайджест 2003-2004 гг._Формы общие отчет за год_2_Инвестпрограмма на 2008 год (КОВАЛЕВ)" xfId="13414"/>
    <cellStyle name="_Книга22_Дайджест 2003-2004 гг._Формы общие отчет за год_Данные для ФОТ на 2008 год" xfId="13415"/>
    <cellStyle name="_Книга22_Дайджест 2003-2004 гг._Формы общие отчет за год_Данные для ФОТ на 2008 год 2" xfId="13416"/>
    <cellStyle name="_Книга22_Дайджест 2003-2004 гг._Формы общие отчет за год_Данные для ФОТ на 2008 год 3" xfId="13417"/>
    <cellStyle name="_Книга22_Дайджест 2003-2004 гг._Формы общие отчет за год_Данные для ФОТ на 2008 год 4" xfId="13418"/>
    <cellStyle name="_Книга22_Дайджест 2003-2004 гг._Формы общие отчет за год_Данные для ФОТ на 2008 год 5" xfId="13419"/>
    <cellStyle name="_Книга22_Дайджест 2003-2004 гг._Формы общие отчет за год_Данные для ФОТ на 2008 год 6" xfId="13420"/>
    <cellStyle name="_Книга22_Дайджест 2003-2004 гг._Формы общие отчет за год_Данные для ФОТ на 2008 год 7" xfId="13421"/>
    <cellStyle name="_Книга22_Дайджест 2003-2004 гг._Формы общие отчет за год_Данные для ФОТ на 2008 год 8" xfId="13422"/>
    <cellStyle name="_Книга22_Дайджест 2003-2004 гг._Формы общие отчет за год_Данные для ФОТ на 2008 год 9" xfId="13423"/>
    <cellStyle name="_Книга22_Дайджест 2003-2004 гг._Формы общие отчет за год_План по труду 2008 ИТОГ (2003_вер)" xfId="13424"/>
    <cellStyle name="_Книга22_Дайджест 2003-2004 гг._Формы общие отчет за год_План по труду 2008 ИТОГ (2003_вер) 2" xfId="13425"/>
    <cellStyle name="_Книга22_Дайджест 2003-2004 гг._Формы общие отчет за год_План по труду 2008 ИТОГ (2003_вер) 3" xfId="13426"/>
    <cellStyle name="_Книга22_Дайджест 2003-2004 гг._Формы общие отчет за год_План по труду 2008 ИТОГ (2003_вер) 4" xfId="13427"/>
    <cellStyle name="_Книга22_Дайджест 2003-2004 гг._Формы общие отчет за год_План по труду 2008 ИТОГ (2003_вер) 5" xfId="13428"/>
    <cellStyle name="_Книга22_Дайджест 2003-2004 гг._Формы общие отчет за год_План по труду 2008 ИТОГ (2003_вер) 6" xfId="13429"/>
    <cellStyle name="_Книга22_Дайджест 2003-2004 гг._Формы общие отчет за год_План по труду 2008 ИТОГ (2003_вер) 7" xfId="13430"/>
    <cellStyle name="_Книга22_Дайджест 2003-2004 гг._Формы общие отчет за год_План по труду 2008 ИТОГ (2003_вер) 8" xfId="13431"/>
    <cellStyle name="_Книга22_Дайджест 2003-2004 гг._Формы общие отчет за год_План по труду 2008 ИТОГ (2003_вер) 9" xfId="13432"/>
    <cellStyle name="_Книга22_Дайджест 2003-2004 гг._Формы общие отчет за год_ТКВ 2008 от 19.07" xfId="13433"/>
    <cellStyle name="_Книга22_Дайджест 2003-2004 гг._Формы общие отчет за год_ТКВ 2008 от 31.07" xfId="13434"/>
    <cellStyle name="_Книга22_Дайджест 2003-2004 гг._Шаропрокатный" xfId="13435"/>
    <cellStyle name="_Книга22_Дайджест 2003-2004 гг._Эконом.показатели за февраль" xfId="13436"/>
    <cellStyle name="_Книга22_Дайджест 2003-2004 гг._Экономические показатели Большаковой" xfId="13437"/>
    <cellStyle name="_Книга22_Дайджест 2003-2004 гг._Экономические показатели Большаковой 2" xfId="13438"/>
    <cellStyle name="_Книга22_Дайджест 2003-2004 гг._Экономические показатели Большаковой 3" xfId="13439"/>
    <cellStyle name="_Книга22_Дайджест 2003-2004 гг._Экономические показатели Большаковой 4" xfId="13440"/>
    <cellStyle name="_Книга22_Дайджест 2003-2004 гг._Экономические показатели Большаковой 5" xfId="13441"/>
    <cellStyle name="_Книга22_Дайджест 2003-2004 гг._Экономические показатели Большаковой 6" xfId="13442"/>
    <cellStyle name="_Книга22_Дайджест 2003-2004 гг._Экономические показатели Большаковой 7" xfId="13443"/>
    <cellStyle name="_Книга22_Дайджест 2003-2004 гг._Экономические показатели Большаковой 8" xfId="13444"/>
    <cellStyle name="_Книга22_Дайджест 2003-2004 гг._Экономические показатели Большаковой 9" xfId="13445"/>
    <cellStyle name="_Книга22_Дайджест 2003-2004 гг._ЭНЦ-1" xfId="13446"/>
    <cellStyle name="_Книга22_Данные для ФОТ на 2008 год" xfId="13447"/>
    <cellStyle name="_Книга22_Данные для ФОТ на 2008 год 2" xfId="13448"/>
    <cellStyle name="_Книга22_Данные для ФОТ на 2008 год 3" xfId="13449"/>
    <cellStyle name="_Книга22_Данные для ФОТ на 2008 год 4" xfId="13450"/>
    <cellStyle name="_Книга22_Данные для ФОТ на 2008 год 5" xfId="13451"/>
    <cellStyle name="_Книга22_Данные для ФОТ на 2008 год 6" xfId="13452"/>
    <cellStyle name="_Книга22_Данные для ФОТ на 2008 год 7" xfId="13453"/>
    <cellStyle name="_Книга22_Данные для ФОТ на 2008 год 8" xfId="13454"/>
    <cellStyle name="_Книга22_Данные для ФОТ на 2008 год 9" xfId="13455"/>
    <cellStyle name="_Книга22_План ДСМ 2 квартал 2009 ОТЧЕТ отп" xfId="13456"/>
    <cellStyle name="_Книга22_План ДСМ 3 квартал 2009 ОТЧЕТ" xfId="13457"/>
    <cellStyle name="_Книга22_План ДСМ 4 квартал 2009 ОТЧЕТ" xfId="13458"/>
    <cellStyle name="_Книга22_План ДСМ на 4 квартал 2006 (последняя версия) 2" xfId="13459"/>
    <cellStyle name="_Книга22_План ДСМ ноябрь 2011 ОТЧЕТ" xfId="13460"/>
    <cellStyle name="_Книга22_План ДСФ 1 квартал 2007" xfId="13461"/>
    <cellStyle name="_Книга22_План ДСФ 2 квартал 2009 ОТЧЕТ отп" xfId="13462"/>
    <cellStyle name="_Книга22_План ДСФ 4 квартал 2009 ОТЧЕТ" xfId="13463"/>
    <cellStyle name="_Книга22_План на 2009 год ДСМ ОТЧЕТ отп (01.12.08)" xfId="13464"/>
    <cellStyle name="_Книга22_План на 2010 год ДСМ ОТЧЕТ" xfId="13465"/>
    <cellStyle name="_Книга22_План по труду 2008 ИТОГ (2003_вер)" xfId="13466"/>
    <cellStyle name="_Книга22_План по труду 2008 ИТОГ (2003_вер) 2" xfId="13467"/>
    <cellStyle name="_Книга22_План по труду 2008 ИТОГ (2003_вер) 3" xfId="13468"/>
    <cellStyle name="_Книга22_План по труду 2008 ИТОГ (2003_вер) 4" xfId="13469"/>
    <cellStyle name="_Книга22_План по труду 2008 ИТОГ (2003_вер) 5" xfId="13470"/>
    <cellStyle name="_Книга22_План по труду 2008 ИТОГ (2003_вер) 6" xfId="13471"/>
    <cellStyle name="_Книга22_План по труду 2008 ИТОГ (2003_вер) 7" xfId="13472"/>
    <cellStyle name="_Книга22_План по труду 2008 ИТОГ (2003_вер) 8" xfId="13473"/>
    <cellStyle name="_Книга22_План по труду 2008 ИТОГ (2003_вер) 9" xfId="13474"/>
    <cellStyle name="_Книга22_ТКВ 2008 от 19.07" xfId="13475"/>
    <cellStyle name="_Книга22_ТКВ 2008 от 31.07" xfId="13476"/>
    <cellStyle name="_Книга22_УралКирпич_план на 2 кв. 2009" xfId="13477"/>
    <cellStyle name="_Книга3" xfId="13478"/>
    <cellStyle name="_Книга3 (2)" xfId="13479"/>
    <cellStyle name="_Книга3 (3)" xfId="13480"/>
    <cellStyle name="_Книга3 (3)_Книга2" xfId="13481"/>
    <cellStyle name="_Книга3 (3)_Конс  ЛГОК БП 2009 от 14 10 08" xfId="13482"/>
    <cellStyle name="_Книга3 (3)_Конс  МГОК БП 2009 от 14 10 08" xfId="13483"/>
    <cellStyle name="_Книга3 (3)_Сравнение ожидаемого 2008 с 2009г  ОЭМК от 06 10 2008" xfId="13484"/>
    <cellStyle name="_Книга3 (3)_Сравнение ожидаемого 2008 УС c 2009г  от 06 10 2008" xfId="13485"/>
    <cellStyle name="_Книга3_New Form10_2" xfId="13486"/>
    <cellStyle name="_Книга3_Nsi" xfId="13487"/>
    <cellStyle name="_Книга3_Nsi_1" xfId="13488"/>
    <cellStyle name="_Книга3_Nsi_139" xfId="13489"/>
    <cellStyle name="_Книга3_Nsi_140" xfId="13490"/>
    <cellStyle name="_Книга3_Nsi_140(Зах)" xfId="13491"/>
    <cellStyle name="_Книга3_Nsi_140_mod" xfId="13492"/>
    <cellStyle name="_Книга3_Summary" xfId="13493"/>
    <cellStyle name="_Книга3_Tax_form_1кв_3" xfId="13494"/>
    <cellStyle name="_Книга3_БКЭ" xfId="13495"/>
    <cellStyle name="_Книга3_Движение ТМЦ за декабрь 2009 г  (ФАКТ) сокр 22-01 (86 842)" xfId="13496"/>
    <cellStyle name="_Книга3_Движение ТМЦ за ноябрь 2009 г  (ФАКТ) сокращ 22-11" xfId="13497"/>
    <cellStyle name="_Книга3_Движение ТМЦ за октябрь 2009 г  (ФАКТ) сокращ 26-11" xfId="13498"/>
    <cellStyle name="_Книга3_Движение ТМЦ за октябрь 2009 г  (ФАКТ) сокращ все 24-11" xfId="13499"/>
    <cellStyle name="_Книга3_Движение ТМЦ запчастей и оборудования  за август 2009 г  (ФАКТ) от Собкив" xfId="13500"/>
    <cellStyle name="_Книга3_Книга17" xfId="13501"/>
    <cellStyle name="_Книга3_Книга2" xfId="13502"/>
    <cellStyle name="_Книга3_Копия Ф-13 Октябрь 2009 План (30 09 09) (2) (4)" xfId="13503"/>
    <cellStyle name="_Книга3_План ф 13 на январь 2010 (05 01 2010)" xfId="13504"/>
    <cellStyle name="_Книга3_Ф 13" xfId="13505"/>
    <cellStyle name="_Книга3_Ф-13 Октябрь 2009 План (30 09 09)" xfId="13506"/>
    <cellStyle name="_Книга3_Ф13 План" xfId="13507"/>
    <cellStyle name="_Книга3_Форма 13 ПЛАН Декабрь 2009 (сокращ) 08-12" xfId="13508"/>
    <cellStyle name="_Книга3_Форма 13 ПЛАН январь 2010 12-01 сокращ (ТЗР СВС)" xfId="13509"/>
    <cellStyle name="_Книга3_Форма 13 ПЛАН январь 2010 24-12 сокращ" xfId="13510"/>
    <cellStyle name="_Книга3_Форма -13 Расчетная поставка декабрь 2009 30-11" xfId="13511"/>
    <cellStyle name="_Книга3_Форма 13 Сентябрь (факт)" xfId="13512"/>
    <cellStyle name="_Книга4" xfId="13513"/>
    <cellStyle name="_Книга4_a1" xfId="13514"/>
    <cellStyle name="_Книга5" xfId="13515"/>
    <cellStyle name="_Книга6" xfId="13516"/>
    <cellStyle name="_Книга6_Движение ТМЦ за декабрь 2009 г  (ФАКТ) сокр 22-01 (86 842)" xfId="13517"/>
    <cellStyle name="_Книга6_Движение ТМЦ за ноябрь 2009 г  (ФАКТ) сокращ 22-11" xfId="13518"/>
    <cellStyle name="_Книга6_Движение ТМЦ за октябрь 2009 г  (ФАКТ) сокращ 26-11" xfId="13519"/>
    <cellStyle name="_Книга6_Движение ТМЦ за октябрь 2009 г  (ФАКТ) сокращ все 24-11" xfId="13520"/>
    <cellStyle name="_Книга6_Движение ТМЦ запчастей и оборудования  за август 2009 г  (ФАКТ) от Собкив" xfId="13521"/>
    <cellStyle name="_Книга6_Книга17" xfId="13522"/>
    <cellStyle name="_Книга6_Книга2" xfId="13523"/>
    <cellStyle name="_Книга6_Книга2__10 план 2011 (13 12 10)покварт_значения" xfId="13524"/>
    <cellStyle name="_Книга6_Копия Ф-13 Октябрь 2009 План (30 09 09) (2) (4)" xfId="13525"/>
    <cellStyle name="_Книга6_План ф 13 на январь 2010 (05 01 2010)" xfId="13526"/>
    <cellStyle name="_Книга6_Ф 13" xfId="13527"/>
    <cellStyle name="_Книга6_Ф-13 Октябрь 2009 План (30 09 09)" xfId="13528"/>
    <cellStyle name="_Книга6_Ф13 План" xfId="13529"/>
    <cellStyle name="_Книга6_Форма 13 ПЛАН Декабрь 2009 (сокращ) 08-12" xfId="13530"/>
    <cellStyle name="_Книга6_Форма 13 ПЛАН январь 2010 12-01 сокращ (ТЗР СВС)" xfId="13531"/>
    <cellStyle name="_Книга6_Форма 13 ПЛАН январь 2010 24-12 сокращ" xfId="13532"/>
    <cellStyle name="_Книга6_Форма -13 Расчетная поставка декабрь 2009 30-11" xfId="13533"/>
    <cellStyle name="_Книга6_Форма 13 Сентябрь (факт)" xfId="13534"/>
    <cellStyle name="_Книга7" xfId="13535"/>
    <cellStyle name="_Книга7_New Form10_2" xfId="13536"/>
    <cellStyle name="_Книга7_Nsi" xfId="13537"/>
    <cellStyle name="_Книга7_Nsi_1" xfId="13538"/>
    <cellStyle name="_Книга7_Nsi_139" xfId="13539"/>
    <cellStyle name="_Книга7_Nsi_140" xfId="13540"/>
    <cellStyle name="_Книга7_Nsi_140(Зах)" xfId="13541"/>
    <cellStyle name="_Книга7_Nsi_140_mod" xfId="13542"/>
    <cellStyle name="_Книга7_Summary" xfId="13543"/>
    <cellStyle name="_Книга7_Tax_form_1кв_3" xfId="13544"/>
    <cellStyle name="_Книга7_БКЭ" xfId="13545"/>
    <cellStyle name="_Комплект документов - план на 2007 год - фин.часть 8.12.06 (укороч.)" xfId="13546"/>
    <cellStyle name="_Комплект УС план 4 кв. 18.10.06" xfId="13547"/>
    <cellStyle name="_Комплектация ремонтов" xfId="13548"/>
    <cellStyle name="_Комплектация ремонтов 08.04.05" xfId="13549"/>
    <cellStyle name="_Комплектация ремонтов 15.04.2005" xfId="13550"/>
    <cellStyle name="_Комплектация ремонтов 25.03.05" xfId="13551"/>
    <cellStyle name="_Комплектация ремонтов марта 01.04.05" xfId="13552"/>
    <cellStyle name="_комплектация форм" xfId="13553"/>
    <cellStyle name="_Конс  ЛГОК БП 2009 для Комбината 07 11 08" xfId="13554"/>
    <cellStyle name="_Конс  план ЛГОК Нояб 08 для Комбината 23 10 08 (2)" xfId="13555"/>
    <cellStyle name="_Копия 4 кв-л ИП (ф.40  20  19 для ФУ) 24 09 07" xfId="13556"/>
    <cellStyle name="_Копия Год.план -Анализ (смета, топливо, эл.эн.)3 квартал 28.06" xfId="13557"/>
    <cellStyle name="_Копия Данные для планирования 2008г " xfId="13558"/>
    <cellStyle name="_Копия ИЮЛЬ  ФАКТ  2007  АНАЛИЗ СЫРЬЯ" xfId="13559"/>
    <cellStyle name="_Копия К оперативке 03.11.2005" xfId="13560"/>
    <cellStyle name="_Копия Копия К оперативке 20 11 2003" xfId="13561"/>
    <cellStyle name="_Копия Остатки на складах(31.01.2004)" xfId="13562"/>
    <cellStyle name="_Копия отчет 4 квартал 20,21" xfId="13563"/>
    <cellStyle name="_Копия сентябрь" xfId="13564"/>
    <cellStyle name="_Копия УМТО №73 от 25.06.2005" xfId="13565"/>
    <cellStyle name="_Копия Фин план  декабря  по статьям затрат от 29 11 06 " xfId="13566"/>
    <cellStyle name="_Копия Форма _22_2 квартал 2009(июнь) (2)" xfId="13567"/>
    <cellStyle name="_Копия Форма №23  2-ое чтение (со СМИ)+" xfId="13568"/>
    <cellStyle name="_Копия Формы  март факт от28.04.08xls" xfId="13569"/>
    <cellStyle name="_Копия ФОРМЫ факт 1 кв  2008г28.04.08." xfId="13570"/>
    <cellStyle name="_Коричневая EBITDA" xfId="13571"/>
    <cellStyle name="_кредитный портфель за  октябрь(факт)  (МИ)" xfId="13572"/>
    <cellStyle name="_кредитный портфель за  октябрь(факт)  (МИ)_Книга2" xfId="13573"/>
    <cellStyle name="_кредитный портфель за  октябрь(факт)  (МИ)_Конс  ЛГОК БП 2009 от 14 10 08" xfId="13574"/>
    <cellStyle name="_кредитный портфель за  октябрь(факт)  (МИ)_Конс  МГОК БП 2009 от 14 10 08" xfId="13575"/>
    <cellStyle name="_кредитный портфель за  октябрь(факт)  (МИ)_Сравнение ожидаемого 2008 с 2009г  ОЭМК от 06 10 2008" xfId="13576"/>
    <cellStyle name="_кредитный портфель за  октябрь(факт)  (МИ)_Сравнение ожидаемого 2008 УС c 2009г  от 06 10 2008" xfId="13577"/>
    <cellStyle name="_кредитный портфель за ноябрь  (МИ)" xfId="13578"/>
    <cellStyle name="_кредитный портфель факт-прогноз за январь (МИ)" xfId="13579"/>
    <cellStyle name="_кредитный портфель факт-прогноз за январь (МИ)_Книга2" xfId="13580"/>
    <cellStyle name="_лизинг" xfId="13581"/>
    <cellStyle name="_Лизинг 2003" xfId="13582"/>
    <cellStyle name="_Лизинг 2003г_2004г" xfId="13583"/>
    <cellStyle name="_Лизинг 2005" xfId="13584"/>
    <cellStyle name="_Лизинг декабрь 2003-2004(ЛГОК)" xfId="13585"/>
    <cellStyle name="_Лист для оперативки №1" xfId="13586"/>
    <cellStyle name="_Лист1" xfId="13587"/>
    <cellStyle name="_Листы для оперативки" xfId="13588"/>
    <cellStyle name="_Листы по неликвидам  на 1 августа" xfId="13589"/>
    <cellStyle name="_Май" xfId="13590"/>
    <cellStyle name="_МАЙ  ФАКТ ПРОГНОЗ 2007  АНАЛИЗ СЫРЬЯ" xfId="13591"/>
    <cellStyle name="_МАРТ     2010 ГОД   ФАКТ   АНАЛИЗ СЫРЬЯ  " xfId="13592"/>
    <cellStyle name="_МАРТ   2008  ФАКТ    АНАЛИЗ СЫРЬЯ" xfId="13593"/>
    <cellStyle name="_МАРТ  ФАКТ  2007  АНАЛИЗ СЫРЬЯ" xfId="13594"/>
    <cellStyle name="_Март 2010  ф 2,10 план 24 02 10" xfId="13595"/>
    <cellStyle name="_Март формы N2,10 план 20 02 09" xfId="13596"/>
    <cellStyle name="_Месячные планы ОЭМК" xfId="13597"/>
    <cellStyle name="_Месячные формы по сбыту" xfId="13598"/>
    <cellStyle name="_Мод 4 кв 2008" xfId="13599"/>
    <cellStyle name="_Мод 4 кв 2008_Книга2" xfId="13600"/>
    <cellStyle name="_МОИ формы (2)" xfId="13601"/>
    <cellStyle name="_МОИ формы (2)_исходные_291107" xfId="13602"/>
    <cellStyle name="_МОИ формы (2)_Лист1" xfId="13603"/>
    <cellStyle name="_МОИ формы (2)_Лист2" xfId="13604"/>
    <cellStyle name="_МОИ формы (2)_Лист3" xfId="13605"/>
    <cellStyle name="_Москва ф4" xfId="13606"/>
    <cellStyle name="_Налоги к плану на февраль 2009 года" xfId="13607"/>
    <cellStyle name="_Наполучено 19.06." xfId="13608"/>
    <cellStyle name="_Нел-ды 12_08_2004" xfId="13609"/>
    <cellStyle name="_НЕЛИКВИДЫ" xfId="13610"/>
    <cellStyle name="_Неликвиды (оперативка) 10_09_04" xfId="13611"/>
    <cellStyle name="_Неликвиды 09_10_04" xfId="13612"/>
    <cellStyle name="_Неликвиды в оперативку 13_11" xfId="13613"/>
    <cellStyle name="_неликвиды в оперативку 16_10_2004" xfId="13614"/>
    <cellStyle name="_Неликвиды в оперативку 20_11" xfId="13615"/>
    <cellStyle name="_Неликвиды на 1 сентября" xfId="13616"/>
    <cellStyle name="_Неликвиды на оперативку 06_11" xfId="13617"/>
    <cellStyle name="_Неликвиды попозиционно 04_09" xfId="13618"/>
    <cellStyle name="_Неликвиды с номенклатурой" xfId="13619"/>
    <cellStyle name="_НЕЛИКВИДЫ СВОД" xfId="13620"/>
    <cellStyle name="_Неликвиды со структурой на 16_09_04" xfId="13621"/>
    <cellStyle name="_Неполучено 02.07.04" xfId="13622"/>
    <cellStyle name="_Неполучено 08.07.04" xfId="13623"/>
    <cellStyle name="_Неполучено 12.06.04" xfId="13624"/>
    <cellStyle name="_Неполучено 17.06.04" xfId="13625"/>
    <cellStyle name="_Неполучено 17.07.04г." xfId="13626"/>
    <cellStyle name="_Неполучено 22.07.04г." xfId="13627"/>
    <cellStyle name="_Неполучено 26.02.04г." xfId="13628"/>
    <cellStyle name="_Неполучено 26.06.04г." xfId="13629"/>
    <cellStyle name="_Неполучено 27.05" xfId="13630"/>
    <cellStyle name="_Неполучено 30.06.04" xfId="13631"/>
    <cellStyle name="_Неполучено 31.07.04" xfId="13632"/>
    <cellStyle name="_Неполучено 31.07.04г." xfId="13633"/>
    <cellStyle name="_Неполучено 31.08.04г." xfId="13634"/>
    <cellStyle name="_Неполучено на 18.09.04" xfId="13635"/>
    <cellStyle name="_Неполучено на 18.09.04 след" xfId="13636"/>
    <cellStyle name="_Неполучено ОГШО 25.08.04г." xfId="13637"/>
    <cellStyle name="_Нов.форма  (план 4 кв.06)" xfId="13638"/>
    <cellStyle name="_НОВЫЕ ФОРМЫ   факт 4 квартал" xfId="13639"/>
    <cellStyle name="_новые формы  БП(3квартал07)18.06" xfId="13640"/>
    <cellStyle name="_новые формы  БП(3квартал07)22.061" xfId="13641"/>
    <cellStyle name="_новые формы  БП(3квартал07)без св" xfId="13642"/>
    <cellStyle name="_новые формы (4квартал07план)(13.09)" xfId="13643"/>
    <cellStyle name="_новые формы (4квартал07план)(14.09)без связей" xfId="13644"/>
    <cellStyle name="_новые формы (4квартал07план)без связей" xfId="13645"/>
    <cellStyle name="_Новые формы Дивизиона_3 кв_send (без дивидендов)" xfId="13646"/>
    <cellStyle name="_Новые формы Дивизиона_3кв.2007" xfId="13647"/>
    <cellStyle name="_новые формы(17 10)(без связей)" xfId="13648"/>
    <cellStyle name="_новые формы(БП 2008)(11.12)безсв" xfId="13649"/>
    <cellStyle name="_новые формы(БП 2008)(11.12)безсв - ПБУ" xfId="13650"/>
    <cellStyle name="_новые формы(БП 2008)(24.12)без св" xfId="13651"/>
    <cellStyle name="_новые формы(БП 2008)(7.12)2" xfId="13652"/>
    <cellStyle name="_новые формы(БП 2008)(7.12)без св" xfId="13653"/>
    <cellStyle name="_новые формы(БП 2008)(9.11) - Плановый отдел" xfId="13654"/>
    <cellStyle name="_Новый анализ" xfId="13655"/>
    <cellStyle name="_Новый ФП_май" xfId="13656"/>
    <cellStyle name="_Ноябрь" xfId="13657"/>
    <cellStyle name="_НОЯБРЬ     2009 ГОД   ФАКТ   АНАЛИЗ СЫРЬЯ  " xfId="13658"/>
    <cellStyle name="_НОЯБРЬ  ФАКТ  2007  АНАЛИЗ СЫРЬЯ" xfId="13659"/>
    <cellStyle name="_НОЯБРЬ  ФАКТ 2006  АНАЛИЗ СЫРЬЯ" xfId="13660"/>
    <cellStyle name="_ноябрь 2007 факт ф20" xfId="13661"/>
    <cellStyle name="_ноябрь Форма №13" xfId="13662"/>
    <cellStyle name="_Оборотный капитал план 2-е полугодие 2006 г. 25.08.06" xfId="13663"/>
    <cellStyle name="_Образец оперативки" xfId="13664"/>
    <cellStyle name="_Ожид. 2 кв. по новой форме" xfId="13665"/>
    <cellStyle name="_Ожид. 2 кв. по новой форме_исходные_291107" xfId="13666"/>
    <cellStyle name="_Ожид. 2 кв. по новой форме_Лист1" xfId="13667"/>
    <cellStyle name="_Ожид. 2 кв. по новой форме_Лист2" xfId="13668"/>
    <cellStyle name="_Ожид. 2 кв. по новой форме_Лист3" xfId="13669"/>
    <cellStyle name="_ожид2006 год 12.09.06" xfId="13670"/>
    <cellStyle name="_Ожидаемое выполнение апреля ОПРиС" xfId="13671"/>
    <cellStyle name="_ОК" xfId="13672"/>
    <cellStyle name="_ОК на  2007 г. ( I-IX факт, X-XI план )" xfId="13673"/>
    <cellStyle name="_ОК на  2007 г. (I II III-факт) без связей" xfId="13674"/>
    <cellStyle name="_ОК на  2007 г. (VI факт)" xfId="13675"/>
    <cellStyle name="_Окончател. 2 вар. отчет 4 кв. 2006" xfId="13676"/>
    <cellStyle name="_ОКТЯБРТ   2008  ФАКТ    АНАЛИЗ СЫРЬЯ" xfId="13677"/>
    <cellStyle name="_ОКТЯБРЬ     2009 ГОД   ФАКТ   АНАЛИЗ СЫРЬЯ  " xfId="13678"/>
    <cellStyle name="_ОПЕР" xfId="13679"/>
    <cellStyle name="_Опер  день филиал МИ-С г Старый Оскол 28 03 08" xfId="13680"/>
    <cellStyle name="_Оперативка 12.02.2004" xfId="13681"/>
    <cellStyle name="_Оперативка нед.-сут. на 13.01.2005" xfId="13682"/>
    <cellStyle name="_Оперативка нед.-сут. на 16.12.2004" xfId="13683"/>
    <cellStyle name="_ОПЕРАТИВНЫЙ НОЯБРЬ" xfId="13684"/>
    <cellStyle name="_ОПЕРАТИВНЫЙ НОЯБРЬ_Книга2" xfId="13685"/>
    <cellStyle name="_ОПЕРАТИВНЫЙ ОКТЯБРЬ" xfId="13686"/>
    <cellStyle name="_ОПЕРАТИВНЫЙ ОКТЯБРЬ_Книга2" xfId="13687"/>
    <cellStyle name="_орошение отходящих газов" xfId="13688"/>
    <cellStyle name="_Основные Формы ГОК" xfId="13689"/>
    <cellStyle name="_Основные Формы ГОК_1 кв" xfId="13690"/>
    <cellStyle name="_Основные Формы ГОК_1 кв_исходные_291107" xfId="13691"/>
    <cellStyle name="_Основные Формы ГОК_1 кв_Лист1" xfId="13692"/>
    <cellStyle name="_Основные Формы ГОК_1 кв_Лист2" xfId="13693"/>
    <cellStyle name="_Основные Формы ГОК_1 кв_Лист3" xfId="13694"/>
    <cellStyle name="_Основные Формы ГОК_исходные_291107" xfId="13695"/>
    <cellStyle name="_Основные Формы ГОК_Лист1" xfId="13696"/>
    <cellStyle name="_Основные Формы ГОК_Лист2" xfId="13697"/>
    <cellStyle name="_Основные Формы ГОК_Лист3" xfId="13698"/>
    <cellStyle name="_Особоучитываемые технологические материалы" xfId="13699"/>
    <cellStyle name="_Остатки" xfId="13700"/>
    <cellStyle name="_ОСТАТКИ (без движения 01.06.2005) на 09-23-2005" xfId="13701"/>
    <cellStyle name="_ОСТАТКИ (без движения 01.07.2005) на 10-28-2005" xfId="13702"/>
    <cellStyle name="_остатки 08.12" xfId="13703"/>
    <cellStyle name="_остатки 09.12" xfId="13704"/>
    <cellStyle name="_остатки 10 12" xfId="13705"/>
    <cellStyle name="_Остатки 31 12 2003" xfId="13706"/>
    <cellStyle name="_Остатки 31.03.04г" xfId="13707"/>
    <cellStyle name="_остатки на 06.12" xfId="13708"/>
    <cellStyle name="_Остатки на складах(текущие)" xfId="13709"/>
    <cellStyle name="_Остатки на складах(текущие)1" xfId="13710"/>
    <cellStyle name="_Остатки на складах(текущие)2" xfId="13711"/>
    <cellStyle name="_Остатки ОАО &quot;ЛГОК&quot;" xfId="13712"/>
    <cellStyle name="_Остатки ОАО &quot;ЛГОК&quot; " xfId="13713"/>
    <cellStyle name="_Остатки оборудования на 05.02.2004" xfId="13714"/>
    <cellStyle name="_Остатки оборудования на 07.02.2004" xfId="13715"/>
    <cellStyle name="_Остатки оборудования на 22.01.2004" xfId="13716"/>
    <cellStyle name="_Остатки оборудования на 27.02.2004" xfId="13717"/>
    <cellStyle name="_Остатки оборудования на 28.01.2004" xfId="13718"/>
    <cellStyle name="_Остатки оборудования на 31.01.2004" xfId="13719"/>
    <cellStyle name="_Остатки план 4кв." xfId="13720"/>
    <cellStyle name="_Остатки по Неликвидам (План-факт на 19 мая)" xfId="13721"/>
    <cellStyle name="_Остатки по ст.затр." xfId="13722"/>
    <cellStyle name="_Остатки по статьям" xfId="13723"/>
    <cellStyle name="_остатки подразд" xfId="13724"/>
    <cellStyle name="_Остатки с периодом вовл ОФ" xfId="13725"/>
    <cellStyle name="_Остатки текущие Новейшие с 13.05.04г." xfId="13726"/>
    <cellStyle name="_остаток" xfId="13727"/>
    <cellStyle name="_Остаток на 400 складе(16.10.2004-22.10.2004)" xfId="13728"/>
    <cellStyle name="_Отгрузка 2007 в анализ ПО ФОРМЕ 2" xfId="13729"/>
    <cellStyle name="_Отклонения 2008 к ф 11" xfId="13730"/>
    <cellStyle name="_ОТМ получено 24.08.04" xfId="13731"/>
    <cellStyle name="_Отчет I кв.2007 г. (форма 11)" xfId="13732"/>
    <cellStyle name="_Отчет I кв.2007 г. (форма 11)02.052" xfId="13733"/>
    <cellStyle name="_Отчет за 2 кв.2007 ч.1(1-25)" xfId="13734"/>
    <cellStyle name="_Отчет за 2008г." xfId="13735"/>
    <cellStyle name="_Отчет за 4 квартал 2007 г.(1-12)" xfId="13736"/>
    <cellStyle name="_Отчет за I кв.2007 ч.1 (с1-13)" xfId="13737"/>
    <cellStyle name="_Отчет за декабрь 2007" xfId="13738"/>
    <cellStyle name="_Отчет за июль 2007 (с 1-24)" xfId="13739"/>
    <cellStyle name="_Отчет за июнь 2007" xfId="13740"/>
    <cellStyle name="_Отчет за июнь 2008г.(ф 1-14)" xfId="13741"/>
    <cellStyle name="_Отчет за ноябрь 2007 (с 1-22)" xfId="13742"/>
    <cellStyle name="_Отчет за январь 2008" xfId="13743"/>
    <cellStyle name="_Отчет за январь 2008(1-19)" xfId="13744"/>
    <cellStyle name="_Отчет о выполнении Консолидированного плана реализации ЛГОК_февраль 2010" xfId="13745"/>
    <cellStyle name="_Отчёт ОО от 28 08 2004" xfId="13746"/>
    <cellStyle name="_Отчет по депозитам 2008" xfId="13747"/>
    <cellStyle name="_отчет по лим" xfId="13748"/>
    <cellStyle name="_отчет по лим_111" xfId="13749"/>
    <cellStyle name="_отчет по лим_Д-К ДЕКАБРЯ К ВИДЕОКОНФ  11_01_06____2" xfId="13750"/>
    <cellStyle name="_отчет по лим_Д-К МАРТА К ВИДЕОКОНФ  12_04_06_ред_4" xfId="13751"/>
    <cellStyle name="_отчет по лим_Д-К МАЯ  к видеоконференции 08_06_05" xfId="13752"/>
    <cellStyle name="_отчет по лим_Д-К НОЯБРЯ К ВИДЕОКОНФ  09_12_05_1___ок_1" xfId="13753"/>
    <cellStyle name="_отчет по лим_Д-К ФЕВРАЛЯ К ВИДЕОКОНФ  13_03_06_3" xfId="13754"/>
    <cellStyle name="_отчет по лим_Д-К ФЕВРАЛЯ К ВИДЕОКОНФ  13_03_06_31" xfId="13755"/>
    <cellStyle name="_отчет по лим_Д-К ЯНВАРЯ К ВИДЕОКОНФ  09_02_06_13_3" xfId="13756"/>
    <cellStyle name="_отчет по лим_план 3 кв" xfId="13757"/>
    <cellStyle name="_отчет по лим_план 4 кв" xfId="13758"/>
    <cellStyle name="_отчет по лим_план_2_кв_2006_внутренний" xfId="13759"/>
    <cellStyle name="_Отчёт по остаткам ОГШО 25 08 2004" xfId="13760"/>
    <cellStyle name="_ОТЧЕТ по ОТДЕЛАМ (суббота) г" xfId="13761"/>
    <cellStyle name="_отчет по платежам" xfId="13762"/>
    <cellStyle name="_отчет по платежам_111" xfId="13763"/>
    <cellStyle name="_отчет по платежам_Д-К ДЕКАБРЯ К ВИДЕОКОНФ  11_01_06____2" xfId="13764"/>
    <cellStyle name="_отчет по платежам_Д-К МАРТА К ВИДЕОКОНФ  12_04_06_ред_4" xfId="13765"/>
    <cellStyle name="_отчет по платежам_Д-К МАЯ  к видеоконференции 08_06_05" xfId="13766"/>
    <cellStyle name="_отчет по платежам_Д-К НОЯБРЯ К ВИДЕОКОНФ  09_12_05_1___ок_1" xfId="13767"/>
    <cellStyle name="_отчет по платежам_Д-К ФЕВРАЛЯ К ВИДЕОКОНФ  13_03_06_3" xfId="13768"/>
    <cellStyle name="_отчет по платежам_Д-К ФЕВРАЛЯ К ВИДЕОКОНФ  13_03_06_31" xfId="13769"/>
    <cellStyle name="_отчет по платежам_Д-К ЯНВАРЯ К ВИДЕОКОНФ  09_02_06_13_3" xfId="13770"/>
    <cellStyle name="_отчет по платежам_план 3 кв" xfId="13771"/>
    <cellStyle name="_отчет по платежам_план 4 кв" xfId="13772"/>
    <cellStyle name="_отчет по платежам_план_2_кв_2006_внутренний" xfId="13773"/>
    <cellStyle name="_Отчет_1  2006-send" xfId="13774"/>
    <cellStyle name="_Отчет_1  2006-send new" xfId="13775"/>
    <cellStyle name="_Отчет_1  2006-send new 2" xfId="13776"/>
    <cellStyle name="_Отчет_1  2006-send new_БП Урал Кирпич 28 01 2008г" xfId="13777"/>
    <cellStyle name="_Отчет_1  2006-send new_БП_план на 1 кв. 2008г." xfId="13778"/>
    <cellStyle name="_Отчет_1  2006-send new_БП_план на 2 кв. 2008г." xfId="13779"/>
    <cellStyle name="_Отчет_1  2006-send new_Книга2" xfId="13780"/>
    <cellStyle name="_Отчет_1  2006-send new_Конс  ЛГОК БП 2009 от 14 10 08" xfId="13781"/>
    <cellStyle name="_Отчет_1  2006-send new_Конс  МГОК БП 2009 от 14 10 08" xfId="13782"/>
    <cellStyle name="_Отчет_1  2006-send new_План ДСМ 2 квартал 2009 ОТЧЕТ отп" xfId="13783"/>
    <cellStyle name="_Отчет_1  2006-send new_План ДСМ 3 квартал 2009 ОТЧЕТ" xfId="13784"/>
    <cellStyle name="_Отчет_1  2006-send new_План ДСМ 4 квартал 2009 ОТЧЕТ" xfId="13785"/>
    <cellStyle name="_Отчет_1  2006-send new_План ДСМ на 4 квартал 2006 (последняя версия) 2" xfId="13786"/>
    <cellStyle name="_Отчет_1  2006-send new_План ДСМ ноябрь 2011 ОТЧЕТ" xfId="13787"/>
    <cellStyle name="_Отчет_1  2006-send new_План ДСФ 1 квартал 2007" xfId="13788"/>
    <cellStyle name="_Отчет_1  2006-send new_План ДСФ 2 квартал 2009 ОТЧЕТ отп" xfId="13789"/>
    <cellStyle name="_Отчет_1  2006-send new_План ДСФ 4 квартал 2009 ОТЧЕТ" xfId="13790"/>
    <cellStyle name="_Отчет_1  2006-send new_План на 2009 год ДСМ ОТЧЕТ отп (01.12.08)" xfId="13791"/>
    <cellStyle name="_Отчет_1  2006-send new_План на 2010 год ДСМ ОТЧЕТ" xfId="13792"/>
    <cellStyle name="_Отчет_1  2006-send new_Сравнение ожидаемого 2008 с 2009г  ОЭМК от 06 10 2008" xfId="13793"/>
    <cellStyle name="_Отчет_1  2006-send new_Сравнение ожидаемого 2008 УС c 2009г  от 06 10 2008" xfId="13794"/>
    <cellStyle name="_Отчет_1  2006-send new_УралКирпич_план на 2 кв. 2009" xfId="13795"/>
    <cellStyle name="_Отчет_1  2006-send_Книга2" xfId="13796"/>
    <cellStyle name="_Отчет_1 кв 2006_1" xfId="13797"/>
    <cellStyle name="_Отчет_1 кв 2006_1_Книга2" xfId="13798"/>
    <cellStyle name="_Отчет_2 кв 2006" xfId="13799"/>
    <cellStyle name="_Отчет_2 кв 2006_Книга2" xfId="13800"/>
    <cellStyle name="_ОЭМК" xfId="13801"/>
    <cellStyle name="_пл 02 2009 акционеры СВОД 09.02.2009" xfId="13802"/>
    <cellStyle name="_пл IVкв комплект МГОК 06.10.06 " xfId="13803"/>
    <cellStyle name="_пл2007 Распределение ОЭМК 27.01.07" xfId="13804"/>
    <cellStyle name="_пл2007 фин.часть 18.12.06" xfId="13805"/>
    <cellStyle name="_пл4 кв БП ОЭМК 16.10.06" xfId="13806"/>
    <cellStyle name="_пл4к БП ОЭМК 04.10.06-my" xfId="13807"/>
    <cellStyle name="_пл4к Ф10 ОЭМК 05.10.06" xfId="13808"/>
    <cellStyle name="_пл4к Ф19 ОЭМК 06.10.06" xfId="13809"/>
    <cellStyle name="_плIIкв 2007 Сходимость ОЭМК от Моисеевой В" xfId="13810"/>
    <cellStyle name="_плIVк Комплект УС 05.10.06" xfId="13811"/>
    <cellStyle name="_плIVк Комплект УС 17.10.06" xfId="13812"/>
    <cellStyle name="_плIVк Комплект УС 19.10.06" xfId="13813"/>
    <cellStyle name="_План 2007-для отправки" xfId="13814"/>
    <cellStyle name="_план 3 кв" xfId="13815"/>
    <cellStyle name="_План 3кв07 от 18 06 07" xfId="13816"/>
    <cellStyle name="_план 4 кв" xfId="13817"/>
    <cellStyle name="_план август ЛГОК 01082007 Горшкова" xfId="13818"/>
    <cellStyle name="_План на 2008 г 29.10.07." xfId="13819"/>
    <cellStyle name="_План на июнь_send 07.06.07" xfId="13820"/>
    <cellStyle name="_План по неликвидам 15.07.04г." xfId="13821"/>
    <cellStyle name="_План по неликвидам МАЗУР" xfId="13822"/>
    <cellStyle name="_План поступлений  на  2007 г (Форма № 11)(04 12 06)" xfId="13823"/>
    <cellStyle name="_План поступлений  на  2007 г (Форма № 11)(14 12 06)" xfId="13824"/>
    <cellStyle name="_План поступлений II кв. 2007 г.(форма 11)" xfId="13825"/>
    <cellStyle name="_План расчётов с УС  на Февраль 28 01 08" xfId="13826"/>
    <cellStyle name="_План реализации ОЭМК - февраль 2009 (на подпись) 04.02.09" xfId="13827"/>
    <cellStyle name="_План реализации УС (на подпись) февраль 2009 04.02.2009" xfId="13828"/>
    <cellStyle name="_План РФ на 2006 (с разбивкой по статьям,месяцам)" xfId="13829"/>
    <cellStyle name="_план_2_кв_2006_внутренний" xfId="13830"/>
    <cellStyle name="_План_2008г._БДР" xfId="13831"/>
    <cellStyle name="_План_2008г._БДР_отпр.13.12.2007_19-40" xfId="13832"/>
    <cellStyle name="_Планирование февраля" xfId="13833"/>
    <cellStyle name="_Планирование января 09.01" xfId="13834"/>
    <cellStyle name="_Планирование января 10.01" xfId="13835"/>
    <cellStyle name="_План-факт 1 кв. по новой форме" xfId="13836"/>
    <cellStyle name="_План-факт 1 кв. по новой форме_исходные_291107" xfId="13837"/>
    <cellStyle name="_План-факт 1 кв. по новой форме_Лист1" xfId="13838"/>
    <cellStyle name="_План-факт 1 кв. по новой форме_Лист2" xfId="13839"/>
    <cellStyle name="_План-факт 1 кв. по новой форме_Лист3" xfId="13840"/>
    <cellStyle name="_ПОКАЗАТЕЛИ_NEW 16.12.08" xfId="13841"/>
    <cellStyle name="_ПОКАЗАТЕЛИ_NEW 16.12.08 2" xfId="13842"/>
    <cellStyle name="_ПОКАЗАТЕЛИ_NEW 16.12.08 3" xfId="13843"/>
    <cellStyle name="_ПОКАЗАТЕЛИ_NEW 16.12.08 4" xfId="13844"/>
    <cellStyle name="_ПОКАЗАТЕЛИ_NEW 16.12.08 5" xfId="13845"/>
    <cellStyle name="_ПОКАЗАТЕЛИ_NEW 16.12.08 6" xfId="13846"/>
    <cellStyle name="_ПОКАЗАТЕЛИ_NEW 16.12.08 7" xfId="13847"/>
    <cellStyle name="_ПОКАЗАТЕЛИ_NEW 16.12.08 8" xfId="13848"/>
    <cellStyle name="_ПОКАЗАТЕЛИ_NEW 16.12.08 9" xfId="13849"/>
    <cellStyle name="_ПОКАЗАТЕЛИ_NEW 16.12.08_!Сводный комплект форм (Февраль план) 04.02.10" xfId="13850"/>
    <cellStyle name="_полный пакет (скорректированный план на 4 квартал 2006 г)14.10.06" xfId="13851"/>
    <cellStyle name="_Полуавтомат круглошлифовальный для ЗуТЭС_ИК_самый последний и правильный_ДТЭК_(мое)" xfId="13852"/>
    <cellStyle name="_попытка лимита" xfId="13853"/>
    <cellStyle name="_Последнее от 5 окт" xfId="13854"/>
    <cellStyle name="_Последнее от 5 окт_Книга2" xfId="13855"/>
    <cellStyle name="_Поставка_ТМЦ_ремонты" xfId="13856"/>
    <cellStyle name="_Поставка_ТМЦ_ремонты_Ноябрь" xfId="13857"/>
    <cellStyle name="_Поставка_ТМЦ_ремонты_Сентябрь" xfId="13858"/>
    <cellStyle name="_Поступление и отпуск" xfId="13859"/>
    <cellStyle name="_поясн. инвестиции" xfId="13860"/>
    <cellStyle name="_пр I кв 2008 форма презентации 04.04.08" xfId="13861"/>
    <cellStyle name="_пр2006 Комплект ОЭМК 13.02.07 (рабочая)" xfId="13862"/>
    <cellStyle name="_пр2006 Комплект ОЭМК 13.02.07 (рабочая)_Книга2" xfId="13863"/>
    <cellStyle name="_пр2006 формы(19-30) 14.02.07" xfId="13864"/>
    <cellStyle name="_пр2006 формы(19-30) 14.02.07_Книга2" xfId="13865"/>
    <cellStyle name="_Пр-во и отгрузка за 1 квартал" xfId="13866"/>
    <cellStyle name="_Презентационный БДР_21 02 2008" xfId="13867"/>
    <cellStyle name="_Презентационный материал" xfId="13868"/>
    <cellStyle name="_Презентационный материал 2 кв_план" xfId="13869"/>
    <cellStyle name="_Презентация 2007 пл-ож 17.12" xfId="13870"/>
    <cellStyle name="_Презентация август 07 факт" xfId="13871"/>
    <cellStyle name="_Приложение  N5 к приказу ОГЭ" xfId="13872"/>
    <cellStyle name="_Приложение 2 - Инвестиционная программа УК СС" xfId="13873"/>
    <cellStyle name="_Приложение 2 - Инвестиционная программа УК СС_БП Урал Кирпич 28 01 2008г" xfId="13874"/>
    <cellStyle name="_Приложение 2 - Инвестиционная программа УК СС_БП_план на 1 кв. 2008г." xfId="13875"/>
    <cellStyle name="_Приложение 2 - Инвестиционная программа УК СС_БП_план на 2 кв. 2008г." xfId="13876"/>
    <cellStyle name="_Приложение 5  (март 2008)" xfId="13877"/>
    <cellStyle name="_Приложение №1 мероприятий" xfId="13878"/>
    <cellStyle name="_Приложение к форме 10 (1)" xfId="13879"/>
    <cellStyle name="_Приложение к форме 10 (1)_Книга2" xfId="13880"/>
    <cellStyle name="_Приложение к форме 10 (1)_Конс  ЛГОК БП 2009 от 14 10 08" xfId="13881"/>
    <cellStyle name="_Приложение к форме 10 (1)_Конс  МГОК БП 2009 от 14 10 08" xfId="13882"/>
    <cellStyle name="_Приложение к форме 10 (1)_Сравнение ожидаемого 2008 с 2009г  ОЭМК от 06 10 2008" xfId="13883"/>
    <cellStyle name="_Приложение к форме 10 (1)_Сравнение ожидаемого 2008 УС c 2009г  от 06 10 2008" xfId="13884"/>
    <cellStyle name="_Приложения (формы отчетности)" xfId="13885"/>
    <cellStyle name="_приложения 1 и 2" xfId="13886"/>
    <cellStyle name="_Приложения 1 квартал" xfId="13887"/>
    <cellStyle name="_Приложения 2 квартал" xfId="13888"/>
    <cellStyle name="_Приложения 2007" xfId="13889"/>
    <cellStyle name="_Приложения 2007_Книга2" xfId="13890"/>
    <cellStyle name="_Приложения 2-го квартала 07" xfId="13891"/>
    <cellStyle name="_Приложения 3 кв (ФП-КП)" xfId="13892"/>
    <cellStyle name="_Приложения 3 квартал 16 июня" xfId="13893"/>
    <cellStyle name="_Приложения апрель" xfId="13894"/>
    <cellStyle name="_Приложения апрель 07" xfId="13895"/>
    <cellStyle name="_Приложения ко 2 с 1 от 15 апреля" xfId="13896"/>
    <cellStyle name="_Приложения ко 2 с 1 от 15 апреля 2" xfId="13897"/>
    <cellStyle name="_Приложения ко 2 с 1 от 15 апреля_БП Урал Кирпич 28 01 2008г" xfId="13898"/>
    <cellStyle name="_Приложения ко 2 с 1 от 15 апреля_БП Урал Кирпич 28 01 2008г_Отчет за сентябрь_11_ДСМ_ОТЧЕТ" xfId="13899"/>
    <cellStyle name="_Приложения ко 2 с 1 от 15 апреля_БП Урал Кирпич 28 01 2008г_План ДСМ ноябрь 2011 ОТЧЕТ" xfId="13900"/>
    <cellStyle name="_Приложения ко 2 с 1 от 15 апреля_БП_план на 1 кв. 2008г." xfId="13901"/>
    <cellStyle name="_Приложения ко 2 с 1 от 15 апреля_БП_план на 1 кв. 2008г._Отчет за сентябрь_11_ДСМ_ОТЧЕТ" xfId="13902"/>
    <cellStyle name="_Приложения ко 2 с 1 от 15 апреля_БП_план на 1 кв. 2008г._План ДСМ ноябрь 2011 ОТЧЕТ" xfId="13903"/>
    <cellStyle name="_Приложения ко 2 с 1 от 15 апреля_БП_план на 2 кв. 2008г." xfId="13904"/>
    <cellStyle name="_Приложения ко 2 с 1 от 15 апреля_БП_план на 2 кв. 2008г._Отчет за сентябрь_11_ДСМ_ОТЧЕТ" xfId="13905"/>
    <cellStyle name="_Приложения ко 2 с 1 от 15 апреля_БП_план на 2 кв. 2008г._План ДСМ ноябрь 2011 ОТЧЕТ" xfId="13906"/>
    <cellStyle name="_Приложения ко 2 с 1 от 15 апреля_исходные_291107" xfId="13907"/>
    <cellStyle name="_Приложения ко 2 с 1 от 15 апреля_Лист1" xfId="13908"/>
    <cellStyle name="_Приложения ко 2 с 1 от 15 апреля_Лист2" xfId="13909"/>
    <cellStyle name="_Приложения ко 2 с 1 от 15 апреля_Лист3" xfId="13910"/>
    <cellStyle name="_Приложения ко 2 с 1 от 15 апреля_План ДСМ 2 квартал 2009 ОТЧЕТ отп" xfId="13911"/>
    <cellStyle name="_Приложения ко 2 с 1 от 15 апреля_План ДСМ 2 квартал 2009 ОТЧЕТ отп_Отчет за сентябрь_11_ДСМ_ОТЧЕТ" xfId="13912"/>
    <cellStyle name="_Приложения ко 2 с 1 от 15 апреля_План ДСМ 2 квартал 2009 ОТЧЕТ отп_План ДСМ ноябрь 2011 ОТЧЕТ" xfId="13913"/>
    <cellStyle name="_Приложения ко 2 с 1 от 15 апреля_План ДСМ 3 квартал 2009 ОТЧЕТ" xfId="13914"/>
    <cellStyle name="_Приложения ко 2 с 1 от 15 апреля_План ДСМ 3 квартал 2009 ОТЧЕТ_Отчет за сентябрь_11_ДСМ_ОТЧЕТ" xfId="13915"/>
    <cellStyle name="_Приложения ко 2 с 1 от 15 апреля_План ДСМ 3 квартал 2009 ОТЧЕТ_План ДСМ ноябрь 2011 ОТЧЕТ" xfId="13916"/>
    <cellStyle name="_Приложения ко 2 с 1 от 15 апреля_План ДСМ 4 квартал 2009 ОТЧЕТ" xfId="13917"/>
    <cellStyle name="_Приложения ко 2 с 1 от 15 апреля_План ДСМ на 4 квартал 2006 (последняя версия) 2" xfId="13918"/>
    <cellStyle name="_Приложения ко 2 с 1 от 15 апреля_План ДСМ на 4 квартал 2006 (последняя версия) 2_Отчет за сентябрь_11_ДСМ_ОТЧЕТ" xfId="13919"/>
    <cellStyle name="_Приложения ко 2 с 1 от 15 апреля_План ДСМ на 4 квартал 2006 (последняя версия) 2_План ДСМ ноябрь 2011 ОТЧЕТ" xfId="13920"/>
    <cellStyle name="_Приложения ко 2 с 1 от 15 апреля_План ДСМ ноябрь 2011 ОТЧЕТ" xfId="13921"/>
    <cellStyle name="_Приложения ко 2 с 1 от 15 апреля_План ДСФ 1 квартал 2007" xfId="13922"/>
    <cellStyle name="_Приложения ко 2 с 1 от 15 апреля_План ДСФ 1 квартал 2007_Отчет за сентябрь_11_ДСМ_ОТЧЕТ" xfId="13923"/>
    <cellStyle name="_Приложения ко 2 с 1 от 15 апреля_План ДСФ 1 квартал 2007_План ДСМ ноябрь 2011 ОТЧЕТ" xfId="13924"/>
    <cellStyle name="_Приложения ко 2 с 1 от 15 апреля_План ДСФ 2 квартал 2009 ОТЧЕТ отп" xfId="13925"/>
    <cellStyle name="_Приложения ко 2 с 1 от 15 апреля_План ДСФ 2 квартал 2009 ОТЧЕТ отп_Отчет за сентябрь_11_ДСМ_ОТЧЕТ" xfId="13926"/>
    <cellStyle name="_Приложения ко 2 с 1 от 15 апреля_План ДСФ 2 квартал 2009 ОТЧЕТ отп_План ДСМ ноябрь 2011 ОТЧЕТ" xfId="13927"/>
    <cellStyle name="_Приложения ко 2 с 1 от 15 апреля_План ДСФ 4 квартал 2009 ОТЧЕТ" xfId="13928"/>
    <cellStyle name="_Приложения ко 2 с 1 от 15 апреля_План на 2009 год ДСМ ОТЧЕТ отп (01.12.08)" xfId="13929"/>
    <cellStyle name="_Приложения ко 2 с 1 от 15 апреля_План на 2009 год ДСМ ОТЧЕТ отп (01.12.08)_Отчет за сентябрь_11_ДСМ_ОТЧЕТ" xfId="13930"/>
    <cellStyle name="_Приложения ко 2 с 1 от 15 апреля_План на 2009 год ДСМ ОТЧЕТ отп (01.12.08)_План ДСМ ноябрь 2011 ОТЧЕТ" xfId="13931"/>
    <cellStyle name="_Приложения ко 2 с 1 от 15 апреля_План на 2010 год ДСМ ОТЧЕТ" xfId="13932"/>
    <cellStyle name="_Приложения ко 2 с 1 от 15 апреля_УралКирпич_план на 2 кв. 2009" xfId="13933"/>
    <cellStyle name="_Приложения ко 2 с 1 от 15 апреля_УралКирпич_план на 2 кв. 2009_Отчет за сентябрь_11_ДСМ_ОТЧЕТ" xfId="13934"/>
    <cellStyle name="_Приложения ко 2 с 1 от 15 апреля_УралКирпич_план на 2 кв. 2009_План ДСМ ноябрь 2011 ОТЧЕТ" xfId="13935"/>
    <cellStyle name="_Приложения ко 2 с 1 от 15 апреля_ф2 склад ГП" xfId="13936"/>
    <cellStyle name="_Приложения КП-Факт" xfId="13937"/>
    <cellStyle name="_Приложения КП-Факт (1)" xfId="13938"/>
    <cellStyle name="_Приложения Май (КП-факт) часть2" xfId="13939"/>
    <cellStyle name="_Приложения март07 (с поправкой на дивиденды)" xfId="13940"/>
    <cellStyle name="_Приложения февраль 07 (нов)" xfId="13941"/>
    <cellStyle name="_Приложения Февраль факт (10)" xfId="13942"/>
    <cellStyle name="_Прицепить к БДРу" xfId="13943"/>
    <cellStyle name="_Прогноз по остаткам" xfId="13944"/>
    <cellStyle name="_Программа развития МГОКа на 21.06.07 по формам ЛГОКа" xfId="13945"/>
    <cellStyle name="_Разделительная ведомость ОЭМК МИС от 26_04_2007" xfId="13946"/>
    <cellStyle name="_Распределение прибыли КАТЕ" xfId="13947"/>
    <cellStyle name="_РЕЕСТ НА ФЕВРАЛЬ (1)" xfId="13948"/>
    <cellStyle name="_РЕЕСТР МАЯ 1" xfId="13949"/>
    <cellStyle name="_ремонты в оперативку" xfId="13950"/>
    <cellStyle name="_ремонты к оперативке 04.12.2004" xfId="13951"/>
    <cellStyle name="_Ремонты на 18.12.2004" xfId="13952"/>
    <cellStyle name="_Рентабельность отгрузки 3 вар" xfId="13953"/>
    <cellStyle name="_Рент-ть ЛГОК 1 кв.07 факт 26.04.07" xfId="13954"/>
    <cellStyle name="_РК июль, август 2007" xfId="13955"/>
    <cellStyle name="_РК июнь, июль 2007" xfId="13956"/>
    <cellStyle name="_РК июнь, июль 2007 ПОСЛЕДНИЙ" xfId="13957"/>
    <cellStyle name="_РК октябрь,ноябрь 2007 (version 1)" xfId="13958"/>
    <cellStyle name="_РК сентябрь, октябрь 2007" xfId="13959"/>
    <cellStyle name="_РК сентябрь, октябрь 2007_ПОСЛЕДНИЙ" xfId="13960"/>
    <cellStyle name="_РК-июль" xfId="13961"/>
    <cellStyle name="_РК-июль ПОСЛЕДНИЙ" xfId="13962"/>
    <cellStyle name="_Сверка неполученных ТМЦ на 31.05.04" xfId="13963"/>
    <cellStyle name="_Свод производства 1 квартал" xfId="13964"/>
    <cellStyle name="_Сводный" xfId="13965"/>
    <cellStyle name="_Сводный отчет" xfId="13966"/>
    <cellStyle name="_Сводный отчет 2" xfId="13967"/>
    <cellStyle name="_Сводный отчет 3" xfId="13968"/>
    <cellStyle name="_Сводный отчет 4" xfId="13969"/>
    <cellStyle name="_Сводный отчет 5" xfId="13970"/>
    <cellStyle name="_Сводный отчет 6" xfId="13971"/>
    <cellStyle name="_Сводный отчет 7" xfId="13972"/>
    <cellStyle name="_Сводный отчет 8" xfId="13973"/>
    <cellStyle name="_Сводный отчет 9" xfId="13974"/>
    <cellStyle name="_Сводный отчет_13,14,28-30" xfId="13975"/>
    <cellStyle name="_Сводный отчет_19" xfId="13976"/>
    <cellStyle name="_Сводный отчет_26-30" xfId="13977"/>
    <cellStyle name="_Сводный отчет_28" xfId="13978"/>
    <cellStyle name="_Сводный отчет_3 квартал" xfId="13979"/>
    <cellStyle name="_Сводный отчет_3 квартал 2" xfId="13980"/>
    <cellStyle name="_Сводный отчет_index" xfId="13981"/>
    <cellStyle name="_Сводный отчет_БП Урал Кирпич 28 01 2008г" xfId="13982"/>
    <cellStyle name="_Сводный отчет_БП Урал Кирпич 28 01 2008г_ф2 склад гп" xfId="13983"/>
    <cellStyle name="_Сводный отчет_БП_план на 1 кв. 2008г." xfId="13984"/>
    <cellStyle name="_Сводный отчет_БП_план на 2 кв. 2008г." xfId="13985"/>
    <cellStyle name="_Сводный отчет_Верх НА" xfId="13986"/>
    <cellStyle name="_Сводный отчет_Выручка февраля 09 от 22 01 09 (1)" xfId="13987"/>
    <cellStyle name="_Сводный отчет_Запчасти май-апрель (12)" xfId="13988"/>
    <cellStyle name="_Сводный отчет_Калькуляции ДСМ" xfId="13989"/>
    <cellStyle name="_Сводный отчет_Книга2" xfId="13990"/>
    <cellStyle name="_Сводный отчет_Книга2_Динамика объемов производства и отгрузки 2009-2012" xfId="13991"/>
    <cellStyle name="_Сводный отчет_Конс  ЛГОК БП 2009 от 14 10 08" xfId="13992"/>
    <cellStyle name="_Сводный отчет_Конс  МГОК БП 2009 от 14 10 08" xfId="13993"/>
    <cellStyle name="_Сводный отчет_Копия Динамика цен (УС ) 2006-2009 сверен 30.01.09" xfId="13994"/>
    <cellStyle name="_Сводный отчет_Копия Потребность взаиморасч  от 28 02 2008 (2)" xfId="13995"/>
    <cellStyle name="_Сводный отчет_МИТ_РК и ДП за апрель" xfId="13996"/>
    <cellStyle name="_Сводный отчет_МИТ_РК и ДП за апрель_Отчет за сентябрь_11_ДСМ" xfId="13997"/>
    <cellStyle name="_Сводный отчет_Налог на прибыль" xfId="13998"/>
    <cellStyle name="_Сводный отчет_Налоги А.А. Богоцкому 2005-2009" xfId="13999"/>
    <cellStyle name="_Сводный отчет_Налоги к плану на 2009 год (ДЗ и КЗ)" xfId="14000"/>
    <cellStyle name="_Сводный отчет_Налоги к плану на февраль 2009 года" xfId="14001"/>
    <cellStyle name="_Сводный отчет_Обжиговая" xfId="14002"/>
    <cellStyle name="_Сводный отчет_Отчет за 1 кв_08_ДСМ ОТЧЕТ_10.07" xfId="14003"/>
    <cellStyle name="_Сводный отчет_Отчет за 1 кв_08_ДСМ ОТЧЕТ_10.07_Отчет за 2 кв_10_ДСM ОТЧЕТ" xfId="14004"/>
    <cellStyle name="_Сводный отчет_Отчет за 1 кв_08_ДСМ ОТЧЕТ_10.07_Отчет за 2 кв_10_ДСМ_1" xfId="14005"/>
    <cellStyle name="_Сводный отчет_Отчет за сентябрь_11_ДСМ_ОТЧЕТ" xfId="14006"/>
    <cellStyle name="_Сводный отчет_План ДСМ 2 квартал 2009 ОТЧЕТ отп" xfId="14007"/>
    <cellStyle name="_Сводный отчет_План ДСМ на 4 квартал 2006 (последняя версия) 2" xfId="14008"/>
    <cellStyle name="_Сводный отчет_План ДСМ на 4 квартал 2006 (последняя версия) 2_Ожидаемый факт 4 кв., год-1" xfId="14009"/>
    <cellStyle name="_Сводный отчет_План ДСМ на 4 квартал 2006 (последняя версия) 2_План ДСМ 4 квартал 2009 ОТЧЕТ" xfId="14010"/>
    <cellStyle name="_Сводный отчет_План ДСМ на 4 квартал 2006 (последняя версия) 2_План на 2009 год ДСМ_9_без разбивки по мес, изм уплаты НП" xfId="14011"/>
    <cellStyle name="_Сводный отчет_План ДСМ на 4 квартал 2006 (последняя версия) 2_План на 2010 год ДСМ" xfId="14012"/>
    <cellStyle name="_Сводный отчет_План ДСМ ноябрь 2011 ОТЧЕТ" xfId="14013"/>
    <cellStyle name="_Сводный отчет_План ДСФ 1 квартал 2007" xfId="14014"/>
    <cellStyle name="_Сводный отчет_План ДСФ 1 квартал 2007_План ДСМ 2 квартал 2009 ОТЧЕТ отп" xfId="14015"/>
    <cellStyle name="_Сводный отчет_План ДСФ 1 квартал 2007_План ДСМ 2 квартал 2009 ОТЧЕТ отп_ф2 склад гп" xfId="14016"/>
    <cellStyle name="_Сводный отчет_План ДСФ 1 квартал 2007_План ДСМ 3 квартал 2008_1" xfId="14017"/>
    <cellStyle name="_Сводный отчет_План ДСФ 1 квартал 2007_План ДСМ 3 квартал 2009 ОТЧЕТ" xfId="14018"/>
    <cellStyle name="_Сводный отчет_План ДСФ 1 квартал 2007_План ДСМ 3 квартал 2009 ОТЧЕТ отп" xfId="14019"/>
    <cellStyle name="_Сводный отчет_План ДСФ 1 квартал 2007_План ДСМ 3 квартал 2010_1" xfId="14020"/>
    <cellStyle name="_Сводный отчет_План ДСФ 1 квартал 2007_План ДСФ 4 квартал 2009 ОТЧЕТ" xfId="14021"/>
    <cellStyle name="_Сводный отчет_План ДСФ 1 квартал 2007_План на 2010 год ДСМ ОТЧЕТ" xfId="14022"/>
    <cellStyle name="_Сводный отчет_План ДСФ 2 квартал 2009 ОТЧЕТ отп" xfId="14023"/>
    <cellStyle name="_Сводный отчет_План ДСФ 2 квартал 2009 ОТЧЕТ отп_ф2 склад гп" xfId="14024"/>
    <cellStyle name="_Сводный отчет_План на 2009 год ДСФ" xfId="14025"/>
    <cellStyle name="_Сводный отчет_План на 2010 год ДСЩ ОТЧЕТ" xfId="14026"/>
    <cellStyle name="_Сводный отчет_Сравнение ожидаемого 2008 с 2009г  ОЭМК от 06 10 2008" xfId="14027"/>
    <cellStyle name="_Сводный отчет_Сравнение ожидаемого 2008 УС c 2009г  от 06 10 2008" xfId="14028"/>
    <cellStyle name="_Сводный отчет_Стан 150" xfId="14029"/>
    <cellStyle name="_Сводный отчет_титульный лист" xfId="14030"/>
    <cellStyle name="_Сводный отчет_УК отчет за 3 кв. 2009_29_10" xfId="14031"/>
    <cellStyle name="_Сводный отчет_УК отчет за май 2009" xfId="14032"/>
    <cellStyle name="_Сводный отчет_УралКирпич_план на 2 кв. 2009" xfId="14033"/>
    <cellStyle name="_Сводный отчет_УралКирпич_план на 2 кв. 2009_ф2 склад гп" xfId="14034"/>
    <cellStyle name="_Сводный отчет_ф 6рем пс(ноябрь) (2)" xfId="14035"/>
    <cellStyle name="_Сводный отчет_ф2 склад ГП" xfId="14036"/>
    <cellStyle name="_Сводный отчет_Ф20 от налоговой" xfId="14037"/>
    <cellStyle name="_Сводный отчет_ф6 сентябрь с запчастями (3)" xfId="14038"/>
    <cellStyle name="_Сводный отчет_фIIIкв Комплект ОЭМК (1-12,18,22) 28.10.08" xfId="14039"/>
    <cellStyle name="_Сводный отчет_Форма №13" xfId="14040"/>
    <cellStyle name="_Сводный отчет_Форма №19" xfId="14041"/>
    <cellStyle name="_Сводный отчет_Форма №24" xfId="14042"/>
    <cellStyle name="_Сводный отчет_Форма№13 (новая от 28 12 09г) февраль версия № и последняя" xfId="14043"/>
    <cellStyle name="_Сводный отчет_Формы _28-30 (новые)1" xfId="14044"/>
    <cellStyle name="_Сводный отчет_Формы 28-30" xfId="14045"/>
    <cellStyle name="_Сводный отчет_Формы №28-30 (новые)1" xfId="14046"/>
    <cellStyle name="_Сводный отчет_Шаропрокатный" xfId="14047"/>
    <cellStyle name="_Сводный отчет_ЭНЦ-1" xfId="14048"/>
    <cellStyle name="_сводный титул 2004г_18.12" xfId="14049"/>
    <cellStyle name="_сводный титул 2004г_18.12 2" xfId="14050"/>
    <cellStyle name="_сводный титул 2004г_18.12_БП Урал Кирпич 28 01 2008г" xfId="14051"/>
    <cellStyle name="_сводный титул 2004г_18.12_БП Урал Кирпич 28 01 2008г_Отчет за сентябрь_11_ДСМ_ОТЧЕТ" xfId="14052"/>
    <cellStyle name="_сводный титул 2004г_18.12_БП Урал Кирпич 28 01 2008г_План ДСМ ноябрь 2011 ОТЧЕТ" xfId="14053"/>
    <cellStyle name="_сводный титул 2004г_18.12_БП_план на 1 кв. 2008г." xfId="14054"/>
    <cellStyle name="_сводный титул 2004г_18.12_БП_план на 1 кв. 2008г._Отчет за сентябрь_11_ДСМ_ОТЧЕТ" xfId="14055"/>
    <cellStyle name="_сводный титул 2004г_18.12_БП_план на 1 кв. 2008г._План ДСМ ноябрь 2011 ОТЧЕТ" xfId="14056"/>
    <cellStyle name="_сводный титул 2004г_18.12_БП_план на 2 кв. 2008г." xfId="14057"/>
    <cellStyle name="_сводный титул 2004г_18.12_БП_план на 2 кв. 2008г._Отчет за сентябрь_11_ДСМ_ОТЧЕТ" xfId="14058"/>
    <cellStyle name="_сводный титул 2004г_18.12_БП_план на 2 кв. 2008г._План ДСМ ноябрь 2011 ОТЧЕТ" xfId="14059"/>
    <cellStyle name="_сводный титул 2004г_18.12_Дайджеёт 2003-2004 гг._№13, №14" xfId="14060"/>
    <cellStyle name="_сводный титул 2004г_18.12_Дайджест 2003-2004 гг." xfId="14061"/>
    <cellStyle name="_сводный титул 2004г_18.12_Дайджест 2003-2004 гг. 10" xfId="14062"/>
    <cellStyle name="_сводный титул 2004г_18.12_Дайджест 2003-2004 гг. 11" xfId="14063"/>
    <cellStyle name="_сводный титул 2004г_18.12_Дайджест 2003-2004 гг. 12" xfId="14064"/>
    <cellStyle name="_сводный титул 2004г_18.12_Дайджест 2003-2004 гг. 13" xfId="14065"/>
    <cellStyle name="_сводный титул 2004г_18.12_Дайджест 2003-2004 гг. 2" xfId="14066"/>
    <cellStyle name="_сводный титул 2004г_18.12_Дайджест 2003-2004 гг. 3" xfId="14067"/>
    <cellStyle name="_сводный титул 2004г_18.12_Дайджест 2003-2004 гг. 4" xfId="14068"/>
    <cellStyle name="_сводный титул 2004г_18.12_Дайджест 2003-2004 гг. 5" xfId="14069"/>
    <cellStyle name="_сводный титул 2004г_18.12_Дайджест 2003-2004 гг. 6" xfId="14070"/>
    <cellStyle name="_сводный титул 2004г_18.12_Дайджест 2003-2004 гг. 7" xfId="14071"/>
    <cellStyle name="_сводный титул 2004г_18.12_Дайджест 2003-2004 гг. 8" xfId="14072"/>
    <cellStyle name="_сводный титул 2004г_18.12_Дайджест 2003-2004 гг. 9" xfId="14073"/>
    <cellStyle name="_сводный титул 2004г_18.12_Дайджест 2003-2004 гг._! Металлургический дивизион для рассылки" xfId="14074"/>
    <cellStyle name="_сводный титул 2004г_18.12_Дайджест 2003-2004 гг._01.04.06-01.10.06 Распред. ср-в ЛГОК 20.10.06" xfId="14075"/>
    <cellStyle name="_сводный титул 2004г_18.12_Дайджест 2003-2004 гг._01.04.06-01.10.06 Распред. ср-в ЛГОК 20.10.06 2" xfId="14076"/>
    <cellStyle name="_сводный титул 2004г_18.12_Дайджест 2003-2004 гг._01.04.06-01.10.06 Распред. ср-в ЛГОК 20.10.06 3" xfId="14077"/>
    <cellStyle name="_сводный титул 2004г_18.12_Дайджест 2003-2004 гг._01.04.06-01.10.06 Распред. ср-в ЛГОК 20.10.06 4" xfId="14078"/>
    <cellStyle name="_сводный титул 2004г_18.12_Дайджест 2003-2004 гг._01.04.06-01.10.06 Распред. ср-в ЛГОК 20.10.06 5" xfId="14079"/>
    <cellStyle name="_сводный титул 2004г_18.12_Дайджест 2003-2004 гг._01.04.06-01.10.06 Распред. ср-в ЛГОК 20.10.06 6" xfId="14080"/>
    <cellStyle name="_сводный титул 2004г_18.12_Дайджест 2003-2004 гг._01.04.06-01.10.06 Распред. ср-в ЛГОК 20.10.06 7" xfId="14081"/>
    <cellStyle name="_сводный титул 2004г_18.12_Дайджест 2003-2004 гг._01.04.06-01.10.06 Распред. ср-в ЛГОК 20.10.06 8" xfId="14082"/>
    <cellStyle name="_сводный титул 2004г_18.12_Дайджест 2003-2004 гг._01.04.06-01.10.06 Распред. ср-в ЛГОК 20.10.06 9" xfId="14083"/>
    <cellStyle name="_сводный титул 2004г_18.12_Дайджест 2003-2004 гг._01.04.06-01.10.06 Распред. ср-в ОЭМК 20.10.06" xfId="14084"/>
    <cellStyle name="_сводный титул 2004г_18.12_Дайджест 2003-2004 гг._01.04.06-01.10.06 Распред. ср-в ОЭМК 20.10.06 2" xfId="14085"/>
    <cellStyle name="_сводный титул 2004г_18.12_Дайджест 2003-2004 гг._01.04.06-01.10.06 Распред. ср-в ОЭМК 20.10.06 3" xfId="14086"/>
    <cellStyle name="_сводный титул 2004г_18.12_Дайджест 2003-2004 гг._01.04.06-01.10.06 Распред. ср-в ОЭМК 20.10.06 4" xfId="14087"/>
    <cellStyle name="_сводный титул 2004г_18.12_Дайджест 2003-2004 гг._01.04.06-01.10.06 Распред. ср-в ОЭМК 20.10.06 5" xfId="14088"/>
    <cellStyle name="_сводный титул 2004г_18.12_Дайджест 2003-2004 гг._01.04.06-01.10.06 Распред. ср-в ОЭМК 20.10.06 6" xfId="14089"/>
    <cellStyle name="_сводный титул 2004г_18.12_Дайджест 2003-2004 гг._01.04.06-01.10.06 Распред. ср-в ОЭМК 20.10.06 7" xfId="14090"/>
    <cellStyle name="_сводный титул 2004г_18.12_Дайджест 2003-2004 гг._01.04.06-01.10.06 Распред. ср-в ОЭМК 20.10.06 8" xfId="14091"/>
    <cellStyle name="_сводный титул 2004г_18.12_Дайджест 2003-2004 гг._01.04.06-01.10.06 Распред. ср-в ОЭМК 20.10.06 9" xfId="14092"/>
    <cellStyle name="_сводный титул 2004г_18.12_Дайджест 2003-2004 гг._090129 Погашение и уплата процентов Горшкова М." xfId="14093"/>
    <cellStyle name="_сводный титул 2004г_18.12_Дайджест 2003-2004 гг._1 - 10 декабря" xfId="14094"/>
    <cellStyle name="_сводный титул 2004г_18.12_Дайджест 2003-2004 гг._1-12,13,14 сентября" xfId="14095"/>
    <cellStyle name="_сводный титул 2004г_18.12_Дайджест 2003-2004 гг._2007 + год " xfId="14096"/>
    <cellStyle name="_сводный титул 2004г_18.12_Дайджест 2003-2004 гг._2007 г год план (фин.часть)" xfId="14097"/>
    <cellStyle name="_сводный титул 2004г_18.12_Дайджест 2003-2004 гг._2007 г год план (фин.часть) 2" xfId="14098"/>
    <cellStyle name="_сводный титул 2004г_18.12_Дайджест 2003-2004 гг._2007 г год план (фин.часть) 3" xfId="14099"/>
    <cellStyle name="_сводный титул 2004г_18.12_Дайджест 2003-2004 гг._2007 г год план (фин.часть) 4" xfId="14100"/>
    <cellStyle name="_сводный титул 2004г_18.12_Дайджест 2003-2004 гг._2007 г год план (фин.часть) 5" xfId="14101"/>
    <cellStyle name="_сводный титул 2004г_18.12_Дайджест 2003-2004 гг._2007 г год план (фин.часть) 6" xfId="14102"/>
    <cellStyle name="_сводный титул 2004г_18.12_Дайджест 2003-2004 гг._2007 г год план (фин.часть) 7" xfId="14103"/>
    <cellStyle name="_сводный титул 2004г_18.12_Дайджест 2003-2004 гг._2007 г год план (фин.часть) 8" xfId="14104"/>
    <cellStyle name="_сводный титул 2004г_18.12_Дайджест 2003-2004 гг._2007 г год план (фин.часть) 9" xfId="14105"/>
    <cellStyle name="_сводный титул 2004г_18.12_Дайджест 2003-2004 гг._2007 год " xfId="14106"/>
    <cellStyle name="_сводный титул 2004г_18.12_Дайджест 2003-2004 гг._2007 измен 11.12.06 2 вар " xfId="14107"/>
    <cellStyle name="_сводный титул 2004г_18.12_Дайджест 2003-2004 гг._2009-03-03 План марта рус" xfId="14108"/>
    <cellStyle name="_сводный титул 2004г_18.12_Дайджест 2003-2004 гг._25 разделы баланса раб (21.08.06)" xfId="14109"/>
    <cellStyle name="_сводный титул 2004г_18.12_Дайджест 2003-2004 гг._25 разделы баланса раб (21.08.06) 2" xfId="14110"/>
    <cellStyle name="_сводный титул 2004г_18.12_Дайджест 2003-2004 гг._25 разделы баланса раб (21.08.06) 3" xfId="14111"/>
    <cellStyle name="_сводный титул 2004г_18.12_Дайджест 2003-2004 гг._25 разделы баланса раб (21.08.06) 4" xfId="14112"/>
    <cellStyle name="_сводный титул 2004г_18.12_Дайджест 2003-2004 гг._25 разделы баланса раб (21.08.06) 5" xfId="14113"/>
    <cellStyle name="_сводный титул 2004г_18.12_Дайджест 2003-2004 гг._25 разделы баланса раб (21.08.06) 6" xfId="14114"/>
    <cellStyle name="_сводный титул 2004г_18.12_Дайджест 2003-2004 гг._25 разделы баланса раб (21.08.06) 7" xfId="14115"/>
    <cellStyle name="_сводный титул 2004г_18.12_Дайджест 2003-2004 гг._25 разделы баланса раб (21.08.06) 8" xfId="14116"/>
    <cellStyle name="_сводный титул 2004г_18.12_Дайджест 2003-2004 гг._25 разделы баланса раб (21.08.06) 9" xfId="14117"/>
    <cellStyle name="_сводный титул 2004г_18.12_Дайджест 2003-2004 гг._25.06.07" xfId="14118"/>
    <cellStyle name="_сводный титул 2004г_18.12_Дайджест 2003-2004 гг._25.06.07 2" xfId="14119"/>
    <cellStyle name="_сводный титул 2004г_18.12_Дайджест 2003-2004 гг._25.06.07 3" xfId="14120"/>
    <cellStyle name="_сводный титул 2004г_18.12_Дайджест 2003-2004 гг._25.06.07 4" xfId="14121"/>
    <cellStyle name="_сводный титул 2004г_18.12_Дайджест 2003-2004 гг._25.06.07 5" xfId="14122"/>
    <cellStyle name="_сводный титул 2004г_18.12_Дайджест 2003-2004 гг._25.06.07 6" xfId="14123"/>
    <cellStyle name="_сводный титул 2004г_18.12_Дайджест 2003-2004 гг._25.06.07 7" xfId="14124"/>
    <cellStyle name="_сводный титул 2004г_18.12_Дайджест 2003-2004 гг._25.06.07 8" xfId="14125"/>
    <cellStyle name="_сводный титул 2004г_18.12_Дайджест 2003-2004 гг._25.06.07 9" xfId="14126"/>
    <cellStyle name="_сводный титул 2004г_18.12_Дайджест 2003-2004 гг._28-30 (1)" xfId="14127"/>
    <cellStyle name="_сводный титул 2004г_18.12_Дайджест 2003-2004 гг._28-30 (1) 2" xfId="14128"/>
    <cellStyle name="_сводный титул 2004г_18.12_Дайджест 2003-2004 гг._28-30 (1) 3" xfId="14129"/>
    <cellStyle name="_сводный титул 2004г_18.12_Дайджест 2003-2004 гг._28-30 (1) 4" xfId="14130"/>
    <cellStyle name="_сводный титул 2004г_18.12_Дайджест 2003-2004 гг._28-30 (1) 5" xfId="14131"/>
    <cellStyle name="_сводный титул 2004г_18.12_Дайджест 2003-2004 гг._28-30 (1) 6" xfId="14132"/>
    <cellStyle name="_сводный титул 2004г_18.12_Дайджест 2003-2004 гг._28-30 (1) 7" xfId="14133"/>
    <cellStyle name="_сводный титул 2004г_18.12_Дайджест 2003-2004 гг._28-30 (1) 8" xfId="14134"/>
    <cellStyle name="_сводный титул 2004г_18.12_Дайджест 2003-2004 гг._28-30 (1) 9" xfId="14135"/>
    <cellStyle name="_сводный титул 2004г_18.12_Дайджест 2003-2004 гг._29 форма 12 месяцев" xfId="14136"/>
    <cellStyle name="_сводный титул 2004г_18.12_Дайджест 2003-2004 гг._30" xfId="14137"/>
    <cellStyle name="_сводный титул 2004г_18.12_Дайджест 2003-2004 гг._30 2" xfId="14138"/>
    <cellStyle name="_сводный титул 2004г_18.12_Дайджест 2003-2004 гг._30 3" xfId="14139"/>
    <cellStyle name="_сводный титул 2004г_18.12_Дайджест 2003-2004 гг._30 4" xfId="14140"/>
    <cellStyle name="_сводный титул 2004г_18.12_Дайджест 2003-2004 гг._30 5" xfId="14141"/>
    <cellStyle name="_сводный титул 2004г_18.12_Дайджест 2003-2004 гг._30 6" xfId="14142"/>
    <cellStyle name="_сводный титул 2004г_18.12_Дайджест 2003-2004 гг._30 7" xfId="14143"/>
    <cellStyle name="_сводный титул 2004г_18.12_Дайджест 2003-2004 гг._30 8" xfId="14144"/>
    <cellStyle name="_сводный титул 2004г_18.12_Дайджест 2003-2004 гг._30 9" xfId="14145"/>
    <cellStyle name="_сводный титул 2004г_18.12_Дайджест 2003-2004 гг._30 форма (январьфакт)" xfId="14146"/>
    <cellStyle name="_сводный титул 2004г_18.12_Дайджест 2003-2004 гг._30 форма (январьфакт) 2" xfId="14147"/>
    <cellStyle name="_сводный титул 2004г_18.12_Дайджест 2003-2004 гг._30 форма (январьфакт) 3" xfId="14148"/>
    <cellStyle name="_сводный титул 2004г_18.12_Дайджест 2003-2004 гг._30 форма (январьфакт) 4" xfId="14149"/>
    <cellStyle name="_сводный титул 2004г_18.12_Дайджест 2003-2004 гг._30 форма (январьфакт) 5" xfId="14150"/>
    <cellStyle name="_сводный титул 2004г_18.12_Дайджест 2003-2004 гг._30 форма (январьфакт) 6" xfId="14151"/>
    <cellStyle name="_сводный титул 2004г_18.12_Дайджест 2003-2004 гг._30 форма (январьфакт) 7" xfId="14152"/>
    <cellStyle name="_сводный титул 2004г_18.12_Дайджест 2003-2004 гг._30 форма (январьфакт) 8" xfId="14153"/>
    <cellStyle name="_сводный титул 2004г_18.12_Дайджест 2003-2004 гг._30 форма (январьфакт) 9" xfId="14154"/>
    <cellStyle name="_сводный титул 2004г_18.12_Дайджест 2003-2004 гг._30 форма (январьфакт-мартплан)" xfId="14155"/>
    <cellStyle name="_сводный титул 2004г_18.12_Дайджест 2003-2004 гг._30 форма (январьфакт-мартплан) 2" xfId="14156"/>
    <cellStyle name="_сводный титул 2004г_18.12_Дайджест 2003-2004 гг._30 форма (январьфакт-мартплан) 3" xfId="14157"/>
    <cellStyle name="_сводный титул 2004г_18.12_Дайджест 2003-2004 гг._30 форма (январьфакт-мартплан) 4" xfId="14158"/>
    <cellStyle name="_сводный титул 2004г_18.12_Дайджест 2003-2004 гг._30 форма (январьфакт-мартплан) 5" xfId="14159"/>
    <cellStyle name="_сводный титул 2004г_18.12_Дайджест 2003-2004 гг._30 форма (январьфакт-мартплан) 6" xfId="14160"/>
    <cellStyle name="_сводный титул 2004г_18.12_Дайджест 2003-2004 гг._30 форма (январьфакт-мартплан) 7" xfId="14161"/>
    <cellStyle name="_сводный титул 2004г_18.12_Дайджест 2003-2004 гг._30 форма (январьфакт-мартплан) 8" xfId="14162"/>
    <cellStyle name="_сводный титул 2004г_18.12_Дайджест 2003-2004 гг._30 форма (январьфакт-мартплан) 9" xfId="14163"/>
    <cellStyle name="_сводный титул 2004г_18.12_Дайджест 2003-2004 гг._30 форма с ожидаемым за январь" xfId="14164"/>
    <cellStyle name="_сводный титул 2004г_18.12_Дайджест 2003-2004 гг._30 форма с ожидаемым за январь 2" xfId="14165"/>
    <cellStyle name="_сводный титул 2004г_18.12_Дайджест 2003-2004 гг._30 форма с ожидаемым за январь 3" xfId="14166"/>
    <cellStyle name="_сводный титул 2004г_18.12_Дайджест 2003-2004 гг._30 форма с ожидаемым за январь 4" xfId="14167"/>
    <cellStyle name="_сводный титул 2004г_18.12_Дайджест 2003-2004 гг._30 форма с ожидаемым за январь 5" xfId="14168"/>
    <cellStyle name="_сводный титул 2004г_18.12_Дайджест 2003-2004 гг._30 форма с ожидаемым за январь 6" xfId="14169"/>
    <cellStyle name="_сводный титул 2004г_18.12_Дайджест 2003-2004 гг._30 форма с ожидаемым за январь 7" xfId="14170"/>
    <cellStyle name="_сводный титул 2004г_18.12_Дайджест 2003-2004 гг._30 форма с ожидаемым за январь 8" xfId="14171"/>
    <cellStyle name="_сводный титул 2004г_18.12_Дайджест 2003-2004 гг._30 форма с ожидаемым за январь 9" xfId="14172"/>
    <cellStyle name="_сводный титул 2004г_18.12_Дайджест 2003-2004 гг._30 форма с фактом за декабрь" xfId="14173"/>
    <cellStyle name="_сводный титул 2004г_18.12_Дайджест 2003-2004 гг._30 форма с фактом за декабрь 2" xfId="14174"/>
    <cellStyle name="_сводный титул 2004г_18.12_Дайджест 2003-2004 гг._30 форма с фактом за декабрь 3" xfId="14175"/>
    <cellStyle name="_сводный титул 2004г_18.12_Дайджест 2003-2004 гг._30 форма с фактом за декабрь 4" xfId="14176"/>
    <cellStyle name="_сводный титул 2004г_18.12_Дайджест 2003-2004 гг._30 форма с фактом за декабрь 5" xfId="14177"/>
    <cellStyle name="_сводный титул 2004г_18.12_Дайджест 2003-2004 гг._30 форма с фактом за декабрь 6" xfId="14178"/>
    <cellStyle name="_сводный титул 2004г_18.12_Дайджест 2003-2004 гг._30 форма с фактом за декабрь 7" xfId="14179"/>
    <cellStyle name="_сводный титул 2004г_18.12_Дайджест 2003-2004 гг._30 форма с фактом за декабрь 8" xfId="14180"/>
    <cellStyle name="_сводный титул 2004г_18.12_Дайджест 2003-2004 гг._30 форма с фактом за декабрь 9" xfId="14181"/>
    <cellStyle name="_сводный титул 2004г_18.12_Дайджест 2003-2004 гг._30 форма с фактом за ноябрь" xfId="14182"/>
    <cellStyle name="_сводный титул 2004г_18.12_Дайджест 2003-2004 гг._30 форма с фактом за ноябрь 2" xfId="14183"/>
    <cellStyle name="_сводный титул 2004г_18.12_Дайджест 2003-2004 гг._30 форма с фактом за ноябрь 3" xfId="14184"/>
    <cellStyle name="_сводный титул 2004г_18.12_Дайджест 2003-2004 гг._30 форма с фактом за ноябрь 4" xfId="14185"/>
    <cellStyle name="_сводный титул 2004г_18.12_Дайджест 2003-2004 гг._30 форма с фактом за ноябрь 5" xfId="14186"/>
    <cellStyle name="_сводный титул 2004г_18.12_Дайджест 2003-2004 гг._30 форма с фактом за ноябрь 6" xfId="14187"/>
    <cellStyle name="_сводный титул 2004г_18.12_Дайджест 2003-2004 гг._30 форма с фактом за ноябрь 7" xfId="14188"/>
    <cellStyle name="_сводный титул 2004г_18.12_Дайджест 2003-2004 гг._30 форма с фактом за ноябрь 8" xfId="14189"/>
    <cellStyle name="_сводный титул 2004г_18.12_Дайджест 2003-2004 гг._30 форма с фактом за ноябрь 9" xfId="14190"/>
    <cellStyle name="_сводный титул 2004г_18.12_Дайджест 2003-2004 гг._8" xfId="14191"/>
    <cellStyle name="_сводный титул 2004г_18.12_Дайджест 2003-2004 гг._8_исходные_291107" xfId="14192"/>
    <cellStyle name="_сводный титул 2004г_18.12_Дайджест 2003-2004 гг._8_Лист1" xfId="14193"/>
    <cellStyle name="_сводный титул 2004г_18.12_Дайджест 2003-2004 гг._8_Лист2" xfId="14194"/>
    <cellStyle name="_сводный титул 2004г_18.12_Дайджест 2003-2004 гг._8_Лист3" xfId="14195"/>
    <cellStyle name="_сводный титул 2004г_18.12_Дайджест 2003-2004 гг._8_ф2 склад ГП" xfId="14196"/>
    <cellStyle name="_сводный титул 2004г_18.12_Дайджест 2003-2004 гг._EBITDA_дивизион_12.11.2007" xfId="14197"/>
    <cellStyle name="_сводный титул 2004г_18.12_Дайджест 2003-2004 гг._№13, №14" xfId="14198"/>
    <cellStyle name="_сводный титул 2004г_18.12_Дайджест 2003-2004 гг._№13, №14 02.04.07" xfId="14199"/>
    <cellStyle name="_сводный титул 2004г_18.12_Дайджест 2003-2004 гг._№13, №14 от 15.12.2006" xfId="14200"/>
    <cellStyle name="_сводный титул 2004г_18.12_Дайджест 2003-2004 гг._№13, №14 январь 2007 25.02.07" xfId="14201"/>
    <cellStyle name="_сводный титул 2004г_18.12_Дайджест 2003-2004 гг._№26 измен 03.04.07" xfId="14202"/>
    <cellStyle name="_сводный титул 2004г_18.12_Дайджест 2003-2004 гг._№26 измен 15.12.06 4 вар " xfId="14203"/>
    <cellStyle name="_сводный титул 2004г_18.12_Дайджест 2003-2004 гг._№26, от 25.02.07" xfId="14204"/>
    <cellStyle name="_сводный титул 2004г_18.12_Дайджест 2003-2004 гг._БДР - 2008 год 2-е чтение" xfId="14205"/>
    <cellStyle name="_сводный титул 2004г_18.12_Дайджест 2003-2004 гг._БДР 2 кв  презентационный_24 03 2008_11-45" xfId="14206"/>
    <cellStyle name="_сводный титул 2004г_18.12_Дайджест 2003-2004 гг._БДР 2 кв  презентационный_24 03 2008_15-55" xfId="14207"/>
    <cellStyle name="_сводный титул 2004г_18.12_Дайджест 2003-2004 гг._Больш. 1-8 октября" xfId="14208"/>
    <cellStyle name="_сводный титул 2004г_18.12_Дайджест 2003-2004 гг._БП  07 г. (нов.форма) 2" xfId="14209"/>
    <cellStyle name="_сводный титул 2004г_18.12_Дайджест 2003-2004 гг._БП  07 г. (нов.форма) 2 2" xfId="14210"/>
    <cellStyle name="_сводный титул 2004г_18.12_Дайджест 2003-2004 гг._БП  07 г. (нов.форма) 2 3" xfId="14211"/>
    <cellStyle name="_сводный титул 2004г_18.12_Дайджест 2003-2004 гг._БП  07 г. (нов.форма) 2 4" xfId="14212"/>
    <cellStyle name="_сводный титул 2004г_18.12_Дайджест 2003-2004 гг._БП  07 г. (нов.форма) 2 5" xfId="14213"/>
    <cellStyle name="_сводный титул 2004г_18.12_Дайджест 2003-2004 гг._БП  07 г. (нов.форма) 2 6" xfId="14214"/>
    <cellStyle name="_сводный титул 2004г_18.12_Дайджест 2003-2004 гг._БП  07 г. (нов.форма) 2 7" xfId="14215"/>
    <cellStyle name="_сводный титул 2004г_18.12_Дайджест 2003-2004 гг._БП  07 г. (нов.форма) 2 8" xfId="14216"/>
    <cellStyle name="_сводный титул 2004г_18.12_Дайджест 2003-2004 гг._БП  07 г. (нов.форма) 2 9" xfId="14217"/>
    <cellStyle name="_сводный титул 2004г_18.12_Дайджест 2003-2004 гг._БП Урал Кирпич 28 01 2008г" xfId="14218"/>
    <cellStyle name="_сводный титул 2004г_18.12_Дайджест 2003-2004 гг._БП_план на 1 кв. 2008г." xfId="14219"/>
    <cellStyle name="_сводный титул 2004г_18.12_Дайджест 2003-2004 гг._БП_план на 2 кв. 2008г." xfId="14220"/>
    <cellStyle name="_сводный титул 2004г_18.12_Дайджест 2003-2004 гг._бп2008 презентация 12.11.07" xfId="14221"/>
    <cellStyle name="_сводный титул 2004г_18.12_Дайджест 2003-2004 гг._ДИВИЗИОН Презентация 4 кв. 07 изм отгр" xfId="14222"/>
    <cellStyle name="_сводный титул 2004г_18.12_Дайджест 2003-2004 гг._ДИВИЗИОН Презентация 4 кв. 07 изм отгр 2" xfId="14223"/>
    <cellStyle name="_сводный титул 2004г_18.12_Дайджест 2003-2004 гг._ДИВИЗИОН Презентация 4 кв. 07 изм отгр 3" xfId="14224"/>
    <cellStyle name="_сводный титул 2004г_18.12_Дайджест 2003-2004 гг._ДИВИЗИОН Презентация 4 кв. 07 изм отгр 4" xfId="14225"/>
    <cellStyle name="_сводный титул 2004г_18.12_Дайджест 2003-2004 гг._ДИВИЗИОН Презентация 4 кв. 07 изм отгр 5" xfId="14226"/>
    <cellStyle name="_сводный титул 2004г_18.12_Дайджест 2003-2004 гг._ДИВИЗИОН Презентация 4 кв. 07 изм отгр 6" xfId="14227"/>
    <cellStyle name="_сводный титул 2004г_18.12_Дайджест 2003-2004 гг._ДИВИЗИОН Презентация 4 кв. 07 изм отгр 7" xfId="14228"/>
    <cellStyle name="_сводный титул 2004г_18.12_Дайджест 2003-2004 гг._ДИВИЗИОН Презентация 4 кв. 07 изм отгр 8" xfId="14229"/>
    <cellStyle name="_сводный титул 2004г_18.12_Дайджест 2003-2004 гг._ДИВИЗИОН Презентация 4 кв. 07 изм отгр 9" xfId="14230"/>
    <cellStyle name="_сводный титул 2004г_18.12_Дайджест 2003-2004 гг._ДИВИЗИОН_2008" xfId="14231"/>
    <cellStyle name="_сводный титул 2004г_18.12_Дайджест 2003-2004 гг._Дивизиональная форма БДР_14.12.2007" xfId="14232"/>
    <cellStyle name="_сводный титул 2004г_18.12_Дайджест 2003-2004 гг._Динамика Свод_Бизнес_MGOK 27_07_06" xfId="14233"/>
    <cellStyle name="_сводный титул 2004г_18.12_Дайджест 2003-2004 гг._Ежемесячные формы для ТД на 2004 год (version 1)" xfId="14234"/>
    <cellStyle name="_сводный титул 2004г_18.12_Дайджест 2003-2004 гг._Запрос МИ Менеджмент 18 08 06 (новый формат)" xfId="14235"/>
    <cellStyle name="_сводный титул 2004г_18.12_Дайджест 2003-2004 гг._Запрос МИ Менеджмент 18 08 06 (новый формат) 10" xfId="14236"/>
    <cellStyle name="_сводный титул 2004г_18.12_Дайджест 2003-2004 гг._Запрос МИ Менеджмент 18 08 06 (новый формат) 11" xfId="14237"/>
    <cellStyle name="_сводный титул 2004г_18.12_Дайджест 2003-2004 гг._Запрос МИ Менеджмент 18 08 06 (новый формат) 12" xfId="14238"/>
    <cellStyle name="_сводный титул 2004г_18.12_Дайджест 2003-2004 гг._Запрос МИ Менеджмент 18 08 06 (новый формат) 13" xfId="14239"/>
    <cellStyle name="_сводный титул 2004г_18.12_Дайджест 2003-2004 гг._Запрос МИ Менеджмент 18 08 06 (новый формат) 2" xfId="14240"/>
    <cellStyle name="_сводный титул 2004г_18.12_Дайджест 2003-2004 гг._Запрос МИ Менеджмент 18 08 06 (новый формат) 3" xfId="14241"/>
    <cellStyle name="_сводный титул 2004г_18.12_Дайджест 2003-2004 гг._Запрос МИ Менеджмент 18 08 06 (новый формат) 4" xfId="14242"/>
    <cellStyle name="_сводный титул 2004г_18.12_Дайджест 2003-2004 гг._Запрос МИ Менеджмент 18 08 06 (новый формат) 5" xfId="14243"/>
    <cellStyle name="_сводный титул 2004г_18.12_Дайджест 2003-2004 гг._Запрос МИ Менеджмент 18 08 06 (новый формат) 6" xfId="14244"/>
    <cellStyle name="_сводный титул 2004г_18.12_Дайджест 2003-2004 гг._Запрос МИ Менеджмент 18 08 06 (новый формат) 7" xfId="14245"/>
    <cellStyle name="_сводный титул 2004г_18.12_Дайджест 2003-2004 гг._Запрос МИ Менеджмент 18 08 06 (новый формат) 8" xfId="14246"/>
    <cellStyle name="_сводный титул 2004г_18.12_Дайджест 2003-2004 гг._Запрос МИ Менеджмент 18 08 06 (новый формат) 9" xfId="14247"/>
    <cellStyle name="_сводный титул 2004г_18.12_Дайджест 2003-2004 гг._Запрос МИ Менеджмент 18 08 06 (новый формат)__План по труду 2008 261107 (10% с января)" xfId="14248"/>
    <cellStyle name="_сводный титул 2004г_18.12_Дайджест 2003-2004 гг._Запрос МИ Менеджмент 18 08 06 (новый формат)__План по труду 2008 261107 (10% с января) 2" xfId="14249"/>
    <cellStyle name="_сводный титул 2004г_18.12_Дайджест 2003-2004 гг._Запрос МИ Менеджмент 18 08 06 (новый формат)__План по труду 2008 261107 (10% с января) 3" xfId="14250"/>
    <cellStyle name="_сводный титул 2004г_18.12_Дайджест 2003-2004 гг._Запрос МИ Менеджмент 18 08 06 (новый формат)__План по труду 2008 261107 (10% с января) 4" xfId="14251"/>
    <cellStyle name="_сводный титул 2004г_18.12_Дайджест 2003-2004 гг._Запрос МИ Менеджмент 18 08 06 (новый формат)__План по труду 2008 261107 (10% с января) 5" xfId="14252"/>
    <cellStyle name="_сводный титул 2004г_18.12_Дайджест 2003-2004 гг._Запрос МИ Менеджмент 18 08 06 (новый формат)__План по труду 2008 261107 (10% с января) 6" xfId="14253"/>
    <cellStyle name="_сводный титул 2004г_18.12_Дайджест 2003-2004 гг._Запрос МИ Менеджмент 18 08 06 (новый формат)__План по труду 2008 261107 (10% с января) 7" xfId="14254"/>
    <cellStyle name="_сводный титул 2004г_18.12_Дайджест 2003-2004 гг._Запрос МИ Менеджмент 18 08 06 (новый формат)__План по труду 2008 261107 (10% с января) 8" xfId="14255"/>
    <cellStyle name="_сводный титул 2004г_18.12_Дайджест 2003-2004 гг._Запрос МИ Менеджмент 18 08 06 (новый формат)__План по труду 2008 261107 (10% с января) 9" xfId="14256"/>
    <cellStyle name="_сводный титул 2004г_18.12_Дайджест 2003-2004 гг._Запрос МИ Менеджмент 18 08 06 (новый формат)__План по труду 2008 ИТОГ (правл. ПНР 161007)_" xfId="14257"/>
    <cellStyle name="_сводный титул 2004г_18.12_Дайджест 2003-2004 гг._Запрос МИ Менеджмент 18 08 06 (новый формат)__План по труду 2008 ИТОГ (правл. ПНР 161007)_ 2" xfId="14258"/>
    <cellStyle name="_сводный титул 2004г_18.12_Дайджест 2003-2004 гг._Запрос МИ Менеджмент 18 08 06 (новый формат)__План по труду 2008 ИТОГ (правл. ПНР 161007)_ 3" xfId="14259"/>
    <cellStyle name="_сводный титул 2004г_18.12_Дайджест 2003-2004 гг._Запрос МИ Менеджмент 18 08 06 (новый формат)__План по труду 2008 ИТОГ (правл. ПНР 161007)_ 4" xfId="14260"/>
    <cellStyle name="_сводный титул 2004г_18.12_Дайджест 2003-2004 гг._Запрос МИ Менеджмент 18 08 06 (новый формат)__План по труду 2008 ИТОГ (правл. ПНР 161007)_ 5" xfId="14261"/>
    <cellStyle name="_сводный титул 2004г_18.12_Дайджест 2003-2004 гг._Запрос МИ Менеджмент 18 08 06 (новый формат)__План по труду 2008 ИТОГ (правл. ПНР 161007)_ 6" xfId="14262"/>
    <cellStyle name="_сводный титул 2004г_18.12_Дайджест 2003-2004 гг._Запрос МИ Менеджмент 18 08 06 (новый формат)__План по труду 2008 ИТОГ (правл. ПНР 161007)_ 7" xfId="14263"/>
    <cellStyle name="_сводный титул 2004г_18.12_Дайджест 2003-2004 гг._Запрос МИ Менеджмент 18 08 06 (новый формат)__План по труду 2008 ИТОГ (правл. ПНР 161007)_ 8" xfId="14264"/>
    <cellStyle name="_сводный титул 2004г_18.12_Дайджест 2003-2004 гг._Запрос МИ Менеджмент 18 08 06 (новый формат)__План по труду 2008 ИТОГ (правл. ПНР 161007)_ 9" xfId="14265"/>
    <cellStyle name="_сводный титул 2004г_18.12_Дайджест 2003-2004 гг._Запрос МИ Менеджмент 18 08 06 (новый формат)_2_Инвестпрограмма на 2008 год (КОВАЛЕВ)" xfId="14266"/>
    <cellStyle name="_сводный титул 2004г_18.12_Дайджест 2003-2004 гг._Запрос МИ Менеджмент 18 08 06 (новый формат)_Данные для ФОТ на 2008 год" xfId="14267"/>
    <cellStyle name="_сводный титул 2004г_18.12_Дайджест 2003-2004 гг._Запрос МИ Менеджмент 18 08 06 (новый формат)_Данные для ФОТ на 2008 год 2" xfId="14268"/>
    <cellStyle name="_сводный титул 2004г_18.12_Дайджест 2003-2004 гг._Запрос МИ Менеджмент 18 08 06 (новый формат)_Данные для ФОТ на 2008 год 3" xfId="14269"/>
    <cellStyle name="_сводный титул 2004г_18.12_Дайджест 2003-2004 гг._Запрос МИ Менеджмент 18 08 06 (новый формат)_Данные для ФОТ на 2008 год 4" xfId="14270"/>
    <cellStyle name="_сводный титул 2004г_18.12_Дайджест 2003-2004 гг._Запрос МИ Менеджмент 18 08 06 (новый формат)_Данные для ФОТ на 2008 год 5" xfId="14271"/>
    <cellStyle name="_сводный титул 2004г_18.12_Дайджест 2003-2004 гг._Запрос МИ Менеджмент 18 08 06 (новый формат)_Данные для ФОТ на 2008 год 6" xfId="14272"/>
    <cellStyle name="_сводный титул 2004г_18.12_Дайджест 2003-2004 гг._Запрос МИ Менеджмент 18 08 06 (новый формат)_Данные для ФОТ на 2008 год 7" xfId="14273"/>
    <cellStyle name="_сводный титул 2004г_18.12_Дайджест 2003-2004 гг._Запрос МИ Менеджмент 18 08 06 (новый формат)_Данные для ФОТ на 2008 год 8" xfId="14274"/>
    <cellStyle name="_сводный титул 2004г_18.12_Дайджест 2003-2004 гг._Запрос МИ Менеджмент 18 08 06 (новый формат)_Данные для ФОТ на 2008 год 9" xfId="14275"/>
    <cellStyle name="_сводный титул 2004г_18.12_Дайджест 2003-2004 гг._Запрос МИ Менеджмент 18 08 06 (новый формат)_План по труду 2008 ИТОГ (2003_вер)" xfId="14276"/>
    <cellStyle name="_сводный титул 2004г_18.12_Дайджест 2003-2004 гг._Запрос МИ Менеджмент 18 08 06 (новый формат)_План по труду 2008 ИТОГ (2003_вер) 2" xfId="14277"/>
    <cellStyle name="_сводный титул 2004г_18.12_Дайджест 2003-2004 гг._Запрос МИ Менеджмент 18 08 06 (новый формат)_План по труду 2008 ИТОГ (2003_вер) 3" xfId="14278"/>
    <cellStyle name="_сводный титул 2004г_18.12_Дайджест 2003-2004 гг._Запрос МИ Менеджмент 18 08 06 (новый формат)_План по труду 2008 ИТОГ (2003_вер) 4" xfId="14279"/>
    <cellStyle name="_сводный титул 2004г_18.12_Дайджест 2003-2004 гг._Запрос МИ Менеджмент 18 08 06 (новый формат)_План по труду 2008 ИТОГ (2003_вер) 5" xfId="14280"/>
    <cellStyle name="_сводный титул 2004г_18.12_Дайджест 2003-2004 гг._Запрос МИ Менеджмент 18 08 06 (новый формат)_План по труду 2008 ИТОГ (2003_вер) 6" xfId="14281"/>
    <cellStyle name="_сводный титул 2004г_18.12_Дайджест 2003-2004 гг._Запрос МИ Менеджмент 18 08 06 (новый формат)_План по труду 2008 ИТОГ (2003_вер) 7" xfId="14282"/>
    <cellStyle name="_сводный титул 2004г_18.12_Дайджест 2003-2004 гг._Запрос МИ Менеджмент 18 08 06 (новый формат)_План по труду 2008 ИТОГ (2003_вер) 8" xfId="14283"/>
    <cellStyle name="_сводный титул 2004г_18.12_Дайджест 2003-2004 гг._Запрос МИ Менеджмент 18 08 06 (новый формат)_План по труду 2008 ИТОГ (2003_вер) 9" xfId="14284"/>
    <cellStyle name="_сводный титул 2004г_18.12_Дайджест 2003-2004 гг._Запрос МИ Менеджмент 18 08 06 (новый формат)_ТКВ 2008 от 19.07" xfId="14285"/>
    <cellStyle name="_сводный титул 2004г_18.12_Дайджест 2003-2004 гг._Запрос МИ Менеджмент 18 08 06 (новый формат)_ТКВ 2008 от 31.07" xfId="14286"/>
    <cellStyle name="_сводный титул 2004г_18.12_Дайджест 2003-2004 гг._ИПИТА" xfId="14287"/>
    <cellStyle name="_сводный титул 2004г_18.12_Дайджест 2003-2004 гг._ИПИТА 2" xfId="14288"/>
    <cellStyle name="_сводный титул 2004г_18.12_Дайджест 2003-2004 гг._ИПИТА 3" xfId="14289"/>
    <cellStyle name="_сводный титул 2004г_18.12_Дайджест 2003-2004 гг._ИПИТА 4" xfId="14290"/>
    <cellStyle name="_сводный титул 2004г_18.12_Дайджест 2003-2004 гг._ИПИТА 5" xfId="14291"/>
    <cellStyle name="_сводный титул 2004г_18.12_Дайджест 2003-2004 гг._ИПИТА 6" xfId="14292"/>
    <cellStyle name="_сводный титул 2004г_18.12_Дайджест 2003-2004 гг._ИПИТА 7" xfId="14293"/>
    <cellStyle name="_сводный титул 2004г_18.12_Дайджест 2003-2004 гг._ИПИТА 8" xfId="14294"/>
    <cellStyle name="_сводный титул 2004г_18.12_Дайджест 2003-2004 гг._ИПИТА 9" xfId="14295"/>
    <cellStyle name="_сводный титул 2004г_18.12_Дайджест 2003-2004 гг._исходные_291107" xfId="14296"/>
    <cellStyle name="_сводный титул 2004г_18.12_Дайджест 2003-2004 гг._КМА-Эн план 1 кв 200919.12.08отпр в Холдинг" xfId="14297"/>
    <cellStyle name="_сводный титул 2004г_18.12_Дайджест 2003-2004 гг._Книга БДР 4 кв" xfId="14298"/>
    <cellStyle name="_сводный титул 2004г_18.12_Дайджест 2003-2004 гг._Книга1" xfId="14299"/>
    <cellStyle name="_сводный титул 2004г_18.12_Дайджест 2003-2004 гг._Книга1 (1)" xfId="14300"/>
    <cellStyle name="_сводный титул 2004г_18.12_Дайджест 2003-2004 гг._Книга1 (1) 2" xfId="14301"/>
    <cellStyle name="_сводный титул 2004г_18.12_Дайджест 2003-2004 гг._Книга1 (1) 3" xfId="14302"/>
    <cellStyle name="_сводный титул 2004г_18.12_Дайджест 2003-2004 гг._Книга1 (1) 4" xfId="14303"/>
    <cellStyle name="_сводный титул 2004г_18.12_Дайджест 2003-2004 гг._Книга1 (1) 5" xfId="14304"/>
    <cellStyle name="_сводный титул 2004г_18.12_Дайджест 2003-2004 гг._Книга1 (1) 6" xfId="14305"/>
    <cellStyle name="_сводный титул 2004г_18.12_Дайджест 2003-2004 гг._Книга1 (1) 7" xfId="14306"/>
    <cellStyle name="_сводный титул 2004г_18.12_Дайджест 2003-2004 гг._Книга1 (1) 8" xfId="14307"/>
    <cellStyle name="_сводный титул 2004г_18.12_Дайджест 2003-2004 гг._Книга1 (1) 9" xfId="14308"/>
    <cellStyle name="_сводный титул 2004г_18.12_Дайджест 2003-2004 гг._Книга1 (5)" xfId="14309"/>
    <cellStyle name="_сводный титул 2004г_18.12_Дайджест 2003-2004 гг._Книга1_1" xfId="14310"/>
    <cellStyle name="_сводный титул 2004г_18.12_Дайджест 2003-2004 гг._Книга11" xfId="14311"/>
    <cellStyle name="_сводный титул 2004г_18.12_Дайджест 2003-2004 гг._Книга3" xfId="14312"/>
    <cellStyle name="_сводный титул 2004г_18.12_Дайджест 2003-2004 гг._Комплект документов - план на 2007 год - фин.часть 8.12.06 (укороч.)" xfId="14313"/>
    <cellStyle name="_сводный титул 2004г_18.12_Дайджест 2003-2004 гг._Комплект документов - план на 2007 год - фин.часть 8.12.06 (укороч.) 2" xfId="14314"/>
    <cellStyle name="_сводный титул 2004г_18.12_Дайджест 2003-2004 гг._Комплект документов - план на 2007 год - фин.часть 8.12.06 (укороч.) 3" xfId="14315"/>
    <cellStyle name="_сводный титул 2004г_18.12_Дайджест 2003-2004 гг._Комплект документов - план на 2007 год - фин.часть 8.12.06 (укороч.) 4" xfId="14316"/>
    <cellStyle name="_сводный титул 2004г_18.12_Дайджест 2003-2004 гг._Комплект документов - план на 2007 год - фин.часть 8.12.06 (укороч.) 5" xfId="14317"/>
    <cellStyle name="_сводный титул 2004г_18.12_Дайджест 2003-2004 гг._Комплект документов - план на 2007 год - фин.часть 8.12.06 (укороч.) 6" xfId="14318"/>
    <cellStyle name="_сводный титул 2004г_18.12_Дайджест 2003-2004 гг._Комплект документов - план на 2007 год - фин.часть 8.12.06 (укороч.) 7" xfId="14319"/>
    <cellStyle name="_сводный титул 2004г_18.12_Дайджест 2003-2004 гг._Комплект документов - план на 2007 год - фин.часть 8.12.06 (укороч.) 8" xfId="14320"/>
    <cellStyle name="_сводный титул 2004г_18.12_Дайджест 2003-2004 гг._Комплект документов - план на 2007 год - фин.часть 8.12.06 (укороч.) 9" xfId="14321"/>
    <cellStyle name="_сводный титул 2004г_18.12_Дайджест 2003-2004 гг._Конс  ЛГОК БП 2009 для Комбината 07 11 08" xfId="14322"/>
    <cellStyle name="_сводный титул 2004г_18.12_Дайджест 2003-2004 гг._Конс  ЛГОК БП 2009 от 14 10 08" xfId="14323"/>
    <cellStyle name="_сводный титул 2004г_18.12_Дайджест 2003-2004 гг._Конс  ЛГОК БП 2009 от 14 10 08 (2)" xfId="14324"/>
    <cellStyle name="_сводный титул 2004г_18.12_Дайджест 2003-2004 гг._Конс  МГОК БП 2009 от 14 10 08" xfId="14325"/>
    <cellStyle name="_сводный титул 2004г_18.12_Дайджест 2003-2004 гг._Конс. план ЛГОК мар.09 для Комбината 20.02.09" xfId="14326"/>
    <cellStyle name="_сводный титул 2004г_18.12_Дайджест 2003-2004 гг._Конс. план ЛГОК мар.09 для Комбината 25.02.09" xfId="14327"/>
    <cellStyle name="_сводный титул 2004г_18.12_Дайджест 2003-2004 гг._Копия Конс БП 2010 ЛГОК для Комбината от 21 08 09" xfId="14328"/>
    <cellStyle name="_сводный титул 2004г_18.12_Дайджест 2003-2004 гг._Лист1" xfId="14329"/>
    <cellStyle name="_сводный титул 2004г_18.12_Дайджест 2003-2004 гг._Лист1 2" xfId="14330"/>
    <cellStyle name="_сводный титул 2004г_18.12_Дайджест 2003-2004 гг._Лист1 3" xfId="14331"/>
    <cellStyle name="_сводный титул 2004г_18.12_Дайджест 2003-2004 гг._Лист1 4" xfId="14332"/>
    <cellStyle name="_сводный титул 2004г_18.12_Дайджест 2003-2004 гг._Лист1 5" xfId="14333"/>
    <cellStyle name="_сводный титул 2004г_18.12_Дайджест 2003-2004 гг._Лист1 6" xfId="14334"/>
    <cellStyle name="_сводный титул 2004г_18.12_Дайджест 2003-2004 гг._Лист1 7" xfId="14335"/>
    <cellStyle name="_сводный титул 2004г_18.12_Дайджест 2003-2004 гг._Лист1 8" xfId="14336"/>
    <cellStyle name="_сводный титул 2004г_18.12_Дайджест 2003-2004 гг._Лист1 9" xfId="14337"/>
    <cellStyle name="_сводный титул 2004г_18.12_Дайджест 2003-2004 гг._Лист1_НОВАЯ ФОРМА ПО СОЦИАЛЬНЫМ ПРОГРАММАМ" xfId="14338"/>
    <cellStyle name="_сводный титул 2004г_18.12_Дайджест 2003-2004 гг._Лист1_Приложения План Март (23)" xfId="14339"/>
    <cellStyle name="_сводный титул 2004г_18.12_Дайджест 2003-2004 гг._Лист2" xfId="14340"/>
    <cellStyle name="_сводный титул 2004г_18.12_Дайджест 2003-2004 гг._Лист3" xfId="14341"/>
    <cellStyle name="_сводный титул 2004г_18.12_Дайджест 2003-2004 гг._Мод 4 кв 2008" xfId="14342"/>
    <cellStyle name="_сводный титул 2004г_18.12_Дайджест 2003-2004 гг._Новые формы Дивизиона_3 кв_send (без дивидендов)" xfId="14343"/>
    <cellStyle name="_сводный титул 2004г_18.12_Дайджест 2003-2004 гг._Новые формы Дивизиона_3кв.2007" xfId="14344"/>
    <cellStyle name="_сводный титул 2004г_18.12_Дайджест 2003-2004 гг._Новые формы Дивизиона_3кв.2007 2" xfId="14345"/>
    <cellStyle name="_сводный титул 2004г_18.12_Дайджест 2003-2004 гг._Новые формы Дивизиона_3кв.2007 3" xfId="14346"/>
    <cellStyle name="_сводный титул 2004г_18.12_Дайджест 2003-2004 гг._Новые формы Дивизиона_3кв.2007 4" xfId="14347"/>
    <cellStyle name="_сводный титул 2004г_18.12_Дайджест 2003-2004 гг._Новые формы Дивизиона_3кв.2007 5" xfId="14348"/>
    <cellStyle name="_сводный титул 2004г_18.12_Дайджест 2003-2004 гг._Новые формы Дивизиона_3кв.2007 6" xfId="14349"/>
    <cellStyle name="_сводный титул 2004г_18.12_Дайджест 2003-2004 гг._Новые формы Дивизиона_3кв.2007 7" xfId="14350"/>
    <cellStyle name="_сводный титул 2004г_18.12_Дайджест 2003-2004 гг._Новые формы Дивизиона_3кв.2007 8" xfId="14351"/>
    <cellStyle name="_сводный титул 2004г_18.12_Дайджест 2003-2004 гг._Новые формы Дивизиона_3кв.2007 9" xfId="14352"/>
    <cellStyle name="_сводный титул 2004г_18.12_Дайджест 2003-2004 гг._Оборотный капитал план 2-е полугодие 2006 г. 25.08.06" xfId="14353"/>
    <cellStyle name="_сводный титул 2004г_18.12_Дайджест 2003-2004 гг._Оборотный капитал план 2-е полугодие 2006 г. 25.08.06 10" xfId="14354"/>
    <cellStyle name="_сводный титул 2004г_18.12_Дайджест 2003-2004 гг._Оборотный капитал план 2-е полугодие 2006 г. 25.08.06 11" xfId="14355"/>
    <cellStyle name="_сводный титул 2004г_18.12_Дайджест 2003-2004 гг._Оборотный капитал план 2-е полугодие 2006 г. 25.08.06 12" xfId="14356"/>
    <cellStyle name="_сводный титул 2004г_18.12_Дайджест 2003-2004 гг._Оборотный капитал план 2-е полугодие 2006 г. 25.08.06 13" xfId="14357"/>
    <cellStyle name="_сводный титул 2004г_18.12_Дайджест 2003-2004 гг._Оборотный капитал план 2-е полугодие 2006 г. 25.08.06 2" xfId="14358"/>
    <cellStyle name="_сводный титул 2004г_18.12_Дайджест 2003-2004 гг._Оборотный капитал план 2-е полугодие 2006 г. 25.08.06 3" xfId="14359"/>
    <cellStyle name="_сводный титул 2004г_18.12_Дайджест 2003-2004 гг._Оборотный капитал план 2-е полугодие 2006 г. 25.08.06 4" xfId="14360"/>
    <cellStyle name="_сводный титул 2004г_18.12_Дайджест 2003-2004 гг._Оборотный капитал план 2-е полугодие 2006 г. 25.08.06 5" xfId="14361"/>
    <cellStyle name="_сводный титул 2004г_18.12_Дайджест 2003-2004 гг._Оборотный капитал план 2-е полугодие 2006 г. 25.08.06 6" xfId="14362"/>
    <cellStyle name="_сводный титул 2004г_18.12_Дайджест 2003-2004 гг._Оборотный капитал план 2-е полугодие 2006 г. 25.08.06 7" xfId="14363"/>
    <cellStyle name="_сводный титул 2004г_18.12_Дайджест 2003-2004 гг._Оборотный капитал план 2-е полугодие 2006 г. 25.08.06 8" xfId="14364"/>
    <cellStyle name="_сводный титул 2004г_18.12_Дайджест 2003-2004 гг._Оборотный капитал план 2-е полугодие 2006 г. 25.08.06 9" xfId="14365"/>
    <cellStyle name="_сводный титул 2004г_18.12_Дайджест 2003-2004 гг._ОБРАЗЕЦ Презентационный материал" xfId="14366"/>
    <cellStyle name="_сводный титул 2004г_18.12_Дайджест 2003-2004 гг._ОБРАЗЕЦ Презентационный материал 2" xfId="14367"/>
    <cellStyle name="_сводный титул 2004г_18.12_Дайджест 2003-2004 гг._ОБРАЗЕЦ Презентационный материал 3" xfId="14368"/>
    <cellStyle name="_сводный титул 2004г_18.12_Дайджест 2003-2004 гг._ОБРАЗЕЦ Презентационный материал 4" xfId="14369"/>
    <cellStyle name="_сводный титул 2004г_18.12_Дайджест 2003-2004 гг._ОБРАЗЕЦ Презентационный материал 5" xfId="14370"/>
    <cellStyle name="_сводный титул 2004г_18.12_Дайджест 2003-2004 гг._ОБРАЗЕЦ Презентационный материал 6" xfId="14371"/>
    <cellStyle name="_сводный титул 2004г_18.12_Дайджест 2003-2004 гг._ОБРАЗЕЦ Презентационный материал 7" xfId="14372"/>
    <cellStyle name="_сводный титул 2004г_18.12_Дайджест 2003-2004 гг._ОБРАЗЕЦ Презентационный материал 8" xfId="14373"/>
    <cellStyle name="_сводный титул 2004г_18.12_Дайджест 2003-2004 гг._ОБРАЗЕЦ Презентационный материал 9" xfId="14374"/>
    <cellStyle name="_сводный титул 2004г_18.12_Дайджест 2003-2004 гг._оперативное исполнение 8 02 2009" xfId="14375"/>
    <cellStyle name="_сводный титул 2004г_18.12_Дайджест 2003-2004 гг._Отклонения план март-план февраль 2009 конс" xfId="14376"/>
    <cellStyle name="_сводный титул 2004г_18.12_Дайджест 2003-2004 гг._пл 02 2009 акционеры СВОД 09.02.2009" xfId="14377"/>
    <cellStyle name="_сводный титул 2004г_18.12_Дайджест 2003-2004 гг._пл2007 Распределение ОЭМК 27.01.07" xfId="14378"/>
    <cellStyle name="_сводный титул 2004г_18.12_Дайджест 2003-2004 гг._пл2007 фин.часть 18.12.06" xfId="14379"/>
    <cellStyle name="_сводный титул 2004г_18.12_Дайджест 2003-2004 гг._пл2007 фин.часть 18.12.06 2" xfId="14380"/>
    <cellStyle name="_сводный титул 2004г_18.12_Дайджест 2003-2004 гг._пл2007 фин.часть 18.12.06 3" xfId="14381"/>
    <cellStyle name="_сводный титул 2004г_18.12_Дайджест 2003-2004 гг._пл2007 фин.часть 18.12.06 4" xfId="14382"/>
    <cellStyle name="_сводный титул 2004г_18.12_Дайджест 2003-2004 гг._пл2007 фин.часть 18.12.06 5" xfId="14383"/>
    <cellStyle name="_сводный титул 2004г_18.12_Дайджест 2003-2004 гг._пл2007 фин.часть 18.12.06 6" xfId="14384"/>
    <cellStyle name="_сводный титул 2004г_18.12_Дайджест 2003-2004 гг._пл2007 фин.часть 18.12.06 7" xfId="14385"/>
    <cellStyle name="_сводный титул 2004г_18.12_Дайджест 2003-2004 гг._пл2007 фин.часть 18.12.06 8" xfId="14386"/>
    <cellStyle name="_сводный титул 2004г_18.12_Дайджест 2003-2004 гг._пл2007 фин.часть 18.12.06 9" xfId="14387"/>
    <cellStyle name="_сводный титул 2004г_18.12_Дайджест 2003-2004 гг._План 2 кв 2007 год 6.04.07" xfId="14388"/>
    <cellStyle name="_сводный титул 2004г_18.12_Дайджест 2003-2004 гг._План 2 кв 2007 год 6.04.07 2" xfId="14389"/>
    <cellStyle name="_сводный титул 2004г_18.12_Дайджест 2003-2004 гг._План 2 кв 2007 год 6.04.07 3" xfId="14390"/>
    <cellStyle name="_сводный титул 2004г_18.12_Дайджест 2003-2004 гг._План 2 кв 2007 год 6.04.07 4" xfId="14391"/>
    <cellStyle name="_сводный титул 2004г_18.12_Дайджест 2003-2004 гг._План 2 кв 2007 год 6.04.07 5" xfId="14392"/>
    <cellStyle name="_сводный титул 2004г_18.12_Дайджест 2003-2004 гг._План 2 кв 2007 год 6.04.07 6" xfId="14393"/>
    <cellStyle name="_сводный титул 2004г_18.12_Дайджест 2003-2004 гг._План 2 кв 2007 год 6.04.07 7" xfId="14394"/>
    <cellStyle name="_сводный титул 2004г_18.12_Дайджест 2003-2004 гг._План 2 кв 2007 год 6.04.07 8" xfId="14395"/>
    <cellStyle name="_сводный титул 2004г_18.12_Дайджест 2003-2004 гг._План 2 кв 2007 год 6.04.07 9" xfId="14396"/>
    <cellStyle name="_сводный титул 2004г_18.12_Дайджест 2003-2004 гг._План ДСМ 2 квартал 2009 ОТЧЕТ отп" xfId="14397"/>
    <cellStyle name="_сводный титул 2004г_18.12_Дайджест 2003-2004 гг._План ДСМ 3 квартал 2009 ОТЧЕТ" xfId="14398"/>
    <cellStyle name="_сводный титул 2004г_18.12_Дайджест 2003-2004 гг._План ДСМ 4 квартал 2009 ОТЧЕТ" xfId="14399"/>
    <cellStyle name="_сводный титул 2004г_18.12_Дайджест 2003-2004 гг._План ДСМ на 4 квартал 2006 (последняя версия) 2" xfId="14400"/>
    <cellStyle name="_сводный титул 2004г_18.12_Дайджест 2003-2004 гг._План ДСМ ноябрь 2011 ОТЧЕТ" xfId="14401"/>
    <cellStyle name="_сводный титул 2004г_18.12_Дайджест 2003-2004 гг._План ДСФ 1 квартал 2007" xfId="14402"/>
    <cellStyle name="_сводный титул 2004г_18.12_Дайджест 2003-2004 гг._План ДСФ 2 квартал 2009 ОТЧЕТ отп" xfId="14403"/>
    <cellStyle name="_сводный титул 2004г_18.12_Дайджест 2003-2004 гг._План ДСФ 4 квартал 2009 ОТЧЕТ" xfId="14404"/>
    <cellStyle name="_сводный титул 2004г_18.12_Дайджест 2003-2004 гг._План на 2009 год ДСМ ОТЧЕТ отп (01.12.08)" xfId="14405"/>
    <cellStyle name="_сводный титул 2004г_18.12_Дайджест 2003-2004 гг._План на 2010 год ДСМ ОТЧЕТ" xfId="14406"/>
    <cellStyle name="_сводный титул 2004г_18.12_Дайджест 2003-2004 гг._план ноября (отправл) 13.11" xfId="14407"/>
    <cellStyle name="_сводный титул 2004г_18.12_Дайджест 2003-2004 гг._План_2008г._БДР" xfId="14408"/>
    <cellStyle name="_сводный титул 2004г_18.12_Дайджест 2003-2004 гг._План_2008г._БДР_отпр.13.12.2007_19-40" xfId="14409"/>
    <cellStyle name="_сводный титул 2004г_18.12_Дайджест 2003-2004 гг._Помесячный Чистов ФДе" xfId="14410"/>
    <cellStyle name="_сводный титул 2004г_18.12_Дайджест 2003-2004 гг._Помесячный Чистов ФДе 2" xfId="14411"/>
    <cellStyle name="_сводный титул 2004г_18.12_Дайджест 2003-2004 гг._Помесячный Чистов ФДе 3" xfId="14412"/>
    <cellStyle name="_сводный титул 2004г_18.12_Дайджест 2003-2004 гг._Помесячный Чистов ФДе 4" xfId="14413"/>
    <cellStyle name="_сводный титул 2004г_18.12_Дайджест 2003-2004 гг._Помесячный Чистов ФДе 5" xfId="14414"/>
    <cellStyle name="_сводный титул 2004г_18.12_Дайджест 2003-2004 гг._Помесячный Чистов ФДе 6" xfId="14415"/>
    <cellStyle name="_сводный титул 2004г_18.12_Дайджест 2003-2004 гг._Помесячный Чистов ФДе 7" xfId="14416"/>
    <cellStyle name="_сводный титул 2004г_18.12_Дайджест 2003-2004 гг._Помесячный Чистов ФДе 8" xfId="14417"/>
    <cellStyle name="_сводный титул 2004г_18.12_Дайджест 2003-2004 гг._Помесячный Чистов ФДе 9" xfId="14418"/>
    <cellStyle name="_сводный титул 2004г_18.12_Дайджест 2003-2004 гг._пр I кв 2008 форма презентации" xfId="14419"/>
    <cellStyle name="_сводный титул 2004г_18.12_Дайджест 2003-2004 гг._пр I кв 2008 форма презентации 2" xfId="14420"/>
    <cellStyle name="_сводный титул 2004г_18.12_Дайджест 2003-2004 гг._пр I кв 2008 форма презентации 3" xfId="14421"/>
    <cellStyle name="_сводный титул 2004г_18.12_Дайджест 2003-2004 гг._пр I кв 2008 форма презентации 4" xfId="14422"/>
    <cellStyle name="_сводный титул 2004г_18.12_Дайджест 2003-2004 гг._пр I кв 2008 форма презентации 5" xfId="14423"/>
    <cellStyle name="_сводный титул 2004г_18.12_Дайджест 2003-2004 гг._пр I кв 2008 форма презентации 6" xfId="14424"/>
    <cellStyle name="_сводный титул 2004г_18.12_Дайджест 2003-2004 гг._пр I кв 2008 форма презентации 7" xfId="14425"/>
    <cellStyle name="_сводный титул 2004г_18.12_Дайджест 2003-2004 гг._пр I кв 2008 форма презентации 8" xfId="14426"/>
    <cellStyle name="_сводный титул 2004г_18.12_Дайджест 2003-2004 гг._пр I кв 2008 форма презентации 9" xfId="14427"/>
    <cellStyle name="_сводный титул 2004г_18.12_Дайджест 2003-2004 гг._пр2006 Комплект ОЭМК 13.02.07 (рабочая)" xfId="14428"/>
    <cellStyle name="_сводный титул 2004г_18.12_Дайджест 2003-2004 гг._пр2006 формы(19-30) 14.02.07" xfId="14429"/>
    <cellStyle name="_сводный титул 2004г_18.12_Дайджест 2003-2004 гг._Презентационный БДР_21 02 2008" xfId="14430"/>
    <cellStyle name="_сводный титул 2004г_18.12_Дайджест 2003-2004 гг._Презентационный материал" xfId="14431"/>
    <cellStyle name="_сводный титул 2004г_18.12_Дайджест 2003-2004 гг._Презентационный материал 2" xfId="14432"/>
    <cellStyle name="_сводный титул 2004г_18.12_Дайджест 2003-2004 гг._Презентационный материал 2 кв_план" xfId="14433"/>
    <cellStyle name="_сводный титул 2004г_18.12_Дайджест 2003-2004 гг._Презентационный материал 3" xfId="14434"/>
    <cellStyle name="_сводный титул 2004г_18.12_Дайджест 2003-2004 гг._Презентационный материал 4" xfId="14435"/>
    <cellStyle name="_сводный титул 2004г_18.12_Дайджест 2003-2004 гг._Презентационный материал 5" xfId="14436"/>
    <cellStyle name="_сводный титул 2004г_18.12_Дайджест 2003-2004 гг._Презентационный материал 6" xfId="14437"/>
    <cellStyle name="_сводный титул 2004г_18.12_Дайджест 2003-2004 гг._Презентационный материал 7" xfId="14438"/>
    <cellStyle name="_сводный титул 2004г_18.12_Дайджест 2003-2004 гг._Презентационный материал 8" xfId="14439"/>
    <cellStyle name="_сводный титул 2004г_18.12_Дайджест 2003-2004 гг._Презентационный материал 9" xfId="14440"/>
    <cellStyle name="_сводный титул 2004г_18.12_Дайджест 2003-2004 гг._Презентация" xfId="14441"/>
    <cellStyle name="_сводный титул 2004г_18.12_Дайджест 2003-2004 гг._Презентация (фин.часть) 27.06.07" xfId="14442"/>
    <cellStyle name="_сводный титул 2004г_18.12_Дайджест 2003-2004 гг._Презентация 2" xfId="14443"/>
    <cellStyle name="_сводный титул 2004г_18.12_Дайджест 2003-2004 гг._Презентация 2007 пл-ож 17.12" xfId="14444"/>
    <cellStyle name="_сводный титул 2004г_18.12_Дайджест 2003-2004 гг._Презентация 2007 пл-ож 17.12 2" xfId="14445"/>
    <cellStyle name="_сводный титул 2004г_18.12_Дайджест 2003-2004 гг._Презентация 2007 пл-ож 17.12 3" xfId="14446"/>
    <cellStyle name="_сводный титул 2004г_18.12_Дайджест 2003-2004 гг._Презентация 2007 пл-ож 17.12 4" xfId="14447"/>
    <cellStyle name="_сводный титул 2004г_18.12_Дайджест 2003-2004 гг._Презентация 2007 пл-ож 17.12 5" xfId="14448"/>
    <cellStyle name="_сводный титул 2004г_18.12_Дайджест 2003-2004 гг._Презентация 2007 пл-ож 17.12 6" xfId="14449"/>
    <cellStyle name="_сводный титул 2004г_18.12_Дайджест 2003-2004 гг._Презентация 2007 пл-ож 17.12 7" xfId="14450"/>
    <cellStyle name="_сводный титул 2004г_18.12_Дайджест 2003-2004 гг._Презентация 2007 пл-ож 17.12 8" xfId="14451"/>
    <cellStyle name="_сводный титул 2004г_18.12_Дайджест 2003-2004 гг._Презентация 2007 пл-ож 17.12 9" xfId="14452"/>
    <cellStyle name="_сводный титул 2004г_18.12_Дайджест 2003-2004 гг._Презентация 2007-2008 17.12" xfId="14453"/>
    <cellStyle name="_сводный титул 2004г_18.12_Дайджест 2003-2004 гг._Презентация 2007-2008 17.12 2" xfId="14454"/>
    <cellStyle name="_сводный титул 2004г_18.12_Дайджест 2003-2004 гг._Презентация 2007-2008 17.12 3" xfId="14455"/>
    <cellStyle name="_сводный титул 2004г_18.12_Дайджест 2003-2004 гг._Презентация 2007-2008 17.12 4" xfId="14456"/>
    <cellStyle name="_сводный титул 2004г_18.12_Дайджест 2003-2004 гг._Презентация 2007-2008 17.12 5" xfId="14457"/>
    <cellStyle name="_сводный титул 2004г_18.12_Дайджест 2003-2004 гг._Презентация 2007-2008 17.12 6" xfId="14458"/>
    <cellStyle name="_сводный титул 2004г_18.12_Дайджест 2003-2004 гг._Презентация 2007-2008 17.12 7" xfId="14459"/>
    <cellStyle name="_сводный титул 2004г_18.12_Дайджест 2003-2004 гг._Презентация 2007-2008 17.12 8" xfId="14460"/>
    <cellStyle name="_сводный титул 2004г_18.12_Дайджест 2003-2004 гг._Презентация 2007-2008 17.12 9" xfId="14461"/>
    <cellStyle name="_сводный титул 2004г_18.12_Дайджест 2003-2004 гг._Презентация 2008 (2)" xfId="14462"/>
    <cellStyle name="_сводный титул 2004г_18.12_Дайджест 2003-2004 гг._Презентация 2008 год (фин. часть) от 22.10.07" xfId="14463"/>
    <cellStyle name="_сводный титул 2004г_18.12_Дайджест 2003-2004 гг._Презентация 2008 год (фин. часть) от 22.10.07 2" xfId="14464"/>
    <cellStyle name="_сводный титул 2004г_18.12_Дайджест 2003-2004 гг._Презентация 2008 год (фин. часть) от 22.10.07 3" xfId="14465"/>
    <cellStyle name="_сводный титул 2004г_18.12_Дайджест 2003-2004 гг._Презентация 2008 год (фин. часть) от 22.10.07 4" xfId="14466"/>
    <cellStyle name="_сводный титул 2004г_18.12_Дайджест 2003-2004 гг._Презентация 2008 год (фин. часть) от 22.10.07 5" xfId="14467"/>
    <cellStyle name="_сводный титул 2004г_18.12_Дайджест 2003-2004 гг._Презентация 2008 год (фин. часть) от 22.10.07 6" xfId="14468"/>
    <cellStyle name="_сводный титул 2004г_18.12_Дайджест 2003-2004 гг._Презентация 2008 год (фин. часть) от 22.10.07 7" xfId="14469"/>
    <cellStyle name="_сводный титул 2004г_18.12_Дайджест 2003-2004 гг._Презентация 2008 год (фин. часть) от 22.10.07 8" xfId="14470"/>
    <cellStyle name="_сводный титул 2004г_18.12_Дайджест 2003-2004 гг._Презентация 2008 год (фин. часть) от 22.10.07 9" xfId="14471"/>
    <cellStyle name="_сводный титул 2004г_18.12_Дайджест 2003-2004 гг._Презентация 2008 фин. часть (коричневые формы)" xfId="14472"/>
    <cellStyle name="_сводный титул 2004г_18.12_Дайджест 2003-2004 гг._Презентация 2008 фин. часть (коричневые формы) 2" xfId="14473"/>
    <cellStyle name="_сводный титул 2004г_18.12_Дайджест 2003-2004 гг._Презентация 2008 фин. часть (коричневые формы) 3" xfId="14474"/>
    <cellStyle name="_сводный титул 2004г_18.12_Дайджест 2003-2004 гг._Презентация 2008 фин. часть (коричневые формы) 4" xfId="14475"/>
    <cellStyle name="_сводный титул 2004г_18.12_Дайджест 2003-2004 гг._Презентация 2008 фин. часть (коричневые формы) 5" xfId="14476"/>
    <cellStyle name="_сводный титул 2004г_18.12_Дайджест 2003-2004 гг._Презентация 2008 фин. часть (коричневые формы) 6" xfId="14477"/>
    <cellStyle name="_сводный титул 2004г_18.12_Дайджест 2003-2004 гг._Презентация 2008 фин. часть (коричневые формы) 7" xfId="14478"/>
    <cellStyle name="_сводный титул 2004г_18.12_Дайджест 2003-2004 гг._Презентация 2008 фин. часть (коричневые формы) 8" xfId="14479"/>
    <cellStyle name="_сводный титул 2004г_18.12_Дайджест 2003-2004 гг._Презентация 2008 фин. часть (коричневые формы) 9" xfId="14480"/>
    <cellStyle name="_сводный титул 2004г_18.12_Дайджест 2003-2004 гг._Презентация 3" xfId="14481"/>
    <cellStyle name="_сводный титул 2004г_18.12_Дайджест 2003-2004 гг._Презентация 4" xfId="14482"/>
    <cellStyle name="_сводный титул 2004г_18.12_Дайджест 2003-2004 гг._Презентация 5" xfId="14483"/>
    <cellStyle name="_сводный титул 2004г_18.12_Дайджест 2003-2004 гг._Презентация 6" xfId="14484"/>
    <cellStyle name="_сводный титул 2004г_18.12_Дайджест 2003-2004 гг._Презентация 7" xfId="14485"/>
    <cellStyle name="_сводный титул 2004г_18.12_Дайджест 2003-2004 гг._Презентация 8" xfId="14486"/>
    <cellStyle name="_сводный титул 2004г_18.12_Дайджест 2003-2004 гг._презентация 8.02.07" xfId="14487"/>
    <cellStyle name="_сводный титул 2004г_18.12_Дайджест 2003-2004 гг._презентация 8.02.07 2" xfId="14488"/>
    <cellStyle name="_сводный титул 2004г_18.12_Дайджест 2003-2004 гг._презентация 8.02.07 3" xfId="14489"/>
    <cellStyle name="_сводный титул 2004г_18.12_Дайджест 2003-2004 гг._презентация 8.02.07 4" xfId="14490"/>
    <cellStyle name="_сводный титул 2004г_18.12_Дайджест 2003-2004 гг._презентация 8.02.07 5" xfId="14491"/>
    <cellStyle name="_сводный титул 2004г_18.12_Дайджест 2003-2004 гг._презентация 8.02.07 6" xfId="14492"/>
    <cellStyle name="_сводный титул 2004г_18.12_Дайджест 2003-2004 гг._презентация 8.02.07 7" xfId="14493"/>
    <cellStyle name="_сводный титул 2004г_18.12_Дайджест 2003-2004 гг._презентация 8.02.07 8" xfId="14494"/>
    <cellStyle name="_сводный титул 2004г_18.12_Дайджест 2003-2004 гг._презентация 8.02.07 9" xfId="14495"/>
    <cellStyle name="_сводный титул 2004г_18.12_Дайджест 2003-2004 гг._Презентация 9" xfId="14496"/>
    <cellStyle name="_сводный титул 2004г_18.12_Дайджест 2003-2004 гг._Презентация август 07 факт" xfId="14497"/>
    <cellStyle name="_сводный титул 2004г_18.12_Дайджест 2003-2004 гг._Презентация август 07 факт 2" xfId="14498"/>
    <cellStyle name="_сводный титул 2004г_18.12_Дайджест 2003-2004 гг._Презентация август 07 факт 3" xfId="14499"/>
    <cellStyle name="_сводный титул 2004г_18.12_Дайджест 2003-2004 гг._Презентация август 07 факт 4" xfId="14500"/>
    <cellStyle name="_сводный титул 2004г_18.12_Дайджест 2003-2004 гг._Презентация август 07 факт 5" xfId="14501"/>
    <cellStyle name="_сводный титул 2004г_18.12_Дайджест 2003-2004 гг._Презентация август 07 факт 6" xfId="14502"/>
    <cellStyle name="_сводный титул 2004г_18.12_Дайджест 2003-2004 гг._Презентация август 07 факт 7" xfId="14503"/>
    <cellStyle name="_сводный титул 2004г_18.12_Дайджест 2003-2004 гг._Презентация август 07 факт 8" xfId="14504"/>
    <cellStyle name="_сводный титул 2004г_18.12_Дайджест 2003-2004 гг._Презентация август 07 факт 9" xfId="14505"/>
    <cellStyle name="_сводный титул 2004г_18.12_Дайджест 2003-2004 гг._Презентация для Ульянова" xfId="14506"/>
    <cellStyle name="_сводный титул 2004г_18.12_Дайджест 2003-2004 гг._Презентация для Ульянова 2" xfId="14507"/>
    <cellStyle name="_сводный титул 2004г_18.12_Дайджест 2003-2004 гг._Презентация для Ульянова 3" xfId="14508"/>
    <cellStyle name="_сводный титул 2004г_18.12_Дайджест 2003-2004 гг._Презентация для Ульянова 4" xfId="14509"/>
    <cellStyle name="_сводный титул 2004г_18.12_Дайджест 2003-2004 гг._Презентация для Ульянова 5" xfId="14510"/>
    <cellStyle name="_сводный титул 2004г_18.12_Дайджест 2003-2004 гг._Презентация для Ульянова 6" xfId="14511"/>
    <cellStyle name="_сводный титул 2004г_18.12_Дайджест 2003-2004 гг._Презентация для Ульянова 7" xfId="14512"/>
    <cellStyle name="_сводный титул 2004г_18.12_Дайджест 2003-2004 гг._Презентация для Ульянова 8" xfId="14513"/>
    <cellStyle name="_сводный титул 2004г_18.12_Дайджест 2003-2004 гг._Презентация для Ульянова 9" xfId="14514"/>
    <cellStyle name="_сводный титул 2004г_18.12_Дайджест 2003-2004 гг._Презентация для Ульянова И.Г. от 17.12.07" xfId="14515"/>
    <cellStyle name="_сводный титул 2004г_18.12_Дайджест 2003-2004 гг._Презентация для Ульянова И.Г. от 17.12.07 2" xfId="14516"/>
    <cellStyle name="_сводный титул 2004г_18.12_Дайджест 2003-2004 гг._Презентация для Ульянова И.Г. от 17.12.07 3" xfId="14517"/>
    <cellStyle name="_сводный титул 2004г_18.12_Дайджест 2003-2004 гг._Презентация для Ульянова И.Г. от 17.12.07 4" xfId="14518"/>
    <cellStyle name="_сводный титул 2004г_18.12_Дайджест 2003-2004 гг._Презентация для Ульянова И.Г. от 17.12.07 5" xfId="14519"/>
    <cellStyle name="_сводный титул 2004г_18.12_Дайджест 2003-2004 гг._Презентация для Ульянова И.Г. от 17.12.07 6" xfId="14520"/>
    <cellStyle name="_сводный титул 2004г_18.12_Дайджест 2003-2004 гг._Презентация для Ульянова И.Г. от 17.12.07 7" xfId="14521"/>
    <cellStyle name="_сводный титул 2004г_18.12_Дайджест 2003-2004 гг._Презентация для Ульянова И.Г. от 17.12.07 8" xfId="14522"/>
    <cellStyle name="_сводный титул 2004г_18.12_Дайджест 2003-2004 гг._Презентация для Ульянова И.Г. от 17.12.07 9" xfId="14523"/>
    <cellStyle name="_сводный титул 2004г_18.12_Дайджест 2003-2004 гг._презентация займы РК г" xfId="14524"/>
    <cellStyle name="_сводный титул 2004г_18.12_Дайджест 2003-2004 гг._презентация займы РК г 2" xfId="14525"/>
    <cellStyle name="_сводный титул 2004г_18.12_Дайджест 2003-2004 гг._презентация займы РК г 3" xfId="14526"/>
    <cellStyle name="_сводный титул 2004г_18.12_Дайджест 2003-2004 гг._презентация займы РК г 4" xfId="14527"/>
    <cellStyle name="_сводный титул 2004г_18.12_Дайджест 2003-2004 гг._презентация займы РК г 5" xfId="14528"/>
    <cellStyle name="_сводный титул 2004г_18.12_Дайджест 2003-2004 гг._презентация займы РК г 6" xfId="14529"/>
    <cellStyle name="_сводный титул 2004г_18.12_Дайджест 2003-2004 гг._презентация займы РК г 7" xfId="14530"/>
    <cellStyle name="_сводный титул 2004г_18.12_Дайджест 2003-2004 гг._презентация займы РК г 8" xfId="14531"/>
    <cellStyle name="_сводный титул 2004г_18.12_Дайджест 2003-2004 гг._презентация займы РК г 9" xfId="14532"/>
    <cellStyle name="_сводный титул 2004г_18.12_Дайджест 2003-2004 гг._Презентация инвестиции" xfId="14533"/>
    <cellStyle name="_сводный титул 2004г_18.12_Дайджест 2003-2004 гг._Презентация инвестиции 2" xfId="14534"/>
    <cellStyle name="_сводный титул 2004г_18.12_Дайджест 2003-2004 гг._Презентация инвестиции 3" xfId="14535"/>
    <cellStyle name="_сводный титул 2004г_18.12_Дайджест 2003-2004 гг._Презентация инвестиции 4" xfId="14536"/>
    <cellStyle name="_сводный титул 2004г_18.12_Дайджест 2003-2004 гг._Презентация инвестиции 5" xfId="14537"/>
    <cellStyle name="_сводный титул 2004г_18.12_Дайджест 2003-2004 гг._Презентация инвестиции 6" xfId="14538"/>
    <cellStyle name="_сводный титул 2004г_18.12_Дайджест 2003-2004 гг._Презентация инвестиции 7" xfId="14539"/>
    <cellStyle name="_сводный титул 2004г_18.12_Дайджест 2003-2004 гг._Презентация инвестиции 8" xfId="14540"/>
    <cellStyle name="_сводный титул 2004г_18.12_Дайджест 2003-2004 гг._Презентация инвестиции 9" xfId="14541"/>
    <cellStyle name="_сводный титул 2004г_18.12_Дайджест 2003-2004 гг._Презентация коричн. СДП, РК, Инв план 2008 (фин. часть) от 24.03.08" xfId="14542"/>
    <cellStyle name="_сводный титул 2004г_18.12_Дайджест 2003-2004 гг._Презентация коричн. СДП, РК, Инв план 2008 (фин. часть) от 24.03.08 2" xfId="14543"/>
    <cellStyle name="_сводный титул 2004г_18.12_Дайджест 2003-2004 гг._Презентация коричн. СДП, РК, Инв план 2008 (фин. часть) от 24.03.08 3" xfId="14544"/>
    <cellStyle name="_сводный титул 2004г_18.12_Дайджест 2003-2004 гг._Презентация коричн. СДП, РК, Инв план 2008 (фин. часть) от 24.03.08 4" xfId="14545"/>
    <cellStyle name="_сводный титул 2004г_18.12_Дайджест 2003-2004 гг._Презентация коричн. СДП, РК, Инв план 2008 (фин. часть) от 24.03.08 5" xfId="14546"/>
    <cellStyle name="_сводный титул 2004г_18.12_Дайджест 2003-2004 гг._Презентация коричн. СДП, РК, Инв план 2008 (фин. часть) от 24.03.08 6" xfId="14547"/>
    <cellStyle name="_сводный титул 2004г_18.12_Дайджест 2003-2004 гг._Презентация коричн. СДП, РК, Инв план 2008 (фин. часть) от 24.03.08 7" xfId="14548"/>
    <cellStyle name="_сводный титул 2004г_18.12_Дайджест 2003-2004 гг._Презентация коричн. СДП, РК, Инв план 2008 (фин. часть) от 24.03.08 8" xfId="14549"/>
    <cellStyle name="_сводный титул 2004г_18.12_Дайджест 2003-2004 гг._Презентация коричн. СДП, РК, Инв план 2008 (фин. часть) от 24.03.08 9" xfId="14550"/>
    <cellStyle name="_сводный титул 2004г_18.12_Дайджест 2003-2004 гг._Презентация коричневая 2007 план + ож" xfId="14551"/>
    <cellStyle name="_сводный титул 2004г_18.12_Дайджест 2003-2004 гг._Презентация коричневая 2007-2008" xfId="14552"/>
    <cellStyle name="_сводный титул 2004г_18.12_Дайджест 2003-2004 гг._Презентация от 10.12.07 (СПД и РК)  2007план и 2007ожид." xfId="14553"/>
    <cellStyle name="_сводный титул 2004г_18.12_Дайджест 2003-2004 гг._Презентация от 10.12.07 (СПД и РК)  2007план и 2007ожид. 2" xfId="14554"/>
    <cellStyle name="_сводный титул 2004г_18.12_Дайджест 2003-2004 гг._Презентация от 10.12.07 (СПД и РК)  2007план и 2007ожид. 3" xfId="14555"/>
    <cellStyle name="_сводный титул 2004г_18.12_Дайджест 2003-2004 гг._Презентация от 10.12.07 (СПД и РК)  2007план и 2007ожид. 4" xfId="14556"/>
    <cellStyle name="_сводный титул 2004г_18.12_Дайджест 2003-2004 гг._Презентация от 10.12.07 (СПД и РК)  2007план и 2007ожид. 5" xfId="14557"/>
    <cellStyle name="_сводный титул 2004г_18.12_Дайджест 2003-2004 гг._Презентация от 10.12.07 (СПД и РК)  2007план и 2007ожид. 6" xfId="14558"/>
    <cellStyle name="_сводный титул 2004г_18.12_Дайджест 2003-2004 гг._Презентация от 10.12.07 (СПД и РК)  2007план и 2007ожид. 7" xfId="14559"/>
    <cellStyle name="_сводный титул 2004г_18.12_Дайджест 2003-2004 гг._Презентация от 10.12.07 (СПД и РК)  2007план и 2007ожид. 8" xfId="14560"/>
    <cellStyle name="_сводный титул 2004г_18.12_Дайджест 2003-2004 гг._Презентация от 10.12.07 (СПД и РК)  2007план и 2007ожид. 9" xfId="14561"/>
    <cellStyle name="_сводный титул 2004г_18.12_Дайджест 2003-2004 гг._Презентация от 10.12.07 (СПД и РК)  2008план и 2007ожид" xfId="14562"/>
    <cellStyle name="_сводный титул 2004г_18.12_Дайджест 2003-2004 гг._Презентация от 10.12.07 (СПД и РК)  2008план и 2007ожид 2" xfId="14563"/>
    <cellStyle name="_сводный титул 2004г_18.12_Дайджест 2003-2004 гг._Презентация от 10.12.07 (СПД и РК)  2008план и 2007ожид 3" xfId="14564"/>
    <cellStyle name="_сводный титул 2004г_18.12_Дайджест 2003-2004 гг._Презентация от 10.12.07 (СПД и РК)  2008план и 2007ожид 4" xfId="14565"/>
    <cellStyle name="_сводный титул 2004г_18.12_Дайджест 2003-2004 гг._Презентация от 10.12.07 (СПД и РК)  2008план и 2007ожид 5" xfId="14566"/>
    <cellStyle name="_сводный титул 2004г_18.12_Дайджест 2003-2004 гг._Презентация от 10.12.07 (СПД и РК)  2008план и 2007ожид 6" xfId="14567"/>
    <cellStyle name="_сводный титул 2004г_18.12_Дайджест 2003-2004 гг._Презентация от 10.12.07 (СПД и РК)  2008план и 2007ожид 7" xfId="14568"/>
    <cellStyle name="_сводный титул 2004г_18.12_Дайджест 2003-2004 гг._Презентация от 10.12.07 (СПД и РК)  2008план и 2007ожид 8" xfId="14569"/>
    <cellStyle name="_сводный титул 2004г_18.12_Дайджест 2003-2004 гг._Презентация от 10.12.07 (СПД и РК)  2008план и 2007ожид 9" xfId="14570"/>
    <cellStyle name="_сводный титул 2004г_18.12_Дайджест 2003-2004 гг._Презентация от 19 12 07" xfId="14571"/>
    <cellStyle name="_сводный титул 2004г_18.12_Дайджест 2003-2004 гг._Презентация от 19 12 07 2" xfId="14572"/>
    <cellStyle name="_сводный титул 2004г_18.12_Дайджест 2003-2004 гг._Презентация от 19 12 07 3" xfId="14573"/>
    <cellStyle name="_сводный титул 2004г_18.12_Дайджест 2003-2004 гг._Презентация от 19 12 07 4" xfId="14574"/>
    <cellStyle name="_сводный титул 2004г_18.12_Дайджест 2003-2004 гг._Презентация от 19 12 07 5" xfId="14575"/>
    <cellStyle name="_сводный титул 2004г_18.12_Дайджест 2003-2004 гг._Презентация от 19 12 07 6" xfId="14576"/>
    <cellStyle name="_сводный титул 2004г_18.12_Дайджест 2003-2004 гг._Презентация от 19 12 07 7" xfId="14577"/>
    <cellStyle name="_сводный титул 2004г_18.12_Дайджест 2003-2004 гг._Презентация от 19 12 07 8" xfId="14578"/>
    <cellStyle name="_сводный титул 2004г_18.12_Дайджест 2003-2004 гг._Презентация от 19 12 07 9" xfId="14579"/>
    <cellStyle name="_сводный титул 2004г_18.12_Дайджест 2003-2004 гг._Презентация СДП, РК, Инв план 2008 (фин. часть) от 24.03.08" xfId="14580"/>
    <cellStyle name="_сводный титул 2004г_18.12_Дайджест 2003-2004 гг._Презентация СДП, РК, Инв план 2008 (фин. часть) от 24.03.08 2" xfId="14581"/>
    <cellStyle name="_сводный титул 2004г_18.12_Дайджест 2003-2004 гг._Презентация СДП, РК, Инв план 2008 (фин. часть) от 24.03.08 3" xfId="14582"/>
    <cellStyle name="_сводный титул 2004г_18.12_Дайджест 2003-2004 гг._Презентация СДП, РК, Инв план 2008 (фин. часть) от 24.03.08 4" xfId="14583"/>
    <cellStyle name="_сводный титул 2004г_18.12_Дайджест 2003-2004 гг._Презентация СДП, РК, Инв план 2008 (фин. часть) от 24.03.08 5" xfId="14584"/>
    <cellStyle name="_сводный титул 2004г_18.12_Дайджест 2003-2004 гг._Презентация СДП, РК, Инв план 2008 (фин. часть) от 24.03.08 6" xfId="14585"/>
    <cellStyle name="_сводный титул 2004г_18.12_Дайджест 2003-2004 гг._Презентация СДП, РК, Инв план 2008 (фин. часть) от 24.03.08 7" xfId="14586"/>
    <cellStyle name="_сводный титул 2004г_18.12_Дайджест 2003-2004 гг._Презентация СДП, РК, Инв план 2008 (фин. часть) от 24.03.08 8" xfId="14587"/>
    <cellStyle name="_сводный титул 2004г_18.12_Дайджест 2003-2004 гг._Презентация СДП, РК, Инв план 2008 (фин. часть) от 24.03.08 9" xfId="14588"/>
    <cellStyle name="_сводный титул 2004г_18.12_Дайджест 2003-2004 гг._Презентация ФО от 17.12.07" xfId="14589"/>
    <cellStyle name="_сводный титул 2004г_18.12_Дайджест 2003-2004 гг._Презентация ФО от 17.12.07 2" xfId="14590"/>
    <cellStyle name="_сводный титул 2004г_18.12_Дайджест 2003-2004 гг._Презентация ФО от 17.12.07 3" xfId="14591"/>
    <cellStyle name="_сводный титул 2004г_18.12_Дайджест 2003-2004 гг._Презентация ФО от 17.12.07 4" xfId="14592"/>
    <cellStyle name="_сводный титул 2004г_18.12_Дайджест 2003-2004 гг._Презентация ФО от 17.12.07 5" xfId="14593"/>
    <cellStyle name="_сводный титул 2004г_18.12_Дайджест 2003-2004 гг._Презентация ФО от 17.12.07 6" xfId="14594"/>
    <cellStyle name="_сводный титул 2004г_18.12_Дайджест 2003-2004 гг._Презентация ФО от 17.12.07 7" xfId="14595"/>
    <cellStyle name="_сводный титул 2004г_18.12_Дайджест 2003-2004 гг._Презентация ФО от 17.12.07 8" xfId="14596"/>
    <cellStyle name="_сводный титул 2004г_18.12_Дайджест 2003-2004 гг._Презентация ФО от 17.12.07 9" xfId="14597"/>
    <cellStyle name="_сводный титул 2004г_18.12_Дайджест 2003-2004 гг._презентация-2008год " xfId="14598"/>
    <cellStyle name="_сводный титул 2004г_18.12_Дайджест 2003-2004 гг._презентация-2008год  2" xfId="14599"/>
    <cellStyle name="_сводный титул 2004г_18.12_Дайджест 2003-2004 гг._презентация-2008год  3" xfId="14600"/>
    <cellStyle name="_сводный титул 2004г_18.12_Дайджест 2003-2004 гг._презентация-2008год  4" xfId="14601"/>
    <cellStyle name="_сводный титул 2004г_18.12_Дайджест 2003-2004 гг._презентация-2008год  5" xfId="14602"/>
    <cellStyle name="_сводный титул 2004г_18.12_Дайджест 2003-2004 гг._презентация-2008год  6" xfId="14603"/>
    <cellStyle name="_сводный титул 2004г_18.12_Дайджест 2003-2004 гг._презентация-2008год  7" xfId="14604"/>
    <cellStyle name="_сводный титул 2004г_18.12_Дайджест 2003-2004 гг._презентация-2008год  8" xfId="14605"/>
    <cellStyle name="_сводный титул 2004г_18.12_Дайджест 2003-2004 гг._презентация-2008год  9" xfId="14606"/>
    <cellStyle name="_сводный титул 2004г_18.12_Дайджест 2003-2004 гг._Презетация ФО (с учетом инвестиций на 2341,2)" xfId="14607"/>
    <cellStyle name="_сводный титул 2004г_18.12_Дайджест 2003-2004 гг._Презетация ФО (с учетом инвестиций на 2341,2) 2" xfId="14608"/>
    <cellStyle name="_сводный титул 2004г_18.12_Дайджест 2003-2004 гг._Презетация ФО (с учетом инвестиций на 2341,2) 3" xfId="14609"/>
    <cellStyle name="_сводный титул 2004г_18.12_Дайджест 2003-2004 гг._Презетация ФО (с учетом инвестиций на 2341,2) 4" xfId="14610"/>
    <cellStyle name="_сводный титул 2004г_18.12_Дайджест 2003-2004 гг._Презетация ФО (с учетом инвестиций на 2341,2) 5" xfId="14611"/>
    <cellStyle name="_сводный титул 2004г_18.12_Дайджест 2003-2004 гг._Презетация ФО (с учетом инвестиций на 2341,2) 6" xfId="14612"/>
    <cellStyle name="_сводный титул 2004г_18.12_Дайджест 2003-2004 гг._Презетация ФО (с учетом инвестиций на 2341,2) 7" xfId="14613"/>
    <cellStyle name="_сводный титул 2004г_18.12_Дайджест 2003-2004 гг._Презетация ФО (с учетом инвестиций на 2341,2) 8" xfId="14614"/>
    <cellStyle name="_сводный титул 2004г_18.12_Дайджест 2003-2004 гг._Презетация ФО (с учетом инвестиций на 2341,2) 9" xfId="14615"/>
    <cellStyle name="_сводный титул 2004г_18.12_Дайджест 2003-2004 гг._Приложения (формы отчетности)" xfId="14616"/>
    <cellStyle name="_сводный титул 2004г_18.12_Дайджест 2003-2004 гг._Приложения февраль 09 (МП) отпр в УК от 04 02 09" xfId="14617"/>
    <cellStyle name="_сводный титул 2004г_18.12_Дайджест 2003-2004 гг._Прогноз консолидированный июнь" xfId="14618"/>
    <cellStyle name="_сводный титул 2004г_18.12_Дайджест 2003-2004 гг._РК+СДП 2008 год" xfId="14619"/>
    <cellStyle name="_сводный титул 2004г_18.12_Дайджест 2003-2004 гг._РК+СДП 2008 год 2" xfId="14620"/>
    <cellStyle name="_сводный титул 2004г_18.12_Дайджест 2003-2004 гг._РК+СДП 2008 год 3" xfId="14621"/>
    <cellStyle name="_сводный титул 2004г_18.12_Дайджест 2003-2004 гг._РК+СДП 2008 год 4" xfId="14622"/>
    <cellStyle name="_сводный титул 2004г_18.12_Дайджест 2003-2004 гг._РК+СДП 2008 год 5" xfId="14623"/>
    <cellStyle name="_сводный титул 2004г_18.12_Дайджест 2003-2004 гг._РК+СДП 2008 год 6" xfId="14624"/>
    <cellStyle name="_сводный титул 2004г_18.12_Дайджест 2003-2004 гг._РК+СДП 2008 год 7" xfId="14625"/>
    <cellStyle name="_сводный титул 2004г_18.12_Дайджест 2003-2004 гг._РК+СДП 2008 год 8" xfId="14626"/>
    <cellStyle name="_сводный титул 2004г_18.12_Дайджест 2003-2004 гг._РК+СДП 2008 год 9" xfId="14627"/>
    <cellStyle name="_сводный титул 2004г_18.12_Дайджест 2003-2004 гг._Свод производства 1 квартал" xfId="14628"/>
    <cellStyle name="_сводный титул 2004г_18.12_Дайджест 2003-2004 гг._Себестоимость" xfId="14629"/>
    <cellStyle name="_сводный титул 2004г_18.12_Дайджест 2003-2004 гг._Слайд осн показатели к совещанию в УК от 18 01 09" xfId="14630"/>
    <cellStyle name="_сводный титул 2004г_18.12_Дайджест 2003-2004 гг._Слайды 2-й квартал (ФП-КП)" xfId="14631"/>
    <cellStyle name="_сводный титул 2004г_18.12_Дайджест 2003-2004 гг._Слайды 2-й квартал (ФП-КП) 2" xfId="14632"/>
    <cellStyle name="_сводный титул 2004г_18.12_Дайджест 2003-2004 гг._Слайды 2-й квартал (ФП-КП) 3" xfId="14633"/>
    <cellStyle name="_сводный титул 2004г_18.12_Дайджест 2003-2004 гг._Слайды 2-й квартал (ФП-КП) 4" xfId="14634"/>
    <cellStyle name="_сводный титул 2004г_18.12_Дайджест 2003-2004 гг._Слайды 2-й квартал (ФП-КП) 5" xfId="14635"/>
    <cellStyle name="_сводный титул 2004г_18.12_Дайджест 2003-2004 гг._Слайды 2-й квартал (ФП-КП) 6" xfId="14636"/>
    <cellStyle name="_сводный титул 2004г_18.12_Дайджест 2003-2004 гг._Слайды 2-й квартал (ФП-КП) 7" xfId="14637"/>
    <cellStyle name="_сводный титул 2004г_18.12_Дайджест 2003-2004 гг._Слайды 2-й квартал (ФП-КП) 8" xfId="14638"/>
    <cellStyle name="_сводный титул 2004г_18.12_Дайджест 2003-2004 гг._Слайды 2-й квартал (ФП-КП) 9" xfId="14639"/>
    <cellStyle name="_сводный титул 2004г_18.12_Дайджест 2003-2004 гг._СПД, РК, Инв. 2008 коричневая" xfId="14640"/>
    <cellStyle name="_сводный титул 2004г_18.12_Дайджест 2003-2004 гг._СПД, РК, Инв. 2008 коричневая 2" xfId="14641"/>
    <cellStyle name="_сводный титул 2004г_18.12_Дайджест 2003-2004 гг._СПД, РК, Инв. 2008 коричневая 3" xfId="14642"/>
    <cellStyle name="_сводный титул 2004г_18.12_Дайджест 2003-2004 гг._СПД, РК, Инв. 2008 коричневая 4" xfId="14643"/>
    <cellStyle name="_сводный титул 2004г_18.12_Дайджест 2003-2004 гг._СПД, РК, Инв. 2008 коричневая 5" xfId="14644"/>
    <cellStyle name="_сводный титул 2004г_18.12_Дайджест 2003-2004 гг._СПД, РК, Инв. 2008 коричневая 6" xfId="14645"/>
    <cellStyle name="_сводный титул 2004г_18.12_Дайджест 2003-2004 гг._СПД, РК, Инв. 2008 коричневая 7" xfId="14646"/>
    <cellStyle name="_сводный титул 2004г_18.12_Дайджест 2003-2004 гг._СПД, РК, Инв. 2008 коричневая 8" xfId="14647"/>
    <cellStyle name="_сводный титул 2004г_18.12_Дайджест 2003-2004 гг._СПД, РК, Инв. 2008 коричневая 9" xfId="14648"/>
    <cellStyle name="_сводный титул 2004г_18.12_Дайджест 2003-2004 гг._Сравнение ожидаемого 2008  c БП 2009г. УрСт вариант 2 (скоррект. цены)" xfId="14649"/>
    <cellStyle name="_сводный титул 2004г_18.12_Дайджест 2003-2004 гг._Сравнение ожидаемого 2008 с 2009г  ОЭМК от 06 10 2008" xfId="14650"/>
    <cellStyle name="_сводный титул 2004г_18.12_Дайджест 2003-2004 гг._Сравнение ожидаемого 2008 с 2009г. ОЭМК  28.10.2008 (скорректир. цены)" xfId="14651"/>
    <cellStyle name="_сводный титул 2004г_18.12_Дайджест 2003-2004 гг._Сравнение ожидаемого 2008 УС c 2009г  от 06 10 2008" xfId="14652"/>
    <cellStyle name="_сводный титул 2004г_18.12_Дайджест 2003-2004 гг._Структура затрат (Формат) ЛГОК" xfId="14653"/>
    <cellStyle name="_сводный титул 2004г_18.12_Дайджест 2003-2004 гг._Структура затрат (Формат) ЛГОК_28.01.2009" xfId="14654"/>
    <cellStyle name="_сводный титул 2004г_18.12_Дайджест 2003-2004 гг._ТП на 2011_год покварт" xfId="14655"/>
    <cellStyle name="_сводный титул 2004г_18.12_Дайджест 2003-2004 гг._Труд для нас" xfId="14656"/>
    <cellStyle name="_сводный титул 2004г_18.12_Дайджест 2003-2004 гг._Труд для нас 2" xfId="14657"/>
    <cellStyle name="_сводный титул 2004г_18.12_Дайджест 2003-2004 гг._Труд для нас 3" xfId="14658"/>
    <cellStyle name="_сводный титул 2004г_18.12_Дайджест 2003-2004 гг._Труд для нас 4" xfId="14659"/>
    <cellStyle name="_сводный титул 2004г_18.12_Дайджест 2003-2004 гг._Труд для нас 5" xfId="14660"/>
    <cellStyle name="_сводный титул 2004г_18.12_Дайджест 2003-2004 гг._Труд для нас 6" xfId="14661"/>
    <cellStyle name="_сводный титул 2004г_18.12_Дайджест 2003-2004 гг._Труд для нас 7" xfId="14662"/>
    <cellStyle name="_сводный титул 2004г_18.12_Дайджест 2003-2004 гг._Труд для нас 8" xfId="14663"/>
    <cellStyle name="_сводный титул 2004г_18.12_Дайджест 2003-2004 гг._Труд для нас 9" xfId="14664"/>
    <cellStyle name="_сводный титул 2004г_18.12_Дайджест 2003-2004 гг._УралКирпич_план на 2 кв. 2009" xfId="14665"/>
    <cellStyle name="_сводный титул 2004г_18.12_Дайджест 2003-2004 гг._УСТ - любимая табличка по новому 2009 г." xfId="14666"/>
    <cellStyle name="_сводный титул 2004г_18.12_Дайджест 2003-2004 гг._Ф 29, 30" xfId="14667"/>
    <cellStyle name="_сводный титул 2004г_18.12_Дайджест 2003-2004 гг._Ф 29, 30 2" xfId="14668"/>
    <cellStyle name="_сводный титул 2004г_18.12_Дайджест 2003-2004 гг._Ф 29, 30 3" xfId="14669"/>
    <cellStyle name="_сводный титул 2004г_18.12_Дайджест 2003-2004 гг._Ф 29, 30 4" xfId="14670"/>
    <cellStyle name="_сводный титул 2004г_18.12_Дайджест 2003-2004 гг._Ф 29, 30 5" xfId="14671"/>
    <cellStyle name="_сводный титул 2004г_18.12_Дайджест 2003-2004 гг._Ф 29, 30 6" xfId="14672"/>
    <cellStyle name="_сводный титул 2004г_18.12_Дайджест 2003-2004 гг._Ф 29, 30 7" xfId="14673"/>
    <cellStyle name="_сводный титул 2004г_18.12_Дайджест 2003-2004 гг._Ф 29, 30 8" xfId="14674"/>
    <cellStyle name="_сводный титул 2004г_18.12_Дайджест 2003-2004 гг._Ф 29, 30 9" xfId="14675"/>
    <cellStyle name="_сводный титул 2004г_18.12_Дайджест 2003-2004 гг._ф IIкв.07 EBITDA ЛГОК 27.07.07" xfId="14676"/>
    <cellStyle name="_сводный титул 2004г_18.12_Дайджест 2003-2004 гг._ф01 2007 фин. часть МГОК 21.03.07" xfId="14677"/>
    <cellStyle name="_сводный титул 2004г_18.12_Дайджест 2003-2004 гг._ф01.07 EBITDA ОАО ЛГОК 02.03.07" xfId="14678"/>
    <cellStyle name="_сводный титул 2004г_18.12_Дайджест 2003-2004 гг._ф01.07 EBITDA ОАО ЛГОК 05.03.07" xfId="14679"/>
    <cellStyle name="_сводный титул 2004г_18.12_Дайджест 2003-2004 гг._ф01.07 EBITDA ОАО ЛГОК с изм. 30.03.07" xfId="14680"/>
    <cellStyle name="_сводный титул 2004г_18.12_Дайджест 2003-2004 гг._ф01.07 EBITDA ОАО УС 05.03.07" xfId="14681"/>
    <cellStyle name="_сводный титул 2004г_18.12_Дайджест 2003-2004 гг._ф01.07 EBITDA ОАО УС 05.03.07(26,2)" xfId="14682"/>
    <cellStyle name="_сводный титул 2004г_18.12_Дайджест 2003-2004 гг._ф01.07 EBITDA ОЭМК 02.03.07" xfId="14683"/>
    <cellStyle name="_сводный титул 2004г_18.12_Дайджест 2003-2004 гг._ф02.07 EBITDA ОАО ЛГОК 28.03.07" xfId="14684"/>
    <cellStyle name="_сводный титул 2004г_18.12_Дайджест 2003-2004 гг._ф02.07 EBITDA ОАО УС 28.03.07" xfId="14685"/>
    <cellStyle name="_сводный титул 2004г_18.12_Дайджест 2003-2004 гг._ф02.07 EBITDA ОЭМК 28.03.07" xfId="14686"/>
    <cellStyle name="_сводный титул 2004г_18.12_Дайджест 2003-2004 гг._ф11 Депозиты" xfId="14687"/>
    <cellStyle name="_сводный титул 2004г_18.12_Дайджест 2003-2004 гг._ф1кв.07 EBITDA ЛГОК 28.04.07" xfId="14688"/>
    <cellStyle name="_сводный титул 2004г_18.12_Дайджест 2003-2004 гг._фIкв EBITDA ОАО УС 28.04.07" xfId="14689"/>
    <cellStyle name="_сводный титул 2004г_18.12_Дайджест 2003-2004 гг._фIкв EBITDA ОЭМК 28.04.07" xfId="14690"/>
    <cellStyle name="_сводный титул 2004г_18.12_Дайджест 2003-2004 гг._Факт_2007_Часть 2" xfId="14691"/>
    <cellStyle name="_сводный титул 2004г_18.12_Дайджест 2003-2004 гг._Фин.часть  2007ожид и 2008 план" xfId="14692"/>
    <cellStyle name="_сводный титул 2004г_18.12_Дайджест 2003-2004 гг._Фин.часть  2007ожид и 2008 план 2" xfId="14693"/>
    <cellStyle name="_сводный титул 2004г_18.12_Дайджест 2003-2004 гг._Фин.часть  2007ожид и 2008 план 3" xfId="14694"/>
    <cellStyle name="_сводный титул 2004г_18.12_Дайджест 2003-2004 гг._Фин.часть  2007ожид и 2008 план 4" xfId="14695"/>
    <cellStyle name="_сводный титул 2004г_18.12_Дайджест 2003-2004 гг._Фин.часть  2007ожид и 2008 план 5" xfId="14696"/>
    <cellStyle name="_сводный титул 2004г_18.12_Дайджест 2003-2004 гг._Фин.часть  2007ожид и 2008 план 6" xfId="14697"/>
    <cellStyle name="_сводный титул 2004г_18.12_Дайджест 2003-2004 гг._Фин.часть  2007ожид и 2008 план 7" xfId="14698"/>
    <cellStyle name="_сводный титул 2004г_18.12_Дайджест 2003-2004 гг._Фин.часть  2007ожид и 2008 план 8" xfId="14699"/>
    <cellStyle name="_сводный титул 2004г_18.12_Дайджест 2003-2004 гг._Фин.часть  2007ожид и 2008 план 9" xfId="14700"/>
    <cellStyle name="_сводный титул 2004г_18.12_Дайджест 2003-2004 гг._Фин.часть 11.12.06" xfId="14701"/>
    <cellStyle name="_сводный титул 2004г_18.12_Дайджест 2003-2004 гг._Фин.часть 11.12.06 2" xfId="14702"/>
    <cellStyle name="_сводный титул 2004г_18.12_Дайджест 2003-2004 гг._Фин.часть 11.12.06 3" xfId="14703"/>
    <cellStyle name="_сводный титул 2004г_18.12_Дайджест 2003-2004 гг._Фин.часть 11.12.06 4" xfId="14704"/>
    <cellStyle name="_сводный титул 2004г_18.12_Дайджест 2003-2004 гг._Фин.часть 11.12.06 5" xfId="14705"/>
    <cellStyle name="_сводный титул 2004г_18.12_Дайджест 2003-2004 гг._Фин.часть 11.12.06 6" xfId="14706"/>
    <cellStyle name="_сводный титул 2004г_18.12_Дайджест 2003-2004 гг._Фин.часть 11.12.06 7" xfId="14707"/>
    <cellStyle name="_сводный титул 2004г_18.12_Дайджест 2003-2004 гг._Фин.часть 11.12.06 8" xfId="14708"/>
    <cellStyle name="_сводный титул 2004г_18.12_Дайджест 2003-2004 гг._Фин.часть 11.12.06 9" xfId="14709"/>
    <cellStyle name="_сводный титул 2004г_18.12_Дайджест 2003-2004 гг._Форма  19     27.03.07" xfId="14710"/>
    <cellStyle name="_сводный титул 2004г_18.12_Дайджест 2003-2004 гг._Форма  19     27.03.07 2" xfId="14711"/>
    <cellStyle name="_сводный титул 2004г_18.12_Дайджест 2003-2004 гг._Форма  19     27.03.07 3" xfId="14712"/>
    <cellStyle name="_сводный титул 2004г_18.12_Дайджест 2003-2004 гг._Форма  19     27.03.07 4" xfId="14713"/>
    <cellStyle name="_сводный титул 2004г_18.12_Дайджест 2003-2004 гг._Форма  19     27.03.07 5" xfId="14714"/>
    <cellStyle name="_сводный титул 2004г_18.12_Дайджест 2003-2004 гг._Форма  19     27.03.07 6" xfId="14715"/>
    <cellStyle name="_сводный титул 2004г_18.12_Дайджест 2003-2004 гг._Форма  19     27.03.07 7" xfId="14716"/>
    <cellStyle name="_сводный титул 2004г_18.12_Дайджест 2003-2004 гг._Форма  19     27.03.07 8" xfId="14717"/>
    <cellStyle name="_сводный титул 2004г_18.12_Дайджест 2003-2004 гг._Форма  19     27.03.07 9" xfId="14718"/>
    <cellStyle name="_сводный титул 2004г_18.12_Дайджест 2003-2004 гг._Форма  20,21 25.02.07" xfId="14719"/>
    <cellStyle name="_сводный титул 2004г_18.12_Дайджест 2003-2004 гг._Форма _ 2,4,5,30 скорр." xfId="14720"/>
    <cellStyle name="_сводный титул 2004г_18.12_Дайджест 2003-2004 гг._Форма 19 за 1 кв" xfId="14721"/>
    <cellStyle name="_сводный титул 2004г_18.12_Дайджест 2003-2004 гг._Форма 20,21за 1 кв 25.04.07" xfId="14722"/>
    <cellStyle name="_сводный титул 2004г_18.12_Дайджест 2003-2004 гг._Форма 28" xfId="14723"/>
    <cellStyle name="_сводный титул 2004г_18.12_Дайджест 2003-2004 гг._Форма 9" xfId="14724"/>
    <cellStyle name="_сводный титул 2004г_18.12_Дайджест 2003-2004 гг._Форма 9 2" xfId="14725"/>
    <cellStyle name="_сводный титул 2004г_18.12_Дайджест 2003-2004 гг._Форма 9 3" xfId="14726"/>
    <cellStyle name="_сводный титул 2004г_18.12_Дайджест 2003-2004 гг._Форма 9 4" xfId="14727"/>
    <cellStyle name="_сводный титул 2004г_18.12_Дайджест 2003-2004 гг._Форма 9 5" xfId="14728"/>
    <cellStyle name="_сводный титул 2004г_18.12_Дайджест 2003-2004 гг._Форма 9 6" xfId="14729"/>
    <cellStyle name="_сводный титул 2004г_18.12_Дайджест 2003-2004 гг._Форма 9 7" xfId="14730"/>
    <cellStyle name="_сводный титул 2004г_18.12_Дайджест 2003-2004 гг._Форма 9 8" xfId="14731"/>
    <cellStyle name="_сводный титул 2004г_18.12_Дайджест 2003-2004 гг._Форма 9 9" xfId="14732"/>
    <cellStyle name="_сводный титул 2004г_18.12_Дайджест 2003-2004 гг._Форма № 13, 14" xfId="14733"/>
    <cellStyle name="_сводный титул 2004г_18.12_Дайджест 2003-2004 гг._Форма № 19 25.02.07" xfId="14734"/>
    <cellStyle name="_сводный титул 2004г_18.12_Дайджест 2003-2004 гг._Форма № 28, 29, 30 план год 2008 от 05.12.07 для отправки" xfId="14735"/>
    <cellStyle name="_сводный титул 2004г_18.12_Дайджест 2003-2004 гг._Форма № 28, 29, 30 план год 2008 от 05.12.07 для отправки 2" xfId="14736"/>
    <cellStyle name="_сводный титул 2004г_18.12_Дайджест 2003-2004 гг._Форма № 28, 29, 30 план год 2008 от 05.12.07 для отправки 3" xfId="14737"/>
    <cellStyle name="_сводный титул 2004г_18.12_Дайджест 2003-2004 гг._Форма № 28, 29, 30 план год 2008 от 05.12.07 для отправки 4" xfId="14738"/>
    <cellStyle name="_сводный титул 2004г_18.12_Дайджест 2003-2004 гг._Форма № 28, 29, 30 план год 2008 от 05.12.07 для отправки 5" xfId="14739"/>
    <cellStyle name="_сводный титул 2004г_18.12_Дайджест 2003-2004 гг._Форма № 28, 29, 30 план год 2008 от 05.12.07 для отправки 6" xfId="14740"/>
    <cellStyle name="_сводный титул 2004г_18.12_Дайджест 2003-2004 гг._Форма № 28, 29, 30 план год 2008 от 05.12.07 для отправки 7" xfId="14741"/>
    <cellStyle name="_сводный титул 2004г_18.12_Дайджест 2003-2004 гг._Форма № 28, 29, 30 план год 2008 от 05.12.07 для отправки 8" xfId="14742"/>
    <cellStyle name="_сводный титул 2004г_18.12_Дайджест 2003-2004 гг._Форма № 28, 29, 30 план год 2008 от 05.12.07 для отправки 9" xfId="14743"/>
    <cellStyle name="_сводный титул 2004г_18.12_Дайджест 2003-2004 гг._Форма № 29" xfId="14744"/>
    <cellStyle name="_сводный титул 2004г_18.12_Дайджест 2003-2004 гг._Форма № 29 2" xfId="14745"/>
    <cellStyle name="_сводный титул 2004г_18.12_Дайджест 2003-2004 гг._Форма № 29 3" xfId="14746"/>
    <cellStyle name="_сводный титул 2004г_18.12_Дайджест 2003-2004 гг._Форма № 29 4" xfId="14747"/>
    <cellStyle name="_сводный титул 2004г_18.12_Дайджест 2003-2004 гг._Форма № 29 5" xfId="14748"/>
    <cellStyle name="_сводный титул 2004г_18.12_Дайджест 2003-2004 гг._Форма № 29 6" xfId="14749"/>
    <cellStyle name="_сводный титул 2004г_18.12_Дайджест 2003-2004 гг._Форма № 29 7" xfId="14750"/>
    <cellStyle name="_сводный титул 2004г_18.12_Дайджест 2003-2004 гг._Форма № 29 8" xfId="14751"/>
    <cellStyle name="_сводный титул 2004г_18.12_Дайджест 2003-2004 гг._Форма № 29 9" xfId="14752"/>
    <cellStyle name="_сводный титул 2004г_18.12_Дайджест 2003-2004 гг._Форма № 30  26.02.07" xfId="14753"/>
    <cellStyle name="_сводный титул 2004г_18.12_Дайджест 2003-2004 гг._Форма №13" xfId="14754"/>
    <cellStyle name="_сводный титул 2004г_18.12_Дайджест 2003-2004 гг._Форма №13, 14 от 25.04.07" xfId="14755"/>
    <cellStyle name="_сводный титул 2004г_18.12_Дайджест 2003-2004 гг._Форма №14" xfId="14756"/>
    <cellStyle name="_сводный титул 2004г_18.12_Дайджест 2003-2004 гг._Форма №19 июль факт" xfId="14757"/>
    <cellStyle name="_сводный титул 2004г_18.12_Дайджест 2003-2004 гг._форма №24 от 07.12.2006г" xfId="14758"/>
    <cellStyle name="_сводный титул 2004г_18.12_Дайджест 2003-2004 гг._форма №24 от 11.12.2006г" xfId="14759"/>
    <cellStyle name="_сводный титул 2004г_18.12_Дайджест 2003-2004 гг._форма №24 от 15.12.2006г" xfId="14760"/>
    <cellStyle name="_сводный титул 2004г_18.12_Дайджест 2003-2004 гг._форма №24,25 2 кв. от 02.04.07" xfId="14761"/>
    <cellStyle name="_сводный титул 2004г_18.12_Дайджест 2003-2004 гг._Форма №24,25 за 1 кв 2007" xfId="14762"/>
    <cellStyle name="_сводный титул 2004г_18.12_Дайджест 2003-2004 гг._Форма №24,25 за янв 2007" xfId="14763"/>
    <cellStyle name="_сводный титул 2004г_18.12_Дайджест 2003-2004 гг._Форма №26 1 кв" xfId="14764"/>
    <cellStyle name="_сводный титул 2004г_18.12_Дайджест 2003-2004 гг._Форма №27 1 кв" xfId="14765"/>
    <cellStyle name="_сводный титул 2004г_18.12_Дайджест 2003-2004 гг._Форма №8" xfId="14766"/>
    <cellStyle name="_сводный титул 2004г_18.12_Дайджест 2003-2004 гг._форма презентации по численности и зарплате" xfId="14767"/>
    <cellStyle name="_сводный титул 2004г_18.12_Дайджест 2003-2004 гг._форма презентации по численности и зарплате 2" xfId="14768"/>
    <cellStyle name="_сводный титул 2004г_18.12_Дайджест 2003-2004 гг._форма презентации по численности и зарплате 3" xfId="14769"/>
    <cellStyle name="_сводный титул 2004г_18.12_Дайджест 2003-2004 гг._форма презентации по численности и зарплате 4" xfId="14770"/>
    <cellStyle name="_сводный титул 2004г_18.12_Дайджест 2003-2004 гг._форма презентации по численности и зарплате 5" xfId="14771"/>
    <cellStyle name="_сводный титул 2004г_18.12_Дайджест 2003-2004 гг._форма презентации по численности и зарплате 6" xfId="14772"/>
    <cellStyle name="_сводный титул 2004г_18.12_Дайджест 2003-2004 гг._форма презентации по численности и зарплате 7" xfId="14773"/>
    <cellStyle name="_сводный титул 2004г_18.12_Дайджест 2003-2004 гг._форма презентации по численности и зарплате 8" xfId="14774"/>
    <cellStyle name="_сводный титул 2004г_18.12_Дайджест 2003-2004 гг._форма презентации по численности и зарплате 9" xfId="14775"/>
    <cellStyle name="_сводный титул 2004г_18.12_Дайджест 2003-2004 гг._Форма№13 (новая от 28 12 09г) февраль версия № и последняя" xfId="14776"/>
    <cellStyle name="_сводный титул 2004г_18.12_Дайджест 2003-2004 гг._Формат" xfId="14777"/>
    <cellStyle name="_сводный титул 2004г_18.12_Дайджест 2003-2004 гг._формат отчетности(фев с март)" xfId="14778"/>
    <cellStyle name="_сводный титул 2004г_18.12_Дайджест 2003-2004 гг._Формат Январь прогноз" xfId="14779"/>
    <cellStyle name="_сводный титул 2004г_18.12_Дайджест 2003-2004 гг._Формы 19,20,21" xfId="14780"/>
    <cellStyle name="_сводный титул 2004г_18.12_Дайджест 2003-2004 гг._Формы 19,20,21 16.12.06 " xfId="14781"/>
    <cellStyle name="_сводный титул 2004г_18.12_Дайджест 2003-2004 гг._Формы 19,20,21 на 2007г." xfId="14782"/>
    <cellStyle name="_сводный титул 2004г_18.12_Дайджест 2003-2004 гг._Формы Август-декбарь" xfId="14783"/>
    <cellStyle name="_сводный титул 2004г_18.12_Дайджест 2003-2004 гг._Формы для ЛГОК (к отправке)" xfId="14784"/>
    <cellStyle name="_сводный титул 2004г_18.12_Дайджест 2003-2004 гг._Формы для ОЭМК (к отправке)" xfId="14785"/>
    <cellStyle name="_сводный титул 2004г_18.12_Дайджест 2003-2004 гг._Формы общие отчет за год" xfId="14786"/>
    <cellStyle name="_сводный титул 2004г_18.12_Дайджест 2003-2004 гг._Формы общие отчет за год 10" xfId="14787"/>
    <cellStyle name="_сводный титул 2004г_18.12_Дайджест 2003-2004 гг._Формы общие отчет за год 11" xfId="14788"/>
    <cellStyle name="_сводный титул 2004г_18.12_Дайджест 2003-2004 гг._Формы общие отчет за год 12" xfId="14789"/>
    <cellStyle name="_сводный титул 2004г_18.12_Дайджест 2003-2004 гг._Формы общие отчет за год 13" xfId="14790"/>
    <cellStyle name="_сводный титул 2004г_18.12_Дайджест 2003-2004 гг._Формы общие отчет за год 2" xfId="14791"/>
    <cellStyle name="_сводный титул 2004г_18.12_Дайджест 2003-2004 гг._Формы общие отчет за год 3" xfId="14792"/>
    <cellStyle name="_сводный титул 2004г_18.12_Дайджест 2003-2004 гг._Формы общие отчет за год 4" xfId="14793"/>
    <cellStyle name="_сводный титул 2004г_18.12_Дайджест 2003-2004 гг._Формы общие отчет за год 5" xfId="14794"/>
    <cellStyle name="_сводный титул 2004г_18.12_Дайджест 2003-2004 гг._Формы общие отчет за год 6" xfId="14795"/>
    <cellStyle name="_сводный титул 2004г_18.12_Дайджест 2003-2004 гг._Формы общие отчет за год 7" xfId="14796"/>
    <cellStyle name="_сводный титул 2004г_18.12_Дайджест 2003-2004 гг._Формы общие отчет за год 8" xfId="14797"/>
    <cellStyle name="_сводный титул 2004г_18.12_Дайджест 2003-2004 гг._Формы общие отчет за год 9" xfId="14798"/>
    <cellStyle name="_сводный титул 2004г_18.12_Дайджест 2003-2004 гг._Формы общие отчет за год__План по труду 2008 261107 (10% с января)" xfId="14799"/>
    <cellStyle name="_сводный титул 2004г_18.12_Дайджест 2003-2004 гг._Формы общие отчет за год__План по труду 2008 261107 (10% с января) 2" xfId="14800"/>
    <cellStyle name="_сводный титул 2004г_18.12_Дайджест 2003-2004 гг._Формы общие отчет за год__План по труду 2008 261107 (10% с января) 3" xfId="14801"/>
    <cellStyle name="_сводный титул 2004г_18.12_Дайджест 2003-2004 гг._Формы общие отчет за год__План по труду 2008 261107 (10% с января) 4" xfId="14802"/>
    <cellStyle name="_сводный титул 2004г_18.12_Дайджест 2003-2004 гг._Формы общие отчет за год__План по труду 2008 261107 (10% с января) 5" xfId="14803"/>
    <cellStyle name="_сводный титул 2004г_18.12_Дайджест 2003-2004 гг._Формы общие отчет за год__План по труду 2008 261107 (10% с января) 6" xfId="14804"/>
    <cellStyle name="_сводный титул 2004г_18.12_Дайджест 2003-2004 гг._Формы общие отчет за год__План по труду 2008 261107 (10% с января) 7" xfId="14805"/>
    <cellStyle name="_сводный титул 2004г_18.12_Дайджест 2003-2004 гг._Формы общие отчет за год__План по труду 2008 261107 (10% с января) 8" xfId="14806"/>
    <cellStyle name="_сводный титул 2004г_18.12_Дайджест 2003-2004 гг._Формы общие отчет за год__План по труду 2008 261107 (10% с января) 9" xfId="14807"/>
    <cellStyle name="_сводный титул 2004г_18.12_Дайджест 2003-2004 гг._Формы общие отчет за год__План по труду 2008 ИТОГ (правл. ПНР 161007)_" xfId="14808"/>
    <cellStyle name="_сводный титул 2004г_18.12_Дайджест 2003-2004 гг._Формы общие отчет за год__План по труду 2008 ИТОГ (правл. ПНР 161007)_ 2" xfId="14809"/>
    <cellStyle name="_сводный титул 2004г_18.12_Дайджест 2003-2004 гг._Формы общие отчет за год__План по труду 2008 ИТОГ (правл. ПНР 161007)_ 3" xfId="14810"/>
    <cellStyle name="_сводный титул 2004г_18.12_Дайджест 2003-2004 гг._Формы общие отчет за год__План по труду 2008 ИТОГ (правл. ПНР 161007)_ 4" xfId="14811"/>
    <cellStyle name="_сводный титул 2004г_18.12_Дайджест 2003-2004 гг._Формы общие отчет за год__План по труду 2008 ИТОГ (правл. ПНР 161007)_ 5" xfId="14812"/>
    <cellStyle name="_сводный титул 2004г_18.12_Дайджест 2003-2004 гг._Формы общие отчет за год__План по труду 2008 ИТОГ (правл. ПНР 161007)_ 6" xfId="14813"/>
    <cellStyle name="_сводный титул 2004г_18.12_Дайджест 2003-2004 гг._Формы общие отчет за год__План по труду 2008 ИТОГ (правл. ПНР 161007)_ 7" xfId="14814"/>
    <cellStyle name="_сводный титул 2004г_18.12_Дайджест 2003-2004 гг._Формы общие отчет за год__План по труду 2008 ИТОГ (правл. ПНР 161007)_ 8" xfId="14815"/>
    <cellStyle name="_сводный титул 2004г_18.12_Дайджест 2003-2004 гг._Формы общие отчет за год__План по труду 2008 ИТОГ (правл. ПНР 161007)_ 9" xfId="14816"/>
    <cellStyle name="_сводный титул 2004г_18.12_Дайджест 2003-2004 гг._Формы общие отчет за год_2_Инвестпрограмма на 2008 год (КОВАЛЕВ)" xfId="14817"/>
    <cellStyle name="_сводный титул 2004г_18.12_Дайджест 2003-2004 гг._Формы общие отчет за год_Данные для ФОТ на 2008 год" xfId="14818"/>
    <cellStyle name="_сводный титул 2004г_18.12_Дайджест 2003-2004 гг._Формы общие отчет за год_Данные для ФОТ на 2008 год 2" xfId="14819"/>
    <cellStyle name="_сводный титул 2004г_18.12_Дайджест 2003-2004 гг._Формы общие отчет за год_Данные для ФОТ на 2008 год 3" xfId="14820"/>
    <cellStyle name="_сводный титул 2004г_18.12_Дайджест 2003-2004 гг._Формы общие отчет за год_Данные для ФОТ на 2008 год 4" xfId="14821"/>
    <cellStyle name="_сводный титул 2004г_18.12_Дайджест 2003-2004 гг._Формы общие отчет за год_Данные для ФОТ на 2008 год 5" xfId="14822"/>
    <cellStyle name="_сводный титул 2004г_18.12_Дайджест 2003-2004 гг._Формы общие отчет за год_Данные для ФОТ на 2008 год 6" xfId="14823"/>
    <cellStyle name="_сводный титул 2004г_18.12_Дайджест 2003-2004 гг._Формы общие отчет за год_Данные для ФОТ на 2008 год 7" xfId="14824"/>
    <cellStyle name="_сводный титул 2004г_18.12_Дайджест 2003-2004 гг._Формы общие отчет за год_Данные для ФОТ на 2008 год 8" xfId="14825"/>
    <cellStyle name="_сводный титул 2004г_18.12_Дайджест 2003-2004 гг._Формы общие отчет за год_Данные для ФОТ на 2008 год 9" xfId="14826"/>
    <cellStyle name="_сводный титул 2004г_18.12_Дайджест 2003-2004 гг._Формы общие отчет за год_План по труду 2008 ИТОГ (2003_вер)" xfId="14827"/>
    <cellStyle name="_сводный титул 2004г_18.12_Дайджест 2003-2004 гг._Формы общие отчет за год_План по труду 2008 ИТОГ (2003_вер) 2" xfId="14828"/>
    <cellStyle name="_сводный титул 2004г_18.12_Дайджест 2003-2004 гг._Формы общие отчет за год_План по труду 2008 ИТОГ (2003_вер) 3" xfId="14829"/>
    <cellStyle name="_сводный титул 2004г_18.12_Дайджест 2003-2004 гг._Формы общие отчет за год_План по труду 2008 ИТОГ (2003_вер) 4" xfId="14830"/>
    <cellStyle name="_сводный титул 2004г_18.12_Дайджест 2003-2004 гг._Формы общие отчет за год_План по труду 2008 ИТОГ (2003_вер) 5" xfId="14831"/>
    <cellStyle name="_сводный титул 2004г_18.12_Дайджест 2003-2004 гг._Формы общие отчет за год_План по труду 2008 ИТОГ (2003_вер) 6" xfId="14832"/>
    <cellStyle name="_сводный титул 2004г_18.12_Дайджест 2003-2004 гг._Формы общие отчет за год_План по труду 2008 ИТОГ (2003_вер) 7" xfId="14833"/>
    <cellStyle name="_сводный титул 2004г_18.12_Дайджест 2003-2004 гг._Формы общие отчет за год_План по труду 2008 ИТОГ (2003_вер) 8" xfId="14834"/>
    <cellStyle name="_сводный титул 2004г_18.12_Дайджест 2003-2004 гг._Формы общие отчет за год_План по труду 2008 ИТОГ (2003_вер) 9" xfId="14835"/>
    <cellStyle name="_сводный титул 2004г_18.12_Дайджест 2003-2004 гг._Формы общие отчет за год_ТКВ 2008 от 19.07" xfId="14836"/>
    <cellStyle name="_сводный титул 2004г_18.12_Дайджест 2003-2004 гг._Формы общие отчет за год_ТКВ 2008 от 31.07" xfId="14837"/>
    <cellStyle name="_сводный титул 2004г_18.12_Дайджест 2003-2004 гг._Эконом.показатели за февраль" xfId="14838"/>
    <cellStyle name="_сводный титул 2004г_18.12_Дайджест 2003-2004 гг._Экономические показатели Большаковой" xfId="14839"/>
    <cellStyle name="_сводный титул 2004г_18.12_Дайджест 2003-2004 гг._Экономические показатели Большаковой 2" xfId="14840"/>
    <cellStyle name="_сводный титул 2004г_18.12_Дайджест 2003-2004 гг._Экономические показатели Большаковой 3" xfId="14841"/>
    <cellStyle name="_сводный титул 2004г_18.12_Дайджест 2003-2004 гг._Экономические показатели Большаковой 4" xfId="14842"/>
    <cellStyle name="_сводный титул 2004г_18.12_Дайджест 2003-2004 гг._Экономические показатели Большаковой 5" xfId="14843"/>
    <cellStyle name="_сводный титул 2004г_18.12_Дайджест 2003-2004 гг._Экономические показатели Большаковой 6" xfId="14844"/>
    <cellStyle name="_сводный титул 2004г_18.12_Дайджест 2003-2004 гг._Экономические показатели Большаковой 7" xfId="14845"/>
    <cellStyle name="_сводный титул 2004г_18.12_Дайджест 2003-2004 гг._Экономические показатели Большаковой 8" xfId="14846"/>
    <cellStyle name="_сводный титул 2004г_18.12_Дайджест 2003-2004 гг._Экономические показатели Большаковой 9" xfId="14847"/>
    <cellStyle name="_сводный титул 2004г_18.12_исходные_291107" xfId="14848"/>
    <cellStyle name="_сводный титул 2004г_18.12_Лист1" xfId="14849"/>
    <cellStyle name="_сводный титул 2004г_18.12_Лист2" xfId="14850"/>
    <cellStyle name="_сводный титул 2004г_18.12_Лист3" xfId="14851"/>
    <cellStyle name="_сводный титул 2004г_18.12_План ДСМ 2 квартал 2009 ОТЧЕТ отп" xfId="14852"/>
    <cellStyle name="_сводный титул 2004г_18.12_План ДСМ 2 квартал 2009 ОТЧЕТ отп_Отчет за сентябрь_11_ДСМ_ОТЧЕТ" xfId="14853"/>
    <cellStyle name="_сводный титул 2004г_18.12_План ДСМ 2 квартал 2009 ОТЧЕТ отп_План ДСМ ноябрь 2011 ОТЧЕТ" xfId="14854"/>
    <cellStyle name="_сводный титул 2004г_18.12_План ДСМ 3 квартал 2009 ОТЧЕТ" xfId="14855"/>
    <cellStyle name="_сводный титул 2004г_18.12_План ДСМ 3 квартал 2009 ОТЧЕТ_Отчет за сентябрь_11_ДСМ_ОТЧЕТ" xfId="14856"/>
    <cellStyle name="_сводный титул 2004г_18.12_План ДСМ 3 квартал 2009 ОТЧЕТ_План ДСМ ноябрь 2011 ОТЧЕТ" xfId="14857"/>
    <cellStyle name="_сводный титул 2004г_18.12_План ДСМ 4 квартал 2009 ОТЧЕТ" xfId="14858"/>
    <cellStyle name="_сводный титул 2004г_18.12_План ДСМ на 4 квартал 2006 (последняя версия) 2" xfId="14859"/>
    <cellStyle name="_сводный титул 2004г_18.12_План ДСМ на 4 квартал 2006 (последняя версия) 2_Отчет за сентябрь_11_ДСМ_ОТЧЕТ" xfId="14860"/>
    <cellStyle name="_сводный титул 2004г_18.12_План ДСМ на 4 квартал 2006 (последняя версия) 2_План ДСМ ноябрь 2011 ОТЧЕТ" xfId="14861"/>
    <cellStyle name="_сводный титул 2004г_18.12_План ДСМ ноябрь 2011 ОТЧЕТ" xfId="14862"/>
    <cellStyle name="_сводный титул 2004г_18.12_План ДСФ 1 квартал 2007" xfId="14863"/>
    <cellStyle name="_сводный титул 2004г_18.12_План ДСФ 1 квартал 2007_Отчет за сентябрь_11_ДСМ_ОТЧЕТ" xfId="14864"/>
    <cellStyle name="_сводный титул 2004г_18.12_План ДСФ 1 квартал 2007_План ДСМ ноябрь 2011 ОТЧЕТ" xfId="14865"/>
    <cellStyle name="_сводный титул 2004г_18.12_План ДСФ 2 квартал 2009 ОТЧЕТ отп" xfId="14866"/>
    <cellStyle name="_сводный титул 2004г_18.12_План ДСФ 2 квартал 2009 ОТЧЕТ отп_Отчет за сентябрь_11_ДСМ_ОТЧЕТ" xfId="14867"/>
    <cellStyle name="_сводный титул 2004г_18.12_План ДСФ 2 квартал 2009 ОТЧЕТ отп_План ДСМ ноябрь 2011 ОТЧЕТ" xfId="14868"/>
    <cellStyle name="_сводный титул 2004г_18.12_План ДСФ 4 квартал 2009 ОТЧЕТ" xfId="14869"/>
    <cellStyle name="_сводный титул 2004г_18.12_План на 2009 год ДСМ ОТЧЕТ отп (01.12.08)" xfId="14870"/>
    <cellStyle name="_сводный титул 2004г_18.12_План на 2009 год ДСМ ОТЧЕТ отп (01.12.08)_Отчет за сентябрь_11_ДСМ_ОТЧЕТ" xfId="14871"/>
    <cellStyle name="_сводный титул 2004г_18.12_План на 2009 год ДСМ ОТЧЕТ отп (01.12.08)_План ДСМ ноябрь 2011 ОТЧЕТ" xfId="14872"/>
    <cellStyle name="_сводный титул 2004г_18.12_План на 2010 год ДСМ ОТЧЕТ" xfId="14873"/>
    <cellStyle name="_сводный титул 2004г_18.12_УралКирпич_план на 2 кв. 2009" xfId="14874"/>
    <cellStyle name="_сводный титул 2004г_18.12_УралКирпич_план на 2 кв. 2009_Отчет за сентябрь_11_ДСМ_ОТЧЕТ" xfId="14875"/>
    <cellStyle name="_сводный титул 2004г_18.12_УралКирпич_план на 2 кв. 2009_План ДСМ ноябрь 2011 ОТЧЕТ" xfId="14876"/>
    <cellStyle name="_сводный титул 2004г_18.12_ф2 склад ГП" xfId="14877"/>
    <cellStyle name="_Сдача и отгрузка черного лома" xfId="14878"/>
    <cellStyle name="_Себестоимость" xfId="14879"/>
    <cellStyle name="_СЕНТЯБРЬ    2009 ГОД   ФАКТ   АНАЛИЗ СЫРЬЯ  " xfId="14880"/>
    <cellStyle name="_СЕНТЯБРЬ   2008  ФАКТ    АНАЛИЗ СЫРЬЯ" xfId="14881"/>
    <cellStyle name="_Сентябрь  ФАКТ  2007  АНАЛИЗ СЫРЬЯ" xfId="14882"/>
    <cellStyle name="_СЕНТЯБРЬ ФАКТ ПРОГНОЗ 2006  АНАЛИЗ СЫРЬЕ 18 10" xfId="14883"/>
    <cellStyle name="_СЕНТЯБРЬ ФАКТ ПРОГНОЗ 2006  АНАЛИЗ СЫРЬЕ 18 10_Книга2" xfId="14884"/>
    <cellStyle name="_Синяя БДР" xfId="14885"/>
    <cellStyle name="_Синяя социалка" xfId="14886"/>
    <cellStyle name="_Собкив-Силаев" xfId="14887"/>
    <cellStyle name="_Содержание" xfId="14888"/>
    <cellStyle name="_Состав лом + нормы ферро 2 кв КП от ФП" xfId="14889"/>
    <cellStyle name="_Состав лом + нормы ферро 4кв. план от финплана" xfId="14890"/>
    <cellStyle name="_Состав лом + нормы ферро август07 от кв. плана" xfId="14891"/>
    <cellStyle name="_Состав лом + нормы ферро июль07 от кв. плана" xfId="14892"/>
    <cellStyle name="_Состав лом + нормы ферро октябрь07 от кв. плана" xfId="14893"/>
    <cellStyle name="_Состав лом + нормы ферро сентябрь07 от кв. плана" xfId="14894"/>
    <cellStyle name="_Состав лом + нормы ферро январь08 от кв. плана" xfId="14895"/>
    <cellStyle name="_Состав лом + нормы ферро2 кв 07 от плана 2кв" xfId="14896"/>
    <cellStyle name="_Социальные расходы_МГОК 2007№1(презентация)" xfId="14897"/>
    <cellStyle name="_Списание август по группам" xfId="14898"/>
    <cellStyle name="_Списание МПЗ технология_4 кв_по подразделениям" xfId="14899"/>
    <cellStyle name="_Списание по статьям (Август 2008) -возвр" xfId="14900"/>
    <cellStyle name="_Список немонтируемого оборудования (график)" xfId="14901"/>
    <cellStyle name="_Справка по лизингу 2003_2005 гг" xfId="14902"/>
    <cellStyle name="_Справка по лизингу 2003_2006 гг" xfId="14903"/>
    <cellStyle name="_Справка по лизингу 2005 (ГБЖ2)" xfId="14904"/>
    <cellStyle name="_Справка по лизингу ГОКа" xfId="14905"/>
    <cellStyle name="_Сравнение год" xfId="14906"/>
    <cellStyle name="_Сравнение полугодия с БП 2006 ЛГОК сбыт" xfId="14907"/>
    <cellStyle name="_Сравнение полугодия с БП 2006 ЛГОК сбыт_Книга2" xfId="14908"/>
    <cellStyle name="_сроки кап ремонту на 07.04.2005г.для Шергина" xfId="14909"/>
    <cellStyle name="_сроки по кап ремонту на 15.04.2005" xfId="14910"/>
    <cellStyle name="_сроки по кап ремонту на 25.04.2005" xfId="14911"/>
    <cellStyle name="_сроки по кап ремонту ЦГБЖ 29.04.05" xfId="14912"/>
    <cellStyle name="_сроки по кап ремонту ЦГБЖ 30.04.05" xfId="14913"/>
    <cellStyle name="_Структура затрат (16 07 06)" xfId="14914"/>
    <cellStyle name="_Структура затрат (16 07 06)_Книга2" xfId="14915"/>
    <cellStyle name="_Структура затрат (Формат) ЛГОК" xfId="14916"/>
    <cellStyle name="_Структура затрат (Формат) ЛГОК_28.01.2009" xfId="14917"/>
    <cellStyle name="_Суммы на 2008 год с изм" xfId="14918"/>
    <cellStyle name="_Суммы на 2008 год с изм (2)" xfId="14919"/>
    <cellStyle name="_Сходимость 1 кв.2007 г.-факт1" xfId="14920"/>
    <cellStyle name="_Сходимость 3 кв.2007 г.-факт" xfId="14921"/>
    <cellStyle name="_Сходимость июнь 2007г.- факт" xfId="14922"/>
    <cellStyle name="_Сходимость июнь 2007г.- факт1" xfId="14923"/>
    <cellStyle name="_Сходимость МГОК и ЛГОК (план)" xfId="14924"/>
    <cellStyle name="_Сходимость МГОК и ЛГОК (план) new" xfId="14925"/>
    <cellStyle name="_Сходимость МГОК и ЛГОК (план)_исходные_291107" xfId="14926"/>
    <cellStyle name="_Сходимость МГОК и ЛГОК (план)_Лист1" xfId="14927"/>
    <cellStyle name="_Сходимость МГОК и ЛГОК (план)_Лист2" xfId="14928"/>
    <cellStyle name="_Сходимость МГОК и ЛГОК (план)_Лист3" xfId="14929"/>
    <cellStyle name="_Сходимость УС и ОЭМК (план)" xfId="14930"/>
    <cellStyle name="_Сходимость УС и ОЭМК (план)_исходные_291107" xfId="14931"/>
    <cellStyle name="_Сходимость УС и ОЭМК (план)_Лист1" xfId="14932"/>
    <cellStyle name="_Сходимость УС и ОЭМК (план)_Лист2" xfId="14933"/>
    <cellStyle name="_Сходимость УС и ОЭМК (план)_Лист3" xfId="14934"/>
    <cellStyle name="_Сходимость УС и ОЭМК (факт)" xfId="14935"/>
    <cellStyle name="_Сходимость УС и ОЭМК (факт)_исходные_291107" xfId="14936"/>
    <cellStyle name="_Сходимость УС и ОЭМК (факт)_Лист1" xfId="14937"/>
    <cellStyle name="_Сходимость УС и ОЭМК (факт)_Лист2" xfId="14938"/>
    <cellStyle name="_Сходимость УС и ОЭМК (факт)_Лист3" xfId="14939"/>
    <cellStyle name="_Текущие ремонты Апрель" xfId="14940"/>
    <cellStyle name="_Титул" xfId="14941"/>
    <cellStyle name="_Титул 2007 (отчетная форма)" xfId="14942"/>
    <cellStyle name="_Титул 2007 (отчетная форма) апрель" xfId="14943"/>
    <cellStyle name="_Титул 2007 (отчетная форма) апрель new" xfId="14944"/>
    <cellStyle name="_Титул 2007 (отчетная форма) июнь" xfId="14945"/>
    <cellStyle name="_Титул 2007 (отчетная форма) май" xfId="14946"/>
    <cellStyle name="_Титул 2007 (отчетная форма) март" xfId="14947"/>
    <cellStyle name="_Титул 2007 (отчетная форма) февраль" xfId="14948"/>
    <cellStyle name="_титул с пояснениями за 1 квартал 2006г" xfId="14949"/>
    <cellStyle name="_титул с пояснениями за 1 квартал 2006г_исходные_291107" xfId="14950"/>
    <cellStyle name="_титул с пояснениями за 1 квартал 2006г_Лист1" xfId="14951"/>
    <cellStyle name="_титул с пояснениями за 1 квартал 2006г_Лист2" xfId="14952"/>
    <cellStyle name="_титул с пояснениями за 1 квартал 2006г_Лист3" xfId="14953"/>
    <cellStyle name="_То что есть_Отчет_1 кв 2006_1" xfId="14954"/>
    <cellStyle name="_То что есть_Отчет_1 кв 2006_1_Книга2" xfId="14955"/>
    <cellStyle name="_ТП на 2011_год покварт" xfId="14956"/>
    <cellStyle name="_увеличение 2008" xfId="14957"/>
    <cellStyle name="_УЗ 08.05. 2004" xfId="14958"/>
    <cellStyle name="_УЗ 24.04. 2004" xfId="14959"/>
    <cellStyle name="_УЗ №25 10 07 2004" xfId="14960"/>
    <cellStyle name="_УЗ №26 от  17 07 2004" xfId="14961"/>
    <cellStyle name="_УЗ №28 от  31 07 2004" xfId="14962"/>
    <cellStyle name="_УЗ №33 от 04.09.2004г." xfId="14963"/>
    <cellStyle name="_УЗ №35 от 18 09 2004" xfId="14964"/>
    <cellStyle name="_УЗ №40 от 30 10 2004" xfId="14965"/>
    <cellStyle name="_УЗ №41 от 06.11.2004" xfId="14966"/>
    <cellStyle name="_УЗ №41 от27.11.2004" xfId="14967"/>
    <cellStyle name="_Уксир освоение" xfId="14968"/>
    <cellStyle name="_УМТО №44 от 27.11.2004" xfId="14969"/>
    <cellStyle name="_УМТО №45 от 04.11.2004 (неликвиды)" xfId="14970"/>
    <cellStyle name="_УМТО №46 от 11.12.2004(неликвиды)" xfId="14971"/>
    <cellStyle name="_УМТО №46 от 18.12.2004(неликвиды)" xfId="14972"/>
    <cellStyle name="_УМТО №47 от 18.12.2004" xfId="14973"/>
    <cellStyle name="_УМТО №53 от 05.02.2005" xfId="14974"/>
    <cellStyle name="_УМТО №53 от 05.02.2005--." xfId="14975"/>
    <cellStyle name="_УМТО №57 от 05.03.2005" xfId="14976"/>
    <cellStyle name="_УМТО №58 от 12.03.2005" xfId="14977"/>
    <cellStyle name="_УМТО №60 от 26.03.2005" xfId="14978"/>
    <cellStyle name="_УМТО №61 от 02.04.2005" xfId="14979"/>
    <cellStyle name="_УМТО №62 от 08.04.2005" xfId="14980"/>
    <cellStyle name="_УМТО №63 от 16.04.2005" xfId="14981"/>
    <cellStyle name="_УМТО №63 от 16.04.2005-по восст" xfId="14982"/>
    <cellStyle name="_УМТО №66 от 07.05.2005" xfId="14983"/>
    <cellStyle name="_УМТО №67 от 14.05.2005" xfId="14984"/>
    <cellStyle name="_УМТО №70 от 04.06.2005" xfId="14985"/>
    <cellStyle name="_УМТО №71 от 11.06.2005" xfId="14986"/>
    <cellStyle name="_УМТО №72 от 18.06.2005" xfId="14987"/>
    <cellStyle name="_УМТО №73 от 25.06.2005" xfId="14988"/>
    <cellStyle name="_УМТО №78 от 30.07.2005" xfId="14989"/>
    <cellStyle name="_УМТО №79 от 05.08.2005" xfId="14990"/>
    <cellStyle name="_УМТО №80 от 12.08.2005" xfId="14991"/>
    <cellStyle name="_УМТО №82 от 27.08.2005" xfId="14992"/>
    <cellStyle name="_УМТО №83 от 02.09.2005" xfId="14993"/>
    <cellStyle name="_УМТО №84 от 10.09.2005" xfId="14994"/>
    <cellStyle name="_УМТО №86 от 23.09.2005 - Анисимов, Дюльдин" xfId="14995"/>
    <cellStyle name="_УМТО №88 от 07.10.2005 - Анисимов, Дюльдин" xfId="14996"/>
    <cellStyle name="_Унифицированные_формы_ОЭМК_Ур сталь!!!" xfId="14997"/>
    <cellStyle name="_УралСталь 2004" xfId="14998"/>
    <cellStyle name="_УралСталь 2004 2" xfId="14999"/>
    <cellStyle name="_УралСталь 2004 3" xfId="15000"/>
    <cellStyle name="_УралСталь 2004 4" xfId="15001"/>
    <cellStyle name="_УралСталь 2004 5" xfId="15002"/>
    <cellStyle name="_УралСталь 2004 6" xfId="15003"/>
    <cellStyle name="_УралСталь 2004 7" xfId="15004"/>
    <cellStyle name="_УралСталь 2004 8" xfId="15005"/>
    <cellStyle name="_УралСталь 2004 9" xfId="15006"/>
    <cellStyle name="_УралСталь 2004_13,14,28-30" xfId="15007"/>
    <cellStyle name="_УралСталь 2004_19" xfId="15008"/>
    <cellStyle name="_УралСталь 2004_26-30" xfId="15009"/>
    <cellStyle name="_УралСталь 2004_28" xfId="15010"/>
    <cellStyle name="_УралСталь 2004_3 квартал" xfId="15011"/>
    <cellStyle name="_УралСталь 2004_3 квартал 2" xfId="15012"/>
    <cellStyle name="_УралСталь 2004_index" xfId="15013"/>
    <cellStyle name="_УралСталь 2004_БП Урал Кирпич 28 01 2008г" xfId="15014"/>
    <cellStyle name="_УралСталь 2004_БП Урал Кирпич 28 01 2008г_ф2 склад гп" xfId="15015"/>
    <cellStyle name="_УралСталь 2004_БП_план на 1 кв. 2008г." xfId="15016"/>
    <cellStyle name="_УралСталь 2004_БП_план на 2 кв. 2008г." xfId="15017"/>
    <cellStyle name="_УралСталь 2004_Верх НА" xfId="15018"/>
    <cellStyle name="_УралСталь 2004_Выручка февраля 09 от 22 01 09 (1)" xfId="15019"/>
    <cellStyle name="_УралСталь 2004_Запчасти май-апрель (12)" xfId="15020"/>
    <cellStyle name="_УралСталь 2004_Калькуляции ДСМ" xfId="15021"/>
    <cellStyle name="_УралСталь 2004_Книга2" xfId="15022"/>
    <cellStyle name="_УралСталь 2004_Книга2_Динамика объемов производства и отгрузки 2009-2012" xfId="15023"/>
    <cellStyle name="_УралСталь 2004_Конс  ЛГОК БП 2009 от 14 10 08" xfId="15024"/>
    <cellStyle name="_УралСталь 2004_Конс  МГОК БП 2009 от 14 10 08" xfId="15025"/>
    <cellStyle name="_УралСталь 2004_Копия Динамика цен (УС ) 2006-2009 сверен 30.01.09" xfId="15026"/>
    <cellStyle name="_УралСталь 2004_Копия Потребность взаиморасч  от 28 02 2008 (2)" xfId="15027"/>
    <cellStyle name="_УралСталь 2004_МИТ_РК и ДП за апрель" xfId="15028"/>
    <cellStyle name="_УралСталь 2004_МИТ_РК и ДП за апрель_Отчет за сентябрь_11_ДСМ" xfId="15029"/>
    <cellStyle name="_УралСталь 2004_Налог на прибыль" xfId="15030"/>
    <cellStyle name="_УралСталь 2004_Налоги А.А. Богоцкому 2005-2009" xfId="15031"/>
    <cellStyle name="_УралСталь 2004_Налоги к плану на 2009 год (ДЗ и КЗ)" xfId="15032"/>
    <cellStyle name="_УралСталь 2004_Налоги к плану на февраль 2009 года" xfId="15033"/>
    <cellStyle name="_УралСталь 2004_Обжиговая" xfId="15034"/>
    <cellStyle name="_УралСталь 2004_Отчет за 1 кв_08_ДСМ ОТЧЕТ_10.07" xfId="15035"/>
    <cellStyle name="_УралСталь 2004_Отчет за 1 кв_08_ДСМ ОТЧЕТ_10.07_Отчет за 2 кв_10_ДСM ОТЧЕТ" xfId="15036"/>
    <cellStyle name="_УралСталь 2004_Отчет за 1 кв_08_ДСМ ОТЧЕТ_10.07_Отчет за 2 кв_10_ДСМ_1" xfId="15037"/>
    <cellStyle name="_УралСталь 2004_Отчет за сентябрь_11_ДСМ_ОТЧЕТ" xfId="15038"/>
    <cellStyle name="_УралСталь 2004_План ДСМ 2 квартал 2009 ОТЧЕТ отп" xfId="15039"/>
    <cellStyle name="_УралСталь 2004_План ДСМ на 4 квартал 2006 (последняя версия) 2" xfId="15040"/>
    <cellStyle name="_УралСталь 2004_План ДСМ на 4 квартал 2006 (последняя версия) 2_Ожидаемый факт 4 кв., год-1" xfId="15041"/>
    <cellStyle name="_УралСталь 2004_План ДСМ на 4 квартал 2006 (последняя версия) 2_План ДСМ 4 квартал 2009 ОТЧЕТ" xfId="15042"/>
    <cellStyle name="_УралСталь 2004_План ДСМ на 4 квартал 2006 (последняя версия) 2_План на 2009 год ДСМ_9_без разбивки по мес, изм уплаты НП" xfId="15043"/>
    <cellStyle name="_УралСталь 2004_План ДСМ на 4 квартал 2006 (последняя версия) 2_План на 2010 год ДСМ" xfId="15044"/>
    <cellStyle name="_УралСталь 2004_План ДСМ ноябрь 2011 ОТЧЕТ" xfId="15045"/>
    <cellStyle name="_УралСталь 2004_План ДСФ 1 квартал 2007" xfId="15046"/>
    <cellStyle name="_УралСталь 2004_План ДСФ 1 квартал 2007_План ДСМ 2 квартал 2009 ОТЧЕТ отп" xfId="15047"/>
    <cellStyle name="_УралСталь 2004_План ДСФ 1 квартал 2007_План ДСМ 2 квартал 2009 ОТЧЕТ отп_ф2 склад гп" xfId="15048"/>
    <cellStyle name="_УралСталь 2004_План ДСФ 1 квартал 2007_План ДСМ 3 квартал 2008_1" xfId="15049"/>
    <cellStyle name="_УралСталь 2004_План ДСФ 1 квартал 2007_План ДСМ 3 квартал 2009 ОТЧЕТ" xfId="15050"/>
    <cellStyle name="_УралСталь 2004_План ДСФ 1 квартал 2007_План ДСМ 3 квартал 2009 ОТЧЕТ отп" xfId="15051"/>
    <cellStyle name="_УралСталь 2004_План ДСФ 1 квартал 2007_План ДСМ 3 квартал 2010_1" xfId="15052"/>
    <cellStyle name="_УралСталь 2004_План ДСФ 1 квартал 2007_План ДСФ 4 квартал 2009 ОТЧЕТ" xfId="15053"/>
    <cellStyle name="_УралСталь 2004_План ДСФ 1 квартал 2007_План на 2010 год ДСМ ОТЧЕТ" xfId="15054"/>
    <cellStyle name="_УралСталь 2004_План ДСФ 2 квартал 2009 ОТЧЕТ отп" xfId="15055"/>
    <cellStyle name="_УралСталь 2004_План ДСФ 2 квартал 2009 ОТЧЕТ отп_ф2 склад гп" xfId="15056"/>
    <cellStyle name="_УралСталь 2004_План на 2009 год ДСФ" xfId="15057"/>
    <cellStyle name="_УралСталь 2004_План на 2010 год ДСЩ ОТЧЕТ" xfId="15058"/>
    <cellStyle name="_УралСталь 2004_Сравнение ожидаемого 2008 с 2009г  ОЭМК от 06 10 2008" xfId="15059"/>
    <cellStyle name="_УралСталь 2004_Сравнение ожидаемого 2008 УС c 2009г  от 06 10 2008" xfId="15060"/>
    <cellStyle name="_УралСталь 2004_Стан 150" xfId="15061"/>
    <cellStyle name="_УралСталь 2004_титульный лист" xfId="15062"/>
    <cellStyle name="_УралСталь 2004_УК отчет за 3 кв. 2009_29_10" xfId="15063"/>
    <cellStyle name="_УралСталь 2004_УК отчет за май 2009" xfId="15064"/>
    <cellStyle name="_УралСталь 2004_УралКирпич_план на 2 кв. 2009" xfId="15065"/>
    <cellStyle name="_УралСталь 2004_УралКирпич_план на 2 кв. 2009_ф2 склад гп" xfId="15066"/>
    <cellStyle name="_УралСталь 2004_ф 6рем пс(ноябрь) (2)" xfId="15067"/>
    <cellStyle name="_УралСталь 2004_ф2 склад ГП" xfId="15068"/>
    <cellStyle name="_УралСталь 2004_Ф20 от налоговой" xfId="15069"/>
    <cellStyle name="_УралСталь 2004_ф6 сентябрь с запчастями (3)" xfId="15070"/>
    <cellStyle name="_УралСталь 2004_фIIIкв Комплект ОЭМК (1-12,18,22) 28.10.08" xfId="15071"/>
    <cellStyle name="_УралСталь 2004_Форма №13" xfId="15072"/>
    <cellStyle name="_УралСталь 2004_Форма №19" xfId="15073"/>
    <cellStyle name="_УралСталь 2004_Форма №24" xfId="15074"/>
    <cellStyle name="_УралСталь 2004_Форма№13 (новая от 28 12 09г) февраль версия № и последняя" xfId="15075"/>
    <cellStyle name="_УралСталь 2004_Формы _28-30 (новые)1" xfId="15076"/>
    <cellStyle name="_УралСталь 2004_Формы 28-30" xfId="15077"/>
    <cellStyle name="_УралСталь 2004_Формы №28-30 (новые)1" xfId="15078"/>
    <cellStyle name="_УралСталь 2004_Шаропрокатный" xfId="15079"/>
    <cellStyle name="_УралСталь 2004_ЭНЦ-1" xfId="15080"/>
    <cellStyle name="_УС факт 10.06 (27.11.06)" xfId="15081"/>
    <cellStyle name="_УС факт ноябрь 06" xfId="15082"/>
    <cellStyle name="_Утв. Инвест.программа 2007 ф19 (для ФУ)1" xfId="15083"/>
    <cellStyle name="_Утилизация МАЗУР" xfId="15084"/>
    <cellStyle name="_УТРО остатки" xfId="15085"/>
    <cellStyle name="_Учет_складских_запасов" xfId="15086"/>
    <cellStyle name="_Ф 10 1 квартал нов БП 2008 года(короткая)28.04." xfId="15087"/>
    <cellStyle name="_Ф 10 1 квартал нов БП 2008 года(МИ)28.04." xfId="15088"/>
    <cellStyle name="_Ф 10 2 кв" xfId="15089"/>
    <cellStyle name="_Ф 10 2 кв(ИЮНЬ)" xfId="15090"/>
    <cellStyle name="_Ф 10 2008  2 без доменного Печать" xfId="15091"/>
    <cellStyle name="_Ф 10 2008 печать (от 9.11.07)" xfId="15092"/>
    <cellStyle name="_Ф 10 2008 печать (уменьшение объемов по ЛПЦ2)" xfId="15093"/>
    <cellStyle name="_Ф 10 4 квартал (МИ)" xfId="15094"/>
    <cellStyle name="_Ф 10 4 квартал ноябрь МИ" xfId="15095"/>
    <cellStyle name="_Ф 10 4 квартал октябрь МИ" xfId="15096"/>
    <cellStyle name="_Ф 10 4 квартал печать" xfId="15097"/>
    <cellStyle name="_Ф 10 короткая" xfId="15098"/>
    <cellStyle name="_Ф 10 март нов БП 2008 года(короткая)28.04." xfId="15099"/>
    <cellStyle name="_Ф 10 март нов БП 2008 года(МИ)" xfId="15100"/>
    <cellStyle name="_Ф 10 печать под новый бюджет" xfId="15101"/>
    <cellStyle name="_ф 10 план 2008 с ожидаем 2007" xfId="15102"/>
    <cellStyle name="_ф 10 план 2008 с ожидаем 2007 (МИ)" xfId="15103"/>
    <cellStyle name="_Ф 10 февраль нов БП 2008 года(МИ)" xfId="15104"/>
    <cellStyle name="_ф 10-посл. разв." xfId="15105"/>
    <cellStyle name="_ф 10-посл.короткая" xfId="15106"/>
    <cellStyle name="_ф 11" xfId="15107"/>
    <cellStyle name="_ф 12" xfId="15108"/>
    <cellStyle name="_ф 12 за март 25 04 09" xfId="15109"/>
    <cellStyle name="_ф 12 факт февраль для Москвы" xfId="15110"/>
    <cellStyle name="_Ф 13" xfId="15111"/>
    <cellStyle name="_ф 13 -последняя" xfId="15112"/>
    <cellStyle name="_ф 13-новая" xfId="15113"/>
    <cellStyle name="_ф 13-самая последняя" xfId="15114"/>
    <cellStyle name="_Ф 14" xfId="15115"/>
    <cellStyle name="_ф 14 от 30.10.08" xfId="15116"/>
    <cellStyle name="_ф 14-новая" xfId="15117"/>
    <cellStyle name="_ф 14-посл" xfId="15118"/>
    <cellStyle name="_ф 14-посл." xfId="15119"/>
    <cellStyle name="_Ф 18 май (ремонты)" xfId="15120"/>
    <cellStyle name="_Ф 18 нояб 08г" xfId="15121"/>
    <cellStyle name="_ф 19 2006 нов к отправке" xfId="15122"/>
    <cellStyle name="_ф 19 факт 2006" xfId="15123"/>
    <cellStyle name="_ф 19 факт 2006 от Переверзевой (1)" xfId="15124"/>
    <cellStyle name="_ф 19док-ты БК февраль 08г(для ФУ,ПБУ)" xfId="15125"/>
    <cellStyle name="_ф 2,3,4,5, от 28.01.10" xfId="15126"/>
    <cellStyle name="_ф 2,3,4,5,6,7,12" xfId="15127"/>
    <cellStyle name="_ф 2,3,4,5,6,7,12-новые" xfId="15128"/>
    <cellStyle name="_ф 22_окат ЛЗ ЛК 700 350_апрель 2007" xfId="15129"/>
    <cellStyle name="_ф 24 2008 (2) для Матюшиной В.Н." xfId="15130"/>
    <cellStyle name="_ф 24 2008 (2) от Матюшиной В.Н." xfId="15131"/>
    <cellStyle name="_ф 24 для отправки" xfId="15132"/>
    <cellStyle name="_ф 24 Ф25 на 2-й квартал от 22.03.07" xfId="15133"/>
    <cellStyle name="_Ф 2-9,10, 12" xfId="15134"/>
    <cellStyle name="_ф 3-посл." xfId="15135"/>
    <cellStyle name="_ф 5" xfId="15136"/>
    <cellStyle name="_ф 6" xfId="15137"/>
    <cellStyle name="_ф 8" xfId="15138"/>
    <cellStyle name="_ф 9" xfId="15139"/>
    <cellStyle name="_ф 9 новая (исправили  состатки по ЭСПЦ)" xfId="15140"/>
    <cellStyle name="_ф IIкв.07 EBITDA ЛГОК 27.07.07" xfId="15141"/>
    <cellStyle name="_ф._4 за октябрь к отправке" xfId="15142"/>
    <cellStyle name="_ф._4 за октябрь к отправке_Книга2" xfId="15143"/>
    <cellStyle name="_Ф.19 ФАКТ III КВАРТ" xfId="15144"/>
    <cellStyle name="_ф.19 январь с годовым планом исполнение 2007-2" xfId="15145"/>
    <cellStyle name="_Ф.24 2 квартал 2007г." xfId="15146"/>
    <cellStyle name="_ф.2-7,12( 2008)(11.12)" xfId="15147"/>
    <cellStyle name="_ф01 2007 фин. часть МГОК 21.03.07" xfId="15148"/>
    <cellStyle name="_ф01.07 EBITDA ОАО ЛГОК 02.03.07" xfId="15149"/>
    <cellStyle name="_ф01.07 EBITDA ОАО ЛГОК 02.03.07_Книга2" xfId="15150"/>
    <cellStyle name="_ф01.07 EBITDA ОАО ЛГОК 05.03.07" xfId="15151"/>
    <cellStyle name="_ф01.07 EBITDA ОАО ЛГОК 05.03.07_Книга2" xfId="15152"/>
    <cellStyle name="_ф01.07 EBITDA ОАО ЛГОК с изм. 30.03.07" xfId="15153"/>
    <cellStyle name="_ф01.07 EBITDA ОАО ЛГОК с изм. 30.03.07_Книга2" xfId="15154"/>
    <cellStyle name="_ф01.07 EBITDA ОАО УС 05.03.07" xfId="15155"/>
    <cellStyle name="_ф01.07 EBITDA ОАО УС 05.03.07(26,2)" xfId="15156"/>
    <cellStyle name="_ф01.07 EBITDA ОАО УС 05.03.07(26,2)_Книга2" xfId="15157"/>
    <cellStyle name="_ф01.07 EBITDA ОАО УС 05.03.07_Книга2" xfId="15158"/>
    <cellStyle name="_ф01.07 EBITDA ОЭМК 02.03.07" xfId="15159"/>
    <cellStyle name="_ф01.07 EBITDA ОЭМК 02.03.07_Книга2" xfId="15160"/>
    <cellStyle name="_ф02.07 EBITDA ОАО ЛГОК 28.03.07" xfId="15161"/>
    <cellStyle name="_ф02.07 EBITDA ОАО ЛГОК 28.03.07_Книга2" xfId="15162"/>
    <cellStyle name="_ф02.07 EBITDA ОАО УС 28.03.07" xfId="15163"/>
    <cellStyle name="_ф02.07 EBITDA ОАО УС 28.03.07_Книга2" xfId="15164"/>
    <cellStyle name="_ф02.07 EBITDA ОЭМК 28.03.07" xfId="15165"/>
    <cellStyle name="_ф02.07 EBITDA ОЭМК 28.03.07_Книга2" xfId="15166"/>
    <cellStyle name="_Ф1 движение ДС  на 31.09.06" xfId="15167"/>
    <cellStyle name="_Ф1 движение ДС  на 31.09.06_Книга2" xfId="15168"/>
    <cellStyle name="_Ф10 2008 2 круг без доменного прибыль от 26 12 07 печать" xfId="15169"/>
    <cellStyle name="_Ф10 2008 2 круг без доменного прибыль от 26.12.07 печать" xfId="15170"/>
    <cellStyle name="_Ф10 2008 печать (повышение цен по Щедриной)" xfId="15171"/>
    <cellStyle name="_Ф10 апрель 2008 года (короткая)" xfId="15172"/>
    <cellStyle name="_Ф10 апрель 2008 года (МИ)" xfId="15173"/>
    <cellStyle name="_Ф10 за  май 2009 г(МИ)" xfId="15174"/>
    <cellStyle name="_Ф10 за  май 2009 г(МИ) короткая" xfId="15175"/>
    <cellStyle name="_Ф10 за декабрь 2009 г(МИ)" xfId="15176"/>
    <cellStyle name="_Ф10 за декабрь 2009 г(МИ)короткая" xfId="15177"/>
    <cellStyle name="_Ф10 за июнь 2009 г(МИ)" xfId="15178"/>
    <cellStyle name="_Ф10 за июнь 2009 г(МИ) короткая" xfId="15179"/>
    <cellStyle name="_Ф10 за январь 2010 г(МИ)" xfId="15180"/>
    <cellStyle name="_Ф10 за январь 2010 г(МИ)короткая" xfId="15181"/>
    <cellStyle name="_Ф10 май 2008 года (короткая)" xfId="15182"/>
    <cellStyle name="_Ф10 май 2008 года (по маркам)" xfId="15183"/>
    <cellStyle name="_Ф10 март 2009 г (МИ)" xfId="15184"/>
    <cellStyle name="_Ф10 март 2009 г (МИ) короткая" xfId="15185"/>
    <cellStyle name="_Ф10 ноябрь 2008 года (МИ)" xfId="15186"/>
    <cellStyle name="_Ф10 ноябрь 2008 года (МИ)корот (2)" xfId="15187"/>
    <cellStyle name="_ф11 эк. часть МГОК 25.12.2008" xfId="15188"/>
    <cellStyle name="_Ф12  2006г.Москва" xfId="15189"/>
    <cellStyle name="_Ф12 за май 08" xfId="15190"/>
    <cellStyle name="_Ф12 факт ноября" xfId="15191"/>
    <cellStyle name="_Ф12 факт октября" xfId="15192"/>
    <cellStyle name="_Ф13" xfId="15193"/>
    <cellStyle name="_Ф13  от 29.10.08г." xfId="15194"/>
    <cellStyle name="_ф14" xfId="15195"/>
    <cellStyle name="_Ф-14" xfId="15196"/>
    <cellStyle name="_ф-14 от 29.10.08" xfId="15197"/>
    <cellStyle name="_Ф-14-2 Квартал 2008-последняя" xfId="15198"/>
    <cellStyle name="_Ф14-апрель-факт-самая последняя" xfId="15199"/>
    <cellStyle name="_Ф-14-июнь-факт-последняя" xfId="15200"/>
    <cellStyle name="_ф-18" xfId="15201"/>
    <cellStyle name="_ф1кв.07 EBITDA ЛГОК 28.04.07" xfId="15202"/>
    <cellStyle name="_ф1кв.07 EBITDA ЛГОК 28.04.07_Книга2" xfId="15203"/>
    <cellStyle name="_Ф-22" xfId="15204"/>
    <cellStyle name="_Ф-22 " xfId="15205"/>
    <cellStyle name="_Ф23" xfId="15206"/>
    <cellStyle name="_Ф24 2007" xfId="15207"/>
    <cellStyle name="_Ф24 Ф25_АПРЕЛЬ_07" xfId="15208"/>
    <cellStyle name="_Ф24 Ф25_ФЕВРАЛЬ_07" xfId="15209"/>
    <cellStyle name="_Ф24_I_2007 от 27_04_07" xfId="15210"/>
    <cellStyle name="_Ф24_III_2007 (1)" xfId="15211"/>
    <cellStyle name="_ф7 полугодие" xfId="15212"/>
    <cellStyle name="_ф7а" xfId="15213"/>
    <cellStyle name="_Ф7а от23.01.07." xfId="15214"/>
    <cellStyle name="_ф7а от25.12.06" xfId="15215"/>
    <cellStyle name="_ф7а_Книга2" xfId="15216"/>
    <cellStyle name="_ф7а_Конс  ЛГОК БП 2009 от 14 10 08" xfId="15217"/>
    <cellStyle name="_ф7а_Конс  МГОК БП 2009 от 14 10 08" xfId="15218"/>
    <cellStyle name="_ф7а_Сравнение ожидаемого 2008 с 2009г  ОЭМК от 06 10 2008" xfId="15219"/>
    <cellStyle name="_ф7а_Сравнение ожидаемого 2008 УС c 2009г  от 06 10 2008" xfId="15220"/>
    <cellStyle name="_фIVк Комплект УС 26.01.07" xfId="15221"/>
    <cellStyle name="_фIкв EBITDA ОАО УС 28.04.07" xfId="15222"/>
    <cellStyle name="_фIкв EBITDA ОАО УС 28.04.07_Книга2" xfId="15223"/>
    <cellStyle name="_фIкв EBITDA ОЭМК 28.04.07" xfId="15224"/>
    <cellStyle name="_фIкв EBITDA ОЭМК 28.04.07_Книга2" xfId="15225"/>
    <cellStyle name="_факт  2 кв (ф2-12)" xfId="15226"/>
    <cellStyle name="_Факт 2 20 форма" xfId="15227"/>
    <cellStyle name="_факт июля (ф 2-10,12, 22)" xfId="15228"/>
    <cellStyle name="_Факт ноября" xfId="15229"/>
    <cellStyle name="_Факт Ф20 май" xfId="15230"/>
    <cellStyle name="_Факт_2007_Часть 2" xfId="15231"/>
    <cellStyle name="_ФАКТ_Ф24_2006" xfId="15232"/>
    <cellStyle name="_ФАКТ_Ф24_2006 (1)" xfId="15233"/>
    <cellStyle name="_Факт-прогноз январь" xfId="15234"/>
    <cellStyle name="_Факт-прогноз январь1" xfId="15235"/>
    <cellStyle name="_Ф-для МИ-1кв07г-15-17ф-16апр" xfId="15236"/>
    <cellStyle name="_ФЕВРАЛЬ     2010 ГОД   ФАКТ   АНАЛИЗ СЫРЬЯ  " xfId="15237"/>
    <cellStyle name="_ФЕВРАЛЬ  2009 ГОД   ФАКТ  АНАЛИЗ СЫРЬЯ  " xfId="15238"/>
    <cellStyle name="_Февраль 08 план рабочий" xfId="15239"/>
    <cellStyle name="_Февраль N2,10 план 04 02 09" xfId="15240"/>
    <cellStyle name="_Февраль N2,10 план 05 02 09" xfId="15241"/>
    <cellStyle name="_Февраль N2,10 план 28 01 09" xfId="15242"/>
    <cellStyle name="_Фин  план июль" xfId="15243"/>
    <cellStyle name="_Фин  план июль " xfId="15244"/>
    <cellStyle name="_Фин план  по статьям затрат" xfId="15245"/>
    <cellStyle name="_Фин план января 2007 года" xfId="15246"/>
    <cellStyle name="_Фин.план марта  по статьям от 22.02.07." xfId="15247"/>
    <cellStyle name="_Фин.часть 11.12.06" xfId="15248"/>
    <cellStyle name="_фин.часть-материалы к бюджету (план 4 квартал) 02.10.06" xfId="15249"/>
    <cellStyle name="_фин.часть-материалы к бюджету (план 4 квартал) 03.10.06" xfId="15250"/>
    <cellStyle name="_Финансы октябрь" xfId="15251"/>
    <cellStyle name="_Финансы сентябрь" xfId="15252"/>
    <cellStyle name="_Финансы УЗ октябрь" xfId="15253"/>
    <cellStyle name="_Финансы УЗ сентябрь" xfId="15254"/>
    <cellStyle name="_Финансы УЗ сентябрь_К оперативке 10 10 02 г." xfId="15255"/>
    <cellStyle name="_Финансы УЗ сентябрь_лизинг" xfId="15256"/>
    <cellStyle name="_Финансы УЗ сентябрь_Финансы октябрь" xfId="15257"/>
    <cellStyle name="_Финансы УЗ сентябрь_Финансы сентябрь" xfId="15258"/>
    <cellStyle name="_Финансы УЗ сентябрь_Финансы УЗ октябрь" xfId="15259"/>
    <cellStyle name="_Финансы УЗ сентябрь_Шахматка УЗ октябрь" xfId="15260"/>
    <cellStyle name="_Финплан на 1 квартал  2006г.УЗО" xfId="15261"/>
    <cellStyle name="_Финплан на 1 квартал  2006г_1.УЗО" xfId="15262"/>
    <cellStyle name="_финхвост - оперативный октябрь_2 просчет" xfId="15263"/>
    <cellStyle name="_финхвост - оперативный октябрь_SEND" xfId="15264"/>
    <cellStyle name="_Фор15,16,17 за06г-отчетскорр" xfId="15265"/>
    <cellStyle name="_Фор15,16,17 за06г-отчетскорр_Книга2" xfId="15266"/>
    <cellStyle name="_Форм МИ-план07г-4 и 3%-13ая и бонус в дек06 и07гг-к отправке" xfId="15267"/>
    <cellStyle name="_Форм МИ-план07г-4 и 3%-отправка" xfId="15268"/>
    <cellStyle name="_Форма  ( с 2 по 21)" xfId="15269"/>
    <cellStyle name="_Форма  10 рентабельность динамика (3 кв  )ПОСЛЕДН ВАР" xfId="15270"/>
    <cellStyle name="_Форма  11 07 2007 (факт)" xfId="15271"/>
    <cellStyle name="_Форма  13 - от 17.12.2007г.1" xfId="15272"/>
    <cellStyle name="_Форма  14-июль 07" xfId="15273"/>
    <cellStyle name="_Форма  20,21 25.02.07" xfId="15274"/>
    <cellStyle name="_Форма  23  2008 год отправленно 12 12 2007г" xfId="15275"/>
    <cellStyle name="_Форма  23  2008г. отправленно 11.12.2007г" xfId="15276"/>
    <cellStyle name="_Форма  23 Расходы на соц программы СВОДНАЯ" xfId="15277"/>
    <cellStyle name="_Форма  23 Расходы на соц программы СВОДНАЯ_Книга2" xfId="15278"/>
    <cellStyle name="_Форма  23 факт 4 квартал" xfId="15279"/>
    <cellStyle name="_Форма  23 фактДекабрь" xfId="15280"/>
    <cellStyle name="_Форма  24" xfId="15281"/>
    <cellStyle name="_Форма  24 (апрель-факт)" xfId="15282"/>
    <cellStyle name="_Форма  24 (апрель-факт-прогноз)" xfId="15283"/>
    <cellStyle name="_Форма  241" xfId="15284"/>
    <cellStyle name="_Форма  242" xfId="15285"/>
    <cellStyle name="_Форма  24-август-факт" xfId="15286"/>
    <cellStyle name="_Форма  24-июнь-факт" xfId="15287"/>
    <cellStyle name="_Форма  24-май-факт" xfId="15288"/>
    <cellStyle name="_Форма - Затраты на ФОТ (15, 16, 17) - 2 квартальный отчет к плану 2007" xfId="15289"/>
    <cellStyle name="_Форма - Затраты на ФОТ (15, 16, 17) -4 квартал 2007(финпл.-уточн.).1xls" xfId="15290"/>
    <cellStyle name="_Форма _ 10 июль факт 21 08 07" xfId="15291"/>
    <cellStyle name="_Форма _ 10 май факт 20 06 07" xfId="15292"/>
    <cellStyle name="_Форма _ 2,4,5,30 скорр." xfId="15293"/>
    <cellStyle name="_Форма _1 ВК" xfId="15294"/>
    <cellStyle name="_Форма _10 (1)" xfId="15295"/>
    <cellStyle name="_Форма _10 (1)_Книга2" xfId="15296"/>
    <cellStyle name="_Форма _10 (1)_Конс  ЛГОК БП 2009 от 14 10 08" xfId="15297"/>
    <cellStyle name="_Форма _10 (1)_Конс  МГОК БП 2009 от 14 10 08" xfId="15298"/>
    <cellStyle name="_Форма _10 (1)_Сравнение ожидаемого 2008 с 2009г  ОЭМК от 06 10 2008" xfId="15299"/>
    <cellStyle name="_Форма _10 (1)_Сравнение ожидаемого 2008 УС c 2009г  от 06 10 2008" xfId="15300"/>
    <cellStyle name="_Форма _10 2 кв 2007 от 300307" xfId="15301"/>
    <cellStyle name="_Форма _10 ноябрь факт от 21 11 07" xfId="15302"/>
    <cellStyle name="_Форма _11 июль переделываем" xfId="15303"/>
    <cellStyle name="_Форма _18 2009 1873 с пояснениями" xfId="15304"/>
    <cellStyle name="_ФОРМА _19" xfId="15305"/>
    <cellStyle name="_Форма _19 2007" xfId="15306"/>
    <cellStyle name="_ФОРМА _19 ФАКТ IV 2006" xfId="15307"/>
    <cellStyle name="_Форма _2 2008 ФП 18 10 07 (2)" xfId="15308"/>
    <cellStyle name="_Форма _2,10 2 кв план от 20.03.08" xfId="15309"/>
    <cellStyle name="_Форма _2,10 2009 ФП 21 11 08" xfId="15310"/>
    <cellStyle name="_Форма _20" xfId="15311"/>
    <cellStyle name="_Форма _20 факт за март" xfId="15312"/>
    <cellStyle name="_Форма _22_1 квартал 2009 (январь)" xfId="15313"/>
    <cellStyle name="_Форма _22_1 квартал 2009(март)" xfId="15314"/>
    <cellStyle name="_Форма _22_1 квартал 2009(февраль)" xfId="15315"/>
    <cellStyle name="_Форма _22_2 квартал 2009(апрель) (2)" xfId="15316"/>
    <cellStyle name="_Форма _22_3 квартал 2009(июль)" xfId="15317"/>
    <cellStyle name="_Форма _23" xfId="15318"/>
    <cellStyle name="_Форма _23 (2 квартал 2007 г.) - уточ. план" xfId="15319"/>
    <cellStyle name="_Форма _23 (2 квартал 2007 г.) - уточ. план для отправки" xfId="15320"/>
    <cellStyle name="_Форма _23 2 кв(факт) 2007 для отправки" xfId="15321"/>
    <cellStyle name="_Форма _23 август(факт) 2007" xfId="15322"/>
    <cellStyle name="_Форма _23 для отправки" xfId="15323"/>
    <cellStyle name="_Форма _23 июль(факт) 2007" xfId="15324"/>
    <cellStyle name="_Форма _23 май (факт) 2007 для отправки" xfId="15325"/>
    <cellStyle name="_Форма _23 ноябрь(факт) 2007 для отправки" xfId="15326"/>
    <cellStyle name="_Форма _23 октябрь (факт) 2007г для отправки" xfId="15327"/>
    <cellStyle name="_Форма _23 план на 4 кв.2007 для отправки" xfId="15328"/>
    <cellStyle name="_Форма _23 скоррект. финплан на 2008г для отправки" xfId="15329"/>
    <cellStyle name="_Форма _23 уточн. план на 2 кв. 2008г в сравн. с коррект.финпланом для отправки" xfId="15330"/>
    <cellStyle name="_Форма _23 уточн. план на 3 кв2007г для отправки" xfId="15331"/>
    <cellStyle name="_Форма _23 финплан на 2008г в срав. с  2007 (18.12.07г) для отпр." xfId="15332"/>
    <cellStyle name="_Форма _23 финплан на 2008г в срав. с  2007 (7.12.07г)" xfId="15333"/>
    <cellStyle name="_Форма _23 финплан на 2008г в сравнении с  2007 (29.10.07г) с 9 мес.факт для отправки" xfId="15334"/>
    <cellStyle name="_Форма _24 2007" xfId="15335"/>
    <cellStyle name="_Форма _24 2007 от 18.12.06" xfId="15336"/>
    <cellStyle name="_ФОРМА _24 ФАКТ IV 2006" xfId="15337"/>
    <cellStyle name="_ФОРМА _24 ФАКТ IV 2006 (1)" xfId="15338"/>
    <cellStyle name="_Форма _25 (3 квартал)" xfId="15339"/>
    <cellStyle name="_Форма _25 (п)" xfId="15340"/>
    <cellStyle name="_Форма _25 (п) (1)" xfId="15341"/>
    <cellStyle name="_Форма _25 (п) (2)" xfId="15342"/>
    <cellStyle name="_Форма _4" xfId="15343"/>
    <cellStyle name="_Форма _4 январь-февраль  с расшифровкой" xfId="15344"/>
    <cellStyle name="_Форма 10" xfId="15345"/>
    <cellStyle name="_Форма 10 (4 квартал)" xfId="15346"/>
    <cellStyle name="_Форма 10 (4 квартал)_Книга2" xfId="15347"/>
    <cellStyle name="_Форма 10 (4 квартал)_Конс  ЛГОК БП 2009 от 14 10 08" xfId="15348"/>
    <cellStyle name="_Форма 10 (4 квартал)_Конс  МГОК БП 2009 от 14 10 08" xfId="15349"/>
    <cellStyle name="_Форма 10 (4 квартал)_Сравнение ожидаемого 2008 с 2009г  ОЭМК от 06 10 2008" xfId="15350"/>
    <cellStyle name="_Форма 10 (4 квартал)_Сравнение ожидаемого 2008 УС c 2009г  от 06 10 2008" xfId="15351"/>
    <cellStyle name="_Форма 10_1" xfId="15352"/>
    <cellStyle name="_Форма 11" xfId="15353"/>
    <cellStyle name="_Форма 11 II кв. 2007 г" xfId="15354"/>
    <cellStyle name="_Форма 11_Книга2" xfId="15355"/>
    <cellStyle name="_Форма 12 (факт 3 квартал)" xfId="15356"/>
    <cellStyle name="_Форма 13" xfId="15357"/>
    <cellStyle name="_Форма 13- 2008 -покварт. разб." xfId="15358"/>
    <cellStyle name="_Форма 13 ноябрь4" xfId="15359"/>
    <cellStyle name="_Форма 13-2008г-13 дек" xfId="15360"/>
    <cellStyle name="_Форма 14" xfId="15361"/>
    <cellStyle name="_Форма 14  Месячный отчет- YII" xfId="15362"/>
    <cellStyle name="_Форма 14-2008г-13 дек" xfId="15363"/>
    <cellStyle name="_Форма 15,16, 17" xfId="15364"/>
    <cellStyle name="_Форма 15,16,17" xfId="15365"/>
    <cellStyle name="_Форма 18" xfId="15366"/>
    <cellStyle name="_Форма 18 ( кв)1" xfId="15367"/>
    <cellStyle name="_Форма 18 (2кв 2007)4" xfId="15368"/>
    <cellStyle name="_Форма 18 (3 кв.2007г.) (1)" xfId="15369"/>
    <cellStyle name="_Форма 18 (4 квартал)" xfId="15370"/>
    <cellStyle name="_Форма 18 (август)" xfId="15371"/>
    <cellStyle name="_Форма 18 (май 2007г.)" xfId="15372"/>
    <cellStyle name="_Форма 18 (ноябрь)" xfId="15373"/>
    <cellStyle name="_Форма 18 (октябрь 07)" xfId="15374"/>
    <cellStyle name="_Форма 18 (октябрь)" xfId="15375"/>
    <cellStyle name="_Форма 18 (октябрь)_Книга2" xfId="15376"/>
    <cellStyle name="_Форма 18 (отчет за 3 кв.2007г.)" xfId="15377"/>
    <cellStyle name="_Форма 18 (январь 08)" xfId="15378"/>
    <cellStyle name="_Форма 18 РФ2008 (прогноз с фактом сентября-от 23.10.07)" xfId="15379"/>
    <cellStyle name="_Форма 19" xfId="15380"/>
    <cellStyle name="_Форма 19 (2 кварт  план)_со снижением" xfId="15381"/>
    <cellStyle name="_Форма 19 (4 кварт  план финансирование)_с переносами" xfId="15382"/>
    <cellStyle name="_форма 19 декабрь-24.01.08" xfId="15383"/>
    <cellStyle name="_Форма 19 за 1 кв" xfId="15384"/>
    <cellStyle name="_Форма 19_док-ты БК 4кв 2008г  (4)" xfId="15385"/>
    <cellStyle name="_Форма 19_док-ты к БК 2008г январь(для ФУ, ПБУ)" xfId="15386"/>
    <cellStyle name="_Форма 19_Инвест_Программа УС 2008г (10.12.07.) - от 11.12.07" xfId="15387"/>
    <cellStyle name="_Форма 19_Инвестпрограмма на 2008г (ф.19,20,40) от 28.11.07" xfId="15388"/>
    <cellStyle name="_Форма 19_Книга2" xfId="15389"/>
    <cellStyle name="_Форма 19_Конс  ЛГОК БП 2009 от 14 10 08" xfId="15390"/>
    <cellStyle name="_Форма 19_Конс  МГОК БП 2009 от 14 10 08" xfId="15391"/>
    <cellStyle name="_Форма 19_Лист1" xfId="15392"/>
    <cellStyle name="_Форма 19_Сравнение ожидаемого 2008 с 2009г  ОЭМК от 06 10 2008" xfId="15393"/>
    <cellStyle name="_Форма 19_Сравнение ожидаемого 2008 УС c 2009г  от 06 10 2008" xfId="15394"/>
    <cellStyle name="_Форма 19_ф 19док-ты БК февраль 08г(для ФУ,ПБУ)" xfId="15395"/>
    <cellStyle name="_Форма 19_Форма 13- 2008 -покварт. разб." xfId="15396"/>
    <cellStyle name="_Форма 2,10 3 кв факт" xfId="15397"/>
    <cellStyle name="_Форма 2,3,4,5 от 12.11.07" xfId="15398"/>
    <cellStyle name="_Форма 20  январь -факт" xfId="15399"/>
    <cellStyle name="_Форма 20,21,19 (инвестиции и налоги) от  05.10.06г." xfId="15400"/>
    <cellStyle name="_Форма 20,21за 1 кв 25.04.07" xfId="15401"/>
    <cellStyle name="_Форма 20-21" xfId="15402"/>
    <cellStyle name="_Форма 20-21 (отчет 1кв)" xfId="15403"/>
    <cellStyle name="_Форма 20-21 (сравнит.на 31.10.2007)" xfId="15404"/>
    <cellStyle name="_Форма 20-21 на 1 кв. 2007г." xfId="15405"/>
    <cellStyle name="_Форма 20-21 на 2 кв  2007г " xfId="15406"/>
    <cellStyle name="_Форма 20-21 на 2 кв. 2007г." xfId="15407"/>
    <cellStyle name="_Форма 20-21 на 3 кв   Металлоинвест (отчет)Наши данные" xfId="15408"/>
    <cellStyle name="_форма 22" xfId="15409"/>
    <cellStyle name="_Форма 22  ПЭУ 2010 по месяцам дек 09- янв 10" xfId="15410"/>
    <cellStyle name="_Форма 22 (Мартен НОВЫЙ)" xfId="15411"/>
    <cellStyle name="_Форма 22 (Мартен НОВЫЙ)_Книга2" xfId="15412"/>
    <cellStyle name="_Форма 22 (Мартен) 1 кв  (21 12 2007) (2)" xfId="15413"/>
    <cellStyle name="_Форма 22 (Мартен) 2008" xfId="15414"/>
    <cellStyle name="_Форма 22 (Мартен)июль" xfId="15415"/>
    <cellStyle name="_Форма 22 (Мартен)нояб" xfId="15416"/>
    <cellStyle name="_Форма 22 (сводная) август" xfId="15417"/>
    <cellStyle name="_Форма 22 (сводная) июль" xfId="15418"/>
    <cellStyle name="_Форма 22 март-апр МП отпр в УК 29 03 10" xfId="15419"/>
    <cellStyle name="_Форма 22 март-апр МП отпр в УК 29 03 10 (2)" xfId="15420"/>
    <cellStyle name="_форма 22 на 3 кв07 от180607" xfId="15421"/>
    <cellStyle name="_Форма 22(ЛПЦ-1) 1 кв" xfId="15422"/>
    <cellStyle name="_Форма 22(ЛПЦ-1) 2008" xfId="15423"/>
    <cellStyle name="_Форма 22(ЛПЦ-1) июль" xfId="15424"/>
    <cellStyle name="_Форма 22(ЛПЦ-1) нояб" xfId="15425"/>
    <cellStyle name="_Форма 22(ЛПЦ-1) окт" xfId="15426"/>
    <cellStyle name="_Форма 22(ЛПЦ-1) окт_Книга2" xfId="15427"/>
    <cellStyle name="_Форма 22(ЛПЦ-2) 1 кв" xfId="15428"/>
    <cellStyle name="_Форма 22(ЛПЦ-2) 2008" xfId="15429"/>
    <cellStyle name="_Форма 22(ЛПЦ-2) июль" xfId="15430"/>
    <cellStyle name="_Форма 22(ЛПЦ-2) нояб" xfId="15431"/>
    <cellStyle name="_Форма 22(ЛПЦ-2) окт" xfId="15432"/>
    <cellStyle name="_Форма 22(ЛПЦ-2) окт_Книга2" xfId="15433"/>
    <cellStyle name="_Форма 22(ОБЦ) 1 кв" xfId="15434"/>
    <cellStyle name="_Форма 22(ОБЦ) 2008" xfId="15435"/>
    <cellStyle name="_Форма 22(сводная) декабрь" xfId="15436"/>
    <cellStyle name="_Форма 22(сводная) сентябрь" xfId="15437"/>
    <cellStyle name="_Форма 22(сводная)декабрь 2009" xfId="15438"/>
    <cellStyle name="_Форма 22(сводная)июнь 2008" xfId="15439"/>
    <cellStyle name="_Форма 22(сводная)октябрь" xfId="15440"/>
    <cellStyle name="_Форма 22(СПЦ) 1 кв" xfId="15441"/>
    <cellStyle name="_Форма 22(СПЦ) 2008" xfId="15442"/>
    <cellStyle name="_Форма 22(СПЦ) июль" xfId="15443"/>
    <cellStyle name="_Форма 22(СПЦ) нояб" xfId="15444"/>
    <cellStyle name="_Форма 22(СПЦ) окт" xfId="15445"/>
    <cellStyle name="_Форма 22(СПЦ) окт_Книга2" xfId="15446"/>
    <cellStyle name="_Форма 22(чугун) 1 кв" xfId="15447"/>
    <cellStyle name="_Форма 22(чугун) 2008г " xfId="15448"/>
    <cellStyle name="_Форма 22(чугун) июль" xfId="15449"/>
    <cellStyle name="_Форма 22(чугун) нояб" xfId="15450"/>
    <cellStyle name="_Форма 22(чугун) окт" xfId="15451"/>
    <cellStyle name="_Форма 22(чугун) окт_Книга2" xfId="15452"/>
    <cellStyle name="_Форма 22(ЭСПЦ НОВЫЙ)" xfId="15453"/>
    <cellStyle name="_Форма 22(ЭСПЦ НОВЫЙ)_Книга2" xfId="15454"/>
    <cellStyle name="_Форма 22(ЭСПЦ) 1 кв" xfId="15455"/>
    <cellStyle name="_Форма 22(ЭСПЦ) 2008" xfId="15456"/>
    <cellStyle name="_Форма 22(ЭСПЦ)июль" xfId="15457"/>
    <cellStyle name="_Форма 22(ЭСПЦ)нояб" xfId="15458"/>
    <cellStyle name="_Форма 23" xfId="15459"/>
    <cellStyle name="_форма 23 план последний вариант" xfId="15460"/>
    <cellStyle name="_Форма 24" xfId="15461"/>
    <cellStyle name="_форма 24 год" xfId="15462"/>
    <cellStyle name="_Форма 24(март)" xfId="15463"/>
    <cellStyle name="_Форма 24(март)1" xfId="15464"/>
    <cellStyle name="_Форма 24(март-факт)" xfId="15465"/>
    <cellStyle name="_форма 24,25 send 2" xfId="15466"/>
    <cellStyle name="_форма 2425 send" xfId="15467"/>
    <cellStyle name="_Форма 25 - наипоследнейшая" xfId="15468"/>
    <cellStyle name="_Форма 25 (Вика)" xfId="15469"/>
    <cellStyle name="_Форма 28" xfId="15470"/>
    <cellStyle name="_Форма 28 (январьфакт-мартплан)" xfId="15471"/>
    <cellStyle name="_Форма 28_Книга2" xfId="15472"/>
    <cellStyle name="_Форма 29" xfId="15473"/>
    <cellStyle name="_Форма 3" xfId="15474"/>
    <cellStyle name="_Форма 3,4" xfId="15475"/>
    <cellStyle name="_форма 3_1" xfId="15476"/>
    <cellStyle name="_Форма 4,6" xfId="15477"/>
    <cellStyle name="_Форма 6 - 1 квартал" xfId="15478"/>
    <cellStyle name="_Форма 6 (1 полугодие)" xfId="15479"/>
    <cellStyle name="_Форма 7" xfId="15480"/>
    <cellStyle name="_форма 7аМосква" xfId="15481"/>
    <cellStyle name="_Форма 8 " xfId="15482"/>
    <cellStyle name="_Форма 8 (1 кв 07)-отчет(24.04.07)1" xfId="15483"/>
    <cellStyle name="_Форма 8 (4 кв 07)-отчет(05.03.08)" xfId="15484"/>
    <cellStyle name="_Форма 8 (август 08  факт)-от кв плана  10 09 08" xfId="15485"/>
    <cellStyle name="_Форма 8 (август 09 факт) 17 09 09" xfId="15486"/>
    <cellStyle name="_Форма 8 (апрель 09 факт)12 05 09" xfId="15487"/>
    <cellStyle name="_Форма 8 (декабрь 08 факт) 26 01 09" xfId="15488"/>
    <cellStyle name="_Форма 8 (июль 07 отчет) 10.08.07" xfId="15489"/>
    <cellStyle name="_Форма 8 (июль 08  факт)-от кв.плана  12.08.08" xfId="15490"/>
    <cellStyle name="_Форма 8 (июль 09 факт) 17 08 09" xfId="15491"/>
    <cellStyle name="_Форма 8 (июль 09 факт) 17 08 09_1" xfId="15492"/>
    <cellStyle name="_Форма 8 (июнь 08  факт)-от кв.плана  22.07.08" xfId="15493"/>
    <cellStyle name="_Форма 8 (ноябрь 06)" xfId="15494"/>
    <cellStyle name="_Форма 8 (ноябрь 09 факт) 16 12 09" xfId="15495"/>
    <cellStyle name="_Форма 8 (октябрь 08  факт) 25 11 08" xfId="15496"/>
    <cellStyle name="_Форма 8 (октябрь 09 факт) 18 11 09" xfId="15497"/>
    <cellStyle name="_Форма 8 (сентябрь 08  факт) 23.10.08" xfId="15498"/>
    <cellStyle name="_Форма 8 (сентябрь 09 факт) 19 10 09" xfId="15499"/>
    <cellStyle name="_Форма 8 (февраль 08  план) 25 01 08" xfId="15500"/>
    <cellStyle name="_Форма 8 (февраль 09 факт)19 03 09" xfId="15501"/>
    <cellStyle name="_Форма 8 (январь 07)" xfId="15502"/>
    <cellStyle name="_Форма 8 (январь 07)_Книга2" xfId="15503"/>
    <cellStyle name="_Форма 8 (январь 08 факт) 18.02.08-2" xfId="15504"/>
    <cellStyle name="_Форма 8 (январь 09 факт) 04 03 09" xfId="15505"/>
    <cellStyle name="_Форма 8 _Книга2" xfId="15506"/>
    <cellStyle name="_Форма 8 _Конс  ЛГОК БП 2009 от 14 10 08" xfId="15507"/>
    <cellStyle name="_Форма 8 _Конс  МГОК БП 2009 от 14 10 08" xfId="15508"/>
    <cellStyle name="_Форма 8 _Сравнение ожидаемого 2008 с 2009г  ОЭМК от 06 10 2008" xfId="15509"/>
    <cellStyle name="_Форма 8 _Сравнение ожидаемого 2008 УС c 2009г  от 06 10 2008" xfId="15510"/>
    <cellStyle name="_Форма 8 01(январь 10 план-факт) 18 02 10" xfId="15511"/>
    <cellStyle name="_Форма 8 02(февраль 10 план-факт) 11 03 10" xfId="15512"/>
    <cellStyle name="_Форма 8 03(март 10 план- факт) 09 04 10" xfId="15513"/>
    <cellStyle name="_Форма 8- 3 кв 2007 г.план (04.06.07)" xfId="15514"/>
    <cellStyle name="_Форма 8- 4 кв 2007 г.план (12.09.07)" xfId="15515"/>
    <cellStyle name="_Форма 8- 4 кв 2007 г.план (21.09.07)" xfId="15516"/>
    <cellStyle name="_Форма 8,9,10,11,12,13,14" xfId="15517"/>
    <cellStyle name="_Форма 8,9,11,12,13,14,15,16,17" xfId="15518"/>
    <cellStyle name="_Форма 8,9-2 квартал 2007 г.(план)" xfId="15519"/>
    <cellStyle name="_Форма 8-2 кв 2007 г (15.03.07)" xfId="15520"/>
    <cellStyle name="_Форма 8-2007 г.ожид.к БП (11.12.07)" xfId="15521"/>
    <cellStyle name="_Форма 8-БП 2008 г.(08.11.07)корр.ЛПЦ-2" xfId="15522"/>
    <cellStyle name="_Форма 8-БП 2008 г.(10.12.07)" xfId="15523"/>
    <cellStyle name="_Форма 8-БП 2008 г.(18.10.07)" xfId="15524"/>
    <cellStyle name="_Форма 8-БП 2008 г.(30.10.07)" xfId="15525"/>
    <cellStyle name="_Форма 9" xfId="15526"/>
    <cellStyle name="_Форма 9 - 2008 г. (19.03.08)" xfId="15527"/>
    <cellStyle name="_Форма 9 - 2008 г. (30.10.07)" xfId="15528"/>
    <cellStyle name="_Форма 9 - 2008 г. (6.12.07)" xfId="15529"/>
    <cellStyle name="_Форма 9 - 2008 г. (6.12.07)1" xfId="15530"/>
    <cellStyle name="_Форма 9 - 2008 г. (8.11.07)коррЛПЦ-2" xfId="15531"/>
    <cellStyle name="_Форма 9 - 3 квартал 2007 г.(план) 4.06." xfId="15532"/>
    <cellStyle name="_ФОРМА 9 - ОТЧЕТ ПО МЕСЯЦАМ 2010г" xfId="15533"/>
    <cellStyle name="_Форма 9 - отчет-1 кв. 2008 г.(22.04.08)" xfId="15534"/>
    <cellStyle name="_ФОРМА 9 - с янв.2007 год (отчет)" xfId="15535"/>
    <cellStyle name="_форма 9 (4 кв. отчет 2007)" xfId="15536"/>
    <cellStyle name="_форма 9 (март 1 кв. 2007 отчет)1" xfId="15537"/>
    <cellStyle name="_Форма 9 2006 г.(скоррект.план-факт)" xfId="15538"/>
    <cellStyle name="_Форма 9 2006 г.(скоррект.план-факт)_Книга2" xfId="15539"/>
    <cellStyle name="_Форма 9 27 04 09" xfId="15540"/>
    <cellStyle name="_Форма 9- 4 квартал2007(план)23.08." xfId="15541"/>
    <cellStyle name="_Форма 9- 4 квартал2007(план)23.08.1" xfId="15542"/>
    <cellStyle name="_Форма 9- 4 квартал2007(план)23.08.2" xfId="15543"/>
    <cellStyle name="_форма 9 июль" xfId="15544"/>
    <cellStyle name="_форма 9 отчет-апрель 2008 (22 05 08)" xfId="15545"/>
    <cellStyle name="_форма 9 отчет-апрель 2008 (22.05.08)" xfId="15546"/>
    <cellStyle name="_форма 9 отчет-май 2008 (24.06.08)" xfId="15547"/>
    <cellStyle name="_форма 9 отчет-март 2008 (22 04 08) (2)" xfId="15548"/>
    <cellStyle name="_форма 9 отчет-март 2008 (22.04.08)" xfId="15549"/>
    <cellStyle name="_Форма 9 отчет-ноябрь(23 12 08)" xfId="15550"/>
    <cellStyle name="_форма 9-отчет 4 кв.2007 (05.03.08)" xfId="15551"/>
    <cellStyle name="_Форма N2,10 4 квартал 2008 план от 12 09 08" xfId="15552"/>
    <cellStyle name="_Форма № 10 Рент-ть отгрузки 07" xfId="15553"/>
    <cellStyle name="_Форма № 10 Рент-ть отгрузки 08" xfId="15554"/>
    <cellStyle name="_Форма № 11" xfId="15555"/>
    <cellStyle name="_Форма № 11   I кв  2008  (факт)" xfId="15556"/>
    <cellStyle name="_Форма № 11 01 2008" xfId="15557"/>
    <cellStyle name="_Форма № 11 12 2007" xfId="15558"/>
    <cellStyle name="_Форма № 13, 14" xfId="15559"/>
    <cellStyle name="_Форма № 13,14 - отчёт октября 2007г." xfId="15560"/>
    <cellStyle name="_Форма № 18 (последняя 14-50)" xfId="15561"/>
    <cellStyle name="_Форма № 19 25.02.07" xfId="15562"/>
    <cellStyle name="_Форма № 23  2007 год  (02 12 2006 )" xfId="15563"/>
    <cellStyle name="_Форма № 24" xfId="15564"/>
    <cellStyle name="_Форма № 3 (отчет ОЭМК)_окончат." xfId="15565"/>
    <cellStyle name="_Форма № 30  26.02.07" xfId="15566"/>
    <cellStyle name="_Форма № 7" xfId="15567"/>
    <cellStyle name="_форма № 8" xfId="15568"/>
    <cellStyle name="_Форма № 8,9,12 2008" xfId="15569"/>
    <cellStyle name="_Форма №1" xfId="15570"/>
    <cellStyle name="_Форма №10 2008 ФП 22 10 07" xfId="15571"/>
    <cellStyle name="_Форма №10 2008 ФП вариант цен ОЭМК2 30 10 07" xfId="15572"/>
    <cellStyle name="_Форма №10 3 кв план 2007 от 21 06 07" xfId="15573"/>
    <cellStyle name="_Форма №10 3 кв факт  от 22 10 07" xfId="15574"/>
    <cellStyle name="_Форма №10 4 кв план 2007 от 12 09 07" xfId="15575"/>
    <cellStyle name="_Форма №10 4 кв план 2007 от 14 09 07" xfId="15576"/>
    <cellStyle name="_Форма №10 август факт 21 09 07" xfId="15577"/>
    <cellStyle name="_Форма №10 аперель факт 22 05 07" xfId="15578"/>
    <cellStyle name="_Форма №10 рент-ть" xfId="15579"/>
    <cellStyle name="_ФОРМА №10 Рент-ть отгрузки" xfId="15580"/>
    <cellStyle name="_Форма №11" xfId="15581"/>
    <cellStyle name="_Форма №11_Приложения 2 квартал (КП-факт)" xfId="15582"/>
    <cellStyle name="_Форма №11_Приложения 3 квартал (КП-факт)добавка" xfId="15583"/>
    <cellStyle name="_Форма №11_Приложения КП-Факт" xfId="15584"/>
    <cellStyle name="_Форма №13" xfId="15585"/>
    <cellStyle name="_форма №13 январь отчет" xfId="15586"/>
    <cellStyle name="_Форма №13, 14 от 25.04.07" xfId="15587"/>
    <cellStyle name="_Форма №14" xfId="15588"/>
    <cellStyle name="_форма №15" xfId="15589"/>
    <cellStyle name="_Форма №15-18" xfId="15590"/>
    <cellStyle name="_Форма №18" xfId="15591"/>
    <cellStyle name="_ФОРМА №18 (последняя)Ъ" xfId="15592"/>
    <cellStyle name="_Форма №18 для презентации" xfId="15593"/>
    <cellStyle name="_Форма №18 новый вариант" xfId="15594"/>
    <cellStyle name="_Форма №19" xfId="15595"/>
    <cellStyle name="_Форма №19 2007" xfId="15596"/>
    <cellStyle name="_Форма №19 июль факт" xfId="15597"/>
    <cellStyle name="_Форма №2 (план расчетов)_квартальная" xfId="15598"/>
    <cellStyle name="_Форма №2, 10  2 кв факт 2007 20 07 07" xfId="15599"/>
    <cellStyle name="_Форма №2,10 1 квартал 2008 план 24 12 07" xfId="15600"/>
    <cellStyle name="_Форма №2,10 2008 ФП ТД вар II 071207" xfId="15601"/>
    <cellStyle name="_Форма №2,10 2008 ФП ТД вар II 21 12 07" xfId="15602"/>
    <cellStyle name="_Форма №2,10 ноябрь факт 20 12 07" xfId="15603"/>
    <cellStyle name="_Форма №2,3,4,5" xfId="15604"/>
    <cellStyle name="_Форма №20" xfId="15605"/>
    <cellStyle name="_Форма №22" xfId="15606"/>
    <cellStyle name="_Форма №22-23" xfId="15607"/>
    <cellStyle name="_Форма №23" xfId="15608"/>
    <cellStyle name="_Форма №23 09.04.07" xfId="15609"/>
    <cellStyle name="_Форма №23 для отправки" xfId="15610"/>
    <cellStyle name="_Форма №23_1" xfId="15611"/>
    <cellStyle name="_Форма №23_НОВАЯ ФОРМА ПО СОЦИАЛЬНЫМ ПРОГРАММАМ" xfId="15612"/>
    <cellStyle name="_Форма №23_Приложения План Март (23)" xfId="15613"/>
    <cellStyle name="_Форма №23_Формат" xfId="15614"/>
    <cellStyle name="_Форма №24" xfId="15615"/>
    <cellStyle name="_форма №24 от 07.12.2006г" xfId="15616"/>
    <cellStyle name="_форма №24 от 11.12.2006г" xfId="15617"/>
    <cellStyle name="_форма №24 от 15.12.2006г" xfId="15618"/>
    <cellStyle name="_форма №24,25 2 кв. от 02.04.07" xfId="15619"/>
    <cellStyle name="_Форма №24,25 за 1 кв 2007" xfId="15620"/>
    <cellStyle name="_Форма №24,25 за янв 2007" xfId="15621"/>
    <cellStyle name="_Форма №26 1 кв" xfId="15622"/>
    <cellStyle name="_Форма №27 1 кв" xfId="15623"/>
    <cellStyle name="_Форма №4" xfId="15624"/>
    <cellStyle name="_форма №6" xfId="15625"/>
    <cellStyle name="_ФОРМА №6  (по старой методике)" xfId="15626"/>
    <cellStyle name="_ФОРМА №6  (по старой методике)_Книга2" xfId="15627"/>
    <cellStyle name="_ФОРМА №6  (по старой методике)_Конс  ЛГОК БП 2009 от 14 10 08" xfId="15628"/>
    <cellStyle name="_ФОРМА №6  (по старой методике)_Конс  МГОК БП 2009 от 14 10 08" xfId="15629"/>
    <cellStyle name="_ФОРМА №6  (по старой методике)_Сравнение ожидаемого 2008 с 2009г  ОЭМК от 06 10 2008" xfId="15630"/>
    <cellStyle name="_ФОРМА №6  (по старой методике)_Сравнение ожидаемого 2008 УС c 2009г  от 06 10 2008" xfId="15631"/>
    <cellStyle name="_форма №6 за 2007 год" xfId="15632"/>
    <cellStyle name="_форма №6 за 4 кв-л 2007 год" xfId="15633"/>
    <cellStyle name="_Форма №6 за ноябрь (с кв-м планом)" xfId="15634"/>
    <cellStyle name="_форма №6_Книга2" xfId="15635"/>
    <cellStyle name="_форма №6_Конс  ЛГОК БП 2009 от 14 10 08" xfId="15636"/>
    <cellStyle name="_форма №6_Конс  МГОК БП 2009 от 14 10 08" xfId="15637"/>
    <cellStyle name="_форма №6_Сравнение ожидаемого 2008 с 2009г  ОЭМК от 06 10 2008" xfId="15638"/>
    <cellStyle name="_форма №6_Сравнение ожидаемого 2008 УС c 2009г  от 06 10 2008" xfId="15639"/>
    <cellStyle name="_Форма №6-10,12" xfId="15640"/>
    <cellStyle name="_Форма №7" xfId="15641"/>
    <cellStyle name="_Форма №7  АНАЛИЗ СЫРЬЯ от 15 11 06" xfId="15642"/>
    <cellStyle name="_Форма №7  АНАЛИЗ СЫРЬЯ от 15 11 06_Книга2" xfId="15643"/>
    <cellStyle name="_Форма №7_1" xfId="15644"/>
    <cellStyle name="_ФОРМА №8,9,12 ПП и другие" xfId="15645"/>
    <cellStyle name="_Форма баланс 28.08.06" xfId="15646"/>
    <cellStyle name="_Форма баланс 28.08.06_исходные_291107" xfId="15647"/>
    <cellStyle name="_Форма баланс 28.08.06_Лист1" xfId="15648"/>
    <cellStyle name="_Форма баланс 28.08.06_Лист2" xfId="15649"/>
    <cellStyle name="_Форма баланс 28.08.06_Лист3" xfId="15650"/>
    <cellStyle name="_Форма баланс 28.08.06-ОЭМК" xfId="15651"/>
    <cellStyle name="_Форма баланс 28.08.06-ОЭМК_исходные_291107" xfId="15652"/>
    <cellStyle name="_Форма баланс 28.08.06-ОЭМК_Лист1" xfId="15653"/>
    <cellStyle name="_Форма баланс 28.08.06-ОЭМК_Лист2" xfId="15654"/>
    <cellStyle name="_Форма баланс 28.08.06-ОЭМК_Лист3" xfId="15655"/>
    <cellStyle name="_Форма баланс 29.08.06 для УС" xfId="15656"/>
    <cellStyle name="_Форма баланс 29.08.06 для УС_исходные_291107" xfId="15657"/>
    <cellStyle name="_Форма баланс 29.08.06 для УС_Лист1" xfId="15658"/>
    <cellStyle name="_Форма баланс 29.08.06 для УС_Лист2" xfId="15659"/>
    <cellStyle name="_Форма баланс 29.08.06 для УС_Лист3" xfId="15660"/>
    <cellStyle name="_форма Бух баланс" xfId="15661"/>
    <cellStyle name="_Форма для ЛГОК" xfId="15662"/>
    <cellStyle name="_Форма для ЛГОК new" xfId="15663"/>
    <cellStyle name="_Форма для ЛГОК_исходные_291107" xfId="15664"/>
    <cellStyle name="_Форма для ЛГОК_Лист1" xfId="15665"/>
    <cellStyle name="_Форма для ЛГОК_Лист2" xfId="15666"/>
    <cellStyle name="_Форма для ЛГОК_Лист3" xfId="15667"/>
    <cellStyle name="_Форма для МГОК" xfId="15668"/>
    <cellStyle name="_Форма для ОЭМК" xfId="15669"/>
    <cellStyle name="_Форма для ОЭМК (2)" xfId="15670"/>
    <cellStyle name="_Форма для ОЭМК (2)_исходные_291107" xfId="15671"/>
    <cellStyle name="_Форма для ОЭМК (2)_Лист1" xfId="15672"/>
    <cellStyle name="_Форма для ОЭМК (2)_Лист2" xfId="15673"/>
    <cellStyle name="_Форма для ОЭМК (2)_Лист3" xfId="15674"/>
    <cellStyle name="_Форма для ОЭМК_исходные_291107" xfId="15675"/>
    <cellStyle name="_Форма для ОЭМК_Лист1" xfId="15676"/>
    <cellStyle name="_Форма для ОЭМК_Лист2" xfId="15677"/>
    <cellStyle name="_Форма для ОЭМК_Лист3" xfId="15678"/>
    <cellStyle name="_Форма для УС" xfId="15679"/>
    <cellStyle name="_Форма для УС_исходные_291107" xfId="15680"/>
    <cellStyle name="_Форма для УС_Лист1" xfId="15681"/>
    <cellStyle name="_Форма для УС_Лист2" xfId="15682"/>
    <cellStyle name="_Форма для УС_Лист3" xfId="15683"/>
    <cellStyle name="_форма_23 3 КВАРТАЛ(план) (3)" xfId="15684"/>
    <cellStyle name="_Форма_24 2007" xfId="15685"/>
    <cellStyle name="_Форма_24 2007 (1)" xfId="15686"/>
    <cellStyle name="_Форма-13-2 Квартал 2008" xfId="15687"/>
    <cellStyle name="_Форма-13-август-факт" xfId="15688"/>
    <cellStyle name="_Форма-13-апрель-факт" xfId="15689"/>
    <cellStyle name="_Форма-13-апрель-факт-без-услуг" xfId="15690"/>
    <cellStyle name="_Форма-13-апрель-факт-без-услуг1" xfId="15691"/>
    <cellStyle name="_Форма-13-декабрь-факт-без-услуг1" xfId="15692"/>
    <cellStyle name="_Форма-13-июль-факт" xfId="15693"/>
    <cellStyle name="_Форма-13-июнь-факт" xfId="15694"/>
    <cellStyle name="_Форма-13-июнь-факт1" xfId="15695"/>
    <cellStyle name="_Форма-13-июнь-факт3" xfId="15696"/>
    <cellStyle name="_Форма-13-май-факт" xfId="15697"/>
    <cellStyle name="_Форма-13-март-факт" xfId="15698"/>
    <cellStyle name="_Форма-13-март-факт-без-услуг" xfId="15699"/>
    <cellStyle name="_Форма-13-Металлоинвест-3-квартал-20071" xfId="15700"/>
    <cellStyle name="_Форма-13-Металлоинвест-3-квартал-20072" xfId="15701"/>
    <cellStyle name="_Форма-13-Металлоинвест-4-квартал-2007" xfId="15702"/>
    <cellStyle name="_Форма-13-Металлоинвест-4-квартал-20071" xfId="15703"/>
    <cellStyle name="_Форма-13-Металлоинвест-4-квартал-20072" xfId="15704"/>
    <cellStyle name="_Форма-13-Металлоинвест-4-квартал-20073" xfId="15705"/>
    <cellStyle name="_Форма-13новая" xfId="15706"/>
    <cellStyle name="_Форма-13-сентябрь-факт" xfId="15707"/>
    <cellStyle name="_Форма-13--факт-2 квартал" xfId="15708"/>
    <cellStyle name="_Форма-13--факт-3 квартал под PL" xfId="15709"/>
    <cellStyle name="_Форма-13-факт-4-квартал-без-услуг1" xfId="15710"/>
    <cellStyle name="_Форма-13-январь-факт-без-услуг" xfId="15711"/>
    <cellStyle name="_форма-14 от 28.03.08г." xfId="15712"/>
    <cellStyle name="_Форма-14-август-факт1" xfId="15713"/>
    <cellStyle name="_Форма-14-апрель-факт" xfId="15714"/>
    <cellStyle name="_Форма-14-апрель-факт1" xfId="15715"/>
    <cellStyle name="_Форма-14-декабрь-факт" xfId="15716"/>
    <cellStyle name="_Форма-14-июль-факт-самая посл." xfId="15717"/>
    <cellStyle name="_Форма-14-июнь-факт" xfId="15718"/>
    <cellStyle name="_Форма-14-май-факт1" xfId="15719"/>
    <cellStyle name="_Форма-14-май-факт-посл." xfId="15720"/>
    <cellStyle name="_Форма-14-март" xfId="15721"/>
    <cellStyle name="_Форма-14-март-факт" xfId="15722"/>
    <cellStyle name="_Форма-14-Металлоинвест-3-квартал-2007" xfId="15723"/>
    <cellStyle name="_Форма-14-Металлоинвест-3-квартал-20071" xfId="15724"/>
    <cellStyle name="_Форма-14-Металлоинвест-3-квартал-20072" xfId="15725"/>
    <cellStyle name="_Форма-14-Металлоинвест-3-квартал-20073" xfId="15726"/>
    <cellStyle name="_Форма-14-Металлоинвест-3-квартал-20075" xfId="15727"/>
    <cellStyle name="_Форма-14-Металлоинвест-4-квартал-2007" xfId="15728"/>
    <cellStyle name="_Форма-14-Металлоинвест-4-квартал-20071" xfId="15729"/>
    <cellStyle name="_Форма-14-Металлоинвест-4-квартал-20075" xfId="15730"/>
    <cellStyle name="_Форма-14-Металлоинвест-4-квартал-20076" xfId="15731"/>
    <cellStyle name="_Форма-14-Металлоинвест-4-квартал-20077" xfId="15732"/>
    <cellStyle name="_Форма-14-ноябрь-10дек" xfId="15733"/>
    <cellStyle name="_Форма-14-сентябрь-факт" xfId="15734"/>
    <cellStyle name="_Форма-14--факт 3 квартал под ФУ" xfId="15735"/>
    <cellStyle name="_Форма-14-факт-4-квартал" xfId="15736"/>
    <cellStyle name="_Форма-14-январь-факт(2)" xfId="15737"/>
    <cellStyle name="_форма18" xfId="15738"/>
    <cellStyle name="_Форма18 3 кв. 15 июня" xfId="15739"/>
    <cellStyle name="_Форма19 2008 г  прогноз (5)" xfId="15740"/>
    <cellStyle name="_Форма19 анализ" xfId="15741"/>
    <cellStyle name="_Форма19 прогноз 2008 от 09 09 08 (3)" xfId="15742"/>
    <cellStyle name="_Форма19-2006" xfId="15743"/>
    <cellStyle name="_Форма19-2007" xfId="15744"/>
    <cellStyle name="_Форма8(скоррект)" xfId="15745"/>
    <cellStyle name="_Форма8(скоррект)_Книга2" xfId="15746"/>
    <cellStyle name="_Форма9(скоррект)" xfId="15747"/>
    <cellStyle name="_Форма9(скоррект)_Книга2" xfId="15748"/>
    <cellStyle name="_Форма№13 (новая от 28 12 09г) февраль версия № и последняя" xfId="15749"/>
    <cellStyle name="_Форма№22" xfId="15750"/>
    <cellStyle name="_Форма№24 2007" xfId="15751"/>
    <cellStyle name="_Формат Январь прогноз" xfId="15752"/>
    <cellStyle name="_Формы" xfId="15753"/>
    <cellStyle name="_формы  15.16.17,-II кв. план" xfId="15754"/>
    <cellStyle name="_формы  15.16.17,-III квартал-ПЭО" xfId="15755"/>
    <cellStyle name="_Формы  март фактxls (2)" xfId="15756"/>
    <cellStyle name="_Формы  октябрь 2,3,4,5 ( 26.11.09) -посл." xfId="15757"/>
    <cellStyle name="_ФОРМЫ  октября(факт)" xfId="15758"/>
    <cellStyle name="_Формы  факт 08 09  для москвы " xfId="15759"/>
    <cellStyle name="_формы  факт 3 квартал (9.11.07последн) - № 2,3,4,5,6,7,10,12" xfId="15760"/>
    <cellStyle name="_ФОРМЫ  факт октября от28.11.08" xfId="15761"/>
    <cellStyle name="_формы (2,3,4,5)(24.12)" xfId="15762"/>
    <cellStyle name="_Формы 1 - 5" xfId="15763"/>
    <cellStyle name="_Формы 1 квартал 2007 г " xfId="15764"/>
    <cellStyle name="_Формы 11516-ноябрь-ук" xfId="15765"/>
    <cellStyle name="_Формы 15 - 17" xfId="15766"/>
    <cellStyle name="_Формы 19,20,21" xfId="15767"/>
    <cellStyle name="_Формы 19,20,21 16.12.06 " xfId="15768"/>
    <cellStyle name="_Формы 19,20,21 на 2007г." xfId="15769"/>
    <cellStyle name="_Формы 2" xfId="15770"/>
    <cellStyle name="_формы 20 за май" xfId="15771"/>
    <cellStyle name="_Формы 20-21     2кв" xfId="15772"/>
    <cellStyle name="_Формы 22(сводн) 1 кв" xfId="15773"/>
    <cellStyle name="_ФОРМЫ 2345671012 апрель факт" xfId="15774"/>
    <cellStyle name="_Формы 25_28_29_30" xfId="15775"/>
    <cellStyle name="_формы 2-7,10,12" xfId="15776"/>
    <cellStyle name="_Формы 2-7,10,12 4 кв07- 24.01.08" xfId="15777"/>
    <cellStyle name="_Формы 28 и прочие" xfId="15778"/>
    <cellStyle name="_Формы 28 и прочие_Книга2" xfId="15779"/>
    <cellStyle name="_Формы 28,29,30" xfId="15780"/>
    <cellStyle name="_Формы 28,29,30_Книга2" xfId="15781"/>
    <cellStyle name="_Формы 7, 8, 9, 10, 12" xfId="15782"/>
    <cellStyle name="_Формы 8, 9, 10, 12" xfId="15783"/>
    <cellStyle name="_Формы N2,10 март факт от 15 04 10" xfId="15784"/>
    <cellStyle name="_Формы N2,10 январь план 24 12 08" xfId="15785"/>
    <cellStyle name="_формы № 15,16,17 - 3.10.06г." xfId="15786"/>
    <cellStyle name="_Формы № 2-7 10 12 25 28 29 30 - 3 квартал 2007г.- ФАКТ-от 30.10.07г." xfId="15787"/>
    <cellStyle name="_Формы № 28 29 30" xfId="15788"/>
    <cellStyle name="_Формы № 28,29,30" xfId="15789"/>
    <cellStyle name="_Формы № 28,29,30_Книга2" xfId="15790"/>
    <cellStyle name="_формы №15,16,17 для бизнес-плана" xfId="15791"/>
    <cellStyle name="_ФОРМЫ №2,3,4  17.09.07" xfId="15792"/>
    <cellStyle name="_Формы №28-30 (новые)" xfId="15793"/>
    <cellStyle name="_Формы №28-30 (переделанные)" xfId="15794"/>
    <cellStyle name="_Формы №8-9-12" xfId="15795"/>
    <cellStyle name="_Формы №№ 19,24" xfId="15796"/>
    <cellStyle name="_Формы август факт " xfId="15797"/>
    <cellStyle name="_Формы Август-декбарь" xfId="15798"/>
    <cellStyle name="_Формы Август-декбарь_Книга2" xfId="15799"/>
    <cellStyle name="_Формы апрель факт " xfId="15800"/>
    <cellStyle name="_Формы апрель факт(27.05" xfId="15801"/>
    <cellStyle name="_Формы бюджета 4 квартал (фин.часть)3.09.06" xfId="15802"/>
    <cellStyle name="_ФОРМЫ декабрь факт" xfId="15803"/>
    <cellStyle name="_ФОРМЫ декабрь факт29.01.09" xfId="15804"/>
    <cellStyle name="_ФОРМЫ декабрь-1 факт30.01.09" xfId="15805"/>
    <cellStyle name="_Формы для МГОК (к отправке)" xfId="15806"/>
    <cellStyle name="_Формы для москвы" xfId="15807"/>
    <cellStyle name="_Формы для москвы мартфакт" xfId="15808"/>
    <cellStyle name="_формы для Москвы факт декаб" xfId="15809"/>
    <cellStyle name="_ФОРМЫ для МОСКВЫ.4квартал" xfId="15810"/>
    <cellStyle name="_Формы для Москы" xfId="15811"/>
    <cellStyle name="_Формы для ОЭМК (к отправке)" xfId="15812"/>
    <cellStyle name="_Формы для ОЭМК (к отправке)_Книга2" xfId="15813"/>
    <cellStyle name="_Формы для ОЭМК (к отправке)_Конс  ЛГОК БП 2009 от 14 10 08" xfId="15814"/>
    <cellStyle name="_Формы для ОЭМК (к отправке)_Конс  МГОК БП 2009 от 14 10 08" xfId="15815"/>
    <cellStyle name="_Формы для ОЭМК (к отправке)_Сравнение ожидаемого 2008 с 2009г  ОЭМК от 06 10 2008" xfId="15816"/>
    <cellStyle name="_Формы для ОЭМК (к отправке)_Сравнение ожидаемого 2008 УС c 2009г  от 06 10 2008" xfId="15817"/>
    <cellStyle name="_Формы для Урал Сталь (к отправке)" xfId="15818"/>
    <cellStyle name="_Формы для Урал Сталь (к отправке)_Книга2" xfId="15819"/>
    <cellStyle name="_Формы для Урал Сталь (к отправке)_Конс  ЛГОК БП 2009 от 14 10 08" xfId="15820"/>
    <cellStyle name="_Формы для Урал Сталь (к отправке)_Конс  МГОК БП 2009 от 14 10 08" xfId="15821"/>
    <cellStyle name="_Формы для Урал Сталь (к отправке)_Сравнение ожидаемого 2008 с 2009г  ОЭМК от 06 10 2008" xfId="15822"/>
    <cellStyle name="_Формы для Урал Сталь (к отправке)_Сравнение ожидаемого 2008 УС c 2009г  от 06 10 2008" xfId="15823"/>
    <cellStyle name="_формы для холдинга 15.16.17,-III квартал-план-ПЕРЕДЕЛАННЫЙ-ПЭО" xfId="15824"/>
    <cellStyle name="_формы для холдинга 15.16.17,-IV квартал-ПЭО" xfId="15825"/>
    <cellStyle name="_формы для холдинга 15.16.17,-IV факт" xfId="15826"/>
    <cellStyle name="_формы март факт без резерва от29.04.09" xfId="15827"/>
    <cellStyle name="_Формы МИ" xfId="15828"/>
    <cellStyle name="_Формы МИ_Книга2" xfId="15829"/>
    <cellStyle name="_Формы МИ_Конс  ЛГОК БП 2009 от 14 10 08" xfId="15830"/>
    <cellStyle name="_Формы МИ_Конс  МГОК БП 2009 от 14 10 08" xfId="15831"/>
    <cellStyle name="_Формы МИ_Сравнение ожидаемого 2008 с 2009г  ОЭМК от 06 10 2008" xfId="15832"/>
    <cellStyle name="_Формы МИ_Сравнение ожидаемого 2008 УС c 2009г  от 06 10 2008" xfId="15833"/>
    <cellStyle name="_Формы Москва" xfId="15834"/>
    <cellStyle name="_Формы Москва июнь факт" xfId="15835"/>
    <cellStyle name="_Формы Москва факт" xfId="15836"/>
    <cellStyle name="_Формы ноябрь факт ( 25.12.09) " xfId="15837"/>
    <cellStyle name="_Формы общие отчет за год" xfId="15838"/>
    <cellStyle name="_Формы общие отчет за год_исходные_291107" xfId="15839"/>
    <cellStyle name="_Формы общие отчет за год_Лист1" xfId="15840"/>
    <cellStyle name="_Формы общие отчет за год_Лист2" xfId="15841"/>
    <cellStyle name="_Формы общие отчет за год_Лист3" xfId="15842"/>
    <cellStyle name="_Формы общие отчет за квартал (Прилож. 5)" xfId="15843"/>
    <cellStyle name="_Формы общие отчет за месяц" xfId="15844"/>
    <cellStyle name="_Формы общие план на квартал (Прилож. 4)" xfId="15845"/>
    <cellStyle name="_Формы последние 02 08 07" xfId="15846"/>
    <cellStyle name="_Формы факт 3 кв 2008" xfId="15847"/>
    <cellStyle name="_ФОРМЫ факт 4кв 2007г. 5.03.08" xfId="15848"/>
    <cellStyle name="_Формы факт апрель4.06.07" xfId="15849"/>
    <cellStyle name="_формы факт июнь   2008г.(ф2-12)" xfId="15850"/>
    <cellStyle name="_Формы факт октябрь  " xfId="15851"/>
    <cellStyle name="_Формы факт октябрь(26.11.09-2)-самая посл." xfId="15852"/>
    <cellStyle name="_формы факт сентябрь  " xfId="15853"/>
    <cellStyle name="_Формы факт сентябрь 2008" xfId="15854"/>
    <cellStyle name="_Формы факт февраль(22.04.09)" xfId="15855"/>
    <cellStyle name="_ФОРМЫ факт января xls" xfId="15856"/>
    <cellStyle name="_формы(2-7,10,12,22)(26 12)" xfId="15857"/>
    <cellStyle name="_Формы_БП Урал Кирпич 28 01 2008г" xfId="15858"/>
    <cellStyle name="_Формы_БП_план на 1 кв. 2008г." xfId="15859"/>
    <cellStyle name="_Формы_БП_план на 2 кв. 2008г." xfId="15860"/>
    <cellStyle name="_Формы_Книга2" xfId="15861"/>
    <cellStyle name="_Формы_Конс  ЛГОК БП 2009 от 14 10 08" xfId="15862"/>
    <cellStyle name="_Формы_Конс  МГОК БП 2009 от 14 10 08" xfId="15863"/>
    <cellStyle name="_Формы_План ДСМ 2 квартал 2009 ОТЧЕТ отп" xfId="15864"/>
    <cellStyle name="_Формы_План ДСМ 3 квартал 2009 ОТЧЕТ" xfId="15865"/>
    <cellStyle name="_Формы_План ДСМ 4 квартал 2009 ОТЧЕТ" xfId="15866"/>
    <cellStyle name="_Формы_План ДСМ на 4 квартал 2006 (последняя версия) 2" xfId="15867"/>
    <cellStyle name="_Формы_План ДСМ ноябрь 2011 ОТЧЕТ" xfId="15868"/>
    <cellStyle name="_Формы_План ДСФ 1 квартал 2007" xfId="15869"/>
    <cellStyle name="_Формы_План ДСФ 2 квартал 2009 ОТЧЕТ отп" xfId="15870"/>
    <cellStyle name="_Формы_План ДСФ 4 квартал 2009 ОТЧЕТ" xfId="15871"/>
    <cellStyle name="_Формы_План на 2009 год ДСМ ОТЧЕТ отп (01.12.08)" xfId="15872"/>
    <cellStyle name="_Формы_План на 2010 год ДСМ ОТЧЕТ" xfId="15873"/>
    <cellStyle name="_Формы_Сравнение ожидаемого 2008 с 2009г  ОЭМК от 06 10 2008" xfId="15874"/>
    <cellStyle name="_Формы_Сравнение ожидаемого 2008 УС c 2009г  от 06 10 2008" xfId="15875"/>
    <cellStyle name="_Формы_УралКирпич_план на 2 кв. 2009" xfId="15876"/>
    <cellStyle name="_ФП_последний" xfId="15877"/>
    <cellStyle name="_ФП_САМЫЙ ПОСЛЕДНИЙ" xfId="15878"/>
    <cellStyle name="_ФУ" xfId="15879"/>
    <cellStyle name="_Функц. бюджет 2-ое полуг. 2006 (вн.рынок) IV кв" xfId="15880"/>
    <cellStyle name="_Функциональный б. (покупка1410)" xfId="15881"/>
    <cellStyle name="_Шахматка УЗ октябрь" xfId="15882"/>
    <cellStyle name="_Эк.пок. по форме ЛГОК" xfId="15883"/>
    <cellStyle name="_Эк.показатели пл.на 2 п.г.скор." xfId="15884"/>
    <cellStyle name="_Эк.показатели пл.на 2 п.г.скор._исходные_291107" xfId="15885"/>
    <cellStyle name="_Эк.показатели пл.на 2 п.г.скор._Лист1" xfId="15886"/>
    <cellStyle name="_Эк.показатели пл.на 2 п.г.скор._Лист2" xfId="15887"/>
    <cellStyle name="_Эк.показатели пл.на 2 п.г.скор._Лист3" xfId="15888"/>
    <cellStyle name="_Экономическая часть" xfId="15889"/>
    <cellStyle name="_Экономическая часть " xfId="15890"/>
    <cellStyle name="_Экономическая часть - 3.04.07" xfId="15891"/>
    <cellStyle name="_Экономическая часть 08 09.11." xfId="15892"/>
    <cellStyle name="_Экономическая часть 25" xfId="15893"/>
    <cellStyle name="_Экономическая часть 4 кв. 1 (без 2-5, 23)" xfId="15894"/>
    <cellStyle name="_Экономическая часть 6.04.07." xfId="15895"/>
    <cellStyle name="_ЭП" xfId="15896"/>
    <cellStyle name="_ЮЮЮЮЮ" xfId="15897"/>
    <cellStyle name="_Январь" xfId="15898"/>
    <cellStyle name="_ЯНВАРЬ   2008  ФАКТ    АНАЛИЗ СЫРЬЯ" xfId="15899"/>
    <cellStyle name="_ЯНВАРЬ   2009 ГОД   ФАКТ  АНАЛИЗ СЫРЬЯ  " xfId="15900"/>
    <cellStyle name="_ЯНВАРЬ  ФАКТ  2007  АНАЛИЗ СЫРЬЯ" xfId="15901"/>
    <cellStyle name="_ЯНВАРЬ  ФАКТ  2007  АНАЛИЗ СЫРЬЯ_Книга2" xfId="15902"/>
    <cellStyle name="_ЯНВАРЬ ФАКТ  от 30 03 09 с учет факторинга xls" xfId="15903"/>
    <cellStyle name="’Ê‰Ý [0.00]_GE 3 MINIMUM" xfId="15904"/>
    <cellStyle name="’Ê‰Ý_GE 3 MINIMUM" xfId="15905"/>
    <cellStyle name="£ BP" xfId="15906"/>
    <cellStyle name="¥ JY" xfId="15907"/>
    <cellStyle name="=C:\WINNT35\SYSTEM32\COMMAND.COM" xfId="15908"/>
    <cellStyle name="=C:\WINNT35\SYSTEM32\COMMAND.COM 2" xfId="15909"/>
    <cellStyle name="=D:\WINNT\SYSTEM32\COMMAND.COM" xfId="15910"/>
    <cellStyle name="•W€_GE 3 MINIMUM" xfId="15911"/>
    <cellStyle name="0" xfId="15912"/>
    <cellStyle name="0%" xfId="15913"/>
    <cellStyle name="0,00;0;" xfId="15914"/>
    <cellStyle name="0,00;0; 2" xfId="15915"/>
    <cellStyle name="0,00;0; 3" xfId="15916"/>
    <cellStyle name="0,00;0; 4" xfId="15917"/>
    <cellStyle name="0.0" xfId="15918"/>
    <cellStyle name="0.0%" xfId="15919"/>
    <cellStyle name="0.0_Arab Light Pricing" xfId="15920"/>
    <cellStyle name="0.00" xfId="15921"/>
    <cellStyle name="0.00%" xfId="15922"/>
    <cellStyle name="0.00_Arab Light Pricing" xfId="15923"/>
    <cellStyle name="0_Arab Light Pricing" xfId="15924"/>
    <cellStyle name="0_Badin_v2" xfId="15925"/>
    <cellStyle name="0_book1" xfId="15926"/>
    <cellStyle name="0_Encana_v8" xfId="15927"/>
    <cellStyle name="0_Encana_v8_Financial_model_Project_N_03 03 09_for Nitol_final_Base_" xfId="15928"/>
    <cellStyle name="0_Financial_model_Project_N_03 03 09_for Nitol_final_Base_" xfId="15929"/>
    <cellStyle name="0_Gazprom_Standalone_v103_ta" xfId="15930"/>
    <cellStyle name="0_Gazprom_Standalone_v103_ta_Financial_model_Project_N_03 03 09_for Nitol_final_Base_" xfId="15931"/>
    <cellStyle name="0_Pakistan Upstream Models_v3" xfId="15932"/>
    <cellStyle name="0_PPL v35" xfId="15933"/>
    <cellStyle name="0_Project Ozone_April 14 v7" xfId="15934"/>
    <cellStyle name="12Bold" xfId="15935"/>
    <cellStyle name="1Normal" xfId="15936"/>
    <cellStyle name="20% - Accent1" xfId="15937"/>
    <cellStyle name="20% - Accent1 2" xfId="15938"/>
    <cellStyle name="20% - Accent2" xfId="15939"/>
    <cellStyle name="20% - Accent2 2" xfId="15940"/>
    <cellStyle name="20% - Accent3" xfId="15941"/>
    <cellStyle name="20% - Accent3 2" xfId="15942"/>
    <cellStyle name="20% - Accent4" xfId="15943"/>
    <cellStyle name="20% - Accent4 2" xfId="15944"/>
    <cellStyle name="20% - Accent5" xfId="15945"/>
    <cellStyle name="20% - Accent5 2" xfId="15946"/>
    <cellStyle name="20% - Accent6" xfId="15947"/>
    <cellStyle name="20% - Accent6 2" xfId="15948"/>
    <cellStyle name="20% - Акцент1 10" xfId="15949"/>
    <cellStyle name="20% - Акцент1 11" xfId="15950"/>
    <cellStyle name="20% - Акцент1 12" xfId="15951"/>
    <cellStyle name="20% - Акцент1 13" xfId="15952"/>
    <cellStyle name="20% - Акцент1 14" xfId="15953"/>
    <cellStyle name="20% - Акцент1 15" xfId="15954"/>
    <cellStyle name="20% - Акцент1 16" xfId="15955"/>
    <cellStyle name="20% - Акцент1 17" xfId="15956"/>
    <cellStyle name="20% - Акцент1 18" xfId="15957"/>
    <cellStyle name="20% - Акцент1 19" xfId="15958"/>
    <cellStyle name="20% - Акцент1 2" xfId="15959"/>
    <cellStyle name="20% - Акцент1 2 2" xfId="15960"/>
    <cellStyle name="20% - Акцент1 2 2 2" xfId="15961"/>
    <cellStyle name="20% - Акцент1 2 3" xfId="15962"/>
    <cellStyle name="20% - Акцент1 2_Тарифы на июнь 2012 от 22.05.2012 с НДС" xfId="15963"/>
    <cellStyle name="20% - Акцент1 20" xfId="15964"/>
    <cellStyle name="20% - Акцент1 21" xfId="15965"/>
    <cellStyle name="20% - Акцент1 22" xfId="15966"/>
    <cellStyle name="20% - Акцент1 23" xfId="15967"/>
    <cellStyle name="20% - Акцент1 3" xfId="15968"/>
    <cellStyle name="20% - Акцент1 3 2" xfId="15969"/>
    <cellStyle name="20% - Акцент1 3 2 2" xfId="15970"/>
    <cellStyle name="20% - Акцент1 3 3" xfId="15971"/>
    <cellStyle name="20% - Акцент1 3_Тарифы на июнь 2012 от 22.05.2012 с НДС" xfId="15972"/>
    <cellStyle name="20% - Акцент1 4" xfId="15973"/>
    <cellStyle name="20% - Акцент1 4 2" xfId="15974"/>
    <cellStyle name="20% - Акцент1 5" xfId="15975"/>
    <cellStyle name="20% - Акцент1 5 2" xfId="15976"/>
    <cellStyle name="20% - Акцент1 6" xfId="15977"/>
    <cellStyle name="20% - Акцент1 7" xfId="15978"/>
    <cellStyle name="20% - Акцент1 8" xfId="15979"/>
    <cellStyle name="20% - Акцент1 9" xfId="15980"/>
    <cellStyle name="20% - Акцент2 10" xfId="15981"/>
    <cellStyle name="20% - Акцент2 11" xfId="15982"/>
    <cellStyle name="20% - Акцент2 12" xfId="15983"/>
    <cellStyle name="20% - Акцент2 13" xfId="15984"/>
    <cellStyle name="20% - Акцент2 14" xfId="15985"/>
    <cellStyle name="20% - Акцент2 15" xfId="15986"/>
    <cellStyle name="20% - Акцент2 16" xfId="15987"/>
    <cellStyle name="20% - Акцент2 17" xfId="15988"/>
    <cellStyle name="20% - Акцент2 18" xfId="15989"/>
    <cellStyle name="20% - Акцент2 19" xfId="15990"/>
    <cellStyle name="20% - Акцент2 2" xfId="15991"/>
    <cellStyle name="20% - Акцент2 2 2" xfId="15992"/>
    <cellStyle name="20% - Акцент2 2 2 2" xfId="15993"/>
    <cellStyle name="20% - Акцент2 2 3" xfId="15994"/>
    <cellStyle name="20% - Акцент2 2_Тарифы на июнь 2012 от 22.05.2012 с НДС" xfId="15995"/>
    <cellStyle name="20% - Акцент2 20" xfId="15996"/>
    <cellStyle name="20% - Акцент2 21" xfId="15997"/>
    <cellStyle name="20% - Акцент2 22" xfId="15998"/>
    <cellStyle name="20% - Акцент2 23" xfId="15999"/>
    <cellStyle name="20% - Акцент2 3" xfId="16000"/>
    <cellStyle name="20% - Акцент2 3 2" xfId="16001"/>
    <cellStyle name="20% - Акцент2 3 2 2" xfId="16002"/>
    <cellStyle name="20% - Акцент2 3 3" xfId="16003"/>
    <cellStyle name="20% - Акцент2 3_Тарифы на июнь 2012 от 22.05.2012 с НДС" xfId="16004"/>
    <cellStyle name="20% - Акцент2 4" xfId="16005"/>
    <cellStyle name="20% - Акцент2 4 2" xfId="16006"/>
    <cellStyle name="20% - Акцент2 5" xfId="16007"/>
    <cellStyle name="20% - Акцент2 5 2" xfId="16008"/>
    <cellStyle name="20% - Акцент2 6" xfId="16009"/>
    <cellStyle name="20% - Акцент2 7" xfId="16010"/>
    <cellStyle name="20% - Акцент2 8" xfId="16011"/>
    <cellStyle name="20% - Акцент2 9" xfId="16012"/>
    <cellStyle name="20% - Акцент3 10" xfId="16013"/>
    <cellStyle name="20% - Акцент3 11" xfId="16014"/>
    <cellStyle name="20% - Акцент3 12" xfId="16015"/>
    <cellStyle name="20% - Акцент3 13" xfId="16016"/>
    <cellStyle name="20% - Акцент3 14" xfId="16017"/>
    <cellStyle name="20% - Акцент3 15" xfId="16018"/>
    <cellStyle name="20% - Акцент3 16" xfId="16019"/>
    <cellStyle name="20% - Акцент3 17" xfId="16020"/>
    <cellStyle name="20% - Акцент3 18" xfId="16021"/>
    <cellStyle name="20% - Акцент3 19" xfId="16022"/>
    <cellStyle name="20% - Акцент3 2" xfId="16023"/>
    <cellStyle name="20% - Акцент3 2 2" xfId="16024"/>
    <cellStyle name="20% - Акцент3 2 2 2" xfId="16025"/>
    <cellStyle name="20% - Акцент3 2 3" xfId="16026"/>
    <cellStyle name="20% - Акцент3 2_Тарифы на июнь 2012 от 22.05.2012 с НДС" xfId="16027"/>
    <cellStyle name="20% - Акцент3 20" xfId="16028"/>
    <cellStyle name="20% - Акцент3 21" xfId="16029"/>
    <cellStyle name="20% - Акцент3 22" xfId="16030"/>
    <cellStyle name="20% - Акцент3 23" xfId="16031"/>
    <cellStyle name="20% - Акцент3 3" xfId="16032"/>
    <cellStyle name="20% - Акцент3 3 2" xfId="16033"/>
    <cellStyle name="20% - Акцент3 3 2 2" xfId="16034"/>
    <cellStyle name="20% - Акцент3 3 3" xfId="16035"/>
    <cellStyle name="20% - Акцент3 3_Тарифы на июнь 2012 от 22.05.2012 с НДС" xfId="16036"/>
    <cellStyle name="20% - Акцент3 4" xfId="16037"/>
    <cellStyle name="20% - Акцент3 4 2" xfId="16038"/>
    <cellStyle name="20% - Акцент3 5" xfId="16039"/>
    <cellStyle name="20% - Акцент3 5 2" xfId="16040"/>
    <cellStyle name="20% - Акцент3 6" xfId="16041"/>
    <cellStyle name="20% - Акцент3 7" xfId="16042"/>
    <cellStyle name="20% - Акцент3 8" xfId="16043"/>
    <cellStyle name="20% - Акцент3 9" xfId="16044"/>
    <cellStyle name="20% - Акцент4 10" xfId="16045"/>
    <cellStyle name="20% - Акцент4 11" xfId="16046"/>
    <cellStyle name="20% - Акцент4 12" xfId="16047"/>
    <cellStyle name="20% - Акцент4 13" xfId="16048"/>
    <cellStyle name="20% - Акцент4 14" xfId="16049"/>
    <cellStyle name="20% - Акцент4 15" xfId="16050"/>
    <cellStyle name="20% - Акцент4 16" xfId="16051"/>
    <cellStyle name="20% - Акцент4 17" xfId="16052"/>
    <cellStyle name="20% - Акцент4 18" xfId="16053"/>
    <cellStyle name="20% - Акцент4 19" xfId="16054"/>
    <cellStyle name="20% - Акцент4 2" xfId="16055"/>
    <cellStyle name="20% - Акцент4 2 2" xfId="16056"/>
    <cellStyle name="20% - Акцент4 2 2 2" xfId="16057"/>
    <cellStyle name="20% - Акцент4 2 3" xfId="16058"/>
    <cellStyle name="20% - Акцент4 2_Тарифы на июнь 2012 от 22.05.2012 с НДС" xfId="16059"/>
    <cellStyle name="20% - Акцент4 20" xfId="16060"/>
    <cellStyle name="20% - Акцент4 21" xfId="16061"/>
    <cellStyle name="20% - Акцент4 22" xfId="16062"/>
    <cellStyle name="20% - Акцент4 23" xfId="16063"/>
    <cellStyle name="20% - Акцент4 3" xfId="16064"/>
    <cellStyle name="20% - Акцент4 3 2" xfId="16065"/>
    <cellStyle name="20% - Акцент4 3 2 2" xfId="16066"/>
    <cellStyle name="20% - Акцент4 3 3" xfId="16067"/>
    <cellStyle name="20% - Акцент4 3_Тарифы на июнь 2012 от 22.05.2012 с НДС" xfId="16068"/>
    <cellStyle name="20% - Акцент4 4" xfId="16069"/>
    <cellStyle name="20% - Акцент4 4 2" xfId="16070"/>
    <cellStyle name="20% - Акцент4 5" xfId="16071"/>
    <cellStyle name="20% - Акцент4 5 2" xfId="16072"/>
    <cellStyle name="20% - Акцент4 6" xfId="16073"/>
    <cellStyle name="20% - Акцент4 7" xfId="16074"/>
    <cellStyle name="20% - Акцент4 8" xfId="16075"/>
    <cellStyle name="20% - Акцент4 9" xfId="16076"/>
    <cellStyle name="20% - Акцент5 10" xfId="16077"/>
    <cellStyle name="20% - Акцент5 11" xfId="16078"/>
    <cellStyle name="20% - Акцент5 12" xfId="16079"/>
    <cellStyle name="20% - Акцент5 13" xfId="16080"/>
    <cellStyle name="20% - Акцент5 14" xfId="16081"/>
    <cellStyle name="20% - Акцент5 15" xfId="16082"/>
    <cellStyle name="20% - Акцент5 16" xfId="16083"/>
    <cellStyle name="20% - Акцент5 17" xfId="16084"/>
    <cellStyle name="20% - Акцент5 18" xfId="16085"/>
    <cellStyle name="20% - Акцент5 19" xfId="16086"/>
    <cellStyle name="20% - Акцент5 2" xfId="16087"/>
    <cellStyle name="20% - Акцент5 2 2" xfId="16088"/>
    <cellStyle name="20% - Акцент5 2 2 2" xfId="16089"/>
    <cellStyle name="20% - Акцент5 2 3" xfId="16090"/>
    <cellStyle name="20% - Акцент5 2_Тарифы на июнь 2012 от 22.05.2012 с НДС" xfId="16091"/>
    <cellStyle name="20% - Акцент5 20" xfId="16092"/>
    <cellStyle name="20% - Акцент5 21" xfId="16093"/>
    <cellStyle name="20% - Акцент5 22" xfId="16094"/>
    <cellStyle name="20% - Акцент5 23" xfId="16095"/>
    <cellStyle name="20% - Акцент5 3" xfId="16096"/>
    <cellStyle name="20% - Акцент5 3 2" xfId="16097"/>
    <cellStyle name="20% - Акцент5 3 2 2" xfId="16098"/>
    <cellStyle name="20% - Акцент5 3 3" xfId="16099"/>
    <cellStyle name="20% - Акцент5 3_Тарифы на июнь 2012 от 22.05.2012 с НДС" xfId="16100"/>
    <cellStyle name="20% - Акцент5 4" xfId="16101"/>
    <cellStyle name="20% - Акцент5 4 2" xfId="16102"/>
    <cellStyle name="20% - Акцент5 5" xfId="16103"/>
    <cellStyle name="20% - Акцент5 5 2" xfId="16104"/>
    <cellStyle name="20% - Акцент5 6" xfId="16105"/>
    <cellStyle name="20% - Акцент5 7" xfId="16106"/>
    <cellStyle name="20% - Акцент5 8" xfId="16107"/>
    <cellStyle name="20% - Акцент5 9" xfId="16108"/>
    <cellStyle name="20% - Акцент6 10" xfId="16109"/>
    <cellStyle name="20% - Акцент6 11" xfId="16110"/>
    <cellStyle name="20% - Акцент6 12" xfId="16111"/>
    <cellStyle name="20% - Акцент6 13" xfId="16112"/>
    <cellStyle name="20% - Акцент6 14" xfId="16113"/>
    <cellStyle name="20% - Акцент6 15" xfId="16114"/>
    <cellStyle name="20% - Акцент6 16" xfId="16115"/>
    <cellStyle name="20% - Акцент6 17" xfId="16116"/>
    <cellStyle name="20% - Акцент6 18" xfId="16117"/>
    <cellStyle name="20% - Акцент6 19" xfId="16118"/>
    <cellStyle name="20% - Акцент6 2" xfId="16119"/>
    <cellStyle name="20% - Акцент6 2 2" xfId="16120"/>
    <cellStyle name="20% - Акцент6 2 2 2" xfId="16121"/>
    <cellStyle name="20% - Акцент6 2 3" xfId="16122"/>
    <cellStyle name="20% - Акцент6 2_Тарифы на июнь 2012 от 22.05.2012 с НДС" xfId="16123"/>
    <cellStyle name="20% - Акцент6 20" xfId="16124"/>
    <cellStyle name="20% - Акцент6 21" xfId="16125"/>
    <cellStyle name="20% - Акцент6 22" xfId="16126"/>
    <cellStyle name="20% - Акцент6 23" xfId="16127"/>
    <cellStyle name="20% - Акцент6 3" xfId="16128"/>
    <cellStyle name="20% - Акцент6 3 2" xfId="16129"/>
    <cellStyle name="20% - Акцент6 3 2 2" xfId="16130"/>
    <cellStyle name="20% - Акцент6 3 3" xfId="16131"/>
    <cellStyle name="20% - Акцент6 3_Тарифы на июнь 2012 от 22.05.2012 с НДС" xfId="16132"/>
    <cellStyle name="20% - Акцент6 4" xfId="16133"/>
    <cellStyle name="20% - Акцент6 4 2" xfId="16134"/>
    <cellStyle name="20% - Акцент6 5" xfId="16135"/>
    <cellStyle name="20% - Акцент6 5 2" xfId="16136"/>
    <cellStyle name="20% - Акцент6 6" xfId="16137"/>
    <cellStyle name="20% - Акцент6 7" xfId="16138"/>
    <cellStyle name="20% - Акцент6 8" xfId="16139"/>
    <cellStyle name="20% - Акцент6 9" xfId="16140"/>
    <cellStyle name="40% - Accent1" xfId="16141"/>
    <cellStyle name="40% - Accent1 2" xfId="16142"/>
    <cellStyle name="40% - Accent2" xfId="16143"/>
    <cellStyle name="40% - Accent2 2" xfId="16144"/>
    <cellStyle name="40% - Accent3" xfId="16145"/>
    <cellStyle name="40% - Accent3 2" xfId="16146"/>
    <cellStyle name="40% - Accent4" xfId="16147"/>
    <cellStyle name="40% - Accent4 2" xfId="16148"/>
    <cellStyle name="40% - Accent5" xfId="16149"/>
    <cellStyle name="40% - Accent5 2" xfId="16150"/>
    <cellStyle name="40% - Accent6" xfId="16151"/>
    <cellStyle name="40% - Accent6 2" xfId="16152"/>
    <cellStyle name="40% - Акцент1 10" xfId="16153"/>
    <cellStyle name="40% - Акцент1 11" xfId="16154"/>
    <cellStyle name="40% - Акцент1 12" xfId="16155"/>
    <cellStyle name="40% - Акцент1 13" xfId="16156"/>
    <cellStyle name="40% - Акцент1 14" xfId="16157"/>
    <cellStyle name="40% - Акцент1 15" xfId="16158"/>
    <cellStyle name="40% - Акцент1 16" xfId="16159"/>
    <cellStyle name="40% - Акцент1 17" xfId="16160"/>
    <cellStyle name="40% - Акцент1 18" xfId="16161"/>
    <cellStyle name="40% - Акцент1 19" xfId="16162"/>
    <cellStyle name="40% - Акцент1 2" xfId="16163"/>
    <cellStyle name="40% - Акцент1 2 2" xfId="16164"/>
    <cellStyle name="40% - Акцент1 2 2 2" xfId="16165"/>
    <cellStyle name="40% - Акцент1 2 3" xfId="16166"/>
    <cellStyle name="40% - Акцент1 2_Тарифы на июнь 2012 от 22.05.2012 с НДС" xfId="16167"/>
    <cellStyle name="40% - Акцент1 20" xfId="16168"/>
    <cellStyle name="40% - Акцент1 21" xfId="16169"/>
    <cellStyle name="40% - Акцент1 22" xfId="16170"/>
    <cellStyle name="40% - Акцент1 23" xfId="16171"/>
    <cellStyle name="40% - Акцент1 3" xfId="16172"/>
    <cellStyle name="40% - Акцент1 3 2" xfId="16173"/>
    <cellStyle name="40% - Акцент1 3 2 2" xfId="16174"/>
    <cellStyle name="40% - Акцент1 3 3" xfId="16175"/>
    <cellStyle name="40% - Акцент1 3_Тарифы на июнь 2012 от 22.05.2012 с НДС" xfId="16176"/>
    <cellStyle name="40% - Акцент1 4" xfId="16177"/>
    <cellStyle name="40% - Акцент1 4 2" xfId="16178"/>
    <cellStyle name="40% - Акцент1 5" xfId="16179"/>
    <cellStyle name="40% - Акцент1 5 2" xfId="16180"/>
    <cellStyle name="40% - Акцент1 6" xfId="16181"/>
    <cellStyle name="40% - Акцент1 7" xfId="16182"/>
    <cellStyle name="40% - Акцент1 8" xfId="16183"/>
    <cellStyle name="40% - Акцент1 9" xfId="16184"/>
    <cellStyle name="40% - Акцент2 10" xfId="16185"/>
    <cellStyle name="40% - Акцент2 11" xfId="16186"/>
    <cellStyle name="40% - Акцент2 12" xfId="16187"/>
    <cellStyle name="40% - Акцент2 13" xfId="16188"/>
    <cellStyle name="40% - Акцент2 14" xfId="16189"/>
    <cellStyle name="40% - Акцент2 15" xfId="16190"/>
    <cellStyle name="40% - Акцент2 16" xfId="16191"/>
    <cellStyle name="40% - Акцент2 17" xfId="16192"/>
    <cellStyle name="40% - Акцент2 18" xfId="16193"/>
    <cellStyle name="40% - Акцент2 19" xfId="16194"/>
    <cellStyle name="40% - Акцент2 2" xfId="16195"/>
    <cellStyle name="40% - Акцент2 2 2" xfId="16196"/>
    <cellStyle name="40% - Акцент2 2 2 2" xfId="16197"/>
    <cellStyle name="40% - Акцент2 2 3" xfId="16198"/>
    <cellStyle name="40% - Акцент2 2_Тарифы на июнь 2012 от 22.05.2012 с НДС" xfId="16199"/>
    <cellStyle name="40% - Акцент2 20" xfId="16200"/>
    <cellStyle name="40% - Акцент2 21" xfId="16201"/>
    <cellStyle name="40% - Акцент2 22" xfId="16202"/>
    <cellStyle name="40% - Акцент2 23" xfId="16203"/>
    <cellStyle name="40% - Акцент2 3" xfId="16204"/>
    <cellStyle name="40% - Акцент2 3 2" xfId="16205"/>
    <cellStyle name="40% - Акцент2 3 2 2" xfId="16206"/>
    <cellStyle name="40% - Акцент2 3 3" xfId="16207"/>
    <cellStyle name="40% - Акцент2 3_Тарифы на июнь 2012 от 22.05.2012 с НДС" xfId="16208"/>
    <cellStyle name="40% - Акцент2 4" xfId="16209"/>
    <cellStyle name="40% - Акцент2 4 2" xfId="16210"/>
    <cellStyle name="40% - Акцент2 5" xfId="16211"/>
    <cellStyle name="40% - Акцент2 5 2" xfId="16212"/>
    <cellStyle name="40% - Акцент2 6" xfId="16213"/>
    <cellStyle name="40% - Акцент2 7" xfId="16214"/>
    <cellStyle name="40% - Акцент2 8" xfId="16215"/>
    <cellStyle name="40% - Акцент2 9" xfId="16216"/>
    <cellStyle name="40% - Акцент3 10" xfId="16217"/>
    <cellStyle name="40% - Акцент3 11" xfId="16218"/>
    <cellStyle name="40% - Акцент3 12" xfId="16219"/>
    <cellStyle name="40% - Акцент3 13" xfId="16220"/>
    <cellStyle name="40% - Акцент3 14" xfId="16221"/>
    <cellStyle name="40% - Акцент3 15" xfId="16222"/>
    <cellStyle name="40% - Акцент3 16" xfId="16223"/>
    <cellStyle name="40% - Акцент3 17" xfId="16224"/>
    <cellStyle name="40% - Акцент3 18" xfId="16225"/>
    <cellStyle name="40% - Акцент3 19" xfId="16226"/>
    <cellStyle name="40% - Акцент3 2" xfId="16227"/>
    <cellStyle name="40% - Акцент3 2 2" xfId="16228"/>
    <cellStyle name="40% - Акцент3 2 2 2" xfId="16229"/>
    <cellStyle name="40% - Акцент3 2 3" xfId="16230"/>
    <cellStyle name="40% - Акцент3 2_Тарифы на июнь 2012 от 22.05.2012 с НДС" xfId="16231"/>
    <cellStyle name="40% - Акцент3 20" xfId="16232"/>
    <cellStyle name="40% - Акцент3 21" xfId="16233"/>
    <cellStyle name="40% - Акцент3 22" xfId="16234"/>
    <cellStyle name="40% - Акцент3 23" xfId="16235"/>
    <cellStyle name="40% - Акцент3 3" xfId="16236"/>
    <cellStyle name="40% - Акцент3 3 2" xfId="16237"/>
    <cellStyle name="40% - Акцент3 3 2 2" xfId="16238"/>
    <cellStyle name="40% - Акцент3 3 3" xfId="16239"/>
    <cellStyle name="40% - Акцент3 3_Тарифы на июнь 2012 от 22.05.2012 с НДС" xfId="16240"/>
    <cellStyle name="40% - Акцент3 4" xfId="16241"/>
    <cellStyle name="40% - Акцент3 4 2" xfId="16242"/>
    <cellStyle name="40% - Акцент3 5" xfId="16243"/>
    <cellStyle name="40% - Акцент3 5 2" xfId="16244"/>
    <cellStyle name="40% - Акцент3 6" xfId="16245"/>
    <cellStyle name="40% - Акцент3 7" xfId="16246"/>
    <cellStyle name="40% - Акцент3 8" xfId="16247"/>
    <cellStyle name="40% - Акцент3 9" xfId="16248"/>
    <cellStyle name="40% - Акцент4 10" xfId="16249"/>
    <cellStyle name="40% - Акцент4 11" xfId="16250"/>
    <cellStyle name="40% - Акцент4 12" xfId="16251"/>
    <cellStyle name="40% - Акцент4 13" xfId="16252"/>
    <cellStyle name="40% - Акцент4 14" xfId="16253"/>
    <cellStyle name="40% - Акцент4 15" xfId="16254"/>
    <cellStyle name="40% - Акцент4 16" xfId="16255"/>
    <cellStyle name="40% - Акцент4 17" xfId="16256"/>
    <cellStyle name="40% - Акцент4 18" xfId="16257"/>
    <cellStyle name="40% - Акцент4 19" xfId="16258"/>
    <cellStyle name="40% - Акцент4 2" xfId="16259"/>
    <cellStyle name="40% - Акцент4 2 2" xfId="16260"/>
    <cellStyle name="40% - Акцент4 2 2 2" xfId="16261"/>
    <cellStyle name="40% - Акцент4 2 3" xfId="16262"/>
    <cellStyle name="40% - Акцент4 2_Тарифы на июнь 2012 от 22.05.2012 с НДС" xfId="16263"/>
    <cellStyle name="40% - Акцент4 20" xfId="16264"/>
    <cellStyle name="40% - Акцент4 21" xfId="16265"/>
    <cellStyle name="40% - Акцент4 22" xfId="16266"/>
    <cellStyle name="40% - Акцент4 23" xfId="16267"/>
    <cellStyle name="40% - Акцент4 3" xfId="16268"/>
    <cellStyle name="40% - Акцент4 3 2" xfId="16269"/>
    <cellStyle name="40% - Акцент4 3 2 2" xfId="16270"/>
    <cellStyle name="40% - Акцент4 3 3" xfId="16271"/>
    <cellStyle name="40% - Акцент4 3_Тарифы на июнь 2012 от 22.05.2012 с НДС" xfId="16272"/>
    <cellStyle name="40% - Акцент4 4" xfId="16273"/>
    <cellStyle name="40% - Акцент4 4 2" xfId="16274"/>
    <cellStyle name="40% - Акцент4 5" xfId="16275"/>
    <cellStyle name="40% - Акцент4 5 2" xfId="16276"/>
    <cellStyle name="40% - Акцент4 6" xfId="16277"/>
    <cellStyle name="40% - Акцент4 7" xfId="16278"/>
    <cellStyle name="40% - Акцент4 8" xfId="16279"/>
    <cellStyle name="40% - Акцент4 9" xfId="16280"/>
    <cellStyle name="40% - Акцент5 10" xfId="16281"/>
    <cellStyle name="40% - Акцент5 11" xfId="16282"/>
    <cellStyle name="40% - Акцент5 12" xfId="16283"/>
    <cellStyle name="40% - Акцент5 13" xfId="16284"/>
    <cellStyle name="40% - Акцент5 14" xfId="16285"/>
    <cellStyle name="40% - Акцент5 15" xfId="16286"/>
    <cellStyle name="40% - Акцент5 16" xfId="16287"/>
    <cellStyle name="40% - Акцент5 17" xfId="16288"/>
    <cellStyle name="40% - Акцент5 18" xfId="16289"/>
    <cellStyle name="40% - Акцент5 19" xfId="16290"/>
    <cellStyle name="40% - Акцент5 2" xfId="16291"/>
    <cellStyle name="40% - Акцент5 2 2" xfId="16292"/>
    <cellStyle name="40% - Акцент5 2 2 2" xfId="16293"/>
    <cellStyle name="40% - Акцент5 2 3" xfId="16294"/>
    <cellStyle name="40% - Акцент5 2_Тарифы на июнь 2012 от 22.05.2012 с НДС" xfId="16295"/>
    <cellStyle name="40% - Акцент5 20" xfId="16296"/>
    <cellStyle name="40% - Акцент5 21" xfId="16297"/>
    <cellStyle name="40% - Акцент5 22" xfId="16298"/>
    <cellStyle name="40% - Акцент5 23" xfId="16299"/>
    <cellStyle name="40% - Акцент5 3" xfId="16300"/>
    <cellStyle name="40% - Акцент5 3 2" xfId="16301"/>
    <cellStyle name="40% - Акцент5 3 2 2" xfId="16302"/>
    <cellStyle name="40% - Акцент5 3 3" xfId="16303"/>
    <cellStyle name="40% - Акцент5 3_Тарифы на июнь 2012 от 22.05.2012 с НДС" xfId="16304"/>
    <cellStyle name="40% - Акцент5 4" xfId="16305"/>
    <cellStyle name="40% - Акцент5 4 2" xfId="16306"/>
    <cellStyle name="40% - Акцент5 5" xfId="16307"/>
    <cellStyle name="40% - Акцент5 5 2" xfId="16308"/>
    <cellStyle name="40% - Акцент5 6" xfId="16309"/>
    <cellStyle name="40% - Акцент5 7" xfId="16310"/>
    <cellStyle name="40% - Акцент5 8" xfId="16311"/>
    <cellStyle name="40% - Акцент5 9" xfId="16312"/>
    <cellStyle name="40% - Акцент6 10" xfId="16313"/>
    <cellStyle name="40% - Акцент6 11" xfId="16314"/>
    <cellStyle name="40% - Акцент6 12" xfId="16315"/>
    <cellStyle name="40% - Акцент6 13" xfId="16316"/>
    <cellStyle name="40% - Акцент6 14" xfId="16317"/>
    <cellStyle name="40% - Акцент6 15" xfId="16318"/>
    <cellStyle name="40% - Акцент6 16" xfId="16319"/>
    <cellStyle name="40% - Акцент6 17" xfId="16320"/>
    <cellStyle name="40% - Акцент6 18" xfId="16321"/>
    <cellStyle name="40% - Акцент6 19" xfId="16322"/>
    <cellStyle name="40% - Акцент6 2" xfId="16323"/>
    <cellStyle name="40% - Акцент6 2 2" xfId="16324"/>
    <cellStyle name="40% - Акцент6 2 2 2" xfId="16325"/>
    <cellStyle name="40% - Акцент6 2 3" xfId="16326"/>
    <cellStyle name="40% - Акцент6 2_Тарифы на июнь 2012 от 22.05.2012 с НДС" xfId="16327"/>
    <cellStyle name="40% - Акцент6 20" xfId="16328"/>
    <cellStyle name="40% - Акцент6 21" xfId="16329"/>
    <cellStyle name="40% - Акцент6 22" xfId="16330"/>
    <cellStyle name="40% - Акцент6 23" xfId="16331"/>
    <cellStyle name="40% - Акцент6 3" xfId="16332"/>
    <cellStyle name="40% - Акцент6 3 2" xfId="16333"/>
    <cellStyle name="40% - Акцент6 3 2 2" xfId="16334"/>
    <cellStyle name="40% - Акцент6 3 3" xfId="16335"/>
    <cellStyle name="40% - Акцент6 3_Тарифы на июнь 2012 от 22.05.2012 с НДС" xfId="16336"/>
    <cellStyle name="40% - Акцент6 4" xfId="16337"/>
    <cellStyle name="40% - Акцент6 4 2" xfId="16338"/>
    <cellStyle name="40% - Акцент6 5" xfId="16339"/>
    <cellStyle name="40% - Акцент6 5 2" xfId="16340"/>
    <cellStyle name="40% - Акцент6 6" xfId="16341"/>
    <cellStyle name="40% - Акцент6 7" xfId="16342"/>
    <cellStyle name="40% - Акцент6 8" xfId="16343"/>
    <cellStyle name="40% - Акцент6 9" xfId="16344"/>
    <cellStyle name="60% - Accent1" xfId="16345"/>
    <cellStyle name="60% - Accent1 2" xfId="16346"/>
    <cellStyle name="60% - Accent2" xfId="16347"/>
    <cellStyle name="60% - Accent2 2" xfId="16348"/>
    <cellStyle name="60% - Accent3" xfId="16349"/>
    <cellStyle name="60% - Accent3 2" xfId="16350"/>
    <cellStyle name="60% - Accent4" xfId="16351"/>
    <cellStyle name="60% - Accent4 2" xfId="16352"/>
    <cellStyle name="60% - Accent5" xfId="16353"/>
    <cellStyle name="60% - Accent5 2" xfId="16354"/>
    <cellStyle name="60% - Accent6" xfId="16355"/>
    <cellStyle name="60% - Accent6 2" xfId="16356"/>
    <cellStyle name="60% - Акцент1 10" xfId="16357"/>
    <cellStyle name="60% - Акцент1 11" xfId="16358"/>
    <cellStyle name="60% - Акцент1 12" xfId="16359"/>
    <cellStyle name="60% - Акцент1 13" xfId="16360"/>
    <cellStyle name="60% - Акцент1 14" xfId="16361"/>
    <cellStyle name="60% - Акцент1 15" xfId="16362"/>
    <cellStyle name="60% - Акцент1 16" xfId="16363"/>
    <cellStyle name="60% - Акцент1 17" xfId="16364"/>
    <cellStyle name="60% - Акцент1 18" xfId="16365"/>
    <cellStyle name="60% - Акцент1 19" xfId="16366"/>
    <cellStyle name="60% - Акцент1 2" xfId="16367"/>
    <cellStyle name="60% - Акцент1 2 2" xfId="16368"/>
    <cellStyle name="60% - Акцент1 20" xfId="16369"/>
    <cellStyle name="60% - Акцент1 21" xfId="16370"/>
    <cellStyle name="60% - Акцент1 22" xfId="16371"/>
    <cellStyle name="60% - Акцент1 23" xfId="16372"/>
    <cellStyle name="60% - Акцент1 3" xfId="16373"/>
    <cellStyle name="60% - Акцент1 3 2" xfId="16374"/>
    <cellStyle name="60% - Акцент1 4" xfId="16375"/>
    <cellStyle name="60% - Акцент1 4 2" xfId="16376"/>
    <cellStyle name="60% - Акцент1 5" xfId="16377"/>
    <cellStyle name="60% - Акцент1 5 2" xfId="16378"/>
    <cellStyle name="60% - Акцент1 6" xfId="16379"/>
    <cellStyle name="60% - Акцент1 7" xfId="16380"/>
    <cellStyle name="60% - Акцент1 8" xfId="16381"/>
    <cellStyle name="60% - Акцент1 9" xfId="16382"/>
    <cellStyle name="60% - Акцент2 10" xfId="16383"/>
    <cellStyle name="60% - Акцент2 11" xfId="16384"/>
    <cellStyle name="60% - Акцент2 12" xfId="16385"/>
    <cellStyle name="60% - Акцент2 13" xfId="16386"/>
    <cellStyle name="60% - Акцент2 14" xfId="16387"/>
    <cellStyle name="60% - Акцент2 15" xfId="16388"/>
    <cellStyle name="60% - Акцент2 16" xfId="16389"/>
    <cellStyle name="60% - Акцент2 17" xfId="16390"/>
    <cellStyle name="60% - Акцент2 18" xfId="16391"/>
    <cellStyle name="60% - Акцент2 19" xfId="16392"/>
    <cellStyle name="60% - Акцент2 2" xfId="16393"/>
    <cellStyle name="60% - Акцент2 2 2" xfId="16394"/>
    <cellStyle name="60% - Акцент2 20" xfId="16395"/>
    <cellStyle name="60% - Акцент2 21" xfId="16396"/>
    <cellStyle name="60% - Акцент2 22" xfId="16397"/>
    <cellStyle name="60% - Акцент2 23" xfId="16398"/>
    <cellStyle name="60% - Акцент2 3" xfId="16399"/>
    <cellStyle name="60% - Акцент2 3 2" xfId="16400"/>
    <cellStyle name="60% - Акцент2 4" xfId="16401"/>
    <cellStyle name="60% - Акцент2 4 2" xfId="16402"/>
    <cellStyle name="60% - Акцент2 5" xfId="16403"/>
    <cellStyle name="60% - Акцент2 5 2" xfId="16404"/>
    <cellStyle name="60% - Акцент2 6" xfId="16405"/>
    <cellStyle name="60% - Акцент2 7" xfId="16406"/>
    <cellStyle name="60% - Акцент2 8" xfId="16407"/>
    <cellStyle name="60% - Акцент2 9" xfId="16408"/>
    <cellStyle name="60% - Акцент3 10" xfId="16409"/>
    <cellStyle name="60% - Акцент3 11" xfId="16410"/>
    <cellStyle name="60% - Акцент3 12" xfId="16411"/>
    <cellStyle name="60% - Акцент3 13" xfId="16412"/>
    <cellStyle name="60% - Акцент3 14" xfId="16413"/>
    <cellStyle name="60% - Акцент3 15" xfId="16414"/>
    <cellStyle name="60% - Акцент3 16" xfId="16415"/>
    <cellStyle name="60% - Акцент3 17" xfId="16416"/>
    <cellStyle name="60% - Акцент3 18" xfId="16417"/>
    <cellStyle name="60% - Акцент3 19" xfId="16418"/>
    <cellStyle name="60% - Акцент3 2" xfId="16419"/>
    <cellStyle name="60% - Акцент3 2 2" xfId="16420"/>
    <cellStyle name="60% - Акцент3 20" xfId="16421"/>
    <cellStyle name="60% - Акцент3 21" xfId="16422"/>
    <cellStyle name="60% - Акцент3 22" xfId="16423"/>
    <cellStyle name="60% - Акцент3 23" xfId="16424"/>
    <cellStyle name="60% - Акцент3 3" xfId="16425"/>
    <cellStyle name="60% - Акцент3 3 2" xfId="16426"/>
    <cellStyle name="60% - Акцент3 4" xfId="16427"/>
    <cellStyle name="60% - Акцент3 4 2" xfId="16428"/>
    <cellStyle name="60% - Акцент3 5" xfId="16429"/>
    <cellStyle name="60% - Акцент3 5 2" xfId="16430"/>
    <cellStyle name="60% - Акцент3 6" xfId="16431"/>
    <cellStyle name="60% - Акцент3 7" xfId="16432"/>
    <cellStyle name="60% - Акцент3 8" xfId="16433"/>
    <cellStyle name="60% - Акцент3 9" xfId="16434"/>
    <cellStyle name="60% - Акцент4 10" xfId="16435"/>
    <cellStyle name="60% - Акцент4 11" xfId="16436"/>
    <cellStyle name="60% - Акцент4 12" xfId="16437"/>
    <cellStyle name="60% - Акцент4 13" xfId="16438"/>
    <cellStyle name="60% - Акцент4 14" xfId="16439"/>
    <cellStyle name="60% - Акцент4 15" xfId="16440"/>
    <cellStyle name="60% - Акцент4 16" xfId="16441"/>
    <cellStyle name="60% - Акцент4 17" xfId="16442"/>
    <cellStyle name="60% - Акцент4 18" xfId="16443"/>
    <cellStyle name="60% - Акцент4 19" xfId="16444"/>
    <cellStyle name="60% - Акцент4 2" xfId="16445"/>
    <cellStyle name="60% - Акцент4 2 2" xfId="16446"/>
    <cellStyle name="60% - Акцент4 20" xfId="16447"/>
    <cellStyle name="60% - Акцент4 21" xfId="16448"/>
    <cellStyle name="60% - Акцент4 22" xfId="16449"/>
    <cellStyle name="60% - Акцент4 23" xfId="16450"/>
    <cellStyle name="60% - Акцент4 3" xfId="16451"/>
    <cellStyle name="60% - Акцент4 3 2" xfId="16452"/>
    <cellStyle name="60% - Акцент4 4" xfId="16453"/>
    <cellStyle name="60% - Акцент4 4 2" xfId="16454"/>
    <cellStyle name="60% - Акцент4 5" xfId="16455"/>
    <cellStyle name="60% - Акцент4 5 2" xfId="16456"/>
    <cellStyle name="60% - Акцент4 6" xfId="16457"/>
    <cellStyle name="60% - Акцент4 7" xfId="16458"/>
    <cellStyle name="60% - Акцент4 8" xfId="16459"/>
    <cellStyle name="60% - Акцент4 9" xfId="16460"/>
    <cellStyle name="60% - Акцент5 10" xfId="16461"/>
    <cellStyle name="60% - Акцент5 11" xfId="16462"/>
    <cellStyle name="60% - Акцент5 12" xfId="16463"/>
    <cellStyle name="60% - Акцент5 13" xfId="16464"/>
    <cellStyle name="60% - Акцент5 14" xfId="16465"/>
    <cellStyle name="60% - Акцент5 15" xfId="16466"/>
    <cellStyle name="60% - Акцент5 16" xfId="16467"/>
    <cellStyle name="60% - Акцент5 17" xfId="16468"/>
    <cellStyle name="60% - Акцент5 18" xfId="16469"/>
    <cellStyle name="60% - Акцент5 19" xfId="16470"/>
    <cellStyle name="60% - Акцент5 2" xfId="16471"/>
    <cellStyle name="60% - Акцент5 2 2" xfId="16472"/>
    <cellStyle name="60% - Акцент5 20" xfId="16473"/>
    <cellStyle name="60% - Акцент5 21" xfId="16474"/>
    <cellStyle name="60% - Акцент5 22" xfId="16475"/>
    <cellStyle name="60% - Акцент5 23" xfId="16476"/>
    <cellStyle name="60% - Акцент5 3" xfId="16477"/>
    <cellStyle name="60% - Акцент5 3 2" xfId="16478"/>
    <cellStyle name="60% - Акцент5 4" xfId="16479"/>
    <cellStyle name="60% - Акцент5 4 2" xfId="16480"/>
    <cellStyle name="60% - Акцент5 5" xfId="16481"/>
    <cellStyle name="60% - Акцент5 5 2" xfId="16482"/>
    <cellStyle name="60% - Акцент5 6" xfId="16483"/>
    <cellStyle name="60% - Акцент5 7" xfId="16484"/>
    <cellStyle name="60% - Акцент5 8" xfId="16485"/>
    <cellStyle name="60% - Акцент5 9" xfId="16486"/>
    <cellStyle name="60% - Акцент6 10" xfId="16487"/>
    <cellStyle name="60% - Акцент6 11" xfId="16488"/>
    <cellStyle name="60% - Акцент6 12" xfId="16489"/>
    <cellStyle name="60% - Акцент6 13" xfId="16490"/>
    <cellStyle name="60% - Акцент6 14" xfId="16491"/>
    <cellStyle name="60% - Акцент6 15" xfId="16492"/>
    <cellStyle name="60% - Акцент6 16" xfId="16493"/>
    <cellStyle name="60% - Акцент6 17" xfId="16494"/>
    <cellStyle name="60% - Акцент6 18" xfId="16495"/>
    <cellStyle name="60% - Акцент6 19" xfId="16496"/>
    <cellStyle name="60% - Акцент6 2" xfId="16497"/>
    <cellStyle name="60% - Акцент6 2 2" xfId="16498"/>
    <cellStyle name="60% - Акцент6 20" xfId="16499"/>
    <cellStyle name="60% - Акцент6 21" xfId="16500"/>
    <cellStyle name="60% - Акцент6 22" xfId="16501"/>
    <cellStyle name="60% - Акцент6 23" xfId="16502"/>
    <cellStyle name="60% - Акцент6 3" xfId="16503"/>
    <cellStyle name="60% - Акцент6 3 2" xfId="16504"/>
    <cellStyle name="60% - Акцент6 4" xfId="16505"/>
    <cellStyle name="60% - Акцент6 4 2" xfId="16506"/>
    <cellStyle name="60% - Акцент6 5" xfId="16507"/>
    <cellStyle name="60% - Акцент6 5 2" xfId="16508"/>
    <cellStyle name="60% - Акцент6 6" xfId="16509"/>
    <cellStyle name="60% - Акцент6 7" xfId="16510"/>
    <cellStyle name="60% - Акцент6 8" xfId="16511"/>
    <cellStyle name="60% - Акцент6 9" xfId="16512"/>
    <cellStyle name="6Code" xfId="16513"/>
    <cellStyle name="752131" xfId="16514"/>
    <cellStyle name="8pt" xfId="16515"/>
    <cellStyle name="Accent1" xfId="16516"/>
    <cellStyle name="Accent1 - 20%" xfId="16517"/>
    <cellStyle name="Accent1 - 20% 10" xfId="16518"/>
    <cellStyle name="Accent1 - 20% 11" xfId="16519"/>
    <cellStyle name="Accent1 - 20% 12" xfId="16520"/>
    <cellStyle name="Accent1 - 20% 13" xfId="16521"/>
    <cellStyle name="Accent1 - 20% 14" xfId="16522"/>
    <cellStyle name="Accent1 - 20% 15" xfId="16523"/>
    <cellStyle name="Accent1 - 20% 16" xfId="16524"/>
    <cellStyle name="Accent1 - 20% 17" xfId="16525"/>
    <cellStyle name="Accent1 - 20% 18" xfId="16526"/>
    <cellStyle name="Accent1 - 20% 19" xfId="16527"/>
    <cellStyle name="Accent1 - 20% 2" xfId="16528"/>
    <cellStyle name="Accent1 - 20% 20" xfId="16529"/>
    <cellStyle name="Accent1 - 20% 21" xfId="16530"/>
    <cellStyle name="Accent1 - 20% 3" xfId="16531"/>
    <cellStyle name="Accent1 - 20% 4" xfId="16532"/>
    <cellStyle name="Accent1 - 20% 5" xfId="16533"/>
    <cellStyle name="Accent1 - 20% 6" xfId="16534"/>
    <cellStyle name="Accent1 - 20% 7" xfId="16535"/>
    <cellStyle name="Accent1 - 20% 8" xfId="16536"/>
    <cellStyle name="Accent1 - 20% 9" xfId="16537"/>
    <cellStyle name="Accent1 - 40%" xfId="16538"/>
    <cellStyle name="Accent1 - 40% 10" xfId="16539"/>
    <cellStyle name="Accent1 - 40% 11" xfId="16540"/>
    <cellStyle name="Accent1 - 40% 12" xfId="16541"/>
    <cellStyle name="Accent1 - 40% 13" xfId="16542"/>
    <cellStyle name="Accent1 - 40% 14" xfId="16543"/>
    <cellStyle name="Accent1 - 40% 15" xfId="16544"/>
    <cellStyle name="Accent1 - 40% 16" xfId="16545"/>
    <cellStyle name="Accent1 - 40% 17" xfId="16546"/>
    <cellStyle name="Accent1 - 40% 18" xfId="16547"/>
    <cellStyle name="Accent1 - 40% 19" xfId="16548"/>
    <cellStyle name="Accent1 - 40% 2" xfId="16549"/>
    <cellStyle name="Accent1 - 40% 20" xfId="16550"/>
    <cellStyle name="Accent1 - 40% 21" xfId="16551"/>
    <cellStyle name="Accent1 - 40% 3" xfId="16552"/>
    <cellStyle name="Accent1 - 40% 4" xfId="16553"/>
    <cellStyle name="Accent1 - 40% 5" xfId="16554"/>
    <cellStyle name="Accent1 - 40% 6" xfId="16555"/>
    <cellStyle name="Accent1 - 40% 7" xfId="16556"/>
    <cellStyle name="Accent1 - 40% 8" xfId="16557"/>
    <cellStyle name="Accent1 - 40% 9" xfId="16558"/>
    <cellStyle name="Accent1 - 60%" xfId="16559"/>
    <cellStyle name="Accent1 - 60% 10" xfId="16560"/>
    <cellStyle name="Accent1 - 60% 11" xfId="16561"/>
    <cellStyle name="Accent1 - 60% 12" xfId="16562"/>
    <cellStyle name="Accent1 - 60% 13" xfId="16563"/>
    <cellStyle name="Accent1 - 60% 14" xfId="16564"/>
    <cellStyle name="Accent1 - 60% 15" xfId="16565"/>
    <cellStyle name="Accent1 - 60% 16" xfId="16566"/>
    <cellStyle name="Accent1 - 60% 17" xfId="16567"/>
    <cellStyle name="Accent1 - 60% 18" xfId="16568"/>
    <cellStyle name="Accent1 - 60% 19" xfId="16569"/>
    <cellStyle name="Accent1 - 60% 2" xfId="16570"/>
    <cellStyle name="Accent1 - 60% 20" xfId="16571"/>
    <cellStyle name="Accent1 - 60% 21" xfId="16572"/>
    <cellStyle name="Accent1 - 60% 3" xfId="16573"/>
    <cellStyle name="Accent1 - 60% 4" xfId="16574"/>
    <cellStyle name="Accent1 - 60% 5" xfId="16575"/>
    <cellStyle name="Accent1 - 60% 6" xfId="16576"/>
    <cellStyle name="Accent1 - 60% 7" xfId="16577"/>
    <cellStyle name="Accent1 - 60% 8" xfId="16578"/>
    <cellStyle name="Accent1 - 60% 9" xfId="16579"/>
    <cellStyle name="Accent1 10" xfId="16580"/>
    <cellStyle name="Accent1 11" xfId="16581"/>
    <cellStyle name="Accent1 12" xfId="16582"/>
    <cellStyle name="Accent1 13" xfId="16583"/>
    <cellStyle name="Accent1 14" xfId="16584"/>
    <cellStyle name="Accent1 15" xfId="16585"/>
    <cellStyle name="Accent1 16" xfId="16586"/>
    <cellStyle name="Accent1 17" xfId="16587"/>
    <cellStyle name="Accent1 18" xfId="16588"/>
    <cellStyle name="Accent1 19" xfId="16589"/>
    <cellStyle name="Accent1 2" xfId="16590"/>
    <cellStyle name="Accent1 20" xfId="16591"/>
    <cellStyle name="Accent1 21" xfId="16592"/>
    <cellStyle name="Accent1 22" xfId="16593"/>
    <cellStyle name="Accent1 23" xfId="16594"/>
    <cellStyle name="Accent1 24" xfId="16595"/>
    <cellStyle name="Accent1 25" xfId="16596"/>
    <cellStyle name="Accent1 26" xfId="16597"/>
    <cellStyle name="Accent1 27" xfId="16598"/>
    <cellStyle name="Accent1 28" xfId="16599"/>
    <cellStyle name="Accent1 29" xfId="16600"/>
    <cellStyle name="Accent1 3" xfId="16601"/>
    <cellStyle name="Accent1 30" xfId="16602"/>
    <cellStyle name="Accent1 31" xfId="16603"/>
    <cellStyle name="Accent1 32" xfId="16604"/>
    <cellStyle name="Accent1 33" xfId="16605"/>
    <cellStyle name="Accent1 34" xfId="16606"/>
    <cellStyle name="Accent1 35" xfId="16607"/>
    <cellStyle name="Accent1 36" xfId="16608"/>
    <cellStyle name="Accent1 37" xfId="16609"/>
    <cellStyle name="Accent1 38" xfId="16610"/>
    <cellStyle name="Accent1 39" xfId="16611"/>
    <cellStyle name="Accent1 4" xfId="16612"/>
    <cellStyle name="Accent1 40" xfId="16613"/>
    <cellStyle name="Accent1 41" xfId="16614"/>
    <cellStyle name="Accent1 42" xfId="16615"/>
    <cellStyle name="Accent1 43" xfId="16616"/>
    <cellStyle name="Accent1 44" xfId="16617"/>
    <cellStyle name="Accent1 45" xfId="16618"/>
    <cellStyle name="Accent1 46" xfId="16619"/>
    <cellStyle name="Accent1 47" xfId="16620"/>
    <cellStyle name="Accent1 48" xfId="16621"/>
    <cellStyle name="Accent1 49" xfId="16622"/>
    <cellStyle name="Accent1 5" xfId="16623"/>
    <cellStyle name="Accent1 50" xfId="16624"/>
    <cellStyle name="Accent1 51" xfId="16625"/>
    <cellStyle name="Accent1 52" xfId="16626"/>
    <cellStyle name="Accent1 53" xfId="16627"/>
    <cellStyle name="Accent1 54" xfId="16628"/>
    <cellStyle name="Accent1 55" xfId="16629"/>
    <cellStyle name="Accent1 56" xfId="16630"/>
    <cellStyle name="Accent1 57" xfId="16631"/>
    <cellStyle name="Accent1 58" xfId="16632"/>
    <cellStyle name="Accent1 59" xfId="16633"/>
    <cellStyle name="Accent1 6" xfId="16634"/>
    <cellStyle name="Accent1 60" xfId="16635"/>
    <cellStyle name="Accent1 61" xfId="16636"/>
    <cellStyle name="Accent1 62" xfId="16637"/>
    <cellStyle name="Accent1 63" xfId="16638"/>
    <cellStyle name="Accent1 64" xfId="16639"/>
    <cellStyle name="Accent1 65" xfId="16640"/>
    <cellStyle name="Accent1 66" xfId="16641"/>
    <cellStyle name="Accent1 67" xfId="16642"/>
    <cellStyle name="Accent1 68" xfId="16643"/>
    <cellStyle name="Accent1 69" xfId="16644"/>
    <cellStyle name="Accent1 7" xfId="16645"/>
    <cellStyle name="Accent1 70" xfId="16646"/>
    <cellStyle name="Accent1 71" xfId="16647"/>
    <cellStyle name="Accent1 72" xfId="16648"/>
    <cellStyle name="Accent1 73" xfId="16649"/>
    <cellStyle name="Accent1 74" xfId="16650"/>
    <cellStyle name="Accent1 75" xfId="16651"/>
    <cellStyle name="Accent1 76" xfId="16652"/>
    <cellStyle name="Accent1 77" xfId="16653"/>
    <cellStyle name="Accent1 78" xfId="16654"/>
    <cellStyle name="Accent1 8" xfId="16655"/>
    <cellStyle name="Accent1 9" xfId="16656"/>
    <cellStyle name="Accent1__10 факт 01 2010" xfId="16657"/>
    <cellStyle name="Accent2" xfId="16658"/>
    <cellStyle name="Accent2 - 20%" xfId="16659"/>
    <cellStyle name="Accent2 - 20% 10" xfId="16660"/>
    <cellStyle name="Accent2 - 20% 11" xfId="16661"/>
    <cellStyle name="Accent2 - 20% 12" xfId="16662"/>
    <cellStyle name="Accent2 - 20% 13" xfId="16663"/>
    <cellStyle name="Accent2 - 20% 14" xfId="16664"/>
    <cellStyle name="Accent2 - 20% 15" xfId="16665"/>
    <cellStyle name="Accent2 - 20% 16" xfId="16666"/>
    <cellStyle name="Accent2 - 20% 17" xfId="16667"/>
    <cellStyle name="Accent2 - 20% 18" xfId="16668"/>
    <cellStyle name="Accent2 - 20% 19" xfId="16669"/>
    <cellStyle name="Accent2 - 20% 2" xfId="16670"/>
    <cellStyle name="Accent2 - 20% 20" xfId="16671"/>
    <cellStyle name="Accent2 - 20% 21" xfId="16672"/>
    <cellStyle name="Accent2 - 20% 3" xfId="16673"/>
    <cellStyle name="Accent2 - 20% 4" xfId="16674"/>
    <cellStyle name="Accent2 - 20% 5" xfId="16675"/>
    <cellStyle name="Accent2 - 20% 6" xfId="16676"/>
    <cellStyle name="Accent2 - 20% 7" xfId="16677"/>
    <cellStyle name="Accent2 - 20% 8" xfId="16678"/>
    <cellStyle name="Accent2 - 20% 9" xfId="16679"/>
    <cellStyle name="Accent2 - 40%" xfId="16680"/>
    <cellStyle name="Accent2 - 40% 10" xfId="16681"/>
    <cellStyle name="Accent2 - 40% 11" xfId="16682"/>
    <cellStyle name="Accent2 - 40% 12" xfId="16683"/>
    <cellStyle name="Accent2 - 40% 13" xfId="16684"/>
    <cellStyle name="Accent2 - 40% 14" xfId="16685"/>
    <cellStyle name="Accent2 - 40% 15" xfId="16686"/>
    <cellStyle name="Accent2 - 40% 16" xfId="16687"/>
    <cellStyle name="Accent2 - 40% 17" xfId="16688"/>
    <cellStyle name="Accent2 - 40% 18" xfId="16689"/>
    <cellStyle name="Accent2 - 40% 19" xfId="16690"/>
    <cellStyle name="Accent2 - 40% 2" xfId="16691"/>
    <cellStyle name="Accent2 - 40% 20" xfId="16692"/>
    <cellStyle name="Accent2 - 40% 21" xfId="16693"/>
    <cellStyle name="Accent2 - 40% 3" xfId="16694"/>
    <cellStyle name="Accent2 - 40% 4" xfId="16695"/>
    <cellStyle name="Accent2 - 40% 5" xfId="16696"/>
    <cellStyle name="Accent2 - 40% 6" xfId="16697"/>
    <cellStyle name="Accent2 - 40% 7" xfId="16698"/>
    <cellStyle name="Accent2 - 40% 8" xfId="16699"/>
    <cellStyle name="Accent2 - 40% 9" xfId="16700"/>
    <cellStyle name="Accent2 - 60%" xfId="16701"/>
    <cellStyle name="Accent2 - 60% 10" xfId="16702"/>
    <cellStyle name="Accent2 - 60% 11" xfId="16703"/>
    <cellStyle name="Accent2 - 60% 12" xfId="16704"/>
    <cellStyle name="Accent2 - 60% 13" xfId="16705"/>
    <cellStyle name="Accent2 - 60% 14" xfId="16706"/>
    <cellStyle name="Accent2 - 60% 15" xfId="16707"/>
    <cellStyle name="Accent2 - 60% 16" xfId="16708"/>
    <cellStyle name="Accent2 - 60% 17" xfId="16709"/>
    <cellStyle name="Accent2 - 60% 18" xfId="16710"/>
    <cellStyle name="Accent2 - 60% 19" xfId="16711"/>
    <cellStyle name="Accent2 - 60% 2" xfId="16712"/>
    <cellStyle name="Accent2 - 60% 20" xfId="16713"/>
    <cellStyle name="Accent2 - 60% 21" xfId="16714"/>
    <cellStyle name="Accent2 - 60% 3" xfId="16715"/>
    <cellStyle name="Accent2 - 60% 4" xfId="16716"/>
    <cellStyle name="Accent2 - 60% 5" xfId="16717"/>
    <cellStyle name="Accent2 - 60% 6" xfId="16718"/>
    <cellStyle name="Accent2 - 60% 7" xfId="16719"/>
    <cellStyle name="Accent2 - 60% 8" xfId="16720"/>
    <cellStyle name="Accent2 - 60% 9" xfId="16721"/>
    <cellStyle name="Accent2 10" xfId="16722"/>
    <cellStyle name="Accent2 11" xfId="16723"/>
    <cellStyle name="Accent2 12" xfId="16724"/>
    <cellStyle name="Accent2 13" xfId="16725"/>
    <cellStyle name="Accent2 14" xfId="16726"/>
    <cellStyle name="Accent2 15" xfId="16727"/>
    <cellStyle name="Accent2 16" xfId="16728"/>
    <cellStyle name="Accent2 17" xfId="16729"/>
    <cellStyle name="Accent2 18" xfId="16730"/>
    <cellStyle name="Accent2 19" xfId="16731"/>
    <cellStyle name="Accent2 2" xfId="16732"/>
    <cellStyle name="Accent2 20" xfId="16733"/>
    <cellStyle name="Accent2 21" xfId="16734"/>
    <cellStyle name="Accent2 22" xfId="16735"/>
    <cellStyle name="Accent2 23" xfId="16736"/>
    <cellStyle name="Accent2 24" xfId="16737"/>
    <cellStyle name="Accent2 25" xfId="16738"/>
    <cellStyle name="Accent2 26" xfId="16739"/>
    <cellStyle name="Accent2 27" xfId="16740"/>
    <cellStyle name="Accent2 28" xfId="16741"/>
    <cellStyle name="Accent2 29" xfId="16742"/>
    <cellStyle name="Accent2 3" xfId="16743"/>
    <cellStyle name="Accent2 30" xfId="16744"/>
    <cellStyle name="Accent2 31" xfId="16745"/>
    <cellStyle name="Accent2 32" xfId="16746"/>
    <cellStyle name="Accent2 33" xfId="16747"/>
    <cellStyle name="Accent2 34" xfId="16748"/>
    <cellStyle name="Accent2 35" xfId="16749"/>
    <cellStyle name="Accent2 36" xfId="16750"/>
    <cellStyle name="Accent2 37" xfId="16751"/>
    <cellStyle name="Accent2 38" xfId="16752"/>
    <cellStyle name="Accent2 39" xfId="16753"/>
    <cellStyle name="Accent2 4" xfId="16754"/>
    <cellStyle name="Accent2 40" xfId="16755"/>
    <cellStyle name="Accent2 41" xfId="16756"/>
    <cellStyle name="Accent2 42" xfId="16757"/>
    <cellStyle name="Accent2 43" xfId="16758"/>
    <cellStyle name="Accent2 44" xfId="16759"/>
    <cellStyle name="Accent2 45" xfId="16760"/>
    <cellStyle name="Accent2 46" xfId="16761"/>
    <cellStyle name="Accent2 47" xfId="16762"/>
    <cellStyle name="Accent2 48" xfId="16763"/>
    <cellStyle name="Accent2 49" xfId="16764"/>
    <cellStyle name="Accent2 5" xfId="16765"/>
    <cellStyle name="Accent2 50" xfId="16766"/>
    <cellStyle name="Accent2 51" xfId="16767"/>
    <cellStyle name="Accent2 52" xfId="16768"/>
    <cellStyle name="Accent2 53" xfId="16769"/>
    <cellStyle name="Accent2 54" xfId="16770"/>
    <cellStyle name="Accent2 55" xfId="16771"/>
    <cellStyle name="Accent2 56" xfId="16772"/>
    <cellStyle name="Accent2 57" xfId="16773"/>
    <cellStyle name="Accent2 58" xfId="16774"/>
    <cellStyle name="Accent2 59" xfId="16775"/>
    <cellStyle name="Accent2 6" xfId="16776"/>
    <cellStyle name="Accent2 60" xfId="16777"/>
    <cellStyle name="Accent2 61" xfId="16778"/>
    <cellStyle name="Accent2 62" xfId="16779"/>
    <cellStyle name="Accent2 63" xfId="16780"/>
    <cellStyle name="Accent2 64" xfId="16781"/>
    <cellStyle name="Accent2 65" xfId="16782"/>
    <cellStyle name="Accent2 66" xfId="16783"/>
    <cellStyle name="Accent2 67" xfId="16784"/>
    <cellStyle name="Accent2 68" xfId="16785"/>
    <cellStyle name="Accent2 69" xfId="16786"/>
    <cellStyle name="Accent2 7" xfId="16787"/>
    <cellStyle name="Accent2 70" xfId="16788"/>
    <cellStyle name="Accent2 71" xfId="16789"/>
    <cellStyle name="Accent2 72" xfId="16790"/>
    <cellStyle name="Accent2 73" xfId="16791"/>
    <cellStyle name="Accent2 74" xfId="16792"/>
    <cellStyle name="Accent2 75" xfId="16793"/>
    <cellStyle name="Accent2 76" xfId="16794"/>
    <cellStyle name="Accent2 77" xfId="16795"/>
    <cellStyle name="Accent2 78" xfId="16796"/>
    <cellStyle name="Accent2 8" xfId="16797"/>
    <cellStyle name="Accent2 9" xfId="16798"/>
    <cellStyle name="Accent2__10 факт 01 2010" xfId="16799"/>
    <cellStyle name="Accent3" xfId="16800"/>
    <cellStyle name="Accent3 - 20%" xfId="16801"/>
    <cellStyle name="Accent3 - 20% 10" xfId="16802"/>
    <cellStyle name="Accent3 - 20% 11" xfId="16803"/>
    <cellStyle name="Accent3 - 20% 12" xfId="16804"/>
    <cellStyle name="Accent3 - 20% 13" xfId="16805"/>
    <cellStyle name="Accent3 - 20% 14" xfId="16806"/>
    <cellStyle name="Accent3 - 20% 15" xfId="16807"/>
    <cellStyle name="Accent3 - 20% 16" xfId="16808"/>
    <cellStyle name="Accent3 - 20% 17" xfId="16809"/>
    <cellStyle name="Accent3 - 20% 18" xfId="16810"/>
    <cellStyle name="Accent3 - 20% 19" xfId="16811"/>
    <cellStyle name="Accent3 - 20% 2" xfId="16812"/>
    <cellStyle name="Accent3 - 20% 20" xfId="16813"/>
    <cellStyle name="Accent3 - 20% 21" xfId="16814"/>
    <cellStyle name="Accent3 - 20% 3" xfId="16815"/>
    <cellStyle name="Accent3 - 20% 4" xfId="16816"/>
    <cellStyle name="Accent3 - 20% 5" xfId="16817"/>
    <cellStyle name="Accent3 - 20% 6" xfId="16818"/>
    <cellStyle name="Accent3 - 20% 7" xfId="16819"/>
    <cellStyle name="Accent3 - 20% 8" xfId="16820"/>
    <cellStyle name="Accent3 - 20% 9" xfId="16821"/>
    <cellStyle name="Accent3 - 40%" xfId="16822"/>
    <cellStyle name="Accent3 - 40% 10" xfId="16823"/>
    <cellStyle name="Accent3 - 40% 11" xfId="16824"/>
    <cellStyle name="Accent3 - 40% 12" xfId="16825"/>
    <cellStyle name="Accent3 - 40% 13" xfId="16826"/>
    <cellStyle name="Accent3 - 40% 14" xfId="16827"/>
    <cellStyle name="Accent3 - 40% 15" xfId="16828"/>
    <cellStyle name="Accent3 - 40% 16" xfId="16829"/>
    <cellStyle name="Accent3 - 40% 17" xfId="16830"/>
    <cellStyle name="Accent3 - 40% 18" xfId="16831"/>
    <cellStyle name="Accent3 - 40% 19" xfId="16832"/>
    <cellStyle name="Accent3 - 40% 2" xfId="16833"/>
    <cellStyle name="Accent3 - 40% 20" xfId="16834"/>
    <cellStyle name="Accent3 - 40% 21" xfId="16835"/>
    <cellStyle name="Accent3 - 40% 3" xfId="16836"/>
    <cellStyle name="Accent3 - 40% 4" xfId="16837"/>
    <cellStyle name="Accent3 - 40% 5" xfId="16838"/>
    <cellStyle name="Accent3 - 40% 6" xfId="16839"/>
    <cellStyle name="Accent3 - 40% 7" xfId="16840"/>
    <cellStyle name="Accent3 - 40% 8" xfId="16841"/>
    <cellStyle name="Accent3 - 40% 9" xfId="16842"/>
    <cellStyle name="Accent3 - 60%" xfId="16843"/>
    <cellStyle name="Accent3 - 60% 10" xfId="16844"/>
    <cellStyle name="Accent3 - 60% 11" xfId="16845"/>
    <cellStyle name="Accent3 - 60% 12" xfId="16846"/>
    <cellStyle name="Accent3 - 60% 13" xfId="16847"/>
    <cellStyle name="Accent3 - 60% 14" xfId="16848"/>
    <cellStyle name="Accent3 - 60% 15" xfId="16849"/>
    <cellStyle name="Accent3 - 60% 16" xfId="16850"/>
    <cellStyle name="Accent3 - 60% 17" xfId="16851"/>
    <cellStyle name="Accent3 - 60% 18" xfId="16852"/>
    <cellStyle name="Accent3 - 60% 19" xfId="16853"/>
    <cellStyle name="Accent3 - 60% 2" xfId="16854"/>
    <cellStyle name="Accent3 - 60% 20" xfId="16855"/>
    <cellStyle name="Accent3 - 60% 21" xfId="16856"/>
    <cellStyle name="Accent3 - 60% 3" xfId="16857"/>
    <cellStyle name="Accent3 - 60% 4" xfId="16858"/>
    <cellStyle name="Accent3 - 60% 5" xfId="16859"/>
    <cellStyle name="Accent3 - 60% 6" xfId="16860"/>
    <cellStyle name="Accent3 - 60% 7" xfId="16861"/>
    <cellStyle name="Accent3 - 60% 8" xfId="16862"/>
    <cellStyle name="Accent3 - 60% 9" xfId="16863"/>
    <cellStyle name="Accent3 10" xfId="16864"/>
    <cellStyle name="Accent3 11" xfId="16865"/>
    <cellStyle name="Accent3 12" xfId="16866"/>
    <cellStyle name="Accent3 13" xfId="16867"/>
    <cellStyle name="Accent3 14" xfId="16868"/>
    <cellStyle name="Accent3 15" xfId="16869"/>
    <cellStyle name="Accent3 16" xfId="16870"/>
    <cellStyle name="Accent3 17" xfId="16871"/>
    <cellStyle name="Accent3 18" xfId="16872"/>
    <cellStyle name="Accent3 19" xfId="16873"/>
    <cellStyle name="Accent3 2" xfId="16874"/>
    <cellStyle name="Accent3 20" xfId="16875"/>
    <cellStyle name="Accent3 21" xfId="16876"/>
    <cellStyle name="Accent3 22" xfId="16877"/>
    <cellStyle name="Accent3 23" xfId="16878"/>
    <cellStyle name="Accent3 24" xfId="16879"/>
    <cellStyle name="Accent3 25" xfId="16880"/>
    <cellStyle name="Accent3 26" xfId="16881"/>
    <cellStyle name="Accent3 27" xfId="16882"/>
    <cellStyle name="Accent3 28" xfId="16883"/>
    <cellStyle name="Accent3 29" xfId="16884"/>
    <cellStyle name="Accent3 3" xfId="16885"/>
    <cellStyle name="Accent3 30" xfId="16886"/>
    <cellStyle name="Accent3 31" xfId="16887"/>
    <cellStyle name="Accent3 32" xfId="16888"/>
    <cellStyle name="Accent3 33" xfId="16889"/>
    <cellStyle name="Accent3 34" xfId="16890"/>
    <cellStyle name="Accent3 35" xfId="16891"/>
    <cellStyle name="Accent3 36" xfId="16892"/>
    <cellStyle name="Accent3 37" xfId="16893"/>
    <cellStyle name="Accent3 38" xfId="16894"/>
    <cellStyle name="Accent3 39" xfId="16895"/>
    <cellStyle name="Accent3 4" xfId="16896"/>
    <cellStyle name="Accent3 40" xfId="16897"/>
    <cellStyle name="Accent3 41" xfId="16898"/>
    <cellStyle name="Accent3 42" xfId="16899"/>
    <cellStyle name="Accent3 43" xfId="16900"/>
    <cellStyle name="Accent3 44" xfId="16901"/>
    <cellStyle name="Accent3 45" xfId="16902"/>
    <cellStyle name="Accent3 46" xfId="16903"/>
    <cellStyle name="Accent3 47" xfId="16904"/>
    <cellStyle name="Accent3 48" xfId="16905"/>
    <cellStyle name="Accent3 49" xfId="16906"/>
    <cellStyle name="Accent3 5" xfId="16907"/>
    <cellStyle name="Accent3 50" xfId="16908"/>
    <cellStyle name="Accent3 51" xfId="16909"/>
    <cellStyle name="Accent3 52" xfId="16910"/>
    <cellStyle name="Accent3 53" xfId="16911"/>
    <cellStyle name="Accent3 54" xfId="16912"/>
    <cellStyle name="Accent3 55" xfId="16913"/>
    <cellStyle name="Accent3 56" xfId="16914"/>
    <cellStyle name="Accent3 57" xfId="16915"/>
    <cellStyle name="Accent3 58" xfId="16916"/>
    <cellStyle name="Accent3 59" xfId="16917"/>
    <cellStyle name="Accent3 6" xfId="16918"/>
    <cellStyle name="Accent3 60" xfId="16919"/>
    <cellStyle name="Accent3 61" xfId="16920"/>
    <cellStyle name="Accent3 62" xfId="16921"/>
    <cellStyle name="Accent3 63" xfId="16922"/>
    <cellStyle name="Accent3 64" xfId="16923"/>
    <cellStyle name="Accent3 65" xfId="16924"/>
    <cellStyle name="Accent3 66" xfId="16925"/>
    <cellStyle name="Accent3 67" xfId="16926"/>
    <cellStyle name="Accent3 68" xfId="16927"/>
    <cellStyle name="Accent3 69" xfId="16928"/>
    <cellStyle name="Accent3 7" xfId="16929"/>
    <cellStyle name="Accent3 70" xfId="16930"/>
    <cellStyle name="Accent3 71" xfId="16931"/>
    <cellStyle name="Accent3 72" xfId="16932"/>
    <cellStyle name="Accent3 73" xfId="16933"/>
    <cellStyle name="Accent3 74" xfId="16934"/>
    <cellStyle name="Accent3 75" xfId="16935"/>
    <cellStyle name="Accent3 76" xfId="16936"/>
    <cellStyle name="Accent3 77" xfId="16937"/>
    <cellStyle name="Accent3 78" xfId="16938"/>
    <cellStyle name="Accent3 8" xfId="16939"/>
    <cellStyle name="Accent3 9" xfId="16940"/>
    <cellStyle name="Accent3__10 факт 01 2010" xfId="16941"/>
    <cellStyle name="Accent4" xfId="16942"/>
    <cellStyle name="Accent4 - 20%" xfId="16943"/>
    <cellStyle name="Accent4 - 20% 10" xfId="16944"/>
    <cellStyle name="Accent4 - 20% 11" xfId="16945"/>
    <cellStyle name="Accent4 - 20% 12" xfId="16946"/>
    <cellStyle name="Accent4 - 20% 13" xfId="16947"/>
    <cellStyle name="Accent4 - 20% 14" xfId="16948"/>
    <cellStyle name="Accent4 - 20% 15" xfId="16949"/>
    <cellStyle name="Accent4 - 20% 16" xfId="16950"/>
    <cellStyle name="Accent4 - 20% 17" xfId="16951"/>
    <cellStyle name="Accent4 - 20% 18" xfId="16952"/>
    <cellStyle name="Accent4 - 20% 19" xfId="16953"/>
    <cellStyle name="Accent4 - 20% 2" xfId="16954"/>
    <cellStyle name="Accent4 - 20% 20" xfId="16955"/>
    <cellStyle name="Accent4 - 20% 21" xfId="16956"/>
    <cellStyle name="Accent4 - 20% 3" xfId="16957"/>
    <cellStyle name="Accent4 - 20% 4" xfId="16958"/>
    <cellStyle name="Accent4 - 20% 5" xfId="16959"/>
    <cellStyle name="Accent4 - 20% 6" xfId="16960"/>
    <cellStyle name="Accent4 - 20% 7" xfId="16961"/>
    <cellStyle name="Accent4 - 20% 8" xfId="16962"/>
    <cellStyle name="Accent4 - 20% 9" xfId="16963"/>
    <cellStyle name="Accent4 - 40%" xfId="16964"/>
    <cellStyle name="Accent4 - 40% 10" xfId="16965"/>
    <cellStyle name="Accent4 - 40% 11" xfId="16966"/>
    <cellStyle name="Accent4 - 40% 12" xfId="16967"/>
    <cellStyle name="Accent4 - 40% 13" xfId="16968"/>
    <cellStyle name="Accent4 - 40% 14" xfId="16969"/>
    <cellStyle name="Accent4 - 40% 15" xfId="16970"/>
    <cellStyle name="Accent4 - 40% 16" xfId="16971"/>
    <cellStyle name="Accent4 - 40% 17" xfId="16972"/>
    <cellStyle name="Accent4 - 40% 18" xfId="16973"/>
    <cellStyle name="Accent4 - 40% 19" xfId="16974"/>
    <cellStyle name="Accent4 - 40% 2" xfId="16975"/>
    <cellStyle name="Accent4 - 40% 20" xfId="16976"/>
    <cellStyle name="Accent4 - 40% 21" xfId="16977"/>
    <cellStyle name="Accent4 - 40% 3" xfId="16978"/>
    <cellStyle name="Accent4 - 40% 4" xfId="16979"/>
    <cellStyle name="Accent4 - 40% 5" xfId="16980"/>
    <cellStyle name="Accent4 - 40% 6" xfId="16981"/>
    <cellStyle name="Accent4 - 40% 7" xfId="16982"/>
    <cellStyle name="Accent4 - 40% 8" xfId="16983"/>
    <cellStyle name="Accent4 - 40% 9" xfId="16984"/>
    <cellStyle name="Accent4 - 60%" xfId="16985"/>
    <cellStyle name="Accent4 - 60% 10" xfId="16986"/>
    <cellStyle name="Accent4 - 60% 11" xfId="16987"/>
    <cellStyle name="Accent4 - 60% 12" xfId="16988"/>
    <cellStyle name="Accent4 - 60% 13" xfId="16989"/>
    <cellStyle name="Accent4 - 60% 14" xfId="16990"/>
    <cellStyle name="Accent4 - 60% 15" xfId="16991"/>
    <cellStyle name="Accent4 - 60% 16" xfId="16992"/>
    <cellStyle name="Accent4 - 60% 17" xfId="16993"/>
    <cellStyle name="Accent4 - 60% 18" xfId="16994"/>
    <cellStyle name="Accent4 - 60% 19" xfId="16995"/>
    <cellStyle name="Accent4 - 60% 2" xfId="16996"/>
    <cellStyle name="Accent4 - 60% 20" xfId="16997"/>
    <cellStyle name="Accent4 - 60% 21" xfId="16998"/>
    <cellStyle name="Accent4 - 60% 3" xfId="16999"/>
    <cellStyle name="Accent4 - 60% 4" xfId="17000"/>
    <cellStyle name="Accent4 - 60% 5" xfId="17001"/>
    <cellStyle name="Accent4 - 60% 6" xfId="17002"/>
    <cellStyle name="Accent4 - 60% 7" xfId="17003"/>
    <cellStyle name="Accent4 - 60% 8" xfId="17004"/>
    <cellStyle name="Accent4 - 60% 9" xfId="17005"/>
    <cellStyle name="Accent4 10" xfId="17006"/>
    <cellStyle name="Accent4 11" xfId="17007"/>
    <cellStyle name="Accent4 12" xfId="17008"/>
    <cellStyle name="Accent4 13" xfId="17009"/>
    <cellStyle name="Accent4 14" xfId="17010"/>
    <cellStyle name="Accent4 15" xfId="17011"/>
    <cellStyle name="Accent4 16" xfId="17012"/>
    <cellStyle name="Accent4 17" xfId="17013"/>
    <cellStyle name="Accent4 18" xfId="17014"/>
    <cellStyle name="Accent4 19" xfId="17015"/>
    <cellStyle name="Accent4 2" xfId="17016"/>
    <cellStyle name="Accent4 20" xfId="17017"/>
    <cellStyle name="Accent4 21" xfId="17018"/>
    <cellStyle name="Accent4 22" xfId="17019"/>
    <cellStyle name="Accent4 23" xfId="17020"/>
    <cellStyle name="Accent4 24" xfId="17021"/>
    <cellStyle name="Accent4 25" xfId="17022"/>
    <cellStyle name="Accent4 26" xfId="17023"/>
    <cellStyle name="Accent4 27" xfId="17024"/>
    <cellStyle name="Accent4 28" xfId="17025"/>
    <cellStyle name="Accent4 29" xfId="17026"/>
    <cellStyle name="Accent4 3" xfId="17027"/>
    <cellStyle name="Accent4 30" xfId="17028"/>
    <cellStyle name="Accent4 31" xfId="17029"/>
    <cellStyle name="Accent4 32" xfId="17030"/>
    <cellStyle name="Accent4 33" xfId="17031"/>
    <cellStyle name="Accent4 34" xfId="17032"/>
    <cellStyle name="Accent4 35" xfId="17033"/>
    <cellStyle name="Accent4 36" xfId="17034"/>
    <cellStyle name="Accent4 37" xfId="17035"/>
    <cellStyle name="Accent4 38" xfId="17036"/>
    <cellStyle name="Accent4 39" xfId="17037"/>
    <cellStyle name="Accent4 4" xfId="17038"/>
    <cellStyle name="Accent4 40" xfId="17039"/>
    <cellStyle name="Accent4 41" xfId="17040"/>
    <cellStyle name="Accent4 42" xfId="17041"/>
    <cellStyle name="Accent4 43" xfId="17042"/>
    <cellStyle name="Accent4 44" xfId="17043"/>
    <cellStyle name="Accent4 45" xfId="17044"/>
    <cellStyle name="Accent4 46" xfId="17045"/>
    <cellStyle name="Accent4 47" xfId="17046"/>
    <cellStyle name="Accent4 48" xfId="17047"/>
    <cellStyle name="Accent4 49" xfId="17048"/>
    <cellStyle name="Accent4 5" xfId="17049"/>
    <cellStyle name="Accent4 50" xfId="17050"/>
    <cellStyle name="Accent4 51" xfId="17051"/>
    <cellStyle name="Accent4 52" xfId="17052"/>
    <cellStyle name="Accent4 53" xfId="17053"/>
    <cellStyle name="Accent4 54" xfId="17054"/>
    <cellStyle name="Accent4 55" xfId="17055"/>
    <cellStyle name="Accent4 56" xfId="17056"/>
    <cellStyle name="Accent4 57" xfId="17057"/>
    <cellStyle name="Accent4 58" xfId="17058"/>
    <cellStyle name="Accent4 59" xfId="17059"/>
    <cellStyle name="Accent4 6" xfId="17060"/>
    <cellStyle name="Accent4 60" xfId="17061"/>
    <cellStyle name="Accent4 61" xfId="17062"/>
    <cellStyle name="Accent4 62" xfId="17063"/>
    <cellStyle name="Accent4 63" xfId="17064"/>
    <cellStyle name="Accent4 64" xfId="17065"/>
    <cellStyle name="Accent4 65" xfId="17066"/>
    <cellStyle name="Accent4 66" xfId="17067"/>
    <cellStyle name="Accent4 67" xfId="17068"/>
    <cellStyle name="Accent4 68" xfId="17069"/>
    <cellStyle name="Accent4 69" xfId="17070"/>
    <cellStyle name="Accent4 7" xfId="17071"/>
    <cellStyle name="Accent4 70" xfId="17072"/>
    <cellStyle name="Accent4 71" xfId="17073"/>
    <cellStyle name="Accent4 72" xfId="17074"/>
    <cellStyle name="Accent4 73" xfId="17075"/>
    <cellStyle name="Accent4 74" xfId="17076"/>
    <cellStyle name="Accent4 75" xfId="17077"/>
    <cellStyle name="Accent4 76" xfId="17078"/>
    <cellStyle name="Accent4 77" xfId="17079"/>
    <cellStyle name="Accent4 78" xfId="17080"/>
    <cellStyle name="Accent4 8" xfId="17081"/>
    <cellStyle name="Accent4 9" xfId="17082"/>
    <cellStyle name="Accent4__10 факт 01 2010" xfId="17083"/>
    <cellStyle name="Accent5" xfId="17084"/>
    <cellStyle name="Accent5 - 20%" xfId="17085"/>
    <cellStyle name="Accent5 - 20% 10" xfId="17086"/>
    <cellStyle name="Accent5 - 20% 11" xfId="17087"/>
    <cellStyle name="Accent5 - 20% 12" xfId="17088"/>
    <cellStyle name="Accent5 - 20% 13" xfId="17089"/>
    <cellStyle name="Accent5 - 20% 14" xfId="17090"/>
    <cellStyle name="Accent5 - 20% 15" xfId="17091"/>
    <cellStyle name="Accent5 - 20% 16" xfId="17092"/>
    <cellStyle name="Accent5 - 20% 17" xfId="17093"/>
    <cellStyle name="Accent5 - 20% 18" xfId="17094"/>
    <cellStyle name="Accent5 - 20% 19" xfId="17095"/>
    <cellStyle name="Accent5 - 20% 2" xfId="17096"/>
    <cellStyle name="Accent5 - 20% 20" xfId="17097"/>
    <cellStyle name="Accent5 - 20% 21" xfId="17098"/>
    <cellStyle name="Accent5 - 20% 3" xfId="17099"/>
    <cellStyle name="Accent5 - 20% 4" xfId="17100"/>
    <cellStyle name="Accent5 - 20% 5" xfId="17101"/>
    <cellStyle name="Accent5 - 20% 6" xfId="17102"/>
    <cellStyle name="Accent5 - 20% 7" xfId="17103"/>
    <cellStyle name="Accent5 - 20% 8" xfId="17104"/>
    <cellStyle name="Accent5 - 20% 9" xfId="17105"/>
    <cellStyle name="Accent5 - 40%" xfId="17106"/>
    <cellStyle name="Accent5 - 40% 10" xfId="17107"/>
    <cellStyle name="Accent5 - 40% 11" xfId="17108"/>
    <cellStyle name="Accent5 - 40% 12" xfId="17109"/>
    <cellStyle name="Accent5 - 40% 13" xfId="17110"/>
    <cellStyle name="Accent5 - 40% 14" xfId="17111"/>
    <cellStyle name="Accent5 - 40% 15" xfId="17112"/>
    <cellStyle name="Accent5 - 40% 16" xfId="17113"/>
    <cellStyle name="Accent5 - 40% 17" xfId="17114"/>
    <cellStyle name="Accent5 - 40% 18" xfId="17115"/>
    <cellStyle name="Accent5 - 40% 19" xfId="17116"/>
    <cellStyle name="Accent5 - 40% 2" xfId="17117"/>
    <cellStyle name="Accent5 - 40% 20" xfId="17118"/>
    <cellStyle name="Accent5 - 40% 3" xfId="17119"/>
    <cellStyle name="Accent5 - 40% 4" xfId="17120"/>
    <cellStyle name="Accent5 - 40% 5" xfId="17121"/>
    <cellStyle name="Accent5 - 40% 6" xfId="17122"/>
    <cellStyle name="Accent5 - 40% 7" xfId="17123"/>
    <cellStyle name="Accent5 - 40% 8" xfId="17124"/>
    <cellStyle name="Accent5 - 40% 9" xfId="17125"/>
    <cellStyle name="Accent5 - 60%" xfId="17126"/>
    <cellStyle name="Accent5 - 60% 10" xfId="17127"/>
    <cellStyle name="Accent5 - 60% 11" xfId="17128"/>
    <cellStyle name="Accent5 - 60% 12" xfId="17129"/>
    <cellStyle name="Accent5 - 60% 13" xfId="17130"/>
    <cellStyle name="Accent5 - 60% 14" xfId="17131"/>
    <cellStyle name="Accent5 - 60% 15" xfId="17132"/>
    <cellStyle name="Accent5 - 60% 16" xfId="17133"/>
    <cellStyle name="Accent5 - 60% 17" xfId="17134"/>
    <cellStyle name="Accent5 - 60% 18" xfId="17135"/>
    <cellStyle name="Accent5 - 60% 19" xfId="17136"/>
    <cellStyle name="Accent5 - 60% 2" xfId="17137"/>
    <cellStyle name="Accent5 - 60% 20" xfId="17138"/>
    <cellStyle name="Accent5 - 60% 21" xfId="17139"/>
    <cellStyle name="Accent5 - 60% 3" xfId="17140"/>
    <cellStyle name="Accent5 - 60% 4" xfId="17141"/>
    <cellStyle name="Accent5 - 60% 5" xfId="17142"/>
    <cellStyle name="Accent5 - 60% 6" xfId="17143"/>
    <cellStyle name="Accent5 - 60% 7" xfId="17144"/>
    <cellStyle name="Accent5 - 60% 8" xfId="17145"/>
    <cellStyle name="Accent5 - 60% 9" xfId="17146"/>
    <cellStyle name="Accent5 10" xfId="17147"/>
    <cellStyle name="Accent5 11" xfId="17148"/>
    <cellStyle name="Accent5 12" xfId="17149"/>
    <cellStyle name="Accent5 13" xfId="17150"/>
    <cellStyle name="Accent5 14" xfId="17151"/>
    <cellStyle name="Accent5 15" xfId="17152"/>
    <cellStyle name="Accent5 16" xfId="17153"/>
    <cellStyle name="Accent5 17" xfId="17154"/>
    <cellStyle name="Accent5 18" xfId="17155"/>
    <cellStyle name="Accent5 19" xfId="17156"/>
    <cellStyle name="Accent5 2" xfId="17157"/>
    <cellStyle name="Accent5 20" xfId="17158"/>
    <cellStyle name="Accent5 21" xfId="17159"/>
    <cellStyle name="Accent5 22" xfId="17160"/>
    <cellStyle name="Accent5 23" xfId="17161"/>
    <cellStyle name="Accent5 24" xfId="17162"/>
    <cellStyle name="Accent5 25" xfId="17163"/>
    <cellStyle name="Accent5 26" xfId="17164"/>
    <cellStyle name="Accent5 27" xfId="17165"/>
    <cellStyle name="Accent5 28" xfId="17166"/>
    <cellStyle name="Accent5 29" xfId="17167"/>
    <cellStyle name="Accent5 3" xfId="17168"/>
    <cellStyle name="Accent5 30" xfId="17169"/>
    <cellStyle name="Accent5 31" xfId="17170"/>
    <cellStyle name="Accent5 32" xfId="17171"/>
    <cellStyle name="Accent5 33" xfId="17172"/>
    <cellStyle name="Accent5 34" xfId="17173"/>
    <cellStyle name="Accent5 35" xfId="17174"/>
    <cellStyle name="Accent5 36" xfId="17175"/>
    <cellStyle name="Accent5 37" xfId="17176"/>
    <cellStyle name="Accent5 38" xfId="17177"/>
    <cellStyle name="Accent5 39" xfId="17178"/>
    <cellStyle name="Accent5 4" xfId="17179"/>
    <cellStyle name="Accent5 40" xfId="17180"/>
    <cellStyle name="Accent5 41" xfId="17181"/>
    <cellStyle name="Accent5 42" xfId="17182"/>
    <cellStyle name="Accent5 43" xfId="17183"/>
    <cellStyle name="Accent5 44" xfId="17184"/>
    <cellStyle name="Accent5 45" xfId="17185"/>
    <cellStyle name="Accent5 46" xfId="17186"/>
    <cellStyle name="Accent5 47" xfId="17187"/>
    <cellStyle name="Accent5 48" xfId="17188"/>
    <cellStyle name="Accent5 49" xfId="17189"/>
    <cellStyle name="Accent5 5" xfId="17190"/>
    <cellStyle name="Accent5 50" xfId="17191"/>
    <cellStyle name="Accent5 51" xfId="17192"/>
    <cellStyle name="Accent5 52" xfId="17193"/>
    <cellStyle name="Accent5 53" xfId="17194"/>
    <cellStyle name="Accent5 54" xfId="17195"/>
    <cellStyle name="Accent5 55" xfId="17196"/>
    <cellStyle name="Accent5 56" xfId="17197"/>
    <cellStyle name="Accent5 57" xfId="17198"/>
    <cellStyle name="Accent5 58" xfId="17199"/>
    <cellStyle name="Accent5 59" xfId="17200"/>
    <cellStyle name="Accent5 6" xfId="17201"/>
    <cellStyle name="Accent5 60" xfId="17202"/>
    <cellStyle name="Accent5 61" xfId="17203"/>
    <cellStyle name="Accent5 62" xfId="17204"/>
    <cellStyle name="Accent5 63" xfId="17205"/>
    <cellStyle name="Accent5 64" xfId="17206"/>
    <cellStyle name="Accent5 65" xfId="17207"/>
    <cellStyle name="Accent5 66" xfId="17208"/>
    <cellStyle name="Accent5 67" xfId="17209"/>
    <cellStyle name="Accent5 68" xfId="17210"/>
    <cellStyle name="Accent5 69" xfId="17211"/>
    <cellStyle name="Accent5 7" xfId="17212"/>
    <cellStyle name="Accent5 70" xfId="17213"/>
    <cellStyle name="Accent5 71" xfId="17214"/>
    <cellStyle name="Accent5 72" xfId="17215"/>
    <cellStyle name="Accent5 73" xfId="17216"/>
    <cellStyle name="Accent5 74" xfId="17217"/>
    <cellStyle name="Accent5 75" xfId="17218"/>
    <cellStyle name="Accent5 76" xfId="17219"/>
    <cellStyle name="Accent5 77" xfId="17220"/>
    <cellStyle name="Accent5 78" xfId="17221"/>
    <cellStyle name="Accent5 8" xfId="17222"/>
    <cellStyle name="Accent5 9" xfId="17223"/>
    <cellStyle name="Accent5__10 факт 01 2010" xfId="17224"/>
    <cellStyle name="Accent6" xfId="17225"/>
    <cellStyle name="Accent6 - 20%" xfId="17226"/>
    <cellStyle name="Accent6 - 20% 10" xfId="17227"/>
    <cellStyle name="Accent6 - 20% 11" xfId="17228"/>
    <cellStyle name="Accent6 - 20% 12" xfId="17229"/>
    <cellStyle name="Accent6 - 20% 13" xfId="17230"/>
    <cellStyle name="Accent6 - 20% 14" xfId="17231"/>
    <cellStyle name="Accent6 - 20% 15" xfId="17232"/>
    <cellStyle name="Accent6 - 20% 16" xfId="17233"/>
    <cellStyle name="Accent6 - 20% 17" xfId="17234"/>
    <cellStyle name="Accent6 - 20% 18" xfId="17235"/>
    <cellStyle name="Accent6 - 20% 19" xfId="17236"/>
    <cellStyle name="Accent6 - 20% 2" xfId="17237"/>
    <cellStyle name="Accent6 - 20% 20" xfId="17238"/>
    <cellStyle name="Accent6 - 20% 3" xfId="17239"/>
    <cellStyle name="Accent6 - 20% 4" xfId="17240"/>
    <cellStyle name="Accent6 - 20% 5" xfId="17241"/>
    <cellStyle name="Accent6 - 20% 6" xfId="17242"/>
    <cellStyle name="Accent6 - 20% 7" xfId="17243"/>
    <cellStyle name="Accent6 - 20% 8" xfId="17244"/>
    <cellStyle name="Accent6 - 20% 9" xfId="17245"/>
    <cellStyle name="Accent6 - 40%" xfId="17246"/>
    <cellStyle name="Accent6 - 40% 10" xfId="17247"/>
    <cellStyle name="Accent6 - 40% 11" xfId="17248"/>
    <cellStyle name="Accent6 - 40% 12" xfId="17249"/>
    <cellStyle name="Accent6 - 40% 13" xfId="17250"/>
    <cellStyle name="Accent6 - 40% 14" xfId="17251"/>
    <cellStyle name="Accent6 - 40% 15" xfId="17252"/>
    <cellStyle name="Accent6 - 40% 16" xfId="17253"/>
    <cellStyle name="Accent6 - 40% 17" xfId="17254"/>
    <cellStyle name="Accent6 - 40% 18" xfId="17255"/>
    <cellStyle name="Accent6 - 40% 19" xfId="17256"/>
    <cellStyle name="Accent6 - 40% 2" xfId="17257"/>
    <cellStyle name="Accent6 - 40% 20" xfId="17258"/>
    <cellStyle name="Accent6 - 40% 21" xfId="17259"/>
    <cellStyle name="Accent6 - 40% 3" xfId="17260"/>
    <cellStyle name="Accent6 - 40% 4" xfId="17261"/>
    <cellStyle name="Accent6 - 40% 5" xfId="17262"/>
    <cellStyle name="Accent6 - 40% 6" xfId="17263"/>
    <cellStyle name="Accent6 - 40% 7" xfId="17264"/>
    <cellStyle name="Accent6 - 40% 8" xfId="17265"/>
    <cellStyle name="Accent6 - 40% 9" xfId="17266"/>
    <cellStyle name="Accent6 - 60%" xfId="17267"/>
    <cellStyle name="Accent6 - 60% 10" xfId="17268"/>
    <cellStyle name="Accent6 - 60% 11" xfId="17269"/>
    <cellStyle name="Accent6 - 60% 12" xfId="17270"/>
    <cellStyle name="Accent6 - 60% 13" xfId="17271"/>
    <cellStyle name="Accent6 - 60% 14" xfId="17272"/>
    <cellStyle name="Accent6 - 60% 15" xfId="17273"/>
    <cellStyle name="Accent6 - 60% 16" xfId="17274"/>
    <cellStyle name="Accent6 - 60% 17" xfId="17275"/>
    <cellStyle name="Accent6 - 60% 18" xfId="17276"/>
    <cellStyle name="Accent6 - 60% 19" xfId="17277"/>
    <cellStyle name="Accent6 - 60% 2" xfId="17278"/>
    <cellStyle name="Accent6 - 60% 20" xfId="17279"/>
    <cellStyle name="Accent6 - 60% 21" xfId="17280"/>
    <cellStyle name="Accent6 - 60% 3" xfId="17281"/>
    <cellStyle name="Accent6 - 60% 4" xfId="17282"/>
    <cellStyle name="Accent6 - 60% 5" xfId="17283"/>
    <cellStyle name="Accent6 - 60% 6" xfId="17284"/>
    <cellStyle name="Accent6 - 60% 7" xfId="17285"/>
    <cellStyle name="Accent6 - 60% 8" xfId="17286"/>
    <cellStyle name="Accent6 - 60% 9" xfId="17287"/>
    <cellStyle name="Accent6 10" xfId="17288"/>
    <cellStyle name="Accent6 11" xfId="17289"/>
    <cellStyle name="Accent6 12" xfId="17290"/>
    <cellStyle name="Accent6 13" xfId="17291"/>
    <cellStyle name="Accent6 14" xfId="17292"/>
    <cellStyle name="Accent6 15" xfId="17293"/>
    <cellStyle name="Accent6 16" xfId="17294"/>
    <cellStyle name="Accent6 17" xfId="17295"/>
    <cellStyle name="Accent6 18" xfId="17296"/>
    <cellStyle name="Accent6 19" xfId="17297"/>
    <cellStyle name="Accent6 2" xfId="17298"/>
    <cellStyle name="Accent6 20" xfId="17299"/>
    <cellStyle name="Accent6 21" xfId="17300"/>
    <cellStyle name="Accent6 22" xfId="17301"/>
    <cellStyle name="Accent6 23" xfId="17302"/>
    <cellStyle name="Accent6 24" xfId="17303"/>
    <cellStyle name="Accent6 25" xfId="17304"/>
    <cellStyle name="Accent6 26" xfId="17305"/>
    <cellStyle name="Accent6 27" xfId="17306"/>
    <cellStyle name="Accent6 28" xfId="17307"/>
    <cellStyle name="Accent6 29" xfId="17308"/>
    <cellStyle name="Accent6 3" xfId="17309"/>
    <cellStyle name="Accent6 30" xfId="17310"/>
    <cellStyle name="Accent6 31" xfId="17311"/>
    <cellStyle name="Accent6 32" xfId="17312"/>
    <cellStyle name="Accent6 33" xfId="17313"/>
    <cellStyle name="Accent6 34" xfId="17314"/>
    <cellStyle name="Accent6 35" xfId="17315"/>
    <cellStyle name="Accent6 36" xfId="17316"/>
    <cellStyle name="Accent6 37" xfId="17317"/>
    <cellStyle name="Accent6 38" xfId="17318"/>
    <cellStyle name="Accent6 39" xfId="17319"/>
    <cellStyle name="Accent6 4" xfId="17320"/>
    <cellStyle name="Accent6 40" xfId="17321"/>
    <cellStyle name="Accent6 41" xfId="17322"/>
    <cellStyle name="Accent6 42" xfId="17323"/>
    <cellStyle name="Accent6 43" xfId="17324"/>
    <cellStyle name="Accent6 44" xfId="17325"/>
    <cellStyle name="Accent6 45" xfId="17326"/>
    <cellStyle name="Accent6 46" xfId="17327"/>
    <cellStyle name="Accent6 47" xfId="17328"/>
    <cellStyle name="Accent6 48" xfId="17329"/>
    <cellStyle name="Accent6 49" xfId="17330"/>
    <cellStyle name="Accent6 5" xfId="17331"/>
    <cellStyle name="Accent6 50" xfId="17332"/>
    <cellStyle name="Accent6 51" xfId="17333"/>
    <cellStyle name="Accent6 52" xfId="17334"/>
    <cellStyle name="Accent6 53" xfId="17335"/>
    <cellStyle name="Accent6 54" xfId="17336"/>
    <cellStyle name="Accent6 55" xfId="17337"/>
    <cellStyle name="Accent6 56" xfId="17338"/>
    <cellStyle name="Accent6 57" xfId="17339"/>
    <cellStyle name="Accent6 58" xfId="17340"/>
    <cellStyle name="Accent6 59" xfId="17341"/>
    <cellStyle name="Accent6 6" xfId="17342"/>
    <cellStyle name="Accent6 60" xfId="17343"/>
    <cellStyle name="Accent6 61" xfId="17344"/>
    <cellStyle name="Accent6 62" xfId="17345"/>
    <cellStyle name="Accent6 63" xfId="17346"/>
    <cellStyle name="Accent6 64" xfId="17347"/>
    <cellStyle name="Accent6 65" xfId="17348"/>
    <cellStyle name="Accent6 66" xfId="17349"/>
    <cellStyle name="Accent6 67" xfId="17350"/>
    <cellStyle name="Accent6 68" xfId="17351"/>
    <cellStyle name="Accent6 69" xfId="17352"/>
    <cellStyle name="Accent6 7" xfId="17353"/>
    <cellStyle name="Accent6 70" xfId="17354"/>
    <cellStyle name="Accent6 71" xfId="17355"/>
    <cellStyle name="Accent6 72" xfId="17356"/>
    <cellStyle name="Accent6 73" xfId="17357"/>
    <cellStyle name="Accent6 74" xfId="17358"/>
    <cellStyle name="Accent6 75" xfId="17359"/>
    <cellStyle name="Accent6 76" xfId="17360"/>
    <cellStyle name="Accent6 77" xfId="17361"/>
    <cellStyle name="Accent6 78" xfId="17362"/>
    <cellStyle name="Accent6 8" xfId="17363"/>
    <cellStyle name="Accent6 9" xfId="17364"/>
    <cellStyle name="Accent6__10 факт 01 2010" xfId="17365"/>
    <cellStyle name="Ăčďĺđńńűëęŕ" xfId="17366"/>
    <cellStyle name="Aeia?nnueea" xfId="17367"/>
    <cellStyle name="Aeia?nnueea 2" xfId="17368"/>
    <cellStyle name="Aeia?nnueea_План ДСМ ноябрь 2011 ОТЧЕТ" xfId="17369"/>
    <cellStyle name="ag" xfId="17370"/>
    <cellStyle name="Äĺíĺćíűé [0]_Đĺôĺđĺíň" xfId="17371"/>
    <cellStyle name="Äĺíĺćíűé_Đĺôĺđĺíň" xfId="17372"/>
    <cellStyle name="Arial 10" xfId="17373"/>
    <cellStyle name="Arial 12" xfId="17374"/>
    <cellStyle name="AutoFormat Options" xfId="17375"/>
    <cellStyle name="Bad" xfId="17376"/>
    <cellStyle name="Bad 10" xfId="17377"/>
    <cellStyle name="Bad 11" xfId="17378"/>
    <cellStyle name="Bad 12" xfId="17379"/>
    <cellStyle name="Bad 13" xfId="17380"/>
    <cellStyle name="Bad 14" xfId="17381"/>
    <cellStyle name="Bad 15" xfId="17382"/>
    <cellStyle name="Bad 16" xfId="17383"/>
    <cellStyle name="Bad 17" xfId="17384"/>
    <cellStyle name="Bad 18" xfId="17385"/>
    <cellStyle name="Bad 19" xfId="17386"/>
    <cellStyle name="Bad 2" xfId="17387"/>
    <cellStyle name="Bad 20" xfId="17388"/>
    <cellStyle name="Bad 3" xfId="17389"/>
    <cellStyle name="Bad 4" xfId="17390"/>
    <cellStyle name="Bad 5" xfId="17391"/>
    <cellStyle name="Bad 6" xfId="17392"/>
    <cellStyle name="Bad 7" xfId="17393"/>
    <cellStyle name="Bad 8" xfId="17394"/>
    <cellStyle name="Bad 9" xfId="17395"/>
    <cellStyle name="Band 1" xfId="17396"/>
    <cellStyle name="Band 1 2" xfId="17397"/>
    <cellStyle name="Band 1 2 10" xfId="17398"/>
    <cellStyle name="Band 1 2 11" xfId="17399"/>
    <cellStyle name="Band 1 2 12" xfId="17400"/>
    <cellStyle name="Band 1 2 13" xfId="17401"/>
    <cellStyle name="Band 1 2 14" xfId="17402"/>
    <cellStyle name="Band 1 2 15" xfId="17403"/>
    <cellStyle name="Band 1 2 16" xfId="17404"/>
    <cellStyle name="Band 1 2 17" xfId="17405"/>
    <cellStyle name="Band 1 2 2" xfId="17406"/>
    <cellStyle name="Band 1 2 2 2" xfId="17407"/>
    <cellStyle name="Band 1 2 2 3" xfId="17408"/>
    <cellStyle name="Band 1 2 2 4" xfId="17409"/>
    <cellStyle name="Band 1 2 2 5" xfId="17410"/>
    <cellStyle name="Band 1 2 2 6" xfId="17411"/>
    <cellStyle name="Band 1 2 2 7" xfId="17412"/>
    <cellStyle name="Band 1 2 2 8" xfId="17413"/>
    <cellStyle name="Band 1 2 2 9" xfId="17414"/>
    <cellStyle name="Band 1 2 3" xfId="17415"/>
    <cellStyle name="Band 1 2 4" xfId="17416"/>
    <cellStyle name="Band 1 2 5" xfId="17417"/>
    <cellStyle name="Band 1 2 6" xfId="17418"/>
    <cellStyle name="Band 1 2 7" xfId="17419"/>
    <cellStyle name="Band 1 2 8" xfId="17420"/>
    <cellStyle name="Band 1 2 9" xfId="17421"/>
    <cellStyle name="Band 1 3" xfId="17422"/>
    <cellStyle name="Band 1 3 10" xfId="17423"/>
    <cellStyle name="Band 1 3 11" xfId="17424"/>
    <cellStyle name="Band 1 3 12" xfId="17425"/>
    <cellStyle name="Band 1 3 13" xfId="17426"/>
    <cellStyle name="Band 1 3 14" xfId="17427"/>
    <cellStyle name="Band 1 3 15" xfId="17428"/>
    <cellStyle name="Band 1 3 16" xfId="17429"/>
    <cellStyle name="Band 1 3 2" xfId="17430"/>
    <cellStyle name="Band 1 3 2 2" xfId="17431"/>
    <cellStyle name="Band 1 3 2 3" xfId="17432"/>
    <cellStyle name="Band 1 3 2 4" xfId="17433"/>
    <cellStyle name="Band 1 3 2 5" xfId="17434"/>
    <cellStyle name="Band 1 3 2 6" xfId="17435"/>
    <cellStyle name="Band 1 3 2 7" xfId="17436"/>
    <cellStyle name="Band 1 3 2 8" xfId="17437"/>
    <cellStyle name="Band 1 3 2 9" xfId="17438"/>
    <cellStyle name="Band 1 3 3" xfId="17439"/>
    <cellStyle name="Band 1 3 4" xfId="17440"/>
    <cellStyle name="Band 1 3 5" xfId="17441"/>
    <cellStyle name="Band 1 3 6" xfId="17442"/>
    <cellStyle name="Band 1 3 7" xfId="17443"/>
    <cellStyle name="Band 1 3 8" xfId="17444"/>
    <cellStyle name="Band 1 3 9" xfId="17445"/>
    <cellStyle name="Band 2" xfId="17446"/>
    <cellStyle name="Blue" xfId="17447"/>
    <cellStyle name="bluenodec" xfId="17448"/>
    <cellStyle name="bluepercent" xfId="17449"/>
    <cellStyle name="Body_$Dollars" xfId="17450"/>
    <cellStyle name="Bold/Border" xfId="17451"/>
    <cellStyle name="Bold/Border 2" xfId="17452"/>
    <cellStyle name="Bold/Border 2 2" xfId="17453"/>
    <cellStyle name="Border" xfId="17454"/>
    <cellStyle name="Border 2" xfId="17455"/>
    <cellStyle name="Border 2 10" xfId="17456"/>
    <cellStyle name="Border 2 11" xfId="17457"/>
    <cellStyle name="Border 2 12" xfId="17458"/>
    <cellStyle name="Border 2 13" xfId="17459"/>
    <cellStyle name="Border 2 14" xfId="17460"/>
    <cellStyle name="Border 2 15" xfId="17461"/>
    <cellStyle name="Border 2 16" xfId="17462"/>
    <cellStyle name="Border 2 17" xfId="17463"/>
    <cellStyle name="Border 2 18" xfId="17464"/>
    <cellStyle name="Border 2 19" xfId="17465"/>
    <cellStyle name="Border 2 2" xfId="17466"/>
    <cellStyle name="Border 2 2 2" xfId="17467"/>
    <cellStyle name="Border 2 2 3" xfId="17468"/>
    <cellStyle name="Border 2 2 4" xfId="17469"/>
    <cellStyle name="Border 2 2 5" xfId="17470"/>
    <cellStyle name="Border 2 2 6" xfId="17471"/>
    <cellStyle name="Border 2 2 7" xfId="17472"/>
    <cellStyle name="Border 2 2 8" xfId="17473"/>
    <cellStyle name="Border 2 2 9" xfId="17474"/>
    <cellStyle name="Border 2 20" xfId="17475"/>
    <cellStyle name="Border 2 21" xfId="17476"/>
    <cellStyle name="Border 2 3" xfId="17477"/>
    <cellStyle name="Border 2 4" xfId="17478"/>
    <cellStyle name="Border 2 5" xfId="17479"/>
    <cellStyle name="Border 2 6" xfId="17480"/>
    <cellStyle name="Border 2 7" xfId="17481"/>
    <cellStyle name="Border 2 8" xfId="17482"/>
    <cellStyle name="Border 2 9" xfId="17483"/>
    <cellStyle name="Border 3" xfId="17484"/>
    <cellStyle name="Border 3 10" xfId="17485"/>
    <cellStyle name="Border 3 11" xfId="17486"/>
    <cellStyle name="Border 3 12" xfId="17487"/>
    <cellStyle name="Border 3 13" xfId="17488"/>
    <cellStyle name="Border 3 14" xfId="17489"/>
    <cellStyle name="Border 3 15" xfId="17490"/>
    <cellStyle name="Border 3 16" xfId="17491"/>
    <cellStyle name="Border 3 17" xfId="17492"/>
    <cellStyle name="Border 3 18" xfId="17493"/>
    <cellStyle name="Border 3 19" xfId="17494"/>
    <cellStyle name="Border 3 2" xfId="17495"/>
    <cellStyle name="Border 3 2 2" xfId="17496"/>
    <cellStyle name="Border 3 2 3" xfId="17497"/>
    <cellStyle name="Border 3 2 4" xfId="17498"/>
    <cellStyle name="Border 3 2 5" xfId="17499"/>
    <cellStyle name="Border 3 2 6" xfId="17500"/>
    <cellStyle name="Border 3 2 7" xfId="17501"/>
    <cellStyle name="Border 3 2 8" xfId="17502"/>
    <cellStyle name="Border 3 2 9" xfId="17503"/>
    <cellStyle name="Border 3 3" xfId="17504"/>
    <cellStyle name="Border 3 4" xfId="17505"/>
    <cellStyle name="Border 3 5" xfId="17506"/>
    <cellStyle name="Border 3 6" xfId="17507"/>
    <cellStyle name="Border 3 7" xfId="17508"/>
    <cellStyle name="Border 3 8" xfId="17509"/>
    <cellStyle name="Border 3 9" xfId="17510"/>
    <cellStyle name="Border 4" xfId="17511"/>
    <cellStyle name="Border 4 10" xfId="17512"/>
    <cellStyle name="Border 4 11" xfId="17513"/>
    <cellStyle name="Border 4 12" xfId="17514"/>
    <cellStyle name="Border 4 13" xfId="17515"/>
    <cellStyle name="Border 4 14" xfId="17516"/>
    <cellStyle name="Border 4 15" xfId="17517"/>
    <cellStyle name="Border 4 16" xfId="17518"/>
    <cellStyle name="Border 4 17" xfId="17519"/>
    <cellStyle name="Border 4 18" xfId="17520"/>
    <cellStyle name="Border 4 2" xfId="17521"/>
    <cellStyle name="Border 4 2 2" xfId="17522"/>
    <cellStyle name="Border 4 2 3" xfId="17523"/>
    <cellStyle name="Border 4 2 4" xfId="17524"/>
    <cellStyle name="Border 4 2 5" xfId="17525"/>
    <cellStyle name="Border 4 2 6" xfId="17526"/>
    <cellStyle name="Border 4 2 7" xfId="17527"/>
    <cellStyle name="Border 4 2 8" xfId="17528"/>
    <cellStyle name="Border 4 2 9" xfId="17529"/>
    <cellStyle name="Border 4 3" xfId="17530"/>
    <cellStyle name="Border 4 4" xfId="17531"/>
    <cellStyle name="Border 4 5" xfId="17532"/>
    <cellStyle name="Border 4 6" xfId="17533"/>
    <cellStyle name="Border 4 7" xfId="17534"/>
    <cellStyle name="Border 4 8" xfId="17535"/>
    <cellStyle name="Border 4 9" xfId="17536"/>
    <cellStyle name="Border 5" xfId="17537"/>
    <cellStyle name="Border 5 2" xfId="17538"/>
    <cellStyle name="Border 5 3" xfId="17539"/>
    <cellStyle name="Border 6" xfId="17540"/>
    <cellStyle name="British Pound" xfId="17541"/>
    <cellStyle name="Bullet" xfId="17542"/>
    <cellStyle name="Calc Currency (0)" xfId="17543"/>
    <cellStyle name="Calc Currency (0) 10" xfId="17544"/>
    <cellStyle name="Calc Currency (0) 11" xfId="17545"/>
    <cellStyle name="Calc Currency (0) 12" xfId="17546"/>
    <cellStyle name="Calc Currency (0) 13" xfId="17547"/>
    <cellStyle name="Calc Currency (0) 2" xfId="17548"/>
    <cellStyle name="Calc Currency (0) 3" xfId="17549"/>
    <cellStyle name="Calc Currency (0) 4" xfId="17550"/>
    <cellStyle name="Calc Currency (0) 5" xfId="17551"/>
    <cellStyle name="Calc Currency (0) 6" xfId="17552"/>
    <cellStyle name="Calc Currency (0) 7" xfId="17553"/>
    <cellStyle name="Calc Currency (0) 8" xfId="17554"/>
    <cellStyle name="Calc Currency (0) 9" xfId="17555"/>
    <cellStyle name="Calculation" xfId="17556"/>
    <cellStyle name="Calculation 10" xfId="17557"/>
    <cellStyle name="Calculation 11" xfId="17558"/>
    <cellStyle name="Calculation 12" xfId="17559"/>
    <cellStyle name="Calculation 13" xfId="17560"/>
    <cellStyle name="Calculation 14" xfId="17561"/>
    <cellStyle name="Calculation 15" xfId="17562"/>
    <cellStyle name="Calculation 16" xfId="17563"/>
    <cellStyle name="Calculation 17" xfId="17564"/>
    <cellStyle name="Calculation 18" xfId="17565"/>
    <cellStyle name="Calculation 19" xfId="17566"/>
    <cellStyle name="Calculation 2" xfId="17567"/>
    <cellStyle name="Calculation 2 10" xfId="17568"/>
    <cellStyle name="Calculation 2 10 10" xfId="17569"/>
    <cellStyle name="Calculation 2 10 11" xfId="17570"/>
    <cellStyle name="Calculation 2 10 12" xfId="17571"/>
    <cellStyle name="Calculation 2 10 13" xfId="17572"/>
    <cellStyle name="Calculation 2 10 14" xfId="17573"/>
    <cellStyle name="Calculation 2 10 15" xfId="17574"/>
    <cellStyle name="Calculation 2 10 16" xfId="17575"/>
    <cellStyle name="Calculation 2 10 17" xfId="17576"/>
    <cellStyle name="Calculation 2 10 18" xfId="17577"/>
    <cellStyle name="Calculation 2 10 19" xfId="17578"/>
    <cellStyle name="Calculation 2 10 2" xfId="17579"/>
    <cellStyle name="Calculation 2 10 2 2" xfId="17580"/>
    <cellStyle name="Calculation 2 10 2 3" xfId="17581"/>
    <cellStyle name="Calculation 2 10 2 4" xfId="17582"/>
    <cellStyle name="Calculation 2 10 2 5" xfId="17583"/>
    <cellStyle name="Calculation 2 10 2 6" xfId="17584"/>
    <cellStyle name="Calculation 2 10 2 7" xfId="17585"/>
    <cellStyle name="Calculation 2 10 2 8" xfId="17586"/>
    <cellStyle name="Calculation 2 10 2 9" xfId="17587"/>
    <cellStyle name="Calculation 2 10 3" xfId="17588"/>
    <cellStyle name="Calculation 2 10 4" xfId="17589"/>
    <cellStyle name="Calculation 2 10 5" xfId="17590"/>
    <cellStyle name="Calculation 2 10 6" xfId="17591"/>
    <cellStyle name="Calculation 2 10 7" xfId="17592"/>
    <cellStyle name="Calculation 2 10 8" xfId="17593"/>
    <cellStyle name="Calculation 2 10 9" xfId="17594"/>
    <cellStyle name="Calculation 2 11" xfId="17595"/>
    <cellStyle name="Calculation 2 11 10" xfId="17596"/>
    <cellStyle name="Calculation 2 11 11" xfId="17597"/>
    <cellStyle name="Calculation 2 11 12" xfId="17598"/>
    <cellStyle name="Calculation 2 11 13" xfId="17599"/>
    <cellStyle name="Calculation 2 11 14" xfId="17600"/>
    <cellStyle name="Calculation 2 11 15" xfId="17601"/>
    <cellStyle name="Calculation 2 11 16" xfId="17602"/>
    <cellStyle name="Calculation 2 11 17" xfId="17603"/>
    <cellStyle name="Calculation 2 11 18" xfId="17604"/>
    <cellStyle name="Calculation 2 11 2" xfId="17605"/>
    <cellStyle name="Calculation 2 11 2 2" xfId="17606"/>
    <cellStyle name="Calculation 2 11 2 3" xfId="17607"/>
    <cellStyle name="Calculation 2 11 2 4" xfId="17608"/>
    <cellStyle name="Calculation 2 11 2 5" xfId="17609"/>
    <cellStyle name="Calculation 2 11 2 6" xfId="17610"/>
    <cellStyle name="Calculation 2 11 2 7" xfId="17611"/>
    <cellStyle name="Calculation 2 11 2 8" xfId="17612"/>
    <cellStyle name="Calculation 2 11 2 9" xfId="17613"/>
    <cellStyle name="Calculation 2 11 3" xfId="17614"/>
    <cellStyle name="Calculation 2 11 4" xfId="17615"/>
    <cellStyle name="Calculation 2 11 5" xfId="17616"/>
    <cellStyle name="Calculation 2 11 6" xfId="17617"/>
    <cellStyle name="Calculation 2 11 7" xfId="17618"/>
    <cellStyle name="Calculation 2 11 8" xfId="17619"/>
    <cellStyle name="Calculation 2 11 9" xfId="17620"/>
    <cellStyle name="Calculation 2 12" xfId="17621"/>
    <cellStyle name="Calculation 2 12 10" xfId="17622"/>
    <cellStyle name="Calculation 2 12 11" xfId="17623"/>
    <cellStyle name="Calculation 2 12 12" xfId="17624"/>
    <cellStyle name="Calculation 2 12 13" xfId="17625"/>
    <cellStyle name="Calculation 2 12 14" xfId="17626"/>
    <cellStyle name="Calculation 2 12 15" xfId="17627"/>
    <cellStyle name="Calculation 2 12 16" xfId="17628"/>
    <cellStyle name="Calculation 2 12 17" xfId="17629"/>
    <cellStyle name="Calculation 2 12 18" xfId="17630"/>
    <cellStyle name="Calculation 2 12 19" xfId="17631"/>
    <cellStyle name="Calculation 2 12 2" xfId="17632"/>
    <cellStyle name="Calculation 2 12 2 2" xfId="17633"/>
    <cellStyle name="Calculation 2 12 2 3" xfId="17634"/>
    <cellStyle name="Calculation 2 12 2 4" xfId="17635"/>
    <cellStyle name="Calculation 2 12 2 5" xfId="17636"/>
    <cellStyle name="Calculation 2 12 2 6" xfId="17637"/>
    <cellStyle name="Calculation 2 12 2 7" xfId="17638"/>
    <cellStyle name="Calculation 2 12 2 8" xfId="17639"/>
    <cellStyle name="Calculation 2 12 2 9" xfId="17640"/>
    <cellStyle name="Calculation 2 12 3" xfId="17641"/>
    <cellStyle name="Calculation 2 12 4" xfId="17642"/>
    <cellStyle name="Calculation 2 12 5" xfId="17643"/>
    <cellStyle name="Calculation 2 12 6" xfId="17644"/>
    <cellStyle name="Calculation 2 12 7" xfId="17645"/>
    <cellStyle name="Calculation 2 12 8" xfId="17646"/>
    <cellStyle name="Calculation 2 12 9" xfId="17647"/>
    <cellStyle name="Calculation 2 2" xfId="17648"/>
    <cellStyle name="Calculation 2 2 2" xfId="17649"/>
    <cellStyle name="Calculation 2 2 2 2" xfId="17650"/>
    <cellStyle name="Calculation 2 2 2 2 10" xfId="17651"/>
    <cellStyle name="Calculation 2 2 2 2 11" xfId="17652"/>
    <cellStyle name="Calculation 2 2 2 2 12" xfId="17653"/>
    <cellStyle name="Calculation 2 2 2 2 13" xfId="17654"/>
    <cellStyle name="Calculation 2 2 2 2 14" xfId="17655"/>
    <cellStyle name="Calculation 2 2 2 2 15" xfId="17656"/>
    <cellStyle name="Calculation 2 2 2 2 16" xfId="17657"/>
    <cellStyle name="Calculation 2 2 2 2 17" xfId="17658"/>
    <cellStyle name="Calculation 2 2 2 2 18" xfId="17659"/>
    <cellStyle name="Calculation 2 2 2 2 19" xfId="17660"/>
    <cellStyle name="Calculation 2 2 2 2 2" xfId="17661"/>
    <cellStyle name="Calculation 2 2 2 2 2 2" xfId="17662"/>
    <cellStyle name="Calculation 2 2 2 2 2 3" xfId="17663"/>
    <cellStyle name="Calculation 2 2 2 2 2 4" xfId="17664"/>
    <cellStyle name="Calculation 2 2 2 2 2 5" xfId="17665"/>
    <cellStyle name="Calculation 2 2 2 2 2 6" xfId="17666"/>
    <cellStyle name="Calculation 2 2 2 2 2 7" xfId="17667"/>
    <cellStyle name="Calculation 2 2 2 2 2 8" xfId="17668"/>
    <cellStyle name="Calculation 2 2 2 2 2 9" xfId="17669"/>
    <cellStyle name="Calculation 2 2 2 2 3" xfId="17670"/>
    <cellStyle name="Calculation 2 2 2 2 4" xfId="17671"/>
    <cellStyle name="Calculation 2 2 2 2 5" xfId="17672"/>
    <cellStyle name="Calculation 2 2 2 2 6" xfId="17673"/>
    <cellStyle name="Calculation 2 2 2 2 7" xfId="17674"/>
    <cellStyle name="Calculation 2 2 2 2 8" xfId="17675"/>
    <cellStyle name="Calculation 2 2 2 2 9" xfId="17676"/>
    <cellStyle name="Calculation 2 2 2 3" xfId="17677"/>
    <cellStyle name="Calculation 2 2 2 3 10" xfId="17678"/>
    <cellStyle name="Calculation 2 2 2 3 11" xfId="17679"/>
    <cellStyle name="Calculation 2 2 2 3 12" xfId="17680"/>
    <cellStyle name="Calculation 2 2 2 3 13" xfId="17681"/>
    <cellStyle name="Calculation 2 2 2 3 14" xfId="17682"/>
    <cellStyle name="Calculation 2 2 2 3 15" xfId="17683"/>
    <cellStyle name="Calculation 2 2 2 3 16" xfId="17684"/>
    <cellStyle name="Calculation 2 2 2 3 17" xfId="17685"/>
    <cellStyle name="Calculation 2 2 2 3 18" xfId="17686"/>
    <cellStyle name="Calculation 2 2 2 3 2" xfId="17687"/>
    <cellStyle name="Calculation 2 2 2 3 2 2" xfId="17688"/>
    <cellStyle name="Calculation 2 2 2 3 2 3" xfId="17689"/>
    <cellStyle name="Calculation 2 2 2 3 2 4" xfId="17690"/>
    <cellStyle name="Calculation 2 2 2 3 2 5" xfId="17691"/>
    <cellStyle name="Calculation 2 2 2 3 2 6" xfId="17692"/>
    <cellStyle name="Calculation 2 2 2 3 2 7" xfId="17693"/>
    <cellStyle name="Calculation 2 2 2 3 2 8" xfId="17694"/>
    <cellStyle name="Calculation 2 2 2 3 2 9" xfId="17695"/>
    <cellStyle name="Calculation 2 2 2 3 3" xfId="17696"/>
    <cellStyle name="Calculation 2 2 2 3 4" xfId="17697"/>
    <cellStyle name="Calculation 2 2 2 3 5" xfId="17698"/>
    <cellStyle name="Calculation 2 2 2 3 6" xfId="17699"/>
    <cellStyle name="Calculation 2 2 2 3 7" xfId="17700"/>
    <cellStyle name="Calculation 2 2 2 3 8" xfId="17701"/>
    <cellStyle name="Calculation 2 2 2 3 9" xfId="17702"/>
    <cellStyle name="Calculation 2 2 2 4" xfId="17703"/>
    <cellStyle name="Calculation 2 2 2 4 10" xfId="17704"/>
    <cellStyle name="Calculation 2 2 2 4 11" xfId="17705"/>
    <cellStyle name="Calculation 2 2 2 4 12" xfId="17706"/>
    <cellStyle name="Calculation 2 2 2 4 13" xfId="17707"/>
    <cellStyle name="Calculation 2 2 2 4 14" xfId="17708"/>
    <cellStyle name="Calculation 2 2 2 4 15" xfId="17709"/>
    <cellStyle name="Calculation 2 2 2 4 16" xfId="17710"/>
    <cellStyle name="Calculation 2 2 2 4 17" xfId="17711"/>
    <cellStyle name="Calculation 2 2 2 4 18" xfId="17712"/>
    <cellStyle name="Calculation 2 2 2 4 19" xfId="17713"/>
    <cellStyle name="Calculation 2 2 2 4 2" xfId="17714"/>
    <cellStyle name="Calculation 2 2 2 4 2 2" xfId="17715"/>
    <cellStyle name="Calculation 2 2 2 4 2 3" xfId="17716"/>
    <cellStyle name="Calculation 2 2 2 4 2 4" xfId="17717"/>
    <cellStyle name="Calculation 2 2 2 4 2 5" xfId="17718"/>
    <cellStyle name="Calculation 2 2 2 4 2 6" xfId="17719"/>
    <cellStyle name="Calculation 2 2 2 4 2 7" xfId="17720"/>
    <cellStyle name="Calculation 2 2 2 4 2 8" xfId="17721"/>
    <cellStyle name="Calculation 2 2 2 4 2 9" xfId="17722"/>
    <cellStyle name="Calculation 2 2 2 4 3" xfId="17723"/>
    <cellStyle name="Calculation 2 2 2 4 4" xfId="17724"/>
    <cellStyle name="Calculation 2 2 2 4 5" xfId="17725"/>
    <cellStyle name="Calculation 2 2 2 4 6" xfId="17726"/>
    <cellStyle name="Calculation 2 2 2 4 7" xfId="17727"/>
    <cellStyle name="Calculation 2 2 2 4 8" xfId="17728"/>
    <cellStyle name="Calculation 2 2 2 4 9" xfId="17729"/>
    <cellStyle name="Calculation 2 2 2 5" xfId="17730"/>
    <cellStyle name="Calculation 2 2 3" xfId="17731"/>
    <cellStyle name="Calculation 2 2 3 2" xfId="17732"/>
    <cellStyle name="Calculation 2 2 3 2 10" xfId="17733"/>
    <cellStyle name="Calculation 2 2 3 2 11" xfId="17734"/>
    <cellStyle name="Calculation 2 2 3 2 12" xfId="17735"/>
    <cellStyle name="Calculation 2 2 3 2 13" xfId="17736"/>
    <cellStyle name="Calculation 2 2 3 2 14" xfId="17737"/>
    <cellStyle name="Calculation 2 2 3 2 15" xfId="17738"/>
    <cellStyle name="Calculation 2 2 3 2 16" xfId="17739"/>
    <cellStyle name="Calculation 2 2 3 2 17" xfId="17740"/>
    <cellStyle name="Calculation 2 2 3 2 18" xfId="17741"/>
    <cellStyle name="Calculation 2 2 3 2 19" xfId="17742"/>
    <cellStyle name="Calculation 2 2 3 2 2" xfId="17743"/>
    <cellStyle name="Calculation 2 2 3 2 2 2" xfId="17744"/>
    <cellStyle name="Calculation 2 2 3 2 2 3" xfId="17745"/>
    <cellStyle name="Calculation 2 2 3 2 2 4" xfId="17746"/>
    <cellStyle name="Calculation 2 2 3 2 2 5" xfId="17747"/>
    <cellStyle name="Calculation 2 2 3 2 2 6" xfId="17748"/>
    <cellStyle name="Calculation 2 2 3 2 2 7" xfId="17749"/>
    <cellStyle name="Calculation 2 2 3 2 2 8" xfId="17750"/>
    <cellStyle name="Calculation 2 2 3 2 2 9" xfId="17751"/>
    <cellStyle name="Calculation 2 2 3 2 3" xfId="17752"/>
    <cellStyle name="Calculation 2 2 3 2 4" xfId="17753"/>
    <cellStyle name="Calculation 2 2 3 2 5" xfId="17754"/>
    <cellStyle name="Calculation 2 2 3 2 6" xfId="17755"/>
    <cellStyle name="Calculation 2 2 3 2 7" xfId="17756"/>
    <cellStyle name="Calculation 2 2 3 2 8" xfId="17757"/>
    <cellStyle name="Calculation 2 2 3 2 9" xfId="17758"/>
    <cellStyle name="Calculation 2 2 3 3" xfId="17759"/>
    <cellStyle name="Calculation 2 2 3 3 10" xfId="17760"/>
    <cellStyle name="Calculation 2 2 3 3 11" xfId="17761"/>
    <cellStyle name="Calculation 2 2 3 3 12" xfId="17762"/>
    <cellStyle name="Calculation 2 2 3 3 13" xfId="17763"/>
    <cellStyle name="Calculation 2 2 3 3 14" xfId="17764"/>
    <cellStyle name="Calculation 2 2 3 3 15" xfId="17765"/>
    <cellStyle name="Calculation 2 2 3 3 16" xfId="17766"/>
    <cellStyle name="Calculation 2 2 3 3 17" xfId="17767"/>
    <cellStyle name="Calculation 2 2 3 3 18" xfId="17768"/>
    <cellStyle name="Calculation 2 2 3 3 2" xfId="17769"/>
    <cellStyle name="Calculation 2 2 3 3 2 2" xfId="17770"/>
    <cellStyle name="Calculation 2 2 3 3 2 3" xfId="17771"/>
    <cellStyle name="Calculation 2 2 3 3 2 4" xfId="17772"/>
    <cellStyle name="Calculation 2 2 3 3 2 5" xfId="17773"/>
    <cellStyle name="Calculation 2 2 3 3 2 6" xfId="17774"/>
    <cellStyle name="Calculation 2 2 3 3 2 7" xfId="17775"/>
    <cellStyle name="Calculation 2 2 3 3 2 8" xfId="17776"/>
    <cellStyle name="Calculation 2 2 3 3 2 9" xfId="17777"/>
    <cellStyle name="Calculation 2 2 3 3 3" xfId="17778"/>
    <cellStyle name="Calculation 2 2 3 3 4" xfId="17779"/>
    <cellStyle name="Calculation 2 2 3 3 5" xfId="17780"/>
    <cellStyle name="Calculation 2 2 3 3 6" xfId="17781"/>
    <cellStyle name="Calculation 2 2 3 3 7" xfId="17782"/>
    <cellStyle name="Calculation 2 2 3 3 8" xfId="17783"/>
    <cellStyle name="Calculation 2 2 3 3 9" xfId="17784"/>
    <cellStyle name="Calculation 2 2 3 4" xfId="17785"/>
    <cellStyle name="Calculation 2 2 3 4 10" xfId="17786"/>
    <cellStyle name="Calculation 2 2 3 4 11" xfId="17787"/>
    <cellStyle name="Calculation 2 2 3 4 12" xfId="17788"/>
    <cellStyle name="Calculation 2 2 3 4 13" xfId="17789"/>
    <cellStyle name="Calculation 2 2 3 4 14" xfId="17790"/>
    <cellStyle name="Calculation 2 2 3 4 15" xfId="17791"/>
    <cellStyle name="Calculation 2 2 3 4 16" xfId="17792"/>
    <cellStyle name="Calculation 2 2 3 4 17" xfId="17793"/>
    <cellStyle name="Calculation 2 2 3 4 18" xfId="17794"/>
    <cellStyle name="Calculation 2 2 3 4 19" xfId="17795"/>
    <cellStyle name="Calculation 2 2 3 4 2" xfId="17796"/>
    <cellStyle name="Calculation 2 2 3 4 2 2" xfId="17797"/>
    <cellStyle name="Calculation 2 2 3 4 2 3" xfId="17798"/>
    <cellStyle name="Calculation 2 2 3 4 2 4" xfId="17799"/>
    <cellStyle name="Calculation 2 2 3 4 2 5" xfId="17800"/>
    <cellStyle name="Calculation 2 2 3 4 2 6" xfId="17801"/>
    <cellStyle name="Calculation 2 2 3 4 2 7" xfId="17802"/>
    <cellStyle name="Calculation 2 2 3 4 2 8" xfId="17803"/>
    <cellStyle name="Calculation 2 2 3 4 2 9" xfId="17804"/>
    <cellStyle name="Calculation 2 2 3 4 3" xfId="17805"/>
    <cellStyle name="Calculation 2 2 3 4 4" xfId="17806"/>
    <cellStyle name="Calculation 2 2 3 4 5" xfId="17807"/>
    <cellStyle name="Calculation 2 2 3 4 6" xfId="17808"/>
    <cellStyle name="Calculation 2 2 3 4 7" xfId="17809"/>
    <cellStyle name="Calculation 2 2 3 4 8" xfId="17810"/>
    <cellStyle name="Calculation 2 2 3 4 9" xfId="17811"/>
    <cellStyle name="Calculation 2 2 4" xfId="17812"/>
    <cellStyle name="Calculation 2 2 4 10" xfId="17813"/>
    <cellStyle name="Calculation 2 2 4 11" xfId="17814"/>
    <cellStyle name="Calculation 2 2 4 12" xfId="17815"/>
    <cellStyle name="Calculation 2 2 4 13" xfId="17816"/>
    <cellStyle name="Calculation 2 2 4 14" xfId="17817"/>
    <cellStyle name="Calculation 2 2 4 15" xfId="17818"/>
    <cellStyle name="Calculation 2 2 4 16" xfId="17819"/>
    <cellStyle name="Calculation 2 2 4 17" xfId="17820"/>
    <cellStyle name="Calculation 2 2 4 18" xfId="17821"/>
    <cellStyle name="Calculation 2 2 4 19" xfId="17822"/>
    <cellStyle name="Calculation 2 2 4 2" xfId="17823"/>
    <cellStyle name="Calculation 2 2 4 2 2" xfId="17824"/>
    <cellStyle name="Calculation 2 2 4 2 3" xfId="17825"/>
    <cellStyle name="Calculation 2 2 4 2 4" xfId="17826"/>
    <cellStyle name="Calculation 2 2 4 2 5" xfId="17827"/>
    <cellStyle name="Calculation 2 2 4 2 6" xfId="17828"/>
    <cellStyle name="Calculation 2 2 4 2 7" xfId="17829"/>
    <cellStyle name="Calculation 2 2 4 2 8" xfId="17830"/>
    <cellStyle name="Calculation 2 2 4 2 9" xfId="17831"/>
    <cellStyle name="Calculation 2 2 4 3" xfId="17832"/>
    <cellStyle name="Calculation 2 2 4 4" xfId="17833"/>
    <cellStyle name="Calculation 2 2 4 5" xfId="17834"/>
    <cellStyle name="Calculation 2 2 4 6" xfId="17835"/>
    <cellStyle name="Calculation 2 2 4 7" xfId="17836"/>
    <cellStyle name="Calculation 2 2 4 8" xfId="17837"/>
    <cellStyle name="Calculation 2 2 4 9" xfId="17838"/>
    <cellStyle name="Calculation 2 2 5" xfId="17839"/>
    <cellStyle name="Calculation 2 2 5 10" xfId="17840"/>
    <cellStyle name="Calculation 2 2 5 11" xfId="17841"/>
    <cellStyle name="Calculation 2 2 5 12" xfId="17842"/>
    <cellStyle name="Calculation 2 2 5 13" xfId="17843"/>
    <cellStyle name="Calculation 2 2 5 14" xfId="17844"/>
    <cellStyle name="Calculation 2 2 5 15" xfId="17845"/>
    <cellStyle name="Calculation 2 2 5 16" xfId="17846"/>
    <cellStyle name="Calculation 2 2 5 17" xfId="17847"/>
    <cellStyle name="Calculation 2 2 5 18" xfId="17848"/>
    <cellStyle name="Calculation 2 2 5 2" xfId="17849"/>
    <cellStyle name="Calculation 2 2 5 2 2" xfId="17850"/>
    <cellStyle name="Calculation 2 2 5 2 3" xfId="17851"/>
    <cellStyle name="Calculation 2 2 5 2 4" xfId="17852"/>
    <cellStyle name="Calculation 2 2 5 2 5" xfId="17853"/>
    <cellStyle name="Calculation 2 2 5 2 6" xfId="17854"/>
    <cellStyle name="Calculation 2 2 5 2 7" xfId="17855"/>
    <cellStyle name="Calculation 2 2 5 2 8" xfId="17856"/>
    <cellStyle name="Calculation 2 2 5 2 9" xfId="17857"/>
    <cellStyle name="Calculation 2 2 5 3" xfId="17858"/>
    <cellStyle name="Calculation 2 2 5 4" xfId="17859"/>
    <cellStyle name="Calculation 2 2 5 5" xfId="17860"/>
    <cellStyle name="Calculation 2 2 5 6" xfId="17861"/>
    <cellStyle name="Calculation 2 2 5 7" xfId="17862"/>
    <cellStyle name="Calculation 2 2 5 8" xfId="17863"/>
    <cellStyle name="Calculation 2 2 5 9" xfId="17864"/>
    <cellStyle name="Calculation 2 2 6" xfId="17865"/>
    <cellStyle name="Calculation 2 2 6 10" xfId="17866"/>
    <cellStyle name="Calculation 2 2 6 11" xfId="17867"/>
    <cellStyle name="Calculation 2 2 6 12" xfId="17868"/>
    <cellStyle name="Calculation 2 2 6 13" xfId="17869"/>
    <cellStyle name="Calculation 2 2 6 14" xfId="17870"/>
    <cellStyle name="Calculation 2 2 6 15" xfId="17871"/>
    <cellStyle name="Calculation 2 2 6 16" xfId="17872"/>
    <cellStyle name="Calculation 2 2 6 17" xfId="17873"/>
    <cellStyle name="Calculation 2 2 6 18" xfId="17874"/>
    <cellStyle name="Calculation 2 2 6 19" xfId="17875"/>
    <cellStyle name="Calculation 2 2 6 2" xfId="17876"/>
    <cellStyle name="Calculation 2 2 6 2 2" xfId="17877"/>
    <cellStyle name="Calculation 2 2 6 2 3" xfId="17878"/>
    <cellStyle name="Calculation 2 2 6 2 4" xfId="17879"/>
    <cellStyle name="Calculation 2 2 6 2 5" xfId="17880"/>
    <cellStyle name="Calculation 2 2 6 2 6" xfId="17881"/>
    <cellStyle name="Calculation 2 2 6 2 7" xfId="17882"/>
    <cellStyle name="Calculation 2 2 6 2 8" xfId="17883"/>
    <cellStyle name="Calculation 2 2 6 2 9" xfId="17884"/>
    <cellStyle name="Calculation 2 2 6 3" xfId="17885"/>
    <cellStyle name="Calculation 2 2 6 4" xfId="17886"/>
    <cellStyle name="Calculation 2 2 6 5" xfId="17887"/>
    <cellStyle name="Calculation 2 2 6 6" xfId="17888"/>
    <cellStyle name="Calculation 2 2 6 7" xfId="17889"/>
    <cellStyle name="Calculation 2 2 6 8" xfId="17890"/>
    <cellStyle name="Calculation 2 2 6 9" xfId="17891"/>
    <cellStyle name="Calculation 2 3" xfId="17892"/>
    <cellStyle name="Calculation 2 3 2" xfId="17893"/>
    <cellStyle name="Calculation 2 3 2 2" xfId="17894"/>
    <cellStyle name="Calculation 2 3 2 2 10" xfId="17895"/>
    <cellStyle name="Calculation 2 3 2 2 11" xfId="17896"/>
    <cellStyle name="Calculation 2 3 2 2 12" xfId="17897"/>
    <cellStyle name="Calculation 2 3 2 2 13" xfId="17898"/>
    <cellStyle name="Calculation 2 3 2 2 14" xfId="17899"/>
    <cellStyle name="Calculation 2 3 2 2 15" xfId="17900"/>
    <cellStyle name="Calculation 2 3 2 2 16" xfId="17901"/>
    <cellStyle name="Calculation 2 3 2 2 17" xfId="17902"/>
    <cellStyle name="Calculation 2 3 2 2 18" xfId="17903"/>
    <cellStyle name="Calculation 2 3 2 2 19" xfId="17904"/>
    <cellStyle name="Calculation 2 3 2 2 2" xfId="17905"/>
    <cellStyle name="Calculation 2 3 2 2 2 2" xfId="17906"/>
    <cellStyle name="Calculation 2 3 2 2 2 3" xfId="17907"/>
    <cellStyle name="Calculation 2 3 2 2 2 4" xfId="17908"/>
    <cellStyle name="Calculation 2 3 2 2 2 5" xfId="17909"/>
    <cellStyle name="Calculation 2 3 2 2 2 6" xfId="17910"/>
    <cellStyle name="Calculation 2 3 2 2 2 7" xfId="17911"/>
    <cellStyle name="Calculation 2 3 2 2 2 8" xfId="17912"/>
    <cellStyle name="Calculation 2 3 2 2 2 9" xfId="17913"/>
    <cellStyle name="Calculation 2 3 2 2 3" xfId="17914"/>
    <cellStyle name="Calculation 2 3 2 2 4" xfId="17915"/>
    <cellStyle name="Calculation 2 3 2 2 5" xfId="17916"/>
    <cellStyle name="Calculation 2 3 2 2 6" xfId="17917"/>
    <cellStyle name="Calculation 2 3 2 2 7" xfId="17918"/>
    <cellStyle name="Calculation 2 3 2 2 8" xfId="17919"/>
    <cellStyle name="Calculation 2 3 2 2 9" xfId="17920"/>
    <cellStyle name="Calculation 2 3 2 3" xfId="17921"/>
    <cellStyle name="Calculation 2 3 2 3 10" xfId="17922"/>
    <cellStyle name="Calculation 2 3 2 3 11" xfId="17923"/>
    <cellStyle name="Calculation 2 3 2 3 12" xfId="17924"/>
    <cellStyle name="Calculation 2 3 2 3 13" xfId="17925"/>
    <cellStyle name="Calculation 2 3 2 3 14" xfId="17926"/>
    <cellStyle name="Calculation 2 3 2 3 15" xfId="17927"/>
    <cellStyle name="Calculation 2 3 2 3 16" xfId="17928"/>
    <cellStyle name="Calculation 2 3 2 3 17" xfId="17929"/>
    <cellStyle name="Calculation 2 3 2 3 18" xfId="17930"/>
    <cellStyle name="Calculation 2 3 2 3 2" xfId="17931"/>
    <cellStyle name="Calculation 2 3 2 3 2 2" xfId="17932"/>
    <cellStyle name="Calculation 2 3 2 3 2 3" xfId="17933"/>
    <cellStyle name="Calculation 2 3 2 3 2 4" xfId="17934"/>
    <cellStyle name="Calculation 2 3 2 3 2 5" xfId="17935"/>
    <cellStyle name="Calculation 2 3 2 3 2 6" xfId="17936"/>
    <cellStyle name="Calculation 2 3 2 3 2 7" xfId="17937"/>
    <cellStyle name="Calculation 2 3 2 3 2 8" xfId="17938"/>
    <cellStyle name="Calculation 2 3 2 3 2 9" xfId="17939"/>
    <cellStyle name="Calculation 2 3 2 3 3" xfId="17940"/>
    <cellStyle name="Calculation 2 3 2 3 4" xfId="17941"/>
    <cellStyle name="Calculation 2 3 2 3 5" xfId="17942"/>
    <cellStyle name="Calculation 2 3 2 3 6" xfId="17943"/>
    <cellStyle name="Calculation 2 3 2 3 7" xfId="17944"/>
    <cellStyle name="Calculation 2 3 2 3 8" xfId="17945"/>
    <cellStyle name="Calculation 2 3 2 3 9" xfId="17946"/>
    <cellStyle name="Calculation 2 3 2 4" xfId="17947"/>
    <cellStyle name="Calculation 2 3 2 4 10" xfId="17948"/>
    <cellStyle name="Calculation 2 3 2 4 11" xfId="17949"/>
    <cellStyle name="Calculation 2 3 2 4 12" xfId="17950"/>
    <cellStyle name="Calculation 2 3 2 4 13" xfId="17951"/>
    <cellStyle name="Calculation 2 3 2 4 14" xfId="17952"/>
    <cellStyle name="Calculation 2 3 2 4 15" xfId="17953"/>
    <cellStyle name="Calculation 2 3 2 4 16" xfId="17954"/>
    <cellStyle name="Calculation 2 3 2 4 17" xfId="17955"/>
    <cellStyle name="Calculation 2 3 2 4 18" xfId="17956"/>
    <cellStyle name="Calculation 2 3 2 4 19" xfId="17957"/>
    <cellStyle name="Calculation 2 3 2 4 2" xfId="17958"/>
    <cellStyle name="Calculation 2 3 2 4 2 2" xfId="17959"/>
    <cellStyle name="Calculation 2 3 2 4 2 3" xfId="17960"/>
    <cellStyle name="Calculation 2 3 2 4 2 4" xfId="17961"/>
    <cellStyle name="Calculation 2 3 2 4 2 5" xfId="17962"/>
    <cellStyle name="Calculation 2 3 2 4 2 6" xfId="17963"/>
    <cellStyle name="Calculation 2 3 2 4 2 7" xfId="17964"/>
    <cellStyle name="Calculation 2 3 2 4 2 8" xfId="17965"/>
    <cellStyle name="Calculation 2 3 2 4 2 9" xfId="17966"/>
    <cellStyle name="Calculation 2 3 2 4 3" xfId="17967"/>
    <cellStyle name="Calculation 2 3 2 4 4" xfId="17968"/>
    <cellStyle name="Calculation 2 3 2 4 5" xfId="17969"/>
    <cellStyle name="Calculation 2 3 2 4 6" xfId="17970"/>
    <cellStyle name="Calculation 2 3 2 4 7" xfId="17971"/>
    <cellStyle name="Calculation 2 3 2 4 8" xfId="17972"/>
    <cellStyle name="Calculation 2 3 2 4 9" xfId="17973"/>
    <cellStyle name="Calculation 2 3 2 5" xfId="17974"/>
    <cellStyle name="Calculation 2 3 3" xfId="17975"/>
    <cellStyle name="Calculation 2 3 3 2" xfId="17976"/>
    <cellStyle name="Calculation 2 3 3 2 10" xfId="17977"/>
    <cellStyle name="Calculation 2 3 3 2 11" xfId="17978"/>
    <cellStyle name="Calculation 2 3 3 2 12" xfId="17979"/>
    <cellStyle name="Calculation 2 3 3 2 13" xfId="17980"/>
    <cellStyle name="Calculation 2 3 3 2 14" xfId="17981"/>
    <cellStyle name="Calculation 2 3 3 2 15" xfId="17982"/>
    <cellStyle name="Calculation 2 3 3 2 16" xfId="17983"/>
    <cellStyle name="Calculation 2 3 3 2 17" xfId="17984"/>
    <cellStyle name="Calculation 2 3 3 2 18" xfId="17985"/>
    <cellStyle name="Calculation 2 3 3 2 19" xfId="17986"/>
    <cellStyle name="Calculation 2 3 3 2 2" xfId="17987"/>
    <cellStyle name="Calculation 2 3 3 2 2 2" xfId="17988"/>
    <cellStyle name="Calculation 2 3 3 2 2 3" xfId="17989"/>
    <cellStyle name="Calculation 2 3 3 2 2 4" xfId="17990"/>
    <cellStyle name="Calculation 2 3 3 2 2 5" xfId="17991"/>
    <cellStyle name="Calculation 2 3 3 2 2 6" xfId="17992"/>
    <cellStyle name="Calculation 2 3 3 2 2 7" xfId="17993"/>
    <cellStyle name="Calculation 2 3 3 2 2 8" xfId="17994"/>
    <cellStyle name="Calculation 2 3 3 2 2 9" xfId="17995"/>
    <cellStyle name="Calculation 2 3 3 2 3" xfId="17996"/>
    <cellStyle name="Calculation 2 3 3 2 4" xfId="17997"/>
    <cellStyle name="Calculation 2 3 3 2 5" xfId="17998"/>
    <cellStyle name="Calculation 2 3 3 2 6" xfId="17999"/>
    <cellStyle name="Calculation 2 3 3 2 7" xfId="18000"/>
    <cellStyle name="Calculation 2 3 3 2 8" xfId="18001"/>
    <cellStyle name="Calculation 2 3 3 2 9" xfId="18002"/>
    <cellStyle name="Calculation 2 3 3 3" xfId="18003"/>
    <cellStyle name="Calculation 2 3 3 3 10" xfId="18004"/>
    <cellStyle name="Calculation 2 3 3 3 11" xfId="18005"/>
    <cellStyle name="Calculation 2 3 3 3 12" xfId="18006"/>
    <cellStyle name="Calculation 2 3 3 3 13" xfId="18007"/>
    <cellStyle name="Calculation 2 3 3 3 14" xfId="18008"/>
    <cellStyle name="Calculation 2 3 3 3 15" xfId="18009"/>
    <cellStyle name="Calculation 2 3 3 3 16" xfId="18010"/>
    <cellStyle name="Calculation 2 3 3 3 17" xfId="18011"/>
    <cellStyle name="Calculation 2 3 3 3 18" xfId="18012"/>
    <cellStyle name="Calculation 2 3 3 3 2" xfId="18013"/>
    <cellStyle name="Calculation 2 3 3 3 2 2" xfId="18014"/>
    <cellStyle name="Calculation 2 3 3 3 2 3" xfId="18015"/>
    <cellStyle name="Calculation 2 3 3 3 2 4" xfId="18016"/>
    <cellStyle name="Calculation 2 3 3 3 2 5" xfId="18017"/>
    <cellStyle name="Calculation 2 3 3 3 2 6" xfId="18018"/>
    <cellStyle name="Calculation 2 3 3 3 2 7" xfId="18019"/>
    <cellStyle name="Calculation 2 3 3 3 2 8" xfId="18020"/>
    <cellStyle name="Calculation 2 3 3 3 2 9" xfId="18021"/>
    <cellStyle name="Calculation 2 3 3 3 3" xfId="18022"/>
    <cellStyle name="Calculation 2 3 3 3 4" xfId="18023"/>
    <cellStyle name="Calculation 2 3 3 3 5" xfId="18024"/>
    <cellStyle name="Calculation 2 3 3 3 6" xfId="18025"/>
    <cellStyle name="Calculation 2 3 3 3 7" xfId="18026"/>
    <cellStyle name="Calculation 2 3 3 3 8" xfId="18027"/>
    <cellStyle name="Calculation 2 3 3 3 9" xfId="18028"/>
    <cellStyle name="Calculation 2 3 3 4" xfId="18029"/>
    <cellStyle name="Calculation 2 3 3 4 10" xfId="18030"/>
    <cellStyle name="Calculation 2 3 3 4 11" xfId="18031"/>
    <cellStyle name="Calculation 2 3 3 4 12" xfId="18032"/>
    <cellStyle name="Calculation 2 3 3 4 13" xfId="18033"/>
    <cellStyle name="Calculation 2 3 3 4 14" xfId="18034"/>
    <cellStyle name="Calculation 2 3 3 4 15" xfId="18035"/>
    <cellStyle name="Calculation 2 3 3 4 16" xfId="18036"/>
    <cellStyle name="Calculation 2 3 3 4 17" xfId="18037"/>
    <cellStyle name="Calculation 2 3 3 4 18" xfId="18038"/>
    <cellStyle name="Calculation 2 3 3 4 19" xfId="18039"/>
    <cellStyle name="Calculation 2 3 3 4 2" xfId="18040"/>
    <cellStyle name="Calculation 2 3 3 4 2 2" xfId="18041"/>
    <cellStyle name="Calculation 2 3 3 4 2 3" xfId="18042"/>
    <cellStyle name="Calculation 2 3 3 4 2 4" xfId="18043"/>
    <cellStyle name="Calculation 2 3 3 4 2 5" xfId="18044"/>
    <cellStyle name="Calculation 2 3 3 4 2 6" xfId="18045"/>
    <cellStyle name="Calculation 2 3 3 4 2 7" xfId="18046"/>
    <cellStyle name="Calculation 2 3 3 4 2 8" xfId="18047"/>
    <cellStyle name="Calculation 2 3 3 4 2 9" xfId="18048"/>
    <cellStyle name="Calculation 2 3 3 4 3" xfId="18049"/>
    <cellStyle name="Calculation 2 3 3 4 4" xfId="18050"/>
    <cellStyle name="Calculation 2 3 3 4 5" xfId="18051"/>
    <cellStyle name="Calculation 2 3 3 4 6" xfId="18052"/>
    <cellStyle name="Calculation 2 3 3 4 7" xfId="18053"/>
    <cellStyle name="Calculation 2 3 3 4 8" xfId="18054"/>
    <cellStyle name="Calculation 2 3 3 4 9" xfId="18055"/>
    <cellStyle name="Calculation 2 3 4" xfId="18056"/>
    <cellStyle name="Calculation 2 3 4 10" xfId="18057"/>
    <cellStyle name="Calculation 2 3 4 11" xfId="18058"/>
    <cellStyle name="Calculation 2 3 4 12" xfId="18059"/>
    <cellStyle name="Calculation 2 3 4 13" xfId="18060"/>
    <cellStyle name="Calculation 2 3 4 14" xfId="18061"/>
    <cellStyle name="Calculation 2 3 4 15" xfId="18062"/>
    <cellStyle name="Calculation 2 3 4 16" xfId="18063"/>
    <cellStyle name="Calculation 2 3 4 17" xfId="18064"/>
    <cellStyle name="Calculation 2 3 4 18" xfId="18065"/>
    <cellStyle name="Calculation 2 3 4 19" xfId="18066"/>
    <cellStyle name="Calculation 2 3 4 2" xfId="18067"/>
    <cellStyle name="Calculation 2 3 4 2 2" xfId="18068"/>
    <cellStyle name="Calculation 2 3 4 2 3" xfId="18069"/>
    <cellStyle name="Calculation 2 3 4 2 4" xfId="18070"/>
    <cellStyle name="Calculation 2 3 4 2 5" xfId="18071"/>
    <cellStyle name="Calculation 2 3 4 2 6" xfId="18072"/>
    <cellStyle name="Calculation 2 3 4 2 7" xfId="18073"/>
    <cellStyle name="Calculation 2 3 4 2 8" xfId="18074"/>
    <cellStyle name="Calculation 2 3 4 2 9" xfId="18075"/>
    <cellStyle name="Calculation 2 3 4 3" xfId="18076"/>
    <cellStyle name="Calculation 2 3 4 4" xfId="18077"/>
    <cellStyle name="Calculation 2 3 4 5" xfId="18078"/>
    <cellStyle name="Calculation 2 3 4 6" xfId="18079"/>
    <cellStyle name="Calculation 2 3 4 7" xfId="18080"/>
    <cellStyle name="Calculation 2 3 4 8" xfId="18081"/>
    <cellStyle name="Calculation 2 3 4 9" xfId="18082"/>
    <cellStyle name="Calculation 2 3 5" xfId="18083"/>
    <cellStyle name="Calculation 2 3 5 10" xfId="18084"/>
    <cellStyle name="Calculation 2 3 5 11" xfId="18085"/>
    <cellStyle name="Calculation 2 3 5 12" xfId="18086"/>
    <cellStyle name="Calculation 2 3 5 13" xfId="18087"/>
    <cellStyle name="Calculation 2 3 5 14" xfId="18088"/>
    <cellStyle name="Calculation 2 3 5 15" xfId="18089"/>
    <cellStyle name="Calculation 2 3 5 16" xfId="18090"/>
    <cellStyle name="Calculation 2 3 5 17" xfId="18091"/>
    <cellStyle name="Calculation 2 3 5 18" xfId="18092"/>
    <cellStyle name="Calculation 2 3 5 2" xfId="18093"/>
    <cellStyle name="Calculation 2 3 5 2 2" xfId="18094"/>
    <cellStyle name="Calculation 2 3 5 2 3" xfId="18095"/>
    <cellStyle name="Calculation 2 3 5 2 4" xfId="18096"/>
    <cellStyle name="Calculation 2 3 5 2 5" xfId="18097"/>
    <cellStyle name="Calculation 2 3 5 2 6" xfId="18098"/>
    <cellStyle name="Calculation 2 3 5 2 7" xfId="18099"/>
    <cellStyle name="Calculation 2 3 5 2 8" xfId="18100"/>
    <cellStyle name="Calculation 2 3 5 2 9" xfId="18101"/>
    <cellStyle name="Calculation 2 3 5 3" xfId="18102"/>
    <cellStyle name="Calculation 2 3 5 4" xfId="18103"/>
    <cellStyle name="Calculation 2 3 5 5" xfId="18104"/>
    <cellStyle name="Calculation 2 3 5 6" xfId="18105"/>
    <cellStyle name="Calculation 2 3 5 7" xfId="18106"/>
    <cellStyle name="Calculation 2 3 5 8" xfId="18107"/>
    <cellStyle name="Calculation 2 3 5 9" xfId="18108"/>
    <cellStyle name="Calculation 2 3 6" xfId="18109"/>
    <cellStyle name="Calculation 2 3 6 10" xfId="18110"/>
    <cellStyle name="Calculation 2 3 6 11" xfId="18111"/>
    <cellStyle name="Calculation 2 3 6 12" xfId="18112"/>
    <cellStyle name="Calculation 2 3 6 13" xfId="18113"/>
    <cellStyle name="Calculation 2 3 6 14" xfId="18114"/>
    <cellStyle name="Calculation 2 3 6 15" xfId="18115"/>
    <cellStyle name="Calculation 2 3 6 16" xfId="18116"/>
    <cellStyle name="Calculation 2 3 6 17" xfId="18117"/>
    <cellStyle name="Calculation 2 3 6 18" xfId="18118"/>
    <cellStyle name="Calculation 2 3 6 19" xfId="18119"/>
    <cellStyle name="Calculation 2 3 6 2" xfId="18120"/>
    <cellStyle name="Calculation 2 3 6 2 2" xfId="18121"/>
    <cellStyle name="Calculation 2 3 6 2 3" xfId="18122"/>
    <cellStyle name="Calculation 2 3 6 2 4" xfId="18123"/>
    <cellStyle name="Calculation 2 3 6 2 5" xfId="18124"/>
    <cellStyle name="Calculation 2 3 6 2 6" xfId="18125"/>
    <cellStyle name="Calculation 2 3 6 2 7" xfId="18126"/>
    <cellStyle name="Calculation 2 3 6 2 8" xfId="18127"/>
    <cellStyle name="Calculation 2 3 6 2 9" xfId="18128"/>
    <cellStyle name="Calculation 2 3 6 3" xfId="18129"/>
    <cellStyle name="Calculation 2 3 6 4" xfId="18130"/>
    <cellStyle name="Calculation 2 3 6 5" xfId="18131"/>
    <cellStyle name="Calculation 2 3 6 6" xfId="18132"/>
    <cellStyle name="Calculation 2 3 6 7" xfId="18133"/>
    <cellStyle name="Calculation 2 3 6 8" xfId="18134"/>
    <cellStyle name="Calculation 2 3 6 9" xfId="18135"/>
    <cellStyle name="Calculation 2 4" xfId="18136"/>
    <cellStyle name="Calculation 2 4 2" xfId="18137"/>
    <cellStyle name="Calculation 2 4 2 2" xfId="18138"/>
    <cellStyle name="Calculation 2 4 2 2 10" xfId="18139"/>
    <cellStyle name="Calculation 2 4 2 2 11" xfId="18140"/>
    <cellStyle name="Calculation 2 4 2 2 12" xfId="18141"/>
    <cellStyle name="Calculation 2 4 2 2 13" xfId="18142"/>
    <cellStyle name="Calculation 2 4 2 2 14" xfId="18143"/>
    <cellStyle name="Calculation 2 4 2 2 15" xfId="18144"/>
    <cellStyle name="Calculation 2 4 2 2 16" xfId="18145"/>
    <cellStyle name="Calculation 2 4 2 2 17" xfId="18146"/>
    <cellStyle name="Calculation 2 4 2 2 18" xfId="18147"/>
    <cellStyle name="Calculation 2 4 2 2 19" xfId="18148"/>
    <cellStyle name="Calculation 2 4 2 2 2" xfId="18149"/>
    <cellStyle name="Calculation 2 4 2 2 2 2" xfId="18150"/>
    <cellStyle name="Calculation 2 4 2 2 2 3" xfId="18151"/>
    <cellStyle name="Calculation 2 4 2 2 2 4" xfId="18152"/>
    <cellStyle name="Calculation 2 4 2 2 2 5" xfId="18153"/>
    <cellStyle name="Calculation 2 4 2 2 2 6" xfId="18154"/>
    <cellStyle name="Calculation 2 4 2 2 2 7" xfId="18155"/>
    <cellStyle name="Calculation 2 4 2 2 2 8" xfId="18156"/>
    <cellStyle name="Calculation 2 4 2 2 2 9" xfId="18157"/>
    <cellStyle name="Calculation 2 4 2 2 3" xfId="18158"/>
    <cellStyle name="Calculation 2 4 2 2 4" xfId="18159"/>
    <cellStyle name="Calculation 2 4 2 2 5" xfId="18160"/>
    <cellStyle name="Calculation 2 4 2 2 6" xfId="18161"/>
    <cellStyle name="Calculation 2 4 2 2 7" xfId="18162"/>
    <cellStyle name="Calculation 2 4 2 2 8" xfId="18163"/>
    <cellStyle name="Calculation 2 4 2 2 9" xfId="18164"/>
    <cellStyle name="Calculation 2 4 2 3" xfId="18165"/>
    <cellStyle name="Calculation 2 4 2 3 10" xfId="18166"/>
    <cellStyle name="Calculation 2 4 2 3 11" xfId="18167"/>
    <cellStyle name="Calculation 2 4 2 3 12" xfId="18168"/>
    <cellStyle name="Calculation 2 4 2 3 13" xfId="18169"/>
    <cellStyle name="Calculation 2 4 2 3 14" xfId="18170"/>
    <cellStyle name="Calculation 2 4 2 3 15" xfId="18171"/>
    <cellStyle name="Calculation 2 4 2 3 16" xfId="18172"/>
    <cellStyle name="Calculation 2 4 2 3 17" xfId="18173"/>
    <cellStyle name="Calculation 2 4 2 3 18" xfId="18174"/>
    <cellStyle name="Calculation 2 4 2 3 2" xfId="18175"/>
    <cellStyle name="Calculation 2 4 2 3 2 2" xfId="18176"/>
    <cellStyle name="Calculation 2 4 2 3 2 3" xfId="18177"/>
    <cellStyle name="Calculation 2 4 2 3 2 4" xfId="18178"/>
    <cellStyle name="Calculation 2 4 2 3 2 5" xfId="18179"/>
    <cellStyle name="Calculation 2 4 2 3 2 6" xfId="18180"/>
    <cellStyle name="Calculation 2 4 2 3 2 7" xfId="18181"/>
    <cellStyle name="Calculation 2 4 2 3 2 8" xfId="18182"/>
    <cellStyle name="Calculation 2 4 2 3 2 9" xfId="18183"/>
    <cellStyle name="Calculation 2 4 2 3 3" xfId="18184"/>
    <cellStyle name="Calculation 2 4 2 3 4" xfId="18185"/>
    <cellStyle name="Calculation 2 4 2 3 5" xfId="18186"/>
    <cellStyle name="Calculation 2 4 2 3 6" xfId="18187"/>
    <cellStyle name="Calculation 2 4 2 3 7" xfId="18188"/>
    <cellStyle name="Calculation 2 4 2 3 8" xfId="18189"/>
    <cellStyle name="Calculation 2 4 2 3 9" xfId="18190"/>
    <cellStyle name="Calculation 2 4 2 4" xfId="18191"/>
    <cellStyle name="Calculation 2 4 2 4 10" xfId="18192"/>
    <cellStyle name="Calculation 2 4 2 4 11" xfId="18193"/>
    <cellStyle name="Calculation 2 4 2 4 12" xfId="18194"/>
    <cellStyle name="Calculation 2 4 2 4 13" xfId="18195"/>
    <cellStyle name="Calculation 2 4 2 4 14" xfId="18196"/>
    <cellStyle name="Calculation 2 4 2 4 15" xfId="18197"/>
    <cellStyle name="Calculation 2 4 2 4 16" xfId="18198"/>
    <cellStyle name="Calculation 2 4 2 4 17" xfId="18199"/>
    <cellStyle name="Calculation 2 4 2 4 18" xfId="18200"/>
    <cellStyle name="Calculation 2 4 2 4 19" xfId="18201"/>
    <cellStyle name="Calculation 2 4 2 4 2" xfId="18202"/>
    <cellStyle name="Calculation 2 4 2 4 2 2" xfId="18203"/>
    <cellStyle name="Calculation 2 4 2 4 2 3" xfId="18204"/>
    <cellStyle name="Calculation 2 4 2 4 2 4" xfId="18205"/>
    <cellStyle name="Calculation 2 4 2 4 2 5" xfId="18206"/>
    <cellStyle name="Calculation 2 4 2 4 2 6" xfId="18207"/>
    <cellStyle name="Calculation 2 4 2 4 2 7" xfId="18208"/>
    <cellStyle name="Calculation 2 4 2 4 2 8" xfId="18209"/>
    <cellStyle name="Calculation 2 4 2 4 2 9" xfId="18210"/>
    <cellStyle name="Calculation 2 4 2 4 3" xfId="18211"/>
    <cellStyle name="Calculation 2 4 2 4 4" xfId="18212"/>
    <cellStyle name="Calculation 2 4 2 4 5" xfId="18213"/>
    <cellStyle name="Calculation 2 4 2 4 6" xfId="18214"/>
    <cellStyle name="Calculation 2 4 2 4 7" xfId="18215"/>
    <cellStyle name="Calculation 2 4 2 4 8" xfId="18216"/>
    <cellStyle name="Calculation 2 4 2 4 9" xfId="18217"/>
    <cellStyle name="Calculation 2 4 2 5" xfId="18218"/>
    <cellStyle name="Calculation 2 4 3" xfId="18219"/>
    <cellStyle name="Calculation 2 4 3 2" xfId="18220"/>
    <cellStyle name="Calculation 2 4 3 2 10" xfId="18221"/>
    <cellStyle name="Calculation 2 4 3 2 11" xfId="18222"/>
    <cellStyle name="Calculation 2 4 3 2 12" xfId="18223"/>
    <cellStyle name="Calculation 2 4 3 2 13" xfId="18224"/>
    <cellStyle name="Calculation 2 4 3 2 14" xfId="18225"/>
    <cellStyle name="Calculation 2 4 3 2 15" xfId="18226"/>
    <cellStyle name="Calculation 2 4 3 2 16" xfId="18227"/>
    <cellStyle name="Calculation 2 4 3 2 17" xfId="18228"/>
    <cellStyle name="Calculation 2 4 3 2 18" xfId="18229"/>
    <cellStyle name="Calculation 2 4 3 2 19" xfId="18230"/>
    <cellStyle name="Calculation 2 4 3 2 2" xfId="18231"/>
    <cellStyle name="Calculation 2 4 3 2 2 2" xfId="18232"/>
    <cellStyle name="Calculation 2 4 3 2 2 3" xfId="18233"/>
    <cellStyle name="Calculation 2 4 3 2 2 4" xfId="18234"/>
    <cellStyle name="Calculation 2 4 3 2 2 5" xfId="18235"/>
    <cellStyle name="Calculation 2 4 3 2 2 6" xfId="18236"/>
    <cellStyle name="Calculation 2 4 3 2 2 7" xfId="18237"/>
    <cellStyle name="Calculation 2 4 3 2 2 8" xfId="18238"/>
    <cellStyle name="Calculation 2 4 3 2 2 9" xfId="18239"/>
    <cellStyle name="Calculation 2 4 3 2 3" xfId="18240"/>
    <cellStyle name="Calculation 2 4 3 2 4" xfId="18241"/>
    <cellStyle name="Calculation 2 4 3 2 5" xfId="18242"/>
    <cellStyle name="Calculation 2 4 3 2 6" xfId="18243"/>
    <cellStyle name="Calculation 2 4 3 2 7" xfId="18244"/>
    <cellStyle name="Calculation 2 4 3 2 8" xfId="18245"/>
    <cellStyle name="Calculation 2 4 3 2 9" xfId="18246"/>
    <cellStyle name="Calculation 2 4 3 3" xfId="18247"/>
    <cellStyle name="Calculation 2 4 3 3 10" xfId="18248"/>
    <cellStyle name="Calculation 2 4 3 3 11" xfId="18249"/>
    <cellStyle name="Calculation 2 4 3 3 12" xfId="18250"/>
    <cellStyle name="Calculation 2 4 3 3 13" xfId="18251"/>
    <cellStyle name="Calculation 2 4 3 3 14" xfId="18252"/>
    <cellStyle name="Calculation 2 4 3 3 15" xfId="18253"/>
    <cellStyle name="Calculation 2 4 3 3 16" xfId="18254"/>
    <cellStyle name="Calculation 2 4 3 3 17" xfId="18255"/>
    <cellStyle name="Calculation 2 4 3 3 18" xfId="18256"/>
    <cellStyle name="Calculation 2 4 3 3 2" xfId="18257"/>
    <cellStyle name="Calculation 2 4 3 3 2 2" xfId="18258"/>
    <cellStyle name="Calculation 2 4 3 3 2 3" xfId="18259"/>
    <cellStyle name="Calculation 2 4 3 3 2 4" xfId="18260"/>
    <cellStyle name="Calculation 2 4 3 3 2 5" xfId="18261"/>
    <cellStyle name="Calculation 2 4 3 3 2 6" xfId="18262"/>
    <cellStyle name="Calculation 2 4 3 3 2 7" xfId="18263"/>
    <cellStyle name="Calculation 2 4 3 3 2 8" xfId="18264"/>
    <cellStyle name="Calculation 2 4 3 3 2 9" xfId="18265"/>
    <cellStyle name="Calculation 2 4 3 3 3" xfId="18266"/>
    <cellStyle name="Calculation 2 4 3 3 4" xfId="18267"/>
    <cellStyle name="Calculation 2 4 3 3 5" xfId="18268"/>
    <cellStyle name="Calculation 2 4 3 3 6" xfId="18269"/>
    <cellStyle name="Calculation 2 4 3 3 7" xfId="18270"/>
    <cellStyle name="Calculation 2 4 3 3 8" xfId="18271"/>
    <cellStyle name="Calculation 2 4 3 3 9" xfId="18272"/>
    <cellStyle name="Calculation 2 4 3 4" xfId="18273"/>
    <cellStyle name="Calculation 2 4 3 4 10" xfId="18274"/>
    <cellStyle name="Calculation 2 4 3 4 11" xfId="18275"/>
    <cellStyle name="Calculation 2 4 3 4 12" xfId="18276"/>
    <cellStyle name="Calculation 2 4 3 4 13" xfId="18277"/>
    <cellStyle name="Calculation 2 4 3 4 14" xfId="18278"/>
    <cellStyle name="Calculation 2 4 3 4 15" xfId="18279"/>
    <cellStyle name="Calculation 2 4 3 4 16" xfId="18280"/>
    <cellStyle name="Calculation 2 4 3 4 17" xfId="18281"/>
    <cellStyle name="Calculation 2 4 3 4 18" xfId="18282"/>
    <cellStyle name="Calculation 2 4 3 4 19" xfId="18283"/>
    <cellStyle name="Calculation 2 4 3 4 2" xfId="18284"/>
    <cellStyle name="Calculation 2 4 3 4 2 2" xfId="18285"/>
    <cellStyle name="Calculation 2 4 3 4 2 3" xfId="18286"/>
    <cellStyle name="Calculation 2 4 3 4 2 4" xfId="18287"/>
    <cellStyle name="Calculation 2 4 3 4 2 5" xfId="18288"/>
    <cellStyle name="Calculation 2 4 3 4 2 6" xfId="18289"/>
    <cellStyle name="Calculation 2 4 3 4 2 7" xfId="18290"/>
    <cellStyle name="Calculation 2 4 3 4 2 8" xfId="18291"/>
    <cellStyle name="Calculation 2 4 3 4 2 9" xfId="18292"/>
    <cellStyle name="Calculation 2 4 3 4 3" xfId="18293"/>
    <cellStyle name="Calculation 2 4 3 4 4" xfId="18294"/>
    <cellStyle name="Calculation 2 4 3 4 5" xfId="18295"/>
    <cellStyle name="Calculation 2 4 3 4 6" xfId="18296"/>
    <cellStyle name="Calculation 2 4 3 4 7" xfId="18297"/>
    <cellStyle name="Calculation 2 4 3 4 8" xfId="18298"/>
    <cellStyle name="Calculation 2 4 3 4 9" xfId="18299"/>
    <cellStyle name="Calculation 2 4 4" xfId="18300"/>
    <cellStyle name="Calculation 2 4 4 10" xfId="18301"/>
    <cellStyle name="Calculation 2 4 4 11" xfId="18302"/>
    <cellStyle name="Calculation 2 4 4 12" xfId="18303"/>
    <cellStyle name="Calculation 2 4 4 13" xfId="18304"/>
    <cellStyle name="Calculation 2 4 4 14" xfId="18305"/>
    <cellStyle name="Calculation 2 4 4 15" xfId="18306"/>
    <cellStyle name="Calculation 2 4 4 16" xfId="18307"/>
    <cellStyle name="Calculation 2 4 4 17" xfId="18308"/>
    <cellStyle name="Calculation 2 4 4 18" xfId="18309"/>
    <cellStyle name="Calculation 2 4 4 19" xfId="18310"/>
    <cellStyle name="Calculation 2 4 4 2" xfId="18311"/>
    <cellStyle name="Calculation 2 4 4 2 2" xfId="18312"/>
    <cellStyle name="Calculation 2 4 4 2 3" xfId="18313"/>
    <cellStyle name="Calculation 2 4 4 2 4" xfId="18314"/>
    <cellStyle name="Calculation 2 4 4 2 5" xfId="18315"/>
    <cellStyle name="Calculation 2 4 4 2 6" xfId="18316"/>
    <cellStyle name="Calculation 2 4 4 2 7" xfId="18317"/>
    <cellStyle name="Calculation 2 4 4 2 8" xfId="18318"/>
    <cellStyle name="Calculation 2 4 4 2 9" xfId="18319"/>
    <cellStyle name="Calculation 2 4 4 3" xfId="18320"/>
    <cellStyle name="Calculation 2 4 4 4" xfId="18321"/>
    <cellStyle name="Calculation 2 4 4 5" xfId="18322"/>
    <cellStyle name="Calculation 2 4 4 6" xfId="18323"/>
    <cellStyle name="Calculation 2 4 4 7" xfId="18324"/>
    <cellStyle name="Calculation 2 4 4 8" xfId="18325"/>
    <cellStyle name="Calculation 2 4 4 9" xfId="18326"/>
    <cellStyle name="Calculation 2 4 5" xfId="18327"/>
    <cellStyle name="Calculation 2 4 5 10" xfId="18328"/>
    <cellStyle name="Calculation 2 4 5 11" xfId="18329"/>
    <cellStyle name="Calculation 2 4 5 12" xfId="18330"/>
    <cellStyle name="Calculation 2 4 5 13" xfId="18331"/>
    <cellStyle name="Calculation 2 4 5 14" xfId="18332"/>
    <cellStyle name="Calculation 2 4 5 15" xfId="18333"/>
    <cellStyle name="Calculation 2 4 5 16" xfId="18334"/>
    <cellStyle name="Calculation 2 4 5 17" xfId="18335"/>
    <cellStyle name="Calculation 2 4 5 18" xfId="18336"/>
    <cellStyle name="Calculation 2 4 5 2" xfId="18337"/>
    <cellStyle name="Calculation 2 4 5 2 2" xfId="18338"/>
    <cellStyle name="Calculation 2 4 5 2 3" xfId="18339"/>
    <cellStyle name="Calculation 2 4 5 2 4" xfId="18340"/>
    <cellStyle name="Calculation 2 4 5 2 5" xfId="18341"/>
    <cellStyle name="Calculation 2 4 5 2 6" xfId="18342"/>
    <cellStyle name="Calculation 2 4 5 2 7" xfId="18343"/>
    <cellStyle name="Calculation 2 4 5 2 8" xfId="18344"/>
    <cellStyle name="Calculation 2 4 5 2 9" xfId="18345"/>
    <cellStyle name="Calculation 2 4 5 3" xfId="18346"/>
    <cellStyle name="Calculation 2 4 5 4" xfId="18347"/>
    <cellStyle name="Calculation 2 4 5 5" xfId="18348"/>
    <cellStyle name="Calculation 2 4 5 6" xfId="18349"/>
    <cellStyle name="Calculation 2 4 5 7" xfId="18350"/>
    <cellStyle name="Calculation 2 4 5 8" xfId="18351"/>
    <cellStyle name="Calculation 2 4 5 9" xfId="18352"/>
    <cellStyle name="Calculation 2 4 6" xfId="18353"/>
    <cellStyle name="Calculation 2 4 6 10" xfId="18354"/>
    <cellStyle name="Calculation 2 4 6 11" xfId="18355"/>
    <cellStyle name="Calculation 2 4 6 12" xfId="18356"/>
    <cellStyle name="Calculation 2 4 6 13" xfId="18357"/>
    <cellStyle name="Calculation 2 4 6 14" xfId="18358"/>
    <cellStyle name="Calculation 2 4 6 15" xfId="18359"/>
    <cellStyle name="Calculation 2 4 6 16" xfId="18360"/>
    <cellStyle name="Calculation 2 4 6 17" xfId="18361"/>
    <cellStyle name="Calculation 2 4 6 18" xfId="18362"/>
    <cellStyle name="Calculation 2 4 6 19" xfId="18363"/>
    <cellStyle name="Calculation 2 4 6 2" xfId="18364"/>
    <cellStyle name="Calculation 2 4 6 2 2" xfId="18365"/>
    <cellStyle name="Calculation 2 4 6 2 3" xfId="18366"/>
    <cellStyle name="Calculation 2 4 6 2 4" xfId="18367"/>
    <cellStyle name="Calculation 2 4 6 2 5" xfId="18368"/>
    <cellStyle name="Calculation 2 4 6 2 6" xfId="18369"/>
    <cellStyle name="Calculation 2 4 6 2 7" xfId="18370"/>
    <cellStyle name="Calculation 2 4 6 2 8" xfId="18371"/>
    <cellStyle name="Calculation 2 4 6 2 9" xfId="18372"/>
    <cellStyle name="Calculation 2 4 6 3" xfId="18373"/>
    <cellStyle name="Calculation 2 4 6 4" xfId="18374"/>
    <cellStyle name="Calculation 2 4 6 5" xfId="18375"/>
    <cellStyle name="Calculation 2 4 6 6" xfId="18376"/>
    <cellStyle name="Calculation 2 4 6 7" xfId="18377"/>
    <cellStyle name="Calculation 2 4 6 8" xfId="18378"/>
    <cellStyle name="Calculation 2 4 6 9" xfId="18379"/>
    <cellStyle name="Calculation 2 5" xfId="18380"/>
    <cellStyle name="Calculation 2 5 2" xfId="18381"/>
    <cellStyle name="Calculation 2 5 2 2" xfId="18382"/>
    <cellStyle name="Calculation 2 5 2 2 10" xfId="18383"/>
    <cellStyle name="Calculation 2 5 2 2 11" xfId="18384"/>
    <cellStyle name="Calculation 2 5 2 2 12" xfId="18385"/>
    <cellStyle name="Calculation 2 5 2 2 13" xfId="18386"/>
    <cellStyle name="Calculation 2 5 2 2 14" xfId="18387"/>
    <cellStyle name="Calculation 2 5 2 2 15" xfId="18388"/>
    <cellStyle name="Calculation 2 5 2 2 16" xfId="18389"/>
    <cellStyle name="Calculation 2 5 2 2 17" xfId="18390"/>
    <cellStyle name="Calculation 2 5 2 2 18" xfId="18391"/>
    <cellStyle name="Calculation 2 5 2 2 19" xfId="18392"/>
    <cellStyle name="Calculation 2 5 2 2 2" xfId="18393"/>
    <cellStyle name="Calculation 2 5 2 2 2 2" xfId="18394"/>
    <cellStyle name="Calculation 2 5 2 2 2 3" xfId="18395"/>
    <cellStyle name="Calculation 2 5 2 2 2 4" xfId="18396"/>
    <cellStyle name="Calculation 2 5 2 2 2 5" xfId="18397"/>
    <cellStyle name="Calculation 2 5 2 2 2 6" xfId="18398"/>
    <cellStyle name="Calculation 2 5 2 2 2 7" xfId="18399"/>
    <cellStyle name="Calculation 2 5 2 2 2 8" xfId="18400"/>
    <cellStyle name="Calculation 2 5 2 2 2 9" xfId="18401"/>
    <cellStyle name="Calculation 2 5 2 2 3" xfId="18402"/>
    <cellStyle name="Calculation 2 5 2 2 4" xfId="18403"/>
    <cellStyle name="Calculation 2 5 2 2 5" xfId="18404"/>
    <cellStyle name="Calculation 2 5 2 2 6" xfId="18405"/>
    <cellStyle name="Calculation 2 5 2 2 7" xfId="18406"/>
    <cellStyle name="Calculation 2 5 2 2 8" xfId="18407"/>
    <cellStyle name="Calculation 2 5 2 2 9" xfId="18408"/>
    <cellStyle name="Calculation 2 5 2 3" xfId="18409"/>
    <cellStyle name="Calculation 2 5 2 3 10" xfId="18410"/>
    <cellStyle name="Calculation 2 5 2 3 11" xfId="18411"/>
    <cellStyle name="Calculation 2 5 2 3 12" xfId="18412"/>
    <cellStyle name="Calculation 2 5 2 3 13" xfId="18413"/>
    <cellStyle name="Calculation 2 5 2 3 14" xfId="18414"/>
    <cellStyle name="Calculation 2 5 2 3 15" xfId="18415"/>
    <cellStyle name="Calculation 2 5 2 3 16" xfId="18416"/>
    <cellStyle name="Calculation 2 5 2 3 17" xfId="18417"/>
    <cellStyle name="Calculation 2 5 2 3 18" xfId="18418"/>
    <cellStyle name="Calculation 2 5 2 3 2" xfId="18419"/>
    <cellStyle name="Calculation 2 5 2 3 2 2" xfId="18420"/>
    <cellStyle name="Calculation 2 5 2 3 2 3" xfId="18421"/>
    <cellStyle name="Calculation 2 5 2 3 2 4" xfId="18422"/>
    <cellStyle name="Calculation 2 5 2 3 2 5" xfId="18423"/>
    <cellStyle name="Calculation 2 5 2 3 2 6" xfId="18424"/>
    <cellStyle name="Calculation 2 5 2 3 2 7" xfId="18425"/>
    <cellStyle name="Calculation 2 5 2 3 2 8" xfId="18426"/>
    <cellStyle name="Calculation 2 5 2 3 2 9" xfId="18427"/>
    <cellStyle name="Calculation 2 5 2 3 3" xfId="18428"/>
    <cellStyle name="Calculation 2 5 2 3 4" xfId="18429"/>
    <cellStyle name="Calculation 2 5 2 3 5" xfId="18430"/>
    <cellStyle name="Calculation 2 5 2 3 6" xfId="18431"/>
    <cellStyle name="Calculation 2 5 2 3 7" xfId="18432"/>
    <cellStyle name="Calculation 2 5 2 3 8" xfId="18433"/>
    <cellStyle name="Calculation 2 5 2 3 9" xfId="18434"/>
    <cellStyle name="Calculation 2 5 2 4" xfId="18435"/>
    <cellStyle name="Calculation 2 5 2 4 10" xfId="18436"/>
    <cellStyle name="Calculation 2 5 2 4 11" xfId="18437"/>
    <cellStyle name="Calculation 2 5 2 4 12" xfId="18438"/>
    <cellStyle name="Calculation 2 5 2 4 13" xfId="18439"/>
    <cellStyle name="Calculation 2 5 2 4 14" xfId="18440"/>
    <cellStyle name="Calculation 2 5 2 4 15" xfId="18441"/>
    <cellStyle name="Calculation 2 5 2 4 16" xfId="18442"/>
    <cellStyle name="Calculation 2 5 2 4 17" xfId="18443"/>
    <cellStyle name="Calculation 2 5 2 4 18" xfId="18444"/>
    <cellStyle name="Calculation 2 5 2 4 19" xfId="18445"/>
    <cellStyle name="Calculation 2 5 2 4 2" xfId="18446"/>
    <cellStyle name="Calculation 2 5 2 4 2 2" xfId="18447"/>
    <cellStyle name="Calculation 2 5 2 4 2 3" xfId="18448"/>
    <cellStyle name="Calculation 2 5 2 4 2 4" xfId="18449"/>
    <cellStyle name="Calculation 2 5 2 4 2 5" xfId="18450"/>
    <cellStyle name="Calculation 2 5 2 4 2 6" xfId="18451"/>
    <cellStyle name="Calculation 2 5 2 4 2 7" xfId="18452"/>
    <cellStyle name="Calculation 2 5 2 4 2 8" xfId="18453"/>
    <cellStyle name="Calculation 2 5 2 4 2 9" xfId="18454"/>
    <cellStyle name="Calculation 2 5 2 4 3" xfId="18455"/>
    <cellStyle name="Calculation 2 5 2 4 4" xfId="18456"/>
    <cellStyle name="Calculation 2 5 2 4 5" xfId="18457"/>
    <cellStyle name="Calculation 2 5 2 4 6" xfId="18458"/>
    <cellStyle name="Calculation 2 5 2 4 7" xfId="18459"/>
    <cellStyle name="Calculation 2 5 2 4 8" xfId="18460"/>
    <cellStyle name="Calculation 2 5 2 4 9" xfId="18461"/>
    <cellStyle name="Calculation 2 5 2 5" xfId="18462"/>
    <cellStyle name="Calculation 2 5 3" xfId="18463"/>
    <cellStyle name="Calculation 2 5 3 2" xfId="18464"/>
    <cellStyle name="Calculation 2 5 3 2 10" xfId="18465"/>
    <cellStyle name="Calculation 2 5 3 2 11" xfId="18466"/>
    <cellStyle name="Calculation 2 5 3 2 12" xfId="18467"/>
    <cellStyle name="Calculation 2 5 3 2 13" xfId="18468"/>
    <cellStyle name="Calculation 2 5 3 2 14" xfId="18469"/>
    <cellStyle name="Calculation 2 5 3 2 15" xfId="18470"/>
    <cellStyle name="Calculation 2 5 3 2 16" xfId="18471"/>
    <cellStyle name="Calculation 2 5 3 2 17" xfId="18472"/>
    <cellStyle name="Calculation 2 5 3 2 18" xfId="18473"/>
    <cellStyle name="Calculation 2 5 3 2 19" xfId="18474"/>
    <cellStyle name="Calculation 2 5 3 2 2" xfId="18475"/>
    <cellStyle name="Calculation 2 5 3 2 2 2" xfId="18476"/>
    <cellStyle name="Calculation 2 5 3 2 2 3" xfId="18477"/>
    <cellStyle name="Calculation 2 5 3 2 2 4" xfId="18478"/>
    <cellStyle name="Calculation 2 5 3 2 2 5" xfId="18479"/>
    <cellStyle name="Calculation 2 5 3 2 2 6" xfId="18480"/>
    <cellStyle name="Calculation 2 5 3 2 2 7" xfId="18481"/>
    <cellStyle name="Calculation 2 5 3 2 2 8" xfId="18482"/>
    <cellStyle name="Calculation 2 5 3 2 2 9" xfId="18483"/>
    <cellStyle name="Calculation 2 5 3 2 3" xfId="18484"/>
    <cellStyle name="Calculation 2 5 3 2 4" xfId="18485"/>
    <cellStyle name="Calculation 2 5 3 2 5" xfId="18486"/>
    <cellStyle name="Calculation 2 5 3 2 6" xfId="18487"/>
    <cellStyle name="Calculation 2 5 3 2 7" xfId="18488"/>
    <cellStyle name="Calculation 2 5 3 2 8" xfId="18489"/>
    <cellStyle name="Calculation 2 5 3 2 9" xfId="18490"/>
    <cellStyle name="Calculation 2 5 3 3" xfId="18491"/>
    <cellStyle name="Calculation 2 5 3 3 10" xfId="18492"/>
    <cellStyle name="Calculation 2 5 3 3 11" xfId="18493"/>
    <cellStyle name="Calculation 2 5 3 3 12" xfId="18494"/>
    <cellStyle name="Calculation 2 5 3 3 13" xfId="18495"/>
    <cellStyle name="Calculation 2 5 3 3 14" xfId="18496"/>
    <cellStyle name="Calculation 2 5 3 3 15" xfId="18497"/>
    <cellStyle name="Calculation 2 5 3 3 16" xfId="18498"/>
    <cellStyle name="Calculation 2 5 3 3 17" xfId="18499"/>
    <cellStyle name="Calculation 2 5 3 3 18" xfId="18500"/>
    <cellStyle name="Calculation 2 5 3 3 2" xfId="18501"/>
    <cellStyle name="Calculation 2 5 3 3 2 2" xfId="18502"/>
    <cellStyle name="Calculation 2 5 3 3 2 3" xfId="18503"/>
    <cellStyle name="Calculation 2 5 3 3 2 4" xfId="18504"/>
    <cellStyle name="Calculation 2 5 3 3 2 5" xfId="18505"/>
    <cellStyle name="Calculation 2 5 3 3 2 6" xfId="18506"/>
    <cellStyle name="Calculation 2 5 3 3 2 7" xfId="18507"/>
    <cellStyle name="Calculation 2 5 3 3 2 8" xfId="18508"/>
    <cellStyle name="Calculation 2 5 3 3 2 9" xfId="18509"/>
    <cellStyle name="Calculation 2 5 3 3 3" xfId="18510"/>
    <cellStyle name="Calculation 2 5 3 3 4" xfId="18511"/>
    <cellStyle name="Calculation 2 5 3 3 5" xfId="18512"/>
    <cellStyle name="Calculation 2 5 3 3 6" xfId="18513"/>
    <cellStyle name="Calculation 2 5 3 3 7" xfId="18514"/>
    <cellStyle name="Calculation 2 5 3 3 8" xfId="18515"/>
    <cellStyle name="Calculation 2 5 3 3 9" xfId="18516"/>
    <cellStyle name="Calculation 2 5 3 4" xfId="18517"/>
    <cellStyle name="Calculation 2 5 3 4 10" xfId="18518"/>
    <cellStyle name="Calculation 2 5 3 4 11" xfId="18519"/>
    <cellStyle name="Calculation 2 5 3 4 12" xfId="18520"/>
    <cellStyle name="Calculation 2 5 3 4 13" xfId="18521"/>
    <cellStyle name="Calculation 2 5 3 4 14" xfId="18522"/>
    <cellStyle name="Calculation 2 5 3 4 15" xfId="18523"/>
    <cellStyle name="Calculation 2 5 3 4 16" xfId="18524"/>
    <cellStyle name="Calculation 2 5 3 4 17" xfId="18525"/>
    <cellStyle name="Calculation 2 5 3 4 18" xfId="18526"/>
    <cellStyle name="Calculation 2 5 3 4 19" xfId="18527"/>
    <cellStyle name="Calculation 2 5 3 4 2" xfId="18528"/>
    <cellStyle name="Calculation 2 5 3 4 2 2" xfId="18529"/>
    <cellStyle name="Calculation 2 5 3 4 2 3" xfId="18530"/>
    <cellStyle name="Calculation 2 5 3 4 2 4" xfId="18531"/>
    <cellStyle name="Calculation 2 5 3 4 2 5" xfId="18532"/>
    <cellStyle name="Calculation 2 5 3 4 2 6" xfId="18533"/>
    <cellStyle name="Calculation 2 5 3 4 2 7" xfId="18534"/>
    <cellStyle name="Calculation 2 5 3 4 2 8" xfId="18535"/>
    <cellStyle name="Calculation 2 5 3 4 2 9" xfId="18536"/>
    <cellStyle name="Calculation 2 5 3 4 3" xfId="18537"/>
    <cellStyle name="Calculation 2 5 3 4 4" xfId="18538"/>
    <cellStyle name="Calculation 2 5 3 4 5" xfId="18539"/>
    <cellStyle name="Calculation 2 5 3 4 6" xfId="18540"/>
    <cellStyle name="Calculation 2 5 3 4 7" xfId="18541"/>
    <cellStyle name="Calculation 2 5 3 4 8" xfId="18542"/>
    <cellStyle name="Calculation 2 5 3 4 9" xfId="18543"/>
    <cellStyle name="Calculation 2 5 4" xfId="18544"/>
    <cellStyle name="Calculation 2 5 4 10" xfId="18545"/>
    <cellStyle name="Calculation 2 5 4 11" xfId="18546"/>
    <cellStyle name="Calculation 2 5 4 12" xfId="18547"/>
    <cellStyle name="Calculation 2 5 4 13" xfId="18548"/>
    <cellStyle name="Calculation 2 5 4 14" xfId="18549"/>
    <cellStyle name="Calculation 2 5 4 15" xfId="18550"/>
    <cellStyle name="Calculation 2 5 4 16" xfId="18551"/>
    <cellStyle name="Calculation 2 5 4 17" xfId="18552"/>
    <cellStyle name="Calculation 2 5 4 18" xfId="18553"/>
    <cellStyle name="Calculation 2 5 4 19" xfId="18554"/>
    <cellStyle name="Calculation 2 5 4 2" xfId="18555"/>
    <cellStyle name="Calculation 2 5 4 2 2" xfId="18556"/>
    <cellStyle name="Calculation 2 5 4 2 3" xfId="18557"/>
    <cellStyle name="Calculation 2 5 4 2 4" xfId="18558"/>
    <cellStyle name="Calculation 2 5 4 2 5" xfId="18559"/>
    <cellStyle name="Calculation 2 5 4 2 6" xfId="18560"/>
    <cellStyle name="Calculation 2 5 4 2 7" xfId="18561"/>
    <cellStyle name="Calculation 2 5 4 2 8" xfId="18562"/>
    <cellStyle name="Calculation 2 5 4 2 9" xfId="18563"/>
    <cellStyle name="Calculation 2 5 4 3" xfId="18564"/>
    <cellStyle name="Calculation 2 5 4 4" xfId="18565"/>
    <cellStyle name="Calculation 2 5 4 5" xfId="18566"/>
    <cellStyle name="Calculation 2 5 4 6" xfId="18567"/>
    <cellStyle name="Calculation 2 5 4 7" xfId="18568"/>
    <cellStyle name="Calculation 2 5 4 8" xfId="18569"/>
    <cellStyle name="Calculation 2 5 4 9" xfId="18570"/>
    <cellStyle name="Calculation 2 5 5" xfId="18571"/>
    <cellStyle name="Calculation 2 5 5 10" xfId="18572"/>
    <cellStyle name="Calculation 2 5 5 11" xfId="18573"/>
    <cellStyle name="Calculation 2 5 5 12" xfId="18574"/>
    <cellStyle name="Calculation 2 5 5 13" xfId="18575"/>
    <cellStyle name="Calculation 2 5 5 14" xfId="18576"/>
    <cellStyle name="Calculation 2 5 5 15" xfId="18577"/>
    <cellStyle name="Calculation 2 5 5 16" xfId="18578"/>
    <cellStyle name="Calculation 2 5 5 17" xfId="18579"/>
    <cellStyle name="Calculation 2 5 5 18" xfId="18580"/>
    <cellStyle name="Calculation 2 5 5 2" xfId="18581"/>
    <cellStyle name="Calculation 2 5 5 2 2" xfId="18582"/>
    <cellStyle name="Calculation 2 5 5 2 3" xfId="18583"/>
    <cellStyle name="Calculation 2 5 5 2 4" xfId="18584"/>
    <cellStyle name="Calculation 2 5 5 2 5" xfId="18585"/>
    <cellStyle name="Calculation 2 5 5 2 6" xfId="18586"/>
    <cellStyle name="Calculation 2 5 5 2 7" xfId="18587"/>
    <cellStyle name="Calculation 2 5 5 2 8" xfId="18588"/>
    <cellStyle name="Calculation 2 5 5 2 9" xfId="18589"/>
    <cellStyle name="Calculation 2 5 5 3" xfId="18590"/>
    <cellStyle name="Calculation 2 5 5 4" xfId="18591"/>
    <cellStyle name="Calculation 2 5 5 5" xfId="18592"/>
    <cellStyle name="Calculation 2 5 5 6" xfId="18593"/>
    <cellStyle name="Calculation 2 5 5 7" xfId="18594"/>
    <cellStyle name="Calculation 2 5 5 8" xfId="18595"/>
    <cellStyle name="Calculation 2 5 5 9" xfId="18596"/>
    <cellStyle name="Calculation 2 5 6" xfId="18597"/>
    <cellStyle name="Calculation 2 5 6 10" xfId="18598"/>
    <cellStyle name="Calculation 2 5 6 11" xfId="18599"/>
    <cellStyle name="Calculation 2 5 6 12" xfId="18600"/>
    <cellStyle name="Calculation 2 5 6 13" xfId="18601"/>
    <cellStyle name="Calculation 2 5 6 14" xfId="18602"/>
    <cellStyle name="Calculation 2 5 6 15" xfId="18603"/>
    <cellStyle name="Calculation 2 5 6 16" xfId="18604"/>
    <cellStyle name="Calculation 2 5 6 17" xfId="18605"/>
    <cellStyle name="Calculation 2 5 6 18" xfId="18606"/>
    <cellStyle name="Calculation 2 5 6 19" xfId="18607"/>
    <cellStyle name="Calculation 2 5 6 2" xfId="18608"/>
    <cellStyle name="Calculation 2 5 6 2 2" xfId="18609"/>
    <cellStyle name="Calculation 2 5 6 2 3" xfId="18610"/>
    <cellStyle name="Calculation 2 5 6 2 4" xfId="18611"/>
    <cellStyle name="Calculation 2 5 6 2 5" xfId="18612"/>
    <cellStyle name="Calculation 2 5 6 2 6" xfId="18613"/>
    <cellStyle name="Calculation 2 5 6 2 7" xfId="18614"/>
    <cellStyle name="Calculation 2 5 6 2 8" xfId="18615"/>
    <cellStyle name="Calculation 2 5 6 2 9" xfId="18616"/>
    <cellStyle name="Calculation 2 5 6 3" xfId="18617"/>
    <cellStyle name="Calculation 2 5 6 4" xfId="18618"/>
    <cellStyle name="Calculation 2 5 6 5" xfId="18619"/>
    <cellStyle name="Calculation 2 5 6 6" xfId="18620"/>
    <cellStyle name="Calculation 2 5 6 7" xfId="18621"/>
    <cellStyle name="Calculation 2 5 6 8" xfId="18622"/>
    <cellStyle name="Calculation 2 5 6 9" xfId="18623"/>
    <cellStyle name="Calculation 2 6" xfId="18624"/>
    <cellStyle name="Calculation 2 6 2" xfId="18625"/>
    <cellStyle name="Calculation 2 6 2 2" xfId="18626"/>
    <cellStyle name="Calculation 2 6 2 2 10" xfId="18627"/>
    <cellStyle name="Calculation 2 6 2 2 11" xfId="18628"/>
    <cellStyle name="Calculation 2 6 2 2 12" xfId="18629"/>
    <cellStyle name="Calculation 2 6 2 2 13" xfId="18630"/>
    <cellStyle name="Calculation 2 6 2 2 14" xfId="18631"/>
    <cellStyle name="Calculation 2 6 2 2 15" xfId="18632"/>
    <cellStyle name="Calculation 2 6 2 2 16" xfId="18633"/>
    <cellStyle name="Calculation 2 6 2 2 17" xfId="18634"/>
    <cellStyle name="Calculation 2 6 2 2 18" xfId="18635"/>
    <cellStyle name="Calculation 2 6 2 2 19" xfId="18636"/>
    <cellStyle name="Calculation 2 6 2 2 2" xfId="18637"/>
    <cellStyle name="Calculation 2 6 2 2 2 2" xfId="18638"/>
    <cellStyle name="Calculation 2 6 2 2 2 3" xfId="18639"/>
    <cellStyle name="Calculation 2 6 2 2 2 4" xfId="18640"/>
    <cellStyle name="Calculation 2 6 2 2 2 5" xfId="18641"/>
    <cellStyle name="Calculation 2 6 2 2 2 6" xfId="18642"/>
    <cellStyle name="Calculation 2 6 2 2 2 7" xfId="18643"/>
    <cellStyle name="Calculation 2 6 2 2 2 8" xfId="18644"/>
    <cellStyle name="Calculation 2 6 2 2 2 9" xfId="18645"/>
    <cellStyle name="Calculation 2 6 2 2 3" xfId="18646"/>
    <cellStyle name="Calculation 2 6 2 2 4" xfId="18647"/>
    <cellStyle name="Calculation 2 6 2 2 5" xfId="18648"/>
    <cellStyle name="Calculation 2 6 2 2 6" xfId="18649"/>
    <cellStyle name="Calculation 2 6 2 2 7" xfId="18650"/>
    <cellStyle name="Calculation 2 6 2 2 8" xfId="18651"/>
    <cellStyle name="Calculation 2 6 2 2 9" xfId="18652"/>
    <cellStyle name="Calculation 2 6 2 3" xfId="18653"/>
    <cellStyle name="Calculation 2 6 2 3 10" xfId="18654"/>
    <cellStyle name="Calculation 2 6 2 3 11" xfId="18655"/>
    <cellStyle name="Calculation 2 6 2 3 12" xfId="18656"/>
    <cellStyle name="Calculation 2 6 2 3 13" xfId="18657"/>
    <cellStyle name="Calculation 2 6 2 3 14" xfId="18658"/>
    <cellStyle name="Calculation 2 6 2 3 15" xfId="18659"/>
    <cellStyle name="Calculation 2 6 2 3 16" xfId="18660"/>
    <cellStyle name="Calculation 2 6 2 3 17" xfId="18661"/>
    <cellStyle name="Calculation 2 6 2 3 18" xfId="18662"/>
    <cellStyle name="Calculation 2 6 2 3 2" xfId="18663"/>
    <cellStyle name="Calculation 2 6 2 3 2 2" xfId="18664"/>
    <cellStyle name="Calculation 2 6 2 3 2 3" xfId="18665"/>
    <cellStyle name="Calculation 2 6 2 3 2 4" xfId="18666"/>
    <cellStyle name="Calculation 2 6 2 3 2 5" xfId="18667"/>
    <cellStyle name="Calculation 2 6 2 3 2 6" xfId="18668"/>
    <cellStyle name="Calculation 2 6 2 3 2 7" xfId="18669"/>
    <cellStyle name="Calculation 2 6 2 3 2 8" xfId="18670"/>
    <cellStyle name="Calculation 2 6 2 3 2 9" xfId="18671"/>
    <cellStyle name="Calculation 2 6 2 3 3" xfId="18672"/>
    <cellStyle name="Calculation 2 6 2 3 4" xfId="18673"/>
    <cellStyle name="Calculation 2 6 2 3 5" xfId="18674"/>
    <cellStyle name="Calculation 2 6 2 3 6" xfId="18675"/>
    <cellStyle name="Calculation 2 6 2 3 7" xfId="18676"/>
    <cellStyle name="Calculation 2 6 2 3 8" xfId="18677"/>
    <cellStyle name="Calculation 2 6 2 3 9" xfId="18678"/>
    <cellStyle name="Calculation 2 6 2 4" xfId="18679"/>
    <cellStyle name="Calculation 2 6 2 4 10" xfId="18680"/>
    <cellStyle name="Calculation 2 6 2 4 11" xfId="18681"/>
    <cellStyle name="Calculation 2 6 2 4 12" xfId="18682"/>
    <cellStyle name="Calculation 2 6 2 4 13" xfId="18683"/>
    <cellStyle name="Calculation 2 6 2 4 14" xfId="18684"/>
    <cellStyle name="Calculation 2 6 2 4 15" xfId="18685"/>
    <cellStyle name="Calculation 2 6 2 4 16" xfId="18686"/>
    <cellStyle name="Calculation 2 6 2 4 17" xfId="18687"/>
    <cellStyle name="Calculation 2 6 2 4 18" xfId="18688"/>
    <cellStyle name="Calculation 2 6 2 4 19" xfId="18689"/>
    <cellStyle name="Calculation 2 6 2 4 2" xfId="18690"/>
    <cellStyle name="Calculation 2 6 2 4 2 2" xfId="18691"/>
    <cellStyle name="Calculation 2 6 2 4 2 3" xfId="18692"/>
    <cellStyle name="Calculation 2 6 2 4 2 4" xfId="18693"/>
    <cellStyle name="Calculation 2 6 2 4 2 5" xfId="18694"/>
    <cellStyle name="Calculation 2 6 2 4 2 6" xfId="18695"/>
    <cellStyle name="Calculation 2 6 2 4 2 7" xfId="18696"/>
    <cellStyle name="Calculation 2 6 2 4 2 8" xfId="18697"/>
    <cellStyle name="Calculation 2 6 2 4 2 9" xfId="18698"/>
    <cellStyle name="Calculation 2 6 2 4 3" xfId="18699"/>
    <cellStyle name="Calculation 2 6 2 4 4" xfId="18700"/>
    <cellStyle name="Calculation 2 6 2 4 5" xfId="18701"/>
    <cellStyle name="Calculation 2 6 2 4 6" xfId="18702"/>
    <cellStyle name="Calculation 2 6 2 4 7" xfId="18703"/>
    <cellStyle name="Calculation 2 6 2 4 8" xfId="18704"/>
    <cellStyle name="Calculation 2 6 2 4 9" xfId="18705"/>
    <cellStyle name="Calculation 2 6 2 5" xfId="18706"/>
    <cellStyle name="Calculation 2 6 3" xfId="18707"/>
    <cellStyle name="Calculation 2 6 3 2" xfId="18708"/>
    <cellStyle name="Calculation 2 6 3 2 10" xfId="18709"/>
    <cellStyle name="Calculation 2 6 3 2 11" xfId="18710"/>
    <cellStyle name="Calculation 2 6 3 2 12" xfId="18711"/>
    <cellStyle name="Calculation 2 6 3 2 13" xfId="18712"/>
    <cellStyle name="Calculation 2 6 3 2 14" xfId="18713"/>
    <cellStyle name="Calculation 2 6 3 2 15" xfId="18714"/>
    <cellStyle name="Calculation 2 6 3 2 16" xfId="18715"/>
    <cellStyle name="Calculation 2 6 3 2 17" xfId="18716"/>
    <cellStyle name="Calculation 2 6 3 2 18" xfId="18717"/>
    <cellStyle name="Calculation 2 6 3 2 19" xfId="18718"/>
    <cellStyle name="Calculation 2 6 3 2 2" xfId="18719"/>
    <cellStyle name="Calculation 2 6 3 2 2 2" xfId="18720"/>
    <cellStyle name="Calculation 2 6 3 2 2 3" xfId="18721"/>
    <cellStyle name="Calculation 2 6 3 2 2 4" xfId="18722"/>
    <cellStyle name="Calculation 2 6 3 2 2 5" xfId="18723"/>
    <cellStyle name="Calculation 2 6 3 2 2 6" xfId="18724"/>
    <cellStyle name="Calculation 2 6 3 2 2 7" xfId="18725"/>
    <cellStyle name="Calculation 2 6 3 2 2 8" xfId="18726"/>
    <cellStyle name="Calculation 2 6 3 2 2 9" xfId="18727"/>
    <cellStyle name="Calculation 2 6 3 2 3" xfId="18728"/>
    <cellStyle name="Calculation 2 6 3 2 4" xfId="18729"/>
    <cellStyle name="Calculation 2 6 3 2 5" xfId="18730"/>
    <cellStyle name="Calculation 2 6 3 2 6" xfId="18731"/>
    <cellStyle name="Calculation 2 6 3 2 7" xfId="18732"/>
    <cellStyle name="Calculation 2 6 3 2 8" xfId="18733"/>
    <cellStyle name="Calculation 2 6 3 2 9" xfId="18734"/>
    <cellStyle name="Calculation 2 6 3 3" xfId="18735"/>
    <cellStyle name="Calculation 2 6 3 3 10" xfId="18736"/>
    <cellStyle name="Calculation 2 6 3 3 11" xfId="18737"/>
    <cellStyle name="Calculation 2 6 3 3 12" xfId="18738"/>
    <cellStyle name="Calculation 2 6 3 3 13" xfId="18739"/>
    <cellStyle name="Calculation 2 6 3 3 14" xfId="18740"/>
    <cellStyle name="Calculation 2 6 3 3 15" xfId="18741"/>
    <cellStyle name="Calculation 2 6 3 3 16" xfId="18742"/>
    <cellStyle name="Calculation 2 6 3 3 17" xfId="18743"/>
    <cellStyle name="Calculation 2 6 3 3 18" xfId="18744"/>
    <cellStyle name="Calculation 2 6 3 3 2" xfId="18745"/>
    <cellStyle name="Calculation 2 6 3 3 2 2" xfId="18746"/>
    <cellStyle name="Calculation 2 6 3 3 2 3" xfId="18747"/>
    <cellStyle name="Calculation 2 6 3 3 2 4" xfId="18748"/>
    <cellStyle name="Calculation 2 6 3 3 2 5" xfId="18749"/>
    <cellStyle name="Calculation 2 6 3 3 2 6" xfId="18750"/>
    <cellStyle name="Calculation 2 6 3 3 2 7" xfId="18751"/>
    <cellStyle name="Calculation 2 6 3 3 2 8" xfId="18752"/>
    <cellStyle name="Calculation 2 6 3 3 2 9" xfId="18753"/>
    <cellStyle name="Calculation 2 6 3 3 3" xfId="18754"/>
    <cellStyle name="Calculation 2 6 3 3 4" xfId="18755"/>
    <cellStyle name="Calculation 2 6 3 3 5" xfId="18756"/>
    <cellStyle name="Calculation 2 6 3 3 6" xfId="18757"/>
    <cellStyle name="Calculation 2 6 3 3 7" xfId="18758"/>
    <cellStyle name="Calculation 2 6 3 3 8" xfId="18759"/>
    <cellStyle name="Calculation 2 6 3 3 9" xfId="18760"/>
    <cellStyle name="Calculation 2 6 3 4" xfId="18761"/>
    <cellStyle name="Calculation 2 6 3 4 10" xfId="18762"/>
    <cellStyle name="Calculation 2 6 3 4 11" xfId="18763"/>
    <cellStyle name="Calculation 2 6 3 4 12" xfId="18764"/>
    <cellStyle name="Calculation 2 6 3 4 13" xfId="18765"/>
    <cellStyle name="Calculation 2 6 3 4 14" xfId="18766"/>
    <cellStyle name="Calculation 2 6 3 4 15" xfId="18767"/>
    <cellStyle name="Calculation 2 6 3 4 16" xfId="18768"/>
    <cellStyle name="Calculation 2 6 3 4 17" xfId="18769"/>
    <cellStyle name="Calculation 2 6 3 4 18" xfId="18770"/>
    <cellStyle name="Calculation 2 6 3 4 19" xfId="18771"/>
    <cellStyle name="Calculation 2 6 3 4 2" xfId="18772"/>
    <cellStyle name="Calculation 2 6 3 4 2 2" xfId="18773"/>
    <cellStyle name="Calculation 2 6 3 4 2 3" xfId="18774"/>
    <cellStyle name="Calculation 2 6 3 4 2 4" xfId="18775"/>
    <cellStyle name="Calculation 2 6 3 4 2 5" xfId="18776"/>
    <cellStyle name="Calculation 2 6 3 4 2 6" xfId="18777"/>
    <cellStyle name="Calculation 2 6 3 4 2 7" xfId="18778"/>
    <cellStyle name="Calculation 2 6 3 4 2 8" xfId="18779"/>
    <cellStyle name="Calculation 2 6 3 4 2 9" xfId="18780"/>
    <cellStyle name="Calculation 2 6 3 4 3" xfId="18781"/>
    <cellStyle name="Calculation 2 6 3 4 4" xfId="18782"/>
    <cellStyle name="Calculation 2 6 3 4 5" xfId="18783"/>
    <cellStyle name="Calculation 2 6 3 4 6" xfId="18784"/>
    <cellStyle name="Calculation 2 6 3 4 7" xfId="18785"/>
    <cellStyle name="Calculation 2 6 3 4 8" xfId="18786"/>
    <cellStyle name="Calculation 2 6 3 4 9" xfId="18787"/>
    <cellStyle name="Calculation 2 6 4" xfId="18788"/>
    <cellStyle name="Calculation 2 6 4 10" xfId="18789"/>
    <cellStyle name="Calculation 2 6 4 11" xfId="18790"/>
    <cellStyle name="Calculation 2 6 4 12" xfId="18791"/>
    <cellStyle name="Calculation 2 6 4 13" xfId="18792"/>
    <cellStyle name="Calculation 2 6 4 14" xfId="18793"/>
    <cellStyle name="Calculation 2 6 4 15" xfId="18794"/>
    <cellStyle name="Calculation 2 6 4 16" xfId="18795"/>
    <cellStyle name="Calculation 2 6 4 17" xfId="18796"/>
    <cellStyle name="Calculation 2 6 4 18" xfId="18797"/>
    <cellStyle name="Calculation 2 6 4 19" xfId="18798"/>
    <cellStyle name="Calculation 2 6 4 2" xfId="18799"/>
    <cellStyle name="Calculation 2 6 4 2 2" xfId="18800"/>
    <cellStyle name="Calculation 2 6 4 2 3" xfId="18801"/>
    <cellStyle name="Calculation 2 6 4 2 4" xfId="18802"/>
    <cellStyle name="Calculation 2 6 4 2 5" xfId="18803"/>
    <cellStyle name="Calculation 2 6 4 2 6" xfId="18804"/>
    <cellStyle name="Calculation 2 6 4 2 7" xfId="18805"/>
    <cellStyle name="Calculation 2 6 4 2 8" xfId="18806"/>
    <cellStyle name="Calculation 2 6 4 2 9" xfId="18807"/>
    <cellStyle name="Calculation 2 6 4 3" xfId="18808"/>
    <cellStyle name="Calculation 2 6 4 4" xfId="18809"/>
    <cellStyle name="Calculation 2 6 4 5" xfId="18810"/>
    <cellStyle name="Calculation 2 6 4 6" xfId="18811"/>
    <cellStyle name="Calculation 2 6 4 7" xfId="18812"/>
    <cellStyle name="Calculation 2 6 4 8" xfId="18813"/>
    <cellStyle name="Calculation 2 6 4 9" xfId="18814"/>
    <cellStyle name="Calculation 2 6 5" xfId="18815"/>
    <cellStyle name="Calculation 2 6 5 10" xfId="18816"/>
    <cellStyle name="Calculation 2 6 5 11" xfId="18817"/>
    <cellStyle name="Calculation 2 6 5 12" xfId="18818"/>
    <cellStyle name="Calculation 2 6 5 13" xfId="18819"/>
    <cellStyle name="Calculation 2 6 5 14" xfId="18820"/>
    <cellStyle name="Calculation 2 6 5 15" xfId="18821"/>
    <cellStyle name="Calculation 2 6 5 16" xfId="18822"/>
    <cellStyle name="Calculation 2 6 5 17" xfId="18823"/>
    <cellStyle name="Calculation 2 6 5 18" xfId="18824"/>
    <cellStyle name="Calculation 2 6 5 2" xfId="18825"/>
    <cellStyle name="Calculation 2 6 5 2 2" xfId="18826"/>
    <cellStyle name="Calculation 2 6 5 2 3" xfId="18827"/>
    <cellStyle name="Calculation 2 6 5 2 4" xfId="18828"/>
    <cellStyle name="Calculation 2 6 5 2 5" xfId="18829"/>
    <cellStyle name="Calculation 2 6 5 2 6" xfId="18830"/>
    <cellStyle name="Calculation 2 6 5 2 7" xfId="18831"/>
    <cellStyle name="Calculation 2 6 5 2 8" xfId="18832"/>
    <cellStyle name="Calculation 2 6 5 2 9" xfId="18833"/>
    <cellStyle name="Calculation 2 6 5 3" xfId="18834"/>
    <cellStyle name="Calculation 2 6 5 4" xfId="18835"/>
    <cellStyle name="Calculation 2 6 5 5" xfId="18836"/>
    <cellStyle name="Calculation 2 6 5 6" xfId="18837"/>
    <cellStyle name="Calculation 2 6 5 7" xfId="18838"/>
    <cellStyle name="Calculation 2 6 5 8" xfId="18839"/>
    <cellStyle name="Calculation 2 6 5 9" xfId="18840"/>
    <cellStyle name="Calculation 2 6 6" xfId="18841"/>
    <cellStyle name="Calculation 2 6 6 10" xfId="18842"/>
    <cellStyle name="Calculation 2 6 6 11" xfId="18843"/>
    <cellStyle name="Calculation 2 6 6 12" xfId="18844"/>
    <cellStyle name="Calculation 2 6 6 13" xfId="18845"/>
    <cellStyle name="Calculation 2 6 6 14" xfId="18846"/>
    <cellStyle name="Calculation 2 6 6 15" xfId="18847"/>
    <cellStyle name="Calculation 2 6 6 16" xfId="18848"/>
    <cellStyle name="Calculation 2 6 6 17" xfId="18849"/>
    <cellStyle name="Calculation 2 6 6 18" xfId="18850"/>
    <cellStyle name="Calculation 2 6 6 19" xfId="18851"/>
    <cellStyle name="Calculation 2 6 6 2" xfId="18852"/>
    <cellStyle name="Calculation 2 6 6 2 2" xfId="18853"/>
    <cellStyle name="Calculation 2 6 6 2 3" xfId="18854"/>
    <cellStyle name="Calculation 2 6 6 2 4" xfId="18855"/>
    <cellStyle name="Calculation 2 6 6 2 5" xfId="18856"/>
    <cellStyle name="Calculation 2 6 6 2 6" xfId="18857"/>
    <cellStyle name="Calculation 2 6 6 2 7" xfId="18858"/>
    <cellStyle name="Calculation 2 6 6 2 8" xfId="18859"/>
    <cellStyle name="Calculation 2 6 6 2 9" xfId="18860"/>
    <cellStyle name="Calculation 2 6 6 3" xfId="18861"/>
    <cellStyle name="Calculation 2 6 6 4" xfId="18862"/>
    <cellStyle name="Calculation 2 6 6 5" xfId="18863"/>
    <cellStyle name="Calculation 2 6 6 6" xfId="18864"/>
    <cellStyle name="Calculation 2 6 6 7" xfId="18865"/>
    <cellStyle name="Calculation 2 6 6 8" xfId="18866"/>
    <cellStyle name="Calculation 2 6 6 9" xfId="18867"/>
    <cellStyle name="Calculation 2 7" xfId="18868"/>
    <cellStyle name="Calculation 2 7 2" xfId="18869"/>
    <cellStyle name="Calculation 2 7 2 2" xfId="18870"/>
    <cellStyle name="Calculation 2 7 2 2 10" xfId="18871"/>
    <cellStyle name="Calculation 2 7 2 2 11" xfId="18872"/>
    <cellStyle name="Calculation 2 7 2 2 12" xfId="18873"/>
    <cellStyle name="Calculation 2 7 2 2 13" xfId="18874"/>
    <cellStyle name="Calculation 2 7 2 2 14" xfId="18875"/>
    <cellStyle name="Calculation 2 7 2 2 15" xfId="18876"/>
    <cellStyle name="Calculation 2 7 2 2 16" xfId="18877"/>
    <cellStyle name="Calculation 2 7 2 2 17" xfId="18878"/>
    <cellStyle name="Calculation 2 7 2 2 18" xfId="18879"/>
    <cellStyle name="Calculation 2 7 2 2 19" xfId="18880"/>
    <cellStyle name="Calculation 2 7 2 2 2" xfId="18881"/>
    <cellStyle name="Calculation 2 7 2 2 2 2" xfId="18882"/>
    <cellStyle name="Calculation 2 7 2 2 2 3" xfId="18883"/>
    <cellStyle name="Calculation 2 7 2 2 2 4" xfId="18884"/>
    <cellStyle name="Calculation 2 7 2 2 2 5" xfId="18885"/>
    <cellStyle name="Calculation 2 7 2 2 2 6" xfId="18886"/>
    <cellStyle name="Calculation 2 7 2 2 2 7" xfId="18887"/>
    <cellStyle name="Calculation 2 7 2 2 2 8" xfId="18888"/>
    <cellStyle name="Calculation 2 7 2 2 2 9" xfId="18889"/>
    <cellStyle name="Calculation 2 7 2 2 3" xfId="18890"/>
    <cellStyle name="Calculation 2 7 2 2 4" xfId="18891"/>
    <cellStyle name="Calculation 2 7 2 2 5" xfId="18892"/>
    <cellStyle name="Calculation 2 7 2 2 6" xfId="18893"/>
    <cellStyle name="Calculation 2 7 2 2 7" xfId="18894"/>
    <cellStyle name="Calculation 2 7 2 2 8" xfId="18895"/>
    <cellStyle name="Calculation 2 7 2 2 9" xfId="18896"/>
    <cellStyle name="Calculation 2 7 2 3" xfId="18897"/>
    <cellStyle name="Calculation 2 7 2 3 10" xfId="18898"/>
    <cellStyle name="Calculation 2 7 2 3 11" xfId="18899"/>
    <cellStyle name="Calculation 2 7 2 3 12" xfId="18900"/>
    <cellStyle name="Calculation 2 7 2 3 13" xfId="18901"/>
    <cellStyle name="Calculation 2 7 2 3 14" xfId="18902"/>
    <cellStyle name="Calculation 2 7 2 3 15" xfId="18903"/>
    <cellStyle name="Calculation 2 7 2 3 16" xfId="18904"/>
    <cellStyle name="Calculation 2 7 2 3 17" xfId="18905"/>
    <cellStyle name="Calculation 2 7 2 3 18" xfId="18906"/>
    <cellStyle name="Calculation 2 7 2 3 2" xfId="18907"/>
    <cellStyle name="Calculation 2 7 2 3 2 2" xfId="18908"/>
    <cellStyle name="Calculation 2 7 2 3 2 3" xfId="18909"/>
    <cellStyle name="Calculation 2 7 2 3 2 4" xfId="18910"/>
    <cellStyle name="Calculation 2 7 2 3 2 5" xfId="18911"/>
    <cellStyle name="Calculation 2 7 2 3 2 6" xfId="18912"/>
    <cellStyle name="Calculation 2 7 2 3 2 7" xfId="18913"/>
    <cellStyle name="Calculation 2 7 2 3 2 8" xfId="18914"/>
    <cellStyle name="Calculation 2 7 2 3 2 9" xfId="18915"/>
    <cellStyle name="Calculation 2 7 2 3 3" xfId="18916"/>
    <cellStyle name="Calculation 2 7 2 3 4" xfId="18917"/>
    <cellStyle name="Calculation 2 7 2 3 5" xfId="18918"/>
    <cellStyle name="Calculation 2 7 2 3 6" xfId="18919"/>
    <cellStyle name="Calculation 2 7 2 3 7" xfId="18920"/>
    <cellStyle name="Calculation 2 7 2 3 8" xfId="18921"/>
    <cellStyle name="Calculation 2 7 2 3 9" xfId="18922"/>
    <cellStyle name="Calculation 2 7 2 4" xfId="18923"/>
    <cellStyle name="Calculation 2 7 2 4 10" xfId="18924"/>
    <cellStyle name="Calculation 2 7 2 4 11" xfId="18925"/>
    <cellStyle name="Calculation 2 7 2 4 12" xfId="18926"/>
    <cellStyle name="Calculation 2 7 2 4 13" xfId="18927"/>
    <cellStyle name="Calculation 2 7 2 4 14" xfId="18928"/>
    <cellStyle name="Calculation 2 7 2 4 15" xfId="18929"/>
    <cellStyle name="Calculation 2 7 2 4 16" xfId="18930"/>
    <cellStyle name="Calculation 2 7 2 4 17" xfId="18931"/>
    <cellStyle name="Calculation 2 7 2 4 18" xfId="18932"/>
    <cellStyle name="Calculation 2 7 2 4 19" xfId="18933"/>
    <cellStyle name="Calculation 2 7 2 4 2" xfId="18934"/>
    <cellStyle name="Calculation 2 7 2 4 2 2" xfId="18935"/>
    <cellStyle name="Calculation 2 7 2 4 2 3" xfId="18936"/>
    <cellStyle name="Calculation 2 7 2 4 2 4" xfId="18937"/>
    <cellStyle name="Calculation 2 7 2 4 2 5" xfId="18938"/>
    <cellStyle name="Calculation 2 7 2 4 2 6" xfId="18939"/>
    <cellStyle name="Calculation 2 7 2 4 2 7" xfId="18940"/>
    <cellStyle name="Calculation 2 7 2 4 2 8" xfId="18941"/>
    <cellStyle name="Calculation 2 7 2 4 2 9" xfId="18942"/>
    <cellStyle name="Calculation 2 7 2 4 3" xfId="18943"/>
    <cellStyle name="Calculation 2 7 2 4 4" xfId="18944"/>
    <cellStyle name="Calculation 2 7 2 4 5" xfId="18945"/>
    <cellStyle name="Calculation 2 7 2 4 6" xfId="18946"/>
    <cellStyle name="Calculation 2 7 2 4 7" xfId="18947"/>
    <cellStyle name="Calculation 2 7 2 4 8" xfId="18948"/>
    <cellStyle name="Calculation 2 7 2 4 9" xfId="18949"/>
    <cellStyle name="Calculation 2 7 2 5" xfId="18950"/>
    <cellStyle name="Calculation 2 7 3" xfId="18951"/>
    <cellStyle name="Calculation 2 7 3 2" xfId="18952"/>
    <cellStyle name="Calculation 2 7 3 2 10" xfId="18953"/>
    <cellStyle name="Calculation 2 7 3 2 11" xfId="18954"/>
    <cellStyle name="Calculation 2 7 3 2 12" xfId="18955"/>
    <cellStyle name="Calculation 2 7 3 2 13" xfId="18956"/>
    <cellStyle name="Calculation 2 7 3 2 14" xfId="18957"/>
    <cellStyle name="Calculation 2 7 3 2 15" xfId="18958"/>
    <cellStyle name="Calculation 2 7 3 2 16" xfId="18959"/>
    <cellStyle name="Calculation 2 7 3 2 17" xfId="18960"/>
    <cellStyle name="Calculation 2 7 3 2 18" xfId="18961"/>
    <cellStyle name="Calculation 2 7 3 2 19" xfId="18962"/>
    <cellStyle name="Calculation 2 7 3 2 2" xfId="18963"/>
    <cellStyle name="Calculation 2 7 3 2 2 2" xfId="18964"/>
    <cellStyle name="Calculation 2 7 3 2 2 3" xfId="18965"/>
    <cellStyle name="Calculation 2 7 3 2 2 4" xfId="18966"/>
    <cellStyle name="Calculation 2 7 3 2 2 5" xfId="18967"/>
    <cellStyle name="Calculation 2 7 3 2 2 6" xfId="18968"/>
    <cellStyle name="Calculation 2 7 3 2 2 7" xfId="18969"/>
    <cellStyle name="Calculation 2 7 3 2 2 8" xfId="18970"/>
    <cellStyle name="Calculation 2 7 3 2 2 9" xfId="18971"/>
    <cellStyle name="Calculation 2 7 3 2 3" xfId="18972"/>
    <cellStyle name="Calculation 2 7 3 2 4" xfId="18973"/>
    <cellStyle name="Calculation 2 7 3 2 5" xfId="18974"/>
    <cellStyle name="Calculation 2 7 3 2 6" xfId="18975"/>
    <cellStyle name="Calculation 2 7 3 2 7" xfId="18976"/>
    <cellStyle name="Calculation 2 7 3 2 8" xfId="18977"/>
    <cellStyle name="Calculation 2 7 3 2 9" xfId="18978"/>
    <cellStyle name="Calculation 2 7 3 3" xfId="18979"/>
    <cellStyle name="Calculation 2 7 3 3 10" xfId="18980"/>
    <cellStyle name="Calculation 2 7 3 3 11" xfId="18981"/>
    <cellStyle name="Calculation 2 7 3 3 12" xfId="18982"/>
    <cellStyle name="Calculation 2 7 3 3 13" xfId="18983"/>
    <cellStyle name="Calculation 2 7 3 3 14" xfId="18984"/>
    <cellStyle name="Calculation 2 7 3 3 15" xfId="18985"/>
    <cellStyle name="Calculation 2 7 3 3 16" xfId="18986"/>
    <cellStyle name="Calculation 2 7 3 3 17" xfId="18987"/>
    <cellStyle name="Calculation 2 7 3 3 18" xfId="18988"/>
    <cellStyle name="Calculation 2 7 3 3 2" xfId="18989"/>
    <cellStyle name="Calculation 2 7 3 3 2 2" xfId="18990"/>
    <cellStyle name="Calculation 2 7 3 3 2 3" xfId="18991"/>
    <cellStyle name="Calculation 2 7 3 3 2 4" xfId="18992"/>
    <cellStyle name="Calculation 2 7 3 3 2 5" xfId="18993"/>
    <cellStyle name="Calculation 2 7 3 3 2 6" xfId="18994"/>
    <cellStyle name="Calculation 2 7 3 3 2 7" xfId="18995"/>
    <cellStyle name="Calculation 2 7 3 3 2 8" xfId="18996"/>
    <cellStyle name="Calculation 2 7 3 3 2 9" xfId="18997"/>
    <cellStyle name="Calculation 2 7 3 3 3" xfId="18998"/>
    <cellStyle name="Calculation 2 7 3 3 4" xfId="18999"/>
    <cellStyle name="Calculation 2 7 3 3 5" xfId="19000"/>
    <cellStyle name="Calculation 2 7 3 3 6" xfId="19001"/>
    <cellStyle name="Calculation 2 7 3 3 7" xfId="19002"/>
    <cellStyle name="Calculation 2 7 3 3 8" xfId="19003"/>
    <cellStyle name="Calculation 2 7 3 3 9" xfId="19004"/>
    <cellStyle name="Calculation 2 7 3 4" xfId="19005"/>
    <cellStyle name="Calculation 2 7 3 4 10" xfId="19006"/>
    <cellStyle name="Calculation 2 7 3 4 11" xfId="19007"/>
    <cellStyle name="Calculation 2 7 3 4 12" xfId="19008"/>
    <cellStyle name="Calculation 2 7 3 4 13" xfId="19009"/>
    <cellStyle name="Calculation 2 7 3 4 14" xfId="19010"/>
    <cellStyle name="Calculation 2 7 3 4 15" xfId="19011"/>
    <cellStyle name="Calculation 2 7 3 4 16" xfId="19012"/>
    <cellStyle name="Calculation 2 7 3 4 17" xfId="19013"/>
    <cellStyle name="Calculation 2 7 3 4 18" xfId="19014"/>
    <cellStyle name="Calculation 2 7 3 4 19" xfId="19015"/>
    <cellStyle name="Calculation 2 7 3 4 2" xfId="19016"/>
    <cellStyle name="Calculation 2 7 3 4 2 2" xfId="19017"/>
    <cellStyle name="Calculation 2 7 3 4 2 3" xfId="19018"/>
    <cellStyle name="Calculation 2 7 3 4 2 4" xfId="19019"/>
    <cellStyle name="Calculation 2 7 3 4 2 5" xfId="19020"/>
    <cellStyle name="Calculation 2 7 3 4 2 6" xfId="19021"/>
    <cellStyle name="Calculation 2 7 3 4 2 7" xfId="19022"/>
    <cellStyle name="Calculation 2 7 3 4 2 8" xfId="19023"/>
    <cellStyle name="Calculation 2 7 3 4 2 9" xfId="19024"/>
    <cellStyle name="Calculation 2 7 3 4 3" xfId="19025"/>
    <cellStyle name="Calculation 2 7 3 4 4" xfId="19026"/>
    <cellStyle name="Calculation 2 7 3 4 5" xfId="19027"/>
    <cellStyle name="Calculation 2 7 3 4 6" xfId="19028"/>
    <cellStyle name="Calculation 2 7 3 4 7" xfId="19029"/>
    <cellStyle name="Calculation 2 7 3 4 8" xfId="19030"/>
    <cellStyle name="Calculation 2 7 3 4 9" xfId="19031"/>
    <cellStyle name="Calculation 2 7 4" xfId="19032"/>
    <cellStyle name="Calculation 2 7 4 10" xfId="19033"/>
    <cellStyle name="Calculation 2 7 4 11" xfId="19034"/>
    <cellStyle name="Calculation 2 7 4 12" xfId="19035"/>
    <cellStyle name="Calculation 2 7 4 13" xfId="19036"/>
    <cellStyle name="Calculation 2 7 4 14" xfId="19037"/>
    <cellStyle name="Calculation 2 7 4 15" xfId="19038"/>
    <cellStyle name="Calculation 2 7 4 16" xfId="19039"/>
    <cellStyle name="Calculation 2 7 4 17" xfId="19040"/>
    <cellStyle name="Calculation 2 7 4 18" xfId="19041"/>
    <cellStyle name="Calculation 2 7 4 19" xfId="19042"/>
    <cellStyle name="Calculation 2 7 4 2" xfId="19043"/>
    <cellStyle name="Calculation 2 7 4 2 2" xfId="19044"/>
    <cellStyle name="Calculation 2 7 4 2 3" xfId="19045"/>
    <cellStyle name="Calculation 2 7 4 2 4" xfId="19046"/>
    <cellStyle name="Calculation 2 7 4 2 5" xfId="19047"/>
    <cellStyle name="Calculation 2 7 4 2 6" xfId="19048"/>
    <cellStyle name="Calculation 2 7 4 2 7" xfId="19049"/>
    <cellStyle name="Calculation 2 7 4 2 8" xfId="19050"/>
    <cellStyle name="Calculation 2 7 4 2 9" xfId="19051"/>
    <cellStyle name="Calculation 2 7 4 3" xfId="19052"/>
    <cellStyle name="Calculation 2 7 4 4" xfId="19053"/>
    <cellStyle name="Calculation 2 7 4 5" xfId="19054"/>
    <cellStyle name="Calculation 2 7 4 6" xfId="19055"/>
    <cellStyle name="Calculation 2 7 4 7" xfId="19056"/>
    <cellStyle name="Calculation 2 7 4 8" xfId="19057"/>
    <cellStyle name="Calculation 2 7 4 9" xfId="19058"/>
    <cellStyle name="Calculation 2 7 5" xfId="19059"/>
    <cellStyle name="Calculation 2 7 5 10" xfId="19060"/>
    <cellStyle name="Calculation 2 7 5 11" xfId="19061"/>
    <cellStyle name="Calculation 2 7 5 12" xfId="19062"/>
    <cellStyle name="Calculation 2 7 5 13" xfId="19063"/>
    <cellStyle name="Calculation 2 7 5 14" xfId="19064"/>
    <cellStyle name="Calculation 2 7 5 15" xfId="19065"/>
    <cellStyle name="Calculation 2 7 5 16" xfId="19066"/>
    <cellStyle name="Calculation 2 7 5 17" xfId="19067"/>
    <cellStyle name="Calculation 2 7 5 18" xfId="19068"/>
    <cellStyle name="Calculation 2 7 5 2" xfId="19069"/>
    <cellStyle name="Calculation 2 7 5 2 2" xfId="19070"/>
    <cellStyle name="Calculation 2 7 5 2 3" xfId="19071"/>
    <cellStyle name="Calculation 2 7 5 2 4" xfId="19072"/>
    <cellStyle name="Calculation 2 7 5 2 5" xfId="19073"/>
    <cellStyle name="Calculation 2 7 5 2 6" xfId="19074"/>
    <cellStyle name="Calculation 2 7 5 2 7" xfId="19075"/>
    <cellStyle name="Calculation 2 7 5 2 8" xfId="19076"/>
    <cellStyle name="Calculation 2 7 5 2 9" xfId="19077"/>
    <cellStyle name="Calculation 2 7 5 3" xfId="19078"/>
    <cellStyle name="Calculation 2 7 5 4" xfId="19079"/>
    <cellStyle name="Calculation 2 7 5 5" xfId="19080"/>
    <cellStyle name="Calculation 2 7 5 6" xfId="19081"/>
    <cellStyle name="Calculation 2 7 5 7" xfId="19082"/>
    <cellStyle name="Calculation 2 7 5 8" xfId="19083"/>
    <cellStyle name="Calculation 2 7 5 9" xfId="19084"/>
    <cellStyle name="Calculation 2 7 6" xfId="19085"/>
    <cellStyle name="Calculation 2 7 6 10" xfId="19086"/>
    <cellStyle name="Calculation 2 7 6 11" xfId="19087"/>
    <cellStyle name="Calculation 2 7 6 12" xfId="19088"/>
    <cellStyle name="Calculation 2 7 6 13" xfId="19089"/>
    <cellStyle name="Calculation 2 7 6 14" xfId="19090"/>
    <cellStyle name="Calculation 2 7 6 15" xfId="19091"/>
    <cellStyle name="Calculation 2 7 6 16" xfId="19092"/>
    <cellStyle name="Calculation 2 7 6 17" xfId="19093"/>
    <cellStyle name="Calculation 2 7 6 18" xfId="19094"/>
    <cellStyle name="Calculation 2 7 6 19" xfId="19095"/>
    <cellStyle name="Calculation 2 7 6 2" xfId="19096"/>
    <cellStyle name="Calculation 2 7 6 2 2" xfId="19097"/>
    <cellStyle name="Calculation 2 7 6 2 3" xfId="19098"/>
    <cellStyle name="Calculation 2 7 6 2 4" xfId="19099"/>
    <cellStyle name="Calculation 2 7 6 2 5" xfId="19100"/>
    <cellStyle name="Calculation 2 7 6 2 6" xfId="19101"/>
    <cellStyle name="Calculation 2 7 6 2 7" xfId="19102"/>
    <cellStyle name="Calculation 2 7 6 2 8" xfId="19103"/>
    <cellStyle name="Calculation 2 7 6 2 9" xfId="19104"/>
    <cellStyle name="Calculation 2 7 6 3" xfId="19105"/>
    <cellStyle name="Calculation 2 7 6 4" xfId="19106"/>
    <cellStyle name="Calculation 2 7 6 5" xfId="19107"/>
    <cellStyle name="Calculation 2 7 6 6" xfId="19108"/>
    <cellStyle name="Calculation 2 7 6 7" xfId="19109"/>
    <cellStyle name="Calculation 2 7 6 8" xfId="19110"/>
    <cellStyle name="Calculation 2 7 6 9" xfId="19111"/>
    <cellStyle name="Calculation 2 8" xfId="19112"/>
    <cellStyle name="Calculation 2 8 2" xfId="19113"/>
    <cellStyle name="Calculation 2 8 2 2" xfId="19114"/>
    <cellStyle name="Calculation 2 8 2 2 10" xfId="19115"/>
    <cellStyle name="Calculation 2 8 2 2 11" xfId="19116"/>
    <cellStyle name="Calculation 2 8 2 2 12" xfId="19117"/>
    <cellStyle name="Calculation 2 8 2 2 13" xfId="19118"/>
    <cellStyle name="Calculation 2 8 2 2 14" xfId="19119"/>
    <cellStyle name="Calculation 2 8 2 2 15" xfId="19120"/>
    <cellStyle name="Calculation 2 8 2 2 16" xfId="19121"/>
    <cellStyle name="Calculation 2 8 2 2 17" xfId="19122"/>
    <cellStyle name="Calculation 2 8 2 2 18" xfId="19123"/>
    <cellStyle name="Calculation 2 8 2 2 19" xfId="19124"/>
    <cellStyle name="Calculation 2 8 2 2 2" xfId="19125"/>
    <cellStyle name="Calculation 2 8 2 2 2 2" xfId="19126"/>
    <cellStyle name="Calculation 2 8 2 2 2 3" xfId="19127"/>
    <cellStyle name="Calculation 2 8 2 2 2 4" xfId="19128"/>
    <cellStyle name="Calculation 2 8 2 2 2 5" xfId="19129"/>
    <cellStyle name="Calculation 2 8 2 2 2 6" xfId="19130"/>
    <cellStyle name="Calculation 2 8 2 2 2 7" xfId="19131"/>
    <cellStyle name="Calculation 2 8 2 2 2 8" xfId="19132"/>
    <cellStyle name="Calculation 2 8 2 2 2 9" xfId="19133"/>
    <cellStyle name="Calculation 2 8 2 2 3" xfId="19134"/>
    <cellStyle name="Calculation 2 8 2 2 4" xfId="19135"/>
    <cellStyle name="Calculation 2 8 2 2 5" xfId="19136"/>
    <cellStyle name="Calculation 2 8 2 2 6" xfId="19137"/>
    <cellStyle name="Calculation 2 8 2 2 7" xfId="19138"/>
    <cellStyle name="Calculation 2 8 2 2 8" xfId="19139"/>
    <cellStyle name="Calculation 2 8 2 2 9" xfId="19140"/>
    <cellStyle name="Calculation 2 8 2 3" xfId="19141"/>
    <cellStyle name="Calculation 2 8 2 3 10" xfId="19142"/>
    <cellStyle name="Calculation 2 8 2 3 11" xfId="19143"/>
    <cellStyle name="Calculation 2 8 2 3 12" xfId="19144"/>
    <cellStyle name="Calculation 2 8 2 3 13" xfId="19145"/>
    <cellStyle name="Calculation 2 8 2 3 14" xfId="19146"/>
    <cellStyle name="Calculation 2 8 2 3 15" xfId="19147"/>
    <cellStyle name="Calculation 2 8 2 3 16" xfId="19148"/>
    <cellStyle name="Calculation 2 8 2 3 17" xfId="19149"/>
    <cellStyle name="Calculation 2 8 2 3 18" xfId="19150"/>
    <cellStyle name="Calculation 2 8 2 3 2" xfId="19151"/>
    <cellStyle name="Calculation 2 8 2 3 2 2" xfId="19152"/>
    <cellStyle name="Calculation 2 8 2 3 2 3" xfId="19153"/>
    <cellStyle name="Calculation 2 8 2 3 2 4" xfId="19154"/>
    <cellStyle name="Calculation 2 8 2 3 2 5" xfId="19155"/>
    <cellStyle name="Calculation 2 8 2 3 2 6" xfId="19156"/>
    <cellStyle name="Calculation 2 8 2 3 2 7" xfId="19157"/>
    <cellStyle name="Calculation 2 8 2 3 2 8" xfId="19158"/>
    <cellStyle name="Calculation 2 8 2 3 2 9" xfId="19159"/>
    <cellStyle name="Calculation 2 8 2 3 3" xfId="19160"/>
    <cellStyle name="Calculation 2 8 2 3 4" xfId="19161"/>
    <cellStyle name="Calculation 2 8 2 3 5" xfId="19162"/>
    <cellStyle name="Calculation 2 8 2 3 6" xfId="19163"/>
    <cellStyle name="Calculation 2 8 2 3 7" xfId="19164"/>
    <cellStyle name="Calculation 2 8 2 3 8" xfId="19165"/>
    <cellStyle name="Calculation 2 8 2 3 9" xfId="19166"/>
    <cellStyle name="Calculation 2 8 2 4" xfId="19167"/>
    <cellStyle name="Calculation 2 8 2 4 10" xfId="19168"/>
    <cellStyle name="Calculation 2 8 2 4 11" xfId="19169"/>
    <cellStyle name="Calculation 2 8 2 4 12" xfId="19170"/>
    <cellStyle name="Calculation 2 8 2 4 13" xfId="19171"/>
    <cellStyle name="Calculation 2 8 2 4 14" xfId="19172"/>
    <cellStyle name="Calculation 2 8 2 4 15" xfId="19173"/>
    <cellStyle name="Calculation 2 8 2 4 16" xfId="19174"/>
    <cellStyle name="Calculation 2 8 2 4 17" xfId="19175"/>
    <cellStyle name="Calculation 2 8 2 4 18" xfId="19176"/>
    <cellStyle name="Calculation 2 8 2 4 19" xfId="19177"/>
    <cellStyle name="Calculation 2 8 2 4 2" xfId="19178"/>
    <cellStyle name="Calculation 2 8 2 4 2 2" xfId="19179"/>
    <cellStyle name="Calculation 2 8 2 4 2 3" xfId="19180"/>
    <cellStyle name="Calculation 2 8 2 4 2 4" xfId="19181"/>
    <cellStyle name="Calculation 2 8 2 4 2 5" xfId="19182"/>
    <cellStyle name="Calculation 2 8 2 4 2 6" xfId="19183"/>
    <cellStyle name="Calculation 2 8 2 4 2 7" xfId="19184"/>
    <cellStyle name="Calculation 2 8 2 4 2 8" xfId="19185"/>
    <cellStyle name="Calculation 2 8 2 4 2 9" xfId="19186"/>
    <cellStyle name="Calculation 2 8 2 4 3" xfId="19187"/>
    <cellStyle name="Calculation 2 8 2 4 4" xfId="19188"/>
    <cellStyle name="Calculation 2 8 2 4 5" xfId="19189"/>
    <cellStyle name="Calculation 2 8 2 4 6" xfId="19190"/>
    <cellStyle name="Calculation 2 8 2 4 7" xfId="19191"/>
    <cellStyle name="Calculation 2 8 2 4 8" xfId="19192"/>
    <cellStyle name="Calculation 2 8 2 4 9" xfId="19193"/>
    <cellStyle name="Calculation 2 8 2 5" xfId="19194"/>
    <cellStyle name="Calculation 2 8 3" xfId="19195"/>
    <cellStyle name="Calculation 2 8 3 2" xfId="19196"/>
    <cellStyle name="Calculation 2 8 3 2 10" xfId="19197"/>
    <cellStyle name="Calculation 2 8 3 2 11" xfId="19198"/>
    <cellStyle name="Calculation 2 8 3 2 12" xfId="19199"/>
    <cellStyle name="Calculation 2 8 3 2 13" xfId="19200"/>
    <cellStyle name="Calculation 2 8 3 2 14" xfId="19201"/>
    <cellStyle name="Calculation 2 8 3 2 15" xfId="19202"/>
    <cellStyle name="Calculation 2 8 3 2 16" xfId="19203"/>
    <cellStyle name="Calculation 2 8 3 2 17" xfId="19204"/>
    <cellStyle name="Calculation 2 8 3 2 18" xfId="19205"/>
    <cellStyle name="Calculation 2 8 3 2 19" xfId="19206"/>
    <cellStyle name="Calculation 2 8 3 2 2" xfId="19207"/>
    <cellStyle name="Calculation 2 8 3 2 2 2" xfId="19208"/>
    <cellStyle name="Calculation 2 8 3 2 2 3" xfId="19209"/>
    <cellStyle name="Calculation 2 8 3 2 2 4" xfId="19210"/>
    <cellStyle name="Calculation 2 8 3 2 2 5" xfId="19211"/>
    <cellStyle name="Calculation 2 8 3 2 2 6" xfId="19212"/>
    <cellStyle name="Calculation 2 8 3 2 2 7" xfId="19213"/>
    <cellStyle name="Calculation 2 8 3 2 2 8" xfId="19214"/>
    <cellStyle name="Calculation 2 8 3 2 2 9" xfId="19215"/>
    <cellStyle name="Calculation 2 8 3 2 3" xfId="19216"/>
    <cellStyle name="Calculation 2 8 3 2 4" xfId="19217"/>
    <cellStyle name="Calculation 2 8 3 2 5" xfId="19218"/>
    <cellStyle name="Calculation 2 8 3 2 6" xfId="19219"/>
    <cellStyle name="Calculation 2 8 3 2 7" xfId="19220"/>
    <cellStyle name="Calculation 2 8 3 2 8" xfId="19221"/>
    <cellStyle name="Calculation 2 8 3 2 9" xfId="19222"/>
    <cellStyle name="Calculation 2 8 3 3" xfId="19223"/>
    <cellStyle name="Calculation 2 8 3 3 10" xfId="19224"/>
    <cellStyle name="Calculation 2 8 3 3 11" xfId="19225"/>
    <cellStyle name="Calculation 2 8 3 3 12" xfId="19226"/>
    <cellStyle name="Calculation 2 8 3 3 13" xfId="19227"/>
    <cellStyle name="Calculation 2 8 3 3 14" xfId="19228"/>
    <cellStyle name="Calculation 2 8 3 3 15" xfId="19229"/>
    <cellStyle name="Calculation 2 8 3 3 16" xfId="19230"/>
    <cellStyle name="Calculation 2 8 3 3 17" xfId="19231"/>
    <cellStyle name="Calculation 2 8 3 3 18" xfId="19232"/>
    <cellStyle name="Calculation 2 8 3 3 2" xfId="19233"/>
    <cellStyle name="Calculation 2 8 3 3 2 2" xfId="19234"/>
    <cellStyle name="Calculation 2 8 3 3 2 3" xfId="19235"/>
    <cellStyle name="Calculation 2 8 3 3 2 4" xfId="19236"/>
    <cellStyle name="Calculation 2 8 3 3 2 5" xfId="19237"/>
    <cellStyle name="Calculation 2 8 3 3 2 6" xfId="19238"/>
    <cellStyle name="Calculation 2 8 3 3 2 7" xfId="19239"/>
    <cellStyle name="Calculation 2 8 3 3 2 8" xfId="19240"/>
    <cellStyle name="Calculation 2 8 3 3 2 9" xfId="19241"/>
    <cellStyle name="Calculation 2 8 3 3 3" xfId="19242"/>
    <cellStyle name="Calculation 2 8 3 3 4" xfId="19243"/>
    <cellStyle name="Calculation 2 8 3 3 5" xfId="19244"/>
    <cellStyle name="Calculation 2 8 3 3 6" xfId="19245"/>
    <cellStyle name="Calculation 2 8 3 3 7" xfId="19246"/>
    <cellStyle name="Calculation 2 8 3 3 8" xfId="19247"/>
    <cellStyle name="Calculation 2 8 3 3 9" xfId="19248"/>
    <cellStyle name="Calculation 2 8 3 4" xfId="19249"/>
    <cellStyle name="Calculation 2 8 3 4 10" xfId="19250"/>
    <cellStyle name="Calculation 2 8 3 4 11" xfId="19251"/>
    <cellStyle name="Calculation 2 8 3 4 12" xfId="19252"/>
    <cellStyle name="Calculation 2 8 3 4 13" xfId="19253"/>
    <cellStyle name="Calculation 2 8 3 4 14" xfId="19254"/>
    <cellStyle name="Calculation 2 8 3 4 15" xfId="19255"/>
    <cellStyle name="Calculation 2 8 3 4 16" xfId="19256"/>
    <cellStyle name="Calculation 2 8 3 4 17" xfId="19257"/>
    <cellStyle name="Calculation 2 8 3 4 18" xfId="19258"/>
    <cellStyle name="Calculation 2 8 3 4 19" xfId="19259"/>
    <cellStyle name="Calculation 2 8 3 4 2" xfId="19260"/>
    <cellStyle name="Calculation 2 8 3 4 2 2" xfId="19261"/>
    <cellStyle name="Calculation 2 8 3 4 2 3" xfId="19262"/>
    <cellStyle name="Calculation 2 8 3 4 2 4" xfId="19263"/>
    <cellStyle name="Calculation 2 8 3 4 2 5" xfId="19264"/>
    <cellStyle name="Calculation 2 8 3 4 2 6" xfId="19265"/>
    <cellStyle name="Calculation 2 8 3 4 2 7" xfId="19266"/>
    <cellStyle name="Calculation 2 8 3 4 2 8" xfId="19267"/>
    <cellStyle name="Calculation 2 8 3 4 2 9" xfId="19268"/>
    <cellStyle name="Calculation 2 8 3 4 3" xfId="19269"/>
    <cellStyle name="Calculation 2 8 3 4 4" xfId="19270"/>
    <cellStyle name="Calculation 2 8 3 4 5" xfId="19271"/>
    <cellStyle name="Calculation 2 8 3 4 6" xfId="19272"/>
    <cellStyle name="Calculation 2 8 3 4 7" xfId="19273"/>
    <cellStyle name="Calculation 2 8 3 4 8" xfId="19274"/>
    <cellStyle name="Calculation 2 8 3 4 9" xfId="19275"/>
    <cellStyle name="Calculation 2 8 4" xfId="19276"/>
    <cellStyle name="Calculation 2 8 4 10" xfId="19277"/>
    <cellStyle name="Calculation 2 8 4 11" xfId="19278"/>
    <cellStyle name="Calculation 2 8 4 12" xfId="19279"/>
    <cellStyle name="Calculation 2 8 4 13" xfId="19280"/>
    <cellStyle name="Calculation 2 8 4 14" xfId="19281"/>
    <cellStyle name="Calculation 2 8 4 15" xfId="19282"/>
    <cellStyle name="Calculation 2 8 4 16" xfId="19283"/>
    <cellStyle name="Calculation 2 8 4 17" xfId="19284"/>
    <cellStyle name="Calculation 2 8 4 18" xfId="19285"/>
    <cellStyle name="Calculation 2 8 4 19" xfId="19286"/>
    <cellStyle name="Calculation 2 8 4 2" xfId="19287"/>
    <cellStyle name="Calculation 2 8 4 2 2" xfId="19288"/>
    <cellStyle name="Calculation 2 8 4 2 3" xfId="19289"/>
    <cellStyle name="Calculation 2 8 4 2 4" xfId="19290"/>
    <cellStyle name="Calculation 2 8 4 2 5" xfId="19291"/>
    <cellStyle name="Calculation 2 8 4 2 6" xfId="19292"/>
    <cellStyle name="Calculation 2 8 4 2 7" xfId="19293"/>
    <cellStyle name="Calculation 2 8 4 2 8" xfId="19294"/>
    <cellStyle name="Calculation 2 8 4 2 9" xfId="19295"/>
    <cellStyle name="Calculation 2 8 4 3" xfId="19296"/>
    <cellStyle name="Calculation 2 8 4 4" xfId="19297"/>
    <cellStyle name="Calculation 2 8 4 5" xfId="19298"/>
    <cellStyle name="Calculation 2 8 4 6" xfId="19299"/>
    <cellStyle name="Calculation 2 8 4 7" xfId="19300"/>
    <cellStyle name="Calculation 2 8 4 8" xfId="19301"/>
    <cellStyle name="Calculation 2 8 4 9" xfId="19302"/>
    <cellStyle name="Calculation 2 8 5" xfId="19303"/>
    <cellStyle name="Calculation 2 8 5 10" xfId="19304"/>
    <cellStyle name="Calculation 2 8 5 11" xfId="19305"/>
    <cellStyle name="Calculation 2 8 5 12" xfId="19306"/>
    <cellStyle name="Calculation 2 8 5 13" xfId="19307"/>
    <cellStyle name="Calculation 2 8 5 14" xfId="19308"/>
    <cellStyle name="Calculation 2 8 5 15" xfId="19309"/>
    <cellStyle name="Calculation 2 8 5 16" xfId="19310"/>
    <cellStyle name="Calculation 2 8 5 17" xfId="19311"/>
    <cellStyle name="Calculation 2 8 5 18" xfId="19312"/>
    <cellStyle name="Calculation 2 8 5 2" xfId="19313"/>
    <cellStyle name="Calculation 2 8 5 2 2" xfId="19314"/>
    <cellStyle name="Calculation 2 8 5 2 3" xfId="19315"/>
    <cellStyle name="Calculation 2 8 5 2 4" xfId="19316"/>
    <cellStyle name="Calculation 2 8 5 2 5" xfId="19317"/>
    <cellStyle name="Calculation 2 8 5 2 6" xfId="19318"/>
    <cellStyle name="Calculation 2 8 5 2 7" xfId="19319"/>
    <cellStyle name="Calculation 2 8 5 2 8" xfId="19320"/>
    <cellStyle name="Calculation 2 8 5 2 9" xfId="19321"/>
    <cellStyle name="Calculation 2 8 5 3" xfId="19322"/>
    <cellStyle name="Calculation 2 8 5 4" xfId="19323"/>
    <cellStyle name="Calculation 2 8 5 5" xfId="19324"/>
    <cellStyle name="Calculation 2 8 5 6" xfId="19325"/>
    <cellStyle name="Calculation 2 8 5 7" xfId="19326"/>
    <cellStyle name="Calculation 2 8 5 8" xfId="19327"/>
    <cellStyle name="Calculation 2 8 5 9" xfId="19328"/>
    <cellStyle name="Calculation 2 8 6" xfId="19329"/>
    <cellStyle name="Calculation 2 8 6 10" xfId="19330"/>
    <cellStyle name="Calculation 2 8 6 11" xfId="19331"/>
    <cellStyle name="Calculation 2 8 6 12" xfId="19332"/>
    <cellStyle name="Calculation 2 8 6 13" xfId="19333"/>
    <cellStyle name="Calculation 2 8 6 14" xfId="19334"/>
    <cellStyle name="Calculation 2 8 6 15" xfId="19335"/>
    <cellStyle name="Calculation 2 8 6 16" xfId="19336"/>
    <cellStyle name="Calculation 2 8 6 17" xfId="19337"/>
    <cellStyle name="Calculation 2 8 6 18" xfId="19338"/>
    <cellStyle name="Calculation 2 8 6 19" xfId="19339"/>
    <cellStyle name="Calculation 2 8 6 2" xfId="19340"/>
    <cellStyle name="Calculation 2 8 6 2 2" xfId="19341"/>
    <cellStyle name="Calculation 2 8 6 2 3" xfId="19342"/>
    <cellStyle name="Calculation 2 8 6 2 4" xfId="19343"/>
    <cellStyle name="Calculation 2 8 6 2 5" xfId="19344"/>
    <cellStyle name="Calculation 2 8 6 2 6" xfId="19345"/>
    <cellStyle name="Calculation 2 8 6 2 7" xfId="19346"/>
    <cellStyle name="Calculation 2 8 6 2 8" xfId="19347"/>
    <cellStyle name="Calculation 2 8 6 2 9" xfId="19348"/>
    <cellStyle name="Calculation 2 8 6 3" xfId="19349"/>
    <cellStyle name="Calculation 2 8 6 4" xfId="19350"/>
    <cellStyle name="Calculation 2 8 6 5" xfId="19351"/>
    <cellStyle name="Calculation 2 8 6 6" xfId="19352"/>
    <cellStyle name="Calculation 2 8 6 7" xfId="19353"/>
    <cellStyle name="Calculation 2 8 6 8" xfId="19354"/>
    <cellStyle name="Calculation 2 8 6 9" xfId="19355"/>
    <cellStyle name="Calculation 2 9" xfId="19356"/>
    <cellStyle name="Calculation 2 9 2" xfId="19357"/>
    <cellStyle name="Calculation 2 9 2 10" xfId="19358"/>
    <cellStyle name="Calculation 2 9 2 11" xfId="19359"/>
    <cellStyle name="Calculation 2 9 2 12" xfId="19360"/>
    <cellStyle name="Calculation 2 9 2 13" xfId="19361"/>
    <cellStyle name="Calculation 2 9 2 14" xfId="19362"/>
    <cellStyle name="Calculation 2 9 2 15" xfId="19363"/>
    <cellStyle name="Calculation 2 9 2 16" xfId="19364"/>
    <cellStyle name="Calculation 2 9 2 17" xfId="19365"/>
    <cellStyle name="Calculation 2 9 2 18" xfId="19366"/>
    <cellStyle name="Calculation 2 9 2 19" xfId="19367"/>
    <cellStyle name="Calculation 2 9 2 2" xfId="19368"/>
    <cellStyle name="Calculation 2 9 2 2 2" xfId="19369"/>
    <cellStyle name="Calculation 2 9 2 2 3" xfId="19370"/>
    <cellStyle name="Calculation 2 9 2 2 4" xfId="19371"/>
    <cellStyle name="Calculation 2 9 2 2 5" xfId="19372"/>
    <cellStyle name="Calculation 2 9 2 2 6" xfId="19373"/>
    <cellStyle name="Calculation 2 9 2 2 7" xfId="19374"/>
    <cellStyle name="Calculation 2 9 2 2 8" xfId="19375"/>
    <cellStyle name="Calculation 2 9 2 2 9" xfId="19376"/>
    <cellStyle name="Calculation 2 9 2 3" xfId="19377"/>
    <cellStyle name="Calculation 2 9 2 4" xfId="19378"/>
    <cellStyle name="Calculation 2 9 2 5" xfId="19379"/>
    <cellStyle name="Calculation 2 9 2 6" xfId="19380"/>
    <cellStyle name="Calculation 2 9 2 7" xfId="19381"/>
    <cellStyle name="Calculation 2 9 2 8" xfId="19382"/>
    <cellStyle name="Calculation 2 9 2 9" xfId="19383"/>
    <cellStyle name="Calculation 2 9 3" xfId="19384"/>
    <cellStyle name="Calculation 2 9 3 10" xfId="19385"/>
    <cellStyle name="Calculation 2 9 3 11" xfId="19386"/>
    <cellStyle name="Calculation 2 9 3 12" xfId="19387"/>
    <cellStyle name="Calculation 2 9 3 13" xfId="19388"/>
    <cellStyle name="Calculation 2 9 3 14" xfId="19389"/>
    <cellStyle name="Calculation 2 9 3 15" xfId="19390"/>
    <cellStyle name="Calculation 2 9 3 16" xfId="19391"/>
    <cellStyle name="Calculation 2 9 3 17" xfId="19392"/>
    <cellStyle name="Calculation 2 9 3 18" xfId="19393"/>
    <cellStyle name="Calculation 2 9 3 2" xfId="19394"/>
    <cellStyle name="Calculation 2 9 3 2 2" xfId="19395"/>
    <cellStyle name="Calculation 2 9 3 2 3" xfId="19396"/>
    <cellStyle name="Calculation 2 9 3 2 4" xfId="19397"/>
    <cellStyle name="Calculation 2 9 3 2 5" xfId="19398"/>
    <cellStyle name="Calculation 2 9 3 2 6" xfId="19399"/>
    <cellStyle name="Calculation 2 9 3 2 7" xfId="19400"/>
    <cellStyle name="Calculation 2 9 3 2 8" xfId="19401"/>
    <cellStyle name="Calculation 2 9 3 2 9" xfId="19402"/>
    <cellStyle name="Calculation 2 9 3 3" xfId="19403"/>
    <cellStyle name="Calculation 2 9 3 4" xfId="19404"/>
    <cellStyle name="Calculation 2 9 3 5" xfId="19405"/>
    <cellStyle name="Calculation 2 9 3 6" xfId="19406"/>
    <cellStyle name="Calculation 2 9 3 7" xfId="19407"/>
    <cellStyle name="Calculation 2 9 3 8" xfId="19408"/>
    <cellStyle name="Calculation 2 9 3 9" xfId="19409"/>
    <cellStyle name="Calculation 2 9 4" xfId="19410"/>
    <cellStyle name="Calculation 2 9 4 10" xfId="19411"/>
    <cellStyle name="Calculation 2 9 4 11" xfId="19412"/>
    <cellStyle name="Calculation 2 9 4 12" xfId="19413"/>
    <cellStyle name="Calculation 2 9 4 13" xfId="19414"/>
    <cellStyle name="Calculation 2 9 4 14" xfId="19415"/>
    <cellStyle name="Calculation 2 9 4 15" xfId="19416"/>
    <cellStyle name="Calculation 2 9 4 16" xfId="19417"/>
    <cellStyle name="Calculation 2 9 4 17" xfId="19418"/>
    <cellStyle name="Calculation 2 9 4 18" xfId="19419"/>
    <cellStyle name="Calculation 2 9 4 19" xfId="19420"/>
    <cellStyle name="Calculation 2 9 4 2" xfId="19421"/>
    <cellStyle name="Calculation 2 9 4 2 2" xfId="19422"/>
    <cellStyle name="Calculation 2 9 4 2 3" xfId="19423"/>
    <cellStyle name="Calculation 2 9 4 2 4" xfId="19424"/>
    <cellStyle name="Calculation 2 9 4 2 5" xfId="19425"/>
    <cellStyle name="Calculation 2 9 4 2 6" xfId="19426"/>
    <cellStyle name="Calculation 2 9 4 2 7" xfId="19427"/>
    <cellStyle name="Calculation 2 9 4 2 8" xfId="19428"/>
    <cellStyle name="Calculation 2 9 4 2 9" xfId="19429"/>
    <cellStyle name="Calculation 2 9 4 3" xfId="19430"/>
    <cellStyle name="Calculation 2 9 4 4" xfId="19431"/>
    <cellStyle name="Calculation 2 9 4 5" xfId="19432"/>
    <cellStyle name="Calculation 2 9 4 6" xfId="19433"/>
    <cellStyle name="Calculation 2 9 4 7" xfId="19434"/>
    <cellStyle name="Calculation 2 9 4 8" xfId="19435"/>
    <cellStyle name="Calculation 2 9 4 9" xfId="19436"/>
    <cellStyle name="Calculation 2 9 5" xfId="19437"/>
    <cellStyle name="Calculation 20" xfId="19438"/>
    <cellStyle name="Calculation 3" xfId="19439"/>
    <cellStyle name="Calculation 3 10" xfId="19440"/>
    <cellStyle name="Calculation 3 10 10" xfId="19441"/>
    <cellStyle name="Calculation 3 10 11" xfId="19442"/>
    <cellStyle name="Calculation 3 10 12" xfId="19443"/>
    <cellStyle name="Calculation 3 10 13" xfId="19444"/>
    <cellStyle name="Calculation 3 10 14" xfId="19445"/>
    <cellStyle name="Calculation 3 10 15" xfId="19446"/>
    <cellStyle name="Calculation 3 10 16" xfId="19447"/>
    <cellStyle name="Calculation 3 10 17" xfId="19448"/>
    <cellStyle name="Calculation 3 10 18" xfId="19449"/>
    <cellStyle name="Calculation 3 10 19" xfId="19450"/>
    <cellStyle name="Calculation 3 10 2" xfId="19451"/>
    <cellStyle name="Calculation 3 10 2 2" xfId="19452"/>
    <cellStyle name="Calculation 3 10 2 3" xfId="19453"/>
    <cellStyle name="Calculation 3 10 2 4" xfId="19454"/>
    <cellStyle name="Calculation 3 10 2 5" xfId="19455"/>
    <cellStyle name="Calculation 3 10 2 6" xfId="19456"/>
    <cellStyle name="Calculation 3 10 2 7" xfId="19457"/>
    <cellStyle name="Calculation 3 10 2 8" xfId="19458"/>
    <cellStyle name="Calculation 3 10 2 9" xfId="19459"/>
    <cellStyle name="Calculation 3 10 3" xfId="19460"/>
    <cellStyle name="Calculation 3 10 4" xfId="19461"/>
    <cellStyle name="Calculation 3 10 5" xfId="19462"/>
    <cellStyle name="Calculation 3 10 6" xfId="19463"/>
    <cellStyle name="Calculation 3 10 7" xfId="19464"/>
    <cellStyle name="Calculation 3 10 8" xfId="19465"/>
    <cellStyle name="Calculation 3 10 9" xfId="19466"/>
    <cellStyle name="Calculation 3 11" xfId="19467"/>
    <cellStyle name="Calculation 3 11 10" xfId="19468"/>
    <cellStyle name="Calculation 3 11 11" xfId="19469"/>
    <cellStyle name="Calculation 3 11 12" xfId="19470"/>
    <cellStyle name="Calculation 3 11 13" xfId="19471"/>
    <cellStyle name="Calculation 3 11 14" xfId="19472"/>
    <cellStyle name="Calculation 3 11 15" xfId="19473"/>
    <cellStyle name="Calculation 3 11 16" xfId="19474"/>
    <cellStyle name="Calculation 3 11 17" xfId="19475"/>
    <cellStyle name="Calculation 3 11 18" xfId="19476"/>
    <cellStyle name="Calculation 3 11 2" xfId="19477"/>
    <cellStyle name="Calculation 3 11 2 2" xfId="19478"/>
    <cellStyle name="Calculation 3 11 2 3" xfId="19479"/>
    <cellStyle name="Calculation 3 11 2 4" xfId="19480"/>
    <cellStyle name="Calculation 3 11 2 5" xfId="19481"/>
    <cellStyle name="Calculation 3 11 2 6" xfId="19482"/>
    <cellStyle name="Calculation 3 11 2 7" xfId="19483"/>
    <cellStyle name="Calculation 3 11 2 8" xfId="19484"/>
    <cellStyle name="Calculation 3 11 2 9" xfId="19485"/>
    <cellStyle name="Calculation 3 11 3" xfId="19486"/>
    <cellStyle name="Calculation 3 11 4" xfId="19487"/>
    <cellStyle name="Calculation 3 11 5" xfId="19488"/>
    <cellStyle name="Calculation 3 11 6" xfId="19489"/>
    <cellStyle name="Calculation 3 11 7" xfId="19490"/>
    <cellStyle name="Calculation 3 11 8" xfId="19491"/>
    <cellStyle name="Calculation 3 11 9" xfId="19492"/>
    <cellStyle name="Calculation 3 12" xfId="19493"/>
    <cellStyle name="Calculation 3 12 10" xfId="19494"/>
    <cellStyle name="Calculation 3 12 11" xfId="19495"/>
    <cellStyle name="Calculation 3 12 12" xfId="19496"/>
    <cellStyle name="Calculation 3 12 13" xfId="19497"/>
    <cellStyle name="Calculation 3 12 14" xfId="19498"/>
    <cellStyle name="Calculation 3 12 15" xfId="19499"/>
    <cellStyle name="Calculation 3 12 16" xfId="19500"/>
    <cellStyle name="Calculation 3 12 17" xfId="19501"/>
    <cellStyle name="Calculation 3 12 18" xfId="19502"/>
    <cellStyle name="Calculation 3 12 19" xfId="19503"/>
    <cellStyle name="Calculation 3 12 2" xfId="19504"/>
    <cellStyle name="Calculation 3 12 2 2" xfId="19505"/>
    <cellStyle name="Calculation 3 12 2 3" xfId="19506"/>
    <cellStyle name="Calculation 3 12 2 4" xfId="19507"/>
    <cellStyle name="Calculation 3 12 2 5" xfId="19508"/>
    <cellStyle name="Calculation 3 12 2 6" xfId="19509"/>
    <cellStyle name="Calculation 3 12 2 7" xfId="19510"/>
    <cellStyle name="Calculation 3 12 2 8" xfId="19511"/>
    <cellStyle name="Calculation 3 12 2 9" xfId="19512"/>
    <cellStyle name="Calculation 3 12 3" xfId="19513"/>
    <cellStyle name="Calculation 3 12 4" xfId="19514"/>
    <cellStyle name="Calculation 3 12 5" xfId="19515"/>
    <cellStyle name="Calculation 3 12 6" xfId="19516"/>
    <cellStyle name="Calculation 3 12 7" xfId="19517"/>
    <cellStyle name="Calculation 3 12 8" xfId="19518"/>
    <cellStyle name="Calculation 3 12 9" xfId="19519"/>
    <cellStyle name="Calculation 3 2" xfId="19520"/>
    <cellStyle name="Calculation 3 2 2" xfId="19521"/>
    <cellStyle name="Calculation 3 2 2 2" xfId="19522"/>
    <cellStyle name="Calculation 3 2 2 2 10" xfId="19523"/>
    <cellStyle name="Calculation 3 2 2 2 11" xfId="19524"/>
    <cellStyle name="Calculation 3 2 2 2 12" xfId="19525"/>
    <cellStyle name="Calculation 3 2 2 2 13" xfId="19526"/>
    <cellStyle name="Calculation 3 2 2 2 14" xfId="19527"/>
    <cellStyle name="Calculation 3 2 2 2 15" xfId="19528"/>
    <cellStyle name="Calculation 3 2 2 2 16" xfId="19529"/>
    <cellStyle name="Calculation 3 2 2 2 17" xfId="19530"/>
    <cellStyle name="Calculation 3 2 2 2 18" xfId="19531"/>
    <cellStyle name="Calculation 3 2 2 2 19" xfId="19532"/>
    <cellStyle name="Calculation 3 2 2 2 2" xfId="19533"/>
    <cellStyle name="Calculation 3 2 2 2 2 2" xfId="19534"/>
    <cellStyle name="Calculation 3 2 2 2 2 3" xfId="19535"/>
    <cellStyle name="Calculation 3 2 2 2 2 4" xfId="19536"/>
    <cellStyle name="Calculation 3 2 2 2 2 5" xfId="19537"/>
    <cellStyle name="Calculation 3 2 2 2 2 6" xfId="19538"/>
    <cellStyle name="Calculation 3 2 2 2 2 7" xfId="19539"/>
    <cellStyle name="Calculation 3 2 2 2 2 8" xfId="19540"/>
    <cellStyle name="Calculation 3 2 2 2 2 9" xfId="19541"/>
    <cellStyle name="Calculation 3 2 2 2 3" xfId="19542"/>
    <cellStyle name="Calculation 3 2 2 2 4" xfId="19543"/>
    <cellStyle name="Calculation 3 2 2 2 5" xfId="19544"/>
    <cellStyle name="Calculation 3 2 2 2 6" xfId="19545"/>
    <cellStyle name="Calculation 3 2 2 2 7" xfId="19546"/>
    <cellStyle name="Calculation 3 2 2 2 8" xfId="19547"/>
    <cellStyle name="Calculation 3 2 2 2 9" xfId="19548"/>
    <cellStyle name="Calculation 3 2 2 3" xfId="19549"/>
    <cellStyle name="Calculation 3 2 2 3 10" xfId="19550"/>
    <cellStyle name="Calculation 3 2 2 3 11" xfId="19551"/>
    <cellStyle name="Calculation 3 2 2 3 12" xfId="19552"/>
    <cellStyle name="Calculation 3 2 2 3 13" xfId="19553"/>
    <cellStyle name="Calculation 3 2 2 3 14" xfId="19554"/>
    <cellStyle name="Calculation 3 2 2 3 15" xfId="19555"/>
    <cellStyle name="Calculation 3 2 2 3 16" xfId="19556"/>
    <cellStyle name="Calculation 3 2 2 3 17" xfId="19557"/>
    <cellStyle name="Calculation 3 2 2 3 18" xfId="19558"/>
    <cellStyle name="Calculation 3 2 2 3 2" xfId="19559"/>
    <cellStyle name="Calculation 3 2 2 3 2 2" xfId="19560"/>
    <cellStyle name="Calculation 3 2 2 3 2 3" xfId="19561"/>
    <cellStyle name="Calculation 3 2 2 3 2 4" xfId="19562"/>
    <cellStyle name="Calculation 3 2 2 3 2 5" xfId="19563"/>
    <cellStyle name="Calculation 3 2 2 3 2 6" xfId="19564"/>
    <cellStyle name="Calculation 3 2 2 3 2 7" xfId="19565"/>
    <cellStyle name="Calculation 3 2 2 3 2 8" xfId="19566"/>
    <cellStyle name="Calculation 3 2 2 3 2 9" xfId="19567"/>
    <cellStyle name="Calculation 3 2 2 3 3" xfId="19568"/>
    <cellStyle name="Calculation 3 2 2 3 4" xfId="19569"/>
    <cellStyle name="Calculation 3 2 2 3 5" xfId="19570"/>
    <cellStyle name="Calculation 3 2 2 3 6" xfId="19571"/>
    <cellStyle name="Calculation 3 2 2 3 7" xfId="19572"/>
    <cellStyle name="Calculation 3 2 2 3 8" xfId="19573"/>
    <cellStyle name="Calculation 3 2 2 3 9" xfId="19574"/>
    <cellStyle name="Calculation 3 2 2 4" xfId="19575"/>
    <cellStyle name="Calculation 3 2 2 4 10" xfId="19576"/>
    <cellStyle name="Calculation 3 2 2 4 11" xfId="19577"/>
    <cellStyle name="Calculation 3 2 2 4 12" xfId="19578"/>
    <cellStyle name="Calculation 3 2 2 4 13" xfId="19579"/>
    <cellStyle name="Calculation 3 2 2 4 14" xfId="19580"/>
    <cellStyle name="Calculation 3 2 2 4 15" xfId="19581"/>
    <cellStyle name="Calculation 3 2 2 4 16" xfId="19582"/>
    <cellStyle name="Calculation 3 2 2 4 17" xfId="19583"/>
    <cellStyle name="Calculation 3 2 2 4 18" xfId="19584"/>
    <cellStyle name="Calculation 3 2 2 4 19" xfId="19585"/>
    <cellStyle name="Calculation 3 2 2 4 2" xfId="19586"/>
    <cellStyle name="Calculation 3 2 2 4 2 2" xfId="19587"/>
    <cellStyle name="Calculation 3 2 2 4 2 3" xfId="19588"/>
    <cellStyle name="Calculation 3 2 2 4 2 4" xfId="19589"/>
    <cellStyle name="Calculation 3 2 2 4 2 5" xfId="19590"/>
    <cellStyle name="Calculation 3 2 2 4 2 6" xfId="19591"/>
    <cellStyle name="Calculation 3 2 2 4 2 7" xfId="19592"/>
    <cellStyle name="Calculation 3 2 2 4 2 8" xfId="19593"/>
    <cellStyle name="Calculation 3 2 2 4 2 9" xfId="19594"/>
    <cellStyle name="Calculation 3 2 2 4 3" xfId="19595"/>
    <cellStyle name="Calculation 3 2 2 4 4" xfId="19596"/>
    <cellStyle name="Calculation 3 2 2 4 5" xfId="19597"/>
    <cellStyle name="Calculation 3 2 2 4 6" xfId="19598"/>
    <cellStyle name="Calculation 3 2 2 4 7" xfId="19599"/>
    <cellStyle name="Calculation 3 2 2 4 8" xfId="19600"/>
    <cellStyle name="Calculation 3 2 2 4 9" xfId="19601"/>
    <cellStyle name="Calculation 3 2 2 5" xfId="19602"/>
    <cellStyle name="Calculation 3 2 3" xfId="19603"/>
    <cellStyle name="Calculation 3 2 3 2" xfId="19604"/>
    <cellStyle name="Calculation 3 2 3 2 10" xfId="19605"/>
    <cellStyle name="Calculation 3 2 3 2 11" xfId="19606"/>
    <cellStyle name="Calculation 3 2 3 2 12" xfId="19607"/>
    <cellStyle name="Calculation 3 2 3 2 13" xfId="19608"/>
    <cellStyle name="Calculation 3 2 3 2 14" xfId="19609"/>
    <cellStyle name="Calculation 3 2 3 2 15" xfId="19610"/>
    <cellStyle name="Calculation 3 2 3 2 16" xfId="19611"/>
    <cellStyle name="Calculation 3 2 3 2 17" xfId="19612"/>
    <cellStyle name="Calculation 3 2 3 2 18" xfId="19613"/>
    <cellStyle name="Calculation 3 2 3 2 19" xfId="19614"/>
    <cellStyle name="Calculation 3 2 3 2 2" xfId="19615"/>
    <cellStyle name="Calculation 3 2 3 2 2 2" xfId="19616"/>
    <cellStyle name="Calculation 3 2 3 2 2 3" xfId="19617"/>
    <cellStyle name="Calculation 3 2 3 2 2 4" xfId="19618"/>
    <cellStyle name="Calculation 3 2 3 2 2 5" xfId="19619"/>
    <cellStyle name="Calculation 3 2 3 2 2 6" xfId="19620"/>
    <cellStyle name="Calculation 3 2 3 2 2 7" xfId="19621"/>
    <cellStyle name="Calculation 3 2 3 2 2 8" xfId="19622"/>
    <cellStyle name="Calculation 3 2 3 2 2 9" xfId="19623"/>
    <cellStyle name="Calculation 3 2 3 2 3" xfId="19624"/>
    <cellStyle name="Calculation 3 2 3 2 4" xfId="19625"/>
    <cellStyle name="Calculation 3 2 3 2 5" xfId="19626"/>
    <cellStyle name="Calculation 3 2 3 2 6" xfId="19627"/>
    <cellStyle name="Calculation 3 2 3 2 7" xfId="19628"/>
    <cellStyle name="Calculation 3 2 3 2 8" xfId="19629"/>
    <cellStyle name="Calculation 3 2 3 2 9" xfId="19630"/>
    <cellStyle name="Calculation 3 2 3 3" xfId="19631"/>
    <cellStyle name="Calculation 3 2 3 3 10" xfId="19632"/>
    <cellStyle name="Calculation 3 2 3 3 11" xfId="19633"/>
    <cellStyle name="Calculation 3 2 3 3 12" xfId="19634"/>
    <cellStyle name="Calculation 3 2 3 3 13" xfId="19635"/>
    <cellStyle name="Calculation 3 2 3 3 14" xfId="19636"/>
    <cellStyle name="Calculation 3 2 3 3 15" xfId="19637"/>
    <cellStyle name="Calculation 3 2 3 3 16" xfId="19638"/>
    <cellStyle name="Calculation 3 2 3 3 17" xfId="19639"/>
    <cellStyle name="Calculation 3 2 3 3 18" xfId="19640"/>
    <cellStyle name="Calculation 3 2 3 3 2" xfId="19641"/>
    <cellStyle name="Calculation 3 2 3 3 2 2" xfId="19642"/>
    <cellStyle name="Calculation 3 2 3 3 2 3" xfId="19643"/>
    <cellStyle name="Calculation 3 2 3 3 2 4" xfId="19644"/>
    <cellStyle name="Calculation 3 2 3 3 2 5" xfId="19645"/>
    <cellStyle name="Calculation 3 2 3 3 2 6" xfId="19646"/>
    <cellStyle name="Calculation 3 2 3 3 2 7" xfId="19647"/>
    <cellStyle name="Calculation 3 2 3 3 2 8" xfId="19648"/>
    <cellStyle name="Calculation 3 2 3 3 2 9" xfId="19649"/>
    <cellStyle name="Calculation 3 2 3 3 3" xfId="19650"/>
    <cellStyle name="Calculation 3 2 3 3 4" xfId="19651"/>
    <cellStyle name="Calculation 3 2 3 3 5" xfId="19652"/>
    <cellStyle name="Calculation 3 2 3 3 6" xfId="19653"/>
    <cellStyle name="Calculation 3 2 3 3 7" xfId="19654"/>
    <cellStyle name="Calculation 3 2 3 3 8" xfId="19655"/>
    <cellStyle name="Calculation 3 2 3 3 9" xfId="19656"/>
    <cellStyle name="Calculation 3 2 3 4" xfId="19657"/>
    <cellStyle name="Calculation 3 2 3 4 10" xfId="19658"/>
    <cellStyle name="Calculation 3 2 3 4 11" xfId="19659"/>
    <cellStyle name="Calculation 3 2 3 4 12" xfId="19660"/>
    <cellStyle name="Calculation 3 2 3 4 13" xfId="19661"/>
    <cellStyle name="Calculation 3 2 3 4 14" xfId="19662"/>
    <cellStyle name="Calculation 3 2 3 4 15" xfId="19663"/>
    <cellStyle name="Calculation 3 2 3 4 16" xfId="19664"/>
    <cellStyle name="Calculation 3 2 3 4 17" xfId="19665"/>
    <cellStyle name="Calculation 3 2 3 4 18" xfId="19666"/>
    <cellStyle name="Calculation 3 2 3 4 19" xfId="19667"/>
    <cellStyle name="Calculation 3 2 3 4 2" xfId="19668"/>
    <cellStyle name="Calculation 3 2 3 4 2 2" xfId="19669"/>
    <cellStyle name="Calculation 3 2 3 4 2 3" xfId="19670"/>
    <cellStyle name="Calculation 3 2 3 4 2 4" xfId="19671"/>
    <cellStyle name="Calculation 3 2 3 4 2 5" xfId="19672"/>
    <cellStyle name="Calculation 3 2 3 4 2 6" xfId="19673"/>
    <cellStyle name="Calculation 3 2 3 4 2 7" xfId="19674"/>
    <cellStyle name="Calculation 3 2 3 4 2 8" xfId="19675"/>
    <cellStyle name="Calculation 3 2 3 4 2 9" xfId="19676"/>
    <cellStyle name="Calculation 3 2 3 4 3" xfId="19677"/>
    <cellStyle name="Calculation 3 2 3 4 4" xfId="19678"/>
    <cellStyle name="Calculation 3 2 3 4 5" xfId="19679"/>
    <cellStyle name="Calculation 3 2 3 4 6" xfId="19680"/>
    <cellStyle name="Calculation 3 2 3 4 7" xfId="19681"/>
    <cellStyle name="Calculation 3 2 3 4 8" xfId="19682"/>
    <cellStyle name="Calculation 3 2 3 4 9" xfId="19683"/>
    <cellStyle name="Calculation 3 2 4" xfId="19684"/>
    <cellStyle name="Calculation 3 2 4 10" xfId="19685"/>
    <cellStyle name="Calculation 3 2 4 11" xfId="19686"/>
    <cellStyle name="Calculation 3 2 4 12" xfId="19687"/>
    <cellStyle name="Calculation 3 2 4 13" xfId="19688"/>
    <cellStyle name="Calculation 3 2 4 14" xfId="19689"/>
    <cellStyle name="Calculation 3 2 4 15" xfId="19690"/>
    <cellStyle name="Calculation 3 2 4 16" xfId="19691"/>
    <cellStyle name="Calculation 3 2 4 17" xfId="19692"/>
    <cellStyle name="Calculation 3 2 4 18" xfId="19693"/>
    <cellStyle name="Calculation 3 2 4 19" xfId="19694"/>
    <cellStyle name="Calculation 3 2 4 2" xfId="19695"/>
    <cellStyle name="Calculation 3 2 4 2 2" xfId="19696"/>
    <cellStyle name="Calculation 3 2 4 2 3" xfId="19697"/>
    <cellStyle name="Calculation 3 2 4 2 4" xfId="19698"/>
    <cellStyle name="Calculation 3 2 4 2 5" xfId="19699"/>
    <cellStyle name="Calculation 3 2 4 2 6" xfId="19700"/>
    <cellStyle name="Calculation 3 2 4 2 7" xfId="19701"/>
    <cellStyle name="Calculation 3 2 4 2 8" xfId="19702"/>
    <cellStyle name="Calculation 3 2 4 2 9" xfId="19703"/>
    <cellStyle name="Calculation 3 2 4 3" xfId="19704"/>
    <cellStyle name="Calculation 3 2 4 4" xfId="19705"/>
    <cellStyle name="Calculation 3 2 4 5" xfId="19706"/>
    <cellStyle name="Calculation 3 2 4 6" xfId="19707"/>
    <cellStyle name="Calculation 3 2 4 7" xfId="19708"/>
    <cellStyle name="Calculation 3 2 4 8" xfId="19709"/>
    <cellStyle name="Calculation 3 2 4 9" xfId="19710"/>
    <cellStyle name="Calculation 3 2 5" xfId="19711"/>
    <cellStyle name="Calculation 3 2 5 10" xfId="19712"/>
    <cellStyle name="Calculation 3 2 5 11" xfId="19713"/>
    <cellStyle name="Calculation 3 2 5 12" xfId="19714"/>
    <cellStyle name="Calculation 3 2 5 13" xfId="19715"/>
    <cellStyle name="Calculation 3 2 5 14" xfId="19716"/>
    <cellStyle name="Calculation 3 2 5 15" xfId="19717"/>
    <cellStyle name="Calculation 3 2 5 16" xfId="19718"/>
    <cellStyle name="Calculation 3 2 5 17" xfId="19719"/>
    <cellStyle name="Calculation 3 2 5 18" xfId="19720"/>
    <cellStyle name="Calculation 3 2 5 2" xfId="19721"/>
    <cellStyle name="Calculation 3 2 5 2 2" xfId="19722"/>
    <cellStyle name="Calculation 3 2 5 2 3" xfId="19723"/>
    <cellStyle name="Calculation 3 2 5 2 4" xfId="19724"/>
    <cellStyle name="Calculation 3 2 5 2 5" xfId="19725"/>
    <cellStyle name="Calculation 3 2 5 2 6" xfId="19726"/>
    <cellStyle name="Calculation 3 2 5 2 7" xfId="19727"/>
    <cellStyle name="Calculation 3 2 5 2 8" xfId="19728"/>
    <cellStyle name="Calculation 3 2 5 2 9" xfId="19729"/>
    <cellStyle name="Calculation 3 2 5 3" xfId="19730"/>
    <cellStyle name="Calculation 3 2 5 4" xfId="19731"/>
    <cellStyle name="Calculation 3 2 5 5" xfId="19732"/>
    <cellStyle name="Calculation 3 2 5 6" xfId="19733"/>
    <cellStyle name="Calculation 3 2 5 7" xfId="19734"/>
    <cellStyle name="Calculation 3 2 5 8" xfId="19735"/>
    <cellStyle name="Calculation 3 2 5 9" xfId="19736"/>
    <cellStyle name="Calculation 3 2 6" xfId="19737"/>
    <cellStyle name="Calculation 3 2 6 10" xfId="19738"/>
    <cellStyle name="Calculation 3 2 6 11" xfId="19739"/>
    <cellStyle name="Calculation 3 2 6 12" xfId="19740"/>
    <cellStyle name="Calculation 3 2 6 13" xfId="19741"/>
    <cellStyle name="Calculation 3 2 6 14" xfId="19742"/>
    <cellStyle name="Calculation 3 2 6 15" xfId="19743"/>
    <cellStyle name="Calculation 3 2 6 16" xfId="19744"/>
    <cellStyle name="Calculation 3 2 6 17" xfId="19745"/>
    <cellStyle name="Calculation 3 2 6 18" xfId="19746"/>
    <cellStyle name="Calculation 3 2 6 19" xfId="19747"/>
    <cellStyle name="Calculation 3 2 6 2" xfId="19748"/>
    <cellStyle name="Calculation 3 2 6 2 2" xfId="19749"/>
    <cellStyle name="Calculation 3 2 6 2 3" xfId="19750"/>
    <cellStyle name="Calculation 3 2 6 2 4" xfId="19751"/>
    <cellStyle name="Calculation 3 2 6 2 5" xfId="19752"/>
    <cellStyle name="Calculation 3 2 6 2 6" xfId="19753"/>
    <cellStyle name="Calculation 3 2 6 2 7" xfId="19754"/>
    <cellStyle name="Calculation 3 2 6 2 8" xfId="19755"/>
    <cellStyle name="Calculation 3 2 6 2 9" xfId="19756"/>
    <cellStyle name="Calculation 3 2 6 3" xfId="19757"/>
    <cellStyle name="Calculation 3 2 6 4" xfId="19758"/>
    <cellStyle name="Calculation 3 2 6 5" xfId="19759"/>
    <cellStyle name="Calculation 3 2 6 6" xfId="19760"/>
    <cellStyle name="Calculation 3 2 6 7" xfId="19761"/>
    <cellStyle name="Calculation 3 2 6 8" xfId="19762"/>
    <cellStyle name="Calculation 3 2 6 9" xfId="19763"/>
    <cellStyle name="Calculation 3 3" xfId="19764"/>
    <cellStyle name="Calculation 3 3 2" xfId="19765"/>
    <cellStyle name="Calculation 3 3 2 2" xfId="19766"/>
    <cellStyle name="Calculation 3 3 2 2 10" xfId="19767"/>
    <cellStyle name="Calculation 3 3 2 2 11" xfId="19768"/>
    <cellStyle name="Calculation 3 3 2 2 12" xfId="19769"/>
    <cellStyle name="Calculation 3 3 2 2 13" xfId="19770"/>
    <cellStyle name="Calculation 3 3 2 2 14" xfId="19771"/>
    <cellStyle name="Calculation 3 3 2 2 15" xfId="19772"/>
    <cellStyle name="Calculation 3 3 2 2 16" xfId="19773"/>
    <cellStyle name="Calculation 3 3 2 2 17" xfId="19774"/>
    <cellStyle name="Calculation 3 3 2 2 18" xfId="19775"/>
    <cellStyle name="Calculation 3 3 2 2 19" xfId="19776"/>
    <cellStyle name="Calculation 3 3 2 2 2" xfId="19777"/>
    <cellStyle name="Calculation 3 3 2 2 2 2" xfId="19778"/>
    <cellStyle name="Calculation 3 3 2 2 2 3" xfId="19779"/>
    <cellStyle name="Calculation 3 3 2 2 2 4" xfId="19780"/>
    <cellStyle name="Calculation 3 3 2 2 2 5" xfId="19781"/>
    <cellStyle name="Calculation 3 3 2 2 2 6" xfId="19782"/>
    <cellStyle name="Calculation 3 3 2 2 2 7" xfId="19783"/>
    <cellStyle name="Calculation 3 3 2 2 2 8" xfId="19784"/>
    <cellStyle name="Calculation 3 3 2 2 2 9" xfId="19785"/>
    <cellStyle name="Calculation 3 3 2 2 3" xfId="19786"/>
    <cellStyle name="Calculation 3 3 2 2 4" xfId="19787"/>
    <cellStyle name="Calculation 3 3 2 2 5" xfId="19788"/>
    <cellStyle name="Calculation 3 3 2 2 6" xfId="19789"/>
    <cellStyle name="Calculation 3 3 2 2 7" xfId="19790"/>
    <cellStyle name="Calculation 3 3 2 2 8" xfId="19791"/>
    <cellStyle name="Calculation 3 3 2 2 9" xfId="19792"/>
    <cellStyle name="Calculation 3 3 2 3" xfId="19793"/>
    <cellStyle name="Calculation 3 3 2 3 10" xfId="19794"/>
    <cellStyle name="Calculation 3 3 2 3 11" xfId="19795"/>
    <cellStyle name="Calculation 3 3 2 3 12" xfId="19796"/>
    <cellStyle name="Calculation 3 3 2 3 13" xfId="19797"/>
    <cellStyle name="Calculation 3 3 2 3 14" xfId="19798"/>
    <cellStyle name="Calculation 3 3 2 3 15" xfId="19799"/>
    <cellStyle name="Calculation 3 3 2 3 16" xfId="19800"/>
    <cellStyle name="Calculation 3 3 2 3 17" xfId="19801"/>
    <cellStyle name="Calculation 3 3 2 3 18" xfId="19802"/>
    <cellStyle name="Calculation 3 3 2 3 2" xfId="19803"/>
    <cellStyle name="Calculation 3 3 2 3 2 2" xfId="19804"/>
    <cellStyle name="Calculation 3 3 2 3 2 3" xfId="19805"/>
    <cellStyle name="Calculation 3 3 2 3 2 4" xfId="19806"/>
    <cellStyle name="Calculation 3 3 2 3 2 5" xfId="19807"/>
    <cellStyle name="Calculation 3 3 2 3 2 6" xfId="19808"/>
    <cellStyle name="Calculation 3 3 2 3 2 7" xfId="19809"/>
    <cellStyle name="Calculation 3 3 2 3 2 8" xfId="19810"/>
    <cellStyle name="Calculation 3 3 2 3 2 9" xfId="19811"/>
    <cellStyle name="Calculation 3 3 2 3 3" xfId="19812"/>
    <cellStyle name="Calculation 3 3 2 3 4" xfId="19813"/>
    <cellStyle name="Calculation 3 3 2 3 5" xfId="19814"/>
    <cellStyle name="Calculation 3 3 2 3 6" xfId="19815"/>
    <cellStyle name="Calculation 3 3 2 3 7" xfId="19816"/>
    <cellStyle name="Calculation 3 3 2 3 8" xfId="19817"/>
    <cellStyle name="Calculation 3 3 2 3 9" xfId="19818"/>
    <cellStyle name="Calculation 3 3 2 4" xfId="19819"/>
    <cellStyle name="Calculation 3 3 2 4 10" xfId="19820"/>
    <cellStyle name="Calculation 3 3 2 4 11" xfId="19821"/>
    <cellStyle name="Calculation 3 3 2 4 12" xfId="19822"/>
    <cellStyle name="Calculation 3 3 2 4 13" xfId="19823"/>
    <cellStyle name="Calculation 3 3 2 4 14" xfId="19824"/>
    <cellStyle name="Calculation 3 3 2 4 15" xfId="19825"/>
    <cellStyle name="Calculation 3 3 2 4 16" xfId="19826"/>
    <cellStyle name="Calculation 3 3 2 4 17" xfId="19827"/>
    <cellStyle name="Calculation 3 3 2 4 18" xfId="19828"/>
    <cellStyle name="Calculation 3 3 2 4 19" xfId="19829"/>
    <cellStyle name="Calculation 3 3 2 4 2" xfId="19830"/>
    <cellStyle name="Calculation 3 3 2 4 2 2" xfId="19831"/>
    <cellStyle name="Calculation 3 3 2 4 2 3" xfId="19832"/>
    <cellStyle name="Calculation 3 3 2 4 2 4" xfId="19833"/>
    <cellStyle name="Calculation 3 3 2 4 2 5" xfId="19834"/>
    <cellStyle name="Calculation 3 3 2 4 2 6" xfId="19835"/>
    <cellStyle name="Calculation 3 3 2 4 2 7" xfId="19836"/>
    <cellStyle name="Calculation 3 3 2 4 2 8" xfId="19837"/>
    <cellStyle name="Calculation 3 3 2 4 2 9" xfId="19838"/>
    <cellStyle name="Calculation 3 3 2 4 3" xfId="19839"/>
    <cellStyle name="Calculation 3 3 2 4 4" xfId="19840"/>
    <cellStyle name="Calculation 3 3 2 4 5" xfId="19841"/>
    <cellStyle name="Calculation 3 3 2 4 6" xfId="19842"/>
    <cellStyle name="Calculation 3 3 2 4 7" xfId="19843"/>
    <cellStyle name="Calculation 3 3 2 4 8" xfId="19844"/>
    <cellStyle name="Calculation 3 3 2 4 9" xfId="19845"/>
    <cellStyle name="Calculation 3 3 2 5" xfId="19846"/>
    <cellStyle name="Calculation 3 3 3" xfId="19847"/>
    <cellStyle name="Calculation 3 3 3 2" xfId="19848"/>
    <cellStyle name="Calculation 3 3 3 2 10" xfId="19849"/>
    <cellStyle name="Calculation 3 3 3 2 11" xfId="19850"/>
    <cellStyle name="Calculation 3 3 3 2 12" xfId="19851"/>
    <cellStyle name="Calculation 3 3 3 2 13" xfId="19852"/>
    <cellStyle name="Calculation 3 3 3 2 14" xfId="19853"/>
    <cellStyle name="Calculation 3 3 3 2 15" xfId="19854"/>
    <cellStyle name="Calculation 3 3 3 2 16" xfId="19855"/>
    <cellStyle name="Calculation 3 3 3 2 17" xfId="19856"/>
    <cellStyle name="Calculation 3 3 3 2 18" xfId="19857"/>
    <cellStyle name="Calculation 3 3 3 2 19" xfId="19858"/>
    <cellStyle name="Calculation 3 3 3 2 2" xfId="19859"/>
    <cellStyle name="Calculation 3 3 3 2 2 2" xfId="19860"/>
    <cellStyle name="Calculation 3 3 3 2 2 3" xfId="19861"/>
    <cellStyle name="Calculation 3 3 3 2 2 4" xfId="19862"/>
    <cellStyle name="Calculation 3 3 3 2 2 5" xfId="19863"/>
    <cellStyle name="Calculation 3 3 3 2 2 6" xfId="19864"/>
    <cellStyle name="Calculation 3 3 3 2 2 7" xfId="19865"/>
    <cellStyle name="Calculation 3 3 3 2 2 8" xfId="19866"/>
    <cellStyle name="Calculation 3 3 3 2 2 9" xfId="19867"/>
    <cellStyle name="Calculation 3 3 3 2 3" xfId="19868"/>
    <cellStyle name="Calculation 3 3 3 2 4" xfId="19869"/>
    <cellStyle name="Calculation 3 3 3 2 5" xfId="19870"/>
    <cellStyle name="Calculation 3 3 3 2 6" xfId="19871"/>
    <cellStyle name="Calculation 3 3 3 2 7" xfId="19872"/>
    <cellStyle name="Calculation 3 3 3 2 8" xfId="19873"/>
    <cellStyle name="Calculation 3 3 3 2 9" xfId="19874"/>
    <cellStyle name="Calculation 3 3 3 3" xfId="19875"/>
    <cellStyle name="Calculation 3 3 3 3 10" xfId="19876"/>
    <cellStyle name="Calculation 3 3 3 3 11" xfId="19877"/>
    <cellStyle name="Calculation 3 3 3 3 12" xfId="19878"/>
    <cellStyle name="Calculation 3 3 3 3 13" xfId="19879"/>
    <cellStyle name="Calculation 3 3 3 3 14" xfId="19880"/>
    <cellStyle name="Calculation 3 3 3 3 15" xfId="19881"/>
    <cellStyle name="Calculation 3 3 3 3 16" xfId="19882"/>
    <cellStyle name="Calculation 3 3 3 3 17" xfId="19883"/>
    <cellStyle name="Calculation 3 3 3 3 18" xfId="19884"/>
    <cellStyle name="Calculation 3 3 3 3 2" xfId="19885"/>
    <cellStyle name="Calculation 3 3 3 3 2 2" xfId="19886"/>
    <cellStyle name="Calculation 3 3 3 3 2 3" xfId="19887"/>
    <cellStyle name="Calculation 3 3 3 3 2 4" xfId="19888"/>
    <cellStyle name="Calculation 3 3 3 3 2 5" xfId="19889"/>
    <cellStyle name="Calculation 3 3 3 3 2 6" xfId="19890"/>
    <cellStyle name="Calculation 3 3 3 3 2 7" xfId="19891"/>
    <cellStyle name="Calculation 3 3 3 3 2 8" xfId="19892"/>
    <cellStyle name="Calculation 3 3 3 3 2 9" xfId="19893"/>
    <cellStyle name="Calculation 3 3 3 3 3" xfId="19894"/>
    <cellStyle name="Calculation 3 3 3 3 4" xfId="19895"/>
    <cellStyle name="Calculation 3 3 3 3 5" xfId="19896"/>
    <cellStyle name="Calculation 3 3 3 3 6" xfId="19897"/>
    <cellStyle name="Calculation 3 3 3 3 7" xfId="19898"/>
    <cellStyle name="Calculation 3 3 3 3 8" xfId="19899"/>
    <cellStyle name="Calculation 3 3 3 3 9" xfId="19900"/>
    <cellStyle name="Calculation 3 3 3 4" xfId="19901"/>
    <cellStyle name="Calculation 3 3 3 4 10" xfId="19902"/>
    <cellStyle name="Calculation 3 3 3 4 11" xfId="19903"/>
    <cellStyle name="Calculation 3 3 3 4 12" xfId="19904"/>
    <cellStyle name="Calculation 3 3 3 4 13" xfId="19905"/>
    <cellStyle name="Calculation 3 3 3 4 14" xfId="19906"/>
    <cellStyle name="Calculation 3 3 3 4 15" xfId="19907"/>
    <cellStyle name="Calculation 3 3 3 4 16" xfId="19908"/>
    <cellStyle name="Calculation 3 3 3 4 17" xfId="19909"/>
    <cellStyle name="Calculation 3 3 3 4 18" xfId="19910"/>
    <cellStyle name="Calculation 3 3 3 4 19" xfId="19911"/>
    <cellStyle name="Calculation 3 3 3 4 2" xfId="19912"/>
    <cellStyle name="Calculation 3 3 3 4 2 2" xfId="19913"/>
    <cellStyle name="Calculation 3 3 3 4 2 3" xfId="19914"/>
    <cellStyle name="Calculation 3 3 3 4 2 4" xfId="19915"/>
    <cellStyle name="Calculation 3 3 3 4 2 5" xfId="19916"/>
    <cellStyle name="Calculation 3 3 3 4 2 6" xfId="19917"/>
    <cellStyle name="Calculation 3 3 3 4 2 7" xfId="19918"/>
    <cellStyle name="Calculation 3 3 3 4 2 8" xfId="19919"/>
    <cellStyle name="Calculation 3 3 3 4 2 9" xfId="19920"/>
    <cellStyle name="Calculation 3 3 3 4 3" xfId="19921"/>
    <cellStyle name="Calculation 3 3 3 4 4" xfId="19922"/>
    <cellStyle name="Calculation 3 3 3 4 5" xfId="19923"/>
    <cellStyle name="Calculation 3 3 3 4 6" xfId="19924"/>
    <cellStyle name="Calculation 3 3 3 4 7" xfId="19925"/>
    <cellStyle name="Calculation 3 3 3 4 8" xfId="19926"/>
    <cellStyle name="Calculation 3 3 3 4 9" xfId="19927"/>
    <cellStyle name="Calculation 3 3 4" xfId="19928"/>
    <cellStyle name="Calculation 3 3 4 10" xfId="19929"/>
    <cellStyle name="Calculation 3 3 4 11" xfId="19930"/>
    <cellStyle name="Calculation 3 3 4 12" xfId="19931"/>
    <cellStyle name="Calculation 3 3 4 13" xfId="19932"/>
    <cellStyle name="Calculation 3 3 4 14" xfId="19933"/>
    <cellStyle name="Calculation 3 3 4 15" xfId="19934"/>
    <cellStyle name="Calculation 3 3 4 16" xfId="19935"/>
    <cellStyle name="Calculation 3 3 4 17" xfId="19936"/>
    <cellStyle name="Calculation 3 3 4 18" xfId="19937"/>
    <cellStyle name="Calculation 3 3 4 19" xfId="19938"/>
    <cellStyle name="Calculation 3 3 4 2" xfId="19939"/>
    <cellStyle name="Calculation 3 3 4 2 2" xfId="19940"/>
    <cellStyle name="Calculation 3 3 4 2 3" xfId="19941"/>
    <cellStyle name="Calculation 3 3 4 2 4" xfId="19942"/>
    <cellStyle name="Calculation 3 3 4 2 5" xfId="19943"/>
    <cellStyle name="Calculation 3 3 4 2 6" xfId="19944"/>
    <cellStyle name="Calculation 3 3 4 2 7" xfId="19945"/>
    <cellStyle name="Calculation 3 3 4 2 8" xfId="19946"/>
    <cellStyle name="Calculation 3 3 4 2 9" xfId="19947"/>
    <cellStyle name="Calculation 3 3 4 3" xfId="19948"/>
    <cellStyle name="Calculation 3 3 4 4" xfId="19949"/>
    <cellStyle name="Calculation 3 3 4 5" xfId="19950"/>
    <cellStyle name="Calculation 3 3 4 6" xfId="19951"/>
    <cellStyle name="Calculation 3 3 4 7" xfId="19952"/>
    <cellStyle name="Calculation 3 3 4 8" xfId="19953"/>
    <cellStyle name="Calculation 3 3 4 9" xfId="19954"/>
    <cellStyle name="Calculation 3 3 5" xfId="19955"/>
    <cellStyle name="Calculation 3 3 5 10" xfId="19956"/>
    <cellStyle name="Calculation 3 3 5 11" xfId="19957"/>
    <cellStyle name="Calculation 3 3 5 12" xfId="19958"/>
    <cellStyle name="Calculation 3 3 5 13" xfId="19959"/>
    <cellStyle name="Calculation 3 3 5 14" xfId="19960"/>
    <cellStyle name="Calculation 3 3 5 15" xfId="19961"/>
    <cellStyle name="Calculation 3 3 5 16" xfId="19962"/>
    <cellStyle name="Calculation 3 3 5 17" xfId="19963"/>
    <cellStyle name="Calculation 3 3 5 18" xfId="19964"/>
    <cellStyle name="Calculation 3 3 5 2" xfId="19965"/>
    <cellStyle name="Calculation 3 3 5 2 2" xfId="19966"/>
    <cellStyle name="Calculation 3 3 5 2 3" xfId="19967"/>
    <cellStyle name="Calculation 3 3 5 2 4" xfId="19968"/>
    <cellStyle name="Calculation 3 3 5 2 5" xfId="19969"/>
    <cellStyle name="Calculation 3 3 5 2 6" xfId="19970"/>
    <cellStyle name="Calculation 3 3 5 2 7" xfId="19971"/>
    <cellStyle name="Calculation 3 3 5 2 8" xfId="19972"/>
    <cellStyle name="Calculation 3 3 5 2 9" xfId="19973"/>
    <cellStyle name="Calculation 3 3 5 3" xfId="19974"/>
    <cellStyle name="Calculation 3 3 5 4" xfId="19975"/>
    <cellStyle name="Calculation 3 3 5 5" xfId="19976"/>
    <cellStyle name="Calculation 3 3 5 6" xfId="19977"/>
    <cellStyle name="Calculation 3 3 5 7" xfId="19978"/>
    <cellStyle name="Calculation 3 3 5 8" xfId="19979"/>
    <cellStyle name="Calculation 3 3 5 9" xfId="19980"/>
    <cellStyle name="Calculation 3 3 6" xfId="19981"/>
    <cellStyle name="Calculation 3 3 6 10" xfId="19982"/>
    <cellStyle name="Calculation 3 3 6 11" xfId="19983"/>
    <cellStyle name="Calculation 3 3 6 12" xfId="19984"/>
    <cellStyle name="Calculation 3 3 6 13" xfId="19985"/>
    <cellStyle name="Calculation 3 3 6 14" xfId="19986"/>
    <cellStyle name="Calculation 3 3 6 15" xfId="19987"/>
    <cellStyle name="Calculation 3 3 6 16" xfId="19988"/>
    <cellStyle name="Calculation 3 3 6 17" xfId="19989"/>
    <cellStyle name="Calculation 3 3 6 18" xfId="19990"/>
    <cellStyle name="Calculation 3 3 6 19" xfId="19991"/>
    <cellStyle name="Calculation 3 3 6 2" xfId="19992"/>
    <cellStyle name="Calculation 3 3 6 2 2" xfId="19993"/>
    <cellStyle name="Calculation 3 3 6 2 3" xfId="19994"/>
    <cellStyle name="Calculation 3 3 6 2 4" xfId="19995"/>
    <cellStyle name="Calculation 3 3 6 2 5" xfId="19996"/>
    <cellStyle name="Calculation 3 3 6 2 6" xfId="19997"/>
    <cellStyle name="Calculation 3 3 6 2 7" xfId="19998"/>
    <cellStyle name="Calculation 3 3 6 2 8" xfId="19999"/>
    <cellStyle name="Calculation 3 3 6 2 9" xfId="20000"/>
    <cellStyle name="Calculation 3 3 6 3" xfId="20001"/>
    <cellStyle name="Calculation 3 3 6 4" xfId="20002"/>
    <cellStyle name="Calculation 3 3 6 5" xfId="20003"/>
    <cellStyle name="Calculation 3 3 6 6" xfId="20004"/>
    <cellStyle name="Calculation 3 3 6 7" xfId="20005"/>
    <cellStyle name="Calculation 3 3 6 8" xfId="20006"/>
    <cellStyle name="Calculation 3 3 6 9" xfId="20007"/>
    <cellStyle name="Calculation 3 4" xfId="20008"/>
    <cellStyle name="Calculation 3 4 2" xfId="20009"/>
    <cellStyle name="Calculation 3 4 2 2" xfId="20010"/>
    <cellStyle name="Calculation 3 4 2 2 10" xfId="20011"/>
    <cellStyle name="Calculation 3 4 2 2 11" xfId="20012"/>
    <cellStyle name="Calculation 3 4 2 2 12" xfId="20013"/>
    <cellStyle name="Calculation 3 4 2 2 13" xfId="20014"/>
    <cellStyle name="Calculation 3 4 2 2 14" xfId="20015"/>
    <cellStyle name="Calculation 3 4 2 2 15" xfId="20016"/>
    <cellStyle name="Calculation 3 4 2 2 16" xfId="20017"/>
    <cellStyle name="Calculation 3 4 2 2 17" xfId="20018"/>
    <cellStyle name="Calculation 3 4 2 2 18" xfId="20019"/>
    <cellStyle name="Calculation 3 4 2 2 19" xfId="20020"/>
    <cellStyle name="Calculation 3 4 2 2 2" xfId="20021"/>
    <cellStyle name="Calculation 3 4 2 2 2 2" xfId="20022"/>
    <cellStyle name="Calculation 3 4 2 2 2 3" xfId="20023"/>
    <cellStyle name="Calculation 3 4 2 2 2 4" xfId="20024"/>
    <cellStyle name="Calculation 3 4 2 2 2 5" xfId="20025"/>
    <cellStyle name="Calculation 3 4 2 2 2 6" xfId="20026"/>
    <cellStyle name="Calculation 3 4 2 2 2 7" xfId="20027"/>
    <cellStyle name="Calculation 3 4 2 2 2 8" xfId="20028"/>
    <cellStyle name="Calculation 3 4 2 2 2 9" xfId="20029"/>
    <cellStyle name="Calculation 3 4 2 2 3" xfId="20030"/>
    <cellStyle name="Calculation 3 4 2 2 4" xfId="20031"/>
    <cellStyle name="Calculation 3 4 2 2 5" xfId="20032"/>
    <cellStyle name="Calculation 3 4 2 2 6" xfId="20033"/>
    <cellStyle name="Calculation 3 4 2 2 7" xfId="20034"/>
    <cellStyle name="Calculation 3 4 2 2 8" xfId="20035"/>
    <cellStyle name="Calculation 3 4 2 2 9" xfId="20036"/>
    <cellStyle name="Calculation 3 4 2 3" xfId="20037"/>
    <cellStyle name="Calculation 3 4 2 3 10" xfId="20038"/>
    <cellStyle name="Calculation 3 4 2 3 11" xfId="20039"/>
    <cellStyle name="Calculation 3 4 2 3 12" xfId="20040"/>
    <cellStyle name="Calculation 3 4 2 3 13" xfId="20041"/>
    <cellStyle name="Calculation 3 4 2 3 14" xfId="20042"/>
    <cellStyle name="Calculation 3 4 2 3 15" xfId="20043"/>
    <cellStyle name="Calculation 3 4 2 3 16" xfId="20044"/>
    <cellStyle name="Calculation 3 4 2 3 17" xfId="20045"/>
    <cellStyle name="Calculation 3 4 2 3 18" xfId="20046"/>
    <cellStyle name="Calculation 3 4 2 3 2" xfId="20047"/>
    <cellStyle name="Calculation 3 4 2 3 2 2" xfId="20048"/>
    <cellStyle name="Calculation 3 4 2 3 2 3" xfId="20049"/>
    <cellStyle name="Calculation 3 4 2 3 2 4" xfId="20050"/>
    <cellStyle name="Calculation 3 4 2 3 2 5" xfId="20051"/>
    <cellStyle name="Calculation 3 4 2 3 2 6" xfId="20052"/>
    <cellStyle name="Calculation 3 4 2 3 2 7" xfId="20053"/>
    <cellStyle name="Calculation 3 4 2 3 2 8" xfId="20054"/>
    <cellStyle name="Calculation 3 4 2 3 2 9" xfId="20055"/>
    <cellStyle name="Calculation 3 4 2 3 3" xfId="20056"/>
    <cellStyle name="Calculation 3 4 2 3 4" xfId="20057"/>
    <cellStyle name="Calculation 3 4 2 3 5" xfId="20058"/>
    <cellStyle name="Calculation 3 4 2 3 6" xfId="20059"/>
    <cellStyle name="Calculation 3 4 2 3 7" xfId="20060"/>
    <cellStyle name="Calculation 3 4 2 3 8" xfId="20061"/>
    <cellStyle name="Calculation 3 4 2 3 9" xfId="20062"/>
    <cellStyle name="Calculation 3 4 2 4" xfId="20063"/>
    <cellStyle name="Calculation 3 4 2 4 10" xfId="20064"/>
    <cellStyle name="Calculation 3 4 2 4 11" xfId="20065"/>
    <cellStyle name="Calculation 3 4 2 4 12" xfId="20066"/>
    <cellStyle name="Calculation 3 4 2 4 13" xfId="20067"/>
    <cellStyle name="Calculation 3 4 2 4 14" xfId="20068"/>
    <cellStyle name="Calculation 3 4 2 4 15" xfId="20069"/>
    <cellStyle name="Calculation 3 4 2 4 16" xfId="20070"/>
    <cellStyle name="Calculation 3 4 2 4 17" xfId="20071"/>
    <cellStyle name="Calculation 3 4 2 4 18" xfId="20072"/>
    <cellStyle name="Calculation 3 4 2 4 19" xfId="20073"/>
    <cellStyle name="Calculation 3 4 2 4 2" xfId="20074"/>
    <cellStyle name="Calculation 3 4 2 4 2 2" xfId="20075"/>
    <cellStyle name="Calculation 3 4 2 4 2 3" xfId="20076"/>
    <cellStyle name="Calculation 3 4 2 4 2 4" xfId="20077"/>
    <cellStyle name="Calculation 3 4 2 4 2 5" xfId="20078"/>
    <cellStyle name="Calculation 3 4 2 4 2 6" xfId="20079"/>
    <cellStyle name="Calculation 3 4 2 4 2 7" xfId="20080"/>
    <cellStyle name="Calculation 3 4 2 4 2 8" xfId="20081"/>
    <cellStyle name="Calculation 3 4 2 4 2 9" xfId="20082"/>
    <cellStyle name="Calculation 3 4 2 4 3" xfId="20083"/>
    <cellStyle name="Calculation 3 4 2 4 4" xfId="20084"/>
    <cellStyle name="Calculation 3 4 2 4 5" xfId="20085"/>
    <cellStyle name="Calculation 3 4 2 4 6" xfId="20086"/>
    <cellStyle name="Calculation 3 4 2 4 7" xfId="20087"/>
    <cellStyle name="Calculation 3 4 2 4 8" xfId="20088"/>
    <cellStyle name="Calculation 3 4 2 4 9" xfId="20089"/>
    <cellStyle name="Calculation 3 4 2 5" xfId="20090"/>
    <cellStyle name="Calculation 3 4 3" xfId="20091"/>
    <cellStyle name="Calculation 3 4 3 2" xfId="20092"/>
    <cellStyle name="Calculation 3 4 3 2 10" xfId="20093"/>
    <cellStyle name="Calculation 3 4 3 2 11" xfId="20094"/>
    <cellStyle name="Calculation 3 4 3 2 12" xfId="20095"/>
    <cellStyle name="Calculation 3 4 3 2 13" xfId="20096"/>
    <cellStyle name="Calculation 3 4 3 2 14" xfId="20097"/>
    <cellStyle name="Calculation 3 4 3 2 15" xfId="20098"/>
    <cellStyle name="Calculation 3 4 3 2 16" xfId="20099"/>
    <cellStyle name="Calculation 3 4 3 2 17" xfId="20100"/>
    <cellStyle name="Calculation 3 4 3 2 18" xfId="20101"/>
    <cellStyle name="Calculation 3 4 3 2 19" xfId="20102"/>
    <cellStyle name="Calculation 3 4 3 2 2" xfId="20103"/>
    <cellStyle name="Calculation 3 4 3 2 2 2" xfId="20104"/>
    <cellStyle name="Calculation 3 4 3 2 2 3" xfId="20105"/>
    <cellStyle name="Calculation 3 4 3 2 2 4" xfId="20106"/>
    <cellStyle name="Calculation 3 4 3 2 2 5" xfId="20107"/>
    <cellStyle name="Calculation 3 4 3 2 2 6" xfId="20108"/>
    <cellStyle name="Calculation 3 4 3 2 2 7" xfId="20109"/>
    <cellStyle name="Calculation 3 4 3 2 2 8" xfId="20110"/>
    <cellStyle name="Calculation 3 4 3 2 2 9" xfId="20111"/>
    <cellStyle name="Calculation 3 4 3 2 3" xfId="20112"/>
    <cellStyle name="Calculation 3 4 3 2 4" xfId="20113"/>
    <cellStyle name="Calculation 3 4 3 2 5" xfId="20114"/>
    <cellStyle name="Calculation 3 4 3 2 6" xfId="20115"/>
    <cellStyle name="Calculation 3 4 3 2 7" xfId="20116"/>
    <cellStyle name="Calculation 3 4 3 2 8" xfId="20117"/>
    <cellStyle name="Calculation 3 4 3 2 9" xfId="20118"/>
    <cellStyle name="Calculation 3 4 3 3" xfId="20119"/>
    <cellStyle name="Calculation 3 4 3 3 10" xfId="20120"/>
    <cellStyle name="Calculation 3 4 3 3 11" xfId="20121"/>
    <cellStyle name="Calculation 3 4 3 3 12" xfId="20122"/>
    <cellStyle name="Calculation 3 4 3 3 13" xfId="20123"/>
    <cellStyle name="Calculation 3 4 3 3 14" xfId="20124"/>
    <cellStyle name="Calculation 3 4 3 3 15" xfId="20125"/>
    <cellStyle name="Calculation 3 4 3 3 16" xfId="20126"/>
    <cellStyle name="Calculation 3 4 3 3 17" xfId="20127"/>
    <cellStyle name="Calculation 3 4 3 3 18" xfId="20128"/>
    <cellStyle name="Calculation 3 4 3 3 2" xfId="20129"/>
    <cellStyle name="Calculation 3 4 3 3 2 2" xfId="20130"/>
    <cellStyle name="Calculation 3 4 3 3 2 3" xfId="20131"/>
    <cellStyle name="Calculation 3 4 3 3 2 4" xfId="20132"/>
    <cellStyle name="Calculation 3 4 3 3 2 5" xfId="20133"/>
    <cellStyle name="Calculation 3 4 3 3 2 6" xfId="20134"/>
    <cellStyle name="Calculation 3 4 3 3 2 7" xfId="20135"/>
    <cellStyle name="Calculation 3 4 3 3 2 8" xfId="20136"/>
    <cellStyle name="Calculation 3 4 3 3 2 9" xfId="20137"/>
    <cellStyle name="Calculation 3 4 3 3 3" xfId="20138"/>
    <cellStyle name="Calculation 3 4 3 3 4" xfId="20139"/>
    <cellStyle name="Calculation 3 4 3 3 5" xfId="20140"/>
    <cellStyle name="Calculation 3 4 3 3 6" xfId="20141"/>
    <cellStyle name="Calculation 3 4 3 3 7" xfId="20142"/>
    <cellStyle name="Calculation 3 4 3 3 8" xfId="20143"/>
    <cellStyle name="Calculation 3 4 3 3 9" xfId="20144"/>
    <cellStyle name="Calculation 3 4 3 4" xfId="20145"/>
    <cellStyle name="Calculation 3 4 3 4 10" xfId="20146"/>
    <cellStyle name="Calculation 3 4 3 4 11" xfId="20147"/>
    <cellStyle name="Calculation 3 4 3 4 12" xfId="20148"/>
    <cellStyle name="Calculation 3 4 3 4 13" xfId="20149"/>
    <cellStyle name="Calculation 3 4 3 4 14" xfId="20150"/>
    <cellStyle name="Calculation 3 4 3 4 15" xfId="20151"/>
    <cellStyle name="Calculation 3 4 3 4 16" xfId="20152"/>
    <cellStyle name="Calculation 3 4 3 4 17" xfId="20153"/>
    <cellStyle name="Calculation 3 4 3 4 18" xfId="20154"/>
    <cellStyle name="Calculation 3 4 3 4 19" xfId="20155"/>
    <cellStyle name="Calculation 3 4 3 4 2" xfId="20156"/>
    <cellStyle name="Calculation 3 4 3 4 2 2" xfId="20157"/>
    <cellStyle name="Calculation 3 4 3 4 2 3" xfId="20158"/>
    <cellStyle name="Calculation 3 4 3 4 2 4" xfId="20159"/>
    <cellStyle name="Calculation 3 4 3 4 2 5" xfId="20160"/>
    <cellStyle name="Calculation 3 4 3 4 2 6" xfId="20161"/>
    <cellStyle name="Calculation 3 4 3 4 2 7" xfId="20162"/>
    <cellStyle name="Calculation 3 4 3 4 2 8" xfId="20163"/>
    <cellStyle name="Calculation 3 4 3 4 2 9" xfId="20164"/>
    <cellStyle name="Calculation 3 4 3 4 3" xfId="20165"/>
    <cellStyle name="Calculation 3 4 3 4 4" xfId="20166"/>
    <cellStyle name="Calculation 3 4 3 4 5" xfId="20167"/>
    <cellStyle name="Calculation 3 4 3 4 6" xfId="20168"/>
    <cellStyle name="Calculation 3 4 3 4 7" xfId="20169"/>
    <cellStyle name="Calculation 3 4 3 4 8" xfId="20170"/>
    <cellStyle name="Calculation 3 4 3 4 9" xfId="20171"/>
    <cellStyle name="Calculation 3 4 4" xfId="20172"/>
    <cellStyle name="Calculation 3 4 4 10" xfId="20173"/>
    <cellStyle name="Calculation 3 4 4 11" xfId="20174"/>
    <cellStyle name="Calculation 3 4 4 12" xfId="20175"/>
    <cellStyle name="Calculation 3 4 4 13" xfId="20176"/>
    <cellStyle name="Calculation 3 4 4 14" xfId="20177"/>
    <cellStyle name="Calculation 3 4 4 15" xfId="20178"/>
    <cellStyle name="Calculation 3 4 4 16" xfId="20179"/>
    <cellStyle name="Calculation 3 4 4 17" xfId="20180"/>
    <cellStyle name="Calculation 3 4 4 18" xfId="20181"/>
    <cellStyle name="Calculation 3 4 4 19" xfId="20182"/>
    <cellStyle name="Calculation 3 4 4 2" xfId="20183"/>
    <cellStyle name="Calculation 3 4 4 2 2" xfId="20184"/>
    <cellStyle name="Calculation 3 4 4 2 3" xfId="20185"/>
    <cellStyle name="Calculation 3 4 4 2 4" xfId="20186"/>
    <cellStyle name="Calculation 3 4 4 2 5" xfId="20187"/>
    <cellStyle name="Calculation 3 4 4 2 6" xfId="20188"/>
    <cellStyle name="Calculation 3 4 4 2 7" xfId="20189"/>
    <cellStyle name="Calculation 3 4 4 2 8" xfId="20190"/>
    <cellStyle name="Calculation 3 4 4 2 9" xfId="20191"/>
    <cellStyle name="Calculation 3 4 4 3" xfId="20192"/>
    <cellStyle name="Calculation 3 4 4 4" xfId="20193"/>
    <cellStyle name="Calculation 3 4 4 5" xfId="20194"/>
    <cellStyle name="Calculation 3 4 4 6" xfId="20195"/>
    <cellStyle name="Calculation 3 4 4 7" xfId="20196"/>
    <cellStyle name="Calculation 3 4 4 8" xfId="20197"/>
    <cellStyle name="Calculation 3 4 4 9" xfId="20198"/>
    <cellStyle name="Calculation 3 4 5" xfId="20199"/>
    <cellStyle name="Calculation 3 4 5 10" xfId="20200"/>
    <cellStyle name="Calculation 3 4 5 11" xfId="20201"/>
    <cellStyle name="Calculation 3 4 5 12" xfId="20202"/>
    <cellStyle name="Calculation 3 4 5 13" xfId="20203"/>
    <cellStyle name="Calculation 3 4 5 14" xfId="20204"/>
    <cellStyle name="Calculation 3 4 5 15" xfId="20205"/>
    <cellStyle name="Calculation 3 4 5 16" xfId="20206"/>
    <cellStyle name="Calculation 3 4 5 17" xfId="20207"/>
    <cellStyle name="Calculation 3 4 5 18" xfId="20208"/>
    <cellStyle name="Calculation 3 4 5 2" xfId="20209"/>
    <cellStyle name="Calculation 3 4 5 2 2" xfId="20210"/>
    <cellStyle name="Calculation 3 4 5 2 3" xfId="20211"/>
    <cellStyle name="Calculation 3 4 5 2 4" xfId="20212"/>
    <cellStyle name="Calculation 3 4 5 2 5" xfId="20213"/>
    <cellStyle name="Calculation 3 4 5 2 6" xfId="20214"/>
    <cellStyle name="Calculation 3 4 5 2 7" xfId="20215"/>
    <cellStyle name="Calculation 3 4 5 2 8" xfId="20216"/>
    <cellStyle name="Calculation 3 4 5 2 9" xfId="20217"/>
    <cellStyle name="Calculation 3 4 5 3" xfId="20218"/>
    <cellStyle name="Calculation 3 4 5 4" xfId="20219"/>
    <cellStyle name="Calculation 3 4 5 5" xfId="20220"/>
    <cellStyle name="Calculation 3 4 5 6" xfId="20221"/>
    <cellStyle name="Calculation 3 4 5 7" xfId="20222"/>
    <cellStyle name="Calculation 3 4 5 8" xfId="20223"/>
    <cellStyle name="Calculation 3 4 5 9" xfId="20224"/>
    <cellStyle name="Calculation 3 4 6" xfId="20225"/>
    <cellStyle name="Calculation 3 4 6 10" xfId="20226"/>
    <cellStyle name="Calculation 3 4 6 11" xfId="20227"/>
    <cellStyle name="Calculation 3 4 6 12" xfId="20228"/>
    <cellStyle name="Calculation 3 4 6 13" xfId="20229"/>
    <cellStyle name="Calculation 3 4 6 14" xfId="20230"/>
    <cellStyle name="Calculation 3 4 6 15" xfId="20231"/>
    <cellStyle name="Calculation 3 4 6 16" xfId="20232"/>
    <cellStyle name="Calculation 3 4 6 17" xfId="20233"/>
    <cellStyle name="Calculation 3 4 6 18" xfId="20234"/>
    <cellStyle name="Calculation 3 4 6 19" xfId="20235"/>
    <cellStyle name="Calculation 3 4 6 2" xfId="20236"/>
    <cellStyle name="Calculation 3 4 6 2 2" xfId="20237"/>
    <cellStyle name="Calculation 3 4 6 2 3" xfId="20238"/>
    <cellStyle name="Calculation 3 4 6 2 4" xfId="20239"/>
    <cellStyle name="Calculation 3 4 6 2 5" xfId="20240"/>
    <cellStyle name="Calculation 3 4 6 2 6" xfId="20241"/>
    <cellStyle name="Calculation 3 4 6 2 7" xfId="20242"/>
    <cellStyle name="Calculation 3 4 6 2 8" xfId="20243"/>
    <cellStyle name="Calculation 3 4 6 2 9" xfId="20244"/>
    <cellStyle name="Calculation 3 4 6 3" xfId="20245"/>
    <cellStyle name="Calculation 3 4 6 4" xfId="20246"/>
    <cellStyle name="Calculation 3 4 6 5" xfId="20247"/>
    <cellStyle name="Calculation 3 4 6 6" xfId="20248"/>
    <cellStyle name="Calculation 3 4 6 7" xfId="20249"/>
    <cellStyle name="Calculation 3 4 6 8" xfId="20250"/>
    <cellStyle name="Calculation 3 4 6 9" xfId="20251"/>
    <cellStyle name="Calculation 3 5" xfId="20252"/>
    <cellStyle name="Calculation 3 5 2" xfId="20253"/>
    <cellStyle name="Calculation 3 5 2 2" xfId="20254"/>
    <cellStyle name="Calculation 3 5 2 2 10" xfId="20255"/>
    <cellStyle name="Calculation 3 5 2 2 11" xfId="20256"/>
    <cellStyle name="Calculation 3 5 2 2 12" xfId="20257"/>
    <cellStyle name="Calculation 3 5 2 2 13" xfId="20258"/>
    <cellStyle name="Calculation 3 5 2 2 14" xfId="20259"/>
    <cellStyle name="Calculation 3 5 2 2 15" xfId="20260"/>
    <cellStyle name="Calculation 3 5 2 2 16" xfId="20261"/>
    <cellStyle name="Calculation 3 5 2 2 17" xfId="20262"/>
    <cellStyle name="Calculation 3 5 2 2 18" xfId="20263"/>
    <cellStyle name="Calculation 3 5 2 2 19" xfId="20264"/>
    <cellStyle name="Calculation 3 5 2 2 2" xfId="20265"/>
    <cellStyle name="Calculation 3 5 2 2 2 2" xfId="20266"/>
    <cellStyle name="Calculation 3 5 2 2 2 3" xfId="20267"/>
    <cellStyle name="Calculation 3 5 2 2 2 4" xfId="20268"/>
    <cellStyle name="Calculation 3 5 2 2 2 5" xfId="20269"/>
    <cellStyle name="Calculation 3 5 2 2 2 6" xfId="20270"/>
    <cellStyle name="Calculation 3 5 2 2 2 7" xfId="20271"/>
    <cellStyle name="Calculation 3 5 2 2 2 8" xfId="20272"/>
    <cellStyle name="Calculation 3 5 2 2 2 9" xfId="20273"/>
    <cellStyle name="Calculation 3 5 2 2 3" xfId="20274"/>
    <cellStyle name="Calculation 3 5 2 2 4" xfId="20275"/>
    <cellStyle name="Calculation 3 5 2 2 5" xfId="20276"/>
    <cellStyle name="Calculation 3 5 2 2 6" xfId="20277"/>
    <cellStyle name="Calculation 3 5 2 2 7" xfId="20278"/>
    <cellStyle name="Calculation 3 5 2 2 8" xfId="20279"/>
    <cellStyle name="Calculation 3 5 2 2 9" xfId="20280"/>
    <cellStyle name="Calculation 3 5 2 3" xfId="20281"/>
    <cellStyle name="Calculation 3 5 2 3 10" xfId="20282"/>
    <cellStyle name="Calculation 3 5 2 3 11" xfId="20283"/>
    <cellStyle name="Calculation 3 5 2 3 12" xfId="20284"/>
    <cellStyle name="Calculation 3 5 2 3 13" xfId="20285"/>
    <cellStyle name="Calculation 3 5 2 3 14" xfId="20286"/>
    <cellStyle name="Calculation 3 5 2 3 15" xfId="20287"/>
    <cellStyle name="Calculation 3 5 2 3 16" xfId="20288"/>
    <cellStyle name="Calculation 3 5 2 3 17" xfId="20289"/>
    <cellStyle name="Calculation 3 5 2 3 18" xfId="20290"/>
    <cellStyle name="Calculation 3 5 2 3 2" xfId="20291"/>
    <cellStyle name="Calculation 3 5 2 3 2 2" xfId="20292"/>
    <cellStyle name="Calculation 3 5 2 3 2 3" xfId="20293"/>
    <cellStyle name="Calculation 3 5 2 3 2 4" xfId="20294"/>
    <cellStyle name="Calculation 3 5 2 3 2 5" xfId="20295"/>
    <cellStyle name="Calculation 3 5 2 3 2 6" xfId="20296"/>
    <cellStyle name="Calculation 3 5 2 3 2 7" xfId="20297"/>
    <cellStyle name="Calculation 3 5 2 3 2 8" xfId="20298"/>
    <cellStyle name="Calculation 3 5 2 3 2 9" xfId="20299"/>
    <cellStyle name="Calculation 3 5 2 3 3" xfId="20300"/>
    <cellStyle name="Calculation 3 5 2 3 4" xfId="20301"/>
    <cellStyle name="Calculation 3 5 2 3 5" xfId="20302"/>
    <cellStyle name="Calculation 3 5 2 3 6" xfId="20303"/>
    <cellStyle name="Calculation 3 5 2 3 7" xfId="20304"/>
    <cellStyle name="Calculation 3 5 2 3 8" xfId="20305"/>
    <cellStyle name="Calculation 3 5 2 3 9" xfId="20306"/>
    <cellStyle name="Calculation 3 5 2 4" xfId="20307"/>
    <cellStyle name="Calculation 3 5 2 4 10" xfId="20308"/>
    <cellStyle name="Calculation 3 5 2 4 11" xfId="20309"/>
    <cellStyle name="Calculation 3 5 2 4 12" xfId="20310"/>
    <cellStyle name="Calculation 3 5 2 4 13" xfId="20311"/>
    <cellStyle name="Calculation 3 5 2 4 14" xfId="20312"/>
    <cellStyle name="Calculation 3 5 2 4 15" xfId="20313"/>
    <cellStyle name="Calculation 3 5 2 4 16" xfId="20314"/>
    <cellStyle name="Calculation 3 5 2 4 17" xfId="20315"/>
    <cellStyle name="Calculation 3 5 2 4 18" xfId="20316"/>
    <cellStyle name="Calculation 3 5 2 4 19" xfId="20317"/>
    <cellStyle name="Calculation 3 5 2 4 2" xfId="20318"/>
    <cellStyle name="Calculation 3 5 2 4 2 2" xfId="20319"/>
    <cellStyle name="Calculation 3 5 2 4 2 3" xfId="20320"/>
    <cellStyle name="Calculation 3 5 2 4 2 4" xfId="20321"/>
    <cellStyle name="Calculation 3 5 2 4 2 5" xfId="20322"/>
    <cellStyle name="Calculation 3 5 2 4 2 6" xfId="20323"/>
    <cellStyle name="Calculation 3 5 2 4 2 7" xfId="20324"/>
    <cellStyle name="Calculation 3 5 2 4 2 8" xfId="20325"/>
    <cellStyle name="Calculation 3 5 2 4 2 9" xfId="20326"/>
    <cellStyle name="Calculation 3 5 2 4 3" xfId="20327"/>
    <cellStyle name="Calculation 3 5 2 4 4" xfId="20328"/>
    <cellStyle name="Calculation 3 5 2 4 5" xfId="20329"/>
    <cellStyle name="Calculation 3 5 2 4 6" xfId="20330"/>
    <cellStyle name="Calculation 3 5 2 4 7" xfId="20331"/>
    <cellStyle name="Calculation 3 5 2 4 8" xfId="20332"/>
    <cellStyle name="Calculation 3 5 2 4 9" xfId="20333"/>
    <cellStyle name="Calculation 3 5 2 5" xfId="20334"/>
    <cellStyle name="Calculation 3 5 3" xfId="20335"/>
    <cellStyle name="Calculation 3 5 3 2" xfId="20336"/>
    <cellStyle name="Calculation 3 5 3 2 10" xfId="20337"/>
    <cellStyle name="Calculation 3 5 3 2 11" xfId="20338"/>
    <cellStyle name="Calculation 3 5 3 2 12" xfId="20339"/>
    <cellStyle name="Calculation 3 5 3 2 13" xfId="20340"/>
    <cellStyle name="Calculation 3 5 3 2 14" xfId="20341"/>
    <cellStyle name="Calculation 3 5 3 2 15" xfId="20342"/>
    <cellStyle name="Calculation 3 5 3 2 16" xfId="20343"/>
    <cellStyle name="Calculation 3 5 3 2 17" xfId="20344"/>
    <cellStyle name="Calculation 3 5 3 2 18" xfId="20345"/>
    <cellStyle name="Calculation 3 5 3 2 19" xfId="20346"/>
    <cellStyle name="Calculation 3 5 3 2 2" xfId="20347"/>
    <cellStyle name="Calculation 3 5 3 2 2 2" xfId="20348"/>
    <cellStyle name="Calculation 3 5 3 2 2 3" xfId="20349"/>
    <cellStyle name="Calculation 3 5 3 2 2 4" xfId="20350"/>
    <cellStyle name="Calculation 3 5 3 2 2 5" xfId="20351"/>
    <cellStyle name="Calculation 3 5 3 2 2 6" xfId="20352"/>
    <cellStyle name="Calculation 3 5 3 2 2 7" xfId="20353"/>
    <cellStyle name="Calculation 3 5 3 2 2 8" xfId="20354"/>
    <cellStyle name="Calculation 3 5 3 2 2 9" xfId="20355"/>
    <cellStyle name="Calculation 3 5 3 2 3" xfId="20356"/>
    <cellStyle name="Calculation 3 5 3 2 4" xfId="20357"/>
    <cellStyle name="Calculation 3 5 3 2 5" xfId="20358"/>
    <cellStyle name="Calculation 3 5 3 2 6" xfId="20359"/>
    <cellStyle name="Calculation 3 5 3 2 7" xfId="20360"/>
    <cellStyle name="Calculation 3 5 3 2 8" xfId="20361"/>
    <cellStyle name="Calculation 3 5 3 2 9" xfId="20362"/>
    <cellStyle name="Calculation 3 5 3 3" xfId="20363"/>
    <cellStyle name="Calculation 3 5 3 3 10" xfId="20364"/>
    <cellStyle name="Calculation 3 5 3 3 11" xfId="20365"/>
    <cellStyle name="Calculation 3 5 3 3 12" xfId="20366"/>
    <cellStyle name="Calculation 3 5 3 3 13" xfId="20367"/>
    <cellStyle name="Calculation 3 5 3 3 14" xfId="20368"/>
    <cellStyle name="Calculation 3 5 3 3 15" xfId="20369"/>
    <cellStyle name="Calculation 3 5 3 3 16" xfId="20370"/>
    <cellStyle name="Calculation 3 5 3 3 17" xfId="20371"/>
    <cellStyle name="Calculation 3 5 3 3 18" xfId="20372"/>
    <cellStyle name="Calculation 3 5 3 3 2" xfId="20373"/>
    <cellStyle name="Calculation 3 5 3 3 2 2" xfId="20374"/>
    <cellStyle name="Calculation 3 5 3 3 2 3" xfId="20375"/>
    <cellStyle name="Calculation 3 5 3 3 2 4" xfId="20376"/>
    <cellStyle name="Calculation 3 5 3 3 2 5" xfId="20377"/>
    <cellStyle name="Calculation 3 5 3 3 2 6" xfId="20378"/>
    <cellStyle name="Calculation 3 5 3 3 2 7" xfId="20379"/>
    <cellStyle name="Calculation 3 5 3 3 2 8" xfId="20380"/>
    <cellStyle name="Calculation 3 5 3 3 2 9" xfId="20381"/>
    <cellStyle name="Calculation 3 5 3 3 3" xfId="20382"/>
    <cellStyle name="Calculation 3 5 3 3 4" xfId="20383"/>
    <cellStyle name="Calculation 3 5 3 3 5" xfId="20384"/>
    <cellStyle name="Calculation 3 5 3 3 6" xfId="20385"/>
    <cellStyle name="Calculation 3 5 3 3 7" xfId="20386"/>
    <cellStyle name="Calculation 3 5 3 3 8" xfId="20387"/>
    <cellStyle name="Calculation 3 5 3 3 9" xfId="20388"/>
    <cellStyle name="Calculation 3 5 3 4" xfId="20389"/>
    <cellStyle name="Calculation 3 5 3 4 10" xfId="20390"/>
    <cellStyle name="Calculation 3 5 3 4 11" xfId="20391"/>
    <cellStyle name="Calculation 3 5 3 4 12" xfId="20392"/>
    <cellStyle name="Calculation 3 5 3 4 13" xfId="20393"/>
    <cellStyle name="Calculation 3 5 3 4 14" xfId="20394"/>
    <cellStyle name="Calculation 3 5 3 4 15" xfId="20395"/>
    <cellStyle name="Calculation 3 5 3 4 16" xfId="20396"/>
    <cellStyle name="Calculation 3 5 3 4 17" xfId="20397"/>
    <cellStyle name="Calculation 3 5 3 4 18" xfId="20398"/>
    <cellStyle name="Calculation 3 5 3 4 19" xfId="20399"/>
    <cellStyle name="Calculation 3 5 3 4 2" xfId="20400"/>
    <cellStyle name="Calculation 3 5 3 4 2 2" xfId="20401"/>
    <cellStyle name="Calculation 3 5 3 4 2 3" xfId="20402"/>
    <cellStyle name="Calculation 3 5 3 4 2 4" xfId="20403"/>
    <cellStyle name="Calculation 3 5 3 4 2 5" xfId="20404"/>
    <cellStyle name="Calculation 3 5 3 4 2 6" xfId="20405"/>
    <cellStyle name="Calculation 3 5 3 4 2 7" xfId="20406"/>
    <cellStyle name="Calculation 3 5 3 4 2 8" xfId="20407"/>
    <cellStyle name="Calculation 3 5 3 4 2 9" xfId="20408"/>
    <cellStyle name="Calculation 3 5 3 4 3" xfId="20409"/>
    <cellStyle name="Calculation 3 5 3 4 4" xfId="20410"/>
    <cellStyle name="Calculation 3 5 3 4 5" xfId="20411"/>
    <cellStyle name="Calculation 3 5 3 4 6" xfId="20412"/>
    <cellStyle name="Calculation 3 5 3 4 7" xfId="20413"/>
    <cellStyle name="Calculation 3 5 3 4 8" xfId="20414"/>
    <cellStyle name="Calculation 3 5 3 4 9" xfId="20415"/>
    <cellStyle name="Calculation 3 5 4" xfId="20416"/>
    <cellStyle name="Calculation 3 5 4 10" xfId="20417"/>
    <cellStyle name="Calculation 3 5 4 11" xfId="20418"/>
    <cellStyle name="Calculation 3 5 4 12" xfId="20419"/>
    <cellStyle name="Calculation 3 5 4 13" xfId="20420"/>
    <cellStyle name="Calculation 3 5 4 14" xfId="20421"/>
    <cellStyle name="Calculation 3 5 4 15" xfId="20422"/>
    <cellStyle name="Calculation 3 5 4 16" xfId="20423"/>
    <cellStyle name="Calculation 3 5 4 17" xfId="20424"/>
    <cellStyle name="Calculation 3 5 4 18" xfId="20425"/>
    <cellStyle name="Calculation 3 5 4 19" xfId="20426"/>
    <cellStyle name="Calculation 3 5 4 2" xfId="20427"/>
    <cellStyle name="Calculation 3 5 4 2 2" xfId="20428"/>
    <cellStyle name="Calculation 3 5 4 2 3" xfId="20429"/>
    <cellStyle name="Calculation 3 5 4 2 4" xfId="20430"/>
    <cellStyle name="Calculation 3 5 4 2 5" xfId="20431"/>
    <cellStyle name="Calculation 3 5 4 2 6" xfId="20432"/>
    <cellStyle name="Calculation 3 5 4 2 7" xfId="20433"/>
    <cellStyle name="Calculation 3 5 4 2 8" xfId="20434"/>
    <cellStyle name="Calculation 3 5 4 2 9" xfId="20435"/>
    <cellStyle name="Calculation 3 5 4 3" xfId="20436"/>
    <cellStyle name="Calculation 3 5 4 4" xfId="20437"/>
    <cellStyle name="Calculation 3 5 4 5" xfId="20438"/>
    <cellStyle name="Calculation 3 5 4 6" xfId="20439"/>
    <cellStyle name="Calculation 3 5 4 7" xfId="20440"/>
    <cellStyle name="Calculation 3 5 4 8" xfId="20441"/>
    <cellStyle name="Calculation 3 5 4 9" xfId="20442"/>
    <cellStyle name="Calculation 3 5 5" xfId="20443"/>
    <cellStyle name="Calculation 3 5 5 10" xfId="20444"/>
    <cellStyle name="Calculation 3 5 5 11" xfId="20445"/>
    <cellStyle name="Calculation 3 5 5 12" xfId="20446"/>
    <cellStyle name="Calculation 3 5 5 13" xfId="20447"/>
    <cellStyle name="Calculation 3 5 5 14" xfId="20448"/>
    <cellStyle name="Calculation 3 5 5 15" xfId="20449"/>
    <cellStyle name="Calculation 3 5 5 16" xfId="20450"/>
    <cellStyle name="Calculation 3 5 5 17" xfId="20451"/>
    <cellStyle name="Calculation 3 5 5 18" xfId="20452"/>
    <cellStyle name="Calculation 3 5 5 2" xfId="20453"/>
    <cellStyle name="Calculation 3 5 5 2 2" xfId="20454"/>
    <cellStyle name="Calculation 3 5 5 2 3" xfId="20455"/>
    <cellStyle name="Calculation 3 5 5 2 4" xfId="20456"/>
    <cellStyle name="Calculation 3 5 5 2 5" xfId="20457"/>
    <cellStyle name="Calculation 3 5 5 2 6" xfId="20458"/>
    <cellStyle name="Calculation 3 5 5 2 7" xfId="20459"/>
    <cellStyle name="Calculation 3 5 5 2 8" xfId="20460"/>
    <cellStyle name="Calculation 3 5 5 2 9" xfId="20461"/>
    <cellStyle name="Calculation 3 5 5 3" xfId="20462"/>
    <cellStyle name="Calculation 3 5 5 4" xfId="20463"/>
    <cellStyle name="Calculation 3 5 5 5" xfId="20464"/>
    <cellStyle name="Calculation 3 5 5 6" xfId="20465"/>
    <cellStyle name="Calculation 3 5 5 7" xfId="20466"/>
    <cellStyle name="Calculation 3 5 5 8" xfId="20467"/>
    <cellStyle name="Calculation 3 5 5 9" xfId="20468"/>
    <cellStyle name="Calculation 3 5 6" xfId="20469"/>
    <cellStyle name="Calculation 3 5 6 10" xfId="20470"/>
    <cellStyle name="Calculation 3 5 6 11" xfId="20471"/>
    <cellStyle name="Calculation 3 5 6 12" xfId="20472"/>
    <cellStyle name="Calculation 3 5 6 13" xfId="20473"/>
    <cellStyle name="Calculation 3 5 6 14" xfId="20474"/>
    <cellStyle name="Calculation 3 5 6 15" xfId="20475"/>
    <cellStyle name="Calculation 3 5 6 16" xfId="20476"/>
    <cellStyle name="Calculation 3 5 6 17" xfId="20477"/>
    <cellStyle name="Calculation 3 5 6 18" xfId="20478"/>
    <cellStyle name="Calculation 3 5 6 19" xfId="20479"/>
    <cellStyle name="Calculation 3 5 6 2" xfId="20480"/>
    <cellStyle name="Calculation 3 5 6 2 2" xfId="20481"/>
    <cellStyle name="Calculation 3 5 6 2 3" xfId="20482"/>
    <cellStyle name="Calculation 3 5 6 2 4" xfId="20483"/>
    <cellStyle name="Calculation 3 5 6 2 5" xfId="20484"/>
    <cellStyle name="Calculation 3 5 6 2 6" xfId="20485"/>
    <cellStyle name="Calculation 3 5 6 2 7" xfId="20486"/>
    <cellStyle name="Calculation 3 5 6 2 8" xfId="20487"/>
    <cellStyle name="Calculation 3 5 6 2 9" xfId="20488"/>
    <cellStyle name="Calculation 3 5 6 3" xfId="20489"/>
    <cellStyle name="Calculation 3 5 6 4" xfId="20490"/>
    <cellStyle name="Calculation 3 5 6 5" xfId="20491"/>
    <cellStyle name="Calculation 3 5 6 6" xfId="20492"/>
    <cellStyle name="Calculation 3 5 6 7" xfId="20493"/>
    <cellStyle name="Calculation 3 5 6 8" xfId="20494"/>
    <cellStyle name="Calculation 3 5 6 9" xfId="20495"/>
    <cellStyle name="Calculation 3 6" xfId="20496"/>
    <cellStyle name="Calculation 3 6 2" xfId="20497"/>
    <cellStyle name="Calculation 3 6 2 2" xfId="20498"/>
    <cellStyle name="Calculation 3 6 2 2 10" xfId="20499"/>
    <cellStyle name="Calculation 3 6 2 2 11" xfId="20500"/>
    <cellStyle name="Calculation 3 6 2 2 12" xfId="20501"/>
    <cellStyle name="Calculation 3 6 2 2 13" xfId="20502"/>
    <cellStyle name="Calculation 3 6 2 2 14" xfId="20503"/>
    <cellStyle name="Calculation 3 6 2 2 15" xfId="20504"/>
    <cellStyle name="Calculation 3 6 2 2 16" xfId="20505"/>
    <cellStyle name="Calculation 3 6 2 2 17" xfId="20506"/>
    <cellStyle name="Calculation 3 6 2 2 18" xfId="20507"/>
    <cellStyle name="Calculation 3 6 2 2 19" xfId="20508"/>
    <cellStyle name="Calculation 3 6 2 2 2" xfId="20509"/>
    <cellStyle name="Calculation 3 6 2 2 2 2" xfId="20510"/>
    <cellStyle name="Calculation 3 6 2 2 2 3" xfId="20511"/>
    <cellStyle name="Calculation 3 6 2 2 2 4" xfId="20512"/>
    <cellStyle name="Calculation 3 6 2 2 2 5" xfId="20513"/>
    <cellStyle name="Calculation 3 6 2 2 2 6" xfId="20514"/>
    <cellStyle name="Calculation 3 6 2 2 2 7" xfId="20515"/>
    <cellStyle name="Calculation 3 6 2 2 2 8" xfId="20516"/>
    <cellStyle name="Calculation 3 6 2 2 2 9" xfId="20517"/>
    <cellStyle name="Calculation 3 6 2 2 3" xfId="20518"/>
    <cellStyle name="Calculation 3 6 2 2 4" xfId="20519"/>
    <cellStyle name="Calculation 3 6 2 2 5" xfId="20520"/>
    <cellStyle name="Calculation 3 6 2 2 6" xfId="20521"/>
    <cellStyle name="Calculation 3 6 2 2 7" xfId="20522"/>
    <cellStyle name="Calculation 3 6 2 2 8" xfId="20523"/>
    <cellStyle name="Calculation 3 6 2 2 9" xfId="20524"/>
    <cellStyle name="Calculation 3 6 2 3" xfId="20525"/>
    <cellStyle name="Calculation 3 6 2 3 10" xfId="20526"/>
    <cellStyle name="Calculation 3 6 2 3 11" xfId="20527"/>
    <cellStyle name="Calculation 3 6 2 3 12" xfId="20528"/>
    <cellStyle name="Calculation 3 6 2 3 13" xfId="20529"/>
    <cellStyle name="Calculation 3 6 2 3 14" xfId="20530"/>
    <cellStyle name="Calculation 3 6 2 3 15" xfId="20531"/>
    <cellStyle name="Calculation 3 6 2 3 16" xfId="20532"/>
    <cellStyle name="Calculation 3 6 2 3 17" xfId="20533"/>
    <cellStyle name="Calculation 3 6 2 3 18" xfId="20534"/>
    <cellStyle name="Calculation 3 6 2 3 2" xfId="20535"/>
    <cellStyle name="Calculation 3 6 2 3 2 2" xfId="20536"/>
    <cellStyle name="Calculation 3 6 2 3 2 3" xfId="20537"/>
    <cellStyle name="Calculation 3 6 2 3 2 4" xfId="20538"/>
    <cellStyle name="Calculation 3 6 2 3 2 5" xfId="20539"/>
    <cellStyle name="Calculation 3 6 2 3 2 6" xfId="20540"/>
    <cellStyle name="Calculation 3 6 2 3 2 7" xfId="20541"/>
    <cellStyle name="Calculation 3 6 2 3 2 8" xfId="20542"/>
    <cellStyle name="Calculation 3 6 2 3 2 9" xfId="20543"/>
    <cellStyle name="Calculation 3 6 2 3 3" xfId="20544"/>
    <cellStyle name="Calculation 3 6 2 3 4" xfId="20545"/>
    <cellStyle name="Calculation 3 6 2 3 5" xfId="20546"/>
    <cellStyle name="Calculation 3 6 2 3 6" xfId="20547"/>
    <cellStyle name="Calculation 3 6 2 3 7" xfId="20548"/>
    <cellStyle name="Calculation 3 6 2 3 8" xfId="20549"/>
    <cellStyle name="Calculation 3 6 2 3 9" xfId="20550"/>
    <cellStyle name="Calculation 3 6 2 4" xfId="20551"/>
    <cellStyle name="Calculation 3 6 2 4 10" xfId="20552"/>
    <cellStyle name="Calculation 3 6 2 4 11" xfId="20553"/>
    <cellStyle name="Calculation 3 6 2 4 12" xfId="20554"/>
    <cellStyle name="Calculation 3 6 2 4 13" xfId="20555"/>
    <cellStyle name="Calculation 3 6 2 4 14" xfId="20556"/>
    <cellStyle name="Calculation 3 6 2 4 15" xfId="20557"/>
    <cellStyle name="Calculation 3 6 2 4 16" xfId="20558"/>
    <cellStyle name="Calculation 3 6 2 4 17" xfId="20559"/>
    <cellStyle name="Calculation 3 6 2 4 18" xfId="20560"/>
    <cellStyle name="Calculation 3 6 2 4 19" xfId="20561"/>
    <cellStyle name="Calculation 3 6 2 4 2" xfId="20562"/>
    <cellStyle name="Calculation 3 6 2 4 2 2" xfId="20563"/>
    <cellStyle name="Calculation 3 6 2 4 2 3" xfId="20564"/>
    <cellStyle name="Calculation 3 6 2 4 2 4" xfId="20565"/>
    <cellStyle name="Calculation 3 6 2 4 2 5" xfId="20566"/>
    <cellStyle name="Calculation 3 6 2 4 2 6" xfId="20567"/>
    <cellStyle name="Calculation 3 6 2 4 2 7" xfId="20568"/>
    <cellStyle name="Calculation 3 6 2 4 2 8" xfId="20569"/>
    <cellStyle name="Calculation 3 6 2 4 2 9" xfId="20570"/>
    <cellStyle name="Calculation 3 6 2 4 3" xfId="20571"/>
    <cellStyle name="Calculation 3 6 2 4 4" xfId="20572"/>
    <cellStyle name="Calculation 3 6 2 4 5" xfId="20573"/>
    <cellStyle name="Calculation 3 6 2 4 6" xfId="20574"/>
    <cellStyle name="Calculation 3 6 2 4 7" xfId="20575"/>
    <cellStyle name="Calculation 3 6 2 4 8" xfId="20576"/>
    <cellStyle name="Calculation 3 6 2 4 9" xfId="20577"/>
    <cellStyle name="Calculation 3 6 2 5" xfId="20578"/>
    <cellStyle name="Calculation 3 6 3" xfId="20579"/>
    <cellStyle name="Calculation 3 6 3 2" xfId="20580"/>
    <cellStyle name="Calculation 3 6 3 2 10" xfId="20581"/>
    <cellStyle name="Calculation 3 6 3 2 11" xfId="20582"/>
    <cellStyle name="Calculation 3 6 3 2 12" xfId="20583"/>
    <cellStyle name="Calculation 3 6 3 2 13" xfId="20584"/>
    <cellStyle name="Calculation 3 6 3 2 14" xfId="20585"/>
    <cellStyle name="Calculation 3 6 3 2 15" xfId="20586"/>
    <cellStyle name="Calculation 3 6 3 2 16" xfId="20587"/>
    <cellStyle name="Calculation 3 6 3 2 17" xfId="20588"/>
    <cellStyle name="Calculation 3 6 3 2 18" xfId="20589"/>
    <cellStyle name="Calculation 3 6 3 2 19" xfId="20590"/>
    <cellStyle name="Calculation 3 6 3 2 2" xfId="20591"/>
    <cellStyle name="Calculation 3 6 3 2 2 2" xfId="20592"/>
    <cellStyle name="Calculation 3 6 3 2 2 3" xfId="20593"/>
    <cellStyle name="Calculation 3 6 3 2 2 4" xfId="20594"/>
    <cellStyle name="Calculation 3 6 3 2 2 5" xfId="20595"/>
    <cellStyle name="Calculation 3 6 3 2 2 6" xfId="20596"/>
    <cellStyle name="Calculation 3 6 3 2 2 7" xfId="20597"/>
    <cellStyle name="Calculation 3 6 3 2 2 8" xfId="20598"/>
    <cellStyle name="Calculation 3 6 3 2 2 9" xfId="20599"/>
    <cellStyle name="Calculation 3 6 3 2 3" xfId="20600"/>
    <cellStyle name="Calculation 3 6 3 2 4" xfId="20601"/>
    <cellStyle name="Calculation 3 6 3 2 5" xfId="20602"/>
    <cellStyle name="Calculation 3 6 3 2 6" xfId="20603"/>
    <cellStyle name="Calculation 3 6 3 2 7" xfId="20604"/>
    <cellStyle name="Calculation 3 6 3 2 8" xfId="20605"/>
    <cellStyle name="Calculation 3 6 3 2 9" xfId="20606"/>
    <cellStyle name="Calculation 3 6 3 3" xfId="20607"/>
    <cellStyle name="Calculation 3 6 3 3 10" xfId="20608"/>
    <cellStyle name="Calculation 3 6 3 3 11" xfId="20609"/>
    <cellStyle name="Calculation 3 6 3 3 12" xfId="20610"/>
    <cellStyle name="Calculation 3 6 3 3 13" xfId="20611"/>
    <cellStyle name="Calculation 3 6 3 3 14" xfId="20612"/>
    <cellStyle name="Calculation 3 6 3 3 15" xfId="20613"/>
    <cellStyle name="Calculation 3 6 3 3 16" xfId="20614"/>
    <cellStyle name="Calculation 3 6 3 3 17" xfId="20615"/>
    <cellStyle name="Calculation 3 6 3 3 18" xfId="20616"/>
    <cellStyle name="Calculation 3 6 3 3 2" xfId="20617"/>
    <cellStyle name="Calculation 3 6 3 3 2 2" xfId="20618"/>
    <cellStyle name="Calculation 3 6 3 3 2 3" xfId="20619"/>
    <cellStyle name="Calculation 3 6 3 3 2 4" xfId="20620"/>
    <cellStyle name="Calculation 3 6 3 3 2 5" xfId="20621"/>
    <cellStyle name="Calculation 3 6 3 3 2 6" xfId="20622"/>
    <cellStyle name="Calculation 3 6 3 3 2 7" xfId="20623"/>
    <cellStyle name="Calculation 3 6 3 3 2 8" xfId="20624"/>
    <cellStyle name="Calculation 3 6 3 3 2 9" xfId="20625"/>
    <cellStyle name="Calculation 3 6 3 3 3" xfId="20626"/>
    <cellStyle name="Calculation 3 6 3 3 4" xfId="20627"/>
    <cellStyle name="Calculation 3 6 3 3 5" xfId="20628"/>
    <cellStyle name="Calculation 3 6 3 3 6" xfId="20629"/>
    <cellStyle name="Calculation 3 6 3 3 7" xfId="20630"/>
    <cellStyle name="Calculation 3 6 3 3 8" xfId="20631"/>
    <cellStyle name="Calculation 3 6 3 3 9" xfId="20632"/>
    <cellStyle name="Calculation 3 6 3 4" xfId="20633"/>
    <cellStyle name="Calculation 3 6 3 4 10" xfId="20634"/>
    <cellStyle name="Calculation 3 6 3 4 11" xfId="20635"/>
    <cellStyle name="Calculation 3 6 3 4 12" xfId="20636"/>
    <cellStyle name="Calculation 3 6 3 4 13" xfId="20637"/>
    <cellStyle name="Calculation 3 6 3 4 14" xfId="20638"/>
    <cellStyle name="Calculation 3 6 3 4 15" xfId="20639"/>
    <cellStyle name="Calculation 3 6 3 4 16" xfId="20640"/>
    <cellStyle name="Calculation 3 6 3 4 17" xfId="20641"/>
    <cellStyle name="Calculation 3 6 3 4 18" xfId="20642"/>
    <cellStyle name="Calculation 3 6 3 4 19" xfId="20643"/>
    <cellStyle name="Calculation 3 6 3 4 2" xfId="20644"/>
    <cellStyle name="Calculation 3 6 3 4 2 2" xfId="20645"/>
    <cellStyle name="Calculation 3 6 3 4 2 3" xfId="20646"/>
    <cellStyle name="Calculation 3 6 3 4 2 4" xfId="20647"/>
    <cellStyle name="Calculation 3 6 3 4 2 5" xfId="20648"/>
    <cellStyle name="Calculation 3 6 3 4 2 6" xfId="20649"/>
    <cellStyle name="Calculation 3 6 3 4 2 7" xfId="20650"/>
    <cellStyle name="Calculation 3 6 3 4 2 8" xfId="20651"/>
    <cellStyle name="Calculation 3 6 3 4 2 9" xfId="20652"/>
    <cellStyle name="Calculation 3 6 3 4 3" xfId="20653"/>
    <cellStyle name="Calculation 3 6 3 4 4" xfId="20654"/>
    <cellStyle name="Calculation 3 6 3 4 5" xfId="20655"/>
    <cellStyle name="Calculation 3 6 3 4 6" xfId="20656"/>
    <cellStyle name="Calculation 3 6 3 4 7" xfId="20657"/>
    <cellStyle name="Calculation 3 6 3 4 8" xfId="20658"/>
    <cellStyle name="Calculation 3 6 3 4 9" xfId="20659"/>
    <cellStyle name="Calculation 3 6 4" xfId="20660"/>
    <cellStyle name="Calculation 3 6 4 10" xfId="20661"/>
    <cellStyle name="Calculation 3 6 4 11" xfId="20662"/>
    <cellStyle name="Calculation 3 6 4 12" xfId="20663"/>
    <cellStyle name="Calculation 3 6 4 13" xfId="20664"/>
    <cellStyle name="Calculation 3 6 4 14" xfId="20665"/>
    <cellStyle name="Calculation 3 6 4 15" xfId="20666"/>
    <cellStyle name="Calculation 3 6 4 16" xfId="20667"/>
    <cellStyle name="Calculation 3 6 4 17" xfId="20668"/>
    <cellStyle name="Calculation 3 6 4 18" xfId="20669"/>
    <cellStyle name="Calculation 3 6 4 19" xfId="20670"/>
    <cellStyle name="Calculation 3 6 4 2" xfId="20671"/>
    <cellStyle name="Calculation 3 6 4 2 2" xfId="20672"/>
    <cellStyle name="Calculation 3 6 4 2 3" xfId="20673"/>
    <cellStyle name="Calculation 3 6 4 2 4" xfId="20674"/>
    <cellStyle name="Calculation 3 6 4 2 5" xfId="20675"/>
    <cellStyle name="Calculation 3 6 4 2 6" xfId="20676"/>
    <cellStyle name="Calculation 3 6 4 2 7" xfId="20677"/>
    <cellStyle name="Calculation 3 6 4 2 8" xfId="20678"/>
    <cellStyle name="Calculation 3 6 4 2 9" xfId="20679"/>
    <cellStyle name="Calculation 3 6 4 3" xfId="20680"/>
    <cellStyle name="Calculation 3 6 4 4" xfId="20681"/>
    <cellStyle name="Calculation 3 6 4 5" xfId="20682"/>
    <cellStyle name="Calculation 3 6 4 6" xfId="20683"/>
    <cellStyle name="Calculation 3 6 4 7" xfId="20684"/>
    <cellStyle name="Calculation 3 6 4 8" xfId="20685"/>
    <cellStyle name="Calculation 3 6 4 9" xfId="20686"/>
    <cellStyle name="Calculation 3 6 5" xfId="20687"/>
    <cellStyle name="Calculation 3 6 5 10" xfId="20688"/>
    <cellStyle name="Calculation 3 6 5 11" xfId="20689"/>
    <cellStyle name="Calculation 3 6 5 12" xfId="20690"/>
    <cellStyle name="Calculation 3 6 5 13" xfId="20691"/>
    <cellStyle name="Calculation 3 6 5 14" xfId="20692"/>
    <cellStyle name="Calculation 3 6 5 15" xfId="20693"/>
    <cellStyle name="Calculation 3 6 5 16" xfId="20694"/>
    <cellStyle name="Calculation 3 6 5 17" xfId="20695"/>
    <cellStyle name="Calculation 3 6 5 18" xfId="20696"/>
    <cellStyle name="Calculation 3 6 5 2" xfId="20697"/>
    <cellStyle name="Calculation 3 6 5 2 2" xfId="20698"/>
    <cellStyle name="Calculation 3 6 5 2 3" xfId="20699"/>
    <cellStyle name="Calculation 3 6 5 2 4" xfId="20700"/>
    <cellStyle name="Calculation 3 6 5 2 5" xfId="20701"/>
    <cellStyle name="Calculation 3 6 5 2 6" xfId="20702"/>
    <cellStyle name="Calculation 3 6 5 2 7" xfId="20703"/>
    <cellStyle name="Calculation 3 6 5 2 8" xfId="20704"/>
    <cellStyle name="Calculation 3 6 5 2 9" xfId="20705"/>
    <cellStyle name="Calculation 3 6 5 3" xfId="20706"/>
    <cellStyle name="Calculation 3 6 5 4" xfId="20707"/>
    <cellStyle name="Calculation 3 6 5 5" xfId="20708"/>
    <cellStyle name="Calculation 3 6 5 6" xfId="20709"/>
    <cellStyle name="Calculation 3 6 5 7" xfId="20710"/>
    <cellStyle name="Calculation 3 6 5 8" xfId="20711"/>
    <cellStyle name="Calculation 3 6 5 9" xfId="20712"/>
    <cellStyle name="Calculation 3 6 6" xfId="20713"/>
    <cellStyle name="Calculation 3 6 6 10" xfId="20714"/>
    <cellStyle name="Calculation 3 6 6 11" xfId="20715"/>
    <cellStyle name="Calculation 3 6 6 12" xfId="20716"/>
    <cellStyle name="Calculation 3 6 6 13" xfId="20717"/>
    <cellStyle name="Calculation 3 6 6 14" xfId="20718"/>
    <cellStyle name="Calculation 3 6 6 15" xfId="20719"/>
    <cellStyle name="Calculation 3 6 6 16" xfId="20720"/>
    <cellStyle name="Calculation 3 6 6 17" xfId="20721"/>
    <cellStyle name="Calculation 3 6 6 18" xfId="20722"/>
    <cellStyle name="Calculation 3 6 6 19" xfId="20723"/>
    <cellStyle name="Calculation 3 6 6 2" xfId="20724"/>
    <cellStyle name="Calculation 3 6 6 2 2" xfId="20725"/>
    <cellStyle name="Calculation 3 6 6 2 3" xfId="20726"/>
    <cellStyle name="Calculation 3 6 6 2 4" xfId="20727"/>
    <cellStyle name="Calculation 3 6 6 2 5" xfId="20728"/>
    <cellStyle name="Calculation 3 6 6 2 6" xfId="20729"/>
    <cellStyle name="Calculation 3 6 6 2 7" xfId="20730"/>
    <cellStyle name="Calculation 3 6 6 2 8" xfId="20731"/>
    <cellStyle name="Calculation 3 6 6 2 9" xfId="20732"/>
    <cellStyle name="Calculation 3 6 6 3" xfId="20733"/>
    <cellStyle name="Calculation 3 6 6 4" xfId="20734"/>
    <cellStyle name="Calculation 3 6 6 5" xfId="20735"/>
    <cellStyle name="Calculation 3 6 6 6" xfId="20736"/>
    <cellStyle name="Calculation 3 6 6 7" xfId="20737"/>
    <cellStyle name="Calculation 3 6 6 8" xfId="20738"/>
    <cellStyle name="Calculation 3 6 6 9" xfId="20739"/>
    <cellStyle name="Calculation 3 7" xfId="20740"/>
    <cellStyle name="Calculation 3 7 2" xfId="20741"/>
    <cellStyle name="Calculation 3 7 2 2" xfId="20742"/>
    <cellStyle name="Calculation 3 7 2 2 10" xfId="20743"/>
    <cellStyle name="Calculation 3 7 2 2 11" xfId="20744"/>
    <cellStyle name="Calculation 3 7 2 2 12" xfId="20745"/>
    <cellStyle name="Calculation 3 7 2 2 13" xfId="20746"/>
    <cellStyle name="Calculation 3 7 2 2 14" xfId="20747"/>
    <cellStyle name="Calculation 3 7 2 2 15" xfId="20748"/>
    <cellStyle name="Calculation 3 7 2 2 16" xfId="20749"/>
    <cellStyle name="Calculation 3 7 2 2 17" xfId="20750"/>
    <cellStyle name="Calculation 3 7 2 2 18" xfId="20751"/>
    <cellStyle name="Calculation 3 7 2 2 19" xfId="20752"/>
    <cellStyle name="Calculation 3 7 2 2 2" xfId="20753"/>
    <cellStyle name="Calculation 3 7 2 2 2 2" xfId="20754"/>
    <cellStyle name="Calculation 3 7 2 2 2 3" xfId="20755"/>
    <cellStyle name="Calculation 3 7 2 2 2 4" xfId="20756"/>
    <cellStyle name="Calculation 3 7 2 2 2 5" xfId="20757"/>
    <cellStyle name="Calculation 3 7 2 2 2 6" xfId="20758"/>
    <cellStyle name="Calculation 3 7 2 2 2 7" xfId="20759"/>
    <cellStyle name="Calculation 3 7 2 2 2 8" xfId="20760"/>
    <cellStyle name="Calculation 3 7 2 2 2 9" xfId="20761"/>
    <cellStyle name="Calculation 3 7 2 2 3" xfId="20762"/>
    <cellStyle name="Calculation 3 7 2 2 4" xfId="20763"/>
    <cellStyle name="Calculation 3 7 2 2 5" xfId="20764"/>
    <cellStyle name="Calculation 3 7 2 2 6" xfId="20765"/>
    <cellStyle name="Calculation 3 7 2 2 7" xfId="20766"/>
    <cellStyle name="Calculation 3 7 2 2 8" xfId="20767"/>
    <cellStyle name="Calculation 3 7 2 2 9" xfId="20768"/>
    <cellStyle name="Calculation 3 7 2 3" xfId="20769"/>
    <cellStyle name="Calculation 3 7 2 3 10" xfId="20770"/>
    <cellStyle name="Calculation 3 7 2 3 11" xfId="20771"/>
    <cellStyle name="Calculation 3 7 2 3 12" xfId="20772"/>
    <cellStyle name="Calculation 3 7 2 3 13" xfId="20773"/>
    <cellStyle name="Calculation 3 7 2 3 14" xfId="20774"/>
    <cellStyle name="Calculation 3 7 2 3 15" xfId="20775"/>
    <cellStyle name="Calculation 3 7 2 3 16" xfId="20776"/>
    <cellStyle name="Calculation 3 7 2 3 17" xfId="20777"/>
    <cellStyle name="Calculation 3 7 2 3 18" xfId="20778"/>
    <cellStyle name="Calculation 3 7 2 3 2" xfId="20779"/>
    <cellStyle name="Calculation 3 7 2 3 2 2" xfId="20780"/>
    <cellStyle name="Calculation 3 7 2 3 2 3" xfId="20781"/>
    <cellStyle name="Calculation 3 7 2 3 2 4" xfId="20782"/>
    <cellStyle name="Calculation 3 7 2 3 2 5" xfId="20783"/>
    <cellStyle name="Calculation 3 7 2 3 2 6" xfId="20784"/>
    <cellStyle name="Calculation 3 7 2 3 2 7" xfId="20785"/>
    <cellStyle name="Calculation 3 7 2 3 2 8" xfId="20786"/>
    <cellStyle name="Calculation 3 7 2 3 2 9" xfId="20787"/>
    <cellStyle name="Calculation 3 7 2 3 3" xfId="20788"/>
    <cellStyle name="Calculation 3 7 2 3 4" xfId="20789"/>
    <cellStyle name="Calculation 3 7 2 3 5" xfId="20790"/>
    <cellStyle name="Calculation 3 7 2 3 6" xfId="20791"/>
    <cellStyle name="Calculation 3 7 2 3 7" xfId="20792"/>
    <cellStyle name="Calculation 3 7 2 3 8" xfId="20793"/>
    <cellStyle name="Calculation 3 7 2 3 9" xfId="20794"/>
    <cellStyle name="Calculation 3 7 2 4" xfId="20795"/>
    <cellStyle name="Calculation 3 7 2 4 10" xfId="20796"/>
    <cellStyle name="Calculation 3 7 2 4 11" xfId="20797"/>
    <cellStyle name="Calculation 3 7 2 4 12" xfId="20798"/>
    <cellStyle name="Calculation 3 7 2 4 13" xfId="20799"/>
    <cellStyle name="Calculation 3 7 2 4 14" xfId="20800"/>
    <cellStyle name="Calculation 3 7 2 4 15" xfId="20801"/>
    <cellStyle name="Calculation 3 7 2 4 16" xfId="20802"/>
    <cellStyle name="Calculation 3 7 2 4 17" xfId="20803"/>
    <cellStyle name="Calculation 3 7 2 4 18" xfId="20804"/>
    <cellStyle name="Calculation 3 7 2 4 19" xfId="20805"/>
    <cellStyle name="Calculation 3 7 2 4 2" xfId="20806"/>
    <cellStyle name="Calculation 3 7 2 4 2 2" xfId="20807"/>
    <cellStyle name="Calculation 3 7 2 4 2 3" xfId="20808"/>
    <cellStyle name="Calculation 3 7 2 4 2 4" xfId="20809"/>
    <cellStyle name="Calculation 3 7 2 4 2 5" xfId="20810"/>
    <cellStyle name="Calculation 3 7 2 4 2 6" xfId="20811"/>
    <cellStyle name="Calculation 3 7 2 4 2 7" xfId="20812"/>
    <cellStyle name="Calculation 3 7 2 4 2 8" xfId="20813"/>
    <cellStyle name="Calculation 3 7 2 4 2 9" xfId="20814"/>
    <cellStyle name="Calculation 3 7 2 4 3" xfId="20815"/>
    <cellStyle name="Calculation 3 7 2 4 4" xfId="20816"/>
    <cellStyle name="Calculation 3 7 2 4 5" xfId="20817"/>
    <cellStyle name="Calculation 3 7 2 4 6" xfId="20818"/>
    <cellStyle name="Calculation 3 7 2 4 7" xfId="20819"/>
    <cellStyle name="Calculation 3 7 2 4 8" xfId="20820"/>
    <cellStyle name="Calculation 3 7 2 4 9" xfId="20821"/>
    <cellStyle name="Calculation 3 7 2 5" xfId="20822"/>
    <cellStyle name="Calculation 3 7 3" xfId="20823"/>
    <cellStyle name="Calculation 3 7 3 2" xfId="20824"/>
    <cellStyle name="Calculation 3 7 3 2 10" xfId="20825"/>
    <cellStyle name="Calculation 3 7 3 2 11" xfId="20826"/>
    <cellStyle name="Calculation 3 7 3 2 12" xfId="20827"/>
    <cellStyle name="Calculation 3 7 3 2 13" xfId="20828"/>
    <cellStyle name="Calculation 3 7 3 2 14" xfId="20829"/>
    <cellStyle name="Calculation 3 7 3 2 15" xfId="20830"/>
    <cellStyle name="Calculation 3 7 3 2 16" xfId="20831"/>
    <cellStyle name="Calculation 3 7 3 2 17" xfId="20832"/>
    <cellStyle name="Calculation 3 7 3 2 18" xfId="20833"/>
    <cellStyle name="Calculation 3 7 3 2 19" xfId="20834"/>
    <cellStyle name="Calculation 3 7 3 2 2" xfId="20835"/>
    <cellStyle name="Calculation 3 7 3 2 2 2" xfId="20836"/>
    <cellStyle name="Calculation 3 7 3 2 2 3" xfId="20837"/>
    <cellStyle name="Calculation 3 7 3 2 2 4" xfId="20838"/>
    <cellStyle name="Calculation 3 7 3 2 2 5" xfId="20839"/>
    <cellStyle name="Calculation 3 7 3 2 2 6" xfId="20840"/>
    <cellStyle name="Calculation 3 7 3 2 2 7" xfId="20841"/>
    <cellStyle name="Calculation 3 7 3 2 2 8" xfId="20842"/>
    <cellStyle name="Calculation 3 7 3 2 2 9" xfId="20843"/>
    <cellStyle name="Calculation 3 7 3 2 3" xfId="20844"/>
    <cellStyle name="Calculation 3 7 3 2 4" xfId="20845"/>
    <cellStyle name="Calculation 3 7 3 2 5" xfId="20846"/>
    <cellStyle name="Calculation 3 7 3 2 6" xfId="20847"/>
    <cellStyle name="Calculation 3 7 3 2 7" xfId="20848"/>
    <cellStyle name="Calculation 3 7 3 2 8" xfId="20849"/>
    <cellStyle name="Calculation 3 7 3 2 9" xfId="20850"/>
    <cellStyle name="Calculation 3 7 3 3" xfId="20851"/>
    <cellStyle name="Calculation 3 7 3 3 10" xfId="20852"/>
    <cellStyle name="Calculation 3 7 3 3 11" xfId="20853"/>
    <cellStyle name="Calculation 3 7 3 3 12" xfId="20854"/>
    <cellStyle name="Calculation 3 7 3 3 13" xfId="20855"/>
    <cellStyle name="Calculation 3 7 3 3 14" xfId="20856"/>
    <cellStyle name="Calculation 3 7 3 3 15" xfId="20857"/>
    <cellStyle name="Calculation 3 7 3 3 16" xfId="20858"/>
    <cellStyle name="Calculation 3 7 3 3 17" xfId="20859"/>
    <cellStyle name="Calculation 3 7 3 3 18" xfId="20860"/>
    <cellStyle name="Calculation 3 7 3 3 2" xfId="20861"/>
    <cellStyle name="Calculation 3 7 3 3 2 2" xfId="20862"/>
    <cellStyle name="Calculation 3 7 3 3 2 3" xfId="20863"/>
    <cellStyle name="Calculation 3 7 3 3 2 4" xfId="20864"/>
    <cellStyle name="Calculation 3 7 3 3 2 5" xfId="20865"/>
    <cellStyle name="Calculation 3 7 3 3 2 6" xfId="20866"/>
    <cellStyle name="Calculation 3 7 3 3 2 7" xfId="20867"/>
    <cellStyle name="Calculation 3 7 3 3 2 8" xfId="20868"/>
    <cellStyle name="Calculation 3 7 3 3 2 9" xfId="20869"/>
    <cellStyle name="Calculation 3 7 3 3 3" xfId="20870"/>
    <cellStyle name="Calculation 3 7 3 3 4" xfId="20871"/>
    <cellStyle name="Calculation 3 7 3 3 5" xfId="20872"/>
    <cellStyle name="Calculation 3 7 3 3 6" xfId="20873"/>
    <cellStyle name="Calculation 3 7 3 3 7" xfId="20874"/>
    <cellStyle name="Calculation 3 7 3 3 8" xfId="20875"/>
    <cellStyle name="Calculation 3 7 3 3 9" xfId="20876"/>
    <cellStyle name="Calculation 3 7 3 4" xfId="20877"/>
    <cellStyle name="Calculation 3 7 3 4 10" xfId="20878"/>
    <cellStyle name="Calculation 3 7 3 4 11" xfId="20879"/>
    <cellStyle name="Calculation 3 7 3 4 12" xfId="20880"/>
    <cellStyle name="Calculation 3 7 3 4 13" xfId="20881"/>
    <cellStyle name="Calculation 3 7 3 4 14" xfId="20882"/>
    <cellStyle name="Calculation 3 7 3 4 15" xfId="20883"/>
    <cellStyle name="Calculation 3 7 3 4 16" xfId="20884"/>
    <cellStyle name="Calculation 3 7 3 4 17" xfId="20885"/>
    <cellStyle name="Calculation 3 7 3 4 18" xfId="20886"/>
    <cellStyle name="Calculation 3 7 3 4 19" xfId="20887"/>
    <cellStyle name="Calculation 3 7 3 4 2" xfId="20888"/>
    <cellStyle name="Calculation 3 7 3 4 2 2" xfId="20889"/>
    <cellStyle name="Calculation 3 7 3 4 2 3" xfId="20890"/>
    <cellStyle name="Calculation 3 7 3 4 2 4" xfId="20891"/>
    <cellStyle name="Calculation 3 7 3 4 2 5" xfId="20892"/>
    <cellStyle name="Calculation 3 7 3 4 2 6" xfId="20893"/>
    <cellStyle name="Calculation 3 7 3 4 2 7" xfId="20894"/>
    <cellStyle name="Calculation 3 7 3 4 2 8" xfId="20895"/>
    <cellStyle name="Calculation 3 7 3 4 2 9" xfId="20896"/>
    <cellStyle name="Calculation 3 7 3 4 3" xfId="20897"/>
    <cellStyle name="Calculation 3 7 3 4 4" xfId="20898"/>
    <cellStyle name="Calculation 3 7 3 4 5" xfId="20899"/>
    <cellStyle name="Calculation 3 7 3 4 6" xfId="20900"/>
    <cellStyle name="Calculation 3 7 3 4 7" xfId="20901"/>
    <cellStyle name="Calculation 3 7 3 4 8" xfId="20902"/>
    <cellStyle name="Calculation 3 7 3 4 9" xfId="20903"/>
    <cellStyle name="Calculation 3 7 4" xfId="20904"/>
    <cellStyle name="Calculation 3 7 4 10" xfId="20905"/>
    <cellStyle name="Calculation 3 7 4 11" xfId="20906"/>
    <cellStyle name="Calculation 3 7 4 12" xfId="20907"/>
    <cellStyle name="Calculation 3 7 4 13" xfId="20908"/>
    <cellStyle name="Calculation 3 7 4 14" xfId="20909"/>
    <cellStyle name="Calculation 3 7 4 15" xfId="20910"/>
    <cellStyle name="Calculation 3 7 4 16" xfId="20911"/>
    <cellStyle name="Calculation 3 7 4 17" xfId="20912"/>
    <cellStyle name="Calculation 3 7 4 18" xfId="20913"/>
    <cellStyle name="Calculation 3 7 4 19" xfId="20914"/>
    <cellStyle name="Calculation 3 7 4 2" xfId="20915"/>
    <cellStyle name="Calculation 3 7 4 2 2" xfId="20916"/>
    <cellStyle name="Calculation 3 7 4 2 3" xfId="20917"/>
    <cellStyle name="Calculation 3 7 4 2 4" xfId="20918"/>
    <cellStyle name="Calculation 3 7 4 2 5" xfId="20919"/>
    <cellStyle name="Calculation 3 7 4 2 6" xfId="20920"/>
    <cellStyle name="Calculation 3 7 4 2 7" xfId="20921"/>
    <cellStyle name="Calculation 3 7 4 2 8" xfId="20922"/>
    <cellStyle name="Calculation 3 7 4 2 9" xfId="20923"/>
    <cellStyle name="Calculation 3 7 4 3" xfId="20924"/>
    <cellStyle name="Calculation 3 7 4 4" xfId="20925"/>
    <cellStyle name="Calculation 3 7 4 5" xfId="20926"/>
    <cellStyle name="Calculation 3 7 4 6" xfId="20927"/>
    <cellStyle name="Calculation 3 7 4 7" xfId="20928"/>
    <cellStyle name="Calculation 3 7 4 8" xfId="20929"/>
    <cellStyle name="Calculation 3 7 4 9" xfId="20930"/>
    <cellStyle name="Calculation 3 7 5" xfId="20931"/>
    <cellStyle name="Calculation 3 7 5 10" xfId="20932"/>
    <cellStyle name="Calculation 3 7 5 11" xfId="20933"/>
    <cellStyle name="Calculation 3 7 5 12" xfId="20934"/>
    <cellStyle name="Calculation 3 7 5 13" xfId="20935"/>
    <cellStyle name="Calculation 3 7 5 14" xfId="20936"/>
    <cellStyle name="Calculation 3 7 5 15" xfId="20937"/>
    <cellStyle name="Calculation 3 7 5 16" xfId="20938"/>
    <cellStyle name="Calculation 3 7 5 17" xfId="20939"/>
    <cellStyle name="Calculation 3 7 5 18" xfId="20940"/>
    <cellStyle name="Calculation 3 7 5 2" xfId="20941"/>
    <cellStyle name="Calculation 3 7 5 2 2" xfId="20942"/>
    <cellStyle name="Calculation 3 7 5 2 3" xfId="20943"/>
    <cellStyle name="Calculation 3 7 5 2 4" xfId="20944"/>
    <cellStyle name="Calculation 3 7 5 2 5" xfId="20945"/>
    <cellStyle name="Calculation 3 7 5 2 6" xfId="20946"/>
    <cellStyle name="Calculation 3 7 5 2 7" xfId="20947"/>
    <cellStyle name="Calculation 3 7 5 2 8" xfId="20948"/>
    <cellStyle name="Calculation 3 7 5 2 9" xfId="20949"/>
    <cellStyle name="Calculation 3 7 5 3" xfId="20950"/>
    <cellStyle name="Calculation 3 7 5 4" xfId="20951"/>
    <cellStyle name="Calculation 3 7 5 5" xfId="20952"/>
    <cellStyle name="Calculation 3 7 5 6" xfId="20953"/>
    <cellStyle name="Calculation 3 7 5 7" xfId="20954"/>
    <cellStyle name="Calculation 3 7 5 8" xfId="20955"/>
    <cellStyle name="Calculation 3 7 5 9" xfId="20956"/>
    <cellStyle name="Calculation 3 7 6" xfId="20957"/>
    <cellStyle name="Calculation 3 7 6 10" xfId="20958"/>
    <cellStyle name="Calculation 3 7 6 11" xfId="20959"/>
    <cellStyle name="Calculation 3 7 6 12" xfId="20960"/>
    <cellStyle name="Calculation 3 7 6 13" xfId="20961"/>
    <cellStyle name="Calculation 3 7 6 14" xfId="20962"/>
    <cellStyle name="Calculation 3 7 6 15" xfId="20963"/>
    <cellStyle name="Calculation 3 7 6 16" xfId="20964"/>
    <cellStyle name="Calculation 3 7 6 17" xfId="20965"/>
    <cellStyle name="Calculation 3 7 6 18" xfId="20966"/>
    <cellStyle name="Calculation 3 7 6 19" xfId="20967"/>
    <cellStyle name="Calculation 3 7 6 2" xfId="20968"/>
    <cellStyle name="Calculation 3 7 6 2 2" xfId="20969"/>
    <cellStyle name="Calculation 3 7 6 2 3" xfId="20970"/>
    <cellStyle name="Calculation 3 7 6 2 4" xfId="20971"/>
    <cellStyle name="Calculation 3 7 6 2 5" xfId="20972"/>
    <cellStyle name="Calculation 3 7 6 2 6" xfId="20973"/>
    <cellStyle name="Calculation 3 7 6 2 7" xfId="20974"/>
    <cellStyle name="Calculation 3 7 6 2 8" xfId="20975"/>
    <cellStyle name="Calculation 3 7 6 2 9" xfId="20976"/>
    <cellStyle name="Calculation 3 7 6 3" xfId="20977"/>
    <cellStyle name="Calculation 3 7 6 4" xfId="20978"/>
    <cellStyle name="Calculation 3 7 6 5" xfId="20979"/>
    <cellStyle name="Calculation 3 7 6 6" xfId="20980"/>
    <cellStyle name="Calculation 3 7 6 7" xfId="20981"/>
    <cellStyle name="Calculation 3 7 6 8" xfId="20982"/>
    <cellStyle name="Calculation 3 7 6 9" xfId="20983"/>
    <cellStyle name="Calculation 3 8" xfId="20984"/>
    <cellStyle name="Calculation 3 8 2" xfId="20985"/>
    <cellStyle name="Calculation 3 8 2 2" xfId="20986"/>
    <cellStyle name="Calculation 3 8 2 2 10" xfId="20987"/>
    <cellStyle name="Calculation 3 8 2 2 11" xfId="20988"/>
    <cellStyle name="Calculation 3 8 2 2 12" xfId="20989"/>
    <cellStyle name="Calculation 3 8 2 2 13" xfId="20990"/>
    <cellStyle name="Calculation 3 8 2 2 14" xfId="20991"/>
    <cellStyle name="Calculation 3 8 2 2 15" xfId="20992"/>
    <cellStyle name="Calculation 3 8 2 2 16" xfId="20993"/>
    <cellStyle name="Calculation 3 8 2 2 17" xfId="20994"/>
    <cellStyle name="Calculation 3 8 2 2 18" xfId="20995"/>
    <cellStyle name="Calculation 3 8 2 2 19" xfId="20996"/>
    <cellStyle name="Calculation 3 8 2 2 2" xfId="20997"/>
    <cellStyle name="Calculation 3 8 2 2 2 2" xfId="20998"/>
    <cellStyle name="Calculation 3 8 2 2 2 3" xfId="20999"/>
    <cellStyle name="Calculation 3 8 2 2 2 4" xfId="21000"/>
    <cellStyle name="Calculation 3 8 2 2 2 5" xfId="21001"/>
    <cellStyle name="Calculation 3 8 2 2 2 6" xfId="21002"/>
    <cellStyle name="Calculation 3 8 2 2 2 7" xfId="21003"/>
    <cellStyle name="Calculation 3 8 2 2 2 8" xfId="21004"/>
    <cellStyle name="Calculation 3 8 2 2 2 9" xfId="21005"/>
    <cellStyle name="Calculation 3 8 2 2 3" xfId="21006"/>
    <cellStyle name="Calculation 3 8 2 2 4" xfId="21007"/>
    <cellStyle name="Calculation 3 8 2 2 5" xfId="21008"/>
    <cellStyle name="Calculation 3 8 2 2 6" xfId="21009"/>
    <cellStyle name="Calculation 3 8 2 2 7" xfId="21010"/>
    <cellStyle name="Calculation 3 8 2 2 8" xfId="21011"/>
    <cellStyle name="Calculation 3 8 2 2 9" xfId="21012"/>
    <cellStyle name="Calculation 3 8 2 3" xfId="21013"/>
    <cellStyle name="Calculation 3 8 2 3 10" xfId="21014"/>
    <cellStyle name="Calculation 3 8 2 3 11" xfId="21015"/>
    <cellStyle name="Calculation 3 8 2 3 12" xfId="21016"/>
    <cellStyle name="Calculation 3 8 2 3 13" xfId="21017"/>
    <cellStyle name="Calculation 3 8 2 3 14" xfId="21018"/>
    <cellStyle name="Calculation 3 8 2 3 15" xfId="21019"/>
    <cellStyle name="Calculation 3 8 2 3 16" xfId="21020"/>
    <cellStyle name="Calculation 3 8 2 3 17" xfId="21021"/>
    <cellStyle name="Calculation 3 8 2 3 18" xfId="21022"/>
    <cellStyle name="Calculation 3 8 2 3 2" xfId="21023"/>
    <cellStyle name="Calculation 3 8 2 3 2 2" xfId="21024"/>
    <cellStyle name="Calculation 3 8 2 3 2 3" xfId="21025"/>
    <cellStyle name="Calculation 3 8 2 3 2 4" xfId="21026"/>
    <cellStyle name="Calculation 3 8 2 3 2 5" xfId="21027"/>
    <cellStyle name="Calculation 3 8 2 3 2 6" xfId="21028"/>
    <cellStyle name="Calculation 3 8 2 3 2 7" xfId="21029"/>
    <cellStyle name="Calculation 3 8 2 3 2 8" xfId="21030"/>
    <cellStyle name="Calculation 3 8 2 3 2 9" xfId="21031"/>
    <cellStyle name="Calculation 3 8 2 3 3" xfId="21032"/>
    <cellStyle name="Calculation 3 8 2 3 4" xfId="21033"/>
    <cellStyle name="Calculation 3 8 2 3 5" xfId="21034"/>
    <cellStyle name="Calculation 3 8 2 3 6" xfId="21035"/>
    <cellStyle name="Calculation 3 8 2 3 7" xfId="21036"/>
    <cellStyle name="Calculation 3 8 2 3 8" xfId="21037"/>
    <cellStyle name="Calculation 3 8 2 3 9" xfId="21038"/>
    <cellStyle name="Calculation 3 8 2 4" xfId="21039"/>
    <cellStyle name="Calculation 3 8 2 4 10" xfId="21040"/>
    <cellStyle name="Calculation 3 8 2 4 11" xfId="21041"/>
    <cellStyle name="Calculation 3 8 2 4 12" xfId="21042"/>
    <cellStyle name="Calculation 3 8 2 4 13" xfId="21043"/>
    <cellStyle name="Calculation 3 8 2 4 14" xfId="21044"/>
    <cellStyle name="Calculation 3 8 2 4 15" xfId="21045"/>
    <cellStyle name="Calculation 3 8 2 4 16" xfId="21046"/>
    <cellStyle name="Calculation 3 8 2 4 17" xfId="21047"/>
    <cellStyle name="Calculation 3 8 2 4 18" xfId="21048"/>
    <cellStyle name="Calculation 3 8 2 4 19" xfId="21049"/>
    <cellStyle name="Calculation 3 8 2 4 2" xfId="21050"/>
    <cellStyle name="Calculation 3 8 2 4 2 2" xfId="21051"/>
    <cellStyle name="Calculation 3 8 2 4 2 3" xfId="21052"/>
    <cellStyle name="Calculation 3 8 2 4 2 4" xfId="21053"/>
    <cellStyle name="Calculation 3 8 2 4 2 5" xfId="21054"/>
    <cellStyle name="Calculation 3 8 2 4 2 6" xfId="21055"/>
    <cellStyle name="Calculation 3 8 2 4 2 7" xfId="21056"/>
    <cellStyle name="Calculation 3 8 2 4 2 8" xfId="21057"/>
    <cellStyle name="Calculation 3 8 2 4 2 9" xfId="21058"/>
    <cellStyle name="Calculation 3 8 2 4 3" xfId="21059"/>
    <cellStyle name="Calculation 3 8 2 4 4" xfId="21060"/>
    <cellStyle name="Calculation 3 8 2 4 5" xfId="21061"/>
    <cellStyle name="Calculation 3 8 2 4 6" xfId="21062"/>
    <cellStyle name="Calculation 3 8 2 4 7" xfId="21063"/>
    <cellStyle name="Calculation 3 8 2 4 8" xfId="21064"/>
    <cellStyle name="Calculation 3 8 2 4 9" xfId="21065"/>
    <cellStyle name="Calculation 3 8 2 5" xfId="21066"/>
    <cellStyle name="Calculation 3 8 3" xfId="21067"/>
    <cellStyle name="Calculation 3 8 3 2" xfId="21068"/>
    <cellStyle name="Calculation 3 8 3 2 10" xfId="21069"/>
    <cellStyle name="Calculation 3 8 3 2 11" xfId="21070"/>
    <cellStyle name="Calculation 3 8 3 2 12" xfId="21071"/>
    <cellStyle name="Calculation 3 8 3 2 13" xfId="21072"/>
    <cellStyle name="Calculation 3 8 3 2 14" xfId="21073"/>
    <cellStyle name="Calculation 3 8 3 2 15" xfId="21074"/>
    <cellStyle name="Calculation 3 8 3 2 16" xfId="21075"/>
    <cellStyle name="Calculation 3 8 3 2 17" xfId="21076"/>
    <cellStyle name="Calculation 3 8 3 2 18" xfId="21077"/>
    <cellStyle name="Calculation 3 8 3 2 19" xfId="21078"/>
    <cellStyle name="Calculation 3 8 3 2 2" xfId="21079"/>
    <cellStyle name="Calculation 3 8 3 2 2 2" xfId="21080"/>
    <cellStyle name="Calculation 3 8 3 2 2 3" xfId="21081"/>
    <cellStyle name="Calculation 3 8 3 2 2 4" xfId="21082"/>
    <cellStyle name="Calculation 3 8 3 2 2 5" xfId="21083"/>
    <cellStyle name="Calculation 3 8 3 2 2 6" xfId="21084"/>
    <cellStyle name="Calculation 3 8 3 2 2 7" xfId="21085"/>
    <cellStyle name="Calculation 3 8 3 2 2 8" xfId="21086"/>
    <cellStyle name="Calculation 3 8 3 2 2 9" xfId="21087"/>
    <cellStyle name="Calculation 3 8 3 2 3" xfId="21088"/>
    <cellStyle name="Calculation 3 8 3 2 4" xfId="21089"/>
    <cellStyle name="Calculation 3 8 3 2 5" xfId="21090"/>
    <cellStyle name="Calculation 3 8 3 2 6" xfId="21091"/>
    <cellStyle name="Calculation 3 8 3 2 7" xfId="21092"/>
    <cellStyle name="Calculation 3 8 3 2 8" xfId="21093"/>
    <cellStyle name="Calculation 3 8 3 2 9" xfId="21094"/>
    <cellStyle name="Calculation 3 8 3 3" xfId="21095"/>
    <cellStyle name="Calculation 3 8 3 3 10" xfId="21096"/>
    <cellStyle name="Calculation 3 8 3 3 11" xfId="21097"/>
    <cellStyle name="Calculation 3 8 3 3 12" xfId="21098"/>
    <cellStyle name="Calculation 3 8 3 3 13" xfId="21099"/>
    <cellStyle name="Calculation 3 8 3 3 14" xfId="21100"/>
    <cellStyle name="Calculation 3 8 3 3 15" xfId="21101"/>
    <cellStyle name="Calculation 3 8 3 3 16" xfId="21102"/>
    <cellStyle name="Calculation 3 8 3 3 17" xfId="21103"/>
    <cellStyle name="Calculation 3 8 3 3 18" xfId="21104"/>
    <cellStyle name="Calculation 3 8 3 3 2" xfId="21105"/>
    <cellStyle name="Calculation 3 8 3 3 2 2" xfId="21106"/>
    <cellStyle name="Calculation 3 8 3 3 2 3" xfId="21107"/>
    <cellStyle name="Calculation 3 8 3 3 2 4" xfId="21108"/>
    <cellStyle name="Calculation 3 8 3 3 2 5" xfId="21109"/>
    <cellStyle name="Calculation 3 8 3 3 2 6" xfId="21110"/>
    <cellStyle name="Calculation 3 8 3 3 2 7" xfId="21111"/>
    <cellStyle name="Calculation 3 8 3 3 2 8" xfId="21112"/>
    <cellStyle name="Calculation 3 8 3 3 2 9" xfId="21113"/>
    <cellStyle name="Calculation 3 8 3 3 3" xfId="21114"/>
    <cellStyle name="Calculation 3 8 3 3 4" xfId="21115"/>
    <cellStyle name="Calculation 3 8 3 3 5" xfId="21116"/>
    <cellStyle name="Calculation 3 8 3 3 6" xfId="21117"/>
    <cellStyle name="Calculation 3 8 3 3 7" xfId="21118"/>
    <cellStyle name="Calculation 3 8 3 3 8" xfId="21119"/>
    <cellStyle name="Calculation 3 8 3 3 9" xfId="21120"/>
    <cellStyle name="Calculation 3 8 3 4" xfId="21121"/>
    <cellStyle name="Calculation 3 8 3 4 10" xfId="21122"/>
    <cellStyle name="Calculation 3 8 3 4 11" xfId="21123"/>
    <cellStyle name="Calculation 3 8 3 4 12" xfId="21124"/>
    <cellStyle name="Calculation 3 8 3 4 13" xfId="21125"/>
    <cellStyle name="Calculation 3 8 3 4 14" xfId="21126"/>
    <cellStyle name="Calculation 3 8 3 4 15" xfId="21127"/>
    <cellStyle name="Calculation 3 8 3 4 16" xfId="21128"/>
    <cellStyle name="Calculation 3 8 3 4 17" xfId="21129"/>
    <cellStyle name="Calculation 3 8 3 4 18" xfId="21130"/>
    <cellStyle name="Calculation 3 8 3 4 19" xfId="21131"/>
    <cellStyle name="Calculation 3 8 3 4 2" xfId="21132"/>
    <cellStyle name="Calculation 3 8 3 4 2 2" xfId="21133"/>
    <cellStyle name="Calculation 3 8 3 4 2 3" xfId="21134"/>
    <cellStyle name="Calculation 3 8 3 4 2 4" xfId="21135"/>
    <cellStyle name="Calculation 3 8 3 4 2 5" xfId="21136"/>
    <cellStyle name="Calculation 3 8 3 4 2 6" xfId="21137"/>
    <cellStyle name="Calculation 3 8 3 4 2 7" xfId="21138"/>
    <cellStyle name="Calculation 3 8 3 4 2 8" xfId="21139"/>
    <cellStyle name="Calculation 3 8 3 4 2 9" xfId="21140"/>
    <cellStyle name="Calculation 3 8 3 4 3" xfId="21141"/>
    <cellStyle name="Calculation 3 8 3 4 4" xfId="21142"/>
    <cellStyle name="Calculation 3 8 3 4 5" xfId="21143"/>
    <cellStyle name="Calculation 3 8 3 4 6" xfId="21144"/>
    <cellStyle name="Calculation 3 8 3 4 7" xfId="21145"/>
    <cellStyle name="Calculation 3 8 3 4 8" xfId="21146"/>
    <cellStyle name="Calculation 3 8 3 4 9" xfId="21147"/>
    <cellStyle name="Calculation 3 8 4" xfId="21148"/>
    <cellStyle name="Calculation 3 8 4 10" xfId="21149"/>
    <cellStyle name="Calculation 3 8 4 11" xfId="21150"/>
    <cellStyle name="Calculation 3 8 4 12" xfId="21151"/>
    <cellStyle name="Calculation 3 8 4 13" xfId="21152"/>
    <cellStyle name="Calculation 3 8 4 14" xfId="21153"/>
    <cellStyle name="Calculation 3 8 4 15" xfId="21154"/>
    <cellStyle name="Calculation 3 8 4 16" xfId="21155"/>
    <cellStyle name="Calculation 3 8 4 17" xfId="21156"/>
    <cellStyle name="Calculation 3 8 4 18" xfId="21157"/>
    <cellStyle name="Calculation 3 8 4 19" xfId="21158"/>
    <cellStyle name="Calculation 3 8 4 2" xfId="21159"/>
    <cellStyle name="Calculation 3 8 4 2 2" xfId="21160"/>
    <cellStyle name="Calculation 3 8 4 2 3" xfId="21161"/>
    <cellStyle name="Calculation 3 8 4 2 4" xfId="21162"/>
    <cellStyle name="Calculation 3 8 4 2 5" xfId="21163"/>
    <cellStyle name="Calculation 3 8 4 2 6" xfId="21164"/>
    <cellStyle name="Calculation 3 8 4 2 7" xfId="21165"/>
    <cellStyle name="Calculation 3 8 4 2 8" xfId="21166"/>
    <cellStyle name="Calculation 3 8 4 2 9" xfId="21167"/>
    <cellStyle name="Calculation 3 8 4 3" xfId="21168"/>
    <cellStyle name="Calculation 3 8 4 4" xfId="21169"/>
    <cellStyle name="Calculation 3 8 4 5" xfId="21170"/>
    <cellStyle name="Calculation 3 8 4 6" xfId="21171"/>
    <cellStyle name="Calculation 3 8 4 7" xfId="21172"/>
    <cellStyle name="Calculation 3 8 4 8" xfId="21173"/>
    <cellStyle name="Calculation 3 8 4 9" xfId="21174"/>
    <cellStyle name="Calculation 3 8 5" xfId="21175"/>
    <cellStyle name="Calculation 3 8 5 10" xfId="21176"/>
    <cellStyle name="Calculation 3 8 5 11" xfId="21177"/>
    <cellStyle name="Calculation 3 8 5 12" xfId="21178"/>
    <cellStyle name="Calculation 3 8 5 13" xfId="21179"/>
    <cellStyle name="Calculation 3 8 5 14" xfId="21180"/>
    <cellStyle name="Calculation 3 8 5 15" xfId="21181"/>
    <cellStyle name="Calculation 3 8 5 16" xfId="21182"/>
    <cellStyle name="Calculation 3 8 5 17" xfId="21183"/>
    <cellStyle name="Calculation 3 8 5 18" xfId="21184"/>
    <cellStyle name="Calculation 3 8 5 2" xfId="21185"/>
    <cellStyle name="Calculation 3 8 5 2 2" xfId="21186"/>
    <cellStyle name="Calculation 3 8 5 2 3" xfId="21187"/>
    <cellStyle name="Calculation 3 8 5 2 4" xfId="21188"/>
    <cellStyle name="Calculation 3 8 5 2 5" xfId="21189"/>
    <cellStyle name="Calculation 3 8 5 2 6" xfId="21190"/>
    <cellStyle name="Calculation 3 8 5 2 7" xfId="21191"/>
    <cellStyle name="Calculation 3 8 5 2 8" xfId="21192"/>
    <cellStyle name="Calculation 3 8 5 2 9" xfId="21193"/>
    <cellStyle name="Calculation 3 8 5 3" xfId="21194"/>
    <cellStyle name="Calculation 3 8 5 4" xfId="21195"/>
    <cellStyle name="Calculation 3 8 5 5" xfId="21196"/>
    <cellStyle name="Calculation 3 8 5 6" xfId="21197"/>
    <cellStyle name="Calculation 3 8 5 7" xfId="21198"/>
    <cellStyle name="Calculation 3 8 5 8" xfId="21199"/>
    <cellStyle name="Calculation 3 8 5 9" xfId="21200"/>
    <cellStyle name="Calculation 3 8 6" xfId="21201"/>
    <cellStyle name="Calculation 3 8 6 10" xfId="21202"/>
    <cellStyle name="Calculation 3 8 6 11" xfId="21203"/>
    <cellStyle name="Calculation 3 8 6 12" xfId="21204"/>
    <cellStyle name="Calculation 3 8 6 13" xfId="21205"/>
    <cellStyle name="Calculation 3 8 6 14" xfId="21206"/>
    <cellStyle name="Calculation 3 8 6 15" xfId="21207"/>
    <cellStyle name="Calculation 3 8 6 16" xfId="21208"/>
    <cellStyle name="Calculation 3 8 6 17" xfId="21209"/>
    <cellStyle name="Calculation 3 8 6 18" xfId="21210"/>
    <cellStyle name="Calculation 3 8 6 19" xfId="21211"/>
    <cellStyle name="Calculation 3 8 6 2" xfId="21212"/>
    <cellStyle name="Calculation 3 8 6 2 2" xfId="21213"/>
    <cellStyle name="Calculation 3 8 6 2 3" xfId="21214"/>
    <cellStyle name="Calculation 3 8 6 2 4" xfId="21215"/>
    <cellStyle name="Calculation 3 8 6 2 5" xfId="21216"/>
    <cellStyle name="Calculation 3 8 6 2 6" xfId="21217"/>
    <cellStyle name="Calculation 3 8 6 2 7" xfId="21218"/>
    <cellStyle name="Calculation 3 8 6 2 8" xfId="21219"/>
    <cellStyle name="Calculation 3 8 6 2 9" xfId="21220"/>
    <cellStyle name="Calculation 3 8 6 3" xfId="21221"/>
    <cellStyle name="Calculation 3 8 6 4" xfId="21222"/>
    <cellStyle name="Calculation 3 8 6 5" xfId="21223"/>
    <cellStyle name="Calculation 3 8 6 6" xfId="21224"/>
    <cellStyle name="Calculation 3 8 6 7" xfId="21225"/>
    <cellStyle name="Calculation 3 8 6 8" xfId="21226"/>
    <cellStyle name="Calculation 3 8 6 9" xfId="21227"/>
    <cellStyle name="Calculation 3 9" xfId="21228"/>
    <cellStyle name="Calculation 3 9 2" xfId="21229"/>
    <cellStyle name="Calculation 3 9 2 10" xfId="21230"/>
    <cellStyle name="Calculation 3 9 2 11" xfId="21231"/>
    <cellStyle name="Calculation 3 9 2 12" xfId="21232"/>
    <cellStyle name="Calculation 3 9 2 13" xfId="21233"/>
    <cellStyle name="Calculation 3 9 2 14" xfId="21234"/>
    <cellStyle name="Calculation 3 9 2 15" xfId="21235"/>
    <cellStyle name="Calculation 3 9 2 16" xfId="21236"/>
    <cellStyle name="Calculation 3 9 2 17" xfId="21237"/>
    <cellStyle name="Calculation 3 9 2 18" xfId="21238"/>
    <cellStyle name="Calculation 3 9 2 19" xfId="21239"/>
    <cellStyle name="Calculation 3 9 2 2" xfId="21240"/>
    <cellStyle name="Calculation 3 9 2 2 2" xfId="21241"/>
    <cellStyle name="Calculation 3 9 2 2 3" xfId="21242"/>
    <cellStyle name="Calculation 3 9 2 2 4" xfId="21243"/>
    <cellStyle name="Calculation 3 9 2 2 5" xfId="21244"/>
    <cellStyle name="Calculation 3 9 2 2 6" xfId="21245"/>
    <cellStyle name="Calculation 3 9 2 2 7" xfId="21246"/>
    <cellStyle name="Calculation 3 9 2 2 8" xfId="21247"/>
    <cellStyle name="Calculation 3 9 2 2 9" xfId="21248"/>
    <cellStyle name="Calculation 3 9 2 3" xfId="21249"/>
    <cellStyle name="Calculation 3 9 2 4" xfId="21250"/>
    <cellStyle name="Calculation 3 9 2 5" xfId="21251"/>
    <cellStyle name="Calculation 3 9 2 6" xfId="21252"/>
    <cellStyle name="Calculation 3 9 2 7" xfId="21253"/>
    <cellStyle name="Calculation 3 9 2 8" xfId="21254"/>
    <cellStyle name="Calculation 3 9 2 9" xfId="21255"/>
    <cellStyle name="Calculation 3 9 3" xfId="21256"/>
    <cellStyle name="Calculation 3 9 3 10" xfId="21257"/>
    <cellStyle name="Calculation 3 9 3 11" xfId="21258"/>
    <cellStyle name="Calculation 3 9 3 12" xfId="21259"/>
    <cellStyle name="Calculation 3 9 3 13" xfId="21260"/>
    <cellStyle name="Calculation 3 9 3 14" xfId="21261"/>
    <cellStyle name="Calculation 3 9 3 15" xfId="21262"/>
    <cellStyle name="Calculation 3 9 3 16" xfId="21263"/>
    <cellStyle name="Calculation 3 9 3 17" xfId="21264"/>
    <cellStyle name="Calculation 3 9 3 18" xfId="21265"/>
    <cellStyle name="Calculation 3 9 3 2" xfId="21266"/>
    <cellStyle name="Calculation 3 9 3 2 2" xfId="21267"/>
    <cellStyle name="Calculation 3 9 3 2 3" xfId="21268"/>
    <cellStyle name="Calculation 3 9 3 2 4" xfId="21269"/>
    <cellStyle name="Calculation 3 9 3 2 5" xfId="21270"/>
    <cellStyle name="Calculation 3 9 3 2 6" xfId="21271"/>
    <cellStyle name="Calculation 3 9 3 2 7" xfId="21272"/>
    <cellStyle name="Calculation 3 9 3 2 8" xfId="21273"/>
    <cellStyle name="Calculation 3 9 3 2 9" xfId="21274"/>
    <cellStyle name="Calculation 3 9 3 3" xfId="21275"/>
    <cellStyle name="Calculation 3 9 3 4" xfId="21276"/>
    <cellStyle name="Calculation 3 9 3 5" xfId="21277"/>
    <cellStyle name="Calculation 3 9 3 6" xfId="21278"/>
    <cellStyle name="Calculation 3 9 3 7" xfId="21279"/>
    <cellStyle name="Calculation 3 9 3 8" xfId="21280"/>
    <cellStyle name="Calculation 3 9 3 9" xfId="21281"/>
    <cellStyle name="Calculation 3 9 4" xfId="21282"/>
    <cellStyle name="Calculation 3 9 4 10" xfId="21283"/>
    <cellStyle name="Calculation 3 9 4 11" xfId="21284"/>
    <cellStyle name="Calculation 3 9 4 12" xfId="21285"/>
    <cellStyle name="Calculation 3 9 4 13" xfId="21286"/>
    <cellStyle name="Calculation 3 9 4 14" xfId="21287"/>
    <cellStyle name="Calculation 3 9 4 15" xfId="21288"/>
    <cellStyle name="Calculation 3 9 4 16" xfId="21289"/>
    <cellStyle name="Calculation 3 9 4 17" xfId="21290"/>
    <cellStyle name="Calculation 3 9 4 18" xfId="21291"/>
    <cellStyle name="Calculation 3 9 4 19" xfId="21292"/>
    <cellStyle name="Calculation 3 9 4 2" xfId="21293"/>
    <cellStyle name="Calculation 3 9 4 2 2" xfId="21294"/>
    <cellStyle name="Calculation 3 9 4 2 3" xfId="21295"/>
    <cellStyle name="Calculation 3 9 4 2 4" xfId="21296"/>
    <cellStyle name="Calculation 3 9 4 2 5" xfId="21297"/>
    <cellStyle name="Calculation 3 9 4 2 6" xfId="21298"/>
    <cellStyle name="Calculation 3 9 4 2 7" xfId="21299"/>
    <cellStyle name="Calculation 3 9 4 2 8" xfId="21300"/>
    <cellStyle name="Calculation 3 9 4 2 9" xfId="21301"/>
    <cellStyle name="Calculation 3 9 4 3" xfId="21302"/>
    <cellStyle name="Calculation 3 9 4 4" xfId="21303"/>
    <cellStyle name="Calculation 3 9 4 5" xfId="21304"/>
    <cellStyle name="Calculation 3 9 4 6" xfId="21305"/>
    <cellStyle name="Calculation 3 9 4 7" xfId="21306"/>
    <cellStyle name="Calculation 3 9 4 8" xfId="21307"/>
    <cellStyle name="Calculation 3 9 4 9" xfId="21308"/>
    <cellStyle name="Calculation 3 9 5" xfId="21309"/>
    <cellStyle name="Calculation 4" xfId="21310"/>
    <cellStyle name="Calculation 4 2" xfId="21311"/>
    <cellStyle name="Calculation 4 2 2" xfId="21312"/>
    <cellStyle name="Calculation 4 2 2 10" xfId="21313"/>
    <cellStyle name="Calculation 4 2 2 11" xfId="21314"/>
    <cellStyle name="Calculation 4 2 2 12" xfId="21315"/>
    <cellStyle name="Calculation 4 2 2 13" xfId="21316"/>
    <cellStyle name="Calculation 4 2 2 14" xfId="21317"/>
    <cellStyle name="Calculation 4 2 2 15" xfId="21318"/>
    <cellStyle name="Calculation 4 2 2 16" xfId="21319"/>
    <cellStyle name="Calculation 4 2 2 17" xfId="21320"/>
    <cellStyle name="Calculation 4 2 2 18" xfId="21321"/>
    <cellStyle name="Calculation 4 2 2 19" xfId="21322"/>
    <cellStyle name="Calculation 4 2 2 2" xfId="21323"/>
    <cellStyle name="Calculation 4 2 2 2 2" xfId="21324"/>
    <cellStyle name="Calculation 4 2 2 2 3" xfId="21325"/>
    <cellStyle name="Calculation 4 2 2 2 4" xfId="21326"/>
    <cellStyle name="Calculation 4 2 2 2 5" xfId="21327"/>
    <cellStyle name="Calculation 4 2 2 2 6" xfId="21328"/>
    <cellStyle name="Calculation 4 2 2 2 7" xfId="21329"/>
    <cellStyle name="Calculation 4 2 2 2 8" xfId="21330"/>
    <cellStyle name="Calculation 4 2 2 2 9" xfId="21331"/>
    <cellStyle name="Calculation 4 2 2 3" xfId="21332"/>
    <cellStyle name="Calculation 4 2 2 4" xfId="21333"/>
    <cellStyle name="Calculation 4 2 2 5" xfId="21334"/>
    <cellStyle name="Calculation 4 2 2 6" xfId="21335"/>
    <cellStyle name="Calculation 4 2 2 7" xfId="21336"/>
    <cellStyle name="Calculation 4 2 2 8" xfId="21337"/>
    <cellStyle name="Calculation 4 2 2 9" xfId="21338"/>
    <cellStyle name="Calculation 4 2 3" xfId="21339"/>
    <cellStyle name="Calculation 4 2 3 10" xfId="21340"/>
    <cellStyle name="Calculation 4 2 3 11" xfId="21341"/>
    <cellStyle name="Calculation 4 2 3 12" xfId="21342"/>
    <cellStyle name="Calculation 4 2 3 13" xfId="21343"/>
    <cellStyle name="Calculation 4 2 3 14" xfId="21344"/>
    <cellStyle name="Calculation 4 2 3 15" xfId="21345"/>
    <cellStyle name="Calculation 4 2 3 16" xfId="21346"/>
    <cellStyle name="Calculation 4 2 3 17" xfId="21347"/>
    <cellStyle name="Calculation 4 2 3 18" xfId="21348"/>
    <cellStyle name="Calculation 4 2 3 2" xfId="21349"/>
    <cellStyle name="Calculation 4 2 3 2 2" xfId="21350"/>
    <cellStyle name="Calculation 4 2 3 2 3" xfId="21351"/>
    <cellStyle name="Calculation 4 2 3 2 4" xfId="21352"/>
    <cellStyle name="Calculation 4 2 3 2 5" xfId="21353"/>
    <cellStyle name="Calculation 4 2 3 2 6" xfId="21354"/>
    <cellStyle name="Calculation 4 2 3 2 7" xfId="21355"/>
    <cellStyle name="Calculation 4 2 3 2 8" xfId="21356"/>
    <cellStyle name="Calculation 4 2 3 2 9" xfId="21357"/>
    <cellStyle name="Calculation 4 2 3 3" xfId="21358"/>
    <cellStyle name="Calculation 4 2 3 4" xfId="21359"/>
    <cellStyle name="Calculation 4 2 3 5" xfId="21360"/>
    <cellStyle name="Calculation 4 2 3 6" xfId="21361"/>
    <cellStyle name="Calculation 4 2 3 7" xfId="21362"/>
    <cellStyle name="Calculation 4 2 3 8" xfId="21363"/>
    <cellStyle name="Calculation 4 2 3 9" xfId="21364"/>
    <cellStyle name="Calculation 4 2 4" xfId="21365"/>
    <cellStyle name="Calculation 4 2 4 10" xfId="21366"/>
    <cellStyle name="Calculation 4 2 4 11" xfId="21367"/>
    <cellStyle name="Calculation 4 2 4 12" xfId="21368"/>
    <cellStyle name="Calculation 4 2 4 13" xfId="21369"/>
    <cellStyle name="Calculation 4 2 4 14" xfId="21370"/>
    <cellStyle name="Calculation 4 2 4 15" xfId="21371"/>
    <cellStyle name="Calculation 4 2 4 16" xfId="21372"/>
    <cellStyle name="Calculation 4 2 4 17" xfId="21373"/>
    <cellStyle name="Calculation 4 2 4 18" xfId="21374"/>
    <cellStyle name="Calculation 4 2 4 19" xfId="21375"/>
    <cellStyle name="Calculation 4 2 4 2" xfId="21376"/>
    <cellStyle name="Calculation 4 2 4 2 2" xfId="21377"/>
    <cellStyle name="Calculation 4 2 4 2 3" xfId="21378"/>
    <cellStyle name="Calculation 4 2 4 2 4" xfId="21379"/>
    <cellStyle name="Calculation 4 2 4 2 5" xfId="21380"/>
    <cellStyle name="Calculation 4 2 4 2 6" xfId="21381"/>
    <cellStyle name="Calculation 4 2 4 2 7" xfId="21382"/>
    <cellStyle name="Calculation 4 2 4 2 8" xfId="21383"/>
    <cellStyle name="Calculation 4 2 4 2 9" xfId="21384"/>
    <cellStyle name="Calculation 4 2 4 3" xfId="21385"/>
    <cellStyle name="Calculation 4 2 4 4" xfId="21386"/>
    <cellStyle name="Calculation 4 2 4 5" xfId="21387"/>
    <cellStyle name="Calculation 4 2 4 6" xfId="21388"/>
    <cellStyle name="Calculation 4 2 4 7" xfId="21389"/>
    <cellStyle name="Calculation 4 2 4 8" xfId="21390"/>
    <cellStyle name="Calculation 4 2 4 9" xfId="21391"/>
    <cellStyle name="Calculation 4 2 5" xfId="21392"/>
    <cellStyle name="Calculation 4 3" xfId="21393"/>
    <cellStyle name="Calculation 4 3 2" xfId="21394"/>
    <cellStyle name="Calculation 4 3 2 10" xfId="21395"/>
    <cellStyle name="Calculation 4 3 2 11" xfId="21396"/>
    <cellStyle name="Calculation 4 3 2 12" xfId="21397"/>
    <cellStyle name="Calculation 4 3 2 13" xfId="21398"/>
    <cellStyle name="Calculation 4 3 2 14" xfId="21399"/>
    <cellStyle name="Calculation 4 3 2 15" xfId="21400"/>
    <cellStyle name="Calculation 4 3 2 16" xfId="21401"/>
    <cellStyle name="Calculation 4 3 2 17" xfId="21402"/>
    <cellStyle name="Calculation 4 3 2 18" xfId="21403"/>
    <cellStyle name="Calculation 4 3 2 19" xfId="21404"/>
    <cellStyle name="Calculation 4 3 2 2" xfId="21405"/>
    <cellStyle name="Calculation 4 3 2 2 2" xfId="21406"/>
    <cellStyle name="Calculation 4 3 2 2 3" xfId="21407"/>
    <cellStyle name="Calculation 4 3 2 2 4" xfId="21408"/>
    <cellStyle name="Calculation 4 3 2 2 5" xfId="21409"/>
    <cellStyle name="Calculation 4 3 2 2 6" xfId="21410"/>
    <cellStyle name="Calculation 4 3 2 2 7" xfId="21411"/>
    <cellStyle name="Calculation 4 3 2 2 8" xfId="21412"/>
    <cellStyle name="Calculation 4 3 2 2 9" xfId="21413"/>
    <cellStyle name="Calculation 4 3 2 3" xfId="21414"/>
    <cellStyle name="Calculation 4 3 2 4" xfId="21415"/>
    <cellStyle name="Calculation 4 3 2 5" xfId="21416"/>
    <cellStyle name="Calculation 4 3 2 6" xfId="21417"/>
    <cellStyle name="Calculation 4 3 2 7" xfId="21418"/>
    <cellStyle name="Calculation 4 3 2 8" xfId="21419"/>
    <cellStyle name="Calculation 4 3 2 9" xfId="21420"/>
    <cellStyle name="Calculation 4 3 3" xfId="21421"/>
    <cellStyle name="Calculation 4 3 3 10" xfId="21422"/>
    <cellStyle name="Calculation 4 3 3 11" xfId="21423"/>
    <cellStyle name="Calculation 4 3 3 12" xfId="21424"/>
    <cellStyle name="Calculation 4 3 3 13" xfId="21425"/>
    <cellStyle name="Calculation 4 3 3 14" xfId="21426"/>
    <cellStyle name="Calculation 4 3 3 15" xfId="21427"/>
    <cellStyle name="Calculation 4 3 3 16" xfId="21428"/>
    <cellStyle name="Calculation 4 3 3 17" xfId="21429"/>
    <cellStyle name="Calculation 4 3 3 18" xfId="21430"/>
    <cellStyle name="Calculation 4 3 3 2" xfId="21431"/>
    <cellStyle name="Calculation 4 3 3 2 2" xfId="21432"/>
    <cellStyle name="Calculation 4 3 3 2 3" xfId="21433"/>
    <cellStyle name="Calculation 4 3 3 2 4" xfId="21434"/>
    <cellStyle name="Calculation 4 3 3 2 5" xfId="21435"/>
    <cellStyle name="Calculation 4 3 3 2 6" xfId="21436"/>
    <cellStyle name="Calculation 4 3 3 2 7" xfId="21437"/>
    <cellStyle name="Calculation 4 3 3 2 8" xfId="21438"/>
    <cellStyle name="Calculation 4 3 3 2 9" xfId="21439"/>
    <cellStyle name="Calculation 4 3 3 3" xfId="21440"/>
    <cellStyle name="Calculation 4 3 3 4" xfId="21441"/>
    <cellStyle name="Calculation 4 3 3 5" xfId="21442"/>
    <cellStyle name="Calculation 4 3 3 6" xfId="21443"/>
    <cellStyle name="Calculation 4 3 3 7" xfId="21444"/>
    <cellStyle name="Calculation 4 3 3 8" xfId="21445"/>
    <cellStyle name="Calculation 4 3 3 9" xfId="21446"/>
    <cellStyle name="Calculation 4 3 4" xfId="21447"/>
    <cellStyle name="Calculation 4 3 4 10" xfId="21448"/>
    <cellStyle name="Calculation 4 3 4 11" xfId="21449"/>
    <cellStyle name="Calculation 4 3 4 12" xfId="21450"/>
    <cellStyle name="Calculation 4 3 4 13" xfId="21451"/>
    <cellStyle name="Calculation 4 3 4 14" xfId="21452"/>
    <cellStyle name="Calculation 4 3 4 15" xfId="21453"/>
    <cellStyle name="Calculation 4 3 4 16" xfId="21454"/>
    <cellStyle name="Calculation 4 3 4 17" xfId="21455"/>
    <cellStyle name="Calculation 4 3 4 18" xfId="21456"/>
    <cellStyle name="Calculation 4 3 4 19" xfId="21457"/>
    <cellStyle name="Calculation 4 3 4 2" xfId="21458"/>
    <cellStyle name="Calculation 4 3 4 2 2" xfId="21459"/>
    <cellStyle name="Calculation 4 3 4 2 3" xfId="21460"/>
    <cellStyle name="Calculation 4 3 4 2 4" xfId="21461"/>
    <cellStyle name="Calculation 4 3 4 2 5" xfId="21462"/>
    <cellStyle name="Calculation 4 3 4 2 6" xfId="21463"/>
    <cellStyle name="Calculation 4 3 4 2 7" xfId="21464"/>
    <cellStyle name="Calculation 4 3 4 2 8" xfId="21465"/>
    <cellStyle name="Calculation 4 3 4 2 9" xfId="21466"/>
    <cellStyle name="Calculation 4 3 4 3" xfId="21467"/>
    <cellStyle name="Calculation 4 3 4 4" xfId="21468"/>
    <cellStyle name="Calculation 4 3 4 5" xfId="21469"/>
    <cellStyle name="Calculation 4 3 4 6" xfId="21470"/>
    <cellStyle name="Calculation 4 3 4 7" xfId="21471"/>
    <cellStyle name="Calculation 4 3 4 8" xfId="21472"/>
    <cellStyle name="Calculation 4 3 4 9" xfId="21473"/>
    <cellStyle name="Calculation 4 4" xfId="21474"/>
    <cellStyle name="Calculation 4 4 10" xfId="21475"/>
    <cellStyle name="Calculation 4 4 11" xfId="21476"/>
    <cellStyle name="Calculation 4 4 12" xfId="21477"/>
    <cellStyle name="Calculation 4 4 13" xfId="21478"/>
    <cellStyle name="Calculation 4 4 14" xfId="21479"/>
    <cellStyle name="Calculation 4 4 15" xfId="21480"/>
    <cellStyle name="Calculation 4 4 16" xfId="21481"/>
    <cellStyle name="Calculation 4 4 17" xfId="21482"/>
    <cellStyle name="Calculation 4 4 18" xfId="21483"/>
    <cellStyle name="Calculation 4 4 19" xfId="21484"/>
    <cellStyle name="Calculation 4 4 2" xfId="21485"/>
    <cellStyle name="Calculation 4 4 2 2" xfId="21486"/>
    <cellStyle name="Calculation 4 4 2 3" xfId="21487"/>
    <cellStyle name="Calculation 4 4 2 4" xfId="21488"/>
    <cellStyle name="Calculation 4 4 2 5" xfId="21489"/>
    <cellStyle name="Calculation 4 4 2 6" xfId="21490"/>
    <cellStyle name="Calculation 4 4 2 7" xfId="21491"/>
    <cellStyle name="Calculation 4 4 2 8" xfId="21492"/>
    <cellStyle name="Calculation 4 4 2 9" xfId="21493"/>
    <cellStyle name="Calculation 4 4 3" xfId="21494"/>
    <cellStyle name="Calculation 4 4 4" xfId="21495"/>
    <cellStyle name="Calculation 4 4 5" xfId="21496"/>
    <cellStyle name="Calculation 4 4 6" xfId="21497"/>
    <cellStyle name="Calculation 4 4 7" xfId="21498"/>
    <cellStyle name="Calculation 4 4 8" xfId="21499"/>
    <cellStyle name="Calculation 4 4 9" xfId="21500"/>
    <cellStyle name="Calculation 4 5" xfId="21501"/>
    <cellStyle name="Calculation 4 5 10" xfId="21502"/>
    <cellStyle name="Calculation 4 5 11" xfId="21503"/>
    <cellStyle name="Calculation 4 5 12" xfId="21504"/>
    <cellStyle name="Calculation 4 5 13" xfId="21505"/>
    <cellStyle name="Calculation 4 5 14" xfId="21506"/>
    <cellStyle name="Calculation 4 5 15" xfId="21507"/>
    <cellStyle name="Calculation 4 5 16" xfId="21508"/>
    <cellStyle name="Calculation 4 5 17" xfId="21509"/>
    <cellStyle name="Calculation 4 5 18" xfId="21510"/>
    <cellStyle name="Calculation 4 5 2" xfId="21511"/>
    <cellStyle name="Calculation 4 5 2 2" xfId="21512"/>
    <cellStyle name="Calculation 4 5 2 3" xfId="21513"/>
    <cellStyle name="Calculation 4 5 2 4" xfId="21514"/>
    <cellStyle name="Calculation 4 5 2 5" xfId="21515"/>
    <cellStyle name="Calculation 4 5 2 6" xfId="21516"/>
    <cellStyle name="Calculation 4 5 2 7" xfId="21517"/>
    <cellStyle name="Calculation 4 5 2 8" xfId="21518"/>
    <cellStyle name="Calculation 4 5 2 9" xfId="21519"/>
    <cellStyle name="Calculation 4 5 3" xfId="21520"/>
    <cellStyle name="Calculation 4 5 4" xfId="21521"/>
    <cellStyle name="Calculation 4 5 5" xfId="21522"/>
    <cellStyle name="Calculation 4 5 6" xfId="21523"/>
    <cellStyle name="Calculation 4 5 7" xfId="21524"/>
    <cellStyle name="Calculation 4 5 8" xfId="21525"/>
    <cellStyle name="Calculation 4 5 9" xfId="21526"/>
    <cellStyle name="Calculation 4 6" xfId="21527"/>
    <cellStyle name="Calculation 4 6 10" xfId="21528"/>
    <cellStyle name="Calculation 4 6 11" xfId="21529"/>
    <cellStyle name="Calculation 4 6 12" xfId="21530"/>
    <cellStyle name="Calculation 4 6 13" xfId="21531"/>
    <cellStyle name="Calculation 4 6 14" xfId="21532"/>
    <cellStyle name="Calculation 4 6 15" xfId="21533"/>
    <cellStyle name="Calculation 4 6 16" xfId="21534"/>
    <cellStyle name="Calculation 4 6 17" xfId="21535"/>
    <cellStyle name="Calculation 4 6 18" xfId="21536"/>
    <cellStyle name="Calculation 4 6 19" xfId="21537"/>
    <cellStyle name="Calculation 4 6 2" xfId="21538"/>
    <cellStyle name="Calculation 4 6 2 2" xfId="21539"/>
    <cellStyle name="Calculation 4 6 2 3" xfId="21540"/>
    <cellStyle name="Calculation 4 6 2 4" xfId="21541"/>
    <cellStyle name="Calculation 4 6 2 5" xfId="21542"/>
    <cellStyle name="Calculation 4 6 2 6" xfId="21543"/>
    <cellStyle name="Calculation 4 6 2 7" xfId="21544"/>
    <cellStyle name="Calculation 4 6 2 8" xfId="21545"/>
    <cellStyle name="Calculation 4 6 2 9" xfId="21546"/>
    <cellStyle name="Calculation 4 6 3" xfId="21547"/>
    <cellStyle name="Calculation 4 6 4" xfId="21548"/>
    <cellStyle name="Calculation 4 6 5" xfId="21549"/>
    <cellStyle name="Calculation 4 6 6" xfId="21550"/>
    <cellStyle name="Calculation 4 6 7" xfId="21551"/>
    <cellStyle name="Calculation 4 6 8" xfId="21552"/>
    <cellStyle name="Calculation 4 6 9" xfId="21553"/>
    <cellStyle name="Calculation 5" xfId="21554"/>
    <cellStyle name="Calculation 5 2" xfId="21555"/>
    <cellStyle name="Calculation 5 2 2" xfId="21556"/>
    <cellStyle name="Calculation 5 2 2 10" xfId="21557"/>
    <cellStyle name="Calculation 5 2 2 11" xfId="21558"/>
    <cellStyle name="Calculation 5 2 2 12" xfId="21559"/>
    <cellStyle name="Calculation 5 2 2 13" xfId="21560"/>
    <cellStyle name="Calculation 5 2 2 14" xfId="21561"/>
    <cellStyle name="Calculation 5 2 2 15" xfId="21562"/>
    <cellStyle name="Calculation 5 2 2 16" xfId="21563"/>
    <cellStyle name="Calculation 5 2 2 17" xfId="21564"/>
    <cellStyle name="Calculation 5 2 2 18" xfId="21565"/>
    <cellStyle name="Calculation 5 2 2 19" xfId="21566"/>
    <cellStyle name="Calculation 5 2 2 2" xfId="21567"/>
    <cellStyle name="Calculation 5 2 2 2 2" xfId="21568"/>
    <cellStyle name="Calculation 5 2 2 2 3" xfId="21569"/>
    <cellStyle name="Calculation 5 2 2 2 4" xfId="21570"/>
    <cellStyle name="Calculation 5 2 2 2 5" xfId="21571"/>
    <cellStyle name="Calculation 5 2 2 2 6" xfId="21572"/>
    <cellStyle name="Calculation 5 2 2 2 7" xfId="21573"/>
    <cellStyle name="Calculation 5 2 2 2 8" xfId="21574"/>
    <cellStyle name="Calculation 5 2 2 2 9" xfId="21575"/>
    <cellStyle name="Calculation 5 2 2 3" xfId="21576"/>
    <cellStyle name="Calculation 5 2 2 4" xfId="21577"/>
    <cellStyle name="Calculation 5 2 2 5" xfId="21578"/>
    <cellStyle name="Calculation 5 2 2 6" xfId="21579"/>
    <cellStyle name="Calculation 5 2 2 7" xfId="21580"/>
    <cellStyle name="Calculation 5 2 2 8" xfId="21581"/>
    <cellStyle name="Calculation 5 2 2 9" xfId="21582"/>
    <cellStyle name="Calculation 5 2 3" xfId="21583"/>
    <cellStyle name="Calculation 5 2 3 10" xfId="21584"/>
    <cellStyle name="Calculation 5 2 3 11" xfId="21585"/>
    <cellStyle name="Calculation 5 2 3 12" xfId="21586"/>
    <cellStyle name="Calculation 5 2 3 13" xfId="21587"/>
    <cellStyle name="Calculation 5 2 3 14" xfId="21588"/>
    <cellStyle name="Calculation 5 2 3 15" xfId="21589"/>
    <cellStyle name="Calculation 5 2 3 16" xfId="21590"/>
    <cellStyle name="Calculation 5 2 3 17" xfId="21591"/>
    <cellStyle name="Calculation 5 2 3 18" xfId="21592"/>
    <cellStyle name="Calculation 5 2 3 2" xfId="21593"/>
    <cellStyle name="Calculation 5 2 3 2 2" xfId="21594"/>
    <cellStyle name="Calculation 5 2 3 2 3" xfId="21595"/>
    <cellStyle name="Calculation 5 2 3 2 4" xfId="21596"/>
    <cellStyle name="Calculation 5 2 3 2 5" xfId="21597"/>
    <cellStyle name="Calculation 5 2 3 2 6" xfId="21598"/>
    <cellStyle name="Calculation 5 2 3 2 7" xfId="21599"/>
    <cellStyle name="Calculation 5 2 3 2 8" xfId="21600"/>
    <cellStyle name="Calculation 5 2 3 2 9" xfId="21601"/>
    <cellStyle name="Calculation 5 2 3 3" xfId="21602"/>
    <cellStyle name="Calculation 5 2 3 4" xfId="21603"/>
    <cellStyle name="Calculation 5 2 3 5" xfId="21604"/>
    <cellStyle name="Calculation 5 2 3 6" xfId="21605"/>
    <cellStyle name="Calculation 5 2 3 7" xfId="21606"/>
    <cellStyle name="Calculation 5 2 3 8" xfId="21607"/>
    <cellStyle name="Calculation 5 2 3 9" xfId="21608"/>
    <cellStyle name="Calculation 5 2 4" xfId="21609"/>
    <cellStyle name="Calculation 5 2 4 10" xfId="21610"/>
    <cellStyle name="Calculation 5 2 4 11" xfId="21611"/>
    <cellStyle name="Calculation 5 2 4 12" xfId="21612"/>
    <cellStyle name="Calculation 5 2 4 13" xfId="21613"/>
    <cellStyle name="Calculation 5 2 4 14" xfId="21614"/>
    <cellStyle name="Calculation 5 2 4 15" xfId="21615"/>
    <cellStyle name="Calculation 5 2 4 16" xfId="21616"/>
    <cellStyle name="Calculation 5 2 4 17" xfId="21617"/>
    <cellStyle name="Calculation 5 2 4 18" xfId="21618"/>
    <cellStyle name="Calculation 5 2 4 19" xfId="21619"/>
    <cellStyle name="Calculation 5 2 4 2" xfId="21620"/>
    <cellStyle name="Calculation 5 2 4 2 2" xfId="21621"/>
    <cellStyle name="Calculation 5 2 4 2 3" xfId="21622"/>
    <cellStyle name="Calculation 5 2 4 2 4" xfId="21623"/>
    <cellStyle name="Calculation 5 2 4 2 5" xfId="21624"/>
    <cellStyle name="Calculation 5 2 4 2 6" xfId="21625"/>
    <cellStyle name="Calculation 5 2 4 2 7" xfId="21626"/>
    <cellStyle name="Calculation 5 2 4 2 8" xfId="21627"/>
    <cellStyle name="Calculation 5 2 4 2 9" xfId="21628"/>
    <cellStyle name="Calculation 5 2 4 3" xfId="21629"/>
    <cellStyle name="Calculation 5 2 4 4" xfId="21630"/>
    <cellStyle name="Calculation 5 2 4 5" xfId="21631"/>
    <cellStyle name="Calculation 5 2 4 6" xfId="21632"/>
    <cellStyle name="Calculation 5 2 4 7" xfId="21633"/>
    <cellStyle name="Calculation 5 2 4 8" xfId="21634"/>
    <cellStyle name="Calculation 5 2 4 9" xfId="21635"/>
    <cellStyle name="Calculation 5 2 5" xfId="21636"/>
    <cellStyle name="Calculation 5 3" xfId="21637"/>
    <cellStyle name="Calculation 5 3 2" xfId="21638"/>
    <cellStyle name="Calculation 5 3 2 10" xfId="21639"/>
    <cellStyle name="Calculation 5 3 2 11" xfId="21640"/>
    <cellStyle name="Calculation 5 3 2 12" xfId="21641"/>
    <cellStyle name="Calculation 5 3 2 13" xfId="21642"/>
    <cellStyle name="Calculation 5 3 2 14" xfId="21643"/>
    <cellStyle name="Calculation 5 3 2 15" xfId="21644"/>
    <cellStyle name="Calculation 5 3 2 16" xfId="21645"/>
    <cellStyle name="Calculation 5 3 2 17" xfId="21646"/>
    <cellStyle name="Calculation 5 3 2 18" xfId="21647"/>
    <cellStyle name="Calculation 5 3 2 19" xfId="21648"/>
    <cellStyle name="Calculation 5 3 2 2" xfId="21649"/>
    <cellStyle name="Calculation 5 3 2 2 2" xfId="21650"/>
    <cellStyle name="Calculation 5 3 2 2 3" xfId="21651"/>
    <cellStyle name="Calculation 5 3 2 2 4" xfId="21652"/>
    <cellStyle name="Calculation 5 3 2 2 5" xfId="21653"/>
    <cellStyle name="Calculation 5 3 2 2 6" xfId="21654"/>
    <cellStyle name="Calculation 5 3 2 2 7" xfId="21655"/>
    <cellStyle name="Calculation 5 3 2 2 8" xfId="21656"/>
    <cellStyle name="Calculation 5 3 2 2 9" xfId="21657"/>
    <cellStyle name="Calculation 5 3 2 3" xfId="21658"/>
    <cellStyle name="Calculation 5 3 2 4" xfId="21659"/>
    <cellStyle name="Calculation 5 3 2 5" xfId="21660"/>
    <cellStyle name="Calculation 5 3 2 6" xfId="21661"/>
    <cellStyle name="Calculation 5 3 2 7" xfId="21662"/>
    <cellStyle name="Calculation 5 3 2 8" xfId="21663"/>
    <cellStyle name="Calculation 5 3 2 9" xfId="21664"/>
    <cellStyle name="Calculation 5 3 3" xfId="21665"/>
    <cellStyle name="Calculation 5 3 3 10" xfId="21666"/>
    <cellStyle name="Calculation 5 3 3 11" xfId="21667"/>
    <cellStyle name="Calculation 5 3 3 12" xfId="21668"/>
    <cellStyle name="Calculation 5 3 3 13" xfId="21669"/>
    <cellStyle name="Calculation 5 3 3 14" xfId="21670"/>
    <cellStyle name="Calculation 5 3 3 15" xfId="21671"/>
    <cellStyle name="Calculation 5 3 3 16" xfId="21672"/>
    <cellStyle name="Calculation 5 3 3 17" xfId="21673"/>
    <cellStyle name="Calculation 5 3 3 18" xfId="21674"/>
    <cellStyle name="Calculation 5 3 3 2" xfId="21675"/>
    <cellStyle name="Calculation 5 3 3 2 2" xfId="21676"/>
    <cellStyle name="Calculation 5 3 3 2 3" xfId="21677"/>
    <cellStyle name="Calculation 5 3 3 2 4" xfId="21678"/>
    <cellStyle name="Calculation 5 3 3 2 5" xfId="21679"/>
    <cellStyle name="Calculation 5 3 3 2 6" xfId="21680"/>
    <cellStyle name="Calculation 5 3 3 2 7" xfId="21681"/>
    <cellStyle name="Calculation 5 3 3 2 8" xfId="21682"/>
    <cellStyle name="Calculation 5 3 3 2 9" xfId="21683"/>
    <cellStyle name="Calculation 5 3 3 3" xfId="21684"/>
    <cellStyle name="Calculation 5 3 3 4" xfId="21685"/>
    <cellStyle name="Calculation 5 3 3 5" xfId="21686"/>
    <cellStyle name="Calculation 5 3 3 6" xfId="21687"/>
    <cellStyle name="Calculation 5 3 3 7" xfId="21688"/>
    <cellStyle name="Calculation 5 3 3 8" xfId="21689"/>
    <cellStyle name="Calculation 5 3 3 9" xfId="21690"/>
    <cellStyle name="Calculation 5 3 4" xfId="21691"/>
    <cellStyle name="Calculation 5 3 4 10" xfId="21692"/>
    <cellStyle name="Calculation 5 3 4 11" xfId="21693"/>
    <cellStyle name="Calculation 5 3 4 12" xfId="21694"/>
    <cellStyle name="Calculation 5 3 4 13" xfId="21695"/>
    <cellStyle name="Calculation 5 3 4 14" xfId="21696"/>
    <cellStyle name="Calculation 5 3 4 15" xfId="21697"/>
    <cellStyle name="Calculation 5 3 4 16" xfId="21698"/>
    <cellStyle name="Calculation 5 3 4 17" xfId="21699"/>
    <cellStyle name="Calculation 5 3 4 18" xfId="21700"/>
    <cellStyle name="Calculation 5 3 4 19" xfId="21701"/>
    <cellStyle name="Calculation 5 3 4 2" xfId="21702"/>
    <cellStyle name="Calculation 5 3 4 2 2" xfId="21703"/>
    <cellStyle name="Calculation 5 3 4 2 3" xfId="21704"/>
    <cellStyle name="Calculation 5 3 4 2 4" xfId="21705"/>
    <cellStyle name="Calculation 5 3 4 2 5" xfId="21706"/>
    <cellStyle name="Calculation 5 3 4 2 6" xfId="21707"/>
    <cellStyle name="Calculation 5 3 4 2 7" xfId="21708"/>
    <cellStyle name="Calculation 5 3 4 2 8" xfId="21709"/>
    <cellStyle name="Calculation 5 3 4 2 9" xfId="21710"/>
    <cellStyle name="Calculation 5 3 4 3" xfId="21711"/>
    <cellStyle name="Calculation 5 3 4 4" xfId="21712"/>
    <cellStyle name="Calculation 5 3 4 5" xfId="21713"/>
    <cellStyle name="Calculation 5 3 4 6" xfId="21714"/>
    <cellStyle name="Calculation 5 3 4 7" xfId="21715"/>
    <cellStyle name="Calculation 5 3 4 8" xfId="21716"/>
    <cellStyle name="Calculation 5 3 4 9" xfId="21717"/>
    <cellStyle name="Calculation 5 4" xfId="21718"/>
    <cellStyle name="Calculation 5 4 10" xfId="21719"/>
    <cellStyle name="Calculation 5 4 11" xfId="21720"/>
    <cellStyle name="Calculation 5 4 12" xfId="21721"/>
    <cellStyle name="Calculation 5 4 13" xfId="21722"/>
    <cellStyle name="Calculation 5 4 14" xfId="21723"/>
    <cellStyle name="Calculation 5 4 15" xfId="21724"/>
    <cellStyle name="Calculation 5 4 16" xfId="21725"/>
    <cellStyle name="Calculation 5 4 17" xfId="21726"/>
    <cellStyle name="Calculation 5 4 18" xfId="21727"/>
    <cellStyle name="Calculation 5 4 19" xfId="21728"/>
    <cellStyle name="Calculation 5 4 2" xfId="21729"/>
    <cellStyle name="Calculation 5 4 2 2" xfId="21730"/>
    <cellStyle name="Calculation 5 4 2 3" xfId="21731"/>
    <cellStyle name="Calculation 5 4 2 4" xfId="21732"/>
    <cellStyle name="Calculation 5 4 2 5" xfId="21733"/>
    <cellStyle name="Calculation 5 4 2 6" xfId="21734"/>
    <cellStyle name="Calculation 5 4 2 7" xfId="21735"/>
    <cellStyle name="Calculation 5 4 2 8" xfId="21736"/>
    <cellStyle name="Calculation 5 4 2 9" xfId="21737"/>
    <cellStyle name="Calculation 5 4 3" xfId="21738"/>
    <cellStyle name="Calculation 5 4 4" xfId="21739"/>
    <cellStyle name="Calculation 5 4 5" xfId="21740"/>
    <cellStyle name="Calculation 5 4 6" xfId="21741"/>
    <cellStyle name="Calculation 5 4 7" xfId="21742"/>
    <cellStyle name="Calculation 5 4 8" xfId="21743"/>
    <cellStyle name="Calculation 5 4 9" xfId="21744"/>
    <cellStyle name="Calculation 5 5" xfId="21745"/>
    <cellStyle name="Calculation 5 5 10" xfId="21746"/>
    <cellStyle name="Calculation 5 5 11" xfId="21747"/>
    <cellStyle name="Calculation 5 5 12" xfId="21748"/>
    <cellStyle name="Calculation 5 5 13" xfId="21749"/>
    <cellStyle name="Calculation 5 5 14" xfId="21750"/>
    <cellStyle name="Calculation 5 5 15" xfId="21751"/>
    <cellStyle name="Calculation 5 5 16" xfId="21752"/>
    <cellStyle name="Calculation 5 5 17" xfId="21753"/>
    <cellStyle name="Calculation 5 5 18" xfId="21754"/>
    <cellStyle name="Calculation 5 5 2" xfId="21755"/>
    <cellStyle name="Calculation 5 5 2 2" xfId="21756"/>
    <cellStyle name="Calculation 5 5 2 3" xfId="21757"/>
    <cellStyle name="Calculation 5 5 2 4" xfId="21758"/>
    <cellStyle name="Calculation 5 5 2 5" xfId="21759"/>
    <cellStyle name="Calculation 5 5 2 6" xfId="21760"/>
    <cellStyle name="Calculation 5 5 2 7" xfId="21761"/>
    <cellStyle name="Calculation 5 5 2 8" xfId="21762"/>
    <cellStyle name="Calculation 5 5 2 9" xfId="21763"/>
    <cellStyle name="Calculation 5 5 3" xfId="21764"/>
    <cellStyle name="Calculation 5 5 4" xfId="21765"/>
    <cellStyle name="Calculation 5 5 5" xfId="21766"/>
    <cellStyle name="Calculation 5 5 6" xfId="21767"/>
    <cellStyle name="Calculation 5 5 7" xfId="21768"/>
    <cellStyle name="Calculation 5 5 8" xfId="21769"/>
    <cellStyle name="Calculation 5 5 9" xfId="21770"/>
    <cellStyle name="Calculation 5 6" xfId="21771"/>
    <cellStyle name="Calculation 5 6 10" xfId="21772"/>
    <cellStyle name="Calculation 5 6 11" xfId="21773"/>
    <cellStyle name="Calculation 5 6 12" xfId="21774"/>
    <cellStyle name="Calculation 5 6 13" xfId="21775"/>
    <cellStyle name="Calculation 5 6 14" xfId="21776"/>
    <cellStyle name="Calculation 5 6 15" xfId="21777"/>
    <cellStyle name="Calculation 5 6 16" xfId="21778"/>
    <cellStyle name="Calculation 5 6 17" xfId="21779"/>
    <cellStyle name="Calculation 5 6 18" xfId="21780"/>
    <cellStyle name="Calculation 5 6 19" xfId="21781"/>
    <cellStyle name="Calculation 5 6 2" xfId="21782"/>
    <cellStyle name="Calculation 5 6 2 2" xfId="21783"/>
    <cellStyle name="Calculation 5 6 2 3" xfId="21784"/>
    <cellStyle name="Calculation 5 6 2 4" xfId="21785"/>
    <cellStyle name="Calculation 5 6 2 5" xfId="21786"/>
    <cellStyle name="Calculation 5 6 2 6" xfId="21787"/>
    <cellStyle name="Calculation 5 6 2 7" xfId="21788"/>
    <cellStyle name="Calculation 5 6 2 8" xfId="21789"/>
    <cellStyle name="Calculation 5 6 2 9" xfId="21790"/>
    <cellStyle name="Calculation 5 6 3" xfId="21791"/>
    <cellStyle name="Calculation 5 6 4" xfId="21792"/>
    <cellStyle name="Calculation 5 6 5" xfId="21793"/>
    <cellStyle name="Calculation 5 6 6" xfId="21794"/>
    <cellStyle name="Calculation 5 6 7" xfId="21795"/>
    <cellStyle name="Calculation 5 6 8" xfId="21796"/>
    <cellStyle name="Calculation 5 6 9" xfId="21797"/>
    <cellStyle name="Calculation 6" xfId="21798"/>
    <cellStyle name="Calculation 6 2" xfId="21799"/>
    <cellStyle name="Calculation 6 2 2" xfId="21800"/>
    <cellStyle name="Calculation 6 2 2 10" xfId="21801"/>
    <cellStyle name="Calculation 6 2 2 11" xfId="21802"/>
    <cellStyle name="Calculation 6 2 2 12" xfId="21803"/>
    <cellStyle name="Calculation 6 2 2 13" xfId="21804"/>
    <cellStyle name="Calculation 6 2 2 14" xfId="21805"/>
    <cellStyle name="Calculation 6 2 2 15" xfId="21806"/>
    <cellStyle name="Calculation 6 2 2 16" xfId="21807"/>
    <cellStyle name="Calculation 6 2 2 17" xfId="21808"/>
    <cellStyle name="Calculation 6 2 2 18" xfId="21809"/>
    <cellStyle name="Calculation 6 2 2 19" xfId="21810"/>
    <cellStyle name="Calculation 6 2 2 2" xfId="21811"/>
    <cellStyle name="Calculation 6 2 2 2 2" xfId="21812"/>
    <cellStyle name="Calculation 6 2 2 2 3" xfId="21813"/>
    <cellStyle name="Calculation 6 2 2 2 4" xfId="21814"/>
    <cellStyle name="Calculation 6 2 2 2 5" xfId="21815"/>
    <cellStyle name="Calculation 6 2 2 2 6" xfId="21816"/>
    <cellStyle name="Calculation 6 2 2 2 7" xfId="21817"/>
    <cellStyle name="Calculation 6 2 2 2 8" xfId="21818"/>
    <cellStyle name="Calculation 6 2 2 2 9" xfId="21819"/>
    <cellStyle name="Calculation 6 2 2 3" xfId="21820"/>
    <cellStyle name="Calculation 6 2 2 4" xfId="21821"/>
    <cellStyle name="Calculation 6 2 2 5" xfId="21822"/>
    <cellStyle name="Calculation 6 2 2 6" xfId="21823"/>
    <cellStyle name="Calculation 6 2 2 7" xfId="21824"/>
    <cellStyle name="Calculation 6 2 2 8" xfId="21825"/>
    <cellStyle name="Calculation 6 2 2 9" xfId="21826"/>
    <cellStyle name="Calculation 6 2 3" xfId="21827"/>
    <cellStyle name="Calculation 6 2 3 10" xfId="21828"/>
    <cellStyle name="Calculation 6 2 3 11" xfId="21829"/>
    <cellStyle name="Calculation 6 2 3 12" xfId="21830"/>
    <cellStyle name="Calculation 6 2 3 13" xfId="21831"/>
    <cellStyle name="Calculation 6 2 3 14" xfId="21832"/>
    <cellStyle name="Calculation 6 2 3 15" xfId="21833"/>
    <cellStyle name="Calculation 6 2 3 16" xfId="21834"/>
    <cellStyle name="Calculation 6 2 3 17" xfId="21835"/>
    <cellStyle name="Calculation 6 2 3 18" xfId="21836"/>
    <cellStyle name="Calculation 6 2 3 2" xfId="21837"/>
    <cellStyle name="Calculation 6 2 3 2 2" xfId="21838"/>
    <cellStyle name="Calculation 6 2 3 2 3" xfId="21839"/>
    <cellStyle name="Calculation 6 2 3 2 4" xfId="21840"/>
    <cellStyle name="Calculation 6 2 3 2 5" xfId="21841"/>
    <cellStyle name="Calculation 6 2 3 2 6" xfId="21842"/>
    <cellStyle name="Calculation 6 2 3 2 7" xfId="21843"/>
    <cellStyle name="Calculation 6 2 3 2 8" xfId="21844"/>
    <cellStyle name="Calculation 6 2 3 2 9" xfId="21845"/>
    <cellStyle name="Calculation 6 2 3 3" xfId="21846"/>
    <cellStyle name="Calculation 6 2 3 4" xfId="21847"/>
    <cellStyle name="Calculation 6 2 3 5" xfId="21848"/>
    <cellStyle name="Calculation 6 2 3 6" xfId="21849"/>
    <cellStyle name="Calculation 6 2 3 7" xfId="21850"/>
    <cellStyle name="Calculation 6 2 3 8" xfId="21851"/>
    <cellStyle name="Calculation 6 2 3 9" xfId="21852"/>
    <cellStyle name="Calculation 6 2 4" xfId="21853"/>
    <cellStyle name="Calculation 6 2 4 10" xfId="21854"/>
    <cellStyle name="Calculation 6 2 4 11" xfId="21855"/>
    <cellStyle name="Calculation 6 2 4 12" xfId="21856"/>
    <cellStyle name="Calculation 6 2 4 13" xfId="21857"/>
    <cellStyle name="Calculation 6 2 4 14" xfId="21858"/>
    <cellStyle name="Calculation 6 2 4 15" xfId="21859"/>
    <cellStyle name="Calculation 6 2 4 16" xfId="21860"/>
    <cellStyle name="Calculation 6 2 4 17" xfId="21861"/>
    <cellStyle name="Calculation 6 2 4 18" xfId="21862"/>
    <cellStyle name="Calculation 6 2 4 19" xfId="21863"/>
    <cellStyle name="Calculation 6 2 4 2" xfId="21864"/>
    <cellStyle name="Calculation 6 2 4 2 2" xfId="21865"/>
    <cellStyle name="Calculation 6 2 4 2 3" xfId="21866"/>
    <cellStyle name="Calculation 6 2 4 2 4" xfId="21867"/>
    <cellStyle name="Calculation 6 2 4 2 5" xfId="21868"/>
    <cellStyle name="Calculation 6 2 4 2 6" xfId="21869"/>
    <cellStyle name="Calculation 6 2 4 2 7" xfId="21870"/>
    <cellStyle name="Calculation 6 2 4 2 8" xfId="21871"/>
    <cellStyle name="Calculation 6 2 4 2 9" xfId="21872"/>
    <cellStyle name="Calculation 6 2 4 3" xfId="21873"/>
    <cellStyle name="Calculation 6 2 4 4" xfId="21874"/>
    <cellStyle name="Calculation 6 2 4 5" xfId="21875"/>
    <cellStyle name="Calculation 6 2 4 6" xfId="21876"/>
    <cellStyle name="Calculation 6 2 4 7" xfId="21877"/>
    <cellStyle name="Calculation 6 2 4 8" xfId="21878"/>
    <cellStyle name="Calculation 6 2 4 9" xfId="21879"/>
    <cellStyle name="Calculation 6 2 5" xfId="21880"/>
    <cellStyle name="Calculation 6 3" xfId="21881"/>
    <cellStyle name="Calculation 6 3 2" xfId="21882"/>
    <cellStyle name="Calculation 6 3 2 10" xfId="21883"/>
    <cellStyle name="Calculation 6 3 2 11" xfId="21884"/>
    <cellStyle name="Calculation 6 3 2 12" xfId="21885"/>
    <cellStyle name="Calculation 6 3 2 13" xfId="21886"/>
    <cellStyle name="Calculation 6 3 2 14" xfId="21887"/>
    <cellStyle name="Calculation 6 3 2 15" xfId="21888"/>
    <cellStyle name="Calculation 6 3 2 16" xfId="21889"/>
    <cellStyle name="Calculation 6 3 2 17" xfId="21890"/>
    <cellStyle name="Calculation 6 3 2 18" xfId="21891"/>
    <cellStyle name="Calculation 6 3 2 19" xfId="21892"/>
    <cellStyle name="Calculation 6 3 2 2" xfId="21893"/>
    <cellStyle name="Calculation 6 3 2 2 2" xfId="21894"/>
    <cellStyle name="Calculation 6 3 2 2 3" xfId="21895"/>
    <cellStyle name="Calculation 6 3 2 2 4" xfId="21896"/>
    <cellStyle name="Calculation 6 3 2 2 5" xfId="21897"/>
    <cellStyle name="Calculation 6 3 2 2 6" xfId="21898"/>
    <cellStyle name="Calculation 6 3 2 2 7" xfId="21899"/>
    <cellStyle name="Calculation 6 3 2 2 8" xfId="21900"/>
    <cellStyle name="Calculation 6 3 2 2 9" xfId="21901"/>
    <cellStyle name="Calculation 6 3 2 3" xfId="21902"/>
    <cellStyle name="Calculation 6 3 2 4" xfId="21903"/>
    <cellStyle name="Calculation 6 3 2 5" xfId="21904"/>
    <cellStyle name="Calculation 6 3 2 6" xfId="21905"/>
    <cellStyle name="Calculation 6 3 2 7" xfId="21906"/>
    <cellStyle name="Calculation 6 3 2 8" xfId="21907"/>
    <cellStyle name="Calculation 6 3 2 9" xfId="21908"/>
    <cellStyle name="Calculation 6 3 3" xfId="21909"/>
    <cellStyle name="Calculation 6 3 3 10" xfId="21910"/>
    <cellStyle name="Calculation 6 3 3 11" xfId="21911"/>
    <cellStyle name="Calculation 6 3 3 12" xfId="21912"/>
    <cellStyle name="Calculation 6 3 3 13" xfId="21913"/>
    <cellStyle name="Calculation 6 3 3 14" xfId="21914"/>
    <cellStyle name="Calculation 6 3 3 15" xfId="21915"/>
    <cellStyle name="Calculation 6 3 3 16" xfId="21916"/>
    <cellStyle name="Calculation 6 3 3 17" xfId="21917"/>
    <cellStyle name="Calculation 6 3 3 18" xfId="21918"/>
    <cellStyle name="Calculation 6 3 3 2" xfId="21919"/>
    <cellStyle name="Calculation 6 3 3 2 2" xfId="21920"/>
    <cellStyle name="Calculation 6 3 3 2 3" xfId="21921"/>
    <cellStyle name="Calculation 6 3 3 2 4" xfId="21922"/>
    <cellStyle name="Calculation 6 3 3 2 5" xfId="21923"/>
    <cellStyle name="Calculation 6 3 3 2 6" xfId="21924"/>
    <cellStyle name="Calculation 6 3 3 2 7" xfId="21925"/>
    <cellStyle name="Calculation 6 3 3 2 8" xfId="21926"/>
    <cellStyle name="Calculation 6 3 3 2 9" xfId="21927"/>
    <cellStyle name="Calculation 6 3 3 3" xfId="21928"/>
    <cellStyle name="Calculation 6 3 3 4" xfId="21929"/>
    <cellStyle name="Calculation 6 3 3 5" xfId="21930"/>
    <cellStyle name="Calculation 6 3 3 6" xfId="21931"/>
    <cellStyle name="Calculation 6 3 3 7" xfId="21932"/>
    <cellStyle name="Calculation 6 3 3 8" xfId="21933"/>
    <cellStyle name="Calculation 6 3 3 9" xfId="21934"/>
    <cellStyle name="Calculation 6 3 4" xfId="21935"/>
    <cellStyle name="Calculation 6 3 4 10" xfId="21936"/>
    <cellStyle name="Calculation 6 3 4 11" xfId="21937"/>
    <cellStyle name="Calculation 6 3 4 12" xfId="21938"/>
    <cellStyle name="Calculation 6 3 4 13" xfId="21939"/>
    <cellStyle name="Calculation 6 3 4 14" xfId="21940"/>
    <cellStyle name="Calculation 6 3 4 15" xfId="21941"/>
    <cellStyle name="Calculation 6 3 4 16" xfId="21942"/>
    <cellStyle name="Calculation 6 3 4 17" xfId="21943"/>
    <cellStyle name="Calculation 6 3 4 18" xfId="21944"/>
    <cellStyle name="Calculation 6 3 4 19" xfId="21945"/>
    <cellStyle name="Calculation 6 3 4 2" xfId="21946"/>
    <cellStyle name="Calculation 6 3 4 2 2" xfId="21947"/>
    <cellStyle name="Calculation 6 3 4 2 3" xfId="21948"/>
    <cellStyle name="Calculation 6 3 4 2 4" xfId="21949"/>
    <cellStyle name="Calculation 6 3 4 2 5" xfId="21950"/>
    <cellStyle name="Calculation 6 3 4 2 6" xfId="21951"/>
    <cellStyle name="Calculation 6 3 4 2 7" xfId="21952"/>
    <cellStyle name="Calculation 6 3 4 2 8" xfId="21953"/>
    <cellStyle name="Calculation 6 3 4 2 9" xfId="21954"/>
    <cellStyle name="Calculation 6 3 4 3" xfId="21955"/>
    <cellStyle name="Calculation 6 3 4 4" xfId="21956"/>
    <cellStyle name="Calculation 6 3 4 5" xfId="21957"/>
    <cellStyle name="Calculation 6 3 4 6" xfId="21958"/>
    <cellStyle name="Calculation 6 3 4 7" xfId="21959"/>
    <cellStyle name="Calculation 6 3 4 8" xfId="21960"/>
    <cellStyle name="Calculation 6 3 4 9" xfId="21961"/>
    <cellStyle name="Calculation 6 4" xfId="21962"/>
    <cellStyle name="Calculation 6 4 10" xfId="21963"/>
    <cellStyle name="Calculation 6 4 11" xfId="21964"/>
    <cellStyle name="Calculation 6 4 12" xfId="21965"/>
    <cellStyle name="Calculation 6 4 13" xfId="21966"/>
    <cellStyle name="Calculation 6 4 14" xfId="21967"/>
    <cellStyle name="Calculation 6 4 15" xfId="21968"/>
    <cellStyle name="Calculation 6 4 16" xfId="21969"/>
    <cellStyle name="Calculation 6 4 17" xfId="21970"/>
    <cellStyle name="Calculation 6 4 18" xfId="21971"/>
    <cellStyle name="Calculation 6 4 19" xfId="21972"/>
    <cellStyle name="Calculation 6 4 2" xfId="21973"/>
    <cellStyle name="Calculation 6 4 2 2" xfId="21974"/>
    <cellStyle name="Calculation 6 4 2 3" xfId="21975"/>
    <cellStyle name="Calculation 6 4 2 4" xfId="21976"/>
    <cellStyle name="Calculation 6 4 2 5" xfId="21977"/>
    <cellStyle name="Calculation 6 4 2 6" xfId="21978"/>
    <cellStyle name="Calculation 6 4 2 7" xfId="21979"/>
    <cellStyle name="Calculation 6 4 2 8" xfId="21980"/>
    <cellStyle name="Calculation 6 4 2 9" xfId="21981"/>
    <cellStyle name="Calculation 6 4 3" xfId="21982"/>
    <cellStyle name="Calculation 6 4 4" xfId="21983"/>
    <cellStyle name="Calculation 6 4 5" xfId="21984"/>
    <cellStyle name="Calculation 6 4 6" xfId="21985"/>
    <cellStyle name="Calculation 6 4 7" xfId="21986"/>
    <cellStyle name="Calculation 6 4 8" xfId="21987"/>
    <cellStyle name="Calculation 6 4 9" xfId="21988"/>
    <cellStyle name="Calculation 6 5" xfId="21989"/>
    <cellStyle name="Calculation 6 5 10" xfId="21990"/>
    <cellStyle name="Calculation 6 5 11" xfId="21991"/>
    <cellStyle name="Calculation 6 5 12" xfId="21992"/>
    <cellStyle name="Calculation 6 5 13" xfId="21993"/>
    <cellStyle name="Calculation 6 5 14" xfId="21994"/>
    <cellStyle name="Calculation 6 5 15" xfId="21995"/>
    <cellStyle name="Calculation 6 5 16" xfId="21996"/>
    <cellStyle name="Calculation 6 5 17" xfId="21997"/>
    <cellStyle name="Calculation 6 5 18" xfId="21998"/>
    <cellStyle name="Calculation 6 5 2" xfId="21999"/>
    <cellStyle name="Calculation 6 5 2 2" xfId="22000"/>
    <cellStyle name="Calculation 6 5 2 3" xfId="22001"/>
    <cellStyle name="Calculation 6 5 2 4" xfId="22002"/>
    <cellStyle name="Calculation 6 5 2 5" xfId="22003"/>
    <cellStyle name="Calculation 6 5 2 6" xfId="22004"/>
    <cellStyle name="Calculation 6 5 2 7" xfId="22005"/>
    <cellStyle name="Calculation 6 5 2 8" xfId="22006"/>
    <cellStyle name="Calculation 6 5 2 9" xfId="22007"/>
    <cellStyle name="Calculation 6 5 3" xfId="22008"/>
    <cellStyle name="Calculation 6 5 4" xfId="22009"/>
    <cellStyle name="Calculation 6 5 5" xfId="22010"/>
    <cellStyle name="Calculation 6 5 6" xfId="22011"/>
    <cellStyle name="Calculation 6 5 7" xfId="22012"/>
    <cellStyle name="Calculation 6 5 8" xfId="22013"/>
    <cellStyle name="Calculation 6 5 9" xfId="22014"/>
    <cellStyle name="Calculation 6 6" xfId="22015"/>
    <cellStyle name="Calculation 6 6 10" xfId="22016"/>
    <cellStyle name="Calculation 6 6 11" xfId="22017"/>
    <cellStyle name="Calculation 6 6 12" xfId="22018"/>
    <cellStyle name="Calculation 6 6 13" xfId="22019"/>
    <cellStyle name="Calculation 6 6 14" xfId="22020"/>
    <cellStyle name="Calculation 6 6 15" xfId="22021"/>
    <cellStyle name="Calculation 6 6 16" xfId="22022"/>
    <cellStyle name="Calculation 6 6 17" xfId="22023"/>
    <cellStyle name="Calculation 6 6 18" xfId="22024"/>
    <cellStyle name="Calculation 6 6 19" xfId="22025"/>
    <cellStyle name="Calculation 6 6 2" xfId="22026"/>
    <cellStyle name="Calculation 6 6 2 2" xfId="22027"/>
    <cellStyle name="Calculation 6 6 2 3" xfId="22028"/>
    <cellStyle name="Calculation 6 6 2 4" xfId="22029"/>
    <cellStyle name="Calculation 6 6 2 5" xfId="22030"/>
    <cellStyle name="Calculation 6 6 2 6" xfId="22031"/>
    <cellStyle name="Calculation 6 6 2 7" xfId="22032"/>
    <cellStyle name="Calculation 6 6 2 8" xfId="22033"/>
    <cellStyle name="Calculation 6 6 2 9" xfId="22034"/>
    <cellStyle name="Calculation 6 6 3" xfId="22035"/>
    <cellStyle name="Calculation 6 6 4" xfId="22036"/>
    <cellStyle name="Calculation 6 6 5" xfId="22037"/>
    <cellStyle name="Calculation 6 6 6" xfId="22038"/>
    <cellStyle name="Calculation 6 6 7" xfId="22039"/>
    <cellStyle name="Calculation 6 6 8" xfId="22040"/>
    <cellStyle name="Calculation 6 6 9" xfId="22041"/>
    <cellStyle name="Calculation 7" xfId="22042"/>
    <cellStyle name="Calculation 7 2" xfId="22043"/>
    <cellStyle name="Calculation 7 2 10" xfId="22044"/>
    <cellStyle name="Calculation 7 2 11" xfId="22045"/>
    <cellStyle name="Calculation 7 2 12" xfId="22046"/>
    <cellStyle name="Calculation 7 2 13" xfId="22047"/>
    <cellStyle name="Calculation 7 2 14" xfId="22048"/>
    <cellStyle name="Calculation 7 2 15" xfId="22049"/>
    <cellStyle name="Calculation 7 2 16" xfId="22050"/>
    <cellStyle name="Calculation 7 2 17" xfId="22051"/>
    <cellStyle name="Calculation 7 2 18" xfId="22052"/>
    <cellStyle name="Calculation 7 2 19" xfId="22053"/>
    <cellStyle name="Calculation 7 2 2" xfId="22054"/>
    <cellStyle name="Calculation 7 2 2 2" xfId="22055"/>
    <cellStyle name="Calculation 7 2 2 3" xfId="22056"/>
    <cellStyle name="Calculation 7 2 2 4" xfId="22057"/>
    <cellStyle name="Calculation 7 2 2 5" xfId="22058"/>
    <cellStyle name="Calculation 7 2 2 6" xfId="22059"/>
    <cellStyle name="Calculation 7 2 2 7" xfId="22060"/>
    <cellStyle name="Calculation 7 2 2 8" xfId="22061"/>
    <cellStyle name="Calculation 7 2 2 9" xfId="22062"/>
    <cellStyle name="Calculation 7 2 3" xfId="22063"/>
    <cellStyle name="Calculation 7 2 4" xfId="22064"/>
    <cellStyle name="Calculation 7 2 5" xfId="22065"/>
    <cellStyle name="Calculation 7 2 6" xfId="22066"/>
    <cellStyle name="Calculation 7 2 7" xfId="22067"/>
    <cellStyle name="Calculation 7 2 8" xfId="22068"/>
    <cellStyle name="Calculation 7 2 9" xfId="22069"/>
    <cellStyle name="Calculation 7 3" xfId="22070"/>
    <cellStyle name="Calculation 7 3 10" xfId="22071"/>
    <cellStyle name="Calculation 7 3 11" xfId="22072"/>
    <cellStyle name="Calculation 7 3 12" xfId="22073"/>
    <cellStyle name="Calculation 7 3 13" xfId="22074"/>
    <cellStyle name="Calculation 7 3 14" xfId="22075"/>
    <cellStyle name="Calculation 7 3 15" xfId="22076"/>
    <cellStyle name="Calculation 7 3 16" xfId="22077"/>
    <cellStyle name="Calculation 7 3 17" xfId="22078"/>
    <cellStyle name="Calculation 7 3 18" xfId="22079"/>
    <cellStyle name="Calculation 7 3 2" xfId="22080"/>
    <cellStyle name="Calculation 7 3 2 2" xfId="22081"/>
    <cellStyle name="Calculation 7 3 2 3" xfId="22082"/>
    <cellStyle name="Calculation 7 3 2 4" xfId="22083"/>
    <cellStyle name="Calculation 7 3 2 5" xfId="22084"/>
    <cellStyle name="Calculation 7 3 2 6" xfId="22085"/>
    <cellStyle name="Calculation 7 3 2 7" xfId="22086"/>
    <cellStyle name="Calculation 7 3 2 8" xfId="22087"/>
    <cellStyle name="Calculation 7 3 2 9" xfId="22088"/>
    <cellStyle name="Calculation 7 3 3" xfId="22089"/>
    <cellStyle name="Calculation 7 3 4" xfId="22090"/>
    <cellStyle name="Calculation 7 3 5" xfId="22091"/>
    <cellStyle name="Calculation 7 3 6" xfId="22092"/>
    <cellStyle name="Calculation 7 3 7" xfId="22093"/>
    <cellStyle name="Calculation 7 3 8" xfId="22094"/>
    <cellStyle name="Calculation 7 3 9" xfId="22095"/>
    <cellStyle name="Calculation 7 4" xfId="22096"/>
    <cellStyle name="Calculation 7 4 10" xfId="22097"/>
    <cellStyle name="Calculation 7 4 11" xfId="22098"/>
    <cellStyle name="Calculation 7 4 12" xfId="22099"/>
    <cellStyle name="Calculation 7 4 13" xfId="22100"/>
    <cellStyle name="Calculation 7 4 14" xfId="22101"/>
    <cellStyle name="Calculation 7 4 15" xfId="22102"/>
    <cellStyle name="Calculation 7 4 16" xfId="22103"/>
    <cellStyle name="Calculation 7 4 17" xfId="22104"/>
    <cellStyle name="Calculation 7 4 18" xfId="22105"/>
    <cellStyle name="Calculation 7 4 19" xfId="22106"/>
    <cellStyle name="Calculation 7 4 2" xfId="22107"/>
    <cellStyle name="Calculation 7 4 2 2" xfId="22108"/>
    <cellStyle name="Calculation 7 4 2 3" xfId="22109"/>
    <cellStyle name="Calculation 7 4 2 4" xfId="22110"/>
    <cellStyle name="Calculation 7 4 2 5" xfId="22111"/>
    <cellStyle name="Calculation 7 4 2 6" xfId="22112"/>
    <cellStyle name="Calculation 7 4 2 7" xfId="22113"/>
    <cellStyle name="Calculation 7 4 2 8" xfId="22114"/>
    <cellStyle name="Calculation 7 4 2 9" xfId="22115"/>
    <cellStyle name="Calculation 7 4 3" xfId="22116"/>
    <cellStyle name="Calculation 7 4 4" xfId="22117"/>
    <cellStyle name="Calculation 7 4 5" xfId="22118"/>
    <cellStyle name="Calculation 7 4 6" xfId="22119"/>
    <cellStyle name="Calculation 7 4 7" xfId="22120"/>
    <cellStyle name="Calculation 7 4 8" xfId="22121"/>
    <cellStyle name="Calculation 7 4 9" xfId="22122"/>
    <cellStyle name="Calculation 7 5" xfId="22123"/>
    <cellStyle name="Calculation 8" xfId="22124"/>
    <cellStyle name="Calculation 8 10" xfId="22125"/>
    <cellStyle name="Calculation 8 11" xfId="22126"/>
    <cellStyle name="Calculation 8 12" xfId="22127"/>
    <cellStyle name="Calculation 8 13" xfId="22128"/>
    <cellStyle name="Calculation 8 14" xfId="22129"/>
    <cellStyle name="Calculation 8 15" xfId="22130"/>
    <cellStyle name="Calculation 8 16" xfId="22131"/>
    <cellStyle name="Calculation 8 17" xfId="22132"/>
    <cellStyle name="Calculation 8 18" xfId="22133"/>
    <cellStyle name="Calculation 8 2" xfId="22134"/>
    <cellStyle name="Calculation 8 2 2" xfId="22135"/>
    <cellStyle name="Calculation 8 2 3" xfId="22136"/>
    <cellStyle name="Calculation 8 2 4" xfId="22137"/>
    <cellStyle name="Calculation 8 2 5" xfId="22138"/>
    <cellStyle name="Calculation 8 2 6" xfId="22139"/>
    <cellStyle name="Calculation 8 2 7" xfId="22140"/>
    <cellStyle name="Calculation 8 2 8" xfId="22141"/>
    <cellStyle name="Calculation 8 2 9" xfId="22142"/>
    <cellStyle name="Calculation 8 3" xfId="22143"/>
    <cellStyle name="Calculation 8 4" xfId="22144"/>
    <cellStyle name="Calculation 8 5" xfId="22145"/>
    <cellStyle name="Calculation 8 6" xfId="22146"/>
    <cellStyle name="Calculation 8 7" xfId="22147"/>
    <cellStyle name="Calculation 8 8" xfId="22148"/>
    <cellStyle name="Calculation 8 9" xfId="22149"/>
    <cellStyle name="Calculation 9" xfId="22150"/>
    <cellStyle name="Case" xfId="22151"/>
    <cellStyle name="Centered Heading" xfId="22152"/>
    <cellStyle name="Changeable" xfId="22153"/>
    <cellStyle name="Check" xfId="22154"/>
    <cellStyle name="Check Cell" xfId="22155"/>
    <cellStyle name="Check Cell 10" xfId="22156"/>
    <cellStyle name="Check Cell 11" xfId="22157"/>
    <cellStyle name="Check Cell 12" xfId="22158"/>
    <cellStyle name="Check Cell 13" xfId="22159"/>
    <cellStyle name="Check Cell 14" xfId="22160"/>
    <cellStyle name="Check Cell 15" xfId="22161"/>
    <cellStyle name="Check Cell 16" xfId="22162"/>
    <cellStyle name="Check Cell 17" xfId="22163"/>
    <cellStyle name="Check Cell 18" xfId="22164"/>
    <cellStyle name="Check Cell 19" xfId="22165"/>
    <cellStyle name="Check Cell 2" xfId="22166"/>
    <cellStyle name="Check Cell 2 2" xfId="22167"/>
    <cellStyle name="Check Cell 2 2 2" xfId="22168"/>
    <cellStyle name="Check Cell 2 2 3" xfId="22169"/>
    <cellStyle name="Check Cell 2 3" xfId="22170"/>
    <cellStyle name="Check Cell 2 4" xfId="22171"/>
    <cellStyle name="Check Cell 20" xfId="22172"/>
    <cellStyle name="Check Cell 3" xfId="22173"/>
    <cellStyle name="Check Cell 3 2" xfId="22174"/>
    <cellStyle name="Check Cell 3 2 2" xfId="22175"/>
    <cellStyle name="Check Cell 3 2 3" xfId="22176"/>
    <cellStyle name="Check Cell 3 3" xfId="22177"/>
    <cellStyle name="Check Cell 3 4" xfId="22178"/>
    <cellStyle name="Check Cell 4" xfId="22179"/>
    <cellStyle name="Check Cell 4 2" xfId="22180"/>
    <cellStyle name="Check Cell 4 2 2" xfId="22181"/>
    <cellStyle name="Check Cell 4 2 3" xfId="22182"/>
    <cellStyle name="Check Cell 4 3" xfId="22183"/>
    <cellStyle name="Check Cell 4 4" xfId="22184"/>
    <cellStyle name="Check Cell 5" xfId="22185"/>
    <cellStyle name="Check Cell 5 2" xfId="22186"/>
    <cellStyle name="Check Cell 5 2 2" xfId="22187"/>
    <cellStyle name="Check Cell 5 2 3" xfId="22188"/>
    <cellStyle name="Check Cell 5 3" xfId="22189"/>
    <cellStyle name="Check Cell 5 4" xfId="22190"/>
    <cellStyle name="Check Cell 6" xfId="22191"/>
    <cellStyle name="Check Cell 6 2" xfId="22192"/>
    <cellStyle name="Check Cell 6 3" xfId="22193"/>
    <cellStyle name="Check Cell 7" xfId="22194"/>
    <cellStyle name="Check Cell 8" xfId="22195"/>
    <cellStyle name="Check Cell 9" xfId="22196"/>
    <cellStyle name="Co. Names" xfId="22197"/>
    <cellStyle name="Co. Names - Bold" xfId="22198"/>
    <cellStyle name="Co. Names_add-on" xfId="22199"/>
    <cellStyle name="Code" xfId="22200"/>
    <cellStyle name="Column_Title" xfId="22201"/>
    <cellStyle name="ColumnHeadings" xfId="22202"/>
    <cellStyle name="ColumnHeadings2" xfId="22203"/>
    <cellStyle name="ColumnHeadings2 2" xfId="22204"/>
    <cellStyle name="ColumnHeadings2 2 2" xfId="22205"/>
    <cellStyle name="comma (1)" xfId="22206"/>
    <cellStyle name="Comma [0]_0_Cash" xfId="22207"/>
    <cellStyle name="Comma [1]" xfId="22208"/>
    <cellStyle name="Comma 0" xfId="22209"/>
    <cellStyle name="Comma 0*" xfId="22210"/>
    <cellStyle name="Comma 0.0" xfId="22211"/>
    <cellStyle name="Comma 0.00" xfId="22212"/>
    <cellStyle name="Comma 0.000" xfId="22213"/>
    <cellStyle name="Comma 0_Andrea charts" xfId="22214"/>
    <cellStyle name="Comma 12" xfId="22215"/>
    <cellStyle name="Comma 12 2" xfId="22216"/>
    <cellStyle name="Comma 2" xfId="22217"/>
    <cellStyle name="Comma 2 2" xfId="22218"/>
    <cellStyle name="Comma 2*" xfId="22219"/>
    <cellStyle name="Comma 2_book1 Chart 1" xfId="22220"/>
    <cellStyle name="Comma 3" xfId="22221"/>
    <cellStyle name="Comma 3*" xfId="22222"/>
    <cellStyle name="Comma 4" xfId="22223"/>
    <cellStyle name="Comma 4 2" xfId="22224"/>
    <cellStyle name="Comma 6" xfId="22225"/>
    <cellStyle name="Comma 6 2" xfId="22226"/>
    <cellStyle name="Comma*" xfId="22227"/>
    <cellStyle name="Comma_0_Cash" xfId="22228"/>
    <cellStyle name="Comma0" xfId="22229"/>
    <cellStyle name="Comma0 10" xfId="22230"/>
    <cellStyle name="Comma0 11" xfId="22231"/>
    <cellStyle name="Comma0 12" xfId="22232"/>
    <cellStyle name="Comma0 13" xfId="22233"/>
    <cellStyle name="Comma0 2" xfId="22234"/>
    <cellStyle name="Comma0 3" xfId="22235"/>
    <cellStyle name="Comma0 4" xfId="22236"/>
    <cellStyle name="Comma0 5" xfId="22237"/>
    <cellStyle name="Comma0 6" xfId="22238"/>
    <cellStyle name="Comma0 7" xfId="22239"/>
    <cellStyle name="Comma0 8" xfId="22240"/>
    <cellStyle name="Comma0 9" xfId="22241"/>
    <cellStyle name="Comma0_План ДСМ ноябрь 2011 ОТЧЕТ" xfId="22242"/>
    <cellStyle name="Comment" xfId="22243"/>
    <cellStyle name="Company Name" xfId="22244"/>
    <cellStyle name="Cover Date" xfId="22245"/>
    <cellStyle name="Cover Subtitle" xfId="22246"/>
    <cellStyle name="Cover Title" xfId="22247"/>
    <cellStyle name="Credit" xfId="22248"/>
    <cellStyle name="Credit subtotal" xfId="22249"/>
    <cellStyle name="Credit subtotal 10" xfId="22250"/>
    <cellStyle name="Credit subtotal 10 2" xfId="22251"/>
    <cellStyle name="Credit subtotal 10 2 2" xfId="22252"/>
    <cellStyle name="Credit subtotal 10 2 2 10" xfId="22253"/>
    <cellStyle name="Credit subtotal 10 2 2 11" xfId="22254"/>
    <cellStyle name="Credit subtotal 10 2 2 12" xfId="22255"/>
    <cellStyle name="Credit subtotal 10 2 2 13" xfId="22256"/>
    <cellStyle name="Credit subtotal 10 2 2 14" xfId="22257"/>
    <cellStyle name="Credit subtotal 10 2 2 15" xfId="22258"/>
    <cellStyle name="Credit subtotal 10 2 2 16" xfId="22259"/>
    <cellStyle name="Credit subtotal 10 2 2 17" xfId="22260"/>
    <cellStyle name="Credit subtotal 10 2 2 18" xfId="22261"/>
    <cellStyle name="Credit subtotal 10 2 2 19" xfId="22262"/>
    <cellStyle name="Credit subtotal 10 2 2 2" xfId="22263"/>
    <cellStyle name="Credit subtotal 10 2 2 2 2" xfId="22264"/>
    <cellStyle name="Credit subtotal 10 2 2 2 3" xfId="22265"/>
    <cellStyle name="Credit subtotal 10 2 2 2 4" xfId="22266"/>
    <cellStyle name="Credit subtotal 10 2 2 2 5" xfId="22267"/>
    <cellStyle name="Credit subtotal 10 2 2 2 6" xfId="22268"/>
    <cellStyle name="Credit subtotal 10 2 2 2 7" xfId="22269"/>
    <cellStyle name="Credit subtotal 10 2 2 2 8" xfId="22270"/>
    <cellStyle name="Credit subtotal 10 2 2 2 9" xfId="22271"/>
    <cellStyle name="Credit subtotal 10 2 2 20" xfId="22272"/>
    <cellStyle name="Credit subtotal 10 2 2 21" xfId="22273"/>
    <cellStyle name="Credit subtotal 10 2 2 3" xfId="22274"/>
    <cellStyle name="Credit subtotal 10 2 2 4" xfId="22275"/>
    <cellStyle name="Credit subtotal 10 2 2 5" xfId="22276"/>
    <cellStyle name="Credit subtotal 10 2 2 6" xfId="22277"/>
    <cellStyle name="Credit subtotal 10 2 2 7" xfId="22278"/>
    <cellStyle name="Credit subtotal 10 2 2 8" xfId="22279"/>
    <cellStyle name="Credit subtotal 10 2 2 9" xfId="22280"/>
    <cellStyle name="Credit subtotal 10 2 3" xfId="22281"/>
    <cellStyle name="Credit subtotal 10 2 3 10" xfId="22282"/>
    <cellStyle name="Credit subtotal 10 2 3 11" xfId="22283"/>
    <cellStyle name="Credit subtotal 10 2 3 12" xfId="22284"/>
    <cellStyle name="Credit subtotal 10 2 3 13" xfId="22285"/>
    <cellStyle name="Credit subtotal 10 2 3 14" xfId="22286"/>
    <cellStyle name="Credit subtotal 10 2 3 15" xfId="22287"/>
    <cellStyle name="Credit subtotal 10 2 3 16" xfId="22288"/>
    <cellStyle name="Credit subtotal 10 2 3 17" xfId="22289"/>
    <cellStyle name="Credit subtotal 10 2 3 18" xfId="22290"/>
    <cellStyle name="Credit subtotal 10 2 3 19" xfId="22291"/>
    <cellStyle name="Credit subtotal 10 2 3 2" xfId="22292"/>
    <cellStyle name="Credit subtotal 10 2 3 2 2" xfId="22293"/>
    <cellStyle name="Credit subtotal 10 2 3 2 3" xfId="22294"/>
    <cellStyle name="Credit subtotal 10 2 3 2 4" xfId="22295"/>
    <cellStyle name="Credit subtotal 10 2 3 2 5" xfId="22296"/>
    <cellStyle name="Credit subtotal 10 2 3 2 6" xfId="22297"/>
    <cellStyle name="Credit subtotal 10 2 3 2 7" xfId="22298"/>
    <cellStyle name="Credit subtotal 10 2 3 2 8" xfId="22299"/>
    <cellStyle name="Credit subtotal 10 2 3 2 9" xfId="22300"/>
    <cellStyle name="Credit subtotal 10 2 3 3" xfId="22301"/>
    <cellStyle name="Credit subtotal 10 2 3 4" xfId="22302"/>
    <cellStyle name="Credit subtotal 10 2 3 5" xfId="22303"/>
    <cellStyle name="Credit subtotal 10 2 3 6" xfId="22304"/>
    <cellStyle name="Credit subtotal 10 2 3 7" xfId="22305"/>
    <cellStyle name="Credit subtotal 10 2 3 8" xfId="22306"/>
    <cellStyle name="Credit subtotal 10 2 3 9" xfId="22307"/>
    <cellStyle name="Credit subtotal 10 2 4" xfId="22308"/>
    <cellStyle name="Credit subtotal 10 2 4 10" xfId="22309"/>
    <cellStyle name="Credit subtotal 10 2 4 11" xfId="22310"/>
    <cellStyle name="Credit subtotal 10 2 4 12" xfId="22311"/>
    <cellStyle name="Credit subtotal 10 2 4 13" xfId="22312"/>
    <cellStyle name="Credit subtotal 10 2 4 14" xfId="22313"/>
    <cellStyle name="Credit subtotal 10 2 4 15" xfId="22314"/>
    <cellStyle name="Credit subtotal 10 2 4 16" xfId="22315"/>
    <cellStyle name="Credit subtotal 10 2 4 17" xfId="22316"/>
    <cellStyle name="Credit subtotal 10 2 4 18" xfId="22317"/>
    <cellStyle name="Credit subtotal 10 2 4 2" xfId="22318"/>
    <cellStyle name="Credit subtotal 10 2 4 2 2" xfId="22319"/>
    <cellStyle name="Credit subtotal 10 2 4 2 3" xfId="22320"/>
    <cellStyle name="Credit subtotal 10 2 4 2 4" xfId="22321"/>
    <cellStyle name="Credit subtotal 10 2 4 2 5" xfId="22322"/>
    <cellStyle name="Credit subtotal 10 2 4 2 6" xfId="22323"/>
    <cellStyle name="Credit subtotal 10 2 4 2 7" xfId="22324"/>
    <cellStyle name="Credit subtotal 10 2 4 2 8" xfId="22325"/>
    <cellStyle name="Credit subtotal 10 2 4 2 9" xfId="22326"/>
    <cellStyle name="Credit subtotal 10 2 4 3" xfId="22327"/>
    <cellStyle name="Credit subtotal 10 2 4 4" xfId="22328"/>
    <cellStyle name="Credit subtotal 10 2 4 5" xfId="22329"/>
    <cellStyle name="Credit subtotal 10 2 4 6" xfId="22330"/>
    <cellStyle name="Credit subtotal 10 2 4 7" xfId="22331"/>
    <cellStyle name="Credit subtotal 10 2 4 8" xfId="22332"/>
    <cellStyle name="Credit subtotal 10 2 4 9" xfId="22333"/>
    <cellStyle name="Credit subtotal 10 2 5" xfId="22334"/>
    <cellStyle name="Credit subtotal 10 2 5 2" xfId="22335"/>
    <cellStyle name="Credit subtotal 10 2 5 3" xfId="22336"/>
    <cellStyle name="Credit subtotal 10 2 6" xfId="22337"/>
    <cellStyle name="Credit subtotal 10 3" xfId="22338"/>
    <cellStyle name="Credit subtotal 10 3 2" xfId="22339"/>
    <cellStyle name="Credit subtotal 10 3 2 10" xfId="22340"/>
    <cellStyle name="Credit subtotal 10 3 2 11" xfId="22341"/>
    <cellStyle name="Credit subtotal 10 3 2 12" xfId="22342"/>
    <cellStyle name="Credit subtotal 10 3 2 13" xfId="22343"/>
    <cellStyle name="Credit subtotal 10 3 2 14" xfId="22344"/>
    <cellStyle name="Credit subtotal 10 3 2 15" xfId="22345"/>
    <cellStyle name="Credit subtotal 10 3 2 16" xfId="22346"/>
    <cellStyle name="Credit subtotal 10 3 2 17" xfId="22347"/>
    <cellStyle name="Credit subtotal 10 3 2 18" xfId="22348"/>
    <cellStyle name="Credit subtotal 10 3 2 19" xfId="22349"/>
    <cellStyle name="Credit subtotal 10 3 2 2" xfId="22350"/>
    <cellStyle name="Credit subtotal 10 3 2 2 2" xfId="22351"/>
    <cellStyle name="Credit subtotal 10 3 2 2 3" xfId="22352"/>
    <cellStyle name="Credit subtotal 10 3 2 2 4" xfId="22353"/>
    <cellStyle name="Credit subtotal 10 3 2 2 5" xfId="22354"/>
    <cellStyle name="Credit subtotal 10 3 2 2 6" xfId="22355"/>
    <cellStyle name="Credit subtotal 10 3 2 2 7" xfId="22356"/>
    <cellStyle name="Credit subtotal 10 3 2 2 8" xfId="22357"/>
    <cellStyle name="Credit subtotal 10 3 2 2 9" xfId="22358"/>
    <cellStyle name="Credit subtotal 10 3 2 20" xfId="22359"/>
    <cellStyle name="Credit subtotal 10 3 2 21" xfId="22360"/>
    <cellStyle name="Credit subtotal 10 3 2 3" xfId="22361"/>
    <cellStyle name="Credit subtotal 10 3 2 4" xfId="22362"/>
    <cellStyle name="Credit subtotal 10 3 2 5" xfId="22363"/>
    <cellStyle name="Credit subtotal 10 3 2 6" xfId="22364"/>
    <cellStyle name="Credit subtotal 10 3 2 7" xfId="22365"/>
    <cellStyle name="Credit subtotal 10 3 2 8" xfId="22366"/>
    <cellStyle name="Credit subtotal 10 3 2 9" xfId="22367"/>
    <cellStyle name="Credit subtotal 10 3 3" xfId="22368"/>
    <cellStyle name="Credit subtotal 10 3 3 10" xfId="22369"/>
    <cellStyle name="Credit subtotal 10 3 3 11" xfId="22370"/>
    <cellStyle name="Credit subtotal 10 3 3 12" xfId="22371"/>
    <cellStyle name="Credit subtotal 10 3 3 13" xfId="22372"/>
    <cellStyle name="Credit subtotal 10 3 3 14" xfId="22373"/>
    <cellStyle name="Credit subtotal 10 3 3 15" xfId="22374"/>
    <cellStyle name="Credit subtotal 10 3 3 16" xfId="22375"/>
    <cellStyle name="Credit subtotal 10 3 3 17" xfId="22376"/>
    <cellStyle name="Credit subtotal 10 3 3 18" xfId="22377"/>
    <cellStyle name="Credit subtotal 10 3 3 19" xfId="22378"/>
    <cellStyle name="Credit subtotal 10 3 3 2" xfId="22379"/>
    <cellStyle name="Credit subtotal 10 3 3 2 2" xfId="22380"/>
    <cellStyle name="Credit subtotal 10 3 3 2 3" xfId="22381"/>
    <cellStyle name="Credit subtotal 10 3 3 2 4" xfId="22382"/>
    <cellStyle name="Credit subtotal 10 3 3 2 5" xfId="22383"/>
    <cellStyle name="Credit subtotal 10 3 3 2 6" xfId="22384"/>
    <cellStyle name="Credit subtotal 10 3 3 2 7" xfId="22385"/>
    <cellStyle name="Credit subtotal 10 3 3 2 8" xfId="22386"/>
    <cellStyle name="Credit subtotal 10 3 3 2 9" xfId="22387"/>
    <cellStyle name="Credit subtotal 10 3 3 3" xfId="22388"/>
    <cellStyle name="Credit subtotal 10 3 3 4" xfId="22389"/>
    <cellStyle name="Credit subtotal 10 3 3 5" xfId="22390"/>
    <cellStyle name="Credit subtotal 10 3 3 6" xfId="22391"/>
    <cellStyle name="Credit subtotal 10 3 3 7" xfId="22392"/>
    <cellStyle name="Credit subtotal 10 3 3 8" xfId="22393"/>
    <cellStyle name="Credit subtotal 10 3 3 9" xfId="22394"/>
    <cellStyle name="Credit subtotal 10 3 4" xfId="22395"/>
    <cellStyle name="Credit subtotal 10 3 4 10" xfId="22396"/>
    <cellStyle name="Credit subtotal 10 3 4 11" xfId="22397"/>
    <cellStyle name="Credit subtotal 10 3 4 12" xfId="22398"/>
    <cellStyle name="Credit subtotal 10 3 4 13" xfId="22399"/>
    <cellStyle name="Credit subtotal 10 3 4 14" xfId="22400"/>
    <cellStyle name="Credit subtotal 10 3 4 15" xfId="22401"/>
    <cellStyle name="Credit subtotal 10 3 4 16" xfId="22402"/>
    <cellStyle name="Credit subtotal 10 3 4 17" xfId="22403"/>
    <cellStyle name="Credit subtotal 10 3 4 18" xfId="22404"/>
    <cellStyle name="Credit subtotal 10 3 4 2" xfId="22405"/>
    <cellStyle name="Credit subtotal 10 3 4 2 2" xfId="22406"/>
    <cellStyle name="Credit subtotal 10 3 4 2 3" xfId="22407"/>
    <cellStyle name="Credit subtotal 10 3 4 2 4" xfId="22408"/>
    <cellStyle name="Credit subtotal 10 3 4 2 5" xfId="22409"/>
    <cellStyle name="Credit subtotal 10 3 4 2 6" xfId="22410"/>
    <cellStyle name="Credit subtotal 10 3 4 2 7" xfId="22411"/>
    <cellStyle name="Credit subtotal 10 3 4 2 8" xfId="22412"/>
    <cellStyle name="Credit subtotal 10 3 4 2 9" xfId="22413"/>
    <cellStyle name="Credit subtotal 10 3 4 3" xfId="22414"/>
    <cellStyle name="Credit subtotal 10 3 4 4" xfId="22415"/>
    <cellStyle name="Credit subtotal 10 3 4 5" xfId="22416"/>
    <cellStyle name="Credit subtotal 10 3 4 6" xfId="22417"/>
    <cellStyle name="Credit subtotal 10 3 4 7" xfId="22418"/>
    <cellStyle name="Credit subtotal 10 3 4 8" xfId="22419"/>
    <cellStyle name="Credit subtotal 10 3 4 9" xfId="22420"/>
    <cellStyle name="Credit subtotal 10 3 5" xfId="22421"/>
    <cellStyle name="Credit subtotal 10 3 5 2" xfId="22422"/>
    <cellStyle name="Credit subtotal 10 3 5 3" xfId="22423"/>
    <cellStyle name="Credit subtotal 10 3 6" xfId="22424"/>
    <cellStyle name="Credit subtotal 10 4" xfId="22425"/>
    <cellStyle name="Credit subtotal 10 4 10" xfId="22426"/>
    <cellStyle name="Credit subtotal 10 4 11" xfId="22427"/>
    <cellStyle name="Credit subtotal 10 4 12" xfId="22428"/>
    <cellStyle name="Credit subtotal 10 4 13" xfId="22429"/>
    <cellStyle name="Credit subtotal 10 4 14" xfId="22430"/>
    <cellStyle name="Credit subtotal 10 4 15" xfId="22431"/>
    <cellStyle name="Credit subtotal 10 4 16" xfId="22432"/>
    <cellStyle name="Credit subtotal 10 4 17" xfId="22433"/>
    <cellStyle name="Credit subtotal 10 4 18" xfId="22434"/>
    <cellStyle name="Credit subtotal 10 4 19" xfId="22435"/>
    <cellStyle name="Credit subtotal 10 4 2" xfId="22436"/>
    <cellStyle name="Credit subtotal 10 4 2 2" xfId="22437"/>
    <cellStyle name="Credit subtotal 10 4 2 3" xfId="22438"/>
    <cellStyle name="Credit subtotal 10 4 2 4" xfId="22439"/>
    <cellStyle name="Credit subtotal 10 4 2 5" xfId="22440"/>
    <cellStyle name="Credit subtotal 10 4 2 6" xfId="22441"/>
    <cellStyle name="Credit subtotal 10 4 2 7" xfId="22442"/>
    <cellStyle name="Credit subtotal 10 4 2 8" xfId="22443"/>
    <cellStyle name="Credit subtotal 10 4 2 9" xfId="22444"/>
    <cellStyle name="Credit subtotal 10 4 20" xfId="22445"/>
    <cellStyle name="Credit subtotal 10 4 21" xfId="22446"/>
    <cellStyle name="Credit subtotal 10 4 3" xfId="22447"/>
    <cellStyle name="Credit subtotal 10 4 4" xfId="22448"/>
    <cellStyle name="Credit subtotal 10 4 5" xfId="22449"/>
    <cellStyle name="Credit subtotal 10 4 6" xfId="22450"/>
    <cellStyle name="Credit subtotal 10 4 7" xfId="22451"/>
    <cellStyle name="Credit subtotal 10 4 8" xfId="22452"/>
    <cellStyle name="Credit subtotal 10 4 9" xfId="22453"/>
    <cellStyle name="Credit subtotal 10 5" xfId="22454"/>
    <cellStyle name="Credit subtotal 10 5 10" xfId="22455"/>
    <cellStyle name="Credit subtotal 10 5 11" xfId="22456"/>
    <cellStyle name="Credit subtotal 10 5 12" xfId="22457"/>
    <cellStyle name="Credit subtotal 10 5 13" xfId="22458"/>
    <cellStyle name="Credit subtotal 10 5 14" xfId="22459"/>
    <cellStyle name="Credit subtotal 10 5 15" xfId="22460"/>
    <cellStyle name="Credit subtotal 10 5 16" xfId="22461"/>
    <cellStyle name="Credit subtotal 10 5 17" xfId="22462"/>
    <cellStyle name="Credit subtotal 10 5 18" xfId="22463"/>
    <cellStyle name="Credit subtotal 10 5 19" xfId="22464"/>
    <cellStyle name="Credit subtotal 10 5 2" xfId="22465"/>
    <cellStyle name="Credit subtotal 10 5 2 2" xfId="22466"/>
    <cellStyle name="Credit subtotal 10 5 2 3" xfId="22467"/>
    <cellStyle name="Credit subtotal 10 5 2 4" xfId="22468"/>
    <cellStyle name="Credit subtotal 10 5 2 5" xfId="22469"/>
    <cellStyle name="Credit subtotal 10 5 2 6" xfId="22470"/>
    <cellStyle name="Credit subtotal 10 5 2 7" xfId="22471"/>
    <cellStyle name="Credit subtotal 10 5 2 8" xfId="22472"/>
    <cellStyle name="Credit subtotal 10 5 2 9" xfId="22473"/>
    <cellStyle name="Credit subtotal 10 5 3" xfId="22474"/>
    <cellStyle name="Credit subtotal 10 5 4" xfId="22475"/>
    <cellStyle name="Credit subtotal 10 5 5" xfId="22476"/>
    <cellStyle name="Credit subtotal 10 5 6" xfId="22477"/>
    <cellStyle name="Credit subtotal 10 5 7" xfId="22478"/>
    <cellStyle name="Credit subtotal 10 5 8" xfId="22479"/>
    <cellStyle name="Credit subtotal 10 5 9" xfId="22480"/>
    <cellStyle name="Credit subtotal 10 6" xfId="22481"/>
    <cellStyle name="Credit subtotal 10 6 10" xfId="22482"/>
    <cellStyle name="Credit subtotal 10 6 11" xfId="22483"/>
    <cellStyle name="Credit subtotal 10 6 12" xfId="22484"/>
    <cellStyle name="Credit subtotal 10 6 13" xfId="22485"/>
    <cellStyle name="Credit subtotal 10 6 14" xfId="22486"/>
    <cellStyle name="Credit subtotal 10 6 15" xfId="22487"/>
    <cellStyle name="Credit subtotal 10 6 16" xfId="22488"/>
    <cellStyle name="Credit subtotal 10 6 17" xfId="22489"/>
    <cellStyle name="Credit subtotal 10 6 18" xfId="22490"/>
    <cellStyle name="Credit subtotal 10 6 2" xfId="22491"/>
    <cellStyle name="Credit subtotal 10 6 2 2" xfId="22492"/>
    <cellStyle name="Credit subtotal 10 6 2 3" xfId="22493"/>
    <cellStyle name="Credit subtotal 10 6 2 4" xfId="22494"/>
    <cellStyle name="Credit subtotal 10 6 2 5" xfId="22495"/>
    <cellStyle name="Credit subtotal 10 6 2 6" xfId="22496"/>
    <cellStyle name="Credit subtotal 10 6 2 7" xfId="22497"/>
    <cellStyle name="Credit subtotal 10 6 2 8" xfId="22498"/>
    <cellStyle name="Credit subtotal 10 6 2 9" xfId="22499"/>
    <cellStyle name="Credit subtotal 10 6 3" xfId="22500"/>
    <cellStyle name="Credit subtotal 10 6 4" xfId="22501"/>
    <cellStyle name="Credit subtotal 10 6 5" xfId="22502"/>
    <cellStyle name="Credit subtotal 10 6 6" xfId="22503"/>
    <cellStyle name="Credit subtotal 10 6 7" xfId="22504"/>
    <cellStyle name="Credit subtotal 10 6 8" xfId="22505"/>
    <cellStyle name="Credit subtotal 10 6 9" xfId="22506"/>
    <cellStyle name="Credit subtotal 10 7" xfId="22507"/>
    <cellStyle name="Credit subtotal 10 7 2" xfId="22508"/>
    <cellStyle name="Credit subtotal 10 7 3" xfId="22509"/>
    <cellStyle name="Credit subtotal 10 8" xfId="22510"/>
    <cellStyle name="Credit subtotal 11" xfId="22511"/>
    <cellStyle name="Credit subtotal 11 2" xfId="22512"/>
    <cellStyle name="Credit subtotal 11 2 10" xfId="22513"/>
    <cellStyle name="Credit subtotal 11 2 11" xfId="22514"/>
    <cellStyle name="Credit subtotal 11 2 12" xfId="22515"/>
    <cellStyle name="Credit subtotal 11 2 13" xfId="22516"/>
    <cellStyle name="Credit subtotal 11 2 14" xfId="22517"/>
    <cellStyle name="Credit subtotal 11 2 15" xfId="22518"/>
    <cellStyle name="Credit subtotal 11 2 16" xfId="22519"/>
    <cellStyle name="Credit subtotal 11 2 17" xfId="22520"/>
    <cellStyle name="Credit subtotal 11 2 18" xfId="22521"/>
    <cellStyle name="Credit subtotal 11 2 19" xfId="22522"/>
    <cellStyle name="Credit subtotal 11 2 2" xfId="22523"/>
    <cellStyle name="Credit subtotal 11 2 2 2" xfId="22524"/>
    <cellStyle name="Credit subtotal 11 2 2 3" xfId="22525"/>
    <cellStyle name="Credit subtotal 11 2 2 4" xfId="22526"/>
    <cellStyle name="Credit subtotal 11 2 2 5" xfId="22527"/>
    <cellStyle name="Credit subtotal 11 2 2 6" xfId="22528"/>
    <cellStyle name="Credit subtotal 11 2 2 7" xfId="22529"/>
    <cellStyle name="Credit subtotal 11 2 2 8" xfId="22530"/>
    <cellStyle name="Credit subtotal 11 2 2 9" xfId="22531"/>
    <cellStyle name="Credit subtotal 11 2 20" xfId="22532"/>
    <cellStyle name="Credit subtotal 11 2 21" xfId="22533"/>
    <cellStyle name="Credit subtotal 11 2 3" xfId="22534"/>
    <cellStyle name="Credit subtotal 11 2 4" xfId="22535"/>
    <cellStyle name="Credit subtotal 11 2 5" xfId="22536"/>
    <cellStyle name="Credit subtotal 11 2 6" xfId="22537"/>
    <cellStyle name="Credit subtotal 11 2 7" xfId="22538"/>
    <cellStyle name="Credit subtotal 11 2 8" xfId="22539"/>
    <cellStyle name="Credit subtotal 11 2 9" xfId="22540"/>
    <cellStyle name="Credit subtotal 11 3" xfId="22541"/>
    <cellStyle name="Credit subtotal 11 3 10" xfId="22542"/>
    <cellStyle name="Credit subtotal 11 3 11" xfId="22543"/>
    <cellStyle name="Credit subtotal 11 3 12" xfId="22544"/>
    <cellStyle name="Credit subtotal 11 3 13" xfId="22545"/>
    <cellStyle name="Credit subtotal 11 3 14" xfId="22546"/>
    <cellStyle name="Credit subtotal 11 3 15" xfId="22547"/>
    <cellStyle name="Credit subtotal 11 3 16" xfId="22548"/>
    <cellStyle name="Credit subtotal 11 3 17" xfId="22549"/>
    <cellStyle name="Credit subtotal 11 3 18" xfId="22550"/>
    <cellStyle name="Credit subtotal 11 3 19" xfId="22551"/>
    <cellStyle name="Credit subtotal 11 3 2" xfId="22552"/>
    <cellStyle name="Credit subtotal 11 3 2 2" xfId="22553"/>
    <cellStyle name="Credit subtotal 11 3 2 3" xfId="22554"/>
    <cellStyle name="Credit subtotal 11 3 2 4" xfId="22555"/>
    <cellStyle name="Credit subtotal 11 3 2 5" xfId="22556"/>
    <cellStyle name="Credit subtotal 11 3 2 6" xfId="22557"/>
    <cellStyle name="Credit subtotal 11 3 2 7" xfId="22558"/>
    <cellStyle name="Credit subtotal 11 3 2 8" xfId="22559"/>
    <cellStyle name="Credit subtotal 11 3 2 9" xfId="22560"/>
    <cellStyle name="Credit subtotal 11 3 3" xfId="22561"/>
    <cellStyle name="Credit subtotal 11 3 4" xfId="22562"/>
    <cellStyle name="Credit subtotal 11 3 5" xfId="22563"/>
    <cellStyle name="Credit subtotal 11 3 6" xfId="22564"/>
    <cellStyle name="Credit subtotal 11 3 7" xfId="22565"/>
    <cellStyle name="Credit subtotal 11 3 8" xfId="22566"/>
    <cellStyle name="Credit subtotal 11 3 9" xfId="22567"/>
    <cellStyle name="Credit subtotal 11 4" xfId="22568"/>
    <cellStyle name="Credit subtotal 11 4 10" xfId="22569"/>
    <cellStyle name="Credit subtotal 11 4 11" xfId="22570"/>
    <cellStyle name="Credit subtotal 11 4 12" xfId="22571"/>
    <cellStyle name="Credit subtotal 11 4 13" xfId="22572"/>
    <cellStyle name="Credit subtotal 11 4 14" xfId="22573"/>
    <cellStyle name="Credit subtotal 11 4 15" xfId="22574"/>
    <cellStyle name="Credit subtotal 11 4 16" xfId="22575"/>
    <cellStyle name="Credit subtotal 11 4 17" xfId="22576"/>
    <cellStyle name="Credit subtotal 11 4 18" xfId="22577"/>
    <cellStyle name="Credit subtotal 11 4 2" xfId="22578"/>
    <cellStyle name="Credit subtotal 11 4 2 2" xfId="22579"/>
    <cellStyle name="Credit subtotal 11 4 2 3" xfId="22580"/>
    <cellStyle name="Credit subtotal 11 4 2 4" xfId="22581"/>
    <cellStyle name="Credit subtotal 11 4 2 5" xfId="22582"/>
    <cellStyle name="Credit subtotal 11 4 2 6" xfId="22583"/>
    <cellStyle name="Credit subtotal 11 4 2 7" xfId="22584"/>
    <cellStyle name="Credit subtotal 11 4 2 8" xfId="22585"/>
    <cellStyle name="Credit subtotal 11 4 2 9" xfId="22586"/>
    <cellStyle name="Credit subtotal 11 4 3" xfId="22587"/>
    <cellStyle name="Credit subtotal 11 4 4" xfId="22588"/>
    <cellStyle name="Credit subtotal 11 4 5" xfId="22589"/>
    <cellStyle name="Credit subtotal 11 4 6" xfId="22590"/>
    <cellStyle name="Credit subtotal 11 4 7" xfId="22591"/>
    <cellStyle name="Credit subtotal 11 4 8" xfId="22592"/>
    <cellStyle name="Credit subtotal 11 4 9" xfId="22593"/>
    <cellStyle name="Credit subtotal 11 5" xfId="22594"/>
    <cellStyle name="Credit subtotal 11 5 2" xfId="22595"/>
    <cellStyle name="Credit subtotal 11 5 3" xfId="22596"/>
    <cellStyle name="Credit subtotal 11 6" xfId="22597"/>
    <cellStyle name="Credit subtotal 12" xfId="22598"/>
    <cellStyle name="Credit subtotal 12 10" xfId="22599"/>
    <cellStyle name="Credit subtotal 12 11" xfId="22600"/>
    <cellStyle name="Credit subtotal 12 12" xfId="22601"/>
    <cellStyle name="Credit subtotal 12 13" xfId="22602"/>
    <cellStyle name="Credit subtotal 12 14" xfId="22603"/>
    <cellStyle name="Credit subtotal 12 15" xfId="22604"/>
    <cellStyle name="Credit subtotal 12 16" xfId="22605"/>
    <cellStyle name="Credit subtotal 12 17" xfId="22606"/>
    <cellStyle name="Credit subtotal 12 18" xfId="22607"/>
    <cellStyle name="Credit subtotal 12 19" xfId="22608"/>
    <cellStyle name="Credit subtotal 12 2" xfId="22609"/>
    <cellStyle name="Credit subtotal 12 2 2" xfId="22610"/>
    <cellStyle name="Credit subtotal 12 2 3" xfId="22611"/>
    <cellStyle name="Credit subtotal 12 2 4" xfId="22612"/>
    <cellStyle name="Credit subtotal 12 2 5" xfId="22613"/>
    <cellStyle name="Credit subtotal 12 2 6" xfId="22614"/>
    <cellStyle name="Credit subtotal 12 2 7" xfId="22615"/>
    <cellStyle name="Credit subtotal 12 2 8" xfId="22616"/>
    <cellStyle name="Credit subtotal 12 2 9" xfId="22617"/>
    <cellStyle name="Credit subtotal 12 20" xfId="22618"/>
    <cellStyle name="Credit subtotal 12 21" xfId="22619"/>
    <cellStyle name="Credit subtotal 12 3" xfId="22620"/>
    <cellStyle name="Credit subtotal 12 4" xfId="22621"/>
    <cellStyle name="Credit subtotal 12 5" xfId="22622"/>
    <cellStyle name="Credit subtotal 12 6" xfId="22623"/>
    <cellStyle name="Credit subtotal 12 7" xfId="22624"/>
    <cellStyle name="Credit subtotal 12 8" xfId="22625"/>
    <cellStyle name="Credit subtotal 12 9" xfId="22626"/>
    <cellStyle name="Credit subtotal 13" xfId="22627"/>
    <cellStyle name="Credit subtotal 13 2" xfId="22628"/>
    <cellStyle name="Credit subtotal 13 3" xfId="22629"/>
    <cellStyle name="Credit subtotal 14" xfId="22630"/>
    <cellStyle name="Credit subtotal 2" xfId="22631"/>
    <cellStyle name="Credit subtotal 2 10" xfId="22632"/>
    <cellStyle name="Credit subtotal 2 10 2" xfId="22633"/>
    <cellStyle name="Credit subtotal 2 10 2 10" xfId="22634"/>
    <cellStyle name="Credit subtotal 2 10 2 11" xfId="22635"/>
    <cellStyle name="Credit subtotal 2 10 2 12" xfId="22636"/>
    <cellStyle name="Credit subtotal 2 10 2 13" xfId="22637"/>
    <cellStyle name="Credit subtotal 2 10 2 14" xfId="22638"/>
    <cellStyle name="Credit subtotal 2 10 2 15" xfId="22639"/>
    <cellStyle name="Credit subtotal 2 10 2 16" xfId="22640"/>
    <cellStyle name="Credit subtotal 2 10 2 17" xfId="22641"/>
    <cellStyle name="Credit subtotal 2 10 2 18" xfId="22642"/>
    <cellStyle name="Credit subtotal 2 10 2 19" xfId="22643"/>
    <cellStyle name="Credit subtotal 2 10 2 2" xfId="22644"/>
    <cellStyle name="Credit subtotal 2 10 2 2 2" xfId="22645"/>
    <cellStyle name="Credit subtotal 2 10 2 2 3" xfId="22646"/>
    <cellStyle name="Credit subtotal 2 10 2 2 4" xfId="22647"/>
    <cellStyle name="Credit subtotal 2 10 2 2 5" xfId="22648"/>
    <cellStyle name="Credit subtotal 2 10 2 2 6" xfId="22649"/>
    <cellStyle name="Credit subtotal 2 10 2 2 7" xfId="22650"/>
    <cellStyle name="Credit subtotal 2 10 2 2 8" xfId="22651"/>
    <cellStyle name="Credit subtotal 2 10 2 2 9" xfId="22652"/>
    <cellStyle name="Credit subtotal 2 10 2 20" xfId="22653"/>
    <cellStyle name="Credit subtotal 2 10 2 21" xfId="22654"/>
    <cellStyle name="Credit subtotal 2 10 2 3" xfId="22655"/>
    <cellStyle name="Credit subtotal 2 10 2 4" xfId="22656"/>
    <cellStyle name="Credit subtotal 2 10 2 5" xfId="22657"/>
    <cellStyle name="Credit subtotal 2 10 2 6" xfId="22658"/>
    <cellStyle name="Credit subtotal 2 10 2 7" xfId="22659"/>
    <cellStyle name="Credit subtotal 2 10 2 8" xfId="22660"/>
    <cellStyle name="Credit subtotal 2 10 2 9" xfId="22661"/>
    <cellStyle name="Credit subtotal 2 10 3" xfId="22662"/>
    <cellStyle name="Credit subtotal 2 10 3 10" xfId="22663"/>
    <cellStyle name="Credit subtotal 2 10 3 11" xfId="22664"/>
    <cellStyle name="Credit subtotal 2 10 3 12" xfId="22665"/>
    <cellStyle name="Credit subtotal 2 10 3 13" xfId="22666"/>
    <cellStyle name="Credit subtotal 2 10 3 14" xfId="22667"/>
    <cellStyle name="Credit subtotal 2 10 3 15" xfId="22668"/>
    <cellStyle name="Credit subtotal 2 10 3 16" xfId="22669"/>
    <cellStyle name="Credit subtotal 2 10 3 17" xfId="22670"/>
    <cellStyle name="Credit subtotal 2 10 3 18" xfId="22671"/>
    <cellStyle name="Credit subtotal 2 10 3 19" xfId="22672"/>
    <cellStyle name="Credit subtotal 2 10 3 2" xfId="22673"/>
    <cellStyle name="Credit subtotal 2 10 3 2 2" xfId="22674"/>
    <cellStyle name="Credit subtotal 2 10 3 2 3" xfId="22675"/>
    <cellStyle name="Credit subtotal 2 10 3 2 4" xfId="22676"/>
    <cellStyle name="Credit subtotal 2 10 3 2 5" xfId="22677"/>
    <cellStyle name="Credit subtotal 2 10 3 2 6" xfId="22678"/>
    <cellStyle name="Credit subtotal 2 10 3 2 7" xfId="22679"/>
    <cellStyle name="Credit subtotal 2 10 3 2 8" xfId="22680"/>
    <cellStyle name="Credit subtotal 2 10 3 2 9" xfId="22681"/>
    <cellStyle name="Credit subtotal 2 10 3 3" xfId="22682"/>
    <cellStyle name="Credit subtotal 2 10 3 4" xfId="22683"/>
    <cellStyle name="Credit subtotal 2 10 3 5" xfId="22684"/>
    <cellStyle name="Credit subtotal 2 10 3 6" xfId="22685"/>
    <cellStyle name="Credit subtotal 2 10 3 7" xfId="22686"/>
    <cellStyle name="Credit subtotal 2 10 3 8" xfId="22687"/>
    <cellStyle name="Credit subtotal 2 10 3 9" xfId="22688"/>
    <cellStyle name="Credit subtotal 2 10 4" xfId="22689"/>
    <cellStyle name="Credit subtotal 2 10 4 10" xfId="22690"/>
    <cellStyle name="Credit subtotal 2 10 4 11" xfId="22691"/>
    <cellStyle name="Credit subtotal 2 10 4 12" xfId="22692"/>
    <cellStyle name="Credit subtotal 2 10 4 13" xfId="22693"/>
    <cellStyle name="Credit subtotal 2 10 4 14" xfId="22694"/>
    <cellStyle name="Credit subtotal 2 10 4 15" xfId="22695"/>
    <cellStyle name="Credit subtotal 2 10 4 16" xfId="22696"/>
    <cellStyle name="Credit subtotal 2 10 4 17" xfId="22697"/>
    <cellStyle name="Credit subtotal 2 10 4 18" xfId="22698"/>
    <cellStyle name="Credit subtotal 2 10 4 2" xfId="22699"/>
    <cellStyle name="Credit subtotal 2 10 4 2 2" xfId="22700"/>
    <cellStyle name="Credit subtotal 2 10 4 2 3" xfId="22701"/>
    <cellStyle name="Credit subtotal 2 10 4 2 4" xfId="22702"/>
    <cellStyle name="Credit subtotal 2 10 4 2 5" xfId="22703"/>
    <cellStyle name="Credit subtotal 2 10 4 2 6" xfId="22704"/>
    <cellStyle name="Credit subtotal 2 10 4 2 7" xfId="22705"/>
    <cellStyle name="Credit subtotal 2 10 4 2 8" xfId="22706"/>
    <cellStyle name="Credit subtotal 2 10 4 2 9" xfId="22707"/>
    <cellStyle name="Credit subtotal 2 10 4 3" xfId="22708"/>
    <cellStyle name="Credit subtotal 2 10 4 4" xfId="22709"/>
    <cellStyle name="Credit subtotal 2 10 4 5" xfId="22710"/>
    <cellStyle name="Credit subtotal 2 10 4 6" xfId="22711"/>
    <cellStyle name="Credit subtotal 2 10 4 7" xfId="22712"/>
    <cellStyle name="Credit subtotal 2 10 4 8" xfId="22713"/>
    <cellStyle name="Credit subtotal 2 10 4 9" xfId="22714"/>
    <cellStyle name="Credit subtotal 2 10 5" xfId="22715"/>
    <cellStyle name="Credit subtotal 2 10 5 2" xfId="22716"/>
    <cellStyle name="Credit subtotal 2 10 5 3" xfId="22717"/>
    <cellStyle name="Credit subtotal 2 10 6" xfId="22718"/>
    <cellStyle name="Credit subtotal 2 11" xfId="22719"/>
    <cellStyle name="Credit subtotal 2 11 10" xfId="22720"/>
    <cellStyle name="Credit subtotal 2 11 11" xfId="22721"/>
    <cellStyle name="Credit subtotal 2 11 12" xfId="22722"/>
    <cellStyle name="Credit subtotal 2 11 13" xfId="22723"/>
    <cellStyle name="Credit subtotal 2 11 14" xfId="22724"/>
    <cellStyle name="Credit subtotal 2 11 15" xfId="22725"/>
    <cellStyle name="Credit subtotal 2 11 16" xfId="22726"/>
    <cellStyle name="Credit subtotal 2 11 17" xfId="22727"/>
    <cellStyle name="Credit subtotal 2 11 18" xfId="22728"/>
    <cellStyle name="Credit subtotal 2 11 19" xfId="22729"/>
    <cellStyle name="Credit subtotal 2 11 2" xfId="22730"/>
    <cellStyle name="Credit subtotal 2 11 2 2" xfId="22731"/>
    <cellStyle name="Credit subtotal 2 11 2 3" xfId="22732"/>
    <cellStyle name="Credit subtotal 2 11 2 4" xfId="22733"/>
    <cellStyle name="Credit subtotal 2 11 2 5" xfId="22734"/>
    <cellStyle name="Credit subtotal 2 11 2 6" xfId="22735"/>
    <cellStyle name="Credit subtotal 2 11 2 7" xfId="22736"/>
    <cellStyle name="Credit subtotal 2 11 2 8" xfId="22737"/>
    <cellStyle name="Credit subtotal 2 11 2 9" xfId="22738"/>
    <cellStyle name="Credit subtotal 2 11 20" xfId="22739"/>
    <cellStyle name="Credit subtotal 2 11 21" xfId="22740"/>
    <cellStyle name="Credit subtotal 2 11 3" xfId="22741"/>
    <cellStyle name="Credit subtotal 2 11 4" xfId="22742"/>
    <cellStyle name="Credit subtotal 2 11 5" xfId="22743"/>
    <cellStyle name="Credit subtotal 2 11 6" xfId="22744"/>
    <cellStyle name="Credit subtotal 2 11 7" xfId="22745"/>
    <cellStyle name="Credit subtotal 2 11 8" xfId="22746"/>
    <cellStyle name="Credit subtotal 2 11 9" xfId="22747"/>
    <cellStyle name="Credit subtotal 2 12" xfId="22748"/>
    <cellStyle name="Credit subtotal 2 12 10" xfId="22749"/>
    <cellStyle name="Credit subtotal 2 12 11" xfId="22750"/>
    <cellStyle name="Credit subtotal 2 12 12" xfId="22751"/>
    <cellStyle name="Credit subtotal 2 12 13" xfId="22752"/>
    <cellStyle name="Credit subtotal 2 12 14" xfId="22753"/>
    <cellStyle name="Credit subtotal 2 12 15" xfId="22754"/>
    <cellStyle name="Credit subtotal 2 12 16" xfId="22755"/>
    <cellStyle name="Credit subtotal 2 12 17" xfId="22756"/>
    <cellStyle name="Credit subtotal 2 12 18" xfId="22757"/>
    <cellStyle name="Credit subtotal 2 12 19" xfId="22758"/>
    <cellStyle name="Credit subtotal 2 12 2" xfId="22759"/>
    <cellStyle name="Credit subtotal 2 12 2 2" xfId="22760"/>
    <cellStyle name="Credit subtotal 2 12 2 3" xfId="22761"/>
    <cellStyle name="Credit subtotal 2 12 2 4" xfId="22762"/>
    <cellStyle name="Credit subtotal 2 12 2 5" xfId="22763"/>
    <cellStyle name="Credit subtotal 2 12 2 6" xfId="22764"/>
    <cellStyle name="Credit subtotal 2 12 2 7" xfId="22765"/>
    <cellStyle name="Credit subtotal 2 12 2 8" xfId="22766"/>
    <cellStyle name="Credit subtotal 2 12 2 9" xfId="22767"/>
    <cellStyle name="Credit subtotal 2 12 3" xfId="22768"/>
    <cellStyle name="Credit subtotal 2 12 4" xfId="22769"/>
    <cellStyle name="Credit subtotal 2 12 5" xfId="22770"/>
    <cellStyle name="Credit subtotal 2 12 6" xfId="22771"/>
    <cellStyle name="Credit subtotal 2 12 7" xfId="22772"/>
    <cellStyle name="Credit subtotal 2 12 8" xfId="22773"/>
    <cellStyle name="Credit subtotal 2 12 9" xfId="22774"/>
    <cellStyle name="Credit subtotal 2 13" xfId="22775"/>
    <cellStyle name="Credit subtotal 2 13 10" xfId="22776"/>
    <cellStyle name="Credit subtotal 2 13 11" xfId="22777"/>
    <cellStyle name="Credit subtotal 2 13 12" xfId="22778"/>
    <cellStyle name="Credit subtotal 2 13 13" xfId="22779"/>
    <cellStyle name="Credit subtotal 2 13 14" xfId="22780"/>
    <cellStyle name="Credit subtotal 2 13 15" xfId="22781"/>
    <cellStyle name="Credit subtotal 2 13 16" xfId="22782"/>
    <cellStyle name="Credit subtotal 2 13 17" xfId="22783"/>
    <cellStyle name="Credit subtotal 2 13 18" xfId="22784"/>
    <cellStyle name="Credit subtotal 2 13 2" xfId="22785"/>
    <cellStyle name="Credit subtotal 2 13 2 2" xfId="22786"/>
    <cellStyle name="Credit subtotal 2 13 2 3" xfId="22787"/>
    <cellStyle name="Credit subtotal 2 13 2 4" xfId="22788"/>
    <cellStyle name="Credit subtotal 2 13 2 5" xfId="22789"/>
    <cellStyle name="Credit subtotal 2 13 2 6" xfId="22790"/>
    <cellStyle name="Credit subtotal 2 13 2 7" xfId="22791"/>
    <cellStyle name="Credit subtotal 2 13 2 8" xfId="22792"/>
    <cellStyle name="Credit subtotal 2 13 2 9" xfId="22793"/>
    <cellStyle name="Credit subtotal 2 13 3" xfId="22794"/>
    <cellStyle name="Credit subtotal 2 13 4" xfId="22795"/>
    <cellStyle name="Credit subtotal 2 13 5" xfId="22796"/>
    <cellStyle name="Credit subtotal 2 13 6" xfId="22797"/>
    <cellStyle name="Credit subtotal 2 13 7" xfId="22798"/>
    <cellStyle name="Credit subtotal 2 13 8" xfId="22799"/>
    <cellStyle name="Credit subtotal 2 13 9" xfId="22800"/>
    <cellStyle name="Credit subtotal 2 14" xfId="22801"/>
    <cellStyle name="Credit subtotal 2 14 2" xfId="22802"/>
    <cellStyle name="Credit subtotal 2 2" xfId="22803"/>
    <cellStyle name="Credit subtotal 2 2 2" xfId="22804"/>
    <cellStyle name="Credit subtotal 2 2 2 2" xfId="22805"/>
    <cellStyle name="Credit subtotal 2 2 2 2 10" xfId="22806"/>
    <cellStyle name="Credit subtotal 2 2 2 2 11" xfId="22807"/>
    <cellStyle name="Credit subtotal 2 2 2 2 12" xfId="22808"/>
    <cellStyle name="Credit subtotal 2 2 2 2 13" xfId="22809"/>
    <cellStyle name="Credit subtotal 2 2 2 2 14" xfId="22810"/>
    <cellStyle name="Credit subtotal 2 2 2 2 15" xfId="22811"/>
    <cellStyle name="Credit subtotal 2 2 2 2 16" xfId="22812"/>
    <cellStyle name="Credit subtotal 2 2 2 2 17" xfId="22813"/>
    <cellStyle name="Credit subtotal 2 2 2 2 18" xfId="22814"/>
    <cellStyle name="Credit subtotal 2 2 2 2 19" xfId="22815"/>
    <cellStyle name="Credit subtotal 2 2 2 2 2" xfId="22816"/>
    <cellStyle name="Credit subtotal 2 2 2 2 2 2" xfId="22817"/>
    <cellStyle name="Credit subtotal 2 2 2 2 2 3" xfId="22818"/>
    <cellStyle name="Credit subtotal 2 2 2 2 2 4" xfId="22819"/>
    <cellStyle name="Credit subtotal 2 2 2 2 2 5" xfId="22820"/>
    <cellStyle name="Credit subtotal 2 2 2 2 2 6" xfId="22821"/>
    <cellStyle name="Credit subtotal 2 2 2 2 2 7" xfId="22822"/>
    <cellStyle name="Credit subtotal 2 2 2 2 2 8" xfId="22823"/>
    <cellStyle name="Credit subtotal 2 2 2 2 2 9" xfId="22824"/>
    <cellStyle name="Credit subtotal 2 2 2 2 20" xfId="22825"/>
    <cellStyle name="Credit subtotal 2 2 2 2 21" xfId="22826"/>
    <cellStyle name="Credit subtotal 2 2 2 2 3" xfId="22827"/>
    <cellStyle name="Credit subtotal 2 2 2 2 4" xfId="22828"/>
    <cellStyle name="Credit subtotal 2 2 2 2 5" xfId="22829"/>
    <cellStyle name="Credit subtotal 2 2 2 2 6" xfId="22830"/>
    <cellStyle name="Credit subtotal 2 2 2 2 7" xfId="22831"/>
    <cellStyle name="Credit subtotal 2 2 2 2 8" xfId="22832"/>
    <cellStyle name="Credit subtotal 2 2 2 2 9" xfId="22833"/>
    <cellStyle name="Credit subtotal 2 2 2 3" xfId="22834"/>
    <cellStyle name="Credit subtotal 2 2 2 3 10" xfId="22835"/>
    <cellStyle name="Credit subtotal 2 2 2 3 11" xfId="22836"/>
    <cellStyle name="Credit subtotal 2 2 2 3 12" xfId="22837"/>
    <cellStyle name="Credit subtotal 2 2 2 3 13" xfId="22838"/>
    <cellStyle name="Credit subtotal 2 2 2 3 14" xfId="22839"/>
    <cellStyle name="Credit subtotal 2 2 2 3 15" xfId="22840"/>
    <cellStyle name="Credit subtotal 2 2 2 3 16" xfId="22841"/>
    <cellStyle name="Credit subtotal 2 2 2 3 17" xfId="22842"/>
    <cellStyle name="Credit subtotal 2 2 2 3 18" xfId="22843"/>
    <cellStyle name="Credit subtotal 2 2 2 3 19" xfId="22844"/>
    <cellStyle name="Credit subtotal 2 2 2 3 2" xfId="22845"/>
    <cellStyle name="Credit subtotal 2 2 2 3 2 2" xfId="22846"/>
    <cellStyle name="Credit subtotal 2 2 2 3 2 3" xfId="22847"/>
    <cellStyle name="Credit subtotal 2 2 2 3 2 4" xfId="22848"/>
    <cellStyle name="Credit subtotal 2 2 2 3 2 5" xfId="22849"/>
    <cellStyle name="Credit subtotal 2 2 2 3 2 6" xfId="22850"/>
    <cellStyle name="Credit subtotal 2 2 2 3 2 7" xfId="22851"/>
    <cellStyle name="Credit subtotal 2 2 2 3 2 8" xfId="22852"/>
    <cellStyle name="Credit subtotal 2 2 2 3 2 9" xfId="22853"/>
    <cellStyle name="Credit subtotal 2 2 2 3 3" xfId="22854"/>
    <cellStyle name="Credit subtotal 2 2 2 3 4" xfId="22855"/>
    <cellStyle name="Credit subtotal 2 2 2 3 5" xfId="22856"/>
    <cellStyle name="Credit subtotal 2 2 2 3 6" xfId="22857"/>
    <cellStyle name="Credit subtotal 2 2 2 3 7" xfId="22858"/>
    <cellStyle name="Credit subtotal 2 2 2 3 8" xfId="22859"/>
    <cellStyle name="Credit subtotal 2 2 2 3 9" xfId="22860"/>
    <cellStyle name="Credit subtotal 2 2 2 4" xfId="22861"/>
    <cellStyle name="Credit subtotal 2 2 2 4 10" xfId="22862"/>
    <cellStyle name="Credit subtotal 2 2 2 4 11" xfId="22863"/>
    <cellStyle name="Credit subtotal 2 2 2 4 12" xfId="22864"/>
    <cellStyle name="Credit subtotal 2 2 2 4 13" xfId="22865"/>
    <cellStyle name="Credit subtotal 2 2 2 4 14" xfId="22866"/>
    <cellStyle name="Credit subtotal 2 2 2 4 15" xfId="22867"/>
    <cellStyle name="Credit subtotal 2 2 2 4 16" xfId="22868"/>
    <cellStyle name="Credit subtotal 2 2 2 4 17" xfId="22869"/>
    <cellStyle name="Credit subtotal 2 2 2 4 18" xfId="22870"/>
    <cellStyle name="Credit subtotal 2 2 2 4 2" xfId="22871"/>
    <cellStyle name="Credit subtotal 2 2 2 4 2 2" xfId="22872"/>
    <cellStyle name="Credit subtotal 2 2 2 4 2 3" xfId="22873"/>
    <cellStyle name="Credit subtotal 2 2 2 4 2 4" xfId="22874"/>
    <cellStyle name="Credit subtotal 2 2 2 4 2 5" xfId="22875"/>
    <cellStyle name="Credit subtotal 2 2 2 4 2 6" xfId="22876"/>
    <cellStyle name="Credit subtotal 2 2 2 4 2 7" xfId="22877"/>
    <cellStyle name="Credit subtotal 2 2 2 4 2 8" xfId="22878"/>
    <cellStyle name="Credit subtotal 2 2 2 4 2 9" xfId="22879"/>
    <cellStyle name="Credit subtotal 2 2 2 4 3" xfId="22880"/>
    <cellStyle name="Credit subtotal 2 2 2 4 4" xfId="22881"/>
    <cellStyle name="Credit subtotal 2 2 2 4 5" xfId="22882"/>
    <cellStyle name="Credit subtotal 2 2 2 4 6" xfId="22883"/>
    <cellStyle name="Credit subtotal 2 2 2 4 7" xfId="22884"/>
    <cellStyle name="Credit subtotal 2 2 2 4 8" xfId="22885"/>
    <cellStyle name="Credit subtotal 2 2 2 4 9" xfId="22886"/>
    <cellStyle name="Credit subtotal 2 2 2 5" xfId="22887"/>
    <cellStyle name="Credit subtotal 2 2 2 5 2" xfId="22888"/>
    <cellStyle name="Credit subtotal 2 2 2 5 3" xfId="22889"/>
    <cellStyle name="Credit subtotal 2 2 2 6" xfId="22890"/>
    <cellStyle name="Credit subtotal 2 2 3" xfId="22891"/>
    <cellStyle name="Credit subtotal 2 2 3 2" xfId="22892"/>
    <cellStyle name="Credit subtotal 2 2 3 2 10" xfId="22893"/>
    <cellStyle name="Credit subtotal 2 2 3 2 11" xfId="22894"/>
    <cellStyle name="Credit subtotal 2 2 3 2 12" xfId="22895"/>
    <cellStyle name="Credit subtotal 2 2 3 2 13" xfId="22896"/>
    <cellStyle name="Credit subtotal 2 2 3 2 14" xfId="22897"/>
    <cellStyle name="Credit subtotal 2 2 3 2 15" xfId="22898"/>
    <cellStyle name="Credit subtotal 2 2 3 2 16" xfId="22899"/>
    <cellStyle name="Credit subtotal 2 2 3 2 17" xfId="22900"/>
    <cellStyle name="Credit subtotal 2 2 3 2 18" xfId="22901"/>
    <cellStyle name="Credit subtotal 2 2 3 2 19" xfId="22902"/>
    <cellStyle name="Credit subtotal 2 2 3 2 2" xfId="22903"/>
    <cellStyle name="Credit subtotal 2 2 3 2 2 2" xfId="22904"/>
    <cellStyle name="Credit subtotal 2 2 3 2 2 3" xfId="22905"/>
    <cellStyle name="Credit subtotal 2 2 3 2 2 4" xfId="22906"/>
    <cellStyle name="Credit subtotal 2 2 3 2 2 5" xfId="22907"/>
    <cellStyle name="Credit subtotal 2 2 3 2 2 6" xfId="22908"/>
    <cellStyle name="Credit subtotal 2 2 3 2 2 7" xfId="22909"/>
    <cellStyle name="Credit subtotal 2 2 3 2 2 8" xfId="22910"/>
    <cellStyle name="Credit subtotal 2 2 3 2 2 9" xfId="22911"/>
    <cellStyle name="Credit subtotal 2 2 3 2 20" xfId="22912"/>
    <cellStyle name="Credit subtotal 2 2 3 2 21" xfId="22913"/>
    <cellStyle name="Credit subtotal 2 2 3 2 3" xfId="22914"/>
    <cellStyle name="Credit subtotal 2 2 3 2 4" xfId="22915"/>
    <cellStyle name="Credit subtotal 2 2 3 2 5" xfId="22916"/>
    <cellStyle name="Credit subtotal 2 2 3 2 6" xfId="22917"/>
    <cellStyle name="Credit subtotal 2 2 3 2 7" xfId="22918"/>
    <cellStyle name="Credit subtotal 2 2 3 2 8" xfId="22919"/>
    <cellStyle name="Credit subtotal 2 2 3 2 9" xfId="22920"/>
    <cellStyle name="Credit subtotal 2 2 3 3" xfId="22921"/>
    <cellStyle name="Credit subtotal 2 2 3 3 10" xfId="22922"/>
    <cellStyle name="Credit subtotal 2 2 3 3 11" xfId="22923"/>
    <cellStyle name="Credit subtotal 2 2 3 3 12" xfId="22924"/>
    <cellStyle name="Credit subtotal 2 2 3 3 13" xfId="22925"/>
    <cellStyle name="Credit subtotal 2 2 3 3 14" xfId="22926"/>
    <cellStyle name="Credit subtotal 2 2 3 3 15" xfId="22927"/>
    <cellStyle name="Credit subtotal 2 2 3 3 16" xfId="22928"/>
    <cellStyle name="Credit subtotal 2 2 3 3 17" xfId="22929"/>
    <cellStyle name="Credit subtotal 2 2 3 3 18" xfId="22930"/>
    <cellStyle name="Credit subtotal 2 2 3 3 19" xfId="22931"/>
    <cellStyle name="Credit subtotal 2 2 3 3 2" xfId="22932"/>
    <cellStyle name="Credit subtotal 2 2 3 3 2 2" xfId="22933"/>
    <cellStyle name="Credit subtotal 2 2 3 3 2 3" xfId="22934"/>
    <cellStyle name="Credit subtotal 2 2 3 3 2 4" xfId="22935"/>
    <cellStyle name="Credit subtotal 2 2 3 3 2 5" xfId="22936"/>
    <cellStyle name="Credit subtotal 2 2 3 3 2 6" xfId="22937"/>
    <cellStyle name="Credit subtotal 2 2 3 3 2 7" xfId="22938"/>
    <cellStyle name="Credit subtotal 2 2 3 3 2 8" xfId="22939"/>
    <cellStyle name="Credit subtotal 2 2 3 3 2 9" xfId="22940"/>
    <cellStyle name="Credit subtotal 2 2 3 3 3" xfId="22941"/>
    <cellStyle name="Credit subtotal 2 2 3 3 4" xfId="22942"/>
    <cellStyle name="Credit subtotal 2 2 3 3 5" xfId="22943"/>
    <cellStyle name="Credit subtotal 2 2 3 3 6" xfId="22944"/>
    <cellStyle name="Credit subtotal 2 2 3 3 7" xfId="22945"/>
    <cellStyle name="Credit subtotal 2 2 3 3 8" xfId="22946"/>
    <cellStyle name="Credit subtotal 2 2 3 3 9" xfId="22947"/>
    <cellStyle name="Credit subtotal 2 2 3 4" xfId="22948"/>
    <cellStyle name="Credit subtotal 2 2 3 4 10" xfId="22949"/>
    <cellStyle name="Credit subtotal 2 2 3 4 11" xfId="22950"/>
    <cellStyle name="Credit subtotal 2 2 3 4 12" xfId="22951"/>
    <cellStyle name="Credit subtotal 2 2 3 4 13" xfId="22952"/>
    <cellStyle name="Credit subtotal 2 2 3 4 14" xfId="22953"/>
    <cellStyle name="Credit subtotal 2 2 3 4 15" xfId="22954"/>
    <cellStyle name="Credit subtotal 2 2 3 4 16" xfId="22955"/>
    <cellStyle name="Credit subtotal 2 2 3 4 17" xfId="22956"/>
    <cellStyle name="Credit subtotal 2 2 3 4 18" xfId="22957"/>
    <cellStyle name="Credit subtotal 2 2 3 4 2" xfId="22958"/>
    <cellStyle name="Credit subtotal 2 2 3 4 2 2" xfId="22959"/>
    <cellStyle name="Credit subtotal 2 2 3 4 2 3" xfId="22960"/>
    <cellStyle name="Credit subtotal 2 2 3 4 2 4" xfId="22961"/>
    <cellStyle name="Credit subtotal 2 2 3 4 2 5" xfId="22962"/>
    <cellStyle name="Credit subtotal 2 2 3 4 2 6" xfId="22963"/>
    <cellStyle name="Credit subtotal 2 2 3 4 2 7" xfId="22964"/>
    <cellStyle name="Credit subtotal 2 2 3 4 2 8" xfId="22965"/>
    <cellStyle name="Credit subtotal 2 2 3 4 2 9" xfId="22966"/>
    <cellStyle name="Credit subtotal 2 2 3 4 3" xfId="22967"/>
    <cellStyle name="Credit subtotal 2 2 3 4 4" xfId="22968"/>
    <cellStyle name="Credit subtotal 2 2 3 4 5" xfId="22969"/>
    <cellStyle name="Credit subtotal 2 2 3 4 6" xfId="22970"/>
    <cellStyle name="Credit subtotal 2 2 3 4 7" xfId="22971"/>
    <cellStyle name="Credit subtotal 2 2 3 4 8" xfId="22972"/>
    <cellStyle name="Credit subtotal 2 2 3 4 9" xfId="22973"/>
    <cellStyle name="Credit subtotal 2 2 3 5" xfId="22974"/>
    <cellStyle name="Credit subtotal 2 2 3 5 2" xfId="22975"/>
    <cellStyle name="Credit subtotal 2 2 3 5 3" xfId="22976"/>
    <cellStyle name="Credit subtotal 2 2 3 6" xfId="22977"/>
    <cellStyle name="Credit subtotal 2 2 4" xfId="22978"/>
    <cellStyle name="Credit subtotal 2 2 4 10" xfId="22979"/>
    <cellStyle name="Credit subtotal 2 2 4 11" xfId="22980"/>
    <cellStyle name="Credit subtotal 2 2 4 12" xfId="22981"/>
    <cellStyle name="Credit subtotal 2 2 4 13" xfId="22982"/>
    <cellStyle name="Credit subtotal 2 2 4 14" xfId="22983"/>
    <cellStyle name="Credit subtotal 2 2 4 15" xfId="22984"/>
    <cellStyle name="Credit subtotal 2 2 4 16" xfId="22985"/>
    <cellStyle name="Credit subtotal 2 2 4 17" xfId="22986"/>
    <cellStyle name="Credit subtotal 2 2 4 18" xfId="22987"/>
    <cellStyle name="Credit subtotal 2 2 4 19" xfId="22988"/>
    <cellStyle name="Credit subtotal 2 2 4 2" xfId="22989"/>
    <cellStyle name="Credit subtotal 2 2 4 2 2" xfId="22990"/>
    <cellStyle name="Credit subtotal 2 2 4 2 3" xfId="22991"/>
    <cellStyle name="Credit subtotal 2 2 4 2 4" xfId="22992"/>
    <cellStyle name="Credit subtotal 2 2 4 2 5" xfId="22993"/>
    <cellStyle name="Credit subtotal 2 2 4 2 6" xfId="22994"/>
    <cellStyle name="Credit subtotal 2 2 4 2 7" xfId="22995"/>
    <cellStyle name="Credit subtotal 2 2 4 2 8" xfId="22996"/>
    <cellStyle name="Credit subtotal 2 2 4 2 9" xfId="22997"/>
    <cellStyle name="Credit subtotal 2 2 4 20" xfId="22998"/>
    <cellStyle name="Credit subtotal 2 2 4 21" xfId="22999"/>
    <cellStyle name="Credit subtotal 2 2 4 3" xfId="23000"/>
    <cellStyle name="Credit subtotal 2 2 4 4" xfId="23001"/>
    <cellStyle name="Credit subtotal 2 2 4 5" xfId="23002"/>
    <cellStyle name="Credit subtotal 2 2 4 6" xfId="23003"/>
    <cellStyle name="Credit subtotal 2 2 4 7" xfId="23004"/>
    <cellStyle name="Credit subtotal 2 2 4 8" xfId="23005"/>
    <cellStyle name="Credit subtotal 2 2 4 9" xfId="23006"/>
    <cellStyle name="Credit subtotal 2 2 5" xfId="23007"/>
    <cellStyle name="Credit subtotal 2 2 5 10" xfId="23008"/>
    <cellStyle name="Credit subtotal 2 2 5 11" xfId="23009"/>
    <cellStyle name="Credit subtotal 2 2 5 12" xfId="23010"/>
    <cellStyle name="Credit subtotal 2 2 5 13" xfId="23011"/>
    <cellStyle name="Credit subtotal 2 2 5 14" xfId="23012"/>
    <cellStyle name="Credit subtotal 2 2 5 15" xfId="23013"/>
    <cellStyle name="Credit subtotal 2 2 5 16" xfId="23014"/>
    <cellStyle name="Credit subtotal 2 2 5 17" xfId="23015"/>
    <cellStyle name="Credit subtotal 2 2 5 18" xfId="23016"/>
    <cellStyle name="Credit subtotal 2 2 5 19" xfId="23017"/>
    <cellStyle name="Credit subtotal 2 2 5 2" xfId="23018"/>
    <cellStyle name="Credit subtotal 2 2 5 2 2" xfId="23019"/>
    <cellStyle name="Credit subtotal 2 2 5 2 3" xfId="23020"/>
    <cellStyle name="Credit subtotal 2 2 5 2 4" xfId="23021"/>
    <cellStyle name="Credit subtotal 2 2 5 2 5" xfId="23022"/>
    <cellStyle name="Credit subtotal 2 2 5 2 6" xfId="23023"/>
    <cellStyle name="Credit subtotal 2 2 5 2 7" xfId="23024"/>
    <cellStyle name="Credit subtotal 2 2 5 2 8" xfId="23025"/>
    <cellStyle name="Credit subtotal 2 2 5 2 9" xfId="23026"/>
    <cellStyle name="Credit subtotal 2 2 5 3" xfId="23027"/>
    <cellStyle name="Credit subtotal 2 2 5 4" xfId="23028"/>
    <cellStyle name="Credit subtotal 2 2 5 5" xfId="23029"/>
    <cellStyle name="Credit subtotal 2 2 5 6" xfId="23030"/>
    <cellStyle name="Credit subtotal 2 2 5 7" xfId="23031"/>
    <cellStyle name="Credit subtotal 2 2 5 8" xfId="23032"/>
    <cellStyle name="Credit subtotal 2 2 5 9" xfId="23033"/>
    <cellStyle name="Credit subtotal 2 2 6" xfId="23034"/>
    <cellStyle name="Credit subtotal 2 2 6 10" xfId="23035"/>
    <cellStyle name="Credit subtotal 2 2 6 11" xfId="23036"/>
    <cellStyle name="Credit subtotal 2 2 6 12" xfId="23037"/>
    <cellStyle name="Credit subtotal 2 2 6 13" xfId="23038"/>
    <cellStyle name="Credit subtotal 2 2 6 14" xfId="23039"/>
    <cellStyle name="Credit subtotal 2 2 6 15" xfId="23040"/>
    <cellStyle name="Credit subtotal 2 2 6 16" xfId="23041"/>
    <cellStyle name="Credit subtotal 2 2 6 17" xfId="23042"/>
    <cellStyle name="Credit subtotal 2 2 6 18" xfId="23043"/>
    <cellStyle name="Credit subtotal 2 2 6 2" xfId="23044"/>
    <cellStyle name="Credit subtotal 2 2 6 2 2" xfId="23045"/>
    <cellStyle name="Credit subtotal 2 2 6 2 3" xfId="23046"/>
    <cellStyle name="Credit subtotal 2 2 6 2 4" xfId="23047"/>
    <cellStyle name="Credit subtotal 2 2 6 2 5" xfId="23048"/>
    <cellStyle name="Credit subtotal 2 2 6 2 6" xfId="23049"/>
    <cellStyle name="Credit subtotal 2 2 6 2 7" xfId="23050"/>
    <cellStyle name="Credit subtotal 2 2 6 2 8" xfId="23051"/>
    <cellStyle name="Credit subtotal 2 2 6 2 9" xfId="23052"/>
    <cellStyle name="Credit subtotal 2 2 6 3" xfId="23053"/>
    <cellStyle name="Credit subtotal 2 2 6 4" xfId="23054"/>
    <cellStyle name="Credit subtotal 2 2 6 5" xfId="23055"/>
    <cellStyle name="Credit subtotal 2 2 6 6" xfId="23056"/>
    <cellStyle name="Credit subtotal 2 2 6 7" xfId="23057"/>
    <cellStyle name="Credit subtotal 2 2 6 8" xfId="23058"/>
    <cellStyle name="Credit subtotal 2 2 6 9" xfId="23059"/>
    <cellStyle name="Credit subtotal 2 2 7" xfId="23060"/>
    <cellStyle name="Credit subtotal 2 2 7 2" xfId="23061"/>
    <cellStyle name="Credit subtotal 2 2 7 3" xfId="23062"/>
    <cellStyle name="Credit subtotal 2 2 8" xfId="23063"/>
    <cellStyle name="Credit subtotal 2 3" xfId="23064"/>
    <cellStyle name="Credit subtotal 2 3 2" xfId="23065"/>
    <cellStyle name="Credit subtotal 2 3 2 2" xfId="23066"/>
    <cellStyle name="Credit subtotal 2 3 2 2 10" xfId="23067"/>
    <cellStyle name="Credit subtotal 2 3 2 2 11" xfId="23068"/>
    <cellStyle name="Credit subtotal 2 3 2 2 12" xfId="23069"/>
    <cellStyle name="Credit subtotal 2 3 2 2 13" xfId="23070"/>
    <cellStyle name="Credit subtotal 2 3 2 2 14" xfId="23071"/>
    <cellStyle name="Credit subtotal 2 3 2 2 15" xfId="23072"/>
    <cellStyle name="Credit subtotal 2 3 2 2 16" xfId="23073"/>
    <cellStyle name="Credit subtotal 2 3 2 2 17" xfId="23074"/>
    <cellStyle name="Credit subtotal 2 3 2 2 18" xfId="23075"/>
    <cellStyle name="Credit subtotal 2 3 2 2 19" xfId="23076"/>
    <cellStyle name="Credit subtotal 2 3 2 2 2" xfId="23077"/>
    <cellStyle name="Credit subtotal 2 3 2 2 2 2" xfId="23078"/>
    <cellStyle name="Credit subtotal 2 3 2 2 2 3" xfId="23079"/>
    <cellStyle name="Credit subtotal 2 3 2 2 2 4" xfId="23080"/>
    <cellStyle name="Credit subtotal 2 3 2 2 2 5" xfId="23081"/>
    <cellStyle name="Credit subtotal 2 3 2 2 2 6" xfId="23082"/>
    <cellStyle name="Credit subtotal 2 3 2 2 2 7" xfId="23083"/>
    <cellStyle name="Credit subtotal 2 3 2 2 2 8" xfId="23084"/>
    <cellStyle name="Credit subtotal 2 3 2 2 2 9" xfId="23085"/>
    <cellStyle name="Credit subtotal 2 3 2 2 20" xfId="23086"/>
    <cellStyle name="Credit subtotal 2 3 2 2 21" xfId="23087"/>
    <cellStyle name="Credit subtotal 2 3 2 2 3" xfId="23088"/>
    <cellStyle name="Credit subtotal 2 3 2 2 4" xfId="23089"/>
    <cellStyle name="Credit subtotal 2 3 2 2 5" xfId="23090"/>
    <cellStyle name="Credit subtotal 2 3 2 2 6" xfId="23091"/>
    <cellStyle name="Credit subtotal 2 3 2 2 7" xfId="23092"/>
    <cellStyle name="Credit subtotal 2 3 2 2 8" xfId="23093"/>
    <cellStyle name="Credit subtotal 2 3 2 2 9" xfId="23094"/>
    <cellStyle name="Credit subtotal 2 3 2 3" xfId="23095"/>
    <cellStyle name="Credit subtotal 2 3 2 3 10" xfId="23096"/>
    <cellStyle name="Credit subtotal 2 3 2 3 11" xfId="23097"/>
    <cellStyle name="Credit subtotal 2 3 2 3 12" xfId="23098"/>
    <cellStyle name="Credit subtotal 2 3 2 3 13" xfId="23099"/>
    <cellStyle name="Credit subtotal 2 3 2 3 14" xfId="23100"/>
    <cellStyle name="Credit subtotal 2 3 2 3 15" xfId="23101"/>
    <cellStyle name="Credit subtotal 2 3 2 3 16" xfId="23102"/>
    <cellStyle name="Credit subtotal 2 3 2 3 17" xfId="23103"/>
    <cellStyle name="Credit subtotal 2 3 2 3 18" xfId="23104"/>
    <cellStyle name="Credit subtotal 2 3 2 3 19" xfId="23105"/>
    <cellStyle name="Credit subtotal 2 3 2 3 2" xfId="23106"/>
    <cellStyle name="Credit subtotal 2 3 2 3 2 2" xfId="23107"/>
    <cellStyle name="Credit subtotal 2 3 2 3 2 3" xfId="23108"/>
    <cellStyle name="Credit subtotal 2 3 2 3 2 4" xfId="23109"/>
    <cellStyle name="Credit subtotal 2 3 2 3 2 5" xfId="23110"/>
    <cellStyle name="Credit subtotal 2 3 2 3 2 6" xfId="23111"/>
    <cellStyle name="Credit subtotal 2 3 2 3 2 7" xfId="23112"/>
    <cellStyle name="Credit subtotal 2 3 2 3 2 8" xfId="23113"/>
    <cellStyle name="Credit subtotal 2 3 2 3 2 9" xfId="23114"/>
    <cellStyle name="Credit subtotal 2 3 2 3 3" xfId="23115"/>
    <cellStyle name="Credit subtotal 2 3 2 3 4" xfId="23116"/>
    <cellStyle name="Credit subtotal 2 3 2 3 5" xfId="23117"/>
    <cellStyle name="Credit subtotal 2 3 2 3 6" xfId="23118"/>
    <cellStyle name="Credit subtotal 2 3 2 3 7" xfId="23119"/>
    <cellStyle name="Credit subtotal 2 3 2 3 8" xfId="23120"/>
    <cellStyle name="Credit subtotal 2 3 2 3 9" xfId="23121"/>
    <cellStyle name="Credit subtotal 2 3 2 4" xfId="23122"/>
    <cellStyle name="Credit subtotal 2 3 2 4 10" xfId="23123"/>
    <cellStyle name="Credit subtotal 2 3 2 4 11" xfId="23124"/>
    <cellStyle name="Credit subtotal 2 3 2 4 12" xfId="23125"/>
    <cellStyle name="Credit subtotal 2 3 2 4 13" xfId="23126"/>
    <cellStyle name="Credit subtotal 2 3 2 4 14" xfId="23127"/>
    <cellStyle name="Credit subtotal 2 3 2 4 15" xfId="23128"/>
    <cellStyle name="Credit subtotal 2 3 2 4 16" xfId="23129"/>
    <cellStyle name="Credit subtotal 2 3 2 4 17" xfId="23130"/>
    <cellStyle name="Credit subtotal 2 3 2 4 18" xfId="23131"/>
    <cellStyle name="Credit subtotal 2 3 2 4 2" xfId="23132"/>
    <cellStyle name="Credit subtotal 2 3 2 4 2 2" xfId="23133"/>
    <cellStyle name="Credit subtotal 2 3 2 4 2 3" xfId="23134"/>
    <cellStyle name="Credit subtotal 2 3 2 4 2 4" xfId="23135"/>
    <cellStyle name="Credit subtotal 2 3 2 4 2 5" xfId="23136"/>
    <cellStyle name="Credit subtotal 2 3 2 4 2 6" xfId="23137"/>
    <cellStyle name="Credit subtotal 2 3 2 4 2 7" xfId="23138"/>
    <cellStyle name="Credit subtotal 2 3 2 4 2 8" xfId="23139"/>
    <cellStyle name="Credit subtotal 2 3 2 4 2 9" xfId="23140"/>
    <cellStyle name="Credit subtotal 2 3 2 4 3" xfId="23141"/>
    <cellStyle name="Credit subtotal 2 3 2 4 4" xfId="23142"/>
    <cellStyle name="Credit subtotal 2 3 2 4 5" xfId="23143"/>
    <cellStyle name="Credit subtotal 2 3 2 4 6" xfId="23144"/>
    <cellStyle name="Credit subtotal 2 3 2 4 7" xfId="23145"/>
    <cellStyle name="Credit subtotal 2 3 2 4 8" xfId="23146"/>
    <cellStyle name="Credit subtotal 2 3 2 4 9" xfId="23147"/>
    <cellStyle name="Credit subtotal 2 3 2 5" xfId="23148"/>
    <cellStyle name="Credit subtotal 2 3 2 5 2" xfId="23149"/>
    <cellStyle name="Credit subtotal 2 3 2 5 3" xfId="23150"/>
    <cellStyle name="Credit subtotal 2 3 2 6" xfId="23151"/>
    <cellStyle name="Credit subtotal 2 3 3" xfId="23152"/>
    <cellStyle name="Credit subtotal 2 3 3 2" xfId="23153"/>
    <cellStyle name="Credit subtotal 2 3 3 2 10" xfId="23154"/>
    <cellStyle name="Credit subtotal 2 3 3 2 11" xfId="23155"/>
    <cellStyle name="Credit subtotal 2 3 3 2 12" xfId="23156"/>
    <cellStyle name="Credit subtotal 2 3 3 2 13" xfId="23157"/>
    <cellStyle name="Credit subtotal 2 3 3 2 14" xfId="23158"/>
    <cellStyle name="Credit subtotal 2 3 3 2 15" xfId="23159"/>
    <cellStyle name="Credit subtotal 2 3 3 2 16" xfId="23160"/>
    <cellStyle name="Credit subtotal 2 3 3 2 17" xfId="23161"/>
    <cellStyle name="Credit subtotal 2 3 3 2 18" xfId="23162"/>
    <cellStyle name="Credit subtotal 2 3 3 2 19" xfId="23163"/>
    <cellStyle name="Credit subtotal 2 3 3 2 2" xfId="23164"/>
    <cellStyle name="Credit subtotal 2 3 3 2 2 2" xfId="23165"/>
    <cellStyle name="Credit subtotal 2 3 3 2 2 3" xfId="23166"/>
    <cellStyle name="Credit subtotal 2 3 3 2 2 4" xfId="23167"/>
    <cellStyle name="Credit subtotal 2 3 3 2 2 5" xfId="23168"/>
    <cellStyle name="Credit subtotal 2 3 3 2 2 6" xfId="23169"/>
    <cellStyle name="Credit subtotal 2 3 3 2 2 7" xfId="23170"/>
    <cellStyle name="Credit subtotal 2 3 3 2 2 8" xfId="23171"/>
    <cellStyle name="Credit subtotal 2 3 3 2 2 9" xfId="23172"/>
    <cellStyle name="Credit subtotal 2 3 3 2 20" xfId="23173"/>
    <cellStyle name="Credit subtotal 2 3 3 2 21" xfId="23174"/>
    <cellStyle name="Credit subtotal 2 3 3 2 3" xfId="23175"/>
    <cellStyle name="Credit subtotal 2 3 3 2 4" xfId="23176"/>
    <cellStyle name="Credit subtotal 2 3 3 2 5" xfId="23177"/>
    <cellStyle name="Credit subtotal 2 3 3 2 6" xfId="23178"/>
    <cellStyle name="Credit subtotal 2 3 3 2 7" xfId="23179"/>
    <cellStyle name="Credit subtotal 2 3 3 2 8" xfId="23180"/>
    <cellStyle name="Credit subtotal 2 3 3 2 9" xfId="23181"/>
    <cellStyle name="Credit subtotal 2 3 3 3" xfId="23182"/>
    <cellStyle name="Credit subtotal 2 3 3 3 10" xfId="23183"/>
    <cellStyle name="Credit subtotal 2 3 3 3 11" xfId="23184"/>
    <cellStyle name="Credit subtotal 2 3 3 3 12" xfId="23185"/>
    <cellStyle name="Credit subtotal 2 3 3 3 13" xfId="23186"/>
    <cellStyle name="Credit subtotal 2 3 3 3 14" xfId="23187"/>
    <cellStyle name="Credit subtotal 2 3 3 3 15" xfId="23188"/>
    <cellStyle name="Credit subtotal 2 3 3 3 16" xfId="23189"/>
    <cellStyle name="Credit subtotal 2 3 3 3 17" xfId="23190"/>
    <cellStyle name="Credit subtotal 2 3 3 3 18" xfId="23191"/>
    <cellStyle name="Credit subtotal 2 3 3 3 19" xfId="23192"/>
    <cellStyle name="Credit subtotal 2 3 3 3 2" xfId="23193"/>
    <cellStyle name="Credit subtotal 2 3 3 3 2 2" xfId="23194"/>
    <cellStyle name="Credit subtotal 2 3 3 3 2 3" xfId="23195"/>
    <cellStyle name="Credit subtotal 2 3 3 3 2 4" xfId="23196"/>
    <cellStyle name="Credit subtotal 2 3 3 3 2 5" xfId="23197"/>
    <cellStyle name="Credit subtotal 2 3 3 3 2 6" xfId="23198"/>
    <cellStyle name="Credit subtotal 2 3 3 3 2 7" xfId="23199"/>
    <cellStyle name="Credit subtotal 2 3 3 3 2 8" xfId="23200"/>
    <cellStyle name="Credit subtotal 2 3 3 3 2 9" xfId="23201"/>
    <cellStyle name="Credit subtotal 2 3 3 3 3" xfId="23202"/>
    <cellStyle name="Credit subtotal 2 3 3 3 4" xfId="23203"/>
    <cellStyle name="Credit subtotal 2 3 3 3 5" xfId="23204"/>
    <cellStyle name="Credit subtotal 2 3 3 3 6" xfId="23205"/>
    <cellStyle name="Credit subtotal 2 3 3 3 7" xfId="23206"/>
    <cellStyle name="Credit subtotal 2 3 3 3 8" xfId="23207"/>
    <cellStyle name="Credit subtotal 2 3 3 3 9" xfId="23208"/>
    <cellStyle name="Credit subtotal 2 3 3 4" xfId="23209"/>
    <cellStyle name="Credit subtotal 2 3 3 4 10" xfId="23210"/>
    <cellStyle name="Credit subtotal 2 3 3 4 11" xfId="23211"/>
    <cellStyle name="Credit subtotal 2 3 3 4 12" xfId="23212"/>
    <cellStyle name="Credit subtotal 2 3 3 4 13" xfId="23213"/>
    <cellStyle name="Credit subtotal 2 3 3 4 14" xfId="23214"/>
    <cellStyle name="Credit subtotal 2 3 3 4 15" xfId="23215"/>
    <cellStyle name="Credit subtotal 2 3 3 4 16" xfId="23216"/>
    <cellStyle name="Credit subtotal 2 3 3 4 17" xfId="23217"/>
    <cellStyle name="Credit subtotal 2 3 3 4 18" xfId="23218"/>
    <cellStyle name="Credit subtotal 2 3 3 4 2" xfId="23219"/>
    <cellStyle name="Credit subtotal 2 3 3 4 2 2" xfId="23220"/>
    <cellStyle name="Credit subtotal 2 3 3 4 2 3" xfId="23221"/>
    <cellStyle name="Credit subtotal 2 3 3 4 2 4" xfId="23222"/>
    <cellStyle name="Credit subtotal 2 3 3 4 2 5" xfId="23223"/>
    <cellStyle name="Credit subtotal 2 3 3 4 2 6" xfId="23224"/>
    <cellStyle name="Credit subtotal 2 3 3 4 2 7" xfId="23225"/>
    <cellStyle name="Credit subtotal 2 3 3 4 2 8" xfId="23226"/>
    <cellStyle name="Credit subtotal 2 3 3 4 2 9" xfId="23227"/>
    <cellStyle name="Credit subtotal 2 3 3 4 3" xfId="23228"/>
    <cellStyle name="Credit subtotal 2 3 3 4 4" xfId="23229"/>
    <cellStyle name="Credit subtotal 2 3 3 4 5" xfId="23230"/>
    <cellStyle name="Credit subtotal 2 3 3 4 6" xfId="23231"/>
    <cellStyle name="Credit subtotal 2 3 3 4 7" xfId="23232"/>
    <cellStyle name="Credit subtotal 2 3 3 4 8" xfId="23233"/>
    <cellStyle name="Credit subtotal 2 3 3 4 9" xfId="23234"/>
    <cellStyle name="Credit subtotal 2 3 3 5" xfId="23235"/>
    <cellStyle name="Credit subtotal 2 3 3 5 2" xfId="23236"/>
    <cellStyle name="Credit subtotal 2 3 3 5 3" xfId="23237"/>
    <cellStyle name="Credit subtotal 2 3 3 6" xfId="23238"/>
    <cellStyle name="Credit subtotal 2 3 4" xfId="23239"/>
    <cellStyle name="Credit subtotal 2 3 4 10" xfId="23240"/>
    <cellStyle name="Credit subtotal 2 3 4 11" xfId="23241"/>
    <cellStyle name="Credit subtotal 2 3 4 12" xfId="23242"/>
    <cellStyle name="Credit subtotal 2 3 4 13" xfId="23243"/>
    <cellStyle name="Credit subtotal 2 3 4 14" xfId="23244"/>
    <cellStyle name="Credit subtotal 2 3 4 15" xfId="23245"/>
    <cellStyle name="Credit subtotal 2 3 4 16" xfId="23246"/>
    <cellStyle name="Credit subtotal 2 3 4 17" xfId="23247"/>
    <cellStyle name="Credit subtotal 2 3 4 18" xfId="23248"/>
    <cellStyle name="Credit subtotal 2 3 4 19" xfId="23249"/>
    <cellStyle name="Credit subtotal 2 3 4 2" xfId="23250"/>
    <cellStyle name="Credit subtotal 2 3 4 2 2" xfId="23251"/>
    <cellStyle name="Credit subtotal 2 3 4 2 3" xfId="23252"/>
    <cellStyle name="Credit subtotal 2 3 4 2 4" xfId="23253"/>
    <cellStyle name="Credit subtotal 2 3 4 2 5" xfId="23254"/>
    <cellStyle name="Credit subtotal 2 3 4 2 6" xfId="23255"/>
    <cellStyle name="Credit subtotal 2 3 4 2 7" xfId="23256"/>
    <cellStyle name="Credit subtotal 2 3 4 2 8" xfId="23257"/>
    <cellStyle name="Credit subtotal 2 3 4 2 9" xfId="23258"/>
    <cellStyle name="Credit subtotal 2 3 4 20" xfId="23259"/>
    <cellStyle name="Credit subtotal 2 3 4 21" xfId="23260"/>
    <cellStyle name="Credit subtotal 2 3 4 3" xfId="23261"/>
    <cellStyle name="Credit subtotal 2 3 4 4" xfId="23262"/>
    <cellStyle name="Credit subtotal 2 3 4 5" xfId="23263"/>
    <cellStyle name="Credit subtotal 2 3 4 6" xfId="23264"/>
    <cellStyle name="Credit subtotal 2 3 4 7" xfId="23265"/>
    <cellStyle name="Credit subtotal 2 3 4 8" xfId="23266"/>
    <cellStyle name="Credit subtotal 2 3 4 9" xfId="23267"/>
    <cellStyle name="Credit subtotal 2 3 5" xfId="23268"/>
    <cellStyle name="Credit subtotal 2 3 5 10" xfId="23269"/>
    <cellStyle name="Credit subtotal 2 3 5 11" xfId="23270"/>
    <cellStyle name="Credit subtotal 2 3 5 12" xfId="23271"/>
    <cellStyle name="Credit subtotal 2 3 5 13" xfId="23272"/>
    <cellStyle name="Credit subtotal 2 3 5 14" xfId="23273"/>
    <cellStyle name="Credit subtotal 2 3 5 15" xfId="23274"/>
    <cellStyle name="Credit subtotal 2 3 5 16" xfId="23275"/>
    <cellStyle name="Credit subtotal 2 3 5 17" xfId="23276"/>
    <cellStyle name="Credit subtotal 2 3 5 18" xfId="23277"/>
    <cellStyle name="Credit subtotal 2 3 5 19" xfId="23278"/>
    <cellStyle name="Credit subtotal 2 3 5 2" xfId="23279"/>
    <cellStyle name="Credit subtotal 2 3 5 2 2" xfId="23280"/>
    <cellStyle name="Credit subtotal 2 3 5 2 3" xfId="23281"/>
    <cellStyle name="Credit subtotal 2 3 5 2 4" xfId="23282"/>
    <cellStyle name="Credit subtotal 2 3 5 2 5" xfId="23283"/>
    <cellStyle name="Credit subtotal 2 3 5 2 6" xfId="23284"/>
    <cellStyle name="Credit subtotal 2 3 5 2 7" xfId="23285"/>
    <cellStyle name="Credit subtotal 2 3 5 2 8" xfId="23286"/>
    <cellStyle name="Credit subtotal 2 3 5 2 9" xfId="23287"/>
    <cellStyle name="Credit subtotal 2 3 5 3" xfId="23288"/>
    <cellStyle name="Credit subtotal 2 3 5 4" xfId="23289"/>
    <cellStyle name="Credit subtotal 2 3 5 5" xfId="23290"/>
    <cellStyle name="Credit subtotal 2 3 5 6" xfId="23291"/>
    <cellStyle name="Credit subtotal 2 3 5 7" xfId="23292"/>
    <cellStyle name="Credit subtotal 2 3 5 8" xfId="23293"/>
    <cellStyle name="Credit subtotal 2 3 5 9" xfId="23294"/>
    <cellStyle name="Credit subtotal 2 3 6" xfId="23295"/>
    <cellStyle name="Credit subtotal 2 3 6 10" xfId="23296"/>
    <cellStyle name="Credit subtotal 2 3 6 11" xfId="23297"/>
    <cellStyle name="Credit subtotal 2 3 6 12" xfId="23298"/>
    <cellStyle name="Credit subtotal 2 3 6 13" xfId="23299"/>
    <cellStyle name="Credit subtotal 2 3 6 14" xfId="23300"/>
    <cellStyle name="Credit subtotal 2 3 6 15" xfId="23301"/>
    <cellStyle name="Credit subtotal 2 3 6 16" xfId="23302"/>
    <cellStyle name="Credit subtotal 2 3 6 17" xfId="23303"/>
    <cellStyle name="Credit subtotal 2 3 6 18" xfId="23304"/>
    <cellStyle name="Credit subtotal 2 3 6 2" xfId="23305"/>
    <cellStyle name="Credit subtotal 2 3 6 2 2" xfId="23306"/>
    <cellStyle name="Credit subtotal 2 3 6 2 3" xfId="23307"/>
    <cellStyle name="Credit subtotal 2 3 6 2 4" xfId="23308"/>
    <cellStyle name="Credit subtotal 2 3 6 2 5" xfId="23309"/>
    <cellStyle name="Credit subtotal 2 3 6 2 6" xfId="23310"/>
    <cellStyle name="Credit subtotal 2 3 6 2 7" xfId="23311"/>
    <cellStyle name="Credit subtotal 2 3 6 2 8" xfId="23312"/>
    <cellStyle name="Credit subtotal 2 3 6 2 9" xfId="23313"/>
    <cellStyle name="Credit subtotal 2 3 6 3" xfId="23314"/>
    <cellStyle name="Credit subtotal 2 3 6 4" xfId="23315"/>
    <cellStyle name="Credit subtotal 2 3 6 5" xfId="23316"/>
    <cellStyle name="Credit subtotal 2 3 6 6" xfId="23317"/>
    <cellStyle name="Credit subtotal 2 3 6 7" xfId="23318"/>
    <cellStyle name="Credit subtotal 2 3 6 8" xfId="23319"/>
    <cellStyle name="Credit subtotal 2 3 6 9" xfId="23320"/>
    <cellStyle name="Credit subtotal 2 3 7" xfId="23321"/>
    <cellStyle name="Credit subtotal 2 3 7 2" xfId="23322"/>
    <cellStyle name="Credit subtotal 2 3 7 3" xfId="23323"/>
    <cellStyle name="Credit subtotal 2 3 8" xfId="23324"/>
    <cellStyle name="Credit subtotal 2 4" xfId="23325"/>
    <cellStyle name="Credit subtotal 2 4 2" xfId="23326"/>
    <cellStyle name="Credit subtotal 2 4 2 2" xfId="23327"/>
    <cellStyle name="Credit subtotal 2 4 2 2 10" xfId="23328"/>
    <cellStyle name="Credit subtotal 2 4 2 2 11" xfId="23329"/>
    <cellStyle name="Credit subtotal 2 4 2 2 12" xfId="23330"/>
    <cellStyle name="Credit subtotal 2 4 2 2 13" xfId="23331"/>
    <cellStyle name="Credit subtotal 2 4 2 2 14" xfId="23332"/>
    <cellStyle name="Credit subtotal 2 4 2 2 15" xfId="23333"/>
    <cellStyle name="Credit subtotal 2 4 2 2 16" xfId="23334"/>
    <cellStyle name="Credit subtotal 2 4 2 2 17" xfId="23335"/>
    <cellStyle name="Credit subtotal 2 4 2 2 18" xfId="23336"/>
    <cellStyle name="Credit subtotal 2 4 2 2 19" xfId="23337"/>
    <cellStyle name="Credit subtotal 2 4 2 2 2" xfId="23338"/>
    <cellStyle name="Credit subtotal 2 4 2 2 2 2" xfId="23339"/>
    <cellStyle name="Credit subtotal 2 4 2 2 2 3" xfId="23340"/>
    <cellStyle name="Credit subtotal 2 4 2 2 2 4" xfId="23341"/>
    <cellStyle name="Credit subtotal 2 4 2 2 2 5" xfId="23342"/>
    <cellStyle name="Credit subtotal 2 4 2 2 2 6" xfId="23343"/>
    <cellStyle name="Credit subtotal 2 4 2 2 2 7" xfId="23344"/>
    <cellStyle name="Credit subtotal 2 4 2 2 2 8" xfId="23345"/>
    <cellStyle name="Credit subtotal 2 4 2 2 2 9" xfId="23346"/>
    <cellStyle name="Credit subtotal 2 4 2 2 20" xfId="23347"/>
    <cellStyle name="Credit subtotal 2 4 2 2 21" xfId="23348"/>
    <cellStyle name="Credit subtotal 2 4 2 2 3" xfId="23349"/>
    <cellStyle name="Credit subtotal 2 4 2 2 4" xfId="23350"/>
    <cellStyle name="Credit subtotal 2 4 2 2 5" xfId="23351"/>
    <cellStyle name="Credit subtotal 2 4 2 2 6" xfId="23352"/>
    <cellStyle name="Credit subtotal 2 4 2 2 7" xfId="23353"/>
    <cellStyle name="Credit subtotal 2 4 2 2 8" xfId="23354"/>
    <cellStyle name="Credit subtotal 2 4 2 2 9" xfId="23355"/>
    <cellStyle name="Credit subtotal 2 4 2 3" xfId="23356"/>
    <cellStyle name="Credit subtotal 2 4 2 3 10" xfId="23357"/>
    <cellStyle name="Credit subtotal 2 4 2 3 11" xfId="23358"/>
    <cellStyle name="Credit subtotal 2 4 2 3 12" xfId="23359"/>
    <cellStyle name="Credit subtotal 2 4 2 3 13" xfId="23360"/>
    <cellStyle name="Credit subtotal 2 4 2 3 14" xfId="23361"/>
    <cellStyle name="Credit subtotal 2 4 2 3 15" xfId="23362"/>
    <cellStyle name="Credit subtotal 2 4 2 3 16" xfId="23363"/>
    <cellStyle name="Credit subtotal 2 4 2 3 17" xfId="23364"/>
    <cellStyle name="Credit subtotal 2 4 2 3 18" xfId="23365"/>
    <cellStyle name="Credit subtotal 2 4 2 3 19" xfId="23366"/>
    <cellStyle name="Credit subtotal 2 4 2 3 2" xfId="23367"/>
    <cellStyle name="Credit subtotal 2 4 2 3 2 2" xfId="23368"/>
    <cellStyle name="Credit subtotal 2 4 2 3 2 3" xfId="23369"/>
    <cellStyle name="Credit subtotal 2 4 2 3 2 4" xfId="23370"/>
    <cellStyle name="Credit subtotal 2 4 2 3 2 5" xfId="23371"/>
    <cellStyle name="Credit subtotal 2 4 2 3 2 6" xfId="23372"/>
    <cellStyle name="Credit subtotal 2 4 2 3 2 7" xfId="23373"/>
    <cellStyle name="Credit subtotal 2 4 2 3 2 8" xfId="23374"/>
    <cellStyle name="Credit subtotal 2 4 2 3 2 9" xfId="23375"/>
    <cellStyle name="Credit subtotal 2 4 2 3 3" xfId="23376"/>
    <cellStyle name="Credit subtotal 2 4 2 3 4" xfId="23377"/>
    <cellStyle name="Credit subtotal 2 4 2 3 5" xfId="23378"/>
    <cellStyle name="Credit subtotal 2 4 2 3 6" xfId="23379"/>
    <cellStyle name="Credit subtotal 2 4 2 3 7" xfId="23380"/>
    <cellStyle name="Credit subtotal 2 4 2 3 8" xfId="23381"/>
    <cellStyle name="Credit subtotal 2 4 2 3 9" xfId="23382"/>
    <cellStyle name="Credit subtotal 2 4 2 4" xfId="23383"/>
    <cellStyle name="Credit subtotal 2 4 2 4 10" xfId="23384"/>
    <cellStyle name="Credit subtotal 2 4 2 4 11" xfId="23385"/>
    <cellStyle name="Credit subtotal 2 4 2 4 12" xfId="23386"/>
    <cellStyle name="Credit subtotal 2 4 2 4 13" xfId="23387"/>
    <cellStyle name="Credit subtotal 2 4 2 4 14" xfId="23388"/>
    <cellStyle name="Credit subtotal 2 4 2 4 15" xfId="23389"/>
    <cellStyle name="Credit subtotal 2 4 2 4 16" xfId="23390"/>
    <cellStyle name="Credit subtotal 2 4 2 4 17" xfId="23391"/>
    <cellStyle name="Credit subtotal 2 4 2 4 18" xfId="23392"/>
    <cellStyle name="Credit subtotal 2 4 2 4 2" xfId="23393"/>
    <cellStyle name="Credit subtotal 2 4 2 4 2 2" xfId="23394"/>
    <cellStyle name="Credit subtotal 2 4 2 4 2 3" xfId="23395"/>
    <cellStyle name="Credit subtotal 2 4 2 4 2 4" xfId="23396"/>
    <cellStyle name="Credit subtotal 2 4 2 4 2 5" xfId="23397"/>
    <cellStyle name="Credit subtotal 2 4 2 4 2 6" xfId="23398"/>
    <cellStyle name="Credit subtotal 2 4 2 4 2 7" xfId="23399"/>
    <cellStyle name="Credit subtotal 2 4 2 4 2 8" xfId="23400"/>
    <cellStyle name="Credit subtotal 2 4 2 4 2 9" xfId="23401"/>
    <cellStyle name="Credit subtotal 2 4 2 4 3" xfId="23402"/>
    <cellStyle name="Credit subtotal 2 4 2 4 4" xfId="23403"/>
    <cellStyle name="Credit subtotal 2 4 2 4 5" xfId="23404"/>
    <cellStyle name="Credit subtotal 2 4 2 4 6" xfId="23405"/>
    <cellStyle name="Credit subtotal 2 4 2 4 7" xfId="23406"/>
    <cellStyle name="Credit subtotal 2 4 2 4 8" xfId="23407"/>
    <cellStyle name="Credit subtotal 2 4 2 4 9" xfId="23408"/>
    <cellStyle name="Credit subtotal 2 4 2 5" xfId="23409"/>
    <cellStyle name="Credit subtotal 2 4 2 5 2" xfId="23410"/>
    <cellStyle name="Credit subtotal 2 4 2 5 3" xfId="23411"/>
    <cellStyle name="Credit subtotal 2 4 2 6" xfId="23412"/>
    <cellStyle name="Credit subtotal 2 4 3" xfId="23413"/>
    <cellStyle name="Credit subtotal 2 4 3 2" xfId="23414"/>
    <cellStyle name="Credit subtotal 2 4 3 2 10" xfId="23415"/>
    <cellStyle name="Credit subtotal 2 4 3 2 11" xfId="23416"/>
    <cellStyle name="Credit subtotal 2 4 3 2 12" xfId="23417"/>
    <cellStyle name="Credit subtotal 2 4 3 2 13" xfId="23418"/>
    <cellStyle name="Credit subtotal 2 4 3 2 14" xfId="23419"/>
    <cellStyle name="Credit subtotal 2 4 3 2 15" xfId="23420"/>
    <cellStyle name="Credit subtotal 2 4 3 2 16" xfId="23421"/>
    <cellStyle name="Credit subtotal 2 4 3 2 17" xfId="23422"/>
    <cellStyle name="Credit subtotal 2 4 3 2 18" xfId="23423"/>
    <cellStyle name="Credit subtotal 2 4 3 2 19" xfId="23424"/>
    <cellStyle name="Credit subtotal 2 4 3 2 2" xfId="23425"/>
    <cellStyle name="Credit subtotal 2 4 3 2 2 2" xfId="23426"/>
    <cellStyle name="Credit subtotal 2 4 3 2 2 3" xfId="23427"/>
    <cellStyle name="Credit subtotal 2 4 3 2 2 4" xfId="23428"/>
    <cellStyle name="Credit subtotal 2 4 3 2 2 5" xfId="23429"/>
    <cellStyle name="Credit subtotal 2 4 3 2 2 6" xfId="23430"/>
    <cellStyle name="Credit subtotal 2 4 3 2 2 7" xfId="23431"/>
    <cellStyle name="Credit subtotal 2 4 3 2 2 8" xfId="23432"/>
    <cellStyle name="Credit subtotal 2 4 3 2 2 9" xfId="23433"/>
    <cellStyle name="Credit subtotal 2 4 3 2 20" xfId="23434"/>
    <cellStyle name="Credit subtotal 2 4 3 2 21" xfId="23435"/>
    <cellStyle name="Credit subtotal 2 4 3 2 3" xfId="23436"/>
    <cellStyle name="Credit subtotal 2 4 3 2 4" xfId="23437"/>
    <cellStyle name="Credit subtotal 2 4 3 2 5" xfId="23438"/>
    <cellStyle name="Credit subtotal 2 4 3 2 6" xfId="23439"/>
    <cellStyle name="Credit subtotal 2 4 3 2 7" xfId="23440"/>
    <cellStyle name="Credit subtotal 2 4 3 2 8" xfId="23441"/>
    <cellStyle name="Credit subtotal 2 4 3 2 9" xfId="23442"/>
    <cellStyle name="Credit subtotal 2 4 3 3" xfId="23443"/>
    <cellStyle name="Credit subtotal 2 4 3 3 10" xfId="23444"/>
    <cellStyle name="Credit subtotal 2 4 3 3 11" xfId="23445"/>
    <cellStyle name="Credit subtotal 2 4 3 3 12" xfId="23446"/>
    <cellStyle name="Credit subtotal 2 4 3 3 13" xfId="23447"/>
    <cellStyle name="Credit subtotal 2 4 3 3 14" xfId="23448"/>
    <cellStyle name="Credit subtotal 2 4 3 3 15" xfId="23449"/>
    <cellStyle name="Credit subtotal 2 4 3 3 16" xfId="23450"/>
    <cellStyle name="Credit subtotal 2 4 3 3 17" xfId="23451"/>
    <cellStyle name="Credit subtotal 2 4 3 3 18" xfId="23452"/>
    <cellStyle name="Credit subtotal 2 4 3 3 19" xfId="23453"/>
    <cellStyle name="Credit subtotal 2 4 3 3 2" xfId="23454"/>
    <cellStyle name="Credit subtotal 2 4 3 3 2 2" xfId="23455"/>
    <cellStyle name="Credit subtotal 2 4 3 3 2 3" xfId="23456"/>
    <cellStyle name="Credit subtotal 2 4 3 3 2 4" xfId="23457"/>
    <cellStyle name="Credit subtotal 2 4 3 3 2 5" xfId="23458"/>
    <cellStyle name="Credit subtotal 2 4 3 3 2 6" xfId="23459"/>
    <cellStyle name="Credit subtotal 2 4 3 3 2 7" xfId="23460"/>
    <cellStyle name="Credit subtotal 2 4 3 3 2 8" xfId="23461"/>
    <cellStyle name="Credit subtotal 2 4 3 3 2 9" xfId="23462"/>
    <cellStyle name="Credit subtotal 2 4 3 3 3" xfId="23463"/>
    <cellStyle name="Credit subtotal 2 4 3 3 4" xfId="23464"/>
    <cellStyle name="Credit subtotal 2 4 3 3 5" xfId="23465"/>
    <cellStyle name="Credit subtotal 2 4 3 3 6" xfId="23466"/>
    <cellStyle name="Credit subtotal 2 4 3 3 7" xfId="23467"/>
    <cellStyle name="Credit subtotal 2 4 3 3 8" xfId="23468"/>
    <cellStyle name="Credit subtotal 2 4 3 3 9" xfId="23469"/>
    <cellStyle name="Credit subtotal 2 4 3 4" xfId="23470"/>
    <cellStyle name="Credit subtotal 2 4 3 4 10" xfId="23471"/>
    <cellStyle name="Credit subtotal 2 4 3 4 11" xfId="23472"/>
    <cellStyle name="Credit subtotal 2 4 3 4 12" xfId="23473"/>
    <cellStyle name="Credit subtotal 2 4 3 4 13" xfId="23474"/>
    <cellStyle name="Credit subtotal 2 4 3 4 14" xfId="23475"/>
    <cellStyle name="Credit subtotal 2 4 3 4 15" xfId="23476"/>
    <cellStyle name="Credit subtotal 2 4 3 4 16" xfId="23477"/>
    <cellStyle name="Credit subtotal 2 4 3 4 17" xfId="23478"/>
    <cellStyle name="Credit subtotal 2 4 3 4 18" xfId="23479"/>
    <cellStyle name="Credit subtotal 2 4 3 4 2" xfId="23480"/>
    <cellStyle name="Credit subtotal 2 4 3 4 2 2" xfId="23481"/>
    <cellStyle name="Credit subtotal 2 4 3 4 2 3" xfId="23482"/>
    <cellStyle name="Credit subtotal 2 4 3 4 2 4" xfId="23483"/>
    <cellStyle name="Credit subtotal 2 4 3 4 2 5" xfId="23484"/>
    <cellStyle name="Credit subtotal 2 4 3 4 2 6" xfId="23485"/>
    <cellStyle name="Credit subtotal 2 4 3 4 2 7" xfId="23486"/>
    <cellStyle name="Credit subtotal 2 4 3 4 2 8" xfId="23487"/>
    <cellStyle name="Credit subtotal 2 4 3 4 2 9" xfId="23488"/>
    <cellStyle name="Credit subtotal 2 4 3 4 3" xfId="23489"/>
    <cellStyle name="Credit subtotal 2 4 3 4 4" xfId="23490"/>
    <cellStyle name="Credit subtotal 2 4 3 4 5" xfId="23491"/>
    <cellStyle name="Credit subtotal 2 4 3 4 6" xfId="23492"/>
    <cellStyle name="Credit subtotal 2 4 3 4 7" xfId="23493"/>
    <cellStyle name="Credit subtotal 2 4 3 4 8" xfId="23494"/>
    <cellStyle name="Credit subtotal 2 4 3 4 9" xfId="23495"/>
    <cellStyle name="Credit subtotal 2 4 3 5" xfId="23496"/>
    <cellStyle name="Credit subtotal 2 4 3 5 2" xfId="23497"/>
    <cellStyle name="Credit subtotal 2 4 3 5 3" xfId="23498"/>
    <cellStyle name="Credit subtotal 2 4 3 6" xfId="23499"/>
    <cellStyle name="Credit subtotal 2 4 4" xfId="23500"/>
    <cellStyle name="Credit subtotal 2 4 4 10" xfId="23501"/>
    <cellStyle name="Credit subtotal 2 4 4 11" xfId="23502"/>
    <cellStyle name="Credit subtotal 2 4 4 12" xfId="23503"/>
    <cellStyle name="Credit subtotal 2 4 4 13" xfId="23504"/>
    <cellStyle name="Credit subtotal 2 4 4 14" xfId="23505"/>
    <cellStyle name="Credit subtotal 2 4 4 15" xfId="23506"/>
    <cellStyle name="Credit subtotal 2 4 4 16" xfId="23507"/>
    <cellStyle name="Credit subtotal 2 4 4 17" xfId="23508"/>
    <cellStyle name="Credit subtotal 2 4 4 18" xfId="23509"/>
    <cellStyle name="Credit subtotal 2 4 4 19" xfId="23510"/>
    <cellStyle name="Credit subtotal 2 4 4 2" xfId="23511"/>
    <cellStyle name="Credit subtotal 2 4 4 2 2" xfId="23512"/>
    <cellStyle name="Credit subtotal 2 4 4 2 3" xfId="23513"/>
    <cellStyle name="Credit subtotal 2 4 4 2 4" xfId="23514"/>
    <cellStyle name="Credit subtotal 2 4 4 2 5" xfId="23515"/>
    <cellStyle name="Credit subtotal 2 4 4 2 6" xfId="23516"/>
    <cellStyle name="Credit subtotal 2 4 4 2 7" xfId="23517"/>
    <cellStyle name="Credit subtotal 2 4 4 2 8" xfId="23518"/>
    <cellStyle name="Credit subtotal 2 4 4 2 9" xfId="23519"/>
    <cellStyle name="Credit subtotal 2 4 4 20" xfId="23520"/>
    <cellStyle name="Credit subtotal 2 4 4 21" xfId="23521"/>
    <cellStyle name="Credit subtotal 2 4 4 3" xfId="23522"/>
    <cellStyle name="Credit subtotal 2 4 4 4" xfId="23523"/>
    <cellStyle name="Credit subtotal 2 4 4 5" xfId="23524"/>
    <cellStyle name="Credit subtotal 2 4 4 6" xfId="23525"/>
    <cellStyle name="Credit subtotal 2 4 4 7" xfId="23526"/>
    <cellStyle name="Credit subtotal 2 4 4 8" xfId="23527"/>
    <cellStyle name="Credit subtotal 2 4 4 9" xfId="23528"/>
    <cellStyle name="Credit subtotal 2 4 5" xfId="23529"/>
    <cellStyle name="Credit subtotal 2 4 5 10" xfId="23530"/>
    <cellStyle name="Credit subtotal 2 4 5 11" xfId="23531"/>
    <cellStyle name="Credit subtotal 2 4 5 12" xfId="23532"/>
    <cellStyle name="Credit subtotal 2 4 5 13" xfId="23533"/>
    <cellStyle name="Credit subtotal 2 4 5 14" xfId="23534"/>
    <cellStyle name="Credit subtotal 2 4 5 15" xfId="23535"/>
    <cellStyle name="Credit subtotal 2 4 5 16" xfId="23536"/>
    <cellStyle name="Credit subtotal 2 4 5 17" xfId="23537"/>
    <cellStyle name="Credit subtotal 2 4 5 18" xfId="23538"/>
    <cellStyle name="Credit subtotal 2 4 5 19" xfId="23539"/>
    <cellStyle name="Credit subtotal 2 4 5 2" xfId="23540"/>
    <cellStyle name="Credit subtotal 2 4 5 2 2" xfId="23541"/>
    <cellStyle name="Credit subtotal 2 4 5 2 3" xfId="23542"/>
    <cellStyle name="Credit subtotal 2 4 5 2 4" xfId="23543"/>
    <cellStyle name="Credit subtotal 2 4 5 2 5" xfId="23544"/>
    <cellStyle name="Credit subtotal 2 4 5 2 6" xfId="23545"/>
    <cellStyle name="Credit subtotal 2 4 5 2 7" xfId="23546"/>
    <cellStyle name="Credit subtotal 2 4 5 2 8" xfId="23547"/>
    <cellStyle name="Credit subtotal 2 4 5 2 9" xfId="23548"/>
    <cellStyle name="Credit subtotal 2 4 5 3" xfId="23549"/>
    <cellStyle name="Credit subtotal 2 4 5 4" xfId="23550"/>
    <cellStyle name="Credit subtotal 2 4 5 5" xfId="23551"/>
    <cellStyle name="Credit subtotal 2 4 5 6" xfId="23552"/>
    <cellStyle name="Credit subtotal 2 4 5 7" xfId="23553"/>
    <cellStyle name="Credit subtotal 2 4 5 8" xfId="23554"/>
    <cellStyle name="Credit subtotal 2 4 5 9" xfId="23555"/>
    <cellStyle name="Credit subtotal 2 4 6" xfId="23556"/>
    <cellStyle name="Credit subtotal 2 4 6 10" xfId="23557"/>
    <cellStyle name="Credit subtotal 2 4 6 11" xfId="23558"/>
    <cellStyle name="Credit subtotal 2 4 6 12" xfId="23559"/>
    <cellStyle name="Credit subtotal 2 4 6 13" xfId="23560"/>
    <cellStyle name="Credit subtotal 2 4 6 14" xfId="23561"/>
    <cellStyle name="Credit subtotal 2 4 6 15" xfId="23562"/>
    <cellStyle name="Credit subtotal 2 4 6 16" xfId="23563"/>
    <cellStyle name="Credit subtotal 2 4 6 17" xfId="23564"/>
    <cellStyle name="Credit subtotal 2 4 6 18" xfId="23565"/>
    <cellStyle name="Credit subtotal 2 4 6 2" xfId="23566"/>
    <cellStyle name="Credit subtotal 2 4 6 2 2" xfId="23567"/>
    <cellStyle name="Credit subtotal 2 4 6 2 3" xfId="23568"/>
    <cellStyle name="Credit subtotal 2 4 6 2 4" xfId="23569"/>
    <cellStyle name="Credit subtotal 2 4 6 2 5" xfId="23570"/>
    <cellStyle name="Credit subtotal 2 4 6 2 6" xfId="23571"/>
    <cellStyle name="Credit subtotal 2 4 6 2 7" xfId="23572"/>
    <cellStyle name="Credit subtotal 2 4 6 2 8" xfId="23573"/>
    <cellStyle name="Credit subtotal 2 4 6 2 9" xfId="23574"/>
    <cellStyle name="Credit subtotal 2 4 6 3" xfId="23575"/>
    <cellStyle name="Credit subtotal 2 4 6 4" xfId="23576"/>
    <cellStyle name="Credit subtotal 2 4 6 5" xfId="23577"/>
    <cellStyle name="Credit subtotal 2 4 6 6" xfId="23578"/>
    <cellStyle name="Credit subtotal 2 4 6 7" xfId="23579"/>
    <cellStyle name="Credit subtotal 2 4 6 8" xfId="23580"/>
    <cellStyle name="Credit subtotal 2 4 6 9" xfId="23581"/>
    <cellStyle name="Credit subtotal 2 4 7" xfId="23582"/>
    <cellStyle name="Credit subtotal 2 4 7 2" xfId="23583"/>
    <cellStyle name="Credit subtotal 2 4 7 3" xfId="23584"/>
    <cellStyle name="Credit subtotal 2 4 8" xfId="23585"/>
    <cellStyle name="Credit subtotal 2 5" xfId="23586"/>
    <cellStyle name="Credit subtotal 2 5 2" xfId="23587"/>
    <cellStyle name="Credit subtotal 2 5 2 2" xfId="23588"/>
    <cellStyle name="Credit subtotal 2 5 2 2 10" xfId="23589"/>
    <cellStyle name="Credit subtotal 2 5 2 2 11" xfId="23590"/>
    <cellStyle name="Credit subtotal 2 5 2 2 12" xfId="23591"/>
    <cellStyle name="Credit subtotal 2 5 2 2 13" xfId="23592"/>
    <cellStyle name="Credit subtotal 2 5 2 2 14" xfId="23593"/>
    <cellStyle name="Credit subtotal 2 5 2 2 15" xfId="23594"/>
    <cellStyle name="Credit subtotal 2 5 2 2 16" xfId="23595"/>
    <cellStyle name="Credit subtotal 2 5 2 2 17" xfId="23596"/>
    <cellStyle name="Credit subtotal 2 5 2 2 18" xfId="23597"/>
    <cellStyle name="Credit subtotal 2 5 2 2 19" xfId="23598"/>
    <cellStyle name="Credit subtotal 2 5 2 2 2" xfId="23599"/>
    <cellStyle name="Credit subtotal 2 5 2 2 2 2" xfId="23600"/>
    <cellStyle name="Credit subtotal 2 5 2 2 2 3" xfId="23601"/>
    <cellStyle name="Credit subtotal 2 5 2 2 2 4" xfId="23602"/>
    <cellStyle name="Credit subtotal 2 5 2 2 2 5" xfId="23603"/>
    <cellStyle name="Credit subtotal 2 5 2 2 2 6" xfId="23604"/>
    <cellStyle name="Credit subtotal 2 5 2 2 2 7" xfId="23605"/>
    <cellStyle name="Credit subtotal 2 5 2 2 2 8" xfId="23606"/>
    <cellStyle name="Credit subtotal 2 5 2 2 2 9" xfId="23607"/>
    <cellStyle name="Credit subtotal 2 5 2 2 20" xfId="23608"/>
    <cellStyle name="Credit subtotal 2 5 2 2 21" xfId="23609"/>
    <cellStyle name="Credit subtotal 2 5 2 2 3" xfId="23610"/>
    <cellStyle name="Credit subtotal 2 5 2 2 4" xfId="23611"/>
    <cellStyle name="Credit subtotal 2 5 2 2 5" xfId="23612"/>
    <cellStyle name="Credit subtotal 2 5 2 2 6" xfId="23613"/>
    <cellStyle name="Credit subtotal 2 5 2 2 7" xfId="23614"/>
    <cellStyle name="Credit subtotal 2 5 2 2 8" xfId="23615"/>
    <cellStyle name="Credit subtotal 2 5 2 2 9" xfId="23616"/>
    <cellStyle name="Credit subtotal 2 5 2 3" xfId="23617"/>
    <cellStyle name="Credit subtotal 2 5 2 3 10" xfId="23618"/>
    <cellStyle name="Credit subtotal 2 5 2 3 11" xfId="23619"/>
    <cellStyle name="Credit subtotal 2 5 2 3 12" xfId="23620"/>
    <cellStyle name="Credit subtotal 2 5 2 3 13" xfId="23621"/>
    <cellStyle name="Credit subtotal 2 5 2 3 14" xfId="23622"/>
    <cellStyle name="Credit subtotal 2 5 2 3 15" xfId="23623"/>
    <cellStyle name="Credit subtotal 2 5 2 3 16" xfId="23624"/>
    <cellStyle name="Credit subtotal 2 5 2 3 17" xfId="23625"/>
    <cellStyle name="Credit subtotal 2 5 2 3 18" xfId="23626"/>
    <cellStyle name="Credit subtotal 2 5 2 3 19" xfId="23627"/>
    <cellStyle name="Credit subtotal 2 5 2 3 2" xfId="23628"/>
    <cellStyle name="Credit subtotal 2 5 2 3 2 2" xfId="23629"/>
    <cellStyle name="Credit subtotal 2 5 2 3 2 3" xfId="23630"/>
    <cellStyle name="Credit subtotal 2 5 2 3 2 4" xfId="23631"/>
    <cellStyle name="Credit subtotal 2 5 2 3 2 5" xfId="23632"/>
    <cellStyle name="Credit subtotal 2 5 2 3 2 6" xfId="23633"/>
    <cellStyle name="Credit subtotal 2 5 2 3 2 7" xfId="23634"/>
    <cellStyle name="Credit subtotal 2 5 2 3 2 8" xfId="23635"/>
    <cellStyle name="Credit subtotal 2 5 2 3 2 9" xfId="23636"/>
    <cellStyle name="Credit subtotal 2 5 2 3 3" xfId="23637"/>
    <cellStyle name="Credit subtotal 2 5 2 3 4" xfId="23638"/>
    <cellStyle name="Credit subtotal 2 5 2 3 5" xfId="23639"/>
    <cellStyle name="Credit subtotal 2 5 2 3 6" xfId="23640"/>
    <cellStyle name="Credit subtotal 2 5 2 3 7" xfId="23641"/>
    <cellStyle name="Credit subtotal 2 5 2 3 8" xfId="23642"/>
    <cellStyle name="Credit subtotal 2 5 2 3 9" xfId="23643"/>
    <cellStyle name="Credit subtotal 2 5 2 4" xfId="23644"/>
    <cellStyle name="Credit subtotal 2 5 2 4 10" xfId="23645"/>
    <cellStyle name="Credit subtotal 2 5 2 4 11" xfId="23646"/>
    <cellStyle name="Credit subtotal 2 5 2 4 12" xfId="23647"/>
    <cellStyle name="Credit subtotal 2 5 2 4 13" xfId="23648"/>
    <cellStyle name="Credit subtotal 2 5 2 4 14" xfId="23649"/>
    <cellStyle name="Credit subtotal 2 5 2 4 15" xfId="23650"/>
    <cellStyle name="Credit subtotal 2 5 2 4 16" xfId="23651"/>
    <cellStyle name="Credit subtotal 2 5 2 4 17" xfId="23652"/>
    <cellStyle name="Credit subtotal 2 5 2 4 18" xfId="23653"/>
    <cellStyle name="Credit subtotal 2 5 2 4 2" xfId="23654"/>
    <cellStyle name="Credit subtotal 2 5 2 4 2 2" xfId="23655"/>
    <cellStyle name="Credit subtotal 2 5 2 4 2 3" xfId="23656"/>
    <cellStyle name="Credit subtotal 2 5 2 4 2 4" xfId="23657"/>
    <cellStyle name="Credit subtotal 2 5 2 4 2 5" xfId="23658"/>
    <cellStyle name="Credit subtotal 2 5 2 4 2 6" xfId="23659"/>
    <cellStyle name="Credit subtotal 2 5 2 4 2 7" xfId="23660"/>
    <cellStyle name="Credit subtotal 2 5 2 4 2 8" xfId="23661"/>
    <cellStyle name="Credit subtotal 2 5 2 4 2 9" xfId="23662"/>
    <cellStyle name="Credit subtotal 2 5 2 4 3" xfId="23663"/>
    <cellStyle name="Credit subtotal 2 5 2 4 4" xfId="23664"/>
    <cellStyle name="Credit subtotal 2 5 2 4 5" xfId="23665"/>
    <cellStyle name="Credit subtotal 2 5 2 4 6" xfId="23666"/>
    <cellStyle name="Credit subtotal 2 5 2 4 7" xfId="23667"/>
    <cellStyle name="Credit subtotal 2 5 2 4 8" xfId="23668"/>
    <cellStyle name="Credit subtotal 2 5 2 4 9" xfId="23669"/>
    <cellStyle name="Credit subtotal 2 5 2 5" xfId="23670"/>
    <cellStyle name="Credit subtotal 2 5 2 5 2" xfId="23671"/>
    <cellStyle name="Credit subtotal 2 5 2 5 3" xfId="23672"/>
    <cellStyle name="Credit subtotal 2 5 2 6" xfId="23673"/>
    <cellStyle name="Credit subtotal 2 5 3" xfId="23674"/>
    <cellStyle name="Credit subtotal 2 5 3 2" xfId="23675"/>
    <cellStyle name="Credit subtotal 2 5 3 2 10" xfId="23676"/>
    <cellStyle name="Credit subtotal 2 5 3 2 11" xfId="23677"/>
    <cellStyle name="Credit subtotal 2 5 3 2 12" xfId="23678"/>
    <cellStyle name="Credit subtotal 2 5 3 2 13" xfId="23679"/>
    <cellStyle name="Credit subtotal 2 5 3 2 14" xfId="23680"/>
    <cellStyle name="Credit subtotal 2 5 3 2 15" xfId="23681"/>
    <cellStyle name="Credit subtotal 2 5 3 2 16" xfId="23682"/>
    <cellStyle name="Credit subtotal 2 5 3 2 17" xfId="23683"/>
    <cellStyle name="Credit subtotal 2 5 3 2 18" xfId="23684"/>
    <cellStyle name="Credit subtotal 2 5 3 2 19" xfId="23685"/>
    <cellStyle name="Credit subtotal 2 5 3 2 2" xfId="23686"/>
    <cellStyle name="Credit subtotal 2 5 3 2 2 2" xfId="23687"/>
    <cellStyle name="Credit subtotal 2 5 3 2 2 3" xfId="23688"/>
    <cellStyle name="Credit subtotal 2 5 3 2 2 4" xfId="23689"/>
    <cellStyle name="Credit subtotal 2 5 3 2 2 5" xfId="23690"/>
    <cellStyle name="Credit subtotal 2 5 3 2 2 6" xfId="23691"/>
    <cellStyle name="Credit subtotal 2 5 3 2 2 7" xfId="23692"/>
    <cellStyle name="Credit subtotal 2 5 3 2 2 8" xfId="23693"/>
    <cellStyle name="Credit subtotal 2 5 3 2 2 9" xfId="23694"/>
    <cellStyle name="Credit subtotal 2 5 3 2 20" xfId="23695"/>
    <cellStyle name="Credit subtotal 2 5 3 2 21" xfId="23696"/>
    <cellStyle name="Credit subtotal 2 5 3 2 3" xfId="23697"/>
    <cellStyle name="Credit subtotal 2 5 3 2 4" xfId="23698"/>
    <cellStyle name="Credit subtotal 2 5 3 2 5" xfId="23699"/>
    <cellStyle name="Credit subtotal 2 5 3 2 6" xfId="23700"/>
    <cellStyle name="Credit subtotal 2 5 3 2 7" xfId="23701"/>
    <cellStyle name="Credit subtotal 2 5 3 2 8" xfId="23702"/>
    <cellStyle name="Credit subtotal 2 5 3 2 9" xfId="23703"/>
    <cellStyle name="Credit subtotal 2 5 3 3" xfId="23704"/>
    <cellStyle name="Credit subtotal 2 5 3 3 10" xfId="23705"/>
    <cellStyle name="Credit subtotal 2 5 3 3 11" xfId="23706"/>
    <cellStyle name="Credit subtotal 2 5 3 3 12" xfId="23707"/>
    <cellStyle name="Credit subtotal 2 5 3 3 13" xfId="23708"/>
    <cellStyle name="Credit subtotal 2 5 3 3 14" xfId="23709"/>
    <cellStyle name="Credit subtotal 2 5 3 3 15" xfId="23710"/>
    <cellStyle name="Credit subtotal 2 5 3 3 16" xfId="23711"/>
    <cellStyle name="Credit subtotal 2 5 3 3 17" xfId="23712"/>
    <cellStyle name="Credit subtotal 2 5 3 3 18" xfId="23713"/>
    <cellStyle name="Credit subtotal 2 5 3 3 19" xfId="23714"/>
    <cellStyle name="Credit subtotal 2 5 3 3 2" xfId="23715"/>
    <cellStyle name="Credit subtotal 2 5 3 3 2 2" xfId="23716"/>
    <cellStyle name="Credit subtotal 2 5 3 3 2 3" xfId="23717"/>
    <cellStyle name="Credit subtotal 2 5 3 3 2 4" xfId="23718"/>
    <cellStyle name="Credit subtotal 2 5 3 3 2 5" xfId="23719"/>
    <cellStyle name="Credit subtotal 2 5 3 3 2 6" xfId="23720"/>
    <cellStyle name="Credit subtotal 2 5 3 3 2 7" xfId="23721"/>
    <cellStyle name="Credit subtotal 2 5 3 3 2 8" xfId="23722"/>
    <cellStyle name="Credit subtotal 2 5 3 3 2 9" xfId="23723"/>
    <cellStyle name="Credit subtotal 2 5 3 3 3" xfId="23724"/>
    <cellStyle name="Credit subtotal 2 5 3 3 4" xfId="23725"/>
    <cellStyle name="Credit subtotal 2 5 3 3 5" xfId="23726"/>
    <cellStyle name="Credit subtotal 2 5 3 3 6" xfId="23727"/>
    <cellStyle name="Credit subtotal 2 5 3 3 7" xfId="23728"/>
    <cellStyle name="Credit subtotal 2 5 3 3 8" xfId="23729"/>
    <cellStyle name="Credit subtotal 2 5 3 3 9" xfId="23730"/>
    <cellStyle name="Credit subtotal 2 5 3 4" xfId="23731"/>
    <cellStyle name="Credit subtotal 2 5 3 4 10" xfId="23732"/>
    <cellStyle name="Credit subtotal 2 5 3 4 11" xfId="23733"/>
    <cellStyle name="Credit subtotal 2 5 3 4 12" xfId="23734"/>
    <cellStyle name="Credit subtotal 2 5 3 4 13" xfId="23735"/>
    <cellStyle name="Credit subtotal 2 5 3 4 14" xfId="23736"/>
    <cellStyle name="Credit subtotal 2 5 3 4 15" xfId="23737"/>
    <cellStyle name="Credit subtotal 2 5 3 4 16" xfId="23738"/>
    <cellStyle name="Credit subtotal 2 5 3 4 17" xfId="23739"/>
    <cellStyle name="Credit subtotal 2 5 3 4 18" xfId="23740"/>
    <cellStyle name="Credit subtotal 2 5 3 4 2" xfId="23741"/>
    <cellStyle name="Credit subtotal 2 5 3 4 2 2" xfId="23742"/>
    <cellStyle name="Credit subtotal 2 5 3 4 2 3" xfId="23743"/>
    <cellStyle name="Credit subtotal 2 5 3 4 2 4" xfId="23744"/>
    <cellStyle name="Credit subtotal 2 5 3 4 2 5" xfId="23745"/>
    <cellStyle name="Credit subtotal 2 5 3 4 2 6" xfId="23746"/>
    <cellStyle name="Credit subtotal 2 5 3 4 2 7" xfId="23747"/>
    <cellStyle name="Credit subtotal 2 5 3 4 2 8" xfId="23748"/>
    <cellStyle name="Credit subtotal 2 5 3 4 2 9" xfId="23749"/>
    <cellStyle name="Credit subtotal 2 5 3 4 3" xfId="23750"/>
    <cellStyle name="Credit subtotal 2 5 3 4 4" xfId="23751"/>
    <cellStyle name="Credit subtotal 2 5 3 4 5" xfId="23752"/>
    <cellStyle name="Credit subtotal 2 5 3 4 6" xfId="23753"/>
    <cellStyle name="Credit subtotal 2 5 3 4 7" xfId="23754"/>
    <cellStyle name="Credit subtotal 2 5 3 4 8" xfId="23755"/>
    <cellStyle name="Credit subtotal 2 5 3 4 9" xfId="23756"/>
    <cellStyle name="Credit subtotal 2 5 3 5" xfId="23757"/>
    <cellStyle name="Credit subtotal 2 5 3 5 2" xfId="23758"/>
    <cellStyle name="Credit subtotal 2 5 3 5 3" xfId="23759"/>
    <cellStyle name="Credit subtotal 2 5 3 6" xfId="23760"/>
    <cellStyle name="Credit subtotal 2 5 4" xfId="23761"/>
    <cellStyle name="Credit subtotal 2 5 4 10" xfId="23762"/>
    <cellStyle name="Credit subtotal 2 5 4 11" xfId="23763"/>
    <cellStyle name="Credit subtotal 2 5 4 12" xfId="23764"/>
    <cellStyle name="Credit subtotal 2 5 4 13" xfId="23765"/>
    <cellStyle name="Credit subtotal 2 5 4 14" xfId="23766"/>
    <cellStyle name="Credit subtotal 2 5 4 15" xfId="23767"/>
    <cellStyle name="Credit subtotal 2 5 4 16" xfId="23768"/>
    <cellStyle name="Credit subtotal 2 5 4 17" xfId="23769"/>
    <cellStyle name="Credit subtotal 2 5 4 18" xfId="23770"/>
    <cellStyle name="Credit subtotal 2 5 4 19" xfId="23771"/>
    <cellStyle name="Credit subtotal 2 5 4 2" xfId="23772"/>
    <cellStyle name="Credit subtotal 2 5 4 2 2" xfId="23773"/>
    <cellStyle name="Credit subtotal 2 5 4 2 3" xfId="23774"/>
    <cellStyle name="Credit subtotal 2 5 4 2 4" xfId="23775"/>
    <cellStyle name="Credit subtotal 2 5 4 2 5" xfId="23776"/>
    <cellStyle name="Credit subtotal 2 5 4 2 6" xfId="23777"/>
    <cellStyle name="Credit subtotal 2 5 4 2 7" xfId="23778"/>
    <cellStyle name="Credit subtotal 2 5 4 2 8" xfId="23779"/>
    <cellStyle name="Credit subtotal 2 5 4 2 9" xfId="23780"/>
    <cellStyle name="Credit subtotal 2 5 4 20" xfId="23781"/>
    <cellStyle name="Credit subtotal 2 5 4 21" xfId="23782"/>
    <cellStyle name="Credit subtotal 2 5 4 3" xfId="23783"/>
    <cellStyle name="Credit subtotal 2 5 4 4" xfId="23784"/>
    <cellStyle name="Credit subtotal 2 5 4 5" xfId="23785"/>
    <cellStyle name="Credit subtotal 2 5 4 6" xfId="23786"/>
    <cellStyle name="Credit subtotal 2 5 4 7" xfId="23787"/>
    <cellStyle name="Credit subtotal 2 5 4 8" xfId="23788"/>
    <cellStyle name="Credit subtotal 2 5 4 9" xfId="23789"/>
    <cellStyle name="Credit subtotal 2 5 5" xfId="23790"/>
    <cellStyle name="Credit subtotal 2 5 5 10" xfId="23791"/>
    <cellStyle name="Credit subtotal 2 5 5 11" xfId="23792"/>
    <cellStyle name="Credit subtotal 2 5 5 12" xfId="23793"/>
    <cellStyle name="Credit subtotal 2 5 5 13" xfId="23794"/>
    <cellStyle name="Credit subtotal 2 5 5 14" xfId="23795"/>
    <cellStyle name="Credit subtotal 2 5 5 15" xfId="23796"/>
    <cellStyle name="Credit subtotal 2 5 5 16" xfId="23797"/>
    <cellStyle name="Credit subtotal 2 5 5 17" xfId="23798"/>
    <cellStyle name="Credit subtotal 2 5 5 18" xfId="23799"/>
    <cellStyle name="Credit subtotal 2 5 5 19" xfId="23800"/>
    <cellStyle name="Credit subtotal 2 5 5 2" xfId="23801"/>
    <cellStyle name="Credit subtotal 2 5 5 2 2" xfId="23802"/>
    <cellStyle name="Credit subtotal 2 5 5 2 3" xfId="23803"/>
    <cellStyle name="Credit subtotal 2 5 5 2 4" xfId="23804"/>
    <cellStyle name="Credit subtotal 2 5 5 2 5" xfId="23805"/>
    <cellStyle name="Credit subtotal 2 5 5 2 6" xfId="23806"/>
    <cellStyle name="Credit subtotal 2 5 5 2 7" xfId="23807"/>
    <cellStyle name="Credit subtotal 2 5 5 2 8" xfId="23808"/>
    <cellStyle name="Credit subtotal 2 5 5 2 9" xfId="23809"/>
    <cellStyle name="Credit subtotal 2 5 5 3" xfId="23810"/>
    <cellStyle name="Credit subtotal 2 5 5 4" xfId="23811"/>
    <cellStyle name="Credit subtotal 2 5 5 5" xfId="23812"/>
    <cellStyle name="Credit subtotal 2 5 5 6" xfId="23813"/>
    <cellStyle name="Credit subtotal 2 5 5 7" xfId="23814"/>
    <cellStyle name="Credit subtotal 2 5 5 8" xfId="23815"/>
    <cellStyle name="Credit subtotal 2 5 5 9" xfId="23816"/>
    <cellStyle name="Credit subtotal 2 5 6" xfId="23817"/>
    <cellStyle name="Credit subtotal 2 5 6 10" xfId="23818"/>
    <cellStyle name="Credit subtotal 2 5 6 11" xfId="23819"/>
    <cellStyle name="Credit subtotal 2 5 6 12" xfId="23820"/>
    <cellStyle name="Credit subtotal 2 5 6 13" xfId="23821"/>
    <cellStyle name="Credit subtotal 2 5 6 14" xfId="23822"/>
    <cellStyle name="Credit subtotal 2 5 6 15" xfId="23823"/>
    <cellStyle name="Credit subtotal 2 5 6 16" xfId="23824"/>
    <cellStyle name="Credit subtotal 2 5 6 17" xfId="23825"/>
    <cellStyle name="Credit subtotal 2 5 6 18" xfId="23826"/>
    <cellStyle name="Credit subtotal 2 5 6 2" xfId="23827"/>
    <cellStyle name="Credit subtotal 2 5 6 2 2" xfId="23828"/>
    <cellStyle name="Credit subtotal 2 5 6 2 3" xfId="23829"/>
    <cellStyle name="Credit subtotal 2 5 6 2 4" xfId="23830"/>
    <cellStyle name="Credit subtotal 2 5 6 2 5" xfId="23831"/>
    <cellStyle name="Credit subtotal 2 5 6 2 6" xfId="23832"/>
    <cellStyle name="Credit subtotal 2 5 6 2 7" xfId="23833"/>
    <cellStyle name="Credit subtotal 2 5 6 2 8" xfId="23834"/>
    <cellStyle name="Credit subtotal 2 5 6 2 9" xfId="23835"/>
    <cellStyle name="Credit subtotal 2 5 6 3" xfId="23836"/>
    <cellStyle name="Credit subtotal 2 5 6 4" xfId="23837"/>
    <cellStyle name="Credit subtotal 2 5 6 5" xfId="23838"/>
    <cellStyle name="Credit subtotal 2 5 6 6" xfId="23839"/>
    <cellStyle name="Credit subtotal 2 5 6 7" xfId="23840"/>
    <cellStyle name="Credit subtotal 2 5 6 8" xfId="23841"/>
    <cellStyle name="Credit subtotal 2 5 6 9" xfId="23842"/>
    <cellStyle name="Credit subtotal 2 5 7" xfId="23843"/>
    <cellStyle name="Credit subtotal 2 5 7 2" xfId="23844"/>
    <cellStyle name="Credit subtotal 2 5 7 3" xfId="23845"/>
    <cellStyle name="Credit subtotal 2 5 8" xfId="23846"/>
    <cellStyle name="Credit subtotal 2 6" xfId="23847"/>
    <cellStyle name="Credit subtotal 2 6 2" xfId="23848"/>
    <cellStyle name="Credit subtotal 2 6 2 2" xfId="23849"/>
    <cellStyle name="Credit subtotal 2 6 2 2 10" xfId="23850"/>
    <cellStyle name="Credit subtotal 2 6 2 2 11" xfId="23851"/>
    <cellStyle name="Credit subtotal 2 6 2 2 12" xfId="23852"/>
    <cellStyle name="Credit subtotal 2 6 2 2 13" xfId="23853"/>
    <cellStyle name="Credit subtotal 2 6 2 2 14" xfId="23854"/>
    <cellStyle name="Credit subtotal 2 6 2 2 15" xfId="23855"/>
    <cellStyle name="Credit subtotal 2 6 2 2 16" xfId="23856"/>
    <cellStyle name="Credit subtotal 2 6 2 2 17" xfId="23857"/>
    <cellStyle name="Credit subtotal 2 6 2 2 18" xfId="23858"/>
    <cellStyle name="Credit subtotal 2 6 2 2 19" xfId="23859"/>
    <cellStyle name="Credit subtotal 2 6 2 2 2" xfId="23860"/>
    <cellStyle name="Credit subtotal 2 6 2 2 2 2" xfId="23861"/>
    <cellStyle name="Credit subtotal 2 6 2 2 2 3" xfId="23862"/>
    <cellStyle name="Credit subtotal 2 6 2 2 2 4" xfId="23863"/>
    <cellStyle name="Credit subtotal 2 6 2 2 2 5" xfId="23864"/>
    <cellStyle name="Credit subtotal 2 6 2 2 2 6" xfId="23865"/>
    <cellStyle name="Credit subtotal 2 6 2 2 2 7" xfId="23866"/>
    <cellStyle name="Credit subtotal 2 6 2 2 2 8" xfId="23867"/>
    <cellStyle name="Credit subtotal 2 6 2 2 2 9" xfId="23868"/>
    <cellStyle name="Credit subtotal 2 6 2 2 20" xfId="23869"/>
    <cellStyle name="Credit subtotal 2 6 2 2 21" xfId="23870"/>
    <cellStyle name="Credit subtotal 2 6 2 2 3" xfId="23871"/>
    <cellStyle name="Credit subtotal 2 6 2 2 4" xfId="23872"/>
    <cellStyle name="Credit subtotal 2 6 2 2 5" xfId="23873"/>
    <cellStyle name="Credit subtotal 2 6 2 2 6" xfId="23874"/>
    <cellStyle name="Credit subtotal 2 6 2 2 7" xfId="23875"/>
    <cellStyle name="Credit subtotal 2 6 2 2 8" xfId="23876"/>
    <cellStyle name="Credit subtotal 2 6 2 2 9" xfId="23877"/>
    <cellStyle name="Credit subtotal 2 6 2 3" xfId="23878"/>
    <cellStyle name="Credit subtotal 2 6 2 3 10" xfId="23879"/>
    <cellStyle name="Credit subtotal 2 6 2 3 11" xfId="23880"/>
    <cellStyle name="Credit subtotal 2 6 2 3 12" xfId="23881"/>
    <cellStyle name="Credit subtotal 2 6 2 3 13" xfId="23882"/>
    <cellStyle name="Credit subtotal 2 6 2 3 14" xfId="23883"/>
    <cellStyle name="Credit subtotal 2 6 2 3 15" xfId="23884"/>
    <cellStyle name="Credit subtotal 2 6 2 3 16" xfId="23885"/>
    <cellStyle name="Credit subtotal 2 6 2 3 17" xfId="23886"/>
    <cellStyle name="Credit subtotal 2 6 2 3 18" xfId="23887"/>
    <cellStyle name="Credit subtotal 2 6 2 3 19" xfId="23888"/>
    <cellStyle name="Credit subtotal 2 6 2 3 2" xfId="23889"/>
    <cellStyle name="Credit subtotal 2 6 2 3 2 2" xfId="23890"/>
    <cellStyle name="Credit subtotal 2 6 2 3 2 3" xfId="23891"/>
    <cellStyle name="Credit subtotal 2 6 2 3 2 4" xfId="23892"/>
    <cellStyle name="Credit subtotal 2 6 2 3 2 5" xfId="23893"/>
    <cellStyle name="Credit subtotal 2 6 2 3 2 6" xfId="23894"/>
    <cellStyle name="Credit subtotal 2 6 2 3 2 7" xfId="23895"/>
    <cellStyle name="Credit subtotal 2 6 2 3 2 8" xfId="23896"/>
    <cellStyle name="Credit subtotal 2 6 2 3 2 9" xfId="23897"/>
    <cellStyle name="Credit subtotal 2 6 2 3 3" xfId="23898"/>
    <cellStyle name="Credit subtotal 2 6 2 3 4" xfId="23899"/>
    <cellStyle name="Credit subtotal 2 6 2 3 5" xfId="23900"/>
    <cellStyle name="Credit subtotal 2 6 2 3 6" xfId="23901"/>
    <cellStyle name="Credit subtotal 2 6 2 3 7" xfId="23902"/>
    <cellStyle name="Credit subtotal 2 6 2 3 8" xfId="23903"/>
    <cellStyle name="Credit subtotal 2 6 2 3 9" xfId="23904"/>
    <cellStyle name="Credit subtotal 2 6 2 4" xfId="23905"/>
    <cellStyle name="Credit subtotal 2 6 2 4 10" xfId="23906"/>
    <cellStyle name="Credit subtotal 2 6 2 4 11" xfId="23907"/>
    <cellStyle name="Credit subtotal 2 6 2 4 12" xfId="23908"/>
    <cellStyle name="Credit subtotal 2 6 2 4 13" xfId="23909"/>
    <cellStyle name="Credit subtotal 2 6 2 4 14" xfId="23910"/>
    <cellStyle name="Credit subtotal 2 6 2 4 15" xfId="23911"/>
    <cellStyle name="Credit subtotal 2 6 2 4 16" xfId="23912"/>
    <cellStyle name="Credit subtotal 2 6 2 4 17" xfId="23913"/>
    <cellStyle name="Credit subtotal 2 6 2 4 18" xfId="23914"/>
    <cellStyle name="Credit subtotal 2 6 2 4 2" xfId="23915"/>
    <cellStyle name="Credit subtotal 2 6 2 4 2 2" xfId="23916"/>
    <cellStyle name="Credit subtotal 2 6 2 4 2 3" xfId="23917"/>
    <cellStyle name="Credit subtotal 2 6 2 4 2 4" xfId="23918"/>
    <cellStyle name="Credit subtotal 2 6 2 4 2 5" xfId="23919"/>
    <cellStyle name="Credit subtotal 2 6 2 4 2 6" xfId="23920"/>
    <cellStyle name="Credit subtotal 2 6 2 4 2 7" xfId="23921"/>
    <cellStyle name="Credit subtotal 2 6 2 4 2 8" xfId="23922"/>
    <cellStyle name="Credit subtotal 2 6 2 4 2 9" xfId="23923"/>
    <cellStyle name="Credit subtotal 2 6 2 4 3" xfId="23924"/>
    <cellStyle name="Credit subtotal 2 6 2 4 4" xfId="23925"/>
    <cellStyle name="Credit subtotal 2 6 2 4 5" xfId="23926"/>
    <cellStyle name="Credit subtotal 2 6 2 4 6" xfId="23927"/>
    <cellStyle name="Credit subtotal 2 6 2 4 7" xfId="23928"/>
    <cellStyle name="Credit subtotal 2 6 2 4 8" xfId="23929"/>
    <cellStyle name="Credit subtotal 2 6 2 4 9" xfId="23930"/>
    <cellStyle name="Credit subtotal 2 6 2 5" xfId="23931"/>
    <cellStyle name="Credit subtotal 2 6 2 5 2" xfId="23932"/>
    <cellStyle name="Credit subtotal 2 6 2 5 3" xfId="23933"/>
    <cellStyle name="Credit subtotal 2 6 2 6" xfId="23934"/>
    <cellStyle name="Credit subtotal 2 6 3" xfId="23935"/>
    <cellStyle name="Credit subtotal 2 6 3 2" xfId="23936"/>
    <cellStyle name="Credit subtotal 2 6 3 2 10" xfId="23937"/>
    <cellStyle name="Credit subtotal 2 6 3 2 11" xfId="23938"/>
    <cellStyle name="Credit subtotal 2 6 3 2 12" xfId="23939"/>
    <cellStyle name="Credit subtotal 2 6 3 2 13" xfId="23940"/>
    <cellStyle name="Credit subtotal 2 6 3 2 14" xfId="23941"/>
    <cellStyle name="Credit subtotal 2 6 3 2 15" xfId="23942"/>
    <cellStyle name="Credit subtotal 2 6 3 2 16" xfId="23943"/>
    <cellStyle name="Credit subtotal 2 6 3 2 17" xfId="23944"/>
    <cellStyle name="Credit subtotal 2 6 3 2 18" xfId="23945"/>
    <cellStyle name="Credit subtotal 2 6 3 2 19" xfId="23946"/>
    <cellStyle name="Credit subtotal 2 6 3 2 2" xfId="23947"/>
    <cellStyle name="Credit subtotal 2 6 3 2 2 2" xfId="23948"/>
    <cellStyle name="Credit subtotal 2 6 3 2 2 3" xfId="23949"/>
    <cellStyle name="Credit subtotal 2 6 3 2 2 4" xfId="23950"/>
    <cellStyle name="Credit subtotal 2 6 3 2 2 5" xfId="23951"/>
    <cellStyle name="Credit subtotal 2 6 3 2 2 6" xfId="23952"/>
    <cellStyle name="Credit subtotal 2 6 3 2 2 7" xfId="23953"/>
    <cellStyle name="Credit subtotal 2 6 3 2 2 8" xfId="23954"/>
    <cellStyle name="Credit subtotal 2 6 3 2 2 9" xfId="23955"/>
    <cellStyle name="Credit subtotal 2 6 3 2 20" xfId="23956"/>
    <cellStyle name="Credit subtotal 2 6 3 2 21" xfId="23957"/>
    <cellStyle name="Credit subtotal 2 6 3 2 3" xfId="23958"/>
    <cellStyle name="Credit subtotal 2 6 3 2 4" xfId="23959"/>
    <cellStyle name="Credit subtotal 2 6 3 2 5" xfId="23960"/>
    <cellStyle name="Credit subtotal 2 6 3 2 6" xfId="23961"/>
    <cellStyle name="Credit subtotal 2 6 3 2 7" xfId="23962"/>
    <cellStyle name="Credit subtotal 2 6 3 2 8" xfId="23963"/>
    <cellStyle name="Credit subtotal 2 6 3 2 9" xfId="23964"/>
    <cellStyle name="Credit subtotal 2 6 3 3" xfId="23965"/>
    <cellStyle name="Credit subtotal 2 6 3 3 10" xfId="23966"/>
    <cellStyle name="Credit subtotal 2 6 3 3 11" xfId="23967"/>
    <cellStyle name="Credit subtotal 2 6 3 3 12" xfId="23968"/>
    <cellStyle name="Credit subtotal 2 6 3 3 13" xfId="23969"/>
    <cellStyle name="Credit subtotal 2 6 3 3 14" xfId="23970"/>
    <cellStyle name="Credit subtotal 2 6 3 3 15" xfId="23971"/>
    <cellStyle name="Credit subtotal 2 6 3 3 16" xfId="23972"/>
    <cellStyle name="Credit subtotal 2 6 3 3 17" xfId="23973"/>
    <cellStyle name="Credit subtotal 2 6 3 3 18" xfId="23974"/>
    <cellStyle name="Credit subtotal 2 6 3 3 19" xfId="23975"/>
    <cellStyle name="Credit subtotal 2 6 3 3 2" xfId="23976"/>
    <cellStyle name="Credit subtotal 2 6 3 3 2 2" xfId="23977"/>
    <cellStyle name="Credit subtotal 2 6 3 3 2 3" xfId="23978"/>
    <cellStyle name="Credit subtotal 2 6 3 3 2 4" xfId="23979"/>
    <cellStyle name="Credit subtotal 2 6 3 3 2 5" xfId="23980"/>
    <cellStyle name="Credit subtotal 2 6 3 3 2 6" xfId="23981"/>
    <cellStyle name="Credit subtotal 2 6 3 3 2 7" xfId="23982"/>
    <cellStyle name="Credit subtotal 2 6 3 3 2 8" xfId="23983"/>
    <cellStyle name="Credit subtotal 2 6 3 3 2 9" xfId="23984"/>
    <cellStyle name="Credit subtotal 2 6 3 3 3" xfId="23985"/>
    <cellStyle name="Credit subtotal 2 6 3 3 4" xfId="23986"/>
    <cellStyle name="Credit subtotal 2 6 3 3 5" xfId="23987"/>
    <cellStyle name="Credit subtotal 2 6 3 3 6" xfId="23988"/>
    <cellStyle name="Credit subtotal 2 6 3 3 7" xfId="23989"/>
    <cellStyle name="Credit subtotal 2 6 3 3 8" xfId="23990"/>
    <cellStyle name="Credit subtotal 2 6 3 3 9" xfId="23991"/>
    <cellStyle name="Credit subtotal 2 6 3 4" xfId="23992"/>
    <cellStyle name="Credit subtotal 2 6 3 4 10" xfId="23993"/>
    <cellStyle name="Credit subtotal 2 6 3 4 11" xfId="23994"/>
    <cellStyle name="Credit subtotal 2 6 3 4 12" xfId="23995"/>
    <cellStyle name="Credit subtotal 2 6 3 4 13" xfId="23996"/>
    <cellStyle name="Credit subtotal 2 6 3 4 14" xfId="23997"/>
    <cellStyle name="Credit subtotal 2 6 3 4 15" xfId="23998"/>
    <cellStyle name="Credit subtotal 2 6 3 4 16" xfId="23999"/>
    <cellStyle name="Credit subtotal 2 6 3 4 17" xfId="24000"/>
    <cellStyle name="Credit subtotal 2 6 3 4 18" xfId="24001"/>
    <cellStyle name="Credit subtotal 2 6 3 4 2" xfId="24002"/>
    <cellStyle name="Credit subtotal 2 6 3 4 2 2" xfId="24003"/>
    <cellStyle name="Credit subtotal 2 6 3 4 2 3" xfId="24004"/>
    <cellStyle name="Credit subtotal 2 6 3 4 2 4" xfId="24005"/>
    <cellStyle name="Credit subtotal 2 6 3 4 2 5" xfId="24006"/>
    <cellStyle name="Credit subtotal 2 6 3 4 2 6" xfId="24007"/>
    <cellStyle name="Credit subtotal 2 6 3 4 2 7" xfId="24008"/>
    <cellStyle name="Credit subtotal 2 6 3 4 2 8" xfId="24009"/>
    <cellStyle name="Credit subtotal 2 6 3 4 2 9" xfId="24010"/>
    <cellStyle name="Credit subtotal 2 6 3 4 3" xfId="24011"/>
    <cellStyle name="Credit subtotal 2 6 3 4 4" xfId="24012"/>
    <cellStyle name="Credit subtotal 2 6 3 4 5" xfId="24013"/>
    <cellStyle name="Credit subtotal 2 6 3 4 6" xfId="24014"/>
    <cellStyle name="Credit subtotal 2 6 3 4 7" xfId="24015"/>
    <cellStyle name="Credit subtotal 2 6 3 4 8" xfId="24016"/>
    <cellStyle name="Credit subtotal 2 6 3 4 9" xfId="24017"/>
    <cellStyle name="Credit subtotal 2 6 3 5" xfId="24018"/>
    <cellStyle name="Credit subtotal 2 6 3 5 2" xfId="24019"/>
    <cellStyle name="Credit subtotal 2 6 3 5 3" xfId="24020"/>
    <cellStyle name="Credit subtotal 2 6 3 6" xfId="24021"/>
    <cellStyle name="Credit subtotal 2 6 4" xfId="24022"/>
    <cellStyle name="Credit subtotal 2 6 4 10" xfId="24023"/>
    <cellStyle name="Credit subtotal 2 6 4 11" xfId="24024"/>
    <cellStyle name="Credit subtotal 2 6 4 12" xfId="24025"/>
    <cellStyle name="Credit subtotal 2 6 4 13" xfId="24026"/>
    <cellStyle name="Credit subtotal 2 6 4 14" xfId="24027"/>
    <cellStyle name="Credit subtotal 2 6 4 15" xfId="24028"/>
    <cellStyle name="Credit subtotal 2 6 4 16" xfId="24029"/>
    <cellStyle name="Credit subtotal 2 6 4 17" xfId="24030"/>
    <cellStyle name="Credit subtotal 2 6 4 18" xfId="24031"/>
    <cellStyle name="Credit subtotal 2 6 4 19" xfId="24032"/>
    <cellStyle name="Credit subtotal 2 6 4 2" xfId="24033"/>
    <cellStyle name="Credit subtotal 2 6 4 2 2" xfId="24034"/>
    <cellStyle name="Credit subtotal 2 6 4 2 3" xfId="24035"/>
    <cellStyle name="Credit subtotal 2 6 4 2 4" xfId="24036"/>
    <cellStyle name="Credit subtotal 2 6 4 2 5" xfId="24037"/>
    <cellStyle name="Credit subtotal 2 6 4 2 6" xfId="24038"/>
    <cellStyle name="Credit subtotal 2 6 4 2 7" xfId="24039"/>
    <cellStyle name="Credit subtotal 2 6 4 2 8" xfId="24040"/>
    <cellStyle name="Credit subtotal 2 6 4 2 9" xfId="24041"/>
    <cellStyle name="Credit subtotal 2 6 4 20" xfId="24042"/>
    <cellStyle name="Credit subtotal 2 6 4 21" xfId="24043"/>
    <cellStyle name="Credit subtotal 2 6 4 3" xfId="24044"/>
    <cellStyle name="Credit subtotal 2 6 4 4" xfId="24045"/>
    <cellStyle name="Credit subtotal 2 6 4 5" xfId="24046"/>
    <cellStyle name="Credit subtotal 2 6 4 6" xfId="24047"/>
    <cellStyle name="Credit subtotal 2 6 4 7" xfId="24048"/>
    <cellStyle name="Credit subtotal 2 6 4 8" xfId="24049"/>
    <cellStyle name="Credit subtotal 2 6 4 9" xfId="24050"/>
    <cellStyle name="Credit subtotal 2 6 5" xfId="24051"/>
    <cellStyle name="Credit subtotal 2 6 5 10" xfId="24052"/>
    <cellStyle name="Credit subtotal 2 6 5 11" xfId="24053"/>
    <cellStyle name="Credit subtotal 2 6 5 12" xfId="24054"/>
    <cellStyle name="Credit subtotal 2 6 5 13" xfId="24055"/>
    <cellStyle name="Credit subtotal 2 6 5 14" xfId="24056"/>
    <cellStyle name="Credit subtotal 2 6 5 15" xfId="24057"/>
    <cellStyle name="Credit subtotal 2 6 5 16" xfId="24058"/>
    <cellStyle name="Credit subtotal 2 6 5 17" xfId="24059"/>
    <cellStyle name="Credit subtotal 2 6 5 18" xfId="24060"/>
    <cellStyle name="Credit subtotal 2 6 5 19" xfId="24061"/>
    <cellStyle name="Credit subtotal 2 6 5 2" xfId="24062"/>
    <cellStyle name="Credit subtotal 2 6 5 2 2" xfId="24063"/>
    <cellStyle name="Credit subtotal 2 6 5 2 3" xfId="24064"/>
    <cellStyle name="Credit subtotal 2 6 5 2 4" xfId="24065"/>
    <cellStyle name="Credit subtotal 2 6 5 2 5" xfId="24066"/>
    <cellStyle name="Credit subtotal 2 6 5 2 6" xfId="24067"/>
    <cellStyle name="Credit subtotal 2 6 5 2 7" xfId="24068"/>
    <cellStyle name="Credit subtotal 2 6 5 2 8" xfId="24069"/>
    <cellStyle name="Credit subtotal 2 6 5 2 9" xfId="24070"/>
    <cellStyle name="Credit subtotal 2 6 5 3" xfId="24071"/>
    <cellStyle name="Credit subtotal 2 6 5 4" xfId="24072"/>
    <cellStyle name="Credit subtotal 2 6 5 5" xfId="24073"/>
    <cellStyle name="Credit subtotal 2 6 5 6" xfId="24074"/>
    <cellStyle name="Credit subtotal 2 6 5 7" xfId="24075"/>
    <cellStyle name="Credit subtotal 2 6 5 8" xfId="24076"/>
    <cellStyle name="Credit subtotal 2 6 5 9" xfId="24077"/>
    <cellStyle name="Credit subtotal 2 6 6" xfId="24078"/>
    <cellStyle name="Credit subtotal 2 6 6 10" xfId="24079"/>
    <cellStyle name="Credit subtotal 2 6 6 11" xfId="24080"/>
    <cellStyle name="Credit subtotal 2 6 6 12" xfId="24081"/>
    <cellStyle name="Credit subtotal 2 6 6 13" xfId="24082"/>
    <cellStyle name="Credit subtotal 2 6 6 14" xfId="24083"/>
    <cellStyle name="Credit subtotal 2 6 6 15" xfId="24084"/>
    <cellStyle name="Credit subtotal 2 6 6 16" xfId="24085"/>
    <cellStyle name="Credit subtotal 2 6 6 17" xfId="24086"/>
    <cellStyle name="Credit subtotal 2 6 6 18" xfId="24087"/>
    <cellStyle name="Credit subtotal 2 6 6 2" xfId="24088"/>
    <cellStyle name="Credit subtotal 2 6 6 2 2" xfId="24089"/>
    <cellStyle name="Credit subtotal 2 6 6 2 3" xfId="24090"/>
    <cellStyle name="Credit subtotal 2 6 6 2 4" xfId="24091"/>
    <cellStyle name="Credit subtotal 2 6 6 2 5" xfId="24092"/>
    <cellStyle name="Credit subtotal 2 6 6 2 6" xfId="24093"/>
    <cellStyle name="Credit subtotal 2 6 6 2 7" xfId="24094"/>
    <cellStyle name="Credit subtotal 2 6 6 2 8" xfId="24095"/>
    <cellStyle name="Credit subtotal 2 6 6 2 9" xfId="24096"/>
    <cellStyle name="Credit subtotal 2 6 6 3" xfId="24097"/>
    <cellStyle name="Credit subtotal 2 6 6 4" xfId="24098"/>
    <cellStyle name="Credit subtotal 2 6 6 5" xfId="24099"/>
    <cellStyle name="Credit subtotal 2 6 6 6" xfId="24100"/>
    <cellStyle name="Credit subtotal 2 6 6 7" xfId="24101"/>
    <cellStyle name="Credit subtotal 2 6 6 8" xfId="24102"/>
    <cellStyle name="Credit subtotal 2 6 6 9" xfId="24103"/>
    <cellStyle name="Credit subtotal 2 6 7" xfId="24104"/>
    <cellStyle name="Credit subtotal 2 6 7 2" xfId="24105"/>
    <cellStyle name="Credit subtotal 2 6 7 3" xfId="24106"/>
    <cellStyle name="Credit subtotal 2 6 8" xfId="24107"/>
    <cellStyle name="Credit subtotal 2 7" xfId="24108"/>
    <cellStyle name="Credit subtotal 2 7 2" xfId="24109"/>
    <cellStyle name="Credit subtotal 2 7 2 2" xfId="24110"/>
    <cellStyle name="Credit subtotal 2 7 2 2 10" xfId="24111"/>
    <cellStyle name="Credit subtotal 2 7 2 2 11" xfId="24112"/>
    <cellStyle name="Credit subtotal 2 7 2 2 12" xfId="24113"/>
    <cellStyle name="Credit subtotal 2 7 2 2 13" xfId="24114"/>
    <cellStyle name="Credit subtotal 2 7 2 2 14" xfId="24115"/>
    <cellStyle name="Credit subtotal 2 7 2 2 15" xfId="24116"/>
    <cellStyle name="Credit subtotal 2 7 2 2 16" xfId="24117"/>
    <cellStyle name="Credit subtotal 2 7 2 2 17" xfId="24118"/>
    <cellStyle name="Credit subtotal 2 7 2 2 18" xfId="24119"/>
    <cellStyle name="Credit subtotal 2 7 2 2 19" xfId="24120"/>
    <cellStyle name="Credit subtotal 2 7 2 2 2" xfId="24121"/>
    <cellStyle name="Credit subtotal 2 7 2 2 2 2" xfId="24122"/>
    <cellStyle name="Credit subtotal 2 7 2 2 2 3" xfId="24123"/>
    <cellStyle name="Credit subtotal 2 7 2 2 2 4" xfId="24124"/>
    <cellStyle name="Credit subtotal 2 7 2 2 2 5" xfId="24125"/>
    <cellStyle name="Credit subtotal 2 7 2 2 2 6" xfId="24126"/>
    <cellStyle name="Credit subtotal 2 7 2 2 2 7" xfId="24127"/>
    <cellStyle name="Credit subtotal 2 7 2 2 2 8" xfId="24128"/>
    <cellStyle name="Credit subtotal 2 7 2 2 2 9" xfId="24129"/>
    <cellStyle name="Credit subtotal 2 7 2 2 20" xfId="24130"/>
    <cellStyle name="Credit subtotal 2 7 2 2 21" xfId="24131"/>
    <cellStyle name="Credit subtotal 2 7 2 2 3" xfId="24132"/>
    <cellStyle name="Credit subtotal 2 7 2 2 4" xfId="24133"/>
    <cellStyle name="Credit subtotal 2 7 2 2 5" xfId="24134"/>
    <cellStyle name="Credit subtotal 2 7 2 2 6" xfId="24135"/>
    <cellStyle name="Credit subtotal 2 7 2 2 7" xfId="24136"/>
    <cellStyle name="Credit subtotal 2 7 2 2 8" xfId="24137"/>
    <cellStyle name="Credit subtotal 2 7 2 2 9" xfId="24138"/>
    <cellStyle name="Credit subtotal 2 7 2 3" xfId="24139"/>
    <cellStyle name="Credit subtotal 2 7 2 3 10" xfId="24140"/>
    <cellStyle name="Credit subtotal 2 7 2 3 11" xfId="24141"/>
    <cellStyle name="Credit subtotal 2 7 2 3 12" xfId="24142"/>
    <cellStyle name="Credit subtotal 2 7 2 3 13" xfId="24143"/>
    <cellStyle name="Credit subtotal 2 7 2 3 14" xfId="24144"/>
    <cellStyle name="Credit subtotal 2 7 2 3 15" xfId="24145"/>
    <cellStyle name="Credit subtotal 2 7 2 3 16" xfId="24146"/>
    <cellStyle name="Credit subtotal 2 7 2 3 17" xfId="24147"/>
    <cellStyle name="Credit subtotal 2 7 2 3 18" xfId="24148"/>
    <cellStyle name="Credit subtotal 2 7 2 3 19" xfId="24149"/>
    <cellStyle name="Credit subtotal 2 7 2 3 2" xfId="24150"/>
    <cellStyle name="Credit subtotal 2 7 2 3 2 2" xfId="24151"/>
    <cellStyle name="Credit subtotal 2 7 2 3 2 3" xfId="24152"/>
    <cellStyle name="Credit subtotal 2 7 2 3 2 4" xfId="24153"/>
    <cellStyle name="Credit subtotal 2 7 2 3 2 5" xfId="24154"/>
    <cellStyle name="Credit subtotal 2 7 2 3 2 6" xfId="24155"/>
    <cellStyle name="Credit subtotal 2 7 2 3 2 7" xfId="24156"/>
    <cellStyle name="Credit subtotal 2 7 2 3 2 8" xfId="24157"/>
    <cellStyle name="Credit subtotal 2 7 2 3 2 9" xfId="24158"/>
    <cellStyle name="Credit subtotal 2 7 2 3 3" xfId="24159"/>
    <cellStyle name="Credit subtotal 2 7 2 3 4" xfId="24160"/>
    <cellStyle name="Credit subtotal 2 7 2 3 5" xfId="24161"/>
    <cellStyle name="Credit subtotal 2 7 2 3 6" xfId="24162"/>
    <cellStyle name="Credit subtotal 2 7 2 3 7" xfId="24163"/>
    <cellStyle name="Credit subtotal 2 7 2 3 8" xfId="24164"/>
    <cellStyle name="Credit subtotal 2 7 2 3 9" xfId="24165"/>
    <cellStyle name="Credit subtotal 2 7 2 4" xfId="24166"/>
    <cellStyle name="Credit subtotal 2 7 2 4 10" xfId="24167"/>
    <cellStyle name="Credit subtotal 2 7 2 4 11" xfId="24168"/>
    <cellStyle name="Credit subtotal 2 7 2 4 12" xfId="24169"/>
    <cellStyle name="Credit subtotal 2 7 2 4 13" xfId="24170"/>
    <cellStyle name="Credit subtotal 2 7 2 4 14" xfId="24171"/>
    <cellStyle name="Credit subtotal 2 7 2 4 15" xfId="24172"/>
    <cellStyle name="Credit subtotal 2 7 2 4 16" xfId="24173"/>
    <cellStyle name="Credit subtotal 2 7 2 4 17" xfId="24174"/>
    <cellStyle name="Credit subtotal 2 7 2 4 18" xfId="24175"/>
    <cellStyle name="Credit subtotal 2 7 2 4 2" xfId="24176"/>
    <cellStyle name="Credit subtotal 2 7 2 4 2 2" xfId="24177"/>
    <cellStyle name="Credit subtotal 2 7 2 4 2 3" xfId="24178"/>
    <cellStyle name="Credit subtotal 2 7 2 4 2 4" xfId="24179"/>
    <cellStyle name="Credit subtotal 2 7 2 4 2 5" xfId="24180"/>
    <cellStyle name="Credit subtotal 2 7 2 4 2 6" xfId="24181"/>
    <cellStyle name="Credit subtotal 2 7 2 4 2 7" xfId="24182"/>
    <cellStyle name="Credit subtotal 2 7 2 4 2 8" xfId="24183"/>
    <cellStyle name="Credit subtotal 2 7 2 4 2 9" xfId="24184"/>
    <cellStyle name="Credit subtotal 2 7 2 4 3" xfId="24185"/>
    <cellStyle name="Credit subtotal 2 7 2 4 4" xfId="24186"/>
    <cellStyle name="Credit subtotal 2 7 2 4 5" xfId="24187"/>
    <cellStyle name="Credit subtotal 2 7 2 4 6" xfId="24188"/>
    <cellStyle name="Credit subtotal 2 7 2 4 7" xfId="24189"/>
    <cellStyle name="Credit subtotal 2 7 2 4 8" xfId="24190"/>
    <cellStyle name="Credit subtotal 2 7 2 4 9" xfId="24191"/>
    <cellStyle name="Credit subtotal 2 7 2 5" xfId="24192"/>
    <cellStyle name="Credit subtotal 2 7 2 5 2" xfId="24193"/>
    <cellStyle name="Credit subtotal 2 7 2 5 3" xfId="24194"/>
    <cellStyle name="Credit subtotal 2 7 2 6" xfId="24195"/>
    <cellStyle name="Credit subtotal 2 7 3" xfId="24196"/>
    <cellStyle name="Credit subtotal 2 7 3 2" xfId="24197"/>
    <cellStyle name="Credit subtotal 2 7 3 2 10" xfId="24198"/>
    <cellStyle name="Credit subtotal 2 7 3 2 11" xfId="24199"/>
    <cellStyle name="Credit subtotal 2 7 3 2 12" xfId="24200"/>
    <cellStyle name="Credit subtotal 2 7 3 2 13" xfId="24201"/>
    <cellStyle name="Credit subtotal 2 7 3 2 14" xfId="24202"/>
    <cellStyle name="Credit subtotal 2 7 3 2 15" xfId="24203"/>
    <cellStyle name="Credit subtotal 2 7 3 2 16" xfId="24204"/>
    <cellStyle name="Credit subtotal 2 7 3 2 17" xfId="24205"/>
    <cellStyle name="Credit subtotal 2 7 3 2 18" xfId="24206"/>
    <cellStyle name="Credit subtotal 2 7 3 2 19" xfId="24207"/>
    <cellStyle name="Credit subtotal 2 7 3 2 2" xfId="24208"/>
    <cellStyle name="Credit subtotal 2 7 3 2 2 2" xfId="24209"/>
    <cellStyle name="Credit subtotal 2 7 3 2 2 3" xfId="24210"/>
    <cellStyle name="Credit subtotal 2 7 3 2 2 4" xfId="24211"/>
    <cellStyle name="Credit subtotal 2 7 3 2 2 5" xfId="24212"/>
    <cellStyle name="Credit subtotal 2 7 3 2 2 6" xfId="24213"/>
    <cellStyle name="Credit subtotal 2 7 3 2 2 7" xfId="24214"/>
    <cellStyle name="Credit subtotal 2 7 3 2 2 8" xfId="24215"/>
    <cellStyle name="Credit subtotal 2 7 3 2 2 9" xfId="24216"/>
    <cellStyle name="Credit subtotal 2 7 3 2 20" xfId="24217"/>
    <cellStyle name="Credit subtotal 2 7 3 2 21" xfId="24218"/>
    <cellStyle name="Credit subtotal 2 7 3 2 3" xfId="24219"/>
    <cellStyle name="Credit subtotal 2 7 3 2 4" xfId="24220"/>
    <cellStyle name="Credit subtotal 2 7 3 2 5" xfId="24221"/>
    <cellStyle name="Credit subtotal 2 7 3 2 6" xfId="24222"/>
    <cellStyle name="Credit subtotal 2 7 3 2 7" xfId="24223"/>
    <cellStyle name="Credit subtotal 2 7 3 2 8" xfId="24224"/>
    <cellStyle name="Credit subtotal 2 7 3 2 9" xfId="24225"/>
    <cellStyle name="Credit subtotal 2 7 3 3" xfId="24226"/>
    <cellStyle name="Credit subtotal 2 7 3 3 10" xfId="24227"/>
    <cellStyle name="Credit subtotal 2 7 3 3 11" xfId="24228"/>
    <cellStyle name="Credit subtotal 2 7 3 3 12" xfId="24229"/>
    <cellStyle name="Credit subtotal 2 7 3 3 13" xfId="24230"/>
    <cellStyle name="Credit subtotal 2 7 3 3 14" xfId="24231"/>
    <cellStyle name="Credit subtotal 2 7 3 3 15" xfId="24232"/>
    <cellStyle name="Credit subtotal 2 7 3 3 16" xfId="24233"/>
    <cellStyle name="Credit subtotal 2 7 3 3 17" xfId="24234"/>
    <cellStyle name="Credit subtotal 2 7 3 3 18" xfId="24235"/>
    <cellStyle name="Credit subtotal 2 7 3 3 19" xfId="24236"/>
    <cellStyle name="Credit subtotal 2 7 3 3 2" xfId="24237"/>
    <cellStyle name="Credit subtotal 2 7 3 3 2 2" xfId="24238"/>
    <cellStyle name="Credit subtotal 2 7 3 3 2 3" xfId="24239"/>
    <cellStyle name="Credit subtotal 2 7 3 3 2 4" xfId="24240"/>
    <cellStyle name="Credit subtotal 2 7 3 3 2 5" xfId="24241"/>
    <cellStyle name="Credit subtotal 2 7 3 3 2 6" xfId="24242"/>
    <cellStyle name="Credit subtotal 2 7 3 3 2 7" xfId="24243"/>
    <cellStyle name="Credit subtotal 2 7 3 3 2 8" xfId="24244"/>
    <cellStyle name="Credit subtotal 2 7 3 3 2 9" xfId="24245"/>
    <cellStyle name="Credit subtotal 2 7 3 3 3" xfId="24246"/>
    <cellStyle name="Credit subtotal 2 7 3 3 4" xfId="24247"/>
    <cellStyle name="Credit subtotal 2 7 3 3 5" xfId="24248"/>
    <cellStyle name="Credit subtotal 2 7 3 3 6" xfId="24249"/>
    <cellStyle name="Credit subtotal 2 7 3 3 7" xfId="24250"/>
    <cellStyle name="Credit subtotal 2 7 3 3 8" xfId="24251"/>
    <cellStyle name="Credit subtotal 2 7 3 3 9" xfId="24252"/>
    <cellStyle name="Credit subtotal 2 7 3 4" xfId="24253"/>
    <cellStyle name="Credit subtotal 2 7 3 4 10" xfId="24254"/>
    <cellStyle name="Credit subtotal 2 7 3 4 11" xfId="24255"/>
    <cellStyle name="Credit subtotal 2 7 3 4 12" xfId="24256"/>
    <cellStyle name="Credit subtotal 2 7 3 4 13" xfId="24257"/>
    <cellStyle name="Credit subtotal 2 7 3 4 14" xfId="24258"/>
    <cellStyle name="Credit subtotal 2 7 3 4 15" xfId="24259"/>
    <cellStyle name="Credit subtotal 2 7 3 4 16" xfId="24260"/>
    <cellStyle name="Credit subtotal 2 7 3 4 17" xfId="24261"/>
    <cellStyle name="Credit subtotal 2 7 3 4 18" xfId="24262"/>
    <cellStyle name="Credit subtotal 2 7 3 4 2" xfId="24263"/>
    <cellStyle name="Credit subtotal 2 7 3 4 2 2" xfId="24264"/>
    <cellStyle name="Credit subtotal 2 7 3 4 2 3" xfId="24265"/>
    <cellStyle name="Credit subtotal 2 7 3 4 2 4" xfId="24266"/>
    <cellStyle name="Credit subtotal 2 7 3 4 2 5" xfId="24267"/>
    <cellStyle name="Credit subtotal 2 7 3 4 2 6" xfId="24268"/>
    <cellStyle name="Credit subtotal 2 7 3 4 2 7" xfId="24269"/>
    <cellStyle name="Credit subtotal 2 7 3 4 2 8" xfId="24270"/>
    <cellStyle name="Credit subtotal 2 7 3 4 2 9" xfId="24271"/>
    <cellStyle name="Credit subtotal 2 7 3 4 3" xfId="24272"/>
    <cellStyle name="Credit subtotal 2 7 3 4 4" xfId="24273"/>
    <cellStyle name="Credit subtotal 2 7 3 4 5" xfId="24274"/>
    <cellStyle name="Credit subtotal 2 7 3 4 6" xfId="24275"/>
    <cellStyle name="Credit subtotal 2 7 3 4 7" xfId="24276"/>
    <cellStyle name="Credit subtotal 2 7 3 4 8" xfId="24277"/>
    <cellStyle name="Credit subtotal 2 7 3 4 9" xfId="24278"/>
    <cellStyle name="Credit subtotal 2 7 3 5" xfId="24279"/>
    <cellStyle name="Credit subtotal 2 7 3 5 2" xfId="24280"/>
    <cellStyle name="Credit subtotal 2 7 3 5 3" xfId="24281"/>
    <cellStyle name="Credit subtotal 2 7 3 6" xfId="24282"/>
    <cellStyle name="Credit subtotal 2 7 4" xfId="24283"/>
    <cellStyle name="Credit subtotal 2 7 4 10" xfId="24284"/>
    <cellStyle name="Credit subtotal 2 7 4 11" xfId="24285"/>
    <cellStyle name="Credit subtotal 2 7 4 12" xfId="24286"/>
    <cellStyle name="Credit subtotal 2 7 4 13" xfId="24287"/>
    <cellStyle name="Credit subtotal 2 7 4 14" xfId="24288"/>
    <cellStyle name="Credit subtotal 2 7 4 15" xfId="24289"/>
    <cellStyle name="Credit subtotal 2 7 4 16" xfId="24290"/>
    <cellStyle name="Credit subtotal 2 7 4 17" xfId="24291"/>
    <cellStyle name="Credit subtotal 2 7 4 18" xfId="24292"/>
    <cellStyle name="Credit subtotal 2 7 4 19" xfId="24293"/>
    <cellStyle name="Credit subtotal 2 7 4 2" xfId="24294"/>
    <cellStyle name="Credit subtotal 2 7 4 2 2" xfId="24295"/>
    <cellStyle name="Credit subtotal 2 7 4 2 3" xfId="24296"/>
    <cellStyle name="Credit subtotal 2 7 4 2 4" xfId="24297"/>
    <cellStyle name="Credit subtotal 2 7 4 2 5" xfId="24298"/>
    <cellStyle name="Credit subtotal 2 7 4 2 6" xfId="24299"/>
    <cellStyle name="Credit subtotal 2 7 4 2 7" xfId="24300"/>
    <cellStyle name="Credit subtotal 2 7 4 2 8" xfId="24301"/>
    <cellStyle name="Credit subtotal 2 7 4 2 9" xfId="24302"/>
    <cellStyle name="Credit subtotal 2 7 4 20" xfId="24303"/>
    <cellStyle name="Credit subtotal 2 7 4 21" xfId="24304"/>
    <cellStyle name="Credit subtotal 2 7 4 3" xfId="24305"/>
    <cellStyle name="Credit subtotal 2 7 4 4" xfId="24306"/>
    <cellStyle name="Credit subtotal 2 7 4 5" xfId="24307"/>
    <cellStyle name="Credit subtotal 2 7 4 6" xfId="24308"/>
    <cellStyle name="Credit subtotal 2 7 4 7" xfId="24309"/>
    <cellStyle name="Credit subtotal 2 7 4 8" xfId="24310"/>
    <cellStyle name="Credit subtotal 2 7 4 9" xfId="24311"/>
    <cellStyle name="Credit subtotal 2 7 5" xfId="24312"/>
    <cellStyle name="Credit subtotal 2 7 5 10" xfId="24313"/>
    <cellStyle name="Credit subtotal 2 7 5 11" xfId="24314"/>
    <cellStyle name="Credit subtotal 2 7 5 12" xfId="24315"/>
    <cellStyle name="Credit subtotal 2 7 5 13" xfId="24316"/>
    <cellStyle name="Credit subtotal 2 7 5 14" xfId="24317"/>
    <cellStyle name="Credit subtotal 2 7 5 15" xfId="24318"/>
    <cellStyle name="Credit subtotal 2 7 5 16" xfId="24319"/>
    <cellStyle name="Credit subtotal 2 7 5 17" xfId="24320"/>
    <cellStyle name="Credit subtotal 2 7 5 18" xfId="24321"/>
    <cellStyle name="Credit subtotal 2 7 5 19" xfId="24322"/>
    <cellStyle name="Credit subtotal 2 7 5 2" xfId="24323"/>
    <cellStyle name="Credit subtotal 2 7 5 2 2" xfId="24324"/>
    <cellStyle name="Credit subtotal 2 7 5 2 3" xfId="24325"/>
    <cellStyle name="Credit subtotal 2 7 5 2 4" xfId="24326"/>
    <cellStyle name="Credit subtotal 2 7 5 2 5" xfId="24327"/>
    <cellStyle name="Credit subtotal 2 7 5 2 6" xfId="24328"/>
    <cellStyle name="Credit subtotal 2 7 5 2 7" xfId="24329"/>
    <cellStyle name="Credit subtotal 2 7 5 2 8" xfId="24330"/>
    <cellStyle name="Credit subtotal 2 7 5 2 9" xfId="24331"/>
    <cellStyle name="Credit subtotal 2 7 5 3" xfId="24332"/>
    <cellStyle name="Credit subtotal 2 7 5 4" xfId="24333"/>
    <cellStyle name="Credit subtotal 2 7 5 5" xfId="24334"/>
    <cellStyle name="Credit subtotal 2 7 5 6" xfId="24335"/>
    <cellStyle name="Credit subtotal 2 7 5 7" xfId="24336"/>
    <cellStyle name="Credit subtotal 2 7 5 8" xfId="24337"/>
    <cellStyle name="Credit subtotal 2 7 5 9" xfId="24338"/>
    <cellStyle name="Credit subtotal 2 7 6" xfId="24339"/>
    <cellStyle name="Credit subtotal 2 7 6 10" xfId="24340"/>
    <cellStyle name="Credit subtotal 2 7 6 11" xfId="24341"/>
    <cellStyle name="Credit subtotal 2 7 6 12" xfId="24342"/>
    <cellStyle name="Credit subtotal 2 7 6 13" xfId="24343"/>
    <cellStyle name="Credit subtotal 2 7 6 14" xfId="24344"/>
    <cellStyle name="Credit subtotal 2 7 6 15" xfId="24345"/>
    <cellStyle name="Credit subtotal 2 7 6 16" xfId="24346"/>
    <cellStyle name="Credit subtotal 2 7 6 17" xfId="24347"/>
    <cellStyle name="Credit subtotal 2 7 6 18" xfId="24348"/>
    <cellStyle name="Credit subtotal 2 7 6 2" xfId="24349"/>
    <cellStyle name="Credit subtotal 2 7 6 2 2" xfId="24350"/>
    <cellStyle name="Credit subtotal 2 7 6 2 3" xfId="24351"/>
    <cellStyle name="Credit subtotal 2 7 6 2 4" xfId="24352"/>
    <cellStyle name="Credit subtotal 2 7 6 2 5" xfId="24353"/>
    <cellStyle name="Credit subtotal 2 7 6 2 6" xfId="24354"/>
    <cellStyle name="Credit subtotal 2 7 6 2 7" xfId="24355"/>
    <cellStyle name="Credit subtotal 2 7 6 2 8" xfId="24356"/>
    <cellStyle name="Credit subtotal 2 7 6 2 9" xfId="24357"/>
    <cellStyle name="Credit subtotal 2 7 6 3" xfId="24358"/>
    <cellStyle name="Credit subtotal 2 7 6 4" xfId="24359"/>
    <cellStyle name="Credit subtotal 2 7 6 5" xfId="24360"/>
    <cellStyle name="Credit subtotal 2 7 6 6" xfId="24361"/>
    <cellStyle name="Credit subtotal 2 7 6 7" xfId="24362"/>
    <cellStyle name="Credit subtotal 2 7 6 8" xfId="24363"/>
    <cellStyle name="Credit subtotal 2 7 6 9" xfId="24364"/>
    <cellStyle name="Credit subtotal 2 7 7" xfId="24365"/>
    <cellStyle name="Credit subtotal 2 7 7 2" xfId="24366"/>
    <cellStyle name="Credit subtotal 2 7 7 3" xfId="24367"/>
    <cellStyle name="Credit subtotal 2 7 8" xfId="24368"/>
    <cellStyle name="Credit subtotal 2 8" xfId="24369"/>
    <cellStyle name="Credit subtotal 2 8 2" xfId="24370"/>
    <cellStyle name="Credit subtotal 2 8 2 2" xfId="24371"/>
    <cellStyle name="Credit subtotal 2 8 2 2 10" xfId="24372"/>
    <cellStyle name="Credit subtotal 2 8 2 2 11" xfId="24373"/>
    <cellStyle name="Credit subtotal 2 8 2 2 12" xfId="24374"/>
    <cellStyle name="Credit subtotal 2 8 2 2 13" xfId="24375"/>
    <cellStyle name="Credit subtotal 2 8 2 2 14" xfId="24376"/>
    <cellStyle name="Credit subtotal 2 8 2 2 15" xfId="24377"/>
    <cellStyle name="Credit subtotal 2 8 2 2 16" xfId="24378"/>
    <cellStyle name="Credit subtotal 2 8 2 2 17" xfId="24379"/>
    <cellStyle name="Credit subtotal 2 8 2 2 18" xfId="24380"/>
    <cellStyle name="Credit subtotal 2 8 2 2 19" xfId="24381"/>
    <cellStyle name="Credit subtotal 2 8 2 2 2" xfId="24382"/>
    <cellStyle name="Credit subtotal 2 8 2 2 2 2" xfId="24383"/>
    <cellStyle name="Credit subtotal 2 8 2 2 2 3" xfId="24384"/>
    <cellStyle name="Credit subtotal 2 8 2 2 2 4" xfId="24385"/>
    <cellStyle name="Credit subtotal 2 8 2 2 2 5" xfId="24386"/>
    <cellStyle name="Credit subtotal 2 8 2 2 2 6" xfId="24387"/>
    <cellStyle name="Credit subtotal 2 8 2 2 2 7" xfId="24388"/>
    <cellStyle name="Credit subtotal 2 8 2 2 2 8" xfId="24389"/>
    <cellStyle name="Credit subtotal 2 8 2 2 2 9" xfId="24390"/>
    <cellStyle name="Credit subtotal 2 8 2 2 20" xfId="24391"/>
    <cellStyle name="Credit subtotal 2 8 2 2 21" xfId="24392"/>
    <cellStyle name="Credit subtotal 2 8 2 2 3" xfId="24393"/>
    <cellStyle name="Credit subtotal 2 8 2 2 4" xfId="24394"/>
    <cellStyle name="Credit subtotal 2 8 2 2 5" xfId="24395"/>
    <cellStyle name="Credit subtotal 2 8 2 2 6" xfId="24396"/>
    <cellStyle name="Credit subtotal 2 8 2 2 7" xfId="24397"/>
    <cellStyle name="Credit subtotal 2 8 2 2 8" xfId="24398"/>
    <cellStyle name="Credit subtotal 2 8 2 2 9" xfId="24399"/>
    <cellStyle name="Credit subtotal 2 8 2 3" xfId="24400"/>
    <cellStyle name="Credit subtotal 2 8 2 3 10" xfId="24401"/>
    <cellStyle name="Credit subtotal 2 8 2 3 11" xfId="24402"/>
    <cellStyle name="Credit subtotal 2 8 2 3 12" xfId="24403"/>
    <cellStyle name="Credit subtotal 2 8 2 3 13" xfId="24404"/>
    <cellStyle name="Credit subtotal 2 8 2 3 14" xfId="24405"/>
    <cellStyle name="Credit subtotal 2 8 2 3 15" xfId="24406"/>
    <cellStyle name="Credit subtotal 2 8 2 3 16" xfId="24407"/>
    <cellStyle name="Credit subtotal 2 8 2 3 17" xfId="24408"/>
    <cellStyle name="Credit subtotal 2 8 2 3 18" xfId="24409"/>
    <cellStyle name="Credit subtotal 2 8 2 3 19" xfId="24410"/>
    <cellStyle name="Credit subtotal 2 8 2 3 2" xfId="24411"/>
    <cellStyle name="Credit subtotal 2 8 2 3 2 2" xfId="24412"/>
    <cellStyle name="Credit subtotal 2 8 2 3 2 3" xfId="24413"/>
    <cellStyle name="Credit subtotal 2 8 2 3 2 4" xfId="24414"/>
    <cellStyle name="Credit subtotal 2 8 2 3 2 5" xfId="24415"/>
    <cellStyle name="Credit subtotal 2 8 2 3 2 6" xfId="24416"/>
    <cellStyle name="Credit subtotal 2 8 2 3 2 7" xfId="24417"/>
    <cellStyle name="Credit subtotal 2 8 2 3 2 8" xfId="24418"/>
    <cellStyle name="Credit subtotal 2 8 2 3 2 9" xfId="24419"/>
    <cellStyle name="Credit subtotal 2 8 2 3 3" xfId="24420"/>
    <cellStyle name="Credit subtotal 2 8 2 3 4" xfId="24421"/>
    <cellStyle name="Credit subtotal 2 8 2 3 5" xfId="24422"/>
    <cellStyle name="Credit subtotal 2 8 2 3 6" xfId="24423"/>
    <cellStyle name="Credit subtotal 2 8 2 3 7" xfId="24424"/>
    <cellStyle name="Credit subtotal 2 8 2 3 8" xfId="24425"/>
    <cellStyle name="Credit subtotal 2 8 2 3 9" xfId="24426"/>
    <cellStyle name="Credit subtotal 2 8 2 4" xfId="24427"/>
    <cellStyle name="Credit subtotal 2 8 2 4 10" xfId="24428"/>
    <cellStyle name="Credit subtotal 2 8 2 4 11" xfId="24429"/>
    <cellStyle name="Credit subtotal 2 8 2 4 12" xfId="24430"/>
    <cellStyle name="Credit subtotal 2 8 2 4 13" xfId="24431"/>
    <cellStyle name="Credit subtotal 2 8 2 4 14" xfId="24432"/>
    <cellStyle name="Credit subtotal 2 8 2 4 15" xfId="24433"/>
    <cellStyle name="Credit subtotal 2 8 2 4 16" xfId="24434"/>
    <cellStyle name="Credit subtotal 2 8 2 4 17" xfId="24435"/>
    <cellStyle name="Credit subtotal 2 8 2 4 18" xfId="24436"/>
    <cellStyle name="Credit subtotal 2 8 2 4 2" xfId="24437"/>
    <cellStyle name="Credit subtotal 2 8 2 4 2 2" xfId="24438"/>
    <cellStyle name="Credit subtotal 2 8 2 4 2 3" xfId="24439"/>
    <cellStyle name="Credit subtotal 2 8 2 4 2 4" xfId="24440"/>
    <cellStyle name="Credit subtotal 2 8 2 4 2 5" xfId="24441"/>
    <cellStyle name="Credit subtotal 2 8 2 4 2 6" xfId="24442"/>
    <cellStyle name="Credit subtotal 2 8 2 4 2 7" xfId="24443"/>
    <cellStyle name="Credit subtotal 2 8 2 4 2 8" xfId="24444"/>
    <cellStyle name="Credit subtotal 2 8 2 4 2 9" xfId="24445"/>
    <cellStyle name="Credit subtotal 2 8 2 4 3" xfId="24446"/>
    <cellStyle name="Credit subtotal 2 8 2 4 4" xfId="24447"/>
    <cellStyle name="Credit subtotal 2 8 2 4 5" xfId="24448"/>
    <cellStyle name="Credit subtotal 2 8 2 4 6" xfId="24449"/>
    <cellStyle name="Credit subtotal 2 8 2 4 7" xfId="24450"/>
    <cellStyle name="Credit subtotal 2 8 2 4 8" xfId="24451"/>
    <cellStyle name="Credit subtotal 2 8 2 4 9" xfId="24452"/>
    <cellStyle name="Credit subtotal 2 8 2 5" xfId="24453"/>
    <cellStyle name="Credit subtotal 2 8 2 5 2" xfId="24454"/>
    <cellStyle name="Credit subtotal 2 8 2 5 3" xfId="24455"/>
    <cellStyle name="Credit subtotal 2 8 2 6" xfId="24456"/>
    <cellStyle name="Credit subtotal 2 8 3" xfId="24457"/>
    <cellStyle name="Credit subtotal 2 8 3 2" xfId="24458"/>
    <cellStyle name="Credit subtotal 2 8 3 2 10" xfId="24459"/>
    <cellStyle name="Credit subtotal 2 8 3 2 11" xfId="24460"/>
    <cellStyle name="Credit subtotal 2 8 3 2 12" xfId="24461"/>
    <cellStyle name="Credit subtotal 2 8 3 2 13" xfId="24462"/>
    <cellStyle name="Credit subtotal 2 8 3 2 14" xfId="24463"/>
    <cellStyle name="Credit subtotal 2 8 3 2 15" xfId="24464"/>
    <cellStyle name="Credit subtotal 2 8 3 2 16" xfId="24465"/>
    <cellStyle name="Credit subtotal 2 8 3 2 17" xfId="24466"/>
    <cellStyle name="Credit subtotal 2 8 3 2 18" xfId="24467"/>
    <cellStyle name="Credit subtotal 2 8 3 2 19" xfId="24468"/>
    <cellStyle name="Credit subtotal 2 8 3 2 2" xfId="24469"/>
    <cellStyle name="Credit subtotal 2 8 3 2 2 2" xfId="24470"/>
    <cellStyle name="Credit subtotal 2 8 3 2 2 3" xfId="24471"/>
    <cellStyle name="Credit subtotal 2 8 3 2 2 4" xfId="24472"/>
    <cellStyle name="Credit subtotal 2 8 3 2 2 5" xfId="24473"/>
    <cellStyle name="Credit subtotal 2 8 3 2 2 6" xfId="24474"/>
    <cellStyle name="Credit subtotal 2 8 3 2 2 7" xfId="24475"/>
    <cellStyle name="Credit subtotal 2 8 3 2 2 8" xfId="24476"/>
    <cellStyle name="Credit subtotal 2 8 3 2 2 9" xfId="24477"/>
    <cellStyle name="Credit subtotal 2 8 3 2 20" xfId="24478"/>
    <cellStyle name="Credit subtotal 2 8 3 2 21" xfId="24479"/>
    <cellStyle name="Credit subtotal 2 8 3 2 3" xfId="24480"/>
    <cellStyle name="Credit subtotal 2 8 3 2 4" xfId="24481"/>
    <cellStyle name="Credit subtotal 2 8 3 2 5" xfId="24482"/>
    <cellStyle name="Credit subtotal 2 8 3 2 6" xfId="24483"/>
    <cellStyle name="Credit subtotal 2 8 3 2 7" xfId="24484"/>
    <cellStyle name="Credit subtotal 2 8 3 2 8" xfId="24485"/>
    <cellStyle name="Credit subtotal 2 8 3 2 9" xfId="24486"/>
    <cellStyle name="Credit subtotal 2 8 3 3" xfId="24487"/>
    <cellStyle name="Credit subtotal 2 8 3 3 10" xfId="24488"/>
    <cellStyle name="Credit subtotal 2 8 3 3 11" xfId="24489"/>
    <cellStyle name="Credit subtotal 2 8 3 3 12" xfId="24490"/>
    <cellStyle name="Credit subtotal 2 8 3 3 13" xfId="24491"/>
    <cellStyle name="Credit subtotal 2 8 3 3 14" xfId="24492"/>
    <cellStyle name="Credit subtotal 2 8 3 3 15" xfId="24493"/>
    <cellStyle name="Credit subtotal 2 8 3 3 16" xfId="24494"/>
    <cellStyle name="Credit subtotal 2 8 3 3 17" xfId="24495"/>
    <cellStyle name="Credit subtotal 2 8 3 3 18" xfId="24496"/>
    <cellStyle name="Credit subtotal 2 8 3 3 19" xfId="24497"/>
    <cellStyle name="Credit subtotal 2 8 3 3 2" xfId="24498"/>
    <cellStyle name="Credit subtotal 2 8 3 3 2 2" xfId="24499"/>
    <cellStyle name="Credit subtotal 2 8 3 3 2 3" xfId="24500"/>
    <cellStyle name="Credit subtotal 2 8 3 3 2 4" xfId="24501"/>
    <cellStyle name="Credit subtotal 2 8 3 3 2 5" xfId="24502"/>
    <cellStyle name="Credit subtotal 2 8 3 3 2 6" xfId="24503"/>
    <cellStyle name="Credit subtotal 2 8 3 3 2 7" xfId="24504"/>
    <cellStyle name="Credit subtotal 2 8 3 3 2 8" xfId="24505"/>
    <cellStyle name="Credit subtotal 2 8 3 3 2 9" xfId="24506"/>
    <cellStyle name="Credit subtotal 2 8 3 3 3" xfId="24507"/>
    <cellStyle name="Credit subtotal 2 8 3 3 4" xfId="24508"/>
    <cellStyle name="Credit subtotal 2 8 3 3 5" xfId="24509"/>
    <cellStyle name="Credit subtotal 2 8 3 3 6" xfId="24510"/>
    <cellStyle name="Credit subtotal 2 8 3 3 7" xfId="24511"/>
    <cellStyle name="Credit subtotal 2 8 3 3 8" xfId="24512"/>
    <cellStyle name="Credit subtotal 2 8 3 3 9" xfId="24513"/>
    <cellStyle name="Credit subtotal 2 8 3 4" xfId="24514"/>
    <cellStyle name="Credit subtotal 2 8 3 4 10" xfId="24515"/>
    <cellStyle name="Credit subtotal 2 8 3 4 11" xfId="24516"/>
    <cellStyle name="Credit subtotal 2 8 3 4 12" xfId="24517"/>
    <cellStyle name="Credit subtotal 2 8 3 4 13" xfId="24518"/>
    <cellStyle name="Credit subtotal 2 8 3 4 14" xfId="24519"/>
    <cellStyle name="Credit subtotal 2 8 3 4 15" xfId="24520"/>
    <cellStyle name="Credit subtotal 2 8 3 4 16" xfId="24521"/>
    <cellStyle name="Credit subtotal 2 8 3 4 17" xfId="24522"/>
    <cellStyle name="Credit subtotal 2 8 3 4 18" xfId="24523"/>
    <cellStyle name="Credit subtotal 2 8 3 4 2" xfId="24524"/>
    <cellStyle name="Credit subtotal 2 8 3 4 2 2" xfId="24525"/>
    <cellStyle name="Credit subtotal 2 8 3 4 2 3" xfId="24526"/>
    <cellStyle name="Credit subtotal 2 8 3 4 2 4" xfId="24527"/>
    <cellStyle name="Credit subtotal 2 8 3 4 2 5" xfId="24528"/>
    <cellStyle name="Credit subtotal 2 8 3 4 2 6" xfId="24529"/>
    <cellStyle name="Credit subtotal 2 8 3 4 2 7" xfId="24530"/>
    <cellStyle name="Credit subtotal 2 8 3 4 2 8" xfId="24531"/>
    <cellStyle name="Credit subtotal 2 8 3 4 2 9" xfId="24532"/>
    <cellStyle name="Credit subtotal 2 8 3 4 3" xfId="24533"/>
    <cellStyle name="Credit subtotal 2 8 3 4 4" xfId="24534"/>
    <cellStyle name="Credit subtotal 2 8 3 4 5" xfId="24535"/>
    <cellStyle name="Credit subtotal 2 8 3 4 6" xfId="24536"/>
    <cellStyle name="Credit subtotal 2 8 3 4 7" xfId="24537"/>
    <cellStyle name="Credit subtotal 2 8 3 4 8" xfId="24538"/>
    <cellStyle name="Credit subtotal 2 8 3 4 9" xfId="24539"/>
    <cellStyle name="Credit subtotal 2 8 3 5" xfId="24540"/>
    <cellStyle name="Credit subtotal 2 8 3 5 2" xfId="24541"/>
    <cellStyle name="Credit subtotal 2 8 3 5 3" xfId="24542"/>
    <cellStyle name="Credit subtotal 2 8 3 6" xfId="24543"/>
    <cellStyle name="Credit subtotal 2 8 4" xfId="24544"/>
    <cellStyle name="Credit subtotal 2 8 4 10" xfId="24545"/>
    <cellStyle name="Credit subtotal 2 8 4 11" xfId="24546"/>
    <cellStyle name="Credit subtotal 2 8 4 12" xfId="24547"/>
    <cellStyle name="Credit subtotal 2 8 4 13" xfId="24548"/>
    <cellStyle name="Credit subtotal 2 8 4 14" xfId="24549"/>
    <cellStyle name="Credit subtotal 2 8 4 15" xfId="24550"/>
    <cellStyle name="Credit subtotal 2 8 4 16" xfId="24551"/>
    <cellStyle name="Credit subtotal 2 8 4 17" xfId="24552"/>
    <cellStyle name="Credit subtotal 2 8 4 18" xfId="24553"/>
    <cellStyle name="Credit subtotal 2 8 4 19" xfId="24554"/>
    <cellStyle name="Credit subtotal 2 8 4 2" xfId="24555"/>
    <cellStyle name="Credit subtotal 2 8 4 2 2" xfId="24556"/>
    <cellStyle name="Credit subtotal 2 8 4 2 3" xfId="24557"/>
    <cellStyle name="Credit subtotal 2 8 4 2 4" xfId="24558"/>
    <cellStyle name="Credit subtotal 2 8 4 2 5" xfId="24559"/>
    <cellStyle name="Credit subtotal 2 8 4 2 6" xfId="24560"/>
    <cellStyle name="Credit subtotal 2 8 4 2 7" xfId="24561"/>
    <cellStyle name="Credit subtotal 2 8 4 2 8" xfId="24562"/>
    <cellStyle name="Credit subtotal 2 8 4 2 9" xfId="24563"/>
    <cellStyle name="Credit subtotal 2 8 4 20" xfId="24564"/>
    <cellStyle name="Credit subtotal 2 8 4 21" xfId="24565"/>
    <cellStyle name="Credit subtotal 2 8 4 3" xfId="24566"/>
    <cellStyle name="Credit subtotal 2 8 4 4" xfId="24567"/>
    <cellStyle name="Credit subtotal 2 8 4 5" xfId="24568"/>
    <cellStyle name="Credit subtotal 2 8 4 6" xfId="24569"/>
    <cellStyle name="Credit subtotal 2 8 4 7" xfId="24570"/>
    <cellStyle name="Credit subtotal 2 8 4 8" xfId="24571"/>
    <cellStyle name="Credit subtotal 2 8 4 9" xfId="24572"/>
    <cellStyle name="Credit subtotal 2 8 5" xfId="24573"/>
    <cellStyle name="Credit subtotal 2 8 5 10" xfId="24574"/>
    <cellStyle name="Credit subtotal 2 8 5 11" xfId="24575"/>
    <cellStyle name="Credit subtotal 2 8 5 12" xfId="24576"/>
    <cellStyle name="Credit subtotal 2 8 5 13" xfId="24577"/>
    <cellStyle name="Credit subtotal 2 8 5 14" xfId="24578"/>
    <cellStyle name="Credit subtotal 2 8 5 15" xfId="24579"/>
    <cellStyle name="Credit subtotal 2 8 5 16" xfId="24580"/>
    <cellStyle name="Credit subtotal 2 8 5 17" xfId="24581"/>
    <cellStyle name="Credit subtotal 2 8 5 18" xfId="24582"/>
    <cellStyle name="Credit subtotal 2 8 5 19" xfId="24583"/>
    <cellStyle name="Credit subtotal 2 8 5 2" xfId="24584"/>
    <cellStyle name="Credit subtotal 2 8 5 2 2" xfId="24585"/>
    <cellStyle name="Credit subtotal 2 8 5 2 3" xfId="24586"/>
    <cellStyle name="Credit subtotal 2 8 5 2 4" xfId="24587"/>
    <cellStyle name="Credit subtotal 2 8 5 2 5" xfId="24588"/>
    <cellStyle name="Credit subtotal 2 8 5 2 6" xfId="24589"/>
    <cellStyle name="Credit subtotal 2 8 5 2 7" xfId="24590"/>
    <cellStyle name="Credit subtotal 2 8 5 2 8" xfId="24591"/>
    <cellStyle name="Credit subtotal 2 8 5 2 9" xfId="24592"/>
    <cellStyle name="Credit subtotal 2 8 5 3" xfId="24593"/>
    <cellStyle name="Credit subtotal 2 8 5 4" xfId="24594"/>
    <cellStyle name="Credit subtotal 2 8 5 5" xfId="24595"/>
    <cellStyle name="Credit subtotal 2 8 5 6" xfId="24596"/>
    <cellStyle name="Credit subtotal 2 8 5 7" xfId="24597"/>
    <cellStyle name="Credit subtotal 2 8 5 8" xfId="24598"/>
    <cellStyle name="Credit subtotal 2 8 5 9" xfId="24599"/>
    <cellStyle name="Credit subtotal 2 8 6" xfId="24600"/>
    <cellStyle name="Credit subtotal 2 8 6 10" xfId="24601"/>
    <cellStyle name="Credit subtotal 2 8 6 11" xfId="24602"/>
    <cellStyle name="Credit subtotal 2 8 6 12" xfId="24603"/>
    <cellStyle name="Credit subtotal 2 8 6 13" xfId="24604"/>
    <cellStyle name="Credit subtotal 2 8 6 14" xfId="24605"/>
    <cellStyle name="Credit subtotal 2 8 6 15" xfId="24606"/>
    <cellStyle name="Credit subtotal 2 8 6 16" xfId="24607"/>
    <cellStyle name="Credit subtotal 2 8 6 17" xfId="24608"/>
    <cellStyle name="Credit subtotal 2 8 6 18" xfId="24609"/>
    <cellStyle name="Credit subtotal 2 8 6 2" xfId="24610"/>
    <cellStyle name="Credit subtotal 2 8 6 2 2" xfId="24611"/>
    <cellStyle name="Credit subtotal 2 8 6 2 3" xfId="24612"/>
    <cellStyle name="Credit subtotal 2 8 6 2 4" xfId="24613"/>
    <cellStyle name="Credit subtotal 2 8 6 2 5" xfId="24614"/>
    <cellStyle name="Credit subtotal 2 8 6 2 6" xfId="24615"/>
    <cellStyle name="Credit subtotal 2 8 6 2 7" xfId="24616"/>
    <cellStyle name="Credit subtotal 2 8 6 2 8" xfId="24617"/>
    <cellStyle name="Credit subtotal 2 8 6 2 9" xfId="24618"/>
    <cellStyle name="Credit subtotal 2 8 6 3" xfId="24619"/>
    <cellStyle name="Credit subtotal 2 8 6 4" xfId="24620"/>
    <cellStyle name="Credit subtotal 2 8 6 5" xfId="24621"/>
    <cellStyle name="Credit subtotal 2 8 6 6" xfId="24622"/>
    <cellStyle name="Credit subtotal 2 8 6 7" xfId="24623"/>
    <cellStyle name="Credit subtotal 2 8 6 8" xfId="24624"/>
    <cellStyle name="Credit subtotal 2 8 6 9" xfId="24625"/>
    <cellStyle name="Credit subtotal 2 8 7" xfId="24626"/>
    <cellStyle name="Credit subtotal 2 8 7 2" xfId="24627"/>
    <cellStyle name="Credit subtotal 2 8 7 3" xfId="24628"/>
    <cellStyle name="Credit subtotal 2 8 8" xfId="24629"/>
    <cellStyle name="Credit subtotal 2 9" xfId="24630"/>
    <cellStyle name="Credit subtotal 2 9 2" xfId="24631"/>
    <cellStyle name="Credit subtotal 2 9 2 2" xfId="24632"/>
    <cellStyle name="Credit subtotal 2 9 2 2 10" xfId="24633"/>
    <cellStyle name="Credit subtotal 2 9 2 2 11" xfId="24634"/>
    <cellStyle name="Credit subtotal 2 9 2 2 12" xfId="24635"/>
    <cellStyle name="Credit subtotal 2 9 2 2 13" xfId="24636"/>
    <cellStyle name="Credit subtotal 2 9 2 2 14" xfId="24637"/>
    <cellStyle name="Credit subtotal 2 9 2 2 15" xfId="24638"/>
    <cellStyle name="Credit subtotal 2 9 2 2 16" xfId="24639"/>
    <cellStyle name="Credit subtotal 2 9 2 2 17" xfId="24640"/>
    <cellStyle name="Credit subtotal 2 9 2 2 18" xfId="24641"/>
    <cellStyle name="Credit subtotal 2 9 2 2 19" xfId="24642"/>
    <cellStyle name="Credit subtotal 2 9 2 2 2" xfId="24643"/>
    <cellStyle name="Credit subtotal 2 9 2 2 2 2" xfId="24644"/>
    <cellStyle name="Credit subtotal 2 9 2 2 2 3" xfId="24645"/>
    <cellStyle name="Credit subtotal 2 9 2 2 2 4" xfId="24646"/>
    <cellStyle name="Credit subtotal 2 9 2 2 2 5" xfId="24647"/>
    <cellStyle name="Credit subtotal 2 9 2 2 2 6" xfId="24648"/>
    <cellStyle name="Credit subtotal 2 9 2 2 2 7" xfId="24649"/>
    <cellStyle name="Credit subtotal 2 9 2 2 2 8" xfId="24650"/>
    <cellStyle name="Credit subtotal 2 9 2 2 2 9" xfId="24651"/>
    <cellStyle name="Credit subtotal 2 9 2 2 20" xfId="24652"/>
    <cellStyle name="Credit subtotal 2 9 2 2 21" xfId="24653"/>
    <cellStyle name="Credit subtotal 2 9 2 2 3" xfId="24654"/>
    <cellStyle name="Credit subtotal 2 9 2 2 4" xfId="24655"/>
    <cellStyle name="Credit subtotal 2 9 2 2 5" xfId="24656"/>
    <cellStyle name="Credit subtotal 2 9 2 2 6" xfId="24657"/>
    <cellStyle name="Credit subtotal 2 9 2 2 7" xfId="24658"/>
    <cellStyle name="Credit subtotal 2 9 2 2 8" xfId="24659"/>
    <cellStyle name="Credit subtotal 2 9 2 2 9" xfId="24660"/>
    <cellStyle name="Credit subtotal 2 9 2 3" xfId="24661"/>
    <cellStyle name="Credit subtotal 2 9 2 3 10" xfId="24662"/>
    <cellStyle name="Credit subtotal 2 9 2 3 11" xfId="24663"/>
    <cellStyle name="Credit subtotal 2 9 2 3 12" xfId="24664"/>
    <cellStyle name="Credit subtotal 2 9 2 3 13" xfId="24665"/>
    <cellStyle name="Credit subtotal 2 9 2 3 14" xfId="24666"/>
    <cellStyle name="Credit subtotal 2 9 2 3 15" xfId="24667"/>
    <cellStyle name="Credit subtotal 2 9 2 3 16" xfId="24668"/>
    <cellStyle name="Credit subtotal 2 9 2 3 17" xfId="24669"/>
    <cellStyle name="Credit subtotal 2 9 2 3 18" xfId="24670"/>
    <cellStyle name="Credit subtotal 2 9 2 3 19" xfId="24671"/>
    <cellStyle name="Credit subtotal 2 9 2 3 2" xfId="24672"/>
    <cellStyle name="Credit subtotal 2 9 2 3 2 2" xfId="24673"/>
    <cellStyle name="Credit subtotal 2 9 2 3 2 3" xfId="24674"/>
    <cellStyle name="Credit subtotal 2 9 2 3 2 4" xfId="24675"/>
    <cellStyle name="Credit subtotal 2 9 2 3 2 5" xfId="24676"/>
    <cellStyle name="Credit subtotal 2 9 2 3 2 6" xfId="24677"/>
    <cellStyle name="Credit subtotal 2 9 2 3 2 7" xfId="24678"/>
    <cellStyle name="Credit subtotal 2 9 2 3 2 8" xfId="24679"/>
    <cellStyle name="Credit subtotal 2 9 2 3 2 9" xfId="24680"/>
    <cellStyle name="Credit subtotal 2 9 2 3 3" xfId="24681"/>
    <cellStyle name="Credit subtotal 2 9 2 3 4" xfId="24682"/>
    <cellStyle name="Credit subtotal 2 9 2 3 5" xfId="24683"/>
    <cellStyle name="Credit subtotal 2 9 2 3 6" xfId="24684"/>
    <cellStyle name="Credit subtotal 2 9 2 3 7" xfId="24685"/>
    <cellStyle name="Credit subtotal 2 9 2 3 8" xfId="24686"/>
    <cellStyle name="Credit subtotal 2 9 2 3 9" xfId="24687"/>
    <cellStyle name="Credit subtotal 2 9 2 4" xfId="24688"/>
    <cellStyle name="Credit subtotal 2 9 2 4 10" xfId="24689"/>
    <cellStyle name="Credit subtotal 2 9 2 4 11" xfId="24690"/>
    <cellStyle name="Credit subtotal 2 9 2 4 12" xfId="24691"/>
    <cellStyle name="Credit subtotal 2 9 2 4 13" xfId="24692"/>
    <cellStyle name="Credit subtotal 2 9 2 4 14" xfId="24693"/>
    <cellStyle name="Credit subtotal 2 9 2 4 15" xfId="24694"/>
    <cellStyle name="Credit subtotal 2 9 2 4 16" xfId="24695"/>
    <cellStyle name="Credit subtotal 2 9 2 4 17" xfId="24696"/>
    <cellStyle name="Credit subtotal 2 9 2 4 18" xfId="24697"/>
    <cellStyle name="Credit subtotal 2 9 2 4 2" xfId="24698"/>
    <cellStyle name="Credit subtotal 2 9 2 4 2 2" xfId="24699"/>
    <cellStyle name="Credit subtotal 2 9 2 4 2 3" xfId="24700"/>
    <cellStyle name="Credit subtotal 2 9 2 4 2 4" xfId="24701"/>
    <cellStyle name="Credit subtotal 2 9 2 4 2 5" xfId="24702"/>
    <cellStyle name="Credit subtotal 2 9 2 4 2 6" xfId="24703"/>
    <cellStyle name="Credit subtotal 2 9 2 4 2 7" xfId="24704"/>
    <cellStyle name="Credit subtotal 2 9 2 4 2 8" xfId="24705"/>
    <cellStyle name="Credit subtotal 2 9 2 4 2 9" xfId="24706"/>
    <cellStyle name="Credit subtotal 2 9 2 4 3" xfId="24707"/>
    <cellStyle name="Credit subtotal 2 9 2 4 4" xfId="24708"/>
    <cellStyle name="Credit subtotal 2 9 2 4 5" xfId="24709"/>
    <cellStyle name="Credit subtotal 2 9 2 4 6" xfId="24710"/>
    <cellStyle name="Credit subtotal 2 9 2 4 7" xfId="24711"/>
    <cellStyle name="Credit subtotal 2 9 2 4 8" xfId="24712"/>
    <cellStyle name="Credit subtotal 2 9 2 4 9" xfId="24713"/>
    <cellStyle name="Credit subtotal 2 9 2 5" xfId="24714"/>
    <cellStyle name="Credit subtotal 2 9 2 5 2" xfId="24715"/>
    <cellStyle name="Credit subtotal 2 9 2 5 3" xfId="24716"/>
    <cellStyle name="Credit subtotal 2 9 2 6" xfId="24717"/>
    <cellStyle name="Credit subtotal 2 9 3" xfId="24718"/>
    <cellStyle name="Credit subtotal 2 9 3 2" xfId="24719"/>
    <cellStyle name="Credit subtotal 2 9 3 2 10" xfId="24720"/>
    <cellStyle name="Credit subtotal 2 9 3 2 11" xfId="24721"/>
    <cellStyle name="Credit subtotal 2 9 3 2 12" xfId="24722"/>
    <cellStyle name="Credit subtotal 2 9 3 2 13" xfId="24723"/>
    <cellStyle name="Credit subtotal 2 9 3 2 14" xfId="24724"/>
    <cellStyle name="Credit subtotal 2 9 3 2 15" xfId="24725"/>
    <cellStyle name="Credit subtotal 2 9 3 2 16" xfId="24726"/>
    <cellStyle name="Credit subtotal 2 9 3 2 17" xfId="24727"/>
    <cellStyle name="Credit subtotal 2 9 3 2 18" xfId="24728"/>
    <cellStyle name="Credit subtotal 2 9 3 2 19" xfId="24729"/>
    <cellStyle name="Credit subtotal 2 9 3 2 2" xfId="24730"/>
    <cellStyle name="Credit subtotal 2 9 3 2 2 2" xfId="24731"/>
    <cellStyle name="Credit subtotal 2 9 3 2 2 3" xfId="24732"/>
    <cellStyle name="Credit subtotal 2 9 3 2 2 4" xfId="24733"/>
    <cellStyle name="Credit subtotal 2 9 3 2 2 5" xfId="24734"/>
    <cellStyle name="Credit subtotal 2 9 3 2 2 6" xfId="24735"/>
    <cellStyle name="Credit subtotal 2 9 3 2 2 7" xfId="24736"/>
    <cellStyle name="Credit subtotal 2 9 3 2 2 8" xfId="24737"/>
    <cellStyle name="Credit subtotal 2 9 3 2 2 9" xfId="24738"/>
    <cellStyle name="Credit subtotal 2 9 3 2 20" xfId="24739"/>
    <cellStyle name="Credit subtotal 2 9 3 2 21" xfId="24740"/>
    <cellStyle name="Credit subtotal 2 9 3 2 3" xfId="24741"/>
    <cellStyle name="Credit subtotal 2 9 3 2 4" xfId="24742"/>
    <cellStyle name="Credit subtotal 2 9 3 2 5" xfId="24743"/>
    <cellStyle name="Credit subtotal 2 9 3 2 6" xfId="24744"/>
    <cellStyle name="Credit subtotal 2 9 3 2 7" xfId="24745"/>
    <cellStyle name="Credit subtotal 2 9 3 2 8" xfId="24746"/>
    <cellStyle name="Credit subtotal 2 9 3 2 9" xfId="24747"/>
    <cellStyle name="Credit subtotal 2 9 3 3" xfId="24748"/>
    <cellStyle name="Credit subtotal 2 9 3 3 10" xfId="24749"/>
    <cellStyle name="Credit subtotal 2 9 3 3 11" xfId="24750"/>
    <cellStyle name="Credit subtotal 2 9 3 3 12" xfId="24751"/>
    <cellStyle name="Credit subtotal 2 9 3 3 13" xfId="24752"/>
    <cellStyle name="Credit subtotal 2 9 3 3 14" xfId="24753"/>
    <cellStyle name="Credit subtotal 2 9 3 3 15" xfId="24754"/>
    <cellStyle name="Credit subtotal 2 9 3 3 16" xfId="24755"/>
    <cellStyle name="Credit subtotal 2 9 3 3 17" xfId="24756"/>
    <cellStyle name="Credit subtotal 2 9 3 3 18" xfId="24757"/>
    <cellStyle name="Credit subtotal 2 9 3 3 19" xfId="24758"/>
    <cellStyle name="Credit subtotal 2 9 3 3 2" xfId="24759"/>
    <cellStyle name="Credit subtotal 2 9 3 3 2 2" xfId="24760"/>
    <cellStyle name="Credit subtotal 2 9 3 3 2 3" xfId="24761"/>
    <cellStyle name="Credit subtotal 2 9 3 3 2 4" xfId="24762"/>
    <cellStyle name="Credit subtotal 2 9 3 3 2 5" xfId="24763"/>
    <cellStyle name="Credit subtotal 2 9 3 3 2 6" xfId="24764"/>
    <cellStyle name="Credit subtotal 2 9 3 3 2 7" xfId="24765"/>
    <cellStyle name="Credit subtotal 2 9 3 3 2 8" xfId="24766"/>
    <cellStyle name="Credit subtotal 2 9 3 3 2 9" xfId="24767"/>
    <cellStyle name="Credit subtotal 2 9 3 3 3" xfId="24768"/>
    <cellStyle name="Credit subtotal 2 9 3 3 4" xfId="24769"/>
    <cellStyle name="Credit subtotal 2 9 3 3 5" xfId="24770"/>
    <cellStyle name="Credit subtotal 2 9 3 3 6" xfId="24771"/>
    <cellStyle name="Credit subtotal 2 9 3 3 7" xfId="24772"/>
    <cellStyle name="Credit subtotal 2 9 3 3 8" xfId="24773"/>
    <cellStyle name="Credit subtotal 2 9 3 3 9" xfId="24774"/>
    <cellStyle name="Credit subtotal 2 9 3 4" xfId="24775"/>
    <cellStyle name="Credit subtotal 2 9 3 4 10" xfId="24776"/>
    <cellStyle name="Credit subtotal 2 9 3 4 11" xfId="24777"/>
    <cellStyle name="Credit subtotal 2 9 3 4 12" xfId="24778"/>
    <cellStyle name="Credit subtotal 2 9 3 4 13" xfId="24779"/>
    <cellStyle name="Credit subtotal 2 9 3 4 14" xfId="24780"/>
    <cellStyle name="Credit subtotal 2 9 3 4 15" xfId="24781"/>
    <cellStyle name="Credit subtotal 2 9 3 4 16" xfId="24782"/>
    <cellStyle name="Credit subtotal 2 9 3 4 17" xfId="24783"/>
    <cellStyle name="Credit subtotal 2 9 3 4 18" xfId="24784"/>
    <cellStyle name="Credit subtotal 2 9 3 4 2" xfId="24785"/>
    <cellStyle name="Credit subtotal 2 9 3 4 2 2" xfId="24786"/>
    <cellStyle name="Credit subtotal 2 9 3 4 2 3" xfId="24787"/>
    <cellStyle name="Credit subtotal 2 9 3 4 2 4" xfId="24788"/>
    <cellStyle name="Credit subtotal 2 9 3 4 2 5" xfId="24789"/>
    <cellStyle name="Credit subtotal 2 9 3 4 2 6" xfId="24790"/>
    <cellStyle name="Credit subtotal 2 9 3 4 2 7" xfId="24791"/>
    <cellStyle name="Credit subtotal 2 9 3 4 2 8" xfId="24792"/>
    <cellStyle name="Credit subtotal 2 9 3 4 2 9" xfId="24793"/>
    <cellStyle name="Credit subtotal 2 9 3 4 3" xfId="24794"/>
    <cellStyle name="Credit subtotal 2 9 3 4 4" xfId="24795"/>
    <cellStyle name="Credit subtotal 2 9 3 4 5" xfId="24796"/>
    <cellStyle name="Credit subtotal 2 9 3 4 6" xfId="24797"/>
    <cellStyle name="Credit subtotal 2 9 3 4 7" xfId="24798"/>
    <cellStyle name="Credit subtotal 2 9 3 4 8" xfId="24799"/>
    <cellStyle name="Credit subtotal 2 9 3 4 9" xfId="24800"/>
    <cellStyle name="Credit subtotal 2 9 3 5" xfId="24801"/>
    <cellStyle name="Credit subtotal 2 9 3 5 2" xfId="24802"/>
    <cellStyle name="Credit subtotal 2 9 3 5 3" xfId="24803"/>
    <cellStyle name="Credit subtotal 2 9 3 6" xfId="24804"/>
    <cellStyle name="Credit subtotal 2 9 4" xfId="24805"/>
    <cellStyle name="Credit subtotal 2 9 4 10" xfId="24806"/>
    <cellStyle name="Credit subtotal 2 9 4 11" xfId="24807"/>
    <cellStyle name="Credit subtotal 2 9 4 12" xfId="24808"/>
    <cellStyle name="Credit subtotal 2 9 4 13" xfId="24809"/>
    <cellStyle name="Credit subtotal 2 9 4 14" xfId="24810"/>
    <cellStyle name="Credit subtotal 2 9 4 15" xfId="24811"/>
    <cellStyle name="Credit subtotal 2 9 4 16" xfId="24812"/>
    <cellStyle name="Credit subtotal 2 9 4 17" xfId="24813"/>
    <cellStyle name="Credit subtotal 2 9 4 18" xfId="24814"/>
    <cellStyle name="Credit subtotal 2 9 4 19" xfId="24815"/>
    <cellStyle name="Credit subtotal 2 9 4 2" xfId="24816"/>
    <cellStyle name="Credit subtotal 2 9 4 2 2" xfId="24817"/>
    <cellStyle name="Credit subtotal 2 9 4 2 3" xfId="24818"/>
    <cellStyle name="Credit subtotal 2 9 4 2 4" xfId="24819"/>
    <cellStyle name="Credit subtotal 2 9 4 2 5" xfId="24820"/>
    <cellStyle name="Credit subtotal 2 9 4 2 6" xfId="24821"/>
    <cellStyle name="Credit subtotal 2 9 4 2 7" xfId="24822"/>
    <cellStyle name="Credit subtotal 2 9 4 2 8" xfId="24823"/>
    <cellStyle name="Credit subtotal 2 9 4 2 9" xfId="24824"/>
    <cellStyle name="Credit subtotal 2 9 4 20" xfId="24825"/>
    <cellStyle name="Credit subtotal 2 9 4 21" xfId="24826"/>
    <cellStyle name="Credit subtotal 2 9 4 3" xfId="24827"/>
    <cellStyle name="Credit subtotal 2 9 4 4" xfId="24828"/>
    <cellStyle name="Credit subtotal 2 9 4 5" xfId="24829"/>
    <cellStyle name="Credit subtotal 2 9 4 6" xfId="24830"/>
    <cellStyle name="Credit subtotal 2 9 4 7" xfId="24831"/>
    <cellStyle name="Credit subtotal 2 9 4 8" xfId="24832"/>
    <cellStyle name="Credit subtotal 2 9 4 9" xfId="24833"/>
    <cellStyle name="Credit subtotal 2 9 5" xfId="24834"/>
    <cellStyle name="Credit subtotal 2 9 5 10" xfId="24835"/>
    <cellStyle name="Credit subtotal 2 9 5 11" xfId="24836"/>
    <cellStyle name="Credit subtotal 2 9 5 12" xfId="24837"/>
    <cellStyle name="Credit subtotal 2 9 5 13" xfId="24838"/>
    <cellStyle name="Credit subtotal 2 9 5 14" xfId="24839"/>
    <cellStyle name="Credit subtotal 2 9 5 15" xfId="24840"/>
    <cellStyle name="Credit subtotal 2 9 5 16" xfId="24841"/>
    <cellStyle name="Credit subtotal 2 9 5 17" xfId="24842"/>
    <cellStyle name="Credit subtotal 2 9 5 18" xfId="24843"/>
    <cellStyle name="Credit subtotal 2 9 5 19" xfId="24844"/>
    <cellStyle name="Credit subtotal 2 9 5 2" xfId="24845"/>
    <cellStyle name="Credit subtotal 2 9 5 2 2" xfId="24846"/>
    <cellStyle name="Credit subtotal 2 9 5 2 3" xfId="24847"/>
    <cellStyle name="Credit subtotal 2 9 5 2 4" xfId="24848"/>
    <cellStyle name="Credit subtotal 2 9 5 2 5" xfId="24849"/>
    <cellStyle name="Credit subtotal 2 9 5 2 6" xfId="24850"/>
    <cellStyle name="Credit subtotal 2 9 5 2 7" xfId="24851"/>
    <cellStyle name="Credit subtotal 2 9 5 2 8" xfId="24852"/>
    <cellStyle name="Credit subtotal 2 9 5 2 9" xfId="24853"/>
    <cellStyle name="Credit subtotal 2 9 5 3" xfId="24854"/>
    <cellStyle name="Credit subtotal 2 9 5 4" xfId="24855"/>
    <cellStyle name="Credit subtotal 2 9 5 5" xfId="24856"/>
    <cellStyle name="Credit subtotal 2 9 5 6" xfId="24857"/>
    <cellStyle name="Credit subtotal 2 9 5 7" xfId="24858"/>
    <cellStyle name="Credit subtotal 2 9 5 8" xfId="24859"/>
    <cellStyle name="Credit subtotal 2 9 5 9" xfId="24860"/>
    <cellStyle name="Credit subtotal 2 9 6" xfId="24861"/>
    <cellStyle name="Credit subtotal 2 9 6 10" xfId="24862"/>
    <cellStyle name="Credit subtotal 2 9 6 11" xfId="24863"/>
    <cellStyle name="Credit subtotal 2 9 6 12" xfId="24864"/>
    <cellStyle name="Credit subtotal 2 9 6 13" xfId="24865"/>
    <cellStyle name="Credit subtotal 2 9 6 14" xfId="24866"/>
    <cellStyle name="Credit subtotal 2 9 6 15" xfId="24867"/>
    <cellStyle name="Credit subtotal 2 9 6 16" xfId="24868"/>
    <cellStyle name="Credit subtotal 2 9 6 17" xfId="24869"/>
    <cellStyle name="Credit subtotal 2 9 6 18" xfId="24870"/>
    <cellStyle name="Credit subtotal 2 9 6 2" xfId="24871"/>
    <cellStyle name="Credit subtotal 2 9 6 2 2" xfId="24872"/>
    <cellStyle name="Credit subtotal 2 9 6 2 3" xfId="24873"/>
    <cellStyle name="Credit subtotal 2 9 6 2 4" xfId="24874"/>
    <cellStyle name="Credit subtotal 2 9 6 2 5" xfId="24875"/>
    <cellStyle name="Credit subtotal 2 9 6 2 6" xfId="24876"/>
    <cellStyle name="Credit subtotal 2 9 6 2 7" xfId="24877"/>
    <cellStyle name="Credit subtotal 2 9 6 2 8" xfId="24878"/>
    <cellStyle name="Credit subtotal 2 9 6 2 9" xfId="24879"/>
    <cellStyle name="Credit subtotal 2 9 6 3" xfId="24880"/>
    <cellStyle name="Credit subtotal 2 9 6 4" xfId="24881"/>
    <cellStyle name="Credit subtotal 2 9 6 5" xfId="24882"/>
    <cellStyle name="Credit subtotal 2 9 6 6" xfId="24883"/>
    <cellStyle name="Credit subtotal 2 9 6 7" xfId="24884"/>
    <cellStyle name="Credit subtotal 2 9 6 8" xfId="24885"/>
    <cellStyle name="Credit subtotal 2 9 6 9" xfId="24886"/>
    <cellStyle name="Credit subtotal 2 9 7" xfId="24887"/>
    <cellStyle name="Credit subtotal 2 9 7 2" xfId="24888"/>
    <cellStyle name="Credit subtotal 2 9 7 3" xfId="24889"/>
    <cellStyle name="Credit subtotal 2 9 8" xfId="24890"/>
    <cellStyle name="Credit subtotal 3" xfId="24891"/>
    <cellStyle name="Credit subtotal 3 10" xfId="24892"/>
    <cellStyle name="Credit subtotal 3 10 10" xfId="24893"/>
    <cellStyle name="Credit subtotal 3 10 11" xfId="24894"/>
    <cellStyle name="Credit subtotal 3 10 12" xfId="24895"/>
    <cellStyle name="Credit subtotal 3 10 13" xfId="24896"/>
    <cellStyle name="Credit subtotal 3 10 14" xfId="24897"/>
    <cellStyle name="Credit subtotal 3 10 15" xfId="24898"/>
    <cellStyle name="Credit subtotal 3 10 16" xfId="24899"/>
    <cellStyle name="Credit subtotal 3 10 17" xfId="24900"/>
    <cellStyle name="Credit subtotal 3 10 18" xfId="24901"/>
    <cellStyle name="Credit subtotal 3 10 19" xfId="24902"/>
    <cellStyle name="Credit subtotal 3 10 2" xfId="24903"/>
    <cellStyle name="Credit subtotal 3 10 2 2" xfId="24904"/>
    <cellStyle name="Credit subtotal 3 10 2 3" xfId="24905"/>
    <cellStyle name="Credit subtotal 3 10 2 4" xfId="24906"/>
    <cellStyle name="Credit subtotal 3 10 2 5" xfId="24907"/>
    <cellStyle name="Credit subtotal 3 10 2 6" xfId="24908"/>
    <cellStyle name="Credit subtotal 3 10 2 7" xfId="24909"/>
    <cellStyle name="Credit subtotal 3 10 2 8" xfId="24910"/>
    <cellStyle name="Credit subtotal 3 10 2 9" xfId="24911"/>
    <cellStyle name="Credit subtotal 3 10 20" xfId="24912"/>
    <cellStyle name="Credit subtotal 3 10 21" xfId="24913"/>
    <cellStyle name="Credit subtotal 3 10 3" xfId="24914"/>
    <cellStyle name="Credit subtotal 3 10 4" xfId="24915"/>
    <cellStyle name="Credit subtotal 3 10 5" xfId="24916"/>
    <cellStyle name="Credit subtotal 3 10 6" xfId="24917"/>
    <cellStyle name="Credit subtotal 3 10 7" xfId="24918"/>
    <cellStyle name="Credit subtotal 3 10 8" xfId="24919"/>
    <cellStyle name="Credit subtotal 3 10 9" xfId="24920"/>
    <cellStyle name="Credit subtotal 3 11" xfId="24921"/>
    <cellStyle name="Credit subtotal 3 11 10" xfId="24922"/>
    <cellStyle name="Credit subtotal 3 11 11" xfId="24923"/>
    <cellStyle name="Credit subtotal 3 11 12" xfId="24924"/>
    <cellStyle name="Credit subtotal 3 11 13" xfId="24925"/>
    <cellStyle name="Credit subtotal 3 11 14" xfId="24926"/>
    <cellStyle name="Credit subtotal 3 11 15" xfId="24927"/>
    <cellStyle name="Credit subtotal 3 11 16" xfId="24928"/>
    <cellStyle name="Credit subtotal 3 11 17" xfId="24929"/>
    <cellStyle name="Credit subtotal 3 11 18" xfId="24930"/>
    <cellStyle name="Credit subtotal 3 11 19" xfId="24931"/>
    <cellStyle name="Credit subtotal 3 11 2" xfId="24932"/>
    <cellStyle name="Credit subtotal 3 11 2 2" xfId="24933"/>
    <cellStyle name="Credit subtotal 3 11 2 3" xfId="24934"/>
    <cellStyle name="Credit subtotal 3 11 2 4" xfId="24935"/>
    <cellStyle name="Credit subtotal 3 11 2 5" xfId="24936"/>
    <cellStyle name="Credit subtotal 3 11 2 6" xfId="24937"/>
    <cellStyle name="Credit subtotal 3 11 2 7" xfId="24938"/>
    <cellStyle name="Credit subtotal 3 11 2 8" xfId="24939"/>
    <cellStyle name="Credit subtotal 3 11 2 9" xfId="24940"/>
    <cellStyle name="Credit subtotal 3 11 3" xfId="24941"/>
    <cellStyle name="Credit subtotal 3 11 4" xfId="24942"/>
    <cellStyle name="Credit subtotal 3 11 5" xfId="24943"/>
    <cellStyle name="Credit subtotal 3 11 6" xfId="24944"/>
    <cellStyle name="Credit subtotal 3 11 7" xfId="24945"/>
    <cellStyle name="Credit subtotal 3 11 8" xfId="24946"/>
    <cellStyle name="Credit subtotal 3 11 9" xfId="24947"/>
    <cellStyle name="Credit subtotal 3 12" xfId="24948"/>
    <cellStyle name="Credit subtotal 3 12 10" xfId="24949"/>
    <cellStyle name="Credit subtotal 3 12 11" xfId="24950"/>
    <cellStyle name="Credit subtotal 3 12 12" xfId="24951"/>
    <cellStyle name="Credit subtotal 3 12 13" xfId="24952"/>
    <cellStyle name="Credit subtotal 3 12 14" xfId="24953"/>
    <cellStyle name="Credit subtotal 3 12 15" xfId="24954"/>
    <cellStyle name="Credit subtotal 3 12 16" xfId="24955"/>
    <cellStyle name="Credit subtotal 3 12 17" xfId="24956"/>
    <cellStyle name="Credit subtotal 3 12 18" xfId="24957"/>
    <cellStyle name="Credit subtotal 3 12 2" xfId="24958"/>
    <cellStyle name="Credit subtotal 3 12 2 2" xfId="24959"/>
    <cellStyle name="Credit subtotal 3 12 2 3" xfId="24960"/>
    <cellStyle name="Credit subtotal 3 12 2 4" xfId="24961"/>
    <cellStyle name="Credit subtotal 3 12 2 5" xfId="24962"/>
    <cellStyle name="Credit subtotal 3 12 2 6" xfId="24963"/>
    <cellStyle name="Credit subtotal 3 12 2 7" xfId="24964"/>
    <cellStyle name="Credit subtotal 3 12 2 8" xfId="24965"/>
    <cellStyle name="Credit subtotal 3 12 2 9" xfId="24966"/>
    <cellStyle name="Credit subtotal 3 12 3" xfId="24967"/>
    <cellStyle name="Credit subtotal 3 12 4" xfId="24968"/>
    <cellStyle name="Credit subtotal 3 12 5" xfId="24969"/>
    <cellStyle name="Credit subtotal 3 12 6" xfId="24970"/>
    <cellStyle name="Credit subtotal 3 12 7" xfId="24971"/>
    <cellStyle name="Credit subtotal 3 12 8" xfId="24972"/>
    <cellStyle name="Credit subtotal 3 12 9" xfId="24973"/>
    <cellStyle name="Credit subtotal 3 13" xfId="24974"/>
    <cellStyle name="Credit subtotal 3 13 2" xfId="24975"/>
    <cellStyle name="Credit subtotal 3 2" xfId="24976"/>
    <cellStyle name="Credit subtotal 3 2 2" xfId="24977"/>
    <cellStyle name="Credit subtotal 3 2 2 2" xfId="24978"/>
    <cellStyle name="Credit subtotal 3 2 2 2 10" xfId="24979"/>
    <cellStyle name="Credit subtotal 3 2 2 2 11" xfId="24980"/>
    <cellStyle name="Credit subtotal 3 2 2 2 12" xfId="24981"/>
    <cellStyle name="Credit subtotal 3 2 2 2 13" xfId="24982"/>
    <cellStyle name="Credit subtotal 3 2 2 2 14" xfId="24983"/>
    <cellStyle name="Credit subtotal 3 2 2 2 15" xfId="24984"/>
    <cellStyle name="Credit subtotal 3 2 2 2 16" xfId="24985"/>
    <cellStyle name="Credit subtotal 3 2 2 2 17" xfId="24986"/>
    <cellStyle name="Credit subtotal 3 2 2 2 18" xfId="24987"/>
    <cellStyle name="Credit subtotal 3 2 2 2 19" xfId="24988"/>
    <cellStyle name="Credit subtotal 3 2 2 2 2" xfId="24989"/>
    <cellStyle name="Credit subtotal 3 2 2 2 2 2" xfId="24990"/>
    <cellStyle name="Credit subtotal 3 2 2 2 2 3" xfId="24991"/>
    <cellStyle name="Credit subtotal 3 2 2 2 2 4" xfId="24992"/>
    <cellStyle name="Credit subtotal 3 2 2 2 2 5" xfId="24993"/>
    <cellStyle name="Credit subtotal 3 2 2 2 2 6" xfId="24994"/>
    <cellStyle name="Credit subtotal 3 2 2 2 2 7" xfId="24995"/>
    <cellStyle name="Credit subtotal 3 2 2 2 2 8" xfId="24996"/>
    <cellStyle name="Credit subtotal 3 2 2 2 2 9" xfId="24997"/>
    <cellStyle name="Credit subtotal 3 2 2 2 20" xfId="24998"/>
    <cellStyle name="Credit subtotal 3 2 2 2 21" xfId="24999"/>
    <cellStyle name="Credit subtotal 3 2 2 2 3" xfId="25000"/>
    <cellStyle name="Credit subtotal 3 2 2 2 4" xfId="25001"/>
    <cellStyle name="Credit subtotal 3 2 2 2 5" xfId="25002"/>
    <cellStyle name="Credit subtotal 3 2 2 2 6" xfId="25003"/>
    <cellStyle name="Credit subtotal 3 2 2 2 7" xfId="25004"/>
    <cellStyle name="Credit subtotal 3 2 2 2 8" xfId="25005"/>
    <cellStyle name="Credit subtotal 3 2 2 2 9" xfId="25006"/>
    <cellStyle name="Credit subtotal 3 2 2 3" xfId="25007"/>
    <cellStyle name="Credit subtotal 3 2 2 3 10" xfId="25008"/>
    <cellStyle name="Credit subtotal 3 2 2 3 11" xfId="25009"/>
    <cellStyle name="Credit subtotal 3 2 2 3 12" xfId="25010"/>
    <cellStyle name="Credit subtotal 3 2 2 3 13" xfId="25011"/>
    <cellStyle name="Credit subtotal 3 2 2 3 14" xfId="25012"/>
    <cellStyle name="Credit subtotal 3 2 2 3 15" xfId="25013"/>
    <cellStyle name="Credit subtotal 3 2 2 3 16" xfId="25014"/>
    <cellStyle name="Credit subtotal 3 2 2 3 17" xfId="25015"/>
    <cellStyle name="Credit subtotal 3 2 2 3 18" xfId="25016"/>
    <cellStyle name="Credit subtotal 3 2 2 3 19" xfId="25017"/>
    <cellStyle name="Credit subtotal 3 2 2 3 2" xfId="25018"/>
    <cellStyle name="Credit subtotal 3 2 2 3 2 2" xfId="25019"/>
    <cellStyle name="Credit subtotal 3 2 2 3 2 3" xfId="25020"/>
    <cellStyle name="Credit subtotal 3 2 2 3 2 4" xfId="25021"/>
    <cellStyle name="Credit subtotal 3 2 2 3 2 5" xfId="25022"/>
    <cellStyle name="Credit subtotal 3 2 2 3 2 6" xfId="25023"/>
    <cellStyle name="Credit subtotal 3 2 2 3 2 7" xfId="25024"/>
    <cellStyle name="Credit subtotal 3 2 2 3 2 8" xfId="25025"/>
    <cellStyle name="Credit subtotal 3 2 2 3 2 9" xfId="25026"/>
    <cellStyle name="Credit subtotal 3 2 2 3 3" xfId="25027"/>
    <cellStyle name="Credit subtotal 3 2 2 3 4" xfId="25028"/>
    <cellStyle name="Credit subtotal 3 2 2 3 5" xfId="25029"/>
    <cellStyle name="Credit subtotal 3 2 2 3 6" xfId="25030"/>
    <cellStyle name="Credit subtotal 3 2 2 3 7" xfId="25031"/>
    <cellStyle name="Credit subtotal 3 2 2 3 8" xfId="25032"/>
    <cellStyle name="Credit subtotal 3 2 2 3 9" xfId="25033"/>
    <cellStyle name="Credit subtotal 3 2 2 4" xfId="25034"/>
    <cellStyle name="Credit subtotal 3 2 2 4 10" xfId="25035"/>
    <cellStyle name="Credit subtotal 3 2 2 4 11" xfId="25036"/>
    <cellStyle name="Credit subtotal 3 2 2 4 12" xfId="25037"/>
    <cellStyle name="Credit subtotal 3 2 2 4 13" xfId="25038"/>
    <cellStyle name="Credit subtotal 3 2 2 4 14" xfId="25039"/>
    <cellStyle name="Credit subtotal 3 2 2 4 15" xfId="25040"/>
    <cellStyle name="Credit subtotal 3 2 2 4 16" xfId="25041"/>
    <cellStyle name="Credit subtotal 3 2 2 4 17" xfId="25042"/>
    <cellStyle name="Credit subtotal 3 2 2 4 18" xfId="25043"/>
    <cellStyle name="Credit subtotal 3 2 2 4 2" xfId="25044"/>
    <cellStyle name="Credit subtotal 3 2 2 4 2 2" xfId="25045"/>
    <cellStyle name="Credit subtotal 3 2 2 4 2 3" xfId="25046"/>
    <cellStyle name="Credit subtotal 3 2 2 4 2 4" xfId="25047"/>
    <cellStyle name="Credit subtotal 3 2 2 4 2 5" xfId="25048"/>
    <cellStyle name="Credit subtotal 3 2 2 4 2 6" xfId="25049"/>
    <cellStyle name="Credit subtotal 3 2 2 4 2 7" xfId="25050"/>
    <cellStyle name="Credit subtotal 3 2 2 4 2 8" xfId="25051"/>
    <cellStyle name="Credit subtotal 3 2 2 4 2 9" xfId="25052"/>
    <cellStyle name="Credit subtotal 3 2 2 4 3" xfId="25053"/>
    <cellStyle name="Credit subtotal 3 2 2 4 4" xfId="25054"/>
    <cellStyle name="Credit subtotal 3 2 2 4 5" xfId="25055"/>
    <cellStyle name="Credit subtotal 3 2 2 4 6" xfId="25056"/>
    <cellStyle name="Credit subtotal 3 2 2 4 7" xfId="25057"/>
    <cellStyle name="Credit subtotal 3 2 2 4 8" xfId="25058"/>
    <cellStyle name="Credit subtotal 3 2 2 4 9" xfId="25059"/>
    <cellStyle name="Credit subtotal 3 2 2 5" xfId="25060"/>
    <cellStyle name="Credit subtotal 3 2 2 5 2" xfId="25061"/>
    <cellStyle name="Credit subtotal 3 2 2 5 3" xfId="25062"/>
    <cellStyle name="Credit subtotal 3 2 2 6" xfId="25063"/>
    <cellStyle name="Credit subtotal 3 2 3" xfId="25064"/>
    <cellStyle name="Credit subtotal 3 2 3 2" xfId="25065"/>
    <cellStyle name="Credit subtotal 3 2 3 2 10" xfId="25066"/>
    <cellStyle name="Credit subtotal 3 2 3 2 11" xfId="25067"/>
    <cellStyle name="Credit subtotal 3 2 3 2 12" xfId="25068"/>
    <cellStyle name="Credit subtotal 3 2 3 2 13" xfId="25069"/>
    <cellStyle name="Credit subtotal 3 2 3 2 14" xfId="25070"/>
    <cellStyle name="Credit subtotal 3 2 3 2 15" xfId="25071"/>
    <cellStyle name="Credit subtotal 3 2 3 2 16" xfId="25072"/>
    <cellStyle name="Credit subtotal 3 2 3 2 17" xfId="25073"/>
    <cellStyle name="Credit subtotal 3 2 3 2 18" xfId="25074"/>
    <cellStyle name="Credit subtotal 3 2 3 2 19" xfId="25075"/>
    <cellStyle name="Credit subtotal 3 2 3 2 2" xfId="25076"/>
    <cellStyle name="Credit subtotal 3 2 3 2 2 2" xfId="25077"/>
    <cellStyle name="Credit subtotal 3 2 3 2 2 3" xfId="25078"/>
    <cellStyle name="Credit subtotal 3 2 3 2 2 4" xfId="25079"/>
    <cellStyle name="Credit subtotal 3 2 3 2 2 5" xfId="25080"/>
    <cellStyle name="Credit subtotal 3 2 3 2 2 6" xfId="25081"/>
    <cellStyle name="Credit subtotal 3 2 3 2 2 7" xfId="25082"/>
    <cellStyle name="Credit subtotal 3 2 3 2 2 8" xfId="25083"/>
    <cellStyle name="Credit subtotal 3 2 3 2 2 9" xfId="25084"/>
    <cellStyle name="Credit subtotal 3 2 3 2 20" xfId="25085"/>
    <cellStyle name="Credit subtotal 3 2 3 2 21" xfId="25086"/>
    <cellStyle name="Credit subtotal 3 2 3 2 3" xfId="25087"/>
    <cellStyle name="Credit subtotal 3 2 3 2 4" xfId="25088"/>
    <cellStyle name="Credit subtotal 3 2 3 2 5" xfId="25089"/>
    <cellStyle name="Credit subtotal 3 2 3 2 6" xfId="25090"/>
    <cellStyle name="Credit subtotal 3 2 3 2 7" xfId="25091"/>
    <cellStyle name="Credit subtotal 3 2 3 2 8" xfId="25092"/>
    <cellStyle name="Credit subtotal 3 2 3 2 9" xfId="25093"/>
    <cellStyle name="Credit subtotal 3 2 3 3" xfId="25094"/>
    <cellStyle name="Credit subtotal 3 2 3 3 10" xfId="25095"/>
    <cellStyle name="Credit subtotal 3 2 3 3 11" xfId="25096"/>
    <cellStyle name="Credit subtotal 3 2 3 3 12" xfId="25097"/>
    <cellStyle name="Credit subtotal 3 2 3 3 13" xfId="25098"/>
    <cellStyle name="Credit subtotal 3 2 3 3 14" xfId="25099"/>
    <cellStyle name="Credit subtotal 3 2 3 3 15" xfId="25100"/>
    <cellStyle name="Credit subtotal 3 2 3 3 16" xfId="25101"/>
    <cellStyle name="Credit subtotal 3 2 3 3 17" xfId="25102"/>
    <cellStyle name="Credit subtotal 3 2 3 3 18" xfId="25103"/>
    <cellStyle name="Credit subtotal 3 2 3 3 19" xfId="25104"/>
    <cellStyle name="Credit subtotal 3 2 3 3 2" xfId="25105"/>
    <cellStyle name="Credit subtotal 3 2 3 3 2 2" xfId="25106"/>
    <cellStyle name="Credit subtotal 3 2 3 3 2 3" xfId="25107"/>
    <cellStyle name="Credit subtotal 3 2 3 3 2 4" xfId="25108"/>
    <cellStyle name="Credit subtotal 3 2 3 3 2 5" xfId="25109"/>
    <cellStyle name="Credit subtotal 3 2 3 3 2 6" xfId="25110"/>
    <cellStyle name="Credit subtotal 3 2 3 3 2 7" xfId="25111"/>
    <cellStyle name="Credit subtotal 3 2 3 3 2 8" xfId="25112"/>
    <cellStyle name="Credit subtotal 3 2 3 3 2 9" xfId="25113"/>
    <cellStyle name="Credit subtotal 3 2 3 3 3" xfId="25114"/>
    <cellStyle name="Credit subtotal 3 2 3 3 4" xfId="25115"/>
    <cellStyle name="Credit subtotal 3 2 3 3 5" xfId="25116"/>
    <cellStyle name="Credit subtotal 3 2 3 3 6" xfId="25117"/>
    <cellStyle name="Credit subtotal 3 2 3 3 7" xfId="25118"/>
    <cellStyle name="Credit subtotal 3 2 3 3 8" xfId="25119"/>
    <cellStyle name="Credit subtotal 3 2 3 3 9" xfId="25120"/>
    <cellStyle name="Credit subtotal 3 2 3 4" xfId="25121"/>
    <cellStyle name="Credit subtotal 3 2 3 4 10" xfId="25122"/>
    <cellStyle name="Credit subtotal 3 2 3 4 11" xfId="25123"/>
    <cellStyle name="Credit subtotal 3 2 3 4 12" xfId="25124"/>
    <cellStyle name="Credit subtotal 3 2 3 4 13" xfId="25125"/>
    <cellStyle name="Credit subtotal 3 2 3 4 14" xfId="25126"/>
    <cellStyle name="Credit subtotal 3 2 3 4 15" xfId="25127"/>
    <cellStyle name="Credit subtotal 3 2 3 4 16" xfId="25128"/>
    <cellStyle name="Credit subtotal 3 2 3 4 17" xfId="25129"/>
    <cellStyle name="Credit subtotal 3 2 3 4 18" xfId="25130"/>
    <cellStyle name="Credit subtotal 3 2 3 4 2" xfId="25131"/>
    <cellStyle name="Credit subtotal 3 2 3 4 2 2" xfId="25132"/>
    <cellStyle name="Credit subtotal 3 2 3 4 2 3" xfId="25133"/>
    <cellStyle name="Credit subtotal 3 2 3 4 2 4" xfId="25134"/>
    <cellStyle name="Credit subtotal 3 2 3 4 2 5" xfId="25135"/>
    <cellStyle name="Credit subtotal 3 2 3 4 2 6" xfId="25136"/>
    <cellStyle name="Credit subtotal 3 2 3 4 2 7" xfId="25137"/>
    <cellStyle name="Credit subtotal 3 2 3 4 2 8" xfId="25138"/>
    <cellStyle name="Credit subtotal 3 2 3 4 2 9" xfId="25139"/>
    <cellStyle name="Credit subtotal 3 2 3 4 3" xfId="25140"/>
    <cellStyle name="Credit subtotal 3 2 3 4 4" xfId="25141"/>
    <cellStyle name="Credit subtotal 3 2 3 4 5" xfId="25142"/>
    <cellStyle name="Credit subtotal 3 2 3 4 6" xfId="25143"/>
    <cellStyle name="Credit subtotal 3 2 3 4 7" xfId="25144"/>
    <cellStyle name="Credit subtotal 3 2 3 4 8" xfId="25145"/>
    <cellStyle name="Credit subtotal 3 2 3 4 9" xfId="25146"/>
    <cellStyle name="Credit subtotal 3 2 3 5" xfId="25147"/>
    <cellStyle name="Credit subtotal 3 2 3 5 2" xfId="25148"/>
    <cellStyle name="Credit subtotal 3 2 3 5 3" xfId="25149"/>
    <cellStyle name="Credit subtotal 3 2 3 6" xfId="25150"/>
    <cellStyle name="Credit subtotal 3 2 4" xfId="25151"/>
    <cellStyle name="Credit subtotal 3 2 4 10" xfId="25152"/>
    <cellStyle name="Credit subtotal 3 2 4 11" xfId="25153"/>
    <cellStyle name="Credit subtotal 3 2 4 12" xfId="25154"/>
    <cellStyle name="Credit subtotal 3 2 4 13" xfId="25155"/>
    <cellStyle name="Credit subtotal 3 2 4 14" xfId="25156"/>
    <cellStyle name="Credit subtotal 3 2 4 15" xfId="25157"/>
    <cellStyle name="Credit subtotal 3 2 4 16" xfId="25158"/>
    <cellStyle name="Credit subtotal 3 2 4 17" xfId="25159"/>
    <cellStyle name="Credit subtotal 3 2 4 18" xfId="25160"/>
    <cellStyle name="Credit subtotal 3 2 4 19" xfId="25161"/>
    <cellStyle name="Credit subtotal 3 2 4 2" xfId="25162"/>
    <cellStyle name="Credit subtotal 3 2 4 2 2" xfId="25163"/>
    <cellStyle name="Credit subtotal 3 2 4 2 3" xfId="25164"/>
    <cellStyle name="Credit subtotal 3 2 4 2 4" xfId="25165"/>
    <cellStyle name="Credit subtotal 3 2 4 2 5" xfId="25166"/>
    <cellStyle name="Credit subtotal 3 2 4 2 6" xfId="25167"/>
    <cellStyle name="Credit subtotal 3 2 4 2 7" xfId="25168"/>
    <cellStyle name="Credit subtotal 3 2 4 2 8" xfId="25169"/>
    <cellStyle name="Credit subtotal 3 2 4 2 9" xfId="25170"/>
    <cellStyle name="Credit subtotal 3 2 4 20" xfId="25171"/>
    <cellStyle name="Credit subtotal 3 2 4 21" xfId="25172"/>
    <cellStyle name="Credit subtotal 3 2 4 3" xfId="25173"/>
    <cellStyle name="Credit subtotal 3 2 4 4" xfId="25174"/>
    <cellStyle name="Credit subtotal 3 2 4 5" xfId="25175"/>
    <cellStyle name="Credit subtotal 3 2 4 6" xfId="25176"/>
    <cellStyle name="Credit subtotal 3 2 4 7" xfId="25177"/>
    <cellStyle name="Credit subtotal 3 2 4 8" xfId="25178"/>
    <cellStyle name="Credit subtotal 3 2 4 9" xfId="25179"/>
    <cellStyle name="Credit subtotal 3 2 5" xfId="25180"/>
    <cellStyle name="Credit subtotal 3 2 5 10" xfId="25181"/>
    <cellStyle name="Credit subtotal 3 2 5 11" xfId="25182"/>
    <cellStyle name="Credit subtotal 3 2 5 12" xfId="25183"/>
    <cellStyle name="Credit subtotal 3 2 5 13" xfId="25184"/>
    <cellStyle name="Credit subtotal 3 2 5 14" xfId="25185"/>
    <cellStyle name="Credit subtotal 3 2 5 15" xfId="25186"/>
    <cellStyle name="Credit subtotal 3 2 5 16" xfId="25187"/>
    <cellStyle name="Credit subtotal 3 2 5 17" xfId="25188"/>
    <cellStyle name="Credit subtotal 3 2 5 18" xfId="25189"/>
    <cellStyle name="Credit subtotal 3 2 5 19" xfId="25190"/>
    <cellStyle name="Credit subtotal 3 2 5 2" xfId="25191"/>
    <cellStyle name="Credit subtotal 3 2 5 2 2" xfId="25192"/>
    <cellStyle name="Credit subtotal 3 2 5 2 3" xfId="25193"/>
    <cellStyle name="Credit subtotal 3 2 5 2 4" xfId="25194"/>
    <cellStyle name="Credit subtotal 3 2 5 2 5" xfId="25195"/>
    <cellStyle name="Credit subtotal 3 2 5 2 6" xfId="25196"/>
    <cellStyle name="Credit subtotal 3 2 5 2 7" xfId="25197"/>
    <cellStyle name="Credit subtotal 3 2 5 2 8" xfId="25198"/>
    <cellStyle name="Credit subtotal 3 2 5 2 9" xfId="25199"/>
    <cellStyle name="Credit subtotal 3 2 5 3" xfId="25200"/>
    <cellStyle name="Credit subtotal 3 2 5 4" xfId="25201"/>
    <cellStyle name="Credit subtotal 3 2 5 5" xfId="25202"/>
    <cellStyle name="Credit subtotal 3 2 5 6" xfId="25203"/>
    <cellStyle name="Credit subtotal 3 2 5 7" xfId="25204"/>
    <cellStyle name="Credit subtotal 3 2 5 8" xfId="25205"/>
    <cellStyle name="Credit subtotal 3 2 5 9" xfId="25206"/>
    <cellStyle name="Credit subtotal 3 2 6" xfId="25207"/>
    <cellStyle name="Credit subtotal 3 2 6 10" xfId="25208"/>
    <cellStyle name="Credit subtotal 3 2 6 11" xfId="25209"/>
    <cellStyle name="Credit subtotal 3 2 6 12" xfId="25210"/>
    <cellStyle name="Credit subtotal 3 2 6 13" xfId="25211"/>
    <cellStyle name="Credit subtotal 3 2 6 14" xfId="25212"/>
    <cellStyle name="Credit subtotal 3 2 6 15" xfId="25213"/>
    <cellStyle name="Credit subtotal 3 2 6 16" xfId="25214"/>
    <cellStyle name="Credit subtotal 3 2 6 17" xfId="25215"/>
    <cellStyle name="Credit subtotal 3 2 6 18" xfId="25216"/>
    <cellStyle name="Credit subtotal 3 2 6 2" xfId="25217"/>
    <cellStyle name="Credit subtotal 3 2 6 2 2" xfId="25218"/>
    <cellStyle name="Credit subtotal 3 2 6 2 3" xfId="25219"/>
    <cellStyle name="Credit subtotal 3 2 6 2 4" xfId="25220"/>
    <cellStyle name="Credit subtotal 3 2 6 2 5" xfId="25221"/>
    <cellStyle name="Credit subtotal 3 2 6 2 6" xfId="25222"/>
    <cellStyle name="Credit subtotal 3 2 6 2 7" xfId="25223"/>
    <cellStyle name="Credit subtotal 3 2 6 2 8" xfId="25224"/>
    <cellStyle name="Credit subtotal 3 2 6 2 9" xfId="25225"/>
    <cellStyle name="Credit subtotal 3 2 6 3" xfId="25226"/>
    <cellStyle name="Credit subtotal 3 2 6 4" xfId="25227"/>
    <cellStyle name="Credit subtotal 3 2 6 5" xfId="25228"/>
    <cellStyle name="Credit subtotal 3 2 6 6" xfId="25229"/>
    <cellStyle name="Credit subtotal 3 2 6 7" xfId="25230"/>
    <cellStyle name="Credit subtotal 3 2 6 8" xfId="25231"/>
    <cellStyle name="Credit subtotal 3 2 6 9" xfId="25232"/>
    <cellStyle name="Credit subtotal 3 2 7" xfId="25233"/>
    <cellStyle name="Credit subtotal 3 2 7 2" xfId="25234"/>
    <cellStyle name="Credit subtotal 3 2 7 3" xfId="25235"/>
    <cellStyle name="Credit subtotal 3 2 8" xfId="25236"/>
    <cellStyle name="Credit subtotal 3 3" xfId="25237"/>
    <cellStyle name="Credit subtotal 3 3 2" xfId="25238"/>
    <cellStyle name="Credit subtotal 3 3 2 2" xfId="25239"/>
    <cellStyle name="Credit subtotal 3 3 2 2 10" xfId="25240"/>
    <cellStyle name="Credit subtotal 3 3 2 2 11" xfId="25241"/>
    <cellStyle name="Credit subtotal 3 3 2 2 12" xfId="25242"/>
    <cellStyle name="Credit subtotal 3 3 2 2 13" xfId="25243"/>
    <cellStyle name="Credit subtotal 3 3 2 2 14" xfId="25244"/>
    <cellStyle name="Credit subtotal 3 3 2 2 15" xfId="25245"/>
    <cellStyle name="Credit subtotal 3 3 2 2 16" xfId="25246"/>
    <cellStyle name="Credit subtotal 3 3 2 2 17" xfId="25247"/>
    <cellStyle name="Credit subtotal 3 3 2 2 18" xfId="25248"/>
    <cellStyle name="Credit subtotal 3 3 2 2 19" xfId="25249"/>
    <cellStyle name="Credit subtotal 3 3 2 2 2" xfId="25250"/>
    <cellStyle name="Credit subtotal 3 3 2 2 2 2" xfId="25251"/>
    <cellStyle name="Credit subtotal 3 3 2 2 2 3" xfId="25252"/>
    <cellStyle name="Credit subtotal 3 3 2 2 2 4" xfId="25253"/>
    <cellStyle name="Credit subtotal 3 3 2 2 2 5" xfId="25254"/>
    <cellStyle name="Credit subtotal 3 3 2 2 2 6" xfId="25255"/>
    <cellStyle name="Credit subtotal 3 3 2 2 2 7" xfId="25256"/>
    <cellStyle name="Credit subtotal 3 3 2 2 2 8" xfId="25257"/>
    <cellStyle name="Credit subtotal 3 3 2 2 2 9" xfId="25258"/>
    <cellStyle name="Credit subtotal 3 3 2 2 20" xfId="25259"/>
    <cellStyle name="Credit subtotal 3 3 2 2 21" xfId="25260"/>
    <cellStyle name="Credit subtotal 3 3 2 2 3" xfId="25261"/>
    <cellStyle name="Credit subtotal 3 3 2 2 4" xfId="25262"/>
    <cellStyle name="Credit subtotal 3 3 2 2 5" xfId="25263"/>
    <cellStyle name="Credit subtotal 3 3 2 2 6" xfId="25264"/>
    <cellStyle name="Credit subtotal 3 3 2 2 7" xfId="25265"/>
    <cellStyle name="Credit subtotal 3 3 2 2 8" xfId="25266"/>
    <cellStyle name="Credit subtotal 3 3 2 2 9" xfId="25267"/>
    <cellStyle name="Credit subtotal 3 3 2 3" xfId="25268"/>
    <cellStyle name="Credit subtotal 3 3 2 3 10" xfId="25269"/>
    <cellStyle name="Credit subtotal 3 3 2 3 11" xfId="25270"/>
    <cellStyle name="Credit subtotal 3 3 2 3 12" xfId="25271"/>
    <cellStyle name="Credit subtotal 3 3 2 3 13" xfId="25272"/>
    <cellStyle name="Credit subtotal 3 3 2 3 14" xfId="25273"/>
    <cellStyle name="Credit subtotal 3 3 2 3 15" xfId="25274"/>
    <cellStyle name="Credit subtotal 3 3 2 3 16" xfId="25275"/>
    <cellStyle name="Credit subtotal 3 3 2 3 17" xfId="25276"/>
    <cellStyle name="Credit subtotal 3 3 2 3 18" xfId="25277"/>
    <cellStyle name="Credit subtotal 3 3 2 3 19" xfId="25278"/>
    <cellStyle name="Credit subtotal 3 3 2 3 2" xfId="25279"/>
    <cellStyle name="Credit subtotal 3 3 2 3 2 2" xfId="25280"/>
    <cellStyle name="Credit subtotal 3 3 2 3 2 3" xfId="25281"/>
    <cellStyle name="Credit subtotal 3 3 2 3 2 4" xfId="25282"/>
    <cellStyle name="Credit subtotal 3 3 2 3 2 5" xfId="25283"/>
    <cellStyle name="Credit subtotal 3 3 2 3 2 6" xfId="25284"/>
    <cellStyle name="Credit subtotal 3 3 2 3 2 7" xfId="25285"/>
    <cellStyle name="Credit subtotal 3 3 2 3 2 8" xfId="25286"/>
    <cellStyle name="Credit subtotal 3 3 2 3 2 9" xfId="25287"/>
    <cellStyle name="Credit subtotal 3 3 2 3 3" xfId="25288"/>
    <cellStyle name="Credit subtotal 3 3 2 3 4" xfId="25289"/>
    <cellStyle name="Credit subtotal 3 3 2 3 5" xfId="25290"/>
    <cellStyle name="Credit subtotal 3 3 2 3 6" xfId="25291"/>
    <cellStyle name="Credit subtotal 3 3 2 3 7" xfId="25292"/>
    <cellStyle name="Credit subtotal 3 3 2 3 8" xfId="25293"/>
    <cellStyle name="Credit subtotal 3 3 2 3 9" xfId="25294"/>
    <cellStyle name="Credit subtotal 3 3 2 4" xfId="25295"/>
    <cellStyle name="Credit subtotal 3 3 2 4 10" xfId="25296"/>
    <cellStyle name="Credit subtotal 3 3 2 4 11" xfId="25297"/>
    <cellStyle name="Credit subtotal 3 3 2 4 12" xfId="25298"/>
    <cellStyle name="Credit subtotal 3 3 2 4 13" xfId="25299"/>
    <cellStyle name="Credit subtotal 3 3 2 4 14" xfId="25300"/>
    <cellStyle name="Credit subtotal 3 3 2 4 15" xfId="25301"/>
    <cellStyle name="Credit subtotal 3 3 2 4 16" xfId="25302"/>
    <cellStyle name="Credit subtotal 3 3 2 4 17" xfId="25303"/>
    <cellStyle name="Credit subtotal 3 3 2 4 18" xfId="25304"/>
    <cellStyle name="Credit subtotal 3 3 2 4 2" xfId="25305"/>
    <cellStyle name="Credit subtotal 3 3 2 4 2 2" xfId="25306"/>
    <cellStyle name="Credit subtotal 3 3 2 4 2 3" xfId="25307"/>
    <cellStyle name="Credit subtotal 3 3 2 4 2 4" xfId="25308"/>
    <cellStyle name="Credit subtotal 3 3 2 4 2 5" xfId="25309"/>
    <cellStyle name="Credit subtotal 3 3 2 4 2 6" xfId="25310"/>
    <cellStyle name="Credit subtotal 3 3 2 4 2 7" xfId="25311"/>
    <cellStyle name="Credit subtotal 3 3 2 4 2 8" xfId="25312"/>
    <cellStyle name="Credit subtotal 3 3 2 4 2 9" xfId="25313"/>
    <cellStyle name="Credit subtotal 3 3 2 4 3" xfId="25314"/>
    <cellStyle name="Credit subtotal 3 3 2 4 4" xfId="25315"/>
    <cellStyle name="Credit subtotal 3 3 2 4 5" xfId="25316"/>
    <cellStyle name="Credit subtotal 3 3 2 4 6" xfId="25317"/>
    <cellStyle name="Credit subtotal 3 3 2 4 7" xfId="25318"/>
    <cellStyle name="Credit subtotal 3 3 2 4 8" xfId="25319"/>
    <cellStyle name="Credit subtotal 3 3 2 4 9" xfId="25320"/>
    <cellStyle name="Credit subtotal 3 3 2 5" xfId="25321"/>
    <cellStyle name="Credit subtotal 3 3 2 5 2" xfId="25322"/>
    <cellStyle name="Credit subtotal 3 3 2 5 3" xfId="25323"/>
    <cellStyle name="Credit subtotal 3 3 2 6" xfId="25324"/>
    <cellStyle name="Credit subtotal 3 3 3" xfId="25325"/>
    <cellStyle name="Credit subtotal 3 3 3 2" xfId="25326"/>
    <cellStyle name="Credit subtotal 3 3 3 2 10" xfId="25327"/>
    <cellStyle name="Credit subtotal 3 3 3 2 11" xfId="25328"/>
    <cellStyle name="Credit subtotal 3 3 3 2 12" xfId="25329"/>
    <cellStyle name="Credit subtotal 3 3 3 2 13" xfId="25330"/>
    <cellStyle name="Credit subtotal 3 3 3 2 14" xfId="25331"/>
    <cellStyle name="Credit subtotal 3 3 3 2 15" xfId="25332"/>
    <cellStyle name="Credit subtotal 3 3 3 2 16" xfId="25333"/>
    <cellStyle name="Credit subtotal 3 3 3 2 17" xfId="25334"/>
    <cellStyle name="Credit subtotal 3 3 3 2 18" xfId="25335"/>
    <cellStyle name="Credit subtotal 3 3 3 2 19" xfId="25336"/>
    <cellStyle name="Credit subtotal 3 3 3 2 2" xfId="25337"/>
    <cellStyle name="Credit subtotal 3 3 3 2 2 2" xfId="25338"/>
    <cellStyle name="Credit subtotal 3 3 3 2 2 3" xfId="25339"/>
    <cellStyle name="Credit subtotal 3 3 3 2 2 4" xfId="25340"/>
    <cellStyle name="Credit subtotal 3 3 3 2 2 5" xfId="25341"/>
    <cellStyle name="Credit subtotal 3 3 3 2 2 6" xfId="25342"/>
    <cellStyle name="Credit subtotal 3 3 3 2 2 7" xfId="25343"/>
    <cellStyle name="Credit subtotal 3 3 3 2 2 8" xfId="25344"/>
    <cellStyle name="Credit subtotal 3 3 3 2 2 9" xfId="25345"/>
    <cellStyle name="Credit subtotal 3 3 3 2 20" xfId="25346"/>
    <cellStyle name="Credit subtotal 3 3 3 2 21" xfId="25347"/>
    <cellStyle name="Credit subtotal 3 3 3 2 3" xfId="25348"/>
    <cellStyle name="Credit subtotal 3 3 3 2 4" xfId="25349"/>
    <cellStyle name="Credit subtotal 3 3 3 2 5" xfId="25350"/>
    <cellStyle name="Credit subtotal 3 3 3 2 6" xfId="25351"/>
    <cellStyle name="Credit subtotal 3 3 3 2 7" xfId="25352"/>
    <cellStyle name="Credit subtotal 3 3 3 2 8" xfId="25353"/>
    <cellStyle name="Credit subtotal 3 3 3 2 9" xfId="25354"/>
    <cellStyle name="Credit subtotal 3 3 3 3" xfId="25355"/>
    <cellStyle name="Credit subtotal 3 3 3 3 10" xfId="25356"/>
    <cellStyle name="Credit subtotal 3 3 3 3 11" xfId="25357"/>
    <cellStyle name="Credit subtotal 3 3 3 3 12" xfId="25358"/>
    <cellStyle name="Credit subtotal 3 3 3 3 13" xfId="25359"/>
    <cellStyle name="Credit subtotal 3 3 3 3 14" xfId="25360"/>
    <cellStyle name="Credit subtotal 3 3 3 3 15" xfId="25361"/>
    <cellStyle name="Credit subtotal 3 3 3 3 16" xfId="25362"/>
    <cellStyle name="Credit subtotal 3 3 3 3 17" xfId="25363"/>
    <cellStyle name="Credit subtotal 3 3 3 3 18" xfId="25364"/>
    <cellStyle name="Credit subtotal 3 3 3 3 19" xfId="25365"/>
    <cellStyle name="Credit subtotal 3 3 3 3 2" xfId="25366"/>
    <cellStyle name="Credit subtotal 3 3 3 3 2 2" xfId="25367"/>
    <cellStyle name="Credit subtotal 3 3 3 3 2 3" xfId="25368"/>
    <cellStyle name="Credit subtotal 3 3 3 3 2 4" xfId="25369"/>
    <cellStyle name="Credit subtotal 3 3 3 3 2 5" xfId="25370"/>
    <cellStyle name="Credit subtotal 3 3 3 3 2 6" xfId="25371"/>
    <cellStyle name="Credit subtotal 3 3 3 3 2 7" xfId="25372"/>
    <cellStyle name="Credit subtotal 3 3 3 3 2 8" xfId="25373"/>
    <cellStyle name="Credit subtotal 3 3 3 3 2 9" xfId="25374"/>
    <cellStyle name="Credit subtotal 3 3 3 3 3" xfId="25375"/>
    <cellStyle name="Credit subtotal 3 3 3 3 4" xfId="25376"/>
    <cellStyle name="Credit subtotal 3 3 3 3 5" xfId="25377"/>
    <cellStyle name="Credit subtotal 3 3 3 3 6" xfId="25378"/>
    <cellStyle name="Credit subtotal 3 3 3 3 7" xfId="25379"/>
    <cellStyle name="Credit subtotal 3 3 3 3 8" xfId="25380"/>
    <cellStyle name="Credit subtotal 3 3 3 3 9" xfId="25381"/>
    <cellStyle name="Credit subtotal 3 3 3 4" xfId="25382"/>
    <cellStyle name="Credit subtotal 3 3 3 4 10" xfId="25383"/>
    <cellStyle name="Credit subtotal 3 3 3 4 11" xfId="25384"/>
    <cellStyle name="Credit subtotal 3 3 3 4 12" xfId="25385"/>
    <cellStyle name="Credit subtotal 3 3 3 4 13" xfId="25386"/>
    <cellStyle name="Credit subtotal 3 3 3 4 14" xfId="25387"/>
    <cellStyle name="Credit subtotal 3 3 3 4 15" xfId="25388"/>
    <cellStyle name="Credit subtotal 3 3 3 4 16" xfId="25389"/>
    <cellStyle name="Credit subtotal 3 3 3 4 17" xfId="25390"/>
    <cellStyle name="Credit subtotal 3 3 3 4 18" xfId="25391"/>
    <cellStyle name="Credit subtotal 3 3 3 4 2" xfId="25392"/>
    <cellStyle name="Credit subtotal 3 3 3 4 2 2" xfId="25393"/>
    <cellStyle name="Credit subtotal 3 3 3 4 2 3" xfId="25394"/>
    <cellStyle name="Credit subtotal 3 3 3 4 2 4" xfId="25395"/>
    <cellStyle name="Credit subtotal 3 3 3 4 2 5" xfId="25396"/>
    <cellStyle name="Credit subtotal 3 3 3 4 2 6" xfId="25397"/>
    <cellStyle name="Credit subtotal 3 3 3 4 2 7" xfId="25398"/>
    <cellStyle name="Credit subtotal 3 3 3 4 2 8" xfId="25399"/>
    <cellStyle name="Credit subtotal 3 3 3 4 2 9" xfId="25400"/>
    <cellStyle name="Credit subtotal 3 3 3 4 3" xfId="25401"/>
    <cellStyle name="Credit subtotal 3 3 3 4 4" xfId="25402"/>
    <cellStyle name="Credit subtotal 3 3 3 4 5" xfId="25403"/>
    <cellStyle name="Credit subtotal 3 3 3 4 6" xfId="25404"/>
    <cellStyle name="Credit subtotal 3 3 3 4 7" xfId="25405"/>
    <cellStyle name="Credit subtotal 3 3 3 4 8" xfId="25406"/>
    <cellStyle name="Credit subtotal 3 3 3 4 9" xfId="25407"/>
    <cellStyle name="Credit subtotal 3 3 3 5" xfId="25408"/>
    <cellStyle name="Credit subtotal 3 3 3 5 2" xfId="25409"/>
    <cellStyle name="Credit subtotal 3 3 3 5 3" xfId="25410"/>
    <cellStyle name="Credit subtotal 3 3 3 6" xfId="25411"/>
    <cellStyle name="Credit subtotal 3 3 4" xfId="25412"/>
    <cellStyle name="Credit subtotal 3 3 4 10" xfId="25413"/>
    <cellStyle name="Credit subtotal 3 3 4 11" xfId="25414"/>
    <cellStyle name="Credit subtotal 3 3 4 12" xfId="25415"/>
    <cellStyle name="Credit subtotal 3 3 4 13" xfId="25416"/>
    <cellStyle name="Credit subtotal 3 3 4 14" xfId="25417"/>
    <cellStyle name="Credit subtotal 3 3 4 15" xfId="25418"/>
    <cellStyle name="Credit subtotal 3 3 4 16" xfId="25419"/>
    <cellStyle name="Credit subtotal 3 3 4 17" xfId="25420"/>
    <cellStyle name="Credit subtotal 3 3 4 18" xfId="25421"/>
    <cellStyle name="Credit subtotal 3 3 4 19" xfId="25422"/>
    <cellStyle name="Credit subtotal 3 3 4 2" xfId="25423"/>
    <cellStyle name="Credit subtotal 3 3 4 2 2" xfId="25424"/>
    <cellStyle name="Credit subtotal 3 3 4 2 3" xfId="25425"/>
    <cellStyle name="Credit subtotal 3 3 4 2 4" xfId="25426"/>
    <cellStyle name="Credit subtotal 3 3 4 2 5" xfId="25427"/>
    <cellStyle name="Credit subtotal 3 3 4 2 6" xfId="25428"/>
    <cellStyle name="Credit subtotal 3 3 4 2 7" xfId="25429"/>
    <cellStyle name="Credit subtotal 3 3 4 2 8" xfId="25430"/>
    <cellStyle name="Credit subtotal 3 3 4 2 9" xfId="25431"/>
    <cellStyle name="Credit subtotal 3 3 4 20" xfId="25432"/>
    <cellStyle name="Credit subtotal 3 3 4 21" xfId="25433"/>
    <cellStyle name="Credit subtotal 3 3 4 3" xfId="25434"/>
    <cellStyle name="Credit subtotal 3 3 4 4" xfId="25435"/>
    <cellStyle name="Credit subtotal 3 3 4 5" xfId="25436"/>
    <cellStyle name="Credit subtotal 3 3 4 6" xfId="25437"/>
    <cellStyle name="Credit subtotal 3 3 4 7" xfId="25438"/>
    <cellStyle name="Credit subtotal 3 3 4 8" xfId="25439"/>
    <cellStyle name="Credit subtotal 3 3 4 9" xfId="25440"/>
    <cellStyle name="Credit subtotal 3 3 5" xfId="25441"/>
    <cellStyle name="Credit subtotal 3 3 5 10" xfId="25442"/>
    <cellStyle name="Credit subtotal 3 3 5 11" xfId="25443"/>
    <cellStyle name="Credit subtotal 3 3 5 12" xfId="25444"/>
    <cellStyle name="Credit subtotal 3 3 5 13" xfId="25445"/>
    <cellStyle name="Credit subtotal 3 3 5 14" xfId="25446"/>
    <cellStyle name="Credit subtotal 3 3 5 15" xfId="25447"/>
    <cellStyle name="Credit subtotal 3 3 5 16" xfId="25448"/>
    <cellStyle name="Credit subtotal 3 3 5 17" xfId="25449"/>
    <cellStyle name="Credit subtotal 3 3 5 18" xfId="25450"/>
    <cellStyle name="Credit subtotal 3 3 5 19" xfId="25451"/>
    <cellStyle name="Credit subtotal 3 3 5 2" xfId="25452"/>
    <cellStyle name="Credit subtotal 3 3 5 2 2" xfId="25453"/>
    <cellStyle name="Credit subtotal 3 3 5 2 3" xfId="25454"/>
    <cellStyle name="Credit subtotal 3 3 5 2 4" xfId="25455"/>
    <cellStyle name="Credit subtotal 3 3 5 2 5" xfId="25456"/>
    <cellStyle name="Credit subtotal 3 3 5 2 6" xfId="25457"/>
    <cellStyle name="Credit subtotal 3 3 5 2 7" xfId="25458"/>
    <cellStyle name="Credit subtotal 3 3 5 2 8" xfId="25459"/>
    <cellStyle name="Credit subtotal 3 3 5 2 9" xfId="25460"/>
    <cellStyle name="Credit subtotal 3 3 5 3" xfId="25461"/>
    <cellStyle name="Credit subtotal 3 3 5 4" xfId="25462"/>
    <cellStyle name="Credit subtotal 3 3 5 5" xfId="25463"/>
    <cellStyle name="Credit subtotal 3 3 5 6" xfId="25464"/>
    <cellStyle name="Credit subtotal 3 3 5 7" xfId="25465"/>
    <cellStyle name="Credit subtotal 3 3 5 8" xfId="25466"/>
    <cellStyle name="Credit subtotal 3 3 5 9" xfId="25467"/>
    <cellStyle name="Credit subtotal 3 3 6" xfId="25468"/>
    <cellStyle name="Credit subtotal 3 3 6 10" xfId="25469"/>
    <cellStyle name="Credit subtotal 3 3 6 11" xfId="25470"/>
    <cellStyle name="Credit subtotal 3 3 6 12" xfId="25471"/>
    <cellStyle name="Credit subtotal 3 3 6 13" xfId="25472"/>
    <cellStyle name="Credit subtotal 3 3 6 14" xfId="25473"/>
    <cellStyle name="Credit subtotal 3 3 6 15" xfId="25474"/>
    <cellStyle name="Credit subtotal 3 3 6 16" xfId="25475"/>
    <cellStyle name="Credit subtotal 3 3 6 17" xfId="25476"/>
    <cellStyle name="Credit subtotal 3 3 6 18" xfId="25477"/>
    <cellStyle name="Credit subtotal 3 3 6 2" xfId="25478"/>
    <cellStyle name="Credit subtotal 3 3 6 2 2" xfId="25479"/>
    <cellStyle name="Credit subtotal 3 3 6 2 3" xfId="25480"/>
    <cellStyle name="Credit subtotal 3 3 6 2 4" xfId="25481"/>
    <cellStyle name="Credit subtotal 3 3 6 2 5" xfId="25482"/>
    <cellStyle name="Credit subtotal 3 3 6 2 6" xfId="25483"/>
    <cellStyle name="Credit subtotal 3 3 6 2 7" xfId="25484"/>
    <cellStyle name="Credit subtotal 3 3 6 2 8" xfId="25485"/>
    <cellStyle name="Credit subtotal 3 3 6 2 9" xfId="25486"/>
    <cellStyle name="Credit subtotal 3 3 6 3" xfId="25487"/>
    <cellStyle name="Credit subtotal 3 3 6 4" xfId="25488"/>
    <cellStyle name="Credit subtotal 3 3 6 5" xfId="25489"/>
    <cellStyle name="Credit subtotal 3 3 6 6" xfId="25490"/>
    <cellStyle name="Credit subtotal 3 3 6 7" xfId="25491"/>
    <cellStyle name="Credit subtotal 3 3 6 8" xfId="25492"/>
    <cellStyle name="Credit subtotal 3 3 6 9" xfId="25493"/>
    <cellStyle name="Credit subtotal 3 3 7" xfId="25494"/>
    <cellStyle name="Credit subtotal 3 3 7 2" xfId="25495"/>
    <cellStyle name="Credit subtotal 3 3 7 3" xfId="25496"/>
    <cellStyle name="Credit subtotal 3 3 8" xfId="25497"/>
    <cellStyle name="Credit subtotal 3 4" xfId="25498"/>
    <cellStyle name="Credit subtotal 3 4 2" xfId="25499"/>
    <cellStyle name="Credit subtotal 3 4 2 2" xfId="25500"/>
    <cellStyle name="Credit subtotal 3 4 2 2 10" xfId="25501"/>
    <cellStyle name="Credit subtotal 3 4 2 2 11" xfId="25502"/>
    <cellStyle name="Credit subtotal 3 4 2 2 12" xfId="25503"/>
    <cellStyle name="Credit subtotal 3 4 2 2 13" xfId="25504"/>
    <cellStyle name="Credit subtotal 3 4 2 2 14" xfId="25505"/>
    <cellStyle name="Credit subtotal 3 4 2 2 15" xfId="25506"/>
    <cellStyle name="Credit subtotal 3 4 2 2 16" xfId="25507"/>
    <cellStyle name="Credit subtotal 3 4 2 2 17" xfId="25508"/>
    <cellStyle name="Credit subtotal 3 4 2 2 18" xfId="25509"/>
    <cellStyle name="Credit subtotal 3 4 2 2 19" xfId="25510"/>
    <cellStyle name="Credit subtotal 3 4 2 2 2" xfId="25511"/>
    <cellStyle name="Credit subtotal 3 4 2 2 2 2" xfId="25512"/>
    <cellStyle name="Credit subtotal 3 4 2 2 2 3" xfId="25513"/>
    <cellStyle name="Credit subtotal 3 4 2 2 2 4" xfId="25514"/>
    <cellStyle name="Credit subtotal 3 4 2 2 2 5" xfId="25515"/>
    <cellStyle name="Credit subtotal 3 4 2 2 2 6" xfId="25516"/>
    <cellStyle name="Credit subtotal 3 4 2 2 2 7" xfId="25517"/>
    <cellStyle name="Credit subtotal 3 4 2 2 2 8" xfId="25518"/>
    <cellStyle name="Credit subtotal 3 4 2 2 2 9" xfId="25519"/>
    <cellStyle name="Credit subtotal 3 4 2 2 20" xfId="25520"/>
    <cellStyle name="Credit subtotal 3 4 2 2 21" xfId="25521"/>
    <cellStyle name="Credit subtotal 3 4 2 2 3" xfId="25522"/>
    <cellStyle name="Credit subtotal 3 4 2 2 4" xfId="25523"/>
    <cellStyle name="Credit subtotal 3 4 2 2 5" xfId="25524"/>
    <cellStyle name="Credit subtotal 3 4 2 2 6" xfId="25525"/>
    <cellStyle name="Credit subtotal 3 4 2 2 7" xfId="25526"/>
    <cellStyle name="Credit subtotal 3 4 2 2 8" xfId="25527"/>
    <cellStyle name="Credit subtotal 3 4 2 2 9" xfId="25528"/>
    <cellStyle name="Credit subtotal 3 4 2 3" xfId="25529"/>
    <cellStyle name="Credit subtotal 3 4 2 3 10" xfId="25530"/>
    <cellStyle name="Credit subtotal 3 4 2 3 11" xfId="25531"/>
    <cellStyle name="Credit subtotal 3 4 2 3 12" xfId="25532"/>
    <cellStyle name="Credit subtotal 3 4 2 3 13" xfId="25533"/>
    <cellStyle name="Credit subtotal 3 4 2 3 14" xfId="25534"/>
    <cellStyle name="Credit subtotal 3 4 2 3 15" xfId="25535"/>
    <cellStyle name="Credit subtotal 3 4 2 3 16" xfId="25536"/>
    <cellStyle name="Credit subtotal 3 4 2 3 17" xfId="25537"/>
    <cellStyle name="Credit subtotal 3 4 2 3 18" xfId="25538"/>
    <cellStyle name="Credit subtotal 3 4 2 3 19" xfId="25539"/>
    <cellStyle name="Credit subtotal 3 4 2 3 2" xfId="25540"/>
    <cellStyle name="Credit subtotal 3 4 2 3 2 2" xfId="25541"/>
    <cellStyle name="Credit subtotal 3 4 2 3 2 3" xfId="25542"/>
    <cellStyle name="Credit subtotal 3 4 2 3 2 4" xfId="25543"/>
    <cellStyle name="Credit subtotal 3 4 2 3 2 5" xfId="25544"/>
    <cellStyle name="Credit subtotal 3 4 2 3 2 6" xfId="25545"/>
    <cellStyle name="Credit subtotal 3 4 2 3 2 7" xfId="25546"/>
    <cellStyle name="Credit subtotal 3 4 2 3 2 8" xfId="25547"/>
    <cellStyle name="Credit subtotal 3 4 2 3 2 9" xfId="25548"/>
    <cellStyle name="Credit subtotal 3 4 2 3 3" xfId="25549"/>
    <cellStyle name="Credit subtotal 3 4 2 3 4" xfId="25550"/>
    <cellStyle name="Credit subtotal 3 4 2 3 5" xfId="25551"/>
    <cellStyle name="Credit subtotal 3 4 2 3 6" xfId="25552"/>
    <cellStyle name="Credit subtotal 3 4 2 3 7" xfId="25553"/>
    <cellStyle name="Credit subtotal 3 4 2 3 8" xfId="25554"/>
    <cellStyle name="Credit subtotal 3 4 2 3 9" xfId="25555"/>
    <cellStyle name="Credit subtotal 3 4 2 4" xfId="25556"/>
    <cellStyle name="Credit subtotal 3 4 2 4 10" xfId="25557"/>
    <cellStyle name="Credit subtotal 3 4 2 4 11" xfId="25558"/>
    <cellStyle name="Credit subtotal 3 4 2 4 12" xfId="25559"/>
    <cellStyle name="Credit subtotal 3 4 2 4 13" xfId="25560"/>
    <cellStyle name="Credit subtotal 3 4 2 4 14" xfId="25561"/>
    <cellStyle name="Credit subtotal 3 4 2 4 15" xfId="25562"/>
    <cellStyle name="Credit subtotal 3 4 2 4 16" xfId="25563"/>
    <cellStyle name="Credit subtotal 3 4 2 4 17" xfId="25564"/>
    <cellStyle name="Credit subtotal 3 4 2 4 18" xfId="25565"/>
    <cellStyle name="Credit subtotal 3 4 2 4 2" xfId="25566"/>
    <cellStyle name="Credit subtotal 3 4 2 4 2 2" xfId="25567"/>
    <cellStyle name="Credit subtotal 3 4 2 4 2 3" xfId="25568"/>
    <cellStyle name="Credit subtotal 3 4 2 4 2 4" xfId="25569"/>
    <cellStyle name="Credit subtotal 3 4 2 4 2 5" xfId="25570"/>
    <cellStyle name="Credit subtotal 3 4 2 4 2 6" xfId="25571"/>
    <cellStyle name="Credit subtotal 3 4 2 4 2 7" xfId="25572"/>
    <cellStyle name="Credit subtotal 3 4 2 4 2 8" xfId="25573"/>
    <cellStyle name="Credit subtotal 3 4 2 4 2 9" xfId="25574"/>
    <cellStyle name="Credit subtotal 3 4 2 4 3" xfId="25575"/>
    <cellStyle name="Credit subtotal 3 4 2 4 4" xfId="25576"/>
    <cellStyle name="Credit subtotal 3 4 2 4 5" xfId="25577"/>
    <cellStyle name="Credit subtotal 3 4 2 4 6" xfId="25578"/>
    <cellStyle name="Credit subtotal 3 4 2 4 7" xfId="25579"/>
    <cellStyle name="Credit subtotal 3 4 2 4 8" xfId="25580"/>
    <cellStyle name="Credit subtotal 3 4 2 4 9" xfId="25581"/>
    <cellStyle name="Credit subtotal 3 4 2 5" xfId="25582"/>
    <cellStyle name="Credit subtotal 3 4 2 5 2" xfId="25583"/>
    <cellStyle name="Credit subtotal 3 4 2 5 3" xfId="25584"/>
    <cellStyle name="Credit subtotal 3 4 2 6" xfId="25585"/>
    <cellStyle name="Credit subtotal 3 4 3" xfId="25586"/>
    <cellStyle name="Credit subtotal 3 4 3 2" xfId="25587"/>
    <cellStyle name="Credit subtotal 3 4 3 2 10" xfId="25588"/>
    <cellStyle name="Credit subtotal 3 4 3 2 11" xfId="25589"/>
    <cellStyle name="Credit subtotal 3 4 3 2 12" xfId="25590"/>
    <cellStyle name="Credit subtotal 3 4 3 2 13" xfId="25591"/>
    <cellStyle name="Credit subtotal 3 4 3 2 14" xfId="25592"/>
    <cellStyle name="Credit subtotal 3 4 3 2 15" xfId="25593"/>
    <cellStyle name="Credit subtotal 3 4 3 2 16" xfId="25594"/>
    <cellStyle name="Credit subtotal 3 4 3 2 17" xfId="25595"/>
    <cellStyle name="Credit subtotal 3 4 3 2 18" xfId="25596"/>
    <cellStyle name="Credit subtotal 3 4 3 2 19" xfId="25597"/>
    <cellStyle name="Credit subtotal 3 4 3 2 2" xfId="25598"/>
    <cellStyle name="Credit subtotal 3 4 3 2 2 2" xfId="25599"/>
    <cellStyle name="Credit subtotal 3 4 3 2 2 3" xfId="25600"/>
    <cellStyle name="Credit subtotal 3 4 3 2 2 4" xfId="25601"/>
    <cellStyle name="Credit subtotal 3 4 3 2 2 5" xfId="25602"/>
    <cellStyle name="Credit subtotal 3 4 3 2 2 6" xfId="25603"/>
    <cellStyle name="Credit subtotal 3 4 3 2 2 7" xfId="25604"/>
    <cellStyle name="Credit subtotal 3 4 3 2 2 8" xfId="25605"/>
    <cellStyle name="Credit subtotal 3 4 3 2 2 9" xfId="25606"/>
    <cellStyle name="Credit subtotal 3 4 3 2 20" xfId="25607"/>
    <cellStyle name="Credit subtotal 3 4 3 2 21" xfId="25608"/>
    <cellStyle name="Credit subtotal 3 4 3 2 3" xfId="25609"/>
    <cellStyle name="Credit subtotal 3 4 3 2 4" xfId="25610"/>
    <cellStyle name="Credit subtotal 3 4 3 2 5" xfId="25611"/>
    <cellStyle name="Credit subtotal 3 4 3 2 6" xfId="25612"/>
    <cellStyle name="Credit subtotal 3 4 3 2 7" xfId="25613"/>
    <cellStyle name="Credit subtotal 3 4 3 2 8" xfId="25614"/>
    <cellStyle name="Credit subtotal 3 4 3 2 9" xfId="25615"/>
    <cellStyle name="Credit subtotal 3 4 3 3" xfId="25616"/>
    <cellStyle name="Credit subtotal 3 4 3 3 10" xfId="25617"/>
    <cellStyle name="Credit subtotal 3 4 3 3 11" xfId="25618"/>
    <cellStyle name="Credit subtotal 3 4 3 3 12" xfId="25619"/>
    <cellStyle name="Credit subtotal 3 4 3 3 13" xfId="25620"/>
    <cellStyle name="Credit subtotal 3 4 3 3 14" xfId="25621"/>
    <cellStyle name="Credit subtotal 3 4 3 3 15" xfId="25622"/>
    <cellStyle name="Credit subtotal 3 4 3 3 16" xfId="25623"/>
    <cellStyle name="Credit subtotal 3 4 3 3 17" xfId="25624"/>
    <cellStyle name="Credit subtotal 3 4 3 3 18" xfId="25625"/>
    <cellStyle name="Credit subtotal 3 4 3 3 19" xfId="25626"/>
    <cellStyle name="Credit subtotal 3 4 3 3 2" xfId="25627"/>
    <cellStyle name="Credit subtotal 3 4 3 3 2 2" xfId="25628"/>
    <cellStyle name="Credit subtotal 3 4 3 3 2 3" xfId="25629"/>
    <cellStyle name="Credit subtotal 3 4 3 3 2 4" xfId="25630"/>
    <cellStyle name="Credit subtotal 3 4 3 3 2 5" xfId="25631"/>
    <cellStyle name="Credit subtotal 3 4 3 3 2 6" xfId="25632"/>
    <cellStyle name="Credit subtotal 3 4 3 3 2 7" xfId="25633"/>
    <cellStyle name="Credit subtotal 3 4 3 3 2 8" xfId="25634"/>
    <cellStyle name="Credit subtotal 3 4 3 3 2 9" xfId="25635"/>
    <cellStyle name="Credit subtotal 3 4 3 3 3" xfId="25636"/>
    <cellStyle name="Credit subtotal 3 4 3 3 4" xfId="25637"/>
    <cellStyle name="Credit subtotal 3 4 3 3 5" xfId="25638"/>
    <cellStyle name="Credit subtotal 3 4 3 3 6" xfId="25639"/>
    <cellStyle name="Credit subtotal 3 4 3 3 7" xfId="25640"/>
    <cellStyle name="Credit subtotal 3 4 3 3 8" xfId="25641"/>
    <cellStyle name="Credit subtotal 3 4 3 3 9" xfId="25642"/>
    <cellStyle name="Credit subtotal 3 4 3 4" xfId="25643"/>
    <cellStyle name="Credit subtotal 3 4 3 4 10" xfId="25644"/>
    <cellStyle name="Credit subtotal 3 4 3 4 11" xfId="25645"/>
    <cellStyle name="Credit subtotal 3 4 3 4 12" xfId="25646"/>
    <cellStyle name="Credit subtotal 3 4 3 4 13" xfId="25647"/>
    <cellStyle name="Credit subtotal 3 4 3 4 14" xfId="25648"/>
    <cellStyle name="Credit subtotal 3 4 3 4 15" xfId="25649"/>
    <cellStyle name="Credit subtotal 3 4 3 4 16" xfId="25650"/>
    <cellStyle name="Credit subtotal 3 4 3 4 17" xfId="25651"/>
    <cellStyle name="Credit subtotal 3 4 3 4 18" xfId="25652"/>
    <cellStyle name="Credit subtotal 3 4 3 4 2" xfId="25653"/>
    <cellStyle name="Credit subtotal 3 4 3 4 2 2" xfId="25654"/>
    <cellStyle name="Credit subtotal 3 4 3 4 2 3" xfId="25655"/>
    <cellStyle name="Credit subtotal 3 4 3 4 2 4" xfId="25656"/>
    <cellStyle name="Credit subtotal 3 4 3 4 2 5" xfId="25657"/>
    <cellStyle name="Credit subtotal 3 4 3 4 2 6" xfId="25658"/>
    <cellStyle name="Credit subtotal 3 4 3 4 2 7" xfId="25659"/>
    <cellStyle name="Credit subtotal 3 4 3 4 2 8" xfId="25660"/>
    <cellStyle name="Credit subtotal 3 4 3 4 2 9" xfId="25661"/>
    <cellStyle name="Credit subtotal 3 4 3 4 3" xfId="25662"/>
    <cellStyle name="Credit subtotal 3 4 3 4 4" xfId="25663"/>
    <cellStyle name="Credit subtotal 3 4 3 4 5" xfId="25664"/>
    <cellStyle name="Credit subtotal 3 4 3 4 6" xfId="25665"/>
    <cellStyle name="Credit subtotal 3 4 3 4 7" xfId="25666"/>
    <cellStyle name="Credit subtotal 3 4 3 4 8" xfId="25667"/>
    <cellStyle name="Credit subtotal 3 4 3 4 9" xfId="25668"/>
    <cellStyle name="Credit subtotal 3 4 3 5" xfId="25669"/>
    <cellStyle name="Credit subtotal 3 4 3 5 2" xfId="25670"/>
    <cellStyle name="Credit subtotal 3 4 3 5 3" xfId="25671"/>
    <cellStyle name="Credit subtotal 3 4 3 6" xfId="25672"/>
    <cellStyle name="Credit subtotal 3 4 4" xfId="25673"/>
    <cellStyle name="Credit subtotal 3 4 4 10" xfId="25674"/>
    <cellStyle name="Credit subtotal 3 4 4 11" xfId="25675"/>
    <cellStyle name="Credit subtotal 3 4 4 12" xfId="25676"/>
    <cellStyle name="Credit subtotal 3 4 4 13" xfId="25677"/>
    <cellStyle name="Credit subtotal 3 4 4 14" xfId="25678"/>
    <cellStyle name="Credit subtotal 3 4 4 15" xfId="25679"/>
    <cellStyle name="Credit subtotal 3 4 4 16" xfId="25680"/>
    <cellStyle name="Credit subtotal 3 4 4 17" xfId="25681"/>
    <cellStyle name="Credit subtotal 3 4 4 18" xfId="25682"/>
    <cellStyle name="Credit subtotal 3 4 4 19" xfId="25683"/>
    <cellStyle name="Credit subtotal 3 4 4 2" xfId="25684"/>
    <cellStyle name="Credit subtotal 3 4 4 2 2" xfId="25685"/>
    <cellStyle name="Credit subtotal 3 4 4 2 3" xfId="25686"/>
    <cellStyle name="Credit subtotal 3 4 4 2 4" xfId="25687"/>
    <cellStyle name="Credit subtotal 3 4 4 2 5" xfId="25688"/>
    <cellStyle name="Credit subtotal 3 4 4 2 6" xfId="25689"/>
    <cellStyle name="Credit subtotal 3 4 4 2 7" xfId="25690"/>
    <cellStyle name="Credit subtotal 3 4 4 2 8" xfId="25691"/>
    <cellStyle name="Credit subtotal 3 4 4 2 9" xfId="25692"/>
    <cellStyle name="Credit subtotal 3 4 4 20" xfId="25693"/>
    <cellStyle name="Credit subtotal 3 4 4 21" xfId="25694"/>
    <cellStyle name="Credit subtotal 3 4 4 3" xfId="25695"/>
    <cellStyle name="Credit subtotal 3 4 4 4" xfId="25696"/>
    <cellStyle name="Credit subtotal 3 4 4 5" xfId="25697"/>
    <cellStyle name="Credit subtotal 3 4 4 6" xfId="25698"/>
    <cellStyle name="Credit subtotal 3 4 4 7" xfId="25699"/>
    <cellStyle name="Credit subtotal 3 4 4 8" xfId="25700"/>
    <cellStyle name="Credit subtotal 3 4 4 9" xfId="25701"/>
    <cellStyle name="Credit subtotal 3 4 5" xfId="25702"/>
    <cellStyle name="Credit subtotal 3 4 5 10" xfId="25703"/>
    <cellStyle name="Credit subtotal 3 4 5 11" xfId="25704"/>
    <cellStyle name="Credit subtotal 3 4 5 12" xfId="25705"/>
    <cellStyle name="Credit subtotal 3 4 5 13" xfId="25706"/>
    <cellStyle name="Credit subtotal 3 4 5 14" xfId="25707"/>
    <cellStyle name="Credit subtotal 3 4 5 15" xfId="25708"/>
    <cellStyle name="Credit subtotal 3 4 5 16" xfId="25709"/>
    <cellStyle name="Credit subtotal 3 4 5 17" xfId="25710"/>
    <cellStyle name="Credit subtotal 3 4 5 18" xfId="25711"/>
    <cellStyle name="Credit subtotal 3 4 5 19" xfId="25712"/>
    <cellStyle name="Credit subtotal 3 4 5 2" xfId="25713"/>
    <cellStyle name="Credit subtotal 3 4 5 2 2" xfId="25714"/>
    <cellStyle name="Credit subtotal 3 4 5 2 3" xfId="25715"/>
    <cellStyle name="Credit subtotal 3 4 5 2 4" xfId="25716"/>
    <cellStyle name="Credit subtotal 3 4 5 2 5" xfId="25717"/>
    <cellStyle name="Credit subtotal 3 4 5 2 6" xfId="25718"/>
    <cellStyle name="Credit subtotal 3 4 5 2 7" xfId="25719"/>
    <cellStyle name="Credit subtotal 3 4 5 2 8" xfId="25720"/>
    <cellStyle name="Credit subtotal 3 4 5 2 9" xfId="25721"/>
    <cellStyle name="Credit subtotal 3 4 5 3" xfId="25722"/>
    <cellStyle name="Credit subtotal 3 4 5 4" xfId="25723"/>
    <cellStyle name="Credit subtotal 3 4 5 5" xfId="25724"/>
    <cellStyle name="Credit subtotal 3 4 5 6" xfId="25725"/>
    <cellStyle name="Credit subtotal 3 4 5 7" xfId="25726"/>
    <cellStyle name="Credit subtotal 3 4 5 8" xfId="25727"/>
    <cellStyle name="Credit subtotal 3 4 5 9" xfId="25728"/>
    <cellStyle name="Credit subtotal 3 4 6" xfId="25729"/>
    <cellStyle name="Credit subtotal 3 4 6 10" xfId="25730"/>
    <cellStyle name="Credit subtotal 3 4 6 11" xfId="25731"/>
    <cellStyle name="Credit subtotal 3 4 6 12" xfId="25732"/>
    <cellStyle name="Credit subtotal 3 4 6 13" xfId="25733"/>
    <cellStyle name="Credit subtotal 3 4 6 14" xfId="25734"/>
    <cellStyle name="Credit subtotal 3 4 6 15" xfId="25735"/>
    <cellStyle name="Credit subtotal 3 4 6 16" xfId="25736"/>
    <cellStyle name="Credit subtotal 3 4 6 17" xfId="25737"/>
    <cellStyle name="Credit subtotal 3 4 6 18" xfId="25738"/>
    <cellStyle name="Credit subtotal 3 4 6 2" xfId="25739"/>
    <cellStyle name="Credit subtotal 3 4 6 2 2" xfId="25740"/>
    <cellStyle name="Credit subtotal 3 4 6 2 3" xfId="25741"/>
    <cellStyle name="Credit subtotal 3 4 6 2 4" xfId="25742"/>
    <cellStyle name="Credit subtotal 3 4 6 2 5" xfId="25743"/>
    <cellStyle name="Credit subtotal 3 4 6 2 6" xfId="25744"/>
    <cellStyle name="Credit subtotal 3 4 6 2 7" xfId="25745"/>
    <cellStyle name="Credit subtotal 3 4 6 2 8" xfId="25746"/>
    <cellStyle name="Credit subtotal 3 4 6 2 9" xfId="25747"/>
    <cellStyle name="Credit subtotal 3 4 6 3" xfId="25748"/>
    <cellStyle name="Credit subtotal 3 4 6 4" xfId="25749"/>
    <cellStyle name="Credit subtotal 3 4 6 5" xfId="25750"/>
    <cellStyle name="Credit subtotal 3 4 6 6" xfId="25751"/>
    <cellStyle name="Credit subtotal 3 4 6 7" xfId="25752"/>
    <cellStyle name="Credit subtotal 3 4 6 8" xfId="25753"/>
    <cellStyle name="Credit subtotal 3 4 6 9" xfId="25754"/>
    <cellStyle name="Credit subtotal 3 4 7" xfId="25755"/>
    <cellStyle name="Credit subtotal 3 4 7 2" xfId="25756"/>
    <cellStyle name="Credit subtotal 3 4 7 3" xfId="25757"/>
    <cellStyle name="Credit subtotal 3 4 8" xfId="25758"/>
    <cellStyle name="Credit subtotal 3 5" xfId="25759"/>
    <cellStyle name="Credit subtotal 3 5 2" xfId="25760"/>
    <cellStyle name="Credit subtotal 3 5 2 2" xfId="25761"/>
    <cellStyle name="Credit subtotal 3 5 2 2 10" xfId="25762"/>
    <cellStyle name="Credit subtotal 3 5 2 2 11" xfId="25763"/>
    <cellStyle name="Credit subtotal 3 5 2 2 12" xfId="25764"/>
    <cellStyle name="Credit subtotal 3 5 2 2 13" xfId="25765"/>
    <cellStyle name="Credit subtotal 3 5 2 2 14" xfId="25766"/>
    <cellStyle name="Credit subtotal 3 5 2 2 15" xfId="25767"/>
    <cellStyle name="Credit subtotal 3 5 2 2 16" xfId="25768"/>
    <cellStyle name="Credit subtotal 3 5 2 2 17" xfId="25769"/>
    <cellStyle name="Credit subtotal 3 5 2 2 18" xfId="25770"/>
    <cellStyle name="Credit subtotal 3 5 2 2 19" xfId="25771"/>
    <cellStyle name="Credit subtotal 3 5 2 2 2" xfId="25772"/>
    <cellStyle name="Credit subtotal 3 5 2 2 2 2" xfId="25773"/>
    <cellStyle name="Credit subtotal 3 5 2 2 2 3" xfId="25774"/>
    <cellStyle name="Credit subtotal 3 5 2 2 2 4" xfId="25775"/>
    <cellStyle name="Credit subtotal 3 5 2 2 2 5" xfId="25776"/>
    <cellStyle name="Credit subtotal 3 5 2 2 2 6" xfId="25777"/>
    <cellStyle name="Credit subtotal 3 5 2 2 2 7" xfId="25778"/>
    <cellStyle name="Credit subtotal 3 5 2 2 2 8" xfId="25779"/>
    <cellStyle name="Credit subtotal 3 5 2 2 2 9" xfId="25780"/>
    <cellStyle name="Credit subtotal 3 5 2 2 20" xfId="25781"/>
    <cellStyle name="Credit subtotal 3 5 2 2 21" xfId="25782"/>
    <cellStyle name="Credit subtotal 3 5 2 2 3" xfId="25783"/>
    <cellStyle name="Credit subtotal 3 5 2 2 4" xfId="25784"/>
    <cellStyle name="Credit subtotal 3 5 2 2 5" xfId="25785"/>
    <cellStyle name="Credit subtotal 3 5 2 2 6" xfId="25786"/>
    <cellStyle name="Credit subtotal 3 5 2 2 7" xfId="25787"/>
    <cellStyle name="Credit subtotal 3 5 2 2 8" xfId="25788"/>
    <cellStyle name="Credit subtotal 3 5 2 2 9" xfId="25789"/>
    <cellStyle name="Credit subtotal 3 5 2 3" xfId="25790"/>
    <cellStyle name="Credit subtotal 3 5 2 3 10" xfId="25791"/>
    <cellStyle name="Credit subtotal 3 5 2 3 11" xfId="25792"/>
    <cellStyle name="Credit subtotal 3 5 2 3 12" xfId="25793"/>
    <cellStyle name="Credit subtotal 3 5 2 3 13" xfId="25794"/>
    <cellStyle name="Credit subtotal 3 5 2 3 14" xfId="25795"/>
    <cellStyle name="Credit subtotal 3 5 2 3 15" xfId="25796"/>
    <cellStyle name="Credit subtotal 3 5 2 3 16" xfId="25797"/>
    <cellStyle name="Credit subtotal 3 5 2 3 17" xfId="25798"/>
    <cellStyle name="Credit subtotal 3 5 2 3 18" xfId="25799"/>
    <cellStyle name="Credit subtotal 3 5 2 3 19" xfId="25800"/>
    <cellStyle name="Credit subtotal 3 5 2 3 2" xfId="25801"/>
    <cellStyle name="Credit subtotal 3 5 2 3 2 2" xfId="25802"/>
    <cellStyle name="Credit subtotal 3 5 2 3 2 3" xfId="25803"/>
    <cellStyle name="Credit subtotal 3 5 2 3 2 4" xfId="25804"/>
    <cellStyle name="Credit subtotal 3 5 2 3 2 5" xfId="25805"/>
    <cellStyle name="Credit subtotal 3 5 2 3 2 6" xfId="25806"/>
    <cellStyle name="Credit subtotal 3 5 2 3 2 7" xfId="25807"/>
    <cellStyle name="Credit subtotal 3 5 2 3 2 8" xfId="25808"/>
    <cellStyle name="Credit subtotal 3 5 2 3 2 9" xfId="25809"/>
    <cellStyle name="Credit subtotal 3 5 2 3 3" xfId="25810"/>
    <cellStyle name="Credit subtotal 3 5 2 3 4" xfId="25811"/>
    <cellStyle name="Credit subtotal 3 5 2 3 5" xfId="25812"/>
    <cellStyle name="Credit subtotal 3 5 2 3 6" xfId="25813"/>
    <cellStyle name="Credit subtotal 3 5 2 3 7" xfId="25814"/>
    <cellStyle name="Credit subtotal 3 5 2 3 8" xfId="25815"/>
    <cellStyle name="Credit subtotal 3 5 2 3 9" xfId="25816"/>
    <cellStyle name="Credit subtotal 3 5 2 4" xfId="25817"/>
    <cellStyle name="Credit subtotal 3 5 2 4 10" xfId="25818"/>
    <cellStyle name="Credit subtotal 3 5 2 4 11" xfId="25819"/>
    <cellStyle name="Credit subtotal 3 5 2 4 12" xfId="25820"/>
    <cellStyle name="Credit subtotal 3 5 2 4 13" xfId="25821"/>
    <cellStyle name="Credit subtotal 3 5 2 4 14" xfId="25822"/>
    <cellStyle name="Credit subtotal 3 5 2 4 15" xfId="25823"/>
    <cellStyle name="Credit subtotal 3 5 2 4 16" xfId="25824"/>
    <cellStyle name="Credit subtotal 3 5 2 4 17" xfId="25825"/>
    <cellStyle name="Credit subtotal 3 5 2 4 18" xfId="25826"/>
    <cellStyle name="Credit subtotal 3 5 2 4 2" xfId="25827"/>
    <cellStyle name="Credit subtotal 3 5 2 4 2 2" xfId="25828"/>
    <cellStyle name="Credit subtotal 3 5 2 4 2 3" xfId="25829"/>
    <cellStyle name="Credit subtotal 3 5 2 4 2 4" xfId="25830"/>
    <cellStyle name="Credit subtotal 3 5 2 4 2 5" xfId="25831"/>
    <cellStyle name="Credit subtotal 3 5 2 4 2 6" xfId="25832"/>
    <cellStyle name="Credit subtotal 3 5 2 4 2 7" xfId="25833"/>
    <cellStyle name="Credit subtotal 3 5 2 4 2 8" xfId="25834"/>
    <cellStyle name="Credit subtotal 3 5 2 4 2 9" xfId="25835"/>
    <cellStyle name="Credit subtotal 3 5 2 4 3" xfId="25836"/>
    <cellStyle name="Credit subtotal 3 5 2 4 4" xfId="25837"/>
    <cellStyle name="Credit subtotal 3 5 2 4 5" xfId="25838"/>
    <cellStyle name="Credit subtotal 3 5 2 4 6" xfId="25839"/>
    <cellStyle name="Credit subtotal 3 5 2 4 7" xfId="25840"/>
    <cellStyle name="Credit subtotal 3 5 2 4 8" xfId="25841"/>
    <cellStyle name="Credit subtotal 3 5 2 4 9" xfId="25842"/>
    <cellStyle name="Credit subtotal 3 5 2 5" xfId="25843"/>
    <cellStyle name="Credit subtotal 3 5 2 5 2" xfId="25844"/>
    <cellStyle name="Credit subtotal 3 5 2 5 3" xfId="25845"/>
    <cellStyle name="Credit subtotal 3 5 2 6" xfId="25846"/>
    <cellStyle name="Credit subtotal 3 5 3" xfId="25847"/>
    <cellStyle name="Credit subtotal 3 5 3 2" xfId="25848"/>
    <cellStyle name="Credit subtotal 3 5 3 2 10" xfId="25849"/>
    <cellStyle name="Credit subtotal 3 5 3 2 11" xfId="25850"/>
    <cellStyle name="Credit subtotal 3 5 3 2 12" xfId="25851"/>
    <cellStyle name="Credit subtotal 3 5 3 2 13" xfId="25852"/>
    <cellStyle name="Credit subtotal 3 5 3 2 14" xfId="25853"/>
    <cellStyle name="Credit subtotal 3 5 3 2 15" xfId="25854"/>
    <cellStyle name="Credit subtotal 3 5 3 2 16" xfId="25855"/>
    <cellStyle name="Credit subtotal 3 5 3 2 17" xfId="25856"/>
    <cellStyle name="Credit subtotal 3 5 3 2 18" xfId="25857"/>
    <cellStyle name="Credit subtotal 3 5 3 2 19" xfId="25858"/>
    <cellStyle name="Credit subtotal 3 5 3 2 2" xfId="25859"/>
    <cellStyle name="Credit subtotal 3 5 3 2 2 2" xfId="25860"/>
    <cellStyle name="Credit subtotal 3 5 3 2 2 3" xfId="25861"/>
    <cellStyle name="Credit subtotal 3 5 3 2 2 4" xfId="25862"/>
    <cellStyle name="Credit subtotal 3 5 3 2 2 5" xfId="25863"/>
    <cellStyle name="Credit subtotal 3 5 3 2 2 6" xfId="25864"/>
    <cellStyle name="Credit subtotal 3 5 3 2 2 7" xfId="25865"/>
    <cellStyle name="Credit subtotal 3 5 3 2 2 8" xfId="25866"/>
    <cellStyle name="Credit subtotal 3 5 3 2 2 9" xfId="25867"/>
    <cellStyle name="Credit subtotal 3 5 3 2 20" xfId="25868"/>
    <cellStyle name="Credit subtotal 3 5 3 2 21" xfId="25869"/>
    <cellStyle name="Credit subtotal 3 5 3 2 3" xfId="25870"/>
    <cellStyle name="Credit subtotal 3 5 3 2 4" xfId="25871"/>
    <cellStyle name="Credit subtotal 3 5 3 2 5" xfId="25872"/>
    <cellStyle name="Credit subtotal 3 5 3 2 6" xfId="25873"/>
    <cellStyle name="Credit subtotal 3 5 3 2 7" xfId="25874"/>
    <cellStyle name="Credit subtotal 3 5 3 2 8" xfId="25875"/>
    <cellStyle name="Credit subtotal 3 5 3 2 9" xfId="25876"/>
    <cellStyle name="Credit subtotal 3 5 3 3" xfId="25877"/>
    <cellStyle name="Credit subtotal 3 5 3 3 10" xfId="25878"/>
    <cellStyle name="Credit subtotal 3 5 3 3 11" xfId="25879"/>
    <cellStyle name="Credit subtotal 3 5 3 3 12" xfId="25880"/>
    <cellStyle name="Credit subtotal 3 5 3 3 13" xfId="25881"/>
    <cellStyle name="Credit subtotal 3 5 3 3 14" xfId="25882"/>
    <cellStyle name="Credit subtotal 3 5 3 3 15" xfId="25883"/>
    <cellStyle name="Credit subtotal 3 5 3 3 16" xfId="25884"/>
    <cellStyle name="Credit subtotal 3 5 3 3 17" xfId="25885"/>
    <cellStyle name="Credit subtotal 3 5 3 3 18" xfId="25886"/>
    <cellStyle name="Credit subtotal 3 5 3 3 19" xfId="25887"/>
    <cellStyle name="Credit subtotal 3 5 3 3 2" xfId="25888"/>
    <cellStyle name="Credit subtotal 3 5 3 3 2 2" xfId="25889"/>
    <cellStyle name="Credit subtotal 3 5 3 3 2 3" xfId="25890"/>
    <cellStyle name="Credit subtotal 3 5 3 3 2 4" xfId="25891"/>
    <cellStyle name="Credit subtotal 3 5 3 3 2 5" xfId="25892"/>
    <cellStyle name="Credit subtotal 3 5 3 3 2 6" xfId="25893"/>
    <cellStyle name="Credit subtotal 3 5 3 3 2 7" xfId="25894"/>
    <cellStyle name="Credit subtotal 3 5 3 3 2 8" xfId="25895"/>
    <cellStyle name="Credit subtotal 3 5 3 3 2 9" xfId="25896"/>
    <cellStyle name="Credit subtotal 3 5 3 3 3" xfId="25897"/>
    <cellStyle name="Credit subtotal 3 5 3 3 4" xfId="25898"/>
    <cellStyle name="Credit subtotal 3 5 3 3 5" xfId="25899"/>
    <cellStyle name="Credit subtotal 3 5 3 3 6" xfId="25900"/>
    <cellStyle name="Credit subtotal 3 5 3 3 7" xfId="25901"/>
    <cellStyle name="Credit subtotal 3 5 3 3 8" xfId="25902"/>
    <cellStyle name="Credit subtotal 3 5 3 3 9" xfId="25903"/>
    <cellStyle name="Credit subtotal 3 5 3 4" xfId="25904"/>
    <cellStyle name="Credit subtotal 3 5 3 4 10" xfId="25905"/>
    <cellStyle name="Credit subtotal 3 5 3 4 11" xfId="25906"/>
    <cellStyle name="Credit subtotal 3 5 3 4 12" xfId="25907"/>
    <cellStyle name="Credit subtotal 3 5 3 4 13" xfId="25908"/>
    <cellStyle name="Credit subtotal 3 5 3 4 14" xfId="25909"/>
    <cellStyle name="Credit subtotal 3 5 3 4 15" xfId="25910"/>
    <cellStyle name="Credit subtotal 3 5 3 4 16" xfId="25911"/>
    <cellStyle name="Credit subtotal 3 5 3 4 17" xfId="25912"/>
    <cellStyle name="Credit subtotal 3 5 3 4 18" xfId="25913"/>
    <cellStyle name="Credit subtotal 3 5 3 4 2" xfId="25914"/>
    <cellStyle name="Credit subtotal 3 5 3 4 2 2" xfId="25915"/>
    <cellStyle name="Credit subtotal 3 5 3 4 2 3" xfId="25916"/>
    <cellStyle name="Credit subtotal 3 5 3 4 2 4" xfId="25917"/>
    <cellStyle name="Credit subtotal 3 5 3 4 2 5" xfId="25918"/>
    <cellStyle name="Credit subtotal 3 5 3 4 2 6" xfId="25919"/>
    <cellStyle name="Credit subtotal 3 5 3 4 2 7" xfId="25920"/>
    <cellStyle name="Credit subtotal 3 5 3 4 2 8" xfId="25921"/>
    <cellStyle name="Credit subtotal 3 5 3 4 2 9" xfId="25922"/>
    <cellStyle name="Credit subtotal 3 5 3 4 3" xfId="25923"/>
    <cellStyle name="Credit subtotal 3 5 3 4 4" xfId="25924"/>
    <cellStyle name="Credit subtotal 3 5 3 4 5" xfId="25925"/>
    <cellStyle name="Credit subtotal 3 5 3 4 6" xfId="25926"/>
    <cellStyle name="Credit subtotal 3 5 3 4 7" xfId="25927"/>
    <cellStyle name="Credit subtotal 3 5 3 4 8" xfId="25928"/>
    <cellStyle name="Credit subtotal 3 5 3 4 9" xfId="25929"/>
    <cellStyle name="Credit subtotal 3 5 3 5" xfId="25930"/>
    <cellStyle name="Credit subtotal 3 5 3 5 2" xfId="25931"/>
    <cellStyle name="Credit subtotal 3 5 3 5 3" xfId="25932"/>
    <cellStyle name="Credit subtotal 3 5 3 6" xfId="25933"/>
    <cellStyle name="Credit subtotal 3 5 4" xfId="25934"/>
    <cellStyle name="Credit subtotal 3 5 4 10" xfId="25935"/>
    <cellStyle name="Credit subtotal 3 5 4 11" xfId="25936"/>
    <cellStyle name="Credit subtotal 3 5 4 12" xfId="25937"/>
    <cellStyle name="Credit subtotal 3 5 4 13" xfId="25938"/>
    <cellStyle name="Credit subtotal 3 5 4 14" xfId="25939"/>
    <cellStyle name="Credit subtotal 3 5 4 15" xfId="25940"/>
    <cellStyle name="Credit subtotal 3 5 4 16" xfId="25941"/>
    <cellStyle name="Credit subtotal 3 5 4 17" xfId="25942"/>
    <cellStyle name="Credit subtotal 3 5 4 18" xfId="25943"/>
    <cellStyle name="Credit subtotal 3 5 4 19" xfId="25944"/>
    <cellStyle name="Credit subtotal 3 5 4 2" xfId="25945"/>
    <cellStyle name="Credit subtotal 3 5 4 2 2" xfId="25946"/>
    <cellStyle name="Credit subtotal 3 5 4 2 3" xfId="25947"/>
    <cellStyle name="Credit subtotal 3 5 4 2 4" xfId="25948"/>
    <cellStyle name="Credit subtotal 3 5 4 2 5" xfId="25949"/>
    <cellStyle name="Credit subtotal 3 5 4 2 6" xfId="25950"/>
    <cellStyle name="Credit subtotal 3 5 4 2 7" xfId="25951"/>
    <cellStyle name="Credit subtotal 3 5 4 2 8" xfId="25952"/>
    <cellStyle name="Credit subtotal 3 5 4 2 9" xfId="25953"/>
    <cellStyle name="Credit subtotal 3 5 4 20" xfId="25954"/>
    <cellStyle name="Credit subtotal 3 5 4 21" xfId="25955"/>
    <cellStyle name="Credit subtotal 3 5 4 3" xfId="25956"/>
    <cellStyle name="Credit subtotal 3 5 4 4" xfId="25957"/>
    <cellStyle name="Credit subtotal 3 5 4 5" xfId="25958"/>
    <cellStyle name="Credit subtotal 3 5 4 6" xfId="25959"/>
    <cellStyle name="Credit subtotal 3 5 4 7" xfId="25960"/>
    <cellStyle name="Credit subtotal 3 5 4 8" xfId="25961"/>
    <cellStyle name="Credit subtotal 3 5 4 9" xfId="25962"/>
    <cellStyle name="Credit subtotal 3 5 5" xfId="25963"/>
    <cellStyle name="Credit subtotal 3 5 5 10" xfId="25964"/>
    <cellStyle name="Credit subtotal 3 5 5 11" xfId="25965"/>
    <cellStyle name="Credit subtotal 3 5 5 12" xfId="25966"/>
    <cellStyle name="Credit subtotal 3 5 5 13" xfId="25967"/>
    <cellStyle name="Credit subtotal 3 5 5 14" xfId="25968"/>
    <cellStyle name="Credit subtotal 3 5 5 15" xfId="25969"/>
    <cellStyle name="Credit subtotal 3 5 5 16" xfId="25970"/>
    <cellStyle name="Credit subtotal 3 5 5 17" xfId="25971"/>
    <cellStyle name="Credit subtotal 3 5 5 18" xfId="25972"/>
    <cellStyle name="Credit subtotal 3 5 5 19" xfId="25973"/>
    <cellStyle name="Credit subtotal 3 5 5 2" xfId="25974"/>
    <cellStyle name="Credit subtotal 3 5 5 2 2" xfId="25975"/>
    <cellStyle name="Credit subtotal 3 5 5 2 3" xfId="25976"/>
    <cellStyle name="Credit subtotal 3 5 5 2 4" xfId="25977"/>
    <cellStyle name="Credit subtotal 3 5 5 2 5" xfId="25978"/>
    <cellStyle name="Credit subtotal 3 5 5 2 6" xfId="25979"/>
    <cellStyle name="Credit subtotal 3 5 5 2 7" xfId="25980"/>
    <cellStyle name="Credit subtotal 3 5 5 2 8" xfId="25981"/>
    <cellStyle name="Credit subtotal 3 5 5 2 9" xfId="25982"/>
    <cellStyle name="Credit subtotal 3 5 5 3" xfId="25983"/>
    <cellStyle name="Credit subtotal 3 5 5 4" xfId="25984"/>
    <cellStyle name="Credit subtotal 3 5 5 5" xfId="25985"/>
    <cellStyle name="Credit subtotal 3 5 5 6" xfId="25986"/>
    <cellStyle name="Credit subtotal 3 5 5 7" xfId="25987"/>
    <cellStyle name="Credit subtotal 3 5 5 8" xfId="25988"/>
    <cellStyle name="Credit subtotal 3 5 5 9" xfId="25989"/>
    <cellStyle name="Credit subtotal 3 5 6" xfId="25990"/>
    <cellStyle name="Credit subtotal 3 5 6 10" xfId="25991"/>
    <cellStyle name="Credit subtotal 3 5 6 11" xfId="25992"/>
    <cellStyle name="Credit subtotal 3 5 6 12" xfId="25993"/>
    <cellStyle name="Credit subtotal 3 5 6 13" xfId="25994"/>
    <cellStyle name="Credit subtotal 3 5 6 14" xfId="25995"/>
    <cellStyle name="Credit subtotal 3 5 6 15" xfId="25996"/>
    <cellStyle name="Credit subtotal 3 5 6 16" xfId="25997"/>
    <cellStyle name="Credit subtotal 3 5 6 17" xfId="25998"/>
    <cellStyle name="Credit subtotal 3 5 6 18" xfId="25999"/>
    <cellStyle name="Credit subtotal 3 5 6 2" xfId="26000"/>
    <cellStyle name="Credit subtotal 3 5 6 2 2" xfId="26001"/>
    <cellStyle name="Credit subtotal 3 5 6 2 3" xfId="26002"/>
    <cellStyle name="Credit subtotal 3 5 6 2 4" xfId="26003"/>
    <cellStyle name="Credit subtotal 3 5 6 2 5" xfId="26004"/>
    <cellStyle name="Credit subtotal 3 5 6 2 6" xfId="26005"/>
    <cellStyle name="Credit subtotal 3 5 6 2 7" xfId="26006"/>
    <cellStyle name="Credit subtotal 3 5 6 2 8" xfId="26007"/>
    <cellStyle name="Credit subtotal 3 5 6 2 9" xfId="26008"/>
    <cellStyle name="Credit subtotal 3 5 6 3" xfId="26009"/>
    <cellStyle name="Credit subtotal 3 5 6 4" xfId="26010"/>
    <cellStyle name="Credit subtotal 3 5 6 5" xfId="26011"/>
    <cellStyle name="Credit subtotal 3 5 6 6" xfId="26012"/>
    <cellStyle name="Credit subtotal 3 5 6 7" xfId="26013"/>
    <cellStyle name="Credit subtotal 3 5 6 8" xfId="26014"/>
    <cellStyle name="Credit subtotal 3 5 6 9" xfId="26015"/>
    <cellStyle name="Credit subtotal 3 5 7" xfId="26016"/>
    <cellStyle name="Credit subtotal 3 5 7 2" xfId="26017"/>
    <cellStyle name="Credit subtotal 3 5 7 3" xfId="26018"/>
    <cellStyle name="Credit subtotal 3 5 8" xfId="26019"/>
    <cellStyle name="Credit subtotal 3 6" xfId="26020"/>
    <cellStyle name="Credit subtotal 3 6 2" xfId="26021"/>
    <cellStyle name="Credit subtotal 3 6 2 2" xfId="26022"/>
    <cellStyle name="Credit subtotal 3 6 2 2 10" xfId="26023"/>
    <cellStyle name="Credit subtotal 3 6 2 2 11" xfId="26024"/>
    <cellStyle name="Credit subtotal 3 6 2 2 12" xfId="26025"/>
    <cellStyle name="Credit subtotal 3 6 2 2 13" xfId="26026"/>
    <cellStyle name="Credit subtotal 3 6 2 2 14" xfId="26027"/>
    <cellStyle name="Credit subtotal 3 6 2 2 15" xfId="26028"/>
    <cellStyle name="Credit subtotal 3 6 2 2 16" xfId="26029"/>
    <cellStyle name="Credit subtotal 3 6 2 2 17" xfId="26030"/>
    <cellStyle name="Credit subtotal 3 6 2 2 18" xfId="26031"/>
    <cellStyle name="Credit subtotal 3 6 2 2 19" xfId="26032"/>
    <cellStyle name="Credit subtotal 3 6 2 2 2" xfId="26033"/>
    <cellStyle name="Credit subtotal 3 6 2 2 2 2" xfId="26034"/>
    <cellStyle name="Credit subtotal 3 6 2 2 2 3" xfId="26035"/>
    <cellStyle name="Credit subtotal 3 6 2 2 2 4" xfId="26036"/>
    <cellStyle name="Credit subtotal 3 6 2 2 2 5" xfId="26037"/>
    <cellStyle name="Credit subtotal 3 6 2 2 2 6" xfId="26038"/>
    <cellStyle name="Credit subtotal 3 6 2 2 2 7" xfId="26039"/>
    <cellStyle name="Credit subtotal 3 6 2 2 2 8" xfId="26040"/>
    <cellStyle name="Credit subtotal 3 6 2 2 2 9" xfId="26041"/>
    <cellStyle name="Credit subtotal 3 6 2 2 20" xfId="26042"/>
    <cellStyle name="Credit subtotal 3 6 2 2 21" xfId="26043"/>
    <cellStyle name="Credit subtotal 3 6 2 2 3" xfId="26044"/>
    <cellStyle name="Credit subtotal 3 6 2 2 4" xfId="26045"/>
    <cellStyle name="Credit subtotal 3 6 2 2 5" xfId="26046"/>
    <cellStyle name="Credit subtotal 3 6 2 2 6" xfId="26047"/>
    <cellStyle name="Credit subtotal 3 6 2 2 7" xfId="26048"/>
    <cellStyle name="Credit subtotal 3 6 2 2 8" xfId="26049"/>
    <cellStyle name="Credit subtotal 3 6 2 2 9" xfId="26050"/>
    <cellStyle name="Credit subtotal 3 6 2 3" xfId="26051"/>
    <cellStyle name="Credit subtotal 3 6 2 3 10" xfId="26052"/>
    <cellStyle name="Credit subtotal 3 6 2 3 11" xfId="26053"/>
    <cellStyle name="Credit subtotal 3 6 2 3 12" xfId="26054"/>
    <cellStyle name="Credit subtotal 3 6 2 3 13" xfId="26055"/>
    <cellStyle name="Credit subtotal 3 6 2 3 14" xfId="26056"/>
    <cellStyle name="Credit subtotal 3 6 2 3 15" xfId="26057"/>
    <cellStyle name="Credit subtotal 3 6 2 3 16" xfId="26058"/>
    <cellStyle name="Credit subtotal 3 6 2 3 17" xfId="26059"/>
    <cellStyle name="Credit subtotal 3 6 2 3 18" xfId="26060"/>
    <cellStyle name="Credit subtotal 3 6 2 3 19" xfId="26061"/>
    <cellStyle name="Credit subtotal 3 6 2 3 2" xfId="26062"/>
    <cellStyle name="Credit subtotal 3 6 2 3 2 2" xfId="26063"/>
    <cellStyle name="Credit subtotal 3 6 2 3 2 3" xfId="26064"/>
    <cellStyle name="Credit subtotal 3 6 2 3 2 4" xfId="26065"/>
    <cellStyle name="Credit subtotal 3 6 2 3 2 5" xfId="26066"/>
    <cellStyle name="Credit subtotal 3 6 2 3 2 6" xfId="26067"/>
    <cellStyle name="Credit subtotal 3 6 2 3 2 7" xfId="26068"/>
    <cellStyle name="Credit subtotal 3 6 2 3 2 8" xfId="26069"/>
    <cellStyle name="Credit subtotal 3 6 2 3 2 9" xfId="26070"/>
    <cellStyle name="Credit subtotal 3 6 2 3 3" xfId="26071"/>
    <cellStyle name="Credit subtotal 3 6 2 3 4" xfId="26072"/>
    <cellStyle name="Credit subtotal 3 6 2 3 5" xfId="26073"/>
    <cellStyle name="Credit subtotal 3 6 2 3 6" xfId="26074"/>
    <cellStyle name="Credit subtotal 3 6 2 3 7" xfId="26075"/>
    <cellStyle name="Credit subtotal 3 6 2 3 8" xfId="26076"/>
    <cellStyle name="Credit subtotal 3 6 2 3 9" xfId="26077"/>
    <cellStyle name="Credit subtotal 3 6 2 4" xfId="26078"/>
    <cellStyle name="Credit subtotal 3 6 2 4 10" xfId="26079"/>
    <cellStyle name="Credit subtotal 3 6 2 4 11" xfId="26080"/>
    <cellStyle name="Credit subtotal 3 6 2 4 12" xfId="26081"/>
    <cellStyle name="Credit subtotal 3 6 2 4 13" xfId="26082"/>
    <cellStyle name="Credit subtotal 3 6 2 4 14" xfId="26083"/>
    <cellStyle name="Credit subtotal 3 6 2 4 15" xfId="26084"/>
    <cellStyle name="Credit subtotal 3 6 2 4 16" xfId="26085"/>
    <cellStyle name="Credit subtotal 3 6 2 4 17" xfId="26086"/>
    <cellStyle name="Credit subtotal 3 6 2 4 18" xfId="26087"/>
    <cellStyle name="Credit subtotal 3 6 2 4 2" xfId="26088"/>
    <cellStyle name="Credit subtotal 3 6 2 4 2 2" xfId="26089"/>
    <cellStyle name="Credit subtotal 3 6 2 4 2 3" xfId="26090"/>
    <cellStyle name="Credit subtotal 3 6 2 4 2 4" xfId="26091"/>
    <cellStyle name="Credit subtotal 3 6 2 4 2 5" xfId="26092"/>
    <cellStyle name="Credit subtotal 3 6 2 4 2 6" xfId="26093"/>
    <cellStyle name="Credit subtotal 3 6 2 4 2 7" xfId="26094"/>
    <cellStyle name="Credit subtotal 3 6 2 4 2 8" xfId="26095"/>
    <cellStyle name="Credit subtotal 3 6 2 4 2 9" xfId="26096"/>
    <cellStyle name="Credit subtotal 3 6 2 4 3" xfId="26097"/>
    <cellStyle name="Credit subtotal 3 6 2 4 4" xfId="26098"/>
    <cellStyle name="Credit subtotal 3 6 2 4 5" xfId="26099"/>
    <cellStyle name="Credit subtotal 3 6 2 4 6" xfId="26100"/>
    <cellStyle name="Credit subtotal 3 6 2 4 7" xfId="26101"/>
    <cellStyle name="Credit subtotal 3 6 2 4 8" xfId="26102"/>
    <cellStyle name="Credit subtotal 3 6 2 4 9" xfId="26103"/>
    <cellStyle name="Credit subtotal 3 6 2 5" xfId="26104"/>
    <cellStyle name="Credit subtotal 3 6 2 5 2" xfId="26105"/>
    <cellStyle name="Credit subtotal 3 6 2 5 3" xfId="26106"/>
    <cellStyle name="Credit subtotal 3 6 2 6" xfId="26107"/>
    <cellStyle name="Credit subtotal 3 6 3" xfId="26108"/>
    <cellStyle name="Credit subtotal 3 6 3 2" xfId="26109"/>
    <cellStyle name="Credit subtotal 3 6 3 2 10" xfId="26110"/>
    <cellStyle name="Credit subtotal 3 6 3 2 11" xfId="26111"/>
    <cellStyle name="Credit subtotal 3 6 3 2 12" xfId="26112"/>
    <cellStyle name="Credit subtotal 3 6 3 2 13" xfId="26113"/>
    <cellStyle name="Credit subtotal 3 6 3 2 14" xfId="26114"/>
    <cellStyle name="Credit subtotal 3 6 3 2 15" xfId="26115"/>
    <cellStyle name="Credit subtotal 3 6 3 2 16" xfId="26116"/>
    <cellStyle name="Credit subtotal 3 6 3 2 17" xfId="26117"/>
    <cellStyle name="Credit subtotal 3 6 3 2 18" xfId="26118"/>
    <cellStyle name="Credit subtotal 3 6 3 2 19" xfId="26119"/>
    <cellStyle name="Credit subtotal 3 6 3 2 2" xfId="26120"/>
    <cellStyle name="Credit subtotal 3 6 3 2 2 2" xfId="26121"/>
    <cellStyle name="Credit subtotal 3 6 3 2 2 3" xfId="26122"/>
    <cellStyle name="Credit subtotal 3 6 3 2 2 4" xfId="26123"/>
    <cellStyle name="Credit subtotal 3 6 3 2 2 5" xfId="26124"/>
    <cellStyle name="Credit subtotal 3 6 3 2 2 6" xfId="26125"/>
    <cellStyle name="Credit subtotal 3 6 3 2 2 7" xfId="26126"/>
    <cellStyle name="Credit subtotal 3 6 3 2 2 8" xfId="26127"/>
    <cellStyle name="Credit subtotal 3 6 3 2 2 9" xfId="26128"/>
    <cellStyle name="Credit subtotal 3 6 3 2 20" xfId="26129"/>
    <cellStyle name="Credit subtotal 3 6 3 2 21" xfId="26130"/>
    <cellStyle name="Credit subtotal 3 6 3 2 3" xfId="26131"/>
    <cellStyle name="Credit subtotal 3 6 3 2 4" xfId="26132"/>
    <cellStyle name="Credit subtotal 3 6 3 2 5" xfId="26133"/>
    <cellStyle name="Credit subtotal 3 6 3 2 6" xfId="26134"/>
    <cellStyle name="Credit subtotal 3 6 3 2 7" xfId="26135"/>
    <cellStyle name="Credit subtotal 3 6 3 2 8" xfId="26136"/>
    <cellStyle name="Credit subtotal 3 6 3 2 9" xfId="26137"/>
    <cellStyle name="Credit subtotal 3 6 3 3" xfId="26138"/>
    <cellStyle name="Credit subtotal 3 6 3 3 10" xfId="26139"/>
    <cellStyle name="Credit subtotal 3 6 3 3 11" xfId="26140"/>
    <cellStyle name="Credit subtotal 3 6 3 3 12" xfId="26141"/>
    <cellStyle name="Credit subtotal 3 6 3 3 13" xfId="26142"/>
    <cellStyle name="Credit subtotal 3 6 3 3 14" xfId="26143"/>
    <cellStyle name="Credit subtotal 3 6 3 3 15" xfId="26144"/>
    <cellStyle name="Credit subtotal 3 6 3 3 16" xfId="26145"/>
    <cellStyle name="Credit subtotal 3 6 3 3 17" xfId="26146"/>
    <cellStyle name="Credit subtotal 3 6 3 3 18" xfId="26147"/>
    <cellStyle name="Credit subtotal 3 6 3 3 19" xfId="26148"/>
    <cellStyle name="Credit subtotal 3 6 3 3 2" xfId="26149"/>
    <cellStyle name="Credit subtotal 3 6 3 3 2 2" xfId="26150"/>
    <cellStyle name="Credit subtotal 3 6 3 3 2 3" xfId="26151"/>
    <cellStyle name="Credit subtotal 3 6 3 3 2 4" xfId="26152"/>
    <cellStyle name="Credit subtotal 3 6 3 3 2 5" xfId="26153"/>
    <cellStyle name="Credit subtotal 3 6 3 3 2 6" xfId="26154"/>
    <cellStyle name="Credit subtotal 3 6 3 3 2 7" xfId="26155"/>
    <cellStyle name="Credit subtotal 3 6 3 3 2 8" xfId="26156"/>
    <cellStyle name="Credit subtotal 3 6 3 3 2 9" xfId="26157"/>
    <cellStyle name="Credit subtotal 3 6 3 3 3" xfId="26158"/>
    <cellStyle name="Credit subtotal 3 6 3 3 4" xfId="26159"/>
    <cellStyle name="Credit subtotal 3 6 3 3 5" xfId="26160"/>
    <cellStyle name="Credit subtotal 3 6 3 3 6" xfId="26161"/>
    <cellStyle name="Credit subtotal 3 6 3 3 7" xfId="26162"/>
    <cellStyle name="Credit subtotal 3 6 3 3 8" xfId="26163"/>
    <cellStyle name="Credit subtotal 3 6 3 3 9" xfId="26164"/>
    <cellStyle name="Credit subtotal 3 6 3 4" xfId="26165"/>
    <cellStyle name="Credit subtotal 3 6 3 4 10" xfId="26166"/>
    <cellStyle name="Credit subtotal 3 6 3 4 11" xfId="26167"/>
    <cellStyle name="Credit subtotal 3 6 3 4 12" xfId="26168"/>
    <cellStyle name="Credit subtotal 3 6 3 4 13" xfId="26169"/>
    <cellStyle name="Credit subtotal 3 6 3 4 14" xfId="26170"/>
    <cellStyle name="Credit subtotal 3 6 3 4 15" xfId="26171"/>
    <cellStyle name="Credit subtotal 3 6 3 4 16" xfId="26172"/>
    <cellStyle name="Credit subtotal 3 6 3 4 17" xfId="26173"/>
    <cellStyle name="Credit subtotal 3 6 3 4 18" xfId="26174"/>
    <cellStyle name="Credit subtotal 3 6 3 4 2" xfId="26175"/>
    <cellStyle name="Credit subtotal 3 6 3 4 2 2" xfId="26176"/>
    <cellStyle name="Credit subtotal 3 6 3 4 2 3" xfId="26177"/>
    <cellStyle name="Credit subtotal 3 6 3 4 2 4" xfId="26178"/>
    <cellStyle name="Credit subtotal 3 6 3 4 2 5" xfId="26179"/>
    <cellStyle name="Credit subtotal 3 6 3 4 2 6" xfId="26180"/>
    <cellStyle name="Credit subtotal 3 6 3 4 2 7" xfId="26181"/>
    <cellStyle name="Credit subtotal 3 6 3 4 2 8" xfId="26182"/>
    <cellStyle name="Credit subtotal 3 6 3 4 2 9" xfId="26183"/>
    <cellStyle name="Credit subtotal 3 6 3 4 3" xfId="26184"/>
    <cellStyle name="Credit subtotal 3 6 3 4 4" xfId="26185"/>
    <cellStyle name="Credit subtotal 3 6 3 4 5" xfId="26186"/>
    <cellStyle name="Credit subtotal 3 6 3 4 6" xfId="26187"/>
    <cellStyle name="Credit subtotal 3 6 3 4 7" xfId="26188"/>
    <cellStyle name="Credit subtotal 3 6 3 4 8" xfId="26189"/>
    <cellStyle name="Credit subtotal 3 6 3 4 9" xfId="26190"/>
    <cellStyle name="Credit subtotal 3 6 3 5" xfId="26191"/>
    <cellStyle name="Credit subtotal 3 6 3 5 2" xfId="26192"/>
    <cellStyle name="Credit subtotal 3 6 3 5 3" xfId="26193"/>
    <cellStyle name="Credit subtotal 3 6 3 6" xfId="26194"/>
    <cellStyle name="Credit subtotal 3 6 4" xfId="26195"/>
    <cellStyle name="Credit subtotal 3 6 4 10" xfId="26196"/>
    <cellStyle name="Credit subtotal 3 6 4 11" xfId="26197"/>
    <cellStyle name="Credit subtotal 3 6 4 12" xfId="26198"/>
    <cellStyle name="Credit subtotal 3 6 4 13" xfId="26199"/>
    <cellStyle name="Credit subtotal 3 6 4 14" xfId="26200"/>
    <cellStyle name="Credit subtotal 3 6 4 15" xfId="26201"/>
    <cellStyle name="Credit subtotal 3 6 4 16" xfId="26202"/>
    <cellStyle name="Credit subtotal 3 6 4 17" xfId="26203"/>
    <cellStyle name="Credit subtotal 3 6 4 18" xfId="26204"/>
    <cellStyle name="Credit subtotal 3 6 4 19" xfId="26205"/>
    <cellStyle name="Credit subtotal 3 6 4 2" xfId="26206"/>
    <cellStyle name="Credit subtotal 3 6 4 2 2" xfId="26207"/>
    <cellStyle name="Credit subtotal 3 6 4 2 3" xfId="26208"/>
    <cellStyle name="Credit subtotal 3 6 4 2 4" xfId="26209"/>
    <cellStyle name="Credit subtotal 3 6 4 2 5" xfId="26210"/>
    <cellStyle name="Credit subtotal 3 6 4 2 6" xfId="26211"/>
    <cellStyle name="Credit subtotal 3 6 4 2 7" xfId="26212"/>
    <cellStyle name="Credit subtotal 3 6 4 2 8" xfId="26213"/>
    <cellStyle name="Credit subtotal 3 6 4 2 9" xfId="26214"/>
    <cellStyle name="Credit subtotal 3 6 4 20" xfId="26215"/>
    <cellStyle name="Credit subtotal 3 6 4 21" xfId="26216"/>
    <cellStyle name="Credit subtotal 3 6 4 3" xfId="26217"/>
    <cellStyle name="Credit subtotal 3 6 4 4" xfId="26218"/>
    <cellStyle name="Credit subtotal 3 6 4 5" xfId="26219"/>
    <cellStyle name="Credit subtotal 3 6 4 6" xfId="26220"/>
    <cellStyle name="Credit subtotal 3 6 4 7" xfId="26221"/>
    <cellStyle name="Credit subtotal 3 6 4 8" xfId="26222"/>
    <cellStyle name="Credit subtotal 3 6 4 9" xfId="26223"/>
    <cellStyle name="Credit subtotal 3 6 5" xfId="26224"/>
    <cellStyle name="Credit subtotal 3 6 5 10" xfId="26225"/>
    <cellStyle name="Credit subtotal 3 6 5 11" xfId="26226"/>
    <cellStyle name="Credit subtotal 3 6 5 12" xfId="26227"/>
    <cellStyle name="Credit subtotal 3 6 5 13" xfId="26228"/>
    <cellStyle name="Credit subtotal 3 6 5 14" xfId="26229"/>
    <cellStyle name="Credit subtotal 3 6 5 15" xfId="26230"/>
    <cellStyle name="Credit subtotal 3 6 5 16" xfId="26231"/>
    <cellStyle name="Credit subtotal 3 6 5 17" xfId="26232"/>
    <cellStyle name="Credit subtotal 3 6 5 18" xfId="26233"/>
    <cellStyle name="Credit subtotal 3 6 5 19" xfId="26234"/>
    <cellStyle name="Credit subtotal 3 6 5 2" xfId="26235"/>
    <cellStyle name="Credit subtotal 3 6 5 2 2" xfId="26236"/>
    <cellStyle name="Credit subtotal 3 6 5 2 3" xfId="26237"/>
    <cellStyle name="Credit subtotal 3 6 5 2 4" xfId="26238"/>
    <cellStyle name="Credit subtotal 3 6 5 2 5" xfId="26239"/>
    <cellStyle name="Credit subtotal 3 6 5 2 6" xfId="26240"/>
    <cellStyle name="Credit subtotal 3 6 5 2 7" xfId="26241"/>
    <cellStyle name="Credit subtotal 3 6 5 2 8" xfId="26242"/>
    <cellStyle name="Credit subtotal 3 6 5 2 9" xfId="26243"/>
    <cellStyle name="Credit subtotal 3 6 5 3" xfId="26244"/>
    <cellStyle name="Credit subtotal 3 6 5 4" xfId="26245"/>
    <cellStyle name="Credit subtotal 3 6 5 5" xfId="26246"/>
    <cellStyle name="Credit subtotal 3 6 5 6" xfId="26247"/>
    <cellStyle name="Credit subtotal 3 6 5 7" xfId="26248"/>
    <cellStyle name="Credit subtotal 3 6 5 8" xfId="26249"/>
    <cellStyle name="Credit subtotal 3 6 5 9" xfId="26250"/>
    <cellStyle name="Credit subtotal 3 6 6" xfId="26251"/>
    <cellStyle name="Credit subtotal 3 6 6 10" xfId="26252"/>
    <cellStyle name="Credit subtotal 3 6 6 11" xfId="26253"/>
    <cellStyle name="Credit subtotal 3 6 6 12" xfId="26254"/>
    <cellStyle name="Credit subtotal 3 6 6 13" xfId="26255"/>
    <cellStyle name="Credit subtotal 3 6 6 14" xfId="26256"/>
    <cellStyle name="Credit subtotal 3 6 6 15" xfId="26257"/>
    <cellStyle name="Credit subtotal 3 6 6 16" xfId="26258"/>
    <cellStyle name="Credit subtotal 3 6 6 17" xfId="26259"/>
    <cellStyle name="Credit subtotal 3 6 6 18" xfId="26260"/>
    <cellStyle name="Credit subtotal 3 6 6 2" xfId="26261"/>
    <cellStyle name="Credit subtotal 3 6 6 2 2" xfId="26262"/>
    <cellStyle name="Credit subtotal 3 6 6 2 3" xfId="26263"/>
    <cellStyle name="Credit subtotal 3 6 6 2 4" xfId="26264"/>
    <cellStyle name="Credit subtotal 3 6 6 2 5" xfId="26265"/>
    <cellStyle name="Credit subtotal 3 6 6 2 6" xfId="26266"/>
    <cellStyle name="Credit subtotal 3 6 6 2 7" xfId="26267"/>
    <cellStyle name="Credit subtotal 3 6 6 2 8" xfId="26268"/>
    <cellStyle name="Credit subtotal 3 6 6 2 9" xfId="26269"/>
    <cellStyle name="Credit subtotal 3 6 6 3" xfId="26270"/>
    <cellStyle name="Credit subtotal 3 6 6 4" xfId="26271"/>
    <cellStyle name="Credit subtotal 3 6 6 5" xfId="26272"/>
    <cellStyle name="Credit subtotal 3 6 6 6" xfId="26273"/>
    <cellStyle name="Credit subtotal 3 6 6 7" xfId="26274"/>
    <cellStyle name="Credit subtotal 3 6 6 8" xfId="26275"/>
    <cellStyle name="Credit subtotal 3 6 6 9" xfId="26276"/>
    <cellStyle name="Credit subtotal 3 6 7" xfId="26277"/>
    <cellStyle name="Credit subtotal 3 6 7 2" xfId="26278"/>
    <cellStyle name="Credit subtotal 3 6 7 3" xfId="26279"/>
    <cellStyle name="Credit subtotal 3 6 8" xfId="26280"/>
    <cellStyle name="Credit subtotal 3 7" xfId="26281"/>
    <cellStyle name="Credit subtotal 3 7 2" xfId="26282"/>
    <cellStyle name="Credit subtotal 3 7 2 2" xfId="26283"/>
    <cellStyle name="Credit subtotal 3 7 2 2 10" xfId="26284"/>
    <cellStyle name="Credit subtotal 3 7 2 2 11" xfId="26285"/>
    <cellStyle name="Credit subtotal 3 7 2 2 12" xfId="26286"/>
    <cellStyle name="Credit subtotal 3 7 2 2 13" xfId="26287"/>
    <cellStyle name="Credit subtotal 3 7 2 2 14" xfId="26288"/>
    <cellStyle name="Credit subtotal 3 7 2 2 15" xfId="26289"/>
    <cellStyle name="Credit subtotal 3 7 2 2 16" xfId="26290"/>
    <cellStyle name="Credit subtotal 3 7 2 2 17" xfId="26291"/>
    <cellStyle name="Credit subtotal 3 7 2 2 18" xfId="26292"/>
    <cellStyle name="Credit subtotal 3 7 2 2 19" xfId="26293"/>
    <cellStyle name="Credit subtotal 3 7 2 2 2" xfId="26294"/>
    <cellStyle name="Credit subtotal 3 7 2 2 2 2" xfId="26295"/>
    <cellStyle name="Credit subtotal 3 7 2 2 2 3" xfId="26296"/>
    <cellStyle name="Credit subtotal 3 7 2 2 2 4" xfId="26297"/>
    <cellStyle name="Credit subtotal 3 7 2 2 2 5" xfId="26298"/>
    <cellStyle name="Credit subtotal 3 7 2 2 2 6" xfId="26299"/>
    <cellStyle name="Credit subtotal 3 7 2 2 2 7" xfId="26300"/>
    <cellStyle name="Credit subtotal 3 7 2 2 2 8" xfId="26301"/>
    <cellStyle name="Credit subtotal 3 7 2 2 2 9" xfId="26302"/>
    <cellStyle name="Credit subtotal 3 7 2 2 20" xfId="26303"/>
    <cellStyle name="Credit subtotal 3 7 2 2 21" xfId="26304"/>
    <cellStyle name="Credit subtotal 3 7 2 2 3" xfId="26305"/>
    <cellStyle name="Credit subtotal 3 7 2 2 4" xfId="26306"/>
    <cellStyle name="Credit subtotal 3 7 2 2 5" xfId="26307"/>
    <cellStyle name="Credit subtotal 3 7 2 2 6" xfId="26308"/>
    <cellStyle name="Credit subtotal 3 7 2 2 7" xfId="26309"/>
    <cellStyle name="Credit subtotal 3 7 2 2 8" xfId="26310"/>
    <cellStyle name="Credit subtotal 3 7 2 2 9" xfId="26311"/>
    <cellStyle name="Credit subtotal 3 7 2 3" xfId="26312"/>
    <cellStyle name="Credit subtotal 3 7 2 3 10" xfId="26313"/>
    <cellStyle name="Credit subtotal 3 7 2 3 11" xfId="26314"/>
    <cellStyle name="Credit subtotal 3 7 2 3 12" xfId="26315"/>
    <cellStyle name="Credit subtotal 3 7 2 3 13" xfId="26316"/>
    <cellStyle name="Credit subtotal 3 7 2 3 14" xfId="26317"/>
    <cellStyle name="Credit subtotal 3 7 2 3 15" xfId="26318"/>
    <cellStyle name="Credit subtotal 3 7 2 3 16" xfId="26319"/>
    <cellStyle name="Credit subtotal 3 7 2 3 17" xfId="26320"/>
    <cellStyle name="Credit subtotal 3 7 2 3 18" xfId="26321"/>
    <cellStyle name="Credit subtotal 3 7 2 3 19" xfId="26322"/>
    <cellStyle name="Credit subtotal 3 7 2 3 2" xfId="26323"/>
    <cellStyle name="Credit subtotal 3 7 2 3 2 2" xfId="26324"/>
    <cellStyle name="Credit subtotal 3 7 2 3 2 3" xfId="26325"/>
    <cellStyle name="Credit subtotal 3 7 2 3 2 4" xfId="26326"/>
    <cellStyle name="Credit subtotal 3 7 2 3 2 5" xfId="26327"/>
    <cellStyle name="Credit subtotal 3 7 2 3 2 6" xfId="26328"/>
    <cellStyle name="Credit subtotal 3 7 2 3 2 7" xfId="26329"/>
    <cellStyle name="Credit subtotal 3 7 2 3 2 8" xfId="26330"/>
    <cellStyle name="Credit subtotal 3 7 2 3 2 9" xfId="26331"/>
    <cellStyle name="Credit subtotal 3 7 2 3 3" xfId="26332"/>
    <cellStyle name="Credit subtotal 3 7 2 3 4" xfId="26333"/>
    <cellStyle name="Credit subtotal 3 7 2 3 5" xfId="26334"/>
    <cellStyle name="Credit subtotal 3 7 2 3 6" xfId="26335"/>
    <cellStyle name="Credit subtotal 3 7 2 3 7" xfId="26336"/>
    <cellStyle name="Credit subtotal 3 7 2 3 8" xfId="26337"/>
    <cellStyle name="Credit subtotal 3 7 2 3 9" xfId="26338"/>
    <cellStyle name="Credit subtotal 3 7 2 4" xfId="26339"/>
    <cellStyle name="Credit subtotal 3 7 2 4 10" xfId="26340"/>
    <cellStyle name="Credit subtotal 3 7 2 4 11" xfId="26341"/>
    <cellStyle name="Credit subtotal 3 7 2 4 12" xfId="26342"/>
    <cellStyle name="Credit subtotal 3 7 2 4 13" xfId="26343"/>
    <cellStyle name="Credit subtotal 3 7 2 4 14" xfId="26344"/>
    <cellStyle name="Credit subtotal 3 7 2 4 15" xfId="26345"/>
    <cellStyle name="Credit subtotal 3 7 2 4 16" xfId="26346"/>
    <cellStyle name="Credit subtotal 3 7 2 4 17" xfId="26347"/>
    <cellStyle name="Credit subtotal 3 7 2 4 18" xfId="26348"/>
    <cellStyle name="Credit subtotal 3 7 2 4 2" xfId="26349"/>
    <cellStyle name="Credit subtotal 3 7 2 4 2 2" xfId="26350"/>
    <cellStyle name="Credit subtotal 3 7 2 4 2 3" xfId="26351"/>
    <cellStyle name="Credit subtotal 3 7 2 4 2 4" xfId="26352"/>
    <cellStyle name="Credit subtotal 3 7 2 4 2 5" xfId="26353"/>
    <cellStyle name="Credit subtotal 3 7 2 4 2 6" xfId="26354"/>
    <cellStyle name="Credit subtotal 3 7 2 4 2 7" xfId="26355"/>
    <cellStyle name="Credit subtotal 3 7 2 4 2 8" xfId="26356"/>
    <cellStyle name="Credit subtotal 3 7 2 4 2 9" xfId="26357"/>
    <cellStyle name="Credit subtotal 3 7 2 4 3" xfId="26358"/>
    <cellStyle name="Credit subtotal 3 7 2 4 4" xfId="26359"/>
    <cellStyle name="Credit subtotal 3 7 2 4 5" xfId="26360"/>
    <cellStyle name="Credit subtotal 3 7 2 4 6" xfId="26361"/>
    <cellStyle name="Credit subtotal 3 7 2 4 7" xfId="26362"/>
    <cellStyle name="Credit subtotal 3 7 2 4 8" xfId="26363"/>
    <cellStyle name="Credit subtotal 3 7 2 4 9" xfId="26364"/>
    <cellStyle name="Credit subtotal 3 7 2 5" xfId="26365"/>
    <cellStyle name="Credit subtotal 3 7 2 5 2" xfId="26366"/>
    <cellStyle name="Credit subtotal 3 7 2 5 3" xfId="26367"/>
    <cellStyle name="Credit subtotal 3 7 2 6" xfId="26368"/>
    <cellStyle name="Credit subtotal 3 7 3" xfId="26369"/>
    <cellStyle name="Credit subtotal 3 7 3 2" xfId="26370"/>
    <cellStyle name="Credit subtotal 3 7 3 2 10" xfId="26371"/>
    <cellStyle name="Credit subtotal 3 7 3 2 11" xfId="26372"/>
    <cellStyle name="Credit subtotal 3 7 3 2 12" xfId="26373"/>
    <cellStyle name="Credit subtotal 3 7 3 2 13" xfId="26374"/>
    <cellStyle name="Credit subtotal 3 7 3 2 14" xfId="26375"/>
    <cellStyle name="Credit subtotal 3 7 3 2 15" xfId="26376"/>
    <cellStyle name="Credit subtotal 3 7 3 2 16" xfId="26377"/>
    <cellStyle name="Credit subtotal 3 7 3 2 17" xfId="26378"/>
    <cellStyle name="Credit subtotal 3 7 3 2 18" xfId="26379"/>
    <cellStyle name="Credit subtotal 3 7 3 2 19" xfId="26380"/>
    <cellStyle name="Credit subtotal 3 7 3 2 2" xfId="26381"/>
    <cellStyle name="Credit subtotal 3 7 3 2 2 2" xfId="26382"/>
    <cellStyle name="Credit subtotal 3 7 3 2 2 3" xfId="26383"/>
    <cellStyle name="Credit subtotal 3 7 3 2 2 4" xfId="26384"/>
    <cellStyle name="Credit subtotal 3 7 3 2 2 5" xfId="26385"/>
    <cellStyle name="Credit subtotal 3 7 3 2 2 6" xfId="26386"/>
    <cellStyle name="Credit subtotal 3 7 3 2 2 7" xfId="26387"/>
    <cellStyle name="Credit subtotal 3 7 3 2 2 8" xfId="26388"/>
    <cellStyle name="Credit subtotal 3 7 3 2 2 9" xfId="26389"/>
    <cellStyle name="Credit subtotal 3 7 3 2 20" xfId="26390"/>
    <cellStyle name="Credit subtotal 3 7 3 2 21" xfId="26391"/>
    <cellStyle name="Credit subtotal 3 7 3 2 3" xfId="26392"/>
    <cellStyle name="Credit subtotal 3 7 3 2 4" xfId="26393"/>
    <cellStyle name="Credit subtotal 3 7 3 2 5" xfId="26394"/>
    <cellStyle name="Credit subtotal 3 7 3 2 6" xfId="26395"/>
    <cellStyle name="Credit subtotal 3 7 3 2 7" xfId="26396"/>
    <cellStyle name="Credit subtotal 3 7 3 2 8" xfId="26397"/>
    <cellStyle name="Credit subtotal 3 7 3 2 9" xfId="26398"/>
    <cellStyle name="Credit subtotal 3 7 3 3" xfId="26399"/>
    <cellStyle name="Credit subtotal 3 7 3 3 10" xfId="26400"/>
    <cellStyle name="Credit subtotal 3 7 3 3 11" xfId="26401"/>
    <cellStyle name="Credit subtotal 3 7 3 3 12" xfId="26402"/>
    <cellStyle name="Credit subtotal 3 7 3 3 13" xfId="26403"/>
    <cellStyle name="Credit subtotal 3 7 3 3 14" xfId="26404"/>
    <cellStyle name="Credit subtotal 3 7 3 3 15" xfId="26405"/>
    <cellStyle name="Credit subtotal 3 7 3 3 16" xfId="26406"/>
    <cellStyle name="Credit subtotal 3 7 3 3 17" xfId="26407"/>
    <cellStyle name="Credit subtotal 3 7 3 3 18" xfId="26408"/>
    <cellStyle name="Credit subtotal 3 7 3 3 19" xfId="26409"/>
    <cellStyle name="Credit subtotal 3 7 3 3 2" xfId="26410"/>
    <cellStyle name="Credit subtotal 3 7 3 3 2 2" xfId="26411"/>
    <cellStyle name="Credit subtotal 3 7 3 3 2 3" xfId="26412"/>
    <cellStyle name="Credit subtotal 3 7 3 3 2 4" xfId="26413"/>
    <cellStyle name="Credit subtotal 3 7 3 3 2 5" xfId="26414"/>
    <cellStyle name="Credit subtotal 3 7 3 3 2 6" xfId="26415"/>
    <cellStyle name="Credit subtotal 3 7 3 3 2 7" xfId="26416"/>
    <cellStyle name="Credit subtotal 3 7 3 3 2 8" xfId="26417"/>
    <cellStyle name="Credit subtotal 3 7 3 3 2 9" xfId="26418"/>
    <cellStyle name="Credit subtotal 3 7 3 3 3" xfId="26419"/>
    <cellStyle name="Credit subtotal 3 7 3 3 4" xfId="26420"/>
    <cellStyle name="Credit subtotal 3 7 3 3 5" xfId="26421"/>
    <cellStyle name="Credit subtotal 3 7 3 3 6" xfId="26422"/>
    <cellStyle name="Credit subtotal 3 7 3 3 7" xfId="26423"/>
    <cellStyle name="Credit subtotal 3 7 3 3 8" xfId="26424"/>
    <cellStyle name="Credit subtotal 3 7 3 3 9" xfId="26425"/>
    <cellStyle name="Credit subtotal 3 7 3 4" xfId="26426"/>
    <cellStyle name="Credit subtotal 3 7 3 4 10" xfId="26427"/>
    <cellStyle name="Credit subtotal 3 7 3 4 11" xfId="26428"/>
    <cellStyle name="Credit subtotal 3 7 3 4 12" xfId="26429"/>
    <cellStyle name="Credit subtotal 3 7 3 4 13" xfId="26430"/>
    <cellStyle name="Credit subtotal 3 7 3 4 14" xfId="26431"/>
    <cellStyle name="Credit subtotal 3 7 3 4 15" xfId="26432"/>
    <cellStyle name="Credit subtotal 3 7 3 4 16" xfId="26433"/>
    <cellStyle name="Credit subtotal 3 7 3 4 17" xfId="26434"/>
    <cellStyle name="Credit subtotal 3 7 3 4 18" xfId="26435"/>
    <cellStyle name="Credit subtotal 3 7 3 4 2" xfId="26436"/>
    <cellStyle name="Credit subtotal 3 7 3 4 2 2" xfId="26437"/>
    <cellStyle name="Credit subtotal 3 7 3 4 2 3" xfId="26438"/>
    <cellStyle name="Credit subtotal 3 7 3 4 2 4" xfId="26439"/>
    <cellStyle name="Credit subtotal 3 7 3 4 2 5" xfId="26440"/>
    <cellStyle name="Credit subtotal 3 7 3 4 2 6" xfId="26441"/>
    <cellStyle name="Credit subtotal 3 7 3 4 2 7" xfId="26442"/>
    <cellStyle name="Credit subtotal 3 7 3 4 2 8" xfId="26443"/>
    <cellStyle name="Credit subtotal 3 7 3 4 2 9" xfId="26444"/>
    <cellStyle name="Credit subtotal 3 7 3 4 3" xfId="26445"/>
    <cellStyle name="Credit subtotal 3 7 3 4 4" xfId="26446"/>
    <cellStyle name="Credit subtotal 3 7 3 4 5" xfId="26447"/>
    <cellStyle name="Credit subtotal 3 7 3 4 6" xfId="26448"/>
    <cellStyle name="Credit subtotal 3 7 3 4 7" xfId="26449"/>
    <cellStyle name="Credit subtotal 3 7 3 4 8" xfId="26450"/>
    <cellStyle name="Credit subtotal 3 7 3 4 9" xfId="26451"/>
    <cellStyle name="Credit subtotal 3 7 3 5" xfId="26452"/>
    <cellStyle name="Credit subtotal 3 7 3 5 2" xfId="26453"/>
    <cellStyle name="Credit subtotal 3 7 3 5 3" xfId="26454"/>
    <cellStyle name="Credit subtotal 3 7 3 6" xfId="26455"/>
    <cellStyle name="Credit subtotal 3 7 4" xfId="26456"/>
    <cellStyle name="Credit subtotal 3 7 4 10" xfId="26457"/>
    <cellStyle name="Credit subtotal 3 7 4 11" xfId="26458"/>
    <cellStyle name="Credit subtotal 3 7 4 12" xfId="26459"/>
    <cellStyle name="Credit subtotal 3 7 4 13" xfId="26460"/>
    <cellStyle name="Credit subtotal 3 7 4 14" xfId="26461"/>
    <cellStyle name="Credit subtotal 3 7 4 15" xfId="26462"/>
    <cellStyle name="Credit subtotal 3 7 4 16" xfId="26463"/>
    <cellStyle name="Credit subtotal 3 7 4 17" xfId="26464"/>
    <cellStyle name="Credit subtotal 3 7 4 18" xfId="26465"/>
    <cellStyle name="Credit subtotal 3 7 4 19" xfId="26466"/>
    <cellStyle name="Credit subtotal 3 7 4 2" xfId="26467"/>
    <cellStyle name="Credit subtotal 3 7 4 2 2" xfId="26468"/>
    <cellStyle name="Credit subtotal 3 7 4 2 3" xfId="26469"/>
    <cellStyle name="Credit subtotal 3 7 4 2 4" xfId="26470"/>
    <cellStyle name="Credit subtotal 3 7 4 2 5" xfId="26471"/>
    <cellStyle name="Credit subtotal 3 7 4 2 6" xfId="26472"/>
    <cellStyle name="Credit subtotal 3 7 4 2 7" xfId="26473"/>
    <cellStyle name="Credit subtotal 3 7 4 2 8" xfId="26474"/>
    <cellStyle name="Credit subtotal 3 7 4 2 9" xfId="26475"/>
    <cellStyle name="Credit subtotal 3 7 4 20" xfId="26476"/>
    <cellStyle name="Credit subtotal 3 7 4 21" xfId="26477"/>
    <cellStyle name="Credit subtotal 3 7 4 3" xfId="26478"/>
    <cellStyle name="Credit subtotal 3 7 4 4" xfId="26479"/>
    <cellStyle name="Credit subtotal 3 7 4 5" xfId="26480"/>
    <cellStyle name="Credit subtotal 3 7 4 6" xfId="26481"/>
    <cellStyle name="Credit subtotal 3 7 4 7" xfId="26482"/>
    <cellStyle name="Credit subtotal 3 7 4 8" xfId="26483"/>
    <cellStyle name="Credit subtotal 3 7 4 9" xfId="26484"/>
    <cellStyle name="Credit subtotal 3 7 5" xfId="26485"/>
    <cellStyle name="Credit subtotal 3 7 5 10" xfId="26486"/>
    <cellStyle name="Credit subtotal 3 7 5 11" xfId="26487"/>
    <cellStyle name="Credit subtotal 3 7 5 12" xfId="26488"/>
    <cellStyle name="Credit subtotal 3 7 5 13" xfId="26489"/>
    <cellStyle name="Credit subtotal 3 7 5 14" xfId="26490"/>
    <cellStyle name="Credit subtotal 3 7 5 15" xfId="26491"/>
    <cellStyle name="Credit subtotal 3 7 5 16" xfId="26492"/>
    <cellStyle name="Credit subtotal 3 7 5 17" xfId="26493"/>
    <cellStyle name="Credit subtotal 3 7 5 18" xfId="26494"/>
    <cellStyle name="Credit subtotal 3 7 5 19" xfId="26495"/>
    <cellStyle name="Credit subtotal 3 7 5 2" xfId="26496"/>
    <cellStyle name="Credit subtotal 3 7 5 2 2" xfId="26497"/>
    <cellStyle name="Credit subtotal 3 7 5 2 3" xfId="26498"/>
    <cellStyle name="Credit subtotal 3 7 5 2 4" xfId="26499"/>
    <cellStyle name="Credit subtotal 3 7 5 2 5" xfId="26500"/>
    <cellStyle name="Credit subtotal 3 7 5 2 6" xfId="26501"/>
    <cellStyle name="Credit subtotal 3 7 5 2 7" xfId="26502"/>
    <cellStyle name="Credit subtotal 3 7 5 2 8" xfId="26503"/>
    <cellStyle name="Credit subtotal 3 7 5 2 9" xfId="26504"/>
    <cellStyle name="Credit subtotal 3 7 5 3" xfId="26505"/>
    <cellStyle name="Credit subtotal 3 7 5 4" xfId="26506"/>
    <cellStyle name="Credit subtotal 3 7 5 5" xfId="26507"/>
    <cellStyle name="Credit subtotal 3 7 5 6" xfId="26508"/>
    <cellStyle name="Credit subtotal 3 7 5 7" xfId="26509"/>
    <cellStyle name="Credit subtotal 3 7 5 8" xfId="26510"/>
    <cellStyle name="Credit subtotal 3 7 5 9" xfId="26511"/>
    <cellStyle name="Credit subtotal 3 7 6" xfId="26512"/>
    <cellStyle name="Credit subtotal 3 7 6 10" xfId="26513"/>
    <cellStyle name="Credit subtotal 3 7 6 11" xfId="26514"/>
    <cellStyle name="Credit subtotal 3 7 6 12" xfId="26515"/>
    <cellStyle name="Credit subtotal 3 7 6 13" xfId="26516"/>
    <cellStyle name="Credit subtotal 3 7 6 14" xfId="26517"/>
    <cellStyle name="Credit subtotal 3 7 6 15" xfId="26518"/>
    <cellStyle name="Credit subtotal 3 7 6 16" xfId="26519"/>
    <cellStyle name="Credit subtotal 3 7 6 17" xfId="26520"/>
    <cellStyle name="Credit subtotal 3 7 6 18" xfId="26521"/>
    <cellStyle name="Credit subtotal 3 7 6 2" xfId="26522"/>
    <cellStyle name="Credit subtotal 3 7 6 2 2" xfId="26523"/>
    <cellStyle name="Credit subtotal 3 7 6 2 3" xfId="26524"/>
    <cellStyle name="Credit subtotal 3 7 6 2 4" xfId="26525"/>
    <cellStyle name="Credit subtotal 3 7 6 2 5" xfId="26526"/>
    <cellStyle name="Credit subtotal 3 7 6 2 6" xfId="26527"/>
    <cellStyle name="Credit subtotal 3 7 6 2 7" xfId="26528"/>
    <cellStyle name="Credit subtotal 3 7 6 2 8" xfId="26529"/>
    <cellStyle name="Credit subtotal 3 7 6 2 9" xfId="26530"/>
    <cellStyle name="Credit subtotal 3 7 6 3" xfId="26531"/>
    <cellStyle name="Credit subtotal 3 7 6 4" xfId="26532"/>
    <cellStyle name="Credit subtotal 3 7 6 5" xfId="26533"/>
    <cellStyle name="Credit subtotal 3 7 6 6" xfId="26534"/>
    <cellStyle name="Credit subtotal 3 7 6 7" xfId="26535"/>
    <cellStyle name="Credit subtotal 3 7 6 8" xfId="26536"/>
    <cellStyle name="Credit subtotal 3 7 6 9" xfId="26537"/>
    <cellStyle name="Credit subtotal 3 7 7" xfId="26538"/>
    <cellStyle name="Credit subtotal 3 7 7 2" xfId="26539"/>
    <cellStyle name="Credit subtotal 3 7 7 3" xfId="26540"/>
    <cellStyle name="Credit subtotal 3 7 8" xfId="26541"/>
    <cellStyle name="Credit subtotal 3 8" xfId="26542"/>
    <cellStyle name="Credit subtotal 3 8 2" xfId="26543"/>
    <cellStyle name="Credit subtotal 3 8 2 2" xfId="26544"/>
    <cellStyle name="Credit subtotal 3 8 2 2 10" xfId="26545"/>
    <cellStyle name="Credit subtotal 3 8 2 2 11" xfId="26546"/>
    <cellStyle name="Credit subtotal 3 8 2 2 12" xfId="26547"/>
    <cellStyle name="Credit subtotal 3 8 2 2 13" xfId="26548"/>
    <cellStyle name="Credit subtotal 3 8 2 2 14" xfId="26549"/>
    <cellStyle name="Credit subtotal 3 8 2 2 15" xfId="26550"/>
    <cellStyle name="Credit subtotal 3 8 2 2 16" xfId="26551"/>
    <cellStyle name="Credit subtotal 3 8 2 2 17" xfId="26552"/>
    <cellStyle name="Credit subtotal 3 8 2 2 18" xfId="26553"/>
    <cellStyle name="Credit subtotal 3 8 2 2 19" xfId="26554"/>
    <cellStyle name="Credit subtotal 3 8 2 2 2" xfId="26555"/>
    <cellStyle name="Credit subtotal 3 8 2 2 2 2" xfId="26556"/>
    <cellStyle name="Credit subtotal 3 8 2 2 2 3" xfId="26557"/>
    <cellStyle name="Credit subtotal 3 8 2 2 2 4" xfId="26558"/>
    <cellStyle name="Credit subtotal 3 8 2 2 2 5" xfId="26559"/>
    <cellStyle name="Credit subtotal 3 8 2 2 2 6" xfId="26560"/>
    <cellStyle name="Credit subtotal 3 8 2 2 2 7" xfId="26561"/>
    <cellStyle name="Credit subtotal 3 8 2 2 2 8" xfId="26562"/>
    <cellStyle name="Credit subtotal 3 8 2 2 2 9" xfId="26563"/>
    <cellStyle name="Credit subtotal 3 8 2 2 20" xfId="26564"/>
    <cellStyle name="Credit subtotal 3 8 2 2 21" xfId="26565"/>
    <cellStyle name="Credit subtotal 3 8 2 2 3" xfId="26566"/>
    <cellStyle name="Credit subtotal 3 8 2 2 4" xfId="26567"/>
    <cellStyle name="Credit subtotal 3 8 2 2 5" xfId="26568"/>
    <cellStyle name="Credit subtotal 3 8 2 2 6" xfId="26569"/>
    <cellStyle name="Credit subtotal 3 8 2 2 7" xfId="26570"/>
    <cellStyle name="Credit subtotal 3 8 2 2 8" xfId="26571"/>
    <cellStyle name="Credit subtotal 3 8 2 2 9" xfId="26572"/>
    <cellStyle name="Credit subtotal 3 8 2 3" xfId="26573"/>
    <cellStyle name="Credit subtotal 3 8 2 3 10" xfId="26574"/>
    <cellStyle name="Credit subtotal 3 8 2 3 11" xfId="26575"/>
    <cellStyle name="Credit subtotal 3 8 2 3 12" xfId="26576"/>
    <cellStyle name="Credit subtotal 3 8 2 3 13" xfId="26577"/>
    <cellStyle name="Credit subtotal 3 8 2 3 14" xfId="26578"/>
    <cellStyle name="Credit subtotal 3 8 2 3 15" xfId="26579"/>
    <cellStyle name="Credit subtotal 3 8 2 3 16" xfId="26580"/>
    <cellStyle name="Credit subtotal 3 8 2 3 17" xfId="26581"/>
    <cellStyle name="Credit subtotal 3 8 2 3 18" xfId="26582"/>
    <cellStyle name="Credit subtotal 3 8 2 3 19" xfId="26583"/>
    <cellStyle name="Credit subtotal 3 8 2 3 2" xfId="26584"/>
    <cellStyle name="Credit subtotal 3 8 2 3 2 2" xfId="26585"/>
    <cellStyle name="Credit subtotal 3 8 2 3 2 3" xfId="26586"/>
    <cellStyle name="Credit subtotal 3 8 2 3 2 4" xfId="26587"/>
    <cellStyle name="Credit subtotal 3 8 2 3 2 5" xfId="26588"/>
    <cellStyle name="Credit subtotal 3 8 2 3 2 6" xfId="26589"/>
    <cellStyle name="Credit subtotal 3 8 2 3 2 7" xfId="26590"/>
    <cellStyle name="Credit subtotal 3 8 2 3 2 8" xfId="26591"/>
    <cellStyle name="Credit subtotal 3 8 2 3 2 9" xfId="26592"/>
    <cellStyle name="Credit subtotal 3 8 2 3 3" xfId="26593"/>
    <cellStyle name="Credit subtotal 3 8 2 3 4" xfId="26594"/>
    <cellStyle name="Credit subtotal 3 8 2 3 5" xfId="26595"/>
    <cellStyle name="Credit subtotal 3 8 2 3 6" xfId="26596"/>
    <cellStyle name="Credit subtotal 3 8 2 3 7" xfId="26597"/>
    <cellStyle name="Credit subtotal 3 8 2 3 8" xfId="26598"/>
    <cellStyle name="Credit subtotal 3 8 2 3 9" xfId="26599"/>
    <cellStyle name="Credit subtotal 3 8 2 4" xfId="26600"/>
    <cellStyle name="Credit subtotal 3 8 2 4 10" xfId="26601"/>
    <cellStyle name="Credit subtotal 3 8 2 4 11" xfId="26602"/>
    <cellStyle name="Credit subtotal 3 8 2 4 12" xfId="26603"/>
    <cellStyle name="Credit subtotal 3 8 2 4 13" xfId="26604"/>
    <cellStyle name="Credit subtotal 3 8 2 4 14" xfId="26605"/>
    <cellStyle name="Credit subtotal 3 8 2 4 15" xfId="26606"/>
    <cellStyle name="Credit subtotal 3 8 2 4 16" xfId="26607"/>
    <cellStyle name="Credit subtotal 3 8 2 4 17" xfId="26608"/>
    <cellStyle name="Credit subtotal 3 8 2 4 18" xfId="26609"/>
    <cellStyle name="Credit subtotal 3 8 2 4 2" xfId="26610"/>
    <cellStyle name="Credit subtotal 3 8 2 4 2 2" xfId="26611"/>
    <cellStyle name="Credit subtotal 3 8 2 4 2 3" xfId="26612"/>
    <cellStyle name="Credit subtotal 3 8 2 4 2 4" xfId="26613"/>
    <cellStyle name="Credit subtotal 3 8 2 4 2 5" xfId="26614"/>
    <cellStyle name="Credit subtotal 3 8 2 4 2 6" xfId="26615"/>
    <cellStyle name="Credit subtotal 3 8 2 4 2 7" xfId="26616"/>
    <cellStyle name="Credit subtotal 3 8 2 4 2 8" xfId="26617"/>
    <cellStyle name="Credit subtotal 3 8 2 4 2 9" xfId="26618"/>
    <cellStyle name="Credit subtotal 3 8 2 4 3" xfId="26619"/>
    <cellStyle name="Credit subtotal 3 8 2 4 4" xfId="26620"/>
    <cellStyle name="Credit subtotal 3 8 2 4 5" xfId="26621"/>
    <cellStyle name="Credit subtotal 3 8 2 4 6" xfId="26622"/>
    <cellStyle name="Credit subtotal 3 8 2 4 7" xfId="26623"/>
    <cellStyle name="Credit subtotal 3 8 2 4 8" xfId="26624"/>
    <cellStyle name="Credit subtotal 3 8 2 4 9" xfId="26625"/>
    <cellStyle name="Credit subtotal 3 8 2 5" xfId="26626"/>
    <cellStyle name="Credit subtotal 3 8 2 5 2" xfId="26627"/>
    <cellStyle name="Credit subtotal 3 8 2 5 3" xfId="26628"/>
    <cellStyle name="Credit subtotal 3 8 2 6" xfId="26629"/>
    <cellStyle name="Credit subtotal 3 8 3" xfId="26630"/>
    <cellStyle name="Credit subtotal 3 8 3 2" xfId="26631"/>
    <cellStyle name="Credit subtotal 3 8 3 2 10" xfId="26632"/>
    <cellStyle name="Credit subtotal 3 8 3 2 11" xfId="26633"/>
    <cellStyle name="Credit subtotal 3 8 3 2 12" xfId="26634"/>
    <cellStyle name="Credit subtotal 3 8 3 2 13" xfId="26635"/>
    <cellStyle name="Credit subtotal 3 8 3 2 14" xfId="26636"/>
    <cellStyle name="Credit subtotal 3 8 3 2 15" xfId="26637"/>
    <cellStyle name="Credit subtotal 3 8 3 2 16" xfId="26638"/>
    <cellStyle name="Credit subtotal 3 8 3 2 17" xfId="26639"/>
    <cellStyle name="Credit subtotal 3 8 3 2 18" xfId="26640"/>
    <cellStyle name="Credit subtotal 3 8 3 2 19" xfId="26641"/>
    <cellStyle name="Credit subtotal 3 8 3 2 2" xfId="26642"/>
    <cellStyle name="Credit subtotal 3 8 3 2 2 2" xfId="26643"/>
    <cellStyle name="Credit subtotal 3 8 3 2 2 3" xfId="26644"/>
    <cellStyle name="Credit subtotal 3 8 3 2 2 4" xfId="26645"/>
    <cellStyle name="Credit subtotal 3 8 3 2 2 5" xfId="26646"/>
    <cellStyle name="Credit subtotal 3 8 3 2 2 6" xfId="26647"/>
    <cellStyle name="Credit subtotal 3 8 3 2 2 7" xfId="26648"/>
    <cellStyle name="Credit subtotal 3 8 3 2 2 8" xfId="26649"/>
    <cellStyle name="Credit subtotal 3 8 3 2 2 9" xfId="26650"/>
    <cellStyle name="Credit subtotal 3 8 3 2 20" xfId="26651"/>
    <cellStyle name="Credit subtotal 3 8 3 2 21" xfId="26652"/>
    <cellStyle name="Credit subtotal 3 8 3 2 3" xfId="26653"/>
    <cellStyle name="Credit subtotal 3 8 3 2 4" xfId="26654"/>
    <cellStyle name="Credit subtotal 3 8 3 2 5" xfId="26655"/>
    <cellStyle name="Credit subtotal 3 8 3 2 6" xfId="26656"/>
    <cellStyle name="Credit subtotal 3 8 3 2 7" xfId="26657"/>
    <cellStyle name="Credit subtotal 3 8 3 2 8" xfId="26658"/>
    <cellStyle name="Credit subtotal 3 8 3 2 9" xfId="26659"/>
    <cellStyle name="Credit subtotal 3 8 3 3" xfId="26660"/>
    <cellStyle name="Credit subtotal 3 8 3 3 10" xfId="26661"/>
    <cellStyle name="Credit subtotal 3 8 3 3 11" xfId="26662"/>
    <cellStyle name="Credit subtotal 3 8 3 3 12" xfId="26663"/>
    <cellStyle name="Credit subtotal 3 8 3 3 13" xfId="26664"/>
    <cellStyle name="Credit subtotal 3 8 3 3 14" xfId="26665"/>
    <cellStyle name="Credit subtotal 3 8 3 3 15" xfId="26666"/>
    <cellStyle name="Credit subtotal 3 8 3 3 16" xfId="26667"/>
    <cellStyle name="Credit subtotal 3 8 3 3 17" xfId="26668"/>
    <cellStyle name="Credit subtotal 3 8 3 3 18" xfId="26669"/>
    <cellStyle name="Credit subtotal 3 8 3 3 19" xfId="26670"/>
    <cellStyle name="Credit subtotal 3 8 3 3 2" xfId="26671"/>
    <cellStyle name="Credit subtotal 3 8 3 3 2 2" xfId="26672"/>
    <cellStyle name="Credit subtotal 3 8 3 3 2 3" xfId="26673"/>
    <cellStyle name="Credit subtotal 3 8 3 3 2 4" xfId="26674"/>
    <cellStyle name="Credit subtotal 3 8 3 3 2 5" xfId="26675"/>
    <cellStyle name="Credit subtotal 3 8 3 3 2 6" xfId="26676"/>
    <cellStyle name="Credit subtotal 3 8 3 3 2 7" xfId="26677"/>
    <cellStyle name="Credit subtotal 3 8 3 3 2 8" xfId="26678"/>
    <cellStyle name="Credit subtotal 3 8 3 3 2 9" xfId="26679"/>
    <cellStyle name="Credit subtotal 3 8 3 3 3" xfId="26680"/>
    <cellStyle name="Credit subtotal 3 8 3 3 4" xfId="26681"/>
    <cellStyle name="Credit subtotal 3 8 3 3 5" xfId="26682"/>
    <cellStyle name="Credit subtotal 3 8 3 3 6" xfId="26683"/>
    <cellStyle name="Credit subtotal 3 8 3 3 7" xfId="26684"/>
    <cellStyle name="Credit subtotal 3 8 3 3 8" xfId="26685"/>
    <cellStyle name="Credit subtotal 3 8 3 3 9" xfId="26686"/>
    <cellStyle name="Credit subtotal 3 8 3 4" xfId="26687"/>
    <cellStyle name="Credit subtotal 3 8 3 4 10" xfId="26688"/>
    <cellStyle name="Credit subtotal 3 8 3 4 11" xfId="26689"/>
    <cellStyle name="Credit subtotal 3 8 3 4 12" xfId="26690"/>
    <cellStyle name="Credit subtotal 3 8 3 4 13" xfId="26691"/>
    <cellStyle name="Credit subtotal 3 8 3 4 14" xfId="26692"/>
    <cellStyle name="Credit subtotal 3 8 3 4 15" xfId="26693"/>
    <cellStyle name="Credit subtotal 3 8 3 4 16" xfId="26694"/>
    <cellStyle name="Credit subtotal 3 8 3 4 17" xfId="26695"/>
    <cellStyle name="Credit subtotal 3 8 3 4 18" xfId="26696"/>
    <cellStyle name="Credit subtotal 3 8 3 4 2" xfId="26697"/>
    <cellStyle name="Credit subtotal 3 8 3 4 2 2" xfId="26698"/>
    <cellStyle name="Credit subtotal 3 8 3 4 2 3" xfId="26699"/>
    <cellStyle name="Credit subtotal 3 8 3 4 2 4" xfId="26700"/>
    <cellStyle name="Credit subtotal 3 8 3 4 2 5" xfId="26701"/>
    <cellStyle name="Credit subtotal 3 8 3 4 2 6" xfId="26702"/>
    <cellStyle name="Credit subtotal 3 8 3 4 2 7" xfId="26703"/>
    <cellStyle name="Credit subtotal 3 8 3 4 2 8" xfId="26704"/>
    <cellStyle name="Credit subtotal 3 8 3 4 2 9" xfId="26705"/>
    <cellStyle name="Credit subtotal 3 8 3 4 3" xfId="26706"/>
    <cellStyle name="Credit subtotal 3 8 3 4 4" xfId="26707"/>
    <cellStyle name="Credit subtotal 3 8 3 4 5" xfId="26708"/>
    <cellStyle name="Credit subtotal 3 8 3 4 6" xfId="26709"/>
    <cellStyle name="Credit subtotal 3 8 3 4 7" xfId="26710"/>
    <cellStyle name="Credit subtotal 3 8 3 4 8" xfId="26711"/>
    <cellStyle name="Credit subtotal 3 8 3 4 9" xfId="26712"/>
    <cellStyle name="Credit subtotal 3 8 3 5" xfId="26713"/>
    <cellStyle name="Credit subtotal 3 8 3 5 2" xfId="26714"/>
    <cellStyle name="Credit subtotal 3 8 3 5 3" xfId="26715"/>
    <cellStyle name="Credit subtotal 3 8 3 6" xfId="26716"/>
    <cellStyle name="Credit subtotal 3 8 4" xfId="26717"/>
    <cellStyle name="Credit subtotal 3 8 4 10" xfId="26718"/>
    <cellStyle name="Credit subtotal 3 8 4 11" xfId="26719"/>
    <cellStyle name="Credit subtotal 3 8 4 12" xfId="26720"/>
    <cellStyle name="Credit subtotal 3 8 4 13" xfId="26721"/>
    <cellStyle name="Credit subtotal 3 8 4 14" xfId="26722"/>
    <cellStyle name="Credit subtotal 3 8 4 15" xfId="26723"/>
    <cellStyle name="Credit subtotal 3 8 4 16" xfId="26724"/>
    <cellStyle name="Credit subtotal 3 8 4 17" xfId="26725"/>
    <cellStyle name="Credit subtotal 3 8 4 18" xfId="26726"/>
    <cellStyle name="Credit subtotal 3 8 4 19" xfId="26727"/>
    <cellStyle name="Credit subtotal 3 8 4 2" xfId="26728"/>
    <cellStyle name="Credit subtotal 3 8 4 2 2" xfId="26729"/>
    <cellStyle name="Credit subtotal 3 8 4 2 3" xfId="26730"/>
    <cellStyle name="Credit subtotal 3 8 4 2 4" xfId="26731"/>
    <cellStyle name="Credit subtotal 3 8 4 2 5" xfId="26732"/>
    <cellStyle name="Credit subtotal 3 8 4 2 6" xfId="26733"/>
    <cellStyle name="Credit subtotal 3 8 4 2 7" xfId="26734"/>
    <cellStyle name="Credit subtotal 3 8 4 2 8" xfId="26735"/>
    <cellStyle name="Credit subtotal 3 8 4 2 9" xfId="26736"/>
    <cellStyle name="Credit subtotal 3 8 4 20" xfId="26737"/>
    <cellStyle name="Credit subtotal 3 8 4 21" xfId="26738"/>
    <cellStyle name="Credit subtotal 3 8 4 3" xfId="26739"/>
    <cellStyle name="Credit subtotal 3 8 4 4" xfId="26740"/>
    <cellStyle name="Credit subtotal 3 8 4 5" xfId="26741"/>
    <cellStyle name="Credit subtotal 3 8 4 6" xfId="26742"/>
    <cellStyle name="Credit subtotal 3 8 4 7" xfId="26743"/>
    <cellStyle name="Credit subtotal 3 8 4 8" xfId="26744"/>
    <cellStyle name="Credit subtotal 3 8 4 9" xfId="26745"/>
    <cellStyle name="Credit subtotal 3 8 5" xfId="26746"/>
    <cellStyle name="Credit subtotal 3 8 5 10" xfId="26747"/>
    <cellStyle name="Credit subtotal 3 8 5 11" xfId="26748"/>
    <cellStyle name="Credit subtotal 3 8 5 12" xfId="26749"/>
    <cellStyle name="Credit subtotal 3 8 5 13" xfId="26750"/>
    <cellStyle name="Credit subtotal 3 8 5 14" xfId="26751"/>
    <cellStyle name="Credit subtotal 3 8 5 15" xfId="26752"/>
    <cellStyle name="Credit subtotal 3 8 5 16" xfId="26753"/>
    <cellStyle name="Credit subtotal 3 8 5 17" xfId="26754"/>
    <cellStyle name="Credit subtotal 3 8 5 18" xfId="26755"/>
    <cellStyle name="Credit subtotal 3 8 5 19" xfId="26756"/>
    <cellStyle name="Credit subtotal 3 8 5 2" xfId="26757"/>
    <cellStyle name="Credit subtotal 3 8 5 2 2" xfId="26758"/>
    <cellStyle name="Credit subtotal 3 8 5 2 3" xfId="26759"/>
    <cellStyle name="Credit subtotal 3 8 5 2 4" xfId="26760"/>
    <cellStyle name="Credit subtotal 3 8 5 2 5" xfId="26761"/>
    <cellStyle name="Credit subtotal 3 8 5 2 6" xfId="26762"/>
    <cellStyle name="Credit subtotal 3 8 5 2 7" xfId="26763"/>
    <cellStyle name="Credit subtotal 3 8 5 2 8" xfId="26764"/>
    <cellStyle name="Credit subtotal 3 8 5 2 9" xfId="26765"/>
    <cellStyle name="Credit subtotal 3 8 5 3" xfId="26766"/>
    <cellStyle name="Credit subtotal 3 8 5 4" xfId="26767"/>
    <cellStyle name="Credit subtotal 3 8 5 5" xfId="26768"/>
    <cellStyle name="Credit subtotal 3 8 5 6" xfId="26769"/>
    <cellStyle name="Credit subtotal 3 8 5 7" xfId="26770"/>
    <cellStyle name="Credit subtotal 3 8 5 8" xfId="26771"/>
    <cellStyle name="Credit subtotal 3 8 5 9" xfId="26772"/>
    <cellStyle name="Credit subtotal 3 8 6" xfId="26773"/>
    <cellStyle name="Credit subtotal 3 8 6 10" xfId="26774"/>
    <cellStyle name="Credit subtotal 3 8 6 11" xfId="26775"/>
    <cellStyle name="Credit subtotal 3 8 6 12" xfId="26776"/>
    <cellStyle name="Credit subtotal 3 8 6 13" xfId="26777"/>
    <cellStyle name="Credit subtotal 3 8 6 14" xfId="26778"/>
    <cellStyle name="Credit subtotal 3 8 6 15" xfId="26779"/>
    <cellStyle name="Credit subtotal 3 8 6 16" xfId="26780"/>
    <cellStyle name="Credit subtotal 3 8 6 17" xfId="26781"/>
    <cellStyle name="Credit subtotal 3 8 6 18" xfId="26782"/>
    <cellStyle name="Credit subtotal 3 8 6 2" xfId="26783"/>
    <cellStyle name="Credit subtotal 3 8 6 2 2" xfId="26784"/>
    <cellStyle name="Credit subtotal 3 8 6 2 3" xfId="26785"/>
    <cellStyle name="Credit subtotal 3 8 6 2 4" xfId="26786"/>
    <cellStyle name="Credit subtotal 3 8 6 2 5" xfId="26787"/>
    <cellStyle name="Credit subtotal 3 8 6 2 6" xfId="26788"/>
    <cellStyle name="Credit subtotal 3 8 6 2 7" xfId="26789"/>
    <cellStyle name="Credit subtotal 3 8 6 2 8" xfId="26790"/>
    <cellStyle name="Credit subtotal 3 8 6 2 9" xfId="26791"/>
    <cellStyle name="Credit subtotal 3 8 6 3" xfId="26792"/>
    <cellStyle name="Credit subtotal 3 8 6 4" xfId="26793"/>
    <cellStyle name="Credit subtotal 3 8 6 5" xfId="26794"/>
    <cellStyle name="Credit subtotal 3 8 6 6" xfId="26795"/>
    <cellStyle name="Credit subtotal 3 8 6 7" xfId="26796"/>
    <cellStyle name="Credit subtotal 3 8 6 8" xfId="26797"/>
    <cellStyle name="Credit subtotal 3 8 6 9" xfId="26798"/>
    <cellStyle name="Credit subtotal 3 8 7" xfId="26799"/>
    <cellStyle name="Credit subtotal 3 8 7 2" xfId="26800"/>
    <cellStyle name="Credit subtotal 3 8 7 3" xfId="26801"/>
    <cellStyle name="Credit subtotal 3 8 8" xfId="26802"/>
    <cellStyle name="Credit subtotal 3 9" xfId="26803"/>
    <cellStyle name="Credit subtotal 3 9 2" xfId="26804"/>
    <cellStyle name="Credit subtotal 3 9 2 10" xfId="26805"/>
    <cellStyle name="Credit subtotal 3 9 2 11" xfId="26806"/>
    <cellStyle name="Credit subtotal 3 9 2 12" xfId="26807"/>
    <cellStyle name="Credit subtotal 3 9 2 13" xfId="26808"/>
    <cellStyle name="Credit subtotal 3 9 2 14" xfId="26809"/>
    <cellStyle name="Credit subtotal 3 9 2 15" xfId="26810"/>
    <cellStyle name="Credit subtotal 3 9 2 16" xfId="26811"/>
    <cellStyle name="Credit subtotal 3 9 2 17" xfId="26812"/>
    <cellStyle name="Credit subtotal 3 9 2 18" xfId="26813"/>
    <cellStyle name="Credit subtotal 3 9 2 19" xfId="26814"/>
    <cellStyle name="Credit subtotal 3 9 2 2" xfId="26815"/>
    <cellStyle name="Credit subtotal 3 9 2 2 2" xfId="26816"/>
    <cellStyle name="Credit subtotal 3 9 2 2 3" xfId="26817"/>
    <cellStyle name="Credit subtotal 3 9 2 2 4" xfId="26818"/>
    <cellStyle name="Credit subtotal 3 9 2 2 5" xfId="26819"/>
    <cellStyle name="Credit subtotal 3 9 2 2 6" xfId="26820"/>
    <cellStyle name="Credit subtotal 3 9 2 2 7" xfId="26821"/>
    <cellStyle name="Credit subtotal 3 9 2 2 8" xfId="26822"/>
    <cellStyle name="Credit subtotal 3 9 2 2 9" xfId="26823"/>
    <cellStyle name="Credit subtotal 3 9 2 20" xfId="26824"/>
    <cellStyle name="Credit subtotal 3 9 2 21" xfId="26825"/>
    <cellStyle name="Credit subtotal 3 9 2 3" xfId="26826"/>
    <cellStyle name="Credit subtotal 3 9 2 4" xfId="26827"/>
    <cellStyle name="Credit subtotal 3 9 2 5" xfId="26828"/>
    <cellStyle name="Credit subtotal 3 9 2 6" xfId="26829"/>
    <cellStyle name="Credit subtotal 3 9 2 7" xfId="26830"/>
    <cellStyle name="Credit subtotal 3 9 2 8" xfId="26831"/>
    <cellStyle name="Credit subtotal 3 9 2 9" xfId="26832"/>
    <cellStyle name="Credit subtotal 3 9 3" xfId="26833"/>
    <cellStyle name="Credit subtotal 3 9 3 10" xfId="26834"/>
    <cellStyle name="Credit subtotal 3 9 3 11" xfId="26835"/>
    <cellStyle name="Credit subtotal 3 9 3 12" xfId="26836"/>
    <cellStyle name="Credit subtotal 3 9 3 13" xfId="26837"/>
    <cellStyle name="Credit subtotal 3 9 3 14" xfId="26838"/>
    <cellStyle name="Credit subtotal 3 9 3 15" xfId="26839"/>
    <cellStyle name="Credit subtotal 3 9 3 16" xfId="26840"/>
    <cellStyle name="Credit subtotal 3 9 3 17" xfId="26841"/>
    <cellStyle name="Credit subtotal 3 9 3 18" xfId="26842"/>
    <cellStyle name="Credit subtotal 3 9 3 19" xfId="26843"/>
    <cellStyle name="Credit subtotal 3 9 3 2" xfId="26844"/>
    <cellStyle name="Credit subtotal 3 9 3 2 2" xfId="26845"/>
    <cellStyle name="Credit subtotal 3 9 3 2 3" xfId="26846"/>
    <cellStyle name="Credit subtotal 3 9 3 2 4" xfId="26847"/>
    <cellStyle name="Credit subtotal 3 9 3 2 5" xfId="26848"/>
    <cellStyle name="Credit subtotal 3 9 3 2 6" xfId="26849"/>
    <cellStyle name="Credit subtotal 3 9 3 2 7" xfId="26850"/>
    <cellStyle name="Credit subtotal 3 9 3 2 8" xfId="26851"/>
    <cellStyle name="Credit subtotal 3 9 3 2 9" xfId="26852"/>
    <cellStyle name="Credit subtotal 3 9 3 3" xfId="26853"/>
    <cellStyle name="Credit subtotal 3 9 3 4" xfId="26854"/>
    <cellStyle name="Credit subtotal 3 9 3 5" xfId="26855"/>
    <cellStyle name="Credit subtotal 3 9 3 6" xfId="26856"/>
    <cellStyle name="Credit subtotal 3 9 3 7" xfId="26857"/>
    <cellStyle name="Credit subtotal 3 9 3 8" xfId="26858"/>
    <cellStyle name="Credit subtotal 3 9 3 9" xfId="26859"/>
    <cellStyle name="Credit subtotal 3 9 4" xfId="26860"/>
    <cellStyle name="Credit subtotal 3 9 4 10" xfId="26861"/>
    <cellStyle name="Credit subtotal 3 9 4 11" xfId="26862"/>
    <cellStyle name="Credit subtotal 3 9 4 12" xfId="26863"/>
    <cellStyle name="Credit subtotal 3 9 4 13" xfId="26864"/>
    <cellStyle name="Credit subtotal 3 9 4 14" xfId="26865"/>
    <cellStyle name="Credit subtotal 3 9 4 15" xfId="26866"/>
    <cellStyle name="Credit subtotal 3 9 4 16" xfId="26867"/>
    <cellStyle name="Credit subtotal 3 9 4 17" xfId="26868"/>
    <cellStyle name="Credit subtotal 3 9 4 18" xfId="26869"/>
    <cellStyle name="Credit subtotal 3 9 4 2" xfId="26870"/>
    <cellStyle name="Credit subtotal 3 9 4 2 2" xfId="26871"/>
    <cellStyle name="Credit subtotal 3 9 4 2 3" xfId="26872"/>
    <cellStyle name="Credit subtotal 3 9 4 2 4" xfId="26873"/>
    <cellStyle name="Credit subtotal 3 9 4 2 5" xfId="26874"/>
    <cellStyle name="Credit subtotal 3 9 4 2 6" xfId="26875"/>
    <cellStyle name="Credit subtotal 3 9 4 2 7" xfId="26876"/>
    <cellStyle name="Credit subtotal 3 9 4 2 8" xfId="26877"/>
    <cellStyle name="Credit subtotal 3 9 4 2 9" xfId="26878"/>
    <cellStyle name="Credit subtotal 3 9 4 3" xfId="26879"/>
    <cellStyle name="Credit subtotal 3 9 4 4" xfId="26880"/>
    <cellStyle name="Credit subtotal 3 9 4 5" xfId="26881"/>
    <cellStyle name="Credit subtotal 3 9 4 6" xfId="26882"/>
    <cellStyle name="Credit subtotal 3 9 4 7" xfId="26883"/>
    <cellStyle name="Credit subtotal 3 9 4 8" xfId="26884"/>
    <cellStyle name="Credit subtotal 3 9 4 9" xfId="26885"/>
    <cellStyle name="Credit subtotal 3 9 5" xfId="26886"/>
    <cellStyle name="Credit subtotal 3 9 5 2" xfId="26887"/>
    <cellStyle name="Credit subtotal 3 9 5 3" xfId="26888"/>
    <cellStyle name="Credit subtotal 3 9 6" xfId="26889"/>
    <cellStyle name="Credit subtotal 4" xfId="26890"/>
    <cellStyle name="Credit subtotal 4 2" xfId="26891"/>
    <cellStyle name="Credit subtotal 4 2 2" xfId="26892"/>
    <cellStyle name="Credit subtotal 4 2 2 10" xfId="26893"/>
    <cellStyle name="Credit subtotal 4 2 2 11" xfId="26894"/>
    <cellStyle name="Credit subtotal 4 2 2 12" xfId="26895"/>
    <cellStyle name="Credit subtotal 4 2 2 13" xfId="26896"/>
    <cellStyle name="Credit subtotal 4 2 2 14" xfId="26897"/>
    <cellStyle name="Credit subtotal 4 2 2 15" xfId="26898"/>
    <cellStyle name="Credit subtotal 4 2 2 16" xfId="26899"/>
    <cellStyle name="Credit subtotal 4 2 2 17" xfId="26900"/>
    <cellStyle name="Credit subtotal 4 2 2 18" xfId="26901"/>
    <cellStyle name="Credit subtotal 4 2 2 19" xfId="26902"/>
    <cellStyle name="Credit subtotal 4 2 2 2" xfId="26903"/>
    <cellStyle name="Credit subtotal 4 2 2 2 2" xfId="26904"/>
    <cellStyle name="Credit subtotal 4 2 2 2 3" xfId="26905"/>
    <cellStyle name="Credit subtotal 4 2 2 2 4" xfId="26906"/>
    <cellStyle name="Credit subtotal 4 2 2 2 5" xfId="26907"/>
    <cellStyle name="Credit subtotal 4 2 2 2 6" xfId="26908"/>
    <cellStyle name="Credit subtotal 4 2 2 2 7" xfId="26909"/>
    <cellStyle name="Credit subtotal 4 2 2 2 8" xfId="26910"/>
    <cellStyle name="Credit subtotal 4 2 2 2 9" xfId="26911"/>
    <cellStyle name="Credit subtotal 4 2 2 20" xfId="26912"/>
    <cellStyle name="Credit subtotal 4 2 2 21" xfId="26913"/>
    <cellStyle name="Credit subtotal 4 2 2 3" xfId="26914"/>
    <cellStyle name="Credit subtotal 4 2 2 4" xfId="26915"/>
    <cellStyle name="Credit subtotal 4 2 2 5" xfId="26916"/>
    <cellStyle name="Credit subtotal 4 2 2 6" xfId="26917"/>
    <cellStyle name="Credit subtotal 4 2 2 7" xfId="26918"/>
    <cellStyle name="Credit subtotal 4 2 2 8" xfId="26919"/>
    <cellStyle name="Credit subtotal 4 2 2 9" xfId="26920"/>
    <cellStyle name="Credit subtotal 4 2 3" xfId="26921"/>
    <cellStyle name="Credit subtotal 4 2 3 10" xfId="26922"/>
    <cellStyle name="Credit subtotal 4 2 3 11" xfId="26923"/>
    <cellStyle name="Credit subtotal 4 2 3 12" xfId="26924"/>
    <cellStyle name="Credit subtotal 4 2 3 13" xfId="26925"/>
    <cellStyle name="Credit subtotal 4 2 3 14" xfId="26926"/>
    <cellStyle name="Credit subtotal 4 2 3 15" xfId="26927"/>
    <cellStyle name="Credit subtotal 4 2 3 16" xfId="26928"/>
    <cellStyle name="Credit subtotal 4 2 3 17" xfId="26929"/>
    <cellStyle name="Credit subtotal 4 2 3 18" xfId="26930"/>
    <cellStyle name="Credit subtotal 4 2 3 19" xfId="26931"/>
    <cellStyle name="Credit subtotal 4 2 3 2" xfId="26932"/>
    <cellStyle name="Credit subtotal 4 2 3 2 2" xfId="26933"/>
    <cellStyle name="Credit subtotal 4 2 3 2 3" xfId="26934"/>
    <cellStyle name="Credit subtotal 4 2 3 2 4" xfId="26935"/>
    <cellStyle name="Credit subtotal 4 2 3 2 5" xfId="26936"/>
    <cellStyle name="Credit subtotal 4 2 3 2 6" xfId="26937"/>
    <cellStyle name="Credit subtotal 4 2 3 2 7" xfId="26938"/>
    <cellStyle name="Credit subtotal 4 2 3 2 8" xfId="26939"/>
    <cellStyle name="Credit subtotal 4 2 3 2 9" xfId="26940"/>
    <cellStyle name="Credit subtotal 4 2 3 3" xfId="26941"/>
    <cellStyle name="Credit subtotal 4 2 3 4" xfId="26942"/>
    <cellStyle name="Credit subtotal 4 2 3 5" xfId="26943"/>
    <cellStyle name="Credit subtotal 4 2 3 6" xfId="26944"/>
    <cellStyle name="Credit subtotal 4 2 3 7" xfId="26945"/>
    <cellStyle name="Credit subtotal 4 2 3 8" xfId="26946"/>
    <cellStyle name="Credit subtotal 4 2 3 9" xfId="26947"/>
    <cellStyle name="Credit subtotal 4 2 4" xfId="26948"/>
    <cellStyle name="Credit subtotal 4 2 4 10" xfId="26949"/>
    <cellStyle name="Credit subtotal 4 2 4 11" xfId="26950"/>
    <cellStyle name="Credit subtotal 4 2 4 12" xfId="26951"/>
    <cellStyle name="Credit subtotal 4 2 4 13" xfId="26952"/>
    <cellStyle name="Credit subtotal 4 2 4 14" xfId="26953"/>
    <cellStyle name="Credit subtotal 4 2 4 15" xfId="26954"/>
    <cellStyle name="Credit subtotal 4 2 4 16" xfId="26955"/>
    <cellStyle name="Credit subtotal 4 2 4 17" xfId="26956"/>
    <cellStyle name="Credit subtotal 4 2 4 18" xfId="26957"/>
    <cellStyle name="Credit subtotal 4 2 4 2" xfId="26958"/>
    <cellStyle name="Credit subtotal 4 2 4 2 2" xfId="26959"/>
    <cellStyle name="Credit subtotal 4 2 4 2 3" xfId="26960"/>
    <cellStyle name="Credit subtotal 4 2 4 2 4" xfId="26961"/>
    <cellStyle name="Credit subtotal 4 2 4 2 5" xfId="26962"/>
    <cellStyle name="Credit subtotal 4 2 4 2 6" xfId="26963"/>
    <cellStyle name="Credit subtotal 4 2 4 2 7" xfId="26964"/>
    <cellStyle name="Credit subtotal 4 2 4 2 8" xfId="26965"/>
    <cellStyle name="Credit subtotal 4 2 4 2 9" xfId="26966"/>
    <cellStyle name="Credit subtotal 4 2 4 3" xfId="26967"/>
    <cellStyle name="Credit subtotal 4 2 4 4" xfId="26968"/>
    <cellStyle name="Credit subtotal 4 2 4 5" xfId="26969"/>
    <cellStyle name="Credit subtotal 4 2 4 6" xfId="26970"/>
    <cellStyle name="Credit subtotal 4 2 4 7" xfId="26971"/>
    <cellStyle name="Credit subtotal 4 2 4 8" xfId="26972"/>
    <cellStyle name="Credit subtotal 4 2 4 9" xfId="26973"/>
    <cellStyle name="Credit subtotal 4 2 5" xfId="26974"/>
    <cellStyle name="Credit subtotal 4 2 5 2" xfId="26975"/>
    <cellStyle name="Credit subtotal 4 2 5 3" xfId="26976"/>
    <cellStyle name="Credit subtotal 4 2 6" xfId="26977"/>
    <cellStyle name="Credit subtotal 4 3" xfId="26978"/>
    <cellStyle name="Credit subtotal 4 3 2" xfId="26979"/>
    <cellStyle name="Credit subtotal 4 3 2 10" xfId="26980"/>
    <cellStyle name="Credit subtotal 4 3 2 11" xfId="26981"/>
    <cellStyle name="Credit subtotal 4 3 2 12" xfId="26982"/>
    <cellStyle name="Credit subtotal 4 3 2 13" xfId="26983"/>
    <cellStyle name="Credit subtotal 4 3 2 14" xfId="26984"/>
    <cellStyle name="Credit subtotal 4 3 2 15" xfId="26985"/>
    <cellStyle name="Credit subtotal 4 3 2 16" xfId="26986"/>
    <cellStyle name="Credit subtotal 4 3 2 17" xfId="26987"/>
    <cellStyle name="Credit subtotal 4 3 2 18" xfId="26988"/>
    <cellStyle name="Credit subtotal 4 3 2 19" xfId="26989"/>
    <cellStyle name="Credit subtotal 4 3 2 2" xfId="26990"/>
    <cellStyle name="Credit subtotal 4 3 2 2 2" xfId="26991"/>
    <cellStyle name="Credit subtotal 4 3 2 2 3" xfId="26992"/>
    <cellStyle name="Credit subtotal 4 3 2 2 4" xfId="26993"/>
    <cellStyle name="Credit subtotal 4 3 2 2 5" xfId="26994"/>
    <cellStyle name="Credit subtotal 4 3 2 2 6" xfId="26995"/>
    <cellStyle name="Credit subtotal 4 3 2 2 7" xfId="26996"/>
    <cellStyle name="Credit subtotal 4 3 2 2 8" xfId="26997"/>
    <cellStyle name="Credit subtotal 4 3 2 2 9" xfId="26998"/>
    <cellStyle name="Credit subtotal 4 3 2 20" xfId="26999"/>
    <cellStyle name="Credit subtotal 4 3 2 21" xfId="27000"/>
    <cellStyle name="Credit subtotal 4 3 2 3" xfId="27001"/>
    <cellStyle name="Credit subtotal 4 3 2 4" xfId="27002"/>
    <cellStyle name="Credit subtotal 4 3 2 5" xfId="27003"/>
    <cellStyle name="Credit subtotal 4 3 2 6" xfId="27004"/>
    <cellStyle name="Credit subtotal 4 3 2 7" xfId="27005"/>
    <cellStyle name="Credit subtotal 4 3 2 8" xfId="27006"/>
    <cellStyle name="Credit subtotal 4 3 2 9" xfId="27007"/>
    <cellStyle name="Credit subtotal 4 3 3" xfId="27008"/>
    <cellStyle name="Credit subtotal 4 3 3 10" xfId="27009"/>
    <cellStyle name="Credit subtotal 4 3 3 11" xfId="27010"/>
    <cellStyle name="Credit subtotal 4 3 3 12" xfId="27011"/>
    <cellStyle name="Credit subtotal 4 3 3 13" xfId="27012"/>
    <cellStyle name="Credit subtotal 4 3 3 14" xfId="27013"/>
    <cellStyle name="Credit subtotal 4 3 3 15" xfId="27014"/>
    <cellStyle name="Credit subtotal 4 3 3 16" xfId="27015"/>
    <cellStyle name="Credit subtotal 4 3 3 17" xfId="27016"/>
    <cellStyle name="Credit subtotal 4 3 3 18" xfId="27017"/>
    <cellStyle name="Credit subtotal 4 3 3 19" xfId="27018"/>
    <cellStyle name="Credit subtotal 4 3 3 2" xfId="27019"/>
    <cellStyle name="Credit subtotal 4 3 3 2 2" xfId="27020"/>
    <cellStyle name="Credit subtotal 4 3 3 2 3" xfId="27021"/>
    <cellStyle name="Credit subtotal 4 3 3 2 4" xfId="27022"/>
    <cellStyle name="Credit subtotal 4 3 3 2 5" xfId="27023"/>
    <cellStyle name="Credit subtotal 4 3 3 2 6" xfId="27024"/>
    <cellStyle name="Credit subtotal 4 3 3 2 7" xfId="27025"/>
    <cellStyle name="Credit subtotal 4 3 3 2 8" xfId="27026"/>
    <cellStyle name="Credit subtotal 4 3 3 2 9" xfId="27027"/>
    <cellStyle name="Credit subtotal 4 3 3 3" xfId="27028"/>
    <cellStyle name="Credit subtotal 4 3 3 4" xfId="27029"/>
    <cellStyle name="Credit subtotal 4 3 3 5" xfId="27030"/>
    <cellStyle name="Credit subtotal 4 3 3 6" xfId="27031"/>
    <cellStyle name="Credit subtotal 4 3 3 7" xfId="27032"/>
    <cellStyle name="Credit subtotal 4 3 3 8" xfId="27033"/>
    <cellStyle name="Credit subtotal 4 3 3 9" xfId="27034"/>
    <cellStyle name="Credit subtotal 4 3 4" xfId="27035"/>
    <cellStyle name="Credit subtotal 4 3 4 10" xfId="27036"/>
    <cellStyle name="Credit subtotal 4 3 4 11" xfId="27037"/>
    <cellStyle name="Credit subtotal 4 3 4 12" xfId="27038"/>
    <cellStyle name="Credit subtotal 4 3 4 13" xfId="27039"/>
    <cellStyle name="Credit subtotal 4 3 4 14" xfId="27040"/>
    <cellStyle name="Credit subtotal 4 3 4 15" xfId="27041"/>
    <cellStyle name="Credit subtotal 4 3 4 16" xfId="27042"/>
    <cellStyle name="Credit subtotal 4 3 4 17" xfId="27043"/>
    <cellStyle name="Credit subtotal 4 3 4 18" xfId="27044"/>
    <cellStyle name="Credit subtotal 4 3 4 2" xfId="27045"/>
    <cellStyle name="Credit subtotal 4 3 4 2 2" xfId="27046"/>
    <cellStyle name="Credit subtotal 4 3 4 2 3" xfId="27047"/>
    <cellStyle name="Credit subtotal 4 3 4 2 4" xfId="27048"/>
    <cellStyle name="Credit subtotal 4 3 4 2 5" xfId="27049"/>
    <cellStyle name="Credit subtotal 4 3 4 2 6" xfId="27050"/>
    <cellStyle name="Credit subtotal 4 3 4 2 7" xfId="27051"/>
    <cellStyle name="Credit subtotal 4 3 4 2 8" xfId="27052"/>
    <cellStyle name="Credit subtotal 4 3 4 2 9" xfId="27053"/>
    <cellStyle name="Credit subtotal 4 3 4 3" xfId="27054"/>
    <cellStyle name="Credit subtotal 4 3 4 4" xfId="27055"/>
    <cellStyle name="Credit subtotal 4 3 4 5" xfId="27056"/>
    <cellStyle name="Credit subtotal 4 3 4 6" xfId="27057"/>
    <cellStyle name="Credit subtotal 4 3 4 7" xfId="27058"/>
    <cellStyle name="Credit subtotal 4 3 4 8" xfId="27059"/>
    <cellStyle name="Credit subtotal 4 3 4 9" xfId="27060"/>
    <cellStyle name="Credit subtotal 4 3 5" xfId="27061"/>
    <cellStyle name="Credit subtotal 4 3 5 2" xfId="27062"/>
    <cellStyle name="Credit subtotal 4 3 5 3" xfId="27063"/>
    <cellStyle name="Credit subtotal 4 3 6" xfId="27064"/>
    <cellStyle name="Credit subtotal 4 4" xfId="27065"/>
    <cellStyle name="Credit subtotal 4 4 10" xfId="27066"/>
    <cellStyle name="Credit subtotal 4 4 11" xfId="27067"/>
    <cellStyle name="Credit subtotal 4 4 12" xfId="27068"/>
    <cellStyle name="Credit subtotal 4 4 13" xfId="27069"/>
    <cellStyle name="Credit subtotal 4 4 14" xfId="27070"/>
    <cellStyle name="Credit subtotal 4 4 15" xfId="27071"/>
    <cellStyle name="Credit subtotal 4 4 16" xfId="27072"/>
    <cellStyle name="Credit subtotal 4 4 17" xfId="27073"/>
    <cellStyle name="Credit subtotal 4 4 18" xfId="27074"/>
    <cellStyle name="Credit subtotal 4 4 19" xfId="27075"/>
    <cellStyle name="Credit subtotal 4 4 2" xfId="27076"/>
    <cellStyle name="Credit subtotal 4 4 2 2" xfId="27077"/>
    <cellStyle name="Credit subtotal 4 4 2 3" xfId="27078"/>
    <cellStyle name="Credit subtotal 4 4 2 4" xfId="27079"/>
    <cellStyle name="Credit subtotal 4 4 2 5" xfId="27080"/>
    <cellStyle name="Credit subtotal 4 4 2 6" xfId="27081"/>
    <cellStyle name="Credit subtotal 4 4 2 7" xfId="27082"/>
    <cellStyle name="Credit subtotal 4 4 2 8" xfId="27083"/>
    <cellStyle name="Credit subtotal 4 4 2 9" xfId="27084"/>
    <cellStyle name="Credit subtotal 4 4 20" xfId="27085"/>
    <cellStyle name="Credit subtotal 4 4 21" xfId="27086"/>
    <cellStyle name="Credit subtotal 4 4 3" xfId="27087"/>
    <cellStyle name="Credit subtotal 4 4 4" xfId="27088"/>
    <cellStyle name="Credit subtotal 4 4 5" xfId="27089"/>
    <cellStyle name="Credit subtotal 4 4 6" xfId="27090"/>
    <cellStyle name="Credit subtotal 4 4 7" xfId="27091"/>
    <cellStyle name="Credit subtotal 4 4 8" xfId="27092"/>
    <cellStyle name="Credit subtotal 4 4 9" xfId="27093"/>
    <cellStyle name="Credit subtotal 4 5" xfId="27094"/>
    <cellStyle name="Credit subtotal 4 5 10" xfId="27095"/>
    <cellStyle name="Credit subtotal 4 5 11" xfId="27096"/>
    <cellStyle name="Credit subtotal 4 5 12" xfId="27097"/>
    <cellStyle name="Credit subtotal 4 5 13" xfId="27098"/>
    <cellStyle name="Credit subtotal 4 5 14" xfId="27099"/>
    <cellStyle name="Credit subtotal 4 5 15" xfId="27100"/>
    <cellStyle name="Credit subtotal 4 5 16" xfId="27101"/>
    <cellStyle name="Credit subtotal 4 5 17" xfId="27102"/>
    <cellStyle name="Credit subtotal 4 5 18" xfId="27103"/>
    <cellStyle name="Credit subtotal 4 5 19" xfId="27104"/>
    <cellStyle name="Credit subtotal 4 5 2" xfId="27105"/>
    <cellStyle name="Credit subtotal 4 5 2 2" xfId="27106"/>
    <cellStyle name="Credit subtotal 4 5 2 3" xfId="27107"/>
    <cellStyle name="Credit subtotal 4 5 2 4" xfId="27108"/>
    <cellStyle name="Credit subtotal 4 5 2 5" xfId="27109"/>
    <cellStyle name="Credit subtotal 4 5 2 6" xfId="27110"/>
    <cellStyle name="Credit subtotal 4 5 2 7" xfId="27111"/>
    <cellStyle name="Credit subtotal 4 5 2 8" xfId="27112"/>
    <cellStyle name="Credit subtotal 4 5 2 9" xfId="27113"/>
    <cellStyle name="Credit subtotal 4 5 3" xfId="27114"/>
    <cellStyle name="Credit subtotal 4 5 4" xfId="27115"/>
    <cellStyle name="Credit subtotal 4 5 5" xfId="27116"/>
    <cellStyle name="Credit subtotal 4 5 6" xfId="27117"/>
    <cellStyle name="Credit subtotal 4 5 7" xfId="27118"/>
    <cellStyle name="Credit subtotal 4 5 8" xfId="27119"/>
    <cellStyle name="Credit subtotal 4 5 9" xfId="27120"/>
    <cellStyle name="Credit subtotal 4 6" xfId="27121"/>
    <cellStyle name="Credit subtotal 4 6 10" xfId="27122"/>
    <cellStyle name="Credit subtotal 4 6 11" xfId="27123"/>
    <cellStyle name="Credit subtotal 4 6 12" xfId="27124"/>
    <cellStyle name="Credit subtotal 4 6 13" xfId="27125"/>
    <cellStyle name="Credit subtotal 4 6 14" xfId="27126"/>
    <cellStyle name="Credit subtotal 4 6 15" xfId="27127"/>
    <cellStyle name="Credit subtotal 4 6 16" xfId="27128"/>
    <cellStyle name="Credit subtotal 4 6 17" xfId="27129"/>
    <cellStyle name="Credit subtotal 4 6 18" xfId="27130"/>
    <cellStyle name="Credit subtotal 4 6 2" xfId="27131"/>
    <cellStyle name="Credit subtotal 4 6 2 2" xfId="27132"/>
    <cellStyle name="Credit subtotal 4 6 2 3" xfId="27133"/>
    <cellStyle name="Credit subtotal 4 6 2 4" xfId="27134"/>
    <cellStyle name="Credit subtotal 4 6 2 5" xfId="27135"/>
    <cellStyle name="Credit subtotal 4 6 2 6" xfId="27136"/>
    <cellStyle name="Credit subtotal 4 6 2 7" xfId="27137"/>
    <cellStyle name="Credit subtotal 4 6 2 8" xfId="27138"/>
    <cellStyle name="Credit subtotal 4 6 2 9" xfId="27139"/>
    <cellStyle name="Credit subtotal 4 6 3" xfId="27140"/>
    <cellStyle name="Credit subtotal 4 6 4" xfId="27141"/>
    <cellStyle name="Credit subtotal 4 6 5" xfId="27142"/>
    <cellStyle name="Credit subtotal 4 6 6" xfId="27143"/>
    <cellStyle name="Credit subtotal 4 6 7" xfId="27144"/>
    <cellStyle name="Credit subtotal 4 6 8" xfId="27145"/>
    <cellStyle name="Credit subtotal 4 6 9" xfId="27146"/>
    <cellStyle name="Credit subtotal 4 7" xfId="27147"/>
    <cellStyle name="Credit subtotal 4 7 2" xfId="27148"/>
    <cellStyle name="Credit subtotal 4 7 3" xfId="27149"/>
    <cellStyle name="Credit subtotal 4 8" xfId="27150"/>
    <cellStyle name="Credit subtotal 5" xfId="27151"/>
    <cellStyle name="Credit subtotal 5 2" xfId="27152"/>
    <cellStyle name="Credit subtotal 5 2 2" xfId="27153"/>
    <cellStyle name="Credit subtotal 5 2 2 10" xfId="27154"/>
    <cellStyle name="Credit subtotal 5 2 2 11" xfId="27155"/>
    <cellStyle name="Credit subtotal 5 2 2 12" xfId="27156"/>
    <cellStyle name="Credit subtotal 5 2 2 13" xfId="27157"/>
    <cellStyle name="Credit subtotal 5 2 2 14" xfId="27158"/>
    <cellStyle name="Credit subtotal 5 2 2 15" xfId="27159"/>
    <cellStyle name="Credit subtotal 5 2 2 16" xfId="27160"/>
    <cellStyle name="Credit subtotal 5 2 2 17" xfId="27161"/>
    <cellStyle name="Credit subtotal 5 2 2 18" xfId="27162"/>
    <cellStyle name="Credit subtotal 5 2 2 19" xfId="27163"/>
    <cellStyle name="Credit subtotal 5 2 2 2" xfId="27164"/>
    <cellStyle name="Credit subtotal 5 2 2 2 2" xfId="27165"/>
    <cellStyle name="Credit subtotal 5 2 2 2 3" xfId="27166"/>
    <cellStyle name="Credit subtotal 5 2 2 2 4" xfId="27167"/>
    <cellStyle name="Credit subtotal 5 2 2 2 5" xfId="27168"/>
    <cellStyle name="Credit subtotal 5 2 2 2 6" xfId="27169"/>
    <cellStyle name="Credit subtotal 5 2 2 2 7" xfId="27170"/>
    <cellStyle name="Credit subtotal 5 2 2 2 8" xfId="27171"/>
    <cellStyle name="Credit subtotal 5 2 2 2 9" xfId="27172"/>
    <cellStyle name="Credit subtotal 5 2 2 20" xfId="27173"/>
    <cellStyle name="Credit subtotal 5 2 2 21" xfId="27174"/>
    <cellStyle name="Credit subtotal 5 2 2 3" xfId="27175"/>
    <cellStyle name="Credit subtotal 5 2 2 4" xfId="27176"/>
    <cellStyle name="Credit subtotal 5 2 2 5" xfId="27177"/>
    <cellStyle name="Credit subtotal 5 2 2 6" xfId="27178"/>
    <cellStyle name="Credit subtotal 5 2 2 7" xfId="27179"/>
    <cellStyle name="Credit subtotal 5 2 2 8" xfId="27180"/>
    <cellStyle name="Credit subtotal 5 2 2 9" xfId="27181"/>
    <cellStyle name="Credit subtotal 5 2 3" xfId="27182"/>
    <cellStyle name="Credit subtotal 5 2 3 10" xfId="27183"/>
    <cellStyle name="Credit subtotal 5 2 3 11" xfId="27184"/>
    <cellStyle name="Credit subtotal 5 2 3 12" xfId="27185"/>
    <cellStyle name="Credit subtotal 5 2 3 13" xfId="27186"/>
    <cellStyle name="Credit subtotal 5 2 3 14" xfId="27187"/>
    <cellStyle name="Credit subtotal 5 2 3 15" xfId="27188"/>
    <cellStyle name="Credit subtotal 5 2 3 16" xfId="27189"/>
    <cellStyle name="Credit subtotal 5 2 3 17" xfId="27190"/>
    <cellStyle name="Credit subtotal 5 2 3 18" xfId="27191"/>
    <cellStyle name="Credit subtotal 5 2 3 19" xfId="27192"/>
    <cellStyle name="Credit subtotal 5 2 3 2" xfId="27193"/>
    <cellStyle name="Credit subtotal 5 2 3 2 2" xfId="27194"/>
    <cellStyle name="Credit subtotal 5 2 3 2 3" xfId="27195"/>
    <cellStyle name="Credit subtotal 5 2 3 2 4" xfId="27196"/>
    <cellStyle name="Credit subtotal 5 2 3 2 5" xfId="27197"/>
    <cellStyle name="Credit subtotal 5 2 3 2 6" xfId="27198"/>
    <cellStyle name="Credit subtotal 5 2 3 2 7" xfId="27199"/>
    <cellStyle name="Credit subtotal 5 2 3 2 8" xfId="27200"/>
    <cellStyle name="Credit subtotal 5 2 3 2 9" xfId="27201"/>
    <cellStyle name="Credit subtotal 5 2 3 3" xfId="27202"/>
    <cellStyle name="Credit subtotal 5 2 3 4" xfId="27203"/>
    <cellStyle name="Credit subtotal 5 2 3 5" xfId="27204"/>
    <cellStyle name="Credit subtotal 5 2 3 6" xfId="27205"/>
    <cellStyle name="Credit subtotal 5 2 3 7" xfId="27206"/>
    <cellStyle name="Credit subtotal 5 2 3 8" xfId="27207"/>
    <cellStyle name="Credit subtotal 5 2 3 9" xfId="27208"/>
    <cellStyle name="Credit subtotal 5 2 4" xfId="27209"/>
    <cellStyle name="Credit subtotal 5 2 4 10" xfId="27210"/>
    <cellStyle name="Credit subtotal 5 2 4 11" xfId="27211"/>
    <cellStyle name="Credit subtotal 5 2 4 12" xfId="27212"/>
    <cellStyle name="Credit subtotal 5 2 4 13" xfId="27213"/>
    <cellStyle name="Credit subtotal 5 2 4 14" xfId="27214"/>
    <cellStyle name="Credit subtotal 5 2 4 15" xfId="27215"/>
    <cellStyle name="Credit subtotal 5 2 4 16" xfId="27216"/>
    <cellStyle name="Credit subtotal 5 2 4 17" xfId="27217"/>
    <cellStyle name="Credit subtotal 5 2 4 18" xfId="27218"/>
    <cellStyle name="Credit subtotal 5 2 4 2" xfId="27219"/>
    <cellStyle name="Credit subtotal 5 2 4 2 2" xfId="27220"/>
    <cellStyle name="Credit subtotal 5 2 4 2 3" xfId="27221"/>
    <cellStyle name="Credit subtotal 5 2 4 2 4" xfId="27222"/>
    <cellStyle name="Credit subtotal 5 2 4 2 5" xfId="27223"/>
    <cellStyle name="Credit subtotal 5 2 4 2 6" xfId="27224"/>
    <cellStyle name="Credit subtotal 5 2 4 2 7" xfId="27225"/>
    <cellStyle name="Credit subtotal 5 2 4 2 8" xfId="27226"/>
    <cellStyle name="Credit subtotal 5 2 4 2 9" xfId="27227"/>
    <cellStyle name="Credit subtotal 5 2 4 3" xfId="27228"/>
    <cellStyle name="Credit subtotal 5 2 4 4" xfId="27229"/>
    <cellStyle name="Credit subtotal 5 2 4 5" xfId="27230"/>
    <cellStyle name="Credit subtotal 5 2 4 6" xfId="27231"/>
    <cellStyle name="Credit subtotal 5 2 4 7" xfId="27232"/>
    <cellStyle name="Credit subtotal 5 2 4 8" xfId="27233"/>
    <cellStyle name="Credit subtotal 5 2 4 9" xfId="27234"/>
    <cellStyle name="Credit subtotal 5 2 5" xfId="27235"/>
    <cellStyle name="Credit subtotal 5 2 5 2" xfId="27236"/>
    <cellStyle name="Credit subtotal 5 2 5 3" xfId="27237"/>
    <cellStyle name="Credit subtotal 5 2 6" xfId="27238"/>
    <cellStyle name="Credit subtotal 5 3" xfId="27239"/>
    <cellStyle name="Credit subtotal 5 3 2" xfId="27240"/>
    <cellStyle name="Credit subtotal 5 3 2 10" xfId="27241"/>
    <cellStyle name="Credit subtotal 5 3 2 11" xfId="27242"/>
    <cellStyle name="Credit subtotal 5 3 2 12" xfId="27243"/>
    <cellStyle name="Credit subtotal 5 3 2 13" xfId="27244"/>
    <cellStyle name="Credit subtotal 5 3 2 14" xfId="27245"/>
    <cellStyle name="Credit subtotal 5 3 2 15" xfId="27246"/>
    <cellStyle name="Credit subtotal 5 3 2 16" xfId="27247"/>
    <cellStyle name="Credit subtotal 5 3 2 17" xfId="27248"/>
    <cellStyle name="Credit subtotal 5 3 2 18" xfId="27249"/>
    <cellStyle name="Credit subtotal 5 3 2 19" xfId="27250"/>
    <cellStyle name="Credit subtotal 5 3 2 2" xfId="27251"/>
    <cellStyle name="Credit subtotal 5 3 2 2 2" xfId="27252"/>
    <cellStyle name="Credit subtotal 5 3 2 2 3" xfId="27253"/>
    <cellStyle name="Credit subtotal 5 3 2 2 4" xfId="27254"/>
    <cellStyle name="Credit subtotal 5 3 2 2 5" xfId="27255"/>
    <cellStyle name="Credit subtotal 5 3 2 2 6" xfId="27256"/>
    <cellStyle name="Credit subtotal 5 3 2 2 7" xfId="27257"/>
    <cellStyle name="Credit subtotal 5 3 2 2 8" xfId="27258"/>
    <cellStyle name="Credit subtotal 5 3 2 2 9" xfId="27259"/>
    <cellStyle name="Credit subtotal 5 3 2 20" xfId="27260"/>
    <cellStyle name="Credit subtotal 5 3 2 21" xfId="27261"/>
    <cellStyle name="Credit subtotal 5 3 2 3" xfId="27262"/>
    <cellStyle name="Credit subtotal 5 3 2 4" xfId="27263"/>
    <cellStyle name="Credit subtotal 5 3 2 5" xfId="27264"/>
    <cellStyle name="Credit subtotal 5 3 2 6" xfId="27265"/>
    <cellStyle name="Credit subtotal 5 3 2 7" xfId="27266"/>
    <cellStyle name="Credit subtotal 5 3 2 8" xfId="27267"/>
    <cellStyle name="Credit subtotal 5 3 2 9" xfId="27268"/>
    <cellStyle name="Credit subtotal 5 3 3" xfId="27269"/>
    <cellStyle name="Credit subtotal 5 3 3 10" xfId="27270"/>
    <cellStyle name="Credit subtotal 5 3 3 11" xfId="27271"/>
    <cellStyle name="Credit subtotal 5 3 3 12" xfId="27272"/>
    <cellStyle name="Credit subtotal 5 3 3 13" xfId="27273"/>
    <cellStyle name="Credit subtotal 5 3 3 14" xfId="27274"/>
    <cellStyle name="Credit subtotal 5 3 3 15" xfId="27275"/>
    <cellStyle name="Credit subtotal 5 3 3 16" xfId="27276"/>
    <cellStyle name="Credit subtotal 5 3 3 17" xfId="27277"/>
    <cellStyle name="Credit subtotal 5 3 3 18" xfId="27278"/>
    <cellStyle name="Credit subtotal 5 3 3 19" xfId="27279"/>
    <cellStyle name="Credit subtotal 5 3 3 2" xfId="27280"/>
    <cellStyle name="Credit subtotal 5 3 3 2 2" xfId="27281"/>
    <cellStyle name="Credit subtotal 5 3 3 2 3" xfId="27282"/>
    <cellStyle name="Credit subtotal 5 3 3 2 4" xfId="27283"/>
    <cellStyle name="Credit subtotal 5 3 3 2 5" xfId="27284"/>
    <cellStyle name="Credit subtotal 5 3 3 2 6" xfId="27285"/>
    <cellStyle name="Credit subtotal 5 3 3 2 7" xfId="27286"/>
    <cellStyle name="Credit subtotal 5 3 3 2 8" xfId="27287"/>
    <cellStyle name="Credit subtotal 5 3 3 2 9" xfId="27288"/>
    <cellStyle name="Credit subtotal 5 3 3 3" xfId="27289"/>
    <cellStyle name="Credit subtotal 5 3 3 4" xfId="27290"/>
    <cellStyle name="Credit subtotal 5 3 3 5" xfId="27291"/>
    <cellStyle name="Credit subtotal 5 3 3 6" xfId="27292"/>
    <cellStyle name="Credit subtotal 5 3 3 7" xfId="27293"/>
    <cellStyle name="Credit subtotal 5 3 3 8" xfId="27294"/>
    <cellStyle name="Credit subtotal 5 3 3 9" xfId="27295"/>
    <cellStyle name="Credit subtotal 5 3 4" xfId="27296"/>
    <cellStyle name="Credit subtotal 5 3 4 10" xfId="27297"/>
    <cellStyle name="Credit subtotal 5 3 4 11" xfId="27298"/>
    <cellStyle name="Credit subtotal 5 3 4 12" xfId="27299"/>
    <cellStyle name="Credit subtotal 5 3 4 13" xfId="27300"/>
    <cellStyle name="Credit subtotal 5 3 4 14" xfId="27301"/>
    <cellStyle name="Credit subtotal 5 3 4 15" xfId="27302"/>
    <cellStyle name="Credit subtotal 5 3 4 16" xfId="27303"/>
    <cellStyle name="Credit subtotal 5 3 4 17" xfId="27304"/>
    <cellStyle name="Credit subtotal 5 3 4 18" xfId="27305"/>
    <cellStyle name="Credit subtotal 5 3 4 2" xfId="27306"/>
    <cellStyle name="Credit subtotal 5 3 4 2 2" xfId="27307"/>
    <cellStyle name="Credit subtotal 5 3 4 2 3" xfId="27308"/>
    <cellStyle name="Credit subtotal 5 3 4 2 4" xfId="27309"/>
    <cellStyle name="Credit subtotal 5 3 4 2 5" xfId="27310"/>
    <cellStyle name="Credit subtotal 5 3 4 2 6" xfId="27311"/>
    <cellStyle name="Credit subtotal 5 3 4 2 7" xfId="27312"/>
    <cellStyle name="Credit subtotal 5 3 4 2 8" xfId="27313"/>
    <cellStyle name="Credit subtotal 5 3 4 2 9" xfId="27314"/>
    <cellStyle name="Credit subtotal 5 3 4 3" xfId="27315"/>
    <cellStyle name="Credit subtotal 5 3 4 4" xfId="27316"/>
    <cellStyle name="Credit subtotal 5 3 4 5" xfId="27317"/>
    <cellStyle name="Credit subtotal 5 3 4 6" xfId="27318"/>
    <cellStyle name="Credit subtotal 5 3 4 7" xfId="27319"/>
    <cellStyle name="Credit subtotal 5 3 4 8" xfId="27320"/>
    <cellStyle name="Credit subtotal 5 3 4 9" xfId="27321"/>
    <cellStyle name="Credit subtotal 5 3 5" xfId="27322"/>
    <cellStyle name="Credit subtotal 5 3 5 2" xfId="27323"/>
    <cellStyle name="Credit subtotal 5 3 5 3" xfId="27324"/>
    <cellStyle name="Credit subtotal 5 3 6" xfId="27325"/>
    <cellStyle name="Credit subtotal 5 4" xfId="27326"/>
    <cellStyle name="Credit subtotal 5 4 10" xfId="27327"/>
    <cellStyle name="Credit subtotal 5 4 11" xfId="27328"/>
    <cellStyle name="Credit subtotal 5 4 12" xfId="27329"/>
    <cellStyle name="Credit subtotal 5 4 13" xfId="27330"/>
    <cellStyle name="Credit subtotal 5 4 14" xfId="27331"/>
    <cellStyle name="Credit subtotal 5 4 15" xfId="27332"/>
    <cellStyle name="Credit subtotal 5 4 16" xfId="27333"/>
    <cellStyle name="Credit subtotal 5 4 17" xfId="27334"/>
    <cellStyle name="Credit subtotal 5 4 18" xfId="27335"/>
    <cellStyle name="Credit subtotal 5 4 19" xfId="27336"/>
    <cellStyle name="Credit subtotal 5 4 2" xfId="27337"/>
    <cellStyle name="Credit subtotal 5 4 2 2" xfId="27338"/>
    <cellStyle name="Credit subtotal 5 4 2 3" xfId="27339"/>
    <cellStyle name="Credit subtotal 5 4 2 4" xfId="27340"/>
    <cellStyle name="Credit subtotal 5 4 2 5" xfId="27341"/>
    <cellStyle name="Credit subtotal 5 4 2 6" xfId="27342"/>
    <cellStyle name="Credit subtotal 5 4 2 7" xfId="27343"/>
    <cellStyle name="Credit subtotal 5 4 2 8" xfId="27344"/>
    <cellStyle name="Credit subtotal 5 4 2 9" xfId="27345"/>
    <cellStyle name="Credit subtotal 5 4 20" xfId="27346"/>
    <cellStyle name="Credit subtotal 5 4 21" xfId="27347"/>
    <cellStyle name="Credit subtotal 5 4 3" xfId="27348"/>
    <cellStyle name="Credit subtotal 5 4 4" xfId="27349"/>
    <cellStyle name="Credit subtotal 5 4 5" xfId="27350"/>
    <cellStyle name="Credit subtotal 5 4 6" xfId="27351"/>
    <cellStyle name="Credit subtotal 5 4 7" xfId="27352"/>
    <cellStyle name="Credit subtotal 5 4 8" xfId="27353"/>
    <cellStyle name="Credit subtotal 5 4 9" xfId="27354"/>
    <cellStyle name="Credit subtotal 5 5" xfId="27355"/>
    <cellStyle name="Credit subtotal 5 5 10" xfId="27356"/>
    <cellStyle name="Credit subtotal 5 5 11" xfId="27357"/>
    <cellStyle name="Credit subtotal 5 5 12" xfId="27358"/>
    <cellStyle name="Credit subtotal 5 5 13" xfId="27359"/>
    <cellStyle name="Credit subtotal 5 5 14" xfId="27360"/>
    <cellStyle name="Credit subtotal 5 5 15" xfId="27361"/>
    <cellStyle name="Credit subtotal 5 5 16" xfId="27362"/>
    <cellStyle name="Credit subtotal 5 5 17" xfId="27363"/>
    <cellStyle name="Credit subtotal 5 5 18" xfId="27364"/>
    <cellStyle name="Credit subtotal 5 5 19" xfId="27365"/>
    <cellStyle name="Credit subtotal 5 5 2" xfId="27366"/>
    <cellStyle name="Credit subtotal 5 5 2 2" xfId="27367"/>
    <cellStyle name="Credit subtotal 5 5 2 3" xfId="27368"/>
    <cellStyle name="Credit subtotal 5 5 2 4" xfId="27369"/>
    <cellStyle name="Credit subtotal 5 5 2 5" xfId="27370"/>
    <cellStyle name="Credit subtotal 5 5 2 6" xfId="27371"/>
    <cellStyle name="Credit subtotal 5 5 2 7" xfId="27372"/>
    <cellStyle name="Credit subtotal 5 5 2 8" xfId="27373"/>
    <cellStyle name="Credit subtotal 5 5 2 9" xfId="27374"/>
    <cellStyle name="Credit subtotal 5 5 3" xfId="27375"/>
    <cellStyle name="Credit subtotal 5 5 4" xfId="27376"/>
    <cellStyle name="Credit subtotal 5 5 5" xfId="27377"/>
    <cellStyle name="Credit subtotal 5 5 6" xfId="27378"/>
    <cellStyle name="Credit subtotal 5 5 7" xfId="27379"/>
    <cellStyle name="Credit subtotal 5 5 8" xfId="27380"/>
    <cellStyle name="Credit subtotal 5 5 9" xfId="27381"/>
    <cellStyle name="Credit subtotal 5 6" xfId="27382"/>
    <cellStyle name="Credit subtotal 5 6 10" xfId="27383"/>
    <cellStyle name="Credit subtotal 5 6 11" xfId="27384"/>
    <cellStyle name="Credit subtotal 5 6 12" xfId="27385"/>
    <cellStyle name="Credit subtotal 5 6 13" xfId="27386"/>
    <cellStyle name="Credit subtotal 5 6 14" xfId="27387"/>
    <cellStyle name="Credit subtotal 5 6 15" xfId="27388"/>
    <cellStyle name="Credit subtotal 5 6 16" xfId="27389"/>
    <cellStyle name="Credit subtotal 5 6 17" xfId="27390"/>
    <cellStyle name="Credit subtotal 5 6 18" xfId="27391"/>
    <cellStyle name="Credit subtotal 5 6 2" xfId="27392"/>
    <cellStyle name="Credit subtotal 5 6 2 2" xfId="27393"/>
    <cellStyle name="Credit subtotal 5 6 2 3" xfId="27394"/>
    <cellStyle name="Credit subtotal 5 6 2 4" xfId="27395"/>
    <cellStyle name="Credit subtotal 5 6 2 5" xfId="27396"/>
    <cellStyle name="Credit subtotal 5 6 2 6" xfId="27397"/>
    <cellStyle name="Credit subtotal 5 6 2 7" xfId="27398"/>
    <cellStyle name="Credit subtotal 5 6 2 8" xfId="27399"/>
    <cellStyle name="Credit subtotal 5 6 2 9" xfId="27400"/>
    <cellStyle name="Credit subtotal 5 6 3" xfId="27401"/>
    <cellStyle name="Credit subtotal 5 6 4" xfId="27402"/>
    <cellStyle name="Credit subtotal 5 6 5" xfId="27403"/>
    <cellStyle name="Credit subtotal 5 6 6" xfId="27404"/>
    <cellStyle name="Credit subtotal 5 6 7" xfId="27405"/>
    <cellStyle name="Credit subtotal 5 6 8" xfId="27406"/>
    <cellStyle name="Credit subtotal 5 6 9" xfId="27407"/>
    <cellStyle name="Credit subtotal 5 7" xfId="27408"/>
    <cellStyle name="Credit subtotal 5 7 2" xfId="27409"/>
    <cellStyle name="Credit subtotal 5 7 3" xfId="27410"/>
    <cellStyle name="Credit subtotal 5 8" xfId="27411"/>
    <cellStyle name="Credit subtotal 6" xfId="27412"/>
    <cellStyle name="Credit subtotal 6 2" xfId="27413"/>
    <cellStyle name="Credit subtotal 6 2 2" xfId="27414"/>
    <cellStyle name="Credit subtotal 6 2 2 10" xfId="27415"/>
    <cellStyle name="Credit subtotal 6 2 2 11" xfId="27416"/>
    <cellStyle name="Credit subtotal 6 2 2 12" xfId="27417"/>
    <cellStyle name="Credit subtotal 6 2 2 13" xfId="27418"/>
    <cellStyle name="Credit subtotal 6 2 2 14" xfId="27419"/>
    <cellStyle name="Credit subtotal 6 2 2 15" xfId="27420"/>
    <cellStyle name="Credit subtotal 6 2 2 16" xfId="27421"/>
    <cellStyle name="Credit subtotal 6 2 2 17" xfId="27422"/>
    <cellStyle name="Credit subtotal 6 2 2 18" xfId="27423"/>
    <cellStyle name="Credit subtotal 6 2 2 19" xfId="27424"/>
    <cellStyle name="Credit subtotal 6 2 2 2" xfId="27425"/>
    <cellStyle name="Credit subtotal 6 2 2 2 2" xfId="27426"/>
    <cellStyle name="Credit subtotal 6 2 2 2 3" xfId="27427"/>
    <cellStyle name="Credit subtotal 6 2 2 2 4" xfId="27428"/>
    <cellStyle name="Credit subtotal 6 2 2 2 5" xfId="27429"/>
    <cellStyle name="Credit subtotal 6 2 2 2 6" xfId="27430"/>
    <cellStyle name="Credit subtotal 6 2 2 2 7" xfId="27431"/>
    <cellStyle name="Credit subtotal 6 2 2 2 8" xfId="27432"/>
    <cellStyle name="Credit subtotal 6 2 2 2 9" xfId="27433"/>
    <cellStyle name="Credit subtotal 6 2 2 20" xfId="27434"/>
    <cellStyle name="Credit subtotal 6 2 2 21" xfId="27435"/>
    <cellStyle name="Credit subtotal 6 2 2 3" xfId="27436"/>
    <cellStyle name="Credit subtotal 6 2 2 4" xfId="27437"/>
    <cellStyle name="Credit subtotal 6 2 2 5" xfId="27438"/>
    <cellStyle name="Credit subtotal 6 2 2 6" xfId="27439"/>
    <cellStyle name="Credit subtotal 6 2 2 7" xfId="27440"/>
    <cellStyle name="Credit subtotal 6 2 2 8" xfId="27441"/>
    <cellStyle name="Credit subtotal 6 2 2 9" xfId="27442"/>
    <cellStyle name="Credit subtotal 6 2 3" xfId="27443"/>
    <cellStyle name="Credit subtotal 6 2 3 10" xfId="27444"/>
    <cellStyle name="Credit subtotal 6 2 3 11" xfId="27445"/>
    <cellStyle name="Credit subtotal 6 2 3 12" xfId="27446"/>
    <cellStyle name="Credit subtotal 6 2 3 13" xfId="27447"/>
    <cellStyle name="Credit subtotal 6 2 3 14" xfId="27448"/>
    <cellStyle name="Credit subtotal 6 2 3 15" xfId="27449"/>
    <cellStyle name="Credit subtotal 6 2 3 16" xfId="27450"/>
    <cellStyle name="Credit subtotal 6 2 3 17" xfId="27451"/>
    <cellStyle name="Credit subtotal 6 2 3 18" xfId="27452"/>
    <cellStyle name="Credit subtotal 6 2 3 19" xfId="27453"/>
    <cellStyle name="Credit subtotal 6 2 3 2" xfId="27454"/>
    <cellStyle name="Credit subtotal 6 2 3 2 2" xfId="27455"/>
    <cellStyle name="Credit subtotal 6 2 3 2 3" xfId="27456"/>
    <cellStyle name="Credit subtotal 6 2 3 2 4" xfId="27457"/>
    <cellStyle name="Credit subtotal 6 2 3 2 5" xfId="27458"/>
    <cellStyle name="Credit subtotal 6 2 3 2 6" xfId="27459"/>
    <cellStyle name="Credit subtotal 6 2 3 2 7" xfId="27460"/>
    <cellStyle name="Credit subtotal 6 2 3 2 8" xfId="27461"/>
    <cellStyle name="Credit subtotal 6 2 3 2 9" xfId="27462"/>
    <cellStyle name="Credit subtotal 6 2 3 3" xfId="27463"/>
    <cellStyle name="Credit subtotal 6 2 3 4" xfId="27464"/>
    <cellStyle name="Credit subtotal 6 2 3 5" xfId="27465"/>
    <cellStyle name="Credit subtotal 6 2 3 6" xfId="27466"/>
    <cellStyle name="Credit subtotal 6 2 3 7" xfId="27467"/>
    <cellStyle name="Credit subtotal 6 2 3 8" xfId="27468"/>
    <cellStyle name="Credit subtotal 6 2 3 9" xfId="27469"/>
    <cellStyle name="Credit subtotal 6 2 4" xfId="27470"/>
    <cellStyle name="Credit subtotal 6 2 4 10" xfId="27471"/>
    <cellStyle name="Credit subtotal 6 2 4 11" xfId="27472"/>
    <cellStyle name="Credit subtotal 6 2 4 12" xfId="27473"/>
    <cellStyle name="Credit subtotal 6 2 4 13" xfId="27474"/>
    <cellStyle name="Credit subtotal 6 2 4 14" xfId="27475"/>
    <cellStyle name="Credit subtotal 6 2 4 15" xfId="27476"/>
    <cellStyle name="Credit subtotal 6 2 4 16" xfId="27477"/>
    <cellStyle name="Credit subtotal 6 2 4 17" xfId="27478"/>
    <cellStyle name="Credit subtotal 6 2 4 18" xfId="27479"/>
    <cellStyle name="Credit subtotal 6 2 4 2" xfId="27480"/>
    <cellStyle name="Credit subtotal 6 2 4 2 2" xfId="27481"/>
    <cellStyle name="Credit subtotal 6 2 4 2 3" xfId="27482"/>
    <cellStyle name="Credit subtotal 6 2 4 2 4" xfId="27483"/>
    <cellStyle name="Credit subtotal 6 2 4 2 5" xfId="27484"/>
    <cellStyle name="Credit subtotal 6 2 4 2 6" xfId="27485"/>
    <cellStyle name="Credit subtotal 6 2 4 2 7" xfId="27486"/>
    <cellStyle name="Credit subtotal 6 2 4 2 8" xfId="27487"/>
    <cellStyle name="Credit subtotal 6 2 4 2 9" xfId="27488"/>
    <cellStyle name="Credit subtotal 6 2 4 3" xfId="27489"/>
    <cellStyle name="Credit subtotal 6 2 4 4" xfId="27490"/>
    <cellStyle name="Credit subtotal 6 2 4 5" xfId="27491"/>
    <cellStyle name="Credit subtotal 6 2 4 6" xfId="27492"/>
    <cellStyle name="Credit subtotal 6 2 4 7" xfId="27493"/>
    <cellStyle name="Credit subtotal 6 2 4 8" xfId="27494"/>
    <cellStyle name="Credit subtotal 6 2 4 9" xfId="27495"/>
    <cellStyle name="Credit subtotal 6 2 5" xfId="27496"/>
    <cellStyle name="Credit subtotal 6 2 5 2" xfId="27497"/>
    <cellStyle name="Credit subtotal 6 2 5 3" xfId="27498"/>
    <cellStyle name="Credit subtotal 6 2 6" xfId="27499"/>
    <cellStyle name="Credit subtotal 6 3" xfId="27500"/>
    <cellStyle name="Credit subtotal 6 3 2" xfId="27501"/>
    <cellStyle name="Credit subtotal 6 3 2 10" xfId="27502"/>
    <cellStyle name="Credit subtotal 6 3 2 11" xfId="27503"/>
    <cellStyle name="Credit subtotal 6 3 2 12" xfId="27504"/>
    <cellStyle name="Credit subtotal 6 3 2 13" xfId="27505"/>
    <cellStyle name="Credit subtotal 6 3 2 14" xfId="27506"/>
    <cellStyle name="Credit subtotal 6 3 2 15" xfId="27507"/>
    <cellStyle name="Credit subtotal 6 3 2 16" xfId="27508"/>
    <cellStyle name="Credit subtotal 6 3 2 17" xfId="27509"/>
    <cellStyle name="Credit subtotal 6 3 2 18" xfId="27510"/>
    <cellStyle name="Credit subtotal 6 3 2 19" xfId="27511"/>
    <cellStyle name="Credit subtotal 6 3 2 2" xfId="27512"/>
    <cellStyle name="Credit subtotal 6 3 2 2 2" xfId="27513"/>
    <cellStyle name="Credit subtotal 6 3 2 2 3" xfId="27514"/>
    <cellStyle name="Credit subtotal 6 3 2 2 4" xfId="27515"/>
    <cellStyle name="Credit subtotal 6 3 2 2 5" xfId="27516"/>
    <cellStyle name="Credit subtotal 6 3 2 2 6" xfId="27517"/>
    <cellStyle name="Credit subtotal 6 3 2 2 7" xfId="27518"/>
    <cellStyle name="Credit subtotal 6 3 2 2 8" xfId="27519"/>
    <cellStyle name="Credit subtotal 6 3 2 2 9" xfId="27520"/>
    <cellStyle name="Credit subtotal 6 3 2 20" xfId="27521"/>
    <cellStyle name="Credit subtotal 6 3 2 21" xfId="27522"/>
    <cellStyle name="Credit subtotal 6 3 2 3" xfId="27523"/>
    <cellStyle name="Credit subtotal 6 3 2 4" xfId="27524"/>
    <cellStyle name="Credit subtotal 6 3 2 5" xfId="27525"/>
    <cellStyle name="Credit subtotal 6 3 2 6" xfId="27526"/>
    <cellStyle name="Credit subtotal 6 3 2 7" xfId="27527"/>
    <cellStyle name="Credit subtotal 6 3 2 8" xfId="27528"/>
    <cellStyle name="Credit subtotal 6 3 2 9" xfId="27529"/>
    <cellStyle name="Credit subtotal 6 3 3" xfId="27530"/>
    <cellStyle name="Credit subtotal 6 3 3 10" xfId="27531"/>
    <cellStyle name="Credit subtotal 6 3 3 11" xfId="27532"/>
    <cellStyle name="Credit subtotal 6 3 3 12" xfId="27533"/>
    <cellStyle name="Credit subtotal 6 3 3 13" xfId="27534"/>
    <cellStyle name="Credit subtotal 6 3 3 14" xfId="27535"/>
    <cellStyle name="Credit subtotal 6 3 3 15" xfId="27536"/>
    <cellStyle name="Credit subtotal 6 3 3 16" xfId="27537"/>
    <cellStyle name="Credit subtotal 6 3 3 17" xfId="27538"/>
    <cellStyle name="Credit subtotal 6 3 3 18" xfId="27539"/>
    <cellStyle name="Credit subtotal 6 3 3 19" xfId="27540"/>
    <cellStyle name="Credit subtotal 6 3 3 2" xfId="27541"/>
    <cellStyle name="Credit subtotal 6 3 3 2 2" xfId="27542"/>
    <cellStyle name="Credit subtotal 6 3 3 2 3" xfId="27543"/>
    <cellStyle name="Credit subtotal 6 3 3 2 4" xfId="27544"/>
    <cellStyle name="Credit subtotal 6 3 3 2 5" xfId="27545"/>
    <cellStyle name="Credit subtotal 6 3 3 2 6" xfId="27546"/>
    <cellStyle name="Credit subtotal 6 3 3 2 7" xfId="27547"/>
    <cellStyle name="Credit subtotal 6 3 3 2 8" xfId="27548"/>
    <cellStyle name="Credit subtotal 6 3 3 2 9" xfId="27549"/>
    <cellStyle name="Credit subtotal 6 3 3 3" xfId="27550"/>
    <cellStyle name="Credit subtotal 6 3 3 4" xfId="27551"/>
    <cellStyle name="Credit subtotal 6 3 3 5" xfId="27552"/>
    <cellStyle name="Credit subtotal 6 3 3 6" xfId="27553"/>
    <cellStyle name="Credit subtotal 6 3 3 7" xfId="27554"/>
    <cellStyle name="Credit subtotal 6 3 3 8" xfId="27555"/>
    <cellStyle name="Credit subtotal 6 3 3 9" xfId="27556"/>
    <cellStyle name="Credit subtotal 6 3 4" xfId="27557"/>
    <cellStyle name="Credit subtotal 6 3 4 10" xfId="27558"/>
    <cellStyle name="Credit subtotal 6 3 4 11" xfId="27559"/>
    <cellStyle name="Credit subtotal 6 3 4 12" xfId="27560"/>
    <cellStyle name="Credit subtotal 6 3 4 13" xfId="27561"/>
    <cellStyle name="Credit subtotal 6 3 4 14" xfId="27562"/>
    <cellStyle name="Credit subtotal 6 3 4 15" xfId="27563"/>
    <cellStyle name="Credit subtotal 6 3 4 16" xfId="27564"/>
    <cellStyle name="Credit subtotal 6 3 4 17" xfId="27565"/>
    <cellStyle name="Credit subtotal 6 3 4 18" xfId="27566"/>
    <cellStyle name="Credit subtotal 6 3 4 2" xfId="27567"/>
    <cellStyle name="Credit subtotal 6 3 4 2 2" xfId="27568"/>
    <cellStyle name="Credit subtotal 6 3 4 2 3" xfId="27569"/>
    <cellStyle name="Credit subtotal 6 3 4 2 4" xfId="27570"/>
    <cellStyle name="Credit subtotal 6 3 4 2 5" xfId="27571"/>
    <cellStyle name="Credit subtotal 6 3 4 2 6" xfId="27572"/>
    <cellStyle name="Credit subtotal 6 3 4 2 7" xfId="27573"/>
    <cellStyle name="Credit subtotal 6 3 4 2 8" xfId="27574"/>
    <cellStyle name="Credit subtotal 6 3 4 2 9" xfId="27575"/>
    <cellStyle name="Credit subtotal 6 3 4 3" xfId="27576"/>
    <cellStyle name="Credit subtotal 6 3 4 4" xfId="27577"/>
    <cellStyle name="Credit subtotal 6 3 4 5" xfId="27578"/>
    <cellStyle name="Credit subtotal 6 3 4 6" xfId="27579"/>
    <cellStyle name="Credit subtotal 6 3 4 7" xfId="27580"/>
    <cellStyle name="Credit subtotal 6 3 4 8" xfId="27581"/>
    <cellStyle name="Credit subtotal 6 3 4 9" xfId="27582"/>
    <cellStyle name="Credit subtotal 6 3 5" xfId="27583"/>
    <cellStyle name="Credit subtotal 6 3 5 2" xfId="27584"/>
    <cellStyle name="Credit subtotal 6 3 5 3" xfId="27585"/>
    <cellStyle name="Credit subtotal 6 3 6" xfId="27586"/>
    <cellStyle name="Credit subtotal 6 4" xfId="27587"/>
    <cellStyle name="Credit subtotal 6 4 10" xfId="27588"/>
    <cellStyle name="Credit subtotal 6 4 11" xfId="27589"/>
    <cellStyle name="Credit subtotal 6 4 12" xfId="27590"/>
    <cellStyle name="Credit subtotal 6 4 13" xfId="27591"/>
    <cellStyle name="Credit subtotal 6 4 14" xfId="27592"/>
    <cellStyle name="Credit subtotal 6 4 15" xfId="27593"/>
    <cellStyle name="Credit subtotal 6 4 16" xfId="27594"/>
    <cellStyle name="Credit subtotal 6 4 17" xfId="27595"/>
    <cellStyle name="Credit subtotal 6 4 18" xfId="27596"/>
    <cellStyle name="Credit subtotal 6 4 19" xfId="27597"/>
    <cellStyle name="Credit subtotal 6 4 2" xfId="27598"/>
    <cellStyle name="Credit subtotal 6 4 2 2" xfId="27599"/>
    <cellStyle name="Credit subtotal 6 4 2 3" xfId="27600"/>
    <cellStyle name="Credit subtotal 6 4 2 4" xfId="27601"/>
    <cellStyle name="Credit subtotal 6 4 2 5" xfId="27602"/>
    <cellStyle name="Credit subtotal 6 4 2 6" xfId="27603"/>
    <cellStyle name="Credit subtotal 6 4 2 7" xfId="27604"/>
    <cellStyle name="Credit subtotal 6 4 2 8" xfId="27605"/>
    <cellStyle name="Credit subtotal 6 4 2 9" xfId="27606"/>
    <cellStyle name="Credit subtotal 6 4 20" xfId="27607"/>
    <cellStyle name="Credit subtotal 6 4 21" xfId="27608"/>
    <cellStyle name="Credit subtotal 6 4 3" xfId="27609"/>
    <cellStyle name="Credit subtotal 6 4 4" xfId="27610"/>
    <cellStyle name="Credit subtotal 6 4 5" xfId="27611"/>
    <cellStyle name="Credit subtotal 6 4 6" xfId="27612"/>
    <cellStyle name="Credit subtotal 6 4 7" xfId="27613"/>
    <cellStyle name="Credit subtotal 6 4 8" xfId="27614"/>
    <cellStyle name="Credit subtotal 6 4 9" xfId="27615"/>
    <cellStyle name="Credit subtotal 6 5" xfId="27616"/>
    <cellStyle name="Credit subtotal 6 5 10" xfId="27617"/>
    <cellStyle name="Credit subtotal 6 5 11" xfId="27618"/>
    <cellStyle name="Credit subtotal 6 5 12" xfId="27619"/>
    <cellStyle name="Credit subtotal 6 5 13" xfId="27620"/>
    <cellStyle name="Credit subtotal 6 5 14" xfId="27621"/>
    <cellStyle name="Credit subtotal 6 5 15" xfId="27622"/>
    <cellStyle name="Credit subtotal 6 5 16" xfId="27623"/>
    <cellStyle name="Credit subtotal 6 5 17" xfId="27624"/>
    <cellStyle name="Credit subtotal 6 5 18" xfId="27625"/>
    <cellStyle name="Credit subtotal 6 5 19" xfId="27626"/>
    <cellStyle name="Credit subtotal 6 5 2" xfId="27627"/>
    <cellStyle name="Credit subtotal 6 5 2 2" xfId="27628"/>
    <cellStyle name="Credit subtotal 6 5 2 3" xfId="27629"/>
    <cellStyle name="Credit subtotal 6 5 2 4" xfId="27630"/>
    <cellStyle name="Credit subtotal 6 5 2 5" xfId="27631"/>
    <cellStyle name="Credit subtotal 6 5 2 6" xfId="27632"/>
    <cellStyle name="Credit subtotal 6 5 2 7" xfId="27633"/>
    <cellStyle name="Credit subtotal 6 5 2 8" xfId="27634"/>
    <cellStyle name="Credit subtotal 6 5 2 9" xfId="27635"/>
    <cellStyle name="Credit subtotal 6 5 3" xfId="27636"/>
    <cellStyle name="Credit subtotal 6 5 4" xfId="27637"/>
    <cellStyle name="Credit subtotal 6 5 5" xfId="27638"/>
    <cellStyle name="Credit subtotal 6 5 6" xfId="27639"/>
    <cellStyle name="Credit subtotal 6 5 7" xfId="27640"/>
    <cellStyle name="Credit subtotal 6 5 8" xfId="27641"/>
    <cellStyle name="Credit subtotal 6 5 9" xfId="27642"/>
    <cellStyle name="Credit subtotal 6 6" xfId="27643"/>
    <cellStyle name="Credit subtotal 6 6 10" xfId="27644"/>
    <cellStyle name="Credit subtotal 6 6 11" xfId="27645"/>
    <cellStyle name="Credit subtotal 6 6 12" xfId="27646"/>
    <cellStyle name="Credit subtotal 6 6 13" xfId="27647"/>
    <cellStyle name="Credit subtotal 6 6 14" xfId="27648"/>
    <cellStyle name="Credit subtotal 6 6 15" xfId="27649"/>
    <cellStyle name="Credit subtotal 6 6 16" xfId="27650"/>
    <cellStyle name="Credit subtotal 6 6 17" xfId="27651"/>
    <cellStyle name="Credit subtotal 6 6 18" xfId="27652"/>
    <cellStyle name="Credit subtotal 6 6 2" xfId="27653"/>
    <cellStyle name="Credit subtotal 6 6 2 2" xfId="27654"/>
    <cellStyle name="Credit subtotal 6 6 2 3" xfId="27655"/>
    <cellStyle name="Credit subtotal 6 6 2 4" xfId="27656"/>
    <cellStyle name="Credit subtotal 6 6 2 5" xfId="27657"/>
    <cellStyle name="Credit subtotal 6 6 2 6" xfId="27658"/>
    <cellStyle name="Credit subtotal 6 6 2 7" xfId="27659"/>
    <cellStyle name="Credit subtotal 6 6 2 8" xfId="27660"/>
    <cellStyle name="Credit subtotal 6 6 2 9" xfId="27661"/>
    <cellStyle name="Credit subtotal 6 6 3" xfId="27662"/>
    <cellStyle name="Credit subtotal 6 6 4" xfId="27663"/>
    <cellStyle name="Credit subtotal 6 6 5" xfId="27664"/>
    <cellStyle name="Credit subtotal 6 6 6" xfId="27665"/>
    <cellStyle name="Credit subtotal 6 6 7" xfId="27666"/>
    <cellStyle name="Credit subtotal 6 6 8" xfId="27667"/>
    <cellStyle name="Credit subtotal 6 6 9" xfId="27668"/>
    <cellStyle name="Credit subtotal 6 7" xfId="27669"/>
    <cellStyle name="Credit subtotal 6 7 2" xfId="27670"/>
    <cellStyle name="Credit subtotal 6 7 3" xfId="27671"/>
    <cellStyle name="Credit subtotal 6 8" xfId="27672"/>
    <cellStyle name="Credit subtotal 7" xfId="27673"/>
    <cellStyle name="Credit subtotal 7 2" xfId="27674"/>
    <cellStyle name="Credit subtotal 7 2 2" xfId="27675"/>
    <cellStyle name="Credit subtotal 7 2 2 10" xfId="27676"/>
    <cellStyle name="Credit subtotal 7 2 2 11" xfId="27677"/>
    <cellStyle name="Credit subtotal 7 2 2 12" xfId="27678"/>
    <cellStyle name="Credit subtotal 7 2 2 13" xfId="27679"/>
    <cellStyle name="Credit subtotal 7 2 2 14" xfId="27680"/>
    <cellStyle name="Credit subtotal 7 2 2 15" xfId="27681"/>
    <cellStyle name="Credit subtotal 7 2 2 16" xfId="27682"/>
    <cellStyle name="Credit subtotal 7 2 2 17" xfId="27683"/>
    <cellStyle name="Credit subtotal 7 2 2 18" xfId="27684"/>
    <cellStyle name="Credit subtotal 7 2 2 19" xfId="27685"/>
    <cellStyle name="Credit subtotal 7 2 2 2" xfId="27686"/>
    <cellStyle name="Credit subtotal 7 2 2 2 2" xfId="27687"/>
    <cellStyle name="Credit subtotal 7 2 2 2 3" xfId="27688"/>
    <cellStyle name="Credit subtotal 7 2 2 2 4" xfId="27689"/>
    <cellStyle name="Credit subtotal 7 2 2 2 5" xfId="27690"/>
    <cellStyle name="Credit subtotal 7 2 2 2 6" xfId="27691"/>
    <cellStyle name="Credit subtotal 7 2 2 2 7" xfId="27692"/>
    <cellStyle name="Credit subtotal 7 2 2 2 8" xfId="27693"/>
    <cellStyle name="Credit subtotal 7 2 2 2 9" xfId="27694"/>
    <cellStyle name="Credit subtotal 7 2 2 20" xfId="27695"/>
    <cellStyle name="Credit subtotal 7 2 2 21" xfId="27696"/>
    <cellStyle name="Credit subtotal 7 2 2 3" xfId="27697"/>
    <cellStyle name="Credit subtotal 7 2 2 4" xfId="27698"/>
    <cellStyle name="Credit subtotal 7 2 2 5" xfId="27699"/>
    <cellStyle name="Credit subtotal 7 2 2 6" xfId="27700"/>
    <cellStyle name="Credit subtotal 7 2 2 7" xfId="27701"/>
    <cellStyle name="Credit subtotal 7 2 2 8" xfId="27702"/>
    <cellStyle name="Credit subtotal 7 2 2 9" xfId="27703"/>
    <cellStyle name="Credit subtotal 7 2 3" xfId="27704"/>
    <cellStyle name="Credit subtotal 7 2 3 10" xfId="27705"/>
    <cellStyle name="Credit subtotal 7 2 3 11" xfId="27706"/>
    <cellStyle name="Credit subtotal 7 2 3 12" xfId="27707"/>
    <cellStyle name="Credit subtotal 7 2 3 13" xfId="27708"/>
    <cellStyle name="Credit subtotal 7 2 3 14" xfId="27709"/>
    <cellStyle name="Credit subtotal 7 2 3 15" xfId="27710"/>
    <cellStyle name="Credit subtotal 7 2 3 16" xfId="27711"/>
    <cellStyle name="Credit subtotal 7 2 3 17" xfId="27712"/>
    <cellStyle name="Credit subtotal 7 2 3 18" xfId="27713"/>
    <cellStyle name="Credit subtotal 7 2 3 19" xfId="27714"/>
    <cellStyle name="Credit subtotal 7 2 3 2" xfId="27715"/>
    <cellStyle name="Credit subtotal 7 2 3 2 2" xfId="27716"/>
    <cellStyle name="Credit subtotal 7 2 3 2 3" xfId="27717"/>
    <cellStyle name="Credit subtotal 7 2 3 2 4" xfId="27718"/>
    <cellStyle name="Credit subtotal 7 2 3 2 5" xfId="27719"/>
    <cellStyle name="Credit subtotal 7 2 3 2 6" xfId="27720"/>
    <cellStyle name="Credit subtotal 7 2 3 2 7" xfId="27721"/>
    <cellStyle name="Credit subtotal 7 2 3 2 8" xfId="27722"/>
    <cellStyle name="Credit subtotal 7 2 3 2 9" xfId="27723"/>
    <cellStyle name="Credit subtotal 7 2 3 3" xfId="27724"/>
    <cellStyle name="Credit subtotal 7 2 3 4" xfId="27725"/>
    <cellStyle name="Credit subtotal 7 2 3 5" xfId="27726"/>
    <cellStyle name="Credit subtotal 7 2 3 6" xfId="27727"/>
    <cellStyle name="Credit subtotal 7 2 3 7" xfId="27728"/>
    <cellStyle name="Credit subtotal 7 2 3 8" xfId="27729"/>
    <cellStyle name="Credit subtotal 7 2 3 9" xfId="27730"/>
    <cellStyle name="Credit subtotal 7 2 4" xfId="27731"/>
    <cellStyle name="Credit subtotal 7 2 4 10" xfId="27732"/>
    <cellStyle name="Credit subtotal 7 2 4 11" xfId="27733"/>
    <cellStyle name="Credit subtotal 7 2 4 12" xfId="27734"/>
    <cellStyle name="Credit subtotal 7 2 4 13" xfId="27735"/>
    <cellStyle name="Credit subtotal 7 2 4 14" xfId="27736"/>
    <cellStyle name="Credit subtotal 7 2 4 15" xfId="27737"/>
    <cellStyle name="Credit subtotal 7 2 4 16" xfId="27738"/>
    <cellStyle name="Credit subtotal 7 2 4 17" xfId="27739"/>
    <cellStyle name="Credit subtotal 7 2 4 18" xfId="27740"/>
    <cellStyle name="Credit subtotal 7 2 4 2" xfId="27741"/>
    <cellStyle name="Credit subtotal 7 2 4 2 2" xfId="27742"/>
    <cellStyle name="Credit subtotal 7 2 4 2 3" xfId="27743"/>
    <cellStyle name="Credit subtotal 7 2 4 2 4" xfId="27744"/>
    <cellStyle name="Credit subtotal 7 2 4 2 5" xfId="27745"/>
    <cellStyle name="Credit subtotal 7 2 4 2 6" xfId="27746"/>
    <cellStyle name="Credit subtotal 7 2 4 2 7" xfId="27747"/>
    <cellStyle name="Credit subtotal 7 2 4 2 8" xfId="27748"/>
    <cellStyle name="Credit subtotal 7 2 4 2 9" xfId="27749"/>
    <cellStyle name="Credit subtotal 7 2 4 3" xfId="27750"/>
    <cellStyle name="Credit subtotal 7 2 4 4" xfId="27751"/>
    <cellStyle name="Credit subtotal 7 2 4 5" xfId="27752"/>
    <cellStyle name="Credit subtotal 7 2 4 6" xfId="27753"/>
    <cellStyle name="Credit subtotal 7 2 4 7" xfId="27754"/>
    <cellStyle name="Credit subtotal 7 2 4 8" xfId="27755"/>
    <cellStyle name="Credit subtotal 7 2 4 9" xfId="27756"/>
    <cellStyle name="Credit subtotal 7 2 5" xfId="27757"/>
    <cellStyle name="Credit subtotal 7 2 5 2" xfId="27758"/>
    <cellStyle name="Credit subtotal 7 2 5 3" xfId="27759"/>
    <cellStyle name="Credit subtotal 7 2 6" xfId="27760"/>
    <cellStyle name="Credit subtotal 7 3" xfId="27761"/>
    <cellStyle name="Credit subtotal 7 3 2" xfId="27762"/>
    <cellStyle name="Credit subtotal 7 3 2 10" xfId="27763"/>
    <cellStyle name="Credit subtotal 7 3 2 11" xfId="27764"/>
    <cellStyle name="Credit subtotal 7 3 2 12" xfId="27765"/>
    <cellStyle name="Credit subtotal 7 3 2 13" xfId="27766"/>
    <cellStyle name="Credit subtotal 7 3 2 14" xfId="27767"/>
    <cellStyle name="Credit subtotal 7 3 2 15" xfId="27768"/>
    <cellStyle name="Credit subtotal 7 3 2 16" xfId="27769"/>
    <cellStyle name="Credit subtotal 7 3 2 17" xfId="27770"/>
    <cellStyle name="Credit subtotal 7 3 2 18" xfId="27771"/>
    <cellStyle name="Credit subtotal 7 3 2 19" xfId="27772"/>
    <cellStyle name="Credit subtotal 7 3 2 2" xfId="27773"/>
    <cellStyle name="Credit subtotal 7 3 2 2 2" xfId="27774"/>
    <cellStyle name="Credit subtotal 7 3 2 2 3" xfId="27775"/>
    <cellStyle name="Credit subtotal 7 3 2 2 4" xfId="27776"/>
    <cellStyle name="Credit subtotal 7 3 2 2 5" xfId="27777"/>
    <cellStyle name="Credit subtotal 7 3 2 2 6" xfId="27778"/>
    <cellStyle name="Credit subtotal 7 3 2 2 7" xfId="27779"/>
    <cellStyle name="Credit subtotal 7 3 2 2 8" xfId="27780"/>
    <cellStyle name="Credit subtotal 7 3 2 2 9" xfId="27781"/>
    <cellStyle name="Credit subtotal 7 3 2 20" xfId="27782"/>
    <cellStyle name="Credit subtotal 7 3 2 21" xfId="27783"/>
    <cellStyle name="Credit subtotal 7 3 2 3" xfId="27784"/>
    <cellStyle name="Credit subtotal 7 3 2 4" xfId="27785"/>
    <cellStyle name="Credit subtotal 7 3 2 5" xfId="27786"/>
    <cellStyle name="Credit subtotal 7 3 2 6" xfId="27787"/>
    <cellStyle name="Credit subtotal 7 3 2 7" xfId="27788"/>
    <cellStyle name="Credit subtotal 7 3 2 8" xfId="27789"/>
    <cellStyle name="Credit subtotal 7 3 2 9" xfId="27790"/>
    <cellStyle name="Credit subtotal 7 3 3" xfId="27791"/>
    <cellStyle name="Credit subtotal 7 3 3 10" xfId="27792"/>
    <cellStyle name="Credit subtotal 7 3 3 11" xfId="27793"/>
    <cellStyle name="Credit subtotal 7 3 3 12" xfId="27794"/>
    <cellStyle name="Credit subtotal 7 3 3 13" xfId="27795"/>
    <cellStyle name="Credit subtotal 7 3 3 14" xfId="27796"/>
    <cellStyle name="Credit subtotal 7 3 3 15" xfId="27797"/>
    <cellStyle name="Credit subtotal 7 3 3 16" xfId="27798"/>
    <cellStyle name="Credit subtotal 7 3 3 17" xfId="27799"/>
    <cellStyle name="Credit subtotal 7 3 3 18" xfId="27800"/>
    <cellStyle name="Credit subtotal 7 3 3 19" xfId="27801"/>
    <cellStyle name="Credit subtotal 7 3 3 2" xfId="27802"/>
    <cellStyle name="Credit subtotal 7 3 3 2 2" xfId="27803"/>
    <cellStyle name="Credit subtotal 7 3 3 2 3" xfId="27804"/>
    <cellStyle name="Credit subtotal 7 3 3 2 4" xfId="27805"/>
    <cellStyle name="Credit subtotal 7 3 3 2 5" xfId="27806"/>
    <cellStyle name="Credit subtotal 7 3 3 2 6" xfId="27807"/>
    <cellStyle name="Credit subtotal 7 3 3 2 7" xfId="27808"/>
    <cellStyle name="Credit subtotal 7 3 3 2 8" xfId="27809"/>
    <cellStyle name="Credit subtotal 7 3 3 2 9" xfId="27810"/>
    <cellStyle name="Credit subtotal 7 3 3 3" xfId="27811"/>
    <cellStyle name="Credit subtotal 7 3 3 4" xfId="27812"/>
    <cellStyle name="Credit subtotal 7 3 3 5" xfId="27813"/>
    <cellStyle name="Credit subtotal 7 3 3 6" xfId="27814"/>
    <cellStyle name="Credit subtotal 7 3 3 7" xfId="27815"/>
    <cellStyle name="Credit subtotal 7 3 3 8" xfId="27816"/>
    <cellStyle name="Credit subtotal 7 3 3 9" xfId="27817"/>
    <cellStyle name="Credit subtotal 7 3 4" xfId="27818"/>
    <cellStyle name="Credit subtotal 7 3 4 10" xfId="27819"/>
    <cellStyle name="Credit subtotal 7 3 4 11" xfId="27820"/>
    <cellStyle name="Credit subtotal 7 3 4 12" xfId="27821"/>
    <cellStyle name="Credit subtotal 7 3 4 13" xfId="27822"/>
    <cellStyle name="Credit subtotal 7 3 4 14" xfId="27823"/>
    <cellStyle name="Credit subtotal 7 3 4 15" xfId="27824"/>
    <cellStyle name="Credit subtotal 7 3 4 16" xfId="27825"/>
    <cellStyle name="Credit subtotal 7 3 4 17" xfId="27826"/>
    <cellStyle name="Credit subtotal 7 3 4 18" xfId="27827"/>
    <cellStyle name="Credit subtotal 7 3 4 2" xfId="27828"/>
    <cellStyle name="Credit subtotal 7 3 4 2 2" xfId="27829"/>
    <cellStyle name="Credit subtotal 7 3 4 2 3" xfId="27830"/>
    <cellStyle name="Credit subtotal 7 3 4 2 4" xfId="27831"/>
    <cellStyle name="Credit subtotal 7 3 4 2 5" xfId="27832"/>
    <cellStyle name="Credit subtotal 7 3 4 2 6" xfId="27833"/>
    <cellStyle name="Credit subtotal 7 3 4 2 7" xfId="27834"/>
    <cellStyle name="Credit subtotal 7 3 4 2 8" xfId="27835"/>
    <cellStyle name="Credit subtotal 7 3 4 2 9" xfId="27836"/>
    <cellStyle name="Credit subtotal 7 3 4 3" xfId="27837"/>
    <cellStyle name="Credit subtotal 7 3 4 4" xfId="27838"/>
    <cellStyle name="Credit subtotal 7 3 4 5" xfId="27839"/>
    <cellStyle name="Credit subtotal 7 3 4 6" xfId="27840"/>
    <cellStyle name="Credit subtotal 7 3 4 7" xfId="27841"/>
    <cellStyle name="Credit subtotal 7 3 4 8" xfId="27842"/>
    <cellStyle name="Credit subtotal 7 3 4 9" xfId="27843"/>
    <cellStyle name="Credit subtotal 7 3 5" xfId="27844"/>
    <cellStyle name="Credit subtotal 7 3 5 2" xfId="27845"/>
    <cellStyle name="Credit subtotal 7 3 5 3" xfId="27846"/>
    <cellStyle name="Credit subtotal 7 3 6" xfId="27847"/>
    <cellStyle name="Credit subtotal 7 4" xfId="27848"/>
    <cellStyle name="Credit subtotal 7 4 10" xfId="27849"/>
    <cellStyle name="Credit subtotal 7 4 11" xfId="27850"/>
    <cellStyle name="Credit subtotal 7 4 12" xfId="27851"/>
    <cellStyle name="Credit subtotal 7 4 13" xfId="27852"/>
    <cellStyle name="Credit subtotal 7 4 14" xfId="27853"/>
    <cellStyle name="Credit subtotal 7 4 15" xfId="27854"/>
    <cellStyle name="Credit subtotal 7 4 16" xfId="27855"/>
    <cellStyle name="Credit subtotal 7 4 17" xfId="27856"/>
    <cellStyle name="Credit subtotal 7 4 18" xfId="27857"/>
    <cellStyle name="Credit subtotal 7 4 19" xfId="27858"/>
    <cellStyle name="Credit subtotal 7 4 2" xfId="27859"/>
    <cellStyle name="Credit subtotal 7 4 2 2" xfId="27860"/>
    <cellStyle name="Credit subtotal 7 4 2 3" xfId="27861"/>
    <cellStyle name="Credit subtotal 7 4 2 4" xfId="27862"/>
    <cellStyle name="Credit subtotal 7 4 2 5" xfId="27863"/>
    <cellStyle name="Credit subtotal 7 4 2 6" xfId="27864"/>
    <cellStyle name="Credit subtotal 7 4 2 7" xfId="27865"/>
    <cellStyle name="Credit subtotal 7 4 2 8" xfId="27866"/>
    <cellStyle name="Credit subtotal 7 4 2 9" xfId="27867"/>
    <cellStyle name="Credit subtotal 7 4 20" xfId="27868"/>
    <cellStyle name="Credit subtotal 7 4 21" xfId="27869"/>
    <cellStyle name="Credit subtotal 7 4 3" xfId="27870"/>
    <cellStyle name="Credit subtotal 7 4 4" xfId="27871"/>
    <cellStyle name="Credit subtotal 7 4 5" xfId="27872"/>
    <cellStyle name="Credit subtotal 7 4 6" xfId="27873"/>
    <cellStyle name="Credit subtotal 7 4 7" xfId="27874"/>
    <cellStyle name="Credit subtotal 7 4 8" xfId="27875"/>
    <cellStyle name="Credit subtotal 7 4 9" xfId="27876"/>
    <cellStyle name="Credit subtotal 7 5" xfId="27877"/>
    <cellStyle name="Credit subtotal 7 5 10" xfId="27878"/>
    <cellStyle name="Credit subtotal 7 5 11" xfId="27879"/>
    <cellStyle name="Credit subtotal 7 5 12" xfId="27880"/>
    <cellStyle name="Credit subtotal 7 5 13" xfId="27881"/>
    <cellStyle name="Credit subtotal 7 5 14" xfId="27882"/>
    <cellStyle name="Credit subtotal 7 5 15" xfId="27883"/>
    <cellStyle name="Credit subtotal 7 5 16" xfId="27884"/>
    <cellStyle name="Credit subtotal 7 5 17" xfId="27885"/>
    <cellStyle name="Credit subtotal 7 5 18" xfId="27886"/>
    <cellStyle name="Credit subtotal 7 5 19" xfId="27887"/>
    <cellStyle name="Credit subtotal 7 5 2" xfId="27888"/>
    <cellStyle name="Credit subtotal 7 5 2 2" xfId="27889"/>
    <cellStyle name="Credit subtotal 7 5 2 3" xfId="27890"/>
    <cellStyle name="Credit subtotal 7 5 2 4" xfId="27891"/>
    <cellStyle name="Credit subtotal 7 5 2 5" xfId="27892"/>
    <cellStyle name="Credit subtotal 7 5 2 6" xfId="27893"/>
    <cellStyle name="Credit subtotal 7 5 2 7" xfId="27894"/>
    <cellStyle name="Credit subtotal 7 5 2 8" xfId="27895"/>
    <cellStyle name="Credit subtotal 7 5 2 9" xfId="27896"/>
    <cellStyle name="Credit subtotal 7 5 3" xfId="27897"/>
    <cellStyle name="Credit subtotal 7 5 4" xfId="27898"/>
    <cellStyle name="Credit subtotal 7 5 5" xfId="27899"/>
    <cellStyle name="Credit subtotal 7 5 6" xfId="27900"/>
    <cellStyle name="Credit subtotal 7 5 7" xfId="27901"/>
    <cellStyle name="Credit subtotal 7 5 8" xfId="27902"/>
    <cellStyle name="Credit subtotal 7 5 9" xfId="27903"/>
    <cellStyle name="Credit subtotal 7 6" xfId="27904"/>
    <cellStyle name="Credit subtotal 7 6 10" xfId="27905"/>
    <cellStyle name="Credit subtotal 7 6 11" xfId="27906"/>
    <cellStyle name="Credit subtotal 7 6 12" xfId="27907"/>
    <cellStyle name="Credit subtotal 7 6 13" xfId="27908"/>
    <cellStyle name="Credit subtotal 7 6 14" xfId="27909"/>
    <cellStyle name="Credit subtotal 7 6 15" xfId="27910"/>
    <cellStyle name="Credit subtotal 7 6 16" xfId="27911"/>
    <cellStyle name="Credit subtotal 7 6 17" xfId="27912"/>
    <cellStyle name="Credit subtotal 7 6 18" xfId="27913"/>
    <cellStyle name="Credit subtotal 7 6 2" xfId="27914"/>
    <cellStyle name="Credit subtotal 7 6 2 2" xfId="27915"/>
    <cellStyle name="Credit subtotal 7 6 2 3" xfId="27916"/>
    <cellStyle name="Credit subtotal 7 6 2 4" xfId="27917"/>
    <cellStyle name="Credit subtotal 7 6 2 5" xfId="27918"/>
    <cellStyle name="Credit subtotal 7 6 2 6" xfId="27919"/>
    <cellStyle name="Credit subtotal 7 6 2 7" xfId="27920"/>
    <cellStyle name="Credit subtotal 7 6 2 8" xfId="27921"/>
    <cellStyle name="Credit subtotal 7 6 2 9" xfId="27922"/>
    <cellStyle name="Credit subtotal 7 6 3" xfId="27923"/>
    <cellStyle name="Credit subtotal 7 6 4" xfId="27924"/>
    <cellStyle name="Credit subtotal 7 6 5" xfId="27925"/>
    <cellStyle name="Credit subtotal 7 6 6" xfId="27926"/>
    <cellStyle name="Credit subtotal 7 6 7" xfId="27927"/>
    <cellStyle name="Credit subtotal 7 6 8" xfId="27928"/>
    <cellStyle name="Credit subtotal 7 6 9" xfId="27929"/>
    <cellStyle name="Credit subtotal 7 7" xfId="27930"/>
    <cellStyle name="Credit subtotal 7 7 2" xfId="27931"/>
    <cellStyle name="Credit subtotal 7 7 3" xfId="27932"/>
    <cellStyle name="Credit subtotal 7 8" xfId="27933"/>
    <cellStyle name="Credit subtotal 8" xfId="27934"/>
    <cellStyle name="Credit subtotal 8 2" xfId="27935"/>
    <cellStyle name="Credit subtotal 8 2 2" xfId="27936"/>
    <cellStyle name="Credit subtotal 8 2 2 10" xfId="27937"/>
    <cellStyle name="Credit subtotal 8 2 2 11" xfId="27938"/>
    <cellStyle name="Credit subtotal 8 2 2 12" xfId="27939"/>
    <cellStyle name="Credit subtotal 8 2 2 13" xfId="27940"/>
    <cellStyle name="Credit subtotal 8 2 2 14" xfId="27941"/>
    <cellStyle name="Credit subtotal 8 2 2 15" xfId="27942"/>
    <cellStyle name="Credit subtotal 8 2 2 16" xfId="27943"/>
    <cellStyle name="Credit subtotal 8 2 2 17" xfId="27944"/>
    <cellStyle name="Credit subtotal 8 2 2 18" xfId="27945"/>
    <cellStyle name="Credit subtotal 8 2 2 19" xfId="27946"/>
    <cellStyle name="Credit subtotal 8 2 2 2" xfId="27947"/>
    <cellStyle name="Credit subtotal 8 2 2 2 2" xfId="27948"/>
    <cellStyle name="Credit subtotal 8 2 2 2 3" xfId="27949"/>
    <cellStyle name="Credit subtotal 8 2 2 2 4" xfId="27950"/>
    <cellStyle name="Credit subtotal 8 2 2 2 5" xfId="27951"/>
    <cellStyle name="Credit subtotal 8 2 2 2 6" xfId="27952"/>
    <cellStyle name="Credit subtotal 8 2 2 2 7" xfId="27953"/>
    <cellStyle name="Credit subtotal 8 2 2 2 8" xfId="27954"/>
    <cellStyle name="Credit subtotal 8 2 2 2 9" xfId="27955"/>
    <cellStyle name="Credit subtotal 8 2 2 20" xfId="27956"/>
    <cellStyle name="Credit subtotal 8 2 2 21" xfId="27957"/>
    <cellStyle name="Credit subtotal 8 2 2 3" xfId="27958"/>
    <cellStyle name="Credit subtotal 8 2 2 4" xfId="27959"/>
    <cellStyle name="Credit subtotal 8 2 2 5" xfId="27960"/>
    <cellStyle name="Credit subtotal 8 2 2 6" xfId="27961"/>
    <cellStyle name="Credit subtotal 8 2 2 7" xfId="27962"/>
    <cellStyle name="Credit subtotal 8 2 2 8" xfId="27963"/>
    <cellStyle name="Credit subtotal 8 2 2 9" xfId="27964"/>
    <cellStyle name="Credit subtotal 8 2 3" xfId="27965"/>
    <cellStyle name="Credit subtotal 8 2 3 10" xfId="27966"/>
    <cellStyle name="Credit subtotal 8 2 3 11" xfId="27967"/>
    <cellStyle name="Credit subtotal 8 2 3 12" xfId="27968"/>
    <cellStyle name="Credit subtotal 8 2 3 13" xfId="27969"/>
    <cellStyle name="Credit subtotal 8 2 3 14" xfId="27970"/>
    <cellStyle name="Credit subtotal 8 2 3 15" xfId="27971"/>
    <cellStyle name="Credit subtotal 8 2 3 16" xfId="27972"/>
    <cellStyle name="Credit subtotal 8 2 3 17" xfId="27973"/>
    <cellStyle name="Credit subtotal 8 2 3 18" xfId="27974"/>
    <cellStyle name="Credit subtotal 8 2 3 19" xfId="27975"/>
    <cellStyle name="Credit subtotal 8 2 3 2" xfId="27976"/>
    <cellStyle name="Credit subtotal 8 2 3 2 2" xfId="27977"/>
    <cellStyle name="Credit subtotal 8 2 3 2 3" xfId="27978"/>
    <cellStyle name="Credit subtotal 8 2 3 2 4" xfId="27979"/>
    <cellStyle name="Credit subtotal 8 2 3 2 5" xfId="27980"/>
    <cellStyle name="Credit subtotal 8 2 3 2 6" xfId="27981"/>
    <cellStyle name="Credit subtotal 8 2 3 2 7" xfId="27982"/>
    <cellStyle name="Credit subtotal 8 2 3 2 8" xfId="27983"/>
    <cellStyle name="Credit subtotal 8 2 3 2 9" xfId="27984"/>
    <cellStyle name="Credit subtotal 8 2 3 3" xfId="27985"/>
    <cellStyle name="Credit subtotal 8 2 3 4" xfId="27986"/>
    <cellStyle name="Credit subtotal 8 2 3 5" xfId="27987"/>
    <cellStyle name="Credit subtotal 8 2 3 6" xfId="27988"/>
    <cellStyle name="Credit subtotal 8 2 3 7" xfId="27989"/>
    <cellStyle name="Credit subtotal 8 2 3 8" xfId="27990"/>
    <cellStyle name="Credit subtotal 8 2 3 9" xfId="27991"/>
    <cellStyle name="Credit subtotal 8 2 4" xfId="27992"/>
    <cellStyle name="Credit subtotal 8 2 4 10" xfId="27993"/>
    <cellStyle name="Credit subtotal 8 2 4 11" xfId="27994"/>
    <cellStyle name="Credit subtotal 8 2 4 12" xfId="27995"/>
    <cellStyle name="Credit subtotal 8 2 4 13" xfId="27996"/>
    <cellStyle name="Credit subtotal 8 2 4 14" xfId="27997"/>
    <cellStyle name="Credit subtotal 8 2 4 15" xfId="27998"/>
    <cellStyle name="Credit subtotal 8 2 4 16" xfId="27999"/>
    <cellStyle name="Credit subtotal 8 2 4 17" xfId="28000"/>
    <cellStyle name="Credit subtotal 8 2 4 18" xfId="28001"/>
    <cellStyle name="Credit subtotal 8 2 4 2" xfId="28002"/>
    <cellStyle name="Credit subtotal 8 2 4 2 2" xfId="28003"/>
    <cellStyle name="Credit subtotal 8 2 4 2 3" xfId="28004"/>
    <cellStyle name="Credit subtotal 8 2 4 2 4" xfId="28005"/>
    <cellStyle name="Credit subtotal 8 2 4 2 5" xfId="28006"/>
    <cellStyle name="Credit subtotal 8 2 4 2 6" xfId="28007"/>
    <cellStyle name="Credit subtotal 8 2 4 2 7" xfId="28008"/>
    <cellStyle name="Credit subtotal 8 2 4 2 8" xfId="28009"/>
    <cellStyle name="Credit subtotal 8 2 4 2 9" xfId="28010"/>
    <cellStyle name="Credit subtotal 8 2 4 3" xfId="28011"/>
    <cellStyle name="Credit subtotal 8 2 4 4" xfId="28012"/>
    <cellStyle name="Credit subtotal 8 2 4 5" xfId="28013"/>
    <cellStyle name="Credit subtotal 8 2 4 6" xfId="28014"/>
    <cellStyle name="Credit subtotal 8 2 4 7" xfId="28015"/>
    <cellStyle name="Credit subtotal 8 2 4 8" xfId="28016"/>
    <cellStyle name="Credit subtotal 8 2 4 9" xfId="28017"/>
    <cellStyle name="Credit subtotal 8 2 5" xfId="28018"/>
    <cellStyle name="Credit subtotal 8 2 5 2" xfId="28019"/>
    <cellStyle name="Credit subtotal 8 2 5 3" xfId="28020"/>
    <cellStyle name="Credit subtotal 8 2 6" xfId="28021"/>
    <cellStyle name="Credit subtotal 8 3" xfId="28022"/>
    <cellStyle name="Credit subtotal 8 3 2" xfId="28023"/>
    <cellStyle name="Credit subtotal 8 3 2 10" xfId="28024"/>
    <cellStyle name="Credit subtotal 8 3 2 11" xfId="28025"/>
    <cellStyle name="Credit subtotal 8 3 2 12" xfId="28026"/>
    <cellStyle name="Credit subtotal 8 3 2 13" xfId="28027"/>
    <cellStyle name="Credit subtotal 8 3 2 14" xfId="28028"/>
    <cellStyle name="Credit subtotal 8 3 2 15" xfId="28029"/>
    <cellStyle name="Credit subtotal 8 3 2 16" xfId="28030"/>
    <cellStyle name="Credit subtotal 8 3 2 17" xfId="28031"/>
    <cellStyle name="Credit subtotal 8 3 2 18" xfId="28032"/>
    <cellStyle name="Credit subtotal 8 3 2 19" xfId="28033"/>
    <cellStyle name="Credit subtotal 8 3 2 2" xfId="28034"/>
    <cellStyle name="Credit subtotal 8 3 2 2 2" xfId="28035"/>
    <cellStyle name="Credit subtotal 8 3 2 2 3" xfId="28036"/>
    <cellStyle name="Credit subtotal 8 3 2 2 4" xfId="28037"/>
    <cellStyle name="Credit subtotal 8 3 2 2 5" xfId="28038"/>
    <cellStyle name="Credit subtotal 8 3 2 2 6" xfId="28039"/>
    <cellStyle name="Credit subtotal 8 3 2 2 7" xfId="28040"/>
    <cellStyle name="Credit subtotal 8 3 2 2 8" xfId="28041"/>
    <cellStyle name="Credit subtotal 8 3 2 2 9" xfId="28042"/>
    <cellStyle name="Credit subtotal 8 3 2 20" xfId="28043"/>
    <cellStyle name="Credit subtotal 8 3 2 21" xfId="28044"/>
    <cellStyle name="Credit subtotal 8 3 2 3" xfId="28045"/>
    <cellStyle name="Credit subtotal 8 3 2 4" xfId="28046"/>
    <cellStyle name="Credit subtotal 8 3 2 5" xfId="28047"/>
    <cellStyle name="Credit subtotal 8 3 2 6" xfId="28048"/>
    <cellStyle name="Credit subtotal 8 3 2 7" xfId="28049"/>
    <cellStyle name="Credit subtotal 8 3 2 8" xfId="28050"/>
    <cellStyle name="Credit subtotal 8 3 2 9" xfId="28051"/>
    <cellStyle name="Credit subtotal 8 3 3" xfId="28052"/>
    <cellStyle name="Credit subtotal 8 3 3 10" xfId="28053"/>
    <cellStyle name="Credit subtotal 8 3 3 11" xfId="28054"/>
    <cellStyle name="Credit subtotal 8 3 3 12" xfId="28055"/>
    <cellStyle name="Credit subtotal 8 3 3 13" xfId="28056"/>
    <cellStyle name="Credit subtotal 8 3 3 14" xfId="28057"/>
    <cellStyle name="Credit subtotal 8 3 3 15" xfId="28058"/>
    <cellStyle name="Credit subtotal 8 3 3 16" xfId="28059"/>
    <cellStyle name="Credit subtotal 8 3 3 17" xfId="28060"/>
    <cellStyle name="Credit subtotal 8 3 3 18" xfId="28061"/>
    <cellStyle name="Credit subtotal 8 3 3 19" xfId="28062"/>
    <cellStyle name="Credit subtotal 8 3 3 2" xfId="28063"/>
    <cellStyle name="Credit subtotal 8 3 3 2 2" xfId="28064"/>
    <cellStyle name="Credit subtotal 8 3 3 2 3" xfId="28065"/>
    <cellStyle name="Credit subtotal 8 3 3 2 4" xfId="28066"/>
    <cellStyle name="Credit subtotal 8 3 3 2 5" xfId="28067"/>
    <cellStyle name="Credit subtotal 8 3 3 2 6" xfId="28068"/>
    <cellStyle name="Credit subtotal 8 3 3 2 7" xfId="28069"/>
    <cellStyle name="Credit subtotal 8 3 3 2 8" xfId="28070"/>
    <cellStyle name="Credit subtotal 8 3 3 2 9" xfId="28071"/>
    <cellStyle name="Credit subtotal 8 3 3 3" xfId="28072"/>
    <cellStyle name="Credit subtotal 8 3 3 4" xfId="28073"/>
    <cellStyle name="Credit subtotal 8 3 3 5" xfId="28074"/>
    <cellStyle name="Credit subtotal 8 3 3 6" xfId="28075"/>
    <cellStyle name="Credit subtotal 8 3 3 7" xfId="28076"/>
    <cellStyle name="Credit subtotal 8 3 3 8" xfId="28077"/>
    <cellStyle name="Credit subtotal 8 3 3 9" xfId="28078"/>
    <cellStyle name="Credit subtotal 8 3 4" xfId="28079"/>
    <cellStyle name="Credit subtotal 8 3 4 10" xfId="28080"/>
    <cellStyle name="Credit subtotal 8 3 4 11" xfId="28081"/>
    <cellStyle name="Credit subtotal 8 3 4 12" xfId="28082"/>
    <cellStyle name="Credit subtotal 8 3 4 13" xfId="28083"/>
    <cellStyle name="Credit subtotal 8 3 4 14" xfId="28084"/>
    <cellStyle name="Credit subtotal 8 3 4 15" xfId="28085"/>
    <cellStyle name="Credit subtotal 8 3 4 16" xfId="28086"/>
    <cellStyle name="Credit subtotal 8 3 4 17" xfId="28087"/>
    <cellStyle name="Credit subtotal 8 3 4 18" xfId="28088"/>
    <cellStyle name="Credit subtotal 8 3 4 2" xfId="28089"/>
    <cellStyle name="Credit subtotal 8 3 4 2 2" xfId="28090"/>
    <cellStyle name="Credit subtotal 8 3 4 2 3" xfId="28091"/>
    <cellStyle name="Credit subtotal 8 3 4 2 4" xfId="28092"/>
    <cellStyle name="Credit subtotal 8 3 4 2 5" xfId="28093"/>
    <cellStyle name="Credit subtotal 8 3 4 2 6" xfId="28094"/>
    <cellStyle name="Credit subtotal 8 3 4 2 7" xfId="28095"/>
    <cellStyle name="Credit subtotal 8 3 4 2 8" xfId="28096"/>
    <cellStyle name="Credit subtotal 8 3 4 2 9" xfId="28097"/>
    <cellStyle name="Credit subtotal 8 3 4 3" xfId="28098"/>
    <cellStyle name="Credit subtotal 8 3 4 4" xfId="28099"/>
    <cellStyle name="Credit subtotal 8 3 4 5" xfId="28100"/>
    <cellStyle name="Credit subtotal 8 3 4 6" xfId="28101"/>
    <cellStyle name="Credit subtotal 8 3 4 7" xfId="28102"/>
    <cellStyle name="Credit subtotal 8 3 4 8" xfId="28103"/>
    <cellStyle name="Credit subtotal 8 3 4 9" xfId="28104"/>
    <cellStyle name="Credit subtotal 8 3 5" xfId="28105"/>
    <cellStyle name="Credit subtotal 8 3 5 2" xfId="28106"/>
    <cellStyle name="Credit subtotal 8 3 5 3" xfId="28107"/>
    <cellStyle name="Credit subtotal 8 3 6" xfId="28108"/>
    <cellStyle name="Credit subtotal 8 4" xfId="28109"/>
    <cellStyle name="Credit subtotal 8 4 10" xfId="28110"/>
    <cellStyle name="Credit subtotal 8 4 11" xfId="28111"/>
    <cellStyle name="Credit subtotal 8 4 12" xfId="28112"/>
    <cellStyle name="Credit subtotal 8 4 13" xfId="28113"/>
    <cellStyle name="Credit subtotal 8 4 14" xfId="28114"/>
    <cellStyle name="Credit subtotal 8 4 15" xfId="28115"/>
    <cellStyle name="Credit subtotal 8 4 16" xfId="28116"/>
    <cellStyle name="Credit subtotal 8 4 17" xfId="28117"/>
    <cellStyle name="Credit subtotal 8 4 18" xfId="28118"/>
    <cellStyle name="Credit subtotal 8 4 19" xfId="28119"/>
    <cellStyle name="Credit subtotal 8 4 2" xfId="28120"/>
    <cellStyle name="Credit subtotal 8 4 2 2" xfId="28121"/>
    <cellStyle name="Credit subtotal 8 4 2 3" xfId="28122"/>
    <cellStyle name="Credit subtotal 8 4 2 4" xfId="28123"/>
    <cellStyle name="Credit subtotal 8 4 2 5" xfId="28124"/>
    <cellStyle name="Credit subtotal 8 4 2 6" xfId="28125"/>
    <cellStyle name="Credit subtotal 8 4 2 7" xfId="28126"/>
    <cellStyle name="Credit subtotal 8 4 2 8" xfId="28127"/>
    <cellStyle name="Credit subtotal 8 4 2 9" xfId="28128"/>
    <cellStyle name="Credit subtotal 8 4 20" xfId="28129"/>
    <cellStyle name="Credit subtotal 8 4 21" xfId="28130"/>
    <cellStyle name="Credit subtotal 8 4 3" xfId="28131"/>
    <cellStyle name="Credit subtotal 8 4 4" xfId="28132"/>
    <cellStyle name="Credit subtotal 8 4 5" xfId="28133"/>
    <cellStyle name="Credit subtotal 8 4 6" xfId="28134"/>
    <cellStyle name="Credit subtotal 8 4 7" xfId="28135"/>
    <cellStyle name="Credit subtotal 8 4 8" xfId="28136"/>
    <cellStyle name="Credit subtotal 8 4 9" xfId="28137"/>
    <cellStyle name="Credit subtotal 8 5" xfId="28138"/>
    <cellStyle name="Credit subtotal 8 5 10" xfId="28139"/>
    <cellStyle name="Credit subtotal 8 5 11" xfId="28140"/>
    <cellStyle name="Credit subtotal 8 5 12" xfId="28141"/>
    <cellStyle name="Credit subtotal 8 5 13" xfId="28142"/>
    <cellStyle name="Credit subtotal 8 5 14" xfId="28143"/>
    <cellStyle name="Credit subtotal 8 5 15" xfId="28144"/>
    <cellStyle name="Credit subtotal 8 5 16" xfId="28145"/>
    <cellStyle name="Credit subtotal 8 5 17" xfId="28146"/>
    <cellStyle name="Credit subtotal 8 5 18" xfId="28147"/>
    <cellStyle name="Credit subtotal 8 5 19" xfId="28148"/>
    <cellStyle name="Credit subtotal 8 5 2" xfId="28149"/>
    <cellStyle name="Credit subtotal 8 5 2 2" xfId="28150"/>
    <cellStyle name="Credit subtotal 8 5 2 3" xfId="28151"/>
    <cellStyle name="Credit subtotal 8 5 2 4" xfId="28152"/>
    <cellStyle name="Credit subtotal 8 5 2 5" xfId="28153"/>
    <cellStyle name="Credit subtotal 8 5 2 6" xfId="28154"/>
    <cellStyle name="Credit subtotal 8 5 2 7" xfId="28155"/>
    <cellStyle name="Credit subtotal 8 5 2 8" xfId="28156"/>
    <cellStyle name="Credit subtotal 8 5 2 9" xfId="28157"/>
    <cellStyle name="Credit subtotal 8 5 3" xfId="28158"/>
    <cellStyle name="Credit subtotal 8 5 4" xfId="28159"/>
    <cellStyle name="Credit subtotal 8 5 5" xfId="28160"/>
    <cellStyle name="Credit subtotal 8 5 6" xfId="28161"/>
    <cellStyle name="Credit subtotal 8 5 7" xfId="28162"/>
    <cellStyle name="Credit subtotal 8 5 8" xfId="28163"/>
    <cellStyle name="Credit subtotal 8 5 9" xfId="28164"/>
    <cellStyle name="Credit subtotal 8 6" xfId="28165"/>
    <cellStyle name="Credit subtotal 8 6 10" xfId="28166"/>
    <cellStyle name="Credit subtotal 8 6 11" xfId="28167"/>
    <cellStyle name="Credit subtotal 8 6 12" xfId="28168"/>
    <cellStyle name="Credit subtotal 8 6 13" xfId="28169"/>
    <cellStyle name="Credit subtotal 8 6 14" xfId="28170"/>
    <cellStyle name="Credit subtotal 8 6 15" xfId="28171"/>
    <cellStyle name="Credit subtotal 8 6 16" xfId="28172"/>
    <cellStyle name="Credit subtotal 8 6 17" xfId="28173"/>
    <cellStyle name="Credit subtotal 8 6 18" xfId="28174"/>
    <cellStyle name="Credit subtotal 8 6 2" xfId="28175"/>
    <cellStyle name="Credit subtotal 8 6 2 2" xfId="28176"/>
    <cellStyle name="Credit subtotal 8 6 2 3" xfId="28177"/>
    <cellStyle name="Credit subtotal 8 6 2 4" xfId="28178"/>
    <cellStyle name="Credit subtotal 8 6 2 5" xfId="28179"/>
    <cellStyle name="Credit subtotal 8 6 2 6" xfId="28180"/>
    <cellStyle name="Credit subtotal 8 6 2 7" xfId="28181"/>
    <cellStyle name="Credit subtotal 8 6 2 8" xfId="28182"/>
    <cellStyle name="Credit subtotal 8 6 2 9" xfId="28183"/>
    <cellStyle name="Credit subtotal 8 6 3" xfId="28184"/>
    <cellStyle name="Credit subtotal 8 6 4" xfId="28185"/>
    <cellStyle name="Credit subtotal 8 6 5" xfId="28186"/>
    <cellStyle name="Credit subtotal 8 6 6" xfId="28187"/>
    <cellStyle name="Credit subtotal 8 6 7" xfId="28188"/>
    <cellStyle name="Credit subtotal 8 6 8" xfId="28189"/>
    <cellStyle name="Credit subtotal 8 6 9" xfId="28190"/>
    <cellStyle name="Credit subtotal 8 7" xfId="28191"/>
    <cellStyle name="Credit subtotal 8 7 2" xfId="28192"/>
    <cellStyle name="Credit subtotal 8 7 3" xfId="28193"/>
    <cellStyle name="Credit subtotal 8 8" xfId="28194"/>
    <cellStyle name="Credit subtotal 9" xfId="28195"/>
    <cellStyle name="Credit subtotal 9 2" xfId="28196"/>
    <cellStyle name="Credit subtotal 9 2 2" xfId="28197"/>
    <cellStyle name="Credit subtotal 9 2 2 10" xfId="28198"/>
    <cellStyle name="Credit subtotal 9 2 2 11" xfId="28199"/>
    <cellStyle name="Credit subtotal 9 2 2 12" xfId="28200"/>
    <cellStyle name="Credit subtotal 9 2 2 13" xfId="28201"/>
    <cellStyle name="Credit subtotal 9 2 2 14" xfId="28202"/>
    <cellStyle name="Credit subtotal 9 2 2 15" xfId="28203"/>
    <cellStyle name="Credit subtotal 9 2 2 16" xfId="28204"/>
    <cellStyle name="Credit subtotal 9 2 2 17" xfId="28205"/>
    <cellStyle name="Credit subtotal 9 2 2 18" xfId="28206"/>
    <cellStyle name="Credit subtotal 9 2 2 19" xfId="28207"/>
    <cellStyle name="Credit subtotal 9 2 2 2" xfId="28208"/>
    <cellStyle name="Credit subtotal 9 2 2 2 2" xfId="28209"/>
    <cellStyle name="Credit subtotal 9 2 2 2 3" xfId="28210"/>
    <cellStyle name="Credit subtotal 9 2 2 2 4" xfId="28211"/>
    <cellStyle name="Credit subtotal 9 2 2 2 5" xfId="28212"/>
    <cellStyle name="Credit subtotal 9 2 2 2 6" xfId="28213"/>
    <cellStyle name="Credit subtotal 9 2 2 2 7" xfId="28214"/>
    <cellStyle name="Credit subtotal 9 2 2 2 8" xfId="28215"/>
    <cellStyle name="Credit subtotal 9 2 2 2 9" xfId="28216"/>
    <cellStyle name="Credit subtotal 9 2 2 20" xfId="28217"/>
    <cellStyle name="Credit subtotal 9 2 2 21" xfId="28218"/>
    <cellStyle name="Credit subtotal 9 2 2 3" xfId="28219"/>
    <cellStyle name="Credit subtotal 9 2 2 4" xfId="28220"/>
    <cellStyle name="Credit subtotal 9 2 2 5" xfId="28221"/>
    <cellStyle name="Credit subtotal 9 2 2 6" xfId="28222"/>
    <cellStyle name="Credit subtotal 9 2 2 7" xfId="28223"/>
    <cellStyle name="Credit subtotal 9 2 2 8" xfId="28224"/>
    <cellStyle name="Credit subtotal 9 2 2 9" xfId="28225"/>
    <cellStyle name="Credit subtotal 9 2 3" xfId="28226"/>
    <cellStyle name="Credit subtotal 9 2 3 10" xfId="28227"/>
    <cellStyle name="Credit subtotal 9 2 3 11" xfId="28228"/>
    <cellStyle name="Credit subtotal 9 2 3 12" xfId="28229"/>
    <cellStyle name="Credit subtotal 9 2 3 13" xfId="28230"/>
    <cellStyle name="Credit subtotal 9 2 3 14" xfId="28231"/>
    <cellStyle name="Credit subtotal 9 2 3 15" xfId="28232"/>
    <cellStyle name="Credit subtotal 9 2 3 16" xfId="28233"/>
    <cellStyle name="Credit subtotal 9 2 3 17" xfId="28234"/>
    <cellStyle name="Credit subtotal 9 2 3 18" xfId="28235"/>
    <cellStyle name="Credit subtotal 9 2 3 19" xfId="28236"/>
    <cellStyle name="Credit subtotal 9 2 3 2" xfId="28237"/>
    <cellStyle name="Credit subtotal 9 2 3 2 2" xfId="28238"/>
    <cellStyle name="Credit subtotal 9 2 3 2 3" xfId="28239"/>
    <cellStyle name="Credit subtotal 9 2 3 2 4" xfId="28240"/>
    <cellStyle name="Credit subtotal 9 2 3 2 5" xfId="28241"/>
    <cellStyle name="Credit subtotal 9 2 3 2 6" xfId="28242"/>
    <cellStyle name="Credit subtotal 9 2 3 2 7" xfId="28243"/>
    <cellStyle name="Credit subtotal 9 2 3 2 8" xfId="28244"/>
    <cellStyle name="Credit subtotal 9 2 3 2 9" xfId="28245"/>
    <cellStyle name="Credit subtotal 9 2 3 3" xfId="28246"/>
    <cellStyle name="Credit subtotal 9 2 3 4" xfId="28247"/>
    <cellStyle name="Credit subtotal 9 2 3 5" xfId="28248"/>
    <cellStyle name="Credit subtotal 9 2 3 6" xfId="28249"/>
    <cellStyle name="Credit subtotal 9 2 3 7" xfId="28250"/>
    <cellStyle name="Credit subtotal 9 2 3 8" xfId="28251"/>
    <cellStyle name="Credit subtotal 9 2 3 9" xfId="28252"/>
    <cellStyle name="Credit subtotal 9 2 4" xfId="28253"/>
    <cellStyle name="Credit subtotal 9 2 4 10" xfId="28254"/>
    <cellStyle name="Credit subtotal 9 2 4 11" xfId="28255"/>
    <cellStyle name="Credit subtotal 9 2 4 12" xfId="28256"/>
    <cellStyle name="Credit subtotal 9 2 4 13" xfId="28257"/>
    <cellStyle name="Credit subtotal 9 2 4 14" xfId="28258"/>
    <cellStyle name="Credit subtotal 9 2 4 15" xfId="28259"/>
    <cellStyle name="Credit subtotal 9 2 4 16" xfId="28260"/>
    <cellStyle name="Credit subtotal 9 2 4 17" xfId="28261"/>
    <cellStyle name="Credit subtotal 9 2 4 18" xfId="28262"/>
    <cellStyle name="Credit subtotal 9 2 4 2" xfId="28263"/>
    <cellStyle name="Credit subtotal 9 2 4 2 2" xfId="28264"/>
    <cellStyle name="Credit subtotal 9 2 4 2 3" xfId="28265"/>
    <cellStyle name="Credit subtotal 9 2 4 2 4" xfId="28266"/>
    <cellStyle name="Credit subtotal 9 2 4 2 5" xfId="28267"/>
    <cellStyle name="Credit subtotal 9 2 4 2 6" xfId="28268"/>
    <cellStyle name="Credit subtotal 9 2 4 2 7" xfId="28269"/>
    <cellStyle name="Credit subtotal 9 2 4 2 8" xfId="28270"/>
    <cellStyle name="Credit subtotal 9 2 4 2 9" xfId="28271"/>
    <cellStyle name="Credit subtotal 9 2 4 3" xfId="28272"/>
    <cellStyle name="Credit subtotal 9 2 4 4" xfId="28273"/>
    <cellStyle name="Credit subtotal 9 2 4 5" xfId="28274"/>
    <cellStyle name="Credit subtotal 9 2 4 6" xfId="28275"/>
    <cellStyle name="Credit subtotal 9 2 4 7" xfId="28276"/>
    <cellStyle name="Credit subtotal 9 2 4 8" xfId="28277"/>
    <cellStyle name="Credit subtotal 9 2 4 9" xfId="28278"/>
    <cellStyle name="Credit subtotal 9 2 5" xfId="28279"/>
    <cellStyle name="Credit subtotal 9 2 5 2" xfId="28280"/>
    <cellStyle name="Credit subtotal 9 2 5 3" xfId="28281"/>
    <cellStyle name="Credit subtotal 9 2 6" xfId="28282"/>
    <cellStyle name="Credit subtotal 9 3" xfId="28283"/>
    <cellStyle name="Credit subtotal 9 3 2" xfId="28284"/>
    <cellStyle name="Credit subtotal 9 3 2 10" xfId="28285"/>
    <cellStyle name="Credit subtotal 9 3 2 11" xfId="28286"/>
    <cellStyle name="Credit subtotal 9 3 2 12" xfId="28287"/>
    <cellStyle name="Credit subtotal 9 3 2 13" xfId="28288"/>
    <cellStyle name="Credit subtotal 9 3 2 14" xfId="28289"/>
    <cellStyle name="Credit subtotal 9 3 2 15" xfId="28290"/>
    <cellStyle name="Credit subtotal 9 3 2 16" xfId="28291"/>
    <cellStyle name="Credit subtotal 9 3 2 17" xfId="28292"/>
    <cellStyle name="Credit subtotal 9 3 2 18" xfId="28293"/>
    <cellStyle name="Credit subtotal 9 3 2 19" xfId="28294"/>
    <cellStyle name="Credit subtotal 9 3 2 2" xfId="28295"/>
    <cellStyle name="Credit subtotal 9 3 2 2 2" xfId="28296"/>
    <cellStyle name="Credit subtotal 9 3 2 2 3" xfId="28297"/>
    <cellStyle name="Credit subtotal 9 3 2 2 4" xfId="28298"/>
    <cellStyle name="Credit subtotal 9 3 2 2 5" xfId="28299"/>
    <cellStyle name="Credit subtotal 9 3 2 2 6" xfId="28300"/>
    <cellStyle name="Credit subtotal 9 3 2 2 7" xfId="28301"/>
    <cellStyle name="Credit subtotal 9 3 2 2 8" xfId="28302"/>
    <cellStyle name="Credit subtotal 9 3 2 2 9" xfId="28303"/>
    <cellStyle name="Credit subtotal 9 3 2 20" xfId="28304"/>
    <cellStyle name="Credit subtotal 9 3 2 21" xfId="28305"/>
    <cellStyle name="Credit subtotal 9 3 2 3" xfId="28306"/>
    <cellStyle name="Credit subtotal 9 3 2 4" xfId="28307"/>
    <cellStyle name="Credit subtotal 9 3 2 5" xfId="28308"/>
    <cellStyle name="Credit subtotal 9 3 2 6" xfId="28309"/>
    <cellStyle name="Credit subtotal 9 3 2 7" xfId="28310"/>
    <cellStyle name="Credit subtotal 9 3 2 8" xfId="28311"/>
    <cellStyle name="Credit subtotal 9 3 2 9" xfId="28312"/>
    <cellStyle name="Credit subtotal 9 3 3" xfId="28313"/>
    <cellStyle name="Credit subtotal 9 3 3 10" xfId="28314"/>
    <cellStyle name="Credit subtotal 9 3 3 11" xfId="28315"/>
    <cellStyle name="Credit subtotal 9 3 3 12" xfId="28316"/>
    <cellStyle name="Credit subtotal 9 3 3 13" xfId="28317"/>
    <cellStyle name="Credit subtotal 9 3 3 14" xfId="28318"/>
    <cellStyle name="Credit subtotal 9 3 3 15" xfId="28319"/>
    <cellStyle name="Credit subtotal 9 3 3 16" xfId="28320"/>
    <cellStyle name="Credit subtotal 9 3 3 17" xfId="28321"/>
    <cellStyle name="Credit subtotal 9 3 3 18" xfId="28322"/>
    <cellStyle name="Credit subtotal 9 3 3 19" xfId="28323"/>
    <cellStyle name="Credit subtotal 9 3 3 2" xfId="28324"/>
    <cellStyle name="Credit subtotal 9 3 3 2 2" xfId="28325"/>
    <cellStyle name="Credit subtotal 9 3 3 2 3" xfId="28326"/>
    <cellStyle name="Credit subtotal 9 3 3 2 4" xfId="28327"/>
    <cellStyle name="Credit subtotal 9 3 3 2 5" xfId="28328"/>
    <cellStyle name="Credit subtotal 9 3 3 2 6" xfId="28329"/>
    <cellStyle name="Credit subtotal 9 3 3 2 7" xfId="28330"/>
    <cellStyle name="Credit subtotal 9 3 3 2 8" xfId="28331"/>
    <cellStyle name="Credit subtotal 9 3 3 2 9" xfId="28332"/>
    <cellStyle name="Credit subtotal 9 3 3 3" xfId="28333"/>
    <cellStyle name="Credit subtotal 9 3 3 4" xfId="28334"/>
    <cellStyle name="Credit subtotal 9 3 3 5" xfId="28335"/>
    <cellStyle name="Credit subtotal 9 3 3 6" xfId="28336"/>
    <cellStyle name="Credit subtotal 9 3 3 7" xfId="28337"/>
    <cellStyle name="Credit subtotal 9 3 3 8" xfId="28338"/>
    <cellStyle name="Credit subtotal 9 3 3 9" xfId="28339"/>
    <cellStyle name="Credit subtotal 9 3 4" xfId="28340"/>
    <cellStyle name="Credit subtotal 9 3 4 10" xfId="28341"/>
    <cellStyle name="Credit subtotal 9 3 4 11" xfId="28342"/>
    <cellStyle name="Credit subtotal 9 3 4 12" xfId="28343"/>
    <cellStyle name="Credit subtotal 9 3 4 13" xfId="28344"/>
    <cellStyle name="Credit subtotal 9 3 4 14" xfId="28345"/>
    <cellStyle name="Credit subtotal 9 3 4 15" xfId="28346"/>
    <cellStyle name="Credit subtotal 9 3 4 16" xfId="28347"/>
    <cellStyle name="Credit subtotal 9 3 4 17" xfId="28348"/>
    <cellStyle name="Credit subtotal 9 3 4 18" xfId="28349"/>
    <cellStyle name="Credit subtotal 9 3 4 2" xfId="28350"/>
    <cellStyle name="Credit subtotal 9 3 4 2 2" xfId="28351"/>
    <cellStyle name="Credit subtotal 9 3 4 2 3" xfId="28352"/>
    <cellStyle name="Credit subtotal 9 3 4 2 4" xfId="28353"/>
    <cellStyle name="Credit subtotal 9 3 4 2 5" xfId="28354"/>
    <cellStyle name="Credit subtotal 9 3 4 2 6" xfId="28355"/>
    <cellStyle name="Credit subtotal 9 3 4 2 7" xfId="28356"/>
    <cellStyle name="Credit subtotal 9 3 4 2 8" xfId="28357"/>
    <cellStyle name="Credit subtotal 9 3 4 2 9" xfId="28358"/>
    <cellStyle name="Credit subtotal 9 3 4 3" xfId="28359"/>
    <cellStyle name="Credit subtotal 9 3 4 4" xfId="28360"/>
    <cellStyle name="Credit subtotal 9 3 4 5" xfId="28361"/>
    <cellStyle name="Credit subtotal 9 3 4 6" xfId="28362"/>
    <cellStyle name="Credit subtotal 9 3 4 7" xfId="28363"/>
    <cellStyle name="Credit subtotal 9 3 4 8" xfId="28364"/>
    <cellStyle name="Credit subtotal 9 3 4 9" xfId="28365"/>
    <cellStyle name="Credit subtotal 9 3 5" xfId="28366"/>
    <cellStyle name="Credit subtotal 9 3 5 2" xfId="28367"/>
    <cellStyle name="Credit subtotal 9 3 5 3" xfId="28368"/>
    <cellStyle name="Credit subtotal 9 3 6" xfId="28369"/>
    <cellStyle name="Credit subtotal 9 4" xfId="28370"/>
    <cellStyle name="Credit subtotal 9 4 10" xfId="28371"/>
    <cellStyle name="Credit subtotal 9 4 11" xfId="28372"/>
    <cellStyle name="Credit subtotal 9 4 12" xfId="28373"/>
    <cellStyle name="Credit subtotal 9 4 13" xfId="28374"/>
    <cellStyle name="Credit subtotal 9 4 14" xfId="28375"/>
    <cellStyle name="Credit subtotal 9 4 15" xfId="28376"/>
    <cellStyle name="Credit subtotal 9 4 16" xfId="28377"/>
    <cellStyle name="Credit subtotal 9 4 17" xfId="28378"/>
    <cellStyle name="Credit subtotal 9 4 18" xfId="28379"/>
    <cellStyle name="Credit subtotal 9 4 19" xfId="28380"/>
    <cellStyle name="Credit subtotal 9 4 2" xfId="28381"/>
    <cellStyle name="Credit subtotal 9 4 2 2" xfId="28382"/>
    <cellStyle name="Credit subtotal 9 4 2 3" xfId="28383"/>
    <cellStyle name="Credit subtotal 9 4 2 4" xfId="28384"/>
    <cellStyle name="Credit subtotal 9 4 2 5" xfId="28385"/>
    <cellStyle name="Credit subtotal 9 4 2 6" xfId="28386"/>
    <cellStyle name="Credit subtotal 9 4 2 7" xfId="28387"/>
    <cellStyle name="Credit subtotal 9 4 2 8" xfId="28388"/>
    <cellStyle name="Credit subtotal 9 4 2 9" xfId="28389"/>
    <cellStyle name="Credit subtotal 9 4 20" xfId="28390"/>
    <cellStyle name="Credit subtotal 9 4 21" xfId="28391"/>
    <cellStyle name="Credit subtotal 9 4 3" xfId="28392"/>
    <cellStyle name="Credit subtotal 9 4 4" xfId="28393"/>
    <cellStyle name="Credit subtotal 9 4 5" xfId="28394"/>
    <cellStyle name="Credit subtotal 9 4 6" xfId="28395"/>
    <cellStyle name="Credit subtotal 9 4 7" xfId="28396"/>
    <cellStyle name="Credit subtotal 9 4 8" xfId="28397"/>
    <cellStyle name="Credit subtotal 9 4 9" xfId="28398"/>
    <cellStyle name="Credit subtotal 9 5" xfId="28399"/>
    <cellStyle name="Credit subtotal 9 5 10" xfId="28400"/>
    <cellStyle name="Credit subtotal 9 5 11" xfId="28401"/>
    <cellStyle name="Credit subtotal 9 5 12" xfId="28402"/>
    <cellStyle name="Credit subtotal 9 5 13" xfId="28403"/>
    <cellStyle name="Credit subtotal 9 5 14" xfId="28404"/>
    <cellStyle name="Credit subtotal 9 5 15" xfId="28405"/>
    <cellStyle name="Credit subtotal 9 5 16" xfId="28406"/>
    <cellStyle name="Credit subtotal 9 5 17" xfId="28407"/>
    <cellStyle name="Credit subtotal 9 5 18" xfId="28408"/>
    <cellStyle name="Credit subtotal 9 5 19" xfId="28409"/>
    <cellStyle name="Credit subtotal 9 5 2" xfId="28410"/>
    <cellStyle name="Credit subtotal 9 5 2 2" xfId="28411"/>
    <cellStyle name="Credit subtotal 9 5 2 3" xfId="28412"/>
    <cellStyle name="Credit subtotal 9 5 2 4" xfId="28413"/>
    <cellStyle name="Credit subtotal 9 5 2 5" xfId="28414"/>
    <cellStyle name="Credit subtotal 9 5 2 6" xfId="28415"/>
    <cellStyle name="Credit subtotal 9 5 2 7" xfId="28416"/>
    <cellStyle name="Credit subtotal 9 5 2 8" xfId="28417"/>
    <cellStyle name="Credit subtotal 9 5 2 9" xfId="28418"/>
    <cellStyle name="Credit subtotal 9 5 3" xfId="28419"/>
    <cellStyle name="Credit subtotal 9 5 4" xfId="28420"/>
    <cellStyle name="Credit subtotal 9 5 5" xfId="28421"/>
    <cellStyle name="Credit subtotal 9 5 6" xfId="28422"/>
    <cellStyle name="Credit subtotal 9 5 7" xfId="28423"/>
    <cellStyle name="Credit subtotal 9 5 8" xfId="28424"/>
    <cellStyle name="Credit subtotal 9 5 9" xfId="28425"/>
    <cellStyle name="Credit subtotal 9 6" xfId="28426"/>
    <cellStyle name="Credit subtotal 9 6 10" xfId="28427"/>
    <cellStyle name="Credit subtotal 9 6 11" xfId="28428"/>
    <cellStyle name="Credit subtotal 9 6 12" xfId="28429"/>
    <cellStyle name="Credit subtotal 9 6 13" xfId="28430"/>
    <cellStyle name="Credit subtotal 9 6 14" xfId="28431"/>
    <cellStyle name="Credit subtotal 9 6 15" xfId="28432"/>
    <cellStyle name="Credit subtotal 9 6 16" xfId="28433"/>
    <cellStyle name="Credit subtotal 9 6 17" xfId="28434"/>
    <cellStyle name="Credit subtotal 9 6 18" xfId="28435"/>
    <cellStyle name="Credit subtotal 9 6 2" xfId="28436"/>
    <cellStyle name="Credit subtotal 9 6 2 2" xfId="28437"/>
    <cellStyle name="Credit subtotal 9 6 2 3" xfId="28438"/>
    <cellStyle name="Credit subtotal 9 6 2 4" xfId="28439"/>
    <cellStyle name="Credit subtotal 9 6 2 5" xfId="28440"/>
    <cellStyle name="Credit subtotal 9 6 2 6" xfId="28441"/>
    <cellStyle name="Credit subtotal 9 6 2 7" xfId="28442"/>
    <cellStyle name="Credit subtotal 9 6 2 8" xfId="28443"/>
    <cellStyle name="Credit subtotal 9 6 2 9" xfId="28444"/>
    <cellStyle name="Credit subtotal 9 6 3" xfId="28445"/>
    <cellStyle name="Credit subtotal 9 6 4" xfId="28446"/>
    <cellStyle name="Credit subtotal 9 6 5" xfId="28447"/>
    <cellStyle name="Credit subtotal 9 6 6" xfId="28448"/>
    <cellStyle name="Credit subtotal 9 6 7" xfId="28449"/>
    <cellStyle name="Credit subtotal 9 6 8" xfId="28450"/>
    <cellStyle name="Credit subtotal 9 6 9" xfId="28451"/>
    <cellStyle name="Credit subtotal 9 7" xfId="28452"/>
    <cellStyle name="Credit subtotal 9 7 2" xfId="28453"/>
    <cellStyle name="Credit subtotal 9 7 3" xfId="28454"/>
    <cellStyle name="Credit subtotal 9 8" xfId="28455"/>
    <cellStyle name="Credit Total" xfId="28456"/>
    <cellStyle name="Credit_ЛюбаАгафонова" xfId="28457"/>
    <cellStyle name="Currency [0]_0_Cash" xfId="28458"/>
    <cellStyle name="Currency [1]" xfId="28459"/>
    <cellStyle name="Currency [2]" xfId="28460"/>
    <cellStyle name="Currency [2] 2" xfId="28461"/>
    <cellStyle name="Currency [2] 2 10" xfId="28462"/>
    <cellStyle name="Currency [2] 2 11" xfId="28463"/>
    <cellStyle name="Currency [2] 2 12" xfId="28464"/>
    <cellStyle name="Currency [2] 2 13" xfId="28465"/>
    <cellStyle name="Currency [2] 2 14" xfId="28466"/>
    <cellStyle name="Currency [2] 2 15" xfId="28467"/>
    <cellStyle name="Currency [2] 2 16" xfId="28468"/>
    <cellStyle name="Currency [2] 2 17" xfId="28469"/>
    <cellStyle name="Currency [2] 2 18" xfId="28470"/>
    <cellStyle name="Currency [2] 2 19" xfId="28471"/>
    <cellStyle name="Currency [2] 2 2" xfId="28472"/>
    <cellStyle name="Currency [2] 2 2 2" xfId="28473"/>
    <cellStyle name="Currency [2] 2 2 3" xfId="28474"/>
    <cellStyle name="Currency [2] 2 2 4" xfId="28475"/>
    <cellStyle name="Currency [2] 2 2 5" xfId="28476"/>
    <cellStyle name="Currency [2] 2 2 6" xfId="28477"/>
    <cellStyle name="Currency [2] 2 2 7" xfId="28478"/>
    <cellStyle name="Currency [2] 2 2 8" xfId="28479"/>
    <cellStyle name="Currency [2] 2 2 9" xfId="28480"/>
    <cellStyle name="Currency [2] 2 3" xfId="28481"/>
    <cellStyle name="Currency [2] 2 4" xfId="28482"/>
    <cellStyle name="Currency [2] 2 5" xfId="28483"/>
    <cellStyle name="Currency [2] 2 6" xfId="28484"/>
    <cellStyle name="Currency [2] 2 7" xfId="28485"/>
    <cellStyle name="Currency [2] 2 8" xfId="28486"/>
    <cellStyle name="Currency [2] 2 9" xfId="28487"/>
    <cellStyle name="Currency [2] 3" xfId="28488"/>
    <cellStyle name="Currency [2] 3 10" xfId="28489"/>
    <cellStyle name="Currency [2] 3 11" xfId="28490"/>
    <cellStyle name="Currency [2] 3 12" xfId="28491"/>
    <cellStyle name="Currency [2] 3 13" xfId="28492"/>
    <cellStyle name="Currency [2] 3 14" xfId="28493"/>
    <cellStyle name="Currency [2] 3 15" xfId="28494"/>
    <cellStyle name="Currency [2] 3 16" xfId="28495"/>
    <cellStyle name="Currency [2] 3 17" xfId="28496"/>
    <cellStyle name="Currency [2] 3 18" xfId="28497"/>
    <cellStyle name="Currency [2] 3 19" xfId="28498"/>
    <cellStyle name="Currency [2] 3 2" xfId="28499"/>
    <cellStyle name="Currency [2] 3 2 2" xfId="28500"/>
    <cellStyle name="Currency [2] 3 2 3" xfId="28501"/>
    <cellStyle name="Currency [2] 3 2 4" xfId="28502"/>
    <cellStyle name="Currency [2] 3 2 5" xfId="28503"/>
    <cellStyle name="Currency [2] 3 2 6" xfId="28504"/>
    <cellStyle name="Currency [2] 3 2 7" xfId="28505"/>
    <cellStyle name="Currency [2] 3 2 8" xfId="28506"/>
    <cellStyle name="Currency [2] 3 2 9" xfId="28507"/>
    <cellStyle name="Currency [2] 3 3" xfId="28508"/>
    <cellStyle name="Currency [2] 3 4" xfId="28509"/>
    <cellStyle name="Currency [2] 3 5" xfId="28510"/>
    <cellStyle name="Currency [2] 3 6" xfId="28511"/>
    <cellStyle name="Currency [2] 3 7" xfId="28512"/>
    <cellStyle name="Currency [2] 3 8" xfId="28513"/>
    <cellStyle name="Currency [2] 3 9" xfId="28514"/>
    <cellStyle name="Currency [2] 4" xfId="28515"/>
    <cellStyle name="Currency [2] 4 10" xfId="28516"/>
    <cellStyle name="Currency [2] 4 11" xfId="28517"/>
    <cellStyle name="Currency [2] 4 12" xfId="28518"/>
    <cellStyle name="Currency [2] 4 13" xfId="28519"/>
    <cellStyle name="Currency [2] 4 14" xfId="28520"/>
    <cellStyle name="Currency [2] 4 15" xfId="28521"/>
    <cellStyle name="Currency [2] 4 16" xfId="28522"/>
    <cellStyle name="Currency [2] 4 17" xfId="28523"/>
    <cellStyle name="Currency [2] 4 18" xfId="28524"/>
    <cellStyle name="Currency [2] 4 19" xfId="28525"/>
    <cellStyle name="Currency [2] 4 2" xfId="28526"/>
    <cellStyle name="Currency [2] 4 2 2" xfId="28527"/>
    <cellStyle name="Currency [2] 4 2 3" xfId="28528"/>
    <cellStyle name="Currency [2] 4 2 4" xfId="28529"/>
    <cellStyle name="Currency [2] 4 2 5" xfId="28530"/>
    <cellStyle name="Currency [2] 4 2 6" xfId="28531"/>
    <cellStyle name="Currency [2] 4 2 7" xfId="28532"/>
    <cellStyle name="Currency [2] 4 2 8" xfId="28533"/>
    <cellStyle name="Currency [2] 4 2 9" xfId="28534"/>
    <cellStyle name="Currency [2] 4 3" xfId="28535"/>
    <cellStyle name="Currency [2] 4 4" xfId="28536"/>
    <cellStyle name="Currency [2] 4 5" xfId="28537"/>
    <cellStyle name="Currency [2] 4 6" xfId="28538"/>
    <cellStyle name="Currency [2] 4 7" xfId="28539"/>
    <cellStyle name="Currency [2] 4 8" xfId="28540"/>
    <cellStyle name="Currency [2] 4 9" xfId="28541"/>
    <cellStyle name="Currency 0" xfId="28542"/>
    <cellStyle name="Currency 0.0" xfId="28543"/>
    <cellStyle name="Currency 0.00" xfId="28544"/>
    <cellStyle name="Currency 0.000" xfId="28545"/>
    <cellStyle name="Currency 2" xfId="28546"/>
    <cellStyle name="Currency 2*" xfId="28547"/>
    <cellStyle name="Currency 2_book1 Chart 1" xfId="28548"/>
    <cellStyle name="Currency 3*" xfId="28549"/>
    <cellStyle name="Currency EN" xfId="28550"/>
    <cellStyle name="Currency RU" xfId="28551"/>
    <cellStyle name="Currency RU calc" xfId="28552"/>
    <cellStyle name="Currency RU calc 2" xfId="28553"/>
    <cellStyle name="Currency RU calc 2 2" xfId="28554"/>
    <cellStyle name="Currency RU calc 2 2 2" xfId="28555"/>
    <cellStyle name="Currency RU calc 2 2 2 2" xfId="28556"/>
    <cellStyle name="Currency RU calc 2 2 2 2 10" xfId="28557"/>
    <cellStyle name="Currency RU calc 2 2 2 2 11" xfId="28558"/>
    <cellStyle name="Currency RU calc 2 2 2 2 12" xfId="28559"/>
    <cellStyle name="Currency RU calc 2 2 2 2 13" xfId="28560"/>
    <cellStyle name="Currency RU calc 2 2 2 2 14" xfId="28561"/>
    <cellStyle name="Currency RU calc 2 2 2 2 15" xfId="28562"/>
    <cellStyle name="Currency RU calc 2 2 2 2 16" xfId="28563"/>
    <cellStyle name="Currency RU calc 2 2 2 2 17" xfId="28564"/>
    <cellStyle name="Currency RU calc 2 2 2 2 2" xfId="28565"/>
    <cellStyle name="Currency RU calc 2 2 2 2 2 2" xfId="28566"/>
    <cellStyle name="Currency RU calc 2 2 2 2 2 3" xfId="28567"/>
    <cellStyle name="Currency RU calc 2 2 2 2 2 4" xfId="28568"/>
    <cellStyle name="Currency RU calc 2 2 2 2 2 5" xfId="28569"/>
    <cellStyle name="Currency RU calc 2 2 2 2 2 6" xfId="28570"/>
    <cellStyle name="Currency RU calc 2 2 2 2 2 7" xfId="28571"/>
    <cellStyle name="Currency RU calc 2 2 2 2 2 8" xfId="28572"/>
    <cellStyle name="Currency RU calc 2 2 2 2 2 9" xfId="28573"/>
    <cellStyle name="Currency RU calc 2 2 2 2 3" xfId="28574"/>
    <cellStyle name="Currency RU calc 2 2 2 2 4" xfId="28575"/>
    <cellStyle name="Currency RU calc 2 2 2 2 5" xfId="28576"/>
    <cellStyle name="Currency RU calc 2 2 2 2 6" xfId="28577"/>
    <cellStyle name="Currency RU calc 2 2 2 2 7" xfId="28578"/>
    <cellStyle name="Currency RU calc 2 2 2 2 8" xfId="28579"/>
    <cellStyle name="Currency RU calc 2 2 2 2 9" xfId="28580"/>
    <cellStyle name="Currency RU calc 2 2 2 3" xfId="28581"/>
    <cellStyle name="Currency RU calc 2 2 2 3 10" xfId="28582"/>
    <cellStyle name="Currency RU calc 2 2 2 3 11" xfId="28583"/>
    <cellStyle name="Currency RU calc 2 2 2 3 12" xfId="28584"/>
    <cellStyle name="Currency RU calc 2 2 2 3 13" xfId="28585"/>
    <cellStyle name="Currency RU calc 2 2 2 3 14" xfId="28586"/>
    <cellStyle name="Currency RU calc 2 2 2 3 15" xfId="28587"/>
    <cellStyle name="Currency RU calc 2 2 2 3 16" xfId="28588"/>
    <cellStyle name="Currency RU calc 2 2 2 3 2" xfId="28589"/>
    <cellStyle name="Currency RU calc 2 2 2 3 2 2" xfId="28590"/>
    <cellStyle name="Currency RU calc 2 2 2 3 2 3" xfId="28591"/>
    <cellStyle name="Currency RU calc 2 2 2 3 2 4" xfId="28592"/>
    <cellStyle name="Currency RU calc 2 2 2 3 2 5" xfId="28593"/>
    <cellStyle name="Currency RU calc 2 2 2 3 2 6" xfId="28594"/>
    <cellStyle name="Currency RU calc 2 2 2 3 2 7" xfId="28595"/>
    <cellStyle name="Currency RU calc 2 2 2 3 2 8" xfId="28596"/>
    <cellStyle name="Currency RU calc 2 2 2 3 2 9" xfId="28597"/>
    <cellStyle name="Currency RU calc 2 2 2 3 3" xfId="28598"/>
    <cellStyle name="Currency RU calc 2 2 2 3 4" xfId="28599"/>
    <cellStyle name="Currency RU calc 2 2 2 3 5" xfId="28600"/>
    <cellStyle name="Currency RU calc 2 2 2 3 6" xfId="28601"/>
    <cellStyle name="Currency RU calc 2 2 2 3 7" xfId="28602"/>
    <cellStyle name="Currency RU calc 2 2 2 3 8" xfId="28603"/>
    <cellStyle name="Currency RU calc 2 2 2 3 9" xfId="28604"/>
    <cellStyle name="Currency RU calc 2 2 3" xfId="28605"/>
    <cellStyle name="Currency RU calc 2 2 3 10" xfId="28606"/>
    <cellStyle name="Currency RU calc 2 2 3 11" xfId="28607"/>
    <cellStyle name="Currency RU calc 2 2 3 12" xfId="28608"/>
    <cellStyle name="Currency RU calc 2 2 3 13" xfId="28609"/>
    <cellStyle name="Currency RU calc 2 2 3 14" xfId="28610"/>
    <cellStyle name="Currency RU calc 2 2 3 15" xfId="28611"/>
    <cellStyle name="Currency RU calc 2 2 3 16" xfId="28612"/>
    <cellStyle name="Currency RU calc 2 2 3 17" xfId="28613"/>
    <cellStyle name="Currency RU calc 2 2 3 2" xfId="28614"/>
    <cellStyle name="Currency RU calc 2 2 3 2 2" xfId="28615"/>
    <cellStyle name="Currency RU calc 2 2 3 2 3" xfId="28616"/>
    <cellStyle name="Currency RU calc 2 2 3 2 4" xfId="28617"/>
    <cellStyle name="Currency RU calc 2 2 3 2 5" xfId="28618"/>
    <cellStyle name="Currency RU calc 2 2 3 2 6" xfId="28619"/>
    <cellStyle name="Currency RU calc 2 2 3 2 7" xfId="28620"/>
    <cellStyle name="Currency RU calc 2 2 3 2 8" xfId="28621"/>
    <cellStyle name="Currency RU calc 2 2 3 2 9" xfId="28622"/>
    <cellStyle name="Currency RU calc 2 2 3 3" xfId="28623"/>
    <cellStyle name="Currency RU calc 2 2 3 4" xfId="28624"/>
    <cellStyle name="Currency RU calc 2 2 3 5" xfId="28625"/>
    <cellStyle name="Currency RU calc 2 2 3 6" xfId="28626"/>
    <cellStyle name="Currency RU calc 2 2 3 7" xfId="28627"/>
    <cellStyle name="Currency RU calc 2 2 3 8" xfId="28628"/>
    <cellStyle name="Currency RU calc 2 2 3 9" xfId="28629"/>
    <cellStyle name="Currency RU calc 2 2 4" xfId="28630"/>
    <cellStyle name="Currency RU calc 2 2 4 10" xfId="28631"/>
    <cellStyle name="Currency RU calc 2 2 4 11" xfId="28632"/>
    <cellStyle name="Currency RU calc 2 2 4 12" xfId="28633"/>
    <cellStyle name="Currency RU calc 2 2 4 13" xfId="28634"/>
    <cellStyle name="Currency RU calc 2 2 4 14" xfId="28635"/>
    <cellStyle name="Currency RU calc 2 2 4 15" xfId="28636"/>
    <cellStyle name="Currency RU calc 2 2 4 16" xfId="28637"/>
    <cellStyle name="Currency RU calc 2 2 4 2" xfId="28638"/>
    <cellStyle name="Currency RU calc 2 2 4 2 2" xfId="28639"/>
    <cellStyle name="Currency RU calc 2 2 4 2 3" xfId="28640"/>
    <cellStyle name="Currency RU calc 2 2 4 2 4" xfId="28641"/>
    <cellStyle name="Currency RU calc 2 2 4 2 5" xfId="28642"/>
    <cellStyle name="Currency RU calc 2 2 4 2 6" xfId="28643"/>
    <cellStyle name="Currency RU calc 2 2 4 2 7" xfId="28644"/>
    <cellStyle name="Currency RU calc 2 2 4 2 8" xfId="28645"/>
    <cellStyle name="Currency RU calc 2 2 4 2 9" xfId="28646"/>
    <cellStyle name="Currency RU calc 2 2 4 3" xfId="28647"/>
    <cellStyle name="Currency RU calc 2 2 4 4" xfId="28648"/>
    <cellStyle name="Currency RU calc 2 2 4 5" xfId="28649"/>
    <cellStyle name="Currency RU calc 2 2 4 6" xfId="28650"/>
    <cellStyle name="Currency RU calc 2 2 4 7" xfId="28651"/>
    <cellStyle name="Currency RU calc 2 2 4 8" xfId="28652"/>
    <cellStyle name="Currency RU calc 2 2 4 9" xfId="28653"/>
    <cellStyle name="Currency RU calc 2 3" xfId="28654"/>
    <cellStyle name="Currency RU calc 2 3 2" xfId="28655"/>
    <cellStyle name="Currency RU calc 2 3 2 2" xfId="28656"/>
    <cellStyle name="Currency RU calc 2 3 2 2 10" xfId="28657"/>
    <cellStyle name="Currency RU calc 2 3 2 2 11" xfId="28658"/>
    <cellStyle name="Currency RU calc 2 3 2 2 12" xfId="28659"/>
    <cellStyle name="Currency RU calc 2 3 2 2 13" xfId="28660"/>
    <cellStyle name="Currency RU calc 2 3 2 2 14" xfId="28661"/>
    <cellStyle name="Currency RU calc 2 3 2 2 15" xfId="28662"/>
    <cellStyle name="Currency RU calc 2 3 2 2 16" xfId="28663"/>
    <cellStyle name="Currency RU calc 2 3 2 2 17" xfId="28664"/>
    <cellStyle name="Currency RU calc 2 3 2 2 2" xfId="28665"/>
    <cellStyle name="Currency RU calc 2 3 2 2 2 2" xfId="28666"/>
    <cellStyle name="Currency RU calc 2 3 2 2 2 3" xfId="28667"/>
    <cellStyle name="Currency RU calc 2 3 2 2 2 4" xfId="28668"/>
    <cellStyle name="Currency RU calc 2 3 2 2 2 5" xfId="28669"/>
    <cellStyle name="Currency RU calc 2 3 2 2 2 6" xfId="28670"/>
    <cellStyle name="Currency RU calc 2 3 2 2 2 7" xfId="28671"/>
    <cellStyle name="Currency RU calc 2 3 2 2 2 8" xfId="28672"/>
    <cellStyle name="Currency RU calc 2 3 2 2 2 9" xfId="28673"/>
    <cellStyle name="Currency RU calc 2 3 2 2 3" xfId="28674"/>
    <cellStyle name="Currency RU calc 2 3 2 2 4" xfId="28675"/>
    <cellStyle name="Currency RU calc 2 3 2 2 5" xfId="28676"/>
    <cellStyle name="Currency RU calc 2 3 2 2 6" xfId="28677"/>
    <cellStyle name="Currency RU calc 2 3 2 2 7" xfId="28678"/>
    <cellStyle name="Currency RU calc 2 3 2 2 8" xfId="28679"/>
    <cellStyle name="Currency RU calc 2 3 2 2 9" xfId="28680"/>
    <cellStyle name="Currency RU calc 2 3 2 3" xfId="28681"/>
    <cellStyle name="Currency RU calc 2 3 2 3 10" xfId="28682"/>
    <cellStyle name="Currency RU calc 2 3 2 3 11" xfId="28683"/>
    <cellStyle name="Currency RU calc 2 3 2 3 12" xfId="28684"/>
    <cellStyle name="Currency RU calc 2 3 2 3 13" xfId="28685"/>
    <cellStyle name="Currency RU calc 2 3 2 3 14" xfId="28686"/>
    <cellStyle name="Currency RU calc 2 3 2 3 15" xfId="28687"/>
    <cellStyle name="Currency RU calc 2 3 2 3 16" xfId="28688"/>
    <cellStyle name="Currency RU calc 2 3 2 3 2" xfId="28689"/>
    <cellStyle name="Currency RU calc 2 3 2 3 2 2" xfId="28690"/>
    <cellStyle name="Currency RU calc 2 3 2 3 2 3" xfId="28691"/>
    <cellStyle name="Currency RU calc 2 3 2 3 2 4" xfId="28692"/>
    <cellStyle name="Currency RU calc 2 3 2 3 2 5" xfId="28693"/>
    <cellStyle name="Currency RU calc 2 3 2 3 2 6" xfId="28694"/>
    <cellStyle name="Currency RU calc 2 3 2 3 2 7" xfId="28695"/>
    <cellStyle name="Currency RU calc 2 3 2 3 2 8" xfId="28696"/>
    <cellStyle name="Currency RU calc 2 3 2 3 2 9" xfId="28697"/>
    <cellStyle name="Currency RU calc 2 3 2 3 3" xfId="28698"/>
    <cellStyle name="Currency RU calc 2 3 2 3 4" xfId="28699"/>
    <cellStyle name="Currency RU calc 2 3 2 3 5" xfId="28700"/>
    <cellStyle name="Currency RU calc 2 3 2 3 6" xfId="28701"/>
    <cellStyle name="Currency RU calc 2 3 2 3 7" xfId="28702"/>
    <cellStyle name="Currency RU calc 2 3 2 3 8" xfId="28703"/>
    <cellStyle name="Currency RU calc 2 3 2 3 9" xfId="28704"/>
    <cellStyle name="Currency RU calc 2 3 3" xfId="28705"/>
    <cellStyle name="Currency RU calc 2 3 3 10" xfId="28706"/>
    <cellStyle name="Currency RU calc 2 3 3 11" xfId="28707"/>
    <cellStyle name="Currency RU calc 2 3 3 12" xfId="28708"/>
    <cellStyle name="Currency RU calc 2 3 3 13" xfId="28709"/>
    <cellStyle name="Currency RU calc 2 3 3 14" xfId="28710"/>
    <cellStyle name="Currency RU calc 2 3 3 15" xfId="28711"/>
    <cellStyle name="Currency RU calc 2 3 3 16" xfId="28712"/>
    <cellStyle name="Currency RU calc 2 3 3 17" xfId="28713"/>
    <cellStyle name="Currency RU calc 2 3 3 2" xfId="28714"/>
    <cellStyle name="Currency RU calc 2 3 3 2 2" xfId="28715"/>
    <cellStyle name="Currency RU calc 2 3 3 2 3" xfId="28716"/>
    <cellStyle name="Currency RU calc 2 3 3 2 4" xfId="28717"/>
    <cellStyle name="Currency RU calc 2 3 3 2 5" xfId="28718"/>
    <cellStyle name="Currency RU calc 2 3 3 2 6" xfId="28719"/>
    <cellStyle name="Currency RU calc 2 3 3 2 7" xfId="28720"/>
    <cellStyle name="Currency RU calc 2 3 3 2 8" xfId="28721"/>
    <cellStyle name="Currency RU calc 2 3 3 2 9" xfId="28722"/>
    <cellStyle name="Currency RU calc 2 3 3 3" xfId="28723"/>
    <cellStyle name="Currency RU calc 2 3 3 4" xfId="28724"/>
    <cellStyle name="Currency RU calc 2 3 3 5" xfId="28725"/>
    <cellStyle name="Currency RU calc 2 3 3 6" xfId="28726"/>
    <cellStyle name="Currency RU calc 2 3 3 7" xfId="28727"/>
    <cellStyle name="Currency RU calc 2 3 3 8" xfId="28728"/>
    <cellStyle name="Currency RU calc 2 3 3 9" xfId="28729"/>
    <cellStyle name="Currency RU calc 2 3 4" xfId="28730"/>
    <cellStyle name="Currency RU calc 2 3 4 10" xfId="28731"/>
    <cellStyle name="Currency RU calc 2 3 4 11" xfId="28732"/>
    <cellStyle name="Currency RU calc 2 3 4 12" xfId="28733"/>
    <cellStyle name="Currency RU calc 2 3 4 13" xfId="28734"/>
    <cellStyle name="Currency RU calc 2 3 4 14" xfId="28735"/>
    <cellStyle name="Currency RU calc 2 3 4 15" xfId="28736"/>
    <cellStyle name="Currency RU calc 2 3 4 16" xfId="28737"/>
    <cellStyle name="Currency RU calc 2 3 4 2" xfId="28738"/>
    <cellStyle name="Currency RU calc 2 3 4 2 2" xfId="28739"/>
    <cellStyle name="Currency RU calc 2 3 4 2 3" xfId="28740"/>
    <cellStyle name="Currency RU calc 2 3 4 2 4" xfId="28741"/>
    <cellStyle name="Currency RU calc 2 3 4 2 5" xfId="28742"/>
    <cellStyle name="Currency RU calc 2 3 4 2 6" xfId="28743"/>
    <cellStyle name="Currency RU calc 2 3 4 2 7" xfId="28744"/>
    <cellStyle name="Currency RU calc 2 3 4 2 8" xfId="28745"/>
    <cellStyle name="Currency RU calc 2 3 4 2 9" xfId="28746"/>
    <cellStyle name="Currency RU calc 2 3 4 3" xfId="28747"/>
    <cellStyle name="Currency RU calc 2 3 4 4" xfId="28748"/>
    <cellStyle name="Currency RU calc 2 3 4 5" xfId="28749"/>
    <cellStyle name="Currency RU calc 2 3 4 6" xfId="28750"/>
    <cellStyle name="Currency RU calc 2 3 4 7" xfId="28751"/>
    <cellStyle name="Currency RU calc 2 3 4 8" xfId="28752"/>
    <cellStyle name="Currency RU calc 2 3 4 9" xfId="28753"/>
    <cellStyle name="Currency RU calc 2 4" xfId="28754"/>
    <cellStyle name="Currency RU calc 2 4 2" xfId="28755"/>
    <cellStyle name="Currency RU calc 2 4 2 10" xfId="28756"/>
    <cellStyle name="Currency RU calc 2 4 2 11" xfId="28757"/>
    <cellStyle name="Currency RU calc 2 4 2 12" xfId="28758"/>
    <cellStyle name="Currency RU calc 2 4 2 13" xfId="28759"/>
    <cellStyle name="Currency RU calc 2 4 2 14" xfId="28760"/>
    <cellStyle name="Currency RU calc 2 4 2 15" xfId="28761"/>
    <cellStyle name="Currency RU calc 2 4 2 16" xfId="28762"/>
    <cellStyle name="Currency RU calc 2 4 2 17" xfId="28763"/>
    <cellStyle name="Currency RU calc 2 4 2 2" xfId="28764"/>
    <cellStyle name="Currency RU calc 2 4 2 2 2" xfId="28765"/>
    <cellStyle name="Currency RU calc 2 4 2 2 3" xfId="28766"/>
    <cellStyle name="Currency RU calc 2 4 2 2 4" xfId="28767"/>
    <cellStyle name="Currency RU calc 2 4 2 2 5" xfId="28768"/>
    <cellStyle name="Currency RU calc 2 4 2 2 6" xfId="28769"/>
    <cellStyle name="Currency RU calc 2 4 2 2 7" xfId="28770"/>
    <cellStyle name="Currency RU calc 2 4 2 2 8" xfId="28771"/>
    <cellStyle name="Currency RU calc 2 4 2 2 9" xfId="28772"/>
    <cellStyle name="Currency RU calc 2 4 2 3" xfId="28773"/>
    <cellStyle name="Currency RU calc 2 4 2 4" xfId="28774"/>
    <cellStyle name="Currency RU calc 2 4 2 5" xfId="28775"/>
    <cellStyle name="Currency RU calc 2 4 2 6" xfId="28776"/>
    <cellStyle name="Currency RU calc 2 4 2 7" xfId="28777"/>
    <cellStyle name="Currency RU calc 2 4 2 8" xfId="28778"/>
    <cellStyle name="Currency RU calc 2 4 2 9" xfId="28779"/>
    <cellStyle name="Currency RU calc 2 4 3" xfId="28780"/>
    <cellStyle name="Currency RU calc 2 4 3 10" xfId="28781"/>
    <cellStyle name="Currency RU calc 2 4 3 11" xfId="28782"/>
    <cellStyle name="Currency RU calc 2 4 3 12" xfId="28783"/>
    <cellStyle name="Currency RU calc 2 4 3 13" xfId="28784"/>
    <cellStyle name="Currency RU calc 2 4 3 14" xfId="28785"/>
    <cellStyle name="Currency RU calc 2 4 3 15" xfId="28786"/>
    <cellStyle name="Currency RU calc 2 4 3 16" xfId="28787"/>
    <cellStyle name="Currency RU calc 2 4 3 2" xfId="28788"/>
    <cellStyle name="Currency RU calc 2 4 3 2 2" xfId="28789"/>
    <cellStyle name="Currency RU calc 2 4 3 2 3" xfId="28790"/>
    <cellStyle name="Currency RU calc 2 4 3 2 4" xfId="28791"/>
    <cellStyle name="Currency RU calc 2 4 3 2 5" xfId="28792"/>
    <cellStyle name="Currency RU calc 2 4 3 2 6" xfId="28793"/>
    <cellStyle name="Currency RU calc 2 4 3 2 7" xfId="28794"/>
    <cellStyle name="Currency RU calc 2 4 3 2 8" xfId="28795"/>
    <cellStyle name="Currency RU calc 2 4 3 2 9" xfId="28796"/>
    <cellStyle name="Currency RU calc 2 4 3 3" xfId="28797"/>
    <cellStyle name="Currency RU calc 2 4 3 4" xfId="28798"/>
    <cellStyle name="Currency RU calc 2 4 3 5" xfId="28799"/>
    <cellStyle name="Currency RU calc 2 4 3 6" xfId="28800"/>
    <cellStyle name="Currency RU calc 2 4 3 7" xfId="28801"/>
    <cellStyle name="Currency RU calc 2 4 3 8" xfId="28802"/>
    <cellStyle name="Currency RU calc 2 4 3 9" xfId="28803"/>
    <cellStyle name="Currency RU calc 2 5" xfId="28804"/>
    <cellStyle name="Currency RU calc 2 5 10" xfId="28805"/>
    <cellStyle name="Currency RU calc 2 5 11" xfId="28806"/>
    <cellStyle name="Currency RU calc 2 5 12" xfId="28807"/>
    <cellStyle name="Currency RU calc 2 5 13" xfId="28808"/>
    <cellStyle name="Currency RU calc 2 5 14" xfId="28809"/>
    <cellStyle name="Currency RU calc 2 5 15" xfId="28810"/>
    <cellStyle name="Currency RU calc 2 5 16" xfId="28811"/>
    <cellStyle name="Currency RU calc 2 5 17" xfId="28812"/>
    <cellStyle name="Currency RU calc 2 5 2" xfId="28813"/>
    <cellStyle name="Currency RU calc 2 5 2 2" xfId="28814"/>
    <cellStyle name="Currency RU calc 2 5 2 3" xfId="28815"/>
    <cellStyle name="Currency RU calc 2 5 2 4" xfId="28816"/>
    <cellStyle name="Currency RU calc 2 5 2 5" xfId="28817"/>
    <cellStyle name="Currency RU calc 2 5 2 6" xfId="28818"/>
    <cellStyle name="Currency RU calc 2 5 2 7" xfId="28819"/>
    <cellStyle name="Currency RU calc 2 5 2 8" xfId="28820"/>
    <cellStyle name="Currency RU calc 2 5 2 9" xfId="28821"/>
    <cellStyle name="Currency RU calc 2 5 3" xfId="28822"/>
    <cellStyle name="Currency RU calc 2 5 4" xfId="28823"/>
    <cellStyle name="Currency RU calc 2 5 5" xfId="28824"/>
    <cellStyle name="Currency RU calc 2 5 6" xfId="28825"/>
    <cellStyle name="Currency RU calc 2 5 7" xfId="28826"/>
    <cellStyle name="Currency RU calc 2 5 8" xfId="28827"/>
    <cellStyle name="Currency RU calc 2 5 9" xfId="28828"/>
    <cellStyle name="Currency RU calc 2 6" xfId="28829"/>
    <cellStyle name="Currency RU calc 2 6 10" xfId="28830"/>
    <cellStyle name="Currency RU calc 2 6 11" xfId="28831"/>
    <cellStyle name="Currency RU calc 2 6 12" xfId="28832"/>
    <cellStyle name="Currency RU calc 2 6 13" xfId="28833"/>
    <cellStyle name="Currency RU calc 2 6 14" xfId="28834"/>
    <cellStyle name="Currency RU calc 2 6 15" xfId="28835"/>
    <cellStyle name="Currency RU calc 2 6 16" xfId="28836"/>
    <cellStyle name="Currency RU calc 2 6 2" xfId="28837"/>
    <cellStyle name="Currency RU calc 2 6 2 2" xfId="28838"/>
    <cellStyle name="Currency RU calc 2 6 2 3" xfId="28839"/>
    <cellStyle name="Currency RU calc 2 6 2 4" xfId="28840"/>
    <cellStyle name="Currency RU calc 2 6 2 5" xfId="28841"/>
    <cellStyle name="Currency RU calc 2 6 2 6" xfId="28842"/>
    <cellStyle name="Currency RU calc 2 6 2 7" xfId="28843"/>
    <cellStyle name="Currency RU calc 2 6 2 8" xfId="28844"/>
    <cellStyle name="Currency RU calc 2 6 2 9" xfId="28845"/>
    <cellStyle name="Currency RU calc 2 6 3" xfId="28846"/>
    <cellStyle name="Currency RU calc 2 6 4" xfId="28847"/>
    <cellStyle name="Currency RU calc 2 6 5" xfId="28848"/>
    <cellStyle name="Currency RU calc 2 6 6" xfId="28849"/>
    <cellStyle name="Currency RU calc 2 6 7" xfId="28850"/>
    <cellStyle name="Currency RU calc 2 6 8" xfId="28851"/>
    <cellStyle name="Currency RU calc 2 6 9" xfId="28852"/>
    <cellStyle name="Currency RU calc 3" xfId="28853"/>
    <cellStyle name="Currency RU calc 3 2" xfId="28854"/>
    <cellStyle name="Currency RU calc 3 2 2" xfId="28855"/>
    <cellStyle name="Currency RU calc 3 2 2 2" xfId="28856"/>
    <cellStyle name="Currency RU calc 3 2 2 2 10" xfId="28857"/>
    <cellStyle name="Currency RU calc 3 2 2 2 11" xfId="28858"/>
    <cellStyle name="Currency RU calc 3 2 2 2 12" xfId="28859"/>
    <cellStyle name="Currency RU calc 3 2 2 2 13" xfId="28860"/>
    <cellStyle name="Currency RU calc 3 2 2 2 14" xfId="28861"/>
    <cellStyle name="Currency RU calc 3 2 2 2 15" xfId="28862"/>
    <cellStyle name="Currency RU calc 3 2 2 2 16" xfId="28863"/>
    <cellStyle name="Currency RU calc 3 2 2 2 17" xfId="28864"/>
    <cellStyle name="Currency RU calc 3 2 2 2 2" xfId="28865"/>
    <cellStyle name="Currency RU calc 3 2 2 2 2 2" xfId="28866"/>
    <cellStyle name="Currency RU calc 3 2 2 2 2 3" xfId="28867"/>
    <cellStyle name="Currency RU calc 3 2 2 2 2 4" xfId="28868"/>
    <cellStyle name="Currency RU calc 3 2 2 2 2 5" xfId="28869"/>
    <cellStyle name="Currency RU calc 3 2 2 2 2 6" xfId="28870"/>
    <cellStyle name="Currency RU calc 3 2 2 2 2 7" xfId="28871"/>
    <cellStyle name="Currency RU calc 3 2 2 2 2 8" xfId="28872"/>
    <cellStyle name="Currency RU calc 3 2 2 2 2 9" xfId="28873"/>
    <cellStyle name="Currency RU calc 3 2 2 2 3" xfId="28874"/>
    <cellStyle name="Currency RU calc 3 2 2 2 4" xfId="28875"/>
    <cellStyle name="Currency RU calc 3 2 2 2 5" xfId="28876"/>
    <cellStyle name="Currency RU calc 3 2 2 2 6" xfId="28877"/>
    <cellStyle name="Currency RU calc 3 2 2 2 7" xfId="28878"/>
    <cellStyle name="Currency RU calc 3 2 2 2 8" xfId="28879"/>
    <cellStyle name="Currency RU calc 3 2 2 2 9" xfId="28880"/>
    <cellStyle name="Currency RU calc 3 2 2 3" xfId="28881"/>
    <cellStyle name="Currency RU calc 3 2 2 3 10" xfId="28882"/>
    <cellStyle name="Currency RU calc 3 2 2 3 11" xfId="28883"/>
    <cellStyle name="Currency RU calc 3 2 2 3 12" xfId="28884"/>
    <cellStyle name="Currency RU calc 3 2 2 3 13" xfId="28885"/>
    <cellStyle name="Currency RU calc 3 2 2 3 14" xfId="28886"/>
    <cellStyle name="Currency RU calc 3 2 2 3 15" xfId="28887"/>
    <cellStyle name="Currency RU calc 3 2 2 3 16" xfId="28888"/>
    <cellStyle name="Currency RU calc 3 2 2 3 2" xfId="28889"/>
    <cellStyle name="Currency RU calc 3 2 2 3 2 2" xfId="28890"/>
    <cellStyle name="Currency RU calc 3 2 2 3 2 3" xfId="28891"/>
    <cellStyle name="Currency RU calc 3 2 2 3 2 4" xfId="28892"/>
    <cellStyle name="Currency RU calc 3 2 2 3 2 5" xfId="28893"/>
    <cellStyle name="Currency RU calc 3 2 2 3 2 6" xfId="28894"/>
    <cellStyle name="Currency RU calc 3 2 2 3 2 7" xfId="28895"/>
    <cellStyle name="Currency RU calc 3 2 2 3 2 8" xfId="28896"/>
    <cellStyle name="Currency RU calc 3 2 2 3 2 9" xfId="28897"/>
    <cellStyle name="Currency RU calc 3 2 2 3 3" xfId="28898"/>
    <cellStyle name="Currency RU calc 3 2 2 3 4" xfId="28899"/>
    <cellStyle name="Currency RU calc 3 2 2 3 5" xfId="28900"/>
    <cellStyle name="Currency RU calc 3 2 2 3 6" xfId="28901"/>
    <cellStyle name="Currency RU calc 3 2 2 3 7" xfId="28902"/>
    <cellStyle name="Currency RU calc 3 2 2 3 8" xfId="28903"/>
    <cellStyle name="Currency RU calc 3 2 2 3 9" xfId="28904"/>
    <cellStyle name="Currency RU calc 3 2 3" xfId="28905"/>
    <cellStyle name="Currency RU calc 3 2 3 10" xfId="28906"/>
    <cellStyle name="Currency RU calc 3 2 3 11" xfId="28907"/>
    <cellStyle name="Currency RU calc 3 2 3 12" xfId="28908"/>
    <cellStyle name="Currency RU calc 3 2 3 13" xfId="28909"/>
    <cellStyle name="Currency RU calc 3 2 3 14" xfId="28910"/>
    <cellStyle name="Currency RU calc 3 2 3 15" xfId="28911"/>
    <cellStyle name="Currency RU calc 3 2 3 16" xfId="28912"/>
    <cellStyle name="Currency RU calc 3 2 3 17" xfId="28913"/>
    <cellStyle name="Currency RU calc 3 2 3 2" xfId="28914"/>
    <cellStyle name="Currency RU calc 3 2 3 2 2" xfId="28915"/>
    <cellStyle name="Currency RU calc 3 2 3 2 3" xfId="28916"/>
    <cellStyle name="Currency RU calc 3 2 3 2 4" xfId="28917"/>
    <cellStyle name="Currency RU calc 3 2 3 2 5" xfId="28918"/>
    <cellStyle name="Currency RU calc 3 2 3 2 6" xfId="28919"/>
    <cellStyle name="Currency RU calc 3 2 3 2 7" xfId="28920"/>
    <cellStyle name="Currency RU calc 3 2 3 2 8" xfId="28921"/>
    <cellStyle name="Currency RU calc 3 2 3 2 9" xfId="28922"/>
    <cellStyle name="Currency RU calc 3 2 3 3" xfId="28923"/>
    <cellStyle name="Currency RU calc 3 2 3 4" xfId="28924"/>
    <cellStyle name="Currency RU calc 3 2 3 5" xfId="28925"/>
    <cellStyle name="Currency RU calc 3 2 3 6" xfId="28926"/>
    <cellStyle name="Currency RU calc 3 2 3 7" xfId="28927"/>
    <cellStyle name="Currency RU calc 3 2 3 8" xfId="28928"/>
    <cellStyle name="Currency RU calc 3 2 3 9" xfId="28929"/>
    <cellStyle name="Currency RU calc 3 2 4" xfId="28930"/>
    <cellStyle name="Currency RU calc 3 2 4 10" xfId="28931"/>
    <cellStyle name="Currency RU calc 3 2 4 11" xfId="28932"/>
    <cellStyle name="Currency RU calc 3 2 4 12" xfId="28933"/>
    <cellStyle name="Currency RU calc 3 2 4 13" xfId="28934"/>
    <cellStyle name="Currency RU calc 3 2 4 14" xfId="28935"/>
    <cellStyle name="Currency RU calc 3 2 4 15" xfId="28936"/>
    <cellStyle name="Currency RU calc 3 2 4 16" xfId="28937"/>
    <cellStyle name="Currency RU calc 3 2 4 2" xfId="28938"/>
    <cellStyle name="Currency RU calc 3 2 4 2 2" xfId="28939"/>
    <cellStyle name="Currency RU calc 3 2 4 2 3" xfId="28940"/>
    <cellStyle name="Currency RU calc 3 2 4 2 4" xfId="28941"/>
    <cellStyle name="Currency RU calc 3 2 4 2 5" xfId="28942"/>
    <cellStyle name="Currency RU calc 3 2 4 2 6" xfId="28943"/>
    <cellStyle name="Currency RU calc 3 2 4 2 7" xfId="28944"/>
    <cellStyle name="Currency RU calc 3 2 4 2 8" xfId="28945"/>
    <cellStyle name="Currency RU calc 3 2 4 2 9" xfId="28946"/>
    <cellStyle name="Currency RU calc 3 2 4 3" xfId="28947"/>
    <cellStyle name="Currency RU calc 3 2 4 4" xfId="28948"/>
    <cellStyle name="Currency RU calc 3 2 4 5" xfId="28949"/>
    <cellStyle name="Currency RU calc 3 2 4 6" xfId="28950"/>
    <cellStyle name="Currency RU calc 3 2 4 7" xfId="28951"/>
    <cellStyle name="Currency RU calc 3 2 4 8" xfId="28952"/>
    <cellStyle name="Currency RU calc 3 2 4 9" xfId="28953"/>
    <cellStyle name="Currency RU calc 3 3" xfId="28954"/>
    <cellStyle name="Currency RU calc 3 3 2" xfId="28955"/>
    <cellStyle name="Currency RU calc 3 3 2 2" xfId="28956"/>
    <cellStyle name="Currency RU calc 3 3 2 2 10" xfId="28957"/>
    <cellStyle name="Currency RU calc 3 3 2 2 11" xfId="28958"/>
    <cellStyle name="Currency RU calc 3 3 2 2 12" xfId="28959"/>
    <cellStyle name="Currency RU calc 3 3 2 2 13" xfId="28960"/>
    <cellStyle name="Currency RU calc 3 3 2 2 14" xfId="28961"/>
    <cellStyle name="Currency RU calc 3 3 2 2 15" xfId="28962"/>
    <cellStyle name="Currency RU calc 3 3 2 2 16" xfId="28963"/>
    <cellStyle name="Currency RU calc 3 3 2 2 17" xfId="28964"/>
    <cellStyle name="Currency RU calc 3 3 2 2 2" xfId="28965"/>
    <cellStyle name="Currency RU calc 3 3 2 2 2 2" xfId="28966"/>
    <cellStyle name="Currency RU calc 3 3 2 2 2 3" xfId="28967"/>
    <cellStyle name="Currency RU calc 3 3 2 2 2 4" xfId="28968"/>
    <cellStyle name="Currency RU calc 3 3 2 2 2 5" xfId="28969"/>
    <cellStyle name="Currency RU calc 3 3 2 2 2 6" xfId="28970"/>
    <cellStyle name="Currency RU calc 3 3 2 2 2 7" xfId="28971"/>
    <cellStyle name="Currency RU calc 3 3 2 2 2 8" xfId="28972"/>
    <cellStyle name="Currency RU calc 3 3 2 2 2 9" xfId="28973"/>
    <cellStyle name="Currency RU calc 3 3 2 2 3" xfId="28974"/>
    <cellStyle name="Currency RU calc 3 3 2 2 4" xfId="28975"/>
    <cellStyle name="Currency RU calc 3 3 2 2 5" xfId="28976"/>
    <cellStyle name="Currency RU calc 3 3 2 2 6" xfId="28977"/>
    <cellStyle name="Currency RU calc 3 3 2 2 7" xfId="28978"/>
    <cellStyle name="Currency RU calc 3 3 2 2 8" xfId="28979"/>
    <cellStyle name="Currency RU calc 3 3 2 2 9" xfId="28980"/>
    <cellStyle name="Currency RU calc 3 3 2 3" xfId="28981"/>
    <cellStyle name="Currency RU calc 3 3 2 3 10" xfId="28982"/>
    <cellStyle name="Currency RU calc 3 3 2 3 11" xfId="28983"/>
    <cellStyle name="Currency RU calc 3 3 2 3 12" xfId="28984"/>
    <cellStyle name="Currency RU calc 3 3 2 3 13" xfId="28985"/>
    <cellStyle name="Currency RU calc 3 3 2 3 14" xfId="28986"/>
    <cellStyle name="Currency RU calc 3 3 2 3 15" xfId="28987"/>
    <cellStyle name="Currency RU calc 3 3 2 3 16" xfId="28988"/>
    <cellStyle name="Currency RU calc 3 3 2 3 2" xfId="28989"/>
    <cellStyle name="Currency RU calc 3 3 2 3 2 2" xfId="28990"/>
    <cellStyle name="Currency RU calc 3 3 2 3 2 3" xfId="28991"/>
    <cellStyle name="Currency RU calc 3 3 2 3 2 4" xfId="28992"/>
    <cellStyle name="Currency RU calc 3 3 2 3 2 5" xfId="28993"/>
    <cellStyle name="Currency RU calc 3 3 2 3 2 6" xfId="28994"/>
    <cellStyle name="Currency RU calc 3 3 2 3 2 7" xfId="28995"/>
    <cellStyle name="Currency RU calc 3 3 2 3 2 8" xfId="28996"/>
    <cellStyle name="Currency RU calc 3 3 2 3 2 9" xfId="28997"/>
    <cellStyle name="Currency RU calc 3 3 2 3 3" xfId="28998"/>
    <cellStyle name="Currency RU calc 3 3 2 3 4" xfId="28999"/>
    <cellStyle name="Currency RU calc 3 3 2 3 5" xfId="29000"/>
    <cellStyle name="Currency RU calc 3 3 2 3 6" xfId="29001"/>
    <cellStyle name="Currency RU calc 3 3 2 3 7" xfId="29002"/>
    <cellStyle name="Currency RU calc 3 3 2 3 8" xfId="29003"/>
    <cellStyle name="Currency RU calc 3 3 2 3 9" xfId="29004"/>
    <cellStyle name="Currency RU calc 3 3 3" xfId="29005"/>
    <cellStyle name="Currency RU calc 3 3 3 10" xfId="29006"/>
    <cellStyle name="Currency RU calc 3 3 3 11" xfId="29007"/>
    <cellStyle name="Currency RU calc 3 3 3 12" xfId="29008"/>
    <cellStyle name="Currency RU calc 3 3 3 13" xfId="29009"/>
    <cellStyle name="Currency RU calc 3 3 3 14" xfId="29010"/>
    <cellStyle name="Currency RU calc 3 3 3 15" xfId="29011"/>
    <cellStyle name="Currency RU calc 3 3 3 16" xfId="29012"/>
    <cellStyle name="Currency RU calc 3 3 3 17" xfId="29013"/>
    <cellStyle name="Currency RU calc 3 3 3 2" xfId="29014"/>
    <cellStyle name="Currency RU calc 3 3 3 2 2" xfId="29015"/>
    <cellStyle name="Currency RU calc 3 3 3 2 3" xfId="29016"/>
    <cellStyle name="Currency RU calc 3 3 3 2 4" xfId="29017"/>
    <cellStyle name="Currency RU calc 3 3 3 2 5" xfId="29018"/>
    <cellStyle name="Currency RU calc 3 3 3 2 6" xfId="29019"/>
    <cellStyle name="Currency RU calc 3 3 3 2 7" xfId="29020"/>
    <cellStyle name="Currency RU calc 3 3 3 2 8" xfId="29021"/>
    <cellStyle name="Currency RU calc 3 3 3 2 9" xfId="29022"/>
    <cellStyle name="Currency RU calc 3 3 3 3" xfId="29023"/>
    <cellStyle name="Currency RU calc 3 3 3 4" xfId="29024"/>
    <cellStyle name="Currency RU calc 3 3 3 5" xfId="29025"/>
    <cellStyle name="Currency RU calc 3 3 3 6" xfId="29026"/>
    <cellStyle name="Currency RU calc 3 3 3 7" xfId="29027"/>
    <cellStyle name="Currency RU calc 3 3 3 8" xfId="29028"/>
    <cellStyle name="Currency RU calc 3 3 3 9" xfId="29029"/>
    <cellStyle name="Currency RU calc 3 3 4" xfId="29030"/>
    <cellStyle name="Currency RU calc 3 3 4 10" xfId="29031"/>
    <cellStyle name="Currency RU calc 3 3 4 11" xfId="29032"/>
    <cellStyle name="Currency RU calc 3 3 4 12" xfId="29033"/>
    <cellStyle name="Currency RU calc 3 3 4 13" xfId="29034"/>
    <cellStyle name="Currency RU calc 3 3 4 14" xfId="29035"/>
    <cellStyle name="Currency RU calc 3 3 4 15" xfId="29036"/>
    <cellStyle name="Currency RU calc 3 3 4 16" xfId="29037"/>
    <cellStyle name="Currency RU calc 3 3 4 2" xfId="29038"/>
    <cellStyle name="Currency RU calc 3 3 4 2 2" xfId="29039"/>
    <cellStyle name="Currency RU calc 3 3 4 2 3" xfId="29040"/>
    <cellStyle name="Currency RU calc 3 3 4 2 4" xfId="29041"/>
    <cellStyle name="Currency RU calc 3 3 4 2 5" xfId="29042"/>
    <cellStyle name="Currency RU calc 3 3 4 2 6" xfId="29043"/>
    <cellStyle name="Currency RU calc 3 3 4 2 7" xfId="29044"/>
    <cellStyle name="Currency RU calc 3 3 4 2 8" xfId="29045"/>
    <cellStyle name="Currency RU calc 3 3 4 2 9" xfId="29046"/>
    <cellStyle name="Currency RU calc 3 3 4 3" xfId="29047"/>
    <cellStyle name="Currency RU calc 3 3 4 4" xfId="29048"/>
    <cellStyle name="Currency RU calc 3 3 4 5" xfId="29049"/>
    <cellStyle name="Currency RU calc 3 3 4 6" xfId="29050"/>
    <cellStyle name="Currency RU calc 3 3 4 7" xfId="29051"/>
    <cellStyle name="Currency RU calc 3 3 4 8" xfId="29052"/>
    <cellStyle name="Currency RU calc 3 3 4 9" xfId="29053"/>
    <cellStyle name="Currency RU calc 3 4" xfId="29054"/>
    <cellStyle name="Currency RU calc 3 4 2" xfId="29055"/>
    <cellStyle name="Currency RU calc 3 4 2 10" xfId="29056"/>
    <cellStyle name="Currency RU calc 3 4 2 11" xfId="29057"/>
    <cellStyle name="Currency RU calc 3 4 2 12" xfId="29058"/>
    <cellStyle name="Currency RU calc 3 4 2 13" xfId="29059"/>
    <cellStyle name="Currency RU calc 3 4 2 14" xfId="29060"/>
    <cellStyle name="Currency RU calc 3 4 2 15" xfId="29061"/>
    <cellStyle name="Currency RU calc 3 4 2 16" xfId="29062"/>
    <cellStyle name="Currency RU calc 3 4 2 17" xfId="29063"/>
    <cellStyle name="Currency RU calc 3 4 2 2" xfId="29064"/>
    <cellStyle name="Currency RU calc 3 4 2 2 2" xfId="29065"/>
    <cellStyle name="Currency RU calc 3 4 2 2 3" xfId="29066"/>
    <cellStyle name="Currency RU calc 3 4 2 2 4" xfId="29067"/>
    <cellStyle name="Currency RU calc 3 4 2 2 5" xfId="29068"/>
    <cellStyle name="Currency RU calc 3 4 2 2 6" xfId="29069"/>
    <cellStyle name="Currency RU calc 3 4 2 2 7" xfId="29070"/>
    <cellStyle name="Currency RU calc 3 4 2 2 8" xfId="29071"/>
    <cellStyle name="Currency RU calc 3 4 2 2 9" xfId="29072"/>
    <cellStyle name="Currency RU calc 3 4 2 3" xfId="29073"/>
    <cellStyle name="Currency RU calc 3 4 2 4" xfId="29074"/>
    <cellStyle name="Currency RU calc 3 4 2 5" xfId="29075"/>
    <cellStyle name="Currency RU calc 3 4 2 6" xfId="29076"/>
    <cellStyle name="Currency RU calc 3 4 2 7" xfId="29077"/>
    <cellStyle name="Currency RU calc 3 4 2 8" xfId="29078"/>
    <cellStyle name="Currency RU calc 3 4 2 9" xfId="29079"/>
    <cellStyle name="Currency RU calc 3 4 3" xfId="29080"/>
    <cellStyle name="Currency RU calc 3 4 3 10" xfId="29081"/>
    <cellStyle name="Currency RU calc 3 4 3 11" xfId="29082"/>
    <cellStyle name="Currency RU calc 3 4 3 12" xfId="29083"/>
    <cellStyle name="Currency RU calc 3 4 3 13" xfId="29084"/>
    <cellStyle name="Currency RU calc 3 4 3 14" xfId="29085"/>
    <cellStyle name="Currency RU calc 3 4 3 15" xfId="29086"/>
    <cellStyle name="Currency RU calc 3 4 3 16" xfId="29087"/>
    <cellStyle name="Currency RU calc 3 4 3 2" xfId="29088"/>
    <cellStyle name="Currency RU calc 3 4 3 2 2" xfId="29089"/>
    <cellStyle name="Currency RU calc 3 4 3 2 3" xfId="29090"/>
    <cellStyle name="Currency RU calc 3 4 3 2 4" xfId="29091"/>
    <cellStyle name="Currency RU calc 3 4 3 2 5" xfId="29092"/>
    <cellStyle name="Currency RU calc 3 4 3 2 6" xfId="29093"/>
    <cellStyle name="Currency RU calc 3 4 3 2 7" xfId="29094"/>
    <cellStyle name="Currency RU calc 3 4 3 2 8" xfId="29095"/>
    <cellStyle name="Currency RU calc 3 4 3 2 9" xfId="29096"/>
    <cellStyle name="Currency RU calc 3 4 3 3" xfId="29097"/>
    <cellStyle name="Currency RU calc 3 4 3 4" xfId="29098"/>
    <cellStyle name="Currency RU calc 3 4 3 5" xfId="29099"/>
    <cellStyle name="Currency RU calc 3 4 3 6" xfId="29100"/>
    <cellStyle name="Currency RU calc 3 4 3 7" xfId="29101"/>
    <cellStyle name="Currency RU calc 3 4 3 8" xfId="29102"/>
    <cellStyle name="Currency RU calc 3 4 3 9" xfId="29103"/>
    <cellStyle name="Currency RU calc 3 5" xfId="29104"/>
    <cellStyle name="Currency RU calc 3 5 10" xfId="29105"/>
    <cellStyle name="Currency RU calc 3 5 11" xfId="29106"/>
    <cellStyle name="Currency RU calc 3 5 12" xfId="29107"/>
    <cellStyle name="Currency RU calc 3 5 13" xfId="29108"/>
    <cellStyle name="Currency RU calc 3 5 14" xfId="29109"/>
    <cellStyle name="Currency RU calc 3 5 15" xfId="29110"/>
    <cellStyle name="Currency RU calc 3 5 16" xfId="29111"/>
    <cellStyle name="Currency RU calc 3 5 17" xfId="29112"/>
    <cellStyle name="Currency RU calc 3 5 2" xfId="29113"/>
    <cellStyle name="Currency RU calc 3 5 2 2" xfId="29114"/>
    <cellStyle name="Currency RU calc 3 5 2 3" xfId="29115"/>
    <cellStyle name="Currency RU calc 3 5 2 4" xfId="29116"/>
    <cellStyle name="Currency RU calc 3 5 2 5" xfId="29117"/>
    <cellStyle name="Currency RU calc 3 5 2 6" xfId="29118"/>
    <cellStyle name="Currency RU calc 3 5 2 7" xfId="29119"/>
    <cellStyle name="Currency RU calc 3 5 2 8" xfId="29120"/>
    <cellStyle name="Currency RU calc 3 5 2 9" xfId="29121"/>
    <cellStyle name="Currency RU calc 3 5 3" xfId="29122"/>
    <cellStyle name="Currency RU calc 3 5 4" xfId="29123"/>
    <cellStyle name="Currency RU calc 3 5 5" xfId="29124"/>
    <cellStyle name="Currency RU calc 3 5 6" xfId="29125"/>
    <cellStyle name="Currency RU calc 3 5 7" xfId="29126"/>
    <cellStyle name="Currency RU calc 3 5 8" xfId="29127"/>
    <cellStyle name="Currency RU calc 3 5 9" xfId="29128"/>
    <cellStyle name="Currency RU calc 3 6" xfId="29129"/>
    <cellStyle name="Currency RU calc 3 6 10" xfId="29130"/>
    <cellStyle name="Currency RU calc 3 6 11" xfId="29131"/>
    <cellStyle name="Currency RU calc 3 6 12" xfId="29132"/>
    <cellStyle name="Currency RU calc 3 6 13" xfId="29133"/>
    <cellStyle name="Currency RU calc 3 6 14" xfId="29134"/>
    <cellStyle name="Currency RU calc 3 6 15" xfId="29135"/>
    <cellStyle name="Currency RU calc 3 6 16" xfId="29136"/>
    <cellStyle name="Currency RU calc 3 6 2" xfId="29137"/>
    <cellStyle name="Currency RU calc 3 6 2 2" xfId="29138"/>
    <cellStyle name="Currency RU calc 3 6 2 3" xfId="29139"/>
    <cellStyle name="Currency RU calc 3 6 2 4" xfId="29140"/>
    <cellStyle name="Currency RU calc 3 6 2 5" xfId="29141"/>
    <cellStyle name="Currency RU calc 3 6 2 6" xfId="29142"/>
    <cellStyle name="Currency RU calc 3 6 2 7" xfId="29143"/>
    <cellStyle name="Currency RU calc 3 6 2 8" xfId="29144"/>
    <cellStyle name="Currency RU calc 3 6 2 9" xfId="29145"/>
    <cellStyle name="Currency RU calc 3 6 3" xfId="29146"/>
    <cellStyle name="Currency RU calc 3 6 4" xfId="29147"/>
    <cellStyle name="Currency RU calc 3 6 5" xfId="29148"/>
    <cellStyle name="Currency RU calc 3 6 6" xfId="29149"/>
    <cellStyle name="Currency RU calc 3 6 7" xfId="29150"/>
    <cellStyle name="Currency RU calc 3 6 8" xfId="29151"/>
    <cellStyle name="Currency RU calc 3 6 9" xfId="29152"/>
    <cellStyle name="Currency RU calc 4" xfId="29153"/>
    <cellStyle name="Currency RU calc 4 2" xfId="29154"/>
    <cellStyle name="Currency RU calc 4 2 2" xfId="29155"/>
    <cellStyle name="Currency RU calc 4 2 2 10" xfId="29156"/>
    <cellStyle name="Currency RU calc 4 2 2 11" xfId="29157"/>
    <cellStyle name="Currency RU calc 4 2 2 12" xfId="29158"/>
    <cellStyle name="Currency RU calc 4 2 2 13" xfId="29159"/>
    <cellStyle name="Currency RU calc 4 2 2 14" xfId="29160"/>
    <cellStyle name="Currency RU calc 4 2 2 15" xfId="29161"/>
    <cellStyle name="Currency RU calc 4 2 2 16" xfId="29162"/>
    <cellStyle name="Currency RU calc 4 2 2 17" xfId="29163"/>
    <cellStyle name="Currency RU calc 4 2 2 2" xfId="29164"/>
    <cellStyle name="Currency RU calc 4 2 2 2 2" xfId="29165"/>
    <cellStyle name="Currency RU calc 4 2 2 2 3" xfId="29166"/>
    <cellStyle name="Currency RU calc 4 2 2 2 4" xfId="29167"/>
    <cellStyle name="Currency RU calc 4 2 2 2 5" xfId="29168"/>
    <cellStyle name="Currency RU calc 4 2 2 2 6" xfId="29169"/>
    <cellStyle name="Currency RU calc 4 2 2 2 7" xfId="29170"/>
    <cellStyle name="Currency RU calc 4 2 2 2 8" xfId="29171"/>
    <cellStyle name="Currency RU calc 4 2 2 2 9" xfId="29172"/>
    <cellStyle name="Currency RU calc 4 2 2 3" xfId="29173"/>
    <cellStyle name="Currency RU calc 4 2 2 4" xfId="29174"/>
    <cellStyle name="Currency RU calc 4 2 2 5" xfId="29175"/>
    <cellStyle name="Currency RU calc 4 2 2 6" xfId="29176"/>
    <cellStyle name="Currency RU calc 4 2 2 7" xfId="29177"/>
    <cellStyle name="Currency RU calc 4 2 2 8" xfId="29178"/>
    <cellStyle name="Currency RU calc 4 2 2 9" xfId="29179"/>
    <cellStyle name="Currency RU calc 4 2 3" xfId="29180"/>
    <cellStyle name="Currency RU calc 4 2 3 10" xfId="29181"/>
    <cellStyle name="Currency RU calc 4 2 3 11" xfId="29182"/>
    <cellStyle name="Currency RU calc 4 2 3 12" xfId="29183"/>
    <cellStyle name="Currency RU calc 4 2 3 13" xfId="29184"/>
    <cellStyle name="Currency RU calc 4 2 3 14" xfId="29185"/>
    <cellStyle name="Currency RU calc 4 2 3 15" xfId="29186"/>
    <cellStyle name="Currency RU calc 4 2 3 16" xfId="29187"/>
    <cellStyle name="Currency RU calc 4 2 3 2" xfId="29188"/>
    <cellStyle name="Currency RU calc 4 2 3 2 2" xfId="29189"/>
    <cellStyle name="Currency RU calc 4 2 3 2 3" xfId="29190"/>
    <cellStyle name="Currency RU calc 4 2 3 2 4" xfId="29191"/>
    <cellStyle name="Currency RU calc 4 2 3 2 5" xfId="29192"/>
    <cellStyle name="Currency RU calc 4 2 3 2 6" xfId="29193"/>
    <cellStyle name="Currency RU calc 4 2 3 2 7" xfId="29194"/>
    <cellStyle name="Currency RU calc 4 2 3 2 8" xfId="29195"/>
    <cellStyle name="Currency RU calc 4 2 3 2 9" xfId="29196"/>
    <cellStyle name="Currency RU calc 4 2 3 3" xfId="29197"/>
    <cellStyle name="Currency RU calc 4 2 3 4" xfId="29198"/>
    <cellStyle name="Currency RU calc 4 2 3 5" xfId="29199"/>
    <cellStyle name="Currency RU calc 4 2 3 6" xfId="29200"/>
    <cellStyle name="Currency RU calc 4 2 3 7" xfId="29201"/>
    <cellStyle name="Currency RU calc 4 2 3 8" xfId="29202"/>
    <cellStyle name="Currency RU calc 4 2 3 9" xfId="29203"/>
    <cellStyle name="Currency RU calc 4 3" xfId="29204"/>
    <cellStyle name="Currency RU calc 4 3 10" xfId="29205"/>
    <cellStyle name="Currency RU calc 4 3 11" xfId="29206"/>
    <cellStyle name="Currency RU calc 4 3 12" xfId="29207"/>
    <cellStyle name="Currency RU calc 4 3 13" xfId="29208"/>
    <cellStyle name="Currency RU calc 4 3 14" xfId="29209"/>
    <cellStyle name="Currency RU calc 4 3 15" xfId="29210"/>
    <cellStyle name="Currency RU calc 4 3 16" xfId="29211"/>
    <cellStyle name="Currency RU calc 4 3 17" xfId="29212"/>
    <cellStyle name="Currency RU calc 4 3 2" xfId="29213"/>
    <cellStyle name="Currency RU calc 4 3 2 2" xfId="29214"/>
    <cellStyle name="Currency RU calc 4 3 2 3" xfId="29215"/>
    <cellStyle name="Currency RU calc 4 3 2 4" xfId="29216"/>
    <cellStyle name="Currency RU calc 4 3 2 5" xfId="29217"/>
    <cellStyle name="Currency RU calc 4 3 2 6" xfId="29218"/>
    <cellStyle name="Currency RU calc 4 3 2 7" xfId="29219"/>
    <cellStyle name="Currency RU calc 4 3 2 8" xfId="29220"/>
    <cellStyle name="Currency RU calc 4 3 2 9" xfId="29221"/>
    <cellStyle name="Currency RU calc 4 3 3" xfId="29222"/>
    <cellStyle name="Currency RU calc 4 3 4" xfId="29223"/>
    <cellStyle name="Currency RU calc 4 3 5" xfId="29224"/>
    <cellStyle name="Currency RU calc 4 3 6" xfId="29225"/>
    <cellStyle name="Currency RU calc 4 3 7" xfId="29226"/>
    <cellStyle name="Currency RU calc 4 3 8" xfId="29227"/>
    <cellStyle name="Currency RU calc 4 3 9" xfId="29228"/>
    <cellStyle name="Currency RU calc 4 4" xfId="29229"/>
    <cellStyle name="Currency RU calc 4 4 10" xfId="29230"/>
    <cellStyle name="Currency RU calc 4 4 11" xfId="29231"/>
    <cellStyle name="Currency RU calc 4 4 12" xfId="29232"/>
    <cellStyle name="Currency RU calc 4 4 13" xfId="29233"/>
    <cellStyle name="Currency RU calc 4 4 14" xfId="29234"/>
    <cellStyle name="Currency RU calc 4 4 15" xfId="29235"/>
    <cellStyle name="Currency RU calc 4 4 16" xfId="29236"/>
    <cellStyle name="Currency RU calc 4 4 2" xfId="29237"/>
    <cellStyle name="Currency RU calc 4 4 2 2" xfId="29238"/>
    <cellStyle name="Currency RU calc 4 4 2 3" xfId="29239"/>
    <cellStyle name="Currency RU calc 4 4 2 4" xfId="29240"/>
    <cellStyle name="Currency RU calc 4 4 2 5" xfId="29241"/>
    <cellStyle name="Currency RU calc 4 4 2 6" xfId="29242"/>
    <cellStyle name="Currency RU calc 4 4 2 7" xfId="29243"/>
    <cellStyle name="Currency RU calc 4 4 2 8" xfId="29244"/>
    <cellStyle name="Currency RU calc 4 4 2 9" xfId="29245"/>
    <cellStyle name="Currency RU calc 4 4 3" xfId="29246"/>
    <cellStyle name="Currency RU calc 4 4 4" xfId="29247"/>
    <cellStyle name="Currency RU calc 4 4 5" xfId="29248"/>
    <cellStyle name="Currency RU calc 4 4 6" xfId="29249"/>
    <cellStyle name="Currency RU calc 4 4 7" xfId="29250"/>
    <cellStyle name="Currency RU calc 4 4 8" xfId="29251"/>
    <cellStyle name="Currency RU calc 4 4 9" xfId="29252"/>
    <cellStyle name="Currency RU calc 5" xfId="29253"/>
    <cellStyle name="Currency RU calc 5 2" xfId="29254"/>
    <cellStyle name="Currency RU calc 5 2 2" xfId="29255"/>
    <cellStyle name="Currency RU calc 5 2 2 10" xfId="29256"/>
    <cellStyle name="Currency RU calc 5 2 2 11" xfId="29257"/>
    <cellStyle name="Currency RU calc 5 2 2 12" xfId="29258"/>
    <cellStyle name="Currency RU calc 5 2 2 13" xfId="29259"/>
    <cellStyle name="Currency RU calc 5 2 2 14" xfId="29260"/>
    <cellStyle name="Currency RU calc 5 2 2 15" xfId="29261"/>
    <cellStyle name="Currency RU calc 5 2 2 16" xfId="29262"/>
    <cellStyle name="Currency RU calc 5 2 2 17" xfId="29263"/>
    <cellStyle name="Currency RU calc 5 2 2 2" xfId="29264"/>
    <cellStyle name="Currency RU calc 5 2 2 2 2" xfId="29265"/>
    <cellStyle name="Currency RU calc 5 2 2 2 3" xfId="29266"/>
    <cellStyle name="Currency RU calc 5 2 2 2 4" xfId="29267"/>
    <cellStyle name="Currency RU calc 5 2 2 2 5" xfId="29268"/>
    <cellStyle name="Currency RU calc 5 2 2 2 6" xfId="29269"/>
    <cellStyle name="Currency RU calc 5 2 2 2 7" xfId="29270"/>
    <cellStyle name="Currency RU calc 5 2 2 2 8" xfId="29271"/>
    <cellStyle name="Currency RU calc 5 2 2 2 9" xfId="29272"/>
    <cellStyle name="Currency RU calc 5 2 2 3" xfId="29273"/>
    <cellStyle name="Currency RU calc 5 2 2 4" xfId="29274"/>
    <cellStyle name="Currency RU calc 5 2 2 5" xfId="29275"/>
    <cellStyle name="Currency RU calc 5 2 2 6" xfId="29276"/>
    <cellStyle name="Currency RU calc 5 2 2 7" xfId="29277"/>
    <cellStyle name="Currency RU calc 5 2 2 8" xfId="29278"/>
    <cellStyle name="Currency RU calc 5 2 2 9" xfId="29279"/>
    <cellStyle name="Currency RU calc 5 2 3" xfId="29280"/>
    <cellStyle name="Currency RU calc 5 2 3 10" xfId="29281"/>
    <cellStyle name="Currency RU calc 5 2 3 11" xfId="29282"/>
    <cellStyle name="Currency RU calc 5 2 3 12" xfId="29283"/>
    <cellStyle name="Currency RU calc 5 2 3 13" xfId="29284"/>
    <cellStyle name="Currency RU calc 5 2 3 14" xfId="29285"/>
    <cellStyle name="Currency RU calc 5 2 3 15" xfId="29286"/>
    <cellStyle name="Currency RU calc 5 2 3 16" xfId="29287"/>
    <cellStyle name="Currency RU calc 5 2 3 2" xfId="29288"/>
    <cellStyle name="Currency RU calc 5 2 3 2 2" xfId="29289"/>
    <cellStyle name="Currency RU calc 5 2 3 2 3" xfId="29290"/>
    <cellStyle name="Currency RU calc 5 2 3 2 4" xfId="29291"/>
    <cellStyle name="Currency RU calc 5 2 3 2 5" xfId="29292"/>
    <cellStyle name="Currency RU calc 5 2 3 2 6" xfId="29293"/>
    <cellStyle name="Currency RU calc 5 2 3 2 7" xfId="29294"/>
    <cellStyle name="Currency RU calc 5 2 3 2 8" xfId="29295"/>
    <cellStyle name="Currency RU calc 5 2 3 2 9" xfId="29296"/>
    <cellStyle name="Currency RU calc 5 2 3 3" xfId="29297"/>
    <cellStyle name="Currency RU calc 5 2 3 4" xfId="29298"/>
    <cellStyle name="Currency RU calc 5 2 3 5" xfId="29299"/>
    <cellStyle name="Currency RU calc 5 2 3 6" xfId="29300"/>
    <cellStyle name="Currency RU calc 5 2 3 7" xfId="29301"/>
    <cellStyle name="Currency RU calc 5 2 3 8" xfId="29302"/>
    <cellStyle name="Currency RU calc 5 2 3 9" xfId="29303"/>
    <cellStyle name="Currency RU calc 5 3" xfId="29304"/>
    <cellStyle name="Currency RU calc 5 3 10" xfId="29305"/>
    <cellStyle name="Currency RU calc 5 3 11" xfId="29306"/>
    <cellStyle name="Currency RU calc 5 3 12" xfId="29307"/>
    <cellStyle name="Currency RU calc 5 3 13" xfId="29308"/>
    <cellStyle name="Currency RU calc 5 3 14" xfId="29309"/>
    <cellStyle name="Currency RU calc 5 3 15" xfId="29310"/>
    <cellStyle name="Currency RU calc 5 3 16" xfId="29311"/>
    <cellStyle name="Currency RU calc 5 3 17" xfId="29312"/>
    <cellStyle name="Currency RU calc 5 3 2" xfId="29313"/>
    <cellStyle name="Currency RU calc 5 3 2 2" xfId="29314"/>
    <cellStyle name="Currency RU calc 5 3 2 3" xfId="29315"/>
    <cellStyle name="Currency RU calc 5 3 2 4" xfId="29316"/>
    <cellStyle name="Currency RU calc 5 3 2 5" xfId="29317"/>
    <cellStyle name="Currency RU calc 5 3 2 6" xfId="29318"/>
    <cellStyle name="Currency RU calc 5 3 2 7" xfId="29319"/>
    <cellStyle name="Currency RU calc 5 3 2 8" xfId="29320"/>
    <cellStyle name="Currency RU calc 5 3 2 9" xfId="29321"/>
    <cellStyle name="Currency RU calc 5 3 3" xfId="29322"/>
    <cellStyle name="Currency RU calc 5 3 4" xfId="29323"/>
    <cellStyle name="Currency RU calc 5 3 5" xfId="29324"/>
    <cellStyle name="Currency RU calc 5 3 6" xfId="29325"/>
    <cellStyle name="Currency RU calc 5 3 7" xfId="29326"/>
    <cellStyle name="Currency RU calc 5 3 8" xfId="29327"/>
    <cellStyle name="Currency RU calc 5 3 9" xfId="29328"/>
    <cellStyle name="Currency RU calc 5 4" xfId="29329"/>
    <cellStyle name="Currency RU calc 5 4 10" xfId="29330"/>
    <cellStyle name="Currency RU calc 5 4 11" xfId="29331"/>
    <cellStyle name="Currency RU calc 5 4 12" xfId="29332"/>
    <cellStyle name="Currency RU calc 5 4 13" xfId="29333"/>
    <cellStyle name="Currency RU calc 5 4 14" xfId="29334"/>
    <cellStyle name="Currency RU calc 5 4 15" xfId="29335"/>
    <cellStyle name="Currency RU calc 5 4 16" xfId="29336"/>
    <cellStyle name="Currency RU calc 5 4 2" xfId="29337"/>
    <cellStyle name="Currency RU calc 5 4 2 2" xfId="29338"/>
    <cellStyle name="Currency RU calc 5 4 2 3" xfId="29339"/>
    <cellStyle name="Currency RU calc 5 4 2 4" xfId="29340"/>
    <cellStyle name="Currency RU calc 5 4 2 5" xfId="29341"/>
    <cellStyle name="Currency RU calc 5 4 2 6" xfId="29342"/>
    <cellStyle name="Currency RU calc 5 4 2 7" xfId="29343"/>
    <cellStyle name="Currency RU calc 5 4 2 8" xfId="29344"/>
    <cellStyle name="Currency RU calc 5 4 2 9" xfId="29345"/>
    <cellStyle name="Currency RU calc 5 4 3" xfId="29346"/>
    <cellStyle name="Currency RU calc 5 4 4" xfId="29347"/>
    <cellStyle name="Currency RU calc 5 4 5" xfId="29348"/>
    <cellStyle name="Currency RU calc 5 4 6" xfId="29349"/>
    <cellStyle name="Currency RU calc 5 4 7" xfId="29350"/>
    <cellStyle name="Currency RU calc 5 4 8" xfId="29351"/>
    <cellStyle name="Currency RU calc 5 4 9" xfId="29352"/>
    <cellStyle name="Currency RU_CP-P (2)" xfId="29353"/>
    <cellStyle name="Currency*" xfId="29354"/>
    <cellStyle name="Currency_0_Cash" xfId="29355"/>
    <cellStyle name="Currency0" xfId="29356"/>
    <cellStyle name="Currency0 10" xfId="29357"/>
    <cellStyle name="Currency0 11" xfId="29358"/>
    <cellStyle name="Currency0 12" xfId="29359"/>
    <cellStyle name="Currency0 13" xfId="29360"/>
    <cellStyle name="Currency0 2" xfId="29361"/>
    <cellStyle name="Currency0 3" xfId="29362"/>
    <cellStyle name="Currency0 4" xfId="29363"/>
    <cellStyle name="Currency0 5" xfId="29364"/>
    <cellStyle name="Currency0 6" xfId="29365"/>
    <cellStyle name="Currency0 7" xfId="29366"/>
    <cellStyle name="Currency0 8" xfId="29367"/>
    <cellStyle name="Currency0 9" xfId="29368"/>
    <cellStyle name="Currency0_План ДСМ ноябрь 2011 ОТЧЕТ" xfId="29369"/>
    <cellStyle name="Currency2" xfId="29370"/>
    <cellStyle name="d" xfId="29371"/>
    <cellStyle name="Dash" xfId="29372"/>
    <cellStyle name="Data style" xfId="29373"/>
    <cellStyle name="Data style 2" xfId="29374"/>
    <cellStyle name="Data_1" xfId="29375"/>
    <cellStyle name="Date" xfId="29376"/>
    <cellStyle name="Date 10" xfId="29377"/>
    <cellStyle name="Date 11" xfId="29378"/>
    <cellStyle name="Date 12" xfId="29379"/>
    <cellStyle name="Date 13" xfId="29380"/>
    <cellStyle name="Date 2" xfId="29381"/>
    <cellStyle name="Date 3" xfId="29382"/>
    <cellStyle name="Date 4" xfId="29383"/>
    <cellStyle name="Date 5" xfId="29384"/>
    <cellStyle name="Date 6" xfId="29385"/>
    <cellStyle name="Date 7" xfId="29386"/>
    <cellStyle name="Date 8" xfId="29387"/>
    <cellStyle name="Date 9" xfId="29388"/>
    <cellStyle name="Date Aligned" xfId="29389"/>
    <cellStyle name="Date Aligned*" xfId="29390"/>
    <cellStyle name="Date Aligned_book1 Chart 1" xfId="29391"/>
    <cellStyle name="Date EN" xfId="29392"/>
    <cellStyle name="Date EN 2" xfId="29393"/>
    <cellStyle name="Date EN 2 2" xfId="29394"/>
    <cellStyle name="Date EN 2 3" xfId="29395"/>
    <cellStyle name="Date EN 3" xfId="29396"/>
    <cellStyle name="Date EN 3 2" xfId="29397"/>
    <cellStyle name="Date EN 3 3" xfId="29398"/>
    <cellStyle name="Date EN 4" xfId="29399"/>
    <cellStyle name="Date EN 5" xfId="29400"/>
    <cellStyle name="Date RU" xfId="29401"/>
    <cellStyle name="Date RU 2" xfId="29402"/>
    <cellStyle name="Date RU 2 2" xfId="29403"/>
    <cellStyle name="Date RU 2 3" xfId="29404"/>
    <cellStyle name="Date RU 3" xfId="29405"/>
    <cellStyle name="Date RU 3 2" xfId="29406"/>
    <cellStyle name="Date RU 3 3" xfId="29407"/>
    <cellStyle name="Date RU 4" xfId="29408"/>
    <cellStyle name="Date RU 5" xfId="29409"/>
    <cellStyle name="Date_13.2 Ремонты 2006г. для аудиторов" xfId="29410"/>
    <cellStyle name="Date2" xfId="29411"/>
    <cellStyle name="Debit" xfId="29412"/>
    <cellStyle name="Debit subtotal" xfId="29413"/>
    <cellStyle name="Debit subtotal 10" xfId="29414"/>
    <cellStyle name="Debit subtotal 10 2" xfId="29415"/>
    <cellStyle name="Debit subtotal 10 2 2" xfId="29416"/>
    <cellStyle name="Debit subtotal 10 2 2 10" xfId="29417"/>
    <cellStyle name="Debit subtotal 10 2 2 11" xfId="29418"/>
    <cellStyle name="Debit subtotal 10 2 2 12" xfId="29419"/>
    <cellStyle name="Debit subtotal 10 2 2 13" xfId="29420"/>
    <cellStyle name="Debit subtotal 10 2 2 14" xfId="29421"/>
    <cellStyle name="Debit subtotal 10 2 2 15" xfId="29422"/>
    <cellStyle name="Debit subtotal 10 2 2 16" xfId="29423"/>
    <cellStyle name="Debit subtotal 10 2 2 17" xfId="29424"/>
    <cellStyle name="Debit subtotal 10 2 2 18" xfId="29425"/>
    <cellStyle name="Debit subtotal 10 2 2 19" xfId="29426"/>
    <cellStyle name="Debit subtotal 10 2 2 2" xfId="29427"/>
    <cellStyle name="Debit subtotal 10 2 2 2 2" xfId="29428"/>
    <cellStyle name="Debit subtotal 10 2 2 2 3" xfId="29429"/>
    <cellStyle name="Debit subtotal 10 2 2 2 4" xfId="29430"/>
    <cellStyle name="Debit subtotal 10 2 2 2 5" xfId="29431"/>
    <cellStyle name="Debit subtotal 10 2 2 2 6" xfId="29432"/>
    <cellStyle name="Debit subtotal 10 2 2 2 7" xfId="29433"/>
    <cellStyle name="Debit subtotal 10 2 2 2 8" xfId="29434"/>
    <cellStyle name="Debit subtotal 10 2 2 2 9" xfId="29435"/>
    <cellStyle name="Debit subtotal 10 2 2 20" xfId="29436"/>
    <cellStyle name="Debit subtotal 10 2 2 21" xfId="29437"/>
    <cellStyle name="Debit subtotal 10 2 2 3" xfId="29438"/>
    <cellStyle name="Debit subtotal 10 2 2 4" xfId="29439"/>
    <cellStyle name="Debit subtotal 10 2 2 5" xfId="29440"/>
    <cellStyle name="Debit subtotal 10 2 2 6" xfId="29441"/>
    <cellStyle name="Debit subtotal 10 2 2 7" xfId="29442"/>
    <cellStyle name="Debit subtotal 10 2 2 8" xfId="29443"/>
    <cellStyle name="Debit subtotal 10 2 2 9" xfId="29444"/>
    <cellStyle name="Debit subtotal 10 2 3" xfId="29445"/>
    <cellStyle name="Debit subtotal 10 2 3 10" xfId="29446"/>
    <cellStyle name="Debit subtotal 10 2 3 11" xfId="29447"/>
    <cellStyle name="Debit subtotal 10 2 3 12" xfId="29448"/>
    <cellStyle name="Debit subtotal 10 2 3 13" xfId="29449"/>
    <cellStyle name="Debit subtotal 10 2 3 14" xfId="29450"/>
    <cellStyle name="Debit subtotal 10 2 3 15" xfId="29451"/>
    <cellStyle name="Debit subtotal 10 2 3 16" xfId="29452"/>
    <cellStyle name="Debit subtotal 10 2 3 17" xfId="29453"/>
    <cellStyle name="Debit subtotal 10 2 3 18" xfId="29454"/>
    <cellStyle name="Debit subtotal 10 2 3 19" xfId="29455"/>
    <cellStyle name="Debit subtotal 10 2 3 2" xfId="29456"/>
    <cellStyle name="Debit subtotal 10 2 3 2 2" xfId="29457"/>
    <cellStyle name="Debit subtotal 10 2 3 2 3" xfId="29458"/>
    <cellStyle name="Debit subtotal 10 2 3 2 4" xfId="29459"/>
    <cellStyle name="Debit subtotal 10 2 3 2 5" xfId="29460"/>
    <cellStyle name="Debit subtotal 10 2 3 2 6" xfId="29461"/>
    <cellStyle name="Debit subtotal 10 2 3 2 7" xfId="29462"/>
    <cellStyle name="Debit subtotal 10 2 3 2 8" xfId="29463"/>
    <cellStyle name="Debit subtotal 10 2 3 2 9" xfId="29464"/>
    <cellStyle name="Debit subtotal 10 2 3 3" xfId="29465"/>
    <cellStyle name="Debit subtotal 10 2 3 4" xfId="29466"/>
    <cellStyle name="Debit subtotal 10 2 3 5" xfId="29467"/>
    <cellStyle name="Debit subtotal 10 2 3 6" xfId="29468"/>
    <cellStyle name="Debit subtotal 10 2 3 7" xfId="29469"/>
    <cellStyle name="Debit subtotal 10 2 3 8" xfId="29470"/>
    <cellStyle name="Debit subtotal 10 2 3 9" xfId="29471"/>
    <cellStyle name="Debit subtotal 10 2 4" xfId="29472"/>
    <cellStyle name="Debit subtotal 10 2 4 10" xfId="29473"/>
    <cellStyle name="Debit subtotal 10 2 4 11" xfId="29474"/>
    <cellStyle name="Debit subtotal 10 2 4 12" xfId="29475"/>
    <cellStyle name="Debit subtotal 10 2 4 13" xfId="29476"/>
    <cellStyle name="Debit subtotal 10 2 4 14" xfId="29477"/>
    <cellStyle name="Debit subtotal 10 2 4 15" xfId="29478"/>
    <cellStyle name="Debit subtotal 10 2 4 16" xfId="29479"/>
    <cellStyle name="Debit subtotal 10 2 4 17" xfId="29480"/>
    <cellStyle name="Debit subtotal 10 2 4 18" xfId="29481"/>
    <cellStyle name="Debit subtotal 10 2 4 2" xfId="29482"/>
    <cellStyle name="Debit subtotal 10 2 4 2 2" xfId="29483"/>
    <cellStyle name="Debit subtotal 10 2 4 2 3" xfId="29484"/>
    <cellStyle name="Debit subtotal 10 2 4 2 4" xfId="29485"/>
    <cellStyle name="Debit subtotal 10 2 4 2 5" xfId="29486"/>
    <cellStyle name="Debit subtotal 10 2 4 2 6" xfId="29487"/>
    <cellStyle name="Debit subtotal 10 2 4 2 7" xfId="29488"/>
    <cellStyle name="Debit subtotal 10 2 4 2 8" xfId="29489"/>
    <cellStyle name="Debit subtotal 10 2 4 2 9" xfId="29490"/>
    <cellStyle name="Debit subtotal 10 2 4 3" xfId="29491"/>
    <cellStyle name="Debit subtotal 10 2 4 4" xfId="29492"/>
    <cellStyle name="Debit subtotal 10 2 4 5" xfId="29493"/>
    <cellStyle name="Debit subtotal 10 2 4 6" xfId="29494"/>
    <cellStyle name="Debit subtotal 10 2 4 7" xfId="29495"/>
    <cellStyle name="Debit subtotal 10 2 4 8" xfId="29496"/>
    <cellStyle name="Debit subtotal 10 2 4 9" xfId="29497"/>
    <cellStyle name="Debit subtotal 10 2 5" xfId="29498"/>
    <cellStyle name="Debit subtotal 10 2 5 2" xfId="29499"/>
    <cellStyle name="Debit subtotal 10 2 5 3" xfId="29500"/>
    <cellStyle name="Debit subtotal 10 2 6" xfId="29501"/>
    <cellStyle name="Debit subtotal 10 3" xfId="29502"/>
    <cellStyle name="Debit subtotal 10 3 2" xfId="29503"/>
    <cellStyle name="Debit subtotal 10 3 2 10" xfId="29504"/>
    <cellStyle name="Debit subtotal 10 3 2 11" xfId="29505"/>
    <cellStyle name="Debit subtotal 10 3 2 12" xfId="29506"/>
    <cellStyle name="Debit subtotal 10 3 2 13" xfId="29507"/>
    <cellStyle name="Debit subtotal 10 3 2 14" xfId="29508"/>
    <cellStyle name="Debit subtotal 10 3 2 15" xfId="29509"/>
    <cellStyle name="Debit subtotal 10 3 2 16" xfId="29510"/>
    <cellStyle name="Debit subtotal 10 3 2 17" xfId="29511"/>
    <cellStyle name="Debit subtotal 10 3 2 18" xfId="29512"/>
    <cellStyle name="Debit subtotal 10 3 2 19" xfId="29513"/>
    <cellStyle name="Debit subtotal 10 3 2 2" xfId="29514"/>
    <cellStyle name="Debit subtotal 10 3 2 2 2" xfId="29515"/>
    <cellStyle name="Debit subtotal 10 3 2 2 3" xfId="29516"/>
    <cellStyle name="Debit subtotal 10 3 2 2 4" xfId="29517"/>
    <cellStyle name="Debit subtotal 10 3 2 2 5" xfId="29518"/>
    <cellStyle name="Debit subtotal 10 3 2 2 6" xfId="29519"/>
    <cellStyle name="Debit subtotal 10 3 2 2 7" xfId="29520"/>
    <cellStyle name="Debit subtotal 10 3 2 2 8" xfId="29521"/>
    <cellStyle name="Debit subtotal 10 3 2 2 9" xfId="29522"/>
    <cellStyle name="Debit subtotal 10 3 2 20" xfId="29523"/>
    <cellStyle name="Debit subtotal 10 3 2 21" xfId="29524"/>
    <cellStyle name="Debit subtotal 10 3 2 3" xfId="29525"/>
    <cellStyle name="Debit subtotal 10 3 2 4" xfId="29526"/>
    <cellStyle name="Debit subtotal 10 3 2 5" xfId="29527"/>
    <cellStyle name="Debit subtotal 10 3 2 6" xfId="29528"/>
    <cellStyle name="Debit subtotal 10 3 2 7" xfId="29529"/>
    <cellStyle name="Debit subtotal 10 3 2 8" xfId="29530"/>
    <cellStyle name="Debit subtotal 10 3 2 9" xfId="29531"/>
    <cellStyle name="Debit subtotal 10 3 3" xfId="29532"/>
    <cellStyle name="Debit subtotal 10 3 3 10" xfId="29533"/>
    <cellStyle name="Debit subtotal 10 3 3 11" xfId="29534"/>
    <cellStyle name="Debit subtotal 10 3 3 12" xfId="29535"/>
    <cellStyle name="Debit subtotal 10 3 3 13" xfId="29536"/>
    <cellStyle name="Debit subtotal 10 3 3 14" xfId="29537"/>
    <cellStyle name="Debit subtotal 10 3 3 15" xfId="29538"/>
    <cellStyle name="Debit subtotal 10 3 3 16" xfId="29539"/>
    <cellStyle name="Debit subtotal 10 3 3 17" xfId="29540"/>
    <cellStyle name="Debit subtotal 10 3 3 18" xfId="29541"/>
    <cellStyle name="Debit subtotal 10 3 3 19" xfId="29542"/>
    <cellStyle name="Debit subtotal 10 3 3 2" xfId="29543"/>
    <cellStyle name="Debit subtotal 10 3 3 2 2" xfId="29544"/>
    <cellStyle name="Debit subtotal 10 3 3 2 3" xfId="29545"/>
    <cellStyle name="Debit subtotal 10 3 3 2 4" xfId="29546"/>
    <cellStyle name="Debit subtotal 10 3 3 2 5" xfId="29547"/>
    <cellStyle name="Debit subtotal 10 3 3 2 6" xfId="29548"/>
    <cellStyle name="Debit subtotal 10 3 3 2 7" xfId="29549"/>
    <cellStyle name="Debit subtotal 10 3 3 2 8" xfId="29550"/>
    <cellStyle name="Debit subtotal 10 3 3 2 9" xfId="29551"/>
    <cellStyle name="Debit subtotal 10 3 3 3" xfId="29552"/>
    <cellStyle name="Debit subtotal 10 3 3 4" xfId="29553"/>
    <cellStyle name="Debit subtotal 10 3 3 5" xfId="29554"/>
    <cellStyle name="Debit subtotal 10 3 3 6" xfId="29555"/>
    <cellStyle name="Debit subtotal 10 3 3 7" xfId="29556"/>
    <cellStyle name="Debit subtotal 10 3 3 8" xfId="29557"/>
    <cellStyle name="Debit subtotal 10 3 3 9" xfId="29558"/>
    <cellStyle name="Debit subtotal 10 3 4" xfId="29559"/>
    <cellStyle name="Debit subtotal 10 3 4 10" xfId="29560"/>
    <cellStyle name="Debit subtotal 10 3 4 11" xfId="29561"/>
    <cellStyle name="Debit subtotal 10 3 4 12" xfId="29562"/>
    <cellStyle name="Debit subtotal 10 3 4 13" xfId="29563"/>
    <cellStyle name="Debit subtotal 10 3 4 14" xfId="29564"/>
    <cellStyle name="Debit subtotal 10 3 4 15" xfId="29565"/>
    <cellStyle name="Debit subtotal 10 3 4 16" xfId="29566"/>
    <cellStyle name="Debit subtotal 10 3 4 17" xfId="29567"/>
    <cellStyle name="Debit subtotal 10 3 4 18" xfId="29568"/>
    <cellStyle name="Debit subtotal 10 3 4 2" xfId="29569"/>
    <cellStyle name="Debit subtotal 10 3 4 2 2" xfId="29570"/>
    <cellStyle name="Debit subtotal 10 3 4 2 3" xfId="29571"/>
    <cellStyle name="Debit subtotal 10 3 4 2 4" xfId="29572"/>
    <cellStyle name="Debit subtotal 10 3 4 2 5" xfId="29573"/>
    <cellStyle name="Debit subtotal 10 3 4 2 6" xfId="29574"/>
    <cellStyle name="Debit subtotal 10 3 4 2 7" xfId="29575"/>
    <cellStyle name="Debit subtotal 10 3 4 2 8" xfId="29576"/>
    <cellStyle name="Debit subtotal 10 3 4 2 9" xfId="29577"/>
    <cellStyle name="Debit subtotal 10 3 4 3" xfId="29578"/>
    <cellStyle name="Debit subtotal 10 3 4 4" xfId="29579"/>
    <cellStyle name="Debit subtotal 10 3 4 5" xfId="29580"/>
    <cellStyle name="Debit subtotal 10 3 4 6" xfId="29581"/>
    <cellStyle name="Debit subtotal 10 3 4 7" xfId="29582"/>
    <cellStyle name="Debit subtotal 10 3 4 8" xfId="29583"/>
    <cellStyle name="Debit subtotal 10 3 4 9" xfId="29584"/>
    <cellStyle name="Debit subtotal 10 3 5" xfId="29585"/>
    <cellStyle name="Debit subtotal 10 3 5 2" xfId="29586"/>
    <cellStyle name="Debit subtotal 10 3 5 3" xfId="29587"/>
    <cellStyle name="Debit subtotal 10 3 6" xfId="29588"/>
    <cellStyle name="Debit subtotal 10 4" xfId="29589"/>
    <cellStyle name="Debit subtotal 10 4 10" xfId="29590"/>
    <cellStyle name="Debit subtotal 10 4 11" xfId="29591"/>
    <cellStyle name="Debit subtotal 10 4 12" xfId="29592"/>
    <cellStyle name="Debit subtotal 10 4 13" xfId="29593"/>
    <cellStyle name="Debit subtotal 10 4 14" xfId="29594"/>
    <cellStyle name="Debit subtotal 10 4 15" xfId="29595"/>
    <cellStyle name="Debit subtotal 10 4 16" xfId="29596"/>
    <cellStyle name="Debit subtotal 10 4 17" xfId="29597"/>
    <cellStyle name="Debit subtotal 10 4 18" xfId="29598"/>
    <cellStyle name="Debit subtotal 10 4 19" xfId="29599"/>
    <cellStyle name="Debit subtotal 10 4 2" xfId="29600"/>
    <cellStyle name="Debit subtotal 10 4 2 2" xfId="29601"/>
    <cellStyle name="Debit subtotal 10 4 2 3" xfId="29602"/>
    <cellStyle name="Debit subtotal 10 4 2 4" xfId="29603"/>
    <cellStyle name="Debit subtotal 10 4 2 5" xfId="29604"/>
    <cellStyle name="Debit subtotal 10 4 2 6" xfId="29605"/>
    <cellStyle name="Debit subtotal 10 4 2 7" xfId="29606"/>
    <cellStyle name="Debit subtotal 10 4 2 8" xfId="29607"/>
    <cellStyle name="Debit subtotal 10 4 2 9" xfId="29608"/>
    <cellStyle name="Debit subtotal 10 4 20" xfId="29609"/>
    <cellStyle name="Debit subtotal 10 4 21" xfId="29610"/>
    <cellStyle name="Debit subtotal 10 4 3" xfId="29611"/>
    <cellStyle name="Debit subtotal 10 4 4" xfId="29612"/>
    <cellStyle name="Debit subtotal 10 4 5" xfId="29613"/>
    <cellStyle name="Debit subtotal 10 4 6" xfId="29614"/>
    <cellStyle name="Debit subtotal 10 4 7" xfId="29615"/>
    <cellStyle name="Debit subtotal 10 4 8" xfId="29616"/>
    <cellStyle name="Debit subtotal 10 4 9" xfId="29617"/>
    <cellStyle name="Debit subtotal 10 5" xfId="29618"/>
    <cellStyle name="Debit subtotal 10 5 10" xfId="29619"/>
    <cellStyle name="Debit subtotal 10 5 11" xfId="29620"/>
    <cellStyle name="Debit subtotal 10 5 12" xfId="29621"/>
    <cellStyle name="Debit subtotal 10 5 13" xfId="29622"/>
    <cellStyle name="Debit subtotal 10 5 14" xfId="29623"/>
    <cellStyle name="Debit subtotal 10 5 15" xfId="29624"/>
    <cellStyle name="Debit subtotal 10 5 16" xfId="29625"/>
    <cellStyle name="Debit subtotal 10 5 17" xfId="29626"/>
    <cellStyle name="Debit subtotal 10 5 18" xfId="29627"/>
    <cellStyle name="Debit subtotal 10 5 19" xfId="29628"/>
    <cellStyle name="Debit subtotal 10 5 2" xfId="29629"/>
    <cellStyle name="Debit subtotal 10 5 2 2" xfId="29630"/>
    <cellStyle name="Debit subtotal 10 5 2 3" xfId="29631"/>
    <cellStyle name="Debit subtotal 10 5 2 4" xfId="29632"/>
    <cellStyle name="Debit subtotal 10 5 2 5" xfId="29633"/>
    <cellStyle name="Debit subtotal 10 5 2 6" xfId="29634"/>
    <cellStyle name="Debit subtotal 10 5 2 7" xfId="29635"/>
    <cellStyle name="Debit subtotal 10 5 2 8" xfId="29636"/>
    <cellStyle name="Debit subtotal 10 5 2 9" xfId="29637"/>
    <cellStyle name="Debit subtotal 10 5 3" xfId="29638"/>
    <cellStyle name="Debit subtotal 10 5 4" xfId="29639"/>
    <cellStyle name="Debit subtotal 10 5 5" xfId="29640"/>
    <cellStyle name="Debit subtotal 10 5 6" xfId="29641"/>
    <cellStyle name="Debit subtotal 10 5 7" xfId="29642"/>
    <cellStyle name="Debit subtotal 10 5 8" xfId="29643"/>
    <cellStyle name="Debit subtotal 10 5 9" xfId="29644"/>
    <cellStyle name="Debit subtotal 10 6" xfId="29645"/>
    <cellStyle name="Debit subtotal 10 6 10" xfId="29646"/>
    <cellStyle name="Debit subtotal 10 6 11" xfId="29647"/>
    <cellStyle name="Debit subtotal 10 6 12" xfId="29648"/>
    <cellStyle name="Debit subtotal 10 6 13" xfId="29649"/>
    <cellStyle name="Debit subtotal 10 6 14" xfId="29650"/>
    <cellStyle name="Debit subtotal 10 6 15" xfId="29651"/>
    <cellStyle name="Debit subtotal 10 6 16" xfId="29652"/>
    <cellStyle name="Debit subtotal 10 6 17" xfId="29653"/>
    <cellStyle name="Debit subtotal 10 6 18" xfId="29654"/>
    <cellStyle name="Debit subtotal 10 6 2" xfId="29655"/>
    <cellStyle name="Debit subtotal 10 6 2 2" xfId="29656"/>
    <cellStyle name="Debit subtotal 10 6 2 3" xfId="29657"/>
    <cellStyle name="Debit subtotal 10 6 2 4" xfId="29658"/>
    <cellStyle name="Debit subtotal 10 6 2 5" xfId="29659"/>
    <cellStyle name="Debit subtotal 10 6 2 6" xfId="29660"/>
    <cellStyle name="Debit subtotal 10 6 2 7" xfId="29661"/>
    <cellStyle name="Debit subtotal 10 6 2 8" xfId="29662"/>
    <cellStyle name="Debit subtotal 10 6 2 9" xfId="29663"/>
    <cellStyle name="Debit subtotal 10 6 3" xfId="29664"/>
    <cellStyle name="Debit subtotal 10 6 4" xfId="29665"/>
    <cellStyle name="Debit subtotal 10 6 5" xfId="29666"/>
    <cellStyle name="Debit subtotal 10 6 6" xfId="29667"/>
    <cellStyle name="Debit subtotal 10 6 7" xfId="29668"/>
    <cellStyle name="Debit subtotal 10 6 8" xfId="29669"/>
    <cellStyle name="Debit subtotal 10 6 9" xfId="29670"/>
    <cellStyle name="Debit subtotal 10 7" xfId="29671"/>
    <cellStyle name="Debit subtotal 10 7 2" xfId="29672"/>
    <cellStyle name="Debit subtotal 10 7 3" xfId="29673"/>
    <cellStyle name="Debit subtotal 10 8" xfId="29674"/>
    <cellStyle name="Debit subtotal 11" xfId="29675"/>
    <cellStyle name="Debit subtotal 11 2" xfId="29676"/>
    <cellStyle name="Debit subtotal 11 2 10" xfId="29677"/>
    <cellStyle name="Debit subtotal 11 2 11" xfId="29678"/>
    <cellStyle name="Debit subtotal 11 2 12" xfId="29679"/>
    <cellStyle name="Debit subtotal 11 2 13" xfId="29680"/>
    <cellStyle name="Debit subtotal 11 2 14" xfId="29681"/>
    <cellStyle name="Debit subtotal 11 2 15" xfId="29682"/>
    <cellStyle name="Debit subtotal 11 2 16" xfId="29683"/>
    <cellStyle name="Debit subtotal 11 2 17" xfId="29684"/>
    <cellStyle name="Debit subtotal 11 2 18" xfId="29685"/>
    <cellStyle name="Debit subtotal 11 2 19" xfId="29686"/>
    <cellStyle name="Debit subtotal 11 2 2" xfId="29687"/>
    <cellStyle name="Debit subtotal 11 2 2 2" xfId="29688"/>
    <cellStyle name="Debit subtotal 11 2 2 3" xfId="29689"/>
    <cellStyle name="Debit subtotal 11 2 2 4" xfId="29690"/>
    <cellStyle name="Debit subtotal 11 2 2 5" xfId="29691"/>
    <cellStyle name="Debit subtotal 11 2 2 6" xfId="29692"/>
    <cellStyle name="Debit subtotal 11 2 2 7" xfId="29693"/>
    <cellStyle name="Debit subtotal 11 2 2 8" xfId="29694"/>
    <cellStyle name="Debit subtotal 11 2 2 9" xfId="29695"/>
    <cellStyle name="Debit subtotal 11 2 20" xfId="29696"/>
    <cellStyle name="Debit subtotal 11 2 21" xfId="29697"/>
    <cellStyle name="Debit subtotal 11 2 3" xfId="29698"/>
    <cellStyle name="Debit subtotal 11 2 4" xfId="29699"/>
    <cellStyle name="Debit subtotal 11 2 5" xfId="29700"/>
    <cellStyle name="Debit subtotal 11 2 6" xfId="29701"/>
    <cellStyle name="Debit subtotal 11 2 7" xfId="29702"/>
    <cellStyle name="Debit subtotal 11 2 8" xfId="29703"/>
    <cellStyle name="Debit subtotal 11 2 9" xfId="29704"/>
    <cellStyle name="Debit subtotal 11 3" xfId="29705"/>
    <cellStyle name="Debit subtotal 11 3 10" xfId="29706"/>
    <cellStyle name="Debit subtotal 11 3 11" xfId="29707"/>
    <cellStyle name="Debit subtotal 11 3 12" xfId="29708"/>
    <cellStyle name="Debit subtotal 11 3 13" xfId="29709"/>
    <cellStyle name="Debit subtotal 11 3 14" xfId="29710"/>
    <cellStyle name="Debit subtotal 11 3 15" xfId="29711"/>
    <cellStyle name="Debit subtotal 11 3 16" xfId="29712"/>
    <cellStyle name="Debit subtotal 11 3 17" xfId="29713"/>
    <cellStyle name="Debit subtotal 11 3 18" xfId="29714"/>
    <cellStyle name="Debit subtotal 11 3 19" xfId="29715"/>
    <cellStyle name="Debit subtotal 11 3 2" xfId="29716"/>
    <cellStyle name="Debit subtotal 11 3 2 2" xfId="29717"/>
    <cellStyle name="Debit subtotal 11 3 2 3" xfId="29718"/>
    <cellStyle name="Debit subtotal 11 3 2 4" xfId="29719"/>
    <cellStyle name="Debit subtotal 11 3 2 5" xfId="29720"/>
    <cellStyle name="Debit subtotal 11 3 2 6" xfId="29721"/>
    <cellStyle name="Debit subtotal 11 3 2 7" xfId="29722"/>
    <cellStyle name="Debit subtotal 11 3 2 8" xfId="29723"/>
    <cellStyle name="Debit subtotal 11 3 2 9" xfId="29724"/>
    <cellStyle name="Debit subtotal 11 3 3" xfId="29725"/>
    <cellStyle name="Debit subtotal 11 3 4" xfId="29726"/>
    <cellStyle name="Debit subtotal 11 3 5" xfId="29727"/>
    <cellStyle name="Debit subtotal 11 3 6" xfId="29728"/>
    <cellStyle name="Debit subtotal 11 3 7" xfId="29729"/>
    <cellStyle name="Debit subtotal 11 3 8" xfId="29730"/>
    <cellStyle name="Debit subtotal 11 3 9" xfId="29731"/>
    <cellStyle name="Debit subtotal 11 4" xfId="29732"/>
    <cellStyle name="Debit subtotal 11 4 10" xfId="29733"/>
    <cellStyle name="Debit subtotal 11 4 11" xfId="29734"/>
    <cellStyle name="Debit subtotal 11 4 12" xfId="29735"/>
    <cellStyle name="Debit subtotal 11 4 13" xfId="29736"/>
    <cellStyle name="Debit subtotal 11 4 14" xfId="29737"/>
    <cellStyle name="Debit subtotal 11 4 15" xfId="29738"/>
    <cellStyle name="Debit subtotal 11 4 16" xfId="29739"/>
    <cellStyle name="Debit subtotal 11 4 17" xfId="29740"/>
    <cellStyle name="Debit subtotal 11 4 18" xfId="29741"/>
    <cellStyle name="Debit subtotal 11 4 2" xfId="29742"/>
    <cellStyle name="Debit subtotal 11 4 2 2" xfId="29743"/>
    <cellStyle name="Debit subtotal 11 4 2 3" xfId="29744"/>
    <cellStyle name="Debit subtotal 11 4 2 4" xfId="29745"/>
    <cellStyle name="Debit subtotal 11 4 2 5" xfId="29746"/>
    <cellStyle name="Debit subtotal 11 4 2 6" xfId="29747"/>
    <cellStyle name="Debit subtotal 11 4 2 7" xfId="29748"/>
    <cellStyle name="Debit subtotal 11 4 2 8" xfId="29749"/>
    <cellStyle name="Debit subtotal 11 4 2 9" xfId="29750"/>
    <cellStyle name="Debit subtotal 11 4 3" xfId="29751"/>
    <cellStyle name="Debit subtotal 11 4 4" xfId="29752"/>
    <cellStyle name="Debit subtotal 11 4 5" xfId="29753"/>
    <cellStyle name="Debit subtotal 11 4 6" xfId="29754"/>
    <cellStyle name="Debit subtotal 11 4 7" xfId="29755"/>
    <cellStyle name="Debit subtotal 11 4 8" xfId="29756"/>
    <cellStyle name="Debit subtotal 11 4 9" xfId="29757"/>
    <cellStyle name="Debit subtotal 11 5" xfId="29758"/>
    <cellStyle name="Debit subtotal 11 5 2" xfId="29759"/>
    <cellStyle name="Debit subtotal 11 5 3" xfId="29760"/>
    <cellStyle name="Debit subtotal 11 6" xfId="29761"/>
    <cellStyle name="Debit subtotal 12" xfId="29762"/>
    <cellStyle name="Debit subtotal 12 10" xfId="29763"/>
    <cellStyle name="Debit subtotal 12 11" xfId="29764"/>
    <cellStyle name="Debit subtotal 12 12" xfId="29765"/>
    <cellStyle name="Debit subtotal 12 13" xfId="29766"/>
    <cellStyle name="Debit subtotal 12 14" xfId="29767"/>
    <cellStyle name="Debit subtotal 12 15" xfId="29768"/>
    <cellStyle name="Debit subtotal 12 16" xfId="29769"/>
    <cellStyle name="Debit subtotal 12 17" xfId="29770"/>
    <cellStyle name="Debit subtotal 12 18" xfId="29771"/>
    <cellStyle name="Debit subtotal 12 19" xfId="29772"/>
    <cellStyle name="Debit subtotal 12 2" xfId="29773"/>
    <cellStyle name="Debit subtotal 12 2 2" xfId="29774"/>
    <cellStyle name="Debit subtotal 12 2 3" xfId="29775"/>
    <cellStyle name="Debit subtotal 12 2 4" xfId="29776"/>
    <cellStyle name="Debit subtotal 12 2 5" xfId="29777"/>
    <cellStyle name="Debit subtotal 12 2 6" xfId="29778"/>
    <cellStyle name="Debit subtotal 12 2 7" xfId="29779"/>
    <cellStyle name="Debit subtotal 12 2 8" xfId="29780"/>
    <cellStyle name="Debit subtotal 12 2 9" xfId="29781"/>
    <cellStyle name="Debit subtotal 12 20" xfId="29782"/>
    <cellStyle name="Debit subtotal 12 21" xfId="29783"/>
    <cellStyle name="Debit subtotal 12 3" xfId="29784"/>
    <cellStyle name="Debit subtotal 12 4" xfId="29785"/>
    <cellStyle name="Debit subtotal 12 5" xfId="29786"/>
    <cellStyle name="Debit subtotal 12 6" xfId="29787"/>
    <cellStyle name="Debit subtotal 12 7" xfId="29788"/>
    <cellStyle name="Debit subtotal 12 8" xfId="29789"/>
    <cellStyle name="Debit subtotal 12 9" xfId="29790"/>
    <cellStyle name="Debit subtotal 13" xfId="29791"/>
    <cellStyle name="Debit subtotal 13 2" xfId="29792"/>
    <cellStyle name="Debit subtotal 13 3" xfId="29793"/>
    <cellStyle name="Debit subtotal 14" xfId="29794"/>
    <cellStyle name="Debit subtotal 2" xfId="29795"/>
    <cellStyle name="Debit subtotal 2 10" xfId="29796"/>
    <cellStyle name="Debit subtotal 2 10 2" xfId="29797"/>
    <cellStyle name="Debit subtotal 2 10 2 10" xfId="29798"/>
    <cellStyle name="Debit subtotal 2 10 2 11" xfId="29799"/>
    <cellStyle name="Debit subtotal 2 10 2 12" xfId="29800"/>
    <cellStyle name="Debit subtotal 2 10 2 13" xfId="29801"/>
    <cellStyle name="Debit subtotal 2 10 2 14" xfId="29802"/>
    <cellStyle name="Debit subtotal 2 10 2 15" xfId="29803"/>
    <cellStyle name="Debit subtotal 2 10 2 16" xfId="29804"/>
    <cellStyle name="Debit subtotal 2 10 2 17" xfId="29805"/>
    <cellStyle name="Debit subtotal 2 10 2 18" xfId="29806"/>
    <cellStyle name="Debit subtotal 2 10 2 19" xfId="29807"/>
    <cellStyle name="Debit subtotal 2 10 2 2" xfId="29808"/>
    <cellStyle name="Debit subtotal 2 10 2 2 2" xfId="29809"/>
    <cellStyle name="Debit subtotal 2 10 2 2 3" xfId="29810"/>
    <cellStyle name="Debit subtotal 2 10 2 2 4" xfId="29811"/>
    <cellStyle name="Debit subtotal 2 10 2 2 5" xfId="29812"/>
    <cellStyle name="Debit subtotal 2 10 2 2 6" xfId="29813"/>
    <cellStyle name="Debit subtotal 2 10 2 2 7" xfId="29814"/>
    <cellStyle name="Debit subtotal 2 10 2 2 8" xfId="29815"/>
    <cellStyle name="Debit subtotal 2 10 2 2 9" xfId="29816"/>
    <cellStyle name="Debit subtotal 2 10 2 20" xfId="29817"/>
    <cellStyle name="Debit subtotal 2 10 2 21" xfId="29818"/>
    <cellStyle name="Debit subtotal 2 10 2 3" xfId="29819"/>
    <cellStyle name="Debit subtotal 2 10 2 4" xfId="29820"/>
    <cellStyle name="Debit subtotal 2 10 2 5" xfId="29821"/>
    <cellStyle name="Debit subtotal 2 10 2 6" xfId="29822"/>
    <cellStyle name="Debit subtotal 2 10 2 7" xfId="29823"/>
    <cellStyle name="Debit subtotal 2 10 2 8" xfId="29824"/>
    <cellStyle name="Debit subtotal 2 10 2 9" xfId="29825"/>
    <cellStyle name="Debit subtotal 2 10 3" xfId="29826"/>
    <cellStyle name="Debit subtotal 2 10 3 10" xfId="29827"/>
    <cellStyle name="Debit subtotal 2 10 3 11" xfId="29828"/>
    <cellStyle name="Debit subtotal 2 10 3 12" xfId="29829"/>
    <cellStyle name="Debit subtotal 2 10 3 13" xfId="29830"/>
    <cellStyle name="Debit subtotal 2 10 3 14" xfId="29831"/>
    <cellStyle name="Debit subtotal 2 10 3 15" xfId="29832"/>
    <cellStyle name="Debit subtotal 2 10 3 16" xfId="29833"/>
    <cellStyle name="Debit subtotal 2 10 3 17" xfId="29834"/>
    <cellStyle name="Debit subtotal 2 10 3 18" xfId="29835"/>
    <cellStyle name="Debit subtotal 2 10 3 19" xfId="29836"/>
    <cellStyle name="Debit subtotal 2 10 3 2" xfId="29837"/>
    <cellStyle name="Debit subtotal 2 10 3 2 2" xfId="29838"/>
    <cellStyle name="Debit subtotal 2 10 3 2 3" xfId="29839"/>
    <cellStyle name="Debit subtotal 2 10 3 2 4" xfId="29840"/>
    <cellStyle name="Debit subtotal 2 10 3 2 5" xfId="29841"/>
    <cellStyle name="Debit subtotal 2 10 3 2 6" xfId="29842"/>
    <cellStyle name="Debit subtotal 2 10 3 2 7" xfId="29843"/>
    <cellStyle name="Debit subtotal 2 10 3 2 8" xfId="29844"/>
    <cellStyle name="Debit subtotal 2 10 3 2 9" xfId="29845"/>
    <cellStyle name="Debit subtotal 2 10 3 3" xfId="29846"/>
    <cellStyle name="Debit subtotal 2 10 3 4" xfId="29847"/>
    <cellStyle name="Debit subtotal 2 10 3 5" xfId="29848"/>
    <cellStyle name="Debit subtotal 2 10 3 6" xfId="29849"/>
    <cellStyle name="Debit subtotal 2 10 3 7" xfId="29850"/>
    <cellStyle name="Debit subtotal 2 10 3 8" xfId="29851"/>
    <cellStyle name="Debit subtotal 2 10 3 9" xfId="29852"/>
    <cellStyle name="Debit subtotal 2 10 4" xfId="29853"/>
    <cellStyle name="Debit subtotal 2 10 4 10" xfId="29854"/>
    <cellStyle name="Debit subtotal 2 10 4 11" xfId="29855"/>
    <cellStyle name="Debit subtotal 2 10 4 12" xfId="29856"/>
    <cellStyle name="Debit subtotal 2 10 4 13" xfId="29857"/>
    <cellStyle name="Debit subtotal 2 10 4 14" xfId="29858"/>
    <cellStyle name="Debit subtotal 2 10 4 15" xfId="29859"/>
    <cellStyle name="Debit subtotal 2 10 4 16" xfId="29860"/>
    <cellStyle name="Debit subtotal 2 10 4 17" xfId="29861"/>
    <cellStyle name="Debit subtotal 2 10 4 18" xfId="29862"/>
    <cellStyle name="Debit subtotal 2 10 4 2" xfId="29863"/>
    <cellStyle name="Debit subtotal 2 10 4 2 2" xfId="29864"/>
    <cellStyle name="Debit subtotal 2 10 4 2 3" xfId="29865"/>
    <cellStyle name="Debit subtotal 2 10 4 2 4" xfId="29866"/>
    <cellStyle name="Debit subtotal 2 10 4 2 5" xfId="29867"/>
    <cellStyle name="Debit subtotal 2 10 4 2 6" xfId="29868"/>
    <cellStyle name="Debit subtotal 2 10 4 2 7" xfId="29869"/>
    <cellStyle name="Debit subtotal 2 10 4 2 8" xfId="29870"/>
    <cellStyle name="Debit subtotal 2 10 4 2 9" xfId="29871"/>
    <cellStyle name="Debit subtotal 2 10 4 3" xfId="29872"/>
    <cellStyle name="Debit subtotal 2 10 4 4" xfId="29873"/>
    <cellStyle name="Debit subtotal 2 10 4 5" xfId="29874"/>
    <cellStyle name="Debit subtotal 2 10 4 6" xfId="29875"/>
    <cellStyle name="Debit subtotal 2 10 4 7" xfId="29876"/>
    <cellStyle name="Debit subtotal 2 10 4 8" xfId="29877"/>
    <cellStyle name="Debit subtotal 2 10 4 9" xfId="29878"/>
    <cellStyle name="Debit subtotal 2 10 5" xfId="29879"/>
    <cellStyle name="Debit subtotal 2 10 5 2" xfId="29880"/>
    <cellStyle name="Debit subtotal 2 10 5 3" xfId="29881"/>
    <cellStyle name="Debit subtotal 2 10 6" xfId="29882"/>
    <cellStyle name="Debit subtotal 2 11" xfId="29883"/>
    <cellStyle name="Debit subtotal 2 11 10" xfId="29884"/>
    <cellStyle name="Debit subtotal 2 11 11" xfId="29885"/>
    <cellStyle name="Debit subtotal 2 11 12" xfId="29886"/>
    <cellStyle name="Debit subtotal 2 11 13" xfId="29887"/>
    <cellStyle name="Debit subtotal 2 11 14" xfId="29888"/>
    <cellStyle name="Debit subtotal 2 11 15" xfId="29889"/>
    <cellStyle name="Debit subtotal 2 11 16" xfId="29890"/>
    <cellStyle name="Debit subtotal 2 11 17" xfId="29891"/>
    <cellStyle name="Debit subtotal 2 11 18" xfId="29892"/>
    <cellStyle name="Debit subtotal 2 11 19" xfId="29893"/>
    <cellStyle name="Debit subtotal 2 11 2" xfId="29894"/>
    <cellStyle name="Debit subtotal 2 11 2 2" xfId="29895"/>
    <cellStyle name="Debit subtotal 2 11 2 3" xfId="29896"/>
    <cellStyle name="Debit subtotal 2 11 2 4" xfId="29897"/>
    <cellStyle name="Debit subtotal 2 11 2 5" xfId="29898"/>
    <cellStyle name="Debit subtotal 2 11 2 6" xfId="29899"/>
    <cellStyle name="Debit subtotal 2 11 2 7" xfId="29900"/>
    <cellStyle name="Debit subtotal 2 11 2 8" xfId="29901"/>
    <cellStyle name="Debit subtotal 2 11 2 9" xfId="29902"/>
    <cellStyle name="Debit subtotal 2 11 20" xfId="29903"/>
    <cellStyle name="Debit subtotal 2 11 21" xfId="29904"/>
    <cellStyle name="Debit subtotal 2 11 3" xfId="29905"/>
    <cellStyle name="Debit subtotal 2 11 4" xfId="29906"/>
    <cellStyle name="Debit subtotal 2 11 5" xfId="29907"/>
    <cellStyle name="Debit subtotal 2 11 6" xfId="29908"/>
    <cellStyle name="Debit subtotal 2 11 7" xfId="29909"/>
    <cellStyle name="Debit subtotal 2 11 8" xfId="29910"/>
    <cellStyle name="Debit subtotal 2 11 9" xfId="29911"/>
    <cellStyle name="Debit subtotal 2 12" xfId="29912"/>
    <cellStyle name="Debit subtotal 2 12 10" xfId="29913"/>
    <cellStyle name="Debit subtotal 2 12 11" xfId="29914"/>
    <cellStyle name="Debit subtotal 2 12 12" xfId="29915"/>
    <cellStyle name="Debit subtotal 2 12 13" xfId="29916"/>
    <cellStyle name="Debit subtotal 2 12 14" xfId="29917"/>
    <cellStyle name="Debit subtotal 2 12 15" xfId="29918"/>
    <cellStyle name="Debit subtotal 2 12 16" xfId="29919"/>
    <cellStyle name="Debit subtotal 2 12 17" xfId="29920"/>
    <cellStyle name="Debit subtotal 2 12 18" xfId="29921"/>
    <cellStyle name="Debit subtotal 2 12 19" xfId="29922"/>
    <cellStyle name="Debit subtotal 2 12 2" xfId="29923"/>
    <cellStyle name="Debit subtotal 2 12 2 2" xfId="29924"/>
    <cellStyle name="Debit subtotal 2 12 2 3" xfId="29925"/>
    <cellStyle name="Debit subtotal 2 12 2 4" xfId="29926"/>
    <cellStyle name="Debit subtotal 2 12 2 5" xfId="29927"/>
    <cellStyle name="Debit subtotal 2 12 2 6" xfId="29928"/>
    <cellStyle name="Debit subtotal 2 12 2 7" xfId="29929"/>
    <cellStyle name="Debit subtotal 2 12 2 8" xfId="29930"/>
    <cellStyle name="Debit subtotal 2 12 2 9" xfId="29931"/>
    <cellStyle name="Debit subtotal 2 12 3" xfId="29932"/>
    <cellStyle name="Debit subtotal 2 12 4" xfId="29933"/>
    <cellStyle name="Debit subtotal 2 12 5" xfId="29934"/>
    <cellStyle name="Debit subtotal 2 12 6" xfId="29935"/>
    <cellStyle name="Debit subtotal 2 12 7" xfId="29936"/>
    <cellStyle name="Debit subtotal 2 12 8" xfId="29937"/>
    <cellStyle name="Debit subtotal 2 12 9" xfId="29938"/>
    <cellStyle name="Debit subtotal 2 13" xfId="29939"/>
    <cellStyle name="Debit subtotal 2 13 10" xfId="29940"/>
    <cellStyle name="Debit subtotal 2 13 11" xfId="29941"/>
    <cellStyle name="Debit subtotal 2 13 12" xfId="29942"/>
    <cellStyle name="Debit subtotal 2 13 13" xfId="29943"/>
    <cellStyle name="Debit subtotal 2 13 14" xfId="29944"/>
    <cellStyle name="Debit subtotal 2 13 15" xfId="29945"/>
    <cellStyle name="Debit subtotal 2 13 16" xfId="29946"/>
    <cellStyle name="Debit subtotal 2 13 17" xfId="29947"/>
    <cellStyle name="Debit subtotal 2 13 18" xfId="29948"/>
    <cellStyle name="Debit subtotal 2 13 2" xfId="29949"/>
    <cellStyle name="Debit subtotal 2 13 2 2" xfId="29950"/>
    <cellStyle name="Debit subtotal 2 13 2 3" xfId="29951"/>
    <cellStyle name="Debit subtotal 2 13 2 4" xfId="29952"/>
    <cellStyle name="Debit subtotal 2 13 2 5" xfId="29953"/>
    <cellStyle name="Debit subtotal 2 13 2 6" xfId="29954"/>
    <cellStyle name="Debit subtotal 2 13 2 7" xfId="29955"/>
    <cellStyle name="Debit subtotal 2 13 2 8" xfId="29956"/>
    <cellStyle name="Debit subtotal 2 13 2 9" xfId="29957"/>
    <cellStyle name="Debit subtotal 2 13 3" xfId="29958"/>
    <cellStyle name="Debit subtotal 2 13 4" xfId="29959"/>
    <cellStyle name="Debit subtotal 2 13 5" xfId="29960"/>
    <cellStyle name="Debit subtotal 2 13 6" xfId="29961"/>
    <cellStyle name="Debit subtotal 2 13 7" xfId="29962"/>
    <cellStyle name="Debit subtotal 2 13 8" xfId="29963"/>
    <cellStyle name="Debit subtotal 2 13 9" xfId="29964"/>
    <cellStyle name="Debit subtotal 2 14" xfId="29965"/>
    <cellStyle name="Debit subtotal 2 14 2" xfId="29966"/>
    <cellStyle name="Debit subtotal 2 2" xfId="29967"/>
    <cellStyle name="Debit subtotal 2 2 2" xfId="29968"/>
    <cellStyle name="Debit subtotal 2 2 2 2" xfId="29969"/>
    <cellStyle name="Debit subtotal 2 2 2 2 10" xfId="29970"/>
    <cellStyle name="Debit subtotal 2 2 2 2 11" xfId="29971"/>
    <cellStyle name="Debit subtotal 2 2 2 2 12" xfId="29972"/>
    <cellStyle name="Debit subtotal 2 2 2 2 13" xfId="29973"/>
    <cellStyle name="Debit subtotal 2 2 2 2 14" xfId="29974"/>
    <cellStyle name="Debit subtotal 2 2 2 2 15" xfId="29975"/>
    <cellStyle name="Debit subtotal 2 2 2 2 16" xfId="29976"/>
    <cellStyle name="Debit subtotal 2 2 2 2 17" xfId="29977"/>
    <cellStyle name="Debit subtotal 2 2 2 2 18" xfId="29978"/>
    <cellStyle name="Debit subtotal 2 2 2 2 19" xfId="29979"/>
    <cellStyle name="Debit subtotal 2 2 2 2 2" xfId="29980"/>
    <cellStyle name="Debit subtotal 2 2 2 2 2 2" xfId="29981"/>
    <cellStyle name="Debit subtotal 2 2 2 2 2 3" xfId="29982"/>
    <cellStyle name="Debit subtotal 2 2 2 2 2 4" xfId="29983"/>
    <cellStyle name="Debit subtotal 2 2 2 2 2 5" xfId="29984"/>
    <cellStyle name="Debit subtotal 2 2 2 2 2 6" xfId="29985"/>
    <cellStyle name="Debit subtotal 2 2 2 2 2 7" xfId="29986"/>
    <cellStyle name="Debit subtotal 2 2 2 2 2 8" xfId="29987"/>
    <cellStyle name="Debit subtotal 2 2 2 2 2 9" xfId="29988"/>
    <cellStyle name="Debit subtotal 2 2 2 2 20" xfId="29989"/>
    <cellStyle name="Debit subtotal 2 2 2 2 21" xfId="29990"/>
    <cellStyle name="Debit subtotal 2 2 2 2 3" xfId="29991"/>
    <cellStyle name="Debit subtotal 2 2 2 2 4" xfId="29992"/>
    <cellStyle name="Debit subtotal 2 2 2 2 5" xfId="29993"/>
    <cellStyle name="Debit subtotal 2 2 2 2 6" xfId="29994"/>
    <cellStyle name="Debit subtotal 2 2 2 2 7" xfId="29995"/>
    <cellStyle name="Debit subtotal 2 2 2 2 8" xfId="29996"/>
    <cellStyle name="Debit subtotal 2 2 2 2 9" xfId="29997"/>
    <cellStyle name="Debit subtotal 2 2 2 3" xfId="29998"/>
    <cellStyle name="Debit subtotal 2 2 2 3 10" xfId="29999"/>
    <cellStyle name="Debit subtotal 2 2 2 3 11" xfId="30000"/>
    <cellStyle name="Debit subtotal 2 2 2 3 12" xfId="30001"/>
    <cellStyle name="Debit subtotal 2 2 2 3 13" xfId="30002"/>
    <cellStyle name="Debit subtotal 2 2 2 3 14" xfId="30003"/>
    <cellStyle name="Debit subtotal 2 2 2 3 15" xfId="30004"/>
    <cellStyle name="Debit subtotal 2 2 2 3 16" xfId="30005"/>
    <cellStyle name="Debit subtotal 2 2 2 3 17" xfId="30006"/>
    <cellStyle name="Debit subtotal 2 2 2 3 18" xfId="30007"/>
    <cellStyle name="Debit subtotal 2 2 2 3 19" xfId="30008"/>
    <cellStyle name="Debit subtotal 2 2 2 3 2" xfId="30009"/>
    <cellStyle name="Debit subtotal 2 2 2 3 2 2" xfId="30010"/>
    <cellStyle name="Debit subtotal 2 2 2 3 2 3" xfId="30011"/>
    <cellStyle name="Debit subtotal 2 2 2 3 2 4" xfId="30012"/>
    <cellStyle name="Debit subtotal 2 2 2 3 2 5" xfId="30013"/>
    <cellStyle name="Debit subtotal 2 2 2 3 2 6" xfId="30014"/>
    <cellStyle name="Debit subtotal 2 2 2 3 2 7" xfId="30015"/>
    <cellStyle name="Debit subtotal 2 2 2 3 2 8" xfId="30016"/>
    <cellStyle name="Debit subtotal 2 2 2 3 2 9" xfId="30017"/>
    <cellStyle name="Debit subtotal 2 2 2 3 3" xfId="30018"/>
    <cellStyle name="Debit subtotal 2 2 2 3 4" xfId="30019"/>
    <cellStyle name="Debit subtotal 2 2 2 3 5" xfId="30020"/>
    <cellStyle name="Debit subtotal 2 2 2 3 6" xfId="30021"/>
    <cellStyle name="Debit subtotal 2 2 2 3 7" xfId="30022"/>
    <cellStyle name="Debit subtotal 2 2 2 3 8" xfId="30023"/>
    <cellStyle name="Debit subtotal 2 2 2 3 9" xfId="30024"/>
    <cellStyle name="Debit subtotal 2 2 2 4" xfId="30025"/>
    <cellStyle name="Debit subtotal 2 2 2 4 10" xfId="30026"/>
    <cellStyle name="Debit subtotal 2 2 2 4 11" xfId="30027"/>
    <cellStyle name="Debit subtotal 2 2 2 4 12" xfId="30028"/>
    <cellStyle name="Debit subtotal 2 2 2 4 13" xfId="30029"/>
    <cellStyle name="Debit subtotal 2 2 2 4 14" xfId="30030"/>
    <cellStyle name="Debit subtotal 2 2 2 4 15" xfId="30031"/>
    <cellStyle name="Debit subtotal 2 2 2 4 16" xfId="30032"/>
    <cellStyle name="Debit subtotal 2 2 2 4 17" xfId="30033"/>
    <cellStyle name="Debit subtotal 2 2 2 4 18" xfId="30034"/>
    <cellStyle name="Debit subtotal 2 2 2 4 2" xfId="30035"/>
    <cellStyle name="Debit subtotal 2 2 2 4 2 2" xfId="30036"/>
    <cellStyle name="Debit subtotal 2 2 2 4 2 3" xfId="30037"/>
    <cellStyle name="Debit subtotal 2 2 2 4 2 4" xfId="30038"/>
    <cellStyle name="Debit subtotal 2 2 2 4 2 5" xfId="30039"/>
    <cellStyle name="Debit subtotal 2 2 2 4 2 6" xfId="30040"/>
    <cellStyle name="Debit subtotal 2 2 2 4 2 7" xfId="30041"/>
    <cellStyle name="Debit subtotal 2 2 2 4 2 8" xfId="30042"/>
    <cellStyle name="Debit subtotal 2 2 2 4 2 9" xfId="30043"/>
    <cellStyle name="Debit subtotal 2 2 2 4 3" xfId="30044"/>
    <cellStyle name="Debit subtotal 2 2 2 4 4" xfId="30045"/>
    <cellStyle name="Debit subtotal 2 2 2 4 5" xfId="30046"/>
    <cellStyle name="Debit subtotal 2 2 2 4 6" xfId="30047"/>
    <cellStyle name="Debit subtotal 2 2 2 4 7" xfId="30048"/>
    <cellStyle name="Debit subtotal 2 2 2 4 8" xfId="30049"/>
    <cellStyle name="Debit subtotal 2 2 2 4 9" xfId="30050"/>
    <cellStyle name="Debit subtotal 2 2 2 5" xfId="30051"/>
    <cellStyle name="Debit subtotal 2 2 2 5 2" xfId="30052"/>
    <cellStyle name="Debit subtotal 2 2 2 5 3" xfId="30053"/>
    <cellStyle name="Debit subtotal 2 2 2 6" xfId="30054"/>
    <cellStyle name="Debit subtotal 2 2 3" xfId="30055"/>
    <cellStyle name="Debit subtotal 2 2 3 2" xfId="30056"/>
    <cellStyle name="Debit subtotal 2 2 3 2 10" xfId="30057"/>
    <cellStyle name="Debit subtotal 2 2 3 2 11" xfId="30058"/>
    <cellStyle name="Debit subtotal 2 2 3 2 12" xfId="30059"/>
    <cellStyle name="Debit subtotal 2 2 3 2 13" xfId="30060"/>
    <cellStyle name="Debit subtotal 2 2 3 2 14" xfId="30061"/>
    <cellStyle name="Debit subtotal 2 2 3 2 15" xfId="30062"/>
    <cellStyle name="Debit subtotal 2 2 3 2 16" xfId="30063"/>
    <cellStyle name="Debit subtotal 2 2 3 2 17" xfId="30064"/>
    <cellStyle name="Debit subtotal 2 2 3 2 18" xfId="30065"/>
    <cellStyle name="Debit subtotal 2 2 3 2 19" xfId="30066"/>
    <cellStyle name="Debit subtotal 2 2 3 2 2" xfId="30067"/>
    <cellStyle name="Debit subtotal 2 2 3 2 2 2" xfId="30068"/>
    <cellStyle name="Debit subtotal 2 2 3 2 2 3" xfId="30069"/>
    <cellStyle name="Debit subtotal 2 2 3 2 2 4" xfId="30070"/>
    <cellStyle name="Debit subtotal 2 2 3 2 2 5" xfId="30071"/>
    <cellStyle name="Debit subtotal 2 2 3 2 2 6" xfId="30072"/>
    <cellStyle name="Debit subtotal 2 2 3 2 2 7" xfId="30073"/>
    <cellStyle name="Debit subtotal 2 2 3 2 2 8" xfId="30074"/>
    <cellStyle name="Debit subtotal 2 2 3 2 2 9" xfId="30075"/>
    <cellStyle name="Debit subtotal 2 2 3 2 20" xfId="30076"/>
    <cellStyle name="Debit subtotal 2 2 3 2 21" xfId="30077"/>
    <cellStyle name="Debit subtotal 2 2 3 2 3" xfId="30078"/>
    <cellStyle name="Debit subtotal 2 2 3 2 4" xfId="30079"/>
    <cellStyle name="Debit subtotal 2 2 3 2 5" xfId="30080"/>
    <cellStyle name="Debit subtotal 2 2 3 2 6" xfId="30081"/>
    <cellStyle name="Debit subtotal 2 2 3 2 7" xfId="30082"/>
    <cellStyle name="Debit subtotal 2 2 3 2 8" xfId="30083"/>
    <cellStyle name="Debit subtotal 2 2 3 2 9" xfId="30084"/>
    <cellStyle name="Debit subtotal 2 2 3 3" xfId="30085"/>
    <cellStyle name="Debit subtotal 2 2 3 3 10" xfId="30086"/>
    <cellStyle name="Debit subtotal 2 2 3 3 11" xfId="30087"/>
    <cellStyle name="Debit subtotal 2 2 3 3 12" xfId="30088"/>
    <cellStyle name="Debit subtotal 2 2 3 3 13" xfId="30089"/>
    <cellStyle name="Debit subtotal 2 2 3 3 14" xfId="30090"/>
    <cellStyle name="Debit subtotal 2 2 3 3 15" xfId="30091"/>
    <cellStyle name="Debit subtotal 2 2 3 3 16" xfId="30092"/>
    <cellStyle name="Debit subtotal 2 2 3 3 17" xfId="30093"/>
    <cellStyle name="Debit subtotal 2 2 3 3 18" xfId="30094"/>
    <cellStyle name="Debit subtotal 2 2 3 3 19" xfId="30095"/>
    <cellStyle name="Debit subtotal 2 2 3 3 2" xfId="30096"/>
    <cellStyle name="Debit subtotal 2 2 3 3 2 2" xfId="30097"/>
    <cellStyle name="Debit subtotal 2 2 3 3 2 3" xfId="30098"/>
    <cellStyle name="Debit subtotal 2 2 3 3 2 4" xfId="30099"/>
    <cellStyle name="Debit subtotal 2 2 3 3 2 5" xfId="30100"/>
    <cellStyle name="Debit subtotal 2 2 3 3 2 6" xfId="30101"/>
    <cellStyle name="Debit subtotal 2 2 3 3 2 7" xfId="30102"/>
    <cellStyle name="Debit subtotal 2 2 3 3 2 8" xfId="30103"/>
    <cellStyle name="Debit subtotal 2 2 3 3 2 9" xfId="30104"/>
    <cellStyle name="Debit subtotal 2 2 3 3 3" xfId="30105"/>
    <cellStyle name="Debit subtotal 2 2 3 3 4" xfId="30106"/>
    <cellStyle name="Debit subtotal 2 2 3 3 5" xfId="30107"/>
    <cellStyle name="Debit subtotal 2 2 3 3 6" xfId="30108"/>
    <cellStyle name="Debit subtotal 2 2 3 3 7" xfId="30109"/>
    <cellStyle name="Debit subtotal 2 2 3 3 8" xfId="30110"/>
    <cellStyle name="Debit subtotal 2 2 3 3 9" xfId="30111"/>
    <cellStyle name="Debit subtotal 2 2 3 4" xfId="30112"/>
    <cellStyle name="Debit subtotal 2 2 3 4 10" xfId="30113"/>
    <cellStyle name="Debit subtotal 2 2 3 4 11" xfId="30114"/>
    <cellStyle name="Debit subtotal 2 2 3 4 12" xfId="30115"/>
    <cellStyle name="Debit subtotal 2 2 3 4 13" xfId="30116"/>
    <cellStyle name="Debit subtotal 2 2 3 4 14" xfId="30117"/>
    <cellStyle name="Debit subtotal 2 2 3 4 15" xfId="30118"/>
    <cellStyle name="Debit subtotal 2 2 3 4 16" xfId="30119"/>
    <cellStyle name="Debit subtotal 2 2 3 4 17" xfId="30120"/>
    <cellStyle name="Debit subtotal 2 2 3 4 18" xfId="30121"/>
    <cellStyle name="Debit subtotal 2 2 3 4 2" xfId="30122"/>
    <cellStyle name="Debit subtotal 2 2 3 4 2 2" xfId="30123"/>
    <cellStyle name="Debit subtotal 2 2 3 4 2 3" xfId="30124"/>
    <cellStyle name="Debit subtotal 2 2 3 4 2 4" xfId="30125"/>
    <cellStyle name="Debit subtotal 2 2 3 4 2 5" xfId="30126"/>
    <cellStyle name="Debit subtotal 2 2 3 4 2 6" xfId="30127"/>
    <cellStyle name="Debit subtotal 2 2 3 4 2 7" xfId="30128"/>
    <cellStyle name="Debit subtotal 2 2 3 4 2 8" xfId="30129"/>
    <cellStyle name="Debit subtotal 2 2 3 4 2 9" xfId="30130"/>
    <cellStyle name="Debit subtotal 2 2 3 4 3" xfId="30131"/>
    <cellStyle name="Debit subtotal 2 2 3 4 4" xfId="30132"/>
    <cellStyle name="Debit subtotal 2 2 3 4 5" xfId="30133"/>
    <cellStyle name="Debit subtotal 2 2 3 4 6" xfId="30134"/>
    <cellStyle name="Debit subtotal 2 2 3 4 7" xfId="30135"/>
    <cellStyle name="Debit subtotal 2 2 3 4 8" xfId="30136"/>
    <cellStyle name="Debit subtotal 2 2 3 4 9" xfId="30137"/>
    <cellStyle name="Debit subtotal 2 2 3 5" xfId="30138"/>
    <cellStyle name="Debit subtotal 2 2 3 5 2" xfId="30139"/>
    <cellStyle name="Debit subtotal 2 2 3 5 3" xfId="30140"/>
    <cellStyle name="Debit subtotal 2 2 3 6" xfId="30141"/>
    <cellStyle name="Debit subtotal 2 2 4" xfId="30142"/>
    <cellStyle name="Debit subtotal 2 2 4 10" xfId="30143"/>
    <cellStyle name="Debit subtotal 2 2 4 11" xfId="30144"/>
    <cellStyle name="Debit subtotal 2 2 4 12" xfId="30145"/>
    <cellStyle name="Debit subtotal 2 2 4 13" xfId="30146"/>
    <cellStyle name="Debit subtotal 2 2 4 14" xfId="30147"/>
    <cellStyle name="Debit subtotal 2 2 4 15" xfId="30148"/>
    <cellStyle name="Debit subtotal 2 2 4 16" xfId="30149"/>
    <cellStyle name="Debit subtotal 2 2 4 17" xfId="30150"/>
    <cellStyle name="Debit subtotal 2 2 4 18" xfId="30151"/>
    <cellStyle name="Debit subtotal 2 2 4 19" xfId="30152"/>
    <cellStyle name="Debit subtotal 2 2 4 2" xfId="30153"/>
    <cellStyle name="Debit subtotal 2 2 4 2 2" xfId="30154"/>
    <cellStyle name="Debit subtotal 2 2 4 2 3" xfId="30155"/>
    <cellStyle name="Debit subtotal 2 2 4 2 4" xfId="30156"/>
    <cellStyle name="Debit subtotal 2 2 4 2 5" xfId="30157"/>
    <cellStyle name="Debit subtotal 2 2 4 2 6" xfId="30158"/>
    <cellStyle name="Debit subtotal 2 2 4 2 7" xfId="30159"/>
    <cellStyle name="Debit subtotal 2 2 4 2 8" xfId="30160"/>
    <cellStyle name="Debit subtotal 2 2 4 2 9" xfId="30161"/>
    <cellStyle name="Debit subtotal 2 2 4 20" xfId="30162"/>
    <cellStyle name="Debit subtotal 2 2 4 21" xfId="30163"/>
    <cellStyle name="Debit subtotal 2 2 4 3" xfId="30164"/>
    <cellStyle name="Debit subtotal 2 2 4 4" xfId="30165"/>
    <cellStyle name="Debit subtotal 2 2 4 5" xfId="30166"/>
    <cellStyle name="Debit subtotal 2 2 4 6" xfId="30167"/>
    <cellStyle name="Debit subtotal 2 2 4 7" xfId="30168"/>
    <cellStyle name="Debit subtotal 2 2 4 8" xfId="30169"/>
    <cellStyle name="Debit subtotal 2 2 4 9" xfId="30170"/>
    <cellStyle name="Debit subtotal 2 2 5" xfId="30171"/>
    <cellStyle name="Debit subtotal 2 2 5 10" xfId="30172"/>
    <cellStyle name="Debit subtotal 2 2 5 11" xfId="30173"/>
    <cellStyle name="Debit subtotal 2 2 5 12" xfId="30174"/>
    <cellStyle name="Debit subtotal 2 2 5 13" xfId="30175"/>
    <cellStyle name="Debit subtotal 2 2 5 14" xfId="30176"/>
    <cellStyle name="Debit subtotal 2 2 5 15" xfId="30177"/>
    <cellStyle name="Debit subtotal 2 2 5 16" xfId="30178"/>
    <cellStyle name="Debit subtotal 2 2 5 17" xfId="30179"/>
    <cellStyle name="Debit subtotal 2 2 5 18" xfId="30180"/>
    <cellStyle name="Debit subtotal 2 2 5 19" xfId="30181"/>
    <cellStyle name="Debit subtotal 2 2 5 2" xfId="30182"/>
    <cellStyle name="Debit subtotal 2 2 5 2 2" xfId="30183"/>
    <cellStyle name="Debit subtotal 2 2 5 2 3" xfId="30184"/>
    <cellStyle name="Debit subtotal 2 2 5 2 4" xfId="30185"/>
    <cellStyle name="Debit subtotal 2 2 5 2 5" xfId="30186"/>
    <cellStyle name="Debit subtotal 2 2 5 2 6" xfId="30187"/>
    <cellStyle name="Debit subtotal 2 2 5 2 7" xfId="30188"/>
    <cellStyle name="Debit subtotal 2 2 5 2 8" xfId="30189"/>
    <cellStyle name="Debit subtotal 2 2 5 2 9" xfId="30190"/>
    <cellStyle name="Debit subtotal 2 2 5 3" xfId="30191"/>
    <cellStyle name="Debit subtotal 2 2 5 4" xfId="30192"/>
    <cellStyle name="Debit subtotal 2 2 5 5" xfId="30193"/>
    <cellStyle name="Debit subtotal 2 2 5 6" xfId="30194"/>
    <cellStyle name="Debit subtotal 2 2 5 7" xfId="30195"/>
    <cellStyle name="Debit subtotal 2 2 5 8" xfId="30196"/>
    <cellStyle name="Debit subtotal 2 2 5 9" xfId="30197"/>
    <cellStyle name="Debit subtotal 2 2 6" xfId="30198"/>
    <cellStyle name="Debit subtotal 2 2 6 10" xfId="30199"/>
    <cellStyle name="Debit subtotal 2 2 6 11" xfId="30200"/>
    <cellStyle name="Debit subtotal 2 2 6 12" xfId="30201"/>
    <cellStyle name="Debit subtotal 2 2 6 13" xfId="30202"/>
    <cellStyle name="Debit subtotal 2 2 6 14" xfId="30203"/>
    <cellStyle name="Debit subtotal 2 2 6 15" xfId="30204"/>
    <cellStyle name="Debit subtotal 2 2 6 16" xfId="30205"/>
    <cellStyle name="Debit subtotal 2 2 6 17" xfId="30206"/>
    <cellStyle name="Debit subtotal 2 2 6 18" xfId="30207"/>
    <cellStyle name="Debit subtotal 2 2 6 2" xfId="30208"/>
    <cellStyle name="Debit subtotal 2 2 6 2 2" xfId="30209"/>
    <cellStyle name="Debit subtotal 2 2 6 2 3" xfId="30210"/>
    <cellStyle name="Debit subtotal 2 2 6 2 4" xfId="30211"/>
    <cellStyle name="Debit subtotal 2 2 6 2 5" xfId="30212"/>
    <cellStyle name="Debit subtotal 2 2 6 2 6" xfId="30213"/>
    <cellStyle name="Debit subtotal 2 2 6 2 7" xfId="30214"/>
    <cellStyle name="Debit subtotal 2 2 6 2 8" xfId="30215"/>
    <cellStyle name="Debit subtotal 2 2 6 2 9" xfId="30216"/>
    <cellStyle name="Debit subtotal 2 2 6 3" xfId="30217"/>
    <cellStyle name="Debit subtotal 2 2 6 4" xfId="30218"/>
    <cellStyle name="Debit subtotal 2 2 6 5" xfId="30219"/>
    <cellStyle name="Debit subtotal 2 2 6 6" xfId="30220"/>
    <cellStyle name="Debit subtotal 2 2 6 7" xfId="30221"/>
    <cellStyle name="Debit subtotal 2 2 6 8" xfId="30222"/>
    <cellStyle name="Debit subtotal 2 2 6 9" xfId="30223"/>
    <cellStyle name="Debit subtotal 2 2 7" xfId="30224"/>
    <cellStyle name="Debit subtotal 2 2 7 2" xfId="30225"/>
    <cellStyle name="Debit subtotal 2 2 7 3" xfId="30226"/>
    <cellStyle name="Debit subtotal 2 2 8" xfId="30227"/>
    <cellStyle name="Debit subtotal 2 3" xfId="30228"/>
    <cellStyle name="Debit subtotal 2 3 2" xfId="30229"/>
    <cellStyle name="Debit subtotal 2 3 2 2" xfId="30230"/>
    <cellStyle name="Debit subtotal 2 3 2 2 10" xfId="30231"/>
    <cellStyle name="Debit subtotal 2 3 2 2 11" xfId="30232"/>
    <cellStyle name="Debit subtotal 2 3 2 2 12" xfId="30233"/>
    <cellStyle name="Debit subtotal 2 3 2 2 13" xfId="30234"/>
    <cellStyle name="Debit subtotal 2 3 2 2 14" xfId="30235"/>
    <cellStyle name="Debit subtotal 2 3 2 2 15" xfId="30236"/>
    <cellStyle name="Debit subtotal 2 3 2 2 16" xfId="30237"/>
    <cellStyle name="Debit subtotal 2 3 2 2 17" xfId="30238"/>
    <cellStyle name="Debit subtotal 2 3 2 2 18" xfId="30239"/>
    <cellStyle name="Debit subtotal 2 3 2 2 19" xfId="30240"/>
    <cellStyle name="Debit subtotal 2 3 2 2 2" xfId="30241"/>
    <cellStyle name="Debit subtotal 2 3 2 2 2 2" xfId="30242"/>
    <cellStyle name="Debit subtotal 2 3 2 2 2 3" xfId="30243"/>
    <cellStyle name="Debit subtotal 2 3 2 2 2 4" xfId="30244"/>
    <cellStyle name="Debit subtotal 2 3 2 2 2 5" xfId="30245"/>
    <cellStyle name="Debit subtotal 2 3 2 2 2 6" xfId="30246"/>
    <cellStyle name="Debit subtotal 2 3 2 2 2 7" xfId="30247"/>
    <cellStyle name="Debit subtotal 2 3 2 2 2 8" xfId="30248"/>
    <cellStyle name="Debit subtotal 2 3 2 2 2 9" xfId="30249"/>
    <cellStyle name="Debit subtotal 2 3 2 2 20" xfId="30250"/>
    <cellStyle name="Debit subtotal 2 3 2 2 21" xfId="30251"/>
    <cellStyle name="Debit subtotal 2 3 2 2 3" xfId="30252"/>
    <cellStyle name="Debit subtotal 2 3 2 2 4" xfId="30253"/>
    <cellStyle name="Debit subtotal 2 3 2 2 5" xfId="30254"/>
    <cellStyle name="Debit subtotal 2 3 2 2 6" xfId="30255"/>
    <cellStyle name="Debit subtotal 2 3 2 2 7" xfId="30256"/>
    <cellStyle name="Debit subtotal 2 3 2 2 8" xfId="30257"/>
    <cellStyle name="Debit subtotal 2 3 2 2 9" xfId="30258"/>
    <cellStyle name="Debit subtotal 2 3 2 3" xfId="30259"/>
    <cellStyle name="Debit subtotal 2 3 2 3 10" xfId="30260"/>
    <cellStyle name="Debit subtotal 2 3 2 3 11" xfId="30261"/>
    <cellStyle name="Debit subtotal 2 3 2 3 12" xfId="30262"/>
    <cellStyle name="Debit subtotal 2 3 2 3 13" xfId="30263"/>
    <cellStyle name="Debit subtotal 2 3 2 3 14" xfId="30264"/>
    <cellStyle name="Debit subtotal 2 3 2 3 15" xfId="30265"/>
    <cellStyle name="Debit subtotal 2 3 2 3 16" xfId="30266"/>
    <cellStyle name="Debit subtotal 2 3 2 3 17" xfId="30267"/>
    <cellStyle name="Debit subtotal 2 3 2 3 18" xfId="30268"/>
    <cellStyle name="Debit subtotal 2 3 2 3 19" xfId="30269"/>
    <cellStyle name="Debit subtotal 2 3 2 3 2" xfId="30270"/>
    <cellStyle name="Debit subtotal 2 3 2 3 2 2" xfId="30271"/>
    <cellStyle name="Debit subtotal 2 3 2 3 2 3" xfId="30272"/>
    <cellStyle name="Debit subtotal 2 3 2 3 2 4" xfId="30273"/>
    <cellStyle name="Debit subtotal 2 3 2 3 2 5" xfId="30274"/>
    <cellStyle name="Debit subtotal 2 3 2 3 2 6" xfId="30275"/>
    <cellStyle name="Debit subtotal 2 3 2 3 2 7" xfId="30276"/>
    <cellStyle name="Debit subtotal 2 3 2 3 2 8" xfId="30277"/>
    <cellStyle name="Debit subtotal 2 3 2 3 2 9" xfId="30278"/>
    <cellStyle name="Debit subtotal 2 3 2 3 3" xfId="30279"/>
    <cellStyle name="Debit subtotal 2 3 2 3 4" xfId="30280"/>
    <cellStyle name="Debit subtotal 2 3 2 3 5" xfId="30281"/>
    <cellStyle name="Debit subtotal 2 3 2 3 6" xfId="30282"/>
    <cellStyle name="Debit subtotal 2 3 2 3 7" xfId="30283"/>
    <cellStyle name="Debit subtotal 2 3 2 3 8" xfId="30284"/>
    <cellStyle name="Debit subtotal 2 3 2 3 9" xfId="30285"/>
    <cellStyle name="Debit subtotal 2 3 2 4" xfId="30286"/>
    <cellStyle name="Debit subtotal 2 3 2 4 10" xfId="30287"/>
    <cellStyle name="Debit subtotal 2 3 2 4 11" xfId="30288"/>
    <cellStyle name="Debit subtotal 2 3 2 4 12" xfId="30289"/>
    <cellStyle name="Debit subtotal 2 3 2 4 13" xfId="30290"/>
    <cellStyle name="Debit subtotal 2 3 2 4 14" xfId="30291"/>
    <cellStyle name="Debit subtotal 2 3 2 4 15" xfId="30292"/>
    <cellStyle name="Debit subtotal 2 3 2 4 16" xfId="30293"/>
    <cellStyle name="Debit subtotal 2 3 2 4 17" xfId="30294"/>
    <cellStyle name="Debit subtotal 2 3 2 4 18" xfId="30295"/>
    <cellStyle name="Debit subtotal 2 3 2 4 2" xfId="30296"/>
    <cellStyle name="Debit subtotal 2 3 2 4 2 2" xfId="30297"/>
    <cellStyle name="Debit subtotal 2 3 2 4 2 3" xfId="30298"/>
    <cellStyle name="Debit subtotal 2 3 2 4 2 4" xfId="30299"/>
    <cellStyle name="Debit subtotal 2 3 2 4 2 5" xfId="30300"/>
    <cellStyle name="Debit subtotal 2 3 2 4 2 6" xfId="30301"/>
    <cellStyle name="Debit subtotal 2 3 2 4 2 7" xfId="30302"/>
    <cellStyle name="Debit subtotal 2 3 2 4 2 8" xfId="30303"/>
    <cellStyle name="Debit subtotal 2 3 2 4 2 9" xfId="30304"/>
    <cellStyle name="Debit subtotal 2 3 2 4 3" xfId="30305"/>
    <cellStyle name="Debit subtotal 2 3 2 4 4" xfId="30306"/>
    <cellStyle name="Debit subtotal 2 3 2 4 5" xfId="30307"/>
    <cellStyle name="Debit subtotal 2 3 2 4 6" xfId="30308"/>
    <cellStyle name="Debit subtotal 2 3 2 4 7" xfId="30309"/>
    <cellStyle name="Debit subtotal 2 3 2 4 8" xfId="30310"/>
    <cellStyle name="Debit subtotal 2 3 2 4 9" xfId="30311"/>
    <cellStyle name="Debit subtotal 2 3 2 5" xfId="30312"/>
    <cellStyle name="Debit subtotal 2 3 2 5 2" xfId="30313"/>
    <cellStyle name="Debit subtotal 2 3 2 5 3" xfId="30314"/>
    <cellStyle name="Debit subtotal 2 3 2 6" xfId="30315"/>
    <cellStyle name="Debit subtotal 2 3 3" xfId="30316"/>
    <cellStyle name="Debit subtotal 2 3 3 2" xfId="30317"/>
    <cellStyle name="Debit subtotal 2 3 3 2 10" xfId="30318"/>
    <cellStyle name="Debit subtotal 2 3 3 2 11" xfId="30319"/>
    <cellStyle name="Debit subtotal 2 3 3 2 12" xfId="30320"/>
    <cellStyle name="Debit subtotal 2 3 3 2 13" xfId="30321"/>
    <cellStyle name="Debit subtotal 2 3 3 2 14" xfId="30322"/>
    <cellStyle name="Debit subtotal 2 3 3 2 15" xfId="30323"/>
    <cellStyle name="Debit subtotal 2 3 3 2 16" xfId="30324"/>
    <cellStyle name="Debit subtotal 2 3 3 2 17" xfId="30325"/>
    <cellStyle name="Debit subtotal 2 3 3 2 18" xfId="30326"/>
    <cellStyle name="Debit subtotal 2 3 3 2 19" xfId="30327"/>
    <cellStyle name="Debit subtotal 2 3 3 2 2" xfId="30328"/>
    <cellStyle name="Debit subtotal 2 3 3 2 2 2" xfId="30329"/>
    <cellStyle name="Debit subtotal 2 3 3 2 2 3" xfId="30330"/>
    <cellStyle name="Debit subtotal 2 3 3 2 2 4" xfId="30331"/>
    <cellStyle name="Debit subtotal 2 3 3 2 2 5" xfId="30332"/>
    <cellStyle name="Debit subtotal 2 3 3 2 2 6" xfId="30333"/>
    <cellStyle name="Debit subtotal 2 3 3 2 2 7" xfId="30334"/>
    <cellStyle name="Debit subtotal 2 3 3 2 2 8" xfId="30335"/>
    <cellStyle name="Debit subtotal 2 3 3 2 2 9" xfId="30336"/>
    <cellStyle name="Debit subtotal 2 3 3 2 20" xfId="30337"/>
    <cellStyle name="Debit subtotal 2 3 3 2 21" xfId="30338"/>
    <cellStyle name="Debit subtotal 2 3 3 2 3" xfId="30339"/>
    <cellStyle name="Debit subtotal 2 3 3 2 4" xfId="30340"/>
    <cellStyle name="Debit subtotal 2 3 3 2 5" xfId="30341"/>
    <cellStyle name="Debit subtotal 2 3 3 2 6" xfId="30342"/>
    <cellStyle name="Debit subtotal 2 3 3 2 7" xfId="30343"/>
    <cellStyle name="Debit subtotal 2 3 3 2 8" xfId="30344"/>
    <cellStyle name="Debit subtotal 2 3 3 2 9" xfId="30345"/>
    <cellStyle name="Debit subtotal 2 3 3 3" xfId="30346"/>
    <cellStyle name="Debit subtotal 2 3 3 3 10" xfId="30347"/>
    <cellStyle name="Debit subtotal 2 3 3 3 11" xfId="30348"/>
    <cellStyle name="Debit subtotal 2 3 3 3 12" xfId="30349"/>
    <cellStyle name="Debit subtotal 2 3 3 3 13" xfId="30350"/>
    <cellStyle name="Debit subtotal 2 3 3 3 14" xfId="30351"/>
    <cellStyle name="Debit subtotal 2 3 3 3 15" xfId="30352"/>
    <cellStyle name="Debit subtotal 2 3 3 3 16" xfId="30353"/>
    <cellStyle name="Debit subtotal 2 3 3 3 17" xfId="30354"/>
    <cellStyle name="Debit subtotal 2 3 3 3 18" xfId="30355"/>
    <cellStyle name="Debit subtotal 2 3 3 3 19" xfId="30356"/>
    <cellStyle name="Debit subtotal 2 3 3 3 2" xfId="30357"/>
    <cellStyle name="Debit subtotal 2 3 3 3 2 2" xfId="30358"/>
    <cellStyle name="Debit subtotal 2 3 3 3 2 3" xfId="30359"/>
    <cellStyle name="Debit subtotal 2 3 3 3 2 4" xfId="30360"/>
    <cellStyle name="Debit subtotal 2 3 3 3 2 5" xfId="30361"/>
    <cellStyle name="Debit subtotal 2 3 3 3 2 6" xfId="30362"/>
    <cellStyle name="Debit subtotal 2 3 3 3 2 7" xfId="30363"/>
    <cellStyle name="Debit subtotal 2 3 3 3 2 8" xfId="30364"/>
    <cellStyle name="Debit subtotal 2 3 3 3 2 9" xfId="30365"/>
    <cellStyle name="Debit subtotal 2 3 3 3 3" xfId="30366"/>
    <cellStyle name="Debit subtotal 2 3 3 3 4" xfId="30367"/>
    <cellStyle name="Debit subtotal 2 3 3 3 5" xfId="30368"/>
    <cellStyle name="Debit subtotal 2 3 3 3 6" xfId="30369"/>
    <cellStyle name="Debit subtotal 2 3 3 3 7" xfId="30370"/>
    <cellStyle name="Debit subtotal 2 3 3 3 8" xfId="30371"/>
    <cellStyle name="Debit subtotal 2 3 3 3 9" xfId="30372"/>
    <cellStyle name="Debit subtotal 2 3 3 4" xfId="30373"/>
    <cellStyle name="Debit subtotal 2 3 3 4 10" xfId="30374"/>
    <cellStyle name="Debit subtotal 2 3 3 4 11" xfId="30375"/>
    <cellStyle name="Debit subtotal 2 3 3 4 12" xfId="30376"/>
    <cellStyle name="Debit subtotal 2 3 3 4 13" xfId="30377"/>
    <cellStyle name="Debit subtotal 2 3 3 4 14" xfId="30378"/>
    <cellStyle name="Debit subtotal 2 3 3 4 15" xfId="30379"/>
    <cellStyle name="Debit subtotal 2 3 3 4 16" xfId="30380"/>
    <cellStyle name="Debit subtotal 2 3 3 4 17" xfId="30381"/>
    <cellStyle name="Debit subtotal 2 3 3 4 18" xfId="30382"/>
    <cellStyle name="Debit subtotal 2 3 3 4 2" xfId="30383"/>
    <cellStyle name="Debit subtotal 2 3 3 4 2 2" xfId="30384"/>
    <cellStyle name="Debit subtotal 2 3 3 4 2 3" xfId="30385"/>
    <cellStyle name="Debit subtotal 2 3 3 4 2 4" xfId="30386"/>
    <cellStyle name="Debit subtotal 2 3 3 4 2 5" xfId="30387"/>
    <cellStyle name="Debit subtotal 2 3 3 4 2 6" xfId="30388"/>
    <cellStyle name="Debit subtotal 2 3 3 4 2 7" xfId="30389"/>
    <cellStyle name="Debit subtotal 2 3 3 4 2 8" xfId="30390"/>
    <cellStyle name="Debit subtotal 2 3 3 4 2 9" xfId="30391"/>
    <cellStyle name="Debit subtotal 2 3 3 4 3" xfId="30392"/>
    <cellStyle name="Debit subtotal 2 3 3 4 4" xfId="30393"/>
    <cellStyle name="Debit subtotal 2 3 3 4 5" xfId="30394"/>
    <cellStyle name="Debit subtotal 2 3 3 4 6" xfId="30395"/>
    <cellStyle name="Debit subtotal 2 3 3 4 7" xfId="30396"/>
    <cellStyle name="Debit subtotal 2 3 3 4 8" xfId="30397"/>
    <cellStyle name="Debit subtotal 2 3 3 4 9" xfId="30398"/>
    <cellStyle name="Debit subtotal 2 3 3 5" xfId="30399"/>
    <cellStyle name="Debit subtotal 2 3 3 5 2" xfId="30400"/>
    <cellStyle name="Debit subtotal 2 3 3 5 3" xfId="30401"/>
    <cellStyle name="Debit subtotal 2 3 3 6" xfId="30402"/>
    <cellStyle name="Debit subtotal 2 3 4" xfId="30403"/>
    <cellStyle name="Debit subtotal 2 3 4 10" xfId="30404"/>
    <cellStyle name="Debit subtotal 2 3 4 11" xfId="30405"/>
    <cellStyle name="Debit subtotal 2 3 4 12" xfId="30406"/>
    <cellStyle name="Debit subtotal 2 3 4 13" xfId="30407"/>
    <cellStyle name="Debit subtotal 2 3 4 14" xfId="30408"/>
    <cellStyle name="Debit subtotal 2 3 4 15" xfId="30409"/>
    <cellStyle name="Debit subtotal 2 3 4 16" xfId="30410"/>
    <cellStyle name="Debit subtotal 2 3 4 17" xfId="30411"/>
    <cellStyle name="Debit subtotal 2 3 4 18" xfId="30412"/>
    <cellStyle name="Debit subtotal 2 3 4 19" xfId="30413"/>
    <cellStyle name="Debit subtotal 2 3 4 2" xfId="30414"/>
    <cellStyle name="Debit subtotal 2 3 4 2 2" xfId="30415"/>
    <cellStyle name="Debit subtotal 2 3 4 2 3" xfId="30416"/>
    <cellStyle name="Debit subtotal 2 3 4 2 4" xfId="30417"/>
    <cellStyle name="Debit subtotal 2 3 4 2 5" xfId="30418"/>
    <cellStyle name="Debit subtotal 2 3 4 2 6" xfId="30419"/>
    <cellStyle name="Debit subtotal 2 3 4 2 7" xfId="30420"/>
    <cellStyle name="Debit subtotal 2 3 4 2 8" xfId="30421"/>
    <cellStyle name="Debit subtotal 2 3 4 2 9" xfId="30422"/>
    <cellStyle name="Debit subtotal 2 3 4 20" xfId="30423"/>
    <cellStyle name="Debit subtotal 2 3 4 21" xfId="30424"/>
    <cellStyle name="Debit subtotal 2 3 4 3" xfId="30425"/>
    <cellStyle name="Debit subtotal 2 3 4 4" xfId="30426"/>
    <cellStyle name="Debit subtotal 2 3 4 5" xfId="30427"/>
    <cellStyle name="Debit subtotal 2 3 4 6" xfId="30428"/>
    <cellStyle name="Debit subtotal 2 3 4 7" xfId="30429"/>
    <cellStyle name="Debit subtotal 2 3 4 8" xfId="30430"/>
    <cellStyle name="Debit subtotal 2 3 4 9" xfId="30431"/>
    <cellStyle name="Debit subtotal 2 3 5" xfId="30432"/>
    <cellStyle name="Debit subtotal 2 3 5 10" xfId="30433"/>
    <cellStyle name="Debit subtotal 2 3 5 11" xfId="30434"/>
    <cellStyle name="Debit subtotal 2 3 5 12" xfId="30435"/>
    <cellStyle name="Debit subtotal 2 3 5 13" xfId="30436"/>
    <cellStyle name="Debit subtotal 2 3 5 14" xfId="30437"/>
    <cellStyle name="Debit subtotal 2 3 5 15" xfId="30438"/>
    <cellStyle name="Debit subtotal 2 3 5 16" xfId="30439"/>
    <cellStyle name="Debit subtotal 2 3 5 17" xfId="30440"/>
    <cellStyle name="Debit subtotal 2 3 5 18" xfId="30441"/>
    <cellStyle name="Debit subtotal 2 3 5 19" xfId="30442"/>
    <cellStyle name="Debit subtotal 2 3 5 2" xfId="30443"/>
    <cellStyle name="Debit subtotal 2 3 5 2 2" xfId="30444"/>
    <cellStyle name="Debit subtotal 2 3 5 2 3" xfId="30445"/>
    <cellStyle name="Debit subtotal 2 3 5 2 4" xfId="30446"/>
    <cellStyle name="Debit subtotal 2 3 5 2 5" xfId="30447"/>
    <cellStyle name="Debit subtotal 2 3 5 2 6" xfId="30448"/>
    <cellStyle name="Debit subtotal 2 3 5 2 7" xfId="30449"/>
    <cellStyle name="Debit subtotal 2 3 5 2 8" xfId="30450"/>
    <cellStyle name="Debit subtotal 2 3 5 2 9" xfId="30451"/>
    <cellStyle name="Debit subtotal 2 3 5 3" xfId="30452"/>
    <cellStyle name="Debit subtotal 2 3 5 4" xfId="30453"/>
    <cellStyle name="Debit subtotal 2 3 5 5" xfId="30454"/>
    <cellStyle name="Debit subtotal 2 3 5 6" xfId="30455"/>
    <cellStyle name="Debit subtotal 2 3 5 7" xfId="30456"/>
    <cellStyle name="Debit subtotal 2 3 5 8" xfId="30457"/>
    <cellStyle name="Debit subtotal 2 3 5 9" xfId="30458"/>
    <cellStyle name="Debit subtotal 2 3 6" xfId="30459"/>
    <cellStyle name="Debit subtotal 2 3 6 10" xfId="30460"/>
    <cellStyle name="Debit subtotal 2 3 6 11" xfId="30461"/>
    <cellStyle name="Debit subtotal 2 3 6 12" xfId="30462"/>
    <cellStyle name="Debit subtotal 2 3 6 13" xfId="30463"/>
    <cellStyle name="Debit subtotal 2 3 6 14" xfId="30464"/>
    <cellStyle name="Debit subtotal 2 3 6 15" xfId="30465"/>
    <cellStyle name="Debit subtotal 2 3 6 16" xfId="30466"/>
    <cellStyle name="Debit subtotal 2 3 6 17" xfId="30467"/>
    <cellStyle name="Debit subtotal 2 3 6 18" xfId="30468"/>
    <cellStyle name="Debit subtotal 2 3 6 2" xfId="30469"/>
    <cellStyle name="Debit subtotal 2 3 6 2 2" xfId="30470"/>
    <cellStyle name="Debit subtotal 2 3 6 2 3" xfId="30471"/>
    <cellStyle name="Debit subtotal 2 3 6 2 4" xfId="30472"/>
    <cellStyle name="Debit subtotal 2 3 6 2 5" xfId="30473"/>
    <cellStyle name="Debit subtotal 2 3 6 2 6" xfId="30474"/>
    <cellStyle name="Debit subtotal 2 3 6 2 7" xfId="30475"/>
    <cellStyle name="Debit subtotal 2 3 6 2 8" xfId="30476"/>
    <cellStyle name="Debit subtotal 2 3 6 2 9" xfId="30477"/>
    <cellStyle name="Debit subtotal 2 3 6 3" xfId="30478"/>
    <cellStyle name="Debit subtotal 2 3 6 4" xfId="30479"/>
    <cellStyle name="Debit subtotal 2 3 6 5" xfId="30480"/>
    <cellStyle name="Debit subtotal 2 3 6 6" xfId="30481"/>
    <cellStyle name="Debit subtotal 2 3 6 7" xfId="30482"/>
    <cellStyle name="Debit subtotal 2 3 6 8" xfId="30483"/>
    <cellStyle name="Debit subtotal 2 3 6 9" xfId="30484"/>
    <cellStyle name="Debit subtotal 2 3 7" xfId="30485"/>
    <cellStyle name="Debit subtotal 2 3 7 2" xfId="30486"/>
    <cellStyle name="Debit subtotal 2 3 7 3" xfId="30487"/>
    <cellStyle name="Debit subtotal 2 3 8" xfId="30488"/>
    <cellStyle name="Debit subtotal 2 4" xfId="30489"/>
    <cellStyle name="Debit subtotal 2 4 2" xfId="30490"/>
    <cellStyle name="Debit subtotal 2 4 2 2" xfId="30491"/>
    <cellStyle name="Debit subtotal 2 4 2 2 10" xfId="30492"/>
    <cellStyle name="Debit subtotal 2 4 2 2 11" xfId="30493"/>
    <cellStyle name="Debit subtotal 2 4 2 2 12" xfId="30494"/>
    <cellStyle name="Debit subtotal 2 4 2 2 13" xfId="30495"/>
    <cellStyle name="Debit subtotal 2 4 2 2 14" xfId="30496"/>
    <cellStyle name="Debit subtotal 2 4 2 2 15" xfId="30497"/>
    <cellStyle name="Debit subtotal 2 4 2 2 16" xfId="30498"/>
    <cellStyle name="Debit subtotal 2 4 2 2 17" xfId="30499"/>
    <cellStyle name="Debit subtotal 2 4 2 2 18" xfId="30500"/>
    <cellStyle name="Debit subtotal 2 4 2 2 19" xfId="30501"/>
    <cellStyle name="Debit subtotal 2 4 2 2 2" xfId="30502"/>
    <cellStyle name="Debit subtotal 2 4 2 2 2 2" xfId="30503"/>
    <cellStyle name="Debit subtotal 2 4 2 2 2 3" xfId="30504"/>
    <cellStyle name="Debit subtotal 2 4 2 2 2 4" xfId="30505"/>
    <cellStyle name="Debit subtotal 2 4 2 2 2 5" xfId="30506"/>
    <cellStyle name="Debit subtotal 2 4 2 2 2 6" xfId="30507"/>
    <cellStyle name="Debit subtotal 2 4 2 2 2 7" xfId="30508"/>
    <cellStyle name="Debit subtotal 2 4 2 2 2 8" xfId="30509"/>
    <cellStyle name="Debit subtotal 2 4 2 2 2 9" xfId="30510"/>
    <cellStyle name="Debit subtotal 2 4 2 2 20" xfId="30511"/>
    <cellStyle name="Debit subtotal 2 4 2 2 21" xfId="30512"/>
    <cellStyle name="Debit subtotal 2 4 2 2 3" xfId="30513"/>
    <cellStyle name="Debit subtotal 2 4 2 2 4" xfId="30514"/>
    <cellStyle name="Debit subtotal 2 4 2 2 5" xfId="30515"/>
    <cellStyle name="Debit subtotal 2 4 2 2 6" xfId="30516"/>
    <cellStyle name="Debit subtotal 2 4 2 2 7" xfId="30517"/>
    <cellStyle name="Debit subtotal 2 4 2 2 8" xfId="30518"/>
    <cellStyle name="Debit subtotal 2 4 2 2 9" xfId="30519"/>
    <cellStyle name="Debit subtotal 2 4 2 3" xfId="30520"/>
    <cellStyle name="Debit subtotal 2 4 2 3 10" xfId="30521"/>
    <cellStyle name="Debit subtotal 2 4 2 3 11" xfId="30522"/>
    <cellStyle name="Debit subtotal 2 4 2 3 12" xfId="30523"/>
    <cellStyle name="Debit subtotal 2 4 2 3 13" xfId="30524"/>
    <cellStyle name="Debit subtotal 2 4 2 3 14" xfId="30525"/>
    <cellStyle name="Debit subtotal 2 4 2 3 15" xfId="30526"/>
    <cellStyle name="Debit subtotal 2 4 2 3 16" xfId="30527"/>
    <cellStyle name="Debit subtotal 2 4 2 3 17" xfId="30528"/>
    <cellStyle name="Debit subtotal 2 4 2 3 18" xfId="30529"/>
    <cellStyle name="Debit subtotal 2 4 2 3 19" xfId="30530"/>
    <cellStyle name="Debit subtotal 2 4 2 3 2" xfId="30531"/>
    <cellStyle name="Debit subtotal 2 4 2 3 2 2" xfId="30532"/>
    <cellStyle name="Debit subtotal 2 4 2 3 2 3" xfId="30533"/>
    <cellStyle name="Debit subtotal 2 4 2 3 2 4" xfId="30534"/>
    <cellStyle name="Debit subtotal 2 4 2 3 2 5" xfId="30535"/>
    <cellStyle name="Debit subtotal 2 4 2 3 2 6" xfId="30536"/>
    <cellStyle name="Debit subtotal 2 4 2 3 2 7" xfId="30537"/>
    <cellStyle name="Debit subtotal 2 4 2 3 2 8" xfId="30538"/>
    <cellStyle name="Debit subtotal 2 4 2 3 2 9" xfId="30539"/>
    <cellStyle name="Debit subtotal 2 4 2 3 3" xfId="30540"/>
    <cellStyle name="Debit subtotal 2 4 2 3 4" xfId="30541"/>
    <cellStyle name="Debit subtotal 2 4 2 3 5" xfId="30542"/>
    <cellStyle name="Debit subtotal 2 4 2 3 6" xfId="30543"/>
    <cellStyle name="Debit subtotal 2 4 2 3 7" xfId="30544"/>
    <cellStyle name="Debit subtotal 2 4 2 3 8" xfId="30545"/>
    <cellStyle name="Debit subtotal 2 4 2 3 9" xfId="30546"/>
    <cellStyle name="Debit subtotal 2 4 2 4" xfId="30547"/>
    <cellStyle name="Debit subtotal 2 4 2 4 10" xfId="30548"/>
    <cellStyle name="Debit subtotal 2 4 2 4 11" xfId="30549"/>
    <cellStyle name="Debit subtotal 2 4 2 4 12" xfId="30550"/>
    <cellStyle name="Debit subtotal 2 4 2 4 13" xfId="30551"/>
    <cellStyle name="Debit subtotal 2 4 2 4 14" xfId="30552"/>
    <cellStyle name="Debit subtotal 2 4 2 4 15" xfId="30553"/>
    <cellStyle name="Debit subtotal 2 4 2 4 16" xfId="30554"/>
    <cellStyle name="Debit subtotal 2 4 2 4 17" xfId="30555"/>
    <cellStyle name="Debit subtotal 2 4 2 4 18" xfId="30556"/>
    <cellStyle name="Debit subtotal 2 4 2 4 2" xfId="30557"/>
    <cellStyle name="Debit subtotal 2 4 2 4 2 2" xfId="30558"/>
    <cellStyle name="Debit subtotal 2 4 2 4 2 3" xfId="30559"/>
    <cellStyle name="Debit subtotal 2 4 2 4 2 4" xfId="30560"/>
    <cellStyle name="Debit subtotal 2 4 2 4 2 5" xfId="30561"/>
    <cellStyle name="Debit subtotal 2 4 2 4 2 6" xfId="30562"/>
    <cellStyle name="Debit subtotal 2 4 2 4 2 7" xfId="30563"/>
    <cellStyle name="Debit subtotal 2 4 2 4 2 8" xfId="30564"/>
    <cellStyle name="Debit subtotal 2 4 2 4 2 9" xfId="30565"/>
    <cellStyle name="Debit subtotal 2 4 2 4 3" xfId="30566"/>
    <cellStyle name="Debit subtotal 2 4 2 4 4" xfId="30567"/>
    <cellStyle name="Debit subtotal 2 4 2 4 5" xfId="30568"/>
    <cellStyle name="Debit subtotal 2 4 2 4 6" xfId="30569"/>
    <cellStyle name="Debit subtotal 2 4 2 4 7" xfId="30570"/>
    <cellStyle name="Debit subtotal 2 4 2 4 8" xfId="30571"/>
    <cellStyle name="Debit subtotal 2 4 2 4 9" xfId="30572"/>
    <cellStyle name="Debit subtotal 2 4 2 5" xfId="30573"/>
    <cellStyle name="Debit subtotal 2 4 2 5 2" xfId="30574"/>
    <cellStyle name="Debit subtotal 2 4 2 5 3" xfId="30575"/>
    <cellStyle name="Debit subtotal 2 4 2 6" xfId="30576"/>
    <cellStyle name="Debit subtotal 2 4 3" xfId="30577"/>
    <cellStyle name="Debit subtotal 2 4 3 2" xfId="30578"/>
    <cellStyle name="Debit subtotal 2 4 3 2 10" xfId="30579"/>
    <cellStyle name="Debit subtotal 2 4 3 2 11" xfId="30580"/>
    <cellStyle name="Debit subtotal 2 4 3 2 12" xfId="30581"/>
    <cellStyle name="Debit subtotal 2 4 3 2 13" xfId="30582"/>
    <cellStyle name="Debit subtotal 2 4 3 2 14" xfId="30583"/>
    <cellStyle name="Debit subtotal 2 4 3 2 15" xfId="30584"/>
    <cellStyle name="Debit subtotal 2 4 3 2 16" xfId="30585"/>
    <cellStyle name="Debit subtotal 2 4 3 2 17" xfId="30586"/>
    <cellStyle name="Debit subtotal 2 4 3 2 18" xfId="30587"/>
    <cellStyle name="Debit subtotal 2 4 3 2 19" xfId="30588"/>
    <cellStyle name="Debit subtotal 2 4 3 2 2" xfId="30589"/>
    <cellStyle name="Debit subtotal 2 4 3 2 2 2" xfId="30590"/>
    <cellStyle name="Debit subtotal 2 4 3 2 2 3" xfId="30591"/>
    <cellStyle name="Debit subtotal 2 4 3 2 2 4" xfId="30592"/>
    <cellStyle name="Debit subtotal 2 4 3 2 2 5" xfId="30593"/>
    <cellStyle name="Debit subtotal 2 4 3 2 2 6" xfId="30594"/>
    <cellStyle name="Debit subtotal 2 4 3 2 2 7" xfId="30595"/>
    <cellStyle name="Debit subtotal 2 4 3 2 2 8" xfId="30596"/>
    <cellStyle name="Debit subtotal 2 4 3 2 2 9" xfId="30597"/>
    <cellStyle name="Debit subtotal 2 4 3 2 20" xfId="30598"/>
    <cellStyle name="Debit subtotal 2 4 3 2 21" xfId="30599"/>
    <cellStyle name="Debit subtotal 2 4 3 2 3" xfId="30600"/>
    <cellStyle name="Debit subtotal 2 4 3 2 4" xfId="30601"/>
    <cellStyle name="Debit subtotal 2 4 3 2 5" xfId="30602"/>
    <cellStyle name="Debit subtotal 2 4 3 2 6" xfId="30603"/>
    <cellStyle name="Debit subtotal 2 4 3 2 7" xfId="30604"/>
    <cellStyle name="Debit subtotal 2 4 3 2 8" xfId="30605"/>
    <cellStyle name="Debit subtotal 2 4 3 2 9" xfId="30606"/>
    <cellStyle name="Debit subtotal 2 4 3 3" xfId="30607"/>
    <cellStyle name="Debit subtotal 2 4 3 3 10" xfId="30608"/>
    <cellStyle name="Debit subtotal 2 4 3 3 11" xfId="30609"/>
    <cellStyle name="Debit subtotal 2 4 3 3 12" xfId="30610"/>
    <cellStyle name="Debit subtotal 2 4 3 3 13" xfId="30611"/>
    <cellStyle name="Debit subtotal 2 4 3 3 14" xfId="30612"/>
    <cellStyle name="Debit subtotal 2 4 3 3 15" xfId="30613"/>
    <cellStyle name="Debit subtotal 2 4 3 3 16" xfId="30614"/>
    <cellStyle name="Debit subtotal 2 4 3 3 17" xfId="30615"/>
    <cellStyle name="Debit subtotal 2 4 3 3 18" xfId="30616"/>
    <cellStyle name="Debit subtotal 2 4 3 3 19" xfId="30617"/>
    <cellStyle name="Debit subtotal 2 4 3 3 2" xfId="30618"/>
    <cellStyle name="Debit subtotal 2 4 3 3 2 2" xfId="30619"/>
    <cellStyle name="Debit subtotal 2 4 3 3 2 3" xfId="30620"/>
    <cellStyle name="Debit subtotal 2 4 3 3 2 4" xfId="30621"/>
    <cellStyle name="Debit subtotal 2 4 3 3 2 5" xfId="30622"/>
    <cellStyle name="Debit subtotal 2 4 3 3 2 6" xfId="30623"/>
    <cellStyle name="Debit subtotal 2 4 3 3 2 7" xfId="30624"/>
    <cellStyle name="Debit subtotal 2 4 3 3 2 8" xfId="30625"/>
    <cellStyle name="Debit subtotal 2 4 3 3 2 9" xfId="30626"/>
    <cellStyle name="Debit subtotal 2 4 3 3 3" xfId="30627"/>
    <cellStyle name="Debit subtotal 2 4 3 3 4" xfId="30628"/>
    <cellStyle name="Debit subtotal 2 4 3 3 5" xfId="30629"/>
    <cellStyle name="Debit subtotal 2 4 3 3 6" xfId="30630"/>
    <cellStyle name="Debit subtotal 2 4 3 3 7" xfId="30631"/>
    <cellStyle name="Debit subtotal 2 4 3 3 8" xfId="30632"/>
    <cellStyle name="Debit subtotal 2 4 3 3 9" xfId="30633"/>
    <cellStyle name="Debit subtotal 2 4 3 4" xfId="30634"/>
    <cellStyle name="Debit subtotal 2 4 3 4 10" xfId="30635"/>
    <cellStyle name="Debit subtotal 2 4 3 4 11" xfId="30636"/>
    <cellStyle name="Debit subtotal 2 4 3 4 12" xfId="30637"/>
    <cellStyle name="Debit subtotal 2 4 3 4 13" xfId="30638"/>
    <cellStyle name="Debit subtotal 2 4 3 4 14" xfId="30639"/>
    <cellStyle name="Debit subtotal 2 4 3 4 15" xfId="30640"/>
    <cellStyle name="Debit subtotal 2 4 3 4 16" xfId="30641"/>
    <cellStyle name="Debit subtotal 2 4 3 4 17" xfId="30642"/>
    <cellStyle name="Debit subtotal 2 4 3 4 18" xfId="30643"/>
    <cellStyle name="Debit subtotal 2 4 3 4 2" xfId="30644"/>
    <cellStyle name="Debit subtotal 2 4 3 4 2 2" xfId="30645"/>
    <cellStyle name="Debit subtotal 2 4 3 4 2 3" xfId="30646"/>
    <cellStyle name="Debit subtotal 2 4 3 4 2 4" xfId="30647"/>
    <cellStyle name="Debit subtotal 2 4 3 4 2 5" xfId="30648"/>
    <cellStyle name="Debit subtotal 2 4 3 4 2 6" xfId="30649"/>
    <cellStyle name="Debit subtotal 2 4 3 4 2 7" xfId="30650"/>
    <cellStyle name="Debit subtotal 2 4 3 4 2 8" xfId="30651"/>
    <cellStyle name="Debit subtotal 2 4 3 4 2 9" xfId="30652"/>
    <cellStyle name="Debit subtotal 2 4 3 4 3" xfId="30653"/>
    <cellStyle name="Debit subtotal 2 4 3 4 4" xfId="30654"/>
    <cellStyle name="Debit subtotal 2 4 3 4 5" xfId="30655"/>
    <cellStyle name="Debit subtotal 2 4 3 4 6" xfId="30656"/>
    <cellStyle name="Debit subtotal 2 4 3 4 7" xfId="30657"/>
    <cellStyle name="Debit subtotal 2 4 3 4 8" xfId="30658"/>
    <cellStyle name="Debit subtotal 2 4 3 4 9" xfId="30659"/>
    <cellStyle name="Debit subtotal 2 4 3 5" xfId="30660"/>
    <cellStyle name="Debit subtotal 2 4 3 5 2" xfId="30661"/>
    <cellStyle name="Debit subtotal 2 4 3 5 3" xfId="30662"/>
    <cellStyle name="Debit subtotal 2 4 3 6" xfId="30663"/>
    <cellStyle name="Debit subtotal 2 4 4" xfId="30664"/>
    <cellStyle name="Debit subtotal 2 4 4 10" xfId="30665"/>
    <cellStyle name="Debit subtotal 2 4 4 11" xfId="30666"/>
    <cellStyle name="Debit subtotal 2 4 4 12" xfId="30667"/>
    <cellStyle name="Debit subtotal 2 4 4 13" xfId="30668"/>
    <cellStyle name="Debit subtotal 2 4 4 14" xfId="30669"/>
    <cellStyle name="Debit subtotal 2 4 4 15" xfId="30670"/>
    <cellStyle name="Debit subtotal 2 4 4 16" xfId="30671"/>
    <cellStyle name="Debit subtotal 2 4 4 17" xfId="30672"/>
    <cellStyle name="Debit subtotal 2 4 4 18" xfId="30673"/>
    <cellStyle name="Debit subtotal 2 4 4 19" xfId="30674"/>
    <cellStyle name="Debit subtotal 2 4 4 2" xfId="30675"/>
    <cellStyle name="Debit subtotal 2 4 4 2 2" xfId="30676"/>
    <cellStyle name="Debit subtotal 2 4 4 2 3" xfId="30677"/>
    <cellStyle name="Debit subtotal 2 4 4 2 4" xfId="30678"/>
    <cellStyle name="Debit subtotal 2 4 4 2 5" xfId="30679"/>
    <cellStyle name="Debit subtotal 2 4 4 2 6" xfId="30680"/>
    <cellStyle name="Debit subtotal 2 4 4 2 7" xfId="30681"/>
    <cellStyle name="Debit subtotal 2 4 4 2 8" xfId="30682"/>
    <cellStyle name="Debit subtotal 2 4 4 2 9" xfId="30683"/>
    <cellStyle name="Debit subtotal 2 4 4 20" xfId="30684"/>
    <cellStyle name="Debit subtotal 2 4 4 21" xfId="30685"/>
    <cellStyle name="Debit subtotal 2 4 4 3" xfId="30686"/>
    <cellStyle name="Debit subtotal 2 4 4 4" xfId="30687"/>
    <cellStyle name="Debit subtotal 2 4 4 5" xfId="30688"/>
    <cellStyle name="Debit subtotal 2 4 4 6" xfId="30689"/>
    <cellStyle name="Debit subtotal 2 4 4 7" xfId="30690"/>
    <cellStyle name="Debit subtotal 2 4 4 8" xfId="30691"/>
    <cellStyle name="Debit subtotal 2 4 4 9" xfId="30692"/>
    <cellStyle name="Debit subtotal 2 4 5" xfId="30693"/>
    <cellStyle name="Debit subtotal 2 4 5 10" xfId="30694"/>
    <cellStyle name="Debit subtotal 2 4 5 11" xfId="30695"/>
    <cellStyle name="Debit subtotal 2 4 5 12" xfId="30696"/>
    <cellStyle name="Debit subtotal 2 4 5 13" xfId="30697"/>
    <cellStyle name="Debit subtotal 2 4 5 14" xfId="30698"/>
    <cellStyle name="Debit subtotal 2 4 5 15" xfId="30699"/>
    <cellStyle name="Debit subtotal 2 4 5 16" xfId="30700"/>
    <cellStyle name="Debit subtotal 2 4 5 17" xfId="30701"/>
    <cellStyle name="Debit subtotal 2 4 5 18" xfId="30702"/>
    <cellStyle name="Debit subtotal 2 4 5 19" xfId="30703"/>
    <cellStyle name="Debit subtotal 2 4 5 2" xfId="30704"/>
    <cellStyle name="Debit subtotal 2 4 5 2 2" xfId="30705"/>
    <cellStyle name="Debit subtotal 2 4 5 2 3" xfId="30706"/>
    <cellStyle name="Debit subtotal 2 4 5 2 4" xfId="30707"/>
    <cellStyle name="Debit subtotal 2 4 5 2 5" xfId="30708"/>
    <cellStyle name="Debit subtotal 2 4 5 2 6" xfId="30709"/>
    <cellStyle name="Debit subtotal 2 4 5 2 7" xfId="30710"/>
    <cellStyle name="Debit subtotal 2 4 5 2 8" xfId="30711"/>
    <cellStyle name="Debit subtotal 2 4 5 2 9" xfId="30712"/>
    <cellStyle name="Debit subtotal 2 4 5 3" xfId="30713"/>
    <cellStyle name="Debit subtotal 2 4 5 4" xfId="30714"/>
    <cellStyle name="Debit subtotal 2 4 5 5" xfId="30715"/>
    <cellStyle name="Debit subtotal 2 4 5 6" xfId="30716"/>
    <cellStyle name="Debit subtotal 2 4 5 7" xfId="30717"/>
    <cellStyle name="Debit subtotal 2 4 5 8" xfId="30718"/>
    <cellStyle name="Debit subtotal 2 4 5 9" xfId="30719"/>
    <cellStyle name="Debit subtotal 2 4 6" xfId="30720"/>
    <cellStyle name="Debit subtotal 2 4 6 10" xfId="30721"/>
    <cellStyle name="Debit subtotal 2 4 6 11" xfId="30722"/>
    <cellStyle name="Debit subtotal 2 4 6 12" xfId="30723"/>
    <cellStyle name="Debit subtotal 2 4 6 13" xfId="30724"/>
    <cellStyle name="Debit subtotal 2 4 6 14" xfId="30725"/>
    <cellStyle name="Debit subtotal 2 4 6 15" xfId="30726"/>
    <cellStyle name="Debit subtotal 2 4 6 16" xfId="30727"/>
    <cellStyle name="Debit subtotal 2 4 6 17" xfId="30728"/>
    <cellStyle name="Debit subtotal 2 4 6 18" xfId="30729"/>
    <cellStyle name="Debit subtotal 2 4 6 2" xfId="30730"/>
    <cellStyle name="Debit subtotal 2 4 6 2 2" xfId="30731"/>
    <cellStyle name="Debit subtotal 2 4 6 2 3" xfId="30732"/>
    <cellStyle name="Debit subtotal 2 4 6 2 4" xfId="30733"/>
    <cellStyle name="Debit subtotal 2 4 6 2 5" xfId="30734"/>
    <cellStyle name="Debit subtotal 2 4 6 2 6" xfId="30735"/>
    <cellStyle name="Debit subtotal 2 4 6 2 7" xfId="30736"/>
    <cellStyle name="Debit subtotal 2 4 6 2 8" xfId="30737"/>
    <cellStyle name="Debit subtotal 2 4 6 2 9" xfId="30738"/>
    <cellStyle name="Debit subtotal 2 4 6 3" xfId="30739"/>
    <cellStyle name="Debit subtotal 2 4 6 4" xfId="30740"/>
    <cellStyle name="Debit subtotal 2 4 6 5" xfId="30741"/>
    <cellStyle name="Debit subtotal 2 4 6 6" xfId="30742"/>
    <cellStyle name="Debit subtotal 2 4 6 7" xfId="30743"/>
    <cellStyle name="Debit subtotal 2 4 6 8" xfId="30744"/>
    <cellStyle name="Debit subtotal 2 4 6 9" xfId="30745"/>
    <cellStyle name="Debit subtotal 2 4 7" xfId="30746"/>
    <cellStyle name="Debit subtotal 2 4 7 2" xfId="30747"/>
    <cellStyle name="Debit subtotal 2 4 7 3" xfId="30748"/>
    <cellStyle name="Debit subtotal 2 4 8" xfId="30749"/>
    <cellStyle name="Debit subtotal 2 5" xfId="30750"/>
    <cellStyle name="Debit subtotal 2 5 2" xfId="30751"/>
    <cellStyle name="Debit subtotal 2 5 2 2" xfId="30752"/>
    <cellStyle name="Debit subtotal 2 5 2 2 10" xfId="30753"/>
    <cellStyle name="Debit subtotal 2 5 2 2 11" xfId="30754"/>
    <cellStyle name="Debit subtotal 2 5 2 2 12" xfId="30755"/>
    <cellStyle name="Debit subtotal 2 5 2 2 13" xfId="30756"/>
    <cellStyle name="Debit subtotal 2 5 2 2 14" xfId="30757"/>
    <cellStyle name="Debit subtotal 2 5 2 2 15" xfId="30758"/>
    <cellStyle name="Debit subtotal 2 5 2 2 16" xfId="30759"/>
    <cellStyle name="Debit subtotal 2 5 2 2 17" xfId="30760"/>
    <cellStyle name="Debit subtotal 2 5 2 2 18" xfId="30761"/>
    <cellStyle name="Debit subtotal 2 5 2 2 19" xfId="30762"/>
    <cellStyle name="Debit subtotal 2 5 2 2 2" xfId="30763"/>
    <cellStyle name="Debit subtotal 2 5 2 2 2 2" xfId="30764"/>
    <cellStyle name="Debit subtotal 2 5 2 2 2 3" xfId="30765"/>
    <cellStyle name="Debit subtotal 2 5 2 2 2 4" xfId="30766"/>
    <cellStyle name="Debit subtotal 2 5 2 2 2 5" xfId="30767"/>
    <cellStyle name="Debit subtotal 2 5 2 2 2 6" xfId="30768"/>
    <cellStyle name="Debit subtotal 2 5 2 2 2 7" xfId="30769"/>
    <cellStyle name="Debit subtotal 2 5 2 2 2 8" xfId="30770"/>
    <cellStyle name="Debit subtotal 2 5 2 2 2 9" xfId="30771"/>
    <cellStyle name="Debit subtotal 2 5 2 2 20" xfId="30772"/>
    <cellStyle name="Debit subtotal 2 5 2 2 21" xfId="30773"/>
    <cellStyle name="Debit subtotal 2 5 2 2 3" xfId="30774"/>
    <cellStyle name="Debit subtotal 2 5 2 2 4" xfId="30775"/>
    <cellStyle name="Debit subtotal 2 5 2 2 5" xfId="30776"/>
    <cellStyle name="Debit subtotal 2 5 2 2 6" xfId="30777"/>
    <cellStyle name="Debit subtotal 2 5 2 2 7" xfId="30778"/>
    <cellStyle name="Debit subtotal 2 5 2 2 8" xfId="30779"/>
    <cellStyle name="Debit subtotal 2 5 2 2 9" xfId="30780"/>
    <cellStyle name="Debit subtotal 2 5 2 3" xfId="30781"/>
    <cellStyle name="Debit subtotal 2 5 2 3 10" xfId="30782"/>
    <cellStyle name="Debit subtotal 2 5 2 3 11" xfId="30783"/>
    <cellStyle name="Debit subtotal 2 5 2 3 12" xfId="30784"/>
    <cellStyle name="Debit subtotal 2 5 2 3 13" xfId="30785"/>
    <cellStyle name="Debit subtotal 2 5 2 3 14" xfId="30786"/>
    <cellStyle name="Debit subtotal 2 5 2 3 15" xfId="30787"/>
    <cellStyle name="Debit subtotal 2 5 2 3 16" xfId="30788"/>
    <cellStyle name="Debit subtotal 2 5 2 3 17" xfId="30789"/>
    <cellStyle name="Debit subtotal 2 5 2 3 18" xfId="30790"/>
    <cellStyle name="Debit subtotal 2 5 2 3 19" xfId="30791"/>
    <cellStyle name="Debit subtotal 2 5 2 3 2" xfId="30792"/>
    <cellStyle name="Debit subtotal 2 5 2 3 2 2" xfId="30793"/>
    <cellStyle name="Debit subtotal 2 5 2 3 2 3" xfId="30794"/>
    <cellStyle name="Debit subtotal 2 5 2 3 2 4" xfId="30795"/>
    <cellStyle name="Debit subtotal 2 5 2 3 2 5" xfId="30796"/>
    <cellStyle name="Debit subtotal 2 5 2 3 2 6" xfId="30797"/>
    <cellStyle name="Debit subtotal 2 5 2 3 2 7" xfId="30798"/>
    <cellStyle name="Debit subtotal 2 5 2 3 2 8" xfId="30799"/>
    <cellStyle name="Debit subtotal 2 5 2 3 2 9" xfId="30800"/>
    <cellStyle name="Debit subtotal 2 5 2 3 3" xfId="30801"/>
    <cellStyle name="Debit subtotal 2 5 2 3 4" xfId="30802"/>
    <cellStyle name="Debit subtotal 2 5 2 3 5" xfId="30803"/>
    <cellStyle name="Debit subtotal 2 5 2 3 6" xfId="30804"/>
    <cellStyle name="Debit subtotal 2 5 2 3 7" xfId="30805"/>
    <cellStyle name="Debit subtotal 2 5 2 3 8" xfId="30806"/>
    <cellStyle name="Debit subtotal 2 5 2 3 9" xfId="30807"/>
    <cellStyle name="Debit subtotal 2 5 2 4" xfId="30808"/>
    <cellStyle name="Debit subtotal 2 5 2 4 10" xfId="30809"/>
    <cellStyle name="Debit subtotal 2 5 2 4 11" xfId="30810"/>
    <cellStyle name="Debit subtotal 2 5 2 4 12" xfId="30811"/>
    <cellStyle name="Debit subtotal 2 5 2 4 13" xfId="30812"/>
    <cellStyle name="Debit subtotal 2 5 2 4 14" xfId="30813"/>
    <cellStyle name="Debit subtotal 2 5 2 4 15" xfId="30814"/>
    <cellStyle name="Debit subtotal 2 5 2 4 16" xfId="30815"/>
    <cellStyle name="Debit subtotal 2 5 2 4 17" xfId="30816"/>
    <cellStyle name="Debit subtotal 2 5 2 4 18" xfId="30817"/>
    <cellStyle name="Debit subtotal 2 5 2 4 2" xfId="30818"/>
    <cellStyle name="Debit subtotal 2 5 2 4 2 2" xfId="30819"/>
    <cellStyle name="Debit subtotal 2 5 2 4 2 3" xfId="30820"/>
    <cellStyle name="Debit subtotal 2 5 2 4 2 4" xfId="30821"/>
    <cellStyle name="Debit subtotal 2 5 2 4 2 5" xfId="30822"/>
    <cellStyle name="Debit subtotal 2 5 2 4 2 6" xfId="30823"/>
    <cellStyle name="Debit subtotal 2 5 2 4 2 7" xfId="30824"/>
    <cellStyle name="Debit subtotal 2 5 2 4 2 8" xfId="30825"/>
    <cellStyle name="Debit subtotal 2 5 2 4 2 9" xfId="30826"/>
    <cellStyle name="Debit subtotal 2 5 2 4 3" xfId="30827"/>
    <cellStyle name="Debit subtotal 2 5 2 4 4" xfId="30828"/>
    <cellStyle name="Debit subtotal 2 5 2 4 5" xfId="30829"/>
    <cellStyle name="Debit subtotal 2 5 2 4 6" xfId="30830"/>
    <cellStyle name="Debit subtotal 2 5 2 4 7" xfId="30831"/>
    <cellStyle name="Debit subtotal 2 5 2 4 8" xfId="30832"/>
    <cellStyle name="Debit subtotal 2 5 2 4 9" xfId="30833"/>
    <cellStyle name="Debit subtotal 2 5 2 5" xfId="30834"/>
    <cellStyle name="Debit subtotal 2 5 2 5 2" xfId="30835"/>
    <cellStyle name="Debit subtotal 2 5 2 5 3" xfId="30836"/>
    <cellStyle name="Debit subtotal 2 5 2 6" xfId="30837"/>
    <cellStyle name="Debit subtotal 2 5 3" xfId="30838"/>
    <cellStyle name="Debit subtotal 2 5 3 2" xfId="30839"/>
    <cellStyle name="Debit subtotal 2 5 3 2 10" xfId="30840"/>
    <cellStyle name="Debit subtotal 2 5 3 2 11" xfId="30841"/>
    <cellStyle name="Debit subtotal 2 5 3 2 12" xfId="30842"/>
    <cellStyle name="Debit subtotal 2 5 3 2 13" xfId="30843"/>
    <cellStyle name="Debit subtotal 2 5 3 2 14" xfId="30844"/>
    <cellStyle name="Debit subtotal 2 5 3 2 15" xfId="30845"/>
    <cellStyle name="Debit subtotal 2 5 3 2 16" xfId="30846"/>
    <cellStyle name="Debit subtotal 2 5 3 2 17" xfId="30847"/>
    <cellStyle name="Debit subtotal 2 5 3 2 18" xfId="30848"/>
    <cellStyle name="Debit subtotal 2 5 3 2 19" xfId="30849"/>
    <cellStyle name="Debit subtotal 2 5 3 2 2" xfId="30850"/>
    <cellStyle name="Debit subtotal 2 5 3 2 2 2" xfId="30851"/>
    <cellStyle name="Debit subtotal 2 5 3 2 2 3" xfId="30852"/>
    <cellStyle name="Debit subtotal 2 5 3 2 2 4" xfId="30853"/>
    <cellStyle name="Debit subtotal 2 5 3 2 2 5" xfId="30854"/>
    <cellStyle name="Debit subtotal 2 5 3 2 2 6" xfId="30855"/>
    <cellStyle name="Debit subtotal 2 5 3 2 2 7" xfId="30856"/>
    <cellStyle name="Debit subtotal 2 5 3 2 2 8" xfId="30857"/>
    <cellStyle name="Debit subtotal 2 5 3 2 2 9" xfId="30858"/>
    <cellStyle name="Debit subtotal 2 5 3 2 20" xfId="30859"/>
    <cellStyle name="Debit subtotal 2 5 3 2 21" xfId="30860"/>
    <cellStyle name="Debit subtotal 2 5 3 2 3" xfId="30861"/>
    <cellStyle name="Debit subtotal 2 5 3 2 4" xfId="30862"/>
    <cellStyle name="Debit subtotal 2 5 3 2 5" xfId="30863"/>
    <cellStyle name="Debit subtotal 2 5 3 2 6" xfId="30864"/>
    <cellStyle name="Debit subtotal 2 5 3 2 7" xfId="30865"/>
    <cellStyle name="Debit subtotal 2 5 3 2 8" xfId="30866"/>
    <cellStyle name="Debit subtotal 2 5 3 2 9" xfId="30867"/>
    <cellStyle name="Debit subtotal 2 5 3 3" xfId="30868"/>
    <cellStyle name="Debit subtotal 2 5 3 3 10" xfId="30869"/>
    <cellStyle name="Debit subtotal 2 5 3 3 11" xfId="30870"/>
    <cellStyle name="Debit subtotal 2 5 3 3 12" xfId="30871"/>
    <cellStyle name="Debit subtotal 2 5 3 3 13" xfId="30872"/>
    <cellStyle name="Debit subtotal 2 5 3 3 14" xfId="30873"/>
    <cellStyle name="Debit subtotal 2 5 3 3 15" xfId="30874"/>
    <cellStyle name="Debit subtotal 2 5 3 3 16" xfId="30875"/>
    <cellStyle name="Debit subtotal 2 5 3 3 17" xfId="30876"/>
    <cellStyle name="Debit subtotal 2 5 3 3 18" xfId="30877"/>
    <cellStyle name="Debit subtotal 2 5 3 3 19" xfId="30878"/>
    <cellStyle name="Debit subtotal 2 5 3 3 2" xfId="30879"/>
    <cellStyle name="Debit subtotal 2 5 3 3 2 2" xfId="30880"/>
    <cellStyle name="Debit subtotal 2 5 3 3 2 3" xfId="30881"/>
    <cellStyle name="Debit subtotal 2 5 3 3 2 4" xfId="30882"/>
    <cellStyle name="Debit subtotal 2 5 3 3 2 5" xfId="30883"/>
    <cellStyle name="Debit subtotal 2 5 3 3 2 6" xfId="30884"/>
    <cellStyle name="Debit subtotal 2 5 3 3 2 7" xfId="30885"/>
    <cellStyle name="Debit subtotal 2 5 3 3 2 8" xfId="30886"/>
    <cellStyle name="Debit subtotal 2 5 3 3 2 9" xfId="30887"/>
    <cellStyle name="Debit subtotal 2 5 3 3 3" xfId="30888"/>
    <cellStyle name="Debit subtotal 2 5 3 3 4" xfId="30889"/>
    <cellStyle name="Debit subtotal 2 5 3 3 5" xfId="30890"/>
    <cellStyle name="Debit subtotal 2 5 3 3 6" xfId="30891"/>
    <cellStyle name="Debit subtotal 2 5 3 3 7" xfId="30892"/>
    <cellStyle name="Debit subtotal 2 5 3 3 8" xfId="30893"/>
    <cellStyle name="Debit subtotal 2 5 3 3 9" xfId="30894"/>
    <cellStyle name="Debit subtotal 2 5 3 4" xfId="30895"/>
    <cellStyle name="Debit subtotal 2 5 3 4 10" xfId="30896"/>
    <cellStyle name="Debit subtotal 2 5 3 4 11" xfId="30897"/>
    <cellStyle name="Debit subtotal 2 5 3 4 12" xfId="30898"/>
    <cellStyle name="Debit subtotal 2 5 3 4 13" xfId="30899"/>
    <cellStyle name="Debit subtotal 2 5 3 4 14" xfId="30900"/>
    <cellStyle name="Debit subtotal 2 5 3 4 15" xfId="30901"/>
    <cellStyle name="Debit subtotal 2 5 3 4 16" xfId="30902"/>
    <cellStyle name="Debit subtotal 2 5 3 4 17" xfId="30903"/>
    <cellStyle name="Debit subtotal 2 5 3 4 18" xfId="30904"/>
    <cellStyle name="Debit subtotal 2 5 3 4 2" xfId="30905"/>
    <cellStyle name="Debit subtotal 2 5 3 4 2 2" xfId="30906"/>
    <cellStyle name="Debit subtotal 2 5 3 4 2 3" xfId="30907"/>
    <cellStyle name="Debit subtotal 2 5 3 4 2 4" xfId="30908"/>
    <cellStyle name="Debit subtotal 2 5 3 4 2 5" xfId="30909"/>
    <cellStyle name="Debit subtotal 2 5 3 4 2 6" xfId="30910"/>
    <cellStyle name="Debit subtotal 2 5 3 4 2 7" xfId="30911"/>
    <cellStyle name="Debit subtotal 2 5 3 4 2 8" xfId="30912"/>
    <cellStyle name="Debit subtotal 2 5 3 4 2 9" xfId="30913"/>
    <cellStyle name="Debit subtotal 2 5 3 4 3" xfId="30914"/>
    <cellStyle name="Debit subtotal 2 5 3 4 4" xfId="30915"/>
    <cellStyle name="Debit subtotal 2 5 3 4 5" xfId="30916"/>
    <cellStyle name="Debit subtotal 2 5 3 4 6" xfId="30917"/>
    <cellStyle name="Debit subtotal 2 5 3 4 7" xfId="30918"/>
    <cellStyle name="Debit subtotal 2 5 3 4 8" xfId="30919"/>
    <cellStyle name="Debit subtotal 2 5 3 4 9" xfId="30920"/>
    <cellStyle name="Debit subtotal 2 5 3 5" xfId="30921"/>
    <cellStyle name="Debit subtotal 2 5 3 5 2" xfId="30922"/>
    <cellStyle name="Debit subtotal 2 5 3 5 3" xfId="30923"/>
    <cellStyle name="Debit subtotal 2 5 3 6" xfId="30924"/>
    <cellStyle name="Debit subtotal 2 5 4" xfId="30925"/>
    <cellStyle name="Debit subtotal 2 5 4 10" xfId="30926"/>
    <cellStyle name="Debit subtotal 2 5 4 11" xfId="30927"/>
    <cellStyle name="Debit subtotal 2 5 4 12" xfId="30928"/>
    <cellStyle name="Debit subtotal 2 5 4 13" xfId="30929"/>
    <cellStyle name="Debit subtotal 2 5 4 14" xfId="30930"/>
    <cellStyle name="Debit subtotal 2 5 4 15" xfId="30931"/>
    <cellStyle name="Debit subtotal 2 5 4 16" xfId="30932"/>
    <cellStyle name="Debit subtotal 2 5 4 17" xfId="30933"/>
    <cellStyle name="Debit subtotal 2 5 4 18" xfId="30934"/>
    <cellStyle name="Debit subtotal 2 5 4 19" xfId="30935"/>
    <cellStyle name="Debit subtotal 2 5 4 2" xfId="30936"/>
    <cellStyle name="Debit subtotal 2 5 4 2 2" xfId="30937"/>
    <cellStyle name="Debit subtotal 2 5 4 2 3" xfId="30938"/>
    <cellStyle name="Debit subtotal 2 5 4 2 4" xfId="30939"/>
    <cellStyle name="Debit subtotal 2 5 4 2 5" xfId="30940"/>
    <cellStyle name="Debit subtotal 2 5 4 2 6" xfId="30941"/>
    <cellStyle name="Debit subtotal 2 5 4 2 7" xfId="30942"/>
    <cellStyle name="Debit subtotal 2 5 4 2 8" xfId="30943"/>
    <cellStyle name="Debit subtotal 2 5 4 2 9" xfId="30944"/>
    <cellStyle name="Debit subtotal 2 5 4 20" xfId="30945"/>
    <cellStyle name="Debit subtotal 2 5 4 21" xfId="30946"/>
    <cellStyle name="Debit subtotal 2 5 4 3" xfId="30947"/>
    <cellStyle name="Debit subtotal 2 5 4 4" xfId="30948"/>
    <cellStyle name="Debit subtotal 2 5 4 5" xfId="30949"/>
    <cellStyle name="Debit subtotal 2 5 4 6" xfId="30950"/>
    <cellStyle name="Debit subtotal 2 5 4 7" xfId="30951"/>
    <cellStyle name="Debit subtotal 2 5 4 8" xfId="30952"/>
    <cellStyle name="Debit subtotal 2 5 4 9" xfId="30953"/>
    <cellStyle name="Debit subtotal 2 5 5" xfId="30954"/>
    <cellStyle name="Debit subtotal 2 5 5 10" xfId="30955"/>
    <cellStyle name="Debit subtotal 2 5 5 11" xfId="30956"/>
    <cellStyle name="Debit subtotal 2 5 5 12" xfId="30957"/>
    <cellStyle name="Debit subtotal 2 5 5 13" xfId="30958"/>
    <cellStyle name="Debit subtotal 2 5 5 14" xfId="30959"/>
    <cellStyle name="Debit subtotal 2 5 5 15" xfId="30960"/>
    <cellStyle name="Debit subtotal 2 5 5 16" xfId="30961"/>
    <cellStyle name="Debit subtotal 2 5 5 17" xfId="30962"/>
    <cellStyle name="Debit subtotal 2 5 5 18" xfId="30963"/>
    <cellStyle name="Debit subtotal 2 5 5 19" xfId="30964"/>
    <cellStyle name="Debit subtotal 2 5 5 2" xfId="30965"/>
    <cellStyle name="Debit subtotal 2 5 5 2 2" xfId="30966"/>
    <cellStyle name="Debit subtotal 2 5 5 2 3" xfId="30967"/>
    <cellStyle name="Debit subtotal 2 5 5 2 4" xfId="30968"/>
    <cellStyle name="Debit subtotal 2 5 5 2 5" xfId="30969"/>
    <cellStyle name="Debit subtotal 2 5 5 2 6" xfId="30970"/>
    <cellStyle name="Debit subtotal 2 5 5 2 7" xfId="30971"/>
    <cellStyle name="Debit subtotal 2 5 5 2 8" xfId="30972"/>
    <cellStyle name="Debit subtotal 2 5 5 2 9" xfId="30973"/>
    <cellStyle name="Debit subtotal 2 5 5 3" xfId="30974"/>
    <cellStyle name="Debit subtotal 2 5 5 4" xfId="30975"/>
    <cellStyle name="Debit subtotal 2 5 5 5" xfId="30976"/>
    <cellStyle name="Debit subtotal 2 5 5 6" xfId="30977"/>
    <cellStyle name="Debit subtotal 2 5 5 7" xfId="30978"/>
    <cellStyle name="Debit subtotal 2 5 5 8" xfId="30979"/>
    <cellStyle name="Debit subtotal 2 5 5 9" xfId="30980"/>
    <cellStyle name="Debit subtotal 2 5 6" xfId="30981"/>
    <cellStyle name="Debit subtotal 2 5 6 10" xfId="30982"/>
    <cellStyle name="Debit subtotal 2 5 6 11" xfId="30983"/>
    <cellStyle name="Debit subtotal 2 5 6 12" xfId="30984"/>
    <cellStyle name="Debit subtotal 2 5 6 13" xfId="30985"/>
    <cellStyle name="Debit subtotal 2 5 6 14" xfId="30986"/>
    <cellStyle name="Debit subtotal 2 5 6 15" xfId="30987"/>
    <cellStyle name="Debit subtotal 2 5 6 16" xfId="30988"/>
    <cellStyle name="Debit subtotal 2 5 6 17" xfId="30989"/>
    <cellStyle name="Debit subtotal 2 5 6 18" xfId="30990"/>
    <cellStyle name="Debit subtotal 2 5 6 2" xfId="30991"/>
    <cellStyle name="Debit subtotal 2 5 6 2 2" xfId="30992"/>
    <cellStyle name="Debit subtotal 2 5 6 2 3" xfId="30993"/>
    <cellStyle name="Debit subtotal 2 5 6 2 4" xfId="30994"/>
    <cellStyle name="Debit subtotal 2 5 6 2 5" xfId="30995"/>
    <cellStyle name="Debit subtotal 2 5 6 2 6" xfId="30996"/>
    <cellStyle name="Debit subtotal 2 5 6 2 7" xfId="30997"/>
    <cellStyle name="Debit subtotal 2 5 6 2 8" xfId="30998"/>
    <cellStyle name="Debit subtotal 2 5 6 2 9" xfId="30999"/>
    <cellStyle name="Debit subtotal 2 5 6 3" xfId="31000"/>
    <cellStyle name="Debit subtotal 2 5 6 4" xfId="31001"/>
    <cellStyle name="Debit subtotal 2 5 6 5" xfId="31002"/>
    <cellStyle name="Debit subtotal 2 5 6 6" xfId="31003"/>
    <cellStyle name="Debit subtotal 2 5 6 7" xfId="31004"/>
    <cellStyle name="Debit subtotal 2 5 6 8" xfId="31005"/>
    <cellStyle name="Debit subtotal 2 5 6 9" xfId="31006"/>
    <cellStyle name="Debit subtotal 2 5 7" xfId="31007"/>
    <cellStyle name="Debit subtotal 2 5 7 2" xfId="31008"/>
    <cellStyle name="Debit subtotal 2 5 7 3" xfId="31009"/>
    <cellStyle name="Debit subtotal 2 5 8" xfId="31010"/>
    <cellStyle name="Debit subtotal 2 6" xfId="31011"/>
    <cellStyle name="Debit subtotal 2 6 2" xfId="31012"/>
    <cellStyle name="Debit subtotal 2 6 2 2" xfId="31013"/>
    <cellStyle name="Debit subtotal 2 6 2 2 10" xfId="31014"/>
    <cellStyle name="Debit subtotal 2 6 2 2 11" xfId="31015"/>
    <cellStyle name="Debit subtotal 2 6 2 2 12" xfId="31016"/>
    <cellStyle name="Debit subtotal 2 6 2 2 13" xfId="31017"/>
    <cellStyle name="Debit subtotal 2 6 2 2 14" xfId="31018"/>
    <cellStyle name="Debit subtotal 2 6 2 2 15" xfId="31019"/>
    <cellStyle name="Debit subtotal 2 6 2 2 16" xfId="31020"/>
    <cellStyle name="Debit subtotal 2 6 2 2 17" xfId="31021"/>
    <cellStyle name="Debit subtotal 2 6 2 2 18" xfId="31022"/>
    <cellStyle name="Debit subtotal 2 6 2 2 19" xfId="31023"/>
    <cellStyle name="Debit subtotal 2 6 2 2 2" xfId="31024"/>
    <cellStyle name="Debit subtotal 2 6 2 2 2 2" xfId="31025"/>
    <cellStyle name="Debit subtotal 2 6 2 2 2 3" xfId="31026"/>
    <cellStyle name="Debit subtotal 2 6 2 2 2 4" xfId="31027"/>
    <cellStyle name="Debit subtotal 2 6 2 2 2 5" xfId="31028"/>
    <cellStyle name="Debit subtotal 2 6 2 2 2 6" xfId="31029"/>
    <cellStyle name="Debit subtotal 2 6 2 2 2 7" xfId="31030"/>
    <cellStyle name="Debit subtotal 2 6 2 2 2 8" xfId="31031"/>
    <cellStyle name="Debit subtotal 2 6 2 2 2 9" xfId="31032"/>
    <cellStyle name="Debit subtotal 2 6 2 2 20" xfId="31033"/>
    <cellStyle name="Debit subtotal 2 6 2 2 21" xfId="31034"/>
    <cellStyle name="Debit subtotal 2 6 2 2 3" xfId="31035"/>
    <cellStyle name="Debit subtotal 2 6 2 2 4" xfId="31036"/>
    <cellStyle name="Debit subtotal 2 6 2 2 5" xfId="31037"/>
    <cellStyle name="Debit subtotal 2 6 2 2 6" xfId="31038"/>
    <cellStyle name="Debit subtotal 2 6 2 2 7" xfId="31039"/>
    <cellStyle name="Debit subtotal 2 6 2 2 8" xfId="31040"/>
    <cellStyle name="Debit subtotal 2 6 2 2 9" xfId="31041"/>
    <cellStyle name="Debit subtotal 2 6 2 3" xfId="31042"/>
    <cellStyle name="Debit subtotal 2 6 2 3 10" xfId="31043"/>
    <cellStyle name="Debit subtotal 2 6 2 3 11" xfId="31044"/>
    <cellStyle name="Debit subtotal 2 6 2 3 12" xfId="31045"/>
    <cellStyle name="Debit subtotal 2 6 2 3 13" xfId="31046"/>
    <cellStyle name="Debit subtotal 2 6 2 3 14" xfId="31047"/>
    <cellStyle name="Debit subtotal 2 6 2 3 15" xfId="31048"/>
    <cellStyle name="Debit subtotal 2 6 2 3 16" xfId="31049"/>
    <cellStyle name="Debit subtotal 2 6 2 3 17" xfId="31050"/>
    <cellStyle name="Debit subtotal 2 6 2 3 18" xfId="31051"/>
    <cellStyle name="Debit subtotal 2 6 2 3 19" xfId="31052"/>
    <cellStyle name="Debit subtotal 2 6 2 3 2" xfId="31053"/>
    <cellStyle name="Debit subtotal 2 6 2 3 2 2" xfId="31054"/>
    <cellStyle name="Debit subtotal 2 6 2 3 2 3" xfId="31055"/>
    <cellStyle name="Debit subtotal 2 6 2 3 2 4" xfId="31056"/>
    <cellStyle name="Debit subtotal 2 6 2 3 2 5" xfId="31057"/>
    <cellStyle name="Debit subtotal 2 6 2 3 2 6" xfId="31058"/>
    <cellStyle name="Debit subtotal 2 6 2 3 2 7" xfId="31059"/>
    <cellStyle name="Debit subtotal 2 6 2 3 2 8" xfId="31060"/>
    <cellStyle name="Debit subtotal 2 6 2 3 2 9" xfId="31061"/>
    <cellStyle name="Debit subtotal 2 6 2 3 3" xfId="31062"/>
    <cellStyle name="Debit subtotal 2 6 2 3 4" xfId="31063"/>
    <cellStyle name="Debit subtotal 2 6 2 3 5" xfId="31064"/>
    <cellStyle name="Debit subtotal 2 6 2 3 6" xfId="31065"/>
    <cellStyle name="Debit subtotal 2 6 2 3 7" xfId="31066"/>
    <cellStyle name="Debit subtotal 2 6 2 3 8" xfId="31067"/>
    <cellStyle name="Debit subtotal 2 6 2 3 9" xfId="31068"/>
    <cellStyle name="Debit subtotal 2 6 2 4" xfId="31069"/>
    <cellStyle name="Debit subtotal 2 6 2 4 10" xfId="31070"/>
    <cellStyle name="Debit subtotal 2 6 2 4 11" xfId="31071"/>
    <cellStyle name="Debit subtotal 2 6 2 4 12" xfId="31072"/>
    <cellStyle name="Debit subtotal 2 6 2 4 13" xfId="31073"/>
    <cellStyle name="Debit subtotal 2 6 2 4 14" xfId="31074"/>
    <cellStyle name="Debit subtotal 2 6 2 4 15" xfId="31075"/>
    <cellStyle name="Debit subtotal 2 6 2 4 16" xfId="31076"/>
    <cellStyle name="Debit subtotal 2 6 2 4 17" xfId="31077"/>
    <cellStyle name="Debit subtotal 2 6 2 4 18" xfId="31078"/>
    <cellStyle name="Debit subtotal 2 6 2 4 2" xfId="31079"/>
    <cellStyle name="Debit subtotal 2 6 2 4 2 2" xfId="31080"/>
    <cellStyle name="Debit subtotal 2 6 2 4 2 3" xfId="31081"/>
    <cellStyle name="Debit subtotal 2 6 2 4 2 4" xfId="31082"/>
    <cellStyle name="Debit subtotal 2 6 2 4 2 5" xfId="31083"/>
    <cellStyle name="Debit subtotal 2 6 2 4 2 6" xfId="31084"/>
    <cellStyle name="Debit subtotal 2 6 2 4 2 7" xfId="31085"/>
    <cellStyle name="Debit subtotal 2 6 2 4 2 8" xfId="31086"/>
    <cellStyle name="Debit subtotal 2 6 2 4 2 9" xfId="31087"/>
    <cellStyle name="Debit subtotal 2 6 2 4 3" xfId="31088"/>
    <cellStyle name="Debit subtotal 2 6 2 4 4" xfId="31089"/>
    <cellStyle name="Debit subtotal 2 6 2 4 5" xfId="31090"/>
    <cellStyle name="Debit subtotal 2 6 2 4 6" xfId="31091"/>
    <cellStyle name="Debit subtotal 2 6 2 4 7" xfId="31092"/>
    <cellStyle name="Debit subtotal 2 6 2 4 8" xfId="31093"/>
    <cellStyle name="Debit subtotal 2 6 2 4 9" xfId="31094"/>
    <cellStyle name="Debit subtotal 2 6 2 5" xfId="31095"/>
    <cellStyle name="Debit subtotal 2 6 2 5 2" xfId="31096"/>
    <cellStyle name="Debit subtotal 2 6 2 5 3" xfId="31097"/>
    <cellStyle name="Debit subtotal 2 6 2 6" xfId="31098"/>
    <cellStyle name="Debit subtotal 2 6 3" xfId="31099"/>
    <cellStyle name="Debit subtotal 2 6 3 2" xfId="31100"/>
    <cellStyle name="Debit subtotal 2 6 3 2 10" xfId="31101"/>
    <cellStyle name="Debit subtotal 2 6 3 2 11" xfId="31102"/>
    <cellStyle name="Debit subtotal 2 6 3 2 12" xfId="31103"/>
    <cellStyle name="Debit subtotal 2 6 3 2 13" xfId="31104"/>
    <cellStyle name="Debit subtotal 2 6 3 2 14" xfId="31105"/>
    <cellStyle name="Debit subtotal 2 6 3 2 15" xfId="31106"/>
    <cellStyle name="Debit subtotal 2 6 3 2 16" xfId="31107"/>
    <cellStyle name="Debit subtotal 2 6 3 2 17" xfId="31108"/>
    <cellStyle name="Debit subtotal 2 6 3 2 18" xfId="31109"/>
    <cellStyle name="Debit subtotal 2 6 3 2 19" xfId="31110"/>
    <cellStyle name="Debit subtotal 2 6 3 2 2" xfId="31111"/>
    <cellStyle name="Debit subtotal 2 6 3 2 2 2" xfId="31112"/>
    <cellStyle name="Debit subtotal 2 6 3 2 2 3" xfId="31113"/>
    <cellStyle name="Debit subtotal 2 6 3 2 2 4" xfId="31114"/>
    <cellStyle name="Debit subtotal 2 6 3 2 2 5" xfId="31115"/>
    <cellStyle name="Debit subtotal 2 6 3 2 2 6" xfId="31116"/>
    <cellStyle name="Debit subtotal 2 6 3 2 2 7" xfId="31117"/>
    <cellStyle name="Debit subtotal 2 6 3 2 2 8" xfId="31118"/>
    <cellStyle name="Debit subtotal 2 6 3 2 2 9" xfId="31119"/>
    <cellStyle name="Debit subtotal 2 6 3 2 20" xfId="31120"/>
    <cellStyle name="Debit subtotal 2 6 3 2 21" xfId="31121"/>
    <cellStyle name="Debit subtotal 2 6 3 2 3" xfId="31122"/>
    <cellStyle name="Debit subtotal 2 6 3 2 4" xfId="31123"/>
    <cellStyle name="Debit subtotal 2 6 3 2 5" xfId="31124"/>
    <cellStyle name="Debit subtotal 2 6 3 2 6" xfId="31125"/>
    <cellStyle name="Debit subtotal 2 6 3 2 7" xfId="31126"/>
    <cellStyle name="Debit subtotal 2 6 3 2 8" xfId="31127"/>
    <cellStyle name="Debit subtotal 2 6 3 2 9" xfId="31128"/>
    <cellStyle name="Debit subtotal 2 6 3 3" xfId="31129"/>
    <cellStyle name="Debit subtotal 2 6 3 3 10" xfId="31130"/>
    <cellStyle name="Debit subtotal 2 6 3 3 11" xfId="31131"/>
    <cellStyle name="Debit subtotal 2 6 3 3 12" xfId="31132"/>
    <cellStyle name="Debit subtotal 2 6 3 3 13" xfId="31133"/>
    <cellStyle name="Debit subtotal 2 6 3 3 14" xfId="31134"/>
    <cellStyle name="Debit subtotal 2 6 3 3 15" xfId="31135"/>
    <cellStyle name="Debit subtotal 2 6 3 3 16" xfId="31136"/>
    <cellStyle name="Debit subtotal 2 6 3 3 17" xfId="31137"/>
    <cellStyle name="Debit subtotal 2 6 3 3 18" xfId="31138"/>
    <cellStyle name="Debit subtotal 2 6 3 3 19" xfId="31139"/>
    <cellStyle name="Debit subtotal 2 6 3 3 2" xfId="31140"/>
    <cellStyle name="Debit subtotal 2 6 3 3 2 2" xfId="31141"/>
    <cellStyle name="Debit subtotal 2 6 3 3 2 3" xfId="31142"/>
    <cellStyle name="Debit subtotal 2 6 3 3 2 4" xfId="31143"/>
    <cellStyle name="Debit subtotal 2 6 3 3 2 5" xfId="31144"/>
    <cellStyle name="Debit subtotal 2 6 3 3 2 6" xfId="31145"/>
    <cellStyle name="Debit subtotal 2 6 3 3 2 7" xfId="31146"/>
    <cellStyle name="Debit subtotal 2 6 3 3 2 8" xfId="31147"/>
    <cellStyle name="Debit subtotal 2 6 3 3 2 9" xfId="31148"/>
    <cellStyle name="Debit subtotal 2 6 3 3 3" xfId="31149"/>
    <cellStyle name="Debit subtotal 2 6 3 3 4" xfId="31150"/>
    <cellStyle name="Debit subtotal 2 6 3 3 5" xfId="31151"/>
    <cellStyle name="Debit subtotal 2 6 3 3 6" xfId="31152"/>
    <cellStyle name="Debit subtotal 2 6 3 3 7" xfId="31153"/>
    <cellStyle name="Debit subtotal 2 6 3 3 8" xfId="31154"/>
    <cellStyle name="Debit subtotal 2 6 3 3 9" xfId="31155"/>
    <cellStyle name="Debit subtotal 2 6 3 4" xfId="31156"/>
    <cellStyle name="Debit subtotal 2 6 3 4 10" xfId="31157"/>
    <cellStyle name="Debit subtotal 2 6 3 4 11" xfId="31158"/>
    <cellStyle name="Debit subtotal 2 6 3 4 12" xfId="31159"/>
    <cellStyle name="Debit subtotal 2 6 3 4 13" xfId="31160"/>
    <cellStyle name="Debit subtotal 2 6 3 4 14" xfId="31161"/>
    <cellStyle name="Debit subtotal 2 6 3 4 15" xfId="31162"/>
    <cellStyle name="Debit subtotal 2 6 3 4 16" xfId="31163"/>
    <cellStyle name="Debit subtotal 2 6 3 4 17" xfId="31164"/>
    <cellStyle name="Debit subtotal 2 6 3 4 18" xfId="31165"/>
    <cellStyle name="Debit subtotal 2 6 3 4 2" xfId="31166"/>
    <cellStyle name="Debit subtotal 2 6 3 4 2 2" xfId="31167"/>
    <cellStyle name="Debit subtotal 2 6 3 4 2 3" xfId="31168"/>
    <cellStyle name="Debit subtotal 2 6 3 4 2 4" xfId="31169"/>
    <cellStyle name="Debit subtotal 2 6 3 4 2 5" xfId="31170"/>
    <cellStyle name="Debit subtotal 2 6 3 4 2 6" xfId="31171"/>
    <cellStyle name="Debit subtotal 2 6 3 4 2 7" xfId="31172"/>
    <cellStyle name="Debit subtotal 2 6 3 4 2 8" xfId="31173"/>
    <cellStyle name="Debit subtotal 2 6 3 4 2 9" xfId="31174"/>
    <cellStyle name="Debit subtotal 2 6 3 4 3" xfId="31175"/>
    <cellStyle name="Debit subtotal 2 6 3 4 4" xfId="31176"/>
    <cellStyle name="Debit subtotal 2 6 3 4 5" xfId="31177"/>
    <cellStyle name="Debit subtotal 2 6 3 4 6" xfId="31178"/>
    <cellStyle name="Debit subtotal 2 6 3 4 7" xfId="31179"/>
    <cellStyle name="Debit subtotal 2 6 3 4 8" xfId="31180"/>
    <cellStyle name="Debit subtotal 2 6 3 4 9" xfId="31181"/>
    <cellStyle name="Debit subtotal 2 6 3 5" xfId="31182"/>
    <cellStyle name="Debit subtotal 2 6 3 5 2" xfId="31183"/>
    <cellStyle name="Debit subtotal 2 6 3 5 3" xfId="31184"/>
    <cellStyle name="Debit subtotal 2 6 3 6" xfId="31185"/>
    <cellStyle name="Debit subtotal 2 6 4" xfId="31186"/>
    <cellStyle name="Debit subtotal 2 6 4 10" xfId="31187"/>
    <cellStyle name="Debit subtotal 2 6 4 11" xfId="31188"/>
    <cellStyle name="Debit subtotal 2 6 4 12" xfId="31189"/>
    <cellStyle name="Debit subtotal 2 6 4 13" xfId="31190"/>
    <cellStyle name="Debit subtotal 2 6 4 14" xfId="31191"/>
    <cellStyle name="Debit subtotal 2 6 4 15" xfId="31192"/>
    <cellStyle name="Debit subtotal 2 6 4 16" xfId="31193"/>
    <cellStyle name="Debit subtotal 2 6 4 17" xfId="31194"/>
    <cellStyle name="Debit subtotal 2 6 4 18" xfId="31195"/>
    <cellStyle name="Debit subtotal 2 6 4 19" xfId="31196"/>
    <cellStyle name="Debit subtotal 2 6 4 2" xfId="31197"/>
    <cellStyle name="Debit subtotal 2 6 4 2 2" xfId="31198"/>
    <cellStyle name="Debit subtotal 2 6 4 2 3" xfId="31199"/>
    <cellStyle name="Debit subtotal 2 6 4 2 4" xfId="31200"/>
    <cellStyle name="Debit subtotal 2 6 4 2 5" xfId="31201"/>
    <cellStyle name="Debit subtotal 2 6 4 2 6" xfId="31202"/>
    <cellStyle name="Debit subtotal 2 6 4 2 7" xfId="31203"/>
    <cellStyle name="Debit subtotal 2 6 4 2 8" xfId="31204"/>
    <cellStyle name="Debit subtotal 2 6 4 2 9" xfId="31205"/>
    <cellStyle name="Debit subtotal 2 6 4 20" xfId="31206"/>
    <cellStyle name="Debit subtotal 2 6 4 21" xfId="31207"/>
    <cellStyle name="Debit subtotal 2 6 4 3" xfId="31208"/>
    <cellStyle name="Debit subtotal 2 6 4 4" xfId="31209"/>
    <cellStyle name="Debit subtotal 2 6 4 5" xfId="31210"/>
    <cellStyle name="Debit subtotal 2 6 4 6" xfId="31211"/>
    <cellStyle name="Debit subtotal 2 6 4 7" xfId="31212"/>
    <cellStyle name="Debit subtotal 2 6 4 8" xfId="31213"/>
    <cellStyle name="Debit subtotal 2 6 4 9" xfId="31214"/>
    <cellStyle name="Debit subtotal 2 6 5" xfId="31215"/>
    <cellStyle name="Debit subtotal 2 6 5 10" xfId="31216"/>
    <cellStyle name="Debit subtotal 2 6 5 11" xfId="31217"/>
    <cellStyle name="Debit subtotal 2 6 5 12" xfId="31218"/>
    <cellStyle name="Debit subtotal 2 6 5 13" xfId="31219"/>
    <cellStyle name="Debit subtotal 2 6 5 14" xfId="31220"/>
    <cellStyle name="Debit subtotal 2 6 5 15" xfId="31221"/>
    <cellStyle name="Debit subtotal 2 6 5 16" xfId="31222"/>
    <cellStyle name="Debit subtotal 2 6 5 17" xfId="31223"/>
    <cellStyle name="Debit subtotal 2 6 5 18" xfId="31224"/>
    <cellStyle name="Debit subtotal 2 6 5 19" xfId="31225"/>
    <cellStyle name="Debit subtotal 2 6 5 2" xfId="31226"/>
    <cellStyle name="Debit subtotal 2 6 5 2 2" xfId="31227"/>
    <cellStyle name="Debit subtotal 2 6 5 2 3" xfId="31228"/>
    <cellStyle name="Debit subtotal 2 6 5 2 4" xfId="31229"/>
    <cellStyle name="Debit subtotal 2 6 5 2 5" xfId="31230"/>
    <cellStyle name="Debit subtotal 2 6 5 2 6" xfId="31231"/>
    <cellStyle name="Debit subtotal 2 6 5 2 7" xfId="31232"/>
    <cellStyle name="Debit subtotal 2 6 5 2 8" xfId="31233"/>
    <cellStyle name="Debit subtotal 2 6 5 2 9" xfId="31234"/>
    <cellStyle name="Debit subtotal 2 6 5 3" xfId="31235"/>
    <cellStyle name="Debit subtotal 2 6 5 4" xfId="31236"/>
    <cellStyle name="Debit subtotal 2 6 5 5" xfId="31237"/>
    <cellStyle name="Debit subtotal 2 6 5 6" xfId="31238"/>
    <cellStyle name="Debit subtotal 2 6 5 7" xfId="31239"/>
    <cellStyle name="Debit subtotal 2 6 5 8" xfId="31240"/>
    <cellStyle name="Debit subtotal 2 6 5 9" xfId="31241"/>
    <cellStyle name="Debit subtotal 2 6 6" xfId="31242"/>
    <cellStyle name="Debit subtotal 2 6 6 10" xfId="31243"/>
    <cellStyle name="Debit subtotal 2 6 6 11" xfId="31244"/>
    <cellStyle name="Debit subtotal 2 6 6 12" xfId="31245"/>
    <cellStyle name="Debit subtotal 2 6 6 13" xfId="31246"/>
    <cellStyle name="Debit subtotal 2 6 6 14" xfId="31247"/>
    <cellStyle name="Debit subtotal 2 6 6 15" xfId="31248"/>
    <cellStyle name="Debit subtotal 2 6 6 16" xfId="31249"/>
    <cellStyle name="Debit subtotal 2 6 6 17" xfId="31250"/>
    <cellStyle name="Debit subtotal 2 6 6 18" xfId="31251"/>
    <cellStyle name="Debit subtotal 2 6 6 2" xfId="31252"/>
    <cellStyle name="Debit subtotal 2 6 6 2 2" xfId="31253"/>
    <cellStyle name="Debit subtotal 2 6 6 2 3" xfId="31254"/>
    <cellStyle name="Debit subtotal 2 6 6 2 4" xfId="31255"/>
    <cellStyle name="Debit subtotal 2 6 6 2 5" xfId="31256"/>
    <cellStyle name="Debit subtotal 2 6 6 2 6" xfId="31257"/>
    <cellStyle name="Debit subtotal 2 6 6 2 7" xfId="31258"/>
    <cellStyle name="Debit subtotal 2 6 6 2 8" xfId="31259"/>
    <cellStyle name="Debit subtotal 2 6 6 2 9" xfId="31260"/>
    <cellStyle name="Debit subtotal 2 6 6 3" xfId="31261"/>
    <cellStyle name="Debit subtotal 2 6 6 4" xfId="31262"/>
    <cellStyle name="Debit subtotal 2 6 6 5" xfId="31263"/>
    <cellStyle name="Debit subtotal 2 6 6 6" xfId="31264"/>
    <cellStyle name="Debit subtotal 2 6 6 7" xfId="31265"/>
    <cellStyle name="Debit subtotal 2 6 6 8" xfId="31266"/>
    <cellStyle name="Debit subtotal 2 6 6 9" xfId="31267"/>
    <cellStyle name="Debit subtotal 2 6 7" xfId="31268"/>
    <cellStyle name="Debit subtotal 2 6 7 2" xfId="31269"/>
    <cellStyle name="Debit subtotal 2 6 7 3" xfId="31270"/>
    <cellStyle name="Debit subtotal 2 6 8" xfId="31271"/>
    <cellStyle name="Debit subtotal 2 7" xfId="31272"/>
    <cellStyle name="Debit subtotal 2 7 2" xfId="31273"/>
    <cellStyle name="Debit subtotal 2 7 2 2" xfId="31274"/>
    <cellStyle name="Debit subtotal 2 7 2 2 10" xfId="31275"/>
    <cellStyle name="Debit subtotal 2 7 2 2 11" xfId="31276"/>
    <cellStyle name="Debit subtotal 2 7 2 2 12" xfId="31277"/>
    <cellStyle name="Debit subtotal 2 7 2 2 13" xfId="31278"/>
    <cellStyle name="Debit subtotal 2 7 2 2 14" xfId="31279"/>
    <cellStyle name="Debit subtotal 2 7 2 2 15" xfId="31280"/>
    <cellStyle name="Debit subtotal 2 7 2 2 16" xfId="31281"/>
    <cellStyle name="Debit subtotal 2 7 2 2 17" xfId="31282"/>
    <cellStyle name="Debit subtotal 2 7 2 2 18" xfId="31283"/>
    <cellStyle name="Debit subtotal 2 7 2 2 19" xfId="31284"/>
    <cellStyle name="Debit subtotal 2 7 2 2 2" xfId="31285"/>
    <cellStyle name="Debit subtotal 2 7 2 2 2 2" xfId="31286"/>
    <cellStyle name="Debit subtotal 2 7 2 2 2 3" xfId="31287"/>
    <cellStyle name="Debit subtotal 2 7 2 2 2 4" xfId="31288"/>
    <cellStyle name="Debit subtotal 2 7 2 2 2 5" xfId="31289"/>
    <cellStyle name="Debit subtotal 2 7 2 2 2 6" xfId="31290"/>
    <cellStyle name="Debit subtotal 2 7 2 2 2 7" xfId="31291"/>
    <cellStyle name="Debit subtotal 2 7 2 2 2 8" xfId="31292"/>
    <cellStyle name="Debit subtotal 2 7 2 2 2 9" xfId="31293"/>
    <cellStyle name="Debit subtotal 2 7 2 2 20" xfId="31294"/>
    <cellStyle name="Debit subtotal 2 7 2 2 21" xfId="31295"/>
    <cellStyle name="Debit subtotal 2 7 2 2 3" xfId="31296"/>
    <cellStyle name="Debit subtotal 2 7 2 2 4" xfId="31297"/>
    <cellStyle name="Debit subtotal 2 7 2 2 5" xfId="31298"/>
    <cellStyle name="Debit subtotal 2 7 2 2 6" xfId="31299"/>
    <cellStyle name="Debit subtotal 2 7 2 2 7" xfId="31300"/>
    <cellStyle name="Debit subtotal 2 7 2 2 8" xfId="31301"/>
    <cellStyle name="Debit subtotal 2 7 2 2 9" xfId="31302"/>
    <cellStyle name="Debit subtotal 2 7 2 3" xfId="31303"/>
    <cellStyle name="Debit subtotal 2 7 2 3 10" xfId="31304"/>
    <cellStyle name="Debit subtotal 2 7 2 3 11" xfId="31305"/>
    <cellStyle name="Debit subtotal 2 7 2 3 12" xfId="31306"/>
    <cellStyle name="Debit subtotal 2 7 2 3 13" xfId="31307"/>
    <cellStyle name="Debit subtotal 2 7 2 3 14" xfId="31308"/>
    <cellStyle name="Debit subtotal 2 7 2 3 15" xfId="31309"/>
    <cellStyle name="Debit subtotal 2 7 2 3 16" xfId="31310"/>
    <cellStyle name="Debit subtotal 2 7 2 3 17" xfId="31311"/>
    <cellStyle name="Debit subtotal 2 7 2 3 18" xfId="31312"/>
    <cellStyle name="Debit subtotal 2 7 2 3 19" xfId="31313"/>
    <cellStyle name="Debit subtotal 2 7 2 3 2" xfId="31314"/>
    <cellStyle name="Debit subtotal 2 7 2 3 2 2" xfId="31315"/>
    <cellStyle name="Debit subtotal 2 7 2 3 2 3" xfId="31316"/>
    <cellStyle name="Debit subtotal 2 7 2 3 2 4" xfId="31317"/>
    <cellStyle name="Debit subtotal 2 7 2 3 2 5" xfId="31318"/>
    <cellStyle name="Debit subtotal 2 7 2 3 2 6" xfId="31319"/>
    <cellStyle name="Debit subtotal 2 7 2 3 2 7" xfId="31320"/>
    <cellStyle name="Debit subtotal 2 7 2 3 2 8" xfId="31321"/>
    <cellStyle name="Debit subtotal 2 7 2 3 2 9" xfId="31322"/>
    <cellStyle name="Debit subtotal 2 7 2 3 3" xfId="31323"/>
    <cellStyle name="Debit subtotal 2 7 2 3 4" xfId="31324"/>
    <cellStyle name="Debit subtotal 2 7 2 3 5" xfId="31325"/>
    <cellStyle name="Debit subtotal 2 7 2 3 6" xfId="31326"/>
    <cellStyle name="Debit subtotal 2 7 2 3 7" xfId="31327"/>
    <cellStyle name="Debit subtotal 2 7 2 3 8" xfId="31328"/>
    <cellStyle name="Debit subtotal 2 7 2 3 9" xfId="31329"/>
    <cellStyle name="Debit subtotal 2 7 2 4" xfId="31330"/>
    <cellStyle name="Debit subtotal 2 7 2 4 10" xfId="31331"/>
    <cellStyle name="Debit subtotal 2 7 2 4 11" xfId="31332"/>
    <cellStyle name="Debit subtotal 2 7 2 4 12" xfId="31333"/>
    <cellStyle name="Debit subtotal 2 7 2 4 13" xfId="31334"/>
    <cellStyle name="Debit subtotal 2 7 2 4 14" xfId="31335"/>
    <cellStyle name="Debit subtotal 2 7 2 4 15" xfId="31336"/>
    <cellStyle name="Debit subtotal 2 7 2 4 16" xfId="31337"/>
    <cellStyle name="Debit subtotal 2 7 2 4 17" xfId="31338"/>
    <cellStyle name="Debit subtotal 2 7 2 4 18" xfId="31339"/>
    <cellStyle name="Debit subtotal 2 7 2 4 2" xfId="31340"/>
    <cellStyle name="Debit subtotal 2 7 2 4 2 2" xfId="31341"/>
    <cellStyle name="Debit subtotal 2 7 2 4 2 3" xfId="31342"/>
    <cellStyle name="Debit subtotal 2 7 2 4 2 4" xfId="31343"/>
    <cellStyle name="Debit subtotal 2 7 2 4 2 5" xfId="31344"/>
    <cellStyle name="Debit subtotal 2 7 2 4 2 6" xfId="31345"/>
    <cellStyle name="Debit subtotal 2 7 2 4 2 7" xfId="31346"/>
    <cellStyle name="Debit subtotal 2 7 2 4 2 8" xfId="31347"/>
    <cellStyle name="Debit subtotal 2 7 2 4 2 9" xfId="31348"/>
    <cellStyle name="Debit subtotal 2 7 2 4 3" xfId="31349"/>
    <cellStyle name="Debit subtotal 2 7 2 4 4" xfId="31350"/>
    <cellStyle name="Debit subtotal 2 7 2 4 5" xfId="31351"/>
    <cellStyle name="Debit subtotal 2 7 2 4 6" xfId="31352"/>
    <cellStyle name="Debit subtotal 2 7 2 4 7" xfId="31353"/>
    <cellStyle name="Debit subtotal 2 7 2 4 8" xfId="31354"/>
    <cellStyle name="Debit subtotal 2 7 2 4 9" xfId="31355"/>
    <cellStyle name="Debit subtotal 2 7 2 5" xfId="31356"/>
    <cellStyle name="Debit subtotal 2 7 2 5 2" xfId="31357"/>
    <cellStyle name="Debit subtotal 2 7 2 5 3" xfId="31358"/>
    <cellStyle name="Debit subtotal 2 7 2 6" xfId="31359"/>
    <cellStyle name="Debit subtotal 2 7 3" xfId="31360"/>
    <cellStyle name="Debit subtotal 2 7 3 2" xfId="31361"/>
    <cellStyle name="Debit subtotal 2 7 3 2 10" xfId="31362"/>
    <cellStyle name="Debit subtotal 2 7 3 2 11" xfId="31363"/>
    <cellStyle name="Debit subtotal 2 7 3 2 12" xfId="31364"/>
    <cellStyle name="Debit subtotal 2 7 3 2 13" xfId="31365"/>
    <cellStyle name="Debit subtotal 2 7 3 2 14" xfId="31366"/>
    <cellStyle name="Debit subtotal 2 7 3 2 15" xfId="31367"/>
    <cellStyle name="Debit subtotal 2 7 3 2 16" xfId="31368"/>
    <cellStyle name="Debit subtotal 2 7 3 2 17" xfId="31369"/>
    <cellStyle name="Debit subtotal 2 7 3 2 18" xfId="31370"/>
    <cellStyle name="Debit subtotal 2 7 3 2 19" xfId="31371"/>
    <cellStyle name="Debit subtotal 2 7 3 2 2" xfId="31372"/>
    <cellStyle name="Debit subtotal 2 7 3 2 2 2" xfId="31373"/>
    <cellStyle name="Debit subtotal 2 7 3 2 2 3" xfId="31374"/>
    <cellStyle name="Debit subtotal 2 7 3 2 2 4" xfId="31375"/>
    <cellStyle name="Debit subtotal 2 7 3 2 2 5" xfId="31376"/>
    <cellStyle name="Debit subtotal 2 7 3 2 2 6" xfId="31377"/>
    <cellStyle name="Debit subtotal 2 7 3 2 2 7" xfId="31378"/>
    <cellStyle name="Debit subtotal 2 7 3 2 2 8" xfId="31379"/>
    <cellStyle name="Debit subtotal 2 7 3 2 2 9" xfId="31380"/>
    <cellStyle name="Debit subtotal 2 7 3 2 20" xfId="31381"/>
    <cellStyle name="Debit subtotal 2 7 3 2 21" xfId="31382"/>
    <cellStyle name="Debit subtotal 2 7 3 2 3" xfId="31383"/>
    <cellStyle name="Debit subtotal 2 7 3 2 4" xfId="31384"/>
    <cellStyle name="Debit subtotal 2 7 3 2 5" xfId="31385"/>
    <cellStyle name="Debit subtotal 2 7 3 2 6" xfId="31386"/>
    <cellStyle name="Debit subtotal 2 7 3 2 7" xfId="31387"/>
    <cellStyle name="Debit subtotal 2 7 3 2 8" xfId="31388"/>
    <cellStyle name="Debit subtotal 2 7 3 2 9" xfId="31389"/>
    <cellStyle name="Debit subtotal 2 7 3 3" xfId="31390"/>
    <cellStyle name="Debit subtotal 2 7 3 3 10" xfId="31391"/>
    <cellStyle name="Debit subtotal 2 7 3 3 11" xfId="31392"/>
    <cellStyle name="Debit subtotal 2 7 3 3 12" xfId="31393"/>
    <cellStyle name="Debit subtotal 2 7 3 3 13" xfId="31394"/>
    <cellStyle name="Debit subtotal 2 7 3 3 14" xfId="31395"/>
    <cellStyle name="Debit subtotal 2 7 3 3 15" xfId="31396"/>
    <cellStyle name="Debit subtotal 2 7 3 3 16" xfId="31397"/>
    <cellStyle name="Debit subtotal 2 7 3 3 17" xfId="31398"/>
    <cellStyle name="Debit subtotal 2 7 3 3 18" xfId="31399"/>
    <cellStyle name="Debit subtotal 2 7 3 3 19" xfId="31400"/>
    <cellStyle name="Debit subtotal 2 7 3 3 2" xfId="31401"/>
    <cellStyle name="Debit subtotal 2 7 3 3 2 2" xfId="31402"/>
    <cellStyle name="Debit subtotal 2 7 3 3 2 3" xfId="31403"/>
    <cellStyle name="Debit subtotal 2 7 3 3 2 4" xfId="31404"/>
    <cellStyle name="Debit subtotal 2 7 3 3 2 5" xfId="31405"/>
    <cellStyle name="Debit subtotal 2 7 3 3 2 6" xfId="31406"/>
    <cellStyle name="Debit subtotal 2 7 3 3 2 7" xfId="31407"/>
    <cellStyle name="Debit subtotal 2 7 3 3 2 8" xfId="31408"/>
    <cellStyle name="Debit subtotal 2 7 3 3 2 9" xfId="31409"/>
    <cellStyle name="Debit subtotal 2 7 3 3 3" xfId="31410"/>
    <cellStyle name="Debit subtotal 2 7 3 3 4" xfId="31411"/>
    <cellStyle name="Debit subtotal 2 7 3 3 5" xfId="31412"/>
    <cellStyle name="Debit subtotal 2 7 3 3 6" xfId="31413"/>
    <cellStyle name="Debit subtotal 2 7 3 3 7" xfId="31414"/>
    <cellStyle name="Debit subtotal 2 7 3 3 8" xfId="31415"/>
    <cellStyle name="Debit subtotal 2 7 3 3 9" xfId="31416"/>
    <cellStyle name="Debit subtotal 2 7 3 4" xfId="31417"/>
    <cellStyle name="Debit subtotal 2 7 3 4 10" xfId="31418"/>
    <cellStyle name="Debit subtotal 2 7 3 4 11" xfId="31419"/>
    <cellStyle name="Debit subtotal 2 7 3 4 12" xfId="31420"/>
    <cellStyle name="Debit subtotal 2 7 3 4 13" xfId="31421"/>
    <cellStyle name="Debit subtotal 2 7 3 4 14" xfId="31422"/>
    <cellStyle name="Debit subtotal 2 7 3 4 15" xfId="31423"/>
    <cellStyle name="Debit subtotal 2 7 3 4 16" xfId="31424"/>
    <cellStyle name="Debit subtotal 2 7 3 4 17" xfId="31425"/>
    <cellStyle name="Debit subtotal 2 7 3 4 18" xfId="31426"/>
    <cellStyle name="Debit subtotal 2 7 3 4 2" xfId="31427"/>
    <cellStyle name="Debit subtotal 2 7 3 4 2 2" xfId="31428"/>
    <cellStyle name="Debit subtotal 2 7 3 4 2 3" xfId="31429"/>
    <cellStyle name="Debit subtotal 2 7 3 4 2 4" xfId="31430"/>
    <cellStyle name="Debit subtotal 2 7 3 4 2 5" xfId="31431"/>
    <cellStyle name="Debit subtotal 2 7 3 4 2 6" xfId="31432"/>
    <cellStyle name="Debit subtotal 2 7 3 4 2 7" xfId="31433"/>
    <cellStyle name="Debit subtotal 2 7 3 4 2 8" xfId="31434"/>
    <cellStyle name="Debit subtotal 2 7 3 4 2 9" xfId="31435"/>
    <cellStyle name="Debit subtotal 2 7 3 4 3" xfId="31436"/>
    <cellStyle name="Debit subtotal 2 7 3 4 4" xfId="31437"/>
    <cellStyle name="Debit subtotal 2 7 3 4 5" xfId="31438"/>
    <cellStyle name="Debit subtotal 2 7 3 4 6" xfId="31439"/>
    <cellStyle name="Debit subtotal 2 7 3 4 7" xfId="31440"/>
    <cellStyle name="Debit subtotal 2 7 3 4 8" xfId="31441"/>
    <cellStyle name="Debit subtotal 2 7 3 4 9" xfId="31442"/>
    <cellStyle name="Debit subtotal 2 7 3 5" xfId="31443"/>
    <cellStyle name="Debit subtotal 2 7 3 5 2" xfId="31444"/>
    <cellStyle name="Debit subtotal 2 7 3 5 3" xfId="31445"/>
    <cellStyle name="Debit subtotal 2 7 3 6" xfId="31446"/>
    <cellStyle name="Debit subtotal 2 7 4" xfId="31447"/>
    <cellStyle name="Debit subtotal 2 7 4 10" xfId="31448"/>
    <cellStyle name="Debit subtotal 2 7 4 11" xfId="31449"/>
    <cellStyle name="Debit subtotal 2 7 4 12" xfId="31450"/>
    <cellStyle name="Debit subtotal 2 7 4 13" xfId="31451"/>
    <cellStyle name="Debit subtotal 2 7 4 14" xfId="31452"/>
    <cellStyle name="Debit subtotal 2 7 4 15" xfId="31453"/>
    <cellStyle name="Debit subtotal 2 7 4 16" xfId="31454"/>
    <cellStyle name="Debit subtotal 2 7 4 17" xfId="31455"/>
    <cellStyle name="Debit subtotal 2 7 4 18" xfId="31456"/>
    <cellStyle name="Debit subtotal 2 7 4 19" xfId="31457"/>
    <cellStyle name="Debit subtotal 2 7 4 2" xfId="31458"/>
    <cellStyle name="Debit subtotal 2 7 4 2 2" xfId="31459"/>
    <cellStyle name="Debit subtotal 2 7 4 2 3" xfId="31460"/>
    <cellStyle name="Debit subtotal 2 7 4 2 4" xfId="31461"/>
    <cellStyle name="Debit subtotal 2 7 4 2 5" xfId="31462"/>
    <cellStyle name="Debit subtotal 2 7 4 2 6" xfId="31463"/>
    <cellStyle name="Debit subtotal 2 7 4 2 7" xfId="31464"/>
    <cellStyle name="Debit subtotal 2 7 4 2 8" xfId="31465"/>
    <cellStyle name="Debit subtotal 2 7 4 2 9" xfId="31466"/>
    <cellStyle name="Debit subtotal 2 7 4 20" xfId="31467"/>
    <cellStyle name="Debit subtotal 2 7 4 21" xfId="31468"/>
    <cellStyle name="Debit subtotal 2 7 4 3" xfId="31469"/>
    <cellStyle name="Debit subtotal 2 7 4 4" xfId="31470"/>
    <cellStyle name="Debit subtotal 2 7 4 5" xfId="31471"/>
    <cellStyle name="Debit subtotal 2 7 4 6" xfId="31472"/>
    <cellStyle name="Debit subtotal 2 7 4 7" xfId="31473"/>
    <cellStyle name="Debit subtotal 2 7 4 8" xfId="31474"/>
    <cellStyle name="Debit subtotal 2 7 4 9" xfId="31475"/>
    <cellStyle name="Debit subtotal 2 7 5" xfId="31476"/>
    <cellStyle name="Debit subtotal 2 7 5 10" xfId="31477"/>
    <cellStyle name="Debit subtotal 2 7 5 11" xfId="31478"/>
    <cellStyle name="Debit subtotal 2 7 5 12" xfId="31479"/>
    <cellStyle name="Debit subtotal 2 7 5 13" xfId="31480"/>
    <cellStyle name="Debit subtotal 2 7 5 14" xfId="31481"/>
    <cellStyle name="Debit subtotal 2 7 5 15" xfId="31482"/>
    <cellStyle name="Debit subtotal 2 7 5 16" xfId="31483"/>
    <cellStyle name="Debit subtotal 2 7 5 17" xfId="31484"/>
    <cellStyle name="Debit subtotal 2 7 5 18" xfId="31485"/>
    <cellStyle name="Debit subtotal 2 7 5 19" xfId="31486"/>
    <cellStyle name="Debit subtotal 2 7 5 2" xfId="31487"/>
    <cellStyle name="Debit subtotal 2 7 5 2 2" xfId="31488"/>
    <cellStyle name="Debit subtotal 2 7 5 2 3" xfId="31489"/>
    <cellStyle name="Debit subtotal 2 7 5 2 4" xfId="31490"/>
    <cellStyle name="Debit subtotal 2 7 5 2 5" xfId="31491"/>
    <cellStyle name="Debit subtotal 2 7 5 2 6" xfId="31492"/>
    <cellStyle name="Debit subtotal 2 7 5 2 7" xfId="31493"/>
    <cellStyle name="Debit subtotal 2 7 5 2 8" xfId="31494"/>
    <cellStyle name="Debit subtotal 2 7 5 2 9" xfId="31495"/>
    <cellStyle name="Debit subtotal 2 7 5 3" xfId="31496"/>
    <cellStyle name="Debit subtotal 2 7 5 4" xfId="31497"/>
    <cellStyle name="Debit subtotal 2 7 5 5" xfId="31498"/>
    <cellStyle name="Debit subtotal 2 7 5 6" xfId="31499"/>
    <cellStyle name="Debit subtotal 2 7 5 7" xfId="31500"/>
    <cellStyle name="Debit subtotal 2 7 5 8" xfId="31501"/>
    <cellStyle name="Debit subtotal 2 7 5 9" xfId="31502"/>
    <cellStyle name="Debit subtotal 2 7 6" xfId="31503"/>
    <cellStyle name="Debit subtotal 2 7 6 10" xfId="31504"/>
    <cellStyle name="Debit subtotal 2 7 6 11" xfId="31505"/>
    <cellStyle name="Debit subtotal 2 7 6 12" xfId="31506"/>
    <cellStyle name="Debit subtotal 2 7 6 13" xfId="31507"/>
    <cellStyle name="Debit subtotal 2 7 6 14" xfId="31508"/>
    <cellStyle name="Debit subtotal 2 7 6 15" xfId="31509"/>
    <cellStyle name="Debit subtotal 2 7 6 16" xfId="31510"/>
    <cellStyle name="Debit subtotal 2 7 6 17" xfId="31511"/>
    <cellStyle name="Debit subtotal 2 7 6 18" xfId="31512"/>
    <cellStyle name="Debit subtotal 2 7 6 2" xfId="31513"/>
    <cellStyle name="Debit subtotal 2 7 6 2 2" xfId="31514"/>
    <cellStyle name="Debit subtotal 2 7 6 2 3" xfId="31515"/>
    <cellStyle name="Debit subtotal 2 7 6 2 4" xfId="31516"/>
    <cellStyle name="Debit subtotal 2 7 6 2 5" xfId="31517"/>
    <cellStyle name="Debit subtotal 2 7 6 2 6" xfId="31518"/>
    <cellStyle name="Debit subtotal 2 7 6 2 7" xfId="31519"/>
    <cellStyle name="Debit subtotal 2 7 6 2 8" xfId="31520"/>
    <cellStyle name="Debit subtotal 2 7 6 2 9" xfId="31521"/>
    <cellStyle name="Debit subtotal 2 7 6 3" xfId="31522"/>
    <cellStyle name="Debit subtotal 2 7 6 4" xfId="31523"/>
    <cellStyle name="Debit subtotal 2 7 6 5" xfId="31524"/>
    <cellStyle name="Debit subtotal 2 7 6 6" xfId="31525"/>
    <cellStyle name="Debit subtotal 2 7 6 7" xfId="31526"/>
    <cellStyle name="Debit subtotal 2 7 6 8" xfId="31527"/>
    <cellStyle name="Debit subtotal 2 7 6 9" xfId="31528"/>
    <cellStyle name="Debit subtotal 2 7 7" xfId="31529"/>
    <cellStyle name="Debit subtotal 2 7 7 2" xfId="31530"/>
    <cellStyle name="Debit subtotal 2 7 7 3" xfId="31531"/>
    <cellStyle name="Debit subtotal 2 7 8" xfId="31532"/>
    <cellStyle name="Debit subtotal 2 8" xfId="31533"/>
    <cellStyle name="Debit subtotal 2 8 2" xfId="31534"/>
    <cellStyle name="Debit subtotal 2 8 2 2" xfId="31535"/>
    <cellStyle name="Debit subtotal 2 8 2 2 10" xfId="31536"/>
    <cellStyle name="Debit subtotal 2 8 2 2 11" xfId="31537"/>
    <cellStyle name="Debit subtotal 2 8 2 2 12" xfId="31538"/>
    <cellStyle name="Debit subtotal 2 8 2 2 13" xfId="31539"/>
    <cellStyle name="Debit subtotal 2 8 2 2 14" xfId="31540"/>
    <cellStyle name="Debit subtotal 2 8 2 2 15" xfId="31541"/>
    <cellStyle name="Debit subtotal 2 8 2 2 16" xfId="31542"/>
    <cellStyle name="Debit subtotal 2 8 2 2 17" xfId="31543"/>
    <cellStyle name="Debit subtotal 2 8 2 2 18" xfId="31544"/>
    <cellStyle name="Debit subtotal 2 8 2 2 19" xfId="31545"/>
    <cellStyle name="Debit subtotal 2 8 2 2 2" xfId="31546"/>
    <cellStyle name="Debit subtotal 2 8 2 2 2 2" xfId="31547"/>
    <cellStyle name="Debit subtotal 2 8 2 2 2 3" xfId="31548"/>
    <cellStyle name="Debit subtotal 2 8 2 2 2 4" xfId="31549"/>
    <cellStyle name="Debit subtotal 2 8 2 2 2 5" xfId="31550"/>
    <cellStyle name="Debit subtotal 2 8 2 2 2 6" xfId="31551"/>
    <cellStyle name="Debit subtotal 2 8 2 2 2 7" xfId="31552"/>
    <cellStyle name="Debit subtotal 2 8 2 2 2 8" xfId="31553"/>
    <cellStyle name="Debit subtotal 2 8 2 2 2 9" xfId="31554"/>
    <cellStyle name="Debit subtotal 2 8 2 2 20" xfId="31555"/>
    <cellStyle name="Debit subtotal 2 8 2 2 21" xfId="31556"/>
    <cellStyle name="Debit subtotal 2 8 2 2 3" xfId="31557"/>
    <cellStyle name="Debit subtotal 2 8 2 2 4" xfId="31558"/>
    <cellStyle name="Debit subtotal 2 8 2 2 5" xfId="31559"/>
    <cellStyle name="Debit subtotal 2 8 2 2 6" xfId="31560"/>
    <cellStyle name="Debit subtotal 2 8 2 2 7" xfId="31561"/>
    <cellStyle name="Debit subtotal 2 8 2 2 8" xfId="31562"/>
    <cellStyle name="Debit subtotal 2 8 2 2 9" xfId="31563"/>
    <cellStyle name="Debit subtotal 2 8 2 3" xfId="31564"/>
    <cellStyle name="Debit subtotal 2 8 2 3 10" xfId="31565"/>
    <cellStyle name="Debit subtotal 2 8 2 3 11" xfId="31566"/>
    <cellStyle name="Debit subtotal 2 8 2 3 12" xfId="31567"/>
    <cellStyle name="Debit subtotal 2 8 2 3 13" xfId="31568"/>
    <cellStyle name="Debit subtotal 2 8 2 3 14" xfId="31569"/>
    <cellStyle name="Debit subtotal 2 8 2 3 15" xfId="31570"/>
    <cellStyle name="Debit subtotal 2 8 2 3 16" xfId="31571"/>
    <cellStyle name="Debit subtotal 2 8 2 3 17" xfId="31572"/>
    <cellStyle name="Debit subtotal 2 8 2 3 18" xfId="31573"/>
    <cellStyle name="Debit subtotal 2 8 2 3 19" xfId="31574"/>
    <cellStyle name="Debit subtotal 2 8 2 3 2" xfId="31575"/>
    <cellStyle name="Debit subtotal 2 8 2 3 2 2" xfId="31576"/>
    <cellStyle name="Debit subtotal 2 8 2 3 2 3" xfId="31577"/>
    <cellStyle name="Debit subtotal 2 8 2 3 2 4" xfId="31578"/>
    <cellStyle name="Debit subtotal 2 8 2 3 2 5" xfId="31579"/>
    <cellStyle name="Debit subtotal 2 8 2 3 2 6" xfId="31580"/>
    <cellStyle name="Debit subtotal 2 8 2 3 2 7" xfId="31581"/>
    <cellStyle name="Debit subtotal 2 8 2 3 2 8" xfId="31582"/>
    <cellStyle name="Debit subtotal 2 8 2 3 2 9" xfId="31583"/>
    <cellStyle name="Debit subtotal 2 8 2 3 3" xfId="31584"/>
    <cellStyle name="Debit subtotal 2 8 2 3 4" xfId="31585"/>
    <cellStyle name="Debit subtotal 2 8 2 3 5" xfId="31586"/>
    <cellStyle name="Debit subtotal 2 8 2 3 6" xfId="31587"/>
    <cellStyle name="Debit subtotal 2 8 2 3 7" xfId="31588"/>
    <cellStyle name="Debit subtotal 2 8 2 3 8" xfId="31589"/>
    <cellStyle name="Debit subtotal 2 8 2 3 9" xfId="31590"/>
    <cellStyle name="Debit subtotal 2 8 2 4" xfId="31591"/>
    <cellStyle name="Debit subtotal 2 8 2 4 10" xfId="31592"/>
    <cellStyle name="Debit subtotal 2 8 2 4 11" xfId="31593"/>
    <cellStyle name="Debit subtotal 2 8 2 4 12" xfId="31594"/>
    <cellStyle name="Debit subtotal 2 8 2 4 13" xfId="31595"/>
    <cellStyle name="Debit subtotal 2 8 2 4 14" xfId="31596"/>
    <cellStyle name="Debit subtotal 2 8 2 4 15" xfId="31597"/>
    <cellStyle name="Debit subtotal 2 8 2 4 16" xfId="31598"/>
    <cellStyle name="Debit subtotal 2 8 2 4 17" xfId="31599"/>
    <cellStyle name="Debit subtotal 2 8 2 4 18" xfId="31600"/>
    <cellStyle name="Debit subtotal 2 8 2 4 2" xfId="31601"/>
    <cellStyle name="Debit subtotal 2 8 2 4 2 2" xfId="31602"/>
    <cellStyle name="Debit subtotal 2 8 2 4 2 3" xfId="31603"/>
    <cellStyle name="Debit subtotal 2 8 2 4 2 4" xfId="31604"/>
    <cellStyle name="Debit subtotal 2 8 2 4 2 5" xfId="31605"/>
    <cellStyle name="Debit subtotal 2 8 2 4 2 6" xfId="31606"/>
    <cellStyle name="Debit subtotal 2 8 2 4 2 7" xfId="31607"/>
    <cellStyle name="Debit subtotal 2 8 2 4 2 8" xfId="31608"/>
    <cellStyle name="Debit subtotal 2 8 2 4 2 9" xfId="31609"/>
    <cellStyle name="Debit subtotal 2 8 2 4 3" xfId="31610"/>
    <cellStyle name="Debit subtotal 2 8 2 4 4" xfId="31611"/>
    <cellStyle name="Debit subtotal 2 8 2 4 5" xfId="31612"/>
    <cellStyle name="Debit subtotal 2 8 2 4 6" xfId="31613"/>
    <cellStyle name="Debit subtotal 2 8 2 4 7" xfId="31614"/>
    <cellStyle name="Debit subtotal 2 8 2 4 8" xfId="31615"/>
    <cellStyle name="Debit subtotal 2 8 2 4 9" xfId="31616"/>
    <cellStyle name="Debit subtotal 2 8 2 5" xfId="31617"/>
    <cellStyle name="Debit subtotal 2 8 2 5 2" xfId="31618"/>
    <cellStyle name="Debit subtotal 2 8 2 5 3" xfId="31619"/>
    <cellStyle name="Debit subtotal 2 8 2 6" xfId="31620"/>
    <cellStyle name="Debit subtotal 2 8 3" xfId="31621"/>
    <cellStyle name="Debit subtotal 2 8 3 2" xfId="31622"/>
    <cellStyle name="Debit subtotal 2 8 3 2 10" xfId="31623"/>
    <cellStyle name="Debit subtotal 2 8 3 2 11" xfId="31624"/>
    <cellStyle name="Debit subtotal 2 8 3 2 12" xfId="31625"/>
    <cellStyle name="Debit subtotal 2 8 3 2 13" xfId="31626"/>
    <cellStyle name="Debit subtotal 2 8 3 2 14" xfId="31627"/>
    <cellStyle name="Debit subtotal 2 8 3 2 15" xfId="31628"/>
    <cellStyle name="Debit subtotal 2 8 3 2 16" xfId="31629"/>
    <cellStyle name="Debit subtotal 2 8 3 2 17" xfId="31630"/>
    <cellStyle name="Debit subtotal 2 8 3 2 18" xfId="31631"/>
    <cellStyle name="Debit subtotal 2 8 3 2 19" xfId="31632"/>
    <cellStyle name="Debit subtotal 2 8 3 2 2" xfId="31633"/>
    <cellStyle name="Debit subtotal 2 8 3 2 2 2" xfId="31634"/>
    <cellStyle name="Debit subtotal 2 8 3 2 2 3" xfId="31635"/>
    <cellStyle name="Debit subtotal 2 8 3 2 2 4" xfId="31636"/>
    <cellStyle name="Debit subtotal 2 8 3 2 2 5" xfId="31637"/>
    <cellStyle name="Debit subtotal 2 8 3 2 2 6" xfId="31638"/>
    <cellStyle name="Debit subtotal 2 8 3 2 2 7" xfId="31639"/>
    <cellStyle name="Debit subtotal 2 8 3 2 2 8" xfId="31640"/>
    <cellStyle name="Debit subtotal 2 8 3 2 2 9" xfId="31641"/>
    <cellStyle name="Debit subtotal 2 8 3 2 20" xfId="31642"/>
    <cellStyle name="Debit subtotal 2 8 3 2 21" xfId="31643"/>
    <cellStyle name="Debit subtotal 2 8 3 2 3" xfId="31644"/>
    <cellStyle name="Debit subtotal 2 8 3 2 4" xfId="31645"/>
    <cellStyle name="Debit subtotal 2 8 3 2 5" xfId="31646"/>
    <cellStyle name="Debit subtotal 2 8 3 2 6" xfId="31647"/>
    <cellStyle name="Debit subtotal 2 8 3 2 7" xfId="31648"/>
    <cellStyle name="Debit subtotal 2 8 3 2 8" xfId="31649"/>
    <cellStyle name="Debit subtotal 2 8 3 2 9" xfId="31650"/>
    <cellStyle name="Debit subtotal 2 8 3 3" xfId="31651"/>
    <cellStyle name="Debit subtotal 2 8 3 3 10" xfId="31652"/>
    <cellStyle name="Debit subtotal 2 8 3 3 11" xfId="31653"/>
    <cellStyle name="Debit subtotal 2 8 3 3 12" xfId="31654"/>
    <cellStyle name="Debit subtotal 2 8 3 3 13" xfId="31655"/>
    <cellStyle name="Debit subtotal 2 8 3 3 14" xfId="31656"/>
    <cellStyle name="Debit subtotal 2 8 3 3 15" xfId="31657"/>
    <cellStyle name="Debit subtotal 2 8 3 3 16" xfId="31658"/>
    <cellStyle name="Debit subtotal 2 8 3 3 17" xfId="31659"/>
    <cellStyle name="Debit subtotal 2 8 3 3 18" xfId="31660"/>
    <cellStyle name="Debit subtotal 2 8 3 3 19" xfId="31661"/>
    <cellStyle name="Debit subtotal 2 8 3 3 2" xfId="31662"/>
    <cellStyle name="Debit subtotal 2 8 3 3 2 2" xfId="31663"/>
    <cellStyle name="Debit subtotal 2 8 3 3 2 3" xfId="31664"/>
    <cellStyle name="Debit subtotal 2 8 3 3 2 4" xfId="31665"/>
    <cellStyle name="Debit subtotal 2 8 3 3 2 5" xfId="31666"/>
    <cellStyle name="Debit subtotal 2 8 3 3 2 6" xfId="31667"/>
    <cellStyle name="Debit subtotal 2 8 3 3 2 7" xfId="31668"/>
    <cellStyle name="Debit subtotal 2 8 3 3 2 8" xfId="31669"/>
    <cellStyle name="Debit subtotal 2 8 3 3 2 9" xfId="31670"/>
    <cellStyle name="Debit subtotal 2 8 3 3 3" xfId="31671"/>
    <cellStyle name="Debit subtotal 2 8 3 3 4" xfId="31672"/>
    <cellStyle name="Debit subtotal 2 8 3 3 5" xfId="31673"/>
    <cellStyle name="Debit subtotal 2 8 3 3 6" xfId="31674"/>
    <cellStyle name="Debit subtotal 2 8 3 3 7" xfId="31675"/>
    <cellStyle name="Debit subtotal 2 8 3 3 8" xfId="31676"/>
    <cellStyle name="Debit subtotal 2 8 3 3 9" xfId="31677"/>
    <cellStyle name="Debit subtotal 2 8 3 4" xfId="31678"/>
    <cellStyle name="Debit subtotal 2 8 3 4 10" xfId="31679"/>
    <cellStyle name="Debit subtotal 2 8 3 4 11" xfId="31680"/>
    <cellStyle name="Debit subtotal 2 8 3 4 12" xfId="31681"/>
    <cellStyle name="Debit subtotal 2 8 3 4 13" xfId="31682"/>
    <cellStyle name="Debit subtotal 2 8 3 4 14" xfId="31683"/>
    <cellStyle name="Debit subtotal 2 8 3 4 15" xfId="31684"/>
    <cellStyle name="Debit subtotal 2 8 3 4 16" xfId="31685"/>
    <cellStyle name="Debit subtotal 2 8 3 4 17" xfId="31686"/>
    <cellStyle name="Debit subtotal 2 8 3 4 18" xfId="31687"/>
    <cellStyle name="Debit subtotal 2 8 3 4 2" xfId="31688"/>
    <cellStyle name="Debit subtotal 2 8 3 4 2 2" xfId="31689"/>
    <cellStyle name="Debit subtotal 2 8 3 4 2 3" xfId="31690"/>
    <cellStyle name="Debit subtotal 2 8 3 4 2 4" xfId="31691"/>
    <cellStyle name="Debit subtotal 2 8 3 4 2 5" xfId="31692"/>
    <cellStyle name="Debit subtotal 2 8 3 4 2 6" xfId="31693"/>
    <cellStyle name="Debit subtotal 2 8 3 4 2 7" xfId="31694"/>
    <cellStyle name="Debit subtotal 2 8 3 4 2 8" xfId="31695"/>
    <cellStyle name="Debit subtotal 2 8 3 4 2 9" xfId="31696"/>
    <cellStyle name="Debit subtotal 2 8 3 4 3" xfId="31697"/>
    <cellStyle name="Debit subtotal 2 8 3 4 4" xfId="31698"/>
    <cellStyle name="Debit subtotal 2 8 3 4 5" xfId="31699"/>
    <cellStyle name="Debit subtotal 2 8 3 4 6" xfId="31700"/>
    <cellStyle name="Debit subtotal 2 8 3 4 7" xfId="31701"/>
    <cellStyle name="Debit subtotal 2 8 3 4 8" xfId="31702"/>
    <cellStyle name="Debit subtotal 2 8 3 4 9" xfId="31703"/>
    <cellStyle name="Debit subtotal 2 8 3 5" xfId="31704"/>
    <cellStyle name="Debit subtotal 2 8 3 5 2" xfId="31705"/>
    <cellStyle name="Debit subtotal 2 8 3 5 3" xfId="31706"/>
    <cellStyle name="Debit subtotal 2 8 3 6" xfId="31707"/>
    <cellStyle name="Debit subtotal 2 8 4" xfId="31708"/>
    <cellStyle name="Debit subtotal 2 8 4 10" xfId="31709"/>
    <cellStyle name="Debit subtotal 2 8 4 11" xfId="31710"/>
    <cellStyle name="Debit subtotal 2 8 4 12" xfId="31711"/>
    <cellStyle name="Debit subtotal 2 8 4 13" xfId="31712"/>
    <cellStyle name="Debit subtotal 2 8 4 14" xfId="31713"/>
    <cellStyle name="Debit subtotal 2 8 4 15" xfId="31714"/>
    <cellStyle name="Debit subtotal 2 8 4 16" xfId="31715"/>
    <cellStyle name="Debit subtotal 2 8 4 17" xfId="31716"/>
    <cellStyle name="Debit subtotal 2 8 4 18" xfId="31717"/>
    <cellStyle name="Debit subtotal 2 8 4 19" xfId="31718"/>
    <cellStyle name="Debit subtotal 2 8 4 2" xfId="31719"/>
    <cellStyle name="Debit subtotal 2 8 4 2 2" xfId="31720"/>
    <cellStyle name="Debit subtotal 2 8 4 2 3" xfId="31721"/>
    <cellStyle name="Debit subtotal 2 8 4 2 4" xfId="31722"/>
    <cellStyle name="Debit subtotal 2 8 4 2 5" xfId="31723"/>
    <cellStyle name="Debit subtotal 2 8 4 2 6" xfId="31724"/>
    <cellStyle name="Debit subtotal 2 8 4 2 7" xfId="31725"/>
    <cellStyle name="Debit subtotal 2 8 4 2 8" xfId="31726"/>
    <cellStyle name="Debit subtotal 2 8 4 2 9" xfId="31727"/>
    <cellStyle name="Debit subtotal 2 8 4 20" xfId="31728"/>
    <cellStyle name="Debit subtotal 2 8 4 21" xfId="31729"/>
    <cellStyle name="Debit subtotal 2 8 4 3" xfId="31730"/>
    <cellStyle name="Debit subtotal 2 8 4 4" xfId="31731"/>
    <cellStyle name="Debit subtotal 2 8 4 5" xfId="31732"/>
    <cellStyle name="Debit subtotal 2 8 4 6" xfId="31733"/>
    <cellStyle name="Debit subtotal 2 8 4 7" xfId="31734"/>
    <cellStyle name="Debit subtotal 2 8 4 8" xfId="31735"/>
    <cellStyle name="Debit subtotal 2 8 4 9" xfId="31736"/>
    <cellStyle name="Debit subtotal 2 8 5" xfId="31737"/>
    <cellStyle name="Debit subtotal 2 8 5 10" xfId="31738"/>
    <cellStyle name="Debit subtotal 2 8 5 11" xfId="31739"/>
    <cellStyle name="Debit subtotal 2 8 5 12" xfId="31740"/>
    <cellStyle name="Debit subtotal 2 8 5 13" xfId="31741"/>
    <cellStyle name="Debit subtotal 2 8 5 14" xfId="31742"/>
    <cellStyle name="Debit subtotal 2 8 5 15" xfId="31743"/>
    <cellStyle name="Debit subtotal 2 8 5 16" xfId="31744"/>
    <cellStyle name="Debit subtotal 2 8 5 17" xfId="31745"/>
    <cellStyle name="Debit subtotal 2 8 5 18" xfId="31746"/>
    <cellStyle name="Debit subtotal 2 8 5 19" xfId="31747"/>
    <cellStyle name="Debit subtotal 2 8 5 2" xfId="31748"/>
    <cellStyle name="Debit subtotal 2 8 5 2 2" xfId="31749"/>
    <cellStyle name="Debit subtotal 2 8 5 2 3" xfId="31750"/>
    <cellStyle name="Debit subtotal 2 8 5 2 4" xfId="31751"/>
    <cellStyle name="Debit subtotal 2 8 5 2 5" xfId="31752"/>
    <cellStyle name="Debit subtotal 2 8 5 2 6" xfId="31753"/>
    <cellStyle name="Debit subtotal 2 8 5 2 7" xfId="31754"/>
    <cellStyle name="Debit subtotal 2 8 5 2 8" xfId="31755"/>
    <cellStyle name="Debit subtotal 2 8 5 2 9" xfId="31756"/>
    <cellStyle name="Debit subtotal 2 8 5 3" xfId="31757"/>
    <cellStyle name="Debit subtotal 2 8 5 4" xfId="31758"/>
    <cellStyle name="Debit subtotal 2 8 5 5" xfId="31759"/>
    <cellStyle name="Debit subtotal 2 8 5 6" xfId="31760"/>
    <cellStyle name="Debit subtotal 2 8 5 7" xfId="31761"/>
    <cellStyle name="Debit subtotal 2 8 5 8" xfId="31762"/>
    <cellStyle name="Debit subtotal 2 8 5 9" xfId="31763"/>
    <cellStyle name="Debit subtotal 2 8 6" xfId="31764"/>
    <cellStyle name="Debit subtotal 2 8 6 10" xfId="31765"/>
    <cellStyle name="Debit subtotal 2 8 6 11" xfId="31766"/>
    <cellStyle name="Debit subtotal 2 8 6 12" xfId="31767"/>
    <cellStyle name="Debit subtotal 2 8 6 13" xfId="31768"/>
    <cellStyle name="Debit subtotal 2 8 6 14" xfId="31769"/>
    <cellStyle name="Debit subtotal 2 8 6 15" xfId="31770"/>
    <cellStyle name="Debit subtotal 2 8 6 16" xfId="31771"/>
    <cellStyle name="Debit subtotal 2 8 6 17" xfId="31772"/>
    <cellStyle name="Debit subtotal 2 8 6 18" xfId="31773"/>
    <cellStyle name="Debit subtotal 2 8 6 2" xfId="31774"/>
    <cellStyle name="Debit subtotal 2 8 6 2 2" xfId="31775"/>
    <cellStyle name="Debit subtotal 2 8 6 2 3" xfId="31776"/>
    <cellStyle name="Debit subtotal 2 8 6 2 4" xfId="31777"/>
    <cellStyle name="Debit subtotal 2 8 6 2 5" xfId="31778"/>
    <cellStyle name="Debit subtotal 2 8 6 2 6" xfId="31779"/>
    <cellStyle name="Debit subtotal 2 8 6 2 7" xfId="31780"/>
    <cellStyle name="Debit subtotal 2 8 6 2 8" xfId="31781"/>
    <cellStyle name="Debit subtotal 2 8 6 2 9" xfId="31782"/>
    <cellStyle name="Debit subtotal 2 8 6 3" xfId="31783"/>
    <cellStyle name="Debit subtotal 2 8 6 4" xfId="31784"/>
    <cellStyle name="Debit subtotal 2 8 6 5" xfId="31785"/>
    <cellStyle name="Debit subtotal 2 8 6 6" xfId="31786"/>
    <cellStyle name="Debit subtotal 2 8 6 7" xfId="31787"/>
    <cellStyle name="Debit subtotal 2 8 6 8" xfId="31788"/>
    <cellStyle name="Debit subtotal 2 8 6 9" xfId="31789"/>
    <cellStyle name="Debit subtotal 2 8 7" xfId="31790"/>
    <cellStyle name="Debit subtotal 2 8 7 2" xfId="31791"/>
    <cellStyle name="Debit subtotal 2 8 7 3" xfId="31792"/>
    <cellStyle name="Debit subtotal 2 8 8" xfId="31793"/>
    <cellStyle name="Debit subtotal 2 9" xfId="31794"/>
    <cellStyle name="Debit subtotal 2 9 2" xfId="31795"/>
    <cellStyle name="Debit subtotal 2 9 2 2" xfId="31796"/>
    <cellStyle name="Debit subtotal 2 9 2 2 10" xfId="31797"/>
    <cellStyle name="Debit subtotal 2 9 2 2 11" xfId="31798"/>
    <cellStyle name="Debit subtotal 2 9 2 2 12" xfId="31799"/>
    <cellStyle name="Debit subtotal 2 9 2 2 13" xfId="31800"/>
    <cellStyle name="Debit subtotal 2 9 2 2 14" xfId="31801"/>
    <cellStyle name="Debit subtotal 2 9 2 2 15" xfId="31802"/>
    <cellStyle name="Debit subtotal 2 9 2 2 16" xfId="31803"/>
    <cellStyle name="Debit subtotal 2 9 2 2 17" xfId="31804"/>
    <cellStyle name="Debit subtotal 2 9 2 2 18" xfId="31805"/>
    <cellStyle name="Debit subtotal 2 9 2 2 19" xfId="31806"/>
    <cellStyle name="Debit subtotal 2 9 2 2 2" xfId="31807"/>
    <cellStyle name="Debit subtotal 2 9 2 2 2 2" xfId="31808"/>
    <cellStyle name="Debit subtotal 2 9 2 2 2 3" xfId="31809"/>
    <cellStyle name="Debit subtotal 2 9 2 2 2 4" xfId="31810"/>
    <cellStyle name="Debit subtotal 2 9 2 2 2 5" xfId="31811"/>
    <cellStyle name="Debit subtotal 2 9 2 2 2 6" xfId="31812"/>
    <cellStyle name="Debit subtotal 2 9 2 2 2 7" xfId="31813"/>
    <cellStyle name="Debit subtotal 2 9 2 2 2 8" xfId="31814"/>
    <cellStyle name="Debit subtotal 2 9 2 2 2 9" xfId="31815"/>
    <cellStyle name="Debit subtotal 2 9 2 2 20" xfId="31816"/>
    <cellStyle name="Debit subtotal 2 9 2 2 21" xfId="31817"/>
    <cellStyle name="Debit subtotal 2 9 2 2 3" xfId="31818"/>
    <cellStyle name="Debit subtotal 2 9 2 2 4" xfId="31819"/>
    <cellStyle name="Debit subtotal 2 9 2 2 5" xfId="31820"/>
    <cellStyle name="Debit subtotal 2 9 2 2 6" xfId="31821"/>
    <cellStyle name="Debit subtotal 2 9 2 2 7" xfId="31822"/>
    <cellStyle name="Debit subtotal 2 9 2 2 8" xfId="31823"/>
    <cellStyle name="Debit subtotal 2 9 2 2 9" xfId="31824"/>
    <cellStyle name="Debit subtotal 2 9 2 3" xfId="31825"/>
    <cellStyle name="Debit subtotal 2 9 2 3 10" xfId="31826"/>
    <cellStyle name="Debit subtotal 2 9 2 3 11" xfId="31827"/>
    <cellStyle name="Debit subtotal 2 9 2 3 12" xfId="31828"/>
    <cellStyle name="Debit subtotal 2 9 2 3 13" xfId="31829"/>
    <cellStyle name="Debit subtotal 2 9 2 3 14" xfId="31830"/>
    <cellStyle name="Debit subtotal 2 9 2 3 15" xfId="31831"/>
    <cellStyle name="Debit subtotal 2 9 2 3 16" xfId="31832"/>
    <cellStyle name="Debit subtotal 2 9 2 3 17" xfId="31833"/>
    <cellStyle name="Debit subtotal 2 9 2 3 18" xfId="31834"/>
    <cellStyle name="Debit subtotal 2 9 2 3 19" xfId="31835"/>
    <cellStyle name="Debit subtotal 2 9 2 3 2" xfId="31836"/>
    <cellStyle name="Debit subtotal 2 9 2 3 2 2" xfId="31837"/>
    <cellStyle name="Debit subtotal 2 9 2 3 2 3" xfId="31838"/>
    <cellStyle name="Debit subtotal 2 9 2 3 2 4" xfId="31839"/>
    <cellStyle name="Debit subtotal 2 9 2 3 2 5" xfId="31840"/>
    <cellStyle name="Debit subtotal 2 9 2 3 2 6" xfId="31841"/>
    <cellStyle name="Debit subtotal 2 9 2 3 2 7" xfId="31842"/>
    <cellStyle name="Debit subtotal 2 9 2 3 2 8" xfId="31843"/>
    <cellStyle name="Debit subtotal 2 9 2 3 2 9" xfId="31844"/>
    <cellStyle name="Debit subtotal 2 9 2 3 3" xfId="31845"/>
    <cellStyle name="Debit subtotal 2 9 2 3 4" xfId="31846"/>
    <cellStyle name="Debit subtotal 2 9 2 3 5" xfId="31847"/>
    <cellStyle name="Debit subtotal 2 9 2 3 6" xfId="31848"/>
    <cellStyle name="Debit subtotal 2 9 2 3 7" xfId="31849"/>
    <cellStyle name="Debit subtotal 2 9 2 3 8" xfId="31850"/>
    <cellStyle name="Debit subtotal 2 9 2 3 9" xfId="31851"/>
    <cellStyle name="Debit subtotal 2 9 2 4" xfId="31852"/>
    <cellStyle name="Debit subtotal 2 9 2 4 10" xfId="31853"/>
    <cellStyle name="Debit subtotal 2 9 2 4 11" xfId="31854"/>
    <cellStyle name="Debit subtotal 2 9 2 4 12" xfId="31855"/>
    <cellStyle name="Debit subtotal 2 9 2 4 13" xfId="31856"/>
    <cellStyle name="Debit subtotal 2 9 2 4 14" xfId="31857"/>
    <cellStyle name="Debit subtotal 2 9 2 4 15" xfId="31858"/>
    <cellStyle name="Debit subtotal 2 9 2 4 16" xfId="31859"/>
    <cellStyle name="Debit subtotal 2 9 2 4 17" xfId="31860"/>
    <cellStyle name="Debit subtotal 2 9 2 4 18" xfId="31861"/>
    <cellStyle name="Debit subtotal 2 9 2 4 2" xfId="31862"/>
    <cellStyle name="Debit subtotal 2 9 2 4 2 2" xfId="31863"/>
    <cellStyle name="Debit subtotal 2 9 2 4 2 3" xfId="31864"/>
    <cellStyle name="Debit subtotal 2 9 2 4 2 4" xfId="31865"/>
    <cellStyle name="Debit subtotal 2 9 2 4 2 5" xfId="31866"/>
    <cellStyle name="Debit subtotal 2 9 2 4 2 6" xfId="31867"/>
    <cellStyle name="Debit subtotal 2 9 2 4 2 7" xfId="31868"/>
    <cellStyle name="Debit subtotal 2 9 2 4 2 8" xfId="31869"/>
    <cellStyle name="Debit subtotal 2 9 2 4 2 9" xfId="31870"/>
    <cellStyle name="Debit subtotal 2 9 2 4 3" xfId="31871"/>
    <cellStyle name="Debit subtotal 2 9 2 4 4" xfId="31872"/>
    <cellStyle name="Debit subtotal 2 9 2 4 5" xfId="31873"/>
    <cellStyle name="Debit subtotal 2 9 2 4 6" xfId="31874"/>
    <cellStyle name="Debit subtotal 2 9 2 4 7" xfId="31875"/>
    <cellStyle name="Debit subtotal 2 9 2 4 8" xfId="31876"/>
    <cellStyle name="Debit subtotal 2 9 2 4 9" xfId="31877"/>
    <cellStyle name="Debit subtotal 2 9 2 5" xfId="31878"/>
    <cellStyle name="Debit subtotal 2 9 2 5 2" xfId="31879"/>
    <cellStyle name="Debit subtotal 2 9 2 5 3" xfId="31880"/>
    <cellStyle name="Debit subtotal 2 9 2 6" xfId="31881"/>
    <cellStyle name="Debit subtotal 2 9 3" xfId="31882"/>
    <cellStyle name="Debit subtotal 2 9 3 2" xfId="31883"/>
    <cellStyle name="Debit subtotal 2 9 3 2 10" xfId="31884"/>
    <cellStyle name="Debit subtotal 2 9 3 2 11" xfId="31885"/>
    <cellStyle name="Debit subtotal 2 9 3 2 12" xfId="31886"/>
    <cellStyle name="Debit subtotal 2 9 3 2 13" xfId="31887"/>
    <cellStyle name="Debit subtotal 2 9 3 2 14" xfId="31888"/>
    <cellStyle name="Debit subtotal 2 9 3 2 15" xfId="31889"/>
    <cellStyle name="Debit subtotal 2 9 3 2 16" xfId="31890"/>
    <cellStyle name="Debit subtotal 2 9 3 2 17" xfId="31891"/>
    <cellStyle name="Debit subtotal 2 9 3 2 18" xfId="31892"/>
    <cellStyle name="Debit subtotal 2 9 3 2 19" xfId="31893"/>
    <cellStyle name="Debit subtotal 2 9 3 2 2" xfId="31894"/>
    <cellStyle name="Debit subtotal 2 9 3 2 2 2" xfId="31895"/>
    <cellStyle name="Debit subtotal 2 9 3 2 2 3" xfId="31896"/>
    <cellStyle name="Debit subtotal 2 9 3 2 2 4" xfId="31897"/>
    <cellStyle name="Debit subtotal 2 9 3 2 2 5" xfId="31898"/>
    <cellStyle name="Debit subtotal 2 9 3 2 2 6" xfId="31899"/>
    <cellStyle name="Debit subtotal 2 9 3 2 2 7" xfId="31900"/>
    <cellStyle name="Debit subtotal 2 9 3 2 2 8" xfId="31901"/>
    <cellStyle name="Debit subtotal 2 9 3 2 2 9" xfId="31902"/>
    <cellStyle name="Debit subtotal 2 9 3 2 20" xfId="31903"/>
    <cellStyle name="Debit subtotal 2 9 3 2 21" xfId="31904"/>
    <cellStyle name="Debit subtotal 2 9 3 2 3" xfId="31905"/>
    <cellStyle name="Debit subtotal 2 9 3 2 4" xfId="31906"/>
    <cellStyle name="Debit subtotal 2 9 3 2 5" xfId="31907"/>
    <cellStyle name="Debit subtotal 2 9 3 2 6" xfId="31908"/>
    <cellStyle name="Debit subtotal 2 9 3 2 7" xfId="31909"/>
    <cellStyle name="Debit subtotal 2 9 3 2 8" xfId="31910"/>
    <cellStyle name="Debit subtotal 2 9 3 2 9" xfId="31911"/>
    <cellStyle name="Debit subtotal 2 9 3 3" xfId="31912"/>
    <cellStyle name="Debit subtotal 2 9 3 3 10" xfId="31913"/>
    <cellStyle name="Debit subtotal 2 9 3 3 11" xfId="31914"/>
    <cellStyle name="Debit subtotal 2 9 3 3 12" xfId="31915"/>
    <cellStyle name="Debit subtotal 2 9 3 3 13" xfId="31916"/>
    <cellStyle name="Debit subtotal 2 9 3 3 14" xfId="31917"/>
    <cellStyle name="Debit subtotal 2 9 3 3 15" xfId="31918"/>
    <cellStyle name="Debit subtotal 2 9 3 3 16" xfId="31919"/>
    <cellStyle name="Debit subtotal 2 9 3 3 17" xfId="31920"/>
    <cellStyle name="Debit subtotal 2 9 3 3 18" xfId="31921"/>
    <cellStyle name="Debit subtotal 2 9 3 3 19" xfId="31922"/>
    <cellStyle name="Debit subtotal 2 9 3 3 2" xfId="31923"/>
    <cellStyle name="Debit subtotal 2 9 3 3 2 2" xfId="31924"/>
    <cellStyle name="Debit subtotal 2 9 3 3 2 3" xfId="31925"/>
    <cellStyle name="Debit subtotal 2 9 3 3 2 4" xfId="31926"/>
    <cellStyle name="Debit subtotal 2 9 3 3 2 5" xfId="31927"/>
    <cellStyle name="Debit subtotal 2 9 3 3 2 6" xfId="31928"/>
    <cellStyle name="Debit subtotal 2 9 3 3 2 7" xfId="31929"/>
    <cellStyle name="Debit subtotal 2 9 3 3 2 8" xfId="31930"/>
    <cellStyle name="Debit subtotal 2 9 3 3 2 9" xfId="31931"/>
    <cellStyle name="Debit subtotal 2 9 3 3 3" xfId="31932"/>
    <cellStyle name="Debit subtotal 2 9 3 3 4" xfId="31933"/>
    <cellStyle name="Debit subtotal 2 9 3 3 5" xfId="31934"/>
    <cellStyle name="Debit subtotal 2 9 3 3 6" xfId="31935"/>
    <cellStyle name="Debit subtotal 2 9 3 3 7" xfId="31936"/>
    <cellStyle name="Debit subtotal 2 9 3 3 8" xfId="31937"/>
    <cellStyle name="Debit subtotal 2 9 3 3 9" xfId="31938"/>
    <cellStyle name="Debit subtotal 2 9 3 4" xfId="31939"/>
    <cellStyle name="Debit subtotal 2 9 3 4 10" xfId="31940"/>
    <cellStyle name="Debit subtotal 2 9 3 4 11" xfId="31941"/>
    <cellStyle name="Debit subtotal 2 9 3 4 12" xfId="31942"/>
    <cellStyle name="Debit subtotal 2 9 3 4 13" xfId="31943"/>
    <cellStyle name="Debit subtotal 2 9 3 4 14" xfId="31944"/>
    <cellStyle name="Debit subtotal 2 9 3 4 15" xfId="31945"/>
    <cellStyle name="Debit subtotal 2 9 3 4 16" xfId="31946"/>
    <cellStyle name="Debit subtotal 2 9 3 4 17" xfId="31947"/>
    <cellStyle name="Debit subtotal 2 9 3 4 18" xfId="31948"/>
    <cellStyle name="Debit subtotal 2 9 3 4 2" xfId="31949"/>
    <cellStyle name="Debit subtotal 2 9 3 4 2 2" xfId="31950"/>
    <cellStyle name="Debit subtotal 2 9 3 4 2 3" xfId="31951"/>
    <cellStyle name="Debit subtotal 2 9 3 4 2 4" xfId="31952"/>
    <cellStyle name="Debit subtotal 2 9 3 4 2 5" xfId="31953"/>
    <cellStyle name="Debit subtotal 2 9 3 4 2 6" xfId="31954"/>
    <cellStyle name="Debit subtotal 2 9 3 4 2 7" xfId="31955"/>
    <cellStyle name="Debit subtotal 2 9 3 4 2 8" xfId="31956"/>
    <cellStyle name="Debit subtotal 2 9 3 4 2 9" xfId="31957"/>
    <cellStyle name="Debit subtotal 2 9 3 4 3" xfId="31958"/>
    <cellStyle name="Debit subtotal 2 9 3 4 4" xfId="31959"/>
    <cellStyle name="Debit subtotal 2 9 3 4 5" xfId="31960"/>
    <cellStyle name="Debit subtotal 2 9 3 4 6" xfId="31961"/>
    <cellStyle name="Debit subtotal 2 9 3 4 7" xfId="31962"/>
    <cellStyle name="Debit subtotal 2 9 3 4 8" xfId="31963"/>
    <cellStyle name="Debit subtotal 2 9 3 4 9" xfId="31964"/>
    <cellStyle name="Debit subtotal 2 9 3 5" xfId="31965"/>
    <cellStyle name="Debit subtotal 2 9 3 5 2" xfId="31966"/>
    <cellStyle name="Debit subtotal 2 9 3 5 3" xfId="31967"/>
    <cellStyle name="Debit subtotal 2 9 3 6" xfId="31968"/>
    <cellStyle name="Debit subtotal 2 9 4" xfId="31969"/>
    <cellStyle name="Debit subtotal 2 9 4 10" xfId="31970"/>
    <cellStyle name="Debit subtotal 2 9 4 11" xfId="31971"/>
    <cellStyle name="Debit subtotal 2 9 4 12" xfId="31972"/>
    <cellStyle name="Debit subtotal 2 9 4 13" xfId="31973"/>
    <cellStyle name="Debit subtotal 2 9 4 14" xfId="31974"/>
    <cellStyle name="Debit subtotal 2 9 4 15" xfId="31975"/>
    <cellStyle name="Debit subtotal 2 9 4 16" xfId="31976"/>
    <cellStyle name="Debit subtotal 2 9 4 17" xfId="31977"/>
    <cellStyle name="Debit subtotal 2 9 4 18" xfId="31978"/>
    <cellStyle name="Debit subtotal 2 9 4 19" xfId="31979"/>
    <cellStyle name="Debit subtotal 2 9 4 2" xfId="31980"/>
    <cellStyle name="Debit subtotal 2 9 4 2 2" xfId="31981"/>
    <cellStyle name="Debit subtotal 2 9 4 2 3" xfId="31982"/>
    <cellStyle name="Debit subtotal 2 9 4 2 4" xfId="31983"/>
    <cellStyle name="Debit subtotal 2 9 4 2 5" xfId="31984"/>
    <cellStyle name="Debit subtotal 2 9 4 2 6" xfId="31985"/>
    <cellStyle name="Debit subtotal 2 9 4 2 7" xfId="31986"/>
    <cellStyle name="Debit subtotal 2 9 4 2 8" xfId="31987"/>
    <cellStyle name="Debit subtotal 2 9 4 2 9" xfId="31988"/>
    <cellStyle name="Debit subtotal 2 9 4 20" xfId="31989"/>
    <cellStyle name="Debit subtotal 2 9 4 21" xfId="31990"/>
    <cellStyle name="Debit subtotal 2 9 4 3" xfId="31991"/>
    <cellStyle name="Debit subtotal 2 9 4 4" xfId="31992"/>
    <cellStyle name="Debit subtotal 2 9 4 5" xfId="31993"/>
    <cellStyle name="Debit subtotal 2 9 4 6" xfId="31994"/>
    <cellStyle name="Debit subtotal 2 9 4 7" xfId="31995"/>
    <cellStyle name="Debit subtotal 2 9 4 8" xfId="31996"/>
    <cellStyle name="Debit subtotal 2 9 4 9" xfId="31997"/>
    <cellStyle name="Debit subtotal 2 9 5" xfId="31998"/>
    <cellStyle name="Debit subtotal 2 9 5 10" xfId="31999"/>
    <cellStyle name="Debit subtotal 2 9 5 11" xfId="32000"/>
    <cellStyle name="Debit subtotal 2 9 5 12" xfId="32001"/>
    <cellStyle name="Debit subtotal 2 9 5 13" xfId="32002"/>
    <cellStyle name="Debit subtotal 2 9 5 14" xfId="32003"/>
    <cellStyle name="Debit subtotal 2 9 5 15" xfId="32004"/>
    <cellStyle name="Debit subtotal 2 9 5 16" xfId="32005"/>
    <cellStyle name="Debit subtotal 2 9 5 17" xfId="32006"/>
    <cellStyle name="Debit subtotal 2 9 5 18" xfId="32007"/>
    <cellStyle name="Debit subtotal 2 9 5 19" xfId="32008"/>
    <cellStyle name="Debit subtotal 2 9 5 2" xfId="32009"/>
    <cellStyle name="Debit subtotal 2 9 5 2 2" xfId="32010"/>
    <cellStyle name="Debit subtotal 2 9 5 2 3" xfId="32011"/>
    <cellStyle name="Debit subtotal 2 9 5 2 4" xfId="32012"/>
    <cellStyle name="Debit subtotal 2 9 5 2 5" xfId="32013"/>
    <cellStyle name="Debit subtotal 2 9 5 2 6" xfId="32014"/>
    <cellStyle name="Debit subtotal 2 9 5 2 7" xfId="32015"/>
    <cellStyle name="Debit subtotal 2 9 5 2 8" xfId="32016"/>
    <cellStyle name="Debit subtotal 2 9 5 2 9" xfId="32017"/>
    <cellStyle name="Debit subtotal 2 9 5 3" xfId="32018"/>
    <cellStyle name="Debit subtotal 2 9 5 4" xfId="32019"/>
    <cellStyle name="Debit subtotal 2 9 5 5" xfId="32020"/>
    <cellStyle name="Debit subtotal 2 9 5 6" xfId="32021"/>
    <cellStyle name="Debit subtotal 2 9 5 7" xfId="32022"/>
    <cellStyle name="Debit subtotal 2 9 5 8" xfId="32023"/>
    <cellStyle name="Debit subtotal 2 9 5 9" xfId="32024"/>
    <cellStyle name="Debit subtotal 2 9 6" xfId="32025"/>
    <cellStyle name="Debit subtotal 2 9 6 10" xfId="32026"/>
    <cellStyle name="Debit subtotal 2 9 6 11" xfId="32027"/>
    <cellStyle name="Debit subtotal 2 9 6 12" xfId="32028"/>
    <cellStyle name="Debit subtotal 2 9 6 13" xfId="32029"/>
    <cellStyle name="Debit subtotal 2 9 6 14" xfId="32030"/>
    <cellStyle name="Debit subtotal 2 9 6 15" xfId="32031"/>
    <cellStyle name="Debit subtotal 2 9 6 16" xfId="32032"/>
    <cellStyle name="Debit subtotal 2 9 6 17" xfId="32033"/>
    <cellStyle name="Debit subtotal 2 9 6 18" xfId="32034"/>
    <cellStyle name="Debit subtotal 2 9 6 2" xfId="32035"/>
    <cellStyle name="Debit subtotal 2 9 6 2 2" xfId="32036"/>
    <cellStyle name="Debit subtotal 2 9 6 2 3" xfId="32037"/>
    <cellStyle name="Debit subtotal 2 9 6 2 4" xfId="32038"/>
    <cellStyle name="Debit subtotal 2 9 6 2 5" xfId="32039"/>
    <cellStyle name="Debit subtotal 2 9 6 2 6" xfId="32040"/>
    <cellStyle name="Debit subtotal 2 9 6 2 7" xfId="32041"/>
    <cellStyle name="Debit subtotal 2 9 6 2 8" xfId="32042"/>
    <cellStyle name="Debit subtotal 2 9 6 2 9" xfId="32043"/>
    <cellStyle name="Debit subtotal 2 9 6 3" xfId="32044"/>
    <cellStyle name="Debit subtotal 2 9 6 4" xfId="32045"/>
    <cellStyle name="Debit subtotal 2 9 6 5" xfId="32046"/>
    <cellStyle name="Debit subtotal 2 9 6 6" xfId="32047"/>
    <cellStyle name="Debit subtotal 2 9 6 7" xfId="32048"/>
    <cellStyle name="Debit subtotal 2 9 6 8" xfId="32049"/>
    <cellStyle name="Debit subtotal 2 9 6 9" xfId="32050"/>
    <cellStyle name="Debit subtotal 2 9 7" xfId="32051"/>
    <cellStyle name="Debit subtotal 2 9 7 2" xfId="32052"/>
    <cellStyle name="Debit subtotal 2 9 7 3" xfId="32053"/>
    <cellStyle name="Debit subtotal 2 9 8" xfId="32054"/>
    <cellStyle name="Debit subtotal 3" xfId="32055"/>
    <cellStyle name="Debit subtotal 3 10" xfId="32056"/>
    <cellStyle name="Debit subtotal 3 10 10" xfId="32057"/>
    <cellStyle name="Debit subtotal 3 10 11" xfId="32058"/>
    <cellStyle name="Debit subtotal 3 10 12" xfId="32059"/>
    <cellStyle name="Debit subtotal 3 10 13" xfId="32060"/>
    <cellStyle name="Debit subtotal 3 10 14" xfId="32061"/>
    <cellStyle name="Debit subtotal 3 10 15" xfId="32062"/>
    <cellStyle name="Debit subtotal 3 10 16" xfId="32063"/>
    <cellStyle name="Debit subtotal 3 10 17" xfId="32064"/>
    <cellStyle name="Debit subtotal 3 10 18" xfId="32065"/>
    <cellStyle name="Debit subtotal 3 10 19" xfId="32066"/>
    <cellStyle name="Debit subtotal 3 10 2" xfId="32067"/>
    <cellStyle name="Debit subtotal 3 10 2 2" xfId="32068"/>
    <cellStyle name="Debit subtotal 3 10 2 3" xfId="32069"/>
    <cellStyle name="Debit subtotal 3 10 2 4" xfId="32070"/>
    <cellStyle name="Debit subtotal 3 10 2 5" xfId="32071"/>
    <cellStyle name="Debit subtotal 3 10 2 6" xfId="32072"/>
    <cellStyle name="Debit subtotal 3 10 2 7" xfId="32073"/>
    <cellStyle name="Debit subtotal 3 10 2 8" xfId="32074"/>
    <cellStyle name="Debit subtotal 3 10 2 9" xfId="32075"/>
    <cellStyle name="Debit subtotal 3 10 20" xfId="32076"/>
    <cellStyle name="Debit subtotal 3 10 21" xfId="32077"/>
    <cellStyle name="Debit subtotal 3 10 3" xfId="32078"/>
    <cellStyle name="Debit subtotal 3 10 4" xfId="32079"/>
    <cellStyle name="Debit subtotal 3 10 5" xfId="32080"/>
    <cellStyle name="Debit subtotal 3 10 6" xfId="32081"/>
    <cellStyle name="Debit subtotal 3 10 7" xfId="32082"/>
    <cellStyle name="Debit subtotal 3 10 8" xfId="32083"/>
    <cellStyle name="Debit subtotal 3 10 9" xfId="32084"/>
    <cellStyle name="Debit subtotal 3 11" xfId="32085"/>
    <cellStyle name="Debit subtotal 3 11 10" xfId="32086"/>
    <cellStyle name="Debit subtotal 3 11 11" xfId="32087"/>
    <cellStyle name="Debit subtotal 3 11 12" xfId="32088"/>
    <cellStyle name="Debit subtotal 3 11 13" xfId="32089"/>
    <cellStyle name="Debit subtotal 3 11 14" xfId="32090"/>
    <cellStyle name="Debit subtotal 3 11 15" xfId="32091"/>
    <cellStyle name="Debit subtotal 3 11 16" xfId="32092"/>
    <cellStyle name="Debit subtotal 3 11 17" xfId="32093"/>
    <cellStyle name="Debit subtotal 3 11 18" xfId="32094"/>
    <cellStyle name="Debit subtotal 3 11 19" xfId="32095"/>
    <cellStyle name="Debit subtotal 3 11 2" xfId="32096"/>
    <cellStyle name="Debit subtotal 3 11 2 2" xfId="32097"/>
    <cellStyle name="Debit subtotal 3 11 2 3" xfId="32098"/>
    <cellStyle name="Debit subtotal 3 11 2 4" xfId="32099"/>
    <cellStyle name="Debit subtotal 3 11 2 5" xfId="32100"/>
    <cellStyle name="Debit subtotal 3 11 2 6" xfId="32101"/>
    <cellStyle name="Debit subtotal 3 11 2 7" xfId="32102"/>
    <cellStyle name="Debit subtotal 3 11 2 8" xfId="32103"/>
    <cellStyle name="Debit subtotal 3 11 2 9" xfId="32104"/>
    <cellStyle name="Debit subtotal 3 11 3" xfId="32105"/>
    <cellStyle name="Debit subtotal 3 11 4" xfId="32106"/>
    <cellStyle name="Debit subtotal 3 11 5" xfId="32107"/>
    <cellStyle name="Debit subtotal 3 11 6" xfId="32108"/>
    <cellStyle name="Debit subtotal 3 11 7" xfId="32109"/>
    <cellStyle name="Debit subtotal 3 11 8" xfId="32110"/>
    <cellStyle name="Debit subtotal 3 11 9" xfId="32111"/>
    <cellStyle name="Debit subtotal 3 12" xfId="32112"/>
    <cellStyle name="Debit subtotal 3 12 10" xfId="32113"/>
    <cellStyle name="Debit subtotal 3 12 11" xfId="32114"/>
    <cellStyle name="Debit subtotal 3 12 12" xfId="32115"/>
    <cellStyle name="Debit subtotal 3 12 13" xfId="32116"/>
    <cellStyle name="Debit subtotal 3 12 14" xfId="32117"/>
    <cellStyle name="Debit subtotal 3 12 15" xfId="32118"/>
    <cellStyle name="Debit subtotal 3 12 16" xfId="32119"/>
    <cellStyle name="Debit subtotal 3 12 17" xfId="32120"/>
    <cellStyle name="Debit subtotal 3 12 18" xfId="32121"/>
    <cellStyle name="Debit subtotal 3 12 2" xfId="32122"/>
    <cellStyle name="Debit subtotal 3 12 2 2" xfId="32123"/>
    <cellStyle name="Debit subtotal 3 12 2 3" xfId="32124"/>
    <cellStyle name="Debit subtotal 3 12 2 4" xfId="32125"/>
    <cellStyle name="Debit subtotal 3 12 2 5" xfId="32126"/>
    <cellStyle name="Debit subtotal 3 12 2 6" xfId="32127"/>
    <cellStyle name="Debit subtotal 3 12 2 7" xfId="32128"/>
    <cellStyle name="Debit subtotal 3 12 2 8" xfId="32129"/>
    <cellStyle name="Debit subtotal 3 12 2 9" xfId="32130"/>
    <cellStyle name="Debit subtotal 3 12 3" xfId="32131"/>
    <cellStyle name="Debit subtotal 3 12 4" xfId="32132"/>
    <cellStyle name="Debit subtotal 3 12 5" xfId="32133"/>
    <cellStyle name="Debit subtotal 3 12 6" xfId="32134"/>
    <cellStyle name="Debit subtotal 3 12 7" xfId="32135"/>
    <cellStyle name="Debit subtotal 3 12 8" xfId="32136"/>
    <cellStyle name="Debit subtotal 3 12 9" xfId="32137"/>
    <cellStyle name="Debit subtotal 3 13" xfId="32138"/>
    <cellStyle name="Debit subtotal 3 13 2" xfId="32139"/>
    <cellStyle name="Debit subtotal 3 2" xfId="32140"/>
    <cellStyle name="Debit subtotal 3 2 2" xfId="32141"/>
    <cellStyle name="Debit subtotal 3 2 2 2" xfId="32142"/>
    <cellStyle name="Debit subtotal 3 2 2 2 10" xfId="32143"/>
    <cellStyle name="Debit subtotal 3 2 2 2 11" xfId="32144"/>
    <cellStyle name="Debit subtotal 3 2 2 2 12" xfId="32145"/>
    <cellStyle name="Debit subtotal 3 2 2 2 13" xfId="32146"/>
    <cellStyle name="Debit subtotal 3 2 2 2 14" xfId="32147"/>
    <cellStyle name="Debit subtotal 3 2 2 2 15" xfId="32148"/>
    <cellStyle name="Debit subtotal 3 2 2 2 16" xfId="32149"/>
    <cellStyle name="Debit subtotal 3 2 2 2 17" xfId="32150"/>
    <cellStyle name="Debit subtotal 3 2 2 2 18" xfId="32151"/>
    <cellStyle name="Debit subtotal 3 2 2 2 19" xfId="32152"/>
    <cellStyle name="Debit subtotal 3 2 2 2 2" xfId="32153"/>
    <cellStyle name="Debit subtotal 3 2 2 2 2 2" xfId="32154"/>
    <cellStyle name="Debit subtotal 3 2 2 2 2 3" xfId="32155"/>
    <cellStyle name="Debit subtotal 3 2 2 2 2 4" xfId="32156"/>
    <cellStyle name="Debit subtotal 3 2 2 2 2 5" xfId="32157"/>
    <cellStyle name="Debit subtotal 3 2 2 2 2 6" xfId="32158"/>
    <cellStyle name="Debit subtotal 3 2 2 2 2 7" xfId="32159"/>
    <cellStyle name="Debit subtotal 3 2 2 2 2 8" xfId="32160"/>
    <cellStyle name="Debit subtotal 3 2 2 2 2 9" xfId="32161"/>
    <cellStyle name="Debit subtotal 3 2 2 2 20" xfId="32162"/>
    <cellStyle name="Debit subtotal 3 2 2 2 21" xfId="32163"/>
    <cellStyle name="Debit subtotal 3 2 2 2 3" xfId="32164"/>
    <cellStyle name="Debit subtotal 3 2 2 2 4" xfId="32165"/>
    <cellStyle name="Debit subtotal 3 2 2 2 5" xfId="32166"/>
    <cellStyle name="Debit subtotal 3 2 2 2 6" xfId="32167"/>
    <cellStyle name="Debit subtotal 3 2 2 2 7" xfId="32168"/>
    <cellStyle name="Debit subtotal 3 2 2 2 8" xfId="32169"/>
    <cellStyle name="Debit subtotal 3 2 2 2 9" xfId="32170"/>
    <cellStyle name="Debit subtotal 3 2 2 3" xfId="32171"/>
    <cellStyle name="Debit subtotal 3 2 2 3 10" xfId="32172"/>
    <cellStyle name="Debit subtotal 3 2 2 3 11" xfId="32173"/>
    <cellStyle name="Debit subtotal 3 2 2 3 12" xfId="32174"/>
    <cellStyle name="Debit subtotal 3 2 2 3 13" xfId="32175"/>
    <cellStyle name="Debit subtotal 3 2 2 3 14" xfId="32176"/>
    <cellStyle name="Debit subtotal 3 2 2 3 15" xfId="32177"/>
    <cellStyle name="Debit subtotal 3 2 2 3 16" xfId="32178"/>
    <cellStyle name="Debit subtotal 3 2 2 3 17" xfId="32179"/>
    <cellStyle name="Debit subtotal 3 2 2 3 18" xfId="32180"/>
    <cellStyle name="Debit subtotal 3 2 2 3 19" xfId="32181"/>
    <cellStyle name="Debit subtotal 3 2 2 3 2" xfId="32182"/>
    <cellStyle name="Debit subtotal 3 2 2 3 2 2" xfId="32183"/>
    <cellStyle name="Debit subtotal 3 2 2 3 2 3" xfId="32184"/>
    <cellStyle name="Debit subtotal 3 2 2 3 2 4" xfId="32185"/>
    <cellStyle name="Debit subtotal 3 2 2 3 2 5" xfId="32186"/>
    <cellStyle name="Debit subtotal 3 2 2 3 2 6" xfId="32187"/>
    <cellStyle name="Debit subtotal 3 2 2 3 2 7" xfId="32188"/>
    <cellStyle name="Debit subtotal 3 2 2 3 2 8" xfId="32189"/>
    <cellStyle name="Debit subtotal 3 2 2 3 2 9" xfId="32190"/>
    <cellStyle name="Debit subtotal 3 2 2 3 3" xfId="32191"/>
    <cellStyle name="Debit subtotal 3 2 2 3 4" xfId="32192"/>
    <cellStyle name="Debit subtotal 3 2 2 3 5" xfId="32193"/>
    <cellStyle name="Debit subtotal 3 2 2 3 6" xfId="32194"/>
    <cellStyle name="Debit subtotal 3 2 2 3 7" xfId="32195"/>
    <cellStyle name="Debit subtotal 3 2 2 3 8" xfId="32196"/>
    <cellStyle name="Debit subtotal 3 2 2 3 9" xfId="32197"/>
    <cellStyle name="Debit subtotal 3 2 2 4" xfId="32198"/>
    <cellStyle name="Debit subtotal 3 2 2 4 10" xfId="32199"/>
    <cellStyle name="Debit subtotal 3 2 2 4 11" xfId="32200"/>
    <cellStyle name="Debit subtotal 3 2 2 4 12" xfId="32201"/>
    <cellStyle name="Debit subtotal 3 2 2 4 13" xfId="32202"/>
    <cellStyle name="Debit subtotal 3 2 2 4 14" xfId="32203"/>
    <cellStyle name="Debit subtotal 3 2 2 4 15" xfId="32204"/>
    <cellStyle name="Debit subtotal 3 2 2 4 16" xfId="32205"/>
    <cellStyle name="Debit subtotal 3 2 2 4 17" xfId="32206"/>
    <cellStyle name="Debit subtotal 3 2 2 4 18" xfId="32207"/>
    <cellStyle name="Debit subtotal 3 2 2 4 2" xfId="32208"/>
    <cellStyle name="Debit subtotal 3 2 2 4 2 2" xfId="32209"/>
    <cellStyle name="Debit subtotal 3 2 2 4 2 3" xfId="32210"/>
    <cellStyle name="Debit subtotal 3 2 2 4 2 4" xfId="32211"/>
    <cellStyle name="Debit subtotal 3 2 2 4 2 5" xfId="32212"/>
    <cellStyle name="Debit subtotal 3 2 2 4 2 6" xfId="32213"/>
    <cellStyle name="Debit subtotal 3 2 2 4 2 7" xfId="32214"/>
    <cellStyle name="Debit subtotal 3 2 2 4 2 8" xfId="32215"/>
    <cellStyle name="Debit subtotal 3 2 2 4 2 9" xfId="32216"/>
    <cellStyle name="Debit subtotal 3 2 2 4 3" xfId="32217"/>
    <cellStyle name="Debit subtotal 3 2 2 4 4" xfId="32218"/>
    <cellStyle name="Debit subtotal 3 2 2 4 5" xfId="32219"/>
    <cellStyle name="Debit subtotal 3 2 2 4 6" xfId="32220"/>
    <cellStyle name="Debit subtotal 3 2 2 4 7" xfId="32221"/>
    <cellStyle name="Debit subtotal 3 2 2 4 8" xfId="32222"/>
    <cellStyle name="Debit subtotal 3 2 2 4 9" xfId="32223"/>
    <cellStyle name="Debit subtotal 3 2 2 5" xfId="32224"/>
    <cellStyle name="Debit subtotal 3 2 2 5 2" xfId="32225"/>
    <cellStyle name="Debit subtotal 3 2 2 5 3" xfId="32226"/>
    <cellStyle name="Debit subtotal 3 2 2 6" xfId="32227"/>
    <cellStyle name="Debit subtotal 3 2 3" xfId="32228"/>
    <cellStyle name="Debit subtotal 3 2 3 2" xfId="32229"/>
    <cellStyle name="Debit subtotal 3 2 3 2 10" xfId="32230"/>
    <cellStyle name="Debit subtotal 3 2 3 2 11" xfId="32231"/>
    <cellStyle name="Debit subtotal 3 2 3 2 12" xfId="32232"/>
    <cellStyle name="Debit subtotal 3 2 3 2 13" xfId="32233"/>
    <cellStyle name="Debit subtotal 3 2 3 2 14" xfId="32234"/>
    <cellStyle name="Debit subtotal 3 2 3 2 15" xfId="32235"/>
    <cellStyle name="Debit subtotal 3 2 3 2 16" xfId="32236"/>
    <cellStyle name="Debit subtotal 3 2 3 2 17" xfId="32237"/>
    <cellStyle name="Debit subtotal 3 2 3 2 18" xfId="32238"/>
    <cellStyle name="Debit subtotal 3 2 3 2 19" xfId="32239"/>
    <cellStyle name="Debit subtotal 3 2 3 2 2" xfId="32240"/>
    <cellStyle name="Debit subtotal 3 2 3 2 2 2" xfId="32241"/>
    <cellStyle name="Debit subtotal 3 2 3 2 2 3" xfId="32242"/>
    <cellStyle name="Debit subtotal 3 2 3 2 2 4" xfId="32243"/>
    <cellStyle name="Debit subtotal 3 2 3 2 2 5" xfId="32244"/>
    <cellStyle name="Debit subtotal 3 2 3 2 2 6" xfId="32245"/>
    <cellStyle name="Debit subtotal 3 2 3 2 2 7" xfId="32246"/>
    <cellStyle name="Debit subtotal 3 2 3 2 2 8" xfId="32247"/>
    <cellStyle name="Debit subtotal 3 2 3 2 2 9" xfId="32248"/>
    <cellStyle name="Debit subtotal 3 2 3 2 20" xfId="32249"/>
    <cellStyle name="Debit subtotal 3 2 3 2 21" xfId="32250"/>
    <cellStyle name="Debit subtotal 3 2 3 2 3" xfId="32251"/>
    <cellStyle name="Debit subtotal 3 2 3 2 4" xfId="32252"/>
    <cellStyle name="Debit subtotal 3 2 3 2 5" xfId="32253"/>
    <cellStyle name="Debit subtotal 3 2 3 2 6" xfId="32254"/>
    <cellStyle name="Debit subtotal 3 2 3 2 7" xfId="32255"/>
    <cellStyle name="Debit subtotal 3 2 3 2 8" xfId="32256"/>
    <cellStyle name="Debit subtotal 3 2 3 2 9" xfId="32257"/>
    <cellStyle name="Debit subtotal 3 2 3 3" xfId="32258"/>
    <cellStyle name="Debit subtotal 3 2 3 3 10" xfId="32259"/>
    <cellStyle name="Debit subtotal 3 2 3 3 11" xfId="32260"/>
    <cellStyle name="Debit subtotal 3 2 3 3 12" xfId="32261"/>
    <cellStyle name="Debit subtotal 3 2 3 3 13" xfId="32262"/>
    <cellStyle name="Debit subtotal 3 2 3 3 14" xfId="32263"/>
    <cellStyle name="Debit subtotal 3 2 3 3 15" xfId="32264"/>
    <cellStyle name="Debit subtotal 3 2 3 3 16" xfId="32265"/>
    <cellStyle name="Debit subtotal 3 2 3 3 17" xfId="32266"/>
    <cellStyle name="Debit subtotal 3 2 3 3 18" xfId="32267"/>
    <cellStyle name="Debit subtotal 3 2 3 3 19" xfId="32268"/>
    <cellStyle name="Debit subtotal 3 2 3 3 2" xfId="32269"/>
    <cellStyle name="Debit subtotal 3 2 3 3 2 2" xfId="32270"/>
    <cellStyle name="Debit subtotal 3 2 3 3 2 3" xfId="32271"/>
    <cellStyle name="Debit subtotal 3 2 3 3 2 4" xfId="32272"/>
    <cellStyle name="Debit subtotal 3 2 3 3 2 5" xfId="32273"/>
    <cellStyle name="Debit subtotal 3 2 3 3 2 6" xfId="32274"/>
    <cellStyle name="Debit subtotal 3 2 3 3 2 7" xfId="32275"/>
    <cellStyle name="Debit subtotal 3 2 3 3 2 8" xfId="32276"/>
    <cellStyle name="Debit subtotal 3 2 3 3 2 9" xfId="32277"/>
    <cellStyle name="Debit subtotal 3 2 3 3 3" xfId="32278"/>
    <cellStyle name="Debit subtotal 3 2 3 3 4" xfId="32279"/>
    <cellStyle name="Debit subtotal 3 2 3 3 5" xfId="32280"/>
    <cellStyle name="Debit subtotal 3 2 3 3 6" xfId="32281"/>
    <cellStyle name="Debit subtotal 3 2 3 3 7" xfId="32282"/>
    <cellStyle name="Debit subtotal 3 2 3 3 8" xfId="32283"/>
    <cellStyle name="Debit subtotal 3 2 3 3 9" xfId="32284"/>
    <cellStyle name="Debit subtotal 3 2 3 4" xfId="32285"/>
    <cellStyle name="Debit subtotal 3 2 3 4 10" xfId="32286"/>
    <cellStyle name="Debit subtotal 3 2 3 4 11" xfId="32287"/>
    <cellStyle name="Debit subtotal 3 2 3 4 12" xfId="32288"/>
    <cellStyle name="Debit subtotal 3 2 3 4 13" xfId="32289"/>
    <cellStyle name="Debit subtotal 3 2 3 4 14" xfId="32290"/>
    <cellStyle name="Debit subtotal 3 2 3 4 15" xfId="32291"/>
    <cellStyle name="Debit subtotal 3 2 3 4 16" xfId="32292"/>
    <cellStyle name="Debit subtotal 3 2 3 4 17" xfId="32293"/>
    <cellStyle name="Debit subtotal 3 2 3 4 18" xfId="32294"/>
    <cellStyle name="Debit subtotal 3 2 3 4 2" xfId="32295"/>
    <cellStyle name="Debit subtotal 3 2 3 4 2 2" xfId="32296"/>
    <cellStyle name="Debit subtotal 3 2 3 4 2 3" xfId="32297"/>
    <cellStyle name="Debit subtotal 3 2 3 4 2 4" xfId="32298"/>
    <cellStyle name="Debit subtotal 3 2 3 4 2 5" xfId="32299"/>
    <cellStyle name="Debit subtotal 3 2 3 4 2 6" xfId="32300"/>
    <cellStyle name="Debit subtotal 3 2 3 4 2 7" xfId="32301"/>
    <cellStyle name="Debit subtotal 3 2 3 4 2 8" xfId="32302"/>
    <cellStyle name="Debit subtotal 3 2 3 4 2 9" xfId="32303"/>
    <cellStyle name="Debit subtotal 3 2 3 4 3" xfId="32304"/>
    <cellStyle name="Debit subtotal 3 2 3 4 4" xfId="32305"/>
    <cellStyle name="Debit subtotal 3 2 3 4 5" xfId="32306"/>
    <cellStyle name="Debit subtotal 3 2 3 4 6" xfId="32307"/>
    <cellStyle name="Debit subtotal 3 2 3 4 7" xfId="32308"/>
    <cellStyle name="Debit subtotal 3 2 3 4 8" xfId="32309"/>
    <cellStyle name="Debit subtotal 3 2 3 4 9" xfId="32310"/>
    <cellStyle name="Debit subtotal 3 2 3 5" xfId="32311"/>
    <cellStyle name="Debit subtotal 3 2 3 5 2" xfId="32312"/>
    <cellStyle name="Debit subtotal 3 2 3 5 3" xfId="32313"/>
    <cellStyle name="Debit subtotal 3 2 3 6" xfId="32314"/>
    <cellStyle name="Debit subtotal 3 2 4" xfId="32315"/>
    <cellStyle name="Debit subtotal 3 2 4 10" xfId="32316"/>
    <cellStyle name="Debit subtotal 3 2 4 11" xfId="32317"/>
    <cellStyle name="Debit subtotal 3 2 4 12" xfId="32318"/>
    <cellStyle name="Debit subtotal 3 2 4 13" xfId="32319"/>
    <cellStyle name="Debit subtotal 3 2 4 14" xfId="32320"/>
    <cellStyle name="Debit subtotal 3 2 4 15" xfId="32321"/>
    <cellStyle name="Debit subtotal 3 2 4 16" xfId="32322"/>
    <cellStyle name="Debit subtotal 3 2 4 17" xfId="32323"/>
    <cellStyle name="Debit subtotal 3 2 4 18" xfId="32324"/>
    <cellStyle name="Debit subtotal 3 2 4 19" xfId="32325"/>
    <cellStyle name="Debit subtotal 3 2 4 2" xfId="32326"/>
    <cellStyle name="Debit subtotal 3 2 4 2 2" xfId="32327"/>
    <cellStyle name="Debit subtotal 3 2 4 2 3" xfId="32328"/>
    <cellStyle name="Debit subtotal 3 2 4 2 4" xfId="32329"/>
    <cellStyle name="Debit subtotal 3 2 4 2 5" xfId="32330"/>
    <cellStyle name="Debit subtotal 3 2 4 2 6" xfId="32331"/>
    <cellStyle name="Debit subtotal 3 2 4 2 7" xfId="32332"/>
    <cellStyle name="Debit subtotal 3 2 4 2 8" xfId="32333"/>
    <cellStyle name="Debit subtotal 3 2 4 2 9" xfId="32334"/>
    <cellStyle name="Debit subtotal 3 2 4 20" xfId="32335"/>
    <cellStyle name="Debit subtotal 3 2 4 21" xfId="32336"/>
    <cellStyle name="Debit subtotal 3 2 4 3" xfId="32337"/>
    <cellStyle name="Debit subtotal 3 2 4 4" xfId="32338"/>
    <cellStyle name="Debit subtotal 3 2 4 5" xfId="32339"/>
    <cellStyle name="Debit subtotal 3 2 4 6" xfId="32340"/>
    <cellStyle name="Debit subtotal 3 2 4 7" xfId="32341"/>
    <cellStyle name="Debit subtotal 3 2 4 8" xfId="32342"/>
    <cellStyle name="Debit subtotal 3 2 4 9" xfId="32343"/>
    <cellStyle name="Debit subtotal 3 2 5" xfId="32344"/>
    <cellStyle name="Debit subtotal 3 2 5 10" xfId="32345"/>
    <cellStyle name="Debit subtotal 3 2 5 11" xfId="32346"/>
    <cellStyle name="Debit subtotal 3 2 5 12" xfId="32347"/>
    <cellStyle name="Debit subtotal 3 2 5 13" xfId="32348"/>
    <cellStyle name="Debit subtotal 3 2 5 14" xfId="32349"/>
    <cellStyle name="Debit subtotal 3 2 5 15" xfId="32350"/>
    <cellStyle name="Debit subtotal 3 2 5 16" xfId="32351"/>
    <cellStyle name="Debit subtotal 3 2 5 17" xfId="32352"/>
    <cellStyle name="Debit subtotal 3 2 5 18" xfId="32353"/>
    <cellStyle name="Debit subtotal 3 2 5 19" xfId="32354"/>
    <cellStyle name="Debit subtotal 3 2 5 2" xfId="32355"/>
    <cellStyle name="Debit subtotal 3 2 5 2 2" xfId="32356"/>
    <cellStyle name="Debit subtotal 3 2 5 2 3" xfId="32357"/>
    <cellStyle name="Debit subtotal 3 2 5 2 4" xfId="32358"/>
    <cellStyle name="Debit subtotal 3 2 5 2 5" xfId="32359"/>
    <cellStyle name="Debit subtotal 3 2 5 2 6" xfId="32360"/>
    <cellStyle name="Debit subtotal 3 2 5 2 7" xfId="32361"/>
    <cellStyle name="Debit subtotal 3 2 5 2 8" xfId="32362"/>
    <cellStyle name="Debit subtotal 3 2 5 2 9" xfId="32363"/>
    <cellStyle name="Debit subtotal 3 2 5 3" xfId="32364"/>
    <cellStyle name="Debit subtotal 3 2 5 4" xfId="32365"/>
    <cellStyle name="Debit subtotal 3 2 5 5" xfId="32366"/>
    <cellStyle name="Debit subtotal 3 2 5 6" xfId="32367"/>
    <cellStyle name="Debit subtotal 3 2 5 7" xfId="32368"/>
    <cellStyle name="Debit subtotal 3 2 5 8" xfId="32369"/>
    <cellStyle name="Debit subtotal 3 2 5 9" xfId="32370"/>
    <cellStyle name="Debit subtotal 3 2 6" xfId="32371"/>
    <cellStyle name="Debit subtotal 3 2 6 10" xfId="32372"/>
    <cellStyle name="Debit subtotal 3 2 6 11" xfId="32373"/>
    <cellStyle name="Debit subtotal 3 2 6 12" xfId="32374"/>
    <cellStyle name="Debit subtotal 3 2 6 13" xfId="32375"/>
    <cellStyle name="Debit subtotal 3 2 6 14" xfId="32376"/>
    <cellStyle name="Debit subtotal 3 2 6 15" xfId="32377"/>
    <cellStyle name="Debit subtotal 3 2 6 16" xfId="32378"/>
    <cellStyle name="Debit subtotal 3 2 6 17" xfId="32379"/>
    <cellStyle name="Debit subtotal 3 2 6 18" xfId="32380"/>
    <cellStyle name="Debit subtotal 3 2 6 2" xfId="32381"/>
    <cellStyle name="Debit subtotal 3 2 6 2 2" xfId="32382"/>
    <cellStyle name="Debit subtotal 3 2 6 2 3" xfId="32383"/>
    <cellStyle name="Debit subtotal 3 2 6 2 4" xfId="32384"/>
    <cellStyle name="Debit subtotal 3 2 6 2 5" xfId="32385"/>
    <cellStyle name="Debit subtotal 3 2 6 2 6" xfId="32386"/>
    <cellStyle name="Debit subtotal 3 2 6 2 7" xfId="32387"/>
    <cellStyle name="Debit subtotal 3 2 6 2 8" xfId="32388"/>
    <cellStyle name="Debit subtotal 3 2 6 2 9" xfId="32389"/>
    <cellStyle name="Debit subtotal 3 2 6 3" xfId="32390"/>
    <cellStyle name="Debit subtotal 3 2 6 4" xfId="32391"/>
    <cellStyle name="Debit subtotal 3 2 6 5" xfId="32392"/>
    <cellStyle name="Debit subtotal 3 2 6 6" xfId="32393"/>
    <cellStyle name="Debit subtotal 3 2 6 7" xfId="32394"/>
    <cellStyle name="Debit subtotal 3 2 6 8" xfId="32395"/>
    <cellStyle name="Debit subtotal 3 2 6 9" xfId="32396"/>
    <cellStyle name="Debit subtotal 3 2 7" xfId="32397"/>
    <cellStyle name="Debit subtotal 3 2 7 2" xfId="32398"/>
    <cellStyle name="Debit subtotal 3 2 7 3" xfId="32399"/>
    <cellStyle name="Debit subtotal 3 2 8" xfId="32400"/>
    <cellStyle name="Debit subtotal 3 3" xfId="32401"/>
    <cellStyle name="Debit subtotal 3 3 2" xfId="32402"/>
    <cellStyle name="Debit subtotal 3 3 2 2" xfId="32403"/>
    <cellStyle name="Debit subtotal 3 3 2 2 10" xfId="32404"/>
    <cellStyle name="Debit subtotal 3 3 2 2 11" xfId="32405"/>
    <cellStyle name="Debit subtotal 3 3 2 2 12" xfId="32406"/>
    <cellStyle name="Debit subtotal 3 3 2 2 13" xfId="32407"/>
    <cellStyle name="Debit subtotal 3 3 2 2 14" xfId="32408"/>
    <cellStyle name="Debit subtotal 3 3 2 2 15" xfId="32409"/>
    <cellStyle name="Debit subtotal 3 3 2 2 16" xfId="32410"/>
    <cellStyle name="Debit subtotal 3 3 2 2 17" xfId="32411"/>
    <cellStyle name="Debit subtotal 3 3 2 2 18" xfId="32412"/>
    <cellStyle name="Debit subtotal 3 3 2 2 19" xfId="32413"/>
    <cellStyle name="Debit subtotal 3 3 2 2 2" xfId="32414"/>
    <cellStyle name="Debit subtotal 3 3 2 2 2 2" xfId="32415"/>
    <cellStyle name="Debit subtotal 3 3 2 2 2 3" xfId="32416"/>
    <cellStyle name="Debit subtotal 3 3 2 2 2 4" xfId="32417"/>
    <cellStyle name="Debit subtotal 3 3 2 2 2 5" xfId="32418"/>
    <cellStyle name="Debit subtotal 3 3 2 2 2 6" xfId="32419"/>
    <cellStyle name="Debit subtotal 3 3 2 2 2 7" xfId="32420"/>
    <cellStyle name="Debit subtotal 3 3 2 2 2 8" xfId="32421"/>
    <cellStyle name="Debit subtotal 3 3 2 2 2 9" xfId="32422"/>
    <cellStyle name="Debit subtotal 3 3 2 2 20" xfId="32423"/>
    <cellStyle name="Debit subtotal 3 3 2 2 21" xfId="32424"/>
    <cellStyle name="Debit subtotal 3 3 2 2 3" xfId="32425"/>
    <cellStyle name="Debit subtotal 3 3 2 2 4" xfId="32426"/>
    <cellStyle name="Debit subtotal 3 3 2 2 5" xfId="32427"/>
    <cellStyle name="Debit subtotal 3 3 2 2 6" xfId="32428"/>
    <cellStyle name="Debit subtotal 3 3 2 2 7" xfId="32429"/>
    <cellStyle name="Debit subtotal 3 3 2 2 8" xfId="32430"/>
    <cellStyle name="Debit subtotal 3 3 2 2 9" xfId="32431"/>
    <cellStyle name="Debit subtotal 3 3 2 3" xfId="32432"/>
    <cellStyle name="Debit subtotal 3 3 2 3 10" xfId="32433"/>
    <cellStyle name="Debit subtotal 3 3 2 3 11" xfId="32434"/>
    <cellStyle name="Debit subtotal 3 3 2 3 12" xfId="32435"/>
    <cellStyle name="Debit subtotal 3 3 2 3 13" xfId="32436"/>
    <cellStyle name="Debit subtotal 3 3 2 3 14" xfId="32437"/>
    <cellStyle name="Debit subtotal 3 3 2 3 15" xfId="32438"/>
    <cellStyle name="Debit subtotal 3 3 2 3 16" xfId="32439"/>
    <cellStyle name="Debit subtotal 3 3 2 3 17" xfId="32440"/>
    <cellStyle name="Debit subtotal 3 3 2 3 18" xfId="32441"/>
    <cellStyle name="Debit subtotal 3 3 2 3 19" xfId="32442"/>
    <cellStyle name="Debit subtotal 3 3 2 3 2" xfId="32443"/>
    <cellStyle name="Debit subtotal 3 3 2 3 2 2" xfId="32444"/>
    <cellStyle name="Debit subtotal 3 3 2 3 2 3" xfId="32445"/>
    <cellStyle name="Debit subtotal 3 3 2 3 2 4" xfId="32446"/>
    <cellStyle name="Debit subtotal 3 3 2 3 2 5" xfId="32447"/>
    <cellStyle name="Debit subtotal 3 3 2 3 2 6" xfId="32448"/>
    <cellStyle name="Debit subtotal 3 3 2 3 2 7" xfId="32449"/>
    <cellStyle name="Debit subtotal 3 3 2 3 2 8" xfId="32450"/>
    <cellStyle name="Debit subtotal 3 3 2 3 2 9" xfId="32451"/>
    <cellStyle name="Debit subtotal 3 3 2 3 3" xfId="32452"/>
    <cellStyle name="Debit subtotal 3 3 2 3 4" xfId="32453"/>
    <cellStyle name="Debit subtotal 3 3 2 3 5" xfId="32454"/>
    <cellStyle name="Debit subtotal 3 3 2 3 6" xfId="32455"/>
    <cellStyle name="Debit subtotal 3 3 2 3 7" xfId="32456"/>
    <cellStyle name="Debit subtotal 3 3 2 3 8" xfId="32457"/>
    <cellStyle name="Debit subtotal 3 3 2 3 9" xfId="32458"/>
    <cellStyle name="Debit subtotal 3 3 2 4" xfId="32459"/>
    <cellStyle name="Debit subtotal 3 3 2 4 10" xfId="32460"/>
    <cellStyle name="Debit subtotal 3 3 2 4 11" xfId="32461"/>
    <cellStyle name="Debit subtotal 3 3 2 4 12" xfId="32462"/>
    <cellStyle name="Debit subtotal 3 3 2 4 13" xfId="32463"/>
    <cellStyle name="Debit subtotal 3 3 2 4 14" xfId="32464"/>
    <cellStyle name="Debit subtotal 3 3 2 4 15" xfId="32465"/>
    <cellStyle name="Debit subtotal 3 3 2 4 16" xfId="32466"/>
    <cellStyle name="Debit subtotal 3 3 2 4 17" xfId="32467"/>
    <cellStyle name="Debit subtotal 3 3 2 4 18" xfId="32468"/>
    <cellStyle name="Debit subtotal 3 3 2 4 2" xfId="32469"/>
    <cellStyle name="Debit subtotal 3 3 2 4 2 2" xfId="32470"/>
    <cellStyle name="Debit subtotal 3 3 2 4 2 3" xfId="32471"/>
    <cellStyle name="Debit subtotal 3 3 2 4 2 4" xfId="32472"/>
    <cellStyle name="Debit subtotal 3 3 2 4 2 5" xfId="32473"/>
    <cellStyle name="Debit subtotal 3 3 2 4 2 6" xfId="32474"/>
    <cellStyle name="Debit subtotal 3 3 2 4 2 7" xfId="32475"/>
    <cellStyle name="Debit subtotal 3 3 2 4 2 8" xfId="32476"/>
    <cellStyle name="Debit subtotal 3 3 2 4 2 9" xfId="32477"/>
    <cellStyle name="Debit subtotal 3 3 2 4 3" xfId="32478"/>
    <cellStyle name="Debit subtotal 3 3 2 4 4" xfId="32479"/>
    <cellStyle name="Debit subtotal 3 3 2 4 5" xfId="32480"/>
    <cellStyle name="Debit subtotal 3 3 2 4 6" xfId="32481"/>
    <cellStyle name="Debit subtotal 3 3 2 4 7" xfId="32482"/>
    <cellStyle name="Debit subtotal 3 3 2 4 8" xfId="32483"/>
    <cellStyle name="Debit subtotal 3 3 2 4 9" xfId="32484"/>
    <cellStyle name="Debit subtotal 3 3 2 5" xfId="32485"/>
    <cellStyle name="Debit subtotal 3 3 2 5 2" xfId="32486"/>
    <cellStyle name="Debit subtotal 3 3 2 5 3" xfId="32487"/>
    <cellStyle name="Debit subtotal 3 3 2 6" xfId="32488"/>
    <cellStyle name="Debit subtotal 3 3 3" xfId="32489"/>
    <cellStyle name="Debit subtotal 3 3 3 2" xfId="32490"/>
    <cellStyle name="Debit subtotal 3 3 3 2 10" xfId="32491"/>
    <cellStyle name="Debit subtotal 3 3 3 2 11" xfId="32492"/>
    <cellStyle name="Debit subtotal 3 3 3 2 12" xfId="32493"/>
    <cellStyle name="Debit subtotal 3 3 3 2 13" xfId="32494"/>
    <cellStyle name="Debit subtotal 3 3 3 2 14" xfId="32495"/>
    <cellStyle name="Debit subtotal 3 3 3 2 15" xfId="32496"/>
    <cellStyle name="Debit subtotal 3 3 3 2 16" xfId="32497"/>
    <cellStyle name="Debit subtotal 3 3 3 2 17" xfId="32498"/>
    <cellStyle name="Debit subtotal 3 3 3 2 18" xfId="32499"/>
    <cellStyle name="Debit subtotal 3 3 3 2 19" xfId="32500"/>
    <cellStyle name="Debit subtotal 3 3 3 2 2" xfId="32501"/>
    <cellStyle name="Debit subtotal 3 3 3 2 2 2" xfId="32502"/>
    <cellStyle name="Debit subtotal 3 3 3 2 2 3" xfId="32503"/>
    <cellStyle name="Debit subtotal 3 3 3 2 2 4" xfId="32504"/>
    <cellStyle name="Debit subtotal 3 3 3 2 2 5" xfId="32505"/>
    <cellStyle name="Debit subtotal 3 3 3 2 2 6" xfId="32506"/>
    <cellStyle name="Debit subtotal 3 3 3 2 2 7" xfId="32507"/>
    <cellStyle name="Debit subtotal 3 3 3 2 2 8" xfId="32508"/>
    <cellStyle name="Debit subtotal 3 3 3 2 2 9" xfId="32509"/>
    <cellStyle name="Debit subtotal 3 3 3 2 20" xfId="32510"/>
    <cellStyle name="Debit subtotal 3 3 3 2 21" xfId="32511"/>
    <cellStyle name="Debit subtotal 3 3 3 2 3" xfId="32512"/>
    <cellStyle name="Debit subtotal 3 3 3 2 4" xfId="32513"/>
    <cellStyle name="Debit subtotal 3 3 3 2 5" xfId="32514"/>
    <cellStyle name="Debit subtotal 3 3 3 2 6" xfId="32515"/>
    <cellStyle name="Debit subtotal 3 3 3 2 7" xfId="32516"/>
    <cellStyle name="Debit subtotal 3 3 3 2 8" xfId="32517"/>
    <cellStyle name="Debit subtotal 3 3 3 2 9" xfId="32518"/>
    <cellStyle name="Debit subtotal 3 3 3 3" xfId="32519"/>
    <cellStyle name="Debit subtotal 3 3 3 3 10" xfId="32520"/>
    <cellStyle name="Debit subtotal 3 3 3 3 11" xfId="32521"/>
    <cellStyle name="Debit subtotal 3 3 3 3 12" xfId="32522"/>
    <cellStyle name="Debit subtotal 3 3 3 3 13" xfId="32523"/>
    <cellStyle name="Debit subtotal 3 3 3 3 14" xfId="32524"/>
    <cellStyle name="Debit subtotal 3 3 3 3 15" xfId="32525"/>
    <cellStyle name="Debit subtotal 3 3 3 3 16" xfId="32526"/>
    <cellStyle name="Debit subtotal 3 3 3 3 17" xfId="32527"/>
    <cellStyle name="Debit subtotal 3 3 3 3 18" xfId="32528"/>
    <cellStyle name="Debit subtotal 3 3 3 3 19" xfId="32529"/>
    <cellStyle name="Debit subtotal 3 3 3 3 2" xfId="32530"/>
    <cellStyle name="Debit subtotal 3 3 3 3 2 2" xfId="32531"/>
    <cellStyle name="Debit subtotal 3 3 3 3 2 3" xfId="32532"/>
    <cellStyle name="Debit subtotal 3 3 3 3 2 4" xfId="32533"/>
    <cellStyle name="Debit subtotal 3 3 3 3 2 5" xfId="32534"/>
    <cellStyle name="Debit subtotal 3 3 3 3 2 6" xfId="32535"/>
    <cellStyle name="Debit subtotal 3 3 3 3 2 7" xfId="32536"/>
    <cellStyle name="Debit subtotal 3 3 3 3 2 8" xfId="32537"/>
    <cellStyle name="Debit subtotal 3 3 3 3 2 9" xfId="32538"/>
    <cellStyle name="Debit subtotal 3 3 3 3 3" xfId="32539"/>
    <cellStyle name="Debit subtotal 3 3 3 3 4" xfId="32540"/>
    <cellStyle name="Debit subtotal 3 3 3 3 5" xfId="32541"/>
    <cellStyle name="Debit subtotal 3 3 3 3 6" xfId="32542"/>
    <cellStyle name="Debit subtotal 3 3 3 3 7" xfId="32543"/>
    <cellStyle name="Debit subtotal 3 3 3 3 8" xfId="32544"/>
    <cellStyle name="Debit subtotal 3 3 3 3 9" xfId="32545"/>
    <cellStyle name="Debit subtotal 3 3 3 4" xfId="32546"/>
    <cellStyle name="Debit subtotal 3 3 3 4 10" xfId="32547"/>
    <cellStyle name="Debit subtotal 3 3 3 4 11" xfId="32548"/>
    <cellStyle name="Debit subtotal 3 3 3 4 12" xfId="32549"/>
    <cellStyle name="Debit subtotal 3 3 3 4 13" xfId="32550"/>
    <cellStyle name="Debit subtotal 3 3 3 4 14" xfId="32551"/>
    <cellStyle name="Debit subtotal 3 3 3 4 15" xfId="32552"/>
    <cellStyle name="Debit subtotal 3 3 3 4 16" xfId="32553"/>
    <cellStyle name="Debit subtotal 3 3 3 4 17" xfId="32554"/>
    <cellStyle name="Debit subtotal 3 3 3 4 18" xfId="32555"/>
    <cellStyle name="Debit subtotal 3 3 3 4 2" xfId="32556"/>
    <cellStyle name="Debit subtotal 3 3 3 4 2 2" xfId="32557"/>
    <cellStyle name="Debit subtotal 3 3 3 4 2 3" xfId="32558"/>
    <cellStyle name="Debit subtotal 3 3 3 4 2 4" xfId="32559"/>
    <cellStyle name="Debit subtotal 3 3 3 4 2 5" xfId="32560"/>
    <cellStyle name="Debit subtotal 3 3 3 4 2 6" xfId="32561"/>
    <cellStyle name="Debit subtotal 3 3 3 4 2 7" xfId="32562"/>
    <cellStyle name="Debit subtotal 3 3 3 4 2 8" xfId="32563"/>
    <cellStyle name="Debit subtotal 3 3 3 4 2 9" xfId="32564"/>
    <cellStyle name="Debit subtotal 3 3 3 4 3" xfId="32565"/>
    <cellStyle name="Debit subtotal 3 3 3 4 4" xfId="32566"/>
    <cellStyle name="Debit subtotal 3 3 3 4 5" xfId="32567"/>
    <cellStyle name="Debit subtotal 3 3 3 4 6" xfId="32568"/>
    <cellStyle name="Debit subtotal 3 3 3 4 7" xfId="32569"/>
    <cellStyle name="Debit subtotal 3 3 3 4 8" xfId="32570"/>
    <cellStyle name="Debit subtotal 3 3 3 4 9" xfId="32571"/>
    <cellStyle name="Debit subtotal 3 3 3 5" xfId="32572"/>
    <cellStyle name="Debit subtotal 3 3 3 5 2" xfId="32573"/>
    <cellStyle name="Debit subtotal 3 3 3 5 3" xfId="32574"/>
    <cellStyle name="Debit subtotal 3 3 3 6" xfId="32575"/>
    <cellStyle name="Debit subtotal 3 3 4" xfId="32576"/>
    <cellStyle name="Debit subtotal 3 3 4 10" xfId="32577"/>
    <cellStyle name="Debit subtotal 3 3 4 11" xfId="32578"/>
    <cellStyle name="Debit subtotal 3 3 4 12" xfId="32579"/>
    <cellStyle name="Debit subtotal 3 3 4 13" xfId="32580"/>
    <cellStyle name="Debit subtotal 3 3 4 14" xfId="32581"/>
    <cellStyle name="Debit subtotal 3 3 4 15" xfId="32582"/>
    <cellStyle name="Debit subtotal 3 3 4 16" xfId="32583"/>
    <cellStyle name="Debit subtotal 3 3 4 17" xfId="32584"/>
    <cellStyle name="Debit subtotal 3 3 4 18" xfId="32585"/>
    <cellStyle name="Debit subtotal 3 3 4 19" xfId="32586"/>
    <cellStyle name="Debit subtotal 3 3 4 2" xfId="32587"/>
    <cellStyle name="Debit subtotal 3 3 4 2 2" xfId="32588"/>
    <cellStyle name="Debit subtotal 3 3 4 2 3" xfId="32589"/>
    <cellStyle name="Debit subtotal 3 3 4 2 4" xfId="32590"/>
    <cellStyle name="Debit subtotal 3 3 4 2 5" xfId="32591"/>
    <cellStyle name="Debit subtotal 3 3 4 2 6" xfId="32592"/>
    <cellStyle name="Debit subtotal 3 3 4 2 7" xfId="32593"/>
    <cellStyle name="Debit subtotal 3 3 4 2 8" xfId="32594"/>
    <cellStyle name="Debit subtotal 3 3 4 2 9" xfId="32595"/>
    <cellStyle name="Debit subtotal 3 3 4 20" xfId="32596"/>
    <cellStyle name="Debit subtotal 3 3 4 21" xfId="32597"/>
    <cellStyle name="Debit subtotal 3 3 4 3" xfId="32598"/>
    <cellStyle name="Debit subtotal 3 3 4 4" xfId="32599"/>
    <cellStyle name="Debit subtotal 3 3 4 5" xfId="32600"/>
    <cellStyle name="Debit subtotal 3 3 4 6" xfId="32601"/>
    <cellStyle name="Debit subtotal 3 3 4 7" xfId="32602"/>
    <cellStyle name="Debit subtotal 3 3 4 8" xfId="32603"/>
    <cellStyle name="Debit subtotal 3 3 4 9" xfId="32604"/>
    <cellStyle name="Debit subtotal 3 3 5" xfId="32605"/>
    <cellStyle name="Debit subtotal 3 3 5 10" xfId="32606"/>
    <cellStyle name="Debit subtotal 3 3 5 11" xfId="32607"/>
    <cellStyle name="Debit subtotal 3 3 5 12" xfId="32608"/>
    <cellStyle name="Debit subtotal 3 3 5 13" xfId="32609"/>
    <cellStyle name="Debit subtotal 3 3 5 14" xfId="32610"/>
    <cellStyle name="Debit subtotal 3 3 5 15" xfId="32611"/>
    <cellStyle name="Debit subtotal 3 3 5 16" xfId="32612"/>
    <cellStyle name="Debit subtotal 3 3 5 17" xfId="32613"/>
    <cellStyle name="Debit subtotal 3 3 5 18" xfId="32614"/>
    <cellStyle name="Debit subtotal 3 3 5 19" xfId="32615"/>
    <cellStyle name="Debit subtotal 3 3 5 2" xfId="32616"/>
    <cellStyle name="Debit subtotal 3 3 5 2 2" xfId="32617"/>
    <cellStyle name="Debit subtotal 3 3 5 2 3" xfId="32618"/>
    <cellStyle name="Debit subtotal 3 3 5 2 4" xfId="32619"/>
    <cellStyle name="Debit subtotal 3 3 5 2 5" xfId="32620"/>
    <cellStyle name="Debit subtotal 3 3 5 2 6" xfId="32621"/>
    <cellStyle name="Debit subtotal 3 3 5 2 7" xfId="32622"/>
    <cellStyle name="Debit subtotal 3 3 5 2 8" xfId="32623"/>
    <cellStyle name="Debit subtotal 3 3 5 2 9" xfId="32624"/>
    <cellStyle name="Debit subtotal 3 3 5 3" xfId="32625"/>
    <cellStyle name="Debit subtotal 3 3 5 4" xfId="32626"/>
    <cellStyle name="Debit subtotal 3 3 5 5" xfId="32627"/>
    <cellStyle name="Debit subtotal 3 3 5 6" xfId="32628"/>
    <cellStyle name="Debit subtotal 3 3 5 7" xfId="32629"/>
    <cellStyle name="Debit subtotal 3 3 5 8" xfId="32630"/>
    <cellStyle name="Debit subtotal 3 3 5 9" xfId="32631"/>
    <cellStyle name="Debit subtotal 3 3 6" xfId="32632"/>
    <cellStyle name="Debit subtotal 3 3 6 10" xfId="32633"/>
    <cellStyle name="Debit subtotal 3 3 6 11" xfId="32634"/>
    <cellStyle name="Debit subtotal 3 3 6 12" xfId="32635"/>
    <cellStyle name="Debit subtotal 3 3 6 13" xfId="32636"/>
    <cellStyle name="Debit subtotal 3 3 6 14" xfId="32637"/>
    <cellStyle name="Debit subtotal 3 3 6 15" xfId="32638"/>
    <cellStyle name="Debit subtotal 3 3 6 16" xfId="32639"/>
    <cellStyle name="Debit subtotal 3 3 6 17" xfId="32640"/>
    <cellStyle name="Debit subtotal 3 3 6 18" xfId="32641"/>
    <cellStyle name="Debit subtotal 3 3 6 2" xfId="32642"/>
    <cellStyle name="Debit subtotal 3 3 6 2 2" xfId="32643"/>
    <cellStyle name="Debit subtotal 3 3 6 2 3" xfId="32644"/>
    <cellStyle name="Debit subtotal 3 3 6 2 4" xfId="32645"/>
    <cellStyle name="Debit subtotal 3 3 6 2 5" xfId="32646"/>
    <cellStyle name="Debit subtotal 3 3 6 2 6" xfId="32647"/>
    <cellStyle name="Debit subtotal 3 3 6 2 7" xfId="32648"/>
    <cellStyle name="Debit subtotal 3 3 6 2 8" xfId="32649"/>
    <cellStyle name="Debit subtotal 3 3 6 2 9" xfId="32650"/>
    <cellStyle name="Debit subtotal 3 3 6 3" xfId="32651"/>
    <cellStyle name="Debit subtotal 3 3 6 4" xfId="32652"/>
    <cellStyle name="Debit subtotal 3 3 6 5" xfId="32653"/>
    <cellStyle name="Debit subtotal 3 3 6 6" xfId="32654"/>
    <cellStyle name="Debit subtotal 3 3 6 7" xfId="32655"/>
    <cellStyle name="Debit subtotal 3 3 6 8" xfId="32656"/>
    <cellStyle name="Debit subtotal 3 3 6 9" xfId="32657"/>
    <cellStyle name="Debit subtotal 3 3 7" xfId="32658"/>
    <cellStyle name="Debit subtotal 3 3 7 2" xfId="32659"/>
    <cellStyle name="Debit subtotal 3 3 7 3" xfId="32660"/>
    <cellStyle name="Debit subtotal 3 3 8" xfId="32661"/>
    <cellStyle name="Debit subtotal 3 4" xfId="32662"/>
    <cellStyle name="Debit subtotal 3 4 2" xfId="32663"/>
    <cellStyle name="Debit subtotal 3 4 2 2" xfId="32664"/>
    <cellStyle name="Debit subtotal 3 4 2 2 10" xfId="32665"/>
    <cellStyle name="Debit subtotal 3 4 2 2 11" xfId="32666"/>
    <cellStyle name="Debit subtotal 3 4 2 2 12" xfId="32667"/>
    <cellStyle name="Debit subtotal 3 4 2 2 13" xfId="32668"/>
    <cellStyle name="Debit subtotal 3 4 2 2 14" xfId="32669"/>
    <cellStyle name="Debit subtotal 3 4 2 2 15" xfId="32670"/>
    <cellStyle name="Debit subtotal 3 4 2 2 16" xfId="32671"/>
    <cellStyle name="Debit subtotal 3 4 2 2 17" xfId="32672"/>
    <cellStyle name="Debit subtotal 3 4 2 2 18" xfId="32673"/>
    <cellStyle name="Debit subtotal 3 4 2 2 19" xfId="32674"/>
    <cellStyle name="Debit subtotal 3 4 2 2 2" xfId="32675"/>
    <cellStyle name="Debit subtotal 3 4 2 2 2 2" xfId="32676"/>
    <cellStyle name="Debit subtotal 3 4 2 2 2 3" xfId="32677"/>
    <cellStyle name="Debit subtotal 3 4 2 2 2 4" xfId="32678"/>
    <cellStyle name="Debit subtotal 3 4 2 2 2 5" xfId="32679"/>
    <cellStyle name="Debit subtotal 3 4 2 2 2 6" xfId="32680"/>
    <cellStyle name="Debit subtotal 3 4 2 2 2 7" xfId="32681"/>
    <cellStyle name="Debit subtotal 3 4 2 2 2 8" xfId="32682"/>
    <cellStyle name="Debit subtotal 3 4 2 2 2 9" xfId="32683"/>
    <cellStyle name="Debit subtotal 3 4 2 2 20" xfId="32684"/>
    <cellStyle name="Debit subtotal 3 4 2 2 21" xfId="32685"/>
    <cellStyle name="Debit subtotal 3 4 2 2 3" xfId="32686"/>
    <cellStyle name="Debit subtotal 3 4 2 2 4" xfId="32687"/>
    <cellStyle name="Debit subtotal 3 4 2 2 5" xfId="32688"/>
    <cellStyle name="Debit subtotal 3 4 2 2 6" xfId="32689"/>
    <cellStyle name="Debit subtotal 3 4 2 2 7" xfId="32690"/>
    <cellStyle name="Debit subtotal 3 4 2 2 8" xfId="32691"/>
    <cellStyle name="Debit subtotal 3 4 2 2 9" xfId="32692"/>
    <cellStyle name="Debit subtotal 3 4 2 3" xfId="32693"/>
    <cellStyle name="Debit subtotal 3 4 2 3 10" xfId="32694"/>
    <cellStyle name="Debit subtotal 3 4 2 3 11" xfId="32695"/>
    <cellStyle name="Debit subtotal 3 4 2 3 12" xfId="32696"/>
    <cellStyle name="Debit subtotal 3 4 2 3 13" xfId="32697"/>
    <cellStyle name="Debit subtotal 3 4 2 3 14" xfId="32698"/>
    <cellStyle name="Debit subtotal 3 4 2 3 15" xfId="32699"/>
    <cellStyle name="Debit subtotal 3 4 2 3 16" xfId="32700"/>
    <cellStyle name="Debit subtotal 3 4 2 3 17" xfId="32701"/>
    <cellStyle name="Debit subtotal 3 4 2 3 18" xfId="32702"/>
    <cellStyle name="Debit subtotal 3 4 2 3 19" xfId="32703"/>
    <cellStyle name="Debit subtotal 3 4 2 3 2" xfId="32704"/>
    <cellStyle name="Debit subtotal 3 4 2 3 2 2" xfId="32705"/>
    <cellStyle name="Debit subtotal 3 4 2 3 2 3" xfId="32706"/>
    <cellStyle name="Debit subtotal 3 4 2 3 2 4" xfId="32707"/>
    <cellStyle name="Debit subtotal 3 4 2 3 2 5" xfId="32708"/>
    <cellStyle name="Debit subtotal 3 4 2 3 2 6" xfId="32709"/>
    <cellStyle name="Debit subtotal 3 4 2 3 2 7" xfId="32710"/>
    <cellStyle name="Debit subtotal 3 4 2 3 2 8" xfId="32711"/>
    <cellStyle name="Debit subtotal 3 4 2 3 2 9" xfId="32712"/>
    <cellStyle name="Debit subtotal 3 4 2 3 3" xfId="32713"/>
    <cellStyle name="Debit subtotal 3 4 2 3 4" xfId="32714"/>
    <cellStyle name="Debit subtotal 3 4 2 3 5" xfId="32715"/>
    <cellStyle name="Debit subtotal 3 4 2 3 6" xfId="32716"/>
    <cellStyle name="Debit subtotal 3 4 2 3 7" xfId="32717"/>
    <cellStyle name="Debit subtotal 3 4 2 3 8" xfId="32718"/>
    <cellStyle name="Debit subtotal 3 4 2 3 9" xfId="32719"/>
    <cellStyle name="Debit subtotal 3 4 2 4" xfId="32720"/>
    <cellStyle name="Debit subtotal 3 4 2 4 10" xfId="32721"/>
    <cellStyle name="Debit subtotal 3 4 2 4 11" xfId="32722"/>
    <cellStyle name="Debit subtotal 3 4 2 4 12" xfId="32723"/>
    <cellStyle name="Debit subtotal 3 4 2 4 13" xfId="32724"/>
    <cellStyle name="Debit subtotal 3 4 2 4 14" xfId="32725"/>
    <cellStyle name="Debit subtotal 3 4 2 4 15" xfId="32726"/>
    <cellStyle name="Debit subtotal 3 4 2 4 16" xfId="32727"/>
    <cellStyle name="Debit subtotal 3 4 2 4 17" xfId="32728"/>
    <cellStyle name="Debit subtotal 3 4 2 4 18" xfId="32729"/>
    <cellStyle name="Debit subtotal 3 4 2 4 2" xfId="32730"/>
    <cellStyle name="Debit subtotal 3 4 2 4 2 2" xfId="32731"/>
    <cellStyle name="Debit subtotal 3 4 2 4 2 3" xfId="32732"/>
    <cellStyle name="Debit subtotal 3 4 2 4 2 4" xfId="32733"/>
    <cellStyle name="Debit subtotal 3 4 2 4 2 5" xfId="32734"/>
    <cellStyle name="Debit subtotal 3 4 2 4 2 6" xfId="32735"/>
    <cellStyle name="Debit subtotal 3 4 2 4 2 7" xfId="32736"/>
    <cellStyle name="Debit subtotal 3 4 2 4 2 8" xfId="32737"/>
    <cellStyle name="Debit subtotal 3 4 2 4 2 9" xfId="32738"/>
    <cellStyle name="Debit subtotal 3 4 2 4 3" xfId="32739"/>
    <cellStyle name="Debit subtotal 3 4 2 4 4" xfId="32740"/>
    <cellStyle name="Debit subtotal 3 4 2 4 5" xfId="32741"/>
    <cellStyle name="Debit subtotal 3 4 2 4 6" xfId="32742"/>
    <cellStyle name="Debit subtotal 3 4 2 4 7" xfId="32743"/>
    <cellStyle name="Debit subtotal 3 4 2 4 8" xfId="32744"/>
    <cellStyle name="Debit subtotal 3 4 2 4 9" xfId="32745"/>
    <cellStyle name="Debit subtotal 3 4 2 5" xfId="32746"/>
    <cellStyle name="Debit subtotal 3 4 2 5 2" xfId="32747"/>
    <cellStyle name="Debit subtotal 3 4 2 5 3" xfId="32748"/>
    <cellStyle name="Debit subtotal 3 4 2 6" xfId="32749"/>
    <cellStyle name="Debit subtotal 3 4 3" xfId="32750"/>
    <cellStyle name="Debit subtotal 3 4 3 2" xfId="32751"/>
    <cellStyle name="Debit subtotal 3 4 3 2 10" xfId="32752"/>
    <cellStyle name="Debit subtotal 3 4 3 2 11" xfId="32753"/>
    <cellStyle name="Debit subtotal 3 4 3 2 12" xfId="32754"/>
    <cellStyle name="Debit subtotal 3 4 3 2 13" xfId="32755"/>
    <cellStyle name="Debit subtotal 3 4 3 2 14" xfId="32756"/>
    <cellStyle name="Debit subtotal 3 4 3 2 15" xfId="32757"/>
    <cellStyle name="Debit subtotal 3 4 3 2 16" xfId="32758"/>
    <cellStyle name="Debit subtotal 3 4 3 2 17" xfId="32759"/>
    <cellStyle name="Debit subtotal 3 4 3 2 18" xfId="32760"/>
    <cellStyle name="Debit subtotal 3 4 3 2 19" xfId="32761"/>
    <cellStyle name="Debit subtotal 3 4 3 2 2" xfId="32762"/>
    <cellStyle name="Debit subtotal 3 4 3 2 2 2" xfId="32763"/>
    <cellStyle name="Debit subtotal 3 4 3 2 2 3" xfId="32764"/>
    <cellStyle name="Debit subtotal 3 4 3 2 2 4" xfId="32765"/>
    <cellStyle name="Debit subtotal 3 4 3 2 2 5" xfId="32766"/>
    <cellStyle name="Debit subtotal 3 4 3 2 2 6" xfId="32767"/>
    <cellStyle name="Debit subtotal 3 4 3 2 2 7" xfId="32768"/>
    <cellStyle name="Debit subtotal 3 4 3 2 2 8" xfId="32769"/>
    <cellStyle name="Debit subtotal 3 4 3 2 2 9" xfId="32770"/>
    <cellStyle name="Debit subtotal 3 4 3 2 20" xfId="32771"/>
    <cellStyle name="Debit subtotal 3 4 3 2 21" xfId="32772"/>
    <cellStyle name="Debit subtotal 3 4 3 2 3" xfId="32773"/>
    <cellStyle name="Debit subtotal 3 4 3 2 4" xfId="32774"/>
    <cellStyle name="Debit subtotal 3 4 3 2 5" xfId="32775"/>
    <cellStyle name="Debit subtotal 3 4 3 2 6" xfId="32776"/>
    <cellStyle name="Debit subtotal 3 4 3 2 7" xfId="32777"/>
    <cellStyle name="Debit subtotal 3 4 3 2 8" xfId="32778"/>
    <cellStyle name="Debit subtotal 3 4 3 2 9" xfId="32779"/>
    <cellStyle name="Debit subtotal 3 4 3 3" xfId="32780"/>
    <cellStyle name="Debit subtotal 3 4 3 3 10" xfId="32781"/>
    <cellStyle name="Debit subtotal 3 4 3 3 11" xfId="32782"/>
    <cellStyle name="Debit subtotal 3 4 3 3 12" xfId="32783"/>
    <cellStyle name="Debit subtotal 3 4 3 3 13" xfId="32784"/>
    <cellStyle name="Debit subtotal 3 4 3 3 14" xfId="32785"/>
    <cellStyle name="Debit subtotal 3 4 3 3 15" xfId="32786"/>
    <cellStyle name="Debit subtotal 3 4 3 3 16" xfId="32787"/>
    <cellStyle name="Debit subtotal 3 4 3 3 17" xfId="32788"/>
    <cellStyle name="Debit subtotal 3 4 3 3 18" xfId="32789"/>
    <cellStyle name="Debit subtotal 3 4 3 3 19" xfId="32790"/>
    <cellStyle name="Debit subtotal 3 4 3 3 2" xfId="32791"/>
    <cellStyle name="Debit subtotal 3 4 3 3 2 2" xfId="32792"/>
    <cellStyle name="Debit subtotal 3 4 3 3 2 3" xfId="32793"/>
    <cellStyle name="Debit subtotal 3 4 3 3 2 4" xfId="32794"/>
    <cellStyle name="Debit subtotal 3 4 3 3 2 5" xfId="32795"/>
    <cellStyle name="Debit subtotal 3 4 3 3 2 6" xfId="32796"/>
    <cellStyle name="Debit subtotal 3 4 3 3 2 7" xfId="32797"/>
    <cellStyle name="Debit subtotal 3 4 3 3 2 8" xfId="32798"/>
    <cellStyle name="Debit subtotal 3 4 3 3 2 9" xfId="32799"/>
    <cellStyle name="Debit subtotal 3 4 3 3 3" xfId="32800"/>
    <cellStyle name="Debit subtotal 3 4 3 3 4" xfId="32801"/>
    <cellStyle name="Debit subtotal 3 4 3 3 5" xfId="32802"/>
    <cellStyle name="Debit subtotal 3 4 3 3 6" xfId="32803"/>
    <cellStyle name="Debit subtotal 3 4 3 3 7" xfId="32804"/>
    <cellStyle name="Debit subtotal 3 4 3 3 8" xfId="32805"/>
    <cellStyle name="Debit subtotal 3 4 3 3 9" xfId="32806"/>
    <cellStyle name="Debit subtotal 3 4 3 4" xfId="32807"/>
    <cellStyle name="Debit subtotal 3 4 3 4 10" xfId="32808"/>
    <cellStyle name="Debit subtotal 3 4 3 4 11" xfId="32809"/>
    <cellStyle name="Debit subtotal 3 4 3 4 12" xfId="32810"/>
    <cellStyle name="Debit subtotal 3 4 3 4 13" xfId="32811"/>
    <cellStyle name="Debit subtotal 3 4 3 4 14" xfId="32812"/>
    <cellStyle name="Debit subtotal 3 4 3 4 15" xfId="32813"/>
    <cellStyle name="Debit subtotal 3 4 3 4 16" xfId="32814"/>
    <cellStyle name="Debit subtotal 3 4 3 4 17" xfId="32815"/>
    <cellStyle name="Debit subtotal 3 4 3 4 18" xfId="32816"/>
    <cellStyle name="Debit subtotal 3 4 3 4 2" xfId="32817"/>
    <cellStyle name="Debit subtotal 3 4 3 4 2 2" xfId="32818"/>
    <cellStyle name="Debit subtotal 3 4 3 4 2 3" xfId="32819"/>
    <cellStyle name="Debit subtotal 3 4 3 4 2 4" xfId="32820"/>
    <cellStyle name="Debit subtotal 3 4 3 4 2 5" xfId="32821"/>
    <cellStyle name="Debit subtotal 3 4 3 4 2 6" xfId="32822"/>
    <cellStyle name="Debit subtotal 3 4 3 4 2 7" xfId="32823"/>
    <cellStyle name="Debit subtotal 3 4 3 4 2 8" xfId="32824"/>
    <cellStyle name="Debit subtotal 3 4 3 4 2 9" xfId="32825"/>
    <cellStyle name="Debit subtotal 3 4 3 4 3" xfId="32826"/>
    <cellStyle name="Debit subtotal 3 4 3 4 4" xfId="32827"/>
    <cellStyle name="Debit subtotal 3 4 3 4 5" xfId="32828"/>
    <cellStyle name="Debit subtotal 3 4 3 4 6" xfId="32829"/>
    <cellStyle name="Debit subtotal 3 4 3 4 7" xfId="32830"/>
    <cellStyle name="Debit subtotal 3 4 3 4 8" xfId="32831"/>
    <cellStyle name="Debit subtotal 3 4 3 4 9" xfId="32832"/>
    <cellStyle name="Debit subtotal 3 4 3 5" xfId="32833"/>
    <cellStyle name="Debit subtotal 3 4 3 5 2" xfId="32834"/>
    <cellStyle name="Debit subtotal 3 4 3 5 3" xfId="32835"/>
    <cellStyle name="Debit subtotal 3 4 3 6" xfId="32836"/>
    <cellStyle name="Debit subtotal 3 4 4" xfId="32837"/>
    <cellStyle name="Debit subtotal 3 4 4 10" xfId="32838"/>
    <cellStyle name="Debit subtotal 3 4 4 11" xfId="32839"/>
    <cellStyle name="Debit subtotal 3 4 4 12" xfId="32840"/>
    <cellStyle name="Debit subtotal 3 4 4 13" xfId="32841"/>
    <cellStyle name="Debit subtotal 3 4 4 14" xfId="32842"/>
    <cellStyle name="Debit subtotal 3 4 4 15" xfId="32843"/>
    <cellStyle name="Debit subtotal 3 4 4 16" xfId="32844"/>
    <cellStyle name="Debit subtotal 3 4 4 17" xfId="32845"/>
    <cellStyle name="Debit subtotal 3 4 4 18" xfId="32846"/>
    <cellStyle name="Debit subtotal 3 4 4 19" xfId="32847"/>
    <cellStyle name="Debit subtotal 3 4 4 2" xfId="32848"/>
    <cellStyle name="Debit subtotal 3 4 4 2 2" xfId="32849"/>
    <cellStyle name="Debit subtotal 3 4 4 2 3" xfId="32850"/>
    <cellStyle name="Debit subtotal 3 4 4 2 4" xfId="32851"/>
    <cellStyle name="Debit subtotal 3 4 4 2 5" xfId="32852"/>
    <cellStyle name="Debit subtotal 3 4 4 2 6" xfId="32853"/>
    <cellStyle name="Debit subtotal 3 4 4 2 7" xfId="32854"/>
    <cellStyle name="Debit subtotal 3 4 4 2 8" xfId="32855"/>
    <cellStyle name="Debit subtotal 3 4 4 2 9" xfId="32856"/>
    <cellStyle name="Debit subtotal 3 4 4 20" xfId="32857"/>
    <cellStyle name="Debit subtotal 3 4 4 21" xfId="32858"/>
    <cellStyle name="Debit subtotal 3 4 4 3" xfId="32859"/>
    <cellStyle name="Debit subtotal 3 4 4 4" xfId="32860"/>
    <cellStyle name="Debit subtotal 3 4 4 5" xfId="32861"/>
    <cellStyle name="Debit subtotal 3 4 4 6" xfId="32862"/>
    <cellStyle name="Debit subtotal 3 4 4 7" xfId="32863"/>
    <cellStyle name="Debit subtotal 3 4 4 8" xfId="32864"/>
    <cellStyle name="Debit subtotal 3 4 4 9" xfId="32865"/>
    <cellStyle name="Debit subtotal 3 4 5" xfId="32866"/>
    <cellStyle name="Debit subtotal 3 4 5 10" xfId="32867"/>
    <cellStyle name="Debit subtotal 3 4 5 11" xfId="32868"/>
    <cellStyle name="Debit subtotal 3 4 5 12" xfId="32869"/>
    <cellStyle name="Debit subtotal 3 4 5 13" xfId="32870"/>
    <cellStyle name="Debit subtotal 3 4 5 14" xfId="32871"/>
    <cellStyle name="Debit subtotal 3 4 5 15" xfId="32872"/>
    <cellStyle name="Debit subtotal 3 4 5 16" xfId="32873"/>
    <cellStyle name="Debit subtotal 3 4 5 17" xfId="32874"/>
    <cellStyle name="Debit subtotal 3 4 5 18" xfId="32875"/>
    <cellStyle name="Debit subtotal 3 4 5 19" xfId="32876"/>
    <cellStyle name="Debit subtotal 3 4 5 2" xfId="32877"/>
    <cellStyle name="Debit subtotal 3 4 5 2 2" xfId="32878"/>
    <cellStyle name="Debit subtotal 3 4 5 2 3" xfId="32879"/>
    <cellStyle name="Debit subtotal 3 4 5 2 4" xfId="32880"/>
    <cellStyle name="Debit subtotal 3 4 5 2 5" xfId="32881"/>
    <cellStyle name="Debit subtotal 3 4 5 2 6" xfId="32882"/>
    <cellStyle name="Debit subtotal 3 4 5 2 7" xfId="32883"/>
    <cellStyle name="Debit subtotal 3 4 5 2 8" xfId="32884"/>
    <cellStyle name="Debit subtotal 3 4 5 2 9" xfId="32885"/>
    <cellStyle name="Debit subtotal 3 4 5 3" xfId="32886"/>
    <cellStyle name="Debit subtotal 3 4 5 4" xfId="32887"/>
    <cellStyle name="Debit subtotal 3 4 5 5" xfId="32888"/>
    <cellStyle name="Debit subtotal 3 4 5 6" xfId="32889"/>
    <cellStyle name="Debit subtotal 3 4 5 7" xfId="32890"/>
    <cellStyle name="Debit subtotal 3 4 5 8" xfId="32891"/>
    <cellStyle name="Debit subtotal 3 4 5 9" xfId="32892"/>
    <cellStyle name="Debit subtotal 3 4 6" xfId="32893"/>
    <cellStyle name="Debit subtotal 3 4 6 10" xfId="32894"/>
    <cellStyle name="Debit subtotal 3 4 6 11" xfId="32895"/>
    <cellStyle name="Debit subtotal 3 4 6 12" xfId="32896"/>
    <cellStyle name="Debit subtotal 3 4 6 13" xfId="32897"/>
    <cellStyle name="Debit subtotal 3 4 6 14" xfId="32898"/>
    <cellStyle name="Debit subtotal 3 4 6 15" xfId="32899"/>
    <cellStyle name="Debit subtotal 3 4 6 16" xfId="32900"/>
    <cellStyle name="Debit subtotal 3 4 6 17" xfId="32901"/>
    <cellStyle name="Debit subtotal 3 4 6 18" xfId="32902"/>
    <cellStyle name="Debit subtotal 3 4 6 2" xfId="32903"/>
    <cellStyle name="Debit subtotal 3 4 6 2 2" xfId="32904"/>
    <cellStyle name="Debit subtotal 3 4 6 2 3" xfId="32905"/>
    <cellStyle name="Debit subtotal 3 4 6 2 4" xfId="32906"/>
    <cellStyle name="Debit subtotal 3 4 6 2 5" xfId="32907"/>
    <cellStyle name="Debit subtotal 3 4 6 2 6" xfId="32908"/>
    <cellStyle name="Debit subtotal 3 4 6 2 7" xfId="32909"/>
    <cellStyle name="Debit subtotal 3 4 6 2 8" xfId="32910"/>
    <cellStyle name="Debit subtotal 3 4 6 2 9" xfId="32911"/>
    <cellStyle name="Debit subtotal 3 4 6 3" xfId="32912"/>
    <cellStyle name="Debit subtotal 3 4 6 4" xfId="32913"/>
    <cellStyle name="Debit subtotal 3 4 6 5" xfId="32914"/>
    <cellStyle name="Debit subtotal 3 4 6 6" xfId="32915"/>
    <cellStyle name="Debit subtotal 3 4 6 7" xfId="32916"/>
    <cellStyle name="Debit subtotal 3 4 6 8" xfId="32917"/>
    <cellStyle name="Debit subtotal 3 4 6 9" xfId="32918"/>
    <cellStyle name="Debit subtotal 3 4 7" xfId="32919"/>
    <cellStyle name="Debit subtotal 3 4 7 2" xfId="32920"/>
    <cellStyle name="Debit subtotal 3 4 7 3" xfId="32921"/>
    <cellStyle name="Debit subtotal 3 4 8" xfId="32922"/>
    <cellStyle name="Debit subtotal 3 5" xfId="32923"/>
    <cellStyle name="Debit subtotal 3 5 2" xfId="32924"/>
    <cellStyle name="Debit subtotal 3 5 2 2" xfId="32925"/>
    <cellStyle name="Debit subtotal 3 5 2 2 10" xfId="32926"/>
    <cellStyle name="Debit subtotal 3 5 2 2 11" xfId="32927"/>
    <cellStyle name="Debit subtotal 3 5 2 2 12" xfId="32928"/>
    <cellStyle name="Debit subtotal 3 5 2 2 13" xfId="32929"/>
    <cellStyle name="Debit subtotal 3 5 2 2 14" xfId="32930"/>
    <cellStyle name="Debit subtotal 3 5 2 2 15" xfId="32931"/>
    <cellStyle name="Debit subtotal 3 5 2 2 16" xfId="32932"/>
    <cellStyle name="Debit subtotal 3 5 2 2 17" xfId="32933"/>
    <cellStyle name="Debit subtotal 3 5 2 2 18" xfId="32934"/>
    <cellStyle name="Debit subtotal 3 5 2 2 19" xfId="32935"/>
    <cellStyle name="Debit subtotal 3 5 2 2 2" xfId="32936"/>
    <cellStyle name="Debit subtotal 3 5 2 2 2 2" xfId="32937"/>
    <cellStyle name="Debit subtotal 3 5 2 2 2 3" xfId="32938"/>
    <cellStyle name="Debit subtotal 3 5 2 2 2 4" xfId="32939"/>
    <cellStyle name="Debit subtotal 3 5 2 2 2 5" xfId="32940"/>
    <cellStyle name="Debit subtotal 3 5 2 2 2 6" xfId="32941"/>
    <cellStyle name="Debit subtotal 3 5 2 2 2 7" xfId="32942"/>
    <cellStyle name="Debit subtotal 3 5 2 2 2 8" xfId="32943"/>
    <cellStyle name="Debit subtotal 3 5 2 2 2 9" xfId="32944"/>
    <cellStyle name="Debit subtotal 3 5 2 2 20" xfId="32945"/>
    <cellStyle name="Debit subtotal 3 5 2 2 21" xfId="32946"/>
    <cellStyle name="Debit subtotal 3 5 2 2 3" xfId="32947"/>
    <cellStyle name="Debit subtotal 3 5 2 2 4" xfId="32948"/>
    <cellStyle name="Debit subtotal 3 5 2 2 5" xfId="32949"/>
    <cellStyle name="Debit subtotal 3 5 2 2 6" xfId="32950"/>
    <cellStyle name="Debit subtotal 3 5 2 2 7" xfId="32951"/>
    <cellStyle name="Debit subtotal 3 5 2 2 8" xfId="32952"/>
    <cellStyle name="Debit subtotal 3 5 2 2 9" xfId="32953"/>
    <cellStyle name="Debit subtotal 3 5 2 3" xfId="32954"/>
    <cellStyle name="Debit subtotal 3 5 2 3 10" xfId="32955"/>
    <cellStyle name="Debit subtotal 3 5 2 3 11" xfId="32956"/>
    <cellStyle name="Debit subtotal 3 5 2 3 12" xfId="32957"/>
    <cellStyle name="Debit subtotal 3 5 2 3 13" xfId="32958"/>
    <cellStyle name="Debit subtotal 3 5 2 3 14" xfId="32959"/>
    <cellStyle name="Debit subtotal 3 5 2 3 15" xfId="32960"/>
    <cellStyle name="Debit subtotal 3 5 2 3 16" xfId="32961"/>
    <cellStyle name="Debit subtotal 3 5 2 3 17" xfId="32962"/>
    <cellStyle name="Debit subtotal 3 5 2 3 18" xfId="32963"/>
    <cellStyle name="Debit subtotal 3 5 2 3 19" xfId="32964"/>
    <cellStyle name="Debit subtotal 3 5 2 3 2" xfId="32965"/>
    <cellStyle name="Debit subtotal 3 5 2 3 2 2" xfId="32966"/>
    <cellStyle name="Debit subtotal 3 5 2 3 2 3" xfId="32967"/>
    <cellStyle name="Debit subtotal 3 5 2 3 2 4" xfId="32968"/>
    <cellStyle name="Debit subtotal 3 5 2 3 2 5" xfId="32969"/>
    <cellStyle name="Debit subtotal 3 5 2 3 2 6" xfId="32970"/>
    <cellStyle name="Debit subtotal 3 5 2 3 2 7" xfId="32971"/>
    <cellStyle name="Debit subtotal 3 5 2 3 2 8" xfId="32972"/>
    <cellStyle name="Debit subtotal 3 5 2 3 2 9" xfId="32973"/>
    <cellStyle name="Debit subtotal 3 5 2 3 3" xfId="32974"/>
    <cellStyle name="Debit subtotal 3 5 2 3 4" xfId="32975"/>
    <cellStyle name="Debit subtotal 3 5 2 3 5" xfId="32976"/>
    <cellStyle name="Debit subtotal 3 5 2 3 6" xfId="32977"/>
    <cellStyle name="Debit subtotal 3 5 2 3 7" xfId="32978"/>
    <cellStyle name="Debit subtotal 3 5 2 3 8" xfId="32979"/>
    <cellStyle name="Debit subtotal 3 5 2 3 9" xfId="32980"/>
    <cellStyle name="Debit subtotal 3 5 2 4" xfId="32981"/>
    <cellStyle name="Debit subtotal 3 5 2 4 10" xfId="32982"/>
    <cellStyle name="Debit subtotal 3 5 2 4 11" xfId="32983"/>
    <cellStyle name="Debit subtotal 3 5 2 4 12" xfId="32984"/>
    <cellStyle name="Debit subtotal 3 5 2 4 13" xfId="32985"/>
    <cellStyle name="Debit subtotal 3 5 2 4 14" xfId="32986"/>
    <cellStyle name="Debit subtotal 3 5 2 4 15" xfId="32987"/>
    <cellStyle name="Debit subtotal 3 5 2 4 16" xfId="32988"/>
    <cellStyle name="Debit subtotal 3 5 2 4 17" xfId="32989"/>
    <cellStyle name="Debit subtotal 3 5 2 4 18" xfId="32990"/>
    <cellStyle name="Debit subtotal 3 5 2 4 2" xfId="32991"/>
    <cellStyle name="Debit subtotal 3 5 2 4 2 2" xfId="32992"/>
    <cellStyle name="Debit subtotal 3 5 2 4 2 3" xfId="32993"/>
    <cellStyle name="Debit subtotal 3 5 2 4 2 4" xfId="32994"/>
    <cellStyle name="Debit subtotal 3 5 2 4 2 5" xfId="32995"/>
    <cellStyle name="Debit subtotal 3 5 2 4 2 6" xfId="32996"/>
    <cellStyle name="Debit subtotal 3 5 2 4 2 7" xfId="32997"/>
    <cellStyle name="Debit subtotal 3 5 2 4 2 8" xfId="32998"/>
    <cellStyle name="Debit subtotal 3 5 2 4 2 9" xfId="32999"/>
    <cellStyle name="Debit subtotal 3 5 2 4 3" xfId="33000"/>
    <cellStyle name="Debit subtotal 3 5 2 4 4" xfId="33001"/>
    <cellStyle name="Debit subtotal 3 5 2 4 5" xfId="33002"/>
    <cellStyle name="Debit subtotal 3 5 2 4 6" xfId="33003"/>
    <cellStyle name="Debit subtotal 3 5 2 4 7" xfId="33004"/>
    <cellStyle name="Debit subtotal 3 5 2 4 8" xfId="33005"/>
    <cellStyle name="Debit subtotal 3 5 2 4 9" xfId="33006"/>
    <cellStyle name="Debit subtotal 3 5 2 5" xfId="33007"/>
    <cellStyle name="Debit subtotal 3 5 2 5 2" xfId="33008"/>
    <cellStyle name="Debit subtotal 3 5 2 5 3" xfId="33009"/>
    <cellStyle name="Debit subtotal 3 5 2 6" xfId="33010"/>
    <cellStyle name="Debit subtotal 3 5 3" xfId="33011"/>
    <cellStyle name="Debit subtotal 3 5 3 2" xfId="33012"/>
    <cellStyle name="Debit subtotal 3 5 3 2 10" xfId="33013"/>
    <cellStyle name="Debit subtotal 3 5 3 2 11" xfId="33014"/>
    <cellStyle name="Debit subtotal 3 5 3 2 12" xfId="33015"/>
    <cellStyle name="Debit subtotal 3 5 3 2 13" xfId="33016"/>
    <cellStyle name="Debit subtotal 3 5 3 2 14" xfId="33017"/>
    <cellStyle name="Debit subtotal 3 5 3 2 15" xfId="33018"/>
    <cellStyle name="Debit subtotal 3 5 3 2 16" xfId="33019"/>
    <cellStyle name="Debit subtotal 3 5 3 2 17" xfId="33020"/>
    <cellStyle name="Debit subtotal 3 5 3 2 18" xfId="33021"/>
    <cellStyle name="Debit subtotal 3 5 3 2 19" xfId="33022"/>
    <cellStyle name="Debit subtotal 3 5 3 2 2" xfId="33023"/>
    <cellStyle name="Debit subtotal 3 5 3 2 2 2" xfId="33024"/>
    <cellStyle name="Debit subtotal 3 5 3 2 2 3" xfId="33025"/>
    <cellStyle name="Debit subtotal 3 5 3 2 2 4" xfId="33026"/>
    <cellStyle name="Debit subtotal 3 5 3 2 2 5" xfId="33027"/>
    <cellStyle name="Debit subtotal 3 5 3 2 2 6" xfId="33028"/>
    <cellStyle name="Debit subtotal 3 5 3 2 2 7" xfId="33029"/>
    <cellStyle name="Debit subtotal 3 5 3 2 2 8" xfId="33030"/>
    <cellStyle name="Debit subtotal 3 5 3 2 2 9" xfId="33031"/>
    <cellStyle name="Debit subtotal 3 5 3 2 20" xfId="33032"/>
    <cellStyle name="Debit subtotal 3 5 3 2 21" xfId="33033"/>
    <cellStyle name="Debit subtotal 3 5 3 2 3" xfId="33034"/>
    <cellStyle name="Debit subtotal 3 5 3 2 4" xfId="33035"/>
    <cellStyle name="Debit subtotal 3 5 3 2 5" xfId="33036"/>
    <cellStyle name="Debit subtotal 3 5 3 2 6" xfId="33037"/>
    <cellStyle name="Debit subtotal 3 5 3 2 7" xfId="33038"/>
    <cellStyle name="Debit subtotal 3 5 3 2 8" xfId="33039"/>
    <cellStyle name="Debit subtotal 3 5 3 2 9" xfId="33040"/>
    <cellStyle name="Debit subtotal 3 5 3 3" xfId="33041"/>
    <cellStyle name="Debit subtotal 3 5 3 3 10" xfId="33042"/>
    <cellStyle name="Debit subtotal 3 5 3 3 11" xfId="33043"/>
    <cellStyle name="Debit subtotal 3 5 3 3 12" xfId="33044"/>
    <cellStyle name="Debit subtotal 3 5 3 3 13" xfId="33045"/>
    <cellStyle name="Debit subtotal 3 5 3 3 14" xfId="33046"/>
    <cellStyle name="Debit subtotal 3 5 3 3 15" xfId="33047"/>
    <cellStyle name="Debit subtotal 3 5 3 3 16" xfId="33048"/>
    <cellStyle name="Debit subtotal 3 5 3 3 17" xfId="33049"/>
    <cellStyle name="Debit subtotal 3 5 3 3 18" xfId="33050"/>
    <cellStyle name="Debit subtotal 3 5 3 3 19" xfId="33051"/>
    <cellStyle name="Debit subtotal 3 5 3 3 2" xfId="33052"/>
    <cellStyle name="Debit subtotal 3 5 3 3 2 2" xfId="33053"/>
    <cellStyle name="Debit subtotal 3 5 3 3 2 3" xfId="33054"/>
    <cellStyle name="Debit subtotal 3 5 3 3 2 4" xfId="33055"/>
    <cellStyle name="Debit subtotal 3 5 3 3 2 5" xfId="33056"/>
    <cellStyle name="Debit subtotal 3 5 3 3 2 6" xfId="33057"/>
    <cellStyle name="Debit subtotal 3 5 3 3 2 7" xfId="33058"/>
    <cellStyle name="Debit subtotal 3 5 3 3 2 8" xfId="33059"/>
    <cellStyle name="Debit subtotal 3 5 3 3 2 9" xfId="33060"/>
    <cellStyle name="Debit subtotal 3 5 3 3 3" xfId="33061"/>
    <cellStyle name="Debit subtotal 3 5 3 3 4" xfId="33062"/>
    <cellStyle name="Debit subtotal 3 5 3 3 5" xfId="33063"/>
    <cellStyle name="Debit subtotal 3 5 3 3 6" xfId="33064"/>
    <cellStyle name="Debit subtotal 3 5 3 3 7" xfId="33065"/>
    <cellStyle name="Debit subtotal 3 5 3 3 8" xfId="33066"/>
    <cellStyle name="Debit subtotal 3 5 3 3 9" xfId="33067"/>
    <cellStyle name="Debit subtotal 3 5 3 4" xfId="33068"/>
    <cellStyle name="Debit subtotal 3 5 3 4 10" xfId="33069"/>
    <cellStyle name="Debit subtotal 3 5 3 4 11" xfId="33070"/>
    <cellStyle name="Debit subtotal 3 5 3 4 12" xfId="33071"/>
    <cellStyle name="Debit subtotal 3 5 3 4 13" xfId="33072"/>
    <cellStyle name="Debit subtotal 3 5 3 4 14" xfId="33073"/>
    <cellStyle name="Debit subtotal 3 5 3 4 15" xfId="33074"/>
    <cellStyle name="Debit subtotal 3 5 3 4 16" xfId="33075"/>
    <cellStyle name="Debit subtotal 3 5 3 4 17" xfId="33076"/>
    <cellStyle name="Debit subtotal 3 5 3 4 18" xfId="33077"/>
    <cellStyle name="Debit subtotal 3 5 3 4 2" xfId="33078"/>
    <cellStyle name="Debit subtotal 3 5 3 4 2 2" xfId="33079"/>
    <cellStyle name="Debit subtotal 3 5 3 4 2 3" xfId="33080"/>
    <cellStyle name="Debit subtotal 3 5 3 4 2 4" xfId="33081"/>
    <cellStyle name="Debit subtotal 3 5 3 4 2 5" xfId="33082"/>
    <cellStyle name="Debit subtotal 3 5 3 4 2 6" xfId="33083"/>
    <cellStyle name="Debit subtotal 3 5 3 4 2 7" xfId="33084"/>
    <cellStyle name="Debit subtotal 3 5 3 4 2 8" xfId="33085"/>
    <cellStyle name="Debit subtotal 3 5 3 4 2 9" xfId="33086"/>
    <cellStyle name="Debit subtotal 3 5 3 4 3" xfId="33087"/>
    <cellStyle name="Debit subtotal 3 5 3 4 4" xfId="33088"/>
    <cellStyle name="Debit subtotal 3 5 3 4 5" xfId="33089"/>
    <cellStyle name="Debit subtotal 3 5 3 4 6" xfId="33090"/>
    <cellStyle name="Debit subtotal 3 5 3 4 7" xfId="33091"/>
    <cellStyle name="Debit subtotal 3 5 3 4 8" xfId="33092"/>
    <cellStyle name="Debit subtotal 3 5 3 4 9" xfId="33093"/>
    <cellStyle name="Debit subtotal 3 5 3 5" xfId="33094"/>
    <cellStyle name="Debit subtotal 3 5 3 5 2" xfId="33095"/>
    <cellStyle name="Debit subtotal 3 5 3 5 3" xfId="33096"/>
    <cellStyle name="Debit subtotal 3 5 3 6" xfId="33097"/>
    <cellStyle name="Debit subtotal 3 5 4" xfId="33098"/>
    <cellStyle name="Debit subtotal 3 5 4 10" xfId="33099"/>
    <cellStyle name="Debit subtotal 3 5 4 11" xfId="33100"/>
    <cellStyle name="Debit subtotal 3 5 4 12" xfId="33101"/>
    <cellStyle name="Debit subtotal 3 5 4 13" xfId="33102"/>
    <cellStyle name="Debit subtotal 3 5 4 14" xfId="33103"/>
    <cellStyle name="Debit subtotal 3 5 4 15" xfId="33104"/>
    <cellStyle name="Debit subtotal 3 5 4 16" xfId="33105"/>
    <cellStyle name="Debit subtotal 3 5 4 17" xfId="33106"/>
    <cellStyle name="Debit subtotal 3 5 4 18" xfId="33107"/>
    <cellStyle name="Debit subtotal 3 5 4 19" xfId="33108"/>
    <cellStyle name="Debit subtotal 3 5 4 2" xfId="33109"/>
    <cellStyle name="Debit subtotal 3 5 4 2 2" xfId="33110"/>
    <cellStyle name="Debit subtotal 3 5 4 2 3" xfId="33111"/>
    <cellStyle name="Debit subtotal 3 5 4 2 4" xfId="33112"/>
    <cellStyle name="Debit subtotal 3 5 4 2 5" xfId="33113"/>
    <cellStyle name="Debit subtotal 3 5 4 2 6" xfId="33114"/>
    <cellStyle name="Debit subtotal 3 5 4 2 7" xfId="33115"/>
    <cellStyle name="Debit subtotal 3 5 4 2 8" xfId="33116"/>
    <cellStyle name="Debit subtotal 3 5 4 2 9" xfId="33117"/>
    <cellStyle name="Debit subtotal 3 5 4 20" xfId="33118"/>
    <cellStyle name="Debit subtotal 3 5 4 21" xfId="33119"/>
    <cellStyle name="Debit subtotal 3 5 4 3" xfId="33120"/>
    <cellStyle name="Debit subtotal 3 5 4 4" xfId="33121"/>
    <cellStyle name="Debit subtotal 3 5 4 5" xfId="33122"/>
    <cellStyle name="Debit subtotal 3 5 4 6" xfId="33123"/>
    <cellStyle name="Debit subtotal 3 5 4 7" xfId="33124"/>
    <cellStyle name="Debit subtotal 3 5 4 8" xfId="33125"/>
    <cellStyle name="Debit subtotal 3 5 4 9" xfId="33126"/>
    <cellStyle name="Debit subtotal 3 5 5" xfId="33127"/>
    <cellStyle name="Debit subtotal 3 5 5 10" xfId="33128"/>
    <cellStyle name="Debit subtotal 3 5 5 11" xfId="33129"/>
    <cellStyle name="Debit subtotal 3 5 5 12" xfId="33130"/>
    <cellStyle name="Debit subtotal 3 5 5 13" xfId="33131"/>
    <cellStyle name="Debit subtotal 3 5 5 14" xfId="33132"/>
    <cellStyle name="Debit subtotal 3 5 5 15" xfId="33133"/>
    <cellStyle name="Debit subtotal 3 5 5 16" xfId="33134"/>
    <cellStyle name="Debit subtotal 3 5 5 17" xfId="33135"/>
    <cellStyle name="Debit subtotal 3 5 5 18" xfId="33136"/>
    <cellStyle name="Debit subtotal 3 5 5 19" xfId="33137"/>
    <cellStyle name="Debit subtotal 3 5 5 2" xfId="33138"/>
    <cellStyle name="Debit subtotal 3 5 5 2 2" xfId="33139"/>
    <cellStyle name="Debit subtotal 3 5 5 2 3" xfId="33140"/>
    <cellStyle name="Debit subtotal 3 5 5 2 4" xfId="33141"/>
    <cellStyle name="Debit subtotal 3 5 5 2 5" xfId="33142"/>
    <cellStyle name="Debit subtotal 3 5 5 2 6" xfId="33143"/>
    <cellStyle name="Debit subtotal 3 5 5 2 7" xfId="33144"/>
    <cellStyle name="Debit subtotal 3 5 5 2 8" xfId="33145"/>
    <cellStyle name="Debit subtotal 3 5 5 2 9" xfId="33146"/>
    <cellStyle name="Debit subtotal 3 5 5 3" xfId="33147"/>
    <cellStyle name="Debit subtotal 3 5 5 4" xfId="33148"/>
    <cellStyle name="Debit subtotal 3 5 5 5" xfId="33149"/>
    <cellStyle name="Debit subtotal 3 5 5 6" xfId="33150"/>
    <cellStyle name="Debit subtotal 3 5 5 7" xfId="33151"/>
    <cellStyle name="Debit subtotal 3 5 5 8" xfId="33152"/>
    <cellStyle name="Debit subtotal 3 5 5 9" xfId="33153"/>
    <cellStyle name="Debit subtotal 3 5 6" xfId="33154"/>
    <cellStyle name="Debit subtotal 3 5 6 10" xfId="33155"/>
    <cellStyle name="Debit subtotal 3 5 6 11" xfId="33156"/>
    <cellStyle name="Debit subtotal 3 5 6 12" xfId="33157"/>
    <cellStyle name="Debit subtotal 3 5 6 13" xfId="33158"/>
    <cellStyle name="Debit subtotal 3 5 6 14" xfId="33159"/>
    <cellStyle name="Debit subtotal 3 5 6 15" xfId="33160"/>
    <cellStyle name="Debit subtotal 3 5 6 16" xfId="33161"/>
    <cellStyle name="Debit subtotal 3 5 6 17" xfId="33162"/>
    <cellStyle name="Debit subtotal 3 5 6 18" xfId="33163"/>
    <cellStyle name="Debit subtotal 3 5 6 2" xfId="33164"/>
    <cellStyle name="Debit subtotal 3 5 6 2 2" xfId="33165"/>
    <cellStyle name="Debit subtotal 3 5 6 2 3" xfId="33166"/>
    <cellStyle name="Debit subtotal 3 5 6 2 4" xfId="33167"/>
    <cellStyle name="Debit subtotal 3 5 6 2 5" xfId="33168"/>
    <cellStyle name="Debit subtotal 3 5 6 2 6" xfId="33169"/>
    <cellStyle name="Debit subtotal 3 5 6 2 7" xfId="33170"/>
    <cellStyle name="Debit subtotal 3 5 6 2 8" xfId="33171"/>
    <cellStyle name="Debit subtotal 3 5 6 2 9" xfId="33172"/>
    <cellStyle name="Debit subtotal 3 5 6 3" xfId="33173"/>
    <cellStyle name="Debit subtotal 3 5 6 4" xfId="33174"/>
    <cellStyle name="Debit subtotal 3 5 6 5" xfId="33175"/>
    <cellStyle name="Debit subtotal 3 5 6 6" xfId="33176"/>
    <cellStyle name="Debit subtotal 3 5 6 7" xfId="33177"/>
    <cellStyle name="Debit subtotal 3 5 6 8" xfId="33178"/>
    <cellStyle name="Debit subtotal 3 5 6 9" xfId="33179"/>
    <cellStyle name="Debit subtotal 3 5 7" xfId="33180"/>
    <cellStyle name="Debit subtotal 3 5 7 2" xfId="33181"/>
    <cellStyle name="Debit subtotal 3 5 7 3" xfId="33182"/>
    <cellStyle name="Debit subtotal 3 5 8" xfId="33183"/>
    <cellStyle name="Debit subtotal 3 6" xfId="33184"/>
    <cellStyle name="Debit subtotal 3 6 2" xfId="33185"/>
    <cellStyle name="Debit subtotal 3 6 2 2" xfId="33186"/>
    <cellStyle name="Debit subtotal 3 6 2 2 10" xfId="33187"/>
    <cellStyle name="Debit subtotal 3 6 2 2 11" xfId="33188"/>
    <cellStyle name="Debit subtotal 3 6 2 2 12" xfId="33189"/>
    <cellStyle name="Debit subtotal 3 6 2 2 13" xfId="33190"/>
    <cellStyle name="Debit subtotal 3 6 2 2 14" xfId="33191"/>
    <cellStyle name="Debit subtotal 3 6 2 2 15" xfId="33192"/>
    <cellStyle name="Debit subtotal 3 6 2 2 16" xfId="33193"/>
    <cellStyle name="Debit subtotal 3 6 2 2 17" xfId="33194"/>
    <cellStyle name="Debit subtotal 3 6 2 2 18" xfId="33195"/>
    <cellStyle name="Debit subtotal 3 6 2 2 19" xfId="33196"/>
    <cellStyle name="Debit subtotal 3 6 2 2 2" xfId="33197"/>
    <cellStyle name="Debit subtotal 3 6 2 2 2 2" xfId="33198"/>
    <cellStyle name="Debit subtotal 3 6 2 2 2 3" xfId="33199"/>
    <cellStyle name="Debit subtotal 3 6 2 2 2 4" xfId="33200"/>
    <cellStyle name="Debit subtotal 3 6 2 2 2 5" xfId="33201"/>
    <cellStyle name="Debit subtotal 3 6 2 2 2 6" xfId="33202"/>
    <cellStyle name="Debit subtotal 3 6 2 2 2 7" xfId="33203"/>
    <cellStyle name="Debit subtotal 3 6 2 2 2 8" xfId="33204"/>
    <cellStyle name="Debit subtotal 3 6 2 2 2 9" xfId="33205"/>
    <cellStyle name="Debit subtotal 3 6 2 2 20" xfId="33206"/>
    <cellStyle name="Debit subtotal 3 6 2 2 21" xfId="33207"/>
    <cellStyle name="Debit subtotal 3 6 2 2 3" xfId="33208"/>
    <cellStyle name="Debit subtotal 3 6 2 2 4" xfId="33209"/>
    <cellStyle name="Debit subtotal 3 6 2 2 5" xfId="33210"/>
    <cellStyle name="Debit subtotal 3 6 2 2 6" xfId="33211"/>
    <cellStyle name="Debit subtotal 3 6 2 2 7" xfId="33212"/>
    <cellStyle name="Debit subtotal 3 6 2 2 8" xfId="33213"/>
    <cellStyle name="Debit subtotal 3 6 2 2 9" xfId="33214"/>
    <cellStyle name="Debit subtotal 3 6 2 3" xfId="33215"/>
    <cellStyle name="Debit subtotal 3 6 2 3 10" xfId="33216"/>
    <cellStyle name="Debit subtotal 3 6 2 3 11" xfId="33217"/>
    <cellStyle name="Debit subtotal 3 6 2 3 12" xfId="33218"/>
    <cellStyle name="Debit subtotal 3 6 2 3 13" xfId="33219"/>
    <cellStyle name="Debit subtotal 3 6 2 3 14" xfId="33220"/>
    <cellStyle name="Debit subtotal 3 6 2 3 15" xfId="33221"/>
    <cellStyle name="Debit subtotal 3 6 2 3 16" xfId="33222"/>
    <cellStyle name="Debit subtotal 3 6 2 3 17" xfId="33223"/>
    <cellStyle name="Debit subtotal 3 6 2 3 18" xfId="33224"/>
    <cellStyle name="Debit subtotal 3 6 2 3 19" xfId="33225"/>
    <cellStyle name="Debit subtotal 3 6 2 3 2" xfId="33226"/>
    <cellStyle name="Debit subtotal 3 6 2 3 2 2" xfId="33227"/>
    <cellStyle name="Debit subtotal 3 6 2 3 2 3" xfId="33228"/>
    <cellStyle name="Debit subtotal 3 6 2 3 2 4" xfId="33229"/>
    <cellStyle name="Debit subtotal 3 6 2 3 2 5" xfId="33230"/>
    <cellStyle name="Debit subtotal 3 6 2 3 2 6" xfId="33231"/>
    <cellStyle name="Debit subtotal 3 6 2 3 2 7" xfId="33232"/>
    <cellStyle name="Debit subtotal 3 6 2 3 2 8" xfId="33233"/>
    <cellStyle name="Debit subtotal 3 6 2 3 2 9" xfId="33234"/>
    <cellStyle name="Debit subtotal 3 6 2 3 3" xfId="33235"/>
    <cellStyle name="Debit subtotal 3 6 2 3 4" xfId="33236"/>
    <cellStyle name="Debit subtotal 3 6 2 3 5" xfId="33237"/>
    <cellStyle name="Debit subtotal 3 6 2 3 6" xfId="33238"/>
    <cellStyle name="Debit subtotal 3 6 2 3 7" xfId="33239"/>
    <cellStyle name="Debit subtotal 3 6 2 3 8" xfId="33240"/>
    <cellStyle name="Debit subtotal 3 6 2 3 9" xfId="33241"/>
    <cellStyle name="Debit subtotal 3 6 2 4" xfId="33242"/>
    <cellStyle name="Debit subtotal 3 6 2 4 10" xfId="33243"/>
    <cellStyle name="Debit subtotal 3 6 2 4 11" xfId="33244"/>
    <cellStyle name="Debit subtotal 3 6 2 4 12" xfId="33245"/>
    <cellStyle name="Debit subtotal 3 6 2 4 13" xfId="33246"/>
    <cellStyle name="Debit subtotal 3 6 2 4 14" xfId="33247"/>
    <cellStyle name="Debit subtotal 3 6 2 4 15" xfId="33248"/>
    <cellStyle name="Debit subtotal 3 6 2 4 16" xfId="33249"/>
    <cellStyle name="Debit subtotal 3 6 2 4 17" xfId="33250"/>
    <cellStyle name="Debit subtotal 3 6 2 4 18" xfId="33251"/>
    <cellStyle name="Debit subtotal 3 6 2 4 2" xfId="33252"/>
    <cellStyle name="Debit subtotal 3 6 2 4 2 2" xfId="33253"/>
    <cellStyle name="Debit subtotal 3 6 2 4 2 3" xfId="33254"/>
    <cellStyle name="Debit subtotal 3 6 2 4 2 4" xfId="33255"/>
    <cellStyle name="Debit subtotal 3 6 2 4 2 5" xfId="33256"/>
    <cellStyle name="Debit subtotal 3 6 2 4 2 6" xfId="33257"/>
    <cellStyle name="Debit subtotal 3 6 2 4 2 7" xfId="33258"/>
    <cellStyle name="Debit subtotal 3 6 2 4 2 8" xfId="33259"/>
    <cellStyle name="Debit subtotal 3 6 2 4 2 9" xfId="33260"/>
    <cellStyle name="Debit subtotal 3 6 2 4 3" xfId="33261"/>
    <cellStyle name="Debit subtotal 3 6 2 4 4" xfId="33262"/>
    <cellStyle name="Debit subtotal 3 6 2 4 5" xfId="33263"/>
    <cellStyle name="Debit subtotal 3 6 2 4 6" xfId="33264"/>
    <cellStyle name="Debit subtotal 3 6 2 4 7" xfId="33265"/>
    <cellStyle name="Debit subtotal 3 6 2 4 8" xfId="33266"/>
    <cellStyle name="Debit subtotal 3 6 2 4 9" xfId="33267"/>
    <cellStyle name="Debit subtotal 3 6 2 5" xfId="33268"/>
    <cellStyle name="Debit subtotal 3 6 2 5 2" xfId="33269"/>
    <cellStyle name="Debit subtotal 3 6 2 5 3" xfId="33270"/>
    <cellStyle name="Debit subtotal 3 6 2 6" xfId="33271"/>
    <cellStyle name="Debit subtotal 3 6 3" xfId="33272"/>
    <cellStyle name="Debit subtotal 3 6 3 2" xfId="33273"/>
    <cellStyle name="Debit subtotal 3 6 3 2 10" xfId="33274"/>
    <cellStyle name="Debit subtotal 3 6 3 2 11" xfId="33275"/>
    <cellStyle name="Debit subtotal 3 6 3 2 12" xfId="33276"/>
    <cellStyle name="Debit subtotal 3 6 3 2 13" xfId="33277"/>
    <cellStyle name="Debit subtotal 3 6 3 2 14" xfId="33278"/>
    <cellStyle name="Debit subtotal 3 6 3 2 15" xfId="33279"/>
    <cellStyle name="Debit subtotal 3 6 3 2 16" xfId="33280"/>
    <cellStyle name="Debit subtotal 3 6 3 2 17" xfId="33281"/>
    <cellStyle name="Debit subtotal 3 6 3 2 18" xfId="33282"/>
    <cellStyle name="Debit subtotal 3 6 3 2 19" xfId="33283"/>
    <cellStyle name="Debit subtotal 3 6 3 2 2" xfId="33284"/>
    <cellStyle name="Debit subtotal 3 6 3 2 2 2" xfId="33285"/>
    <cellStyle name="Debit subtotal 3 6 3 2 2 3" xfId="33286"/>
    <cellStyle name="Debit subtotal 3 6 3 2 2 4" xfId="33287"/>
    <cellStyle name="Debit subtotal 3 6 3 2 2 5" xfId="33288"/>
    <cellStyle name="Debit subtotal 3 6 3 2 2 6" xfId="33289"/>
    <cellStyle name="Debit subtotal 3 6 3 2 2 7" xfId="33290"/>
    <cellStyle name="Debit subtotal 3 6 3 2 2 8" xfId="33291"/>
    <cellStyle name="Debit subtotal 3 6 3 2 2 9" xfId="33292"/>
    <cellStyle name="Debit subtotal 3 6 3 2 20" xfId="33293"/>
    <cellStyle name="Debit subtotal 3 6 3 2 21" xfId="33294"/>
    <cellStyle name="Debit subtotal 3 6 3 2 3" xfId="33295"/>
    <cellStyle name="Debit subtotal 3 6 3 2 4" xfId="33296"/>
    <cellStyle name="Debit subtotal 3 6 3 2 5" xfId="33297"/>
    <cellStyle name="Debit subtotal 3 6 3 2 6" xfId="33298"/>
    <cellStyle name="Debit subtotal 3 6 3 2 7" xfId="33299"/>
    <cellStyle name="Debit subtotal 3 6 3 2 8" xfId="33300"/>
    <cellStyle name="Debit subtotal 3 6 3 2 9" xfId="33301"/>
    <cellStyle name="Debit subtotal 3 6 3 3" xfId="33302"/>
    <cellStyle name="Debit subtotal 3 6 3 3 10" xfId="33303"/>
    <cellStyle name="Debit subtotal 3 6 3 3 11" xfId="33304"/>
    <cellStyle name="Debit subtotal 3 6 3 3 12" xfId="33305"/>
    <cellStyle name="Debit subtotal 3 6 3 3 13" xfId="33306"/>
    <cellStyle name="Debit subtotal 3 6 3 3 14" xfId="33307"/>
    <cellStyle name="Debit subtotal 3 6 3 3 15" xfId="33308"/>
    <cellStyle name="Debit subtotal 3 6 3 3 16" xfId="33309"/>
    <cellStyle name="Debit subtotal 3 6 3 3 17" xfId="33310"/>
    <cellStyle name="Debit subtotal 3 6 3 3 18" xfId="33311"/>
    <cellStyle name="Debit subtotal 3 6 3 3 19" xfId="33312"/>
    <cellStyle name="Debit subtotal 3 6 3 3 2" xfId="33313"/>
    <cellStyle name="Debit subtotal 3 6 3 3 2 2" xfId="33314"/>
    <cellStyle name="Debit subtotal 3 6 3 3 2 3" xfId="33315"/>
    <cellStyle name="Debit subtotal 3 6 3 3 2 4" xfId="33316"/>
    <cellStyle name="Debit subtotal 3 6 3 3 2 5" xfId="33317"/>
    <cellStyle name="Debit subtotal 3 6 3 3 2 6" xfId="33318"/>
    <cellStyle name="Debit subtotal 3 6 3 3 2 7" xfId="33319"/>
    <cellStyle name="Debit subtotal 3 6 3 3 2 8" xfId="33320"/>
    <cellStyle name="Debit subtotal 3 6 3 3 2 9" xfId="33321"/>
    <cellStyle name="Debit subtotal 3 6 3 3 3" xfId="33322"/>
    <cellStyle name="Debit subtotal 3 6 3 3 4" xfId="33323"/>
    <cellStyle name="Debit subtotal 3 6 3 3 5" xfId="33324"/>
    <cellStyle name="Debit subtotal 3 6 3 3 6" xfId="33325"/>
    <cellStyle name="Debit subtotal 3 6 3 3 7" xfId="33326"/>
    <cellStyle name="Debit subtotal 3 6 3 3 8" xfId="33327"/>
    <cellStyle name="Debit subtotal 3 6 3 3 9" xfId="33328"/>
    <cellStyle name="Debit subtotal 3 6 3 4" xfId="33329"/>
    <cellStyle name="Debit subtotal 3 6 3 4 10" xfId="33330"/>
    <cellStyle name="Debit subtotal 3 6 3 4 11" xfId="33331"/>
    <cellStyle name="Debit subtotal 3 6 3 4 12" xfId="33332"/>
    <cellStyle name="Debit subtotal 3 6 3 4 13" xfId="33333"/>
    <cellStyle name="Debit subtotal 3 6 3 4 14" xfId="33334"/>
    <cellStyle name="Debit subtotal 3 6 3 4 15" xfId="33335"/>
    <cellStyle name="Debit subtotal 3 6 3 4 16" xfId="33336"/>
    <cellStyle name="Debit subtotal 3 6 3 4 17" xfId="33337"/>
    <cellStyle name="Debit subtotal 3 6 3 4 18" xfId="33338"/>
    <cellStyle name="Debit subtotal 3 6 3 4 2" xfId="33339"/>
    <cellStyle name="Debit subtotal 3 6 3 4 2 2" xfId="33340"/>
    <cellStyle name="Debit subtotal 3 6 3 4 2 3" xfId="33341"/>
    <cellStyle name="Debit subtotal 3 6 3 4 2 4" xfId="33342"/>
    <cellStyle name="Debit subtotal 3 6 3 4 2 5" xfId="33343"/>
    <cellStyle name="Debit subtotal 3 6 3 4 2 6" xfId="33344"/>
    <cellStyle name="Debit subtotal 3 6 3 4 2 7" xfId="33345"/>
    <cellStyle name="Debit subtotal 3 6 3 4 2 8" xfId="33346"/>
    <cellStyle name="Debit subtotal 3 6 3 4 2 9" xfId="33347"/>
    <cellStyle name="Debit subtotal 3 6 3 4 3" xfId="33348"/>
    <cellStyle name="Debit subtotal 3 6 3 4 4" xfId="33349"/>
    <cellStyle name="Debit subtotal 3 6 3 4 5" xfId="33350"/>
    <cellStyle name="Debit subtotal 3 6 3 4 6" xfId="33351"/>
    <cellStyle name="Debit subtotal 3 6 3 4 7" xfId="33352"/>
    <cellStyle name="Debit subtotal 3 6 3 4 8" xfId="33353"/>
    <cellStyle name="Debit subtotal 3 6 3 4 9" xfId="33354"/>
    <cellStyle name="Debit subtotal 3 6 3 5" xfId="33355"/>
    <cellStyle name="Debit subtotal 3 6 3 5 2" xfId="33356"/>
    <cellStyle name="Debit subtotal 3 6 3 5 3" xfId="33357"/>
    <cellStyle name="Debit subtotal 3 6 3 6" xfId="33358"/>
    <cellStyle name="Debit subtotal 3 6 4" xfId="33359"/>
    <cellStyle name="Debit subtotal 3 6 4 10" xfId="33360"/>
    <cellStyle name="Debit subtotal 3 6 4 11" xfId="33361"/>
    <cellStyle name="Debit subtotal 3 6 4 12" xfId="33362"/>
    <cellStyle name="Debit subtotal 3 6 4 13" xfId="33363"/>
    <cellStyle name="Debit subtotal 3 6 4 14" xfId="33364"/>
    <cellStyle name="Debit subtotal 3 6 4 15" xfId="33365"/>
    <cellStyle name="Debit subtotal 3 6 4 16" xfId="33366"/>
    <cellStyle name="Debit subtotal 3 6 4 17" xfId="33367"/>
    <cellStyle name="Debit subtotal 3 6 4 18" xfId="33368"/>
    <cellStyle name="Debit subtotal 3 6 4 19" xfId="33369"/>
    <cellStyle name="Debit subtotal 3 6 4 2" xfId="33370"/>
    <cellStyle name="Debit subtotal 3 6 4 2 2" xfId="33371"/>
    <cellStyle name="Debit subtotal 3 6 4 2 3" xfId="33372"/>
    <cellStyle name="Debit subtotal 3 6 4 2 4" xfId="33373"/>
    <cellStyle name="Debit subtotal 3 6 4 2 5" xfId="33374"/>
    <cellStyle name="Debit subtotal 3 6 4 2 6" xfId="33375"/>
    <cellStyle name="Debit subtotal 3 6 4 2 7" xfId="33376"/>
    <cellStyle name="Debit subtotal 3 6 4 2 8" xfId="33377"/>
    <cellStyle name="Debit subtotal 3 6 4 2 9" xfId="33378"/>
    <cellStyle name="Debit subtotal 3 6 4 20" xfId="33379"/>
    <cellStyle name="Debit subtotal 3 6 4 21" xfId="33380"/>
    <cellStyle name="Debit subtotal 3 6 4 3" xfId="33381"/>
    <cellStyle name="Debit subtotal 3 6 4 4" xfId="33382"/>
    <cellStyle name="Debit subtotal 3 6 4 5" xfId="33383"/>
    <cellStyle name="Debit subtotal 3 6 4 6" xfId="33384"/>
    <cellStyle name="Debit subtotal 3 6 4 7" xfId="33385"/>
    <cellStyle name="Debit subtotal 3 6 4 8" xfId="33386"/>
    <cellStyle name="Debit subtotal 3 6 4 9" xfId="33387"/>
    <cellStyle name="Debit subtotal 3 6 5" xfId="33388"/>
    <cellStyle name="Debit subtotal 3 6 5 10" xfId="33389"/>
    <cellStyle name="Debit subtotal 3 6 5 11" xfId="33390"/>
    <cellStyle name="Debit subtotal 3 6 5 12" xfId="33391"/>
    <cellStyle name="Debit subtotal 3 6 5 13" xfId="33392"/>
    <cellStyle name="Debit subtotal 3 6 5 14" xfId="33393"/>
    <cellStyle name="Debit subtotal 3 6 5 15" xfId="33394"/>
    <cellStyle name="Debit subtotal 3 6 5 16" xfId="33395"/>
    <cellStyle name="Debit subtotal 3 6 5 17" xfId="33396"/>
    <cellStyle name="Debit subtotal 3 6 5 18" xfId="33397"/>
    <cellStyle name="Debit subtotal 3 6 5 19" xfId="33398"/>
    <cellStyle name="Debit subtotal 3 6 5 2" xfId="33399"/>
    <cellStyle name="Debit subtotal 3 6 5 2 2" xfId="33400"/>
    <cellStyle name="Debit subtotal 3 6 5 2 3" xfId="33401"/>
    <cellStyle name="Debit subtotal 3 6 5 2 4" xfId="33402"/>
    <cellStyle name="Debit subtotal 3 6 5 2 5" xfId="33403"/>
    <cellStyle name="Debit subtotal 3 6 5 2 6" xfId="33404"/>
    <cellStyle name="Debit subtotal 3 6 5 2 7" xfId="33405"/>
    <cellStyle name="Debit subtotal 3 6 5 2 8" xfId="33406"/>
    <cellStyle name="Debit subtotal 3 6 5 2 9" xfId="33407"/>
    <cellStyle name="Debit subtotal 3 6 5 3" xfId="33408"/>
    <cellStyle name="Debit subtotal 3 6 5 4" xfId="33409"/>
    <cellStyle name="Debit subtotal 3 6 5 5" xfId="33410"/>
    <cellStyle name="Debit subtotal 3 6 5 6" xfId="33411"/>
    <cellStyle name="Debit subtotal 3 6 5 7" xfId="33412"/>
    <cellStyle name="Debit subtotal 3 6 5 8" xfId="33413"/>
    <cellStyle name="Debit subtotal 3 6 5 9" xfId="33414"/>
    <cellStyle name="Debit subtotal 3 6 6" xfId="33415"/>
    <cellStyle name="Debit subtotal 3 6 6 10" xfId="33416"/>
    <cellStyle name="Debit subtotal 3 6 6 11" xfId="33417"/>
    <cellStyle name="Debit subtotal 3 6 6 12" xfId="33418"/>
    <cellStyle name="Debit subtotal 3 6 6 13" xfId="33419"/>
    <cellStyle name="Debit subtotal 3 6 6 14" xfId="33420"/>
    <cellStyle name="Debit subtotal 3 6 6 15" xfId="33421"/>
    <cellStyle name="Debit subtotal 3 6 6 16" xfId="33422"/>
    <cellStyle name="Debit subtotal 3 6 6 17" xfId="33423"/>
    <cellStyle name="Debit subtotal 3 6 6 18" xfId="33424"/>
    <cellStyle name="Debit subtotal 3 6 6 2" xfId="33425"/>
    <cellStyle name="Debit subtotal 3 6 6 2 2" xfId="33426"/>
    <cellStyle name="Debit subtotal 3 6 6 2 3" xfId="33427"/>
    <cellStyle name="Debit subtotal 3 6 6 2 4" xfId="33428"/>
    <cellStyle name="Debit subtotal 3 6 6 2 5" xfId="33429"/>
    <cellStyle name="Debit subtotal 3 6 6 2 6" xfId="33430"/>
    <cellStyle name="Debit subtotal 3 6 6 2 7" xfId="33431"/>
    <cellStyle name="Debit subtotal 3 6 6 2 8" xfId="33432"/>
    <cellStyle name="Debit subtotal 3 6 6 2 9" xfId="33433"/>
    <cellStyle name="Debit subtotal 3 6 6 3" xfId="33434"/>
    <cellStyle name="Debit subtotal 3 6 6 4" xfId="33435"/>
    <cellStyle name="Debit subtotal 3 6 6 5" xfId="33436"/>
    <cellStyle name="Debit subtotal 3 6 6 6" xfId="33437"/>
    <cellStyle name="Debit subtotal 3 6 6 7" xfId="33438"/>
    <cellStyle name="Debit subtotal 3 6 6 8" xfId="33439"/>
    <cellStyle name="Debit subtotal 3 6 6 9" xfId="33440"/>
    <cellStyle name="Debit subtotal 3 6 7" xfId="33441"/>
    <cellStyle name="Debit subtotal 3 6 7 2" xfId="33442"/>
    <cellStyle name="Debit subtotal 3 6 7 3" xfId="33443"/>
    <cellStyle name="Debit subtotal 3 6 8" xfId="33444"/>
    <cellStyle name="Debit subtotal 3 7" xfId="33445"/>
    <cellStyle name="Debit subtotal 3 7 2" xfId="33446"/>
    <cellStyle name="Debit subtotal 3 7 2 2" xfId="33447"/>
    <cellStyle name="Debit subtotal 3 7 2 2 10" xfId="33448"/>
    <cellStyle name="Debit subtotal 3 7 2 2 11" xfId="33449"/>
    <cellStyle name="Debit subtotal 3 7 2 2 12" xfId="33450"/>
    <cellStyle name="Debit subtotal 3 7 2 2 13" xfId="33451"/>
    <cellStyle name="Debit subtotal 3 7 2 2 14" xfId="33452"/>
    <cellStyle name="Debit subtotal 3 7 2 2 15" xfId="33453"/>
    <cellStyle name="Debit subtotal 3 7 2 2 16" xfId="33454"/>
    <cellStyle name="Debit subtotal 3 7 2 2 17" xfId="33455"/>
    <cellStyle name="Debit subtotal 3 7 2 2 18" xfId="33456"/>
    <cellStyle name="Debit subtotal 3 7 2 2 19" xfId="33457"/>
    <cellStyle name="Debit subtotal 3 7 2 2 2" xfId="33458"/>
    <cellStyle name="Debit subtotal 3 7 2 2 2 2" xfId="33459"/>
    <cellStyle name="Debit subtotal 3 7 2 2 2 3" xfId="33460"/>
    <cellStyle name="Debit subtotal 3 7 2 2 2 4" xfId="33461"/>
    <cellStyle name="Debit subtotal 3 7 2 2 2 5" xfId="33462"/>
    <cellStyle name="Debit subtotal 3 7 2 2 2 6" xfId="33463"/>
    <cellStyle name="Debit subtotal 3 7 2 2 2 7" xfId="33464"/>
    <cellStyle name="Debit subtotal 3 7 2 2 2 8" xfId="33465"/>
    <cellStyle name="Debit subtotal 3 7 2 2 2 9" xfId="33466"/>
    <cellStyle name="Debit subtotal 3 7 2 2 20" xfId="33467"/>
    <cellStyle name="Debit subtotal 3 7 2 2 21" xfId="33468"/>
    <cellStyle name="Debit subtotal 3 7 2 2 3" xfId="33469"/>
    <cellStyle name="Debit subtotal 3 7 2 2 4" xfId="33470"/>
    <cellStyle name="Debit subtotal 3 7 2 2 5" xfId="33471"/>
    <cellStyle name="Debit subtotal 3 7 2 2 6" xfId="33472"/>
    <cellStyle name="Debit subtotal 3 7 2 2 7" xfId="33473"/>
    <cellStyle name="Debit subtotal 3 7 2 2 8" xfId="33474"/>
    <cellStyle name="Debit subtotal 3 7 2 2 9" xfId="33475"/>
    <cellStyle name="Debit subtotal 3 7 2 3" xfId="33476"/>
    <cellStyle name="Debit subtotal 3 7 2 3 10" xfId="33477"/>
    <cellStyle name="Debit subtotal 3 7 2 3 11" xfId="33478"/>
    <cellStyle name="Debit subtotal 3 7 2 3 12" xfId="33479"/>
    <cellStyle name="Debit subtotal 3 7 2 3 13" xfId="33480"/>
    <cellStyle name="Debit subtotal 3 7 2 3 14" xfId="33481"/>
    <cellStyle name="Debit subtotal 3 7 2 3 15" xfId="33482"/>
    <cellStyle name="Debit subtotal 3 7 2 3 16" xfId="33483"/>
    <cellStyle name="Debit subtotal 3 7 2 3 17" xfId="33484"/>
    <cellStyle name="Debit subtotal 3 7 2 3 18" xfId="33485"/>
    <cellStyle name="Debit subtotal 3 7 2 3 19" xfId="33486"/>
    <cellStyle name="Debit subtotal 3 7 2 3 2" xfId="33487"/>
    <cellStyle name="Debit subtotal 3 7 2 3 2 2" xfId="33488"/>
    <cellStyle name="Debit subtotal 3 7 2 3 2 3" xfId="33489"/>
    <cellStyle name="Debit subtotal 3 7 2 3 2 4" xfId="33490"/>
    <cellStyle name="Debit subtotal 3 7 2 3 2 5" xfId="33491"/>
    <cellStyle name="Debit subtotal 3 7 2 3 2 6" xfId="33492"/>
    <cellStyle name="Debit subtotal 3 7 2 3 2 7" xfId="33493"/>
    <cellStyle name="Debit subtotal 3 7 2 3 2 8" xfId="33494"/>
    <cellStyle name="Debit subtotal 3 7 2 3 2 9" xfId="33495"/>
    <cellStyle name="Debit subtotal 3 7 2 3 3" xfId="33496"/>
    <cellStyle name="Debit subtotal 3 7 2 3 4" xfId="33497"/>
    <cellStyle name="Debit subtotal 3 7 2 3 5" xfId="33498"/>
    <cellStyle name="Debit subtotal 3 7 2 3 6" xfId="33499"/>
    <cellStyle name="Debit subtotal 3 7 2 3 7" xfId="33500"/>
    <cellStyle name="Debit subtotal 3 7 2 3 8" xfId="33501"/>
    <cellStyle name="Debit subtotal 3 7 2 3 9" xfId="33502"/>
    <cellStyle name="Debit subtotal 3 7 2 4" xfId="33503"/>
    <cellStyle name="Debit subtotal 3 7 2 4 10" xfId="33504"/>
    <cellStyle name="Debit subtotal 3 7 2 4 11" xfId="33505"/>
    <cellStyle name="Debit subtotal 3 7 2 4 12" xfId="33506"/>
    <cellStyle name="Debit subtotal 3 7 2 4 13" xfId="33507"/>
    <cellStyle name="Debit subtotal 3 7 2 4 14" xfId="33508"/>
    <cellStyle name="Debit subtotal 3 7 2 4 15" xfId="33509"/>
    <cellStyle name="Debit subtotal 3 7 2 4 16" xfId="33510"/>
    <cellStyle name="Debit subtotal 3 7 2 4 17" xfId="33511"/>
    <cellStyle name="Debit subtotal 3 7 2 4 18" xfId="33512"/>
    <cellStyle name="Debit subtotal 3 7 2 4 2" xfId="33513"/>
    <cellStyle name="Debit subtotal 3 7 2 4 2 2" xfId="33514"/>
    <cellStyle name="Debit subtotal 3 7 2 4 2 3" xfId="33515"/>
    <cellStyle name="Debit subtotal 3 7 2 4 2 4" xfId="33516"/>
    <cellStyle name="Debit subtotal 3 7 2 4 2 5" xfId="33517"/>
    <cellStyle name="Debit subtotal 3 7 2 4 2 6" xfId="33518"/>
    <cellStyle name="Debit subtotal 3 7 2 4 2 7" xfId="33519"/>
    <cellStyle name="Debit subtotal 3 7 2 4 2 8" xfId="33520"/>
    <cellStyle name="Debit subtotal 3 7 2 4 2 9" xfId="33521"/>
    <cellStyle name="Debit subtotal 3 7 2 4 3" xfId="33522"/>
    <cellStyle name="Debit subtotal 3 7 2 4 4" xfId="33523"/>
    <cellStyle name="Debit subtotal 3 7 2 4 5" xfId="33524"/>
    <cellStyle name="Debit subtotal 3 7 2 4 6" xfId="33525"/>
    <cellStyle name="Debit subtotal 3 7 2 4 7" xfId="33526"/>
    <cellStyle name="Debit subtotal 3 7 2 4 8" xfId="33527"/>
    <cellStyle name="Debit subtotal 3 7 2 4 9" xfId="33528"/>
    <cellStyle name="Debit subtotal 3 7 2 5" xfId="33529"/>
    <cellStyle name="Debit subtotal 3 7 2 5 2" xfId="33530"/>
    <cellStyle name="Debit subtotal 3 7 2 5 3" xfId="33531"/>
    <cellStyle name="Debit subtotal 3 7 2 6" xfId="33532"/>
    <cellStyle name="Debit subtotal 3 7 3" xfId="33533"/>
    <cellStyle name="Debit subtotal 3 7 3 2" xfId="33534"/>
    <cellStyle name="Debit subtotal 3 7 3 2 10" xfId="33535"/>
    <cellStyle name="Debit subtotal 3 7 3 2 11" xfId="33536"/>
    <cellStyle name="Debit subtotal 3 7 3 2 12" xfId="33537"/>
    <cellStyle name="Debit subtotal 3 7 3 2 13" xfId="33538"/>
    <cellStyle name="Debit subtotal 3 7 3 2 14" xfId="33539"/>
    <cellStyle name="Debit subtotal 3 7 3 2 15" xfId="33540"/>
    <cellStyle name="Debit subtotal 3 7 3 2 16" xfId="33541"/>
    <cellStyle name="Debit subtotal 3 7 3 2 17" xfId="33542"/>
    <cellStyle name="Debit subtotal 3 7 3 2 18" xfId="33543"/>
    <cellStyle name="Debit subtotal 3 7 3 2 19" xfId="33544"/>
    <cellStyle name="Debit subtotal 3 7 3 2 2" xfId="33545"/>
    <cellStyle name="Debit subtotal 3 7 3 2 2 2" xfId="33546"/>
    <cellStyle name="Debit subtotal 3 7 3 2 2 3" xfId="33547"/>
    <cellStyle name="Debit subtotal 3 7 3 2 2 4" xfId="33548"/>
    <cellStyle name="Debit subtotal 3 7 3 2 2 5" xfId="33549"/>
    <cellStyle name="Debit subtotal 3 7 3 2 2 6" xfId="33550"/>
    <cellStyle name="Debit subtotal 3 7 3 2 2 7" xfId="33551"/>
    <cellStyle name="Debit subtotal 3 7 3 2 2 8" xfId="33552"/>
    <cellStyle name="Debit subtotal 3 7 3 2 2 9" xfId="33553"/>
    <cellStyle name="Debit subtotal 3 7 3 2 20" xfId="33554"/>
    <cellStyle name="Debit subtotal 3 7 3 2 21" xfId="33555"/>
    <cellStyle name="Debit subtotal 3 7 3 2 3" xfId="33556"/>
    <cellStyle name="Debit subtotal 3 7 3 2 4" xfId="33557"/>
    <cellStyle name="Debit subtotal 3 7 3 2 5" xfId="33558"/>
    <cellStyle name="Debit subtotal 3 7 3 2 6" xfId="33559"/>
    <cellStyle name="Debit subtotal 3 7 3 2 7" xfId="33560"/>
    <cellStyle name="Debit subtotal 3 7 3 2 8" xfId="33561"/>
    <cellStyle name="Debit subtotal 3 7 3 2 9" xfId="33562"/>
    <cellStyle name="Debit subtotal 3 7 3 3" xfId="33563"/>
    <cellStyle name="Debit subtotal 3 7 3 3 10" xfId="33564"/>
    <cellStyle name="Debit subtotal 3 7 3 3 11" xfId="33565"/>
    <cellStyle name="Debit subtotal 3 7 3 3 12" xfId="33566"/>
    <cellStyle name="Debit subtotal 3 7 3 3 13" xfId="33567"/>
    <cellStyle name="Debit subtotal 3 7 3 3 14" xfId="33568"/>
    <cellStyle name="Debit subtotal 3 7 3 3 15" xfId="33569"/>
    <cellStyle name="Debit subtotal 3 7 3 3 16" xfId="33570"/>
    <cellStyle name="Debit subtotal 3 7 3 3 17" xfId="33571"/>
    <cellStyle name="Debit subtotal 3 7 3 3 18" xfId="33572"/>
    <cellStyle name="Debit subtotal 3 7 3 3 19" xfId="33573"/>
    <cellStyle name="Debit subtotal 3 7 3 3 2" xfId="33574"/>
    <cellStyle name="Debit subtotal 3 7 3 3 2 2" xfId="33575"/>
    <cellStyle name="Debit subtotal 3 7 3 3 2 3" xfId="33576"/>
    <cellStyle name="Debit subtotal 3 7 3 3 2 4" xfId="33577"/>
    <cellStyle name="Debit subtotal 3 7 3 3 2 5" xfId="33578"/>
    <cellStyle name="Debit subtotal 3 7 3 3 2 6" xfId="33579"/>
    <cellStyle name="Debit subtotal 3 7 3 3 2 7" xfId="33580"/>
    <cellStyle name="Debit subtotal 3 7 3 3 2 8" xfId="33581"/>
    <cellStyle name="Debit subtotal 3 7 3 3 2 9" xfId="33582"/>
    <cellStyle name="Debit subtotal 3 7 3 3 3" xfId="33583"/>
    <cellStyle name="Debit subtotal 3 7 3 3 4" xfId="33584"/>
    <cellStyle name="Debit subtotal 3 7 3 3 5" xfId="33585"/>
    <cellStyle name="Debit subtotal 3 7 3 3 6" xfId="33586"/>
    <cellStyle name="Debit subtotal 3 7 3 3 7" xfId="33587"/>
    <cellStyle name="Debit subtotal 3 7 3 3 8" xfId="33588"/>
    <cellStyle name="Debit subtotal 3 7 3 3 9" xfId="33589"/>
    <cellStyle name="Debit subtotal 3 7 3 4" xfId="33590"/>
    <cellStyle name="Debit subtotal 3 7 3 4 10" xfId="33591"/>
    <cellStyle name="Debit subtotal 3 7 3 4 11" xfId="33592"/>
    <cellStyle name="Debit subtotal 3 7 3 4 12" xfId="33593"/>
    <cellStyle name="Debit subtotal 3 7 3 4 13" xfId="33594"/>
    <cellStyle name="Debit subtotal 3 7 3 4 14" xfId="33595"/>
    <cellStyle name="Debit subtotal 3 7 3 4 15" xfId="33596"/>
    <cellStyle name="Debit subtotal 3 7 3 4 16" xfId="33597"/>
    <cellStyle name="Debit subtotal 3 7 3 4 17" xfId="33598"/>
    <cellStyle name="Debit subtotal 3 7 3 4 18" xfId="33599"/>
    <cellStyle name="Debit subtotal 3 7 3 4 2" xfId="33600"/>
    <cellStyle name="Debit subtotal 3 7 3 4 2 2" xfId="33601"/>
    <cellStyle name="Debit subtotal 3 7 3 4 2 3" xfId="33602"/>
    <cellStyle name="Debit subtotal 3 7 3 4 2 4" xfId="33603"/>
    <cellStyle name="Debit subtotal 3 7 3 4 2 5" xfId="33604"/>
    <cellStyle name="Debit subtotal 3 7 3 4 2 6" xfId="33605"/>
    <cellStyle name="Debit subtotal 3 7 3 4 2 7" xfId="33606"/>
    <cellStyle name="Debit subtotal 3 7 3 4 2 8" xfId="33607"/>
    <cellStyle name="Debit subtotal 3 7 3 4 2 9" xfId="33608"/>
    <cellStyle name="Debit subtotal 3 7 3 4 3" xfId="33609"/>
    <cellStyle name="Debit subtotal 3 7 3 4 4" xfId="33610"/>
    <cellStyle name="Debit subtotal 3 7 3 4 5" xfId="33611"/>
    <cellStyle name="Debit subtotal 3 7 3 4 6" xfId="33612"/>
    <cellStyle name="Debit subtotal 3 7 3 4 7" xfId="33613"/>
    <cellStyle name="Debit subtotal 3 7 3 4 8" xfId="33614"/>
    <cellStyle name="Debit subtotal 3 7 3 4 9" xfId="33615"/>
    <cellStyle name="Debit subtotal 3 7 3 5" xfId="33616"/>
    <cellStyle name="Debit subtotal 3 7 3 5 2" xfId="33617"/>
    <cellStyle name="Debit subtotal 3 7 3 5 3" xfId="33618"/>
    <cellStyle name="Debit subtotal 3 7 3 6" xfId="33619"/>
    <cellStyle name="Debit subtotal 3 7 4" xfId="33620"/>
    <cellStyle name="Debit subtotal 3 7 4 10" xfId="33621"/>
    <cellStyle name="Debit subtotal 3 7 4 11" xfId="33622"/>
    <cellStyle name="Debit subtotal 3 7 4 12" xfId="33623"/>
    <cellStyle name="Debit subtotal 3 7 4 13" xfId="33624"/>
    <cellStyle name="Debit subtotal 3 7 4 14" xfId="33625"/>
    <cellStyle name="Debit subtotal 3 7 4 15" xfId="33626"/>
    <cellStyle name="Debit subtotal 3 7 4 16" xfId="33627"/>
    <cellStyle name="Debit subtotal 3 7 4 17" xfId="33628"/>
    <cellStyle name="Debit subtotal 3 7 4 18" xfId="33629"/>
    <cellStyle name="Debit subtotal 3 7 4 19" xfId="33630"/>
    <cellStyle name="Debit subtotal 3 7 4 2" xfId="33631"/>
    <cellStyle name="Debit subtotal 3 7 4 2 2" xfId="33632"/>
    <cellStyle name="Debit subtotal 3 7 4 2 3" xfId="33633"/>
    <cellStyle name="Debit subtotal 3 7 4 2 4" xfId="33634"/>
    <cellStyle name="Debit subtotal 3 7 4 2 5" xfId="33635"/>
    <cellStyle name="Debit subtotal 3 7 4 2 6" xfId="33636"/>
    <cellStyle name="Debit subtotal 3 7 4 2 7" xfId="33637"/>
    <cellStyle name="Debit subtotal 3 7 4 2 8" xfId="33638"/>
    <cellStyle name="Debit subtotal 3 7 4 2 9" xfId="33639"/>
    <cellStyle name="Debit subtotal 3 7 4 20" xfId="33640"/>
    <cellStyle name="Debit subtotal 3 7 4 21" xfId="33641"/>
    <cellStyle name="Debit subtotal 3 7 4 3" xfId="33642"/>
    <cellStyle name="Debit subtotal 3 7 4 4" xfId="33643"/>
    <cellStyle name="Debit subtotal 3 7 4 5" xfId="33644"/>
    <cellStyle name="Debit subtotal 3 7 4 6" xfId="33645"/>
    <cellStyle name="Debit subtotal 3 7 4 7" xfId="33646"/>
    <cellStyle name="Debit subtotal 3 7 4 8" xfId="33647"/>
    <cellStyle name="Debit subtotal 3 7 4 9" xfId="33648"/>
    <cellStyle name="Debit subtotal 3 7 5" xfId="33649"/>
    <cellStyle name="Debit subtotal 3 7 5 10" xfId="33650"/>
    <cellStyle name="Debit subtotal 3 7 5 11" xfId="33651"/>
    <cellStyle name="Debit subtotal 3 7 5 12" xfId="33652"/>
    <cellStyle name="Debit subtotal 3 7 5 13" xfId="33653"/>
    <cellStyle name="Debit subtotal 3 7 5 14" xfId="33654"/>
    <cellStyle name="Debit subtotal 3 7 5 15" xfId="33655"/>
    <cellStyle name="Debit subtotal 3 7 5 16" xfId="33656"/>
    <cellStyle name="Debit subtotal 3 7 5 17" xfId="33657"/>
    <cellStyle name="Debit subtotal 3 7 5 18" xfId="33658"/>
    <cellStyle name="Debit subtotal 3 7 5 19" xfId="33659"/>
    <cellStyle name="Debit subtotal 3 7 5 2" xfId="33660"/>
    <cellStyle name="Debit subtotal 3 7 5 2 2" xfId="33661"/>
    <cellStyle name="Debit subtotal 3 7 5 2 3" xfId="33662"/>
    <cellStyle name="Debit subtotal 3 7 5 2 4" xfId="33663"/>
    <cellStyle name="Debit subtotal 3 7 5 2 5" xfId="33664"/>
    <cellStyle name="Debit subtotal 3 7 5 2 6" xfId="33665"/>
    <cellStyle name="Debit subtotal 3 7 5 2 7" xfId="33666"/>
    <cellStyle name="Debit subtotal 3 7 5 2 8" xfId="33667"/>
    <cellStyle name="Debit subtotal 3 7 5 2 9" xfId="33668"/>
    <cellStyle name="Debit subtotal 3 7 5 3" xfId="33669"/>
    <cellStyle name="Debit subtotal 3 7 5 4" xfId="33670"/>
    <cellStyle name="Debit subtotal 3 7 5 5" xfId="33671"/>
    <cellStyle name="Debit subtotal 3 7 5 6" xfId="33672"/>
    <cellStyle name="Debit subtotal 3 7 5 7" xfId="33673"/>
    <cellStyle name="Debit subtotal 3 7 5 8" xfId="33674"/>
    <cellStyle name="Debit subtotal 3 7 5 9" xfId="33675"/>
    <cellStyle name="Debit subtotal 3 7 6" xfId="33676"/>
    <cellStyle name="Debit subtotal 3 7 6 10" xfId="33677"/>
    <cellStyle name="Debit subtotal 3 7 6 11" xfId="33678"/>
    <cellStyle name="Debit subtotal 3 7 6 12" xfId="33679"/>
    <cellStyle name="Debit subtotal 3 7 6 13" xfId="33680"/>
    <cellStyle name="Debit subtotal 3 7 6 14" xfId="33681"/>
    <cellStyle name="Debit subtotal 3 7 6 15" xfId="33682"/>
    <cellStyle name="Debit subtotal 3 7 6 16" xfId="33683"/>
    <cellStyle name="Debit subtotal 3 7 6 17" xfId="33684"/>
    <cellStyle name="Debit subtotal 3 7 6 18" xfId="33685"/>
    <cellStyle name="Debit subtotal 3 7 6 2" xfId="33686"/>
    <cellStyle name="Debit subtotal 3 7 6 2 2" xfId="33687"/>
    <cellStyle name="Debit subtotal 3 7 6 2 3" xfId="33688"/>
    <cellStyle name="Debit subtotal 3 7 6 2 4" xfId="33689"/>
    <cellStyle name="Debit subtotal 3 7 6 2 5" xfId="33690"/>
    <cellStyle name="Debit subtotal 3 7 6 2 6" xfId="33691"/>
    <cellStyle name="Debit subtotal 3 7 6 2 7" xfId="33692"/>
    <cellStyle name="Debit subtotal 3 7 6 2 8" xfId="33693"/>
    <cellStyle name="Debit subtotal 3 7 6 2 9" xfId="33694"/>
    <cellStyle name="Debit subtotal 3 7 6 3" xfId="33695"/>
    <cellStyle name="Debit subtotal 3 7 6 4" xfId="33696"/>
    <cellStyle name="Debit subtotal 3 7 6 5" xfId="33697"/>
    <cellStyle name="Debit subtotal 3 7 6 6" xfId="33698"/>
    <cellStyle name="Debit subtotal 3 7 6 7" xfId="33699"/>
    <cellStyle name="Debit subtotal 3 7 6 8" xfId="33700"/>
    <cellStyle name="Debit subtotal 3 7 6 9" xfId="33701"/>
    <cellStyle name="Debit subtotal 3 7 7" xfId="33702"/>
    <cellStyle name="Debit subtotal 3 7 7 2" xfId="33703"/>
    <cellStyle name="Debit subtotal 3 7 7 3" xfId="33704"/>
    <cellStyle name="Debit subtotal 3 7 8" xfId="33705"/>
    <cellStyle name="Debit subtotal 3 8" xfId="33706"/>
    <cellStyle name="Debit subtotal 3 8 2" xfId="33707"/>
    <cellStyle name="Debit subtotal 3 8 2 2" xfId="33708"/>
    <cellStyle name="Debit subtotal 3 8 2 2 10" xfId="33709"/>
    <cellStyle name="Debit subtotal 3 8 2 2 11" xfId="33710"/>
    <cellStyle name="Debit subtotal 3 8 2 2 12" xfId="33711"/>
    <cellStyle name="Debit subtotal 3 8 2 2 13" xfId="33712"/>
    <cellStyle name="Debit subtotal 3 8 2 2 14" xfId="33713"/>
    <cellStyle name="Debit subtotal 3 8 2 2 15" xfId="33714"/>
    <cellStyle name="Debit subtotal 3 8 2 2 16" xfId="33715"/>
    <cellStyle name="Debit subtotal 3 8 2 2 17" xfId="33716"/>
    <cellStyle name="Debit subtotal 3 8 2 2 18" xfId="33717"/>
    <cellStyle name="Debit subtotal 3 8 2 2 19" xfId="33718"/>
    <cellStyle name="Debit subtotal 3 8 2 2 2" xfId="33719"/>
    <cellStyle name="Debit subtotal 3 8 2 2 2 2" xfId="33720"/>
    <cellStyle name="Debit subtotal 3 8 2 2 2 3" xfId="33721"/>
    <cellStyle name="Debit subtotal 3 8 2 2 2 4" xfId="33722"/>
    <cellStyle name="Debit subtotal 3 8 2 2 2 5" xfId="33723"/>
    <cellStyle name="Debit subtotal 3 8 2 2 2 6" xfId="33724"/>
    <cellStyle name="Debit subtotal 3 8 2 2 2 7" xfId="33725"/>
    <cellStyle name="Debit subtotal 3 8 2 2 2 8" xfId="33726"/>
    <cellStyle name="Debit subtotal 3 8 2 2 2 9" xfId="33727"/>
    <cellStyle name="Debit subtotal 3 8 2 2 20" xfId="33728"/>
    <cellStyle name="Debit subtotal 3 8 2 2 21" xfId="33729"/>
    <cellStyle name="Debit subtotal 3 8 2 2 3" xfId="33730"/>
    <cellStyle name="Debit subtotal 3 8 2 2 4" xfId="33731"/>
    <cellStyle name="Debit subtotal 3 8 2 2 5" xfId="33732"/>
    <cellStyle name="Debit subtotal 3 8 2 2 6" xfId="33733"/>
    <cellStyle name="Debit subtotal 3 8 2 2 7" xfId="33734"/>
    <cellStyle name="Debit subtotal 3 8 2 2 8" xfId="33735"/>
    <cellStyle name="Debit subtotal 3 8 2 2 9" xfId="33736"/>
    <cellStyle name="Debit subtotal 3 8 2 3" xfId="33737"/>
    <cellStyle name="Debit subtotal 3 8 2 3 10" xfId="33738"/>
    <cellStyle name="Debit subtotal 3 8 2 3 11" xfId="33739"/>
    <cellStyle name="Debit subtotal 3 8 2 3 12" xfId="33740"/>
    <cellStyle name="Debit subtotal 3 8 2 3 13" xfId="33741"/>
    <cellStyle name="Debit subtotal 3 8 2 3 14" xfId="33742"/>
    <cellStyle name="Debit subtotal 3 8 2 3 15" xfId="33743"/>
    <cellStyle name="Debit subtotal 3 8 2 3 16" xfId="33744"/>
    <cellStyle name="Debit subtotal 3 8 2 3 17" xfId="33745"/>
    <cellStyle name="Debit subtotal 3 8 2 3 18" xfId="33746"/>
    <cellStyle name="Debit subtotal 3 8 2 3 19" xfId="33747"/>
    <cellStyle name="Debit subtotal 3 8 2 3 2" xfId="33748"/>
    <cellStyle name="Debit subtotal 3 8 2 3 2 2" xfId="33749"/>
    <cellStyle name="Debit subtotal 3 8 2 3 2 3" xfId="33750"/>
    <cellStyle name="Debit subtotal 3 8 2 3 2 4" xfId="33751"/>
    <cellStyle name="Debit subtotal 3 8 2 3 2 5" xfId="33752"/>
    <cellStyle name="Debit subtotal 3 8 2 3 2 6" xfId="33753"/>
    <cellStyle name="Debit subtotal 3 8 2 3 2 7" xfId="33754"/>
    <cellStyle name="Debit subtotal 3 8 2 3 2 8" xfId="33755"/>
    <cellStyle name="Debit subtotal 3 8 2 3 2 9" xfId="33756"/>
    <cellStyle name="Debit subtotal 3 8 2 3 3" xfId="33757"/>
    <cellStyle name="Debit subtotal 3 8 2 3 4" xfId="33758"/>
    <cellStyle name="Debit subtotal 3 8 2 3 5" xfId="33759"/>
    <cellStyle name="Debit subtotal 3 8 2 3 6" xfId="33760"/>
    <cellStyle name="Debit subtotal 3 8 2 3 7" xfId="33761"/>
    <cellStyle name="Debit subtotal 3 8 2 3 8" xfId="33762"/>
    <cellStyle name="Debit subtotal 3 8 2 3 9" xfId="33763"/>
    <cellStyle name="Debit subtotal 3 8 2 4" xfId="33764"/>
    <cellStyle name="Debit subtotal 3 8 2 4 10" xfId="33765"/>
    <cellStyle name="Debit subtotal 3 8 2 4 11" xfId="33766"/>
    <cellStyle name="Debit subtotal 3 8 2 4 12" xfId="33767"/>
    <cellStyle name="Debit subtotal 3 8 2 4 13" xfId="33768"/>
    <cellStyle name="Debit subtotal 3 8 2 4 14" xfId="33769"/>
    <cellStyle name="Debit subtotal 3 8 2 4 15" xfId="33770"/>
    <cellStyle name="Debit subtotal 3 8 2 4 16" xfId="33771"/>
    <cellStyle name="Debit subtotal 3 8 2 4 17" xfId="33772"/>
    <cellStyle name="Debit subtotal 3 8 2 4 18" xfId="33773"/>
    <cellStyle name="Debit subtotal 3 8 2 4 2" xfId="33774"/>
    <cellStyle name="Debit subtotal 3 8 2 4 2 2" xfId="33775"/>
    <cellStyle name="Debit subtotal 3 8 2 4 2 3" xfId="33776"/>
    <cellStyle name="Debit subtotal 3 8 2 4 2 4" xfId="33777"/>
    <cellStyle name="Debit subtotal 3 8 2 4 2 5" xfId="33778"/>
    <cellStyle name="Debit subtotal 3 8 2 4 2 6" xfId="33779"/>
    <cellStyle name="Debit subtotal 3 8 2 4 2 7" xfId="33780"/>
    <cellStyle name="Debit subtotal 3 8 2 4 2 8" xfId="33781"/>
    <cellStyle name="Debit subtotal 3 8 2 4 2 9" xfId="33782"/>
    <cellStyle name="Debit subtotal 3 8 2 4 3" xfId="33783"/>
    <cellStyle name="Debit subtotal 3 8 2 4 4" xfId="33784"/>
    <cellStyle name="Debit subtotal 3 8 2 4 5" xfId="33785"/>
    <cellStyle name="Debit subtotal 3 8 2 4 6" xfId="33786"/>
    <cellStyle name="Debit subtotal 3 8 2 4 7" xfId="33787"/>
    <cellStyle name="Debit subtotal 3 8 2 4 8" xfId="33788"/>
    <cellStyle name="Debit subtotal 3 8 2 4 9" xfId="33789"/>
    <cellStyle name="Debit subtotal 3 8 2 5" xfId="33790"/>
    <cellStyle name="Debit subtotal 3 8 2 5 2" xfId="33791"/>
    <cellStyle name="Debit subtotal 3 8 2 5 3" xfId="33792"/>
    <cellStyle name="Debit subtotal 3 8 2 6" xfId="33793"/>
    <cellStyle name="Debit subtotal 3 8 3" xfId="33794"/>
    <cellStyle name="Debit subtotal 3 8 3 2" xfId="33795"/>
    <cellStyle name="Debit subtotal 3 8 3 2 10" xfId="33796"/>
    <cellStyle name="Debit subtotal 3 8 3 2 11" xfId="33797"/>
    <cellStyle name="Debit subtotal 3 8 3 2 12" xfId="33798"/>
    <cellStyle name="Debit subtotal 3 8 3 2 13" xfId="33799"/>
    <cellStyle name="Debit subtotal 3 8 3 2 14" xfId="33800"/>
    <cellStyle name="Debit subtotal 3 8 3 2 15" xfId="33801"/>
    <cellStyle name="Debit subtotal 3 8 3 2 16" xfId="33802"/>
    <cellStyle name="Debit subtotal 3 8 3 2 17" xfId="33803"/>
    <cellStyle name="Debit subtotal 3 8 3 2 18" xfId="33804"/>
    <cellStyle name="Debit subtotal 3 8 3 2 19" xfId="33805"/>
    <cellStyle name="Debit subtotal 3 8 3 2 2" xfId="33806"/>
    <cellStyle name="Debit subtotal 3 8 3 2 2 2" xfId="33807"/>
    <cellStyle name="Debit subtotal 3 8 3 2 2 3" xfId="33808"/>
    <cellStyle name="Debit subtotal 3 8 3 2 2 4" xfId="33809"/>
    <cellStyle name="Debit subtotal 3 8 3 2 2 5" xfId="33810"/>
    <cellStyle name="Debit subtotal 3 8 3 2 2 6" xfId="33811"/>
    <cellStyle name="Debit subtotal 3 8 3 2 2 7" xfId="33812"/>
    <cellStyle name="Debit subtotal 3 8 3 2 2 8" xfId="33813"/>
    <cellStyle name="Debit subtotal 3 8 3 2 2 9" xfId="33814"/>
    <cellStyle name="Debit subtotal 3 8 3 2 20" xfId="33815"/>
    <cellStyle name="Debit subtotal 3 8 3 2 21" xfId="33816"/>
    <cellStyle name="Debit subtotal 3 8 3 2 3" xfId="33817"/>
    <cellStyle name="Debit subtotal 3 8 3 2 4" xfId="33818"/>
    <cellStyle name="Debit subtotal 3 8 3 2 5" xfId="33819"/>
    <cellStyle name="Debit subtotal 3 8 3 2 6" xfId="33820"/>
    <cellStyle name="Debit subtotal 3 8 3 2 7" xfId="33821"/>
    <cellStyle name="Debit subtotal 3 8 3 2 8" xfId="33822"/>
    <cellStyle name="Debit subtotal 3 8 3 2 9" xfId="33823"/>
    <cellStyle name="Debit subtotal 3 8 3 3" xfId="33824"/>
    <cellStyle name="Debit subtotal 3 8 3 3 10" xfId="33825"/>
    <cellStyle name="Debit subtotal 3 8 3 3 11" xfId="33826"/>
    <cellStyle name="Debit subtotal 3 8 3 3 12" xfId="33827"/>
    <cellStyle name="Debit subtotal 3 8 3 3 13" xfId="33828"/>
    <cellStyle name="Debit subtotal 3 8 3 3 14" xfId="33829"/>
    <cellStyle name="Debit subtotal 3 8 3 3 15" xfId="33830"/>
    <cellStyle name="Debit subtotal 3 8 3 3 16" xfId="33831"/>
    <cellStyle name="Debit subtotal 3 8 3 3 17" xfId="33832"/>
    <cellStyle name="Debit subtotal 3 8 3 3 18" xfId="33833"/>
    <cellStyle name="Debit subtotal 3 8 3 3 19" xfId="33834"/>
    <cellStyle name="Debit subtotal 3 8 3 3 2" xfId="33835"/>
    <cellStyle name="Debit subtotal 3 8 3 3 2 2" xfId="33836"/>
    <cellStyle name="Debit subtotal 3 8 3 3 2 3" xfId="33837"/>
    <cellStyle name="Debit subtotal 3 8 3 3 2 4" xfId="33838"/>
    <cellStyle name="Debit subtotal 3 8 3 3 2 5" xfId="33839"/>
    <cellStyle name="Debit subtotal 3 8 3 3 2 6" xfId="33840"/>
    <cellStyle name="Debit subtotal 3 8 3 3 2 7" xfId="33841"/>
    <cellStyle name="Debit subtotal 3 8 3 3 2 8" xfId="33842"/>
    <cellStyle name="Debit subtotal 3 8 3 3 2 9" xfId="33843"/>
    <cellStyle name="Debit subtotal 3 8 3 3 3" xfId="33844"/>
    <cellStyle name="Debit subtotal 3 8 3 3 4" xfId="33845"/>
    <cellStyle name="Debit subtotal 3 8 3 3 5" xfId="33846"/>
    <cellStyle name="Debit subtotal 3 8 3 3 6" xfId="33847"/>
    <cellStyle name="Debit subtotal 3 8 3 3 7" xfId="33848"/>
    <cellStyle name="Debit subtotal 3 8 3 3 8" xfId="33849"/>
    <cellStyle name="Debit subtotal 3 8 3 3 9" xfId="33850"/>
    <cellStyle name="Debit subtotal 3 8 3 4" xfId="33851"/>
    <cellStyle name="Debit subtotal 3 8 3 4 10" xfId="33852"/>
    <cellStyle name="Debit subtotal 3 8 3 4 11" xfId="33853"/>
    <cellStyle name="Debit subtotal 3 8 3 4 12" xfId="33854"/>
    <cellStyle name="Debit subtotal 3 8 3 4 13" xfId="33855"/>
    <cellStyle name="Debit subtotal 3 8 3 4 14" xfId="33856"/>
    <cellStyle name="Debit subtotal 3 8 3 4 15" xfId="33857"/>
    <cellStyle name="Debit subtotal 3 8 3 4 16" xfId="33858"/>
    <cellStyle name="Debit subtotal 3 8 3 4 17" xfId="33859"/>
    <cellStyle name="Debit subtotal 3 8 3 4 18" xfId="33860"/>
    <cellStyle name="Debit subtotal 3 8 3 4 2" xfId="33861"/>
    <cellStyle name="Debit subtotal 3 8 3 4 2 2" xfId="33862"/>
    <cellStyle name="Debit subtotal 3 8 3 4 2 3" xfId="33863"/>
    <cellStyle name="Debit subtotal 3 8 3 4 2 4" xfId="33864"/>
    <cellStyle name="Debit subtotal 3 8 3 4 2 5" xfId="33865"/>
    <cellStyle name="Debit subtotal 3 8 3 4 2 6" xfId="33866"/>
    <cellStyle name="Debit subtotal 3 8 3 4 2 7" xfId="33867"/>
    <cellStyle name="Debit subtotal 3 8 3 4 2 8" xfId="33868"/>
    <cellStyle name="Debit subtotal 3 8 3 4 2 9" xfId="33869"/>
    <cellStyle name="Debit subtotal 3 8 3 4 3" xfId="33870"/>
    <cellStyle name="Debit subtotal 3 8 3 4 4" xfId="33871"/>
    <cellStyle name="Debit subtotal 3 8 3 4 5" xfId="33872"/>
    <cellStyle name="Debit subtotal 3 8 3 4 6" xfId="33873"/>
    <cellStyle name="Debit subtotal 3 8 3 4 7" xfId="33874"/>
    <cellStyle name="Debit subtotal 3 8 3 4 8" xfId="33875"/>
    <cellStyle name="Debit subtotal 3 8 3 4 9" xfId="33876"/>
    <cellStyle name="Debit subtotal 3 8 3 5" xfId="33877"/>
    <cellStyle name="Debit subtotal 3 8 3 5 2" xfId="33878"/>
    <cellStyle name="Debit subtotal 3 8 3 5 3" xfId="33879"/>
    <cellStyle name="Debit subtotal 3 8 3 6" xfId="33880"/>
    <cellStyle name="Debit subtotal 3 8 4" xfId="33881"/>
    <cellStyle name="Debit subtotal 3 8 4 10" xfId="33882"/>
    <cellStyle name="Debit subtotal 3 8 4 11" xfId="33883"/>
    <cellStyle name="Debit subtotal 3 8 4 12" xfId="33884"/>
    <cellStyle name="Debit subtotal 3 8 4 13" xfId="33885"/>
    <cellStyle name="Debit subtotal 3 8 4 14" xfId="33886"/>
    <cellStyle name="Debit subtotal 3 8 4 15" xfId="33887"/>
    <cellStyle name="Debit subtotal 3 8 4 16" xfId="33888"/>
    <cellStyle name="Debit subtotal 3 8 4 17" xfId="33889"/>
    <cellStyle name="Debit subtotal 3 8 4 18" xfId="33890"/>
    <cellStyle name="Debit subtotal 3 8 4 19" xfId="33891"/>
    <cellStyle name="Debit subtotal 3 8 4 2" xfId="33892"/>
    <cellStyle name="Debit subtotal 3 8 4 2 2" xfId="33893"/>
    <cellStyle name="Debit subtotal 3 8 4 2 3" xfId="33894"/>
    <cellStyle name="Debit subtotal 3 8 4 2 4" xfId="33895"/>
    <cellStyle name="Debit subtotal 3 8 4 2 5" xfId="33896"/>
    <cellStyle name="Debit subtotal 3 8 4 2 6" xfId="33897"/>
    <cellStyle name="Debit subtotal 3 8 4 2 7" xfId="33898"/>
    <cellStyle name="Debit subtotal 3 8 4 2 8" xfId="33899"/>
    <cellStyle name="Debit subtotal 3 8 4 2 9" xfId="33900"/>
    <cellStyle name="Debit subtotal 3 8 4 20" xfId="33901"/>
    <cellStyle name="Debit subtotal 3 8 4 21" xfId="33902"/>
    <cellStyle name="Debit subtotal 3 8 4 3" xfId="33903"/>
    <cellStyle name="Debit subtotal 3 8 4 4" xfId="33904"/>
    <cellStyle name="Debit subtotal 3 8 4 5" xfId="33905"/>
    <cellStyle name="Debit subtotal 3 8 4 6" xfId="33906"/>
    <cellStyle name="Debit subtotal 3 8 4 7" xfId="33907"/>
    <cellStyle name="Debit subtotal 3 8 4 8" xfId="33908"/>
    <cellStyle name="Debit subtotal 3 8 4 9" xfId="33909"/>
    <cellStyle name="Debit subtotal 3 8 5" xfId="33910"/>
    <cellStyle name="Debit subtotal 3 8 5 10" xfId="33911"/>
    <cellStyle name="Debit subtotal 3 8 5 11" xfId="33912"/>
    <cellStyle name="Debit subtotal 3 8 5 12" xfId="33913"/>
    <cellStyle name="Debit subtotal 3 8 5 13" xfId="33914"/>
    <cellStyle name="Debit subtotal 3 8 5 14" xfId="33915"/>
    <cellStyle name="Debit subtotal 3 8 5 15" xfId="33916"/>
    <cellStyle name="Debit subtotal 3 8 5 16" xfId="33917"/>
    <cellStyle name="Debit subtotal 3 8 5 17" xfId="33918"/>
    <cellStyle name="Debit subtotal 3 8 5 18" xfId="33919"/>
    <cellStyle name="Debit subtotal 3 8 5 19" xfId="33920"/>
    <cellStyle name="Debit subtotal 3 8 5 2" xfId="33921"/>
    <cellStyle name="Debit subtotal 3 8 5 2 2" xfId="33922"/>
    <cellStyle name="Debit subtotal 3 8 5 2 3" xfId="33923"/>
    <cellStyle name="Debit subtotal 3 8 5 2 4" xfId="33924"/>
    <cellStyle name="Debit subtotal 3 8 5 2 5" xfId="33925"/>
    <cellStyle name="Debit subtotal 3 8 5 2 6" xfId="33926"/>
    <cellStyle name="Debit subtotal 3 8 5 2 7" xfId="33927"/>
    <cellStyle name="Debit subtotal 3 8 5 2 8" xfId="33928"/>
    <cellStyle name="Debit subtotal 3 8 5 2 9" xfId="33929"/>
    <cellStyle name="Debit subtotal 3 8 5 3" xfId="33930"/>
    <cellStyle name="Debit subtotal 3 8 5 4" xfId="33931"/>
    <cellStyle name="Debit subtotal 3 8 5 5" xfId="33932"/>
    <cellStyle name="Debit subtotal 3 8 5 6" xfId="33933"/>
    <cellStyle name="Debit subtotal 3 8 5 7" xfId="33934"/>
    <cellStyle name="Debit subtotal 3 8 5 8" xfId="33935"/>
    <cellStyle name="Debit subtotal 3 8 5 9" xfId="33936"/>
    <cellStyle name="Debit subtotal 3 8 6" xfId="33937"/>
    <cellStyle name="Debit subtotal 3 8 6 10" xfId="33938"/>
    <cellStyle name="Debit subtotal 3 8 6 11" xfId="33939"/>
    <cellStyle name="Debit subtotal 3 8 6 12" xfId="33940"/>
    <cellStyle name="Debit subtotal 3 8 6 13" xfId="33941"/>
    <cellStyle name="Debit subtotal 3 8 6 14" xfId="33942"/>
    <cellStyle name="Debit subtotal 3 8 6 15" xfId="33943"/>
    <cellStyle name="Debit subtotal 3 8 6 16" xfId="33944"/>
    <cellStyle name="Debit subtotal 3 8 6 17" xfId="33945"/>
    <cellStyle name="Debit subtotal 3 8 6 18" xfId="33946"/>
    <cellStyle name="Debit subtotal 3 8 6 2" xfId="33947"/>
    <cellStyle name="Debit subtotal 3 8 6 2 2" xfId="33948"/>
    <cellStyle name="Debit subtotal 3 8 6 2 3" xfId="33949"/>
    <cellStyle name="Debit subtotal 3 8 6 2 4" xfId="33950"/>
    <cellStyle name="Debit subtotal 3 8 6 2 5" xfId="33951"/>
    <cellStyle name="Debit subtotal 3 8 6 2 6" xfId="33952"/>
    <cellStyle name="Debit subtotal 3 8 6 2 7" xfId="33953"/>
    <cellStyle name="Debit subtotal 3 8 6 2 8" xfId="33954"/>
    <cellStyle name="Debit subtotal 3 8 6 2 9" xfId="33955"/>
    <cellStyle name="Debit subtotal 3 8 6 3" xfId="33956"/>
    <cellStyle name="Debit subtotal 3 8 6 4" xfId="33957"/>
    <cellStyle name="Debit subtotal 3 8 6 5" xfId="33958"/>
    <cellStyle name="Debit subtotal 3 8 6 6" xfId="33959"/>
    <cellStyle name="Debit subtotal 3 8 6 7" xfId="33960"/>
    <cellStyle name="Debit subtotal 3 8 6 8" xfId="33961"/>
    <cellStyle name="Debit subtotal 3 8 6 9" xfId="33962"/>
    <cellStyle name="Debit subtotal 3 8 7" xfId="33963"/>
    <cellStyle name="Debit subtotal 3 8 7 2" xfId="33964"/>
    <cellStyle name="Debit subtotal 3 8 7 3" xfId="33965"/>
    <cellStyle name="Debit subtotal 3 8 8" xfId="33966"/>
    <cellStyle name="Debit subtotal 3 9" xfId="33967"/>
    <cellStyle name="Debit subtotal 3 9 2" xfId="33968"/>
    <cellStyle name="Debit subtotal 3 9 2 10" xfId="33969"/>
    <cellStyle name="Debit subtotal 3 9 2 11" xfId="33970"/>
    <cellStyle name="Debit subtotal 3 9 2 12" xfId="33971"/>
    <cellStyle name="Debit subtotal 3 9 2 13" xfId="33972"/>
    <cellStyle name="Debit subtotal 3 9 2 14" xfId="33973"/>
    <cellStyle name="Debit subtotal 3 9 2 15" xfId="33974"/>
    <cellStyle name="Debit subtotal 3 9 2 16" xfId="33975"/>
    <cellStyle name="Debit subtotal 3 9 2 17" xfId="33976"/>
    <cellStyle name="Debit subtotal 3 9 2 18" xfId="33977"/>
    <cellStyle name="Debit subtotal 3 9 2 19" xfId="33978"/>
    <cellStyle name="Debit subtotal 3 9 2 2" xfId="33979"/>
    <cellStyle name="Debit subtotal 3 9 2 2 2" xfId="33980"/>
    <cellStyle name="Debit subtotal 3 9 2 2 3" xfId="33981"/>
    <cellStyle name="Debit subtotal 3 9 2 2 4" xfId="33982"/>
    <cellStyle name="Debit subtotal 3 9 2 2 5" xfId="33983"/>
    <cellStyle name="Debit subtotal 3 9 2 2 6" xfId="33984"/>
    <cellStyle name="Debit subtotal 3 9 2 2 7" xfId="33985"/>
    <cellStyle name="Debit subtotal 3 9 2 2 8" xfId="33986"/>
    <cellStyle name="Debit subtotal 3 9 2 2 9" xfId="33987"/>
    <cellStyle name="Debit subtotal 3 9 2 20" xfId="33988"/>
    <cellStyle name="Debit subtotal 3 9 2 21" xfId="33989"/>
    <cellStyle name="Debit subtotal 3 9 2 3" xfId="33990"/>
    <cellStyle name="Debit subtotal 3 9 2 4" xfId="33991"/>
    <cellStyle name="Debit subtotal 3 9 2 5" xfId="33992"/>
    <cellStyle name="Debit subtotal 3 9 2 6" xfId="33993"/>
    <cellStyle name="Debit subtotal 3 9 2 7" xfId="33994"/>
    <cellStyle name="Debit subtotal 3 9 2 8" xfId="33995"/>
    <cellStyle name="Debit subtotal 3 9 2 9" xfId="33996"/>
    <cellStyle name="Debit subtotal 3 9 3" xfId="33997"/>
    <cellStyle name="Debit subtotal 3 9 3 10" xfId="33998"/>
    <cellStyle name="Debit subtotal 3 9 3 11" xfId="33999"/>
    <cellStyle name="Debit subtotal 3 9 3 12" xfId="34000"/>
    <cellStyle name="Debit subtotal 3 9 3 13" xfId="34001"/>
    <cellStyle name="Debit subtotal 3 9 3 14" xfId="34002"/>
    <cellStyle name="Debit subtotal 3 9 3 15" xfId="34003"/>
    <cellStyle name="Debit subtotal 3 9 3 16" xfId="34004"/>
    <cellStyle name="Debit subtotal 3 9 3 17" xfId="34005"/>
    <cellStyle name="Debit subtotal 3 9 3 18" xfId="34006"/>
    <cellStyle name="Debit subtotal 3 9 3 19" xfId="34007"/>
    <cellStyle name="Debit subtotal 3 9 3 2" xfId="34008"/>
    <cellStyle name="Debit subtotal 3 9 3 2 2" xfId="34009"/>
    <cellStyle name="Debit subtotal 3 9 3 2 3" xfId="34010"/>
    <cellStyle name="Debit subtotal 3 9 3 2 4" xfId="34011"/>
    <cellStyle name="Debit subtotal 3 9 3 2 5" xfId="34012"/>
    <cellStyle name="Debit subtotal 3 9 3 2 6" xfId="34013"/>
    <cellStyle name="Debit subtotal 3 9 3 2 7" xfId="34014"/>
    <cellStyle name="Debit subtotal 3 9 3 2 8" xfId="34015"/>
    <cellStyle name="Debit subtotal 3 9 3 2 9" xfId="34016"/>
    <cellStyle name="Debit subtotal 3 9 3 3" xfId="34017"/>
    <cellStyle name="Debit subtotal 3 9 3 4" xfId="34018"/>
    <cellStyle name="Debit subtotal 3 9 3 5" xfId="34019"/>
    <cellStyle name="Debit subtotal 3 9 3 6" xfId="34020"/>
    <cellStyle name="Debit subtotal 3 9 3 7" xfId="34021"/>
    <cellStyle name="Debit subtotal 3 9 3 8" xfId="34022"/>
    <cellStyle name="Debit subtotal 3 9 3 9" xfId="34023"/>
    <cellStyle name="Debit subtotal 3 9 4" xfId="34024"/>
    <cellStyle name="Debit subtotal 3 9 4 10" xfId="34025"/>
    <cellStyle name="Debit subtotal 3 9 4 11" xfId="34026"/>
    <cellStyle name="Debit subtotal 3 9 4 12" xfId="34027"/>
    <cellStyle name="Debit subtotal 3 9 4 13" xfId="34028"/>
    <cellStyle name="Debit subtotal 3 9 4 14" xfId="34029"/>
    <cellStyle name="Debit subtotal 3 9 4 15" xfId="34030"/>
    <cellStyle name="Debit subtotal 3 9 4 16" xfId="34031"/>
    <cellStyle name="Debit subtotal 3 9 4 17" xfId="34032"/>
    <cellStyle name="Debit subtotal 3 9 4 18" xfId="34033"/>
    <cellStyle name="Debit subtotal 3 9 4 2" xfId="34034"/>
    <cellStyle name="Debit subtotal 3 9 4 2 2" xfId="34035"/>
    <cellStyle name="Debit subtotal 3 9 4 2 3" xfId="34036"/>
    <cellStyle name="Debit subtotal 3 9 4 2 4" xfId="34037"/>
    <cellStyle name="Debit subtotal 3 9 4 2 5" xfId="34038"/>
    <cellStyle name="Debit subtotal 3 9 4 2 6" xfId="34039"/>
    <cellStyle name="Debit subtotal 3 9 4 2 7" xfId="34040"/>
    <cellStyle name="Debit subtotal 3 9 4 2 8" xfId="34041"/>
    <cellStyle name="Debit subtotal 3 9 4 2 9" xfId="34042"/>
    <cellStyle name="Debit subtotal 3 9 4 3" xfId="34043"/>
    <cellStyle name="Debit subtotal 3 9 4 4" xfId="34044"/>
    <cellStyle name="Debit subtotal 3 9 4 5" xfId="34045"/>
    <cellStyle name="Debit subtotal 3 9 4 6" xfId="34046"/>
    <cellStyle name="Debit subtotal 3 9 4 7" xfId="34047"/>
    <cellStyle name="Debit subtotal 3 9 4 8" xfId="34048"/>
    <cellStyle name="Debit subtotal 3 9 4 9" xfId="34049"/>
    <cellStyle name="Debit subtotal 3 9 5" xfId="34050"/>
    <cellStyle name="Debit subtotal 3 9 5 2" xfId="34051"/>
    <cellStyle name="Debit subtotal 3 9 5 3" xfId="34052"/>
    <cellStyle name="Debit subtotal 3 9 6" xfId="34053"/>
    <cellStyle name="Debit subtotal 4" xfId="34054"/>
    <cellStyle name="Debit subtotal 4 2" xfId="34055"/>
    <cellStyle name="Debit subtotal 4 2 2" xfId="34056"/>
    <cellStyle name="Debit subtotal 4 2 2 10" xfId="34057"/>
    <cellStyle name="Debit subtotal 4 2 2 11" xfId="34058"/>
    <cellStyle name="Debit subtotal 4 2 2 12" xfId="34059"/>
    <cellStyle name="Debit subtotal 4 2 2 13" xfId="34060"/>
    <cellStyle name="Debit subtotal 4 2 2 14" xfId="34061"/>
    <cellStyle name="Debit subtotal 4 2 2 15" xfId="34062"/>
    <cellStyle name="Debit subtotal 4 2 2 16" xfId="34063"/>
    <cellStyle name="Debit subtotal 4 2 2 17" xfId="34064"/>
    <cellStyle name="Debit subtotal 4 2 2 18" xfId="34065"/>
    <cellStyle name="Debit subtotal 4 2 2 19" xfId="34066"/>
    <cellStyle name="Debit subtotal 4 2 2 2" xfId="34067"/>
    <cellStyle name="Debit subtotal 4 2 2 2 2" xfId="34068"/>
    <cellStyle name="Debit subtotal 4 2 2 2 3" xfId="34069"/>
    <cellStyle name="Debit subtotal 4 2 2 2 4" xfId="34070"/>
    <cellStyle name="Debit subtotal 4 2 2 2 5" xfId="34071"/>
    <cellStyle name="Debit subtotal 4 2 2 2 6" xfId="34072"/>
    <cellStyle name="Debit subtotal 4 2 2 2 7" xfId="34073"/>
    <cellStyle name="Debit subtotal 4 2 2 2 8" xfId="34074"/>
    <cellStyle name="Debit subtotal 4 2 2 2 9" xfId="34075"/>
    <cellStyle name="Debit subtotal 4 2 2 20" xfId="34076"/>
    <cellStyle name="Debit subtotal 4 2 2 21" xfId="34077"/>
    <cellStyle name="Debit subtotal 4 2 2 3" xfId="34078"/>
    <cellStyle name="Debit subtotal 4 2 2 4" xfId="34079"/>
    <cellStyle name="Debit subtotal 4 2 2 5" xfId="34080"/>
    <cellStyle name="Debit subtotal 4 2 2 6" xfId="34081"/>
    <cellStyle name="Debit subtotal 4 2 2 7" xfId="34082"/>
    <cellStyle name="Debit subtotal 4 2 2 8" xfId="34083"/>
    <cellStyle name="Debit subtotal 4 2 2 9" xfId="34084"/>
    <cellStyle name="Debit subtotal 4 2 3" xfId="34085"/>
    <cellStyle name="Debit subtotal 4 2 3 10" xfId="34086"/>
    <cellStyle name="Debit subtotal 4 2 3 11" xfId="34087"/>
    <cellStyle name="Debit subtotal 4 2 3 12" xfId="34088"/>
    <cellStyle name="Debit subtotal 4 2 3 13" xfId="34089"/>
    <cellStyle name="Debit subtotal 4 2 3 14" xfId="34090"/>
    <cellStyle name="Debit subtotal 4 2 3 15" xfId="34091"/>
    <cellStyle name="Debit subtotal 4 2 3 16" xfId="34092"/>
    <cellStyle name="Debit subtotal 4 2 3 17" xfId="34093"/>
    <cellStyle name="Debit subtotal 4 2 3 18" xfId="34094"/>
    <cellStyle name="Debit subtotal 4 2 3 19" xfId="34095"/>
    <cellStyle name="Debit subtotal 4 2 3 2" xfId="34096"/>
    <cellStyle name="Debit subtotal 4 2 3 2 2" xfId="34097"/>
    <cellStyle name="Debit subtotal 4 2 3 2 3" xfId="34098"/>
    <cellStyle name="Debit subtotal 4 2 3 2 4" xfId="34099"/>
    <cellStyle name="Debit subtotal 4 2 3 2 5" xfId="34100"/>
    <cellStyle name="Debit subtotal 4 2 3 2 6" xfId="34101"/>
    <cellStyle name="Debit subtotal 4 2 3 2 7" xfId="34102"/>
    <cellStyle name="Debit subtotal 4 2 3 2 8" xfId="34103"/>
    <cellStyle name="Debit subtotal 4 2 3 2 9" xfId="34104"/>
    <cellStyle name="Debit subtotal 4 2 3 3" xfId="34105"/>
    <cellStyle name="Debit subtotal 4 2 3 4" xfId="34106"/>
    <cellStyle name="Debit subtotal 4 2 3 5" xfId="34107"/>
    <cellStyle name="Debit subtotal 4 2 3 6" xfId="34108"/>
    <cellStyle name="Debit subtotal 4 2 3 7" xfId="34109"/>
    <cellStyle name="Debit subtotal 4 2 3 8" xfId="34110"/>
    <cellStyle name="Debit subtotal 4 2 3 9" xfId="34111"/>
    <cellStyle name="Debit subtotal 4 2 4" xfId="34112"/>
    <cellStyle name="Debit subtotal 4 2 4 10" xfId="34113"/>
    <cellStyle name="Debit subtotal 4 2 4 11" xfId="34114"/>
    <cellStyle name="Debit subtotal 4 2 4 12" xfId="34115"/>
    <cellStyle name="Debit subtotal 4 2 4 13" xfId="34116"/>
    <cellStyle name="Debit subtotal 4 2 4 14" xfId="34117"/>
    <cellStyle name="Debit subtotal 4 2 4 15" xfId="34118"/>
    <cellStyle name="Debit subtotal 4 2 4 16" xfId="34119"/>
    <cellStyle name="Debit subtotal 4 2 4 17" xfId="34120"/>
    <cellStyle name="Debit subtotal 4 2 4 18" xfId="34121"/>
    <cellStyle name="Debit subtotal 4 2 4 2" xfId="34122"/>
    <cellStyle name="Debit subtotal 4 2 4 2 2" xfId="34123"/>
    <cellStyle name="Debit subtotal 4 2 4 2 3" xfId="34124"/>
    <cellStyle name="Debit subtotal 4 2 4 2 4" xfId="34125"/>
    <cellStyle name="Debit subtotal 4 2 4 2 5" xfId="34126"/>
    <cellStyle name="Debit subtotal 4 2 4 2 6" xfId="34127"/>
    <cellStyle name="Debit subtotal 4 2 4 2 7" xfId="34128"/>
    <cellStyle name="Debit subtotal 4 2 4 2 8" xfId="34129"/>
    <cellStyle name="Debit subtotal 4 2 4 2 9" xfId="34130"/>
    <cellStyle name="Debit subtotal 4 2 4 3" xfId="34131"/>
    <cellStyle name="Debit subtotal 4 2 4 4" xfId="34132"/>
    <cellStyle name="Debit subtotal 4 2 4 5" xfId="34133"/>
    <cellStyle name="Debit subtotal 4 2 4 6" xfId="34134"/>
    <cellStyle name="Debit subtotal 4 2 4 7" xfId="34135"/>
    <cellStyle name="Debit subtotal 4 2 4 8" xfId="34136"/>
    <cellStyle name="Debit subtotal 4 2 4 9" xfId="34137"/>
    <cellStyle name="Debit subtotal 4 2 5" xfId="34138"/>
    <cellStyle name="Debit subtotal 4 2 5 2" xfId="34139"/>
    <cellStyle name="Debit subtotal 4 2 5 3" xfId="34140"/>
    <cellStyle name="Debit subtotal 4 2 6" xfId="34141"/>
    <cellStyle name="Debit subtotal 4 3" xfId="34142"/>
    <cellStyle name="Debit subtotal 4 3 2" xfId="34143"/>
    <cellStyle name="Debit subtotal 4 3 2 10" xfId="34144"/>
    <cellStyle name="Debit subtotal 4 3 2 11" xfId="34145"/>
    <cellStyle name="Debit subtotal 4 3 2 12" xfId="34146"/>
    <cellStyle name="Debit subtotal 4 3 2 13" xfId="34147"/>
    <cellStyle name="Debit subtotal 4 3 2 14" xfId="34148"/>
    <cellStyle name="Debit subtotal 4 3 2 15" xfId="34149"/>
    <cellStyle name="Debit subtotal 4 3 2 16" xfId="34150"/>
    <cellStyle name="Debit subtotal 4 3 2 17" xfId="34151"/>
    <cellStyle name="Debit subtotal 4 3 2 18" xfId="34152"/>
    <cellStyle name="Debit subtotal 4 3 2 19" xfId="34153"/>
    <cellStyle name="Debit subtotal 4 3 2 2" xfId="34154"/>
    <cellStyle name="Debit subtotal 4 3 2 2 2" xfId="34155"/>
    <cellStyle name="Debit subtotal 4 3 2 2 3" xfId="34156"/>
    <cellStyle name="Debit subtotal 4 3 2 2 4" xfId="34157"/>
    <cellStyle name="Debit subtotal 4 3 2 2 5" xfId="34158"/>
    <cellStyle name="Debit subtotal 4 3 2 2 6" xfId="34159"/>
    <cellStyle name="Debit subtotal 4 3 2 2 7" xfId="34160"/>
    <cellStyle name="Debit subtotal 4 3 2 2 8" xfId="34161"/>
    <cellStyle name="Debit subtotal 4 3 2 2 9" xfId="34162"/>
    <cellStyle name="Debit subtotal 4 3 2 20" xfId="34163"/>
    <cellStyle name="Debit subtotal 4 3 2 21" xfId="34164"/>
    <cellStyle name="Debit subtotal 4 3 2 3" xfId="34165"/>
    <cellStyle name="Debit subtotal 4 3 2 4" xfId="34166"/>
    <cellStyle name="Debit subtotal 4 3 2 5" xfId="34167"/>
    <cellStyle name="Debit subtotal 4 3 2 6" xfId="34168"/>
    <cellStyle name="Debit subtotal 4 3 2 7" xfId="34169"/>
    <cellStyle name="Debit subtotal 4 3 2 8" xfId="34170"/>
    <cellStyle name="Debit subtotal 4 3 2 9" xfId="34171"/>
    <cellStyle name="Debit subtotal 4 3 3" xfId="34172"/>
    <cellStyle name="Debit subtotal 4 3 3 10" xfId="34173"/>
    <cellStyle name="Debit subtotal 4 3 3 11" xfId="34174"/>
    <cellStyle name="Debit subtotal 4 3 3 12" xfId="34175"/>
    <cellStyle name="Debit subtotal 4 3 3 13" xfId="34176"/>
    <cellStyle name="Debit subtotal 4 3 3 14" xfId="34177"/>
    <cellStyle name="Debit subtotal 4 3 3 15" xfId="34178"/>
    <cellStyle name="Debit subtotal 4 3 3 16" xfId="34179"/>
    <cellStyle name="Debit subtotal 4 3 3 17" xfId="34180"/>
    <cellStyle name="Debit subtotal 4 3 3 18" xfId="34181"/>
    <cellStyle name="Debit subtotal 4 3 3 19" xfId="34182"/>
    <cellStyle name="Debit subtotal 4 3 3 2" xfId="34183"/>
    <cellStyle name="Debit subtotal 4 3 3 2 2" xfId="34184"/>
    <cellStyle name="Debit subtotal 4 3 3 2 3" xfId="34185"/>
    <cellStyle name="Debit subtotal 4 3 3 2 4" xfId="34186"/>
    <cellStyle name="Debit subtotal 4 3 3 2 5" xfId="34187"/>
    <cellStyle name="Debit subtotal 4 3 3 2 6" xfId="34188"/>
    <cellStyle name="Debit subtotal 4 3 3 2 7" xfId="34189"/>
    <cellStyle name="Debit subtotal 4 3 3 2 8" xfId="34190"/>
    <cellStyle name="Debit subtotal 4 3 3 2 9" xfId="34191"/>
    <cellStyle name="Debit subtotal 4 3 3 3" xfId="34192"/>
    <cellStyle name="Debit subtotal 4 3 3 4" xfId="34193"/>
    <cellStyle name="Debit subtotal 4 3 3 5" xfId="34194"/>
    <cellStyle name="Debit subtotal 4 3 3 6" xfId="34195"/>
    <cellStyle name="Debit subtotal 4 3 3 7" xfId="34196"/>
    <cellStyle name="Debit subtotal 4 3 3 8" xfId="34197"/>
    <cellStyle name="Debit subtotal 4 3 3 9" xfId="34198"/>
    <cellStyle name="Debit subtotal 4 3 4" xfId="34199"/>
    <cellStyle name="Debit subtotal 4 3 4 10" xfId="34200"/>
    <cellStyle name="Debit subtotal 4 3 4 11" xfId="34201"/>
    <cellStyle name="Debit subtotal 4 3 4 12" xfId="34202"/>
    <cellStyle name="Debit subtotal 4 3 4 13" xfId="34203"/>
    <cellStyle name="Debit subtotal 4 3 4 14" xfId="34204"/>
    <cellStyle name="Debit subtotal 4 3 4 15" xfId="34205"/>
    <cellStyle name="Debit subtotal 4 3 4 16" xfId="34206"/>
    <cellStyle name="Debit subtotal 4 3 4 17" xfId="34207"/>
    <cellStyle name="Debit subtotal 4 3 4 18" xfId="34208"/>
    <cellStyle name="Debit subtotal 4 3 4 2" xfId="34209"/>
    <cellStyle name="Debit subtotal 4 3 4 2 2" xfId="34210"/>
    <cellStyle name="Debit subtotal 4 3 4 2 3" xfId="34211"/>
    <cellStyle name="Debit subtotal 4 3 4 2 4" xfId="34212"/>
    <cellStyle name="Debit subtotal 4 3 4 2 5" xfId="34213"/>
    <cellStyle name="Debit subtotal 4 3 4 2 6" xfId="34214"/>
    <cellStyle name="Debit subtotal 4 3 4 2 7" xfId="34215"/>
    <cellStyle name="Debit subtotal 4 3 4 2 8" xfId="34216"/>
    <cellStyle name="Debit subtotal 4 3 4 2 9" xfId="34217"/>
    <cellStyle name="Debit subtotal 4 3 4 3" xfId="34218"/>
    <cellStyle name="Debit subtotal 4 3 4 4" xfId="34219"/>
    <cellStyle name="Debit subtotal 4 3 4 5" xfId="34220"/>
    <cellStyle name="Debit subtotal 4 3 4 6" xfId="34221"/>
    <cellStyle name="Debit subtotal 4 3 4 7" xfId="34222"/>
    <cellStyle name="Debit subtotal 4 3 4 8" xfId="34223"/>
    <cellStyle name="Debit subtotal 4 3 4 9" xfId="34224"/>
    <cellStyle name="Debit subtotal 4 3 5" xfId="34225"/>
    <cellStyle name="Debit subtotal 4 3 5 2" xfId="34226"/>
    <cellStyle name="Debit subtotal 4 3 5 3" xfId="34227"/>
    <cellStyle name="Debit subtotal 4 3 6" xfId="34228"/>
    <cellStyle name="Debit subtotal 4 4" xfId="34229"/>
    <cellStyle name="Debit subtotal 4 4 10" xfId="34230"/>
    <cellStyle name="Debit subtotal 4 4 11" xfId="34231"/>
    <cellStyle name="Debit subtotal 4 4 12" xfId="34232"/>
    <cellStyle name="Debit subtotal 4 4 13" xfId="34233"/>
    <cellStyle name="Debit subtotal 4 4 14" xfId="34234"/>
    <cellStyle name="Debit subtotal 4 4 15" xfId="34235"/>
    <cellStyle name="Debit subtotal 4 4 16" xfId="34236"/>
    <cellStyle name="Debit subtotal 4 4 17" xfId="34237"/>
    <cellStyle name="Debit subtotal 4 4 18" xfId="34238"/>
    <cellStyle name="Debit subtotal 4 4 19" xfId="34239"/>
    <cellStyle name="Debit subtotal 4 4 2" xfId="34240"/>
    <cellStyle name="Debit subtotal 4 4 2 2" xfId="34241"/>
    <cellStyle name="Debit subtotal 4 4 2 3" xfId="34242"/>
    <cellStyle name="Debit subtotal 4 4 2 4" xfId="34243"/>
    <cellStyle name="Debit subtotal 4 4 2 5" xfId="34244"/>
    <cellStyle name="Debit subtotal 4 4 2 6" xfId="34245"/>
    <cellStyle name="Debit subtotal 4 4 2 7" xfId="34246"/>
    <cellStyle name="Debit subtotal 4 4 2 8" xfId="34247"/>
    <cellStyle name="Debit subtotal 4 4 2 9" xfId="34248"/>
    <cellStyle name="Debit subtotal 4 4 20" xfId="34249"/>
    <cellStyle name="Debit subtotal 4 4 21" xfId="34250"/>
    <cellStyle name="Debit subtotal 4 4 3" xfId="34251"/>
    <cellStyle name="Debit subtotal 4 4 4" xfId="34252"/>
    <cellStyle name="Debit subtotal 4 4 5" xfId="34253"/>
    <cellStyle name="Debit subtotal 4 4 6" xfId="34254"/>
    <cellStyle name="Debit subtotal 4 4 7" xfId="34255"/>
    <cellStyle name="Debit subtotal 4 4 8" xfId="34256"/>
    <cellStyle name="Debit subtotal 4 4 9" xfId="34257"/>
    <cellStyle name="Debit subtotal 4 5" xfId="34258"/>
    <cellStyle name="Debit subtotal 4 5 10" xfId="34259"/>
    <cellStyle name="Debit subtotal 4 5 11" xfId="34260"/>
    <cellStyle name="Debit subtotal 4 5 12" xfId="34261"/>
    <cellStyle name="Debit subtotal 4 5 13" xfId="34262"/>
    <cellStyle name="Debit subtotal 4 5 14" xfId="34263"/>
    <cellStyle name="Debit subtotal 4 5 15" xfId="34264"/>
    <cellStyle name="Debit subtotal 4 5 16" xfId="34265"/>
    <cellStyle name="Debit subtotal 4 5 17" xfId="34266"/>
    <cellStyle name="Debit subtotal 4 5 18" xfId="34267"/>
    <cellStyle name="Debit subtotal 4 5 19" xfId="34268"/>
    <cellStyle name="Debit subtotal 4 5 2" xfId="34269"/>
    <cellStyle name="Debit subtotal 4 5 2 2" xfId="34270"/>
    <cellStyle name="Debit subtotal 4 5 2 3" xfId="34271"/>
    <cellStyle name="Debit subtotal 4 5 2 4" xfId="34272"/>
    <cellStyle name="Debit subtotal 4 5 2 5" xfId="34273"/>
    <cellStyle name="Debit subtotal 4 5 2 6" xfId="34274"/>
    <cellStyle name="Debit subtotal 4 5 2 7" xfId="34275"/>
    <cellStyle name="Debit subtotal 4 5 2 8" xfId="34276"/>
    <cellStyle name="Debit subtotal 4 5 2 9" xfId="34277"/>
    <cellStyle name="Debit subtotal 4 5 3" xfId="34278"/>
    <cellStyle name="Debit subtotal 4 5 4" xfId="34279"/>
    <cellStyle name="Debit subtotal 4 5 5" xfId="34280"/>
    <cellStyle name="Debit subtotal 4 5 6" xfId="34281"/>
    <cellStyle name="Debit subtotal 4 5 7" xfId="34282"/>
    <cellStyle name="Debit subtotal 4 5 8" xfId="34283"/>
    <cellStyle name="Debit subtotal 4 5 9" xfId="34284"/>
    <cellStyle name="Debit subtotal 4 6" xfId="34285"/>
    <cellStyle name="Debit subtotal 4 6 10" xfId="34286"/>
    <cellStyle name="Debit subtotal 4 6 11" xfId="34287"/>
    <cellStyle name="Debit subtotal 4 6 12" xfId="34288"/>
    <cellStyle name="Debit subtotal 4 6 13" xfId="34289"/>
    <cellStyle name="Debit subtotal 4 6 14" xfId="34290"/>
    <cellStyle name="Debit subtotal 4 6 15" xfId="34291"/>
    <cellStyle name="Debit subtotal 4 6 16" xfId="34292"/>
    <cellStyle name="Debit subtotal 4 6 17" xfId="34293"/>
    <cellStyle name="Debit subtotal 4 6 18" xfId="34294"/>
    <cellStyle name="Debit subtotal 4 6 2" xfId="34295"/>
    <cellStyle name="Debit subtotal 4 6 2 2" xfId="34296"/>
    <cellStyle name="Debit subtotal 4 6 2 3" xfId="34297"/>
    <cellStyle name="Debit subtotal 4 6 2 4" xfId="34298"/>
    <cellStyle name="Debit subtotal 4 6 2 5" xfId="34299"/>
    <cellStyle name="Debit subtotal 4 6 2 6" xfId="34300"/>
    <cellStyle name="Debit subtotal 4 6 2 7" xfId="34301"/>
    <cellStyle name="Debit subtotal 4 6 2 8" xfId="34302"/>
    <cellStyle name="Debit subtotal 4 6 2 9" xfId="34303"/>
    <cellStyle name="Debit subtotal 4 6 3" xfId="34304"/>
    <cellStyle name="Debit subtotal 4 6 4" xfId="34305"/>
    <cellStyle name="Debit subtotal 4 6 5" xfId="34306"/>
    <cellStyle name="Debit subtotal 4 6 6" xfId="34307"/>
    <cellStyle name="Debit subtotal 4 6 7" xfId="34308"/>
    <cellStyle name="Debit subtotal 4 6 8" xfId="34309"/>
    <cellStyle name="Debit subtotal 4 6 9" xfId="34310"/>
    <cellStyle name="Debit subtotal 4 7" xfId="34311"/>
    <cellStyle name="Debit subtotal 4 7 2" xfId="34312"/>
    <cellStyle name="Debit subtotal 4 7 3" xfId="34313"/>
    <cellStyle name="Debit subtotal 4 8" xfId="34314"/>
    <cellStyle name="Debit subtotal 5" xfId="34315"/>
    <cellStyle name="Debit subtotal 5 2" xfId="34316"/>
    <cellStyle name="Debit subtotal 5 2 2" xfId="34317"/>
    <cellStyle name="Debit subtotal 5 2 2 10" xfId="34318"/>
    <cellStyle name="Debit subtotal 5 2 2 11" xfId="34319"/>
    <cellStyle name="Debit subtotal 5 2 2 12" xfId="34320"/>
    <cellStyle name="Debit subtotal 5 2 2 13" xfId="34321"/>
    <cellStyle name="Debit subtotal 5 2 2 14" xfId="34322"/>
    <cellStyle name="Debit subtotal 5 2 2 15" xfId="34323"/>
    <cellStyle name="Debit subtotal 5 2 2 16" xfId="34324"/>
    <cellStyle name="Debit subtotal 5 2 2 17" xfId="34325"/>
    <cellStyle name="Debit subtotal 5 2 2 18" xfId="34326"/>
    <cellStyle name="Debit subtotal 5 2 2 19" xfId="34327"/>
    <cellStyle name="Debit subtotal 5 2 2 2" xfId="34328"/>
    <cellStyle name="Debit subtotal 5 2 2 2 2" xfId="34329"/>
    <cellStyle name="Debit subtotal 5 2 2 2 3" xfId="34330"/>
    <cellStyle name="Debit subtotal 5 2 2 2 4" xfId="34331"/>
    <cellStyle name="Debit subtotal 5 2 2 2 5" xfId="34332"/>
    <cellStyle name="Debit subtotal 5 2 2 2 6" xfId="34333"/>
    <cellStyle name="Debit subtotal 5 2 2 2 7" xfId="34334"/>
    <cellStyle name="Debit subtotal 5 2 2 2 8" xfId="34335"/>
    <cellStyle name="Debit subtotal 5 2 2 2 9" xfId="34336"/>
    <cellStyle name="Debit subtotal 5 2 2 20" xfId="34337"/>
    <cellStyle name="Debit subtotal 5 2 2 21" xfId="34338"/>
    <cellStyle name="Debit subtotal 5 2 2 3" xfId="34339"/>
    <cellStyle name="Debit subtotal 5 2 2 4" xfId="34340"/>
    <cellStyle name="Debit subtotal 5 2 2 5" xfId="34341"/>
    <cellStyle name="Debit subtotal 5 2 2 6" xfId="34342"/>
    <cellStyle name="Debit subtotal 5 2 2 7" xfId="34343"/>
    <cellStyle name="Debit subtotal 5 2 2 8" xfId="34344"/>
    <cellStyle name="Debit subtotal 5 2 2 9" xfId="34345"/>
    <cellStyle name="Debit subtotal 5 2 3" xfId="34346"/>
    <cellStyle name="Debit subtotal 5 2 3 10" xfId="34347"/>
    <cellStyle name="Debit subtotal 5 2 3 11" xfId="34348"/>
    <cellStyle name="Debit subtotal 5 2 3 12" xfId="34349"/>
    <cellStyle name="Debit subtotal 5 2 3 13" xfId="34350"/>
    <cellStyle name="Debit subtotal 5 2 3 14" xfId="34351"/>
    <cellStyle name="Debit subtotal 5 2 3 15" xfId="34352"/>
    <cellStyle name="Debit subtotal 5 2 3 16" xfId="34353"/>
    <cellStyle name="Debit subtotal 5 2 3 17" xfId="34354"/>
    <cellStyle name="Debit subtotal 5 2 3 18" xfId="34355"/>
    <cellStyle name="Debit subtotal 5 2 3 19" xfId="34356"/>
    <cellStyle name="Debit subtotal 5 2 3 2" xfId="34357"/>
    <cellStyle name="Debit subtotal 5 2 3 2 2" xfId="34358"/>
    <cellStyle name="Debit subtotal 5 2 3 2 3" xfId="34359"/>
    <cellStyle name="Debit subtotal 5 2 3 2 4" xfId="34360"/>
    <cellStyle name="Debit subtotal 5 2 3 2 5" xfId="34361"/>
    <cellStyle name="Debit subtotal 5 2 3 2 6" xfId="34362"/>
    <cellStyle name="Debit subtotal 5 2 3 2 7" xfId="34363"/>
    <cellStyle name="Debit subtotal 5 2 3 2 8" xfId="34364"/>
    <cellStyle name="Debit subtotal 5 2 3 2 9" xfId="34365"/>
    <cellStyle name="Debit subtotal 5 2 3 3" xfId="34366"/>
    <cellStyle name="Debit subtotal 5 2 3 4" xfId="34367"/>
    <cellStyle name="Debit subtotal 5 2 3 5" xfId="34368"/>
    <cellStyle name="Debit subtotal 5 2 3 6" xfId="34369"/>
    <cellStyle name="Debit subtotal 5 2 3 7" xfId="34370"/>
    <cellStyle name="Debit subtotal 5 2 3 8" xfId="34371"/>
    <cellStyle name="Debit subtotal 5 2 3 9" xfId="34372"/>
    <cellStyle name="Debit subtotal 5 2 4" xfId="34373"/>
    <cellStyle name="Debit subtotal 5 2 4 10" xfId="34374"/>
    <cellStyle name="Debit subtotal 5 2 4 11" xfId="34375"/>
    <cellStyle name="Debit subtotal 5 2 4 12" xfId="34376"/>
    <cellStyle name="Debit subtotal 5 2 4 13" xfId="34377"/>
    <cellStyle name="Debit subtotal 5 2 4 14" xfId="34378"/>
    <cellStyle name="Debit subtotal 5 2 4 15" xfId="34379"/>
    <cellStyle name="Debit subtotal 5 2 4 16" xfId="34380"/>
    <cellStyle name="Debit subtotal 5 2 4 17" xfId="34381"/>
    <cellStyle name="Debit subtotal 5 2 4 18" xfId="34382"/>
    <cellStyle name="Debit subtotal 5 2 4 2" xfId="34383"/>
    <cellStyle name="Debit subtotal 5 2 4 2 2" xfId="34384"/>
    <cellStyle name="Debit subtotal 5 2 4 2 3" xfId="34385"/>
    <cellStyle name="Debit subtotal 5 2 4 2 4" xfId="34386"/>
    <cellStyle name="Debit subtotal 5 2 4 2 5" xfId="34387"/>
    <cellStyle name="Debit subtotal 5 2 4 2 6" xfId="34388"/>
    <cellStyle name="Debit subtotal 5 2 4 2 7" xfId="34389"/>
    <cellStyle name="Debit subtotal 5 2 4 2 8" xfId="34390"/>
    <cellStyle name="Debit subtotal 5 2 4 2 9" xfId="34391"/>
    <cellStyle name="Debit subtotal 5 2 4 3" xfId="34392"/>
    <cellStyle name="Debit subtotal 5 2 4 4" xfId="34393"/>
    <cellStyle name="Debit subtotal 5 2 4 5" xfId="34394"/>
    <cellStyle name="Debit subtotal 5 2 4 6" xfId="34395"/>
    <cellStyle name="Debit subtotal 5 2 4 7" xfId="34396"/>
    <cellStyle name="Debit subtotal 5 2 4 8" xfId="34397"/>
    <cellStyle name="Debit subtotal 5 2 4 9" xfId="34398"/>
    <cellStyle name="Debit subtotal 5 2 5" xfId="34399"/>
    <cellStyle name="Debit subtotal 5 2 5 2" xfId="34400"/>
    <cellStyle name="Debit subtotal 5 2 5 3" xfId="34401"/>
    <cellStyle name="Debit subtotal 5 2 6" xfId="34402"/>
    <cellStyle name="Debit subtotal 5 3" xfId="34403"/>
    <cellStyle name="Debit subtotal 5 3 2" xfId="34404"/>
    <cellStyle name="Debit subtotal 5 3 2 10" xfId="34405"/>
    <cellStyle name="Debit subtotal 5 3 2 11" xfId="34406"/>
    <cellStyle name="Debit subtotal 5 3 2 12" xfId="34407"/>
    <cellStyle name="Debit subtotal 5 3 2 13" xfId="34408"/>
    <cellStyle name="Debit subtotal 5 3 2 14" xfId="34409"/>
    <cellStyle name="Debit subtotal 5 3 2 15" xfId="34410"/>
    <cellStyle name="Debit subtotal 5 3 2 16" xfId="34411"/>
    <cellStyle name="Debit subtotal 5 3 2 17" xfId="34412"/>
    <cellStyle name="Debit subtotal 5 3 2 18" xfId="34413"/>
    <cellStyle name="Debit subtotal 5 3 2 19" xfId="34414"/>
    <cellStyle name="Debit subtotal 5 3 2 2" xfId="34415"/>
    <cellStyle name="Debit subtotal 5 3 2 2 2" xfId="34416"/>
    <cellStyle name="Debit subtotal 5 3 2 2 3" xfId="34417"/>
    <cellStyle name="Debit subtotal 5 3 2 2 4" xfId="34418"/>
    <cellStyle name="Debit subtotal 5 3 2 2 5" xfId="34419"/>
    <cellStyle name="Debit subtotal 5 3 2 2 6" xfId="34420"/>
    <cellStyle name="Debit subtotal 5 3 2 2 7" xfId="34421"/>
    <cellStyle name="Debit subtotal 5 3 2 2 8" xfId="34422"/>
    <cellStyle name="Debit subtotal 5 3 2 2 9" xfId="34423"/>
    <cellStyle name="Debit subtotal 5 3 2 20" xfId="34424"/>
    <cellStyle name="Debit subtotal 5 3 2 21" xfId="34425"/>
    <cellStyle name="Debit subtotal 5 3 2 3" xfId="34426"/>
    <cellStyle name="Debit subtotal 5 3 2 4" xfId="34427"/>
    <cellStyle name="Debit subtotal 5 3 2 5" xfId="34428"/>
    <cellStyle name="Debit subtotal 5 3 2 6" xfId="34429"/>
    <cellStyle name="Debit subtotal 5 3 2 7" xfId="34430"/>
    <cellStyle name="Debit subtotal 5 3 2 8" xfId="34431"/>
    <cellStyle name="Debit subtotal 5 3 2 9" xfId="34432"/>
    <cellStyle name="Debit subtotal 5 3 3" xfId="34433"/>
    <cellStyle name="Debit subtotal 5 3 3 10" xfId="34434"/>
    <cellStyle name="Debit subtotal 5 3 3 11" xfId="34435"/>
    <cellStyle name="Debit subtotal 5 3 3 12" xfId="34436"/>
    <cellStyle name="Debit subtotal 5 3 3 13" xfId="34437"/>
    <cellStyle name="Debit subtotal 5 3 3 14" xfId="34438"/>
    <cellStyle name="Debit subtotal 5 3 3 15" xfId="34439"/>
    <cellStyle name="Debit subtotal 5 3 3 16" xfId="34440"/>
    <cellStyle name="Debit subtotal 5 3 3 17" xfId="34441"/>
    <cellStyle name="Debit subtotal 5 3 3 18" xfId="34442"/>
    <cellStyle name="Debit subtotal 5 3 3 19" xfId="34443"/>
    <cellStyle name="Debit subtotal 5 3 3 2" xfId="34444"/>
    <cellStyle name="Debit subtotal 5 3 3 2 2" xfId="34445"/>
    <cellStyle name="Debit subtotal 5 3 3 2 3" xfId="34446"/>
    <cellStyle name="Debit subtotal 5 3 3 2 4" xfId="34447"/>
    <cellStyle name="Debit subtotal 5 3 3 2 5" xfId="34448"/>
    <cellStyle name="Debit subtotal 5 3 3 2 6" xfId="34449"/>
    <cellStyle name="Debit subtotal 5 3 3 2 7" xfId="34450"/>
    <cellStyle name="Debit subtotal 5 3 3 2 8" xfId="34451"/>
    <cellStyle name="Debit subtotal 5 3 3 2 9" xfId="34452"/>
    <cellStyle name="Debit subtotal 5 3 3 3" xfId="34453"/>
    <cellStyle name="Debit subtotal 5 3 3 4" xfId="34454"/>
    <cellStyle name="Debit subtotal 5 3 3 5" xfId="34455"/>
    <cellStyle name="Debit subtotal 5 3 3 6" xfId="34456"/>
    <cellStyle name="Debit subtotal 5 3 3 7" xfId="34457"/>
    <cellStyle name="Debit subtotal 5 3 3 8" xfId="34458"/>
    <cellStyle name="Debit subtotal 5 3 3 9" xfId="34459"/>
    <cellStyle name="Debit subtotal 5 3 4" xfId="34460"/>
    <cellStyle name="Debit subtotal 5 3 4 10" xfId="34461"/>
    <cellStyle name="Debit subtotal 5 3 4 11" xfId="34462"/>
    <cellStyle name="Debit subtotal 5 3 4 12" xfId="34463"/>
    <cellStyle name="Debit subtotal 5 3 4 13" xfId="34464"/>
    <cellStyle name="Debit subtotal 5 3 4 14" xfId="34465"/>
    <cellStyle name="Debit subtotal 5 3 4 15" xfId="34466"/>
    <cellStyle name="Debit subtotal 5 3 4 16" xfId="34467"/>
    <cellStyle name="Debit subtotal 5 3 4 17" xfId="34468"/>
    <cellStyle name="Debit subtotal 5 3 4 18" xfId="34469"/>
    <cellStyle name="Debit subtotal 5 3 4 2" xfId="34470"/>
    <cellStyle name="Debit subtotal 5 3 4 2 2" xfId="34471"/>
    <cellStyle name="Debit subtotal 5 3 4 2 3" xfId="34472"/>
    <cellStyle name="Debit subtotal 5 3 4 2 4" xfId="34473"/>
    <cellStyle name="Debit subtotal 5 3 4 2 5" xfId="34474"/>
    <cellStyle name="Debit subtotal 5 3 4 2 6" xfId="34475"/>
    <cellStyle name="Debit subtotal 5 3 4 2 7" xfId="34476"/>
    <cellStyle name="Debit subtotal 5 3 4 2 8" xfId="34477"/>
    <cellStyle name="Debit subtotal 5 3 4 2 9" xfId="34478"/>
    <cellStyle name="Debit subtotal 5 3 4 3" xfId="34479"/>
    <cellStyle name="Debit subtotal 5 3 4 4" xfId="34480"/>
    <cellStyle name="Debit subtotal 5 3 4 5" xfId="34481"/>
    <cellStyle name="Debit subtotal 5 3 4 6" xfId="34482"/>
    <cellStyle name="Debit subtotal 5 3 4 7" xfId="34483"/>
    <cellStyle name="Debit subtotal 5 3 4 8" xfId="34484"/>
    <cellStyle name="Debit subtotal 5 3 4 9" xfId="34485"/>
    <cellStyle name="Debit subtotal 5 3 5" xfId="34486"/>
    <cellStyle name="Debit subtotal 5 3 5 2" xfId="34487"/>
    <cellStyle name="Debit subtotal 5 3 5 3" xfId="34488"/>
    <cellStyle name="Debit subtotal 5 3 6" xfId="34489"/>
    <cellStyle name="Debit subtotal 5 4" xfId="34490"/>
    <cellStyle name="Debit subtotal 5 4 10" xfId="34491"/>
    <cellStyle name="Debit subtotal 5 4 11" xfId="34492"/>
    <cellStyle name="Debit subtotal 5 4 12" xfId="34493"/>
    <cellStyle name="Debit subtotal 5 4 13" xfId="34494"/>
    <cellStyle name="Debit subtotal 5 4 14" xfId="34495"/>
    <cellStyle name="Debit subtotal 5 4 15" xfId="34496"/>
    <cellStyle name="Debit subtotal 5 4 16" xfId="34497"/>
    <cellStyle name="Debit subtotal 5 4 17" xfId="34498"/>
    <cellStyle name="Debit subtotal 5 4 18" xfId="34499"/>
    <cellStyle name="Debit subtotal 5 4 19" xfId="34500"/>
    <cellStyle name="Debit subtotal 5 4 2" xfId="34501"/>
    <cellStyle name="Debit subtotal 5 4 2 2" xfId="34502"/>
    <cellStyle name="Debit subtotal 5 4 2 3" xfId="34503"/>
    <cellStyle name="Debit subtotal 5 4 2 4" xfId="34504"/>
    <cellStyle name="Debit subtotal 5 4 2 5" xfId="34505"/>
    <cellStyle name="Debit subtotal 5 4 2 6" xfId="34506"/>
    <cellStyle name="Debit subtotal 5 4 2 7" xfId="34507"/>
    <cellStyle name="Debit subtotal 5 4 2 8" xfId="34508"/>
    <cellStyle name="Debit subtotal 5 4 2 9" xfId="34509"/>
    <cellStyle name="Debit subtotal 5 4 20" xfId="34510"/>
    <cellStyle name="Debit subtotal 5 4 21" xfId="34511"/>
    <cellStyle name="Debit subtotal 5 4 3" xfId="34512"/>
    <cellStyle name="Debit subtotal 5 4 4" xfId="34513"/>
    <cellStyle name="Debit subtotal 5 4 5" xfId="34514"/>
    <cellStyle name="Debit subtotal 5 4 6" xfId="34515"/>
    <cellStyle name="Debit subtotal 5 4 7" xfId="34516"/>
    <cellStyle name="Debit subtotal 5 4 8" xfId="34517"/>
    <cellStyle name="Debit subtotal 5 4 9" xfId="34518"/>
    <cellStyle name="Debit subtotal 5 5" xfId="34519"/>
    <cellStyle name="Debit subtotal 5 5 10" xfId="34520"/>
    <cellStyle name="Debit subtotal 5 5 11" xfId="34521"/>
    <cellStyle name="Debit subtotal 5 5 12" xfId="34522"/>
    <cellStyle name="Debit subtotal 5 5 13" xfId="34523"/>
    <cellStyle name="Debit subtotal 5 5 14" xfId="34524"/>
    <cellStyle name="Debit subtotal 5 5 15" xfId="34525"/>
    <cellStyle name="Debit subtotal 5 5 16" xfId="34526"/>
    <cellStyle name="Debit subtotal 5 5 17" xfId="34527"/>
    <cellStyle name="Debit subtotal 5 5 18" xfId="34528"/>
    <cellStyle name="Debit subtotal 5 5 19" xfId="34529"/>
    <cellStyle name="Debit subtotal 5 5 2" xfId="34530"/>
    <cellStyle name="Debit subtotal 5 5 2 2" xfId="34531"/>
    <cellStyle name="Debit subtotal 5 5 2 3" xfId="34532"/>
    <cellStyle name="Debit subtotal 5 5 2 4" xfId="34533"/>
    <cellStyle name="Debit subtotal 5 5 2 5" xfId="34534"/>
    <cellStyle name="Debit subtotal 5 5 2 6" xfId="34535"/>
    <cellStyle name="Debit subtotal 5 5 2 7" xfId="34536"/>
    <cellStyle name="Debit subtotal 5 5 2 8" xfId="34537"/>
    <cellStyle name="Debit subtotal 5 5 2 9" xfId="34538"/>
    <cellStyle name="Debit subtotal 5 5 3" xfId="34539"/>
    <cellStyle name="Debit subtotal 5 5 4" xfId="34540"/>
    <cellStyle name="Debit subtotal 5 5 5" xfId="34541"/>
    <cellStyle name="Debit subtotal 5 5 6" xfId="34542"/>
    <cellStyle name="Debit subtotal 5 5 7" xfId="34543"/>
    <cellStyle name="Debit subtotal 5 5 8" xfId="34544"/>
    <cellStyle name="Debit subtotal 5 5 9" xfId="34545"/>
    <cellStyle name="Debit subtotal 5 6" xfId="34546"/>
    <cellStyle name="Debit subtotal 5 6 10" xfId="34547"/>
    <cellStyle name="Debit subtotal 5 6 11" xfId="34548"/>
    <cellStyle name="Debit subtotal 5 6 12" xfId="34549"/>
    <cellStyle name="Debit subtotal 5 6 13" xfId="34550"/>
    <cellStyle name="Debit subtotal 5 6 14" xfId="34551"/>
    <cellStyle name="Debit subtotal 5 6 15" xfId="34552"/>
    <cellStyle name="Debit subtotal 5 6 16" xfId="34553"/>
    <cellStyle name="Debit subtotal 5 6 17" xfId="34554"/>
    <cellStyle name="Debit subtotal 5 6 18" xfId="34555"/>
    <cellStyle name="Debit subtotal 5 6 2" xfId="34556"/>
    <cellStyle name="Debit subtotal 5 6 2 2" xfId="34557"/>
    <cellStyle name="Debit subtotal 5 6 2 3" xfId="34558"/>
    <cellStyle name="Debit subtotal 5 6 2 4" xfId="34559"/>
    <cellStyle name="Debit subtotal 5 6 2 5" xfId="34560"/>
    <cellStyle name="Debit subtotal 5 6 2 6" xfId="34561"/>
    <cellStyle name="Debit subtotal 5 6 2 7" xfId="34562"/>
    <cellStyle name="Debit subtotal 5 6 2 8" xfId="34563"/>
    <cellStyle name="Debit subtotal 5 6 2 9" xfId="34564"/>
    <cellStyle name="Debit subtotal 5 6 3" xfId="34565"/>
    <cellStyle name="Debit subtotal 5 6 4" xfId="34566"/>
    <cellStyle name="Debit subtotal 5 6 5" xfId="34567"/>
    <cellStyle name="Debit subtotal 5 6 6" xfId="34568"/>
    <cellStyle name="Debit subtotal 5 6 7" xfId="34569"/>
    <cellStyle name="Debit subtotal 5 6 8" xfId="34570"/>
    <cellStyle name="Debit subtotal 5 6 9" xfId="34571"/>
    <cellStyle name="Debit subtotal 5 7" xfId="34572"/>
    <cellStyle name="Debit subtotal 5 7 2" xfId="34573"/>
    <cellStyle name="Debit subtotal 5 7 3" xfId="34574"/>
    <cellStyle name="Debit subtotal 5 8" xfId="34575"/>
    <cellStyle name="Debit subtotal 6" xfId="34576"/>
    <cellStyle name="Debit subtotal 6 2" xfId="34577"/>
    <cellStyle name="Debit subtotal 6 2 2" xfId="34578"/>
    <cellStyle name="Debit subtotal 6 2 2 10" xfId="34579"/>
    <cellStyle name="Debit subtotal 6 2 2 11" xfId="34580"/>
    <cellStyle name="Debit subtotal 6 2 2 12" xfId="34581"/>
    <cellStyle name="Debit subtotal 6 2 2 13" xfId="34582"/>
    <cellStyle name="Debit subtotal 6 2 2 14" xfId="34583"/>
    <cellStyle name="Debit subtotal 6 2 2 15" xfId="34584"/>
    <cellStyle name="Debit subtotal 6 2 2 16" xfId="34585"/>
    <cellStyle name="Debit subtotal 6 2 2 17" xfId="34586"/>
    <cellStyle name="Debit subtotal 6 2 2 18" xfId="34587"/>
    <cellStyle name="Debit subtotal 6 2 2 19" xfId="34588"/>
    <cellStyle name="Debit subtotal 6 2 2 2" xfId="34589"/>
    <cellStyle name="Debit subtotal 6 2 2 2 2" xfId="34590"/>
    <cellStyle name="Debit subtotal 6 2 2 2 3" xfId="34591"/>
    <cellStyle name="Debit subtotal 6 2 2 2 4" xfId="34592"/>
    <cellStyle name="Debit subtotal 6 2 2 2 5" xfId="34593"/>
    <cellStyle name="Debit subtotal 6 2 2 2 6" xfId="34594"/>
    <cellStyle name="Debit subtotal 6 2 2 2 7" xfId="34595"/>
    <cellStyle name="Debit subtotal 6 2 2 2 8" xfId="34596"/>
    <cellStyle name="Debit subtotal 6 2 2 2 9" xfId="34597"/>
    <cellStyle name="Debit subtotal 6 2 2 20" xfId="34598"/>
    <cellStyle name="Debit subtotal 6 2 2 21" xfId="34599"/>
    <cellStyle name="Debit subtotal 6 2 2 3" xfId="34600"/>
    <cellStyle name="Debit subtotal 6 2 2 4" xfId="34601"/>
    <cellStyle name="Debit subtotal 6 2 2 5" xfId="34602"/>
    <cellStyle name="Debit subtotal 6 2 2 6" xfId="34603"/>
    <cellStyle name="Debit subtotal 6 2 2 7" xfId="34604"/>
    <cellStyle name="Debit subtotal 6 2 2 8" xfId="34605"/>
    <cellStyle name="Debit subtotal 6 2 2 9" xfId="34606"/>
    <cellStyle name="Debit subtotal 6 2 3" xfId="34607"/>
    <cellStyle name="Debit subtotal 6 2 3 10" xfId="34608"/>
    <cellStyle name="Debit subtotal 6 2 3 11" xfId="34609"/>
    <cellStyle name="Debit subtotal 6 2 3 12" xfId="34610"/>
    <cellStyle name="Debit subtotal 6 2 3 13" xfId="34611"/>
    <cellStyle name="Debit subtotal 6 2 3 14" xfId="34612"/>
    <cellStyle name="Debit subtotal 6 2 3 15" xfId="34613"/>
    <cellStyle name="Debit subtotal 6 2 3 16" xfId="34614"/>
    <cellStyle name="Debit subtotal 6 2 3 17" xfId="34615"/>
    <cellStyle name="Debit subtotal 6 2 3 18" xfId="34616"/>
    <cellStyle name="Debit subtotal 6 2 3 19" xfId="34617"/>
    <cellStyle name="Debit subtotal 6 2 3 2" xfId="34618"/>
    <cellStyle name="Debit subtotal 6 2 3 2 2" xfId="34619"/>
    <cellStyle name="Debit subtotal 6 2 3 2 3" xfId="34620"/>
    <cellStyle name="Debit subtotal 6 2 3 2 4" xfId="34621"/>
    <cellStyle name="Debit subtotal 6 2 3 2 5" xfId="34622"/>
    <cellStyle name="Debit subtotal 6 2 3 2 6" xfId="34623"/>
    <cellStyle name="Debit subtotal 6 2 3 2 7" xfId="34624"/>
    <cellStyle name="Debit subtotal 6 2 3 2 8" xfId="34625"/>
    <cellStyle name="Debit subtotal 6 2 3 2 9" xfId="34626"/>
    <cellStyle name="Debit subtotal 6 2 3 3" xfId="34627"/>
    <cellStyle name="Debit subtotal 6 2 3 4" xfId="34628"/>
    <cellStyle name="Debit subtotal 6 2 3 5" xfId="34629"/>
    <cellStyle name="Debit subtotal 6 2 3 6" xfId="34630"/>
    <cellStyle name="Debit subtotal 6 2 3 7" xfId="34631"/>
    <cellStyle name="Debit subtotal 6 2 3 8" xfId="34632"/>
    <cellStyle name="Debit subtotal 6 2 3 9" xfId="34633"/>
    <cellStyle name="Debit subtotal 6 2 4" xfId="34634"/>
    <cellStyle name="Debit subtotal 6 2 4 10" xfId="34635"/>
    <cellStyle name="Debit subtotal 6 2 4 11" xfId="34636"/>
    <cellStyle name="Debit subtotal 6 2 4 12" xfId="34637"/>
    <cellStyle name="Debit subtotal 6 2 4 13" xfId="34638"/>
    <cellStyle name="Debit subtotal 6 2 4 14" xfId="34639"/>
    <cellStyle name="Debit subtotal 6 2 4 15" xfId="34640"/>
    <cellStyle name="Debit subtotal 6 2 4 16" xfId="34641"/>
    <cellStyle name="Debit subtotal 6 2 4 17" xfId="34642"/>
    <cellStyle name="Debit subtotal 6 2 4 18" xfId="34643"/>
    <cellStyle name="Debit subtotal 6 2 4 2" xfId="34644"/>
    <cellStyle name="Debit subtotal 6 2 4 2 2" xfId="34645"/>
    <cellStyle name="Debit subtotal 6 2 4 2 3" xfId="34646"/>
    <cellStyle name="Debit subtotal 6 2 4 2 4" xfId="34647"/>
    <cellStyle name="Debit subtotal 6 2 4 2 5" xfId="34648"/>
    <cellStyle name="Debit subtotal 6 2 4 2 6" xfId="34649"/>
    <cellStyle name="Debit subtotal 6 2 4 2 7" xfId="34650"/>
    <cellStyle name="Debit subtotal 6 2 4 2 8" xfId="34651"/>
    <cellStyle name="Debit subtotal 6 2 4 2 9" xfId="34652"/>
    <cellStyle name="Debit subtotal 6 2 4 3" xfId="34653"/>
    <cellStyle name="Debit subtotal 6 2 4 4" xfId="34654"/>
    <cellStyle name="Debit subtotal 6 2 4 5" xfId="34655"/>
    <cellStyle name="Debit subtotal 6 2 4 6" xfId="34656"/>
    <cellStyle name="Debit subtotal 6 2 4 7" xfId="34657"/>
    <cellStyle name="Debit subtotal 6 2 4 8" xfId="34658"/>
    <cellStyle name="Debit subtotal 6 2 4 9" xfId="34659"/>
    <cellStyle name="Debit subtotal 6 2 5" xfId="34660"/>
    <cellStyle name="Debit subtotal 6 2 5 2" xfId="34661"/>
    <cellStyle name="Debit subtotal 6 2 5 3" xfId="34662"/>
    <cellStyle name="Debit subtotal 6 2 6" xfId="34663"/>
    <cellStyle name="Debit subtotal 6 3" xfId="34664"/>
    <cellStyle name="Debit subtotal 6 3 2" xfId="34665"/>
    <cellStyle name="Debit subtotal 6 3 2 10" xfId="34666"/>
    <cellStyle name="Debit subtotal 6 3 2 11" xfId="34667"/>
    <cellStyle name="Debit subtotal 6 3 2 12" xfId="34668"/>
    <cellStyle name="Debit subtotal 6 3 2 13" xfId="34669"/>
    <cellStyle name="Debit subtotal 6 3 2 14" xfId="34670"/>
    <cellStyle name="Debit subtotal 6 3 2 15" xfId="34671"/>
    <cellStyle name="Debit subtotal 6 3 2 16" xfId="34672"/>
    <cellStyle name="Debit subtotal 6 3 2 17" xfId="34673"/>
    <cellStyle name="Debit subtotal 6 3 2 18" xfId="34674"/>
    <cellStyle name="Debit subtotal 6 3 2 19" xfId="34675"/>
    <cellStyle name="Debit subtotal 6 3 2 2" xfId="34676"/>
    <cellStyle name="Debit subtotal 6 3 2 2 2" xfId="34677"/>
    <cellStyle name="Debit subtotal 6 3 2 2 3" xfId="34678"/>
    <cellStyle name="Debit subtotal 6 3 2 2 4" xfId="34679"/>
    <cellStyle name="Debit subtotal 6 3 2 2 5" xfId="34680"/>
    <cellStyle name="Debit subtotal 6 3 2 2 6" xfId="34681"/>
    <cellStyle name="Debit subtotal 6 3 2 2 7" xfId="34682"/>
    <cellStyle name="Debit subtotal 6 3 2 2 8" xfId="34683"/>
    <cellStyle name="Debit subtotal 6 3 2 2 9" xfId="34684"/>
    <cellStyle name="Debit subtotal 6 3 2 20" xfId="34685"/>
    <cellStyle name="Debit subtotal 6 3 2 21" xfId="34686"/>
    <cellStyle name="Debit subtotal 6 3 2 3" xfId="34687"/>
    <cellStyle name="Debit subtotal 6 3 2 4" xfId="34688"/>
    <cellStyle name="Debit subtotal 6 3 2 5" xfId="34689"/>
    <cellStyle name="Debit subtotal 6 3 2 6" xfId="34690"/>
    <cellStyle name="Debit subtotal 6 3 2 7" xfId="34691"/>
    <cellStyle name="Debit subtotal 6 3 2 8" xfId="34692"/>
    <cellStyle name="Debit subtotal 6 3 2 9" xfId="34693"/>
    <cellStyle name="Debit subtotal 6 3 3" xfId="34694"/>
    <cellStyle name="Debit subtotal 6 3 3 10" xfId="34695"/>
    <cellStyle name="Debit subtotal 6 3 3 11" xfId="34696"/>
    <cellStyle name="Debit subtotal 6 3 3 12" xfId="34697"/>
    <cellStyle name="Debit subtotal 6 3 3 13" xfId="34698"/>
    <cellStyle name="Debit subtotal 6 3 3 14" xfId="34699"/>
    <cellStyle name="Debit subtotal 6 3 3 15" xfId="34700"/>
    <cellStyle name="Debit subtotal 6 3 3 16" xfId="34701"/>
    <cellStyle name="Debit subtotal 6 3 3 17" xfId="34702"/>
    <cellStyle name="Debit subtotal 6 3 3 18" xfId="34703"/>
    <cellStyle name="Debit subtotal 6 3 3 19" xfId="34704"/>
    <cellStyle name="Debit subtotal 6 3 3 2" xfId="34705"/>
    <cellStyle name="Debit subtotal 6 3 3 2 2" xfId="34706"/>
    <cellStyle name="Debit subtotal 6 3 3 2 3" xfId="34707"/>
    <cellStyle name="Debit subtotal 6 3 3 2 4" xfId="34708"/>
    <cellStyle name="Debit subtotal 6 3 3 2 5" xfId="34709"/>
    <cellStyle name="Debit subtotal 6 3 3 2 6" xfId="34710"/>
    <cellStyle name="Debit subtotal 6 3 3 2 7" xfId="34711"/>
    <cellStyle name="Debit subtotal 6 3 3 2 8" xfId="34712"/>
    <cellStyle name="Debit subtotal 6 3 3 2 9" xfId="34713"/>
    <cellStyle name="Debit subtotal 6 3 3 3" xfId="34714"/>
    <cellStyle name="Debit subtotal 6 3 3 4" xfId="34715"/>
    <cellStyle name="Debit subtotal 6 3 3 5" xfId="34716"/>
    <cellStyle name="Debit subtotal 6 3 3 6" xfId="34717"/>
    <cellStyle name="Debit subtotal 6 3 3 7" xfId="34718"/>
    <cellStyle name="Debit subtotal 6 3 3 8" xfId="34719"/>
    <cellStyle name="Debit subtotal 6 3 3 9" xfId="34720"/>
    <cellStyle name="Debit subtotal 6 3 4" xfId="34721"/>
    <cellStyle name="Debit subtotal 6 3 4 10" xfId="34722"/>
    <cellStyle name="Debit subtotal 6 3 4 11" xfId="34723"/>
    <cellStyle name="Debit subtotal 6 3 4 12" xfId="34724"/>
    <cellStyle name="Debit subtotal 6 3 4 13" xfId="34725"/>
    <cellStyle name="Debit subtotal 6 3 4 14" xfId="34726"/>
    <cellStyle name="Debit subtotal 6 3 4 15" xfId="34727"/>
    <cellStyle name="Debit subtotal 6 3 4 16" xfId="34728"/>
    <cellStyle name="Debit subtotal 6 3 4 17" xfId="34729"/>
    <cellStyle name="Debit subtotal 6 3 4 18" xfId="34730"/>
    <cellStyle name="Debit subtotal 6 3 4 2" xfId="34731"/>
    <cellStyle name="Debit subtotal 6 3 4 2 2" xfId="34732"/>
    <cellStyle name="Debit subtotal 6 3 4 2 3" xfId="34733"/>
    <cellStyle name="Debit subtotal 6 3 4 2 4" xfId="34734"/>
    <cellStyle name="Debit subtotal 6 3 4 2 5" xfId="34735"/>
    <cellStyle name="Debit subtotal 6 3 4 2 6" xfId="34736"/>
    <cellStyle name="Debit subtotal 6 3 4 2 7" xfId="34737"/>
    <cellStyle name="Debit subtotal 6 3 4 2 8" xfId="34738"/>
    <cellStyle name="Debit subtotal 6 3 4 2 9" xfId="34739"/>
    <cellStyle name="Debit subtotal 6 3 4 3" xfId="34740"/>
    <cellStyle name="Debit subtotal 6 3 4 4" xfId="34741"/>
    <cellStyle name="Debit subtotal 6 3 4 5" xfId="34742"/>
    <cellStyle name="Debit subtotal 6 3 4 6" xfId="34743"/>
    <cellStyle name="Debit subtotal 6 3 4 7" xfId="34744"/>
    <cellStyle name="Debit subtotal 6 3 4 8" xfId="34745"/>
    <cellStyle name="Debit subtotal 6 3 4 9" xfId="34746"/>
    <cellStyle name="Debit subtotal 6 3 5" xfId="34747"/>
    <cellStyle name="Debit subtotal 6 3 5 2" xfId="34748"/>
    <cellStyle name="Debit subtotal 6 3 5 3" xfId="34749"/>
    <cellStyle name="Debit subtotal 6 3 6" xfId="34750"/>
    <cellStyle name="Debit subtotal 6 4" xfId="34751"/>
    <cellStyle name="Debit subtotal 6 4 10" xfId="34752"/>
    <cellStyle name="Debit subtotal 6 4 11" xfId="34753"/>
    <cellStyle name="Debit subtotal 6 4 12" xfId="34754"/>
    <cellStyle name="Debit subtotal 6 4 13" xfId="34755"/>
    <cellStyle name="Debit subtotal 6 4 14" xfId="34756"/>
    <cellStyle name="Debit subtotal 6 4 15" xfId="34757"/>
    <cellStyle name="Debit subtotal 6 4 16" xfId="34758"/>
    <cellStyle name="Debit subtotal 6 4 17" xfId="34759"/>
    <cellStyle name="Debit subtotal 6 4 18" xfId="34760"/>
    <cellStyle name="Debit subtotal 6 4 19" xfId="34761"/>
    <cellStyle name="Debit subtotal 6 4 2" xfId="34762"/>
    <cellStyle name="Debit subtotal 6 4 2 2" xfId="34763"/>
    <cellStyle name="Debit subtotal 6 4 2 3" xfId="34764"/>
    <cellStyle name="Debit subtotal 6 4 2 4" xfId="34765"/>
    <cellStyle name="Debit subtotal 6 4 2 5" xfId="34766"/>
    <cellStyle name="Debit subtotal 6 4 2 6" xfId="34767"/>
    <cellStyle name="Debit subtotal 6 4 2 7" xfId="34768"/>
    <cellStyle name="Debit subtotal 6 4 2 8" xfId="34769"/>
    <cellStyle name="Debit subtotal 6 4 2 9" xfId="34770"/>
    <cellStyle name="Debit subtotal 6 4 20" xfId="34771"/>
    <cellStyle name="Debit subtotal 6 4 21" xfId="34772"/>
    <cellStyle name="Debit subtotal 6 4 3" xfId="34773"/>
    <cellStyle name="Debit subtotal 6 4 4" xfId="34774"/>
    <cellStyle name="Debit subtotal 6 4 5" xfId="34775"/>
    <cellStyle name="Debit subtotal 6 4 6" xfId="34776"/>
    <cellStyle name="Debit subtotal 6 4 7" xfId="34777"/>
    <cellStyle name="Debit subtotal 6 4 8" xfId="34778"/>
    <cellStyle name="Debit subtotal 6 4 9" xfId="34779"/>
    <cellStyle name="Debit subtotal 6 5" xfId="34780"/>
    <cellStyle name="Debit subtotal 6 5 10" xfId="34781"/>
    <cellStyle name="Debit subtotal 6 5 11" xfId="34782"/>
    <cellStyle name="Debit subtotal 6 5 12" xfId="34783"/>
    <cellStyle name="Debit subtotal 6 5 13" xfId="34784"/>
    <cellStyle name="Debit subtotal 6 5 14" xfId="34785"/>
    <cellStyle name="Debit subtotal 6 5 15" xfId="34786"/>
    <cellStyle name="Debit subtotal 6 5 16" xfId="34787"/>
    <cellStyle name="Debit subtotal 6 5 17" xfId="34788"/>
    <cellStyle name="Debit subtotal 6 5 18" xfId="34789"/>
    <cellStyle name="Debit subtotal 6 5 19" xfId="34790"/>
    <cellStyle name="Debit subtotal 6 5 2" xfId="34791"/>
    <cellStyle name="Debit subtotal 6 5 2 2" xfId="34792"/>
    <cellStyle name="Debit subtotal 6 5 2 3" xfId="34793"/>
    <cellStyle name="Debit subtotal 6 5 2 4" xfId="34794"/>
    <cellStyle name="Debit subtotal 6 5 2 5" xfId="34795"/>
    <cellStyle name="Debit subtotal 6 5 2 6" xfId="34796"/>
    <cellStyle name="Debit subtotal 6 5 2 7" xfId="34797"/>
    <cellStyle name="Debit subtotal 6 5 2 8" xfId="34798"/>
    <cellStyle name="Debit subtotal 6 5 2 9" xfId="34799"/>
    <cellStyle name="Debit subtotal 6 5 3" xfId="34800"/>
    <cellStyle name="Debit subtotal 6 5 4" xfId="34801"/>
    <cellStyle name="Debit subtotal 6 5 5" xfId="34802"/>
    <cellStyle name="Debit subtotal 6 5 6" xfId="34803"/>
    <cellStyle name="Debit subtotal 6 5 7" xfId="34804"/>
    <cellStyle name="Debit subtotal 6 5 8" xfId="34805"/>
    <cellStyle name="Debit subtotal 6 5 9" xfId="34806"/>
    <cellStyle name="Debit subtotal 6 6" xfId="34807"/>
    <cellStyle name="Debit subtotal 6 6 10" xfId="34808"/>
    <cellStyle name="Debit subtotal 6 6 11" xfId="34809"/>
    <cellStyle name="Debit subtotal 6 6 12" xfId="34810"/>
    <cellStyle name="Debit subtotal 6 6 13" xfId="34811"/>
    <cellStyle name="Debit subtotal 6 6 14" xfId="34812"/>
    <cellStyle name="Debit subtotal 6 6 15" xfId="34813"/>
    <cellStyle name="Debit subtotal 6 6 16" xfId="34814"/>
    <cellStyle name="Debit subtotal 6 6 17" xfId="34815"/>
    <cellStyle name="Debit subtotal 6 6 18" xfId="34816"/>
    <cellStyle name="Debit subtotal 6 6 2" xfId="34817"/>
    <cellStyle name="Debit subtotal 6 6 2 2" xfId="34818"/>
    <cellStyle name="Debit subtotal 6 6 2 3" xfId="34819"/>
    <cellStyle name="Debit subtotal 6 6 2 4" xfId="34820"/>
    <cellStyle name="Debit subtotal 6 6 2 5" xfId="34821"/>
    <cellStyle name="Debit subtotal 6 6 2 6" xfId="34822"/>
    <cellStyle name="Debit subtotal 6 6 2 7" xfId="34823"/>
    <cellStyle name="Debit subtotal 6 6 2 8" xfId="34824"/>
    <cellStyle name="Debit subtotal 6 6 2 9" xfId="34825"/>
    <cellStyle name="Debit subtotal 6 6 3" xfId="34826"/>
    <cellStyle name="Debit subtotal 6 6 4" xfId="34827"/>
    <cellStyle name="Debit subtotal 6 6 5" xfId="34828"/>
    <cellStyle name="Debit subtotal 6 6 6" xfId="34829"/>
    <cellStyle name="Debit subtotal 6 6 7" xfId="34830"/>
    <cellStyle name="Debit subtotal 6 6 8" xfId="34831"/>
    <cellStyle name="Debit subtotal 6 6 9" xfId="34832"/>
    <cellStyle name="Debit subtotal 6 7" xfId="34833"/>
    <cellStyle name="Debit subtotal 6 7 2" xfId="34834"/>
    <cellStyle name="Debit subtotal 6 7 3" xfId="34835"/>
    <cellStyle name="Debit subtotal 6 8" xfId="34836"/>
    <cellStyle name="Debit subtotal 7" xfId="34837"/>
    <cellStyle name="Debit subtotal 7 2" xfId="34838"/>
    <cellStyle name="Debit subtotal 7 2 2" xfId="34839"/>
    <cellStyle name="Debit subtotal 7 2 2 10" xfId="34840"/>
    <cellStyle name="Debit subtotal 7 2 2 11" xfId="34841"/>
    <cellStyle name="Debit subtotal 7 2 2 12" xfId="34842"/>
    <cellStyle name="Debit subtotal 7 2 2 13" xfId="34843"/>
    <cellStyle name="Debit subtotal 7 2 2 14" xfId="34844"/>
    <cellStyle name="Debit subtotal 7 2 2 15" xfId="34845"/>
    <cellStyle name="Debit subtotal 7 2 2 16" xfId="34846"/>
    <cellStyle name="Debit subtotal 7 2 2 17" xfId="34847"/>
    <cellStyle name="Debit subtotal 7 2 2 18" xfId="34848"/>
    <cellStyle name="Debit subtotal 7 2 2 19" xfId="34849"/>
    <cellStyle name="Debit subtotal 7 2 2 2" xfId="34850"/>
    <cellStyle name="Debit subtotal 7 2 2 2 2" xfId="34851"/>
    <cellStyle name="Debit subtotal 7 2 2 2 3" xfId="34852"/>
    <cellStyle name="Debit subtotal 7 2 2 2 4" xfId="34853"/>
    <cellStyle name="Debit subtotal 7 2 2 2 5" xfId="34854"/>
    <cellStyle name="Debit subtotal 7 2 2 2 6" xfId="34855"/>
    <cellStyle name="Debit subtotal 7 2 2 2 7" xfId="34856"/>
    <cellStyle name="Debit subtotal 7 2 2 2 8" xfId="34857"/>
    <cellStyle name="Debit subtotal 7 2 2 2 9" xfId="34858"/>
    <cellStyle name="Debit subtotal 7 2 2 20" xfId="34859"/>
    <cellStyle name="Debit subtotal 7 2 2 21" xfId="34860"/>
    <cellStyle name="Debit subtotal 7 2 2 3" xfId="34861"/>
    <cellStyle name="Debit subtotal 7 2 2 4" xfId="34862"/>
    <cellStyle name="Debit subtotal 7 2 2 5" xfId="34863"/>
    <cellStyle name="Debit subtotal 7 2 2 6" xfId="34864"/>
    <cellStyle name="Debit subtotal 7 2 2 7" xfId="34865"/>
    <cellStyle name="Debit subtotal 7 2 2 8" xfId="34866"/>
    <cellStyle name="Debit subtotal 7 2 2 9" xfId="34867"/>
    <cellStyle name="Debit subtotal 7 2 3" xfId="34868"/>
    <cellStyle name="Debit subtotal 7 2 3 10" xfId="34869"/>
    <cellStyle name="Debit subtotal 7 2 3 11" xfId="34870"/>
    <cellStyle name="Debit subtotal 7 2 3 12" xfId="34871"/>
    <cellStyle name="Debit subtotal 7 2 3 13" xfId="34872"/>
    <cellStyle name="Debit subtotal 7 2 3 14" xfId="34873"/>
    <cellStyle name="Debit subtotal 7 2 3 15" xfId="34874"/>
    <cellStyle name="Debit subtotal 7 2 3 16" xfId="34875"/>
    <cellStyle name="Debit subtotal 7 2 3 17" xfId="34876"/>
    <cellStyle name="Debit subtotal 7 2 3 18" xfId="34877"/>
    <cellStyle name="Debit subtotal 7 2 3 19" xfId="34878"/>
    <cellStyle name="Debit subtotal 7 2 3 2" xfId="34879"/>
    <cellStyle name="Debit subtotal 7 2 3 2 2" xfId="34880"/>
    <cellStyle name="Debit subtotal 7 2 3 2 3" xfId="34881"/>
    <cellStyle name="Debit subtotal 7 2 3 2 4" xfId="34882"/>
    <cellStyle name="Debit subtotal 7 2 3 2 5" xfId="34883"/>
    <cellStyle name="Debit subtotal 7 2 3 2 6" xfId="34884"/>
    <cellStyle name="Debit subtotal 7 2 3 2 7" xfId="34885"/>
    <cellStyle name="Debit subtotal 7 2 3 2 8" xfId="34886"/>
    <cellStyle name="Debit subtotal 7 2 3 2 9" xfId="34887"/>
    <cellStyle name="Debit subtotal 7 2 3 3" xfId="34888"/>
    <cellStyle name="Debit subtotal 7 2 3 4" xfId="34889"/>
    <cellStyle name="Debit subtotal 7 2 3 5" xfId="34890"/>
    <cellStyle name="Debit subtotal 7 2 3 6" xfId="34891"/>
    <cellStyle name="Debit subtotal 7 2 3 7" xfId="34892"/>
    <cellStyle name="Debit subtotal 7 2 3 8" xfId="34893"/>
    <cellStyle name="Debit subtotal 7 2 3 9" xfId="34894"/>
    <cellStyle name="Debit subtotal 7 2 4" xfId="34895"/>
    <cellStyle name="Debit subtotal 7 2 4 10" xfId="34896"/>
    <cellStyle name="Debit subtotal 7 2 4 11" xfId="34897"/>
    <cellStyle name="Debit subtotal 7 2 4 12" xfId="34898"/>
    <cellStyle name="Debit subtotal 7 2 4 13" xfId="34899"/>
    <cellStyle name="Debit subtotal 7 2 4 14" xfId="34900"/>
    <cellStyle name="Debit subtotal 7 2 4 15" xfId="34901"/>
    <cellStyle name="Debit subtotal 7 2 4 16" xfId="34902"/>
    <cellStyle name="Debit subtotal 7 2 4 17" xfId="34903"/>
    <cellStyle name="Debit subtotal 7 2 4 18" xfId="34904"/>
    <cellStyle name="Debit subtotal 7 2 4 2" xfId="34905"/>
    <cellStyle name="Debit subtotal 7 2 4 2 2" xfId="34906"/>
    <cellStyle name="Debit subtotal 7 2 4 2 3" xfId="34907"/>
    <cellStyle name="Debit subtotal 7 2 4 2 4" xfId="34908"/>
    <cellStyle name="Debit subtotal 7 2 4 2 5" xfId="34909"/>
    <cellStyle name="Debit subtotal 7 2 4 2 6" xfId="34910"/>
    <cellStyle name="Debit subtotal 7 2 4 2 7" xfId="34911"/>
    <cellStyle name="Debit subtotal 7 2 4 2 8" xfId="34912"/>
    <cellStyle name="Debit subtotal 7 2 4 2 9" xfId="34913"/>
    <cellStyle name="Debit subtotal 7 2 4 3" xfId="34914"/>
    <cellStyle name="Debit subtotal 7 2 4 4" xfId="34915"/>
    <cellStyle name="Debit subtotal 7 2 4 5" xfId="34916"/>
    <cellStyle name="Debit subtotal 7 2 4 6" xfId="34917"/>
    <cellStyle name="Debit subtotal 7 2 4 7" xfId="34918"/>
    <cellStyle name="Debit subtotal 7 2 4 8" xfId="34919"/>
    <cellStyle name="Debit subtotal 7 2 4 9" xfId="34920"/>
    <cellStyle name="Debit subtotal 7 2 5" xfId="34921"/>
    <cellStyle name="Debit subtotal 7 2 5 2" xfId="34922"/>
    <cellStyle name="Debit subtotal 7 2 5 3" xfId="34923"/>
    <cellStyle name="Debit subtotal 7 2 6" xfId="34924"/>
    <cellStyle name="Debit subtotal 7 3" xfId="34925"/>
    <cellStyle name="Debit subtotal 7 3 2" xfId="34926"/>
    <cellStyle name="Debit subtotal 7 3 2 10" xfId="34927"/>
    <cellStyle name="Debit subtotal 7 3 2 11" xfId="34928"/>
    <cellStyle name="Debit subtotal 7 3 2 12" xfId="34929"/>
    <cellStyle name="Debit subtotal 7 3 2 13" xfId="34930"/>
    <cellStyle name="Debit subtotal 7 3 2 14" xfId="34931"/>
    <cellStyle name="Debit subtotal 7 3 2 15" xfId="34932"/>
    <cellStyle name="Debit subtotal 7 3 2 16" xfId="34933"/>
    <cellStyle name="Debit subtotal 7 3 2 17" xfId="34934"/>
    <cellStyle name="Debit subtotal 7 3 2 18" xfId="34935"/>
    <cellStyle name="Debit subtotal 7 3 2 19" xfId="34936"/>
    <cellStyle name="Debit subtotal 7 3 2 2" xfId="34937"/>
    <cellStyle name="Debit subtotal 7 3 2 2 2" xfId="34938"/>
    <cellStyle name="Debit subtotal 7 3 2 2 3" xfId="34939"/>
    <cellStyle name="Debit subtotal 7 3 2 2 4" xfId="34940"/>
    <cellStyle name="Debit subtotal 7 3 2 2 5" xfId="34941"/>
    <cellStyle name="Debit subtotal 7 3 2 2 6" xfId="34942"/>
    <cellStyle name="Debit subtotal 7 3 2 2 7" xfId="34943"/>
    <cellStyle name="Debit subtotal 7 3 2 2 8" xfId="34944"/>
    <cellStyle name="Debit subtotal 7 3 2 2 9" xfId="34945"/>
    <cellStyle name="Debit subtotal 7 3 2 20" xfId="34946"/>
    <cellStyle name="Debit subtotal 7 3 2 21" xfId="34947"/>
    <cellStyle name="Debit subtotal 7 3 2 3" xfId="34948"/>
    <cellStyle name="Debit subtotal 7 3 2 4" xfId="34949"/>
    <cellStyle name="Debit subtotal 7 3 2 5" xfId="34950"/>
    <cellStyle name="Debit subtotal 7 3 2 6" xfId="34951"/>
    <cellStyle name="Debit subtotal 7 3 2 7" xfId="34952"/>
    <cellStyle name="Debit subtotal 7 3 2 8" xfId="34953"/>
    <cellStyle name="Debit subtotal 7 3 2 9" xfId="34954"/>
    <cellStyle name="Debit subtotal 7 3 3" xfId="34955"/>
    <cellStyle name="Debit subtotal 7 3 3 10" xfId="34956"/>
    <cellStyle name="Debit subtotal 7 3 3 11" xfId="34957"/>
    <cellStyle name="Debit subtotal 7 3 3 12" xfId="34958"/>
    <cellStyle name="Debit subtotal 7 3 3 13" xfId="34959"/>
    <cellStyle name="Debit subtotal 7 3 3 14" xfId="34960"/>
    <cellStyle name="Debit subtotal 7 3 3 15" xfId="34961"/>
    <cellStyle name="Debit subtotal 7 3 3 16" xfId="34962"/>
    <cellStyle name="Debit subtotal 7 3 3 17" xfId="34963"/>
    <cellStyle name="Debit subtotal 7 3 3 18" xfId="34964"/>
    <cellStyle name="Debit subtotal 7 3 3 19" xfId="34965"/>
    <cellStyle name="Debit subtotal 7 3 3 2" xfId="34966"/>
    <cellStyle name="Debit subtotal 7 3 3 2 2" xfId="34967"/>
    <cellStyle name="Debit subtotal 7 3 3 2 3" xfId="34968"/>
    <cellStyle name="Debit subtotal 7 3 3 2 4" xfId="34969"/>
    <cellStyle name="Debit subtotal 7 3 3 2 5" xfId="34970"/>
    <cellStyle name="Debit subtotal 7 3 3 2 6" xfId="34971"/>
    <cellStyle name="Debit subtotal 7 3 3 2 7" xfId="34972"/>
    <cellStyle name="Debit subtotal 7 3 3 2 8" xfId="34973"/>
    <cellStyle name="Debit subtotal 7 3 3 2 9" xfId="34974"/>
    <cellStyle name="Debit subtotal 7 3 3 3" xfId="34975"/>
    <cellStyle name="Debit subtotal 7 3 3 4" xfId="34976"/>
    <cellStyle name="Debit subtotal 7 3 3 5" xfId="34977"/>
    <cellStyle name="Debit subtotal 7 3 3 6" xfId="34978"/>
    <cellStyle name="Debit subtotal 7 3 3 7" xfId="34979"/>
    <cellStyle name="Debit subtotal 7 3 3 8" xfId="34980"/>
    <cellStyle name="Debit subtotal 7 3 3 9" xfId="34981"/>
    <cellStyle name="Debit subtotal 7 3 4" xfId="34982"/>
    <cellStyle name="Debit subtotal 7 3 4 10" xfId="34983"/>
    <cellStyle name="Debit subtotal 7 3 4 11" xfId="34984"/>
    <cellStyle name="Debit subtotal 7 3 4 12" xfId="34985"/>
    <cellStyle name="Debit subtotal 7 3 4 13" xfId="34986"/>
    <cellStyle name="Debit subtotal 7 3 4 14" xfId="34987"/>
    <cellStyle name="Debit subtotal 7 3 4 15" xfId="34988"/>
    <cellStyle name="Debit subtotal 7 3 4 16" xfId="34989"/>
    <cellStyle name="Debit subtotal 7 3 4 17" xfId="34990"/>
    <cellStyle name="Debit subtotal 7 3 4 18" xfId="34991"/>
    <cellStyle name="Debit subtotal 7 3 4 2" xfId="34992"/>
    <cellStyle name="Debit subtotal 7 3 4 2 2" xfId="34993"/>
    <cellStyle name="Debit subtotal 7 3 4 2 3" xfId="34994"/>
    <cellStyle name="Debit subtotal 7 3 4 2 4" xfId="34995"/>
    <cellStyle name="Debit subtotal 7 3 4 2 5" xfId="34996"/>
    <cellStyle name="Debit subtotal 7 3 4 2 6" xfId="34997"/>
    <cellStyle name="Debit subtotal 7 3 4 2 7" xfId="34998"/>
    <cellStyle name="Debit subtotal 7 3 4 2 8" xfId="34999"/>
    <cellStyle name="Debit subtotal 7 3 4 2 9" xfId="35000"/>
    <cellStyle name="Debit subtotal 7 3 4 3" xfId="35001"/>
    <cellStyle name="Debit subtotal 7 3 4 4" xfId="35002"/>
    <cellStyle name="Debit subtotal 7 3 4 5" xfId="35003"/>
    <cellStyle name="Debit subtotal 7 3 4 6" xfId="35004"/>
    <cellStyle name="Debit subtotal 7 3 4 7" xfId="35005"/>
    <cellStyle name="Debit subtotal 7 3 4 8" xfId="35006"/>
    <cellStyle name="Debit subtotal 7 3 4 9" xfId="35007"/>
    <cellStyle name="Debit subtotal 7 3 5" xfId="35008"/>
    <cellStyle name="Debit subtotal 7 3 5 2" xfId="35009"/>
    <cellStyle name="Debit subtotal 7 3 5 3" xfId="35010"/>
    <cellStyle name="Debit subtotal 7 3 6" xfId="35011"/>
    <cellStyle name="Debit subtotal 7 4" xfId="35012"/>
    <cellStyle name="Debit subtotal 7 4 10" xfId="35013"/>
    <cellStyle name="Debit subtotal 7 4 11" xfId="35014"/>
    <cellStyle name="Debit subtotal 7 4 12" xfId="35015"/>
    <cellStyle name="Debit subtotal 7 4 13" xfId="35016"/>
    <cellStyle name="Debit subtotal 7 4 14" xfId="35017"/>
    <cellStyle name="Debit subtotal 7 4 15" xfId="35018"/>
    <cellStyle name="Debit subtotal 7 4 16" xfId="35019"/>
    <cellStyle name="Debit subtotal 7 4 17" xfId="35020"/>
    <cellStyle name="Debit subtotal 7 4 18" xfId="35021"/>
    <cellStyle name="Debit subtotal 7 4 19" xfId="35022"/>
    <cellStyle name="Debit subtotal 7 4 2" xfId="35023"/>
    <cellStyle name="Debit subtotal 7 4 2 2" xfId="35024"/>
    <cellStyle name="Debit subtotal 7 4 2 3" xfId="35025"/>
    <cellStyle name="Debit subtotal 7 4 2 4" xfId="35026"/>
    <cellStyle name="Debit subtotal 7 4 2 5" xfId="35027"/>
    <cellStyle name="Debit subtotal 7 4 2 6" xfId="35028"/>
    <cellStyle name="Debit subtotal 7 4 2 7" xfId="35029"/>
    <cellStyle name="Debit subtotal 7 4 2 8" xfId="35030"/>
    <cellStyle name="Debit subtotal 7 4 2 9" xfId="35031"/>
    <cellStyle name="Debit subtotal 7 4 20" xfId="35032"/>
    <cellStyle name="Debit subtotal 7 4 21" xfId="35033"/>
    <cellStyle name="Debit subtotal 7 4 3" xfId="35034"/>
    <cellStyle name="Debit subtotal 7 4 4" xfId="35035"/>
    <cellStyle name="Debit subtotal 7 4 5" xfId="35036"/>
    <cellStyle name="Debit subtotal 7 4 6" xfId="35037"/>
    <cellStyle name="Debit subtotal 7 4 7" xfId="35038"/>
    <cellStyle name="Debit subtotal 7 4 8" xfId="35039"/>
    <cellStyle name="Debit subtotal 7 4 9" xfId="35040"/>
    <cellStyle name="Debit subtotal 7 5" xfId="35041"/>
    <cellStyle name="Debit subtotal 7 5 10" xfId="35042"/>
    <cellStyle name="Debit subtotal 7 5 11" xfId="35043"/>
    <cellStyle name="Debit subtotal 7 5 12" xfId="35044"/>
    <cellStyle name="Debit subtotal 7 5 13" xfId="35045"/>
    <cellStyle name="Debit subtotal 7 5 14" xfId="35046"/>
    <cellStyle name="Debit subtotal 7 5 15" xfId="35047"/>
    <cellStyle name="Debit subtotal 7 5 16" xfId="35048"/>
    <cellStyle name="Debit subtotal 7 5 17" xfId="35049"/>
    <cellStyle name="Debit subtotal 7 5 18" xfId="35050"/>
    <cellStyle name="Debit subtotal 7 5 19" xfId="35051"/>
    <cellStyle name="Debit subtotal 7 5 2" xfId="35052"/>
    <cellStyle name="Debit subtotal 7 5 2 2" xfId="35053"/>
    <cellStyle name="Debit subtotal 7 5 2 3" xfId="35054"/>
    <cellStyle name="Debit subtotal 7 5 2 4" xfId="35055"/>
    <cellStyle name="Debit subtotal 7 5 2 5" xfId="35056"/>
    <cellStyle name="Debit subtotal 7 5 2 6" xfId="35057"/>
    <cellStyle name="Debit subtotal 7 5 2 7" xfId="35058"/>
    <cellStyle name="Debit subtotal 7 5 2 8" xfId="35059"/>
    <cellStyle name="Debit subtotal 7 5 2 9" xfId="35060"/>
    <cellStyle name="Debit subtotal 7 5 3" xfId="35061"/>
    <cellStyle name="Debit subtotal 7 5 4" xfId="35062"/>
    <cellStyle name="Debit subtotal 7 5 5" xfId="35063"/>
    <cellStyle name="Debit subtotal 7 5 6" xfId="35064"/>
    <cellStyle name="Debit subtotal 7 5 7" xfId="35065"/>
    <cellStyle name="Debit subtotal 7 5 8" xfId="35066"/>
    <cellStyle name="Debit subtotal 7 5 9" xfId="35067"/>
    <cellStyle name="Debit subtotal 7 6" xfId="35068"/>
    <cellStyle name="Debit subtotal 7 6 10" xfId="35069"/>
    <cellStyle name="Debit subtotal 7 6 11" xfId="35070"/>
    <cellStyle name="Debit subtotal 7 6 12" xfId="35071"/>
    <cellStyle name="Debit subtotal 7 6 13" xfId="35072"/>
    <cellStyle name="Debit subtotal 7 6 14" xfId="35073"/>
    <cellStyle name="Debit subtotal 7 6 15" xfId="35074"/>
    <cellStyle name="Debit subtotal 7 6 16" xfId="35075"/>
    <cellStyle name="Debit subtotal 7 6 17" xfId="35076"/>
    <cellStyle name="Debit subtotal 7 6 18" xfId="35077"/>
    <cellStyle name="Debit subtotal 7 6 2" xfId="35078"/>
    <cellStyle name="Debit subtotal 7 6 2 2" xfId="35079"/>
    <cellStyle name="Debit subtotal 7 6 2 3" xfId="35080"/>
    <cellStyle name="Debit subtotal 7 6 2 4" xfId="35081"/>
    <cellStyle name="Debit subtotal 7 6 2 5" xfId="35082"/>
    <cellStyle name="Debit subtotal 7 6 2 6" xfId="35083"/>
    <cellStyle name="Debit subtotal 7 6 2 7" xfId="35084"/>
    <cellStyle name="Debit subtotal 7 6 2 8" xfId="35085"/>
    <cellStyle name="Debit subtotal 7 6 2 9" xfId="35086"/>
    <cellStyle name="Debit subtotal 7 6 3" xfId="35087"/>
    <cellStyle name="Debit subtotal 7 6 4" xfId="35088"/>
    <cellStyle name="Debit subtotal 7 6 5" xfId="35089"/>
    <cellStyle name="Debit subtotal 7 6 6" xfId="35090"/>
    <cellStyle name="Debit subtotal 7 6 7" xfId="35091"/>
    <cellStyle name="Debit subtotal 7 6 8" xfId="35092"/>
    <cellStyle name="Debit subtotal 7 6 9" xfId="35093"/>
    <cellStyle name="Debit subtotal 7 7" xfId="35094"/>
    <cellStyle name="Debit subtotal 7 7 2" xfId="35095"/>
    <cellStyle name="Debit subtotal 7 7 3" xfId="35096"/>
    <cellStyle name="Debit subtotal 7 8" xfId="35097"/>
    <cellStyle name="Debit subtotal 8" xfId="35098"/>
    <cellStyle name="Debit subtotal 8 2" xfId="35099"/>
    <cellStyle name="Debit subtotal 8 2 2" xfId="35100"/>
    <cellStyle name="Debit subtotal 8 2 2 10" xfId="35101"/>
    <cellStyle name="Debit subtotal 8 2 2 11" xfId="35102"/>
    <cellStyle name="Debit subtotal 8 2 2 12" xfId="35103"/>
    <cellStyle name="Debit subtotal 8 2 2 13" xfId="35104"/>
    <cellStyle name="Debit subtotal 8 2 2 14" xfId="35105"/>
    <cellStyle name="Debit subtotal 8 2 2 15" xfId="35106"/>
    <cellStyle name="Debit subtotal 8 2 2 16" xfId="35107"/>
    <cellStyle name="Debit subtotal 8 2 2 17" xfId="35108"/>
    <cellStyle name="Debit subtotal 8 2 2 18" xfId="35109"/>
    <cellStyle name="Debit subtotal 8 2 2 19" xfId="35110"/>
    <cellStyle name="Debit subtotal 8 2 2 2" xfId="35111"/>
    <cellStyle name="Debit subtotal 8 2 2 2 2" xfId="35112"/>
    <cellStyle name="Debit subtotal 8 2 2 2 3" xfId="35113"/>
    <cellStyle name="Debit subtotal 8 2 2 2 4" xfId="35114"/>
    <cellStyle name="Debit subtotal 8 2 2 2 5" xfId="35115"/>
    <cellStyle name="Debit subtotal 8 2 2 2 6" xfId="35116"/>
    <cellStyle name="Debit subtotal 8 2 2 2 7" xfId="35117"/>
    <cellStyle name="Debit subtotal 8 2 2 2 8" xfId="35118"/>
    <cellStyle name="Debit subtotal 8 2 2 2 9" xfId="35119"/>
    <cellStyle name="Debit subtotal 8 2 2 20" xfId="35120"/>
    <cellStyle name="Debit subtotal 8 2 2 21" xfId="35121"/>
    <cellStyle name="Debit subtotal 8 2 2 3" xfId="35122"/>
    <cellStyle name="Debit subtotal 8 2 2 4" xfId="35123"/>
    <cellStyle name="Debit subtotal 8 2 2 5" xfId="35124"/>
    <cellStyle name="Debit subtotal 8 2 2 6" xfId="35125"/>
    <cellStyle name="Debit subtotal 8 2 2 7" xfId="35126"/>
    <cellStyle name="Debit subtotal 8 2 2 8" xfId="35127"/>
    <cellStyle name="Debit subtotal 8 2 2 9" xfId="35128"/>
    <cellStyle name="Debit subtotal 8 2 3" xfId="35129"/>
    <cellStyle name="Debit subtotal 8 2 3 10" xfId="35130"/>
    <cellStyle name="Debit subtotal 8 2 3 11" xfId="35131"/>
    <cellStyle name="Debit subtotal 8 2 3 12" xfId="35132"/>
    <cellStyle name="Debit subtotal 8 2 3 13" xfId="35133"/>
    <cellStyle name="Debit subtotal 8 2 3 14" xfId="35134"/>
    <cellStyle name="Debit subtotal 8 2 3 15" xfId="35135"/>
    <cellStyle name="Debit subtotal 8 2 3 16" xfId="35136"/>
    <cellStyle name="Debit subtotal 8 2 3 17" xfId="35137"/>
    <cellStyle name="Debit subtotal 8 2 3 18" xfId="35138"/>
    <cellStyle name="Debit subtotal 8 2 3 19" xfId="35139"/>
    <cellStyle name="Debit subtotal 8 2 3 2" xfId="35140"/>
    <cellStyle name="Debit subtotal 8 2 3 2 2" xfId="35141"/>
    <cellStyle name="Debit subtotal 8 2 3 2 3" xfId="35142"/>
    <cellStyle name="Debit subtotal 8 2 3 2 4" xfId="35143"/>
    <cellStyle name="Debit subtotal 8 2 3 2 5" xfId="35144"/>
    <cellStyle name="Debit subtotal 8 2 3 2 6" xfId="35145"/>
    <cellStyle name="Debit subtotal 8 2 3 2 7" xfId="35146"/>
    <cellStyle name="Debit subtotal 8 2 3 2 8" xfId="35147"/>
    <cellStyle name="Debit subtotal 8 2 3 2 9" xfId="35148"/>
    <cellStyle name="Debit subtotal 8 2 3 3" xfId="35149"/>
    <cellStyle name="Debit subtotal 8 2 3 4" xfId="35150"/>
    <cellStyle name="Debit subtotal 8 2 3 5" xfId="35151"/>
    <cellStyle name="Debit subtotal 8 2 3 6" xfId="35152"/>
    <cellStyle name="Debit subtotal 8 2 3 7" xfId="35153"/>
    <cellStyle name="Debit subtotal 8 2 3 8" xfId="35154"/>
    <cellStyle name="Debit subtotal 8 2 3 9" xfId="35155"/>
    <cellStyle name="Debit subtotal 8 2 4" xfId="35156"/>
    <cellStyle name="Debit subtotal 8 2 4 10" xfId="35157"/>
    <cellStyle name="Debit subtotal 8 2 4 11" xfId="35158"/>
    <cellStyle name="Debit subtotal 8 2 4 12" xfId="35159"/>
    <cellStyle name="Debit subtotal 8 2 4 13" xfId="35160"/>
    <cellStyle name="Debit subtotal 8 2 4 14" xfId="35161"/>
    <cellStyle name="Debit subtotal 8 2 4 15" xfId="35162"/>
    <cellStyle name="Debit subtotal 8 2 4 16" xfId="35163"/>
    <cellStyle name="Debit subtotal 8 2 4 17" xfId="35164"/>
    <cellStyle name="Debit subtotal 8 2 4 18" xfId="35165"/>
    <cellStyle name="Debit subtotal 8 2 4 2" xfId="35166"/>
    <cellStyle name="Debit subtotal 8 2 4 2 2" xfId="35167"/>
    <cellStyle name="Debit subtotal 8 2 4 2 3" xfId="35168"/>
    <cellStyle name="Debit subtotal 8 2 4 2 4" xfId="35169"/>
    <cellStyle name="Debit subtotal 8 2 4 2 5" xfId="35170"/>
    <cellStyle name="Debit subtotal 8 2 4 2 6" xfId="35171"/>
    <cellStyle name="Debit subtotal 8 2 4 2 7" xfId="35172"/>
    <cellStyle name="Debit subtotal 8 2 4 2 8" xfId="35173"/>
    <cellStyle name="Debit subtotal 8 2 4 2 9" xfId="35174"/>
    <cellStyle name="Debit subtotal 8 2 4 3" xfId="35175"/>
    <cellStyle name="Debit subtotal 8 2 4 4" xfId="35176"/>
    <cellStyle name="Debit subtotal 8 2 4 5" xfId="35177"/>
    <cellStyle name="Debit subtotal 8 2 4 6" xfId="35178"/>
    <cellStyle name="Debit subtotal 8 2 4 7" xfId="35179"/>
    <cellStyle name="Debit subtotal 8 2 4 8" xfId="35180"/>
    <cellStyle name="Debit subtotal 8 2 4 9" xfId="35181"/>
    <cellStyle name="Debit subtotal 8 2 5" xfId="35182"/>
    <cellStyle name="Debit subtotal 8 2 5 2" xfId="35183"/>
    <cellStyle name="Debit subtotal 8 2 5 3" xfId="35184"/>
    <cellStyle name="Debit subtotal 8 2 6" xfId="35185"/>
    <cellStyle name="Debit subtotal 8 3" xfId="35186"/>
    <cellStyle name="Debit subtotal 8 3 2" xfId="35187"/>
    <cellStyle name="Debit subtotal 8 3 2 10" xfId="35188"/>
    <cellStyle name="Debit subtotal 8 3 2 11" xfId="35189"/>
    <cellStyle name="Debit subtotal 8 3 2 12" xfId="35190"/>
    <cellStyle name="Debit subtotal 8 3 2 13" xfId="35191"/>
    <cellStyle name="Debit subtotal 8 3 2 14" xfId="35192"/>
    <cellStyle name="Debit subtotal 8 3 2 15" xfId="35193"/>
    <cellStyle name="Debit subtotal 8 3 2 16" xfId="35194"/>
    <cellStyle name="Debit subtotal 8 3 2 17" xfId="35195"/>
    <cellStyle name="Debit subtotal 8 3 2 18" xfId="35196"/>
    <cellStyle name="Debit subtotal 8 3 2 19" xfId="35197"/>
    <cellStyle name="Debit subtotal 8 3 2 2" xfId="35198"/>
    <cellStyle name="Debit subtotal 8 3 2 2 2" xfId="35199"/>
    <cellStyle name="Debit subtotal 8 3 2 2 3" xfId="35200"/>
    <cellStyle name="Debit subtotal 8 3 2 2 4" xfId="35201"/>
    <cellStyle name="Debit subtotal 8 3 2 2 5" xfId="35202"/>
    <cellStyle name="Debit subtotal 8 3 2 2 6" xfId="35203"/>
    <cellStyle name="Debit subtotal 8 3 2 2 7" xfId="35204"/>
    <cellStyle name="Debit subtotal 8 3 2 2 8" xfId="35205"/>
    <cellStyle name="Debit subtotal 8 3 2 2 9" xfId="35206"/>
    <cellStyle name="Debit subtotal 8 3 2 20" xfId="35207"/>
    <cellStyle name="Debit subtotal 8 3 2 21" xfId="35208"/>
    <cellStyle name="Debit subtotal 8 3 2 3" xfId="35209"/>
    <cellStyle name="Debit subtotal 8 3 2 4" xfId="35210"/>
    <cellStyle name="Debit subtotal 8 3 2 5" xfId="35211"/>
    <cellStyle name="Debit subtotal 8 3 2 6" xfId="35212"/>
    <cellStyle name="Debit subtotal 8 3 2 7" xfId="35213"/>
    <cellStyle name="Debit subtotal 8 3 2 8" xfId="35214"/>
    <cellStyle name="Debit subtotal 8 3 2 9" xfId="35215"/>
    <cellStyle name="Debit subtotal 8 3 3" xfId="35216"/>
    <cellStyle name="Debit subtotal 8 3 3 10" xfId="35217"/>
    <cellStyle name="Debit subtotal 8 3 3 11" xfId="35218"/>
    <cellStyle name="Debit subtotal 8 3 3 12" xfId="35219"/>
    <cellStyle name="Debit subtotal 8 3 3 13" xfId="35220"/>
    <cellStyle name="Debit subtotal 8 3 3 14" xfId="35221"/>
    <cellStyle name="Debit subtotal 8 3 3 15" xfId="35222"/>
    <cellStyle name="Debit subtotal 8 3 3 16" xfId="35223"/>
    <cellStyle name="Debit subtotal 8 3 3 17" xfId="35224"/>
    <cellStyle name="Debit subtotal 8 3 3 18" xfId="35225"/>
    <cellStyle name="Debit subtotal 8 3 3 19" xfId="35226"/>
    <cellStyle name="Debit subtotal 8 3 3 2" xfId="35227"/>
    <cellStyle name="Debit subtotal 8 3 3 2 2" xfId="35228"/>
    <cellStyle name="Debit subtotal 8 3 3 2 3" xfId="35229"/>
    <cellStyle name="Debit subtotal 8 3 3 2 4" xfId="35230"/>
    <cellStyle name="Debit subtotal 8 3 3 2 5" xfId="35231"/>
    <cellStyle name="Debit subtotal 8 3 3 2 6" xfId="35232"/>
    <cellStyle name="Debit subtotal 8 3 3 2 7" xfId="35233"/>
    <cellStyle name="Debit subtotal 8 3 3 2 8" xfId="35234"/>
    <cellStyle name="Debit subtotal 8 3 3 2 9" xfId="35235"/>
    <cellStyle name="Debit subtotal 8 3 3 3" xfId="35236"/>
    <cellStyle name="Debit subtotal 8 3 3 4" xfId="35237"/>
    <cellStyle name="Debit subtotal 8 3 3 5" xfId="35238"/>
    <cellStyle name="Debit subtotal 8 3 3 6" xfId="35239"/>
    <cellStyle name="Debit subtotal 8 3 3 7" xfId="35240"/>
    <cellStyle name="Debit subtotal 8 3 3 8" xfId="35241"/>
    <cellStyle name="Debit subtotal 8 3 3 9" xfId="35242"/>
    <cellStyle name="Debit subtotal 8 3 4" xfId="35243"/>
    <cellStyle name="Debit subtotal 8 3 4 10" xfId="35244"/>
    <cellStyle name="Debit subtotal 8 3 4 11" xfId="35245"/>
    <cellStyle name="Debit subtotal 8 3 4 12" xfId="35246"/>
    <cellStyle name="Debit subtotal 8 3 4 13" xfId="35247"/>
    <cellStyle name="Debit subtotal 8 3 4 14" xfId="35248"/>
    <cellStyle name="Debit subtotal 8 3 4 15" xfId="35249"/>
    <cellStyle name="Debit subtotal 8 3 4 16" xfId="35250"/>
    <cellStyle name="Debit subtotal 8 3 4 17" xfId="35251"/>
    <cellStyle name="Debit subtotal 8 3 4 18" xfId="35252"/>
    <cellStyle name="Debit subtotal 8 3 4 2" xfId="35253"/>
    <cellStyle name="Debit subtotal 8 3 4 2 2" xfId="35254"/>
    <cellStyle name="Debit subtotal 8 3 4 2 3" xfId="35255"/>
    <cellStyle name="Debit subtotal 8 3 4 2 4" xfId="35256"/>
    <cellStyle name="Debit subtotal 8 3 4 2 5" xfId="35257"/>
    <cellStyle name="Debit subtotal 8 3 4 2 6" xfId="35258"/>
    <cellStyle name="Debit subtotal 8 3 4 2 7" xfId="35259"/>
    <cellStyle name="Debit subtotal 8 3 4 2 8" xfId="35260"/>
    <cellStyle name="Debit subtotal 8 3 4 2 9" xfId="35261"/>
    <cellStyle name="Debit subtotal 8 3 4 3" xfId="35262"/>
    <cellStyle name="Debit subtotal 8 3 4 4" xfId="35263"/>
    <cellStyle name="Debit subtotal 8 3 4 5" xfId="35264"/>
    <cellStyle name="Debit subtotal 8 3 4 6" xfId="35265"/>
    <cellStyle name="Debit subtotal 8 3 4 7" xfId="35266"/>
    <cellStyle name="Debit subtotal 8 3 4 8" xfId="35267"/>
    <cellStyle name="Debit subtotal 8 3 4 9" xfId="35268"/>
    <cellStyle name="Debit subtotal 8 3 5" xfId="35269"/>
    <cellStyle name="Debit subtotal 8 3 5 2" xfId="35270"/>
    <cellStyle name="Debit subtotal 8 3 5 3" xfId="35271"/>
    <cellStyle name="Debit subtotal 8 3 6" xfId="35272"/>
    <cellStyle name="Debit subtotal 8 4" xfId="35273"/>
    <cellStyle name="Debit subtotal 8 4 10" xfId="35274"/>
    <cellStyle name="Debit subtotal 8 4 11" xfId="35275"/>
    <cellStyle name="Debit subtotal 8 4 12" xfId="35276"/>
    <cellStyle name="Debit subtotal 8 4 13" xfId="35277"/>
    <cellStyle name="Debit subtotal 8 4 14" xfId="35278"/>
    <cellStyle name="Debit subtotal 8 4 15" xfId="35279"/>
    <cellStyle name="Debit subtotal 8 4 16" xfId="35280"/>
    <cellStyle name="Debit subtotal 8 4 17" xfId="35281"/>
    <cellStyle name="Debit subtotal 8 4 18" xfId="35282"/>
    <cellStyle name="Debit subtotal 8 4 19" xfId="35283"/>
    <cellStyle name="Debit subtotal 8 4 2" xfId="35284"/>
    <cellStyle name="Debit subtotal 8 4 2 2" xfId="35285"/>
    <cellStyle name="Debit subtotal 8 4 2 3" xfId="35286"/>
    <cellStyle name="Debit subtotal 8 4 2 4" xfId="35287"/>
    <cellStyle name="Debit subtotal 8 4 2 5" xfId="35288"/>
    <cellStyle name="Debit subtotal 8 4 2 6" xfId="35289"/>
    <cellStyle name="Debit subtotal 8 4 2 7" xfId="35290"/>
    <cellStyle name="Debit subtotal 8 4 2 8" xfId="35291"/>
    <cellStyle name="Debit subtotal 8 4 2 9" xfId="35292"/>
    <cellStyle name="Debit subtotal 8 4 20" xfId="35293"/>
    <cellStyle name="Debit subtotal 8 4 21" xfId="35294"/>
    <cellStyle name="Debit subtotal 8 4 3" xfId="35295"/>
    <cellStyle name="Debit subtotal 8 4 4" xfId="35296"/>
    <cellStyle name="Debit subtotal 8 4 5" xfId="35297"/>
    <cellStyle name="Debit subtotal 8 4 6" xfId="35298"/>
    <cellStyle name="Debit subtotal 8 4 7" xfId="35299"/>
    <cellStyle name="Debit subtotal 8 4 8" xfId="35300"/>
    <cellStyle name="Debit subtotal 8 4 9" xfId="35301"/>
    <cellStyle name="Debit subtotal 8 5" xfId="35302"/>
    <cellStyle name="Debit subtotal 8 5 10" xfId="35303"/>
    <cellStyle name="Debit subtotal 8 5 11" xfId="35304"/>
    <cellStyle name="Debit subtotal 8 5 12" xfId="35305"/>
    <cellStyle name="Debit subtotal 8 5 13" xfId="35306"/>
    <cellStyle name="Debit subtotal 8 5 14" xfId="35307"/>
    <cellStyle name="Debit subtotal 8 5 15" xfId="35308"/>
    <cellStyle name="Debit subtotal 8 5 16" xfId="35309"/>
    <cellStyle name="Debit subtotal 8 5 17" xfId="35310"/>
    <cellStyle name="Debit subtotal 8 5 18" xfId="35311"/>
    <cellStyle name="Debit subtotal 8 5 19" xfId="35312"/>
    <cellStyle name="Debit subtotal 8 5 2" xfId="35313"/>
    <cellStyle name="Debit subtotal 8 5 2 2" xfId="35314"/>
    <cellStyle name="Debit subtotal 8 5 2 3" xfId="35315"/>
    <cellStyle name="Debit subtotal 8 5 2 4" xfId="35316"/>
    <cellStyle name="Debit subtotal 8 5 2 5" xfId="35317"/>
    <cellStyle name="Debit subtotal 8 5 2 6" xfId="35318"/>
    <cellStyle name="Debit subtotal 8 5 2 7" xfId="35319"/>
    <cellStyle name="Debit subtotal 8 5 2 8" xfId="35320"/>
    <cellStyle name="Debit subtotal 8 5 2 9" xfId="35321"/>
    <cellStyle name="Debit subtotal 8 5 3" xfId="35322"/>
    <cellStyle name="Debit subtotal 8 5 4" xfId="35323"/>
    <cellStyle name="Debit subtotal 8 5 5" xfId="35324"/>
    <cellStyle name="Debit subtotal 8 5 6" xfId="35325"/>
    <cellStyle name="Debit subtotal 8 5 7" xfId="35326"/>
    <cellStyle name="Debit subtotal 8 5 8" xfId="35327"/>
    <cellStyle name="Debit subtotal 8 5 9" xfId="35328"/>
    <cellStyle name="Debit subtotal 8 6" xfId="35329"/>
    <cellStyle name="Debit subtotal 8 6 10" xfId="35330"/>
    <cellStyle name="Debit subtotal 8 6 11" xfId="35331"/>
    <cellStyle name="Debit subtotal 8 6 12" xfId="35332"/>
    <cellStyle name="Debit subtotal 8 6 13" xfId="35333"/>
    <cellStyle name="Debit subtotal 8 6 14" xfId="35334"/>
    <cellStyle name="Debit subtotal 8 6 15" xfId="35335"/>
    <cellStyle name="Debit subtotal 8 6 16" xfId="35336"/>
    <cellStyle name="Debit subtotal 8 6 17" xfId="35337"/>
    <cellStyle name="Debit subtotal 8 6 18" xfId="35338"/>
    <cellStyle name="Debit subtotal 8 6 2" xfId="35339"/>
    <cellStyle name="Debit subtotal 8 6 2 2" xfId="35340"/>
    <cellStyle name="Debit subtotal 8 6 2 3" xfId="35341"/>
    <cellStyle name="Debit subtotal 8 6 2 4" xfId="35342"/>
    <cellStyle name="Debit subtotal 8 6 2 5" xfId="35343"/>
    <cellStyle name="Debit subtotal 8 6 2 6" xfId="35344"/>
    <cellStyle name="Debit subtotal 8 6 2 7" xfId="35345"/>
    <cellStyle name="Debit subtotal 8 6 2 8" xfId="35346"/>
    <cellStyle name="Debit subtotal 8 6 2 9" xfId="35347"/>
    <cellStyle name="Debit subtotal 8 6 3" xfId="35348"/>
    <cellStyle name="Debit subtotal 8 6 4" xfId="35349"/>
    <cellStyle name="Debit subtotal 8 6 5" xfId="35350"/>
    <cellStyle name="Debit subtotal 8 6 6" xfId="35351"/>
    <cellStyle name="Debit subtotal 8 6 7" xfId="35352"/>
    <cellStyle name="Debit subtotal 8 6 8" xfId="35353"/>
    <cellStyle name="Debit subtotal 8 6 9" xfId="35354"/>
    <cellStyle name="Debit subtotal 8 7" xfId="35355"/>
    <cellStyle name="Debit subtotal 8 7 2" xfId="35356"/>
    <cellStyle name="Debit subtotal 8 7 3" xfId="35357"/>
    <cellStyle name="Debit subtotal 8 8" xfId="35358"/>
    <cellStyle name="Debit subtotal 9" xfId="35359"/>
    <cellStyle name="Debit subtotal 9 2" xfId="35360"/>
    <cellStyle name="Debit subtotal 9 2 2" xfId="35361"/>
    <cellStyle name="Debit subtotal 9 2 2 10" xfId="35362"/>
    <cellStyle name="Debit subtotal 9 2 2 11" xfId="35363"/>
    <cellStyle name="Debit subtotal 9 2 2 12" xfId="35364"/>
    <cellStyle name="Debit subtotal 9 2 2 13" xfId="35365"/>
    <cellStyle name="Debit subtotal 9 2 2 14" xfId="35366"/>
    <cellStyle name="Debit subtotal 9 2 2 15" xfId="35367"/>
    <cellStyle name="Debit subtotal 9 2 2 16" xfId="35368"/>
    <cellStyle name="Debit subtotal 9 2 2 17" xfId="35369"/>
    <cellStyle name="Debit subtotal 9 2 2 18" xfId="35370"/>
    <cellStyle name="Debit subtotal 9 2 2 19" xfId="35371"/>
    <cellStyle name="Debit subtotal 9 2 2 2" xfId="35372"/>
    <cellStyle name="Debit subtotal 9 2 2 2 2" xfId="35373"/>
    <cellStyle name="Debit subtotal 9 2 2 2 3" xfId="35374"/>
    <cellStyle name="Debit subtotal 9 2 2 2 4" xfId="35375"/>
    <cellStyle name="Debit subtotal 9 2 2 2 5" xfId="35376"/>
    <cellStyle name="Debit subtotal 9 2 2 2 6" xfId="35377"/>
    <cellStyle name="Debit subtotal 9 2 2 2 7" xfId="35378"/>
    <cellStyle name="Debit subtotal 9 2 2 2 8" xfId="35379"/>
    <cellStyle name="Debit subtotal 9 2 2 2 9" xfId="35380"/>
    <cellStyle name="Debit subtotal 9 2 2 20" xfId="35381"/>
    <cellStyle name="Debit subtotal 9 2 2 21" xfId="35382"/>
    <cellStyle name="Debit subtotal 9 2 2 3" xfId="35383"/>
    <cellStyle name="Debit subtotal 9 2 2 4" xfId="35384"/>
    <cellStyle name="Debit subtotal 9 2 2 5" xfId="35385"/>
    <cellStyle name="Debit subtotal 9 2 2 6" xfId="35386"/>
    <cellStyle name="Debit subtotal 9 2 2 7" xfId="35387"/>
    <cellStyle name="Debit subtotal 9 2 2 8" xfId="35388"/>
    <cellStyle name="Debit subtotal 9 2 2 9" xfId="35389"/>
    <cellStyle name="Debit subtotal 9 2 3" xfId="35390"/>
    <cellStyle name="Debit subtotal 9 2 3 10" xfId="35391"/>
    <cellStyle name="Debit subtotal 9 2 3 11" xfId="35392"/>
    <cellStyle name="Debit subtotal 9 2 3 12" xfId="35393"/>
    <cellStyle name="Debit subtotal 9 2 3 13" xfId="35394"/>
    <cellStyle name="Debit subtotal 9 2 3 14" xfId="35395"/>
    <cellStyle name="Debit subtotal 9 2 3 15" xfId="35396"/>
    <cellStyle name="Debit subtotal 9 2 3 16" xfId="35397"/>
    <cellStyle name="Debit subtotal 9 2 3 17" xfId="35398"/>
    <cellStyle name="Debit subtotal 9 2 3 18" xfId="35399"/>
    <cellStyle name="Debit subtotal 9 2 3 19" xfId="35400"/>
    <cellStyle name="Debit subtotal 9 2 3 2" xfId="35401"/>
    <cellStyle name="Debit subtotal 9 2 3 2 2" xfId="35402"/>
    <cellStyle name="Debit subtotal 9 2 3 2 3" xfId="35403"/>
    <cellStyle name="Debit subtotal 9 2 3 2 4" xfId="35404"/>
    <cellStyle name="Debit subtotal 9 2 3 2 5" xfId="35405"/>
    <cellStyle name="Debit subtotal 9 2 3 2 6" xfId="35406"/>
    <cellStyle name="Debit subtotal 9 2 3 2 7" xfId="35407"/>
    <cellStyle name="Debit subtotal 9 2 3 2 8" xfId="35408"/>
    <cellStyle name="Debit subtotal 9 2 3 2 9" xfId="35409"/>
    <cellStyle name="Debit subtotal 9 2 3 3" xfId="35410"/>
    <cellStyle name="Debit subtotal 9 2 3 4" xfId="35411"/>
    <cellStyle name="Debit subtotal 9 2 3 5" xfId="35412"/>
    <cellStyle name="Debit subtotal 9 2 3 6" xfId="35413"/>
    <cellStyle name="Debit subtotal 9 2 3 7" xfId="35414"/>
    <cellStyle name="Debit subtotal 9 2 3 8" xfId="35415"/>
    <cellStyle name="Debit subtotal 9 2 3 9" xfId="35416"/>
    <cellStyle name="Debit subtotal 9 2 4" xfId="35417"/>
    <cellStyle name="Debit subtotal 9 2 4 10" xfId="35418"/>
    <cellStyle name="Debit subtotal 9 2 4 11" xfId="35419"/>
    <cellStyle name="Debit subtotal 9 2 4 12" xfId="35420"/>
    <cellStyle name="Debit subtotal 9 2 4 13" xfId="35421"/>
    <cellStyle name="Debit subtotal 9 2 4 14" xfId="35422"/>
    <cellStyle name="Debit subtotal 9 2 4 15" xfId="35423"/>
    <cellStyle name="Debit subtotal 9 2 4 16" xfId="35424"/>
    <cellStyle name="Debit subtotal 9 2 4 17" xfId="35425"/>
    <cellStyle name="Debit subtotal 9 2 4 18" xfId="35426"/>
    <cellStyle name="Debit subtotal 9 2 4 2" xfId="35427"/>
    <cellStyle name="Debit subtotal 9 2 4 2 2" xfId="35428"/>
    <cellStyle name="Debit subtotal 9 2 4 2 3" xfId="35429"/>
    <cellStyle name="Debit subtotal 9 2 4 2 4" xfId="35430"/>
    <cellStyle name="Debit subtotal 9 2 4 2 5" xfId="35431"/>
    <cellStyle name="Debit subtotal 9 2 4 2 6" xfId="35432"/>
    <cellStyle name="Debit subtotal 9 2 4 2 7" xfId="35433"/>
    <cellStyle name="Debit subtotal 9 2 4 2 8" xfId="35434"/>
    <cellStyle name="Debit subtotal 9 2 4 2 9" xfId="35435"/>
    <cellStyle name="Debit subtotal 9 2 4 3" xfId="35436"/>
    <cellStyle name="Debit subtotal 9 2 4 4" xfId="35437"/>
    <cellStyle name="Debit subtotal 9 2 4 5" xfId="35438"/>
    <cellStyle name="Debit subtotal 9 2 4 6" xfId="35439"/>
    <cellStyle name="Debit subtotal 9 2 4 7" xfId="35440"/>
    <cellStyle name="Debit subtotal 9 2 4 8" xfId="35441"/>
    <cellStyle name="Debit subtotal 9 2 4 9" xfId="35442"/>
    <cellStyle name="Debit subtotal 9 2 5" xfId="35443"/>
    <cellStyle name="Debit subtotal 9 2 5 2" xfId="35444"/>
    <cellStyle name="Debit subtotal 9 2 5 3" xfId="35445"/>
    <cellStyle name="Debit subtotal 9 2 6" xfId="35446"/>
    <cellStyle name="Debit subtotal 9 3" xfId="35447"/>
    <cellStyle name="Debit subtotal 9 3 2" xfId="35448"/>
    <cellStyle name="Debit subtotal 9 3 2 10" xfId="35449"/>
    <cellStyle name="Debit subtotal 9 3 2 11" xfId="35450"/>
    <cellStyle name="Debit subtotal 9 3 2 12" xfId="35451"/>
    <cellStyle name="Debit subtotal 9 3 2 13" xfId="35452"/>
    <cellStyle name="Debit subtotal 9 3 2 14" xfId="35453"/>
    <cellStyle name="Debit subtotal 9 3 2 15" xfId="35454"/>
    <cellStyle name="Debit subtotal 9 3 2 16" xfId="35455"/>
    <cellStyle name="Debit subtotal 9 3 2 17" xfId="35456"/>
    <cellStyle name="Debit subtotal 9 3 2 18" xfId="35457"/>
    <cellStyle name="Debit subtotal 9 3 2 19" xfId="35458"/>
    <cellStyle name="Debit subtotal 9 3 2 2" xfId="35459"/>
    <cellStyle name="Debit subtotal 9 3 2 2 2" xfId="35460"/>
    <cellStyle name="Debit subtotal 9 3 2 2 3" xfId="35461"/>
    <cellStyle name="Debit subtotal 9 3 2 2 4" xfId="35462"/>
    <cellStyle name="Debit subtotal 9 3 2 2 5" xfId="35463"/>
    <cellStyle name="Debit subtotal 9 3 2 2 6" xfId="35464"/>
    <cellStyle name="Debit subtotal 9 3 2 2 7" xfId="35465"/>
    <cellStyle name="Debit subtotal 9 3 2 2 8" xfId="35466"/>
    <cellStyle name="Debit subtotal 9 3 2 2 9" xfId="35467"/>
    <cellStyle name="Debit subtotal 9 3 2 20" xfId="35468"/>
    <cellStyle name="Debit subtotal 9 3 2 21" xfId="35469"/>
    <cellStyle name="Debit subtotal 9 3 2 3" xfId="35470"/>
    <cellStyle name="Debit subtotal 9 3 2 4" xfId="35471"/>
    <cellStyle name="Debit subtotal 9 3 2 5" xfId="35472"/>
    <cellStyle name="Debit subtotal 9 3 2 6" xfId="35473"/>
    <cellStyle name="Debit subtotal 9 3 2 7" xfId="35474"/>
    <cellStyle name="Debit subtotal 9 3 2 8" xfId="35475"/>
    <cellStyle name="Debit subtotal 9 3 2 9" xfId="35476"/>
    <cellStyle name="Debit subtotal 9 3 3" xfId="35477"/>
    <cellStyle name="Debit subtotal 9 3 3 10" xfId="35478"/>
    <cellStyle name="Debit subtotal 9 3 3 11" xfId="35479"/>
    <cellStyle name="Debit subtotal 9 3 3 12" xfId="35480"/>
    <cellStyle name="Debit subtotal 9 3 3 13" xfId="35481"/>
    <cellStyle name="Debit subtotal 9 3 3 14" xfId="35482"/>
    <cellStyle name="Debit subtotal 9 3 3 15" xfId="35483"/>
    <cellStyle name="Debit subtotal 9 3 3 16" xfId="35484"/>
    <cellStyle name="Debit subtotal 9 3 3 17" xfId="35485"/>
    <cellStyle name="Debit subtotal 9 3 3 18" xfId="35486"/>
    <cellStyle name="Debit subtotal 9 3 3 19" xfId="35487"/>
    <cellStyle name="Debit subtotal 9 3 3 2" xfId="35488"/>
    <cellStyle name="Debit subtotal 9 3 3 2 2" xfId="35489"/>
    <cellStyle name="Debit subtotal 9 3 3 2 3" xfId="35490"/>
    <cellStyle name="Debit subtotal 9 3 3 2 4" xfId="35491"/>
    <cellStyle name="Debit subtotal 9 3 3 2 5" xfId="35492"/>
    <cellStyle name="Debit subtotal 9 3 3 2 6" xfId="35493"/>
    <cellStyle name="Debit subtotal 9 3 3 2 7" xfId="35494"/>
    <cellStyle name="Debit subtotal 9 3 3 2 8" xfId="35495"/>
    <cellStyle name="Debit subtotal 9 3 3 2 9" xfId="35496"/>
    <cellStyle name="Debit subtotal 9 3 3 3" xfId="35497"/>
    <cellStyle name="Debit subtotal 9 3 3 4" xfId="35498"/>
    <cellStyle name="Debit subtotal 9 3 3 5" xfId="35499"/>
    <cellStyle name="Debit subtotal 9 3 3 6" xfId="35500"/>
    <cellStyle name="Debit subtotal 9 3 3 7" xfId="35501"/>
    <cellStyle name="Debit subtotal 9 3 3 8" xfId="35502"/>
    <cellStyle name="Debit subtotal 9 3 3 9" xfId="35503"/>
    <cellStyle name="Debit subtotal 9 3 4" xfId="35504"/>
    <cellStyle name="Debit subtotal 9 3 4 10" xfId="35505"/>
    <cellStyle name="Debit subtotal 9 3 4 11" xfId="35506"/>
    <cellStyle name="Debit subtotal 9 3 4 12" xfId="35507"/>
    <cellStyle name="Debit subtotal 9 3 4 13" xfId="35508"/>
    <cellStyle name="Debit subtotal 9 3 4 14" xfId="35509"/>
    <cellStyle name="Debit subtotal 9 3 4 15" xfId="35510"/>
    <cellStyle name="Debit subtotal 9 3 4 16" xfId="35511"/>
    <cellStyle name="Debit subtotal 9 3 4 17" xfId="35512"/>
    <cellStyle name="Debit subtotal 9 3 4 18" xfId="35513"/>
    <cellStyle name="Debit subtotal 9 3 4 2" xfId="35514"/>
    <cellStyle name="Debit subtotal 9 3 4 2 2" xfId="35515"/>
    <cellStyle name="Debit subtotal 9 3 4 2 3" xfId="35516"/>
    <cellStyle name="Debit subtotal 9 3 4 2 4" xfId="35517"/>
    <cellStyle name="Debit subtotal 9 3 4 2 5" xfId="35518"/>
    <cellStyle name="Debit subtotal 9 3 4 2 6" xfId="35519"/>
    <cellStyle name="Debit subtotal 9 3 4 2 7" xfId="35520"/>
    <cellStyle name="Debit subtotal 9 3 4 2 8" xfId="35521"/>
    <cellStyle name="Debit subtotal 9 3 4 2 9" xfId="35522"/>
    <cellStyle name="Debit subtotal 9 3 4 3" xfId="35523"/>
    <cellStyle name="Debit subtotal 9 3 4 4" xfId="35524"/>
    <cellStyle name="Debit subtotal 9 3 4 5" xfId="35525"/>
    <cellStyle name="Debit subtotal 9 3 4 6" xfId="35526"/>
    <cellStyle name="Debit subtotal 9 3 4 7" xfId="35527"/>
    <cellStyle name="Debit subtotal 9 3 4 8" xfId="35528"/>
    <cellStyle name="Debit subtotal 9 3 4 9" xfId="35529"/>
    <cellStyle name="Debit subtotal 9 3 5" xfId="35530"/>
    <cellStyle name="Debit subtotal 9 3 5 2" xfId="35531"/>
    <cellStyle name="Debit subtotal 9 3 5 3" xfId="35532"/>
    <cellStyle name="Debit subtotal 9 3 6" xfId="35533"/>
    <cellStyle name="Debit subtotal 9 4" xfId="35534"/>
    <cellStyle name="Debit subtotal 9 4 10" xfId="35535"/>
    <cellStyle name="Debit subtotal 9 4 11" xfId="35536"/>
    <cellStyle name="Debit subtotal 9 4 12" xfId="35537"/>
    <cellStyle name="Debit subtotal 9 4 13" xfId="35538"/>
    <cellStyle name="Debit subtotal 9 4 14" xfId="35539"/>
    <cellStyle name="Debit subtotal 9 4 15" xfId="35540"/>
    <cellStyle name="Debit subtotal 9 4 16" xfId="35541"/>
    <cellStyle name="Debit subtotal 9 4 17" xfId="35542"/>
    <cellStyle name="Debit subtotal 9 4 18" xfId="35543"/>
    <cellStyle name="Debit subtotal 9 4 19" xfId="35544"/>
    <cellStyle name="Debit subtotal 9 4 2" xfId="35545"/>
    <cellStyle name="Debit subtotal 9 4 2 2" xfId="35546"/>
    <cellStyle name="Debit subtotal 9 4 2 3" xfId="35547"/>
    <cellStyle name="Debit subtotal 9 4 2 4" xfId="35548"/>
    <cellStyle name="Debit subtotal 9 4 2 5" xfId="35549"/>
    <cellStyle name="Debit subtotal 9 4 2 6" xfId="35550"/>
    <cellStyle name="Debit subtotal 9 4 2 7" xfId="35551"/>
    <cellStyle name="Debit subtotal 9 4 2 8" xfId="35552"/>
    <cellStyle name="Debit subtotal 9 4 2 9" xfId="35553"/>
    <cellStyle name="Debit subtotal 9 4 20" xfId="35554"/>
    <cellStyle name="Debit subtotal 9 4 21" xfId="35555"/>
    <cellStyle name="Debit subtotal 9 4 3" xfId="35556"/>
    <cellStyle name="Debit subtotal 9 4 4" xfId="35557"/>
    <cellStyle name="Debit subtotal 9 4 5" xfId="35558"/>
    <cellStyle name="Debit subtotal 9 4 6" xfId="35559"/>
    <cellStyle name="Debit subtotal 9 4 7" xfId="35560"/>
    <cellStyle name="Debit subtotal 9 4 8" xfId="35561"/>
    <cellStyle name="Debit subtotal 9 4 9" xfId="35562"/>
    <cellStyle name="Debit subtotal 9 5" xfId="35563"/>
    <cellStyle name="Debit subtotal 9 5 10" xfId="35564"/>
    <cellStyle name="Debit subtotal 9 5 11" xfId="35565"/>
    <cellStyle name="Debit subtotal 9 5 12" xfId="35566"/>
    <cellStyle name="Debit subtotal 9 5 13" xfId="35567"/>
    <cellStyle name="Debit subtotal 9 5 14" xfId="35568"/>
    <cellStyle name="Debit subtotal 9 5 15" xfId="35569"/>
    <cellStyle name="Debit subtotal 9 5 16" xfId="35570"/>
    <cellStyle name="Debit subtotal 9 5 17" xfId="35571"/>
    <cellStyle name="Debit subtotal 9 5 18" xfId="35572"/>
    <cellStyle name="Debit subtotal 9 5 19" xfId="35573"/>
    <cellStyle name="Debit subtotal 9 5 2" xfId="35574"/>
    <cellStyle name="Debit subtotal 9 5 2 2" xfId="35575"/>
    <cellStyle name="Debit subtotal 9 5 2 3" xfId="35576"/>
    <cellStyle name="Debit subtotal 9 5 2 4" xfId="35577"/>
    <cellStyle name="Debit subtotal 9 5 2 5" xfId="35578"/>
    <cellStyle name="Debit subtotal 9 5 2 6" xfId="35579"/>
    <cellStyle name="Debit subtotal 9 5 2 7" xfId="35580"/>
    <cellStyle name="Debit subtotal 9 5 2 8" xfId="35581"/>
    <cellStyle name="Debit subtotal 9 5 2 9" xfId="35582"/>
    <cellStyle name="Debit subtotal 9 5 3" xfId="35583"/>
    <cellStyle name="Debit subtotal 9 5 4" xfId="35584"/>
    <cellStyle name="Debit subtotal 9 5 5" xfId="35585"/>
    <cellStyle name="Debit subtotal 9 5 6" xfId="35586"/>
    <cellStyle name="Debit subtotal 9 5 7" xfId="35587"/>
    <cellStyle name="Debit subtotal 9 5 8" xfId="35588"/>
    <cellStyle name="Debit subtotal 9 5 9" xfId="35589"/>
    <cellStyle name="Debit subtotal 9 6" xfId="35590"/>
    <cellStyle name="Debit subtotal 9 6 10" xfId="35591"/>
    <cellStyle name="Debit subtotal 9 6 11" xfId="35592"/>
    <cellStyle name="Debit subtotal 9 6 12" xfId="35593"/>
    <cellStyle name="Debit subtotal 9 6 13" xfId="35594"/>
    <cellStyle name="Debit subtotal 9 6 14" xfId="35595"/>
    <cellStyle name="Debit subtotal 9 6 15" xfId="35596"/>
    <cellStyle name="Debit subtotal 9 6 16" xfId="35597"/>
    <cellStyle name="Debit subtotal 9 6 17" xfId="35598"/>
    <cellStyle name="Debit subtotal 9 6 18" xfId="35599"/>
    <cellStyle name="Debit subtotal 9 6 2" xfId="35600"/>
    <cellStyle name="Debit subtotal 9 6 2 2" xfId="35601"/>
    <cellStyle name="Debit subtotal 9 6 2 3" xfId="35602"/>
    <cellStyle name="Debit subtotal 9 6 2 4" xfId="35603"/>
    <cellStyle name="Debit subtotal 9 6 2 5" xfId="35604"/>
    <cellStyle name="Debit subtotal 9 6 2 6" xfId="35605"/>
    <cellStyle name="Debit subtotal 9 6 2 7" xfId="35606"/>
    <cellStyle name="Debit subtotal 9 6 2 8" xfId="35607"/>
    <cellStyle name="Debit subtotal 9 6 2 9" xfId="35608"/>
    <cellStyle name="Debit subtotal 9 6 3" xfId="35609"/>
    <cellStyle name="Debit subtotal 9 6 4" xfId="35610"/>
    <cellStyle name="Debit subtotal 9 6 5" xfId="35611"/>
    <cellStyle name="Debit subtotal 9 6 6" xfId="35612"/>
    <cellStyle name="Debit subtotal 9 6 7" xfId="35613"/>
    <cellStyle name="Debit subtotal 9 6 8" xfId="35614"/>
    <cellStyle name="Debit subtotal 9 6 9" xfId="35615"/>
    <cellStyle name="Debit subtotal 9 7" xfId="35616"/>
    <cellStyle name="Debit subtotal 9 7 2" xfId="35617"/>
    <cellStyle name="Debit subtotal 9 7 3" xfId="35618"/>
    <cellStyle name="Debit subtotal 9 8" xfId="35619"/>
    <cellStyle name="Debit Total" xfId="35620"/>
    <cellStyle name="Debit_ЛюбаАгафонова" xfId="35621"/>
    <cellStyle name="Deviant" xfId="35622"/>
    <cellStyle name="Dezimal . [0]" xfId="35623"/>
    <cellStyle name="Dezimal . [1]" xfId="35624"/>
    <cellStyle name="Dezimal . [2]" xfId="35625"/>
    <cellStyle name="Dezimal [0]_Compiling Utility Macros" xfId="35626"/>
    <cellStyle name="Dezimal_Compiling Utility Macros" xfId="35627"/>
    <cellStyle name="Dollar" xfId="35628"/>
    <cellStyle name="Dollars" xfId="35629"/>
    <cellStyle name="Dotted Line" xfId="35630"/>
    <cellStyle name="Double Accounting" xfId="35631"/>
    <cellStyle name="Dummy" xfId="35632"/>
    <cellStyle name="Dummy 2" xfId="35633"/>
    <cellStyle name="Dummy 2 10" xfId="35634"/>
    <cellStyle name="Dummy 2 11" xfId="35635"/>
    <cellStyle name="Dummy 2 12" xfId="35636"/>
    <cellStyle name="Dummy 2 13" xfId="35637"/>
    <cellStyle name="Dummy 2 14" xfId="35638"/>
    <cellStyle name="Dummy 2 15" xfId="35639"/>
    <cellStyle name="Dummy 2 16" xfId="35640"/>
    <cellStyle name="Dummy 2 17" xfId="35641"/>
    <cellStyle name="Dummy 2 18" xfId="35642"/>
    <cellStyle name="Dummy 2 19" xfId="35643"/>
    <cellStyle name="Dummy 2 2" xfId="35644"/>
    <cellStyle name="Dummy 2 2 2" xfId="35645"/>
    <cellStyle name="Dummy 2 2 3" xfId="35646"/>
    <cellStyle name="Dummy 2 2 4" xfId="35647"/>
    <cellStyle name="Dummy 2 2 5" xfId="35648"/>
    <cellStyle name="Dummy 2 2 6" xfId="35649"/>
    <cellStyle name="Dummy 2 2 7" xfId="35650"/>
    <cellStyle name="Dummy 2 2 8" xfId="35651"/>
    <cellStyle name="Dummy 2 2 9" xfId="35652"/>
    <cellStyle name="Dummy 2 3" xfId="35653"/>
    <cellStyle name="Dummy 2 4" xfId="35654"/>
    <cellStyle name="Dummy 2 5" xfId="35655"/>
    <cellStyle name="Dummy 2 6" xfId="35656"/>
    <cellStyle name="Dummy 2 7" xfId="35657"/>
    <cellStyle name="Dummy 2 8" xfId="35658"/>
    <cellStyle name="Dummy 2 9" xfId="35659"/>
    <cellStyle name="Dummy 3" xfId="35660"/>
    <cellStyle name="Dummy 3 10" xfId="35661"/>
    <cellStyle name="Dummy 3 11" xfId="35662"/>
    <cellStyle name="Dummy 3 12" xfId="35663"/>
    <cellStyle name="Dummy 3 13" xfId="35664"/>
    <cellStyle name="Dummy 3 14" xfId="35665"/>
    <cellStyle name="Dummy 3 15" xfId="35666"/>
    <cellStyle name="Dummy 3 16" xfId="35667"/>
    <cellStyle name="Dummy 3 17" xfId="35668"/>
    <cellStyle name="Dummy 3 18" xfId="35669"/>
    <cellStyle name="Dummy 3 2" xfId="35670"/>
    <cellStyle name="Dummy 3 2 2" xfId="35671"/>
    <cellStyle name="Dummy 3 2 3" xfId="35672"/>
    <cellStyle name="Dummy 3 2 4" xfId="35673"/>
    <cellStyle name="Dummy 3 2 5" xfId="35674"/>
    <cellStyle name="Dummy 3 2 6" xfId="35675"/>
    <cellStyle name="Dummy 3 2 7" xfId="35676"/>
    <cellStyle name="Dummy 3 2 8" xfId="35677"/>
    <cellStyle name="Dummy 3 2 9" xfId="35678"/>
    <cellStyle name="Dummy 3 3" xfId="35679"/>
    <cellStyle name="Dummy 3 4" xfId="35680"/>
    <cellStyle name="Dummy 3 5" xfId="35681"/>
    <cellStyle name="Dummy 3 6" xfId="35682"/>
    <cellStyle name="Dummy 3 7" xfId="35683"/>
    <cellStyle name="Dummy 3 8" xfId="35684"/>
    <cellStyle name="Dummy 3 9" xfId="35685"/>
    <cellStyle name="Dummy 4" xfId="35686"/>
    <cellStyle name="Dummy 4 10" xfId="35687"/>
    <cellStyle name="Dummy 4 11" xfId="35688"/>
    <cellStyle name="Dummy 4 12" xfId="35689"/>
    <cellStyle name="Dummy 4 13" xfId="35690"/>
    <cellStyle name="Dummy 4 14" xfId="35691"/>
    <cellStyle name="Dummy 4 15" xfId="35692"/>
    <cellStyle name="Dummy 4 16" xfId="35693"/>
    <cellStyle name="Dummy 4 17" xfId="35694"/>
    <cellStyle name="Dummy 4 18" xfId="35695"/>
    <cellStyle name="Dummy 4 19" xfId="35696"/>
    <cellStyle name="Dummy 4 2" xfId="35697"/>
    <cellStyle name="Dummy 4 2 2" xfId="35698"/>
    <cellStyle name="Dummy 4 2 3" xfId="35699"/>
    <cellStyle name="Dummy 4 2 4" xfId="35700"/>
    <cellStyle name="Dummy 4 2 5" xfId="35701"/>
    <cellStyle name="Dummy 4 2 6" xfId="35702"/>
    <cellStyle name="Dummy 4 2 7" xfId="35703"/>
    <cellStyle name="Dummy 4 2 8" xfId="35704"/>
    <cellStyle name="Dummy 4 2 9" xfId="35705"/>
    <cellStyle name="Dummy 4 3" xfId="35706"/>
    <cellStyle name="Dummy 4 4" xfId="35707"/>
    <cellStyle name="Dummy 4 5" xfId="35708"/>
    <cellStyle name="Dummy 4 6" xfId="35709"/>
    <cellStyle name="Dummy 4 7" xfId="35710"/>
    <cellStyle name="Dummy 4 8" xfId="35711"/>
    <cellStyle name="Dummy 4 9" xfId="35712"/>
    <cellStyle name="Dummy 5" xfId="35713"/>
    <cellStyle name="Emphasis 1" xfId="35714"/>
    <cellStyle name="Emphasis 1 10" xfId="35715"/>
    <cellStyle name="Emphasis 1 11" xfId="35716"/>
    <cellStyle name="Emphasis 1 12" xfId="35717"/>
    <cellStyle name="Emphasis 1 13" xfId="35718"/>
    <cellStyle name="Emphasis 1 14" xfId="35719"/>
    <cellStyle name="Emphasis 1 15" xfId="35720"/>
    <cellStyle name="Emphasis 1 16" xfId="35721"/>
    <cellStyle name="Emphasis 1 17" xfId="35722"/>
    <cellStyle name="Emphasis 1 18" xfId="35723"/>
    <cellStyle name="Emphasis 1 19" xfId="35724"/>
    <cellStyle name="Emphasis 1 2" xfId="35725"/>
    <cellStyle name="Emphasis 1 20" xfId="35726"/>
    <cellStyle name="Emphasis 1 21" xfId="35727"/>
    <cellStyle name="Emphasis 1 3" xfId="35728"/>
    <cellStyle name="Emphasis 1 4" xfId="35729"/>
    <cellStyle name="Emphasis 1 5" xfId="35730"/>
    <cellStyle name="Emphasis 1 6" xfId="35731"/>
    <cellStyle name="Emphasis 1 7" xfId="35732"/>
    <cellStyle name="Emphasis 1 8" xfId="35733"/>
    <cellStyle name="Emphasis 1 9" xfId="35734"/>
    <cellStyle name="Emphasis 2" xfId="35735"/>
    <cellStyle name="Emphasis 2 10" xfId="35736"/>
    <cellStyle name="Emphasis 2 11" xfId="35737"/>
    <cellStyle name="Emphasis 2 12" xfId="35738"/>
    <cellStyle name="Emphasis 2 13" xfId="35739"/>
    <cellStyle name="Emphasis 2 14" xfId="35740"/>
    <cellStyle name="Emphasis 2 15" xfId="35741"/>
    <cellStyle name="Emphasis 2 16" xfId="35742"/>
    <cellStyle name="Emphasis 2 17" xfId="35743"/>
    <cellStyle name="Emphasis 2 18" xfId="35744"/>
    <cellStyle name="Emphasis 2 19" xfId="35745"/>
    <cellStyle name="Emphasis 2 2" xfId="35746"/>
    <cellStyle name="Emphasis 2 20" xfId="35747"/>
    <cellStyle name="Emphasis 2 21" xfId="35748"/>
    <cellStyle name="Emphasis 2 3" xfId="35749"/>
    <cellStyle name="Emphasis 2 4" xfId="35750"/>
    <cellStyle name="Emphasis 2 5" xfId="35751"/>
    <cellStyle name="Emphasis 2 6" xfId="35752"/>
    <cellStyle name="Emphasis 2 7" xfId="35753"/>
    <cellStyle name="Emphasis 2 8" xfId="35754"/>
    <cellStyle name="Emphasis 2 9" xfId="35755"/>
    <cellStyle name="Emphasis 3" xfId="35756"/>
    <cellStyle name="Emphasis 3 10" xfId="35757"/>
    <cellStyle name="Emphasis 3 11" xfId="35758"/>
    <cellStyle name="Emphasis 3 12" xfId="35759"/>
    <cellStyle name="Emphasis 3 13" xfId="35760"/>
    <cellStyle name="Emphasis 3 14" xfId="35761"/>
    <cellStyle name="Emphasis 3 15" xfId="35762"/>
    <cellStyle name="Emphasis 3 16" xfId="35763"/>
    <cellStyle name="Emphasis 3 17" xfId="35764"/>
    <cellStyle name="Emphasis 3 18" xfId="35765"/>
    <cellStyle name="Emphasis 3 19" xfId="35766"/>
    <cellStyle name="Emphasis 3 2" xfId="35767"/>
    <cellStyle name="Emphasis 3 20" xfId="35768"/>
    <cellStyle name="Emphasis 3 3" xfId="35769"/>
    <cellStyle name="Emphasis 3 4" xfId="35770"/>
    <cellStyle name="Emphasis 3 5" xfId="35771"/>
    <cellStyle name="Emphasis 3 6" xfId="35772"/>
    <cellStyle name="Emphasis 3 7" xfId="35773"/>
    <cellStyle name="Emphasis 3 8" xfId="35774"/>
    <cellStyle name="Emphasis 3 9" xfId="35775"/>
    <cellStyle name="Euro" xfId="35776"/>
    <cellStyle name="Euro 2" xfId="35777"/>
    <cellStyle name="Euro 3" xfId="35778"/>
    <cellStyle name="Euro 4" xfId="35779"/>
    <cellStyle name="Euro 5" xfId="35780"/>
    <cellStyle name="Euro 6" xfId="35781"/>
    <cellStyle name="Euro 7" xfId="35782"/>
    <cellStyle name="Euro 8" xfId="35783"/>
    <cellStyle name="Euro 9" xfId="35784"/>
    <cellStyle name="Excel Built-in Normal" xfId="35785"/>
    <cellStyle name="Explanatory Text" xfId="35786"/>
    <cellStyle name="Explanatory Text 2" xfId="35787"/>
    <cellStyle name="Factor" xfId="35788"/>
    <cellStyle name="FieldName" xfId="35789"/>
    <cellStyle name="FieldName 2" xfId="35790"/>
    <cellStyle name="FieldName 2 10" xfId="35791"/>
    <cellStyle name="FieldName 2 11" xfId="35792"/>
    <cellStyle name="FieldName 2 12" xfId="35793"/>
    <cellStyle name="FieldName 2 13" xfId="35794"/>
    <cellStyle name="FieldName 2 14" xfId="35795"/>
    <cellStyle name="FieldName 2 15" xfId="35796"/>
    <cellStyle name="FieldName 2 2" xfId="35797"/>
    <cellStyle name="FieldName 2 3" xfId="35798"/>
    <cellStyle name="FieldName 2 4" xfId="35799"/>
    <cellStyle name="FieldName 2 5" xfId="35800"/>
    <cellStyle name="FieldName 2 6" xfId="35801"/>
    <cellStyle name="FieldName 2 7" xfId="35802"/>
    <cellStyle name="FieldName 2 8" xfId="35803"/>
    <cellStyle name="FieldName 2 9" xfId="35804"/>
    <cellStyle name="FieldName 3" xfId="35805"/>
    <cellStyle name="FieldName 3 10" xfId="35806"/>
    <cellStyle name="FieldName 3 11" xfId="35807"/>
    <cellStyle name="FieldName 3 12" xfId="35808"/>
    <cellStyle name="FieldName 3 13" xfId="35809"/>
    <cellStyle name="FieldName 3 14" xfId="35810"/>
    <cellStyle name="FieldName 3 15" xfId="35811"/>
    <cellStyle name="FieldName 3 16" xfId="35812"/>
    <cellStyle name="FieldName 3 17" xfId="35813"/>
    <cellStyle name="FieldName 3 18" xfId="35814"/>
    <cellStyle name="FieldName 3 19" xfId="35815"/>
    <cellStyle name="FieldName 3 2" xfId="35816"/>
    <cellStyle name="FieldName 3 2 2" xfId="35817"/>
    <cellStyle name="FieldName 3 2 3" xfId="35818"/>
    <cellStyle name="FieldName 3 2 4" xfId="35819"/>
    <cellStyle name="FieldName 3 2 5" xfId="35820"/>
    <cellStyle name="FieldName 3 2 6" xfId="35821"/>
    <cellStyle name="FieldName 3 2 7" xfId="35822"/>
    <cellStyle name="FieldName 3 2 8" xfId="35823"/>
    <cellStyle name="FieldName 3 2 9" xfId="35824"/>
    <cellStyle name="FieldName 3 3" xfId="35825"/>
    <cellStyle name="FieldName 3 4" xfId="35826"/>
    <cellStyle name="FieldName 3 5" xfId="35827"/>
    <cellStyle name="FieldName 3 6" xfId="35828"/>
    <cellStyle name="FieldName 3 7" xfId="35829"/>
    <cellStyle name="FieldName 3 8" xfId="35830"/>
    <cellStyle name="FieldName 3 9" xfId="35831"/>
    <cellStyle name="FieldName 4" xfId="35832"/>
    <cellStyle name="FieldName 4 10" xfId="35833"/>
    <cellStyle name="FieldName 4 11" xfId="35834"/>
    <cellStyle name="FieldName 4 12" xfId="35835"/>
    <cellStyle name="FieldName 4 13" xfId="35836"/>
    <cellStyle name="FieldName 4 14" xfId="35837"/>
    <cellStyle name="FieldName 4 15" xfId="35838"/>
    <cellStyle name="FieldName 4 16" xfId="35839"/>
    <cellStyle name="FieldName 4 2" xfId="35840"/>
    <cellStyle name="FieldName 4 2 2" xfId="35841"/>
    <cellStyle name="FieldName 4 2 3" xfId="35842"/>
    <cellStyle name="FieldName 4 2 4" xfId="35843"/>
    <cellStyle name="FieldName 4 2 5" xfId="35844"/>
    <cellStyle name="FieldName 4 2 6" xfId="35845"/>
    <cellStyle name="FieldName 4 2 7" xfId="35846"/>
    <cellStyle name="FieldName 4 2 8" xfId="35847"/>
    <cellStyle name="FieldName 4 2 9" xfId="35848"/>
    <cellStyle name="FieldName 4 3" xfId="35849"/>
    <cellStyle name="FieldName 4 4" xfId="35850"/>
    <cellStyle name="FieldName 4 5" xfId="35851"/>
    <cellStyle name="FieldName 4 6" xfId="35852"/>
    <cellStyle name="FieldName 4 7" xfId="35853"/>
    <cellStyle name="FieldName 4 8" xfId="35854"/>
    <cellStyle name="FieldName 4 9" xfId="35855"/>
    <cellStyle name="FieldName 5" xfId="35856"/>
    <cellStyle name="Fixed" xfId="35857"/>
    <cellStyle name="Fixed 10" xfId="35858"/>
    <cellStyle name="Fixed 11" xfId="35859"/>
    <cellStyle name="Fixed 12" xfId="35860"/>
    <cellStyle name="Fixed 13" xfId="35861"/>
    <cellStyle name="Fixed 2" xfId="35862"/>
    <cellStyle name="Fixed 3" xfId="35863"/>
    <cellStyle name="Fixed 4" xfId="35864"/>
    <cellStyle name="Fixed 5" xfId="35865"/>
    <cellStyle name="Fixed 6" xfId="35866"/>
    <cellStyle name="Fixed 7" xfId="35867"/>
    <cellStyle name="Fixed 8" xfId="35868"/>
    <cellStyle name="Fixed 9" xfId="35869"/>
    <cellStyle name="Fixed_План ДСМ ноябрь 2011 ОТЧЕТ" xfId="35870"/>
    <cellStyle name="Followed Hyperlink_Draft-forms" xfId="35871"/>
    <cellStyle name="Footer SBILogo1" xfId="35872"/>
    <cellStyle name="Footer SBILogo2" xfId="35873"/>
    <cellStyle name="Footnote" xfId="35874"/>
    <cellStyle name="Footnote Reference" xfId="35875"/>
    <cellStyle name="Footnote Style" xfId="35876"/>
    <cellStyle name="Footnote_20041222 Bayer MS Financial Projections" xfId="35877"/>
    <cellStyle name="Footnotes" xfId="35878"/>
    <cellStyle name="Formula" xfId="35879"/>
    <cellStyle name="Formula 2" xfId="35880"/>
    <cellStyle name="Formula 3" xfId="35881"/>
    <cellStyle name="From" xfId="35882"/>
    <cellStyle name="FS_Headings" xfId="35883"/>
    <cellStyle name="g" xfId="35884"/>
    <cellStyle name="g_Invoice GI" xfId="35885"/>
    <cellStyle name="Good" xfId="35886"/>
    <cellStyle name="Good 10" xfId="35887"/>
    <cellStyle name="Good 11" xfId="35888"/>
    <cellStyle name="Good 12" xfId="35889"/>
    <cellStyle name="Good 13" xfId="35890"/>
    <cellStyle name="Good 14" xfId="35891"/>
    <cellStyle name="Good 15" xfId="35892"/>
    <cellStyle name="Good 16" xfId="35893"/>
    <cellStyle name="Good 17" xfId="35894"/>
    <cellStyle name="Good 18" xfId="35895"/>
    <cellStyle name="Good 19" xfId="35896"/>
    <cellStyle name="Good 2" xfId="35897"/>
    <cellStyle name="Good 2 2" xfId="35898"/>
    <cellStyle name="Good 20" xfId="35899"/>
    <cellStyle name="Good 3" xfId="35900"/>
    <cellStyle name="Good 4" xfId="35901"/>
    <cellStyle name="Good 5" xfId="35902"/>
    <cellStyle name="Good 6" xfId="35903"/>
    <cellStyle name="Good 7" xfId="35904"/>
    <cellStyle name="Good 8" xfId="35905"/>
    <cellStyle name="Good 9" xfId="35906"/>
    <cellStyle name="Grey" xfId="35907"/>
    <cellStyle name="Hard Percent" xfId="35908"/>
    <cellStyle name="Header" xfId="35909"/>
    <cellStyle name="Header Draft Stamp" xfId="35910"/>
    <cellStyle name="Header style" xfId="35911"/>
    <cellStyle name="Header style 2" xfId="35912"/>
    <cellStyle name="Header_1" xfId="35913"/>
    <cellStyle name="Header1" xfId="35914"/>
    <cellStyle name="Header1 10" xfId="35915"/>
    <cellStyle name="Header1 11" xfId="35916"/>
    <cellStyle name="Header1 12" xfId="35917"/>
    <cellStyle name="Header1 13" xfId="35918"/>
    <cellStyle name="Header1 2" xfId="35919"/>
    <cellStyle name="Header1 2 2" xfId="35920"/>
    <cellStyle name="Header1 3" xfId="35921"/>
    <cellStyle name="Header1 3 2" xfId="35922"/>
    <cellStyle name="Header1 4" xfId="35923"/>
    <cellStyle name="Header1 4 2" xfId="35924"/>
    <cellStyle name="Header1 5" xfId="35925"/>
    <cellStyle name="Header1 5 2" xfId="35926"/>
    <cellStyle name="Header1 6" xfId="35927"/>
    <cellStyle name="Header1 6 2" xfId="35928"/>
    <cellStyle name="Header1 7" xfId="35929"/>
    <cellStyle name="Header1 7 2" xfId="35930"/>
    <cellStyle name="Header1 8" xfId="35931"/>
    <cellStyle name="Header1 8 2" xfId="35932"/>
    <cellStyle name="Header1 9" xfId="35933"/>
    <cellStyle name="Header1_План ДСМ ноябрь 2011 ОТЧЕТ" xfId="35934"/>
    <cellStyle name="Header2" xfId="35935"/>
    <cellStyle name="Header2 10" xfId="35936"/>
    <cellStyle name="Header2 11" xfId="35937"/>
    <cellStyle name="Header2 12" xfId="35938"/>
    <cellStyle name="Header2 13" xfId="35939"/>
    <cellStyle name="Header2 2" xfId="35940"/>
    <cellStyle name="Header2 2 2" xfId="35941"/>
    <cellStyle name="Header2 2 2 2" xfId="35942"/>
    <cellStyle name="Header2 2 2 2 2" xfId="35943"/>
    <cellStyle name="Header2 2 2 2 2 10" xfId="35944"/>
    <cellStyle name="Header2 2 2 2 2 11" xfId="35945"/>
    <cellStyle name="Header2 2 2 2 2 12" xfId="35946"/>
    <cellStyle name="Header2 2 2 2 2 13" xfId="35947"/>
    <cellStyle name="Header2 2 2 2 2 14" xfId="35948"/>
    <cellStyle name="Header2 2 2 2 2 15" xfId="35949"/>
    <cellStyle name="Header2 2 2 2 2 16" xfId="35950"/>
    <cellStyle name="Header2 2 2 2 2 17" xfId="35951"/>
    <cellStyle name="Header2 2 2 2 2 2" xfId="35952"/>
    <cellStyle name="Header2 2 2 2 2 2 2" xfId="35953"/>
    <cellStyle name="Header2 2 2 2 2 2 3" xfId="35954"/>
    <cellStyle name="Header2 2 2 2 2 2 4" xfId="35955"/>
    <cellStyle name="Header2 2 2 2 2 2 5" xfId="35956"/>
    <cellStyle name="Header2 2 2 2 2 2 6" xfId="35957"/>
    <cellStyle name="Header2 2 2 2 2 2 7" xfId="35958"/>
    <cellStyle name="Header2 2 2 2 2 2 8" xfId="35959"/>
    <cellStyle name="Header2 2 2 2 2 2 9" xfId="35960"/>
    <cellStyle name="Header2 2 2 2 2 3" xfId="35961"/>
    <cellStyle name="Header2 2 2 2 2 4" xfId="35962"/>
    <cellStyle name="Header2 2 2 2 2 5" xfId="35963"/>
    <cellStyle name="Header2 2 2 2 2 6" xfId="35964"/>
    <cellStyle name="Header2 2 2 2 2 7" xfId="35965"/>
    <cellStyle name="Header2 2 2 2 2 8" xfId="35966"/>
    <cellStyle name="Header2 2 2 2 2 9" xfId="35967"/>
    <cellStyle name="Header2 2 2 2 3" xfId="35968"/>
    <cellStyle name="Header2 2 2 2 3 10" xfId="35969"/>
    <cellStyle name="Header2 2 2 2 3 11" xfId="35970"/>
    <cellStyle name="Header2 2 2 2 3 12" xfId="35971"/>
    <cellStyle name="Header2 2 2 2 3 13" xfId="35972"/>
    <cellStyle name="Header2 2 2 2 3 14" xfId="35973"/>
    <cellStyle name="Header2 2 2 2 3 15" xfId="35974"/>
    <cellStyle name="Header2 2 2 2 3 16" xfId="35975"/>
    <cellStyle name="Header2 2 2 2 3 2" xfId="35976"/>
    <cellStyle name="Header2 2 2 2 3 2 2" xfId="35977"/>
    <cellStyle name="Header2 2 2 2 3 2 3" xfId="35978"/>
    <cellStyle name="Header2 2 2 2 3 2 4" xfId="35979"/>
    <cellStyle name="Header2 2 2 2 3 2 5" xfId="35980"/>
    <cellStyle name="Header2 2 2 2 3 2 6" xfId="35981"/>
    <cellStyle name="Header2 2 2 2 3 2 7" xfId="35982"/>
    <cellStyle name="Header2 2 2 2 3 2 8" xfId="35983"/>
    <cellStyle name="Header2 2 2 2 3 2 9" xfId="35984"/>
    <cellStyle name="Header2 2 2 2 3 3" xfId="35985"/>
    <cellStyle name="Header2 2 2 2 3 4" xfId="35986"/>
    <cellStyle name="Header2 2 2 2 3 5" xfId="35987"/>
    <cellStyle name="Header2 2 2 2 3 6" xfId="35988"/>
    <cellStyle name="Header2 2 2 2 3 7" xfId="35989"/>
    <cellStyle name="Header2 2 2 2 3 8" xfId="35990"/>
    <cellStyle name="Header2 2 2 2 3 9" xfId="35991"/>
    <cellStyle name="Header2 2 2 2 4" xfId="35992"/>
    <cellStyle name="Header2 2 2 3" xfId="35993"/>
    <cellStyle name="Header2 2 2 3 10" xfId="35994"/>
    <cellStyle name="Header2 2 2 3 11" xfId="35995"/>
    <cellStyle name="Header2 2 2 3 12" xfId="35996"/>
    <cellStyle name="Header2 2 2 3 13" xfId="35997"/>
    <cellStyle name="Header2 2 2 3 14" xfId="35998"/>
    <cellStyle name="Header2 2 2 3 15" xfId="35999"/>
    <cellStyle name="Header2 2 2 3 16" xfId="36000"/>
    <cellStyle name="Header2 2 2 3 17" xfId="36001"/>
    <cellStyle name="Header2 2 2 3 2" xfId="36002"/>
    <cellStyle name="Header2 2 2 3 2 2" xfId="36003"/>
    <cellStyle name="Header2 2 2 3 2 3" xfId="36004"/>
    <cellStyle name="Header2 2 2 3 2 4" xfId="36005"/>
    <cellStyle name="Header2 2 2 3 2 5" xfId="36006"/>
    <cellStyle name="Header2 2 2 3 2 6" xfId="36007"/>
    <cellStyle name="Header2 2 2 3 2 7" xfId="36008"/>
    <cellStyle name="Header2 2 2 3 2 8" xfId="36009"/>
    <cellStyle name="Header2 2 2 3 2 9" xfId="36010"/>
    <cellStyle name="Header2 2 2 3 3" xfId="36011"/>
    <cellStyle name="Header2 2 2 3 4" xfId="36012"/>
    <cellStyle name="Header2 2 2 3 5" xfId="36013"/>
    <cellStyle name="Header2 2 2 3 6" xfId="36014"/>
    <cellStyle name="Header2 2 2 3 7" xfId="36015"/>
    <cellStyle name="Header2 2 2 3 8" xfId="36016"/>
    <cellStyle name="Header2 2 2 3 9" xfId="36017"/>
    <cellStyle name="Header2 2 2 4" xfId="36018"/>
    <cellStyle name="Header2 2 2 4 10" xfId="36019"/>
    <cellStyle name="Header2 2 2 4 11" xfId="36020"/>
    <cellStyle name="Header2 2 2 4 12" xfId="36021"/>
    <cellStyle name="Header2 2 2 4 13" xfId="36022"/>
    <cellStyle name="Header2 2 2 4 14" xfId="36023"/>
    <cellStyle name="Header2 2 2 4 15" xfId="36024"/>
    <cellStyle name="Header2 2 2 4 16" xfId="36025"/>
    <cellStyle name="Header2 2 2 4 2" xfId="36026"/>
    <cellStyle name="Header2 2 2 4 2 2" xfId="36027"/>
    <cellStyle name="Header2 2 2 4 2 3" xfId="36028"/>
    <cellStyle name="Header2 2 2 4 2 4" xfId="36029"/>
    <cellStyle name="Header2 2 2 4 2 5" xfId="36030"/>
    <cellStyle name="Header2 2 2 4 2 6" xfId="36031"/>
    <cellStyle name="Header2 2 2 4 2 7" xfId="36032"/>
    <cellStyle name="Header2 2 2 4 2 8" xfId="36033"/>
    <cellStyle name="Header2 2 2 4 2 9" xfId="36034"/>
    <cellStyle name="Header2 2 2 4 3" xfId="36035"/>
    <cellStyle name="Header2 2 2 4 4" xfId="36036"/>
    <cellStyle name="Header2 2 2 4 5" xfId="36037"/>
    <cellStyle name="Header2 2 2 4 6" xfId="36038"/>
    <cellStyle name="Header2 2 2 4 7" xfId="36039"/>
    <cellStyle name="Header2 2 2 4 8" xfId="36040"/>
    <cellStyle name="Header2 2 2 4 9" xfId="36041"/>
    <cellStyle name="Header2 2 2 5" xfId="36042"/>
    <cellStyle name="Header2 2 3" xfId="36043"/>
    <cellStyle name="Header2 2 3 2" xfId="36044"/>
    <cellStyle name="Header2 2 3 2 2" xfId="36045"/>
    <cellStyle name="Header2 2 3 2 2 10" xfId="36046"/>
    <cellStyle name="Header2 2 3 2 2 11" xfId="36047"/>
    <cellStyle name="Header2 2 3 2 2 12" xfId="36048"/>
    <cellStyle name="Header2 2 3 2 2 13" xfId="36049"/>
    <cellStyle name="Header2 2 3 2 2 14" xfId="36050"/>
    <cellStyle name="Header2 2 3 2 2 15" xfId="36051"/>
    <cellStyle name="Header2 2 3 2 2 16" xfId="36052"/>
    <cellStyle name="Header2 2 3 2 2 17" xfId="36053"/>
    <cellStyle name="Header2 2 3 2 2 2" xfId="36054"/>
    <cellStyle name="Header2 2 3 2 2 2 2" xfId="36055"/>
    <cellStyle name="Header2 2 3 2 2 2 3" xfId="36056"/>
    <cellStyle name="Header2 2 3 2 2 2 4" xfId="36057"/>
    <cellStyle name="Header2 2 3 2 2 2 5" xfId="36058"/>
    <cellStyle name="Header2 2 3 2 2 2 6" xfId="36059"/>
    <cellStyle name="Header2 2 3 2 2 2 7" xfId="36060"/>
    <cellStyle name="Header2 2 3 2 2 2 8" xfId="36061"/>
    <cellStyle name="Header2 2 3 2 2 2 9" xfId="36062"/>
    <cellStyle name="Header2 2 3 2 2 3" xfId="36063"/>
    <cellStyle name="Header2 2 3 2 2 4" xfId="36064"/>
    <cellStyle name="Header2 2 3 2 2 5" xfId="36065"/>
    <cellStyle name="Header2 2 3 2 2 6" xfId="36066"/>
    <cellStyle name="Header2 2 3 2 2 7" xfId="36067"/>
    <cellStyle name="Header2 2 3 2 2 8" xfId="36068"/>
    <cellStyle name="Header2 2 3 2 2 9" xfId="36069"/>
    <cellStyle name="Header2 2 3 2 3" xfId="36070"/>
    <cellStyle name="Header2 2 3 2 3 10" xfId="36071"/>
    <cellStyle name="Header2 2 3 2 3 11" xfId="36072"/>
    <cellStyle name="Header2 2 3 2 3 12" xfId="36073"/>
    <cellStyle name="Header2 2 3 2 3 13" xfId="36074"/>
    <cellStyle name="Header2 2 3 2 3 14" xfId="36075"/>
    <cellStyle name="Header2 2 3 2 3 15" xfId="36076"/>
    <cellStyle name="Header2 2 3 2 3 16" xfId="36077"/>
    <cellStyle name="Header2 2 3 2 3 2" xfId="36078"/>
    <cellStyle name="Header2 2 3 2 3 2 2" xfId="36079"/>
    <cellStyle name="Header2 2 3 2 3 2 3" xfId="36080"/>
    <cellStyle name="Header2 2 3 2 3 2 4" xfId="36081"/>
    <cellStyle name="Header2 2 3 2 3 2 5" xfId="36082"/>
    <cellStyle name="Header2 2 3 2 3 2 6" xfId="36083"/>
    <cellStyle name="Header2 2 3 2 3 2 7" xfId="36084"/>
    <cellStyle name="Header2 2 3 2 3 2 8" xfId="36085"/>
    <cellStyle name="Header2 2 3 2 3 2 9" xfId="36086"/>
    <cellStyle name="Header2 2 3 2 3 3" xfId="36087"/>
    <cellStyle name="Header2 2 3 2 3 4" xfId="36088"/>
    <cellStyle name="Header2 2 3 2 3 5" xfId="36089"/>
    <cellStyle name="Header2 2 3 2 3 6" xfId="36090"/>
    <cellStyle name="Header2 2 3 2 3 7" xfId="36091"/>
    <cellStyle name="Header2 2 3 2 3 8" xfId="36092"/>
    <cellStyle name="Header2 2 3 2 3 9" xfId="36093"/>
    <cellStyle name="Header2 2 3 2 4" xfId="36094"/>
    <cellStyle name="Header2 2 3 3" xfId="36095"/>
    <cellStyle name="Header2 2 3 3 10" xfId="36096"/>
    <cellStyle name="Header2 2 3 3 11" xfId="36097"/>
    <cellStyle name="Header2 2 3 3 12" xfId="36098"/>
    <cellStyle name="Header2 2 3 3 13" xfId="36099"/>
    <cellStyle name="Header2 2 3 3 14" xfId="36100"/>
    <cellStyle name="Header2 2 3 3 15" xfId="36101"/>
    <cellStyle name="Header2 2 3 3 16" xfId="36102"/>
    <cellStyle name="Header2 2 3 3 17" xfId="36103"/>
    <cellStyle name="Header2 2 3 3 2" xfId="36104"/>
    <cellStyle name="Header2 2 3 3 2 2" xfId="36105"/>
    <cellStyle name="Header2 2 3 3 2 3" xfId="36106"/>
    <cellStyle name="Header2 2 3 3 2 4" xfId="36107"/>
    <cellStyle name="Header2 2 3 3 2 5" xfId="36108"/>
    <cellStyle name="Header2 2 3 3 2 6" xfId="36109"/>
    <cellStyle name="Header2 2 3 3 2 7" xfId="36110"/>
    <cellStyle name="Header2 2 3 3 2 8" xfId="36111"/>
    <cellStyle name="Header2 2 3 3 2 9" xfId="36112"/>
    <cellStyle name="Header2 2 3 3 3" xfId="36113"/>
    <cellStyle name="Header2 2 3 3 4" xfId="36114"/>
    <cellStyle name="Header2 2 3 3 5" xfId="36115"/>
    <cellStyle name="Header2 2 3 3 6" xfId="36116"/>
    <cellStyle name="Header2 2 3 3 7" xfId="36117"/>
    <cellStyle name="Header2 2 3 3 8" xfId="36118"/>
    <cellStyle name="Header2 2 3 3 9" xfId="36119"/>
    <cellStyle name="Header2 2 3 4" xfId="36120"/>
    <cellStyle name="Header2 2 3 4 10" xfId="36121"/>
    <cellStyle name="Header2 2 3 4 11" xfId="36122"/>
    <cellStyle name="Header2 2 3 4 12" xfId="36123"/>
    <cellStyle name="Header2 2 3 4 13" xfId="36124"/>
    <cellStyle name="Header2 2 3 4 14" xfId="36125"/>
    <cellStyle name="Header2 2 3 4 15" xfId="36126"/>
    <cellStyle name="Header2 2 3 4 16" xfId="36127"/>
    <cellStyle name="Header2 2 3 4 2" xfId="36128"/>
    <cellStyle name="Header2 2 3 4 2 2" xfId="36129"/>
    <cellStyle name="Header2 2 3 4 2 3" xfId="36130"/>
    <cellStyle name="Header2 2 3 4 2 4" xfId="36131"/>
    <cellStyle name="Header2 2 3 4 2 5" xfId="36132"/>
    <cellStyle name="Header2 2 3 4 2 6" xfId="36133"/>
    <cellStyle name="Header2 2 3 4 2 7" xfId="36134"/>
    <cellStyle name="Header2 2 3 4 2 8" xfId="36135"/>
    <cellStyle name="Header2 2 3 4 2 9" xfId="36136"/>
    <cellStyle name="Header2 2 3 4 3" xfId="36137"/>
    <cellStyle name="Header2 2 3 4 4" xfId="36138"/>
    <cellStyle name="Header2 2 3 4 5" xfId="36139"/>
    <cellStyle name="Header2 2 3 4 6" xfId="36140"/>
    <cellStyle name="Header2 2 3 4 7" xfId="36141"/>
    <cellStyle name="Header2 2 3 4 8" xfId="36142"/>
    <cellStyle name="Header2 2 3 4 9" xfId="36143"/>
    <cellStyle name="Header2 2 3 5" xfId="36144"/>
    <cellStyle name="Header2 2 4" xfId="36145"/>
    <cellStyle name="Header2 2 4 2" xfId="36146"/>
    <cellStyle name="Header2 2 4 2 2" xfId="36147"/>
    <cellStyle name="Header2 2 4 2 2 10" xfId="36148"/>
    <cellStyle name="Header2 2 4 2 2 11" xfId="36149"/>
    <cellStyle name="Header2 2 4 2 2 12" xfId="36150"/>
    <cellStyle name="Header2 2 4 2 2 13" xfId="36151"/>
    <cellStyle name="Header2 2 4 2 2 14" xfId="36152"/>
    <cellStyle name="Header2 2 4 2 2 15" xfId="36153"/>
    <cellStyle name="Header2 2 4 2 2 16" xfId="36154"/>
    <cellStyle name="Header2 2 4 2 2 17" xfId="36155"/>
    <cellStyle name="Header2 2 4 2 2 2" xfId="36156"/>
    <cellStyle name="Header2 2 4 2 2 2 2" xfId="36157"/>
    <cellStyle name="Header2 2 4 2 2 2 3" xfId="36158"/>
    <cellStyle name="Header2 2 4 2 2 2 4" xfId="36159"/>
    <cellStyle name="Header2 2 4 2 2 2 5" xfId="36160"/>
    <cellStyle name="Header2 2 4 2 2 2 6" xfId="36161"/>
    <cellStyle name="Header2 2 4 2 2 2 7" xfId="36162"/>
    <cellStyle name="Header2 2 4 2 2 2 8" xfId="36163"/>
    <cellStyle name="Header2 2 4 2 2 2 9" xfId="36164"/>
    <cellStyle name="Header2 2 4 2 2 3" xfId="36165"/>
    <cellStyle name="Header2 2 4 2 2 4" xfId="36166"/>
    <cellStyle name="Header2 2 4 2 2 5" xfId="36167"/>
    <cellStyle name="Header2 2 4 2 2 6" xfId="36168"/>
    <cellStyle name="Header2 2 4 2 2 7" xfId="36169"/>
    <cellStyle name="Header2 2 4 2 2 8" xfId="36170"/>
    <cellStyle name="Header2 2 4 2 2 9" xfId="36171"/>
    <cellStyle name="Header2 2 4 2 3" xfId="36172"/>
    <cellStyle name="Header2 2 4 2 3 10" xfId="36173"/>
    <cellStyle name="Header2 2 4 2 3 11" xfId="36174"/>
    <cellStyle name="Header2 2 4 2 3 12" xfId="36175"/>
    <cellStyle name="Header2 2 4 2 3 13" xfId="36176"/>
    <cellStyle name="Header2 2 4 2 3 14" xfId="36177"/>
    <cellStyle name="Header2 2 4 2 3 15" xfId="36178"/>
    <cellStyle name="Header2 2 4 2 3 16" xfId="36179"/>
    <cellStyle name="Header2 2 4 2 3 2" xfId="36180"/>
    <cellStyle name="Header2 2 4 2 3 2 2" xfId="36181"/>
    <cellStyle name="Header2 2 4 2 3 2 3" xfId="36182"/>
    <cellStyle name="Header2 2 4 2 3 2 4" xfId="36183"/>
    <cellStyle name="Header2 2 4 2 3 2 5" xfId="36184"/>
    <cellStyle name="Header2 2 4 2 3 2 6" xfId="36185"/>
    <cellStyle name="Header2 2 4 2 3 2 7" xfId="36186"/>
    <cellStyle name="Header2 2 4 2 3 2 8" xfId="36187"/>
    <cellStyle name="Header2 2 4 2 3 2 9" xfId="36188"/>
    <cellStyle name="Header2 2 4 2 3 3" xfId="36189"/>
    <cellStyle name="Header2 2 4 2 3 4" xfId="36190"/>
    <cellStyle name="Header2 2 4 2 3 5" xfId="36191"/>
    <cellStyle name="Header2 2 4 2 3 6" xfId="36192"/>
    <cellStyle name="Header2 2 4 2 3 7" xfId="36193"/>
    <cellStyle name="Header2 2 4 2 3 8" xfId="36194"/>
    <cellStyle name="Header2 2 4 2 3 9" xfId="36195"/>
    <cellStyle name="Header2 2 4 2 4" xfId="36196"/>
    <cellStyle name="Header2 2 4 3" xfId="36197"/>
    <cellStyle name="Header2 2 4 3 10" xfId="36198"/>
    <cellStyle name="Header2 2 4 3 11" xfId="36199"/>
    <cellStyle name="Header2 2 4 3 12" xfId="36200"/>
    <cellStyle name="Header2 2 4 3 13" xfId="36201"/>
    <cellStyle name="Header2 2 4 3 14" xfId="36202"/>
    <cellStyle name="Header2 2 4 3 15" xfId="36203"/>
    <cellStyle name="Header2 2 4 3 16" xfId="36204"/>
    <cellStyle name="Header2 2 4 3 17" xfId="36205"/>
    <cellStyle name="Header2 2 4 3 2" xfId="36206"/>
    <cellStyle name="Header2 2 4 3 2 2" xfId="36207"/>
    <cellStyle name="Header2 2 4 3 2 3" xfId="36208"/>
    <cellStyle name="Header2 2 4 3 2 4" xfId="36209"/>
    <cellStyle name="Header2 2 4 3 2 5" xfId="36210"/>
    <cellStyle name="Header2 2 4 3 2 6" xfId="36211"/>
    <cellStyle name="Header2 2 4 3 2 7" xfId="36212"/>
    <cellStyle name="Header2 2 4 3 2 8" xfId="36213"/>
    <cellStyle name="Header2 2 4 3 2 9" xfId="36214"/>
    <cellStyle name="Header2 2 4 3 3" xfId="36215"/>
    <cellStyle name="Header2 2 4 3 4" xfId="36216"/>
    <cellStyle name="Header2 2 4 3 5" xfId="36217"/>
    <cellStyle name="Header2 2 4 3 6" xfId="36218"/>
    <cellStyle name="Header2 2 4 3 7" xfId="36219"/>
    <cellStyle name="Header2 2 4 3 8" xfId="36220"/>
    <cellStyle name="Header2 2 4 3 9" xfId="36221"/>
    <cellStyle name="Header2 2 4 4" xfId="36222"/>
    <cellStyle name="Header2 2 4 4 10" xfId="36223"/>
    <cellStyle name="Header2 2 4 4 11" xfId="36224"/>
    <cellStyle name="Header2 2 4 4 12" xfId="36225"/>
    <cellStyle name="Header2 2 4 4 13" xfId="36226"/>
    <cellStyle name="Header2 2 4 4 14" xfId="36227"/>
    <cellStyle name="Header2 2 4 4 15" xfId="36228"/>
    <cellStyle name="Header2 2 4 4 16" xfId="36229"/>
    <cellStyle name="Header2 2 4 4 2" xfId="36230"/>
    <cellStyle name="Header2 2 4 4 2 2" xfId="36231"/>
    <cellStyle name="Header2 2 4 4 2 3" xfId="36232"/>
    <cellStyle name="Header2 2 4 4 2 4" xfId="36233"/>
    <cellStyle name="Header2 2 4 4 2 5" xfId="36234"/>
    <cellStyle name="Header2 2 4 4 2 6" xfId="36235"/>
    <cellStyle name="Header2 2 4 4 2 7" xfId="36236"/>
    <cellStyle name="Header2 2 4 4 2 8" xfId="36237"/>
    <cellStyle name="Header2 2 4 4 2 9" xfId="36238"/>
    <cellStyle name="Header2 2 4 4 3" xfId="36239"/>
    <cellStyle name="Header2 2 4 4 4" xfId="36240"/>
    <cellStyle name="Header2 2 4 4 5" xfId="36241"/>
    <cellStyle name="Header2 2 4 4 6" xfId="36242"/>
    <cellStyle name="Header2 2 4 4 7" xfId="36243"/>
    <cellStyle name="Header2 2 4 4 8" xfId="36244"/>
    <cellStyle name="Header2 2 4 4 9" xfId="36245"/>
    <cellStyle name="Header2 2 4 5" xfId="36246"/>
    <cellStyle name="Header2 2 5" xfId="36247"/>
    <cellStyle name="Header2 2 5 2" xfId="36248"/>
    <cellStyle name="Header2 2 5 2 10" xfId="36249"/>
    <cellStyle name="Header2 2 5 2 11" xfId="36250"/>
    <cellStyle name="Header2 2 5 2 12" xfId="36251"/>
    <cellStyle name="Header2 2 5 2 13" xfId="36252"/>
    <cellStyle name="Header2 2 5 2 14" xfId="36253"/>
    <cellStyle name="Header2 2 5 2 15" xfId="36254"/>
    <cellStyle name="Header2 2 5 2 16" xfId="36255"/>
    <cellStyle name="Header2 2 5 2 17" xfId="36256"/>
    <cellStyle name="Header2 2 5 2 2" xfId="36257"/>
    <cellStyle name="Header2 2 5 2 2 2" xfId="36258"/>
    <cellStyle name="Header2 2 5 2 2 3" xfId="36259"/>
    <cellStyle name="Header2 2 5 2 2 4" xfId="36260"/>
    <cellStyle name="Header2 2 5 2 2 5" xfId="36261"/>
    <cellStyle name="Header2 2 5 2 2 6" xfId="36262"/>
    <cellStyle name="Header2 2 5 2 2 7" xfId="36263"/>
    <cellStyle name="Header2 2 5 2 2 8" xfId="36264"/>
    <cellStyle name="Header2 2 5 2 2 9" xfId="36265"/>
    <cellStyle name="Header2 2 5 2 3" xfId="36266"/>
    <cellStyle name="Header2 2 5 2 4" xfId="36267"/>
    <cellStyle name="Header2 2 5 2 5" xfId="36268"/>
    <cellStyle name="Header2 2 5 2 6" xfId="36269"/>
    <cellStyle name="Header2 2 5 2 7" xfId="36270"/>
    <cellStyle name="Header2 2 5 2 8" xfId="36271"/>
    <cellStyle name="Header2 2 5 2 9" xfId="36272"/>
    <cellStyle name="Header2 2 5 3" xfId="36273"/>
    <cellStyle name="Header2 2 5 3 10" xfId="36274"/>
    <cellStyle name="Header2 2 5 3 11" xfId="36275"/>
    <cellStyle name="Header2 2 5 3 12" xfId="36276"/>
    <cellStyle name="Header2 2 5 3 13" xfId="36277"/>
    <cellStyle name="Header2 2 5 3 14" xfId="36278"/>
    <cellStyle name="Header2 2 5 3 15" xfId="36279"/>
    <cellStyle name="Header2 2 5 3 16" xfId="36280"/>
    <cellStyle name="Header2 2 5 3 2" xfId="36281"/>
    <cellStyle name="Header2 2 5 3 2 2" xfId="36282"/>
    <cellStyle name="Header2 2 5 3 2 3" xfId="36283"/>
    <cellStyle name="Header2 2 5 3 2 4" xfId="36284"/>
    <cellStyle name="Header2 2 5 3 2 5" xfId="36285"/>
    <cellStyle name="Header2 2 5 3 2 6" xfId="36286"/>
    <cellStyle name="Header2 2 5 3 2 7" xfId="36287"/>
    <cellStyle name="Header2 2 5 3 2 8" xfId="36288"/>
    <cellStyle name="Header2 2 5 3 2 9" xfId="36289"/>
    <cellStyle name="Header2 2 5 3 3" xfId="36290"/>
    <cellStyle name="Header2 2 5 3 4" xfId="36291"/>
    <cellStyle name="Header2 2 5 3 5" xfId="36292"/>
    <cellStyle name="Header2 2 5 3 6" xfId="36293"/>
    <cellStyle name="Header2 2 5 3 7" xfId="36294"/>
    <cellStyle name="Header2 2 5 3 8" xfId="36295"/>
    <cellStyle name="Header2 2 5 3 9" xfId="36296"/>
    <cellStyle name="Header2 2 5 4" xfId="36297"/>
    <cellStyle name="Header2 2 6" xfId="36298"/>
    <cellStyle name="Header2 2 6 10" xfId="36299"/>
    <cellStyle name="Header2 2 6 11" xfId="36300"/>
    <cellStyle name="Header2 2 6 12" xfId="36301"/>
    <cellStyle name="Header2 2 6 13" xfId="36302"/>
    <cellStyle name="Header2 2 6 14" xfId="36303"/>
    <cellStyle name="Header2 2 6 15" xfId="36304"/>
    <cellStyle name="Header2 2 6 16" xfId="36305"/>
    <cellStyle name="Header2 2 6 17" xfId="36306"/>
    <cellStyle name="Header2 2 6 2" xfId="36307"/>
    <cellStyle name="Header2 2 6 2 2" xfId="36308"/>
    <cellStyle name="Header2 2 6 2 3" xfId="36309"/>
    <cellStyle name="Header2 2 6 2 4" xfId="36310"/>
    <cellStyle name="Header2 2 6 2 5" xfId="36311"/>
    <cellStyle name="Header2 2 6 2 6" xfId="36312"/>
    <cellStyle name="Header2 2 6 2 7" xfId="36313"/>
    <cellStyle name="Header2 2 6 2 8" xfId="36314"/>
    <cellStyle name="Header2 2 6 2 9" xfId="36315"/>
    <cellStyle name="Header2 2 6 3" xfId="36316"/>
    <cellStyle name="Header2 2 6 4" xfId="36317"/>
    <cellStyle name="Header2 2 6 5" xfId="36318"/>
    <cellStyle name="Header2 2 6 6" xfId="36319"/>
    <cellStyle name="Header2 2 6 7" xfId="36320"/>
    <cellStyle name="Header2 2 6 8" xfId="36321"/>
    <cellStyle name="Header2 2 6 9" xfId="36322"/>
    <cellStyle name="Header2 2 7" xfId="36323"/>
    <cellStyle name="Header2 2 7 10" xfId="36324"/>
    <cellStyle name="Header2 2 7 11" xfId="36325"/>
    <cellStyle name="Header2 2 7 12" xfId="36326"/>
    <cellStyle name="Header2 2 7 13" xfId="36327"/>
    <cellStyle name="Header2 2 7 14" xfId="36328"/>
    <cellStyle name="Header2 2 7 15" xfId="36329"/>
    <cellStyle name="Header2 2 7 16" xfId="36330"/>
    <cellStyle name="Header2 2 7 2" xfId="36331"/>
    <cellStyle name="Header2 2 7 2 2" xfId="36332"/>
    <cellStyle name="Header2 2 7 2 3" xfId="36333"/>
    <cellStyle name="Header2 2 7 2 4" xfId="36334"/>
    <cellStyle name="Header2 2 7 2 5" xfId="36335"/>
    <cellStyle name="Header2 2 7 2 6" xfId="36336"/>
    <cellStyle name="Header2 2 7 2 7" xfId="36337"/>
    <cellStyle name="Header2 2 7 2 8" xfId="36338"/>
    <cellStyle name="Header2 2 7 2 9" xfId="36339"/>
    <cellStyle name="Header2 2 7 3" xfId="36340"/>
    <cellStyle name="Header2 2 7 4" xfId="36341"/>
    <cellStyle name="Header2 2 7 5" xfId="36342"/>
    <cellStyle name="Header2 2 7 6" xfId="36343"/>
    <cellStyle name="Header2 2 7 7" xfId="36344"/>
    <cellStyle name="Header2 2 7 8" xfId="36345"/>
    <cellStyle name="Header2 2 7 9" xfId="36346"/>
    <cellStyle name="Header2 2 8" xfId="36347"/>
    <cellStyle name="Header2 3" xfId="36348"/>
    <cellStyle name="Header2 3 2" xfId="36349"/>
    <cellStyle name="Header2 3 2 2" xfId="36350"/>
    <cellStyle name="Header2 3 2 2 2" xfId="36351"/>
    <cellStyle name="Header2 3 2 2 2 10" xfId="36352"/>
    <cellStyle name="Header2 3 2 2 2 11" xfId="36353"/>
    <cellStyle name="Header2 3 2 2 2 12" xfId="36354"/>
    <cellStyle name="Header2 3 2 2 2 13" xfId="36355"/>
    <cellStyle name="Header2 3 2 2 2 14" xfId="36356"/>
    <cellStyle name="Header2 3 2 2 2 15" xfId="36357"/>
    <cellStyle name="Header2 3 2 2 2 16" xfId="36358"/>
    <cellStyle name="Header2 3 2 2 2 17" xfId="36359"/>
    <cellStyle name="Header2 3 2 2 2 2" xfId="36360"/>
    <cellStyle name="Header2 3 2 2 2 2 2" xfId="36361"/>
    <cellStyle name="Header2 3 2 2 2 2 3" xfId="36362"/>
    <cellStyle name="Header2 3 2 2 2 2 4" xfId="36363"/>
    <cellStyle name="Header2 3 2 2 2 2 5" xfId="36364"/>
    <cellStyle name="Header2 3 2 2 2 2 6" xfId="36365"/>
    <cellStyle name="Header2 3 2 2 2 2 7" xfId="36366"/>
    <cellStyle name="Header2 3 2 2 2 2 8" xfId="36367"/>
    <cellStyle name="Header2 3 2 2 2 2 9" xfId="36368"/>
    <cellStyle name="Header2 3 2 2 2 3" xfId="36369"/>
    <cellStyle name="Header2 3 2 2 2 4" xfId="36370"/>
    <cellStyle name="Header2 3 2 2 2 5" xfId="36371"/>
    <cellStyle name="Header2 3 2 2 2 6" xfId="36372"/>
    <cellStyle name="Header2 3 2 2 2 7" xfId="36373"/>
    <cellStyle name="Header2 3 2 2 2 8" xfId="36374"/>
    <cellStyle name="Header2 3 2 2 2 9" xfId="36375"/>
    <cellStyle name="Header2 3 2 2 3" xfId="36376"/>
    <cellStyle name="Header2 3 2 2 3 10" xfId="36377"/>
    <cellStyle name="Header2 3 2 2 3 11" xfId="36378"/>
    <cellStyle name="Header2 3 2 2 3 12" xfId="36379"/>
    <cellStyle name="Header2 3 2 2 3 13" xfId="36380"/>
    <cellStyle name="Header2 3 2 2 3 14" xfId="36381"/>
    <cellStyle name="Header2 3 2 2 3 15" xfId="36382"/>
    <cellStyle name="Header2 3 2 2 3 16" xfId="36383"/>
    <cellStyle name="Header2 3 2 2 3 2" xfId="36384"/>
    <cellStyle name="Header2 3 2 2 3 2 2" xfId="36385"/>
    <cellStyle name="Header2 3 2 2 3 2 3" xfId="36386"/>
    <cellStyle name="Header2 3 2 2 3 2 4" xfId="36387"/>
    <cellStyle name="Header2 3 2 2 3 2 5" xfId="36388"/>
    <cellStyle name="Header2 3 2 2 3 2 6" xfId="36389"/>
    <cellStyle name="Header2 3 2 2 3 2 7" xfId="36390"/>
    <cellStyle name="Header2 3 2 2 3 2 8" xfId="36391"/>
    <cellStyle name="Header2 3 2 2 3 2 9" xfId="36392"/>
    <cellStyle name="Header2 3 2 2 3 3" xfId="36393"/>
    <cellStyle name="Header2 3 2 2 3 4" xfId="36394"/>
    <cellStyle name="Header2 3 2 2 3 5" xfId="36395"/>
    <cellStyle name="Header2 3 2 2 3 6" xfId="36396"/>
    <cellStyle name="Header2 3 2 2 3 7" xfId="36397"/>
    <cellStyle name="Header2 3 2 2 3 8" xfId="36398"/>
    <cellStyle name="Header2 3 2 2 3 9" xfId="36399"/>
    <cellStyle name="Header2 3 2 2 4" xfId="36400"/>
    <cellStyle name="Header2 3 2 3" xfId="36401"/>
    <cellStyle name="Header2 3 2 3 10" xfId="36402"/>
    <cellStyle name="Header2 3 2 3 11" xfId="36403"/>
    <cellStyle name="Header2 3 2 3 12" xfId="36404"/>
    <cellStyle name="Header2 3 2 3 13" xfId="36405"/>
    <cellStyle name="Header2 3 2 3 14" xfId="36406"/>
    <cellStyle name="Header2 3 2 3 15" xfId="36407"/>
    <cellStyle name="Header2 3 2 3 16" xfId="36408"/>
    <cellStyle name="Header2 3 2 3 17" xfId="36409"/>
    <cellStyle name="Header2 3 2 3 2" xfId="36410"/>
    <cellStyle name="Header2 3 2 3 2 2" xfId="36411"/>
    <cellStyle name="Header2 3 2 3 2 3" xfId="36412"/>
    <cellStyle name="Header2 3 2 3 2 4" xfId="36413"/>
    <cellStyle name="Header2 3 2 3 2 5" xfId="36414"/>
    <cellStyle name="Header2 3 2 3 2 6" xfId="36415"/>
    <cellStyle name="Header2 3 2 3 2 7" xfId="36416"/>
    <cellStyle name="Header2 3 2 3 2 8" xfId="36417"/>
    <cellStyle name="Header2 3 2 3 2 9" xfId="36418"/>
    <cellStyle name="Header2 3 2 3 3" xfId="36419"/>
    <cellStyle name="Header2 3 2 3 4" xfId="36420"/>
    <cellStyle name="Header2 3 2 3 5" xfId="36421"/>
    <cellStyle name="Header2 3 2 3 6" xfId="36422"/>
    <cellStyle name="Header2 3 2 3 7" xfId="36423"/>
    <cellStyle name="Header2 3 2 3 8" xfId="36424"/>
    <cellStyle name="Header2 3 2 3 9" xfId="36425"/>
    <cellStyle name="Header2 3 2 4" xfId="36426"/>
    <cellStyle name="Header2 3 2 4 10" xfId="36427"/>
    <cellStyle name="Header2 3 2 4 11" xfId="36428"/>
    <cellStyle name="Header2 3 2 4 12" xfId="36429"/>
    <cellStyle name="Header2 3 2 4 13" xfId="36430"/>
    <cellStyle name="Header2 3 2 4 14" xfId="36431"/>
    <cellStyle name="Header2 3 2 4 15" xfId="36432"/>
    <cellStyle name="Header2 3 2 4 16" xfId="36433"/>
    <cellStyle name="Header2 3 2 4 2" xfId="36434"/>
    <cellStyle name="Header2 3 2 4 2 2" xfId="36435"/>
    <cellStyle name="Header2 3 2 4 2 3" xfId="36436"/>
    <cellStyle name="Header2 3 2 4 2 4" xfId="36437"/>
    <cellStyle name="Header2 3 2 4 2 5" xfId="36438"/>
    <cellStyle name="Header2 3 2 4 2 6" xfId="36439"/>
    <cellStyle name="Header2 3 2 4 2 7" xfId="36440"/>
    <cellStyle name="Header2 3 2 4 2 8" xfId="36441"/>
    <cellStyle name="Header2 3 2 4 2 9" xfId="36442"/>
    <cellStyle name="Header2 3 2 4 3" xfId="36443"/>
    <cellStyle name="Header2 3 2 4 4" xfId="36444"/>
    <cellStyle name="Header2 3 2 4 5" xfId="36445"/>
    <cellStyle name="Header2 3 2 4 6" xfId="36446"/>
    <cellStyle name="Header2 3 2 4 7" xfId="36447"/>
    <cellStyle name="Header2 3 2 4 8" xfId="36448"/>
    <cellStyle name="Header2 3 2 4 9" xfId="36449"/>
    <cellStyle name="Header2 3 2 5" xfId="36450"/>
    <cellStyle name="Header2 3 3" xfId="36451"/>
    <cellStyle name="Header2 3 3 2" xfId="36452"/>
    <cellStyle name="Header2 3 3 2 2" xfId="36453"/>
    <cellStyle name="Header2 3 3 2 2 10" xfId="36454"/>
    <cellStyle name="Header2 3 3 2 2 11" xfId="36455"/>
    <cellStyle name="Header2 3 3 2 2 12" xfId="36456"/>
    <cellStyle name="Header2 3 3 2 2 13" xfId="36457"/>
    <cellStyle name="Header2 3 3 2 2 14" xfId="36458"/>
    <cellStyle name="Header2 3 3 2 2 15" xfId="36459"/>
    <cellStyle name="Header2 3 3 2 2 16" xfId="36460"/>
    <cellStyle name="Header2 3 3 2 2 17" xfId="36461"/>
    <cellStyle name="Header2 3 3 2 2 2" xfId="36462"/>
    <cellStyle name="Header2 3 3 2 2 2 2" xfId="36463"/>
    <cellStyle name="Header2 3 3 2 2 2 3" xfId="36464"/>
    <cellStyle name="Header2 3 3 2 2 2 4" xfId="36465"/>
    <cellStyle name="Header2 3 3 2 2 2 5" xfId="36466"/>
    <cellStyle name="Header2 3 3 2 2 2 6" xfId="36467"/>
    <cellStyle name="Header2 3 3 2 2 2 7" xfId="36468"/>
    <cellStyle name="Header2 3 3 2 2 2 8" xfId="36469"/>
    <cellStyle name="Header2 3 3 2 2 2 9" xfId="36470"/>
    <cellStyle name="Header2 3 3 2 2 3" xfId="36471"/>
    <cellStyle name="Header2 3 3 2 2 4" xfId="36472"/>
    <cellStyle name="Header2 3 3 2 2 5" xfId="36473"/>
    <cellStyle name="Header2 3 3 2 2 6" xfId="36474"/>
    <cellStyle name="Header2 3 3 2 2 7" xfId="36475"/>
    <cellStyle name="Header2 3 3 2 2 8" xfId="36476"/>
    <cellStyle name="Header2 3 3 2 2 9" xfId="36477"/>
    <cellStyle name="Header2 3 3 2 3" xfId="36478"/>
    <cellStyle name="Header2 3 3 2 3 10" xfId="36479"/>
    <cellStyle name="Header2 3 3 2 3 11" xfId="36480"/>
    <cellStyle name="Header2 3 3 2 3 12" xfId="36481"/>
    <cellStyle name="Header2 3 3 2 3 13" xfId="36482"/>
    <cellStyle name="Header2 3 3 2 3 14" xfId="36483"/>
    <cellStyle name="Header2 3 3 2 3 15" xfId="36484"/>
    <cellStyle name="Header2 3 3 2 3 16" xfId="36485"/>
    <cellStyle name="Header2 3 3 2 3 2" xfId="36486"/>
    <cellStyle name="Header2 3 3 2 3 2 2" xfId="36487"/>
    <cellStyle name="Header2 3 3 2 3 2 3" xfId="36488"/>
    <cellStyle name="Header2 3 3 2 3 2 4" xfId="36489"/>
    <cellStyle name="Header2 3 3 2 3 2 5" xfId="36490"/>
    <cellStyle name="Header2 3 3 2 3 2 6" xfId="36491"/>
    <cellStyle name="Header2 3 3 2 3 2 7" xfId="36492"/>
    <cellStyle name="Header2 3 3 2 3 2 8" xfId="36493"/>
    <cellStyle name="Header2 3 3 2 3 2 9" xfId="36494"/>
    <cellStyle name="Header2 3 3 2 3 3" xfId="36495"/>
    <cellStyle name="Header2 3 3 2 3 4" xfId="36496"/>
    <cellStyle name="Header2 3 3 2 3 5" xfId="36497"/>
    <cellStyle name="Header2 3 3 2 3 6" xfId="36498"/>
    <cellStyle name="Header2 3 3 2 3 7" xfId="36499"/>
    <cellStyle name="Header2 3 3 2 3 8" xfId="36500"/>
    <cellStyle name="Header2 3 3 2 3 9" xfId="36501"/>
    <cellStyle name="Header2 3 3 2 4" xfId="36502"/>
    <cellStyle name="Header2 3 3 3" xfId="36503"/>
    <cellStyle name="Header2 3 3 3 10" xfId="36504"/>
    <cellStyle name="Header2 3 3 3 11" xfId="36505"/>
    <cellStyle name="Header2 3 3 3 12" xfId="36506"/>
    <cellStyle name="Header2 3 3 3 13" xfId="36507"/>
    <cellStyle name="Header2 3 3 3 14" xfId="36508"/>
    <cellStyle name="Header2 3 3 3 15" xfId="36509"/>
    <cellStyle name="Header2 3 3 3 16" xfId="36510"/>
    <cellStyle name="Header2 3 3 3 17" xfId="36511"/>
    <cellStyle name="Header2 3 3 3 2" xfId="36512"/>
    <cellStyle name="Header2 3 3 3 2 2" xfId="36513"/>
    <cellStyle name="Header2 3 3 3 2 3" xfId="36514"/>
    <cellStyle name="Header2 3 3 3 2 4" xfId="36515"/>
    <cellStyle name="Header2 3 3 3 2 5" xfId="36516"/>
    <cellStyle name="Header2 3 3 3 2 6" xfId="36517"/>
    <cellStyle name="Header2 3 3 3 2 7" xfId="36518"/>
    <cellStyle name="Header2 3 3 3 2 8" xfId="36519"/>
    <cellStyle name="Header2 3 3 3 2 9" xfId="36520"/>
    <cellStyle name="Header2 3 3 3 3" xfId="36521"/>
    <cellStyle name="Header2 3 3 3 4" xfId="36522"/>
    <cellStyle name="Header2 3 3 3 5" xfId="36523"/>
    <cellStyle name="Header2 3 3 3 6" xfId="36524"/>
    <cellStyle name="Header2 3 3 3 7" xfId="36525"/>
    <cellStyle name="Header2 3 3 3 8" xfId="36526"/>
    <cellStyle name="Header2 3 3 3 9" xfId="36527"/>
    <cellStyle name="Header2 3 3 4" xfId="36528"/>
    <cellStyle name="Header2 3 3 4 10" xfId="36529"/>
    <cellStyle name="Header2 3 3 4 11" xfId="36530"/>
    <cellStyle name="Header2 3 3 4 12" xfId="36531"/>
    <cellStyle name="Header2 3 3 4 13" xfId="36532"/>
    <cellStyle name="Header2 3 3 4 14" xfId="36533"/>
    <cellStyle name="Header2 3 3 4 15" xfId="36534"/>
    <cellStyle name="Header2 3 3 4 16" xfId="36535"/>
    <cellStyle name="Header2 3 3 4 2" xfId="36536"/>
    <cellStyle name="Header2 3 3 4 2 2" xfId="36537"/>
    <cellStyle name="Header2 3 3 4 2 3" xfId="36538"/>
    <cellStyle name="Header2 3 3 4 2 4" xfId="36539"/>
    <cellStyle name="Header2 3 3 4 2 5" xfId="36540"/>
    <cellStyle name="Header2 3 3 4 2 6" xfId="36541"/>
    <cellStyle name="Header2 3 3 4 2 7" xfId="36542"/>
    <cellStyle name="Header2 3 3 4 2 8" xfId="36543"/>
    <cellStyle name="Header2 3 3 4 2 9" xfId="36544"/>
    <cellStyle name="Header2 3 3 4 3" xfId="36545"/>
    <cellStyle name="Header2 3 3 4 4" xfId="36546"/>
    <cellStyle name="Header2 3 3 4 5" xfId="36547"/>
    <cellStyle name="Header2 3 3 4 6" xfId="36548"/>
    <cellStyle name="Header2 3 3 4 7" xfId="36549"/>
    <cellStyle name="Header2 3 3 4 8" xfId="36550"/>
    <cellStyle name="Header2 3 3 4 9" xfId="36551"/>
    <cellStyle name="Header2 3 3 5" xfId="36552"/>
    <cellStyle name="Header2 3 4" xfId="36553"/>
    <cellStyle name="Header2 3 4 2" xfId="36554"/>
    <cellStyle name="Header2 3 4 2 2" xfId="36555"/>
    <cellStyle name="Header2 3 4 2 2 10" xfId="36556"/>
    <cellStyle name="Header2 3 4 2 2 11" xfId="36557"/>
    <cellStyle name="Header2 3 4 2 2 12" xfId="36558"/>
    <cellStyle name="Header2 3 4 2 2 13" xfId="36559"/>
    <cellStyle name="Header2 3 4 2 2 14" xfId="36560"/>
    <cellStyle name="Header2 3 4 2 2 15" xfId="36561"/>
    <cellStyle name="Header2 3 4 2 2 16" xfId="36562"/>
    <cellStyle name="Header2 3 4 2 2 17" xfId="36563"/>
    <cellStyle name="Header2 3 4 2 2 2" xfId="36564"/>
    <cellStyle name="Header2 3 4 2 2 2 2" xfId="36565"/>
    <cellStyle name="Header2 3 4 2 2 2 3" xfId="36566"/>
    <cellStyle name="Header2 3 4 2 2 2 4" xfId="36567"/>
    <cellStyle name="Header2 3 4 2 2 2 5" xfId="36568"/>
    <cellStyle name="Header2 3 4 2 2 2 6" xfId="36569"/>
    <cellStyle name="Header2 3 4 2 2 2 7" xfId="36570"/>
    <cellStyle name="Header2 3 4 2 2 2 8" xfId="36571"/>
    <cellStyle name="Header2 3 4 2 2 2 9" xfId="36572"/>
    <cellStyle name="Header2 3 4 2 2 3" xfId="36573"/>
    <cellStyle name="Header2 3 4 2 2 4" xfId="36574"/>
    <cellStyle name="Header2 3 4 2 2 5" xfId="36575"/>
    <cellStyle name="Header2 3 4 2 2 6" xfId="36576"/>
    <cellStyle name="Header2 3 4 2 2 7" xfId="36577"/>
    <cellStyle name="Header2 3 4 2 2 8" xfId="36578"/>
    <cellStyle name="Header2 3 4 2 2 9" xfId="36579"/>
    <cellStyle name="Header2 3 4 2 3" xfId="36580"/>
    <cellStyle name="Header2 3 4 2 3 10" xfId="36581"/>
    <cellStyle name="Header2 3 4 2 3 11" xfId="36582"/>
    <cellStyle name="Header2 3 4 2 3 12" xfId="36583"/>
    <cellStyle name="Header2 3 4 2 3 13" xfId="36584"/>
    <cellStyle name="Header2 3 4 2 3 14" xfId="36585"/>
    <cellStyle name="Header2 3 4 2 3 15" xfId="36586"/>
    <cellStyle name="Header2 3 4 2 3 16" xfId="36587"/>
    <cellStyle name="Header2 3 4 2 3 2" xfId="36588"/>
    <cellStyle name="Header2 3 4 2 3 2 2" xfId="36589"/>
    <cellStyle name="Header2 3 4 2 3 2 3" xfId="36590"/>
    <cellStyle name="Header2 3 4 2 3 2 4" xfId="36591"/>
    <cellStyle name="Header2 3 4 2 3 2 5" xfId="36592"/>
    <cellStyle name="Header2 3 4 2 3 2 6" xfId="36593"/>
    <cellStyle name="Header2 3 4 2 3 2 7" xfId="36594"/>
    <cellStyle name="Header2 3 4 2 3 2 8" xfId="36595"/>
    <cellStyle name="Header2 3 4 2 3 2 9" xfId="36596"/>
    <cellStyle name="Header2 3 4 2 3 3" xfId="36597"/>
    <cellStyle name="Header2 3 4 2 3 4" xfId="36598"/>
    <cellStyle name="Header2 3 4 2 3 5" xfId="36599"/>
    <cellStyle name="Header2 3 4 2 3 6" xfId="36600"/>
    <cellStyle name="Header2 3 4 2 3 7" xfId="36601"/>
    <cellStyle name="Header2 3 4 2 3 8" xfId="36602"/>
    <cellStyle name="Header2 3 4 2 3 9" xfId="36603"/>
    <cellStyle name="Header2 3 4 2 4" xfId="36604"/>
    <cellStyle name="Header2 3 4 3" xfId="36605"/>
    <cellStyle name="Header2 3 4 3 10" xfId="36606"/>
    <cellStyle name="Header2 3 4 3 11" xfId="36607"/>
    <cellStyle name="Header2 3 4 3 12" xfId="36608"/>
    <cellStyle name="Header2 3 4 3 13" xfId="36609"/>
    <cellStyle name="Header2 3 4 3 14" xfId="36610"/>
    <cellStyle name="Header2 3 4 3 15" xfId="36611"/>
    <cellStyle name="Header2 3 4 3 16" xfId="36612"/>
    <cellStyle name="Header2 3 4 3 17" xfId="36613"/>
    <cellStyle name="Header2 3 4 3 2" xfId="36614"/>
    <cellStyle name="Header2 3 4 3 2 2" xfId="36615"/>
    <cellStyle name="Header2 3 4 3 2 3" xfId="36616"/>
    <cellStyle name="Header2 3 4 3 2 4" xfId="36617"/>
    <cellStyle name="Header2 3 4 3 2 5" xfId="36618"/>
    <cellStyle name="Header2 3 4 3 2 6" xfId="36619"/>
    <cellStyle name="Header2 3 4 3 2 7" xfId="36620"/>
    <cellStyle name="Header2 3 4 3 2 8" xfId="36621"/>
    <cellStyle name="Header2 3 4 3 2 9" xfId="36622"/>
    <cellStyle name="Header2 3 4 3 3" xfId="36623"/>
    <cellStyle name="Header2 3 4 3 4" xfId="36624"/>
    <cellStyle name="Header2 3 4 3 5" xfId="36625"/>
    <cellStyle name="Header2 3 4 3 6" xfId="36626"/>
    <cellStyle name="Header2 3 4 3 7" xfId="36627"/>
    <cellStyle name="Header2 3 4 3 8" xfId="36628"/>
    <cellStyle name="Header2 3 4 3 9" xfId="36629"/>
    <cellStyle name="Header2 3 4 4" xfId="36630"/>
    <cellStyle name="Header2 3 4 4 10" xfId="36631"/>
    <cellStyle name="Header2 3 4 4 11" xfId="36632"/>
    <cellStyle name="Header2 3 4 4 12" xfId="36633"/>
    <cellStyle name="Header2 3 4 4 13" xfId="36634"/>
    <cellStyle name="Header2 3 4 4 14" xfId="36635"/>
    <cellStyle name="Header2 3 4 4 15" xfId="36636"/>
    <cellStyle name="Header2 3 4 4 16" xfId="36637"/>
    <cellStyle name="Header2 3 4 4 2" xfId="36638"/>
    <cellStyle name="Header2 3 4 4 2 2" xfId="36639"/>
    <cellStyle name="Header2 3 4 4 2 3" xfId="36640"/>
    <cellStyle name="Header2 3 4 4 2 4" xfId="36641"/>
    <cellStyle name="Header2 3 4 4 2 5" xfId="36642"/>
    <cellStyle name="Header2 3 4 4 2 6" xfId="36643"/>
    <cellStyle name="Header2 3 4 4 2 7" xfId="36644"/>
    <cellStyle name="Header2 3 4 4 2 8" xfId="36645"/>
    <cellStyle name="Header2 3 4 4 2 9" xfId="36646"/>
    <cellStyle name="Header2 3 4 4 3" xfId="36647"/>
    <cellStyle name="Header2 3 4 4 4" xfId="36648"/>
    <cellStyle name="Header2 3 4 4 5" xfId="36649"/>
    <cellStyle name="Header2 3 4 4 6" xfId="36650"/>
    <cellStyle name="Header2 3 4 4 7" xfId="36651"/>
    <cellStyle name="Header2 3 4 4 8" xfId="36652"/>
    <cellStyle name="Header2 3 4 4 9" xfId="36653"/>
    <cellStyle name="Header2 3 4 5" xfId="36654"/>
    <cellStyle name="Header2 3 5" xfId="36655"/>
    <cellStyle name="Header2 3 5 2" xfId="36656"/>
    <cellStyle name="Header2 3 5 2 10" xfId="36657"/>
    <cellStyle name="Header2 3 5 2 11" xfId="36658"/>
    <cellStyle name="Header2 3 5 2 12" xfId="36659"/>
    <cellStyle name="Header2 3 5 2 13" xfId="36660"/>
    <cellStyle name="Header2 3 5 2 14" xfId="36661"/>
    <cellStyle name="Header2 3 5 2 15" xfId="36662"/>
    <cellStyle name="Header2 3 5 2 16" xfId="36663"/>
    <cellStyle name="Header2 3 5 2 17" xfId="36664"/>
    <cellStyle name="Header2 3 5 2 2" xfId="36665"/>
    <cellStyle name="Header2 3 5 2 2 2" xfId="36666"/>
    <cellStyle name="Header2 3 5 2 2 3" xfId="36667"/>
    <cellStyle name="Header2 3 5 2 2 4" xfId="36668"/>
    <cellStyle name="Header2 3 5 2 2 5" xfId="36669"/>
    <cellStyle name="Header2 3 5 2 2 6" xfId="36670"/>
    <cellStyle name="Header2 3 5 2 2 7" xfId="36671"/>
    <cellStyle name="Header2 3 5 2 2 8" xfId="36672"/>
    <cellStyle name="Header2 3 5 2 2 9" xfId="36673"/>
    <cellStyle name="Header2 3 5 2 3" xfId="36674"/>
    <cellStyle name="Header2 3 5 2 4" xfId="36675"/>
    <cellStyle name="Header2 3 5 2 5" xfId="36676"/>
    <cellStyle name="Header2 3 5 2 6" xfId="36677"/>
    <cellStyle name="Header2 3 5 2 7" xfId="36678"/>
    <cellStyle name="Header2 3 5 2 8" xfId="36679"/>
    <cellStyle name="Header2 3 5 2 9" xfId="36680"/>
    <cellStyle name="Header2 3 5 3" xfId="36681"/>
    <cellStyle name="Header2 3 5 3 10" xfId="36682"/>
    <cellStyle name="Header2 3 5 3 11" xfId="36683"/>
    <cellStyle name="Header2 3 5 3 12" xfId="36684"/>
    <cellStyle name="Header2 3 5 3 13" xfId="36685"/>
    <cellStyle name="Header2 3 5 3 14" xfId="36686"/>
    <cellStyle name="Header2 3 5 3 15" xfId="36687"/>
    <cellStyle name="Header2 3 5 3 16" xfId="36688"/>
    <cellStyle name="Header2 3 5 3 2" xfId="36689"/>
    <cellStyle name="Header2 3 5 3 2 2" xfId="36690"/>
    <cellStyle name="Header2 3 5 3 2 3" xfId="36691"/>
    <cellStyle name="Header2 3 5 3 2 4" xfId="36692"/>
    <cellStyle name="Header2 3 5 3 2 5" xfId="36693"/>
    <cellStyle name="Header2 3 5 3 2 6" xfId="36694"/>
    <cellStyle name="Header2 3 5 3 2 7" xfId="36695"/>
    <cellStyle name="Header2 3 5 3 2 8" xfId="36696"/>
    <cellStyle name="Header2 3 5 3 2 9" xfId="36697"/>
    <cellStyle name="Header2 3 5 3 3" xfId="36698"/>
    <cellStyle name="Header2 3 5 3 4" xfId="36699"/>
    <cellStyle name="Header2 3 5 3 5" xfId="36700"/>
    <cellStyle name="Header2 3 5 3 6" xfId="36701"/>
    <cellStyle name="Header2 3 5 3 7" xfId="36702"/>
    <cellStyle name="Header2 3 5 3 8" xfId="36703"/>
    <cellStyle name="Header2 3 5 3 9" xfId="36704"/>
    <cellStyle name="Header2 3 5 4" xfId="36705"/>
    <cellStyle name="Header2 3 6" xfId="36706"/>
    <cellStyle name="Header2 3 6 10" xfId="36707"/>
    <cellStyle name="Header2 3 6 11" xfId="36708"/>
    <cellStyle name="Header2 3 6 12" xfId="36709"/>
    <cellStyle name="Header2 3 6 13" xfId="36710"/>
    <cellStyle name="Header2 3 6 14" xfId="36711"/>
    <cellStyle name="Header2 3 6 15" xfId="36712"/>
    <cellStyle name="Header2 3 6 16" xfId="36713"/>
    <cellStyle name="Header2 3 6 17" xfId="36714"/>
    <cellStyle name="Header2 3 6 2" xfId="36715"/>
    <cellStyle name="Header2 3 6 2 2" xfId="36716"/>
    <cellStyle name="Header2 3 6 2 3" xfId="36717"/>
    <cellStyle name="Header2 3 6 2 4" xfId="36718"/>
    <cellStyle name="Header2 3 6 2 5" xfId="36719"/>
    <cellStyle name="Header2 3 6 2 6" xfId="36720"/>
    <cellStyle name="Header2 3 6 2 7" xfId="36721"/>
    <cellStyle name="Header2 3 6 2 8" xfId="36722"/>
    <cellStyle name="Header2 3 6 2 9" xfId="36723"/>
    <cellStyle name="Header2 3 6 3" xfId="36724"/>
    <cellStyle name="Header2 3 6 4" xfId="36725"/>
    <cellStyle name="Header2 3 6 5" xfId="36726"/>
    <cellStyle name="Header2 3 6 6" xfId="36727"/>
    <cellStyle name="Header2 3 6 7" xfId="36728"/>
    <cellStyle name="Header2 3 6 8" xfId="36729"/>
    <cellStyle name="Header2 3 6 9" xfId="36730"/>
    <cellStyle name="Header2 3 7" xfId="36731"/>
    <cellStyle name="Header2 3 7 10" xfId="36732"/>
    <cellStyle name="Header2 3 7 11" xfId="36733"/>
    <cellStyle name="Header2 3 7 12" xfId="36734"/>
    <cellStyle name="Header2 3 7 13" xfId="36735"/>
    <cellStyle name="Header2 3 7 14" xfId="36736"/>
    <cellStyle name="Header2 3 7 15" xfId="36737"/>
    <cellStyle name="Header2 3 7 16" xfId="36738"/>
    <cellStyle name="Header2 3 7 2" xfId="36739"/>
    <cellStyle name="Header2 3 7 2 2" xfId="36740"/>
    <cellStyle name="Header2 3 7 2 3" xfId="36741"/>
    <cellStyle name="Header2 3 7 2 4" xfId="36742"/>
    <cellStyle name="Header2 3 7 2 5" xfId="36743"/>
    <cellStyle name="Header2 3 7 2 6" xfId="36744"/>
    <cellStyle name="Header2 3 7 2 7" xfId="36745"/>
    <cellStyle name="Header2 3 7 2 8" xfId="36746"/>
    <cellStyle name="Header2 3 7 2 9" xfId="36747"/>
    <cellStyle name="Header2 3 7 3" xfId="36748"/>
    <cellStyle name="Header2 3 7 4" xfId="36749"/>
    <cellStyle name="Header2 3 7 5" xfId="36750"/>
    <cellStyle name="Header2 3 7 6" xfId="36751"/>
    <cellStyle name="Header2 3 7 7" xfId="36752"/>
    <cellStyle name="Header2 3 7 8" xfId="36753"/>
    <cellStyle name="Header2 3 7 9" xfId="36754"/>
    <cellStyle name="Header2 3 8" xfId="36755"/>
    <cellStyle name="Header2 4" xfId="36756"/>
    <cellStyle name="Header2 4 2" xfId="36757"/>
    <cellStyle name="Header2 4 2 2" xfId="36758"/>
    <cellStyle name="Header2 4 2 2 10" xfId="36759"/>
    <cellStyle name="Header2 4 2 2 11" xfId="36760"/>
    <cellStyle name="Header2 4 2 2 12" xfId="36761"/>
    <cellStyle name="Header2 4 2 2 13" xfId="36762"/>
    <cellStyle name="Header2 4 2 2 14" xfId="36763"/>
    <cellStyle name="Header2 4 2 2 15" xfId="36764"/>
    <cellStyle name="Header2 4 2 2 16" xfId="36765"/>
    <cellStyle name="Header2 4 2 2 17" xfId="36766"/>
    <cellStyle name="Header2 4 2 2 2" xfId="36767"/>
    <cellStyle name="Header2 4 2 2 2 2" xfId="36768"/>
    <cellStyle name="Header2 4 2 2 2 3" xfId="36769"/>
    <cellStyle name="Header2 4 2 2 2 4" xfId="36770"/>
    <cellStyle name="Header2 4 2 2 2 5" xfId="36771"/>
    <cellStyle name="Header2 4 2 2 2 6" xfId="36772"/>
    <cellStyle name="Header2 4 2 2 2 7" xfId="36773"/>
    <cellStyle name="Header2 4 2 2 2 8" xfId="36774"/>
    <cellStyle name="Header2 4 2 2 2 9" xfId="36775"/>
    <cellStyle name="Header2 4 2 2 3" xfId="36776"/>
    <cellStyle name="Header2 4 2 2 4" xfId="36777"/>
    <cellStyle name="Header2 4 2 2 5" xfId="36778"/>
    <cellStyle name="Header2 4 2 2 6" xfId="36779"/>
    <cellStyle name="Header2 4 2 2 7" xfId="36780"/>
    <cellStyle name="Header2 4 2 2 8" xfId="36781"/>
    <cellStyle name="Header2 4 2 2 9" xfId="36782"/>
    <cellStyle name="Header2 4 2 3" xfId="36783"/>
    <cellStyle name="Header2 4 2 3 10" xfId="36784"/>
    <cellStyle name="Header2 4 2 3 11" xfId="36785"/>
    <cellStyle name="Header2 4 2 3 12" xfId="36786"/>
    <cellStyle name="Header2 4 2 3 13" xfId="36787"/>
    <cellStyle name="Header2 4 2 3 14" xfId="36788"/>
    <cellStyle name="Header2 4 2 3 15" xfId="36789"/>
    <cellStyle name="Header2 4 2 3 16" xfId="36790"/>
    <cellStyle name="Header2 4 2 3 2" xfId="36791"/>
    <cellStyle name="Header2 4 2 3 2 2" xfId="36792"/>
    <cellStyle name="Header2 4 2 3 2 3" xfId="36793"/>
    <cellStyle name="Header2 4 2 3 2 4" xfId="36794"/>
    <cellStyle name="Header2 4 2 3 2 5" xfId="36795"/>
    <cellStyle name="Header2 4 2 3 2 6" xfId="36796"/>
    <cellStyle name="Header2 4 2 3 2 7" xfId="36797"/>
    <cellStyle name="Header2 4 2 3 2 8" xfId="36798"/>
    <cellStyle name="Header2 4 2 3 2 9" xfId="36799"/>
    <cellStyle name="Header2 4 2 3 3" xfId="36800"/>
    <cellStyle name="Header2 4 2 3 4" xfId="36801"/>
    <cellStyle name="Header2 4 2 3 5" xfId="36802"/>
    <cellStyle name="Header2 4 2 3 6" xfId="36803"/>
    <cellStyle name="Header2 4 2 3 7" xfId="36804"/>
    <cellStyle name="Header2 4 2 3 8" xfId="36805"/>
    <cellStyle name="Header2 4 2 3 9" xfId="36806"/>
    <cellStyle name="Header2 4 2 4" xfId="36807"/>
    <cellStyle name="Header2 4 3" xfId="36808"/>
    <cellStyle name="Header2 4 3 10" xfId="36809"/>
    <cellStyle name="Header2 4 3 11" xfId="36810"/>
    <cellStyle name="Header2 4 3 12" xfId="36811"/>
    <cellStyle name="Header2 4 3 13" xfId="36812"/>
    <cellStyle name="Header2 4 3 14" xfId="36813"/>
    <cellStyle name="Header2 4 3 15" xfId="36814"/>
    <cellStyle name="Header2 4 3 16" xfId="36815"/>
    <cellStyle name="Header2 4 3 17" xfId="36816"/>
    <cellStyle name="Header2 4 3 2" xfId="36817"/>
    <cellStyle name="Header2 4 3 2 2" xfId="36818"/>
    <cellStyle name="Header2 4 3 2 3" xfId="36819"/>
    <cellStyle name="Header2 4 3 2 4" xfId="36820"/>
    <cellStyle name="Header2 4 3 2 5" xfId="36821"/>
    <cellStyle name="Header2 4 3 2 6" xfId="36822"/>
    <cellStyle name="Header2 4 3 2 7" xfId="36823"/>
    <cellStyle name="Header2 4 3 2 8" xfId="36824"/>
    <cellStyle name="Header2 4 3 2 9" xfId="36825"/>
    <cellStyle name="Header2 4 3 3" xfId="36826"/>
    <cellStyle name="Header2 4 3 4" xfId="36827"/>
    <cellStyle name="Header2 4 3 5" xfId="36828"/>
    <cellStyle name="Header2 4 3 6" xfId="36829"/>
    <cellStyle name="Header2 4 3 7" xfId="36830"/>
    <cellStyle name="Header2 4 3 8" xfId="36831"/>
    <cellStyle name="Header2 4 3 9" xfId="36832"/>
    <cellStyle name="Header2 4 4" xfId="36833"/>
    <cellStyle name="Header2 4 4 10" xfId="36834"/>
    <cellStyle name="Header2 4 4 11" xfId="36835"/>
    <cellStyle name="Header2 4 4 12" xfId="36836"/>
    <cellStyle name="Header2 4 4 13" xfId="36837"/>
    <cellStyle name="Header2 4 4 14" xfId="36838"/>
    <cellStyle name="Header2 4 4 15" xfId="36839"/>
    <cellStyle name="Header2 4 4 16" xfId="36840"/>
    <cellStyle name="Header2 4 4 2" xfId="36841"/>
    <cellStyle name="Header2 4 4 2 2" xfId="36842"/>
    <cellStyle name="Header2 4 4 2 3" xfId="36843"/>
    <cellStyle name="Header2 4 4 2 4" xfId="36844"/>
    <cellStyle name="Header2 4 4 2 5" xfId="36845"/>
    <cellStyle name="Header2 4 4 2 6" xfId="36846"/>
    <cellStyle name="Header2 4 4 2 7" xfId="36847"/>
    <cellStyle name="Header2 4 4 2 8" xfId="36848"/>
    <cellStyle name="Header2 4 4 2 9" xfId="36849"/>
    <cellStyle name="Header2 4 4 3" xfId="36850"/>
    <cellStyle name="Header2 4 4 4" xfId="36851"/>
    <cellStyle name="Header2 4 4 5" xfId="36852"/>
    <cellStyle name="Header2 4 4 6" xfId="36853"/>
    <cellStyle name="Header2 4 4 7" xfId="36854"/>
    <cellStyle name="Header2 4 4 8" xfId="36855"/>
    <cellStyle name="Header2 4 4 9" xfId="36856"/>
    <cellStyle name="Header2 4 5" xfId="36857"/>
    <cellStyle name="Header2 5" xfId="36858"/>
    <cellStyle name="Header2 5 2" xfId="36859"/>
    <cellStyle name="Header2 5 2 2" xfId="36860"/>
    <cellStyle name="Header2 5 2 2 10" xfId="36861"/>
    <cellStyle name="Header2 5 2 2 11" xfId="36862"/>
    <cellStyle name="Header2 5 2 2 12" xfId="36863"/>
    <cellStyle name="Header2 5 2 2 13" xfId="36864"/>
    <cellStyle name="Header2 5 2 2 14" xfId="36865"/>
    <cellStyle name="Header2 5 2 2 15" xfId="36866"/>
    <cellStyle name="Header2 5 2 2 16" xfId="36867"/>
    <cellStyle name="Header2 5 2 2 17" xfId="36868"/>
    <cellStyle name="Header2 5 2 2 2" xfId="36869"/>
    <cellStyle name="Header2 5 2 2 2 2" xfId="36870"/>
    <cellStyle name="Header2 5 2 2 2 3" xfId="36871"/>
    <cellStyle name="Header2 5 2 2 2 4" xfId="36872"/>
    <cellStyle name="Header2 5 2 2 2 5" xfId="36873"/>
    <cellStyle name="Header2 5 2 2 2 6" xfId="36874"/>
    <cellStyle name="Header2 5 2 2 2 7" xfId="36875"/>
    <cellStyle name="Header2 5 2 2 2 8" xfId="36876"/>
    <cellStyle name="Header2 5 2 2 2 9" xfId="36877"/>
    <cellStyle name="Header2 5 2 2 3" xfId="36878"/>
    <cellStyle name="Header2 5 2 2 4" xfId="36879"/>
    <cellStyle name="Header2 5 2 2 5" xfId="36880"/>
    <cellStyle name="Header2 5 2 2 6" xfId="36881"/>
    <cellStyle name="Header2 5 2 2 7" xfId="36882"/>
    <cellStyle name="Header2 5 2 2 8" xfId="36883"/>
    <cellStyle name="Header2 5 2 2 9" xfId="36884"/>
    <cellStyle name="Header2 5 2 3" xfId="36885"/>
    <cellStyle name="Header2 5 2 3 10" xfId="36886"/>
    <cellStyle name="Header2 5 2 3 11" xfId="36887"/>
    <cellStyle name="Header2 5 2 3 12" xfId="36888"/>
    <cellStyle name="Header2 5 2 3 13" xfId="36889"/>
    <cellStyle name="Header2 5 2 3 14" xfId="36890"/>
    <cellStyle name="Header2 5 2 3 15" xfId="36891"/>
    <cellStyle name="Header2 5 2 3 16" xfId="36892"/>
    <cellStyle name="Header2 5 2 3 2" xfId="36893"/>
    <cellStyle name="Header2 5 2 3 2 2" xfId="36894"/>
    <cellStyle name="Header2 5 2 3 2 3" xfId="36895"/>
    <cellStyle name="Header2 5 2 3 2 4" xfId="36896"/>
    <cellStyle name="Header2 5 2 3 2 5" xfId="36897"/>
    <cellStyle name="Header2 5 2 3 2 6" xfId="36898"/>
    <cellStyle name="Header2 5 2 3 2 7" xfId="36899"/>
    <cellStyle name="Header2 5 2 3 2 8" xfId="36900"/>
    <cellStyle name="Header2 5 2 3 2 9" xfId="36901"/>
    <cellStyle name="Header2 5 2 3 3" xfId="36902"/>
    <cellStyle name="Header2 5 2 3 4" xfId="36903"/>
    <cellStyle name="Header2 5 2 3 5" xfId="36904"/>
    <cellStyle name="Header2 5 2 3 6" xfId="36905"/>
    <cellStyle name="Header2 5 2 3 7" xfId="36906"/>
    <cellStyle name="Header2 5 2 3 8" xfId="36907"/>
    <cellStyle name="Header2 5 2 3 9" xfId="36908"/>
    <cellStyle name="Header2 5 2 4" xfId="36909"/>
    <cellStyle name="Header2 5 3" xfId="36910"/>
    <cellStyle name="Header2 5 3 10" xfId="36911"/>
    <cellStyle name="Header2 5 3 11" xfId="36912"/>
    <cellStyle name="Header2 5 3 12" xfId="36913"/>
    <cellStyle name="Header2 5 3 13" xfId="36914"/>
    <cellStyle name="Header2 5 3 14" xfId="36915"/>
    <cellStyle name="Header2 5 3 15" xfId="36916"/>
    <cellStyle name="Header2 5 3 16" xfId="36917"/>
    <cellStyle name="Header2 5 3 17" xfId="36918"/>
    <cellStyle name="Header2 5 3 2" xfId="36919"/>
    <cellStyle name="Header2 5 3 2 2" xfId="36920"/>
    <cellStyle name="Header2 5 3 2 3" xfId="36921"/>
    <cellStyle name="Header2 5 3 2 4" xfId="36922"/>
    <cellStyle name="Header2 5 3 2 5" xfId="36923"/>
    <cellStyle name="Header2 5 3 2 6" xfId="36924"/>
    <cellStyle name="Header2 5 3 2 7" xfId="36925"/>
    <cellStyle name="Header2 5 3 2 8" xfId="36926"/>
    <cellStyle name="Header2 5 3 2 9" xfId="36927"/>
    <cellStyle name="Header2 5 3 3" xfId="36928"/>
    <cellStyle name="Header2 5 3 4" xfId="36929"/>
    <cellStyle name="Header2 5 3 5" xfId="36930"/>
    <cellStyle name="Header2 5 3 6" xfId="36931"/>
    <cellStyle name="Header2 5 3 7" xfId="36932"/>
    <cellStyle name="Header2 5 3 8" xfId="36933"/>
    <cellStyle name="Header2 5 3 9" xfId="36934"/>
    <cellStyle name="Header2 5 4" xfId="36935"/>
    <cellStyle name="Header2 5 4 10" xfId="36936"/>
    <cellStyle name="Header2 5 4 11" xfId="36937"/>
    <cellStyle name="Header2 5 4 12" xfId="36938"/>
    <cellStyle name="Header2 5 4 13" xfId="36939"/>
    <cellStyle name="Header2 5 4 14" xfId="36940"/>
    <cellStyle name="Header2 5 4 15" xfId="36941"/>
    <cellStyle name="Header2 5 4 16" xfId="36942"/>
    <cellStyle name="Header2 5 4 2" xfId="36943"/>
    <cellStyle name="Header2 5 4 2 2" xfId="36944"/>
    <cellStyle name="Header2 5 4 2 3" xfId="36945"/>
    <cellStyle name="Header2 5 4 2 4" xfId="36946"/>
    <cellStyle name="Header2 5 4 2 5" xfId="36947"/>
    <cellStyle name="Header2 5 4 2 6" xfId="36948"/>
    <cellStyle name="Header2 5 4 2 7" xfId="36949"/>
    <cellStyle name="Header2 5 4 2 8" xfId="36950"/>
    <cellStyle name="Header2 5 4 2 9" xfId="36951"/>
    <cellStyle name="Header2 5 4 3" xfId="36952"/>
    <cellStyle name="Header2 5 4 4" xfId="36953"/>
    <cellStyle name="Header2 5 4 5" xfId="36954"/>
    <cellStyle name="Header2 5 4 6" xfId="36955"/>
    <cellStyle name="Header2 5 4 7" xfId="36956"/>
    <cellStyle name="Header2 5 4 8" xfId="36957"/>
    <cellStyle name="Header2 5 4 9" xfId="36958"/>
    <cellStyle name="Header2 5 5" xfId="36959"/>
    <cellStyle name="Header2 6" xfId="36960"/>
    <cellStyle name="Header2 6 10" xfId="36961"/>
    <cellStyle name="Header2 6 11" xfId="36962"/>
    <cellStyle name="Header2 6 12" xfId="36963"/>
    <cellStyle name="Header2 6 13" xfId="36964"/>
    <cellStyle name="Header2 6 14" xfId="36965"/>
    <cellStyle name="Header2 6 15" xfId="36966"/>
    <cellStyle name="Header2 6 16" xfId="36967"/>
    <cellStyle name="Header2 6 17" xfId="36968"/>
    <cellStyle name="Header2 6 2" xfId="36969"/>
    <cellStyle name="Header2 6 2 2" xfId="36970"/>
    <cellStyle name="Header2 6 2 3" xfId="36971"/>
    <cellStyle name="Header2 6 2 4" xfId="36972"/>
    <cellStyle name="Header2 6 2 5" xfId="36973"/>
    <cellStyle name="Header2 6 2 6" xfId="36974"/>
    <cellStyle name="Header2 6 2 7" xfId="36975"/>
    <cellStyle name="Header2 6 2 8" xfId="36976"/>
    <cellStyle name="Header2 6 2 9" xfId="36977"/>
    <cellStyle name="Header2 6 3" xfId="36978"/>
    <cellStyle name="Header2 6 4" xfId="36979"/>
    <cellStyle name="Header2 6 5" xfId="36980"/>
    <cellStyle name="Header2 6 6" xfId="36981"/>
    <cellStyle name="Header2 6 7" xfId="36982"/>
    <cellStyle name="Header2 6 8" xfId="36983"/>
    <cellStyle name="Header2 6 9" xfId="36984"/>
    <cellStyle name="Header2 7" xfId="36985"/>
    <cellStyle name="Header2 8" xfId="36986"/>
    <cellStyle name="Header2 9" xfId="36987"/>
    <cellStyle name="Header2_План ДСМ ноябрь 2011 ОТЧЕТ" xfId="36988"/>
    <cellStyle name="Heading" xfId="36989"/>
    <cellStyle name="Heading 1" xfId="36990"/>
    <cellStyle name="Heading 1 10" xfId="36991"/>
    <cellStyle name="Heading 1 11" xfId="36992"/>
    <cellStyle name="Heading 1 12" xfId="36993"/>
    <cellStyle name="Heading 1 13" xfId="36994"/>
    <cellStyle name="Heading 1 14" xfId="36995"/>
    <cellStyle name="Heading 1 15" xfId="36996"/>
    <cellStyle name="Heading 1 16" xfId="36997"/>
    <cellStyle name="Heading 1 17" xfId="36998"/>
    <cellStyle name="Heading 1 18" xfId="36999"/>
    <cellStyle name="Heading 1 19" xfId="37000"/>
    <cellStyle name="Heading 1 2" xfId="37001"/>
    <cellStyle name="Heading 1 2 2" xfId="37002"/>
    <cellStyle name="Heading 1 2 3" xfId="37003"/>
    <cellStyle name="Heading 1 2 4" xfId="37004"/>
    <cellStyle name="Heading 1 2 5" xfId="37005"/>
    <cellStyle name="Heading 1 2 6" xfId="37006"/>
    <cellStyle name="Heading 1 2 7" xfId="37007"/>
    <cellStyle name="Heading 1 2 8" xfId="37008"/>
    <cellStyle name="Heading 1 2 9" xfId="37009"/>
    <cellStyle name="Heading 1 20" xfId="37010"/>
    <cellStyle name="Heading 1 21" xfId="37011"/>
    <cellStyle name="Heading 1 22" xfId="37012"/>
    <cellStyle name="Heading 1 23" xfId="37013"/>
    <cellStyle name="Heading 1 24" xfId="37014"/>
    <cellStyle name="Heading 1 25" xfId="37015"/>
    <cellStyle name="Heading 1 26" xfId="37016"/>
    <cellStyle name="Heading 1 27" xfId="37017"/>
    <cellStyle name="Heading 1 28" xfId="37018"/>
    <cellStyle name="Heading 1 29" xfId="37019"/>
    <cellStyle name="Heading 1 3" xfId="37020"/>
    <cellStyle name="Heading 1 3 2" xfId="37021"/>
    <cellStyle name="Heading 1 3 3" xfId="37022"/>
    <cellStyle name="Heading 1 3 4" xfId="37023"/>
    <cellStyle name="Heading 1 3 5" xfId="37024"/>
    <cellStyle name="Heading 1 3 6" xfId="37025"/>
    <cellStyle name="Heading 1 3 7" xfId="37026"/>
    <cellStyle name="Heading 1 3 8" xfId="37027"/>
    <cellStyle name="Heading 1 3 9" xfId="37028"/>
    <cellStyle name="Heading 1 4" xfId="37029"/>
    <cellStyle name="Heading 1 4 2" xfId="37030"/>
    <cellStyle name="Heading 1 4 3" xfId="37031"/>
    <cellStyle name="Heading 1 4 4" xfId="37032"/>
    <cellStyle name="Heading 1 4 5" xfId="37033"/>
    <cellStyle name="Heading 1 4 6" xfId="37034"/>
    <cellStyle name="Heading 1 4 7" xfId="37035"/>
    <cellStyle name="Heading 1 4 8" xfId="37036"/>
    <cellStyle name="Heading 1 4 9" xfId="37037"/>
    <cellStyle name="Heading 1 5" xfId="37038"/>
    <cellStyle name="Heading 1 5 2" xfId="37039"/>
    <cellStyle name="Heading 1 5 3" xfId="37040"/>
    <cellStyle name="Heading 1 5 4" xfId="37041"/>
    <cellStyle name="Heading 1 5 5" xfId="37042"/>
    <cellStyle name="Heading 1 5 6" xfId="37043"/>
    <cellStyle name="Heading 1 5 7" xfId="37044"/>
    <cellStyle name="Heading 1 5 8" xfId="37045"/>
    <cellStyle name="Heading 1 5 9" xfId="37046"/>
    <cellStyle name="Heading 1 6" xfId="37047"/>
    <cellStyle name="Heading 1 6 2" xfId="37048"/>
    <cellStyle name="Heading 1 6 3" xfId="37049"/>
    <cellStyle name="Heading 1 6 4" xfId="37050"/>
    <cellStyle name="Heading 1 6 5" xfId="37051"/>
    <cellStyle name="Heading 1 6 6" xfId="37052"/>
    <cellStyle name="Heading 1 6 7" xfId="37053"/>
    <cellStyle name="Heading 1 6 8" xfId="37054"/>
    <cellStyle name="Heading 1 6 9" xfId="37055"/>
    <cellStyle name="Heading 1 7" xfId="37056"/>
    <cellStyle name="Heading 1 8" xfId="37057"/>
    <cellStyle name="Heading 1 9" xfId="37058"/>
    <cellStyle name="Heading 1 Above" xfId="37059"/>
    <cellStyle name="Heading 1_book1" xfId="37060"/>
    <cellStyle name="Heading 1+" xfId="37061"/>
    <cellStyle name="Heading 10" xfId="37062"/>
    <cellStyle name="Heading 11" xfId="37063"/>
    <cellStyle name="Heading 12" xfId="37064"/>
    <cellStyle name="Heading 13" xfId="37065"/>
    <cellStyle name="Heading 14" xfId="37066"/>
    <cellStyle name="Heading 15" xfId="37067"/>
    <cellStyle name="Heading 16" xfId="37068"/>
    <cellStyle name="Heading 17" xfId="37069"/>
    <cellStyle name="Heading 18" xfId="37070"/>
    <cellStyle name="Heading 19" xfId="37071"/>
    <cellStyle name="Heading 2" xfId="37072"/>
    <cellStyle name="Heading 2 10" xfId="37073"/>
    <cellStyle name="Heading 2 11" xfId="37074"/>
    <cellStyle name="Heading 2 12" xfId="37075"/>
    <cellStyle name="Heading 2 13" xfId="37076"/>
    <cellStyle name="Heading 2 14" xfId="37077"/>
    <cellStyle name="Heading 2 15" xfId="37078"/>
    <cellStyle name="Heading 2 16" xfId="37079"/>
    <cellStyle name="Heading 2 17" xfId="37080"/>
    <cellStyle name="Heading 2 18" xfId="37081"/>
    <cellStyle name="Heading 2 19" xfId="37082"/>
    <cellStyle name="Heading 2 2" xfId="37083"/>
    <cellStyle name="Heading 2 2 2" xfId="37084"/>
    <cellStyle name="Heading 2 2 3" xfId="37085"/>
    <cellStyle name="Heading 2 2 4" xfId="37086"/>
    <cellStyle name="Heading 2 2 5" xfId="37087"/>
    <cellStyle name="Heading 2 2 6" xfId="37088"/>
    <cellStyle name="Heading 2 2 7" xfId="37089"/>
    <cellStyle name="Heading 2 2 8" xfId="37090"/>
    <cellStyle name="Heading 2 2 9" xfId="37091"/>
    <cellStyle name="Heading 2 20" xfId="37092"/>
    <cellStyle name="Heading 2 21" xfId="37093"/>
    <cellStyle name="Heading 2 22" xfId="37094"/>
    <cellStyle name="Heading 2 23" xfId="37095"/>
    <cellStyle name="Heading 2 24" xfId="37096"/>
    <cellStyle name="Heading 2 25" xfId="37097"/>
    <cellStyle name="Heading 2 26" xfId="37098"/>
    <cellStyle name="Heading 2 27" xfId="37099"/>
    <cellStyle name="Heading 2 28" xfId="37100"/>
    <cellStyle name="Heading 2 29" xfId="37101"/>
    <cellStyle name="Heading 2 3" xfId="37102"/>
    <cellStyle name="Heading 2 3 2" xfId="37103"/>
    <cellStyle name="Heading 2 3 3" xfId="37104"/>
    <cellStyle name="Heading 2 3 4" xfId="37105"/>
    <cellStyle name="Heading 2 3 5" xfId="37106"/>
    <cellStyle name="Heading 2 3 6" xfId="37107"/>
    <cellStyle name="Heading 2 3 7" xfId="37108"/>
    <cellStyle name="Heading 2 3 8" xfId="37109"/>
    <cellStyle name="Heading 2 3 9" xfId="37110"/>
    <cellStyle name="Heading 2 4" xfId="37111"/>
    <cellStyle name="Heading 2 4 2" xfId="37112"/>
    <cellStyle name="Heading 2 4 3" xfId="37113"/>
    <cellStyle name="Heading 2 4 4" xfId="37114"/>
    <cellStyle name="Heading 2 4 5" xfId="37115"/>
    <cellStyle name="Heading 2 4 6" xfId="37116"/>
    <cellStyle name="Heading 2 4 7" xfId="37117"/>
    <cellStyle name="Heading 2 4 8" xfId="37118"/>
    <cellStyle name="Heading 2 4 9" xfId="37119"/>
    <cellStyle name="Heading 2 5" xfId="37120"/>
    <cellStyle name="Heading 2 5 2" xfId="37121"/>
    <cellStyle name="Heading 2 5 3" xfId="37122"/>
    <cellStyle name="Heading 2 5 4" xfId="37123"/>
    <cellStyle name="Heading 2 5 5" xfId="37124"/>
    <cellStyle name="Heading 2 5 6" xfId="37125"/>
    <cellStyle name="Heading 2 5 7" xfId="37126"/>
    <cellStyle name="Heading 2 5 8" xfId="37127"/>
    <cellStyle name="Heading 2 5 9" xfId="37128"/>
    <cellStyle name="Heading 2 6" xfId="37129"/>
    <cellStyle name="Heading 2 6 2" xfId="37130"/>
    <cellStyle name="Heading 2 6 3" xfId="37131"/>
    <cellStyle name="Heading 2 6 4" xfId="37132"/>
    <cellStyle name="Heading 2 6 5" xfId="37133"/>
    <cellStyle name="Heading 2 6 6" xfId="37134"/>
    <cellStyle name="Heading 2 6 7" xfId="37135"/>
    <cellStyle name="Heading 2 6 8" xfId="37136"/>
    <cellStyle name="Heading 2 6 9" xfId="37137"/>
    <cellStyle name="Heading 2 7" xfId="37138"/>
    <cellStyle name="Heading 2 8" xfId="37139"/>
    <cellStyle name="Heading 2 9" xfId="37140"/>
    <cellStyle name="Heading 2 Below" xfId="37141"/>
    <cellStyle name="Heading 2_book1" xfId="37142"/>
    <cellStyle name="Heading 2+" xfId="37143"/>
    <cellStyle name="Heading 20" xfId="37144"/>
    <cellStyle name="Heading 3" xfId="37145"/>
    <cellStyle name="Heading 3 10" xfId="37146"/>
    <cellStyle name="Heading 3 11" xfId="37147"/>
    <cellStyle name="Heading 3 12" xfId="37148"/>
    <cellStyle name="Heading 3 13" xfId="37149"/>
    <cellStyle name="Heading 3 14" xfId="37150"/>
    <cellStyle name="Heading 3 15" xfId="37151"/>
    <cellStyle name="Heading 3 16" xfId="37152"/>
    <cellStyle name="Heading 3 17" xfId="37153"/>
    <cellStyle name="Heading 3 18" xfId="37154"/>
    <cellStyle name="Heading 3 19" xfId="37155"/>
    <cellStyle name="Heading 3 2" xfId="37156"/>
    <cellStyle name="Heading 3 20" xfId="37157"/>
    <cellStyle name="Heading 3 21" xfId="37158"/>
    <cellStyle name="Heading 3 3" xfId="37159"/>
    <cellStyle name="Heading 3 4" xfId="37160"/>
    <cellStyle name="Heading 3 5" xfId="37161"/>
    <cellStyle name="Heading 3 6" xfId="37162"/>
    <cellStyle name="Heading 3 7" xfId="37163"/>
    <cellStyle name="Heading 3 8" xfId="37164"/>
    <cellStyle name="Heading 3 9" xfId="37165"/>
    <cellStyle name="Heading 3+" xfId="37166"/>
    <cellStyle name="Heading 4" xfId="37167"/>
    <cellStyle name="Heading 4 10" xfId="37168"/>
    <cellStyle name="Heading 4 11" xfId="37169"/>
    <cellStyle name="Heading 4 12" xfId="37170"/>
    <cellStyle name="Heading 4 13" xfId="37171"/>
    <cellStyle name="Heading 4 14" xfId="37172"/>
    <cellStyle name="Heading 4 15" xfId="37173"/>
    <cellStyle name="Heading 4 16" xfId="37174"/>
    <cellStyle name="Heading 4 17" xfId="37175"/>
    <cellStyle name="Heading 4 18" xfId="37176"/>
    <cellStyle name="Heading 4 19" xfId="37177"/>
    <cellStyle name="Heading 4 2" xfId="37178"/>
    <cellStyle name="Heading 4 20" xfId="37179"/>
    <cellStyle name="Heading 4 3" xfId="37180"/>
    <cellStyle name="Heading 4 4" xfId="37181"/>
    <cellStyle name="Heading 4 5" xfId="37182"/>
    <cellStyle name="Heading 4 6" xfId="37183"/>
    <cellStyle name="Heading 4 7" xfId="37184"/>
    <cellStyle name="Heading 4 8" xfId="37185"/>
    <cellStyle name="Heading 4 9" xfId="37186"/>
    <cellStyle name="Heading 5" xfId="37187"/>
    <cellStyle name="Heading 5 2" xfId="37188"/>
    <cellStyle name="Heading 5 2 2" xfId="37189"/>
    <cellStyle name="Heading 6" xfId="37190"/>
    <cellStyle name="Heading 6 2" xfId="37191"/>
    <cellStyle name="Heading 7" xfId="37192"/>
    <cellStyle name="Heading 7 2" xfId="37193"/>
    <cellStyle name="Heading 8" xfId="37194"/>
    <cellStyle name="Heading 8 2" xfId="37195"/>
    <cellStyle name="Heading 9" xfId="37196"/>
    <cellStyle name="Heading A" xfId="37197"/>
    <cellStyle name="Heading No Underline" xfId="37198"/>
    <cellStyle name="Heading With Underline" xfId="37199"/>
    <cellStyle name="Heading With Underline 2" xfId="37200"/>
    <cellStyle name="Heading With Underline 2 2" xfId="37201"/>
    <cellStyle name="Heading_OEMK_12m05_FA (KPMG)" xfId="37202"/>
    <cellStyle name="Heading1" xfId="37203"/>
    <cellStyle name="HeadingB" xfId="37204"/>
    <cellStyle name="HeadingBU" xfId="37205"/>
    <cellStyle name="HeadingS" xfId="37206"/>
    <cellStyle name="highlight" xfId="37207"/>
    <cellStyle name="Hyperlink" xfId="37208"/>
    <cellStyle name="Iau?iue_130 nnd. are." xfId="37209"/>
    <cellStyle name="Îáű÷íűé_Đĺôĺđĺíň" xfId="37210"/>
    <cellStyle name="IEAData" xfId="37211"/>
    <cellStyle name="Îňęđűâŕâřŕ˙ń˙ ăčďĺđńńűëęŕ" xfId="37212"/>
    <cellStyle name="Îňęđűâŕâřŕ˙ń˙ ăčďĺđńńűëęŕ 2" xfId="37213"/>
    <cellStyle name="Îňęđűâŕâřŕ˙ń˙ ăčďĺđńńűëęŕ 3" xfId="37214"/>
    <cellStyle name="Îňęđűâŕâřŕ˙ń˙ ăčďĺđńńűëęŕ 4" xfId="37215"/>
    <cellStyle name="Îňęđűâŕâřŕ˙ń˙ ăčďĺđńńűëęŕ 5" xfId="37216"/>
    <cellStyle name="Îňęđűâŕâřŕ˙ń˙ ăčďĺđńńűëęŕ 6" xfId="37217"/>
    <cellStyle name="Îňęđűâŕâřŕ˙ń˙ ăčďĺđńńűëęŕ 7" xfId="37218"/>
    <cellStyle name="Input" xfId="37219"/>
    <cellStyle name="Input [yellow]" xfId="37220"/>
    <cellStyle name="Input [yellow] 2" xfId="37221"/>
    <cellStyle name="Input [yellow] 2 10" xfId="37222"/>
    <cellStyle name="Input [yellow] 2 11" xfId="37223"/>
    <cellStyle name="Input [yellow] 2 12" xfId="37224"/>
    <cellStyle name="Input [yellow] 2 13" xfId="37225"/>
    <cellStyle name="Input [yellow] 2 14" xfId="37226"/>
    <cellStyle name="Input [yellow] 2 15" xfId="37227"/>
    <cellStyle name="Input [yellow] 2 16" xfId="37228"/>
    <cellStyle name="Input [yellow] 2 17" xfId="37229"/>
    <cellStyle name="Input [yellow] 2 2" xfId="37230"/>
    <cellStyle name="Input [yellow] 2 2 2" xfId="37231"/>
    <cellStyle name="Input [yellow] 2 2 3" xfId="37232"/>
    <cellStyle name="Input [yellow] 2 2 4" xfId="37233"/>
    <cellStyle name="Input [yellow] 2 2 5" xfId="37234"/>
    <cellStyle name="Input [yellow] 2 2 6" xfId="37235"/>
    <cellStyle name="Input [yellow] 2 2 7" xfId="37236"/>
    <cellStyle name="Input [yellow] 2 2 8" xfId="37237"/>
    <cellStyle name="Input [yellow] 2 2 9" xfId="37238"/>
    <cellStyle name="Input [yellow] 2 3" xfId="37239"/>
    <cellStyle name="Input [yellow] 2 4" xfId="37240"/>
    <cellStyle name="Input [yellow] 2 5" xfId="37241"/>
    <cellStyle name="Input [yellow] 2 6" xfId="37242"/>
    <cellStyle name="Input [yellow] 2 7" xfId="37243"/>
    <cellStyle name="Input [yellow] 2 8" xfId="37244"/>
    <cellStyle name="Input [yellow] 2 9" xfId="37245"/>
    <cellStyle name="Input [yellow] 3" xfId="37246"/>
    <cellStyle name="Input [yellow] 3 10" xfId="37247"/>
    <cellStyle name="Input [yellow] 3 11" xfId="37248"/>
    <cellStyle name="Input [yellow] 3 12" xfId="37249"/>
    <cellStyle name="Input [yellow] 3 13" xfId="37250"/>
    <cellStyle name="Input [yellow] 3 14" xfId="37251"/>
    <cellStyle name="Input [yellow] 3 15" xfId="37252"/>
    <cellStyle name="Input [yellow] 3 16" xfId="37253"/>
    <cellStyle name="Input [yellow] 3 2" xfId="37254"/>
    <cellStyle name="Input [yellow] 3 2 2" xfId="37255"/>
    <cellStyle name="Input [yellow] 3 2 3" xfId="37256"/>
    <cellStyle name="Input [yellow] 3 2 4" xfId="37257"/>
    <cellStyle name="Input [yellow] 3 2 5" xfId="37258"/>
    <cellStyle name="Input [yellow] 3 2 6" xfId="37259"/>
    <cellStyle name="Input [yellow] 3 2 7" xfId="37260"/>
    <cellStyle name="Input [yellow] 3 2 8" xfId="37261"/>
    <cellStyle name="Input [yellow] 3 2 9" xfId="37262"/>
    <cellStyle name="Input [yellow] 3 3" xfId="37263"/>
    <cellStyle name="Input [yellow] 3 4" xfId="37264"/>
    <cellStyle name="Input [yellow] 3 5" xfId="37265"/>
    <cellStyle name="Input [yellow] 3 6" xfId="37266"/>
    <cellStyle name="Input [yellow] 3 7" xfId="37267"/>
    <cellStyle name="Input [yellow] 3 8" xfId="37268"/>
    <cellStyle name="Input [yellow] 3 9" xfId="37269"/>
    <cellStyle name="Input 10" xfId="37270"/>
    <cellStyle name="Input 10 10" xfId="37271"/>
    <cellStyle name="Input 10 11" xfId="37272"/>
    <cellStyle name="Input 10 12" xfId="37273"/>
    <cellStyle name="Input 10 13" xfId="37274"/>
    <cellStyle name="Input 10 14" xfId="37275"/>
    <cellStyle name="Input 10 15" xfId="37276"/>
    <cellStyle name="Input 10 16" xfId="37277"/>
    <cellStyle name="Input 10 17" xfId="37278"/>
    <cellStyle name="Input 10 18" xfId="37279"/>
    <cellStyle name="Input 10 2" xfId="37280"/>
    <cellStyle name="Input 10 2 2" xfId="37281"/>
    <cellStyle name="Input 10 2 3" xfId="37282"/>
    <cellStyle name="Input 10 2 4" xfId="37283"/>
    <cellStyle name="Input 10 2 5" xfId="37284"/>
    <cellStyle name="Input 10 2 6" xfId="37285"/>
    <cellStyle name="Input 10 2 7" xfId="37286"/>
    <cellStyle name="Input 10 2 8" xfId="37287"/>
    <cellStyle name="Input 10 2 9" xfId="37288"/>
    <cellStyle name="Input 10 3" xfId="37289"/>
    <cellStyle name="Input 10 4" xfId="37290"/>
    <cellStyle name="Input 10 5" xfId="37291"/>
    <cellStyle name="Input 10 6" xfId="37292"/>
    <cellStyle name="Input 10 7" xfId="37293"/>
    <cellStyle name="Input 10 8" xfId="37294"/>
    <cellStyle name="Input 10 9" xfId="37295"/>
    <cellStyle name="Input 11" xfId="37296"/>
    <cellStyle name="Input 11 2" xfId="37297"/>
    <cellStyle name="Input 11 3" xfId="37298"/>
    <cellStyle name="Input 11 4" xfId="37299"/>
    <cellStyle name="Input 11 5" xfId="37300"/>
    <cellStyle name="Input 11 6" xfId="37301"/>
    <cellStyle name="Input 11 7" xfId="37302"/>
    <cellStyle name="Input 11 8" xfId="37303"/>
    <cellStyle name="Input 11 9" xfId="37304"/>
    <cellStyle name="Input 12" xfId="37305"/>
    <cellStyle name="Input 13" xfId="37306"/>
    <cellStyle name="Input 14" xfId="37307"/>
    <cellStyle name="Input 15" xfId="37308"/>
    <cellStyle name="Input 16" xfId="37309"/>
    <cellStyle name="Input 17" xfId="37310"/>
    <cellStyle name="Input 18" xfId="37311"/>
    <cellStyle name="Input 19" xfId="37312"/>
    <cellStyle name="Input 2" xfId="37313"/>
    <cellStyle name="Input 2 10" xfId="37314"/>
    <cellStyle name="Input 2 10 10" xfId="37315"/>
    <cellStyle name="Input 2 10 11" xfId="37316"/>
    <cellStyle name="Input 2 10 12" xfId="37317"/>
    <cellStyle name="Input 2 10 13" xfId="37318"/>
    <cellStyle name="Input 2 10 14" xfId="37319"/>
    <cellStyle name="Input 2 10 15" xfId="37320"/>
    <cellStyle name="Input 2 10 16" xfId="37321"/>
    <cellStyle name="Input 2 10 17" xfId="37322"/>
    <cellStyle name="Input 2 10 18" xfId="37323"/>
    <cellStyle name="Input 2 10 19" xfId="37324"/>
    <cellStyle name="Input 2 10 2" xfId="37325"/>
    <cellStyle name="Input 2 10 2 2" xfId="37326"/>
    <cellStyle name="Input 2 10 2 3" xfId="37327"/>
    <cellStyle name="Input 2 10 2 4" xfId="37328"/>
    <cellStyle name="Input 2 10 2 5" xfId="37329"/>
    <cellStyle name="Input 2 10 2 6" xfId="37330"/>
    <cellStyle name="Input 2 10 2 7" xfId="37331"/>
    <cellStyle name="Input 2 10 2 8" xfId="37332"/>
    <cellStyle name="Input 2 10 2 9" xfId="37333"/>
    <cellStyle name="Input 2 10 3" xfId="37334"/>
    <cellStyle name="Input 2 10 4" xfId="37335"/>
    <cellStyle name="Input 2 10 5" xfId="37336"/>
    <cellStyle name="Input 2 10 6" xfId="37337"/>
    <cellStyle name="Input 2 10 7" xfId="37338"/>
    <cellStyle name="Input 2 10 8" xfId="37339"/>
    <cellStyle name="Input 2 10 9" xfId="37340"/>
    <cellStyle name="Input 2 11" xfId="37341"/>
    <cellStyle name="Input 2 11 10" xfId="37342"/>
    <cellStyle name="Input 2 11 11" xfId="37343"/>
    <cellStyle name="Input 2 11 12" xfId="37344"/>
    <cellStyle name="Input 2 11 13" xfId="37345"/>
    <cellStyle name="Input 2 11 14" xfId="37346"/>
    <cellStyle name="Input 2 11 15" xfId="37347"/>
    <cellStyle name="Input 2 11 16" xfId="37348"/>
    <cellStyle name="Input 2 11 17" xfId="37349"/>
    <cellStyle name="Input 2 11 18" xfId="37350"/>
    <cellStyle name="Input 2 11 2" xfId="37351"/>
    <cellStyle name="Input 2 11 2 2" xfId="37352"/>
    <cellStyle name="Input 2 11 2 3" xfId="37353"/>
    <cellStyle name="Input 2 11 2 4" xfId="37354"/>
    <cellStyle name="Input 2 11 2 5" xfId="37355"/>
    <cellStyle name="Input 2 11 2 6" xfId="37356"/>
    <cellStyle name="Input 2 11 2 7" xfId="37357"/>
    <cellStyle name="Input 2 11 2 8" xfId="37358"/>
    <cellStyle name="Input 2 11 2 9" xfId="37359"/>
    <cellStyle name="Input 2 11 3" xfId="37360"/>
    <cellStyle name="Input 2 11 4" xfId="37361"/>
    <cellStyle name="Input 2 11 5" xfId="37362"/>
    <cellStyle name="Input 2 11 6" xfId="37363"/>
    <cellStyle name="Input 2 11 7" xfId="37364"/>
    <cellStyle name="Input 2 11 8" xfId="37365"/>
    <cellStyle name="Input 2 11 9" xfId="37366"/>
    <cellStyle name="Input 2 12" xfId="37367"/>
    <cellStyle name="Input 2 12 10" xfId="37368"/>
    <cellStyle name="Input 2 12 11" xfId="37369"/>
    <cellStyle name="Input 2 12 12" xfId="37370"/>
    <cellStyle name="Input 2 12 13" xfId="37371"/>
    <cellStyle name="Input 2 12 14" xfId="37372"/>
    <cellStyle name="Input 2 12 15" xfId="37373"/>
    <cellStyle name="Input 2 12 16" xfId="37374"/>
    <cellStyle name="Input 2 12 17" xfId="37375"/>
    <cellStyle name="Input 2 12 18" xfId="37376"/>
    <cellStyle name="Input 2 12 19" xfId="37377"/>
    <cellStyle name="Input 2 12 2" xfId="37378"/>
    <cellStyle name="Input 2 12 2 2" xfId="37379"/>
    <cellStyle name="Input 2 12 2 3" xfId="37380"/>
    <cellStyle name="Input 2 12 2 4" xfId="37381"/>
    <cellStyle name="Input 2 12 2 5" xfId="37382"/>
    <cellStyle name="Input 2 12 2 6" xfId="37383"/>
    <cellStyle name="Input 2 12 2 7" xfId="37384"/>
    <cellStyle name="Input 2 12 2 8" xfId="37385"/>
    <cellStyle name="Input 2 12 2 9" xfId="37386"/>
    <cellStyle name="Input 2 12 3" xfId="37387"/>
    <cellStyle name="Input 2 12 4" xfId="37388"/>
    <cellStyle name="Input 2 12 5" xfId="37389"/>
    <cellStyle name="Input 2 12 6" xfId="37390"/>
    <cellStyle name="Input 2 12 7" xfId="37391"/>
    <cellStyle name="Input 2 12 8" xfId="37392"/>
    <cellStyle name="Input 2 12 9" xfId="37393"/>
    <cellStyle name="Input 2 2" xfId="37394"/>
    <cellStyle name="Input 2 2 2" xfId="37395"/>
    <cellStyle name="Input 2 2 2 2" xfId="37396"/>
    <cellStyle name="Input 2 2 2 2 10" xfId="37397"/>
    <cellStyle name="Input 2 2 2 2 11" xfId="37398"/>
    <cellStyle name="Input 2 2 2 2 12" xfId="37399"/>
    <cellStyle name="Input 2 2 2 2 13" xfId="37400"/>
    <cellStyle name="Input 2 2 2 2 14" xfId="37401"/>
    <cellStyle name="Input 2 2 2 2 15" xfId="37402"/>
    <cellStyle name="Input 2 2 2 2 16" xfId="37403"/>
    <cellStyle name="Input 2 2 2 2 17" xfId="37404"/>
    <cellStyle name="Input 2 2 2 2 18" xfId="37405"/>
    <cellStyle name="Input 2 2 2 2 19" xfId="37406"/>
    <cellStyle name="Input 2 2 2 2 2" xfId="37407"/>
    <cellStyle name="Input 2 2 2 2 2 2" xfId="37408"/>
    <cellStyle name="Input 2 2 2 2 2 3" xfId="37409"/>
    <cellStyle name="Input 2 2 2 2 2 4" xfId="37410"/>
    <cellStyle name="Input 2 2 2 2 2 5" xfId="37411"/>
    <cellStyle name="Input 2 2 2 2 2 6" xfId="37412"/>
    <cellStyle name="Input 2 2 2 2 2 7" xfId="37413"/>
    <cellStyle name="Input 2 2 2 2 2 8" xfId="37414"/>
    <cellStyle name="Input 2 2 2 2 2 9" xfId="37415"/>
    <cellStyle name="Input 2 2 2 2 3" xfId="37416"/>
    <cellStyle name="Input 2 2 2 2 4" xfId="37417"/>
    <cellStyle name="Input 2 2 2 2 5" xfId="37418"/>
    <cellStyle name="Input 2 2 2 2 6" xfId="37419"/>
    <cellStyle name="Input 2 2 2 2 7" xfId="37420"/>
    <cellStyle name="Input 2 2 2 2 8" xfId="37421"/>
    <cellStyle name="Input 2 2 2 2 9" xfId="37422"/>
    <cellStyle name="Input 2 2 2 3" xfId="37423"/>
    <cellStyle name="Input 2 2 2 3 10" xfId="37424"/>
    <cellStyle name="Input 2 2 2 3 11" xfId="37425"/>
    <cellStyle name="Input 2 2 2 3 12" xfId="37426"/>
    <cellStyle name="Input 2 2 2 3 13" xfId="37427"/>
    <cellStyle name="Input 2 2 2 3 14" xfId="37428"/>
    <cellStyle name="Input 2 2 2 3 15" xfId="37429"/>
    <cellStyle name="Input 2 2 2 3 16" xfId="37430"/>
    <cellStyle name="Input 2 2 2 3 17" xfId="37431"/>
    <cellStyle name="Input 2 2 2 3 18" xfId="37432"/>
    <cellStyle name="Input 2 2 2 3 2" xfId="37433"/>
    <cellStyle name="Input 2 2 2 3 2 2" xfId="37434"/>
    <cellStyle name="Input 2 2 2 3 2 3" xfId="37435"/>
    <cellStyle name="Input 2 2 2 3 2 4" xfId="37436"/>
    <cellStyle name="Input 2 2 2 3 2 5" xfId="37437"/>
    <cellStyle name="Input 2 2 2 3 2 6" xfId="37438"/>
    <cellStyle name="Input 2 2 2 3 2 7" xfId="37439"/>
    <cellStyle name="Input 2 2 2 3 2 8" xfId="37440"/>
    <cellStyle name="Input 2 2 2 3 2 9" xfId="37441"/>
    <cellStyle name="Input 2 2 2 3 3" xfId="37442"/>
    <cellStyle name="Input 2 2 2 3 4" xfId="37443"/>
    <cellStyle name="Input 2 2 2 3 5" xfId="37444"/>
    <cellStyle name="Input 2 2 2 3 6" xfId="37445"/>
    <cellStyle name="Input 2 2 2 3 7" xfId="37446"/>
    <cellStyle name="Input 2 2 2 3 8" xfId="37447"/>
    <cellStyle name="Input 2 2 2 3 9" xfId="37448"/>
    <cellStyle name="Input 2 2 2 4" xfId="37449"/>
    <cellStyle name="Input 2 2 2 4 10" xfId="37450"/>
    <cellStyle name="Input 2 2 2 4 11" xfId="37451"/>
    <cellStyle name="Input 2 2 2 4 12" xfId="37452"/>
    <cellStyle name="Input 2 2 2 4 13" xfId="37453"/>
    <cellStyle name="Input 2 2 2 4 14" xfId="37454"/>
    <cellStyle name="Input 2 2 2 4 15" xfId="37455"/>
    <cellStyle name="Input 2 2 2 4 16" xfId="37456"/>
    <cellStyle name="Input 2 2 2 4 17" xfId="37457"/>
    <cellStyle name="Input 2 2 2 4 18" xfId="37458"/>
    <cellStyle name="Input 2 2 2 4 19" xfId="37459"/>
    <cellStyle name="Input 2 2 2 4 2" xfId="37460"/>
    <cellStyle name="Input 2 2 2 4 2 2" xfId="37461"/>
    <cellStyle name="Input 2 2 2 4 2 3" xfId="37462"/>
    <cellStyle name="Input 2 2 2 4 2 4" xfId="37463"/>
    <cellStyle name="Input 2 2 2 4 2 5" xfId="37464"/>
    <cellStyle name="Input 2 2 2 4 2 6" xfId="37465"/>
    <cellStyle name="Input 2 2 2 4 2 7" xfId="37466"/>
    <cellStyle name="Input 2 2 2 4 2 8" xfId="37467"/>
    <cellStyle name="Input 2 2 2 4 2 9" xfId="37468"/>
    <cellStyle name="Input 2 2 2 4 3" xfId="37469"/>
    <cellStyle name="Input 2 2 2 4 4" xfId="37470"/>
    <cellStyle name="Input 2 2 2 4 5" xfId="37471"/>
    <cellStyle name="Input 2 2 2 4 6" xfId="37472"/>
    <cellStyle name="Input 2 2 2 4 7" xfId="37473"/>
    <cellStyle name="Input 2 2 2 4 8" xfId="37474"/>
    <cellStyle name="Input 2 2 2 4 9" xfId="37475"/>
    <cellStyle name="Input 2 2 2 5" xfId="37476"/>
    <cellStyle name="Input 2 2 3" xfId="37477"/>
    <cellStyle name="Input 2 2 3 2" xfId="37478"/>
    <cellStyle name="Input 2 2 3 2 10" xfId="37479"/>
    <cellStyle name="Input 2 2 3 2 11" xfId="37480"/>
    <cellStyle name="Input 2 2 3 2 12" xfId="37481"/>
    <cellStyle name="Input 2 2 3 2 13" xfId="37482"/>
    <cellStyle name="Input 2 2 3 2 14" xfId="37483"/>
    <cellStyle name="Input 2 2 3 2 15" xfId="37484"/>
    <cellStyle name="Input 2 2 3 2 16" xfId="37485"/>
    <cellStyle name="Input 2 2 3 2 17" xfId="37486"/>
    <cellStyle name="Input 2 2 3 2 18" xfId="37487"/>
    <cellStyle name="Input 2 2 3 2 19" xfId="37488"/>
    <cellStyle name="Input 2 2 3 2 2" xfId="37489"/>
    <cellStyle name="Input 2 2 3 2 2 2" xfId="37490"/>
    <cellStyle name="Input 2 2 3 2 2 3" xfId="37491"/>
    <cellStyle name="Input 2 2 3 2 2 4" xfId="37492"/>
    <cellStyle name="Input 2 2 3 2 2 5" xfId="37493"/>
    <cellStyle name="Input 2 2 3 2 2 6" xfId="37494"/>
    <cellStyle name="Input 2 2 3 2 2 7" xfId="37495"/>
    <cellStyle name="Input 2 2 3 2 2 8" xfId="37496"/>
    <cellStyle name="Input 2 2 3 2 2 9" xfId="37497"/>
    <cellStyle name="Input 2 2 3 2 3" xfId="37498"/>
    <cellStyle name="Input 2 2 3 2 4" xfId="37499"/>
    <cellStyle name="Input 2 2 3 2 5" xfId="37500"/>
    <cellStyle name="Input 2 2 3 2 6" xfId="37501"/>
    <cellStyle name="Input 2 2 3 2 7" xfId="37502"/>
    <cellStyle name="Input 2 2 3 2 8" xfId="37503"/>
    <cellStyle name="Input 2 2 3 2 9" xfId="37504"/>
    <cellStyle name="Input 2 2 3 3" xfId="37505"/>
    <cellStyle name="Input 2 2 3 3 10" xfId="37506"/>
    <cellStyle name="Input 2 2 3 3 11" xfId="37507"/>
    <cellStyle name="Input 2 2 3 3 12" xfId="37508"/>
    <cellStyle name="Input 2 2 3 3 13" xfId="37509"/>
    <cellStyle name="Input 2 2 3 3 14" xfId="37510"/>
    <cellStyle name="Input 2 2 3 3 15" xfId="37511"/>
    <cellStyle name="Input 2 2 3 3 16" xfId="37512"/>
    <cellStyle name="Input 2 2 3 3 17" xfId="37513"/>
    <cellStyle name="Input 2 2 3 3 18" xfId="37514"/>
    <cellStyle name="Input 2 2 3 3 2" xfId="37515"/>
    <cellStyle name="Input 2 2 3 3 2 2" xfId="37516"/>
    <cellStyle name="Input 2 2 3 3 2 3" xfId="37517"/>
    <cellStyle name="Input 2 2 3 3 2 4" xfId="37518"/>
    <cellStyle name="Input 2 2 3 3 2 5" xfId="37519"/>
    <cellStyle name="Input 2 2 3 3 2 6" xfId="37520"/>
    <cellStyle name="Input 2 2 3 3 2 7" xfId="37521"/>
    <cellStyle name="Input 2 2 3 3 2 8" xfId="37522"/>
    <cellStyle name="Input 2 2 3 3 2 9" xfId="37523"/>
    <cellStyle name="Input 2 2 3 3 3" xfId="37524"/>
    <cellStyle name="Input 2 2 3 3 4" xfId="37525"/>
    <cellStyle name="Input 2 2 3 3 5" xfId="37526"/>
    <cellStyle name="Input 2 2 3 3 6" xfId="37527"/>
    <cellStyle name="Input 2 2 3 3 7" xfId="37528"/>
    <cellStyle name="Input 2 2 3 3 8" xfId="37529"/>
    <cellStyle name="Input 2 2 3 3 9" xfId="37530"/>
    <cellStyle name="Input 2 2 3 4" xfId="37531"/>
    <cellStyle name="Input 2 2 3 4 10" xfId="37532"/>
    <cellStyle name="Input 2 2 3 4 11" xfId="37533"/>
    <cellStyle name="Input 2 2 3 4 12" xfId="37534"/>
    <cellStyle name="Input 2 2 3 4 13" xfId="37535"/>
    <cellStyle name="Input 2 2 3 4 14" xfId="37536"/>
    <cellStyle name="Input 2 2 3 4 15" xfId="37537"/>
    <cellStyle name="Input 2 2 3 4 16" xfId="37538"/>
    <cellStyle name="Input 2 2 3 4 17" xfId="37539"/>
    <cellStyle name="Input 2 2 3 4 18" xfId="37540"/>
    <cellStyle name="Input 2 2 3 4 19" xfId="37541"/>
    <cellStyle name="Input 2 2 3 4 2" xfId="37542"/>
    <cellStyle name="Input 2 2 3 4 2 2" xfId="37543"/>
    <cellStyle name="Input 2 2 3 4 2 3" xfId="37544"/>
    <cellStyle name="Input 2 2 3 4 2 4" xfId="37545"/>
    <cellStyle name="Input 2 2 3 4 2 5" xfId="37546"/>
    <cellStyle name="Input 2 2 3 4 2 6" xfId="37547"/>
    <cellStyle name="Input 2 2 3 4 2 7" xfId="37548"/>
    <cellStyle name="Input 2 2 3 4 2 8" xfId="37549"/>
    <cellStyle name="Input 2 2 3 4 2 9" xfId="37550"/>
    <cellStyle name="Input 2 2 3 4 3" xfId="37551"/>
    <cellStyle name="Input 2 2 3 4 4" xfId="37552"/>
    <cellStyle name="Input 2 2 3 4 5" xfId="37553"/>
    <cellStyle name="Input 2 2 3 4 6" xfId="37554"/>
    <cellStyle name="Input 2 2 3 4 7" xfId="37555"/>
    <cellStyle name="Input 2 2 3 4 8" xfId="37556"/>
    <cellStyle name="Input 2 2 3 4 9" xfId="37557"/>
    <cellStyle name="Input 2 2 4" xfId="37558"/>
    <cellStyle name="Input 2 2 4 10" xfId="37559"/>
    <cellStyle name="Input 2 2 4 11" xfId="37560"/>
    <cellStyle name="Input 2 2 4 12" xfId="37561"/>
    <cellStyle name="Input 2 2 4 13" xfId="37562"/>
    <cellStyle name="Input 2 2 4 14" xfId="37563"/>
    <cellStyle name="Input 2 2 4 15" xfId="37564"/>
    <cellStyle name="Input 2 2 4 16" xfId="37565"/>
    <cellStyle name="Input 2 2 4 17" xfId="37566"/>
    <cellStyle name="Input 2 2 4 18" xfId="37567"/>
    <cellStyle name="Input 2 2 4 19" xfId="37568"/>
    <cellStyle name="Input 2 2 4 2" xfId="37569"/>
    <cellStyle name="Input 2 2 4 2 2" xfId="37570"/>
    <cellStyle name="Input 2 2 4 2 3" xfId="37571"/>
    <cellStyle name="Input 2 2 4 2 4" xfId="37572"/>
    <cellStyle name="Input 2 2 4 2 5" xfId="37573"/>
    <cellStyle name="Input 2 2 4 2 6" xfId="37574"/>
    <cellStyle name="Input 2 2 4 2 7" xfId="37575"/>
    <cellStyle name="Input 2 2 4 2 8" xfId="37576"/>
    <cellStyle name="Input 2 2 4 2 9" xfId="37577"/>
    <cellStyle name="Input 2 2 4 3" xfId="37578"/>
    <cellStyle name="Input 2 2 4 4" xfId="37579"/>
    <cellStyle name="Input 2 2 4 5" xfId="37580"/>
    <cellStyle name="Input 2 2 4 6" xfId="37581"/>
    <cellStyle name="Input 2 2 4 7" xfId="37582"/>
    <cellStyle name="Input 2 2 4 8" xfId="37583"/>
    <cellStyle name="Input 2 2 4 9" xfId="37584"/>
    <cellStyle name="Input 2 2 5" xfId="37585"/>
    <cellStyle name="Input 2 2 5 10" xfId="37586"/>
    <cellStyle name="Input 2 2 5 11" xfId="37587"/>
    <cellStyle name="Input 2 2 5 12" xfId="37588"/>
    <cellStyle name="Input 2 2 5 13" xfId="37589"/>
    <cellStyle name="Input 2 2 5 14" xfId="37590"/>
    <cellStyle name="Input 2 2 5 15" xfId="37591"/>
    <cellStyle name="Input 2 2 5 16" xfId="37592"/>
    <cellStyle name="Input 2 2 5 17" xfId="37593"/>
    <cellStyle name="Input 2 2 5 18" xfId="37594"/>
    <cellStyle name="Input 2 2 5 2" xfId="37595"/>
    <cellStyle name="Input 2 2 5 2 2" xfId="37596"/>
    <cellStyle name="Input 2 2 5 2 3" xfId="37597"/>
    <cellStyle name="Input 2 2 5 2 4" xfId="37598"/>
    <cellStyle name="Input 2 2 5 2 5" xfId="37599"/>
    <cellStyle name="Input 2 2 5 2 6" xfId="37600"/>
    <cellStyle name="Input 2 2 5 2 7" xfId="37601"/>
    <cellStyle name="Input 2 2 5 2 8" xfId="37602"/>
    <cellStyle name="Input 2 2 5 2 9" xfId="37603"/>
    <cellStyle name="Input 2 2 5 3" xfId="37604"/>
    <cellStyle name="Input 2 2 5 4" xfId="37605"/>
    <cellStyle name="Input 2 2 5 5" xfId="37606"/>
    <cellStyle name="Input 2 2 5 6" xfId="37607"/>
    <cellStyle name="Input 2 2 5 7" xfId="37608"/>
    <cellStyle name="Input 2 2 5 8" xfId="37609"/>
    <cellStyle name="Input 2 2 5 9" xfId="37610"/>
    <cellStyle name="Input 2 2 6" xfId="37611"/>
    <cellStyle name="Input 2 2 6 10" xfId="37612"/>
    <cellStyle name="Input 2 2 6 11" xfId="37613"/>
    <cellStyle name="Input 2 2 6 12" xfId="37614"/>
    <cellStyle name="Input 2 2 6 13" xfId="37615"/>
    <cellStyle name="Input 2 2 6 14" xfId="37616"/>
    <cellStyle name="Input 2 2 6 15" xfId="37617"/>
    <cellStyle name="Input 2 2 6 16" xfId="37618"/>
    <cellStyle name="Input 2 2 6 17" xfId="37619"/>
    <cellStyle name="Input 2 2 6 18" xfId="37620"/>
    <cellStyle name="Input 2 2 6 19" xfId="37621"/>
    <cellStyle name="Input 2 2 6 2" xfId="37622"/>
    <cellStyle name="Input 2 2 6 2 2" xfId="37623"/>
    <cellStyle name="Input 2 2 6 2 3" xfId="37624"/>
    <cellStyle name="Input 2 2 6 2 4" xfId="37625"/>
    <cellStyle name="Input 2 2 6 2 5" xfId="37626"/>
    <cellStyle name="Input 2 2 6 2 6" xfId="37627"/>
    <cellStyle name="Input 2 2 6 2 7" xfId="37628"/>
    <cellStyle name="Input 2 2 6 2 8" xfId="37629"/>
    <cellStyle name="Input 2 2 6 2 9" xfId="37630"/>
    <cellStyle name="Input 2 2 6 3" xfId="37631"/>
    <cellStyle name="Input 2 2 6 4" xfId="37632"/>
    <cellStyle name="Input 2 2 6 5" xfId="37633"/>
    <cellStyle name="Input 2 2 6 6" xfId="37634"/>
    <cellStyle name="Input 2 2 6 7" xfId="37635"/>
    <cellStyle name="Input 2 2 6 8" xfId="37636"/>
    <cellStyle name="Input 2 2 6 9" xfId="37637"/>
    <cellStyle name="Input 2 3" xfId="37638"/>
    <cellStyle name="Input 2 3 2" xfId="37639"/>
    <cellStyle name="Input 2 3 2 2" xfId="37640"/>
    <cellStyle name="Input 2 3 2 2 10" xfId="37641"/>
    <cellStyle name="Input 2 3 2 2 11" xfId="37642"/>
    <cellStyle name="Input 2 3 2 2 12" xfId="37643"/>
    <cellStyle name="Input 2 3 2 2 13" xfId="37644"/>
    <cellStyle name="Input 2 3 2 2 14" xfId="37645"/>
    <cellStyle name="Input 2 3 2 2 15" xfId="37646"/>
    <cellStyle name="Input 2 3 2 2 16" xfId="37647"/>
    <cellStyle name="Input 2 3 2 2 17" xfId="37648"/>
    <cellStyle name="Input 2 3 2 2 18" xfId="37649"/>
    <cellStyle name="Input 2 3 2 2 19" xfId="37650"/>
    <cellStyle name="Input 2 3 2 2 2" xfId="37651"/>
    <cellStyle name="Input 2 3 2 2 2 2" xfId="37652"/>
    <cellStyle name="Input 2 3 2 2 2 3" xfId="37653"/>
    <cellStyle name="Input 2 3 2 2 2 4" xfId="37654"/>
    <cellStyle name="Input 2 3 2 2 2 5" xfId="37655"/>
    <cellStyle name="Input 2 3 2 2 2 6" xfId="37656"/>
    <cellStyle name="Input 2 3 2 2 2 7" xfId="37657"/>
    <cellStyle name="Input 2 3 2 2 2 8" xfId="37658"/>
    <cellStyle name="Input 2 3 2 2 2 9" xfId="37659"/>
    <cellStyle name="Input 2 3 2 2 3" xfId="37660"/>
    <cellStyle name="Input 2 3 2 2 4" xfId="37661"/>
    <cellStyle name="Input 2 3 2 2 5" xfId="37662"/>
    <cellStyle name="Input 2 3 2 2 6" xfId="37663"/>
    <cellStyle name="Input 2 3 2 2 7" xfId="37664"/>
    <cellStyle name="Input 2 3 2 2 8" xfId="37665"/>
    <cellStyle name="Input 2 3 2 2 9" xfId="37666"/>
    <cellStyle name="Input 2 3 2 3" xfId="37667"/>
    <cellStyle name="Input 2 3 2 3 10" xfId="37668"/>
    <cellStyle name="Input 2 3 2 3 11" xfId="37669"/>
    <cellStyle name="Input 2 3 2 3 12" xfId="37670"/>
    <cellStyle name="Input 2 3 2 3 13" xfId="37671"/>
    <cellStyle name="Input 2 3 2 3 14" xfId="37672"/>
    <cellStyle name="Input 2 3 2 3 15" xfId="37673"/>
    <cellStyle name="Input 2 3 2 3 16" xfId="37674"/>
    <cellStyle name="Input 2 3 2 3 17" xfId="37675"/>
    <cellStyle name="Input 2 3 2 3 18" xfId="37676"/>
    <cellStyle name="Input 2 3 2 3 2" xfId="37677"/>
    <cellStyle name="Input 2 3 2 3 2 2" xfId="37678"/>
    <cellStyle name="Input 2 3 2 3 2 3" xfId="37679"/>
    <cellStyle name="Input 2 3 2 3 2 4" xfId="37680"/>
    <cellStyle name="Input 2 3 2 3 2 5" xfId="37681"/>
    <cellStyle name="Input 2 3 2 3 2 6" xfId="37682"/>
    <cellStyle name="Input 2 3 2 3 2 7" xfId="37683"/>
    <cellStyle name="Input 2 3 2 3 2 8" xfId="37684"/>
    <cellStyle name="Input 2 3 2 3 2 9" xfId="37685"/>
    <cellStyle name="Input 2 3 2 3 3" xfId="37686"/>
    <cellStyle name="Input 2 3 2 3 4" xfId="37687"/>
    <cellStyle name="Input 2 3 2 3 5" xfId="37688"/>
    <cellStyle name="Input 2 3 2 3 6" xfId="37689"/>
    <cellStyle name="Input 2 3 2 3 7" xfId="37690"/>
    <cellStyle name="Input 2 3 2 3 8" xfId="37691"/>
    <cellStyle name="Input 2 3 2 3 9" xfId="37692"/>
    <cellStyle name="Input 2 3 2 4" xfId="37693"/>
    <cellStyle name="Input 2 3 2 4 10" xfId="37694"/>
    <cellStyle name="Input 2 3 2 4 11" xfId="37695"/>
    <cellStyle name="Input 2 3 2 4 12" xfId="37696"/>
    <cellStyle name="Input 2 3 2 4 13" xfId="37697"/>
    <cellStyle name="Input 2 3 2 4 14" xfId="37698"/>
    <cellStyle name="Input 2 3 2 4 15" xfId="37699"/>
    <cellStyle name="Input 2 3 2 4 16" xfId="37700"/>
    <cellStyle name="Input 2 3 2 4 17" xfId="37701"/>
    <cellStyle name="Input 2 3 2 4 18" xfId="37702"/>
    <cellStyle name="Input 2 3 2 4 19" xfId="37703"/>
    <cellStyle name="Input 2 3 2 4 2" xfId="37704"/>
    <cellStyle name="Input 2 3 2 4 2 2" xfId="37705"/>
    <cellStyle name="Input 2 3 2 4 2 3" xfId="37706"/>
    <cellStyle name="Input 2 3 2 4 2 4" xfId="37707"/>
    <cellStyle name="Input 2 3 2 4 2 5" xfId="37708"/>
    <cellStyle name="Input 2 3 2 4 2 6" xfId="37709"/>
    <cellStyle name="Input 2 3 2 4 2 7" xfId="37710"/>
    <cellStyle name="Input 2 3 2 4 2 8" xfId="37711"/>
    <cellStyle name="Input 2 3 2 4 2 9" xfId="37712"/>
    <cellStyle name="Input 2 3 2 4 3" xfId="37713"/>
    <cellStyle name="Input 2 3 2 4 4" xfId="37714"/>
    <cellStyle name="Input 2 3 2 4 5" xfId="37715"/>
    <cellStyle name="Input 2 3 2 4 6" xfId="37716"/>
    <cellStyle name="Input 2 3 2 4 7" xfId="37717"/>
    <cellStyle name="Input 2 3 2 4 8" xfId="37718"/>
    <cellStyle name="Input 2 3 2 4 9" xfId="37719"/>
    <cellStyle name="Input 2 3 2 5" xfId="37720"/>
    <cellStyle name="Input 2 3 3" xfId="37721"/>
    <cellStyle name="Input 2 3 3 2" xfId="37722"/>
    <cellStyle name="Input 2 3 3 2 10" xfId="37723"/>
    <cellStyle name="Input 2 3 3 2 11" xfId="37724"/>
    <cellStyle name="Input 2 3 3 2 12" xfId="37725"/>
    <cellStyle name="Input 2 3 3 2 13" xfId="37726"/>
    <cellStyle name="Input 2 3 3 2 14" xfId="37727"/>
    <cellStyle name="Input 2 3 3 2 15" xfId="37728"/>
    <cellStyle name="Input 2 3 3 2 16" xfId="37729"/>
    <cellStyle name="Input 2 3 3 2 17" xfId="37730"/>
    <cellStyle name="Input 2 3 3 2 18" xfId="37731"/>
    <cellStyle name="Input 2 3 3 2 19" xfId="37732"/>
    <cellStyle name="Input 2 3 3 2 2" xfId="37733"/>
    <cellStyle name="Input 2 3 3 2 2 2" xfId="37734"/>
    <cellStyle name="Input 2 3 3 2 2 3" xfId="37735"/>
    <cellStyle name="Input 2 3 3 2 2 4" xfId="37736"/>
    <cellStyle name="Input 2 3 3 2 2 5" xfId="37737"/>
    <cellStyle name="Input 2 3 3 2 2 6" xfId="37738"/>
    <cellStyle name="Input 2 3 3 2 2 7" xfId="37739"/>
    <cellStyle name="Input 2 3 3 2 2 8" xfId="37740"/>
    <cellStyle name="Input 2 3 3 2 2 9" xfId="37741"/>
    <cellStyle name="Input 2 3 3 2 3" xfId="37742"/>
    <cellStyle name="Input 2 3 3 2 4" xfId="37743"/>
    <cellStyle name="Input 2 3 3 2 5" xfId="37744"/>
    <cellStyle name="Input 2 3 3 2 6" xfId="37745"/>
    <cellStyle name="Input 2 3 3 2 7" xfId="37746"/>
    <cellStyle name="Input 2 3 3 2 8" xfId="37747"/>
    <cellStyle name="Input 2 3 3 2 9" xfId="37748"/>
    <cellStyle name="Input 2 3 3 3" xfId="37749"/>
    <cellStyle name="Input 2 3 3 3 10" xfId="37750"/>
    <cellStyle name="Input 2 3 3 3 11" xfId="37751"/>
    <cellStyle name="Input 2 3 3 3 12" xfId="37752"/>
    <cellStyle name="Input 2 3 3 3 13" xfId="37753"/>
    <cellStyle name="Input 2 3 3 3 14" xfId="37754"/>
    <cellStyle name="Input 2 3 3 3 15" xfId="37755"/>
    <cellStyle name="Input 2 3 3 3 16" xfId="37756"/>
    <cellStyle name="Input 2 3 3 3 17" xfId="37757"/>
    <cellStyle name="Input 2 3 3 3 18" xfId="37758"/>
    <cellStyle name="Input 2 3 3 3 2" xfId="37759"/>
    <cellStyle name="Input 2 3 3 3 2 2" xfId="37760"/>
    <cellStyle name="Input 2 3 3 3 2 3" xfId="37761"/>
    <cellStyle name="Input 2 3 3 3 2 4" xfId="37762"/>
    <cellStyle name="Input 2 3 3 3 2 5" xfId="37763"/>
    <cellStyle name="Input 2 3 3 3 2 6" xfId="37764"/>
    <cellStyle name="Input 2 3 3 3 2 7" xfId="37765"/>
    <cellStyle name="Input 2 3 3 3 2 8" xfId="37766"/>
    <cellStyle name="Input 2 3 3 3 2 9" xfId="37767"/>
    <cellStyle name="Input 2 3 3 3 3" xfId="37768"/>
    <cellStyle name="Input 2 3 3 3 4" xfId="37769"/>
    <cellStyle name="Input 2 3 3 3 5" xfId="37770"/>
    <cellStyle name="Input 2 3 3 3 6" xfId="37771"/>
    <cellStyle name="Input 2 3 3 3 7" xfId="37772"/>
    <cellStyle name="Input 2 3 3 3 8" xfId="37773"/>
    <cellStyle name="Input 2 3 3 3 9" xfId="37774"/>
    <cellStyle name="Input 2 3 3 4" xfId="37775"/>
    <cellStyle name="Input 2 3 3 4 10" xfId="37776"/>
    <cellStyle name="Input 2 3 3 4 11" xfId="37777"/>
    <cellStyle name="Input 2 3 3 4 12" xfId="37778"/>
    <cellStyle name="Input 2 3 3 4 13" xfId="37779"/>
    <cellStyle name="Input 2 3 3 4 14" xfId="37780"/>
    <cellStyle name="Input 2 3 3 4 15" xfId="37781"/>
    <cellStyle name="Input 2 3 3 4 16" xfId="37782"/>
    <cellStyle name="Input 2 3 3 4 17" xfId="37783"/>
    <cellStyle name="Input 2 3 3 4 18" xfId="37784"/>
    <cellStyle name="Input 2 3 3 4 19" xfId="37785"/>
    <cellStyle name="Input 2 3 3 4 2" xfId="37786"/>
    <cellStyle name="Input 2 3 3 4 2 2" xfId="37787"/>
    <cellStyle name="Input 2 3 3 4 2 3" xfId="37788"/>
    <cellStyle name="Input 2 3 3 4 2 4" xfId="37789"/>
    <cellStyle name="Input 2 3 3 4 2 5" xfId="37790"/>
    <cellStyle name="Input 2 3 3 4 2 6" xfId="37791"/>
    <cellStyle name="Input 2 3 3 4 2 7" xfId="37792"/>
    <cellStyle name="Input 2 3 3 4 2 8" xfId="37793"/>
    <cellStyle name="Input 2 3 3 4 2 9" xfId="37794"/>
    <cellStyle name="Input 2 3 3 4 3" xfId="37795"/>
    <cellStyle name="Input 2 3 3 4 4" xfId="37796"/>
    <cellStyle name="Input 2 3 3 4 5" xfId="37797"/>
    <cellStyle name="Input 2 3 3 4 6" xfId="37798"/>
    <cellStyle name="Input 2 3 3 4 7" xfId="37799"/>
    <cellStyle name="Input 2 3 3 4 8" xfId="37800"/>
    <cellStyle name="Input 2 3 3 4 9" xfId="37801"/>
    <cellStyle name="Input 2 3 4" xfId="37802"/>
    <cellStyle name="Input 2 3 4 10" xfId="37803"/>
    <cellStyle name="Input 2 3 4 11" xfId="37804"/>
    <cellStyle name="Input 2 3 4 12" xfId="37805"/>
    <cellStyle name="Input 2 3 4 13" xfId="37806"/>
    <cellStyle name="Input 2 3 4 14" xfId="37807"/>
    <cellStyle name="Input 2 3 4 15" xfId="37808"/>
    <cellStyle name="Input 2 3 4 16" xfId="37809"/>
    <cellStyle name="Input 2 3 4 17" xfId="37810"/>
    <cellStyle name="Input 2 3 4 18" xfId="37811"/>
    <cellStyle name="Input 2 3 4 19" xfId="37812"/>
    <cellStyle name="Input 2 3 4 2" xfId="37813"/>
    <cellStyle name="Input 2 3 4 2 2" xfId="37814"/>
    <cellStyle name="Input 2 3 4 2 3" xfId="37815"/>
    <cellStyle name="Input 2 3 4 2 4" xfId="37816"/>
    <cellStyle name="Input 2 3 4 2 5" xfId="37817"/>
    <cellStyle name="Input 2 3 4 2 6" xfId="37818"/>
    <cellStyle name="Input 2 3 4 2 7" xfId="37819"/>
    <cellStyle name="Input 2 3 4 2 8" xfId="37820"/>
    <cellStyle name="Input 2 3 4 2 9" xfId="37821"/>
    <cellStyle name="Input 2 3 4 3" xfId="37822"/>
    <cellStyle name="Input 2 3 4 4" xfId="37823"/>
    <cellStyle name="Input 2 3 4 5" xfId="37824"/>
    <cellStyle name="Input 2 3 4 6" xfId="37825"/>
    <cellStyle name="Input 2 3 4 7" xfId="37826"/>
    <cellStyle name="Input 2 3 4 8" xfId="37827"/>
    <cellStyle name="Input 2 3 4 9" xfId="37828"/>
    <cellStyle name="Input 2 3 5" xfId="37829"/>
    <cellStyle name="Input 2 3 5 10" xfId="37830"/>
    <cellStyle name="Input 2 3 5 11" xfId="37831"/>
    <cellStyle name="Input 2 3 5 12" xfId="37832"/>
    <cellStyle name="Input 2 3 5 13" xfId="37833"/>
    <cellStyle name="Input 2 3 5 14" xfId="37834"/>
    <cellStyle name="Input 2 3 5 15" xfId="37835"/>
    <cellStyle name="Input 2 3 5 16" xfId="37836"/>
    <cellStyle name="Input 2 3 5 17" xfId="37837"/>
    <cellStyle name="Input 2 3 5 18" xfId="37838"/>
    <cellStyle name="Input 2 3 5 2" xfId="37839"/>
    <cellStyle name="Input 2 3 5 2 2" xfId="37840"/>
    <cellStyle name="Input 2 3 5 2 3" xfId="37841"/>
    <cellStyle name="Input 2 3 5 2 4" xfId="37842"/>
    <cellStyle name="Input 2 3 5 2 5" xfId="37843"/>
    <cellStyle name="Input 2 3 5 2 6" xfId="37844"/>
    <cellStyle name="Input 2 3 5 2 7" xfId="37845"/>
    <cellStyle name="Input 2 3 5 2 8" xfId="37846"/>
    <cellStyle name="Input 2 3 5 2 9" xfId="37847"/>
    <cellStyle name="Input 2 3 5 3" xfId="37848"/>
    <cellStyle name="Input 2 3 5 4" xfId="37849"/>
    <cellStyle name="Input 2 3 5 5" xfId="37850"/>
    <cellStyle name="Input 2 3 5 6" xfId="37851"/>
    <cellStyle name="Input 2 3 5 7" xfId="37852"/>
    <cellStyle name="Input 2 3 5 8" xfId="37853"/>
    <cellStyle name="Input 2 3 5 9" xfId="37854"/>
    <cellStyle name="Input 2 3 6" xfId="37855"/>
    <cellStyle name="Input 2 3 6 10" xfId="37856"/>
    <cellStyle name="Input 2 3 6 11" xfId="37857"/>
    <cellStyle name="Input 2 3 6 12" xfId="37858"/>
    <cellStyle name="Input 2 3 6 13" xfId="37859"/>
    <cellStyle name="Input 2 3 6 14" xfId="37860"/>
    <cellStyle name="Input 2 3 6 15" xfId="37861"/>
    <cellStyle name="Input 2 3 6 16" xfId="37862"/>
    <cellStyle name="Input 2 3 6 17" xfId="37863"/>
    <cellStyle name="Input 2 3 6 18" xfId="37864"/>
    <cellStyle name="Input 2 3 6 19" xfId="37865"/>
    <cellStyle name="Input 2 3 6 2" xfId="37866"/>
    <cellStyle name="Input 2 3 6 2 2" xfId="37867"/>
    <cellStyle name="Input 2 3 6 2 3" xfId="37868"/>
    <cellStyle name="Input 2 3 6 2 4" xfId="37869"/>
    <cellStyle name="Input 2 3 6 2 5" xfId="37870"/>
    <cellStyle name="Input 2 3 6 2 6" xfId="37871"/>
    <cellStyle name="Input 2 3 6 2 7" xfId="37872"/>
    <cellStyle name="Input 2 3 6 2 8" xfId="37873"/>
    <cellStyle name="Input 2 3 6 2 9" xfId="37874"/>
    <cellStyle name="Input 2 3 6 3" xfId="37875"/>
    <cellStyle name="Input 2 3 6 4" xfId="37876"/>
    <cellStyle name="Input 2 3 6 5" xfId="37877"/>
    <cellStyle name="Input 2 3 6 6" xfId="37878"/>
    <cellStyle name="Input 2 3 6 7" xfId="37879"/>
    <cellStyle name="Input 2 3 6 8" xfId="37880"/>
    <cellStyle name="Input 2 3 6 9" xfId="37881"/>
    <cellStyle name="Input 2 4" xfId="37882"/>
    <cellStyle name="Input 2 4 2" xfId="37883"/>
    <cellStyle name="Input 2 4 2 2" xfId="37884"/>
    <cellStyle name="Input 2 4 2 2 10" xfId="37885"/>
    <cellStyle name="Input 2 4 2 2 11" xfId="37886"/>
    <cellStyle name="Input 2 4 2 2 12" xfId="37887"/>
    <cellStyle name="Input 2 4 2 2 13" xfId="37888"/>
    <cellStyle name="Input 2 4 2 2 14" xfId="37889"/>
    <cellStyle name="Input 2 4 2 2 15" xfId="37890"/>
    <cellStyle name="Input 2 4 2 2 16" xfId="37891"/>
    <cellStyle name="Input 2 4 2 2 17" xfId="37892"/>
    <cellStyle name="Input 2 4 2 2 18" xfId="37893"/>
    <cellStyle name="Input 2 4 2 2 19" xfId="37894"/>
    <cellStyle name="Input 2 4 2 2 2" xfId="37895"/>
    <cellStyle name="Input 2 4 2 2 2 2" xfId="37896"/>
    <cellStyle name="Input 2 4 2 2 2 3" xfId="37897"/>
    <cellStyle name="Input 2 4 2 2 2 4" xfId="37898"/>
    <cellStyle name="Input 2 4 2 2 2 5" xfId="37899"/>
    <cellStyle name="Input 2 4 2 2 2 6" xfId="37900"/>
    <cellStyle name="Input 2 4 2 2 2 7" xfId="37901"/>
    <cellStyle name="Input 2 4 2 2 2 8" xfId="37902"/>
    <cellStyle name="Input 2 4 2 2 2 9" xfId="37903"/>
    <cellStyle name="Input 2 4 2 2 3" xfId="37904"/>
    <cellStyle name="Input 2 4 2 2 4" xfId="37905"/>
    <cellStyle name="Input 2 4 2 2 5" xfId="37906"/>
    <cellStyle name="Input 2 4 2 2 6" xfId="37907"/>
    <cellStyle name="Input 2 4 2 2 7" xfId="37908"/>
    <cellStyle name="Input 2 4 2 2 8" xfId="37909"/>
    <cellStyle name="Input 2 4 2 2 9" xfId="37910"/>
    <cellStyle name="Input 2 4 2 3" xfId="37911"/>
    <cellStyle name="Input 2 4 2 3 10" xfId="37912"/>
    <cellStyle name="Input 2 4 2 3 11" xfId="37913"/>
    <cellStyle name="Input 2 4 2 3 12" xfId="37914"/>
    <cellStyle name="Input 2 4 2 3 13" xfId="37915"/>
    <cellStyle name="Input 2 4 2 3 14" xfId="37916"/>
    <cellStyle name="Input 2 4 2 3 15" xfId="37917"/>
    <cellStyle name="Input 2 4 2 3 16" xfId="37918"/>
    <cellStyle name="Input 2 4 2 3 17" xfId="37919"/>
    <cellStyle name="Input 2 4 2 3 18" xfId="37920"/>
    <cellStyle name="Input 2 4 2 3 2" xfId="37921"/>
    <cellStyle name="Input 2 4 2 3 2 2" xfId="37922"/>
    <cellStyle name="Input 2 4 2 3 2 3" xfId="37923"/>
    <cellStyle name="Input 2 4 2 3 2 4" xfId="37924"/>
    <cellStyle name="Input 2 4 2 3 2 5" xfId="37925"/>
    <cellStyle name="Input 2 4 2 3 2 6" xfId="37926"/>
    <cellStyle name="Input 2 4 2 3 2 7" xfId="37927"/>
    <cellStyle name="Input 2 4 2 3 2 8" xfId="37928"/>
    <cellStyle name="Input 2 4 2 3 2 9" xfId="37929"/>
    <cellStyle name="Input 2 4 2 3 3" xfId="37930"/>
    <cellStyle name="Input 2 4 2 3 4" xfId="37931"/>
    <cellStyle name="Input 2 4 2 3 5" xfId="37932"/>
    <cellStyle name="Input 2 4 2 3 6" xfId="37933"/>
    <cellStyle name="Input 2 4 2 3 7" xfId="37934"/>
    <cellStyle name="Input 2 4 2 3 8" xfId="37935"/>
    <cellStyle name="Input 2 4 2 3 9" xfId="37936"/>
    <cellStyle name="Input 2 4 2 4" xfId="37937"/>
    <cellStyle name="Input 2 4 2 4 10" xfId="37938"/>
    <cellStyle name="Input 2 4 2 4 11" xfId="37939"/>
    <cellStyle name="Input 2 4 2 4 12" xfId="37940"/>
    <cellStyle name="Input 2 4 2 4 13" xfId="37941"/>
    <cellStyle name="Input 2 4 2 4 14" xfId="37942"/>
    <cellStyle name="Input 2 4 2 4 15" xfId="37943"/>
    <cellStyle name="Input 2 4 2 4 16" xfId="37944"/>
    <cellStyle name="Input 2 4 2 4 17" xfId="37945"/>
    <cellStyle name="Input 2 4 2 4 18" xfId="37946"/>
    <cellStyle name="Input 2 4 2 4 19" xfId="37947"/>
    <cellStyle name="Input 2 4 2 4 2" xfId="37948"/>
    <cellStyle name="Input 2 4 2 4 2 2" xfId="37949"/>
    <cellStyle name="Input 2 4 2 4 2 3" xfId="37950"/>
    <cellStyle name="Input 2 4 2 4 2 4" xfId="37951"/>
    <cellStyle name="Input 2 4 2 4 2 5" xfId="37952"/>
    <cellStyle name="Input 2 4 2 4 2 6" xfId="37953"/>
    <cellStyle name="Input 2 4 2 4 2 7" xfId="37954"/>
    <cellStyle name="Input 2 4 2 4 2 8" xfId="37955"/>
    <cellStyle name="Input 2 4 2 4 2 9" xfId="37956"/>
    <cellStyle name="Input 2 4 2 4 3" xfId="37957"/>
    <cellStyle name="Input 2 4 2 4 4" xfId="37958"/>
    <cellStyle name="Input 2 4 2 4 5" xfId="37959"/>
    <cellStyle name="Input 2 4 2 4 6" xfId="37960"/>
    <cellStyle name="Input 2 4 2 4 7" xfId="37961"/>
    <cellStyle name="Input 2 4 2 4 8" xfId="37962"/>
    <cellStyle name="Input 2 4 2 4 9" xfId="37963"/>
    <cellStyle name="Input 2 4 2 5" xfId="37964"/>
    <cellStyle name="Input 2 4 3" xfId="37965"/>
    <cellStyle name="Input 2 4 3 2" xfId="37966"/>
    <cellStyle name="Input 2 4 3 2 10" xfId="37967"/>
    <cellStyle name="Input 2 4 3 2 11" xfId="37968"/>
    <cellStyle name="Input 2 4 3 2 12" xfId="37969"/>
    <cellStyle name="Input 2 4 3 2 13" xfId="37970"/>
    <cellStyle name="Input 2 4 3 2 14" xfId="37971"/>
    <cellStyle name="Input 2 4 3 2 15" xfId="37972"/>
    <cellStyle name="Input 2 4 3 2 16" xfId="37973"/>
    <cellStyle name="Input 2 4 3 2 17" xfId="37974"/>
    <cellStyle name="Input 2 4 3 2 18" xfId="37975"/>
    <cellStyle name="Input 2 4 3 2 19" xfId="37976"/>
    <cellStyle name="Input 2 4 3 2 2" xfId="37977"/>
    <cellStyle name="Input 2 4 3 2 2 2" xfId="37978"/>
    <cellStyle name="Input 2 4 3 2 2 3" xfId="37979"/>
    <cellStyle name="Input 2 4 3 2 2 4" xfId="37980"/>
    <cellStyle name="Input 2 4 3 2 2 5" xfId="37981"/>
    <cellStyle name="Input 2 4 3 2 2 6" xfId="37982"/>
    <cellStyle name="Input 2 4 3 2 2 7" xfId="37983"/>
    <cellStyle name="Input 2 4 3 2 2 8" xfId="37984"/>
    <cellStyle name="Input 2 4 3 2 2 9" xfId="37985"/>
    <cellStyle name="Input 2 4 3 2 3" xfId="37986"/>
    <cellStyle name="Input 2 4 3 2 4" xfId="37987"/>
    <cellStyle name="Input 2 4 3 2 5" xfId="37988"/>
    <cellStyle name="Input 2 4 3 2 6" xfId="37989"/>
    <cellStyle name="Input 2 4 3 2 7" xfId="37990"/>
    <cellStyle name="Input 2 4 3 2 8" xfId="37991"/>
    <cellStyle name="Input 2 4 3 2 9" xfId="37992"/>
    <cellStyle name="Input 2 4 3 3" xfId="37993"/>
    <cellStyle name="Input 2 4 3 3 10" xfId="37994"/>
    <cellStyle name="Input 2 4 3 3 11" xfId="37995"/>
    <cellStyle name="Input 2 4 3 3 12" xfId="37996"/>
    <cellStyle name="Input 2 4 3 3 13" xfId="37997"/>
    <cellStyle name="Input 2 4 3 3 14" xfId="37998"/>
    <cellStyle name="Input 2 4 3 3 15" xfId="37999"/>
    <cellStyle name="Input 2 4 3 3 16" xfId="38000"/>
    <cellStyle name="Input 2 4 3 3 17" xfId="38001"/>
    <cellStyle name="Input 2 4 3 3 18" xfId="38002"/>
    <cellStyle name="Input 2 4 3 3 2" xfId="38003"/>
    <cellStyle name="Input 2 4 3 3 2 2" xfId="38004"/>
    <cellStyle name="Input 2 4 3 3 2 3" xfId="38005"/>
    <cellStyle name="Input 2 4 3 3 2 4" xfId="38006"/>
    <cellStyle name="Input 2 4 3 3 2 5" xfId="38007"/>
    <cellStyle name="Input 2 4 3 3 2 6" xfId="38008"/>
    <cellStyle name="Input 2 4 3 3 2 7" xfId="38009"/>
    <cellStyle name="Input 2 4 3 3 2 8" xfId="38010"/>
    <cellStyle name="Input 2 4 3 3 2 9" xfId="38011"/>
    <cellStyle name="Input 2 4 3 3 3" xfId="38012"/>
    <cellStyle name="Input 2 4 3 3 4" xfId="38013"/>
    <cellStyle name="Input 2 4 3 3 5" xfId="38014"/>
    <cellStyle name="Input 2 4 3 3 6" xfId="38015"/>
    <cellStyle name="Input 2 4 3 3 7" xfId="38016"/>
    <cellStyle name="Input 2 4 3 3 8" xfId="38017"/>
    <cellStyle name="Input 2 4 3 3 9" xfId="38018"/>
    <cellStyle name="Input 2 4 3 4" xfId="38019"/>
    <cellStyle name="Input 2 4 3 4 10" xfId="38020"/>
    <cellStyle name="Input 2 4 3 4 11" xfId="38021"/>
    <cellStyle name="Input 2 4 3 4 12" xfId="38022"/>
    <cellStyle name="Input 2 4 3 4 13" xfId="38023"/>
    <cellStyle name="Input 2 4 3 4 14" xfId="38024"/>
    <cellStyle name="Input 2 4 3 4 15" xfId="38025"/>
    <cellStyle name="Input 2 4 3 4 16" xfId="38026"/>
    <cellStyle name="Input 2 4 3 4 17" xfId="38027"/>
    <cellStyle name="Input 2 4 3 4 18" xfId="38028"/>
    <cellStyle name="Input 2 4 3 4 19" xfId="38029"/>
    <cellStyle name="Input 2 4 3 4 2" xfId="38030"/>
    <cellStyle name="Input 2 4 3 4 2 2" xfId="38031"/>
    <cellStyle name="Input 2 4 3 4 2 3" xfId="38032"/>
    <cellStyle name="Input 2 4 3 4 2 4" xfId="38033"/>
    <cellStyle name="Input 2 4 3 4 2 5" xfId="38034"/>
    <cellStyle name="Input 2 4 3 4 2 6" xfId="38035"/>
    <cellStyle name="Input 2 4 3 4 2 7" xfId="38036"/>
    <cellStyle name="Input 2 4 3 4 2 8" xfId="38037"/>
    <cellStyle name="Input 2 4 3 4 2 9" xfId="38038"/>
    <cellStyle name="Input 2 4 3 4 3" xfId="38039"/>
    <cellStyle name="Input 2 4 3 4 4" xfId="38040"/>
    <cellStyle name="Input 2 4 3 4 5" xfId="38041"/>
    <cellStyle name="Input 2 4 3 4 6" xfId="38042"/>
    <cellStyle name="Input 2 4 3 4 7" xfId="38043"/>
    <cellStyle name="Input 2 4 3 4 8" xfId="38044"/>
    <cellStyle name="Input 2 4 3 4 9" xfId="38045"/>
    <cellStyle name="Input 2 4 4" xfId="38046"/>
    <cellStyle name="Input 2 4 4 10" xfId="38047"/>
    <cellStyle name="Input 2 4 4 11" xfId="38048"/>
    <cellStyle name="Input 2 4 4 12" xfId="38049"/>
    <cellStyle name="Input 2 4 4 13" xfId="38050"/>
    <cellStyle name="Input 2 4 4 14" xfId="38051"/>
    <cellStyle name="Input 2 4 4 15" xfId="38052"/>
    <cellStyle name="Input 2 4 4 16" xfId="38053"/>
    <cellStyle name="Input 2 4 4 17" xfId="38054"/>
    <cellStyle name="Input 2 4 4 18" xfId="38055"/>
    <cellStyle name="Input 2 4 4 19" xfId="38056"/>
    <cellStyle name="Input 2 4 4 2" xfId="38057"/>
    <cellStyle name="Input 2 4 4 2 2" xfId="38058"/>
    <cellStyle name="Input 2 4 4 2 3" xfId="38059"/>
    <cellStyle name="Input 2 4 4 2 4" xfId="38060"/>
    <cellStyle name="Input 2 4 4 2 5" xfId="38061"/>
    <cellStyle name="Input 2 4 4 2 6" xfId="38062"/>
    <cellStyle name="Input 2 4 4 2 7" xfId="38063"/>
    <cellStyle name="Input 2 4 4 2 8" xfId="38064"/>
    <cellStyle name="Input 2 4 4 2 9" xfId="38065"/>
    <cellStyle name="Input 2 4 4 3" xfId="38066"/>
    <cellStyle name="Input 2 4 4 4" xfId="38067"/>
    <cellStyle name="Input 2 4 4 5" xfId="38068"/>
    <cellStyle name="Input 2 4 4 6" xfId="38069"/>
    <cellStyle name="Input 2 4 4 7" xfId="38070"/>
    <cellStyle name="Input 2 4 4 8" xfId="38071"/>
    <cellStyle name="Input 2 4 4 9" xfId="38072"/>
    <cellStyle name="Input 2 4 5" xfId="38073"/>
    <cellStyle name="Input 2 4 5 10" xfId="38074"/>
    <cellStyle name="Input 2 4 5 11" xfId="38075"/>
    <cellStyle name="Input 2 4 5 12" xfId="38076"/>
    <cellStyle name="Input 2 4 5 13" xfId="38077"/>
    <cellStyle name="Input 2 4 5 14" xfId="38078"/>
    <cellStyle name="Input 2 4 5 15" xfId="38079"/>
    <cellStyle name="Input 2 4 5 16" xfId="38080"/>
    <cellStyle name="Input 2 4 5 17" xfId="38081"/>
    <cellStyle name="Input 2 4 5 18" xfId="38082"/>
    <cellStyle name="Input 2 4 5 2" xfId="38083"/>
    <cellStyle name="Input 2 4 5 2 2" xfId="38084"/>
    <cellStyle name="Input 2 4 5 2 3" xfId="38085"/>
    <cellStyle name="Input 2 4 5 2 4" xfId="38086"/>
    <cellStyle name="Input 2 4 5 2 5" xfId="38087"/>
    <cellStyle name="Input 2 4 5 2 6" xfId="38088"/>
    <cellStyle name="Input 2 4 5 2 7" xfId="38089"/>
    <cellStyle name="Input 2 4 5 2 8" xfId="38090"/>
    <cellStyle name="Input 2 4 5 2 9" xfId="38091"/>
    <cellStyle name="Input 2 4 5 3" xfId="38092"/>
    <cellStyle name="Input 2 4 5 4" xfId="38093"/>
    <cellStyle name="Input 2 4 5 5" xfId="38094"/>
    <cellStyle name="Input 2 4 5 6" xfId="38095"/>
    <cellStyle name="Input 2 4 5 7" xfId="38096"/>
    <cellStyle name="Input 2 4 5 8" xfId="38097"/>
    <cellStyle name="Input 2 4 5 9" xfId="38098"/>
    <cellStyle name="Input 2 4 6" xfId="38099"/>
    <cellStyle name="Input 2 4 6 10" xfId="38100"/>
    <cellStyle name="Input 2 4 6 11" xfId="38101"/>
    <cellStyle name="Input 2 4 6 12" xfId="38102"/>
    <cellStyle name="Input 2 4 6 13" xfId="38103"/>
    <cellStyle name="Input 2 4 6 14" xfId="38104"/>
    <cellStyle name="Input 2 4 6 15" xfId="38105"/>
    <cellStyle name="Input 2 4 6 16" xfId="38106"/>
    <cellStyle name="Input 2 4 6 17" xfId="38107"/>
    <cellStyle name="Input 2 4 6 18" xfId="38108"/>
    <cellStyle name="Input 2 4 6 19" xfId="38109"/>
    <cellStyle name="Input 2 4 6 2" xfId="38110"/>
    <cellStyle name="Input 2 4 6 2 2" xfId="38111"/>
    <cellStyle name="Input 2 4 6 2 3" xfId="38112"/>
    <cellStyle name="Input 2 4 6 2 4" xfId="38113"/>
    <cellStyle name="Input 2 4 6 2 5" xfId="38114"/>
    <cellStyle name="Input 2 4 6 2 6" xfId="38115"/>
    <cellStyle name="Input 2 4 6 2 7" xfId="38116"/>
    <cellStyle name="Input 2 4 6 2 8" xfId="38117"/>
    <cellStyle name="Input 2 4 6 2 9" xfId="38118"/>
    <cellStyle name="Input 2 4 6 3" xfId="38119"/>
    <cellStyle name="Input 2 4 6 4" xfId="38120"/>
    <cellStyle name="Input 2 4 6 5" xfId="38121"/>
    <cellStyle name="Input 2 4 6 6" xfId="38122"/>
    <cellStyle name="Input 2 4 6 7" xfId="38123"/>
    <cellStyle name="Input 2 4 6 8" xfId="38124"/>
    <cellStyle name="Input 2 4 6 9" xfId="38125"/>
    <cellStyle name="Input 2 5" xfId="38126"/>
    <cellStyle name="Input 2 5 2" xfId="38127"/>
    <cellStyle name="Input 2 5 2 2" xfId="38128"/>
    <cellStyle name="Input 2 5 2 2 10" xfId="38129"/>
    <cellStyle name="Input 2 5 2 2 11" xfId="38130"/>
    <cellStyle name="Input 2 5 2 2 12" xfId="38131"/>
    <cellStyle name="Input 2 5 2 2 13" xfId="38132"/>
    <cellStyle name="Input 2 5 2 2 14" xfId="38133"/>
    <cellStyle name="Input 2 5 2 2 15" xfId="38134"/>
    <cellStyle name="Input 2 5 2 2 16" xfId="38135"/>
    <cellStyle name="Input 2 5 2 2 17" xfId="38136"/>
    <cellStyle name="Input 2 5 2 2 18" xfId="38137"/>
    <cellStyle name="Input 2 5 2 2 19" xfId="38138"/>
    <cellStyle name="Input 2 5 2 2 2" xfId="38139"/>
    <cellStyle name="Input 2 5 2 2 2 2" xfId="38140"/>
    <cellStyle name="Input 2 5 2 2 2 3" xfId="38141"/>
    <cellStyle name="Input 2 5 2 2 2 4" xfId="38142"/>
    <cellStyle name="Input 2 5 2 2 2 5" xfId="38143"/>
    <cellStyle name="Input 2 5 2 2 2 6" xfId="38144"/>
    <cellStyle name="Input 2 5 2 2 2 7" xfId="38145"/>
    <cellStyle name="Input 2 5 2 2 2 8" xfId="38146"/>
    <cellStyle name="Input 2 5 2 2 2 9" xfId="38147"/>
    <cellStyle name="Input 2 5 2 2 3" xfId="38148"/>
    <cellStyle name="Input 2 5 2 2 4" xfId="38149"/>
    <cellStyle name="Input 2 5 2 2 5" xfId="38150"/>
    <cellStyle name="Input 2 5 2 2 6" xfId="38151"/>
    <cellStyle name="Input 2 5 2 2 7" xfId="38152"/>
    <cellStyle name="Input 2 5 2 2 8" xfId="38153"/>
    <cellStyle name="Input 2 5 2 2 9" xfId="38154"/>
    <cellStyle name="Input 2 5 2 3" xfId="38155"/>
    <cellStyle name="Input 2 5 2 3 10" xfId="38156"/>
    <cellStyle name="Input 2 5 2 3 11" xfId="38157"/>
    <cellStyle name="Input 2 5 2 3 12" xfId="38158"/>
    <cellStyle name="Input 2 5 2 3 13" xfId="38159"/>
    <cellStyle name="Input 2 5 2 3 14" xfId="38160"/>
    <cellStyle name="Input 2 5 2 3 15" xfId="38161"/>
    <cellStyle name="Input 2 5 2 3 16" xfId="38162"/>
    <cellStyle name="Input 2 5 2 3 17" xfId="38163"/>
    <cellStyle name="Input 2 5 2 3 18" xfId="38164"/>
    <cellStyle name="Input 2 5 2 3 2" xfId="38165"/>
    <cellStyle name="Input 2 5 2 3 2 2" xfId="38166"/>
    <cellStyle name="Input 2 5 2 3 2 3" xfId="38167"/>
    <cellStyle name="Input 2 5 2 3 2 4" xfId="38168"/>
    <cellStyle name="Input 2 5 2 3 2 5" xfId="38169"/>
    <cellStyle name="Input 2 5 2 3 2 6" xfId="38170"/>
    <cellStyle name="Input 2 5 2 3 2 7" xfId="38171"/>
    <cellStyle name="Input 2 5 2 3 2 8" xfId="38172"/>
    <cellStyle name="Input 2 5 2 3 2 9" xfId="38173"/>
    <cellStyle name="Input 2 5 2 3 3" xfId="38174"/>
    <cellStyle name="Input 2 5 2 3 4" xfId="38175"/>
    <cellStyle name="Input 2 5 2 3 5" xfId="38176"/>
    <cellStyle name="Input 2 5 2 3 6" xfId="38177"/>
    <cellStyle name="Input 2 5 2 3 7" xfId="38178"/>
    <cellStyle name="Input 2 5 2 3 8" xfId="38179"/>
    <cellStyle name="Input 2 5 2 3 9" xfId="38180"/>
    <cellStyle name="Input 2 5 2 4" xfId="38181"/>
    <cellStyle name="Input 2 5 2 4 10" xfId="38182"/>
    <cellStyle name="Input 2 5 2 4 11" xfId="38183"/>
    <cellStyle name="Input 2 5 2 4 12" xfId="38184"/>
    <cellStyle name="Input 2 5 2 4 13" xfId="38185"/>
    <cellStyle name="Input 2 5 2 4 14" xfId="38186"/>
    <cellStyle name="Input 2 5 2 4 15" xfId="38187"/>
    <cellStyle name="Input 2 5 2 4 16" xfId="38188"/>
    <cellStyle name="Input 2 5 2 4 17" xfId="38189"/>
    <cellStyle name="Input 2 5 2 4 18" xfId="38190"/>
    <cellStyle name="Input 2 5 2 4 19" xfId="38191"/>
    <cellStyle name="Input 2 5 2 4 2" xfId="38192"/>
    <cellStyle name="Input 2 5 2 4 2 2" xfId="38193"/>
    <cellStyle name="Input 2 5 2 4 2 3" xfId="38194"/>
    <cellStyle name="Input 2 5 2 4 2 4" xfId="38195"/>
    <cellStyle name="Input 2 5 2 4 2 5" xfId="38196"/>
    <cellStyle name="Input 2 5 2 4 2 6" xfId="38197"/>
    <cellStyle name="Input 2 5 2 4 2 7" xfId="38198"/>
    <cellStyle name="Input 2 5 2 4 2 8" xfId="38199"/>
    <cellStyle name="Input 2 5 2 4 2 9" xfId="38200"/>
    <cellStyle name="Input 2 5 2 4 3" xfId="38201"/>
    <cellStyle name="Input 2 5 2 4 4" xfId="38202"/>
    <cellStyle name="Input 2 5 2 4 5" xfId="38203"/>
    <cellStyle name="Input 2 5 2 4 6" xfId="38204"/>
    <cellStyle name="Input 2 5 2 4 7" xfId="38205"/>
    <cellStyle name="Input 2 5 2 4 8" xfId="38206"/>
    <cellStyle name="Input 2 5 2 4 9" xfId="38207"/>
    <cellStyle name="Input 2 5 2 5" xfId="38208"/>
    <cellStyle name="Input 2 5 3" xfId="38209"/>
    <cellStyle name="Input 2 5 3 2" xfId="38210"/>
    <cellStyle name="Input 2 5 3 2 10" xfId="38211"/>
    <cellStyle name="Input 2 5 3 2 11" xfId="38212"/>
    <cellStyle name="Input 2 5 3 2 12" xfId="38213"/>
    <cellStyle name="Input 2 5 3 2 13" xfId="38214"/>
    <cellStyle name="Input 2 5 3 2 14" xfId="38215"/>
    <cellStyle name="Input 2 5 3 2 15" xfId="38216"/>
    <cellStyle name="Input 2 5 3 2 16" xfId="38217"/>
    <cellStyle name="Input 2 5 3 2 17" xfId="38218"/>
    <cellStyle name="Input 2 5 3 2 18" xfId="38219"/>
    <cellStyle name="Input 2 5 3 2 19" xfId="38220"/>
    <cellStyle name="Input 2 5 3 2 2" xfId="38221"/>
    <cellStyle name="Input 2 5 3 2 2 2" xfId="38222"/>
    <cellStyle name="Input 2 5 3 2 2 3" xfId="38223"/>
    <cellStyle name="Input 2 5 3 2 2 4" xfId="38224"/>
    <cellStyle name="Input 2 5 3 2 2 5" xfId="38225"/>
    <cellStyle name="Input 2 5 3 2 2 6" xfId="38226"/>
    <cellStyle name="Input 2 5 3 2 2 7" xfId="38227"/>
    <cellStyle name="Input 2 5 3 2 2 8" xfId="38228"/>
    <cellStyle name="Input 2 5 3 2 2 9" xfId="38229"/>
    <cellStyle name="Input 2 5 3 2 3" xfId="38230"/>
    <cellStyle name="Input 2 5 3 2 4" xfId="38231"/>
    <cellStyle name="Input 2 5 3 2 5" xfId="38232"/>
    <cellStyle name="Input 2 5 3 2 6" xfId="38233"/>
    <cellStyle name="Input 2 5 3 2 7" xfId="38234"/>
    <cellStyle name="Input 2 5 3 2 8" xfId="38235"/>
    <cellStyle name="Input 2 5 3 2 9" xfId="38236"/>
    <cellStyle name="Input 2 5 3 3" xfId="38237"/>
    <cellStyle name="Input 2 5 3 3 10" xfId="38238"/>
    <cellStyle name="Input 2 5 3 3 11" xfId="38239"/>
    <cellStyle name="Input 2 5 3 3 12" xfId="38240"/>
    <cellStyle name="Input 2 5 3 3 13" xfId="38241"/>
    <cellStyle name="Input 2 5 3 3 14" xfId="38242"/>
    <cellStyle name="Input 2 5 3 3 15" xfId="38243"/>
    <cellStyle name="Input 2 5 3 3 16" xfId="38244"/>
    <cellStyle name="Input 2 5 3 3 17" xfId="38245"/>
    <cellStyle name="Input 2 5 3 3 18" xfId="38246"/>
    <cellStyle name="Input 2 5 3 3 2" xfId="38247"/>
    <cellStyle name="Input 2 5 3 3 2 2" xfId="38248"/>
    <cellStyle name="Input 2 5 3 3 2 3" xfId="38249"/>
    <cellStyle name="Input 2 5 3 3 2 4" xfId="38250"/>
    <cellStyle name="Input 2 5 3 3 2 5" xfId="38251"/>
    <cellStyle name="Input 2 5 3 3 2 6" xfId="38252"/>
    <cellStyle name="Input 2 5 3 3 2 7" xfId="38253"/>
    <cellStyle name="Input 2 5 3 3 2 8" xfId="38254"/>
    <cellStyle name="Input 2 5 3 3 2 9" xfId="38255"/>
    <cellStyle name="Input 2 5 3 3 3" xfId="38256"/>
    <cellStyle name="Input 2 5 3 3 4" xfId="38257"/>
    <cellStyle name="Input 2 5 3 3 5" xfId="38258"/>
    <cellStyle name="Input 2 5 3 3 6" xfId="38259"/>
    <cellStyle name="Input 2 5 3 3 7" xfId="38260"/>
    <cellStyle name="Input 2 5 3 3 8" xfId="38261"/>
    <cellStyle name="Input 2 5 3 3 9" xfId="38262"/>
    <cellStyle name="Input 2 5 3 4" xfId="38263"/>
    <cellStyle name="Input 2 5 3 4 10" xfId="38264"/>
    <cellStyle name="Input 2 5 3 4 11" xfId="38265"/>
    <cellStyle name="Input 2 5 3 4 12" xfId="38266"/>
    <cellStyle name="Input 2 5 3 4 13" xfId="38267"/>
    <cellStyle name="Input 2 5 3 4 14" xfId="38268"/>
    <cellStyle name="Input 2 5 3 4 15" xfId="38269"/>
    <cellStyle name="Input 2 5 3 4 16" xfId="38270"/>
    <cellStyle name="Input 2 5 3 4 17" xfId="38271"/>
    <cellStyle name="Input 2 5 3 4 18" xfId="38272"/>
    <cellStyle name="Input 2 5 3 4 19" xfId="38273"/>
    <cellStyle name="Input 2 5 3 4 2" xfId="38274"/>
    <cellStyle name="Input 2 5 3 4 2 2" xfId="38275"/>
    <cellStyle name="Input 2 5 3 4 2 3" xfId="38276"/>
    <cellStyle name="Input 2 5 3 4 2 4" xfId="38277"/>
    <cellStyle name="Input 2 5 3 4 2 5" xfId="38278"/>
    <cellStyle name="Input 2 5 3 4 2 6" xfId="38279"/>
    <cellStyle name="Input 2 5 3 4 2 7" xfId="38280"/>
    <cellStyle name="Input 2 5 3 4 2 8" xfId="38281"/>
    <cellStyle name="Input 2 5 3 4 2 9" xfId="38282"/>
    <cellStyle name="Input 2 5 3 4 3" xfId="38283"/>
    <cellStyle name="Input 2 5 3 4 4" xfId="38284"/>
    <cellStyle name="Input 2 5 3 4 5" xfId="38285"/>
    <cellStyle name="Input 2 5 3 4 6" xfId="38286"/>
    <cellStyle name="Input 2 5 3 4 7" xfId="38287"/>
    <cellStyle name="Input 2 5 3 4 8" xfId="38288"/>
    <cellStyle name="Input 2 5 3 4 9" xfId="38289"/>
    <cellStyle name="Input 2 5 4" xfId="38290"/>
    <cellStyle name="Input 2 5 4 10" xfId="38291"/>
    <cellStyle name="Input 2 5 4 11" xfId="38292"/>
    <cellStyle name="Input 2 5 4 12" xfId="38293"/>
    <cellStyle name="Input 2 5 4 13" xfId="38294"/>
    <cellStyle name="Input 2 5 4 14" xfId="38295"/>
    <cellStyle name="Input 2 5 4 15" xfId="38296"/>
    <cellStyle name="Input 2 5 4 16" xfId="38297"/>
    <cellStyle name="Input 2 5 4 17" xfId="38298"/>
    <cellStyle name="Input 2 5 4 18" xfId="38299"/>
    <cellStyle name="Input 2 5 4 19" xfId="38300"/>
    <cellStyle name="Input 2 5 4 2" xfId="38301"/>
    <cellStyle name="Input 2 5 4 2 2" xfId="38302"/>
    <cellStyle name="Input 2 5 4 2 3" xfId="38303"/>
    <cellStyle name="Input 2 5 4 2 4" xfId="38304"/>
    <cellStyle name="Input 2 5 4 2 5" xfId="38305"/>
    <cellStyle name="Input 2 5 4 2 6" xfId="38306"/>
    <cellStyle name="Input 2 5 4 2 7" xfId="38307"/>
    <cellStyle name="Input 2 5 4 2 8" xfId="38308"/>
    <cellStyle name="Input 2 5 4 2 9" xfId="38309"/>
    <cellStyle name="Input 2 5 4 3" xfId="38310"/>
    <cellStyle name="Input 2 5 4 4" xfId="38311"/>
    <cellStyle name="Input 2 5 4 5" xfId="38312"/>
    <cellStyle name="Input 2 5 4 6" xfId="38313"/>
    <cellStyle name="Input 2 5 4 7" xfId="38314"/>
    <cellStyle name="Input 2 5 4 8" xfId="38315"/>
    <cellStyle name="Input 2 5 4 9" xfId="38316"/>
    <cellStyle name="Input 2 5 5" xfId="38317"/>
    <cellStyle name="Input 2 5 5 10" xfId="38318"/>
    <cellStyle name="Input 2 5 5 11" xfId="38319"/>
    <cellStyle name="Input 2 5 5 12" xfId="38320"/>
    <cellStyle name="Input 2 5 5 13" xfId="38321"/>
    <cellStyle name="Input 2 5 5 14" xfId="38322"/>
    <cellStyle name="Input 2 5 5 15" xfId="38323"/>
    <cellStyle name="Input 2 5 5 16" xfId="38324"/>
    <cellStyle name="Input 2 5 5 17" xfId="38325"/>
    <cellStyle name="Input 2 5 5 18" xfId="38326"/>
    <cellStyle name="Input 2 5 5 2" xfId="38327"/>
    <cellStyle name="Input 2 5 5 2 2" xfId="38328"/>
    <cellStyle name="Input 2 5 5 2 3" xfId="38329"/>
    <cellStyle name="Input 2 5 5 2 4" xfId="38330"/>
    <cellStyle name="Input 2 5 5 2 5" xfId="38331"/>
    <cellStyle name="Input 2 5 5 2 6" xfId="38332"/>
    <cellStyle name="Input 2 5 5 2 7" xfId="38333"/>
    <cellStyle name="Input 2 5 5 2 8" xfId="38334"/>
    <cellStyle name="Input 2 5 5 2 9" xfId="38335"/>
    <cellStyle name="Input 2 5 5 3" xfId="38336"/>
    <cellStyle name="Input 2 5 5 4" xfId="38337"/>
    <cellStyle name="Input 2 5 5 5" xfId="38338"/>
    <cellStyle name="Input 2 5 5 6" xfId="38339"/>
    <cellStyle name="Input 2 5 5 7" xfId="38340"/>
    <cellStyle name="Input 2 5 5 8" xfId="38341"/>
    <cellStyle name="Input 2 5 5 9" xfId="38342"/>
    <cellStyle name="Input 2 5 6" xfId="38343"/>
    <cellStyle name="Input 2 5 6 10" xfId="38344"/>
    <cellStyle name="Input 2 5 6 11" xfId="38345"/>
    <cellStyle name="Input 2 5 6 12" xfId="38346"/>
    <cellStyle name="Input 2 5 6 13" xfId="38347"/>
    <cellStyle name="Input 2 5 6 14" xfId="38348"/>
    <cellStyle name="Input 2 5 6 15" xfId="38349"/>
    <cellStyle name="Input 2 5 6 16" xfId="38350"/>
    <cellStyle name="Input 2 5 6 17" xfId="38351"/>
    <cellStyle name="Input 2 5 6 18" xfId="38352"/>
    <cellStyle name="Input 2 5 6 19" xfId="38353"/>
    <cellStyle name="Input 2 5 6 2" xfId="38354"/>
    <cellStyle name="Input 2 5 6 2 2" xfId="38355"/>
    <cellStyle name="Input 2 5 6 2 3" xfId="38356"/>
    <cellStyle name="Input 2 5 6 2 4" xfId="38357"/>
    <cellStyle name="Input 2 5 6 2 5" xfId="38358"/>
    <cellStyle name="Input 2 5 6 2 6" xfId="38359"/>
    <cellStyle name="Input 2 5 6 2 7" xfId="38360"/>
    <cellStyle name="Input 2 5 6 2 8" xfId="38361"/>
    <cellStyle name="Input 2 5 6 2 9" xfId="38362"/>
    <cellStyle name="Input 2 5 6 3" xfId="38363"/>
    <cellStyle name="Input 2 5 6 4" xfId="38364"/>
    <cellStyle name="Input 2 5 6 5" xfId="38365"/>
    <cellStyle name="Input 2 5 6 6" xfId="38366"/>
    <cellStyle name="Input 2 5 6 7" xfId="38367"/>
    <cellStyle name="Input 2 5 6 8" xfId="38368"/>
    <cellStyle name="Input 2 5 6 9" xfId="38369"/>
    <cellStyle name="Input 2 6" xfId="38370"/>
    <cellStyle name="Input 2 6 2" xfId="38371"/>
    <cellStyle name="Input 2 6 2 2" xfId="38372"/>
    <cellStyle name="Input 2 6 2 2 10" xfId="38373"/>
    <cellStyle name="Input 2 6 2 2 11" xfId="38374"/>
    <cellStyle name="Input 2 6 2 2 12" xfId="38375"/>
    <cellStyle name="Input 2 6 2 2 13" xfId="38376"/>
    <cellStyle name="Input 2 6 2 2 14" xfId="38377"/>
    <cellStyle name="Input 2 6 2 2 15" xfId="38378"/>
    <cellStyle name="Input 2 6 2 2 16" xfId="38379"/>
    <cellStyle name="Input 2 6 2 2 17" xfId="38380"/>
    <cellStyle name="Input 2 6 2 2 18" xfId="38381"/>
    <cellStyle name="Input 2 6 2 2 19" xfId="38382"/>
    <cellStyle name="Input 2 6 2 2 2" xfId="38383"/>
    <cellStyle name="Input 2 6 2 2 2 2" xfId="38384"/>
    <cellStyle name="Input 2 6 2 2 2 3" xfId="38385"/>
    <cellStyle name="Input 2 6 2 2 2 4" xfId="38386"/>
    <cellStyle name="Input 2 6 2 2 2 5" xfId="38387"/>
    <cellStyle name="Input 2 6 2 2 2 6" xfId="38388"/>
    <cellStyle name="Input 2 6 2 2 2 7" xfId="38389"/>
    <cellStyle name="Input 2 6 2 2 2 8" xfId="38390"/>
    <cellStyle name="Input 2 6 2 2 2 9" xfId="38391"/>
    <cellStyle name="Input 2 6 2 2 3" xfId="38392"/>
    <cellStyle name="Input 2 6 2 2 4" xfId="38393"/>
    <cellStyle name="Input 2 6 2 2 5" xfId="38394"/>
    <cellStyle name="Input 2 6 2 2 6" xfId="38395"/>
    <cellStyle name="Input 2 6 2 2 7" xfId="38396"/>
    <cellStyle name="Input 2 6 2 2 8" xfId="38397"/>
    <cellStyle name="Input 2 6 2 2 9" xfId="38398"/>
    <cellStyle name="Input 2 6 2 3" xfId="38399"/>
    <cellStyle name="Input 2 6 2 3 10" xfId="38400"/>
    <cellStyle name="Input 2 6 2 3 11" xfId="38401"/>
    <cellStyle name="Input 2 6 2 3 12" xfId="38402"/>
    <cellStyle name="Input 2 6 2 3 13" xfId="38403"/>
    <cellStyle name="Input 2 6 2 3 14" xfId="38404"/>
    <cellStyle name="Input 2 6 2 3 15" xfId="38405"/>
    <cellStyle name="Input 2 6 2 3 16" xfId="38406"/>
    <cellStyle name="Input 2 6 2 3 17" xfId="38407"/>
    <cellStyle name="Input 2 6 2 3 18" xfId="38408"/>
    <cellStyle name="Input 2 6 2 3 2" xfId="38409"/>
    <cellStyle name="Input 2 6 2 3 2 2" xfId="38410"/>
    <cellStyle name="Input 2 6 2 3 2 3" xfId="38411"/>
    <cellStyle name="Input 2 6 2 3 2 4" xfId="38412"/>
    <cellStyle name="Input 2 6 2 3 2 5" xfId="38413"/>
    <cellStyle name="Input 2 6 2 3 2 6" xfId="38414"/>
    <cellStyle name="Input 2 6 2 3 2 7" xfId="38415"/>
    <cellStyle name="Input 2 6 2 3 2 8" xfId="38416"/>
    <cellStyle name="Input 2 6 2 3 2 9" xfId="38417"/>
    <cellStyle name="Input 2 6 2 3 3" xfId="38418"/>
    <cellStyle name="Input 2 6 2 3 4" xfId="38419"/>
    <cellStyle name="Input 2 6 2 3 5" xfId="38420"/>
    <cellStyle name="Input 2 6 2 3 6" xfId="38421"/>
    <cellStyle name="Input 2 6 2 3 7" xfId="38422"/>
    <cellStyle name="Input 2 6 2 3 8" xfId="38423"/>
    <cellStyle name="Input 2 6 2 3 9" xfId="38424"/>
    <cellStyle name="Input 2 6 2 4" xfId="38425"/>
    <cellStyle name="Input 2 6 2 4 10" xfId="38426"/>
    <cellStyle name="Input 2 6 2 4 11" xfId="38427"/>
    <cellStyle name="Input 2 6 2 4 12" xfId="38428"/>
    <cellStyle name="Input 2 6 2 4 13" xfId="38429"/>
    <cellStyle name="Input 2 6 2 4 14" xfId="38430"/>
    <cellStyle name="Input 2 6 2 4 15" xfId="38431"/>
    <cellStyle name="Input 2 6 2 4 16" xfId="38432"/>
    <cellStyle name="Input 2 6 2 4 17" xfId="38433"/>
    <cellStyle name="Input 2 6 2 4 18" xfId="38434"/>
    <cellStyle name="Input 2 6 2 4 19" xfId="38435"/>
    <cellStyle name="Input 2 6 2 4 2" xfId="38436"/>
    <cellStyle name="Input 2 6 2 4 2 2" xfId="38437"/>
    <cellStyle name="Input 2 6 2 4 2 3" xfId="38438"/>
    <cellStyle name="Input 2 6 2 4 2 4" xfId="38439"/>
    <cellStyle name="Input 2 6 2 4 2 5" xfId="38440"/>
    <cellStyle name="Input 2 6 2 4 2 6" xfId="38441"/>
    <cellStyle name="Input 2 6 2 4 2 7" xfId="38442"/>
    <cellStyle name="Input 2 6 2 4 2 8" xfId="38443"/>
    <cellStyle name="Input 2 6 2 4 2 9" xfId="38444"/>
    <cellStyle name="Input 2 6 2 4 3" xfId="38445"/>
    <cellStyle name="Input 2 6 2 4 4" xfId="38446"/>
    <cellStyle name="Input 2 6 2 4 5" xfId="38447"/>
    <cellStyle name="Input 2 6 2 4 6" xfId="38448"/>
    <cellStyle name="Input 2 6 2 4 7" xfId="38449"/>
    <cellStyle name="Input 2 6 2 4 8" xfId="38450"/>
    <cellStyle name="Input 2 6 2 4 9" xfId="38451"/>
    <cellStyle name="Input 2 6 2 5" xfId="38452"/>
    <cellStyle name="Input 2 6 3" xfId="38453"/>
    <cellStyle name="Input 2 6 3 2" xfId="38454"/>
    <cellStyle name="Input 2 6 3 2 10" xfId="38455"/>
    <cellStyle name="Input 2 6 3 2 11" xfId="38456"/>
    <cellStyle name="Input 2 6 3 2 12" xfId="38457"/>
    <cellStyle name="Input 2 6 3 2 13" xfId="38458"/>
    <cellStyle name="Input 2 6 3 2 14" xfId="38459"/>
    <cellStyle name="Input 2 6 3 2 15" xfId="38460"/>
    <cellStyle name="Input 2 6 3 2 16" xfId="38461"/>
    <cellStyle name="Input 2 6 3 2 17" xfId="38462"/>
    <cellStyle name="Input 2 6 3 2 18" xfId="38463"/>
    <cellStyle name="Input 2 6 3 2 19" xfId="38464"/>
    <cellStyle name="Input 2 6 3 2 2" xfId="38465"/>
    <cellStyle name="Input 2 6 3 2 2 2" xfId="38466"/>
    <cellStyle name="Input 2 6 3 2 2 3" xfId="38467"/>
    <cellStyle name="Input 2 6 3 2 2 4" xfId="38468"/>
    <cellStyle name="Input 2 6 3 2 2 5" xfId="38469"/>
    <cellStyle name="Input 2 6 3 2 2 6" xfId="38470"/>
    <cellStyle name="Input 2 6 3 2 2 7" xfId="38471"/>
    <cellStyle name="Input 2 6 3 2 2 8" xfId="38472"/>
    <cellStyle name="Input 2 6 3 2 2 9" xfId="38473"/>
    <cellStyle name="Input 2 6 3 2 3" xfId="38474"/>
    <cellStyle name="Input 2 6 3 2 4" xfId="38475"/>
    <cellStyle name="Input 2 6 3 2 5" xfId="38476"/>
    <cellStyle name="Input 2 6 3 2 6" xfId="38477"/>
    <cellStyle name="Input 2 6 3 2 7" xfId="38478"/>
    <cellStyle name="Input 2 6 3 2 8" xfId="38479"/>
    <cellStyle name="Input 2 6 3 2 9" xfId="38480"/>
    <cellStyle name="Input 2 6 3 3" xfId="38481"/>
    <cellStyle name="Input 2 6 3 3 10" xfId="38482"/>
    <cellStyle name="Input 2 6 3 3 11" xfId="38483"/>
    <cellStyle name="Input 2 6 3 3 12" xfId="38484"/>
    <cellStyle name="Input 2 6 3 3 13" xfId="38485"/>
    <cellStyle name="Input 2 6 3 3 14" xfId="38486"/>
    <cellStyle name="Input 2 6 3 3 15" xfId="38487"/>
    <cellStyle name="Input 2 6 3 3 16" xfId="38488"/>
    <cellStyle name="Input 2 6 3 3 17" xfId="38489"/>
    <cellStyle name="Input 2 6 3 3 18" xfId="38490"/>
    <cellStyle name="Input 2 6 3 3 2" xfId="38491"/>
    <cellStyle name="Input 2 6 3 3 2 2" xfId="38492"/>
    <cellStyle name="Input 2 6 3 3 2 3" xfId="38493"/>
    <cellStyle name="Input 2 6 3 3 2 4" xfId="38494"/>
    <cellStyle name="Input 2 6 3 3 2 5" xfId="38495"/>
    <cellStyle name="Input 2 6 3 3 2 6" xfId="38496"/>
    <cellStyle name="Input 2 6 3 3 2 7" xfId="38497"/>
    <cellStyle name="Input 2 6 3 3 2 8" xfId="38498"/>
    <cellStyle name="Input 2 6 3 3 2 9" xfId="38499"/>
    <cellStyle name="Input 2 6 3 3 3" xfId="38500"/>
    <cellStyle name="Input 2 6 3 3 4" xfId="38501"/>
    <cellStyle name="Input 2 6 3 3 5" xfId="38502"/>
    <cellStyle name="Input 2 6 3 3 6" xfId="38503"/>
    <cellStyle name="Input 2 6 3 3 7" xfId="38504"/>
    <cellStyle name="Input 2 6 3 3 8" xfId="38505"/>
    <cellStyle name="Input 2 6 3 3 9" xfId="38506"/>
    <cellStyle name="Input 2 6 3 4" xfId="38507"/>
    <cellStyle name="Input 2 6 3 4 10" xfId="38508"/>
    <cellStyle name="Input 2 6 3 4 11" xfId="38509"/>
    <cellStyle name="Input 2 6 3 4 12" xfId="38510"/>
    <cellStyle name="Input 2 6 3 4 13" xfId="38511"/>
    <cellStyle name="Input 2 6 3 4 14" xfId="38512"/>
    <cellStyle name="Input 2 6 3 4 15" xfId="38513"/>
    <cellStyle name="Input 2 6 3 4 16" xfId="38514"/>
    <cellStyle name="Input 2 6 3 4 17" xfId="38515"/>
    <cellStyle name="Input 2 6 3 4 18" xfId="38516"/>
    <cellStyle name="Input 2 6 3 4 19" xfId="38517"/>
    <cellStyle name="Input 2 6 3 4 2" xfId="38518"/>
    <cellStyle name="Input 2 6 3 4 2 2" xfId="38519"/>
    <cellStyle name="Input 2 6 3 4 2 3" xfId="38520"/>
    <cellStyle name="Input 2 6 3 4 2 4" xfId="38521"/>
    <cellStyle name="Input 2 6 3 4 2 5" xfId="38522"/>
    <cellStyle name="Input 2 6 3 4 2 6" xfId="38523"/>
    <cellStyle name="Input 2 6 3 4 2 7" xfId="38524"/>
    <cellStyle name="Input 2 6 3 4 2 8" xfId="38525"/>
    <cellStyle name="Input 2 6 3 4 2 9" xfId="38526"/>
    <cellStyle name="Input 2 6 3 4 3" xfId="38527"/>
    <cellStyle name="Input 2 6 3 4 4" xfId="38528"/>
    <cellStyle name="Input 2 6 3 4 5" xfId="38529"/>
    <cellStyle name="Input 2 6 3 4 6" xfId="38530"/>
    <cellStyle name="Input 2 6 3 4 7" xfId="38531"/>
    <cellStyle name="Input 2 6 3 4 8" xfId="38532"/>
    <cellStyle name="Input 2 6 3 4 9" xfId="38533"/>
    <cellStyle name="Input 2 6 4" xfId="38534"/>
    <cellStyle name="Input 2 6 4 10" xfId="38535"/>
    <cellStyle name="Input 2 6 4 11" xfId="38536"/>
    <cellStyle name="Input 2 6 4 12" xfId="38537"/>
    <cellStyle name="Input 2 6 4 13" xfId="38538"/>
    <cellStyle name="Input 2 6 4 14" xfId="38539"/>
    <cellStyle name="Input 2 6 4 15" xfId="38540"/>
    <cellStyle name="Input 2 6 4 16" xfId="38541"/>
    <cellStyle name="Input 2 6 4 17" xfId="38542"/>
    <cellStyle name="Input 2 6 4 18" xfId="38543"/>
    <cellStyle name="Input 2 6 4 19" xfId="38544"/>
    <cellStyle name="Input 2 6 4 2" xfId="38545"/>
    <cellStyle name="Input 2 6 4 2 2" xfId="38546"/>
    <cellStyle name="Input 2 6 4 2 3" xfId="38547"/>
    <cellStyle name="Input 2 6 4 2 4" xfId="38548"/>
    <cellStyle name="Input 2 6 4 2 5" xfId="38549"/>
    <cellStyle name="Input 2 6 4 2 6" xfId="38550"/>
    <cellStyle name="Input 2 6 4 2 7" xfId="38551"/>
    <cellStyle name="Input 2 6 4 2 8" xfId="38552"/>
    <cellStyle name="Input 2 6 4 2 9" xfId="38553"/>
    <cellStyle name="Input 2 6 4 3" xfId="38554"/>
    <cellStyle name="Input 2 6 4 4" xfId="38555"/>
    <cellStyle name="Input 2 6 4 5" xfId="38556"/>
    <cellStyle name="Input 2 6 4 6" xfId="38557"/>
    <cellStyle name="Input 2 6 4 7" xfId="38558"/>
    <cellStyle name="Input 2 6 4 8" xfId="38559"/>
    <cellStyle name="Input 2 6 4 9" xfId="38560"/>
    <cellStyle name="Input 2 6 5" xfId="38561"/>
    <cellStyle name="Input 2 6 5 10" xfId="38562"/>
    <cellStyle name="Input 2 6 5 11" xfId="38563"/>
    <cellStyle name="Input 2 6 5 12" xfId="38564"/>
    <cellStyle name="Input 2 6 5 13" xfId="38565"/>
    <cellStyle name="Input 2 6 5 14" xfId="38566"/>
    <cellStyle name="Input 2 6 5 15" xfId="38567"/>
    <cellStyle name="Input 2 6 5 16" xfId="38568"/>
    <cellStyle name="Input 2 6 5 17" xfId="38569"/>
    <cellStyle name="Input 2 6 5 18" xfId="38570"/>
    <cellStyle name="Input 2 6 5 2" xfId="38571"/>
    <cellStyle name="Input 2 6 5 2 2" xfId="38572"/>
    <cellStyle name="Input 2 6 5 2 3" xfId="38573"/>
    <cellStyle name="Input 2 6 5 2 4" xfId="38574"/>
    <cellStyle name="Input 2 6 5 2 5" xfId="38575"/>
    <cellStyle name="Input 2 6 5 2 6" xfId="38576"/>
    <cellStyle name="Input 2 6 5 2 7" xfId="38577"/>
    <cellStyle name="Input 2 6 5 2 8" xfId="38578"/>
    <cellStyle name="Input 2 6 5 2 9" xfId="38579"/>
    <cellStyle name="Input 2 6 5 3" xfId="38580"/>
    <cellStyle name="Input 2 6 5 4" xfId="38581"/>
    <cellStyle name="Input 2 6 5 5" xfId="38582"/>
    <cellStyle name="Input 2 6 5 6" xfId="38583"/>
    <cellStyle name="Input 2 6 5 7" xfId="38584"/>
    <cellStyle name="Input 2 6 5 8" xfId="38585"/>
    <cellStyle name="Input 2 6 5 9" xfId="38586"/>
    <cellStyle name="Input 2 6 6" xfId="38587"/>
    <cellStyle name="Input 2 6 6 10" xfId="38588"/>
    <cellStyle name="Input 2 6 6 11" xfId="38589"/>
    <cellStyle name="Input 2 6 6 12" xfId="38590"/>
    <cellStyle name="Input 2 6 6 13" xfId="38591"/>
    <cellStyle name="Input 2 6 6 14" xfId="38592"/>
    <cellStyle name="Input 2 6 6 15" xfId="38593"/>
    <cellStyle name="Input 2 6 6 16" xfId="38594"/>
    <cellStyle name="Input 2 6 6 17" xfId="38595"/>
    <cellStyle name="Input 2 6 6 18" xfId="38596"/>
    <cellStyle name="Input 2 6 6 19" xfId="38597"/>
    <cellStyle name="Input 2 6 6 2" xfId="38598"/>
    <cellStyle name="Input 2 6 6 2 2" xfId="38599"/>
    <cellStyle name="Input 2 6 6 2 3" xfId="38600"/>
    <cellStyle name="Input 2 6 6 2 4" xfId="38601"/>
    <cellStyle name="Input 2 6 6 2 5" xfId="38602"/>
    <cellStyle name="Input 2 6 6 2 6" xfId="38603"/>
    <cellStyle name="Input 2 6 6 2 7" xfId="38604"/>
    <cellStyle name="Input 2 6 6 2 8" xfId="38605"/>
    <cellStyle name="Input 2 6 6 2 9" xfId="38606"/>
    <cellStyle name="Input 2 6 6 3" xfId="38607"/>
    <cellStyle name="Input 2 6 6 4" xfId="38608"/>
    <cellStyle name="Input 2 6 6 5" xfId="38609"/>
    <cellStyle name="Input 2 6 6 6" xfId="38610"/>
    <cellStyle name="Input 2 6 6 7" xfId="38611"/>
    <cellStyle name="Input 2 6 6 8" xfId="38612"/>
    <cellStyle name="Input 2 6 6 9" xfId="38613"/>
    <cellStyle name="Input 2 7" xfId="38614"/>
    <cellStyle name="Input 2 7 2" xfId="38615"/>
    <cellStyle name="Input 2 7 2 2" xfId="38616"/>
    <cellStyle name="Input 2 7 2 2 10" xfId="38617"/>
    <cellStyle name="Input 2 7 2 2 11" xfId="38618"/>
    <cellStyle name="Input 2 7 2 2 12" xfId="38619"/>
    <cellStyle name="Input 2 7 2 2 13" xfId="38620"/>
    <cellStyle name="Input 2 7 2 2 14" xfId="38621"/>
    <cellStyle name="Input 2 7 2 2 15" xfId="38622"/>
    <cellStyle name="Input 2 7 2 2 16" xfId="38623"/>
    <cellStyle name="Input 2 7 2 2 17" xfId="38624"/>
    <cellStyle name="Input 2 7 2 2 18" xfId="38625"/>
    <cellStyle name="Input 2 7 2 2 19" xfId="38626"/>
    <cellStyle name="Input 2 7 2 2 2" xfId="38627"/>
    <cellStyle name="Input 2 7 2 2 2 2" xfId="38628"/>
    <cellStyle name="Input 2 7 2 2 2 3" xfId="38629"/>
    <cellStyle name="Input 2 7 2 2 2 4" xfId="38630"/>
    <cellStyle name="Input 2 7 2 2 2 5" xfId="38631"/>
    <cellStyle name="Input 2 7 2 2 2 6" xfId="38632"/>
    <cellStyle name="Input 2 7 2 2 2 7" xfId="38633"/>
    <cellStyle name="Input 2 7 2 2 2 8" xfId="38634"/>
    <cellStyle name="Input 2 7 2 2 2 9" xfId="38635"/>
    <cellStyle name="Input 2 7 2 2 3" xfId="38636"/>
    <cellStyle name="Input 2 7 2 2 4" xfId="38637"/>
    <cellStyle name="Input 2 7 2 2 5" xfId="38638"/>
    <cellStyle name="Input 2 7 2 2 6" xfId="38639"/>
    <cellStyle name="Input 2 7 2 2 7" xfId="38640"/>
    <cellStyle name="Input 2 7 2 2 8" xfId="38641"/>
    <cellStyle name="Input 2 7 2 2 9" xfId="38642"/>
    <cellStyle name="Input 2 7 2 3" xfId="38643"/>
    <cellStyle name="Input 2 7 2 3 10" xfId="38644"/>
    <cellStyle name="Input 2 7 2 3 11" xfId="38645"/>
    <cellStyle name="Input 2 7 2 3 12" xfId="38646"/>
    <cellStyle name="Input 2 7 2 3 13" xfId="38647"/>
    <cellStyle name="Input 2 7 2 3 14" xfId="38648"/>
    <cellStyle name="Input 2 7 2 3 15" xfId="38649"/>
    <cellStyle name="Input 2 7 2 3 16" xfId="38650"/>
    <cellStyle name="Input 2 7 2 3 17" xfId="38651"/>
    <cellStyle name="Input 2 7 2 3 18" xfId="38652"/>
    <cellStyle name="Input 2 7 2 3 2" xfId="38653"/>
    <cellStyle name="Input 2 7 2 3 2 2" xfId="38654"/>
    <cellStyle name="Input 2 7 2 3 2 3" xfId="38655"/>
    <cellStyle name="Input 2 7 2 3 2 4" xfId="38656"/>
    <cellStyle name="Input 2 7 2 3 2 5" xfId="38657"/>
    <cellStyle name="Input 2 7 2 3 2 6" xfId="38658"/>
    <cellStyle name="Input 2 7 2 3 2 7" xfId="38659"/>
    <cellStyle name="Input 2 7 2 3 2 8" xfId="38660"/>
    <cellStyle name="Input 2 7 2 3 2 9" xfId="38661"/>
    <cellStyle name="Input 2 7 2 3 3" xfId="38662"/>
    <cellStyle name="Input 2 7 2 3 4" xfId="38663"/>
    <cellStyle name="Input 2 7 2 3 5" xfId="38664"/>
    <cellStyle name="Input 2 7 2 3 6" xfId="38665"/>
    <cellStyle name="Input 2 7 2 3 7" xfId="38666"/>
    <cellStyle name="Input 2 7 2 3 8" xfId="38667"/>
    <cellStyle name="Input 2 7 2 3 9" xfId="38668"/>
    <cellStyle name="Input 2 7 2 4" xfId="38669"/>
    <cellStyle name="Input 2 7 2 4 10" xfId="38670"/>
    <cellStyle name="Input 2 7 2 4 11" xfId="38671"/>
    <cellStyle name="Input 2 7 2 4 12" xfId="38672"/>
    <cellStyle name="Input 2 7 2 4 13" xfId="38673"/>
    <cellStyle name="Input 2 7 2 4 14" xfId="38674"/>
    <cellStyle name="Input 2 7 2 4 15" xfId="38675"/>
    <cellStyle name="Input 2 7 2 4 16" xfId="38676"/>
    <cellStyle name="Input 2 7 2 4 17" xfId="38677"/>
    <cellStyle name="Input 2 7 2 4 18" xfId="38678"/>
    <cellStyle name="Input 2 7 2 4 19" xfId="38679"/>
    <cellStyle name="Input 2 7 2 4 2" xfId="38680"/>
    <cellStyle name="Input 2 7 2 4 2 2" xfId="38681"/>
    <cellStyle name="Input 2 7 2 4 2 3" xfId="38682"/>
    <cellStyle name="Input 2 7 2 4 2 4" xfId="38683"/>
    <cellStyle name="Input 2 7 2 4 2 5" xfId="38684"/>
    <cellStyle name="Input 2 7 2 4 2 6" xfId="38685"/>
    <cellStyle name="Input 2 7 2 4 2 7" xfId="38686"/>
    <cellStyle name="Input 2 7 2 4 2 8" xfId="38687"/>
    <cellStyle name="Input 2 7 2 4 2 9" xfId="38688"/>
    <cellStyle name="Input 2 7 2 4 3" xfId="38689"/>
    <cellStyle name="Input 2 7 2 4 4" xfId="38690"/>
    <cellStyle name="Input 2 7 2 4 5" xfId="38691"/>
    <cellStyle name="Input 2 7 2 4 6" xfId="38692"/>
    <cellStyle name="Input 2 7 2 4 7" xfId="38693"/>
    <cellStyle name="Input 2 7 2 4 8" xfId="38694"/>
    <cellStyle name="Input 2 7 2 4 9" xfId="38695"/>
    <cellStyle name="Input 2 7 2 5" xfId="38696"/>
    <cellStyle name="Input 2 7 3" xfId="38697"/>
    <cellStyle name="Input 2 7 3 2" xfId="38698"/>
    <cellStyle name="Input 2 7 3 2 10" xfId="38699"/>
    <cellStyle name="Input 2 7 3 2 11" xfId="38700"/>
    <cellStyle name="Input 2 7 3 2 12" xfId="38701"/>
    <cellStyle name="Input 2 7 3 2 13" xfId="38702"/>
    <cellStyle name="Input 2 7 3 2 14" xfId="38703"/>
    <cellStyle name="Input 2 7 3 2 15" xfId="38704"/>
    <cellStyle name="Input 2 7 3 2 16" xfId="38705"/>
    <cellStyle name="Input 2 7 3 2 17" xfId="38706"/>
    <cellStyle name="Input 2 7 3 2 18" xfId="38707"/>
    <cellStyle name="Input 2 7 3 2 19" xfId="38708"/>
    <cellStyle name="Input 2 7 3 2 2" xfId="38709"/>
    <cellStyle name="Input 2 7 3 2 2 2" xfId="38710"/>
    <cellStyle name="Input 2 7 3 2 2 3" xfId="38711"/>
    <cellStyle name="Input 2 7 3 2 2 4" xfId="38712"/>
    <cellStyle name="Input 2 7 3 2 2 5" xfId="38713"/>
    <cellStyle name="Input 2 7 3 2 2 6" xfId="38714"/>
    <cellStyle name="Input 2 7 3 2 2 7" xfId="38715"/>
    <cellStyle name="Input 2 7 3 2 2 8" xfId="38716"/>
    <cellStyle name="Input 2 7 3 2 2 9" xfId="38717"/>
    <cellStyle name="Input 2 7 3 2 3" xfId="38718"/>
    <cellStyle name="Input 2 7 3 2 4" xfId="38719"/>
    <cellStyle name="Input 2 7 3 2 5" xfId="38720"/>
    <cellStyle name="Input 2 7 3 2 6" xfId="38721"/>
    <cellStyle name="Input 2 7 3 2 7" xfId="38722"/>
    <cellStyle name="Input 2 7 3 2 8" xfId="38723"/>
    <cellStyle name="Input 2 7 3 2 9" xfId="38724"/>
    <cellStyle name="Input 2 7 3 3" xfId="38725"/>
    <cellStyle name="Input 2 7 3 3 10" xfId="38726"/>
    <cellStyle name="Input 2 7 3 3 11" xfId="38727"/>
    <cellStyle name="Input 2 7 3 3 12" xfId="38728"/>
    <cellStyle name="Input 2 7 3 3 13" xfId="38729"/>
    <cellStyle name="Input 2 7 3 3 14" xfId="38730"/>
    <cellStyle name="Input 2 7 3 3 15" xfId="38731"/>
    <cellStyle name="Input 2 7 3 3 16" xfId="38732"/>
    <cellStyle name="Input 2 7 3 3 17" xfId="38733"/>
    <cellStyle name="Input 2 7 3 3 18" xfId="38734"/>
    <cellStyle name="Input 2 7 3 3 2" xfId="38735"/>
    <cellStyle name="Input 2 7 3 3 2 2" xfId="38736"/>
    <cellStyle name="Input 2 7 3 3 2 3" xfId="38737"/>
    <cellStyle name="Input 2 7 3 3 2 4" xfId="38738"/>
    <cellStyle name="Input 2 7 3 3 2 5" xfId="38739"/>
    <cellStyle name="Input 2 7 3 3 2 6" xfId="38740"/>
    <cellStyle name="Input 2 7 3 3 2 7" xfId="38741"/>
    <cellStyle name="Input 2 7 3 3 2 8" xfId="38742"/>
    <cellStyle name="Input 2 7 3 3 2 9" xfId="38743"/>
    <cellStyle name="Input 2 7 3 3 3" xfId="38744"/>
    <cellStyle name="Input 2 7 3 3 4" xfId="38745"/>
    <cellStyle name="Input 2 7 3 3 5" xfId="38746"/>
    <cellStyle name="Input 2 7 3 3 6" xfId="38747"/>
    <cellStyle name="Input 2 7 3 3 7" xfId="38748"/>
    <cellStyle name="Input 2 7 3 3 8" xfId="38749"/>
    <cellStyle name="Input 2 7 3 3 9" xfId="38750"/>
    <cellStyle name="Input 2 7 3 4" xfId="38751"/>
    <cellStyle name="Input 2 7 3 4 10" xfId="38752"/>
    <cellStyle name="Input 2 7 3 4 11" xfId="38753"/>
    <cellStyle name="Input 2 7 3 4 12" xfId="38754"/>
    <cellStyle name="Input 2 7 3 4 13" xfId="38755"/>
    <cellStyle name="Input 2 7 3 4 14" xfId="38756"/>
    <cellStyle name="Input 2 7 3 4 15" xfId="38757"/>
    <cellStyle name="Input 2 7 3 4 16" xfId="38758"/>
    <cellStyle name="Input 2 7 3 4 17" xfId="38759"/>
    <cellStyle name="Input 2 7 3 4 18" xfId="38760"/>
    <cellStyle name="Input 2 7 3 4 19" xfId="38761"/>
    <cellStyle name="Input 2 7 3 4 2" xfId="38762"/>
    <cellStyle name="Input 2 7 3 4 2 2" xfId="38763"/>
    <cellStyle name="Input 2 7 3 4 2 3" xfId="38764"/>
    <cellStyle name="Input 2 7 3 4 2 4" xfId="38765"/>
    <cellStyle name="Input 2 7 3 4 2 5" xfId="38766"/>
    <cellStyle name="Input 2 7 3 4 2 6" xfId="38767"/>
    <cellStyle name="Input 2 7 3 4 2 7" xfId="38768"/>
    <cellStyle name="Input 2 7 3 4 2 8" xfId="38769"/>
    <cellStyle name="Input 2 7 3 4 2 9" xfId="38770"/>
    <cellStyle name="Input 2 7 3 4 3" xfId="38771"/>
    <cellStyle name="Input 2 7 3 4 4" xfId="38772"/>
    <cellStyle name="Input 2 7 3 4 5" xfId="38773"/>
    <cellStyle name="Input 2 7 3 4 6" xfId="38774"/>
    <cellStyle name="Input 2 7 3 4 7" xfId="38775"/>
    <cellStyle name="Input 2 7 3 4 8" xfId="38776"/>
    <cellStyle name="Input 2 7 3 4 9" xfId="38777"/>
    <cellStyle name="Input 2 7 4" xfId="38778"/>
    <cellStyle name="Input 2 7 4 10" xfId="38779"/>
    <cellStyle name="Input 2 7 4 11" xfId="38780"/>
    <cellStyle name="Input 2 7 4 12" xfId="38781"/>
    <cellStyle name="Input 2 7 4 13" xfId="38782"/>
    <cellStyle name="Input 2 7 4 14" xfId="38783"/>
    <cellStyle name="Input 2 7 4 15" xfId="38784"/>
    <cellStyle name="Input 2 7 4 16" xfId="38785"/>
    <cellStyle name="Input 2 7 4 17" xfId="38786"/>
    <cellStyle name="Input 2 7 4 18" xfId="38787"/>
    <cellStyle name="Input 2 7 4 19" xfId="38788"/>
    <cellStyle name="Input 2 7 4 2" xfId="38789"/>
    <cellStyle name="Input 2 7 4 2 2" xfId="38790"/>
    <cellStyle name="Input 2 7 4 2 3" xfId="38791"/>
    <cellStyle name="Input 2 7 4 2 4" xfId="38792"/>
    <cellStyle name="Input 2 7 4 2 5" xfId="38793"/>
    <cellStyle name="Input 2 7 4 2 6" xfId="38794"/>
    <cellStyle name="Input 2 7 4 2 7" xfId="38795"/>
    <cellStyle name="Input 2 7 4 2 8" xfId="38796"/>
    <cellStyle name="Input 2 7 4 2 9" xfId="38797"/>
    <cellStyle name="Input 2 7 4 3" xfId="38798"/>
    <cellStyle name="Input 2 7 4 4" xfId="38799"/>
    <cellStyle name="Input 2 7 4 5" xfId="38800"/>
    <cellStyle name="Input 2 7 4 6" xfId="38801"/>
    <cellStyle name="Input 2 7 4 7" xfId="38802"/>
    <cellStyle name="Input 2 7 4 8" xfId="38803"/>
    <cellStyle name="Input 2 7 4 9" xfId="38804"/>
    <cellStyle name="Input 2 7 5" xfId="38805"/>
    <cellStyle name="Input 2 7 5 10" xfId="38806"/>
    <cellStyle name="Input 2 7 5 11" xfId="38807"/>
    <cellStyle name="Input 2 7 5 12" xfId="38808"/>
    <cellStyle name="Input 2 7 5 13" xfId="38809"/>
    <cellStyle name="Input 2 7 5 14" xfId="38810"/>
    <cellStyle name="Input 2 7 5 15" xfId="38811"/>
    <cellStyle name="Input 2 7 5 16" xfId="38812"/>
    <cellStyle name="Input 2 7 5 17" xfId="38813"/>
    <cellStyle name="Input 2 7 5 18" xfId="38814"/>
    <cellStyle name="Input 2 7 5 2" xfId="38815"/>
    <cellStyle name="Input 2 7 5 2 2" xfId="38816"/>
    <cellStyle name="Input 2 7 5 2 3" xfId="38817"/>
    <cellStyle name="Input 2 7 5 2 4" xfId="38818"/>
    <cellStyle name="Input 2 7 5 2 5" xfId="38819"/>
    <cellStyle name="Input 2 7 5 2 6" xfId="38820"/>
    <cellStyle name="Input 2 7 5 2 7" xfId="38821"/>
    <cellStyle name="Input 2 7 5 2 8" xfId="38822"/>
    <cellStyle name="Input 2 7 5 2 9" xfId="38823"/>
    <cellStyle name="Input 2 7 5 3" xfId="38824"/>
    <cellStyle name="Input 2 7 5 4" xfId="38825"/>
    <cellStyle name="Input 2 7 5 5" xfId="38826"/>
    <cellStyle name="Input 2 7 5 6" xfId="38827"/>
    <cellStyle name="Input 2 7 5 7" xfId="38828"/>
    <cellStyle name="Input 2 7 5 8" xfId="38829"/>
    <cellStyle name="Input 2 7 5 9" xfId="38830"/>
    <cellStyle name="Input 2 7 6" xfId="38831"/>
    <cellStyle name="Input 2 7 6 10" xfId="38832"/>
    <cellStyle name="Input 2 7 6 11" xfId="38833"/>
    <cellStyle name="Input 2 7 6 12" xfId="38834"/>
    <cellStyle name="Input 2 7 6 13" xfId="38835"/>
    <cellStyle name="Input 2 7 6 14" xfId="38836"/>
    <cellStyle name="Input 2 7 6 15" xfId="38837"/>
    <cellStyle name="Input 2 7 6 16" xfId="38838"/>
    <cellStyle name="Input 2 7 6 17" xfId="38839"/>
    <cellStyle name="Input 2 7 6 18" xfId="38840"/>
    <cellStyle name="Input 2 7 6 19" xfId="38841"/>
    <cellStyle name="Input 2 7 6 2" xfId="38842"/>
    <cellStyle name="Input 2 7 6 2 2" xfId="38843"/>
    <cellStyle name="Input 2 7 6 2 3" xfId="38844"/>
    <cellStyle name="Input 2 7 6 2 4" xfId="38845"/>
    <cellStyle name="Input 2 7 6 2 5" xfId="38846"/>
    <cellStyle name="Input 2 7 6 2 6" xfId="38847"/>
    <cellStyle name="Input 2 7 6 2 7" xfId="38848"/>
    <cellStyle name="Input 2 7 6 2 8" xfId="38849"/>
    <cellStyle name="Input 2 7 6 2 9" xfId="38850"/>
    <cellStyle name="Input 2 7 6 3" xfId="38851"/>
    <cellStyle name="Input 2 7 6 4" xfId="38852"/>
    <cellStyle name="Input 2 7 6 5" xfId="38853"/>
    <cellStyle name="Input 2 7 6 6" xfId="38854"/>
    <cellStyle name="Input 2 7 6 7" xfId="38855"/>
    <cellStyle name="Input 2 7 6 8" xfId="38856"/>
    <cellStyle name="Input 2 7 6 9" xfId="38857"/>
    <cellStyle name="Input 2 8" xfId="38858"/>
    <cellStyle name="Input 2 8 2" xfId="38859"/>
    <cellStyle name="Input 2 8 2 2" xfId="38860"/>
    <cellStyle name="Input 2 8 2 2 10" xfId="38861"/>
    <cellStyle name="Input 2 8 2 2 11" xfId="38862"/>
    <cellStyle name="Input 2 8 2 2 12" xfId="38863"/>
    <cellStyle name="Input 2 8 2 2 13" xfId="38864"/>
    <cellStyle name="Input 2 8 2 2 14" xfId="38865"/>
    <cellStyle name="Input 2 8 2 2 15" xfId="38866"/>
    <cellStyle name="Input 2 8 2 2 16" xfId="38867"/>
    <cellStyle name="Input 2 8 2 2 17" xfId="38868"/>
    <cellStyle name="Input 2 8 2 2 18" xfId="38869"/>
    <cellStyle name="Input 2 8 2 2 19" xfId="38870"/>
    <cellStyle name="Input 2 8 2 2 2" xfId="38871"/>
    <cellStyle name="Input 2 8 2 2 2 2" xfId="38872"/>
    <cellStyle name="Input 2 8 2 2 2 3" xfId="38873"/>
    <cellStyle name="Input 2 8 2 2 2 4" xfId="38874"/>
    <cellStyle name="Input 2 8 2 2 2 5" xfId="38875"/>
    <cellStyle name="Input 2 8 2 2 2 6" xfId="38876"/>
    <cellStyle name="Input 2 8 2 2 2 7" xfId="38877"/>
    <cellStyle name="Input 2 8 2 2 2 8" xfId="38878"/>
    <cellStyle name="Input 2 8 2 2 2 9" xfId="38879"/>
    <cellStyle name="Input 2 8 2 2 3" xfId="38880"/>
    <cellStyle name="Input 2 8 2 2 4" xfId="38881"/>
    <cellStyle name="Input 2 8 2 2 5" xfId="38882"/>
    <cellStyle name="Input 2 8 2 2 6" xfId="38883"/>
    <cellStyle name="Input 2 8 2 2 7" xfId="38884"/>
    <cellStyle name="Input 2 8 2 2 8" xfId="38885"/>
    <cellStyle name="Input 2 8 2 2 9" xfId="38886"/>
    <cellStyle name="Input 2 8 2 3" xfId="38887"/>
    <cellStyle name="Input 2 8 2 3 10" xfId="38888"/>
    <cellStyle name="Input 2 8 2 3 11" xfId="38889"/>
    <cellStyle name="Input 2 8 2 3 12" xfId="38890"/>
    <cellStyle name="Input 2 8 2 3 13" xfId="38891"/>
    <cellStyle name="Input 2 8 2 3 14" xfId="38892"/>
    <cellStyle name="Input 2 8 2 3 15" xfId="38893"/>
    <cellStyle name="Input 2 8 2 3 16" xfId="38894"/>
    <cellStyle name="Input 2 8 2 3 17" xfId="38895"/>
    <cellStyle name="Input 2 8 2 3 18" xfId="38896"/>
    <cellStyle name="Input 2 8 2 3 2" xfId="38897"/>
    <cellStyle name="Input 2 8 2 3 2 2" xfId="38898"/>
    <cellStyle name="Input 2 8 2 3 2 3" xfId="38899"/>
    <cellStyle name="Input 2 8 2 3 2 4" xfId="38900"/>
    <cellStyle name="Input 2 8 2 3 2 5" xfId="38901"/>
    <cellStyle name="Input 2 8 2 3 2 6" xfId="38902"/>
    <cellStyle name="Input 2 8 2 3 2 7" xfId="38903"/>
    <cellStyle name="Input 2 8 2 3 2 8" xfId="38904"/>
    <cellStyle name="Input 2 8 2 3 2 9" xfId="38905"/>
    <cellStyle name="Input 2 8 2 3 3" xfId="38906"/>
    <cellStyle name="Input 2 8 2 3 4" xfId="38907"/>
    <cellStyle name="Input 2 8 2 3 5" xfId="38908"/>
    <cellStyle name="Input 2 8 2 3 6" xfId="38909"/>
    <cellStyle name="Input 2 8 2 3 7" xfId="38910"/>
    <cellStyle name="Input 2 8 2 3 8" xfId="38911"/>
    <cellStyle name="Input 2 8 2 3 9" xfId="38912"/>
    <cellStyle name="Input 2 8 2 4" xfId="38913"/>
    <cellStyle name="Input 2 8 2 4 10" xfId="38914"/>
    <cellStyle name="Input 2 8 2 4 11" xfId="38915"/>
    <cellStyle name="Input 2 8 2 4 12" xfId="38916"/>
    <cellStyle name="Input 2 8 2 4 13" xfId="38917"/>
    <cellStyle name="Input 2 8 2 4 14" xfId="38918"/>
    <cellStyle name="Input 2 8 2 4 15" xfId="38919"/>
    <cellStyle name="Input 2 8 2 4 16" xfId="38920"/>
    <cellStyle name="Input 2 8 2 4 17" xfId="38921"/>
    <cellStyle name="Input 2 8 2 4 18" xfId="38922"/>
    <cellStyle name="Input 2 8 2 4 19" xfId="38923"/>
    <cellStyle name="Input 2 8 2 4 2" xfId="38924"/>
    <cellStyle name="Input 2 8 2 4 2 2" xfId="38925"/>
    <cellStyle name="Input 2 8 2 4 2 3" xfId="38926"/>
    <cellStyle name="Input 2 8 2 4 2 4" xfId="38927"/>
    <cellStyle name="Input 2 8 2 4 2 5" xfId="38928"/>
    <cellStyle name="Input 2 8 2 4 2 6" xfId="38929"/>
    <cellStyle name="Input 2 8 2 4 2 7" xfId="38930"/>
    <cellStyle name="Input 2 8 2 4 2 8" xfId="38931"/>
    <cellStyle name="Input 2 8 2 4 2 9" xfId="38932"/>
    <cellStyle name="Input 2 8 2 4 3" xfId="38933"/>
    <cellStyle name="Input 2 8 2 4 4" xfId="38934"/>
    <cellStyle name="Input 2 8 2 4 5" xfId="38935"/>
    <cellStyle name="Input 2 8 2 4 6" xfId="38936"/>
    <cellStyle name="Input 2 8 2 4 7" xfId="38937"/>
    <cellStyle name="Input 2 8 2 4 8" xfId="38938"/>
    <cellStyle name="Input 2 8 2 4 9" xfId="38939"/>
    <cellStyle name="Input 2 8 2 5" xfId="38940"/>
    <cellStyle name="Input 2 8 3" xfId="38941"/>
    <cellStyle name="Input 2 8 3 2" xfId="38942"/>
    <cellStyle name="Input 2 8 3 2 10" xfId="38943"/>
    <cellStyle name="Input 2 8 3 2 11" xfId="38944"/>
    <cellStyle name="Input 2 8 3 2 12" xfId="38945"/>
    <cellStyle name="Input 2 8 3 2 13" xfId="38946"/>
    <cellStyle name="Input 2 8 3 2 14" xfId="38947"/>
    <cellStyle name="Input 2 8 3 2 15" xfId="38948"/>
    <cellStyle name="Input 2 8 3 2 16" xfId="38949"/>
    <cellStyle name="Input 2 8 3 2 17" xfId="38950"/>
    <cellStyle name="Input 2 8 3 2 18" xfId="38951"/>
    <cellStyle name="Input 2 8 3 2 19" xfId="38952"/>
    <cellStyle name="Input 2 8 3 2 2" xfId="38953"/>
    <cellStyle name="Input 2 8 3 2 2 2" xfId="38954"/>
    <cellStyle name="Input 2 8 3 2 2 3" xfId="38955"/>
    <cellStyle name="Input 2 8 3 2 2 4" xfId="38956"/>
    <cellStyle name="Input 2 8 3 2 2 5" xfId="38957"/>
    <cellStyle name="Input 2 8 3 2 2 6" xfId="38958"/>
    <cellStyle name="Input 2 8 3 2 2 7" xfId="38959"/>
    <cellStyle name="Input 2 8 3 2 2 8" xfId="38960"/>
    <cellStyle name="Input 2 8 3 2 2 9" xfId="38961"/>
    <cellStyle name="Input 2 8 3 2 3" xfId="38962"/>
    <cellStyle name="Input 2 8 3 2 4" xfId="38963"/>
    <cellStyle name="Input 2 8 3 2 5" xfId="38964"/>
    <cellStyle name="Input 2 8 3 2 6" xfId="38965"/>
    <cellStyle name="Input 2 8 3 2 7" xfId="38966"/>
    <cellStyle name="Input 2 8 3 2 8" xfId="38967"/>
    <cellStyle name="Input 2 8 3 2 9" xfId="38968"/>
    <cellStyle name="Input 2 8 3 3" xfId="38969"/>
    <cellStyle name="Input 2 8 3 3 10" xfId="38970"/>
    <cellStyle name="Input 2 8 3 3 11" xfId="38971"/>
    <cellStyle name="Input 2 8 3 3 12" xfId="38972"/>
    <cellStyle name="Input 2 8 3 3 13" xfId="38973"/>
    <cellStyle name="Input 2 8 3 3 14" xfId="38974"/>
    <cellStyle name="Input 2 8 3 3 15" xfId="38975"/>
    <cellStyle name="Input 2 8 3 3 16" xfId="38976"/>
    <cellStyle name="Input 2 8 3 3 17" xfId="38977"/>
    <cellStyle name="Input 2 8 3 3 18" xfId="38978"/>
    <cellStyle name="Input 2 8 3 3 2" xfId="38979"/>
    <cellStyle name="Input 2 8 3 3 2 2" xfId="38980"/>
    <cellStyle name="Input 2 8 3 3 2 3" xfId="38981"/>
    <cellStyle name="Input 2 8 3 3 2 4" xfId="38982"/>
    <cellStyle name="Input 2 8 3 3 2 5" xfId="38983"/>
    <cellStyle name="Input 2 8 3 3 2 6" xfId="38984"/>
    <cellStyle name="Input 2 8 3 3 2 7" xfId="38985"/>
    <cellStyle name="Input 2 8 3 3 2 8" xfId="38986"/>
    <cellStyle name="Input 2 8 3 3 2 9" xfId="38987"/>
    <cellStyle name="Input 2 8 3 3 3" xfId="38988"/>
    <cellStyle name="Input 2 8 3 3 4" xfId="38989"/>
    <cellStyle name="Input 2 8 3 3 5" xfId="38990"/>
    <cellStyle name="Input 2 8 3 3 6" xfId="38991"/>
    <cellStyle name="Input 2 8 3 3 7" xfId="38992"/>
    <cellStyle name="Input 2 8 3 3 8" xfId="38993"/>
    <cellStyle name="Input 2 8 3 3 9" xfId="38994"/>
    <cellStyle name="Input 2 8 3 4" xfId="38995"/>
    <cellStyle name="Input 2 8 3 4 10" xfId="38996"/>
    <cellStyle name="Input 2 8 3 4 11" xfId="38997"/>
    <cellStyle name="Input 2 8 3 4 12" xfId="38998"/>
    <cellStyle name="Input 2 8 3 4 13" xfId="38999"/>
    <cellStyle name="Input 2 8 3 4 14" xfId="39000"/>
    <cellStyle name="Input 2 8 3 4 15" xfId="39001"/>
    <cellStyle name="Input 2 8 3 4 16" xfId="39002"/>
    <cellStyle name="Input 2 8 3 4 17" xfId="39003"/>
    <cellStyle name="Input 2 8 3 4 18" xfId="39004"/>
    <cellStyle name="Input 2 8 3 4 19" xfId="39005"/>
    <cellStyle name="Input 2 8 3 4 2" xfId="39006"/>
    <cellStyle name="Input 2 8 3 4 2 2" xfId="39007"/>
    <cellStyle name="Input 2 8 3 4 2 3" xfId="39008"/>
    <cellStyle name="Input 2 8 3 4 2 4" xfId="39009"/>
    <cellStyle name="Input 2 8 3 4 2 5" xfId="39010"/>
    <cellStyle name="Input 2 8 3 4 2 6" xfId="39011"/>
    <cellStyle name="Input 2 8 3 4 2 7" xfId="39012"/>
    <cellStyle name="Input 2 8 3 4 2 8" xfId="39013"/>
    <cellStyle name="Input 2 8 3 4 2 9" xfId="39014"/>
    <cellStyle name="Input 2 8 3 4 3" xfId="39015"/>
    <cellStyle name="Input 2 8 3 4 4" xfId="39016"/>
    <cellStyle name="Input 2 8 3 4 5" xfId="39017"/>
    <cellStyle name="Input 2 8 3 4 6" xfId="39018"/>
    <cellStyle name="Input 2 8 3 4 7" xfId="39019"/>
    <cellStyle name="Input 2 8 3 4 8" xfId="39020"/>
    <cellStyle name="Input 2 8 3 4 9" xfId="39021"/>
    <cellStyle name="Input 2 8 4" xfId="39022"/>
    <cellStyle name="Input 2 8 4 10" xfId="39023"/>
    <cellStyle name="Input 2 8 4 11" xfId="39024"/>
    <cellStyle name="Input 2 8 4 12" xfId="39025"/>
    <cellStyle name="Input 2 8 4 13" xfId="39026"/>
    <cellStyle name="Input 2 8 4 14" xfId="39027"/>
    <cellStyle name="Input 2 8 4 15" xfId="39028"/>
    <cellStyle name="Input 2 8 4 16" xfId="39029"/>
    <cellStyle name="Input 2 8 4 17" xfId="39030"/>
    <cellStyle name="Input 2 8 4 18" xfId="39031"/>
    <cellStyle name="Input 2 8 4 19" xfId="39032"/>
    <cellStyle name="Input 2 8 4 2" xfId="39033"/>
    <cellStyle name="Input 2 8 4 2 2" xfId="39034"/>
    <cellStyle name="Input 2 8 4 2 3" xfId="39035"/>
    <cellStyle name="Input 2 8 4 2 4" xfId="39036"/>
    <cellStyle name="Input 2 8 4 2 5" xfId="39037"/>
    <cellStyle name="Input 2 8 4 2 6" xfId="39038"/>
    <cellStyle name="Input 2 8 4 2 7" xfId="39039"/>
    <cellStyle name="Input 2 8 4 2 8" xfId="39040"/>
    <cellStyle name="Input 2 8 4 2 9" xfId="39041"/>
    <cellStyle name="Input 2 8 4 3" xfId="39042"/>
    <cellStyle name="Input 2 8 4 4" xfId="39043"/>
    <cellStyle name="Input 2 8 4 5" xfId="39044"/>
    <cellStyle name="Input 2 8 4 6" xfId="39045"/>
    <cellStyle name="Input 2 8 4 7" xfId="39046"/>
    <cellStyle name="Input 2 8 4 8" xfId="39047"/>
    <cellStyle name="Input 2 8 4 9" xfId="39048"/>
    <cellStyle name="Input 2 8 5" xfId="39049"/>
    <cellStyle name="Input 2 8 5 10" xfId="39050"/>
    <cellStyle name="Input 2 8 5 11" xfId="39051"/>
    <cellStyle name="Input 2 8 5 12" xfId="39052"/>
    <cellStyle name="Input 2 8 5 13" xfId="39053"/>
    <cellStyle name="Input 2 8 5 14" xfId="39054"/>
    <cellStyle name="Input 2 8 5 15" xfId="39055"/>
    <cellStyle name="Input 2 8 5 16" xfId="39056"/>
    <cellStyle name="Input 2 8 5 17" xfId="39057"/>
    <cellStyle name="Input 2 8 5 18" xfId="39058"/>
    <cellStyle name="Input 2 8 5 2" xfId="39059"/>
    <cellStyle name="Input 2 8 5 2 2" xfId="39060"/>
    <cellStyle name="Input 2 8 5 2 3" xfId="39061"/>
    <cellStyle name="Input 2 8 5 2 4" xfId="39062"/>
    <cellStyle name="Input 2 8 5 2 5" xfId="39063"/>
    <cellStyle name="Input 2 8 5 2 6" xfId="39064"/>
    <cellStyle name="Input 2 8 5 2 7" xfId="39065"/>
    <cellStyle name="Input 2 8 5 2 8" xfId="39066"/>
    <cellStyle name="Input 2 8 5 2 9" xfId="39067"/>
    <cellStyle name="Input 2 8 5 3" xfId="39068"/>
    <cellStyle name="Input 2 8 5 4" xfId="39069"/>
    <cellStyle name="Input 2 8 5 5" xfId="39070"/>
    <cellStyle name="Input 2 8 5 6" xfId="39071"/>
    <cellStyle name="Input 2 8 5 7" xfId="39072"/>
    <cellStyle name="Input 2 8 5 8" xfId="39073"/>
    <cellStyle name="Input 2 8 5 9" xfId="39074"/>
    <cellStyle name="Input 2 8 6" xfId="39075"/>
    <cellStyle name="Input 2 8 6 10" xfId="39076"/>
    <cellStyle name="Input 2 8 6 11" xfId="39077"/>
    <cellStyle name="Input 2 8 6 12" xfId="39078"/>
    <cellStyle name="Input 2 8 6 13" xfId="39079"/>
    <cellStyle name="Input 2 8 6 14" xfId="39080"/>
    <cellStyle name="Input 2 8 6 15" xfId="39081"/>
    <cellStyle name="Input 2 8 6 16" xfId="39082"/>
    <cellStyle name="Input 2 8 6 17" xfId="39083"/>
    <cellStyle name="Input 2 8 6 18" xfId="39084"/>
    <cellStyle name="Input 2 8 6 19" xfId="39085"/>
    <cellStyle name="Input 2 8 6 2" xfId="39086"/>
    <cellStyle name="Input 2 8 6 2 2" xfId="39087"/>
    <cellStyle name="Input 2 8 6 2 3" xfId="39088"/>
    <cellStyle name="Input 2 8 6 2 4" xfId="39089"/>
    <cellStyle name="Input 2 8 6 2 5" xfId="39090"/>
    <cellStyle name="Input 2 8 6 2 6" xfId="39091"/>
    <cellStyle name="Input 2 8 6 2 7" xfId="39092"/>
    <cellStyle name="Input 2 8 6 2 8" xfId="39093"/>
    <cellStyle name="Input 2 8 6 2 9" xfId="39094"/>
    <cellStyle name="Input 2 8 6 3" xfId="39095"/>
    <cellStyle name="Input 2 8 6 4" xfId="39096"/>
    <cellStyle name="Input 2 8 6 5" xfId="39097"/>
    <cellStyle name="Input 2 8 6 6" xfId="39098"/>
    <cellStyle name="Input 2 8 6 7" xfId="39099"/>
    <cellStyle name="Input 2 8 6 8" xfId="39100"/>
    <cellStyle name="Input 2 8 6 9" xfId="39101"/>
    <cellStyle name="Input 2 9" xfId="39102"/>
    <cellStyle name="Input 2 9 2" xfId="39103"/>
    <cellStyle name="Input 2 9 2 10" xfId="39104"/>
    <cellStyle name="Input 2 9 2 11" xfId="39105"/>
    <cellStyle name="Input 2 9 2 12" xfId="39106"/>
    <cellStyle name="Input 2 9 2 13" xfId="39107"/>
    <cellStyle name="Input 2 9 2 14" xfId="39108"/>
    <cellStyle name="Input 2 9 2 15" xfId="39109"/>
    <cellStyle name="Input 2 9 2 16" xfId="39110"/>
    <cellStyle name="Input 2 9 2 17" xfId="39111"/>
    <cellStyle name="Input 2 9 2 18" xfId="39112"/>
    <cellStyle name="Input 2 9 2 19" xfId="39113"/>
    <cellStyle name="Input 2 9 2 2" xfId="39114"/>
    <cellStyle name="Input 2 9 2 2 2" xfId="39115"/>
    <cellStyle name="Input 2 9 2 2 3" xfId="39116"/>
    <cellStyle name="Input 2 9 2 2 4" xfId="39117"/>
    <cellStyle name="Input 2 9 2 2 5" xfId="39118"/>
    <cellStyle name="Input 2 9 2 2 6" xfId="39119"/>
    <cellStyle name="Input 2 9 2 2 7" xfId="39120"/>
    <cellStyle name="Input 2 9 2 2 8" xfId="39121"/>
    <cellStyle name="Input 2 9 2 2 9" xfId="39122"/>
    <cellStyle name="Input 2 9 2 3" xfId="39123"/>
    <cellStyle name="Input 2 9 2 4" xfId="39124"/>
    <cellStyle name="Input 2 9 2 5" xfId="39125"/>
    <cellStyle name="Input 2 9 2 6" xfId="39126"/>
    <cellStyle name="Input 2 9 2 7" xfId="39127"/>
    <cellStyle name="Input 2 9 2 8" xfId="39128"/>
    <cellStyle name="Input 2 9 2 9" xfId="39129"/>
    <cellStyle name="Input 2 9 3" xfId="39130"/>
    <cellStyle name="Input 2 9 3 10" xfId="39131"/>
    <cellStyle name="Input 2 9 3 11" xfId="39132"/>
    <cellStyle name="Input 2 9 3 12" xfId="39133"/>
    <cellStyle name="Input 2 9 3 13" xfId="39134"/>
    <cellStyle name="Input 2 9 3 14" xfId="39135"/>
    <cellStyle name="Input 2 9 3 15" xfId="39136"/>
    <cellStyle name="Input 2 9 3 16" xfId="39137"/>
    <cellStyle name="Input 2 9 3 17" xfId="39138"/>
    <cellStyle name="Input 2 9 3 18" xfId="39139"/>
    <cellStyle name="Input 2 9 3 2" xfId="39140"/>
    <cellStyle name="Input 2 9 3 2 2" xfId="39141"/>
    <cellStyle name="Input 2 9 3 2 3" xfId="39142"/>
    <cellStyle name="Input 2 9 3 2 4" xfId="39143"/>
    <cellStyle name="Input 2 9 3 2 5" xfId="39144"/>
    <cellStyle name="Input 2 9 3 2 6" xfId="39145"/>
    <cellStyle name="Input 2 9 3 2 7" xfId="39146"/>
    <cellStyle name="Input 2 9 3 2 8" xfId="39147"/>
    <cellStyle name="Input 2 9 3 2 9" xfId="39148"/>
    <cellStyle name="Input 2 9 3 3" xfId="39149"/>
    <cellStyle name="Input 2 9 3 4" xfId="39150"/>
    <cellStyle name="Input 2 9 3 5" xfId="39151"/>
    <cellStyle name="Input 2 9 3 6" xfId="39152"/>
    <cellStyle name="Input 2 9 3 7" xfId="39153"/>
    <cellStyle name="Input 2 9 3 8" xfId="39154"/>
    <cellStyle name="Input 2 9 3 9" xfId="39155"/>
    <cellStyle name="Input 2 9 4" xfId="39156"/>
    <cellStyle name="Input 2 9 4 10" xfId="39157"/>
    <cellStyle name="Input 2 9 4 11" xfId="39158"/>
    <cellStyle name="Input 2 9 4 12" xfId="39159"/>
    <cellStyle name="Input 2 9 4 13" xfId="39160"/>
    <cellStyle name="Input 2 9 4 14" xfId="39161"/>
    <cellStyle name="Input 2 9 4 15" xfId="39162"/>
    <cellStyle name="Input 2 9 4 16" xfId="39163"/>
    <cellStyle name="Input 2 9 4 17" xfId="39164"/>
    <cellStyle name="Input 2 9 4 18" xfId="39165"/>
    <cellStyle name="Input 2 9 4 19" xfId="39166"/>
    <cellStyle name="Input 2 9 4 2" xfId="39167"/>
    <cellStyle name="Input 2 9 4 2 2" xfId="39168"/>
    <cellStyle name="Input 2 9 4 2 3" xfId="39169"/>
    <cellStyle name="Input 2 9 4 2 4" xfId="39170"/>
    <cellStyle name="Input 2 9 4 2 5" xfId="39171"/>
    <cellStyle name="Input 2 9 4 2 6" xfId="39172"/>
    <cellStyle name="Input 2 9 4 2 7" xfId="39173"/>
    <cellStyle name="Input 2 9 4 2 8" xfId="39174"/>
    <cellStyle name="Input 2 9 4 2 9" xfId="39175"/>
    <cellStyle name="Input 2 9 4 3" xfId="39176"/>
    <cellStyle name="Input 2 9 4 4" xfId="39177"/>
    <cellStyle name="Input 2 9 4 5" xfId="39178"/>
    <cellStyle name="Input 2 9 4 6" xfId="39179"/>
    <cellStyle name="Input 2 9 4 7" xfId="39180"/>
    <cellStyle name="Input 2 9 4 8" xfId="39181"/>
    <cellStyle name="Input 2 9 4 9" xfId="39182"/>
    <cellStyle name="Input 2 9 5" xfId="39183"/>
    <cellStyle name="Input 20" xfId="39184"/>
    <cellStyle name="Input 21" xfId="39185"/>
    <cellStyle name="Input 22" xfId="39186"/>
    <cellStyle name="Input 23" xfId="39187"/>
    <cellStyle name="Input 24" xfId="39188"/>
    <cellStyle name="Input 25" xfId="39189"/>
    <cellStyle name="Input 26" xfId="39190"/>
    <cellStyle name="Input 27" xfId="39191"/>
    <cellStyle name="Input 28" xfId="39192"/>
    <cellStyle name="Input 29" xfId="39193"/>
    <cellStyle name="Input 3" xfId="39194"/>
    <cellStyle name="Input 3 10" xfId="39195"/>
    <cellStyle name="Input 3 10 10" xfId="39196"/>
    <cellStyle name="Input 3 10 11" xfId="39197"/>
    <cellStyle name="Input 3 10 12" xfId="39198"/>
    <cellStyle name="Input 3 10 13" xfId="39199"/>
    <cellStyle name="Input 3 10 14" xfId="39200"/>
    <cellStyle name="Input 3 10 15" xfId="39201"/>
    <cellStyle name="Input 3 10 16" xfId="39202"/>
    <cellStyle name="Input 3 10 17" xfId="39203"/>
    <cellStyle name="Input 3 10 18" xfId="39204"/>
    <cellStyle name="Input 3 10 19" xfId="39205"/>
    <cellStyle name="Input 3 10 2" xfId="39206"/>
    <cellStyle name="Input 3 10 2 2" xfId="39207"/>
    <cellStyle name="Input 3 10 2 3" xfId="39208"/>
    <cellStyle name="Input 3 10 2 4" xfId="39209"/>
    <cellStyle name="Input 3 10 2 5" xfId="39210"/>
    <cellStyle name="Input 3 10 2 6" xfId="39211"/>
    <cellStyle name="Input 3 10 2 7" xfId="39212"/>
    <cellStyle name="Input 3 10 2 8" xfId="39213"/>
    <cellStyle name="Input 3 10 2 9" xfId="39214"/>
    <cellStyle name="Input 3 10 3" xfId="39215"/>
    <cellStyle name="Input 3 10 4" xfId="39216"/>
    <cellStyle name="Input 3 10 5" xfId="39217"/>
    <cellStyle name="Input 3 10 6" xfId="39218"/>
    <cellStyle name="Input 3 10 7" xfId="39219"/>
    <cellStyle name="Input 3 10 8" xfId="39220"/>
    <cellStyle name="Input 3 10 9" xfId="39221"/>
    <cellStyle name="Input 3 11" xfId="39222"/>
    <cellStyle name="Input 3 11 10" xfId="39223"/>
    <cellStyle name="Input 3 11 11" xfId="39224"/>
    <cellStyle name="Input 3 11 12" xfId="39225"/>
    <cellStyle name="Input 3 11 13" xfId="39226"/>
    <cellStyle name="Input 3 11 14" xfId="39227"/>
    <cellStyle name="Input 3 11 15" xfId="39228"/>
    <cellStyle name="Input 3 11 16" xfId="39229"/>
    <cellStyle name="Input 3 11 17" xfId="39230"/>
    <cellStyle name="Input 3 11 18" xfId="39231"/>
    <cellStyle name="Input 3 11 2" xfId="39232"/>
    <cellStyle name="Input 3 11 2 2" xfId="39233"/>
    <cellStyle name="Input 3 11 2 3" xfId="39234"/>
    <cellStyle name="Input 3 11 2 4" xfId="39235"/>
    <cellStyle name="Input 3 11 2 5" xfId="39236"/>
    <cellStyle name="Input 3 11 2 6" xfId="39237"/>
    <cellStyle name="Input 3 11 2 7" xfId="39238"/>
    <cellStyle name="Input 3 11 2 8" xfId="39239"/>
    <cellStyle name="Input 3 11 2 9" xfId="39240"/>
    <cellStyle name="Input 3 11 3" xfId="39241"/>
    <cellStyle name="Input 3 11 4" xfId="39242"/>
    <cellStyle name="Input 3 11 5" xfId="39243"/>
    <cellStyle name="Input 3 11 6" xfId="39244"/>
    <cellStyle name="Input 3 11 7" xfId="39245"/>
    <cellStyle name="Input 3 11 8" xfId="39246"/>
    <cellStyle name="Input 3 11 9" xfId="39247"/>
    <cellStyle name="Input 3 12" xfId="39248"/>
    <cellStyle name="Input 3 12 10" xfId="39249"/>
    <cellStyle name="Input 3 12 11" xfId="39250"/>
    <cellStyle name="Input 3 12 12" xfId="39251"/>
    <cellStyle name="Input 3 12 13" xfId="39252"/>
    <cellStyle name="Input 3 12 14" xfId="39253"/>
    <cellStyle name="Input 3 12 15" xfId="39254"/>
    <cellStyle name="Input 3 12 16" xfId="39255"/>
    <cellStyle name="Input 3 12 17" xfId="39256"/>
    <cellStyle name="Input 3 12 18" xfId="39257"/>
    <cellStyle name="Input 3 12 19" xfId="39258"/>
    <cellStyle name="Input 3 12 2" xfId="39259"/>
    <cellStyle name="Input 3 12 2 2" xfId="39260"/>
    <cellStyle name="Input 3 12 2 3" xfId="39261"/>
    <cellStyle name="Input 3 12 2 4" xfId="39262"/>
    <cellStyle name="Input 3 12 2 5" xfId="39263"/>
    <cellStyle name="Input 3 12 2 6" xfId="39264"/>
    <cellStyle name="Input 3 12 2 7" xfId="39265"/>
    <cellStyle name="Input 3 12 2 8" xfId="39266"/>
    <cellStyle name="Input 3 12 2 9" xfId="39267"/>
    <cellStyle name="Input 3 12 3" xfId="39268"/>
    <cellStyle name="Input 3 12 4" xfId="39269"/>
    <cellStyle name="Input 3 12 5" xfId="39270"/>
    <cellStyle name="Input 3 12 6" xfId="39271"/>
    <cellStyle name="Input 3 12 7" xfId="39272"/>
    <cellStyle name="Input 3 12 8" xfId="39273"/>
    <cellStyle name="Input 3 12 9" xfId="39274"/>
    <cellStyle name="Input 3 2" xfId="39275"/>
    <cellStyle name="Input 3 2 2" xfId="39276"/>
    <cellStyle name="Input 3 2 2 2" xfId="39277"/>
    <cellStyle name="Input 3 2 2 2 10" xfId="39278"/>
    <cellStyle name="Input 3 2 2 2 11" xfId="39279"/>
    <cellStyle name="Input 3 2 2 2 12" xfId="39280"/>
    <cellStyle name="Input 3 2 2 2 13" xfId="39281"/>
    <cellStyle name="Input 3 2 2 2 14" xfId="39282"/>
    <cellStyle name="Input 3 2 2 2 15" xfId="39283"/>
    <cellStyle name="Input 3 2 2 2 16" xfId="39284"/>
    <cellStyle name="Input 3 2 2 2 17" xfId="39285"/>
    <cellStyle name="Input 3 2 2 2 18" xfId="39286"/>
    <cellStyle name="Input 3 2 2 2 19" xfId="39287"/>
    <cellStyle name="Input 3 2 2 2 2" xfId="39288"/>
    <cellStyle name="Input 3 2 2 2 2 2" xfId="39289"/>
    <cellStyle name="Input 3 2 2 2 2 3" xfId="39290"/>
    <cellStyle name="Input 3 2 2 2 2 4" xfId="39291"/>
    <cellStyle name="Input 3 2 2 2 2 5" xfId="39292"/>
    <cellStyle name="Input 3 2 2 2 2 6" xfId="39293"/>
    <cellStyle name="Input 3 2 2 2 2 7" xfId="39294"/>
    <cellStyle name="Input 3 2 2 2 2 8" xfId="39295"/>
    <cellStyle name="Input 3 2 2 2 2 9" xfId="39296"/>
    <cellStyle name="Input 3 2 2 2 3" xfId="39297"/>
    <cellStyle name="Input 3 2 2 2 4" xfId="39298"/>
    <cellStyle name="Input 3 2 2 2 5" xfId="39299"/>
    <cellStyle name="Input 3 2 2 2 6" xfId="39300"/>
    <cellStyle name="Input 3 2 2 2 7" xfId="39301"/>
    <cellStyle name="Input 3 2 2 2 8" xfId="39302"/>
    <cellStyle name="Input 3 2 2 2 9" xfId="39303"/>
    <cellStyle name="Input 3 2 2 3" xfId="39304"/>
    <cellStyle name="Input 3 2 2 3 10" xfId="39305"/>
    <cellStyle name="Input 3 2 2 3 11" xfId="39306"/>
    <cellStyle name="Input 3 2 2 3 12" xfId="39307"/>
    <cellStyle name="Input 3 2 2 3 13" xfId="39308"/>
    <cellStyle name="Input 3 2 2 3 14" xfId="39309"/>
    <cellStyle name="Input 3 2 2 3 15" xfId="39310"/>
    <cellStyle name="Input 3 2 2 3 16" xfId="39311"/>
    <cellStyle name="Input 3 2 2 3 17" xfId="39312"/>
    <cellStyle name="Input 3 2 2 3 18" xfId="39313"/>
    <cellStyle name="Input 3 2 2 3 2" xfId="39314"/>
    <cellStyle name="Input 3 2 2 3 2 2" xfId="39315"/>
    <cellStyle name="Input 3 2 2 3 2 3" xfId="39316"/>
    <cellStyle name="Input 3 2 2 3 2 4" xfId="39317"/>
    <cellStyle name="Input 3 2 2 3 2 5" xfId="39318"/>
    <cellStyle name="Input 3 2 2 3 2 6" xfId="39319"/>
    <cellStyle name="Input 3 2 2 3 2 7" xfId="39320"/>
    <cellStyle name="Input 3 2 2 3 2 8" xfId="39321"/>
    <cellStyle name="Input 3 2 2 3 2 9" xfId="39322"/>
    <cellStyle name="Input 3 2 2 3 3" xfId="39323"/>
    <cellStyle name="Input 3 2 2 3 4" xfId="39324"/>
    <cellStyle name="Input 3 2 2 3 5" xfId="39325"/>
    <cellStyle name="Input 3 2 2 3 6" xfId="39326"/>
    <cellStyle name="Input 3 2 2 3 7" xfId="39327"/>
    <cellStyle name="Input 3 2 2 3 8" xfId="39328"/>
    <cellStyle name="Input 3 2 2 3 9" xfId="39329"/>
    <cellStyle name="Input 3 2 2 4" xfId="39330"/>
    <cellStyle name="Input 3 2 2 4 10" xfId="39331"/>
    <cellStyle name="Input 3 2 2 4 11" xfId="39332"/>
    <cellStyle name="Input 3 2 2 4 12" xfId="39333"/>
    <cellStyle name="Input 3 2 2 4 13" xfId="39334"/>
    <cellStyle name="Input 3 2 2 4 14" xfId="39335"/>
    <cellStyle name="Input 3 2 2 4 15" xfId="39336"/>
    <cellStyle name="Input 3 2 2 4 16" xfId="39337"/>
    <cellStyle name="Input 3 2 2 4 17" xfId="39338"/>
    <cellStyle name="Input 3 2 2 4 18" xfId="39339"/>
    <cellStyle name="Input 3 2 2 4 19" xfId="39340"/>
    <cellStyle name="Input 3 2 2 4 2" xfId="39341"/>
    <cellStyle name="Input 3 2 2 4 2 2" xfId="39342"/>
    <cellStyle name="Input 3 2 2 4 2 3" xfId="39343"/>
    <cellStyle name="Input 3 2 2 4 2 4" xfId="39344"/>
    <cellStyle name="Input 3 2 2 4 2 5" xfId="39345"/>
    <cellStyle name="Input 3 2 2 4 2 6" xfId="39346"/>
    <cellStyle name="Input 3 2 2 4 2 7" xfId="39347"/>
    <cellStyle name="Input 3 2 2 4 2 8" xfId="39348"/>
    <cellStyle name="Input 3 2 2 4 2 9" xfId="39349"/>
    <cellStyle name="Input 3 2 2 4 3" xfId="39350"/>
    <cellStyle name="Input 3 2 2 4 4" xfId="39351"/>
    <cellStyle name="Input 3 2 2 4 5" xfId="39352"/>
    <cellStyle name="Input 3 2 2 4 6" xfId="39353"/>
    <cellStyle name="Input 3 2 2 4 7" xfId="39354"/>
    <cellStyle name="Input 3 2 2 4 8" xfId="39355"/>
    <cellStyle name="Input 3 2 2 4 9" xfId="39356"/>
    <cellStyle name="Input 3 2 2 5" xfId="39357"/>
    <cellStyle name="Input 3 2 3" xfId="39358"/>
    <cellStyle name="Input 3 2 3 2" xfId="39359"/>
    <cellStyle name="Input 3 2 3 2 10" xfId="39360"/>
    <cellStyle name="Input 3 2 3 2 11" xfId="39361"/>
    <cellStyle name="Input 3 2 3 2 12" xfId="39362"/>
    <cellStyle name="Input 3 2 3 2 13" xfId="39363"/>
    <cellStyle name="Input 3 2 3 2 14" xfId="39364"/>
    <cellStyle name="Input 3 2 3 2 15" xfId="39365"/>
    <cellStyle name="Input 3 2 3 2 16" xfId="39366"/>
    <cellStyle name="Input 3 2 3 2 17" xfId="39367"/>
    <cellStyle name="Input 3 2 3 2 18" xfId="39368"/>
    <cellStyle name="Input 3 2 3 2 19" xfId="39369"/>
    <cellStyle name="Input 3 2 3 2 2" xfId="39370"/>
    <cellStyle name="Input 3 2 3 2 2 2" xfId="39371"/>
    <cellStyle name="Input 3 2 3 2 2 3" xfId="39372"/>
    <cellStyle name="Input 3 2 3 2 2 4" xfId="39373"/>
    <cellStyle name="Input 3 2 3 2 2 5" xfId="39374"/>
    <cellStyle name="Input 3 2 3 2 2 6" xfId="39375"/>
    <cellStyle name="Input 3 2 3 2 2 7" xfId="39376"/>
    <cellStyle name="Input 3 2 3 2 2 8" xfId="39377"/>
    <cellStyle name="Input 3 2 3 2 2 9" xfId="39378"/>
    <cellStyle name="Input 3 2 3 2 3" xfId="39379"/>
    <cellStyle name="Input 3 2 3 2 4" xfId="39380"/>
    <cellStyle name="Input 3 2 3 2 5" xfId="39381"/>
    <cellStyle name="Input 3 2 3 2 6" xfId="39382"/>
    <cellStyle name="Input 3 2 3 2 7" xfId="39383"/>
    <cellStyle name="Input 3 2 3 2 8" xfId="39384"/>
    <cellStyle name="Input 3 2 3 2 9" xfId="39385"/>
    <cellStyle name="Input 3 2 3 3" xfId="39386"/>
    <cellStyle name="Input 3 2 3 3 10" xfId="39387"/>
    <cellStyle name="Input 3 2 3 3 11" xfId="39388"/>
    <cellStyle name="Input 3 2 3 3 12" xfId="39389"/>
    <cellStyle name="Input 3 2 3 3 13" xfId="39390"/>
    <cellStyle name="Input 3 2 3 3 14" xfId="39391"/>
    <cellStyle name="Input 3 2 3 3 15" xfId="39392"/>
    <cellStyle name="Input 3 2 3 3 16" xfId="39393"/>
    <cellStyle name="Input 3 2 3 3 17" xfId="39394"/>
    <cellStyle name="Input 3 2 3 3 18" xfId="39395"/>
    <cellStyle name="Input 3 2 3 3 2" xfId="39396"/>
    <cellStyle name="Input 3 2 3 3 2 2" xfId="39397"/>
    <cellStyle name="Input 3 2 3 3 2 3" xfId="39398"/>
    <cellStyle name="Input 3 2 3 3 2 4" xfId="39399"/>
    <cellStyle name="Input 3 2 3 3 2 5" xfId="39400"/>
    <cellStyle name="Input 3 2 3 3 2 6" xfId="39401"/>
    <cellStyle name="Input 3 2 3 3 2 7" xfId="39402"/>
    <cellStyle name="Input 3 2 3 3 2 8" xfId="39403"/>
    <cellStyle name="Input 3 2 3 3 2 9" xfId="39404"/>
    <cellStyle name="Input 3 2 3 3 3" xfId="39405"/>
    <cellStyle name="Input 3 2 3 3 4" xfId="39406"/>
    <cellStyle name="Input 3 2 3 3 5" xfId="39407"/>
    <cellStyle name="Input 3 2 3 3 6" xfId="39408"/>
    <cellStyle name="Input 3 2 3 3 7" xfId="39409"/>
    <cellStyle name="Input 3 2 3 3 8" xfId="39410"/>
    <cellStyle name="Input 3 2 3 3 9" xfId="39411"/>
    <cellStyle name="Input 3 2 3 4" xfId="39412"/>
    <cellStyle name="Input 3 2 3 4 10" xfId="39413"/>
    <cellStyle name="Input 3 2 3 4 11" xfId="39414"/>
    <cellStyle name="Input 3 2 3 4 12" xfId="39415"/>
    <cellStyle name="Input 3 2 3 4 13" xfId="39416"/>
    <cellStyle name="Input 3 2 3 4 14" xfId="39417"/>
    <cellStyle name="Input 3 2 3 4 15" xfId="39418"/>
    <cellStyle name="Input 3 2 3 4 16" xfId="39419"/>
    <cellStyle name="Input 3 2 3 4 17" xfId="39420"/>
    <cellStyle name="Input 3 2 3 4 18" xfId="39421"/>
    <cellStyle name="Input 3 2 3 4 19" xfId="39422"/>
    <cellStyle name="Input 3 2 3 4 2" xfId="39423"/>
    <cellStyle name="Input 3 2 3 4 2 2" xfId="39424"/>
    <cellStyle name="Input 3 2 3 4 2 3" xfId="39425"/>
    <cellStyle name="Input 3 2 3 4 2 4" xfId="39426"/>
    <cellStyle name="Input 3 2 3 4 2 5" xfId="39427"/>
    <cellStyle name="Input 3 2 3 4 2 6" xfId="39428"/>
    <cellStyle name="Input 3 2 3 4 2 7" xfId="39429"/>
    <cellStyle name="Input 3 2 3 4 2 8" xfId="39430"/>
    <cellStyle name="Input 3 2 3 4 2 9" xfId="39431"/>
    <cellStyle name="Input 3 2 3 4 3" xfId="39432"/>
    <cellStyle name="Input 3 2 3 4 4" xfId="39433"/>
    <cellStyle name="Input 3 2 3 4 5" xfId="39434"/>
    <cellStyle name="Input 3 2 3 4 6" xfId="39435"/>
    <cellStyle name="Input 3 2 3 4 7" xfId="39436"/>
    <cellStyle name="Input 3 2 3 4 8" xfId="39437"/>
    <cellStyle name="Input 3 2 3 4 9" xfId="39438"/>
    <cellStyle name="Input 3 2 4" xfId="39439"/>
    <cellStyle name="Input 3 2 4 10" xfId="39440"/>
    <cellStyle name="Input 3 2 4 11" xfId="39441"/>
    <cellStyle name="Input 3 2 4 12" xfId="39442"/>
    <cellStyle name="Input 3 2 4 13" xfId="39443"/>
    <cellStyle name="Input 3 2 4 14" xfId="39444"/>
    <cellStyle name="Input 3 2 4 15" xfId="39445"/>
    <cellStyle name="Input 3 2 4 16" xfId="39446"/>
    <cellStyle name="Input 3 2 4 17" xfId="39447"/>
    <cellStyle name="Input 3 2 4 18" xfId="39448"/>
    <cellStyle name="Input 3 2 4 19" xfId="39449"/>
    <cellStyle name="Input 3 2 4 2" xfId="39450"/>
    <cellStyle name="Input 3 2 4 2 2" xfId="39451"/>
    <cellStyle name="Input 3 2 4 2 3" xfId="39452"/>
    <cellStyle name="Input 3 2 4 2 4" xfId="39453"/>
    <cellStyle name="Input 3 2 4 2 5" xfId="39454"/>
    <cellStyle name="Input 3 2 4 2 6" xfId="39455"/>
    <cellStyle name="Input 3 2 4 2 7" xfId="39456"/>
    <cellStyle name="Input 3 2 4 2 8" xfId="39457"/>
    <cellStyle name="Input 3 2 4 2 9" xfId="39458"/>
    <cellStyle name="Input 3 2 4 3" xfId="39459"/>
    <cellStyle name="Input 3 2 4 4" xfId="39460"/>
    <cellStyle name="Input 3 2 4 5" xfId="39461"/>
    <cellStyle name="Input 3 2 4 6" xfId="39462"/>
    <cellStyle name="Input 3 2 4 7" xfId="39463"/>
    <cellStyle name="Input 3 2 4 8" xfId="39464"/>
    <cellStyle name="Input 3 2 4 9" xfId="39465"/>
    <cellStyle name="Input 3 2 5" xfId="39466"/>
    <cellStyle name="Input 3 2 5 10" xfId="39467"/>
    <cellStyle name="Input 3 2 5 11" xfId="39468"/>
    <cellStyle name="Input 3 2 5 12" xfId="39469"/>
    <cellStyle name="Input 3 2 5 13" xfId="39470"/>
    <cellStyle name="Input 3 2 5 14" xfId="39471"/>
    <cellStyle name="Input 3 2 5 15" xfId="39472"/>
    <cellStyle name="Input 3 2 5 16" xfId="39473"/>
    <cellStyle name="Input 3 2 5 17" xfId="39474"/>
    <cellStyle name="Input 3 2 5 18" xfId="39475"/>
    <cellStyle name="Input 3 2 5 2" xfId="39476"/>
    <cellStyle name="Input 3 2 5 2 2" xfId="39477"/>
    <cellStyle name="Input 3 2 5 2 3" xfId="39478"/>
    <cellStyle name="Input 3 2 5 2 4" xfId="39479"/>
    <cellStyle name="Input 3 2 5 2 5" xfId="39480"/>
    <cellStyle name="Input 3 2 5 2 6" xfId="39481"/>
    <cellStyle name="Input 3 2 5 2 7" xfId="39482"/>
    <cellStyle name="Input 3 2 5 2 8" xfId="39483"/>
    <cellStyle name="Input 3 2 5 2 9" xfId="39484"/>
    <cellStyle name="Input 3 2 5 3" xfId="39485"/>
    <cellStyle name="Input 3 2 5 4" xfId="39486"/>
    <cellStyle name="Input 3 2 5 5" xfId="39487"/>
    <cellStyle name="Input 3 2 5 6" xfId="39488"/>
    <cellStyle name="Input 3 2 5 7" xfId="39489"/>
    <cellStyle name="Input 3 2 5 8" xfId="39490"/>
    <cellStyle name="Input 3 2 5 9" xfId="39491"/>
    <cellStyle name="Input 3 2 6" xfId="39492"/>
    <cellStyle name="Input 3 2 6 10" xfId="39493"/>
    <cellStyle name="Input 3 2 6 11" xfId="39494"/>
    <cellStyle name="Input 3 2 6 12" xfId="39495"/>
    <cellStyle name="Input 3 2 6 13" xfId="39496"/>
    <cellStyle name="Input 3 2 6 14" xfId="39497"/>
    <cellStyle name="Input 3 2 6 15" xfId="39498"/>
    <cellStyle name="Input 3 2 6 16" xfId="39499"/>
    <cellStyle name="Input 3 2 6 17" xfId="39500"/>
    <cellStyle name="Input 3 2 6 18" xfId="39501"/>
    <cellStyle name="Input 3 2 6 19" xfId="39502"/>
    <cellStyle name="Input 3 2 6 2" xfId="39503"/>
    <cellStyle name="Input 3 2 6 2 2" xfId="39504"/>
    <cellStyle name="Input 3 2 6 2 3" xfId="39505"/>
    <cellStyle name="Input 3 2 6 2 4" xfId="39506"/>
    <cellStyle name="Input 3 2 6 2 5" xfId="39507"/>
    <cellStyle name="Input 3 2 6 2 6" xfId="39508"/>
    <cellStyle name="Input 3 2 6 2 7" xfId="39509"/>
    <cellStyle name="Input 3 2 6 2 8" xfId="39510"/>
    <cellStyle name="Input 3 2 6 2 9" xfId="39511"/>
    <cellStyle name="Input 3 2 6 3" xfId="39512"/>
    <cellStyle name="Input 3 2 6 4" xfId="39513"/>
    <cellStyle name="Input 3 2 6 5" xfId="39514"/>
    <cellStyle name="Input 3 2 6 6" xfId="39515"/>
    <cellStyle name="Input 3 2 6 7" xfId="39516"/>
    <cellStyle name="Input 3 2 6 8" xfId="39517"/>
    <cellStyle name="Input 3 2 6 9" xfId="39518"/>
    <cellStyle name="Input 3 3" xfId="39519"/>
    <cellStyle name="Input 3 3 2" xfId="39520"/>
    <cellStyle name="Input 3 3 2 2" xfId="39521"/>
    <cellStyle name="Input 3 3 2 2 10" xfId="39522"/>
    <cellStyle name="Input 3 3 2 2 11" xfId="39523"/>
    <cellStyle name="Input 3 3 2 2 12" xfId="39524"/>
    <cellStyle name="Input 3 3 2 2 13" xfId="39525"/>
    <cellStyle name="Input 3 3 2 2 14" xfId="39526"/>
    <cellStyle name="Input 3 3 2 2 15" xfId="39527"/>
    <cellStyle name="Input 3 3 2 2 16" xfId="39528"/>
    <cellStyle name="Input 3 3 2 2 17" xfId="39529"/>
    <cellStyle name="Input 3 3 2 2 18" xfId="39530"/>
    <cellStyle name="Input 3 3 2 2 19" xfId="39531"/>
    <cellStyle name="Input 3 3 2 2 2" xfId="39532"/>
    <cellStyle name="Input 3 3 2 2 2 2" xfId="39533"/>
    <cellStyle name="Input 3 3 2 2 2 3" xfId="39534"/>
    <cellStyle name="Input 3 3 2 2 2 4" xfId="39535"/>
    <cellStyle name="Input 3 3 2 2 2 5" xfId="39536"/>
    <cellStyle name="Input 3 3 2 2 2 6" xfId="39537"/>
    <cellStyle name="Input 3 3 2 2 2 7" xfId="39538"/>
    <cellStyle name="Input 3 3 2 2 2 8" xfId="39539"/>
    <cellStyle name="Input 3 3 2 2 2 9" xfId="39540"/>
    <cellStyle name="Input 3 3 2 2 3" xfId="39541"/>
    <cellStyle name="Input 3 3 2 2 4" xfId="39542"/>
    <cellStyle name="Input 3 3 2 2 5" xfId="39543"/>
    <cellStyle name="Input 3 3 2 2 6" xfId="39544"/>
    <cellStyle name="Input 3 3 2 2 7" xfId="39545"/>
    <cellStyle name="Input 3 3 2 2 8" xfId="39546"/>
    <cellStyle name="Input 3 3 2 2 9" xfId="39547"/>
    <cellStyle name="Input 3 3 2 3" xfId="39548"/>
    <cellStyle name="Input 3 3 2 3 10" xfId="39549"/>
    <cellStyle name="Input 3 3 2 3 11" xfId="39550"/>
    <cellStyle name="Input 3 3 2 3 12" xfId="39551"/>
    <cellStyle name="Input 3 3 2 3 13" xfId="39552"/>
    <cellStyle name="Input 3 3 2 3 14" xfId="39553"/>
    <cellStyle name="Input 3 3 2 3 15" xfId="39554"/>
    <cellStyle name="Input 3 3 2 3 16" xfId="39555"/>
    <cellStyle name="Input 3 3 2 3 17" xfId="39556"/>
    <cellStyle name="Input 3 3 2 3 18" xfId="39557"/>
    <cellStyle name="Input 3 3 2 3 2" xfId="39558"/>
    <cellStyle name="Input 3 3 2 3 2 2" xfId="39559"/>
    <cellStyle name="Input 3 3 2 3 2 3" xfId="39560"/>
    <cellStyle name="Input 3 3 2 3 2 4" xfId="39561"/>
    <cellStyle name="Input 3 3 2 3 2 5" xfId="39562"/>
    <cellStyle name="Input 3 3 2 3 2 6" xfId="39563"/>
    <cellStyle name="Input 3 3 2 3 2 7" xfId="39564"/>
    <cellStyle name="Input 3 3 2 3 2 8" xfId="39565"/>
    <cellStyle name="Input 3 3 2 3 2 9" xfId="39566"/>
    <cellStyle name="Input 3 3 2 3 3" xfId="39567"/>
    <cellStyle name="Input 3 3 2 3 4" xfId="39568"/>
    <cellStyle name="Input 3 3 2 3 5" xfId="39569"/>
    <cellStyle name="Input 3 3 2 3 6" xfId="39570"/>
    <cellStyle name="Input 3 3 2 3 7" xfId="39571"/>
    <cellStyle name="Input 3 3 2 3 8" xfId="39572"/>
    <cellStyle name="Input 3 3 2 3 9" xfId="39573"/>
    <cellStyle name="Input 3 3 2 4" xfId="39574"/>
    <cellStyle name="Input 3 3 2 4 10" xfId="39575"/>
    <cellStyle name="Input 3 3 2 4 11" xfId="39576"/>
    <cellStyle name="Input 3 3 2 4 12" xfId="39577"/>
    <cellStyle name="Input 3 3 2 4 13" xfId="39578"/>
    <cellStyle name="Input 3 3 2 4 14" xfId="39579"/>
    <cellStyle name="Input 3 3 2 4 15" xfId="39580"/>
    <cellStyle name="Input 3 3 2 4 16" xfId="39581"/>
    <cellStyle name="Input 3 3 2 4 17" xfId="39582"/>
    <cellStyle name="Input 3 3 2 4 18" xfId="39583"/>
    <cellStyle name="Input 3 3 2 4 19" xfId="39584"/>
    <cellStyle name="Input 3 3 2 4 2" xfId="39585"/>
    <cellStyle name="Input 3 3 2 4 2 2" xfId="39586"/>
    <cellStyle name="Input 3 3 2 4 2 3" xfId="39587"/>
    <cellStyle name="Input 3 3 2 4 2 4" xfId="39588"/>
    <cellStyle name="Input 3 3 2 4 2 5" xfId="39589"/>
    <cellStyle name="Input 3 3 2 4 2 6" xfId="39590"/>
    <cellStyle name="Input 3 3 2 4 2 7" xfId="39591"/>
    <cellStyle name="Input 3 3 2 4 2 8" xfId="39592"/>
    <cellStyle name="Input 3 3 2 4 2 9" xfId="39593"/>
    <cellStyle name="Input 3 3 2 4 3" xfId="39594"/>
    <cellStyle name="Input 3 3 2 4 4" xfId="39595"/>
    <cellStyle name="Input 3 3 2 4 5" xfId="39596"/>
    <cellStyle name="Input 3 3 2 4 6" xfId="39597"/>
    <cellStyle name="Input 3 3 2 4 7" xfId="39598"/>
    <cellStyle name="Input 3 3 2 4 8" xfId="39599"/>
    <cellStyle name="Input 3 3 2 4 9" xfId="39600"/>
    <cellStyle name="Input 3 3 2 5" xfId="39601"/>
    <cellStyle name="Input 3 3 3" xfId="39602"/>
    <cellStyle name="Input 3 3 3 2" xfId="39603"/>
    <cellStyle name="Input 3 3 3 2 10" xfId="39604"/>
    <cellStyle name="Input 3 3 3 2 11" xfId="39605"/>
    <cellStyle name="Input 3 3 3 2 12" xfId="39606"/>
    <cellStyle name="Input 3 3 3 2 13" xfId="39607"/>
    <cellStyle name="Input 3 3 3 2 14" xfId="39608"/>
    <cellStyle name="Input 3 3 3 2 15" xfId="39609"/>
    <cellStyle name="Input 3 3 3 2 16" xfId="39610"/>
    <cellStyle name="Input 3 3 3 2 17" xfId="39611"/>
    <cellStyle name="Input 3 3 3 2 18" xfId="39612"/>
    <cellStyle name="Input 3 3 3 2 19" xfId="39613"/>
    <cellStyle name="Input 3 3 3 2 2" xfId="39614"/>
    <cellStyle name="Input 3 3 3 2 2 2" xfId="39615"/>
    <cellStyle name="Input 3 3 3 2 2 3" xfId="39616"/>
    <cellStyle name="Input 3 3 3 2 2 4" xfId="39617"/>
    <cellStyle name="Input 3 3 3 2 2 5" xfId="39618"/>
    <cellStyle name="Input 3 3 3 2 2 6" xfId="39619"/>
    <cellStyle name="Input 3 3 3 2 2 7" xfId="39620"/>
    <cellStyle name="Input 3 3 3 2 2 8" xfId="39621"/>
    <cellStyle name="Input 3 3 3 2 2 9" xfId="39622"/>
    <cellStyle name="Input 3 3 3 2 3" xfId="39623"/>
    <cellStyle name="Input 3 3 3 2 4" xfId="39624"/>
    <cellStyle name="Input 3 3 3 2 5" xfId="39625"/>
    <cellStyle name="Input 3 3 3 2 6" xfId="39626"/>
    <cellStyle name="Input 3 3 3 2 7" xfId="39627"/>
    <cellStyle name="Input 3 3 3 2 8" xfId="39628"/>
    <cellStyle name="Input 3 3 3 2 9" xfId="39629"/>
    <cellStyle name="Input 3 3 3 3" xfId="39630"/>
    <cellStyle name="Input 3 3 3 3 10" xfId="39631"/>
    <cellStyle name="Input 3 3 3 3 11" xfId="39632"/>
    <cellStyle name="Input 3 3 3 3 12" xfId="39633"/>
    <cellStyle name="Input 3 3 3 3 13" xfId="39634"/>
    <cellStyle name="Input 3 3 3 3 14" xfId="39635"/>
    <cellStyle name="Input 3 3 3 3 15" xfId="39636"/>
    <cellStyle name="Input 3 3 3 3 16" xfId="39637"/>
    <cellStyle name="Input 3 3 3 3 17" xfId="39638"/>
    <cellStyle name="Input 3 3 3 3 18" xfId="39639"/>
    <cellStyle name="Input 3 3 3 3 2" xfId="39640"/>
    <cellStyle name="Input 3 3 3 3 2 2" xfId="39641"/>
    <cellStyle name="Input 3 3 3 3 2 3" xfId="39642"/>
    <cellStyle name="Input 3 3 3 3 2 4" xfId="39643"/>
    <cellStyle name="Input 3 3 3 3 2 5" xfId="39644"/>
    <cellStyle name="Input 3 3 3 3 2 6" xfId="39645"/>
    <cellStyle name="Input 3 3 3 3 2 7" xfId="39646"/>
    <cellStyle name="Input 3 3 3 3 2 8" xfId="39647"/>
    <cellStyle name="Input 3 3 3 3 2 9" xfId="39648"/>
    <cellStyle name="Input 3 3 3 3 3" xfId="39649"/>
    <cellStyle name="Input 3 3 3 3 4" xfId="39650"/>
    <cellStyle name="Input 3 3 3 3 5" xfId="39651"/>
    <cellStyle name="Input 3 3 3 3 6" xfId="39652"/>
    <cellStyle name="Input 3 3 3 3 7" xfId="39653"/>
    <cellStyle name="Input 3 3 3 3 8" xfId="39654"/>
    <cellStyle name="Input 3 3 3 3 9" xfId="39655"/>
    <cellStyle name="Input 3 3 3 4" xfId="39656"/>
    <cellStyle name="Input 3 3 3 4 10" xfId="39657"/>
    <cellStyle name="Input 3 3 3 4 11" xfId="39658"/>
    <cellStyle name="Input 3 3 3 4 12" xfId="39659"/>
    <cellStyle name="Input 3 3 3 4 13" xfId="39660"/>
    <cellStyle name="Input 3 3 3 4 14" xfId="39661"/>
    <cellStyle name="Input 3 3 3 4 15" xfId="39662"/>
    <cellStyle name="Input 3 3 3 4 16" xfId="39663"/>
    <cellStyle name="Input 3 3 3 4 17" xfId="39664"/>
    <cellStyle name="Input 3 3 3 4 18" xfId="39665"/>
    <cellStyle name="Input 3 3 3 4 19" xfId="39666"/>
    <cellStyle name="Input 3 3 3 4 2" xfId="39667"/>
    <cellStyle name="Input 3 3 3 4 2 2" xfId="39668"/>
    <cellStyle name="Input 3 3 3 4 2 3" xfId="39669"/>
    <cellStyle name="Input 3 3 3 4 2 4" xfId="39670"/>
    <cellStyle name="Input 3 3 3 4 2 5" xfId="39671"/>
    <cellStyle name="Input 3 3 3 4 2 6" xfId="39672"/>
    <cellStyle name="Input 3 3 3 4 2 7" xfId="39673"/>
    <cellStyle name="Input 3 3 3 4 2 8" xfId="39674"/>
    <cellStyle name="Input 3 3 3 4 2 9" xfId="39675"/>
    <cellStyle name="Input 3 3 3 4 3" xfId="39676"/>
    <cellStyle name="Input 3 3 3 4 4" xfId="39677"/>
    <cellStyle name="Input 3 3 3 4 5" xfId="39678"/>
    <cellStyle name="Input 3 3 3 4 6" xfId="39679"/>
    <cellStyle name="Input 3 3 3 4 7" xfId="39680"/>
    <cellStyle name="Input 3 3 3 4 8" xfId="39681"/>
    <cellStyle name="Input 3 3 3 4 9" xfId="39682"/>
    <cellStyle name="Input 3 3 4" xfId="39683"/>
    <cellStyle name="Input 3 3 4 10" xfId="39684"/>
    <cellStyle name="Input 3 3 4 11" xfId="39685"/>
    <cellStyle name="Input 3 3 4 12" xfId="39686"/>
    <cellStyle name="Input 3 3 4 13" xfId="39687"/>
    <cellStyle name="Input 3 3 4 14" xfId="39688"/>
    <cellStyle name="Input 3 3 4 15" xfId="39689"/>
    <cellStyle name="Input 3 3 4 16" xfId="39690"/>
    <cellStyle name="Input 3 3 4 17" xfId="39691"/>
    <cellStyle name="Input 3 3 4 18" xfId="39692"/>
    <cellStyle name="Input 3 3 4 19" xfId="39693"/>
    <cellStyle name="Input 3 3 4 2" xfId="39694"/>
    <cellStyle name="Input 3 3 4 2 2" xfId="39695"/>
    <cellStyle name="Input 3 3 4 2 3" xfId="39696"/>
    <cellStyle name="Input 3 3 4 2 4" xfId="39697"/>
    <cellStyle name="Input 3 3 4 2 5" xfId="39698"/>
    <cellStyle name="Input 3 3 4 2 6" xfId="39699"/>
    <cellStyle name="Input 3 3 4 2 7" xfId="39700"/>
    <cellStyle name="Input 3 3 4 2 8" xfId="39701"/>
    <cellStyle name="Input 3 3 4 2 9" xfId="39702"/>
    <cellStyle name="Input 3 3 4 3" xfId="39703"/>
    <cellStyle name="Input 3 3 4 4" xfId="39704"/>
    <cellStyle name="Input 3 3 4 5" xfId="39705"/>
    <cellStyle name="Input 3 3 4 6" xfId="39706"/>
    <cellStyle name="Input 3 3 4 7" xfId="39707"/>
    <cellStyle name="Input 3 3 4 8" xfId="39708"/>
    <cellStyle name="Input 3 3 4 9" xfId="39709"/>
    <cellStyle name="Input 3 3 5" xfId="39710"/>
    <cellStyle name="Input 3 3 5 10" xfId="39711"/>
    <cellStyle name="Input 3 3 5 11" xfId="39712"/>
    <cellStyle name="Input 3 3 5 12" xfId="39713"/>
    <cellStyle name="Input 3 3 5 13" xfId="39714"/>
    <cellStyle name="Input 3 3 5 14" xfId="39715"/>
    <cellStyle name="Input 3 3 5 15" xfId="39716"/>
    <cellStyle name="Input 3 3 5 16" xfId="39717"/>
    <cellStyle name="Input 3 3 5 17" xfId="39718"/>
    <cellStyle name="Input 3 3 5 18" xfId="39719"/>
    <cellStyle name="Input 3 3 5 2" xfId="39720"/>
    <cellStyle name="Input 3 3 5 2 2" xfId="39721"/>
    <cellStyle name="Input 3 3 5 2 3" xfId="39722"/>
    <cellStyle name="Input 3 3 5 2 4" xfId="39723"/>
    <cellStyle name="Input 3 3 5 2 5" xfId="39724"/>
    <cellStyle name="Input 3 3 5 2 6" xfId="39725"/>
    <cellStyle name="Input 3 3 5 2 7" xfId="39726"/>
    <cellStyle name="Input 3 3 5 2 8" xfId="39727"/>
    <cellStyle name="Input 3 3 5 2 9" xfId="39728"/>
    <cellStyle name="Input 3 3 5 3" xfId="39729"/>
    <cellStyle name="Input 3 3 5 4" xfId="39730"/>
    <cellStyle name="Input 3 3 5 5" xfId="39731"/>
    <cellStyle name="Input 3 3 5 6" xfId="39732"/>
    <cellStyle name="Input 3 3 5 7" xfId="39733"/>
    <cellStyle name="Input 3 3 5 8" xfId="39734"/>
    <cellStyle name="Input 3 3 5 9" xfId="39735"/>
    <cellStyle name="Input 3 3 6" xfId="39736"/>
    <cellStyle name="Input 3 3 6 10" xfId="39737"/>
    <cellStyle name="Input 3 3 6 11" xfId="39738"/>
    <cellStyle name="Input 3 3 6 12" xfId="39739"/>
    <cellStyle name="Input 3 3 6 13" xfId="39740"/>
    <cellStyle name="Input 3 3 6 14" xfId="39741"/>
    <cellStyle name="Input 3 3 6 15" xfId="39742"/>
    <cellStyle name="Input 3 3 6 16" xfId="39743"/>
    <cellStyle name="Input 3 3 6 17" xfId="39744"/>
    <cellStyle name="Input 3 3 6 18" xfId="39745"/>
    <cellStyle name="Input 3 3 6 19" xfId="39746"/>
    <cellStyle name="Input 3 3 6 2" xfId="39747"/>
    <cellStyle name="Input 3 3 6 2 2" xfId="39748"/>
    <cellStyle name="Input 3 3 6 2 3" xfId="39749"/>
    <cellStyle name="Input 3 3 6 2 4" xfId="39750"/>
    <cellStyle name="Input 3 3 6 2 5" xfId="39751"/>
    <cellStyle name="Input 3 3 6 2 6" xfId="39752"/>
    <cellStyle name="Input 3 3 6 2 7" xfId="39753"/>
    <cellStyle name="Input 3 3 6 2 8" xfId="39754"/>
    <cellStyle name="Input 3 3 6 2 9" xfId="39755"/>
    <cellStyle name="Input 3 3 6 3" xfId="39756"/>
    <cellStyle name="Input 3 3 6 4" xfId="39757"/>
    <cellStyle name="Input 3 3 6 5" xfId="39758"/>
    <cellStyle name="Input 3 3 6 6" xfId="39759"/>
    <cellStyle name="Input 3 3 6 7" xfId="39760"/>
    <cellStyle name="Input 3 3 6 8" xfId="39761"/>
    <cellStyle name="Input 3 3 6 9" xfId="39762"/>
    <cellStyle name="Input 3 4" xfId="39763"/>
    <cellStyle name="Input 3 4 2" xfId="39764"/>
    <cellStyle name="Input 3 4 2 2" xfId="39765"/>
    <cellStyle name="Input 3 4 2 2 10" xfId="39766"/>
    <cellStyle name="Input 3 4 2 2 11" xfId="39767"/>
    <cellStyle name="Input 3 4 2 2 12" xfId="39768"/>
    <cellStyle name="Input 3 4 2 2 13" xfId="39769"/>
    <cellStyle name="Input 3 4 2 2 14" xfId="39770"/>
    <cellStyle name="Input 3 4 2 2 15" xfId="39771"/>
    <cellStyle name="Input 3 4 2 2 16" xfId="39772"/>
    <cellStyle name="Input 3 4 2 2 17" xfId="39773"/>
    <cellStyle name="Input 3 4 2 2 18" xfId="39774"/>
    <cellStyle name="Input 3 4 2 2 19" xfId="39775"/>
    <cellStyle name="Input 3 4 2 2 2" xfId="39776"/>
    <cellStyle name="Input 3 4 2 2 2 2" xfId="39777"/>
    <cellStyle name="Input 3 4 2 2 2 3" xfId="39778"/>
    <cellStyle name="Input 3 4 2 2 2 4" xfId="39779"/>
    <cellStyle name="Input 3 4 2 2 2 5" xfId="39780"/>
    <cellStyle name="Input 3 4 2 2 2 6" xfId="39781"/>
    <cellStyle name="Input 3 4 2 2 2 7" xfId="39782"/>
    <cellStyle name="Input 3 4 2 2 2 8" xfId="39783"/>
    <cellStyle name="Input 3 4 2 2 2 9" xfId="39784"/>
    <cellStyle name="Input 3 4 2 2 3" xfId="39785"/>
    <cellStyle name="Input 3 4 2 2 4" xfId="39786"/>
    <cellStyle name="Input 3 4 2 2 5" xfId="39787"/>
    <cellStyle name="Input 3 4 2 2 6" xfId="39788"/>
    <cellStyle name="Input 3 4 2 2 7" xfId="39789"/>
    <cellStyle name="Input 3 4 2 2 8" xfId="39790"/>
    <cellStyle name="Input 3 4 2 2 9" xfId="39791"/>
    <cellStyle name="Input 3 4 2 3" xfId="39792"/>
    <cellStyle name="Input 3 4 2 3 10" xfId="39793"/>
    <cellStyle name="Input 3 4 2 3 11" xfId="39794"/>
    <cellStyle name="Input 3 4 2 3 12" xfId="39795"/>
    <cellStyle name="Input 3 4 2 3 13" xfId="39796"/>
    <cellStyle name="Input 3 4 2 3 14" xfId="39797"/>
    <cellStyle name="Input 3 4 2 3 15" xfId="39798"/>
    <cellStyle name="Input 3 4 2 3 16" xfId="39799"/>
    <cellStyle name="Input 3 4 2 3 17" xfId="39800"/>
    <cellStyle name="Input 3 4 2 3 18" xfId="39801"/>
    <cellStyle name="Input 3 4 2 3 2" xfId="39802"/>
    <cellStyle name="Input 3 4 2 3 2 2" xfId="39803"/>
    <cellStyle name="Input 3 4 2 3 2 3" xfId="39804"/>
    <cellStyle name="Input 3 4 2 3 2 4" xfId="39805"/>
    <cellStyle name="Input 3 4 2 3 2 5" xfId="39806"/>
    <cellStyle name="Input 3 4 2 3 2 6" xfId="39807"/>
    <cellStyle name="Input 3 4 2 3 2 7" xfId="39808"/>
    <cellStyle name="Input 3 4 2 3 2 8" xfId="39809"/>
    <cellStyle name="Input 3 4 2 3 2 9" xfId="39810"/>
    <cellStyle name="Input 3 4 2 3 3" xfId="39811"/>
    <cellStyle name="Input 3 4 2 3 4" xfId="39812"/>
    <cellStyle name="Input 3 4 2 3 5" xfId="39813"/>
    <cellStyle name="Input 3 4 2 3 6" xfId="39814"/>
    <cellStyle name="Input 3 4 2 3 7" xfId="39815"/>
    <cellStyle name="Input 3 4 2 3 8" xfId="39816"/>
    <cellStyle name="Input 3 4 2 3 9" xfId="39817"/>
    <cellStyle name="Input 3 4 2 4" xfId="39818"/>
    <cellStyle name="Input 3 4 2 4 10" xfId="39819"/>
    <cellStyle name="Input 3 4 2 4 11" xfId="39820"/>
    <cellStyle name="Input 3 4 2 4 12" xfId="39821"/>
    <cellStyle name="Input 3 4 2 4 13" xfId="39822"/>
    <cellStyle name="Input 3 4 2 4 14" xfId="39823"/>
    <cellStyle name="Input 3 4 2 4 15" xfId="39824"/>
    <cellStyle name="Input 3 4 2 4 16" xfId="39825"/>
    <cellStyle name="Input 3 4 2 4 17" xfId="39826"/>
    <cellStyle name="Input 3 4 2 4 18" xfId="39827"/>
    <cellStyle name="Input 3 4 2 4 19" xfId="39828"/>
    <cellStyle name="Input 3 4 2 4 2" xfId="39829"/>
    <cellStyle name="Input 3 4 2 4 2 2" xfId="39830"/>
    <cellStyle name="Input 3 4 2 4 2 3" xfId="39831"/>
    <cellStyle name="Input 3 4 2 4 2 4" xfId="39832"/>
    <cellStyle name="Input 3 4 2 4 2 5" xfId="39833"/>
    <cellStyle name="Input 3 4 2 4 2 6" xfId="39834"/>
    <cellStyle name="Input 3 4 2 4 2 7" xfId="39835"/>
    <cellStyle name="Input 3 4 2 4 2 8" xfId="39836"/>
    <cellStyle name="Input 3 4 2 4 2 9" xfId="39837"/>
    <cellStyle name="Input 3 4 2 4 3" xfId="39838"/>
    <cellStyle name="Input 3 4 2 4 4" xfId="39839"/>
    <cellStyle name="Input 3 4 2 4 5" xfId="39840"/>
    <cellStyle name="Input 3 4 2 4 6" xfId="39841"/>
    <cellStyle name="Input 3 4 2 4 7" xfId="39842"/>
    <cellStyle name="Input 3 4 2 4 8" xfId="39843"/>
    <cellStyle name="Input 3 4 2 4 9" xfId="39844"/>
    <cellStyle name="Input 3 4 2 5" xfId="39845"/>
    <cellStyle name="Input 3 4 3" xfId="39846"/>
    <cellStyle name="Input 3 4 3 2" xfId="39847"/>
    <cellStyle name="Input 3 4 3 2 10" xfId="39848"/>
    <cellStyle name="Input 3 4 3 2 11" xfId="39849"/>
    <cellStyle name="Input 3 4 3 2 12" xfId="39850"/>
    <cellStyle name="Input 3 4 3 2 13" xfId="39851"/>
    <cellStyle name="Input 3 4 3 2 14" xfId="39852"/>
    <cellStyle name="Input 3 4 3 2 15" xfId="39853"/>
    <cellStyle name="Input 3 4 3 2 16" xfId="39854"/>
    <cellStyle name="Input 3 4 3 2 17" xfId="39855"/>
    <cellStyle name="Input 3 4 3 2 18" xfId="39856"/>
    <cellStyle name="Input 3 4 3 2 19" xfId="39857"/>
    <cellStyle name="Input 3 4 3 2 2" xfId="39858"/>
    <cellStyle name="Input 3 4 3 2 2 2" xfId="39859"/>
    <cellStyle name="Input 3 4 3 2 2 3" xfId="39860"/>
    <cellStyle name="Input 3 4 3 2 2 4" xfId="39861"/>
    <cellStyle name="Input 3 4 3 2 2 5" xfId="39862"/>
    <cellStyle name="Input 3 4 3 2 2 6" xfId="39863"/>
    <cellStyle name="Input 3 4 3 2 2 7" xfId="39864"/>
    <cellStyle name="Input 3 4 3 2 2 8" xfId="39865"/>
    <cellStyle name="Input 3 4 3 2 2 9" xfId="39866"/>
    <cellStyle name="Input 3 4 3 2 3" xfId="39867"/>
    <cellStyle name="Input 3 4 3 2 4" xfId="39868"/>
    <cellStyle name="Input 3 4 3 2 5" xfId="39869"/>
    <cellStyle name="Input 3 4 3 2 6" xfId="39870"/>
    <cellStyle name="Input 3 4 3 2 7" xfId="39871"/>
    <cellStyle name="Input 3 4 3 2 8" xfId="39872"/>
    <cellStyle name="Input 3 4 3 2 9" xfId="39873"/>
    <cellStyle name="Input 3 4 3 3" xfId="39874"/>
    <cellStyle name="Input 3 4 3 3 10" xfId="39875"/>
    <cellStyle name="Input 3 4 3 3 11" xfId="39876"/>
    <cellStyle name="Input 3 4 3 3 12" xfId="39877"/>
    <cellStyle name="Input 3 4 3 3 13" xfId="39878"/>
    <cellStyle name="Input 3 4 3 3 14" xfId="39879"/>
    <cellStyle name="Input 3 4 3 3 15" xfId="39880"/>
    <cellStyle name="Input 3 4 3 3 16" xfId="39881"/>
    <cellStyle name="Input 3 4 3 3 17" xfId="39882"/>
    <cellStyle name="Input 3 4 3 3 18" xfId="39883"/>
    <cellStyle name="Input 3 4 3 3 2" xfId="39884"/>
    <cellStyle name="Input 3 4 3 3 2 2" xfId="39885"/>
    <cellStyle name="Input 3 4 3 3 2 3" xfId="39886"/>
    <cellStyle name="Input 3 4 3 3 2 4" xfId="39887"/>
    <cellStyle name="Input 3 4 3 3 2 5" xfId="39888"/>
    <cellStyle name="Input 3 4 3 3 2 6" xfId="39889"/>
    <cellStyle name="Input 3 4 3 3 2 7" xfId="39890"/>
    <cellStyle name="Input 3 4 3 3 2 8" xfId="39891"/>
    <cellStyle name="Input 3 4 3 3 2 9" xfId="39892"/>
    <cellStyle name="Input 3 4 3 3 3" xfId="39893"/>
    <cellStyle name="Input 3 4 3 3 4" xfId="39894"/>
    <cellStyle name="Input 3 4 3 3 5" xfId="39895"/>
    <cellStyle name="Input 3 4 3 3 6" xfId="39896"/>
    <cellStyle name="Input 3 4 3 3 7" xfId="39897"/>
    <cellStyle name="Input 3 4 3 3 8" xfId="39898"/>
    <cellStyle name="Input 3 4 3 3 9" xfId="39899"/>
    <cellStyle name="Input 3 4 3 4" xfId="39900"/>
    <cellStyle name="Input 3 4 3 4 10" xfId="39901"/>
    <cellStyle name="Input 3 4 3 4 11" xfId="39902"/>
    <cellStyle name="Input 3 4 3 4 12" xfId="39903"/>
    <cellStyle name="Input 3 4 3 4 13" xfId="39904"/>
    <cellStyle name="Input 3 4 3 4 14" xfId="39905"/>
    <cellStyle name="Input 3 4 3 4 15" xfId="39906"/>
    <cellStyle name="Input 3 4 3 4 16" xfId="39907"/>
    <cellStyle name="Input 3 4 3 4 17" xfId="39908"/>
    <cellStyle name="Input 3 4 3 4 18" xfId="39909"/>
    <cellStyle name="Input 3 4 3 4 19" xfId="39910"/>
    <cellStyle name="Input 3 4 3 4 2" xfId="39911"/>
    <cellStyle name="Input 3 4 3 4 2 2" xfId="39912"/>
    <cellStyle name="Input 3 4 3 4 2 3" xfId="39913"/>
    <cellStyle name="Input 3 4 3 4 2 4" xfId="39914"/>
    <cellStyle name="Input 3 4 3 4 2 5" xfId="39915"/>
    <cellStyle name="Input 3 4 3 4 2 6" xfId="39916"/>
    <cellStyle name="Input 3 4 3 4 2 7" xfId="39917"/>
    <cellStyle name="Input 3 4 3 4 2 8" xfId="39918"/>
    <cellStyle name="Input 3 4 3 4 2 9" xfId="39919"/>
    <cellStyle name="Input 3 4 3 4 3" xfId="39920"/>
    <cellStyle name="Input 3 4 3 4 4" xfId="39921"/>
    <cellStyle name="Input 3 4 3 4 5" xfId="39922"/>
    <cellStyle name="Input 3 4 3 4 6" xfId="39923"/>
    <cellStyle name="Input 3 4 3 4 7" xfId="39924"/>
    <cellStyle name="Input 3 4 3 4 8" xfId="39925"/>
    <cellStyle name="Input 3 4 3 4 9" xfId="39926"/>
    <cellStyle name="Input 3 4 4" xfId="39927"/>
    <cellStyle name="Input 3 4 4 10" xfId="39928"/>
    <cellStyle name="Input 3 4 4 11" xfId="39929"/>
    <cellStyle name="Input 3 4 4 12" xfId="39930"/>
    <cellStyle name="Input 3 4 4 13" xfId="39931"/>
    <cellStyle name="Input 3 4 4 14" xfId="39932"/>
    <cellStyle name="Input 3 4 4 15" xfId="39933"/>
    <cellStyle name="Input 3 4 4 16" xfId="39934"/>
    <cellStyle name="Input 3 4 4 17" xfId="39935"/>
    <cellStyle name="Input 3 4 4 18" xfId="39936"/>
    <cellStyle name="Input 3 4 4 19" xfId="39937"/>
    <cellStyle name="Input 3 4 4 2" xfId="39938"/>
    <cellStyle name="Input 3 4 4 2 2" xfId="39939"/>
    <cellStyle name="Input 3 4 4 2 3" xfId="39940"/>
    <cellStyle name="Input 3 4 4 2 4" xfId="39941"/>
    <cellStyle name="Input 3 4 4 2 5" xfId="39942"/>
    <cellStyle name="Input 3 4 4 2 6" xfId="39943"/>
    <cellStyle name="Input 3 4 4 2 7" xfId="39944"/>
    <cellStyle name="Input 3 4 4 2 8" xfId="39945"/>
    <cellStyle name="Input 3 4 4 2 9" xfId="39946"/>
    <cellStyle name="Input 3 4 4 3" xfId="39947"/>
    <cellStyle name="Input 3 4 4 4" xfId="39948"/>
    <cellStyle name="Input 3 4 4 5" xfId="39949"/>
    <cellStyle name="Input 3 4 4 6" xfId="39950"/>
    <cellStyle name="Input 3 4 4 7" xfId="39951"/>
    <cellStyle name="Input 3 4 4 8" xfId="39952"/>
    <cellStyle name="Input 3 4 4 9" xfId="39953"/>
    <cellStyle name="Input 3 4 5" xfId="39954"/>
    <cellStyle name="Input 3 4 5 10" xfId="39955"/>
    <cellStyle name="Input 3 4 5 11" xfId="39956"/>
    <cellStyle name="Input 3 4 5 12" xfId="39957"/>
    <cellStyle name="Input 3 4 5 13" xfId="39958"/>
    <cellStyle name="Input 3 4 5 14" xfId="39959"/>
    <cellStyle name="Input 3 4 5 15" xfId="39960"/>
    <cellStyle name="Input 3 4 5 16" xfId="39961"/>
    <cellStyle name="Input 3 4 5 17" xfId="39962"/>
    <cellStyle name="Input 3 4 5 18" xfId="39963"/>
    <cellStyle name="Input 3 4 5 2" xfId="39964"/>
    <cellStyle name="Input 3 4 5 2 2" xfId="39965"/>
    <cellStyle name="Input 3 4 5 2 3" xfId="39966"/>
    <cellStyle name="Input 3 4 5 2 4" xfId="39967"/>
    <cellStyle name="Input 3 4 5 2 5" xfId="39968"/>
    <cellStyle name="Input 3 4 5 2 6" xfId="39969"/>
    <cellStyle name="Input 3 4 5 2 7" xfId="39970"/>
    <cellStyle name="Input 3 4 5 2 8" xfId="39971"/>
    <cellStyle name="Input 3 4 5 2 9" xfId="39972"/>
    <cellStyle name="Input 3 4 5 3" xfId="39973"/>
    <cellStyle name="Input 3 4 5 4" xfId="39974"/>
    <cellStyle name="Input 3 4 5 5" xfId="39975"/>
    <cellStyle name="Input 3 4 5 6" xfId="39976"/>
    <cellStyle name="Input 3 4 5 7" xfId="39977"/>
    <cellStyle name="Input 3 4 5 8" xfId="39978"/>
    <cellStyle name="Input 3 4 5 9" xfId="39979"/>
    <cellStyle name="Input 3 4 6" xfId="39980"/>
    <cellStyle name="Input 3 4 6 10" xfId="39981"/>
    <cellStyle name="Input 3 4 6 11" xfId="39982"/>
    <cellStyle name="Input 3 4 6 12" xfId="39983"/>
    <cellStyle name="Input 3 4 6 13" xfId="39984"/>
    <cellStyle name="Input 3 4 6 14" xfId="39985"/>
    <cellStyle name="Input 3 4 6 15" xfId="39986"/>
    <cellStyle name="Input 3 4 6 16" xfId="39987"/>
    <cellStyle name="Input 3 4 6 17" xfId="39988"/>
    <cellStyle name="Input 3 4 6 18" xfId="39989"/>
    <cellStyle name="Input 3 4 6 19" xfId="39990"/>
    <cellStyle name="Input 3 4 6 2" xfId="39991"/>
    <cellStyle name="Input 3 4 6 2 2" xfId="39992"/>
    <cellStyle name="Input 3 4 6 2 3" xfId="39993"/>
    <cellStyle name="Input 3 4 6 2 4" xfId="39994"/>
    <cellStyle name="Input 3 4 6 2 5" xfId="39995"/>
    <cellStyle name="Input 3 4 6 2 6" xfId="39996"/>
    <cellStyle name="Input 3 4 6 2 7" xfId="39997"/>
    <cellStyle name="Input 3 4 6 2 8" xfId="39998"/>
    <cellStyle name="Input 3 4 6 2 9" xfId="39999"/>
    <cellStyle name="Input 3 4 6 3" xfId="40000"/>
    <cellStyle name="Input 3 4 6 4" xfId="40001"/>
    <cellStyle name="Input 3 4 6 5" xfId="40002"/>
    <cellStyle name="Input 3 4 6 6" xfId="40003"/>
    <cellStyle name="Input 3 4 6 7" xfId="40004"/>
    <cellStyle name="Input 3 4 6 8" xfId="40005"/>
    <cellStyle name="Input 3 4 6 9" xfId="40006"/>
    <cellStyle name="Input 3 5" xfId="40007"/>
    <cellStyle name="Input 3 5 2" xfId="40008"/>
    <cellStyle name="Input 3 5 2 2" xfId="40009"/>
    <cellStyle name="Input 3 5 2 2 10" xfId="40010"/>
    <cellStyle name="Input 3 5 2 2 11" xfId="40011"/>
    <cellStyle name="Input 3 5 2 2 12" xfId="40012"/>
    <cellStyle name="Input 3 5 2 2 13" xfId="40013"/>
    <cellStyle name="Input 3 5 2 2 14" xfId="40014"/>
    <cellStyle name="Input 3 5 2 2 15" xfId="40015"/>
    <cellStyle name="Input 3 5 2 2 16" xfId="40016"/>
    <cellStyle name="Input 3 5 2 2 17" xfId="40017"/>
    <cellStyle name="Input 3 5 2 2 18" xfId="40018"/>
    <cellStyle name="Input 3 5 2 2 19" xfId="40019"/>
    <cellStyle name="Input 3 5 2 2 2" xfId="40020"/>
    <cellStyle name="Input 3 5 2 2 2 2" xfId="40021"/>
    <cellStyle name="Input 3 5 2 2 2 3" xfId="40022"/>
    <cellStyle name="Input 3 5 2 2 2 4" xfId="40023"/>
    <cellStyle name="Input 3 5 2 2 2 5" xfId="40024"/>
    <cellStyle name="Input 3 5 2 2 2 6" xfId="40025"/>
    <cellStyle name="Input 3 5 2 2 2 7" xfId="40026"/>
    <cellStyle name="Input 3 5 2 2 2 8" xfId="40027"/>
    <cellStyle name="Input 3 5 2 2 2 9" xfId="40028"/>
    <cellStyle name="Input 3 5 2 2 3" xfId="40029"/>
    <cellStyle name="Input 3 5 2 2 4" xfId="40030"/>
    <cellStyle name="Input 3 5 2 2 5" xfId="40031"/>
    <cellStyle name="Input 3 5 2 2 6" xfId="40032"/>
    <cellStyle name="Input 3 5 2 2 7" xfId="40033"/>
    <cellStyle name="Input 3 5 2 2 8" xfId="40034"/>
    <cellStyle name="Input 3 5 2 2 9" xfId="40035"/>
    <cellStyle name="Input 3 5 2 3" xfId="40036"/>
    <cellStyle name="Input 3 5 2 3 10" xfId="40037"/>
    <cellStyle name="Input 3 5 2 3 11" xfId="40038"/>
    <cellStyle name="Input 3 5 2 3 12" xfId="40039"/>
    <cellStyle name="Input 3 5 2 3 13" xfId="40040"/>
    <cellStyle name="Input 3 5 2 3 14" xfId="40041"/>
    <cellStyle name="Input 3 5 2 3 15" xfId="40042"/>
    <cellStyle name="Input 3 5 2 3 16" xfId="40043"/>
    <cellStyle name="Input 3 5 2 3 17" xfId="40044"/>
    <cellStyle name="Input 3 5 2 3 18" xfId="40045"/>
    <cellStyle name="Input 3 5 2 3 2" xfId="40046"/>
    <cellStyle name="Input 3 5 2 3 2 2" xfId="40047"/>
    <cellStyle name="Input 3 5 2 3 2 3" xfId="40048"/>
    <cellStyle name="Input 3 5 2 3 2 4" xfId="40049"/>
    <cellStyle name="Input 3 5 2 3 2 5" xfId="40050"/>
    <cellStyle name="Input 3 5 2 3 2 6" xfId="40051"/>
    <cellStyle name="Input 3 5 2 3 2 7" xfId="40052"/>
    <cellStyle name="Input 3 5 2 3 2 8" xfId="40053"/>
    <cellStyle name="Input 3 5 2 3 2 9" xfId="40054"/>
    <cellStyle name="Input 3 5 2 3 3" xfId="40055"/>
    <cellStyle name="Input 3 5 2 3 4" xfId="40056"/>
    <cellStyle name="Input 3 5 2 3 5" xfId="40057"/>
    <cellStyle name="Input 3 5 2 3 6" xfId="40058"/>
    <cellStyle name="Input 3 5 2 3 7" xfId="40059"/>
    <cellStyle name="Input 3 5 2 3 8" xfId="40060"/>
    <cellStyle name="Input 3 5 2 3 9" xfId="40061"/>
    <cellStyle name="Input 3 5 2 4" xfId="40062"/>
    <cellStyle name="Input 3 5 2 4 10" xfId="40063"/>
    <cellStyle name="Input 3 5 2 4 11" xfId="40064"/>
    <cellStyle name="Input 3 5 2 4 12" xfId="40065"/>
    <cellStyle name="Input 3 5 2 4 13" xfId="40066"/>
    <cellStyle name="Input 3 5 2 4 14" xfId="40067"/>
    <cellStyle name="Input 3 5 2 4 15" xfId="40068"/>
    <cellStyle name="Input 3 5 2 4 16" xfId="40069"/>
    <cellStyle name="Input 3 5 2 4 17" xfId="40070"/>
    <cellStyle name="Input 3 5 2 4 18" xfId="40071"/>
    <cellStyle name="Input 3 5 2 4 19" xfId="40072"/>
    <cellStyle name="Input 3 5 2 4 2" xfId="40073"/>
    <cellStyle name="Input 3 5 2 4 2 2" xfId="40074"/>
    <cellStyle name="Input 3 5 2 4 2 3" xfId="40075"/>
    <cellStyle name="Input 3 5 2 4 2 4" xfId="40076"/>
    <cellStyle name="Input 3 5 2 4 2 5" xfId="40077"/>
    <cellStyle name="Input 3 5 2 4 2 6" xfId="40078"/>
    <cellStyle name="Input 3 5 2 4 2 7" xfId="40079"/>
    <cellStyle name="Input 3 5 2 4 2 8" xfId="40080"/>
    <cellStyle name="Input 3 5 2 4 2 9" xfId="40081"/>
    <cellStyle name="Input 3 5 2 4 3" xfId="40082"/>
    <cellStyle name="Input 3 5 2 4 4" xfId="40083"/>
    <cellStyle name="Input 3 5 2 4 5" xfId="40084"/>
    <cellStyle name="Input 3 5 2 4 6" xfId="40085"/>
    <cellStyle name="Input 3 5 2 4 7" xfId="40086"/>
    <cellStyle name="Input 3 5 2 4 8" xfId="40087"/>
    <cellStyle name="Input 3 5 2 4 9" xfId="40088"/>
    <cellStyle name="Input 3 5 2 5" xfId="40089"/>
    <cellStyle name="Input 3 5 3" xfId="40090"/>
    <cellStyle name="Input 3 5 3 2" xfId="40091"/>
    <cellStyle name="Input 3 5 3 2 10" xfId="40092"/>
    <cellStyle name="Input 3 5 3 2 11" xfId="40093"/>
    <cellStyle name="Input 3 5 3 2 12" xfId="40094"/>
    <cellStyle name="Input 3 5 3 2 13" xfId="40095"/>
    <cellStyle name="Input 3 5 3 2 14" xfId="40096"/>
    <cellStyle name="Input 3 5 3 2 15" xfId="40097"/>
    <cellStyle name="Input 3 5 3 2 16" xfId="40098"/>
    <cellStyle name="Input 3 5 3 2 17" xfId="40099"/>
    <cellStyle name="Input 3 5 3 2 18" xfId="40100"/>
    <cellStyle name="Input 3 5 3 2 19" xfId="40101"/>
    <cellStyle name="Input 3 5 3 2 2" xfId="40102"/>
    <cellStyle name="Input 3 5 3 2 2 2" xfId="40103"/>
    <cellStyle name="Input 3 5 3 2 2 3" xfId="40104"/>
    <cellStyle name="Input 3 5 3 2 2 4" xfId="40105"/>
    <cellStyle name="Input 3 5 3 2 2 5" xfId="40106"/>
    <cellStyle name="Input 3 5 3 2 2 6" xfId="40107"/>
    <cellStyle name="Input 3 5 3 2 2 7" xfId="40108"/>
    <cellStyle name="Input 3 5 3 2 2 8" xfId="40109"/>
    <cellStyle name="Input 3 5 3 2 2 9" xfId="40110"/>
    <cellStyle name="Input 3 5 3 2 3" xfId="40111"/>
    <cellStyle name="Input 3 5 3 2 4" xfId="40112"/>
    <cellStyle name="Input 3 5 3 2 5" xfId="40113"/>
    <cellStyle name="Input 3 5 3 2 6" xfId="40114"/>
    <cellStyle name="Input 3 5 3 2 7" xfId="40115"/>
    <cellStyle name="Input 3 5 3 2 8" xfId="40116"/>
    <cellStyle name="Input 3 5 3 2 9" xfId="40117"/>
    <cellStyle name="Input 3 5 3 3" xfId="40118"/>
    <cellStyle name="Input 3 5 3 3 10" xfId="40119"/>
    <cellStyle name="Input 3 5 3 3 11" xfId="40120"/>
    <cellStyle name="Input 3 5 3 3 12" xfId="40121"/>
    <cellStyle name="Input 3 5 3 3 13" xfId="40122"/>
    <cellStyle name="Input 3 5 3 3 14" xfId="40123"/>
    <cellStyle name="Input 3 5 3 3 15" xfId="40124"/>
    <cellStyle name="Input 3 5 3 3 16" xfId="40125"/>
    <cellStyle name="Input 3 5 3 3 17" xfId="40126"/>
    <cellStyle name="Input 3 5 3 3 18" xfId="40127"/>
    <cellStyle name="Input 3 5 3 3 2" xfId="40128"/>
    <cellStyle name="Input 3 5 3 3 2 2" xfId="40129"/>
    <cellStyle name="Input 3 5 3 3 2 3" xfId="40130"/>
    <cellStyle name="Input 3 5 3 3 2 4" xfId="40131"/>
    <cellStyle name="Input 3 5 3 3 2 5" xfId="40132"/>
    <cellStyle name="Input 3 5 3 3 2 6" xfId="40133"/>
    <cellStyle name="Input 3 5 3 3 2 7" xfId="40134"/>
    <cellStyle name="Input 3 5 3 3 2 8" xfId="40135"/>
    <cellStyle name="Input 3 5 3 3 2 9" xfId="40136"/>
    <cellStyle name="Input 3 5 3 3 3" xfId="40137"/>
    <cellStyle name="Input 3 5 3 3 4" xfId="40138"/>
    <cellStyle name="Input 3 5 3 3 5" xfId="40139"/>
    <cellStyle name="Input 3 5 3 3 6" xfId="40140"/>
    <cellStyle name="Input 3 5 3 3 7" xfId="40141"/>
    <cellStyle name="Input 3 5 3 3 8" xfId="40142"/>
    <cellStyle name="Input 3 5 3 3 9" xfId="40143"/>
    <cellStyle name="Input 3 5 3 4" xfId="40144"/>
    <cellStyle name="Input 3 5 3 4 10" xfId="40145"/>
    <cellStyle name="Input 3 5 3 4 11" xfId="40146"/>
    <cellStyle name="Input 3 5 3 4 12" xfId="40147"/>
    <cellStyle name="Input 3 5 3 4 13" xfId="40148"/>
    <cellStyle name="Input 3 5 3 4 14" xfId="40149"/>
    <cellStyle name="Input 3 5 3 4 15" xfId="40150"/>
    <cellStyle name="Input 3 5 3 4 16" xfId="40151"/>
    <cellStyle name="Input 3 5 3 4 17" xfId="40152"/>
    <cellStyle name="Input 3 5 3 4 18" xfId="40153"/>
    <cellStyle name="Input 3 5 3 4 19" xfId="40154"/>
    <cellStyle name="Input 3 5 3 4 2" xfId="40155"/>
    <cellStyle name="Input 3 5 3 4 2 2" xfId="40156"/>
    <cellStyle name="Input 3 5 3 4 2 3" xfId="40157"/>
    <cellStyle name="Input 3 5 3 4 2 4" xfId="40158"/>
    <cellStyle name="Input 3 5 3 4 2 5" xfId="40159"/>
    <cellStyle name="Input 3 5 3 4 2 6" xfId="40160"/>
    <cellStyle name="Input 3 5 3 4 2 7" xfId="40161"/>
    <cellStyle name="Input 3 5 3 4 2 8" xfId="40162"/>
    <cellStyle name="Input 3 5 3 4 2 9" xfId="40163"/>
    <cellStyle name="Input 3 5 3 4 3" xfId="40164"/>
    <cellStyle name="Input 3 5 3 4 4" xfId="40165"/>
    <cellStyle name="Input 3 5 3 4 5" xfId="40166"/>
    <cellStyle name="Input 3 5 3 4 6" xfId="40167"/>
    <cellStyle name="Input 3 5 3 4 7" xfId="40168"/>
    <cellStyle name="Input 3 5 3 4 8" xfId="40169"/>
    <cellStyle name="Input 3 5 3 4 9" xfId="40170"/>
    <cellStyle name="Input 3 5 4" xfId="40171"/>
    <cellStyle name="Input 3 5 4 10" xfId="40172"/>
    <cellStyle name="Input 3 5 4 11" xfId="40173"/>
    <cellStyle name="Input 3 5 4 12" xfId="40174"/>
    <cellStyle name="Input 3 5 4 13" xfId="40175"/>
    <cellStyle name="Input 3 5 4 14" xfId="40176"/>
    <cellStyle name="Input 3 5 4 15" xfId="40177"/>
    <cellStyle name="Input 3 5 4 16" xfId="40178"/>
    <cellStyle name="Input 3 5 4 17" xfId="40179"/>
    <cellStyle name="Input 3 5 4 18" xfId="40180"/>
    <cellStyle name="Input 3 5 4 19" xfId="40181"/>
    <cellStyle name="Input 3 5 4 2" xfId="40182"/>
    <cellStyle name="Input 3 5 4 2 2" xfId="40183"/>
    <cellStyle name="Input 3 5 4 2 3" xfId="40184"/>
    <cellStyle name="Input 3 5 4 2 4" xfId="40185"/>
    <cellStyle name="Input 3 5 4 2 5" xfId="40186"/>
    <cellStyle name="Input 3 5 4 2 6" xfId="40187"/>
    <cellStyle name="Input 3 5 4 2 7" xfId="40188"/>
    <cellStyle name="Input 3 5 4 2 8" xfId="40189"/>
    <cellStyle name="Input 3 5 4 2 9" xfId="40190"/>
    <cellStyle name="Input 3 5 4 3" xfId="40191"/>
    <cellStyle name="Input 3 5 4 4" xfId="40192"/>
    <cellStyle name="Input 3 5 4 5" xfId="40193"/>
    <cellStyle name="Input 3 5 4 6" xfId="40194"/>
    <cellStyle name="Input 3 5 4 7" xfId="40195"/>
    <cellStyle name="Input 3 5 4 8" xfId="40196"/>
    <cellStyle name="Input 3 5 4 9" xfId="40197"/>
    <cellStyle name="Input 3 5 5" xfId="40198"/>
    <cellStyle name="Input 3 5 5 10" xfId="40199"/>
    <cellStyle name="Input 3 5 5 11" xfId="40200"/>
    <cellStyle name="Input 3 5 5 12" xfId="40201"/>
    <cellStyle name="Input 3 5 5 13" xfId="40202"/>
    <cellStyle name="Input 3 5 5 14" xfId="40203"/>
    <cellStyle name="Input 3 5 5 15" xfId="40204"/>
    <cellStyle name="Input 3 5 5 16" xfId="40205"/>
    <cellStyle name="Input 3 5 5 17" xfId="40206"/>
    <cellStyle name="Input 3 5 5 18" xfId="40207"/>
    <cellStyle name="Input 3 5 5 2" xfId="40208"/>
    <cellStyle name="Input 3 5 5 2 2" xfId="40209"/>
    <cellStyle name="Input 3 5 5 2 3" xfId="40210"/>
    <cellStyle name="Input 3 5 5 2 4" xfId="40211"/>
    <cellStyle name="Input 3 5 5 2 5" xfId="40212"/>
    <cellStyle name="Input 3 5 5 2 6" xfId="40213"/>
    <cellStyle name="Input 3 5 5 2 7" xfId="40214"/>
    <cellStyle name="Input 3 5 5 2 8" xfId="40215"/>
    <cellStyle name="Input 3 5 5 2 9" xfId="40216"/>
    <cellStyle name="Input 3 5 5 3" xfId="40217"/>
    <cellStyle name="Input 3 5 5 4" xfId="40218"/>
    <cellStyle name="Input 3 5 5 5" xfId="40219"/>
    <cellStyle name="Input 3 5 5 6" xfId="40220"/>
    <cellStyle name="Input 3 5 5 7" xfId="40221"/>
    <cellStyle name="Input 3 5 5 8" xfId="40222"/>
    <cellStyle name="Input 3 5 5 9" xfId="40223"/>
    <cellStyle name="Input 3 5 6" xfId="40224"/>
    <cellStyle name="Input 3 5 6 10" xfId="40225"/>
    <cellStyle name="Input 3 5 6 11" xfId="40226"/>
    <cellStyle name="Input 3 5 6 12" xfId="40227"/>
    <cellStyle name="Input 3 5 6 13" xfId="40228"/>
    <cellStyle name="Input 3 5 6 14" xfId="40229"/>
    <cellStyle name="Input 3 5 6 15" xfId="40230"/>
    <cellStyle name="Input 3 5 6 16" xfId="40231"/>
    <cellStyle name="Input 3 5 6 17" xfId="40232"/>
    <cellStyle name="Input 3 5 6 18" xfId="40233"/>
    <cellStyle name="Input 3 5 6 19" xfId="40234"/>
    <cellStyle name="Input 3 5 6 2" xfId="40235"/>
    <cellStyle name="Input 3 5 6 2 2" xfId="40236"/>
    <cellStyle name="Input 3 5 6 2 3" xfId="40237"/>
    <cellStyle name="Input 3 5 6 2 4" xfId="40238"/>
    <cellStyle name="Input 3 5 6 2 5" xfId="40239"/>
    <cellStyle name="Input 3 5 6 2 6" xfId="40240"/>
    <cellStyle name="Input 3 5 6 2 7" xfId="40241"/>
    <cellStyle name="Input 3 5 6 2 8" xfId="40242"/>
    <cellStyle name="Input 3 5 6 2 9" xfId="40243"/>
    <cellStyle name="Input 3 5 6 3" xfId="40244"/>
    <cellStyle name="Input 3 5 6 4" xfId="40245"/>
    <cellStyle name="Input 3 5 6 5" xfId="40246"/>
    <cellStyle name="Input 3 5 6 6" xfId="40247"/>
    <cellStyle name="Input 3 5 6 7" xfId="40248"/>
    <cellStyle name="Input 3 5 6 8" xfId="40249"/>
    <cellStyle name="Input 3 5 6 9" xfId="40250"/>
    <cellStyle name="Input 3 6" xfId="40251"/>
    <cellStyle name="Input 3 6 2" xfId="40252"/>
    <cellStyle name="Input 3 6 2 2" xfId="40253"/>
    <cellStyle name="Input 3 6 2 2 10" xfId="40254"/>
    <cellStyle name="Input 3 6 2 2 11" xfId="40255"/>
    <cellStyle name="Input 3 6 2 2 12" xfId="40256"/>
    <cellStyle name="Input 3 6 2 2 13" xfId="40257"/>
    <cellStyle name="Input 3 6 2 2 14" xfId="40258"/>
    <cellStyle name="Input 3 6 2 2 15" xfId="40259"/>
    <cellStyle name="Input 3 6 2 2 16" xfId="40260"/>
    <cellStyle name="Input 3 6 2 2 17" xfId="40261"/>
    <cellStyle name="Input 3 6 2 2 18" xfId="40262"/>
    <cellStyle name="Input 3 6 2 2 19" xfId="40263"/>
    <cellStyle name="Input 3 6 2 2 2" xfId="40264"/>
    <cellStyle name="Input 3 6 2 2 2 2" xfId="40265"/>
    <cellStyle name="Input 3 6 2 2 2 3" xfId="40266"/>
    <cellStyle name="Input 3 6 2 2 2 4" xfId="40267"/>
    <cellStyle name="Input 3 6 2 2 2 5" xfId="40268"/>
    <cellStyle name="Input 3 6 2 2 2 6" xfId="40269"/>
    <cellStyle name="Input 3 6 2 2 2 7" xfId="40270"/>
    <cellStyle name="Input 3 6 2 2 2 8" xfId="40271"/>
    <cellStyle name="Input 3 6 2 2 2 9" xfId="40272"/>
    <cellStyle name="Input 3 6 2 2 3" xfId="40273"/>
    <cellStyle name="Input 3 6 2 2 4" xfId="40274"/>
    <cellStyle name="Input 3 6 2 2 5" xfId="40275"/>
    <cellStyle name="Input 3 6 2 2 6" xfId="40276"/>
    <cellStyle name="Input 3 6 2 2 7" xfId="40277"/>
    <cellStyle name="Input 3 6 2 2 8" xfId="40278"/>
    <cellStyle name="Input 3 6 2 2 9" xfId="40279"/>
    <cellStyle name="Input 3 6 2 3" xfId="40280"/>
    <cellStyle name="Input 3 6 2 3 10" xfId="40281"/>
    <cellStyle name="Input 3 6 2 3 11" xfId="40282"/>
    <cellStyle name="Input 3 6 2 3 12" xfId="40283"/>
    <cellStyle name="Input 3 6 2 3 13" xfId="40284"/>
    <cellStyle name="Input 3 6 2 3 14" xfId="40285"/>
    <cellStyle name="Input 3 6 2 3 15" xfId="40286"/>
    <cellStyle name="Input 3 6 2 3 16" xfId="40287"/>
    <cellStyle name="Input 3 6 2 3 17" xfId="40288"/>
    <cellStyle name="Input 3 6 2 3 18" xfId="40289"/>
    <cellStyle name="Input 3 6 2 3 2" xfId="40290"/>
    <cellStyle name="Input 3 6 2 3 2 2" xfId="40291"/>
    <cellStyle name="Input 3 6 2 3 2 3" xfId="40292"/>
    <cellStyle name="Input 3 6 2 3 2 4" xfId="40293"/>
    <cellStyle name="Input 3 6 2 3 2 5" xfId="40294"/>
    <cellStyle name="Input 3 6 2 3 2 6" xfId="40295"/>
    <cellStyle name="Input 3 6 2 3 2 7" xfId="40296"/>
    <cellStyle name="Input 3 6 2 3 2 8" xfId="40297"/>
    <cellStyle name="Input 3 6 2 3 2 9" xfId="40298"/>
    <cellStyle name="Input 3 6 2 3 3" xfId="40299"/>
    <cellStyle name="Input 3 6 2 3 4" xfId="40300"/>
    <cellStyle name="Input 3 6 2 3 5" xfId="40301"/>
    <cellStyle name="Input 3 6 2 3 6" xfId="40302"/>
    <cellStyle name="Input 3 6 2 3 7" xfId="40303"/>
    <cellStyle name="Input 3 6 2 3 8" xfId="40304"/>
    <cellStyle name="Input 3 6 2 3 9" xfId="40305"/>
    <cellStyle name="Input 3 6 2 4" xfId="40306"/>
    <cellStyle name="Input 3 6 2 4 10" xfId="40307"/>
    <cellStyle name="Input 3 6 2 4 11" xfId="40308"/>
    <cellStyle name="Input 3 6 2 4 12" xfId="40309"/>
    <cellStyle name="Input 3 6 2 4 13" xfId="40310"/>
    <cellStyle name="Input 3 6 2 4 14" xfId="40311"/>
    <cellStyle name="Input 3 6 2 4 15" xfId="40312"/>
    <cellStyle name="Input 3 6 2 4 16" xfId="40313"/>
    <cellStyle name="Input 3 6 2 4 17" xfId="40314"/>
    <cellStyle name="Input 3 6 2 4 18" xfId="40315"/>
    <cellStyle name="Input 3 6 2 4 19" xfId="40316"/>
    <cellStyle name="Input 3 6 2 4 2" xfId="40317"/>
    <cellStyle name="Input 3 6 2 4 2 2" xfId="40318"/>
    <cellStyle name="Input 3 6 2 4 2 3" xfId="40319"/>
    <cellStyle name="Input 3 6 2 4 2 4" xfId="40320"/>
    <cellStyle name="Input 3 6 2 4 2 5" xfId="40321"/>
    <cellStyle name="Input 3 6 2 4 2 6" xfId="40322"/>
    <cellStyle name="Input 3 6 2 4 2 7" xfId="40323"/>
    <cellStyle name="Input 3 6 2 4 2 8" xfId="40324"/>
    <cellStyle name="Input 3 6 2 4 2 9" xfId="40325"/>
    <cellStyle name="Input 3 6 2 4 3" xfId="40326"/>
    <cellStyle name="Input 3 6 2 4 4" xfId="40327"/>
    <cellStyle name="Input 3 6 2 4 5" xfId="40328"/>
    <cellStyle name="Input 3 6 2 4 6" xfId="40329"/>
    <cellStyle name="Input 3 6 2 4 7" xfId="40330"/>
    <cellStyle name="Input 3 6 2 4 8" xfId="40331"/>
    <cellStyle name="Input 3 6 2 4 9" xfId="40332"/>
    <cellStyle name="Input 3 6 2 5" xfId="40333"/>
    <cellStyle name="Input 3 6 3" xfId="40334"/>
    <cellStyle name="Input 3 6 3 2" xfId="40335"/>
    <cellStyle name="Input 3 6 3 2 10" xfId="40336"/>
    <cellStyle name="Input 3 6 3 2 11" xfId="40337"/>
    <cellStyle name="Input 3 6 3 2 12" xfId="40338"/>
    <cellStyle name="Input 3 6 3 2 13" xfId="40339"/>
    <cellStyle name="Input 3 6 3 2 14" xfId="40340"/>
    <cellStyle name="Input 3 6 3 2 15" xfId="40341"/>
    <cellStyle name="Input 3 6 3 2 16" xfId="40342"/>
    <cellStyle name="Input 3 6 3 2 17" xfId="40343"/>
    <cellStyle name="Input 3 6 3 2 18" xfId="40344"/>
    <cellStyle name="Input 3 6 3 2 19" xfId="40345"/>
    <cellStyle name="Input 3 6 3 2 2" xfId="40346"/>
    <cellStyle name="Input 3 6 3 2 2 2" xfId="40347"/>
    <cellStyle name="Input 3 6 3 2 2 3" xfId="40348"/>
    <cellStyle name="Input 3 6 3 2 2 4" xfId="40349"/>
    <cellStyle name="Input 3 6 3 2 2 5" xfId="40350"/>
    <cellStyle name="Input 3 6 3 2 2 6" xfId="40351"/>
    <cellStyle name="Input 3 6 3 2 2 7" xfId="40352"/>
    <cellStyle name="Input 3 6 3 2 2 8" xfId="40353"/>
    <cellStyle name="Input 3 6 3 2 2 9" xfId="40354"/>
    <cellStyle name="Input 3 6 3 2 3" xfId="40355"/>
    <cellStyle name="Input 3 6 3 2 4" xfId="40356"/>
    <cellStyle name="Input 3 6 3 2 5" xfId="40357"/>
    <cellStyle name="Input 3 6 3 2 6" xfId="40358"/>
    <cellStyle name="Input 3 6 3 2 7" xfId="40359"/>
    <cellStyle name="Input 3 6 3 2 8" xfId="40360"/>
    <cellStyle name="Input 3 6 3 2 9" xfId="40361"/>
    <cellStyle name="Input 3 6 3 3" xfId="40362"/>
    <cellStyle name="Input 3 6 3 3 10" xfId="40363"/>
    <cellStyle name="Input 3 6 3 3 11" xfId="40364"/>
    <cellStyle name="Input 3 6 3 3 12" xfId="40365"/>
    <cellStyle name="Input 3 6 3 3 13" xfId="40366"/>
    <cellStyle name="Input 3 6 3 3 14" xfId="40367"/>
    <cellStyle name="Input 3 6 3 3 15" xfId="40368"/>
    <cellStyle name="Input 3 6 3 3 16" xfId="40369"/>
    <cellStyle name="Input 3 6 3 3 17" xfId="40370"/>
    <cellStyle name="Input 3 6 3 3 18" xfId="40371"/>
    <cellStyle name="Input 3 6 3 3 2" xfId="40372"/>
    <cellStyle name="Input 3 6 3 3 2 2" xfId="40373"/>
    <cellStyle name="Input 3 6 3 3 2 3" xfId="40374"/>
    <cellStyle name="Input 3 6 3 3 2 4" xfId="40375"/>
    <cellStyle name="Input 3 6 3 3 2 5" xfId="40376"/>
    <cellStyle name="Input 3 6 3 3 2 6" xfId="40377"/>
    <cellStyle name="Input 3 6 3 3 2 7" xfId="40378"/>
    <cellStyle name="Input 3 6 3 3 2 8" xfId="40379"/>
    <cellStyle name="Input 3 6 3 3 2 9" xfId="40380"/>
    <cellStyle name="Input 3 6 3 3 3" xfId="40381"/>
    <cellStyle name="Input 3 6 3 3 4" xfId="40382"/>
    <cellStyle name="Input 3 6 3 3 5" xfId="40383"/>
    <cellStyle name="Input 3 6 3 3 6" xfId="40384"/>
    <cellStyle name="Input 3 6 3 3 7" xfId="40385"/>
    <cellStyle name="Input 3 6 3 3 8" xfId="40386"/>
    <cellStyle name="Input 3 6 3 3 9" xfId="40387"/>
    <cellStyle name="Input 3 6 3 4" xfId="40388"/>
    <cellStyle name="Input 3 6 3 4 10" xfId="40389"/>
    <cellStyle name="Input 3 6 3 4 11" xfId="40390"/>
    <cellStyle name="Input 3 6 3 4 12" xfId="40391"/>
    <cellStyle name="Input 3 6 3 4 13" xfId="40392"/>
    <cellStyle name="Input 3 6 3 4 14" xfId="40393"/>
    <cellStyle name="Input 3 6 3 4 15" xfId="40394"/>
    <cellStyle name="Input 3 6 3 4 16" xfId="40395"/>
    <cellStyle name="Input 3 6 3 4 17" xfId="40396"/>
    <cellStyle name="Input 3 6 3 4 18" xfId="40397"/>
    <cellStyle name="Input 3 6 3 4 19" xfId="40398"/>
    <cellStyle name="Input 3 6 3 4 2" xfId="40399"/>
    <cellStyle name="Input 3 6 3 4 2 2" xfId="40400"/>
    <cellStyle name="Input 3 6 3 4 2 3" xfId="40401"/>
    <cellStyle name="Input 3 6 3 4 2 4" xfId="40402"/>
    <cellStyle name="Input 3 6 3 4 2 5" xfId="40403"/>
    <cellStyle name="Input 3 6 3 4 2 6" xfId="40404"/>
    <cellStyle name="Input 3 6 3 4 2 7" xfId="40405"/>
    <cellStyle name="Input 3 6 3 4 2 8" xfId="40406"/>
    <cellStyle name="Input 3 6 3 4 2 9" xfId="40407"/>
    <cellStyle name="Input 3 6 3 4 3" xfId="40408"/>
    <cellStyle name="Input 3 6 3 4 4" xfId="40409"/>
    <cellStyle name="Input 3 6 3 4 5" xfId="40410"/>
    <cellStyle name="Input 3 6 3 4 6" xfId="40411"/>
    <cellStyle name="Input 3 6 3 4 7" xfId="40412"/>
    <cellStyle name="Input 3 6 3 4 8" xfId="40413"/>
    <cellStyle name="Input 3 6 3 4 9" xfId="40414"/>
    <cellStyle name="Input 3 6 4" xfId="40415"/>
    <cellStyle name="Input 3 6 4 10" xfId="40416"/>
    <cellStyle name="Input 3 6 4 11" xfId="40417"/>
    <cellStyle name="Input 3 6 4 12" xfId="40418"/>
    <cellStyle name="Input 3 6 4 13" xfId="40419"/>
    <cellStyle name="Input 3 6 4 14" xfId="40420"/>
    <cellStyle name="Input 3 6 4 15" xfId="40421"/>
    <cellStyle name="Input 3 6 4 16" xfId="40422"/>
    <cellStyle name="Input 3 6 4 17" xfId="40423"/>
    <cellStyle name="Input 3 6 4 18" xfId="40424"/>
    <cellStyle name="Input 3 6 4 19" xfId="40425"/>
    <cellStyle name="Input 3 6 4 2" xfId="40426"/>
    <cellStyle name="Input 3 6 4 2 2" xfId="40427"/>
    <cellStyle name="Input 3 6 4 2 3" xfId="40428"/>
    <cellStyle name="Input 3 6 4 2 4" xfId="40429"/>
    <cellStyle name="Input 3 6 4 2 5" xfId="40430"/>
    <cellStyle name="Input 3 6 4 2 6" xfId="40431"/>
    <cellStyle name="Input 3 6 4 2 7" xfId="40432"/>
    <cellStyle name="Input 3 6 4 2 8" xfId="40433"/>
    <cellStyle name="Input 3 6 4 2 9" xfId="40434"/>
    <cellStyle name="Input 3 6 4 3" xfId="40435"/>
    <cellStyle name="Input 3 6 4 4" xfId="40436"/>
    <cellStyle name="Input 3 6 4 5" xfId="40437"/>
    <cellStyle name="Input 3 6 4 6" xfId="40438"/>
    <cellStyle name="Input 3 6 4 7" xfId="40439"/>
    <cellStyle name="Input 3 6 4 8" xfId="40440"/>
    <cellStyle name="Input 3 6 4 9" xfId="40441"/>
    <cellStyle name="Input 3 6 5" xfId="40442"/>
    <cellStyle name="Input 3 6 5 10" xfId="40443"/>
    <cellStyle name="Input 3 6 5 11" xfId="40444"/>
    <cellStyle name="Input 3 6 5 12" xfId="40445"/>
    <cellStyle name="Input 3 6 5 13" xfId="40446"/>
    <cellStyle name="Input 3 6 5 14" xfId="40447"/>
    <cellStyle name="Input 3 6 5 15" xfId="40448"/>
    <cellStyle name="Input 3 6 5 16" xfId="40449"/>
    <cellStyle name="Input 3 6 5 17" xfId="40450"/>
    <cellStyle name="Input 3 6 5 18" xfId="40451"/>
    <cellStyle name="Input 3 6 5 2" xfId="40452"/>
    <cellStyle name="Input 3 6 5 2 2" xfId="40453"/>
    <cellStyle name="Input 3 6 5 2 3" xfId="40454"/>
    <cellStyle name="Input 3 6 5 2 4" xfId="40455"/>
    <cellStyle name="Input 3 6 5 2 5" xfId="40456"/>
    <cellStyle name="Input 3 6 5 2 6" xfId="40457"/>
    <cellStyle name="Input 3 6 5 2 7" xfId="40458"/>
    <cellStyle name="Input 3 6 5 2 8" xfId="40459"/>
    <cellStyle name="Input 3 6 5 2 9" xfId="40460"/>
    <cellStyle name="Input 3 6 5 3" xfId="40461"/>
    <cellStyle name="Input 3 6 5 4" xfId="40462"/>
    <cellStyle name="Input 3 6 5 5" xfId="40463"/>
    <cellStyle name="Input 3 6 5 6" xfId="40464"/>
    <cellStyle name="Input 3 6 5 7" xfId="40465"/>
    <cellStyle name="Input 3 6 5 8" xfId="40466"/>
    <cellStyle name="Input 3 6 5 9" xfId="40467"/>
    <cellStyle name="Input 3 6 6" xfId="40468"/>
    <cellStyle name="Input 3 6 6 10" xfId="40469"/>
    <cellStyle name="Input 3 6 6 11" xfId="40470"/>
    <cellStyle name="Input 3 6 6 12" xfId="40471"/>
    <cellStyle name="Input 3 6 6 13" xfId="40472"/>
    <cellStyle name="Input 3 6 6 14" xfId="40473"/>
    <cellStyle name="Input 3 6 6 15" xfId="40474"/>
    <cellStyle name="Input 3 6 6 16" xfId="40475"/>
    <cellStyle name="Input 3 6 6 17" xfId="40476"/>
    <cellStyle name="Input 3 6 6 18" xfId="40477"/>
    <cellStyle name="Input 3 6 6 19" xfId="40478"/>
    <cellStyle name="Input 3 6 6 2" xfId="40479"/>
    <cellStyle name="Input 3 6 6 2 2" xfId="40480"/>
    <cellStyle name="Input 3 6 6 2 3" xfId="40481"/>
    <cellStyle name="Input 3 6 6 2 4" xfId="40482"/>
    <cellStyle name="Input 3 6 6 2 5" xfId="40483"/>
    <cellStyle name="Input 3 6 6 2 6" xfId="40484"/>
    <cellStyle name="Input 3 6 6 2 7" xfId="40485"/>
    <cellStyle name="Input 3 6 6 2 8" xfId="40486"/>
    <cellStyle name="Input 3 6 6 2 9" xfId="40487"/>
    <cellStyle name="Input 3 6 6 3" xfId="40488"/>
    <cellStyle name="Input 3 6 6 4" xfId="40489"/>
    <cellStyle name="Input 3 6 6 5" xfId="40490"/>
    <cellStyle name="Input 3 6 6 6" xfId="40491"/>
    <cellStyle name="Input 3 6 6 7" xfId="40492"/>
    <cellStyle name="Input 3 6 6 8" xfId="40493"/>
    <cellStyle name="Input 3 6 6 9" xfId="40494"/>
    <cellStyle name="Input 3 7" xfId="40495"/>
    <cellStyle name="Input 3 7 2" xfId="40496"/>
    <cellStyle name="Input 3 7 2 2" xfId="40497"/>
    <cellStyle name="Input 3 7 2 2 10" xfId="40498"/>
    <cellStyle name="Input 3 7 2 2 11" xfId="40499"/>
    <cellStyle name="Input 3 7 2 2 12" xfId="40500"/>
    <cellStyle name="Input 3 7 2 2 13" xfId="40501"/>
    <cellStyle name="Input 3 7 2 2 14" xfId="40502"/>
    <cellStyle name="Input 3 7 2 2 15" xfId="40503"/>
    <cellStyle name="Input 3 7 2 2 16" xfId="40504"/>
    <cellStyle name="Input 3 7 2 2 17" xfId="40505"/>
    <cellStyle name="Input 3 7 2 2 18" xfId="40506"/>
    <cellStyle name="Input 3 7 2 2 19" xfId="40507"/>
    <cellStyle name="Input 3 7 2 2 2" xfId="40508"/>
    <cellStyle name="Input 3 7 2 2 2 2" xfId="40509"/>
    <cellStyle name="Input 3 7 2 2 2 3" xfId="40510"/>
    <cellStyle name="Input 3 7 2 2 2 4" xfId="40511"/>
    <cellStyle name="Input 3 7 2 2 2 5" xfId="40512"/>
    <cellStyle name="Input 3 7 2 2 2 6" xfId="40513"/>
    <cellStyle name="Input 3 7 2 2 2 7" xfId="40514"/>
    <cellStyle name="Input 3 7 2 2 2 8" xfId="40515"/>
    <cellStyle name="Input 3 7 2 2 2 9" xfId="40516"/>
    <cellStyle name="Input 3 7 2 2 3" xfId="40517"/>
    <cellStyle name="Input 3 7 2 2 4" xfId="40518"/>
    <cellStyle name="Input 3 7 2 2 5" xfId="40519"/>
    <cellStyle name="Input 3 7 2 2 6" xfId="40520"/>
    <cellStyle name="Input 3 7 2 2 7" xfId="40521"/>
    <cellStyle name="Input 3 7 2 2 8" xfId="40522"/>
    <cellStyle name="Input 3 7 2 2 9" xfId="40523"/>
    <cellStyle name="Input 3 7 2 3" xfId="40524"/>
    <cellStyle name="Input 3 7 2 3 10" xfId="40525"/>
    <cellStyle name="Input 3 7 2 3 11" xfId="40526"/>
    <cellStyle name="Input 3 7 2 3 12" xfId="40527"/>
    <cellStyle name="Input 3 7 2 3 13" xfId="40528"/>
    <cellStyle name="Input 3 7 2 3 14" xfId="40529"/>
    <cellStyle name="Input 3 7 2 3 15" xfId="40530"/>
    <cellStyle name="Input 3 7 2 3 16" xfId="40531"/>
    <cellStyle name="Input 3 7 2 3 17" xfId="40532"/>
    <cellStyle name="Input 3 7 2 3 18" xfId="40533"/>
    <cellStyle name="Input 3 7 2 3 2" xfId="40534"/>
    <cellStyle name="Input 3 7 2 3 2 2" xfId="40535"/>
    <cellStyle name="Input 3 7 2 3 2 3" xfId="40536"/>
    <cellStyle name="Input 3 7 2 3 2 4" xfId="40537"/>
    <cellStyle name="Input 3 7 2 3 2 5" xfId="40538"/>
    <cellStyle name="Input 3 7 2 3 2 6" xfId="40539"/>
    <cellStyle name="Input 3 7 2 3 2 7" xfId="40540"/>
    <cellStyle name="Input 3 7 2 3 2 8" xfId="40541"/>
    <cellStyle name="Input 3 7 2 3 2 9" xfId="40542"/>
    <cellStyle name="Input 3 7 2 3 3" xfId="40543"/>
    <cellStyle name="Input 3 7 2 3 4" xfId="40544"/>
    <cellStyle name="Input 3 7 2 3 5" xfId="40545"/>
    <cellStyle name="Input 3 7 2 3 6" xfId="40546"/>
    <cellStyle name="Input 3 7 2 3 7" xfId="40547"/>
    <cellStyle name="Input 3 7 2 3 8" xfId="40548"/>
    <cellStyle name="Input 3 7 2 3 9" xfId="40549"/>
    <cellStyle name="Input 3 7 2 4" xfId="40550"/>
    <cellStyle name="Input 3 7 2 4 10" xfId="40551"/>
    <cellStyle name="Input 3 7 2 4 11" xfId="40552"/>
    <cellStyle name="Input 3 7 2 4 12" xfId="40553"/>
    <cellStyle name="Input 3 7 2 4 13" xfId="40554"/>
    <cellStyle name="Input 3 7 2 4 14" xfId="40555"/>
    <cellStyle name="Input 3 7 2 4 15" xfId="40556"/>
    <cellStyle name="Input 3 7 2 4 16" xfId="40557"/>
    <cellStyle name="Input 3 7 2 4 17" xfId="40558"/>
    <cellStyle name="Input 3 7 2 4 18" xfId="40559"/>
    <cellStyle name="Input 3 7 2 4 19" xfId="40560"/>
    <cellStyle name="Input 3 7 2 4 2" xfId="40561"/>
    <cellStyle name="Input 3 7 2 4 2 2" xfId="40562"/>
    <cellStyle name="Input 3 7 2 4 2 3" xfId="40563"/>
    <cellStyle name="Input 3 7 2 4 2 4" xfId="40564"/>
    <cellStyle name="Input 3 7 2 4 2 5" xfId="40565"/>
    <cellStyle name="Input 3 7 2 4 2 6" xfId="40566"/>
    <cellStyle name="Input 3 7 2 4 2 7" xfId="40567"/>
    <cellStyle name="Input 3 7 2 4 2 8" xfId="40568"/>
    <cellStyle name="Input 3 7 2 4 2 9" xfId="40569"/>
    <cellStyle name="Input 3 7 2 4 3" xfId="40570"/>
    <cellStyle name="Input 3 7 2 4 4" xfId="40571"/>
    <cellStyle name="Input 3 7 2 4 5" xfId="40572"/>
    <cellStyle name="Input 3 7 2 4 6" xfId="40573"/>
    <cellStyle name="Input 3 7 2 4 7" xfId="40574"/>
    <cellStyle name="Input 3 7 2 4 8" xfId="40575"/>
    <cellStyle name="Input 3 7 2 4 9" xfId="40576"/>
    <cellStyle name="Input 3 7 2 5" xfId="40577"/>
    <cellStyle name="Input 3 7 3" xfId="40578"/>
    <cellStyle name="Input 3 7 3 2" xfId="40579"/>
    <cellStyle name="Input 3 7 3 2 10" xfId="40580"/>
    <cellStyle name="Input 3 7 3 2 11" xfId="40581"/>
    <cellStyle name="Input 3 7 3 2 12" xfId="40582"/>
    <cellStyle name="Input 3 7 3 2 13" xfId="40583"/>
    <cellStyle name="Input 3 7 3 2 14" xfId="40584"/>
    <cellStyle name="Input 3 7 3 2 15" xfId="40585"/>
    <cellStyle name="Input 3 7 3 2 16" xfId="40586"/>
    <cellStyle name="Input 3 7 3 2 17" xfId="40587"/>
    <cellStyle name="Input 3 7 3 2 18" xfId="40588"/>
    <cellStyle name="Input 3 7 3 2 19" xfId="40589"/>
    <cellStyle name="Input 3 7 3 2 2" xfId="40590"/>
    <cellStyle name="Input 3 7 3 2 2 2" xfId="40591"/>
    <cellStyle name="Input 3 7 3 2 2 3" xfId="40592"/>
    <cellStyle name="Input 3 7 3 2 2 4" xfId="40593"/>
    <cellStyle name="Input 3 7 3 2 2 5" xfId="40594"/>
    <cellStyle name="Input 3 7 3 2 2 6" xfId="40595"/>
    <cellStyle name="Input 3 7 3 2 2 7" xfId="40596"/>
    <cellStyle name="Input 3 7 3 2 2 8" xfId="40597"/>
    <cellStyle name="Input 3 7 3 2 2 9" xfId="40598"/>
    <cellStyle name="Input 3 7 3 2 3" xfId="40599"/>
    <cellStyle name="Input 3 7 3 2 4" xfId="40600"/>
    <cellStyle name="Input 3 7 3 2 5" xfId="40601"/>
    <cellStyle name="Input 3 7 3 2 6" xfId="40602"/>
    <cellStyle name="Input 3 7 3 2 7" xfId="40603"/>
    <cellStyle name="Input 3 7 3 2 8" xfId="40604"/>
    <cellStyle name="Input 3 7 3 2 9" xfId="40605"/>
    <cellStyle name="Input 3 7 3 3" xfId="40606"/>
    <cellStyle name="Input 3 7 3 3 10" xfId="40607"/>
    <cellStyle name="Input 3 7 3 3 11" xfId="40608"/>
    <cellStyle name="Input 3 7 3 3 12" xfId="40609"/>
    <cellStyle name="Input 3 7 3 3 13" xfId="40610"/>
    <cellStyle name="Input 3 7 3 3 14" xfId="40611"/>
    <cellStyle name="Input 3 7 3 3 15" xfId="40612"/>
    <cellStyle name="Input 3 7 3 3 16" xfId="40613"/>
    <cellStyle name="Input 3 7 3 3 17" xfId="40614"/>
    <cellStyle name="Input 3 7 3 3 18" xfId="40615"/>
    <cellStyle name="Input 3 7 3 3 2" xfId="40616"/>
    <cellStyle name="Input 3 7 3 3 2 2" xfId="40617"/>
    <cellStyle name="Input 3 7 3 3 2 3" xfId="40618"/>
    <cellStyle name="Input 3 7 3 3 2 4" xfId="40619"/>
    <cellStyle name="Input 3 7 3 3 2 5" xfId="40620"/>
    <cellStyle name="Input 3 7 3 3 2 6" xfId="40621"/>
    <cellStyle name="Input 3 7 3 3 2 7" xfId="40622"/>
    <cellStyle name="Input 3 7 3 3 2 8" xfId="40623"/>
    <cellStyle name="Input 3 7 3 3 2 9" xfId="40624"/>
    <cellStyle name="Input 3 7 3 3 3" xfId="40625"/>
    <cellStyle name="Input 3 7 3 3 4" xfId="40626"/>
    <cellStyle name="Input 3 7 3 3 5" xfId="40627"/>
    <cellStyle name="Input 3 7 3 3 6" xfId="40628"/>
    <cellStyle name="Input 3 7 3 3 7" xfId="40629"/>
    <cellStyle name="Input 3 7 3 3 8" xfId="40630"/>
    <cellStyle name="Input 3 7 3 3 9" xfId="40631"/>
    <cellStyle name="Input 3 7 3 4" xfId="40632"/>
    <cellStyle name="Input 3 7 3 4 10" xfId="40633"/>
    <cellStyle name="Input 3 7 3 4 11" xfId="40634"/>
    <cellStyle name="Input 3 7 3 4 12" xfId="40635"/>
    <cellStyle name="Input 3 7 3 4 13" xfId="40636"/>
    <cellStyle name="Input 3 7 3 4 14" xfId="40637"/>
    <cellStyle name="Input 3 7 3 4 15" xfId="40638"/>
    <cellStyle name="Input 3 7 3 4 16" xfId="40639"/>
    <cellStyle name="Input 3 7 3 4 17" xfId="40640"/>
    <cellStyle name="Input 3 7 3 4 18" xfId="40641"/>
    <cellStyle name="Input 3 7 3 4 19" xfId="40642"/>
    <cellStyle name="Input 3 7 3 4 2" xfId="40643"/>
    <cellStyle name="Input 3 7 3 4 2 2" xfId="40644"/>
    <cellStyle name="Input 3 7 3 4 2 3" xfId="40645"/>
    <cellStyle name="Input 3 7 3 4 2 4" xfId="40646"/>
    <cellStyle name="Input 3 7 3 4 2 5" xfId="40647"/>
    <cellStyle name="Input 3 7 3 4 2 6" xfId="40648"/>
    <cellStyle name="Input 3 7 3 4 2 7" xfId="40649"/>
    <cellStyle name="Input 3 7 3 4 2 8" xfId="40650"/>
    <cellStyle name="Input 3 7 3 4 2 9" xfId="40651"/>
    <cellStyle name="Input 3 7 3 4 3" xfId="40652"/>
    <cellStyle name="Input 3 7 3 4 4" xfId="40653"/>
    <cellStyle name="Input 3 7 3 4 5" xfId="40654"/>
    <cellStyle name="Input 3 7 3 4 6" xfId="40655"/>
    <cellStyle name="Input 3 7 3 4 7" xfId="40656"/>
    <cellStyle name="Input 3 7 3 4 8" xfId="40657"/>
    <cellStyle name="Input 3 7 3 4 9" xfId="40658"/>
    <cellStyle name="Input 3 7 4" xfId="40659"/>
    <cellStyle name="Input 3 7 4 10" xfId="40660"/>
    <cellStyle name="Input 3 7 4 11" xfId="40661"/>
    <cellStyle name="Input 3 7 4 12" xfId="40662"/>
    <cellStyle name="Input 3 7 4 13" xfId="40663"/>
    <cellStyle name="Input 3 7 4 14" xfId="40664"/>
    <cellStyle name="Input 3 7 4 15" xfId="40665"/>
    <cellStyle name="Input 3 7 4 16" xfId="40666"/>
    <cellStyle name="Input 3 7 4 17" xfId="40667"/>
    <cellStyle name="Input 3 7 4 18" xfId="40668"/>
    <cellStyle name="Input 3 7 4 19" xfId="40669"/>
    <cellStyle name="Input 3 7 4 2" xfId="40670"/>
    <cellStyle name="Input 3 7 4 2 2" xfId="40671"/>
    <cellStyle name="Input 3 7 4 2 3" xfId="40672"/>
    <cellStyle name="Input 3 7 4 2 4" xfId="40673"/>
    <cellStyle name="Input 3 7 4 2 5" xfId="40674"/>
    <cellStyle name="Input 3 7 4 2 6" xfId="40675"/>
    <cellStyle name="Input 3 7 4 2 7" xfId="40676"/>
    <cellStyle name="Input 3 7 4 2 8" xfId="40677"/>
    <cellStyle name="Input 3 7 4 2 9" xfId="40678"/>
    <cellStyle name="Input 3 7 4 3" xfId="40679"/>
    <cellStyle name="Input 3 7 4 4" xfId="40680"/>
    <cellStyle name="Input 3 7 4 5" xfId="40681"/>
    <cellStyle name="Input 3 7 4 6" xfId="40682"/>
    <cellStyle name="Input 3 7 4 7" xfId="40683"/>
    <cellStyle name="Input 3 7 4 8" xfId="40684"/>
    <cellStyle name="Input 3 7 4 9" xfId="40685"/>
    <cellStyle name="Input 3 7 5" xfId="40686"/>
    <cellStyle name="Input 3 7 5 10" xfId="40687"/>
    <cellStyle name="Input 3 7 5 11" xfId="40688"/>
    <cellStyle name="Input 3 7 5 12" xfId="40689"/>
    <cellStyle name="Input 3 7 5 13" xfId="40690"/>
    <cellStyle name="Input 3 7 5 14" xfId="40691"/>
    <cellStyle name="Input 3 7 5 15" xfId="40692"/>
    <cellStyle name="Input 3 7 5 16" xfId="40693"/>
    <cellStyle name="Input 3 7 5 17" xfId="40694"/>
    <cellStyle name="Input 3 7 5 18" xfId="40695"/>
    <cellStyle name="Input 3 7 5 2" xfId="40696"/>
    <cellStyle name="Input 3 7 5 2 2" xfId="40697"/>
    <cellStyle name="Input 3 7 5 2 3" xfId="40698"/>
    <cellStyle name="Input 3 7 5 2 4" xfId="40699"/>
    <cellStyle name="Input 3 7 5 2 5" xfId="40700"/>
    <cellStyle name="Input 3 7 5 2 6" xfId="40701"/>
    <cellStyle name="Input 3 7 5 2 7" xfId="40702"/>
    <cellStyle name="Input 3 7 5 2 8" xfId="40703"/>
    <cellStyle name="Input 3 7 5 2 9" xfId="40704"/>
    <cellStyle name="Input 3 7 5 3" xfId="40705"/>
    <cellStyle name="Input 3 7 5 4" xfId="40706"/>
    <cellStyle name="Input 3 7 5 5" xfId="40707"/>
    <cellStyle name="Input 3 7 5 6" xfId="40708"/>
    <cellStyle name="Input 3 7 5 7" xfId="40709"/>
    <cellStyle name="Input 3 7 5 8" xfId="40710"/>
    <cellStyle name="Input 3 7 5 9" xfId="40711"/>
    <cellStyle name="Input 3 7 6" xfId="40712"/>
    <cellStyle name="Input 3 7 6 10" xfId="40713"/>
    <cellStyle name="Input 3 7 6 11" xfId="40714"/>
    <cellStyle name="Input 3 7 6 12" xfId="40715"/>
    <cellStyle name="Input 3 7 6 13" xfId="40716"/>
    <cellStyle name="Input 3 7 6 14" xfId="40717"/>
    <cellStyle name="Input 3 7 6 15" xfId="40718"/>
    <cellStyle name="Input 3 7 6 16" xfId="40719"/>
    <cellStyle name="Input 3 7 6 17" xfId="40720"/>
    <cellStyle name="Input 3 7 6 18" xfId="40721"/>
    <cellStyle name="Input 3 7 6 19" xfId="40722"/>
    <cellStyle name="Input 3 7 6 2" xfId="40723"/>
    <cellStyle name="Input 3 7 6 2 2" xfId="40724"/>
    <cellStyle name="Input 3 7 6 2 3" xfId="40725"/>
    <cellStyle name="Input 3 7 6 2 4" xfId="40726"/>
    <cellStyle name="Input 3 7 6 2 5" xfId="40727"/>
    <cellStyle name="Input 3 7 6 2 6" xfId="40728"/>
    <cellStyle name="Input 3 7 6 2 7" xfId="40729"/>
    <cellStyle name="Input 3 7 6 2 8" xfId="40730"/>
    <cellStyle name="Input 3 7 6 2 9" xfId="40731"/>
    <cellStyle name="Input 3 7 6 3" xfId="40732"/>
    <cellStyle name="Input 3 7 6 4" xfId="40733"/>
    <cellStyle name="Input 3 7 6 5" xfId="40734"/>
    <cellStyle name="Input 3 7 6 6" xfId="40735"/>
    <cellStyle name="Input 3 7 6 7" xfId="40736"/>
    <cellStyle name="Input 3 7 6 8" xfId="40737"/>
    <cellStyle name="Input 3 7 6 9" xfId="40738"/>
    <cellStyle name="Input 3 8" xfId="40739"/>
    <cellStyle name="Input 3 8 2" xfId="40740"/>
    <cellStyle name="Input 3 8 2 2" xfId="40741"/>
    <cellStyle name="Input 3 8 2 2 10" xfId="40742"/>
    <cellStyle name="Input 3 8 2 2 11" xfId="40743"/>
    <cellStyle name="Input 3 8 2 2 12" xfId="40744"/>
    <cellStyle name="Input 3 8 2 2 13" xfId="40745"/>
    <cellStyle name="Input 3 8 2 2 14" xfId="40746"/>
    <cellStyle name="Input 3 8 2 2 15" xfId="40747"/>
    <cellStyle name="Input 3 8 2 2 16" xfId="40748"/>
    <cellStyle name="Input 3 8 2 2 17" xfId="40749"/>
    <cellStyle name="Input 3 8 2 2 18" xfId="40750"/>
    <cellStyle name="Input 3 8 2 2 19" xfId="40751"/>
    <cellStyle name="Input 3 8 2 2 2" xfId="40752"/>
    <cellStyle name="Input 3 8 2 2 2 2" xfId="40753"/>
    <cellStyle name="Input 3 8 2 2 2 3" xfId="40754"/>
    <cellStyle name="Input 3 8 2 2 2 4" xfId="40755"/>
    <cellStyle name="Input 3 8 2 2 2 5" xfId="40756"/>
    <cellStyle name="Input 3 8 2 2 2 6" xfId="40757"/>
    <cellStyle name="Input 3 8 2 2 2 7" xfId="40758"/>
    <cellStyle name="Input 3 8 2 2 2 8" xfId="40759"/>
    <cellStyle name="Input 3 8 2 2 2 9" xfId="40760"/>
    <cellStyle name="Input 3 8 2 2 3" xfId="40761"/>
    <cellStyle name="Input 3 8 2 2 4" xfId="40762"/>
    <cellStyle name="Input 3 8 2 2 5" xfId="40763"/>
    <cellStyle name="Input 3 8 2 2 6" xfId="40764"/>
    <cellStyle name="Input 3 8 2 2 7" xfId="40765"/>
    <cellStyle name="Input 3 8 2 2 8" xfId="40766"/>
    <cellStyle name="Input 3 8 2 2 9" xfId="40767"/>
    <cellStyle name="Input 3 8 2 3" xfId="40768"/>
    <cellStyle name="Input 3 8 2 3 10" xfId="40769"/>
    <cellStyle name="Input 3 8 2 3 11" xfId="40770"/>
    <cellStyle name="Input 3 8 2 3 12" xfId="40771"/>
    <cellStyle name="Input 3 8 2 3 13" xfId="40772"/>
    <cellStyle name="Input 3 8 2 3 14" xfId="40773"/>
    <cellStyle name="Input 3 8 2 3 15" xfId="40774"/>
    <cellStyle name="Input 3 8 2 3 16" xfId="40775"/>
    <cellStyle name="Input 3 8 2 3 17" xfId="40776"/>
    <cellStyle name="Input 3 8 2 3 18" xfId="40777"/>
    <cellStyle name="Input 3 8 2 3 2" xfId="40778"/>
    <cellStyle name="Input 3 8 2 3 2 2" xfId="40779"/>
    <cellStyle name="Input 3 8 2 3 2 3" xfId="40780"/>
    <cellStyle name="Input 3 8 2 3 2 4" xfId="40781"/>
    <cellStyle name="Input 3 8 2 3 2 5" xfId="40782"/>
    <cellStyle name="Input 3 8 2 3 2 6" xfId="40783"/>
    <cellStyle name="Input 3 8 2 3 2 7" xfId="40784"/>
    <cellStyle name="Input 3 8 2 3 2 8" xfId="40785"/>
    <cellStyle name="Input 3 8 2 3 2 9" xfId="40786"/>
    <cellStyle name="Input 3 8 2 3 3" xfId="40787"/>
    <cellStyle name="Input 3 8 2 3 4" xfId="40788"/>
    <cellStyle name="Input 3 8 2 3 5" xfId="40789"/>
    <cellStyle name="Input 3 8 2 3 6" xfId="40790"/>
    <cellStyle name="Input 3 8 2 3 7" xfId="40791"/>
    <cellStyle name="Input 3 8 2 3 8" xfId="40792"/>
    <cellStyle name="Input 3 8 2 3 9" xfId="40793"/>
    <cellStyle name="Input 3 8 2 4" xfId="40794"/>
    <cellStyle name="Input 3 8 2 4 10" xfId="40795"/>
    <cellStyle name="Input 3 8 2 4 11" xfId="40796"/>
    <cellStyle name="Input 3 8 2 4 12" xfId="40797"/>
    <cellStyle name="Input 3 8 2 4 13" xfId="40798"/>
    <cellStyle name="Input 3 8 2 4 14" xfId="40799"/>
    <cellStyle name="Input 3 8 2 4 15" xfId="40800"/>
    <cellStyle name="Input 3 8 2 4 16" xfId="40801"/>
    <cellStyle name="Input 3 8 2 4 17" xfId="40802"/>
    <cellStyle name="Input 3 8 2 4 18" xfId="40803"/>
    <cellStyle name="Input 3 8 2 4 19" xfId="40804"/>
    <cellStyle name="Input 3 8 2 4 2" xfId="40805"/>
    <cellStyle name="Input 3 8 2 4 2 2" xfId="40806"/>
    <cellStyle name="Input 3 8 2 4 2 3" xfId="40807"/>
    <cellStyle name="Input 3 8 2 4 2 4" xfId="40808"/>
    <cellStyle name="Input 3 8 2 4 2 5" xfId="40809"/>
    <cellStyle name="Input 3 8 2 4 2 6" xfId="40810"/>
    <cellStyle name="Input 3 8 2 4 2 7" xfId="40811"/>
    <cellStyle name="Input 3 8 2 4 2 8" xfId="40812"/>
    <cellStyle name="Input 3 8 2 4 2 9" xfId="40813"/>
    <cellStyle name="Input 3 8 2 4 3" xfId="40814"/>
    <cellStyle name="Input 3 8 2 4 4" xfId="40815"/>
    <cellStyle name="Input 3 8 2 4 5" xfId="40816"/>
    <cellStyle name="Input 3 8 2 4 6" xfId="40817"/>
    <cellStyle name="Input 3 8 2 4 7" xfId="40818"/>
    <cellStyle name="Input 3 8 2 4 8" xfId="40819"/>
    <cellStyle name="Input 3 8 2 4 9" xfId="40820"/>
    <cellStyle name="Input 3 8 2 5" xfId="40821"/>
    <cellStyle name="Input 3 8 3" xfId="40822"/>
    <cellStyle name="Input 3 8 3 2" xfId="40823"/>
    <cellStyle name="Input 3 8 3 2 10" xfId="40824"/>
    <cellStyle name="Input 3 8 3 2 11" xfId="40825"/>
    <cellStyle name="Input 3 8 3 2 12" xfId="40826"/>
    <cellStyle name="Input 3 8 3 2 13" xfId="40827"/>
    <cellStyle name="Input 3 8 3 2 14" xfId="40828"/>
    <cellStyle name="Input 3 8 3 2 15" xfId="40829"/>
    <cellStyle name="Input 3 8 3 2 16" xfId="40830"/>
    <cellStyle name="Input 3 8 3 2 17" xfId="40831"/>
    <cellStyle name="Input 3 8 3 2 18" xfId="40832"/>
    <cellStyle name="Input 3 8 3 2 19" xfId="40833"/>
    <cellStyle name="Input 3 8 3 2 2" xfId="40834"/>
    <cellStyle name="Input 3 8 3 2 2 2" xfId="40835"/>
    <cellStyle name="Input 3 8 3 2 2 3" xfId="40836"/>
    <cellStyle name="Input 3 8 3 2 2 4" xfId="40837"/>
    <cellStyle name="Input 3 8 3 2 2 5" xfId="40838"/>
    <cellStyle name="Input 3 8 3 2 2 6" xfId="40839"/>
    <cellStyle name="Input 3 8 3 2 2 7" xfId="40840"/>
    <cellStyle name="Input 3 8 3 2 2 8" xfId="40841"/>
    <cellStyle name="Input 3 8 3 2 2 9" xfId="40842"/>
    <cellStyle name="Input 3 8 3 2 3" xfId="40843"/>
    <cellStyle name="Input 3 8 3 2 4" xfId="40844"/>
    <cellStyle name="Input 3 8 3 2 5" xfId="40845"/>
    <cellStyle name="Input 3 8 3 2 6" xfId="40846"/>
    <cellStyle name="Input 3 8 3 2 7" xfId="40847"/>
    <cellStyle name="Input 3 8 3 2 8" xfId="40848"/>
    <cellStyle name="Input 3 8 3 2 9" xfId="40849"/>
    <cellStyle name="Input 3 8 3 3" xfId="40850"/>
    <cellStyle name="Input 3 8 3 3 10" xfId="40851"/>
    <cellStyle name="Input 3 8 3 3 11" xfId="40852"/>
    <cellStyle name="Input 3 8 3 3 12" xfId="40853"/>
    <cellStyle name="Input 3 8 3 3 13" xfId="40854"/>
    <cellStyle name="Input 3 8 3 3 14" xfId="40855"/>
    <cellStyle name="Input 3 8 3 3 15" xfId="40856"/>
    <cellStyle name="Input 3 8 3 3 16" xfId="40857"/>
    <cellStyle name="Input 3 8 3 3 17" xfId="40858"/>
    <cellStyle name="Input 3 8 3 3 18" xfId="40859"/>
    <cellStyle name="Input 3 8 3 3 2" xfId="40860"/>
    <cellStyle name="Input 3 8 3 3 2 2" xfId="40861"/>
    <cellStyle name="Input 3 8 3 3 2 3" xfId="40862"/>
    <cellStyle name="Input 3 8 3 3 2 4" xfId="40863"/>
    <cellStyle name="Input 3 8 3 3 2 5" xfId="40864"/>
    <cellStyle name="Input 3 8 3 3 2 6" xfId="40865"/>
    <cellStyle name="Input 3 8 3 3 2 7" xfId="40866"/>
    <cellStyle name="Input 3 8 3 3 2 8" xfId="40867"/>
    <cellStyle name="Input 3 8 3 3 2 9" xfId="40868"/>
    <cellStyle name="Input 3 8 3 3 3" xfId="40869"/>
    <cellStyle name="Input 3 8 3 3 4" xfId="40870"/>
    <cellStyle name="Input 3 8 3 3 5" xfId="40871"/>
    <cellStyle name="Input 3 8 3 3 6" xfId="40872"/>
    <cellStyle name="Input 3 8 3 3 7" xfId="40873"/>
    <cellStyle name="Input 3 8 3 3 8" xfId="40874"/>
    <cellStyle name="Input 3 8 3 3 9" xfId="40875"/>
    <cellStyle name="Input 3 8 3 4" xfId="40876"/>
    <cellStyle name="Input 3 8 3 4 10" xfId="40877"/>
    <cellStyle name="Input 3 8 3 4 11" xfId="40878"/>
    <cellStyle name="Input 3 8 3 4 12" xfId="40879"/>
    <cellStyle name="Input 3 8 3 4 13" xfId="40880"/>
    <cellStyle name="Input 3 8 3 4 14" xfId="40881"/>
    <cellStyle name="Input 3 8 3 4 15" xfId="40882"/>
    <cellStyle name="Input 3 8 3 4 16" xfId="40883"/>
    <cellStyle name="Input 3 8 3 4 17" xfId="40884"/>
    <cellStyle name="Input 3 8 3 4 18" xfId="40885"/>
    <cellStyle name="Input 3 8 3 4 19" xfId="40886"/>
    <cellStyle name="Input 3 8 3 4 2" xfId="40887"/>
    <cellStyle name="Input 3 8 3 4 2 2" xfId="40888"/>
    <cellStyle name="Input 3 8 3 4 2 3" xfId="40889"/>
    <cellStyle name="Input 3 8 3 4 2 4" xfId="40890"/>
    <cellStyle name="Input 3 8 3 4 2 5" xfId="40891"/>
    <cellStyle name="Input 3 8 3 4 2 6" xfId="40892"/>
    <cellStyle name="Input 3 8 3 4 2 7" xfId="40893"/>
    <cellStyle name="Input 3 8 3 4 2 8" xfId="40894"/>
    <cellStyle name="Input 3 8 3 4 2 9" xfId="40895"/>
    <cellStyle name="Input 3 8 3 4 3" xfId="40896"/>
    <cellStyle name="Input 3 8 3 4 4" xfId="40897"/>
    <cellStyle name="Input 3 8 3 4 5" xfId="40898"/>
    <cellStyle name="Input 3 8 3 4 6" xfId="40899"/>
    <cellStyle name="Input 3 8 3 4 7" xfId="40900"/>
    <cellStyle name="Input 3 8 3 4 8" xfId="40901"/>
    <cellStyle name="Input 3 8 3 4 9" xfId="40902"/>
    <cellStyle name="Input 3 8 4" xfId="40903"/>
    <cellStyle name="Input 3 8 4 10" xfId="40904"/>
    <cellStyle name="Input 3 8 4 11" xfId="40905"/>
    <cellStyle name="Input 3 8 4 12" xfId="40906"/>
    <cellStyle name="Input 3 8 4 13" xfId="40907"/>
    <cellStyle name="Input 3 8 4 14" xfId="40908"/>
    <cellStyle name="Input 3 8 4 15" xfId="40909"/>
    <cellStyle name="Input 3 8 4 16" xfId="40910"/>
    <cellStyle name="Input 3 8 4 17" xfId="40911"/>
    <cellStyle name="Input 3 8 4 18" xfId="40912"/>
    <cellStyle name="Input 3 8 4 19" xfId="40913"/>
    <cellStyle name="Input 3 8 4 2" xfId="40914"/>
    <cellStyle name="Input 3 8 4 2 2" xfId="40915"/>
    <cellStyle name="Input 3 8 4 2 3" xfId="40916"/>
    <cellStyle name="Input 3 8 4 2 4" xfId="40917"/>
    <cellStyle name="Input 3 8 4 2 5" xfId="40918"/>
    <cellStyle name="Input 3 8 4 2 6" xfId="40919"/>
    <cellStyle name="Input 3 8 4 2 7" xfId="40920"/>
    <cellStyle name="Input 3 8 4 2 8" xfId="40921"/>
    <cellStyle name="Input 3 8 4 2 9" xfId="40922"/>
    <cellStyle name="Input 3 8 4 3" xfId="40923"/>
    <cellStyle name="Input 3 8 4 4" xfId="40924"/>
    <cellStyle name="Input 3 8 4 5" xfId="40925"/>
    <cellStyle name="Input 3 8 4 6" xfId="40926"/>
    <cellStyle name="Input 3 8 4 7" xfId="40927"/>
    <cellStyle name="Input 3 8 4 8" xfId="40928"/>
    <cellStyle name="Input 3 8 4 9" xfId="40929"/>
    <cellStyle name="Input 3 8 5" xfId="40930"/>
    <cellStyle name="Input 3 8 5 10" xfId="40931"/>
    <cellStyle name="Input 3 8 5 11" xfId="40932"/>
    <cellStyle name="Input 3 8 5 12" xfId="40933"/>
    <cellStyle name="Input 3 8 5 13" xfId="40934"/>
    <cellStyle name="Input 3 8 5 14" xfId="40935"/>
    <cellStyle name="Input 3 8 5 15" xfId="40936"/>
    <cellStyle name="Input 3 8 5 16" xfId="40937"/>
    <cellStyle name="Input 3 8 5 17" xfId="40938"/>
    <cellStyle name="Input 3 8 5 18" xfId="40939"/>
    <cellStyle name="Input 3 8 5 2" xfId="40940"/>
    <cellStyle name="Input 3 8 5 2 2" xfId="40941"/>
    <cellStyle name="Input 3 8 5 2 3" xfId="40942"/>
    <cellStyle name="Input 3 8 5 2 4" xfId="40943"/>
    <cellStyle name="Input 3 8 5 2 5" xfId="40944"/>
    <cellStyle name="Input 3 8 5 2 6" xfId="40945"/>
    <cellStyle name="Input 3 8 5 2 7" xfId="40946"/>
    <cellStyle name="Input 3 8 5 2 8" xfId="40947"/>
    <cellStyle name="Input 3 8 5 2 9" xfId="40948"/>
    <cellStyle name="Input 3 8 5 3" xfId="40949"/>
    <cellStyle name="Input 3 8 5 4" xfId="40950"/>
    <cellStyle name="Input 3 8 5 5" xfId="40951"/>
    <cellStyle name="Input 3 8 5 6" xfId="40952"/>
    <cellStyle name="Input 3 8 5 7" xfId="40953"/>
    <cellStyle name="Input 3 8 5 8" xfId="40954"/>
    <cellStyle name="Input 3 8 5 9" xfId="40955"/>
    <cellStyle name="Input 3 8 6" xfId="40956"/>
    <cellStyle name="Input 3 8 6 10" xfId="40957"/>
    <cellStyle name="Input 3 8 6 11" xfId="40958"/>
    <cellStyle name="Input 3 8 6 12" xfId="40959"/>
    <cellStyle name="Input 3 8 6 13" xfId="40960"/>
    <cellStyle name="Input 3 8 6 14" xfId="40961"/>
    <cellStyle name="Input 3 8 6 15" xfId="40962"/>
    <cellStyle name="Input 3 8 6 16" xfId="40963"/>
    <cellStyle name="Input 3 8 6 17" xfId="40964"/>
    <cellStyle name="Input 3 8 6 18" xfId="40965"/>
    <cellStyle name="Input 3 8 6 19" xfId="40966"/>
    <cellStyle name="Input 3 8 6 2" xfId="40967"/>
    <cellStyle name="Input 3 8 6 2 2" xfId="40968"/>
    <cellStyle name="Input 3 8 6 2 3" xfId="40969"/>
    <cellStyle name="Input 3 8 6 2 4" xfId="40970"/>
    <cellStyle name="Input 3 8 6 2 5" xfId="40971"/>
    <cellStyle name="Input 3 8 6 2 6" xfId="40972"/>
    <cellStyle name="Input 3 8 6 2 7" xfId="40973"/>
    <cellStyle name="Input 3 8 6 2 8" xfId="40974"/>
    <cellStyle name="Input 3 8 6 2 9" xfId="40975"/>
    <cellStyle name="Input 3 8 6 3" xfId="40976"/>
    <cellStyle name="Input 3 8 6 4" xfId="40977"/>
    <cellStyle name="Input 3 8 6 5" xfId="40978"/>
    <cellStyle name="Input 3 8 6 6" xfId="40979"/>
    <cellStyle name="Input 3 8 6 7" xfId="40980"/>
    <cellStyle name="Input 3 8 6 8" xfId="40981"/>
    <cellStyle name="Input 3 8 6 9" xfId="40982"/>
    <cellStyle name="Input 3 9" xfId="40983"/>
    <cellStyle name="Input 3 9 2" xfId="40984"/>
    <cellStyle name="Input 3 9 2 10" xfId="40985"/>
    <cellStyle name="Input 3 9 2 11" xfId="40986"/>
    <cellStyle name="Input 3 9 2 12" xfId="40987"/>
    <cellStyle name="Input 3 9 2 13" xfId="40988"/>
    <cellStyle name="Input 3 9 2 14" xfId="40989"/>
    <cellStyle name="Input 3 9 2 15" xfId="40990"/>
    <cellStyle name="Input 3 9 2 16" xfId="40991"/>
    <cellStyle name="Input 3 9 2 17" xfId="40992"/>
    <cellStyle name="Input 3 9 2 18" xfId="40993"/>
    <cellStyle name="Input 3 9 2 19" xfId="40994"/>
    <cellStyle name="Input 3 9 2 2" xfId="40995"/>
    <cellStyle name="Input 3 9 2 2 2" xfId="40996"/>
    <cellStyle name="Input 3 9 2 2 3" xfId="40997"/>
    <cellStyle name="Input 3 9 2 2 4" xfId="40998"/>
    <cellStyle name="Input 3 9 2 2 5" xfId="40999"/>
    <cellStyle name="Input 3 9 2 2 6" xfId="41000"/>
    <cellStyle name="Input 3 9 2 2 7" xfId="41001"/>
    <cellStyle name="Input 3 9 2 2 8" xfId="41002"/>
    <cellStyle name="Input 3 9 2 2 9" xfId="41003"/>
    <cellStyle name="Input 3 9 2 3" xfId="41004"/>
    <cellStyle name="Input 3 9 2 4" xfId="41005"/>
    <cellStyle name="Input 3 9 2 5" xfId="41006"/>
    <cellStyle name="Input 3 9 2 6" xfId="41007"/>
    <cellStyle name="Input 3 9 2 7" xfId="41008"/>
    <cellStyle name="Input 3 9 2 8" xfId="41009"/>
    <cellStyle name="Input 3 9 2 9" xfId="41010"/>
    <cellStyle name="Input 3 9 3" xfId="41011"/>
    <cellStyle name="Input 3 9 3 10" xfId="41012"/>
    <cellStyle name="Input 3 9 3 11" xfId="41013"/>
    <cellStyle name="Input 3 9 3 12" xfId="41014"/>
    <cellStyle name="Input 3 9 3 13" xfId="41015"/>
    <cellStyle name="Input 3 9 3 14" xfId="41016"/>
    <cellStyle name="Input 3 9 3 15" xfId="41017"/>
    <cellStyle name="Input 3 9 3 16" xfId="41018"/>
    <cellStyle name="Input 3 9 3 17" xfId="41019"/>
    <cellStyle name="Input 3 9 3 18" xfId="41020"/>
    <cellStyle name="Input 3 9 3 2" xfId="41021"/>
    <cellStyle name="Input 3 9 3 2 2" xfId="41022"/>
    <cellStyle name="Input 3 9 3 2 3" xfId="41023"/>
    <cellStyle name="Input 3 9 3 2 4" xfId="41024"/>
    <cellStyle name="Input 3 9 3 2 5" xfId="41025"/>
    <cellStyle name="Input 3 9 3 2 6" xfId="41026"/>
    <cellStyle name="Input 3 9 3 2 7" xfId="41027"/>
    <cellStyle name="Input 3 9 3 2 8" xfId="41028"/>
    <cellStyle name="Input 3 9 3 2 9" xfId="41029"/>
    <cellStyle name="Input 3 9 3 3" xfId="41030"/>
    <cellStyle name="Input 3 9 3 4" xfId="41031"/>
    <cellStyle name="Input 3 9 3 5" xfId="41032"/>
    <cellStyle name="Input 3 9 3 6" xfId="41033"/>
    <cellStyle name="Input 3 9 3 7" xfId="41034"/>
    <cellStyle name="Input 3 9 3 8" xfId="41035"/>
    <cellStyle name="Input 3 9 3 9" xfId="41036"/>
    <cellStyle name="Input 3 9 4" xfId="41037"/>
    <cellStyle name="Input 3 9 4 10" xfId="41038"/>
    <cellStyle name="Input 3 9 4 11" xfId="41039"/>
    <cellStyle name="Input 3 9 4 12" xfId="41040"/>
    <cellStyle name="Input 3 9 4 13" xfId="41041"/>
    <cellStyle name="Input 3 9 4 14" xfId="41042"/>
    <cellStyle name="Input 3 9 4 15" xfId="41043"/>
    <cellStyle name="Input 3 9 4 16" xfId="41044"/>
    <cellStyle name="Input 3 9 4 17" xfId="41045"/>
    <cellStyle name="Input 3 9 4 18" xfId="41046"/>
    <cellStyle name="Input 3 9 4 19" xfId="41047"/>
    <cellStyle name="Input 3 9 4 2" xfId="41048"/>
    <cellStyle name="Input 3 9 4 2 2" xfId="41049"/>
    <cellStyle name="Input 3 9 4 2 3" xfId="41050"/>
    <cellStyle name="Input 3 9 4 2 4" xfId="41051"/>
    <cellStyle name="Input 3 9 4 2 5" xfId="41052"/>
    <cellStyle name="Input 3 9 4 2 6" xfId="41053"/>
    <cellStyle name="Input 3 9 4 2 7" xfId="41054"/>
    <cellStyle name="Input 3 9 4 2 8" xfId="41055"/>
    <cellStyle name="Input 3 9 4 2 9" xfId="41056"/>
    <cellStyle name="Input 3 9 4 3" xfId="41057"/>
    <cellStyle name="Input 3 9 4 4" xfId="41058"/>
    <cellStyle name="Input 3 9 4 5" xfId="41059"/>
    <cellStyle name="Input 3 9 4 6" xfId="41060"/>
    <cellStyle name="Input 3 9 4 7" xfId="41061"/>
    <cellStyle name="Input 3 9 4 8" xfId="41062"/>
    <cellStyle name="Input 3 9 4 9" xfId="41063"/>
    <cellStyle name="Input 3 9 5" xfId="41064"/>
    <cellStyle name="Input 4" xfId="41065"/>
    <cellStyle name="Input 4 2" xfId="41066"/>
    <cellStyle name="Input 4 2 2" xfId="41067"/>
    <cellStyle name="Input 4 2 2 10" xfId="41068"/>
    <cellStyle name="Input 4 2 2 11" xfId="41069"/>
    <cellStyle name="Input 4 2 2 12" xfId="41070"/>
    <cellStyle name="Input 4 2 2 13" xfId="41071"/>
    <cellStyle name="Input 4 2 2 14" xfId="41072"/>
    <cellStyle name="Input 4 2 2 15" xfId="41073"/>
    <cellStyle name="Input 4 2 2 16" xfId="41074"/>
    <cellStyle name="Input 4 2 2 17" xfId="41075"/>
    <cellStyle name="Input 4 2 2 18" xfId="41076"/>
    <cellStyle name="Input 4 2 2 19" xfId="41077"/>
    <cellStyle name="Input 4 2 2 2" xfId="41078"/>
    <cellStyle name="Input 4 2 2 2 2" xfId="41079"/>
    <cellStyle name="Input 4 2 2 2 3" xfId="41080"/>
    <cellStyle name="Input 4 2 2 2 4" xfId="41081"/>
    <cellStyle name="Input 4 2 2 2 5" xfId="41082"/>
    <cellStyle name="Input 4 2 2 2 6" xfId="41083"/>
    <cellStyle name="Input 4 2 2 2 7" xfId="41084"/>
    <cellStyle name="Input 4 2 2 2 8" xfId="41085"/>
    <cellStyle name="Input 4 2 2 2 9" xfId="41086"/>
    <cellStyle name="Input 4 2 2 3" xfId="41087"/>
    <cellStyle name="Input 4 2 2 4" xfId="41088"/>
    <cellStyle name="Input 4 2 2 5" xfId="41089"/>
    <cellStyle name="Input 4 2 2 6" xfId="41090"/>
    <cellStyle name="Input 4 2 2 7" xfId="41091"/>
    <cellStyle name="Input 4 2 2 8" xfId="41092"/>
    <cellStyle name="Input 4 2 2 9" xfId="41093"/>
    <cellStyle name="Input 4 2 3" xfId="41094"/>
    <cellStyle name="Input 4 2 3 10" xfId="41095"/>
    <cellStyle name="Input 4 2 3 11" xfId="41096"/>
    <cellStyle name="Input 4 2 3 12" xfId="41097"/>
    <cellStyle name="Input 4 2 3 13" xfId="41098"/>
    <cellStyle name="Input 4 2 3 14" xfId="41099"/>
    <cellStyle name="Input 4 2 3 15" xfId="41100"/>
    <cellStyle name="Input 4 2 3 16" xfId="41101"/>
    <cellStyle name="Input 4 2 3 17" xfId="41102"/>
    <cellStyle name="Input 4 2 3 18" xfId="41103"/>
    <cellStyle name="Input 4 2 3 2" xfId="41104"/>
    <cellStyle name="Input 4 2 3 2 2" xfId="41105"/>
    <cellStyle name="Input 4 2 3 2 3" xfId="41106"/>
    <cellStyle name="Input 4 2 3 2 4" xfId="41107"/>
    <cellStyle name="Input 4 2 3 2 5" xfId="41108"/>
    <cellStyle name="Input 4 2 3 2 6" xfId="41109"/>
    <cellStyle name="Input 4 2 3 2 7" xfId="41110"/>
    <cellStyle name="Input 4 2 3 2 8" xfId="41111"/>
    <cellStyle name="Input 4 2 3 2 9" xfId="41112"/>
    <cellStyle name="Input 4 2 3 3" xfId="41113"/>
    <cellStyle name="Input 4 2 3 4" xfId="41114"/>
    <cellStyle name="Input 4 2 3 5" xfId="41115"/>
    <cellStyle name="Input 4 2 3 6" xfId="41116"/>
    <cellStyle name="Input 4 2 3 7" xfId="41117"/>
    <cellStyle name="Input 4 2 3 8" xfId="41118"/>
    <cellStyle name="Input 4 2 3 9" xfId="41119"/>
    <cellStyle name="Input 4 2 4" xfId="41120"/>
    <cellStyle name="Input 4 2 4 10" xfId="41121"/>
    <cellStyle name="Input 4 2 4 11" xfId="41122"/>
    <cellStyle name="Input 4 2 4 12" xfId="41123"/>
    <cellStyle name="Input 4 2 4 13" xfId="41124"/>
    <cellStyle name="Input 4 2 4 14" xfId="41125"/>
    <cellStyle name="Input 4 2 4 15" xfId="41126"/>
    <cellStyle name="Input 4 2 4 16" xfId="41127"/>
    <cellStyle name="Input 4 2 4 17" xfId="41128"/>
    <cellStyle name="Input 4 2 4 18" xfId="41129"/>
    <cellStyle name="Input 4 2 4 19" xfId="41130"/>
    <cellStyle name="Input 4 2 4 2" xfId="41131"/>
    <cellStyle name="Input 4 2 4 2 2" xfId="41132"/>
    <cellStyle name="Input 4 2 4 2 3" xfId="41133"/>
    <cellStyle name="Input 4 2 4 2 4" xfId="41134"/>
    <cellStyle name="Input 4 2 4 2 5" xfId="41135"/>
    <cellStyle name="Input 4 2 4 2 6" xfId="41136"/>
    <cellStyle name="Input 4 2 4 2 7" xfId="41137"/>
    <cellStyle name="Input 4 2 4 2 8" xfId="41138"/>
    <cellStyle name="Input 4 2 4 2 9" xfId="41139"/>
    <cellStyle name="Input 4 2 4 3" xfId="41140"/>
    <cellStyle name="Input 4 2 4 4" xfId="41141"/>
    <cellStyle name="Input 4 2 4 5" xfId="41142"/>
    <cellStyle name="Input 4 2 4 6" xfId="41143"/>
    <cellStyle name="Input 4 2 4 7" xfId="41144"/>
    <cellStyle name="Input 4 2 4 8" xfId="41145"/>
    <cellStyle name="Input 4 2 4 9" xfId="41146"/>
    <cellStyle name="Input 4 2 5" xfId="41147"/>
    <cellStyle name="Input 4 3" xfId="41148"/>
    <cellStyle name="Input 4 3 2" xfId="41149"/>
    <cellStyle name="Input 4 3 2 10" xfId="41150"/>
    <cellStyle name="Input 4 3 2 11" xfId="41151"/>
    <cellStyle name="Input 4 3 2 12" xfId="41152"/>
    <cellStyle name="Input 4 3 2 13" xfId="41153"/>
    <cellStyle name="Input 4 3 2 14" xfId="41154"/>
    <cellStyle name="Input 4 3 2 15" xfId="41155"/>
    <cellStyle name="Input 4 3 2 16" xfId="41156"/>
    <cellStyle name="Input 4 3 2 17" xfId="41157"/>
    <cellStyle name="Input 4 3 2 18" xfId="41158"/>
    <cellStyle name="Input 4 3 2 19" xfId="41159"/>
    <cellStyle name="Input 4 3 2 2" xfId="41160"/>
    <cellStyle name="Input 4 3 2 2 2" xfId="41161"/>
    <cellStyle name="Input 4 3 2 2 3" xfId="41162"/>
    <cellStyle name="Input 4 3 2 2 4" xfId="41163"/>
    <cellStyle name="Input 4 3 2 2 5" xfId="41164"/>
    <cellStyle name="Input 4 3 2 2 6" xfId="41165"/>
    <cellStyle name="Input 4 3 2 2 7" xfId="41166"/>
    <cellStyle name="Input 4 3 2 2 8" xfId="41167"/>
    <cellStyle name="Input 4 3 2 2 9" xfId="41168"/>
    <cellStyle name="Input 4 3 2 3" xfId="41169"/>
    <cellStyle name="Input 4 3 2 4" xfId="41170"/>
    <cellStyle name="Input 4 3 2 5" xfId="41171"/>
    <cellStyle name="Input 4 3 2 6" xfId="41172"/>
    <cellStyle name="Input 4 3 2 7" xfId="41173"/>
    <cellStyle name="Input 4 3 2 8" xfId="41174"/>
    <cellStyle name="Input 4 3 2 9" xfId="41175"/>
    <cellStyle name="Input 4 3 3" xfId="41176"/>
    <cellStyle name="Input 4 3 3 10" xfId="41177"/>
    <cellStyle name="Input 4 3 3 11" xfId="41178"/>
    <cellStyle name="Input 4 3 3 12" xfId="41179"/>
    <cellStyle name="Input 4 3 3 13" xfId="41180"/>
    <cellStyle name="Input 4 3 3 14" xfId="41181"/>
    <cellStyle name="Input 4 3 3 15" xfId="41182"/>
    <cellStyle name="Input 4 3 3 16" xfId="41183"/>
    <cellStyle name="Input 4 3 3 17" xfId="41184"/>
    <cellStyle name="Input 4 3 3 18" xfId="41185"/>
    <cellStyle name="Input 4 3 3 2" xfId="41186"/>
    <cellStyle name="Input 4 3 3 2 2" xfId="41187"/>
    <cellStyle name="Input 4 3 3 2 3" xfId="41188"/>
    <cellStyle name="Input 4 3 3 2 4" xfId="41189"/>
    <cellStyle name="Input 4 3 3 2 5" xfId="41190"/>
    <cellStyle name="Input 4 3 3 2 6" xfId="41191"/>
    <cellStyle name="Input 4 3 3 2 7" xfId="41192"/>
    <cellStyle name="Input 4 3 3 2 8" xfId="41193"/>
    <cellStyle name="Input 4 3 3 2 9" xfId="41194"/>
    <cellStyle name="Input 4 3 3 3" xfId="41195"/>
    <cellStyle name="Input 4 3 3 4" xfId="41196"/>
    <cellStyle name="Input 4 3 3 5" xfId="41197"/>
    <cellStyle name="Input 4 3 3 6" xfId="41198"/>
    <cellStyle name="Input 4 3 3 7" xfId="41199"/>
    <cellStyle name="Input 4 3 3 8" xfId="41200"/>
    <cellStyle name="Input 4 3 3 9" xfId="41201"/>
    <cellStyle name="Input 4 3 4" xfId="41202"/>
    <cellStyle name="Input 4 3 4 10" xfId="41203"/>
    <cellStyle name="Input 4 3 4 11" xfId="41204"/>
    <cellStyle name="Input 4 3 4 12" xfId="41205"/>
    <cellStyle name="Input 4 3 4 13" xfId="41206"/>
    <cellStyle name="Input 4 3 4 14" xfId="41207"/>
    <cellStyle name="Input 4 3 4 15" xfId="41208"/>
    <cellStyle name="Input 4 3 4 16" xfId="41209"/>
    <cellStyle name="Input 4 3 4 17" xfId="41210"/>
    <cellStyle name="Input 4 3 4 18" xfId="41211"/>
    <cellStyle name="Input 4 3 4 19" xfId="41212"/>
    <cellStyle name="Input 4 3 4 2" xfId="41213"/>
    <cellStyle name="Input 4 3 4 2 2" xfId="41214"/>
    <cellStyle name="Input 4 3 4 2 3" xfId="41215"/>
    <cellStyle name="Input 4 3 4 2 4" xfId="41216"/>
    <cellStyle name="Input 4 3 4 2 5" xfId="41217"/>
    <cellStyle name="Input 4 3 4 2 6" xfId="41218"/>
    <cellStyle name="Input 4 3 4 2 7" xfId="41219"/>
    <cellStyle name="Input 4 3 4 2 8" xfId="41220"/>
    <cellStyle name="Input 4 3 4 2 9" xfId="41221"/>
    <cellStyle name="Input 4 3 4 3" xfId="41222"/>
    <cellStyle name="Input 4 3 4 4" xfId="41223"/>
    <cellStyle name="Input 4 3 4 5" xfId="41224"/>
    <cellStyle name="Input 4 3 4 6" xfId="41225"/>
    <cellStyle name="Input 4 3 4 7" xfId="41226"/>
    <cellStyle name="Input 4 3 4 8" xfId="41227"/>
    <cellStyle name="Input 4 3 4 9" xfId="41228"/>
    <cellStyle name="Input 4 4" xfId="41229"/>
    <cellStyle name="Input 4 4 10" xfId="41230"/>
    <cellStyle name="Input 4 4 11" xfId="41231"/>
    <cellStyle name="Input 4 4 12" xfId="41232"/>
    <cellStyle name="Input 4 4 13" xfId="41233"/>
    <cellStyle name="Input 4 4 14" xfId="41234"/>
    <cellStyle name="Input 4 4 15" xfId="41235"/>
    <cellStyle name="Input 4 4 16" xfId="41236"/>
    <cellStyle name="Input 4 4 17" xfId="41237"/>
    <cellStyle name="Input 4 4 18" xfId="41238"/>
    <cellStyle name="Input 4 4 19" xfId="41239"/>
    <cellStyle name="Input 4 4 2" xfId="41240"/>
    <cellStyle name="Input 4 4 2 2" xfId="41241"/>
    <cellStyle name="Input 4 4 2 3" xfId="41242"/>
    <cellStyle name="Input 4 4 2 4" xfId="41243"/>
    <cellStyle name="Input 4 4 2 5" xfId="41244"/>
    <cellStyle name="Input 4 4 2 6" xfId="41245"/>
    <cellStyle name="Input 4 4 2 7" xfId="41246"/>
    <cellStyle name="Input 4 4 2 8" xfId="41247"/>
    <cellStyle name="Input 4 4 2 9" xfId="41248"/>
    <cellStyle name="Input 4 4 3" xfId="41249"/>
    <cellStyle name="Input 4 4 4" xfId="41250"/>
    <cellStyle name="Input 4 4 5" xfId="41251"/>
    <cellStyle name="Input 4 4 6" xfId="41252"/>
    <cellStyle name="Input 4 4 7" xfId="41253"/>
    <cellStyle name="Input 4 4 8" xfId="41254"/>
    <cellStyle name="Input 4 4 9" xfId="41255"/>
    <cellStyle name="Input 4 5" xfId="41256"/>
    <cellStyle name="Input 4 5 10" xfId="41257"/>
    <cellStyle name="Input 4 5 11" xfId="41258"/>
    <cellStyle name="Input 4 5 12" xfId="41259"/>
    <cellStyle name="Input 4 5 13" xfId="41260"/>
    <cellStyle name="Input 4 5 14" xfId="41261"/>
    <cellStyle name="Input 4 5 15" xfId="41262"/>
    <cellStyle name="Input 4 5 16" xfId="41263"/>
    <cellStyle name="Input 4 5 17" xfId="41264"/>
    <cellStyle name="Input 4 5 18" xfId="41265"/>
    <cellStyle name="Input 4 5 2" xfId="41266"/>
    <cellStyle name="Input 4 5 2 2" xfId="41267"/>
    <cellStyle name="Input 4 5 2 3" xfId="41268"/>
    <cellStyle name="Input 4 5 2 4" xfId="41269"/>
    <cellStyle name="Input 4 5 2 5" xfId="41270"/>
    <cellStyle name="Input 4 5 2 6" xfId="41271"/>
    <cellStyle name="Input 4 5 2 7" xfId="41272"/>
    <cellStyle name="Input 4 5 2 8" xfId="41273"/>
    <cellStyle name="Input 4 5 2 9" xfId="41274"/>
    <cellStyle name="Input 4 5 3" xfId="41275"/>
    <cellStyle name="Input 4 5 4" xfId="41276"/>
    <cellStyle name="Input 4 5 5" xfId="41277"/>
    <cellStyle name="Input 4 5 6" xfId="41278"/>
    <cellStyle name="Input 4 5 7" xfId="41279"/>
    <cellStyle name="Input 4 5 8" xfId="41280"/>
    <cellStyle name="Input 4 5 9" xfId="41281"/>
    <cellStyle name="Input 4 6" xfId="41282"/>
    <cellStyle name="Input 4 6 10" xfId="41283"/>
    <cellStyle name="Input 4 6 11" xfId="41284"/>
    <cellStyle name="Input 4 6 12" xfId="41285"/>
    <cellStyle name="Input 4 6 13" xfId="41286"/>
    <cellStyle name="Input 4 6 14" xfId="41287"/>
    <cellStyle name="Input 4 6 15" xfId="41288"/>
    <cellStyle name="Input 4 6 16" xfId="41289"/>
    <cellStyle name="Input 4 6 17" xfId="41290"/>
    <cellStyle name="Input 4 6 18" xfId="41291"/>
    <cellStyle name="Input 4 6 19" xfId="41292"/>
    <cellStyle name="Input 4 6 2" xfId="41293"/>
    <cellStyle name="Input 4 6 2 2" xfId="41294"/>
    <cellStyle name="Input 4 6 2 3" xfId="41295"/>
    <cellStyle name="Input 4 6 2 4" xfId="41296"/>
    <cellStyle name="Input 4 6 2 5" xfId="41297"/>
    <cellStyle name="Input 4 6 2 6" xfId="41298"/>
    <cellStyle name="Input 4 6 2 7" xfId="41299"/>
    <cellStyle name="Input 4 6 2 8" xfId="41300"/>
    <cellStyle name="Input 4 6 2 9" xfId="41301"/>
    <cellStyle name="Input 4 6 3" xfId="41302"/>
    <cellStyle name="Input 4 6 4" xfId="41303"/>
    <cellStyle name="Input 4 6 5" xfId="41304"/>
    <cellStyle name="Input 4 6 6" xfId="41305"/>
    <cellStyle name="Input 4 6 7" xfId="41306"/>
    <cellStyle name="Input 4 6 8" xfId="41307"/>
    <cellStyle name="Input 4 6 9" xfId="41308"/>
    <cellStyle name="Input 5" xfId="41309"/>
    <cellStyle name="Input 5 2" xfId="41310"/>
    <cellStyle name="Input 5 2 2" xfId="41311"/>
    <cellStyle name="Input 5 2 2 10" xfId="41312"/>
    <cellStyle name="Input 5 2 2 11" xfId="41313"/>
    <cellStyle name="Input 5 2 2 12" xfId="41314"/>
    <cellStyle name="Input 5 2 2 13" xfId="41315"/>
    <cellStyle name="Input 5 2 2 14" xfId="41316"/>
    <cellStyle name="Input 5 2 2 15" xfId="41317"/>
    <cellStyle name="Input 5 2 2 16" xfId="41318"/>
    <cellStyle name="Input 5 2 2 17" xfId="41319"/>
    <cellStyle name="Input 5 2 2 18" xfId="41320"/>
    <cellStyle name="Input 5 2 2 19" xfId="41321"/>
    <cellStyle name="Input 5 2 2 2" xfId="41322"/>
    <cellStyle name="Input 5 2 2 2 2" xfId="41323"/>
    <cellStyle name="Input 5 2 2 2 3" xfId="41324"/>
    <cellStyle name="Input 5 2 2 2 4" xfId="41325"/>
    <cellStyle name="Input 5 2 2 2 5" xfId="41326"/>
    <cellStyle name="Input 5 2 2 2 6" xfId="41327"/>
    <cellStyle name="Input 5 2 2 2 7" xfId="41328"/>
    <cellStyle name="Input 5 2 2 2 8" xfId="41329"/>
    <cellStyle name="Input 5 2 2 2 9" xfId="41330"/>
    <cellStyle name="Input 5 2 2 3" xfId="41331"/>
    <cellStyle name="Input 5 2 2 4" xfId="41332"/>
    <cellStyle name="Input 5 2 2 5" xfId="41333"/>
    <cellStyle name="Input 5 2 2 6" xfId="41334"/>
    <cellStyle name="Input 5 2 2 7" xfId="41335"/>
    <cellStyle name="Input 5 2 2 8" xfId="41336"/>
    <cellStyle name="Input 5 2 2 9" xfId="41337"/>
    <cellStyle name="Input 5 2 3" xfId="41338"/>
    <cellStyle name="Input 5 2 3 10" xfId="41339"/>
    <cellStyle name="Input 5 2 3 11" xfId="41340"/>
    <cellStyle name="Input 5 2 3 12" xfId="41341"/>
    <cellStyle name="Input 5 2 3 13" xfId="41342"/>
    <cellStyle name="Input 5 2 3 14" xfId="41343"/>
    <cellStyle name="Input 5 2 3 15" xfId="41344"/>
    <cellStyle name="Input 5 2 3 16" xfId="41345"/>
    <cellStyle name="Input 5 2 3 17" xfId="41346"/>
    <cellStyle name="Input 5 2 3 18" xfId="41347"/>
    <cellStyle name="Input 5 2 3 2" xfId="41348"/>
    <cellStyle name="Input 5 2 3 2 2" xfId="41349"/>
    <cellStyle name="Input 5 2 3 2 3" xfId="41350"/>
    <cellStyle name="Input 5 2 3 2 4" xfId="41351"/>
    <cellStyle name="Input 5 2 3 2 5" xfId="41352"/>
    <cellStyle name="Input 5 2 3 2 6" xfId="41353"/>
    <cellStyle name="Input 5 2 3 2 7" xfId="41354"/>
    <cellStyle name="Input 5 2 3 2 8" xfId="41355"/>
    <cellStyle name="Input 5 2 3 2 9" xfId="41356"/>
    <cellStyle name="Input 5 2 3 3" xfId="41357"/>
    <cellStyle name="Input 5 2 3 4" xfId="41358"/>
    <cellStyle name="Input 5 2 3 5" xfId="41359"/>
    <cellStyle name="Input 5 2 3 6" xfId="41360"/>
    <cellStyle name="Input 5 2 3 7" xfId="41361"/>
    <cellStyle name="Input 5 2 3 8" xfId="41362"/>
    <cellStyle name="Input 5 2 3 9" xfId="41363"/>
    <cellStyle name="Input 5 2 4" xfId="41364"/>
    <cellStyle name="Input 5 2 4 10" xfId="41365"/>
    <cellStyle name="Input 5 2 4 11" xfId="41366"/>
    <cellStyle name="Input 5 2 4 12" xfId="41367"/>
    <cellStyle name="Input 5 2 4 13" xfId="41368"/>
    <cellStyle name="Input 5 2 4 14" xfId="41369"/>
    <cellStyle name="Input 5 2 4 15" xfId="41370"/>
    <cellStyle name="Input 5 2 4 16" xfId="41371"/>
    <cellStyle name="Input 5 2 4 17" xfId="41372"/>
    <cellStyle name="Input 5 2 4 18" xfId="41373"/>
    <cellStyle name="Input 5 2 4 19" xfId="41374"/>
    <cellStyle name="Input 5 2 4 2" xfId="41375"/>
    <cellStyle name="Input 5 2 4 2 2" xfId="41376"/>
    <cellStyle name="Input 5 2 4 2 3" xfId="41377"/>
    <cellStyle name="Input 5 2 4 2 4" xfId="41378"/>
    <cellStyle name="Input 5 2 4 2 5" xfId="41379"/>
    <cellStyle name="Input 5 2 4 2 6" xfId="41380"/>
    <cellStyle name="Input 5 2 4 2 7" xfId="41381"/>
    <cellStyle name="Input 5 2 4 2 8" xfId="41382"/>
    <cellStyle name="Input 5 2 4 2 9" xfId="41383"/>
    <cellStyle name="Input 5 2 4 3" xfId="41384"/>
    <cellStyle name="Input 5 2 4 4" xfId="41385"/>
    <cellStyle name="Input 5 2 4 5" xfId="41386"/>
    <cellStyle name="Input 5 2 4 6" xfId="41387"/>
    <cellStyle name="Input 5 2 4 7" xfId="41388"/>
    <cellStyle name="Input 5 2 4 8" xfId="41389"/>
    <cellStyle name="Input 5 2 4 9" xfId="41390"/>
    <cellStyle name="Input 5 2 5" xfId="41391"/>
    <cellStyle name="Input 5 3" xfId="41392"/>
    <cellStyle name="Input 5 3 2" xfId="41393"/>
    <cellStyle name="Input 5 3 2 10" xfId="41394"/>
    <cellStyle name="Input 5 3 2 11" xfId="41395"/>
    <cellStyle name="Input 5 3 2 12" xfId="41396"/>
    <cellStyle name="Input 5 3 2 13" xfId="41397"/>
    <cellStyle name="Input 5 3 2 14" xfId="41398"/>
    <cellStyle name="Input 5 3 2 15" xfId="41399"/>
    <cellStyle name="Input 5 3 2 16" xfId="41400"/>
    <cellStyle name="Input 5 3 2 17" xfId="41401"/>
    <cellStyle name="Input 5 3 2 18" xfId="41402"/>
    <cellStyle name="Input 5 3 2 19" xfId="41403"/>
    <cellStyle name="Input 5 3 2 2" xfId="41404"/>
    <cellStyle name="Input 5 3 2 2 2" xfId="41405"/>
    <cellStyle name="Input 5 3 2 2 3" xfId="41406"/>
    <cellStyle name="Input 5 3 2 2 4" xfId="41407"/>
    <cellStyle name="Input 5 3 2 2 5" xfId="41408"/>
    <cellStyle name="Input 5 3 2 2 6" xfId="41409"/>
    <cellStyle name="Input 5 3 2 2 7" xfId="41410"/>
    <cellStyle name="Input 5 3 2 2 8" xfId="41411"/>
    <cellStyle name="Input 5 3 2 2 9" xfId="41412"/>
    <cellStyle name="Input 5 3 2 3" xfId="41413"/>
    <cellStyle name="Input 5 3 2 4" xfId="41414"/>
    <cellStyle name="Input 5 3 2 5" xfId="41415"/>
    <cellStyle name="Input 5 3 2 6" xfId="41416"/>
    <cellStyle name="Input 5 3 2 7" xfId="41417"/>
    <cellStyle name="Input 5 3 2 8" xfId="41418"/>
    <cellStyle name="Input 5 3 2 9" xfId="41419"/>
    <cellStyle name="Input 5 3 3" xfId="41420"/>
    <cellStyle name="Input 5 3 3 10" xfId="41421"/>
    <cellStyle name="Input 5 3 3 11" xfId="41422"/>
    <cellStyle name="Input 5 3 3 12" xfId="41423"/>
    <cellStyle name="Input 5 3 3 13" xfId="41424"/>
    <cellStyle name="Input 5 3 3 14" xfId="41425"/>
    <cellStyle name="Input 5 3 3 15" xfId="41426"/>
    <cellStyle name="Input 5 3 3 16" xfId="41427"/>
    <cellStyle name="Input 5 3 3 17" xfId="41428"/>
    <cellStyle name="Input 5 3 3 18" xfId="41429"/>
    <cellStyle name="Input 5 3 3 2" xfId="41430"/>
    <cellStyle name="Input 5 3 3 2 2" xfId="41431"/>
    <cellStyle name="Input 5 3 3 2 3" xfId="41432"/>
    <cellStyle name="Input 5 3 3 2 4" xfId="41433"/>
    <cellStyle name="Input 5 3 3 2 5" xfId="41434"/>
    <cellStyle name="Input 5 3 3 2 6" xfId="41435"/>
    <cellStyle name="Input 5 3 3 2 7" xfId="41436"/>
    <cellStyle name="Input 5 3 3 2 8" xfId="41437"/>
    <cellStyle name="Input 5 3 3 2 9" xfId="41438"/>
    <cellStyle name="Input 5 3 3 3" xfId="41439"/>
    <cellStyle name="Input 5 3 3 4" xfId="41440"/>
    <cellStyle name="Input 5 3 3 5" xfId="41441"/>
    <cellStyle name="Input 5 3 3 6" xfId="41442"/>
    <cellStyle name="Input 5 3 3 7" xfId="41443"/>
    <cellStyle name="Input 5 3 3 8" xfId="41444"/>
    <cellStyle name="Input 5 3 3 9" xfId="41445"/>
    <cellStyle name="Input 5 3 4" xfId="41446"/>
    <cellStyle name="Input 5 3 4 10" xfId="41447"/>
    <cellStyle name="Input 5 3 4 11" xfId="41448"/>
    <cellStyle name="Input 5 3 4 12" xfId="41449"/>
    <cellStyle name="Input 5 3 4 13" xfId="41450"/>
    <cellStyle name="Input 5 3 4 14" xfId="41451"/>
    <cellStyle name="Input 5 3 4 15" xfId="41452"/>
    <cellStyle name="Input 5 3 4 16" xfId="41453"/>
    <cellStyle name="Input 5 3 4 17" xfId="41454"/>
    <cellStyle name="Input 5 3 4 18" xfId="41455"/>
    <cellStyle name="Input 5 3 4 19" xfId="41456"/>
    <cellStyle name="Input 5 3 4 2" xfId="41457"/>
    <cellStyle name="Input 5 3 4 2 2" xfId="41458"/>
    <cellStyle name="Input 5 3 4 2 3" xfId="41459"/>
    <cellStyle name="Input 5 3 4 2 4" xfId="41460"/>
    <cellStyle name="Input 5 3 4 2 5" xfId="41461"/>
    <cellStyle name="Input 5 3 4 2 6" xfId="41462"/>
    <cellStyle name="Input 5 3 4 2 7" xfId="41463"/>
    <cellStyle name="Input 5 3 4 2 8" xfId="41464"/>
    <cellStyle name="Input 5 3 4 2 9" xfId="41465"/>
    <cellStyle name="Input 5 3 4 3" xfId="41466"/>
    <cellStyle name="Input 5 3 4 4" xfId="41467"/>
    <cellStyle name="Input 5 3 4 5" xfId="41468"/>
    <cellStyle name="Input 5 3 4 6" xfId="41469"/>
    <cellStyle name="Input 5 3 4 7" xfId="41470"/>
    <cellStyle name="Input 5 3 4 8" xfId="41471"/>
    <cellStyle name="Input 5 3 4 9" xfId="41472"/>
    <cellStyle name="Input 5 4" xfId="41473"/>
    <cellStyle name="Input 5 4 10" xfId="41474"/>
    <cellStyle name="Input 5 4 11" xfId="41475"/>
    <cellStyle name="Input 5 4 12" xfId="41476"/>
    <cellStyle name="Input 5 4 13" xfId="41477"/>
    <cellStyle name="Input 5 4 14" xfId="41478"/>
    <cellStyle name="Input 5 4 15" xfId="41479"/>
    <cellStyle name="Input 5 4 16" xfId="41480"/>
    <cellStyle name="Input 5 4 17" xfId="41481"/>
    <cellStyle name="Input 5 4 18" xfId="41482"/>
    <cellStyle name="Input 5 4 19" xfId="41483"/>
    <cellStyle name="Input 5 4 2" xfId="41484"/>
    <cellStyle name="Input 5 4 2 2" xfId="41485"/>
    <cellStyle name="Input 5 4 2 3" xfId="41486"/>
    <cellStyle name="Input 5 4 2 4" xfId="41487"/>
    <cellStyle name="Input 5 4 2 5" xfId="41488"/>
    <cellStyle name="Input 5 4 2 6" xfId="41489"/>
    <cellStyle name="Input 5 4 2 7" xfId="41490"/>
    <cellStyle name="Input 5 4 2 8" xfId="41491"/>
    <cellStyle name="Input 5 4 2 9" xfId="41492"/>
    <cellStyle name="Input 5 4 3" xfId="41493"/>
    <cellStyle name="Input 5 4 4" xfId="41494"/>
    <cellStyle name="Input 5 4 5" xfId="41495"/>
    <cellStyle name="Input 5 4 6" xfId="41496"/>
    <cellStyle name="Input 5 4 7" xfId="41497"/>
    <cellStyle name="Input 5 4 8" xfId="41498"/>
    <cellStyle name="Input 5 4 9" xfId="41499"/>
    <cellStyle name="Input 5 5" xfId="41500"/>
    <cellStyle name="Input 5 5 10" xfId="41501"/>
    <cellStyle name="Input 5 5 11" xfId="41502"/>
    <cellStyle name="Input 5 5 12" xfId="41503"/>
    <cellStyle name="Input 5 5 13" xfId="41504"/>
    <cellStyle name="Input 5 5 14" xfId="41505"/>
    <cellStyle name="Input 5 5 15" xfId="41506"/>
    <cellStyle name="Input 5 5 16" xfId="41507"/>
    <cellStyle name="Input 5 5 17" xfId="41508"/>
    <cellStyle name="Input 5 5 18" xfId="41509"/>
    <cellStyle name="Input 5 5 2" xfId="41510"/>
    <cellStyle name="Input 5 5 2 2" xfId="41511"/>
    <cellStyle name="Input 5 5 2 3" xfId="41512"/>
    <cellStyle name="Input 5 5 2 4" xfId="41513"/>
    <cellStyle name="Input 5 5 2 5" xfId="41514"/>
    <cellStyle name="Input 5 5 2 6" xfId="41515"/>
    <cellStyle name="Input 5 5 2 7" xfId="41516"/>
    <cellStyle name="Input 5 5 2 8" xfId="41517"/>
    <cellStyle name="Input 5 5 2 9" xfId="41518"/>
    <cellStyle name="Input 5 5 3" xfId="41519"/>
    <cellStyle name="Input 5 5 4" xfId="41520"/>
    <cellStyle name="Input 5 5 5" xfId="41521"/>
    <cellStyle name="Input 5 5 6" xfId="41522"/>
    <cellStyle name="Input 5 5 7" xfId="41523"/>
    <cellStyle name="Input 5 5 8" xfId="41524"/>
    <cellStyle name="Input 5 5 9" xfId="41525"/>
    <cellStyle name="Input 5 6" xfId="41526"/>
    <cellStyle name="Input 5 6 10" xfId="41527"/>
    <cellStyle name="Input 5 6 11" xfId="41528"/>
    <cellStyle name="Input 5 6 12" xfId="41529"/>
    <cellStyle name="Input 5 6 13" xfId="41530"/>
    <cellStyle name="Input 5 6 14" xfId="41531"/>
    <cellStyle name="Input 5 6 15" xfId="41532"/>
    <cellStyle name="Input 5 6 16" xfId="41533"/>
    <cellStyle name="Input 5 6 17" xfId="41534"/>
    <cellStyle name="Input 5 6 18" xfId="41535"/>
    <cellStyle name="Input 5 6 19" xfId="41536"/>
    <cellStyle name="Input 5 6 2" xfId="41537"/>
    <cellStyle name="Input 5 6 2 2" xfId="41538"/>
    <cellStyle name="Input 5 6 2 3" xfId="41539"/>
    <cellStyle name="Input 5 6 2 4" xfId="41540"/>
    <cellStyle name="Input 5 6 2 5" xfId="41541"/>
    <cellStyle name="Input 5 6 2 6" xfId="41542"/>
    <cellStyle name="Input 5 6 2 7" xfId="41543"/>
    <cellStyle name="Input 5 6 2 8" xfId="41544"/>
    <cellStyle name="Input 5 6 2 9" xfId="41545"/>
    <cellStyle name="Input 5 6 3" xfId="41546"/>
    <cellStyle name="Input 5 6 4" xfId="41547"/>
    <cellStyle name="Input 5 6 5" xfId="41548"/>
    <cellStyle name="Input 5 6 6" xfId="41549"/>
    <cellStyle name="Input 5 6 7" xfId="41550"/>
    <cellStyle name="Input 5 6 8" xfId="41551"/>
    <cellStyle name="Input 5 6 9" xfId="41552"/>
    <cellStyle name="Input 6" xfId="41553"/>
    <cellStyle name="Input 6 2" xfId="41554"/>
    <cellStyle name="Input 6 2 2" xfId="41555"/>
    <cellStyle name="Input 6 2 2 10" xfId="41556"/>
    <cellStyle name="Input 6 2 2 11" xfId="41557"/>
    <cellStyle name="Input 6 2 2 12" xfId="41558"/>
    <cellStyle name="Input 6 2 2 13" xfId="41559"/>
    <cellStyle name="Input 6 2 2 14" xfId="41560"/>
    <cellStyle name="Input 6 2 2 15" xfId="41561"/>
    <cellStyle name="Input 6 2 2 16" xfId="41562"/>
    <cellStyle name="Input 6 2 2 17" xfId="41563"/>
    <cellStyle name="Input 6 2 2 18" xfId="41564"/>
    <cellStyle name="Input 6 2 2 19" xfId="41565"/>
    <cellStyle name="Input 6 2 2 2" xfId="41566"/>
    <cellStyle name="Input 6 2 2 2 2" xfId="41567"/>
    <cellStyle name="Input 6 2 2 2 3" xfId="41568"/>
    <cellStyle name="Input 6 2 2 2 4" xfId="41569"/>
    <cellStyle name="Input 6 2 2 2 5" xfId="41570"/>
    <cellStyle name="Input 6 2 2 2 6" xfId="41571"/>
    <cellStyle name="Input 6 2 2 2 7" xfId="41572"/>
    <cellStyle name="Input 6 2 2 2 8" xfId="41573"/>
    <cellStyle name="Input 6 2 2 2 9" xfId="41574"/>
    <cellStyle name="Input 6 2 2 3" xfId="41575"/>
    <cellStyle name="Input 6 2 2 4" xfId="41576"/>
    <cellStyle name="Input 6 2 2 5" xfId="41577"/>
    <cellStyle name="Input 6 2 2 6" xfId="41578"/>
    <cellStyle name="Input 6 2 2 7" xfId="41579"/>
    <cellStyle name="Input 6 2 2 8" xfId="41580"/>
    <cellStyle name="Input 6 2 2 9" xfId="41581"/>
    <cellStyle name="Input 6 2 3" xfId="41582"/>
    <cellStyle name="Input 6 2 3 10" xfId="41583"/>
    <cellStyle name="Input 6 2 3 11" xfId="41584"/>
    <cellStyle name="Input 6 2 3 12" xfId="41585"/>
    <cellStyle name="Input 6 2 3 13" xfId="41586"/>
    <cellStyle name="Input 6 2 3 14" xfId="41587"/>
    <cellStyle name="Input 6 2 3 15" xfId="41588"/>
    <cellStyle name="Input 6 2 3 16" xfId="41589"/>
    <cellStyle name="Input 6 2 3 17" xfId="41590"/>
    <cellStyle name="Input 6 2 3 18" xfId="41591"/>
    <cellStyle name="Input 6 2 3 2" xfId="41592"/>
    <cellStyle name="Input 6 2 3 2 2" xfId="41593"/>
    <cellStyle name="Input 6 2 3 2 3" xfId="41594"/>
    <cellStyle name="Input 6 2 3 2 4" xfId="41595"/>
    <cellStyle name="Input 6 2 3 2 5" xfId="41596"/>
    <cellStyle name="Input 6 2 3 2 6" xfId="41597"/>
    <cellStyle name="Input 6 2 3 2 7" xfId="41598"/>
    <cellStyle name="Input 6 2 3 2 8" xfId="41599"/>
    <cellStyle name="Input 6 2 3 2 9" xfId="41600"/>
    <cellStyle name="Input 6 2 3 3" xfId="41601"/>
    <cellStyle name="Input 6 2 3 4" xfId="41602"/>
    <cellStyle name="Input 6 2 3 5" xfId="41603"/>
    <cellStyle name="Input 6 2 3 6" xfId="41604"/>
    <cellStyle name="Input 6 2 3 7" xfId="41605"/>
    <cellStyle name="Input 6 2 3 8" xfId="41606"/>
    <cellStyle name="Input 6 2 3 9" xfId="41607"/>
    <cellStyle name="Input 6 2 4" xfId="41608"/>
    <cellStyle name="Input 6 2 4 10" xfId="41609"/>
    <cellStyle name="Input 6 2 4 11" xfId="41610"/>
    <cellStyle name="Input 6 2 4 12" xfId="41611"/>
    <cellStyle name="Input 6 2 4 13" xfId="41612"/>
    <cellStyle name="Input 6 2 4 14" xfId="41613"/>
    <cellStyle name="Input 6 2 4 15" xfId="41614"/>
    <cellStyle name="Input 6 2 4 16" xfId="41615"/>
    <cellStyle name="Input 6 2 4 17" xfId="41616"/>
    <cellStyle name="Input 6 2 4 18" xfId="41617"/>
    <cellStyle name="Input 6 2 4 19" xfId="41618"/>
    <cellStyle name="Input 6 2 4 2" xfId="41619"/>
    <cellStyle name="Input 6 2 4 2 2" xfId="41620"/>
    <cellStyle name="Input 6 2 4 2 3" xfId="41621"/>
    <cellStyle name="Input 6 2 4 2 4" xfId="41622"/>
    <cellStyle name="Input 6 2 4 2 5" xfId="41623"/>
    <cellStyle name="Input 6 2 4 2 6" xfId="41624"/>
    <cellStyle name="Input 6 2 4 2 7" xfId="41625"/>
    <cellStyle name="Input 6 2 4 2 8" xfId="41626"/>
    <cellStyle name="Input 6 2 4 2 9" xfId="41627"/>
    <cellStyle name="Input 6 2 4 3" xfId="41628"/>
    <cellStyle name="Input 6 2 4 4" xfId="41629"/>
    <cellStyle name="Input 6 2 4 5" xfId="41630"/>
    <cellStyle name="Input 6 2 4 6" xfId="41631"/>
    <cellStyle name="Input 6 2 4 7" xfId="41632"/>
    <cellStyle name="Input 6 2 4 8" xfId="41633"/>
    <cellStyle name="Input 6 2 4 9" xfId="41634"/>
    <cellStyle name="Input 6 2 5" xfId="41635"/>
    <cellStyle name="Input 6 3" xfId="41636"/>
    <cellStyle name="Input 6 3 2" xfId="41637"/>
    <cellStyle name="Input 6 3 2 10" xfId="41638"/>
    <cellStyle name="Input 6 3 2 11" xfId="41639"/>
    <cellStyle name="Input 6 3 2 12" xfId="41640"/>
    <cellStyle name="Input 6 3 2 13" xfId="41641"/>
    <cellStyle name="Input 6 3 2 14" xfId="41642"/>
    <cellStyle name="Input 6 3 2 15" xfId="41643"/>
    <cellStyle name="Input 6 3 2 16" xfId="41644"/>
    <cellStyle name="Input 6 3 2 17" xfId="41645"/>
    <cellStyle name="Input 6 3 2 18" xfId="41646"/>
    <cellStyle name="Input 6 3 2 19" xfId="41647"/>
    <cellStyle name="Input 6 3 2 2" xfId="41648"/>
    <cellStyle name="Input 6 3 2 2 2" xfId="41649"/>
    <cellStyle name="Input 6 3 2 2 3" xfId="41650"/>
    <cellStyle name="Input 6 3 2 2 4" xfId="41651"/>
    <cellStyle name="Input 6 3 2 2 5" xfId="41652"/>
    <cellStyle name="Input 6 3 2 2 6" xfId="41653"/>
    <cellStyle name="Input 6 3 2 2 7" xfId="41654"/>
    <cellStyle name="Input 6 3 2 2 8" xfId="41655"/>
    <cellStyle name="Input 6 3 2 2 9" xfId="41656"/>
    <cellStyle name="Input 6 3 2 3" xfId="41657"/>
    <cellStyle name="Input 6 3 2 4" xfId="41658"/>
    <cellStyle name="Input 6 3 2 5" xfId="41659"/>
    <cellStyle name="Input 6 3 2 6" xfId="41660"/>
    <cellStyle name="Input 6 3 2 7" xfId="41661"/>
    <cellStyle name="Input 6 3 2 8" xfId="41662"/>
    <cellStyle name="Input 6 3 2 9" xfId="41663"/>
    <cellStyle name="Input 6 3 3" xfId="41664"/>
    <cellStyle name="Input 6 3 3 10" xfId="41665"/>
    <cellStyle name="Input 6 3 3 11" xfId="41666"/>
    <cellStyle name="Input 6 3 3 12" xfId="41667"/>
    <cellStyle name="Input 6 3 3 13" xfId="41668"/>
    <cellStyle name="Input 6 3 3 14" xfId="41669"/>
    <cellStyle name="Input 6 3 3 15" xfId="41670"/>
    <cellStyle name="Input 6 3 3 16" xfId="41671"/>
    <cellStyle name="Input 6 3 3 17" xfId="41672"/>
    <cellStyle name="Input 6 3 3 18" xfId="41673"/>
    <cellStyle name="Input 6 3 3 2" xfId="41674"/>
    <cellStyle name="Input 6 3 3 2 2" xfId="41675"/>
    <cellStyle name="Input 6 3 3 2 3" xfId="41676"/>
    <cellStyle name="Input 6 3 3 2 4" xfId="41677"/>
    <cellStyle name="Input 6 3 3 2 5" xfId="41678"/>
    <cellStyle name="Input 6 3 3 2 6" xfId="41679"/>
    <cellStyle name="Input 6 3 3 2 7" xfId="41680"/>
    <cellStyle name="Input 6 3 3 2 8" xfId="41681"/>
    <cellStyle name="Input 6 3 3 2 9" xfId="41682"/>
    <cellStyle name="Input 6 3 3 3" xfId="41683"/>
    <cellStyle name="Input 6 3 3 4" xfId="41684"/>
    <cellStyle name="Input 6 3 3 5" xfId="41685"/>
    <cellStyle name="Input 6 3 3 6" xfId="41686"/>
    <cellStyle name="Input 6 3 3 7" xfId="41687"/>
    <cellStyle name="Input 6 3 3 8" xfId="41688"/>
    <cellStyle name="Input 6 3 3 9" xfId="41689"/>
    <cellStyle name="Input 6 3 4" xfId="41690"/>
    <cellStyle name="Input 6 3 4 10" xfId="41691"/>
    <cellStyle name="Input 6 3 4 11" xfId="41692"/>
    <cellStyle name="Input 6 3 4 12" xfId="41693"/>
    <cellStyle name="Input 6 3 4 13" xfId="41694"/>
    <cellStyle name="Input 6 3 4 14" xfId="41695"/>
    <cellStyle name="Input 6 3 4 15" xfId="41696"/>
    <cellStyle name="Input 6 3 4 16" xfId="41697"/>
    <cellStyle name="Input 6 3 4 17" xfId="41698"/>
    <cellStyle name="Input 6 3 4 18" xfId="41699"/>
    <cellStyle name="Input 6 3 4 19" xfId="41700"/>
    <cellStyle name="Input 6 3 4 2" xfId="41701"/>
    <cellStyle name="Input 6 3 4 2 2" xfId="41702"/>
    <cellStyle name="Input 6 3 4 2 3" xfId="41703"/>
    <cellStyle name="Input 6 3 4 2 4" xfId="41704"/>
    <cellStyle name="Input 6 3 4 2 5" xfId="41705"/>
    <cellStyle name="Input 6 3 4 2 6" xfId="41706"/>
    <cellStyle name="Input 6 3 4 2 7" xfId="41707"/>
    <cellStyle name="Input 6 3 4 2 8" xfId="41708"/>
    <cellStyle name="Input 6 3 4 2 9" xfId="41709"/>
    <cellStyle name="Input 6 3 4 3" xfId="41710"/>
    <cellStyle name="Input 6 3 4 4" xfId="41711"/>
    <cellStyle name="Input 6 3 4 5" xfId="41712"/>
    <cellStyle name="Input 6 3 4 6" xfId="41713"/>
    <cellStyle name="Input 6 3 4 7" xfId="41714"/>
    <cellStyle name="Input 6 3 4 8" xfId="41715"/>
    <cellStyle name="Input 6 3 4 9" xfId="41716"/>
    <cellStyle name="Input 6 4" xfId="41717"/>
    <cellStyle name="Input 6 4 10" xfId="41718"/>
    <cellStyle name="Input 6 4 11" xfId="41719"/>
    <cellStyle name="Input 6 4 12" xfId="41720"/>
    <cellStyle name="Input 6 4 13" xfId="41721"/>
    <cellStyle name="Input 6 4 14" xfId="41722"/>
    <cellStyle name="Input 6 4 15" xfId="41723"/>
    <cellStyle name="Input 6 4 16" xfId="41724"/>
    <cellStyle name="Input 6 4 17" xfId="41725"/>
    <cellStyle name="Input 6 4 18" xfId="41726"/>
    <cellStyle name="Input 6 4 19" xfId="41727"/>
    <cellStyle name="Input 6 4 2" xfId="41728"/>
    <cellStyle name="Input 6 4 2 2" xfId="41729"/>
    <cellStyle name="Input 6 4 2 3" xfId="41730"/>
    <cellStyle name="Input 6 4 2 4" xfId="41731"/>
    <cellStyle name="Input 6 4 2 5" xfId="41732"/>
    <cellStyle name="Input 6 4 2 6" xfId="41733"/>
    <cellStyle name="Input 6 4 2 7" xfId="41734"/>
    <cellStyle name="Input 6 4 2 8" xfId="41735"/>
    <cellStyle name="Input 6 4 2 9" xfId="41736"/>
    <cellStyle name="Input 6 4 3" xfId="41737"/>
    <cellStyle name="Input 6 4 4" xfId="41738"/>
    <cellStyle name="Input 6 4 5" xfId="41739"/>
    <cellStyle name="Input 6 4 6" xfId="41740"/>
    <cellStyle name="Input 6 4 7" xfId="41741"/>
    <cellStyle name="Input 6 4 8" xfId="41742"/>
    <cellStyle name="Input 6 4 9" xfId="41743"/>
    <cellStyle name="Input 6 5" xfId="41744"/>
    <cellStyle name="Input 6 5 10" xfId="41745"/>
    <cellStyle name="Input 6 5 11" xfId="41746"/>
    <cellStyle name="Input 6 5 12" xfId="41747"/>
    <cellStyle name="Input 6 5 13" xfId="41748"/>
    <cellStyle name="Input 6 5 14" xfId="41749"/>
    <cellStyle name="Input 6 5 15" xfId="41750"/>
    <cellStyle name="Input 6 5 16" xfId="41751"/>
    <cellStyle name="Input 6 5 17" xfId="41752"/>
    <cellStyle name="Input 6 5 18" xfId="41753"/>
    <cellStyle name="Input 6 5 2" xfId="41754"/>
    <cellStyle name="Input 6 5 2 2" xfId="41755"/>
    <cellStyle name="Input 6 5 2 3" xfId="41756"/>
    <cellStyle name="Input 6 5 2 4" xfId="41757"/>
    <cellStyle name="Input 6 5 2 5" xfId="41758"/>
    <cellStyle name="Input 6 5 2 6" xfId="41759"/>
    <cellStyle name="Input 6 5 2 7" xfId="41760"/>
    <cellStyle name="Input 6 5 2 8" xfId="41761"/>
    <cellStyle name="Input 6 5 2 9" xfId="41762"/>
    <cellStyle name="Input 6 5 3" xfId="41763"/>
    <cellStyle name="Input 6 5 4" xfId="41764"/>
    <cellStyle name="Input 6 5 5" xfId="41765"/>
    <cellStyle name="Input 6 5 6" xfId="41766"/>
    <cellStyle name="Input 6 5 7" xfId="41767"/>
    <cellStyle name="Input 6 5 8" xfId="41768"/>
    <cellStyle name="Input 6 5 9" xfId="41769"/>
    <cellStyle name="Input 6 6" xfId="41770"/>
    <cellStyle name="Input 6 6 10" xfId="41771"/>
    <cellStyle name="Input 6 6 11" xfId="41772"/>
    <cellStyle name="Input 6 6 12" xfId="41773"/>
    <cellStyle name="Input 6 6 13" xfId="41774"/>
    <cellStyle name="Input 6 6 14" xfId="41775"/>
    <cellStyle name="Input 6 6 15" xfId="41776"/>
    <cellStyle name="Input 6 6 16" xfId="41777"/>
    <cellStyle name="Input 6 6 17" xfId="41778"/>
    <cellStyle name="Input 6 6 18" xfId="41779"/>
    <cellStyle name="Input 6 6 19" xfId="41780"/>
    <cellStyle name="Input 6 6 2" xfId="41781"/>
    <cellStyle name="Input 6 6 2 2" xfId="41782"/>
    <cellStyle name="Input 6 6 2 3" xfId="41783"/>
    <cellStyle name="Input 6 6 2 4" xfId="41784"/>
    <cellStyle name="Input 6 6 2 5" xfId="41785"/>
    <cellStyle name="Input 6 6 2 6" xfId="41786"/>
    <cellStyle name="Input 6 6 2 7" xfId="41787"/>
    <cellStyle name="Input 6 6 2 8" xfId="41788"/>
    <cellStyle name="Input 6 6 2 9" xfId="41789"/>
    <cellStyle name="Input 6 6 3" xfId="41790"/>
    <cellStyle name="Input 6 6 4" xfId="41791"/>
    <cellStyle name="Input 6 6 5" xfId="41792"/>
    <cellStyle name="Input 6 6 6" xfId="41793"/>
    <cellStyle name="Input 6 6 7" xfId="41794"/>
    <cellStyle name="Input 6 6 8" xfId="41795"/>
    <cellStyle name="Input 6 6 9" xfId="41796"/>
    <cellStyle name="Input 7" xfId="41797"/>
    <cellStyle name="Input 7 2" xfId="41798"/>
    <cellStyle name="Input 7 2 10" xfId="41799"/>
    <cellStyle name="Input 7 2 11" xfId="41800"/>
    <cellStyle name="Input 7 2 12" xfId="41801"/>
    <cellStyle name="Input 7 2 13" xfId="41802"/>
    <cellStyle name="Input 7 2 14" xfId="41803"/>
    <cellStyle name="Input 7 2 15" xfId="41804"/>
    <cellStyle name="Input 7 2 16" xfId="41805"/>
    <cellStyle name="Input 7 2 17" xfId="41806"/>
    <cellStyle name="Input 7 2 18" xfId="41807"/>
    <cellStyle name="Input 7 2 19" xfId="41808"/>
    <cellStyle name="Input 7 2 2" xfId="41809"/>
    <cellStyle name="Input 7 2 2 2" xfId="41810"/>
    <cellStyle name="Input 7 2 2 3" xfId="41811"/>
    <cellStyle name="Input 7 2 2 4" xfId="41812"/>
    <cellStyle name="Input 7 2 2 5" xfId="41813"/>
    <cellStyle name="Input 7 2 2 6" xfId="41814"/>
    <cellStyle name="Input 7 2 2 7" xfId="41815"/>
    <cellStyle name="Input 7 2 2 8" xfId="41816"/>
    <cellStyle name="Input 7 2 2 9" xfId="41817"/>
    <cellStyle name="Input 7 2 3" xfId="41818"/>
    <cellStyle name="Input 7 2 4" xfId="41819"/>
    <cellStyle name="Input 7 2 5" xfId="41820"/>
    <cellStyle name="Input 7 2 6" xfId="41821"/>
    <cellStyle name="Input 7 2 7" xfId="41822"/>
    <cellStyle name="Input 7 2 8" xfId="41823"/>
    <cellStyle name="Input 7 2 9" xfId="41824"/>
    <cellStyle name="Input 7 3" xfId="41825"/>
    <cellStyle name="Input 7 3 10" xfId="41826"/>
    <cellStyle name="Input 7 3 11" xfId="41827"/>
    <cellStyle name="Input 7 3 12" xfId="41828"/>
    <cellStyle name="Input 7 3 13" xfId="41829"/>
    <cellStyle name="Input 7 3 14" xfId="41830"/>
    <cellStyle name="Input 7 3 15" xfId="41831"/>
    <cellStyle name="Input 7 3 16" xfId="41832"/>
    <cellStyle name="Input 7 3 17" xfId="41833"/>
    <cellStyle name="Input 7 3 18" xfId="41834"/>
    <cellStyle name="Input 7 3 2" xfId="41835"/>
    <cellStyle name="Input 7 3 2 2" xfId="41836"/>
    <cellStyle name="Input 7 3 2 3" xfId="41837"/>
    <cellStyle name="Input 7 3 2 4" xfId="41838"/>
    <cellStyle name="Input 7 3 2 5" xfId="41839"/>
    <cellStyle name="Input 7 3 2 6" xfId="41840"/>
    <cellStyle name="Input 7 3 2 7" xfId="41841"/>
    <cellStyle name="Input 7 3 2 8" xfId="41842"/>
    <cellStyle name="Input 7 3 2 9" xfId="41843"/>
    <cellStyle name="Input 7 3 3" xfId="41844"/>
    <cellStyle name="Input 7 3 4" xfId="41845"/>
    <cellStyle name="Input 7 3 5" xfId="41846"/>
    <cellStyle name="Input 7 3 6" xfId="41847"/>
    <cellStyle name="Input 7 3 7" xfId="41848"/>
    <cellStyle name="Input 7 3 8" xfId="41849"/>
    <cellStyle name="Input 7 3 9" xfId="41850"/>
    <cellStyle name="Input 7 4" xfId="41851"/>
    <cellStyle name="Input 7 4 10" xfId="41852"/>
    <cellStyle name="Input 7 4 11" xfId="41853"/>
    <cellStyle name="Input 7 4 12" xfId="41854"/>
    <cellStyle name="Input 7 4 13" xfId="41855"/>
    <cellStyle name="Input 7 4 14" xfId="41856"/>
    <cellStyle name="Input 7 4 15" xfId="41857"/>
    <cellStyle name="Input 7 4 16" xfId="41858"/>
    <cellStyle name="Input 7 4 17" xfId="41859"/>
    <cellStyle name="Input 7 4 18" xfId="41860"/>
    <cellStyle name="Input 7 4 19" xfId="41861"/>
    <cellStyle name="Input 7 4 2" xfId="41862"/>
    <cellStyle name="Input 7 4 2 2" xfId="41863"/>
    <cellStyle name="Input 7 4 2 3" xfId="41864"/>
    <cellStyle name="Input 7 4 2 4" xfId="41865"/>
    <cellStyle name="Input 7 4 2 5" xfId="41866"/>
    <cellStyle name="Input 7 4 2 6" xfId="41867"/>
    <cellStyle name="Input 7 4 2 7" xfId="41868"/>
    <cellStyle name="Input 7 4 2 8" xfId="41869"/>
    <cellStyle name="Input 7 4 2 9" xfId="41870"/>
    <cellStyle name="Input 7 4 3" xfId="41871"/>
    <cellStyle name="Input 7 4 4" xfId="41872"/>
    <cellStyle name="Input 7 4 5" xfId="41873"/>
    <cellStyle name="Input 7 4 6" xfId="41874"/>
    <cellStyle name="Input 7 4 7" xfId="41875"/>
    <cellStyle name="Input 7 4 8" xfId="41876"/>
    <cellStyle name="Input 7 4 9" xfId="41877"/>
    <cellStyle name="Input 7 5" xfId="41878"/>
    <cellStyle name="Input 8" xfId="41879"/>
    <cellStyle name="Input 8 10" xfId="41880"/>
    <cellStyle name="Input 8 11" xfId="41881"/>
    <cellStyle name="Input 8 12" xfId="41882"/>
    <cellStyle name="Input 8 13" xfId="41883"/>
    <cellStyle name="Input 8 14" xfId="41884"/>
    <cellStyle name="Input 8 15" xfId="41885"/>
    <cellStyle name="Input 8 16" xfId="41886"/>
    <cellStyle name="Input 8 17" xfId="41887"/>
    <cellStyle name="Input 8 18" xfId="41888"/>
    <cellStyle name="Input 8 19" xfId="41889"/>
    <cellStyle name="Input 8 2" xfId="41890"/>
    <cellStyle name="Input 8 2 2" xfId="41891"/>
    <cellStyle name="Input 8 2 3" xfId="41892"/>
    <cellStyle name="Input 8 2 4" xfId="41893"/>
    <cellStyle name="Input 8 2 5" xfId="41894"/>
    <cellStyle name="Input 8 2 6" xfId="41895"/>
    <cellStyle name="Input 8 2 7" xfId="41896"/>
    <cellStyle name="Input 8 2 8" xfId="41897"/>
    <cellStyle name="Input 8 2 9" xfId="41898"/>
    <cellStyle name="Input 8 3" xfId="41899"/>
    <cellStyle name="Input 8 4" xfId="41900"/>
    <cellStyle name="Input 8 5" xfId="41901"/>
    <cellStyle name="Input 8 6" xfId="41902"/>
    <cellStyle name="Input 8 7" xfId="41903"/>
    <cellStyle name="Input 8 8" xfId="41904"/>
    <cellStyle name="Input 8 9" xfId="41905"/>
    <cellStyle name="Input 9" xfId="41906"/>
    <cellStyle name="Input 9 10" xfId="41907"/>
    <cellStyle name="Input 9 11" xfId="41908"/>
    <cellStyle name="Input 9 12" xfId="41909"/>
    <cellStyle name="Input 9 13" xfId="41910"/>
    <cellStyle name="Input 9 14" xfId="41911"/>
    <cellStyle name="Input 9 15" xfId="41912"/>
    <cellStyle name="Input 9 16" xfId="41913"/>
    <cellStyle name="Input 9 17" xfId="41914"/>
    <cellStyle name="Input 9 18" xfId="41915"/>
    <cellStyle name="Input 9 2" xfId="41916"/>
    <cellStyle name="Input 9 2 2" xfId="41917"/>
    <cellStyle name="Input 9 2 3" xfId="41918"/>
    <cellStyle name="Input 9 2 4" xfId="41919"/>
    <cellStyle name="Input 9 2 5" xfId="41920"/>
    <cellStyle name="Input 9 2 6" xfId="41921"/>
    <cellStyle name="Input 9 2 7" xfId="41922"/>
    <cellStyle name="Input 9 2 8" xfId="41923"/>
    <cellStyle name="Input 9 2 9" xfId="41924"/>
    <cellStyle name="Input 9 3" xfId="41925"/>
    <cellStyle name="Input 9 4" xfId="41926"/>
    <cellStyle name="Input 9 5" xfId="41927"/>
    <cellStyle name="Input 9 6" xfId="41928"/>
    <cellStyle name="Input 9 7" xfId="41929"/>
    <cellStyle name="Input 9 8" xfId="41930"/>
    <cellStyle name="Input 9 9" xfId="41931"/>
    <cellStyle name="Input_$cell" xfId="41932"/>
    <cellStyle name="InputCells" xfId="41933"/>
    <cellStyle name="InputCells 2" xfId="41934"/>
    <cellStyle name="InputCells 2 10" xfId="41935"/>
    <cellStyle name="InputCells 2 11" xfId="41936"/>
    <cellStyle name="InputCells 2 12" xfId="41937"/>
    <cellStyle name="InputCells 2 13" xfId="41938"/>
    <cellStyle name="InputCells 2 14" xfId="41939"/>
    <cellStyle name="InputCells 2 15" xfId="41940"/>
    <cellStyle name="InputCells 2 16" xfId="41941"/>
    <cellStyle name="InputCells 2 17" xfId="41942"/>
    <cellStyle name="InputCells 2 18" xfId="41943"/>
    <cellStyle name="InputCells 2 19" xfId="41944"/>
    <cellStyle name="InputCells 2 2" xfId="41945"/>
    <cellStyle name="InputCells 2 2 2" xfId="41946"/>
    <cellStyle name="InputCells 2 2 3" xfId="41947"/>
    <cellStyle name="InputCells 2 2 4" xfId="41948"/>
    <cellStyle name="InputCells 2 2 5" xfId="41949"/>
    <cellStyle name="InputCells 2 2 6" xfId="41950"/>
    <cellStyle name="InputCells 2 2 7" xfId="41951"/>
    <cellStyle name="InputCells 2 2 8" xfId="41952"/>
    <cellStyle name="InputCells 2 2 9" xfId="41953"/>
    <cellStyle name="InputCells 2 20" xfId="41954"/>
    <cellStyle name="InputCells 2 21" xfId="41955"/>
    <cellStyle name="InputCells 2 3" xfId="41956"/>
    <cellStyle name="InputCells 2 4" xfId="41957"/>
    <cellStyle name="InputCells 2 5" xfId="41958"/>
    <cellStyle name="InputCells 2 6" xfId="41959"/>
    <cellStyle name="InputCells 2 7" xfId="41960"/>
    <cellStyle name="InputCells 2 8" xfId="41961"/>
    <cellStyle name="InputCells 2 9" xfId="41962"/>
    <cellStyle name="InputCells 3" xfId="41963"/>
    <cellStyle name="InputCells 3 10" xfId="41964"/>
    <cellStyle name="InputCells 3 11" xfId="41965"/>
    <cellStyle name="InputCells 3 12" xfId="41966"/>
    <cellStyle name="InputCells 3 13" xfId="41967"/>
    <cellStyle name="InputCells 3 14" xfId="41968"/>
    <cellStyle name="InputCells 3 15" xfId="41969"/>
    <cellStyle name="InputCells 3 16" xfId="41970"/>
    <cellStyle name="InputCells 3 17" xfId="41971"/>
    <cellStyle name="InputCells 3 18" xfId="41972"/>
    <cellStyle name="InputCells 3 19" xfId="41973"/>
    <cellStyle name="InputCells 3 2" xfId="41974"/>
    <cellStyle name="InputCells 3 2 2" xfId="41975"/>
    <cellStyle name="InputCells 3 2 3" xfId="41976"/>
    <cellStyle name="InputCells 3 2 4" xfId="41977"/>
    <cellStyle name="InputCells 3 2 5" xfId="41978"/>
    <cellStyle name="InputCells 3 2 6" xfId="41979"/>
    <cellStyle name="InputCells 3 2 7" xfId="41980"/>
    <cellStyle name="InputCells 3 2 8" xfId="41981"/>
    <cellStyle name="InputCells 3 2 9" xfId="41982"/>
    <cellStyle name="InputCells 3 3" xfId="41983"/>
    <cellStyle name="InputCells 3 4" xfId="41984"/>
    <cellStyle name="InputCells 3 5" xfId="41985"/>
    <cellStyle name="InputCells 3 6" xfId="41986"/>
    <cellStyle name="InputCells 3 7" xfId="41987"/>
    <cellStyle name="InputCells 3 8" xfId="41988"/>
    <cellStyle name="InputCells 3 9" xfId="41989"/>
    <cellStyle name="InputCells 4" xfId="41990"/>
    <cellStyle name="InputCells 4 10" xfId="41991"/>
    <cellStyle name="InputCells 4 11" xfId="41992"/>
    <cellStyle name="InputCells 4 12" xfId="41993"/>
    <cellStyle name="InputCells 4 13" xfId="41994"/>
    <cellStyle name="InputCells 4 14" xfId="41995"/>
    <cellStyle name="InputCells 4 15" xfId="41996"/>
    <cellStyle name="InputCells 4 16" xfId="41997"/>
    <cellStyle name="InputCells 4 17" xfId="41998"/>
    <cellStyle name="InputCells 4 18" xfId="41999"/>
    <cellStyle name="InputCells 4 2" xfId="42000"/>
    <cellStyle name="InputCells 4 2 2" xfId="42001"/>
    <cellStyle name="InputCells 4 2 3" xfId="42002"/>
    <cellStyle name="InputCells 4 2 4" xfId="42003"/>
    <cellStyle name="InputCells 4 2 5" xfId="42004"/>
    <cellStyle name="InputCells 4 2 6" xfId="42005"/>
    <cellStyle name="InputCells 4 2 7" xfId="42006"/>
    <cellStyle name="InputCells 4 2 8" xfId="42007"/>
    <cellStyle name="InputCells 4 2 9" xfId="42008"/>
    <cellStyle name="InputCells 4 3" xfId="42009"/>
    <cellStyle name="InputCells 4 4" xfId="42010"/>
    <cellStyle name="InputCells 4 5" xfId="42011"/>
    <cellStyle name="InputCells 4 6" xfId="42012"/>
    <cellStyle name="InputCells 4 7" xfId="42013"/>
    <cellStyle name="InputCells 4 8" xfId="42014"/>
    <cellStyle name="InputCells 4 9" xfId="42015"/>
    <cellStyle name="InputCells 5" xfId="42016"/>
    <cellStyle name="InputCells 5 2" xfId="42017"/>
    <cellStyle name="InputCells 5 3" xfId="42018"/>
    <cellStyle name="InputCells 6" xfId="42019"/>
    <cellStyle name="InputCurrency" xfId="42020"/>
    <cellStyle name="InputCurrency2" xfId="42021"/>
    <cellStyle name="InputMultiple1" xfId="42022"/>
    <cellStyle name="InputPercent1" xfId="42023"/>
    <cellStyle name="IntInput" xfId="42024"/>
    <cellStyle name="IntInput 2" xfId="42025"/>
    <cellStyle name="IntInput 2 10" xfId="42026"/>
    <cellStyle name="IntInput 2 11" xfId="42027"/>
    <cellStyle name="IntInput 2 12" xfId="42028"/>
    <cellStyle name="IntInput 2 13" xfId="42029"/>
    <cellStyle name="IntInput 2 14" xfId="42030"/>
    <cellStyle name="IntInput 2 15" xfId="42031"/>
    <cellStyle name="IntInput 2 16" xfId="42032"/>
    <cellStyle name="IntInput 2 17" xfId="42033"/>
    <cellStyle name="IntInput 2 2" xfId="42034"/>
    <cellStyle name="IntInput 2 2 2" xfId="42035"/>
    <cellStyle name="IntInput 2 2 3" xfId="42036"/>
    <cellStyle name="IntInput 2 2 4" xfId="42037"/>
    <cellStyle name="IntInput 2 2 5" xfId="42038"/>
    <cellStyle name="IntInput 2 2 6" xfId="42039"/>
    <cellStyle name="IntInput 2 2 7" xfId="42040"/>
    <cellStyle name="IntInput 2 2 8" xfId="42041"/>
    <cellStyle name="IntInput 2 2 9" xfId="42042"/>
    <cellStyle name="IntInput 2 3" xfId="42043"/>
    <cellStyle name="IntInput 2 4" xfId="42044"/>
    <cellStyle name="IntInput 2 5" xfId="42045"/>
    <cellStyle name="IntInput 2 6" xfId="42046"/>
    <cellStyle name="IntInput 2 7" xfId="42047"/>
    <cellStyle name="IntInput 2 8" xfId="42048"/>
    <cellStyle name="IntInput 2 9" xfId="42049"/>
    <cellStyle name="IntInput 3" xfId="42050"/>
    <cellStyle name="IntInput 3 10" xfId="42051"/>
    <cellStyle name="IntInput 3 11" xfId="42052"/>
    <cellStyle name="IntInput 3 12" xfId="42053"/>
    <cellStyle name="IntInput 3 13" xfId="42054"/>
    <cellStyle name="IntInput 3 14" xfId="42055"/>
    <cellStyle name="IntInput 3 15" xfId="42056"/>
    <cellStyle name="IntInput 3 16" xfId="42057"/>
    <cellStyle name="IntInput 3 2" xfId="42058"/>
    <cellStyle name="IntInput 3 2 2" xfId="42059"/>
    <cellStyle name="IntInput 3 2 3" xfId="42060"/>
    <cellStyle name="IntInput 3 2 4" xfId="42061"/>
    <cellStyle name="IntInput 3 2 5" xfId="42062"/>
    <cellStyle name="IntInput 3 2 6" xfId="42063"/>
    <cellStyle name="IntInput 3 2 7" xfId="42064"/>
    <cellStyle name="IntInput 3 2 8" xfId="42065"/>
    <cellStyle name="IntInput 3 2 9" xfId="42066"/>
    <cellStyle name="IntInput 3 3" xfId="42067"/>
    <cellStyle name="IntInput 3 4" xfId="42068"/>
    <cellStyle name="IntInput 3 5" xfId="42069"/>
    <cellStyle name="IntInput 3 6" xfId="42070"/>
    <cellStyle name="IntInput 3 7" xfId="42071"/>
    <cellStyle name="IntInput 3 8" xfId="42072"/>
    <cellStyle name="IntInput 3 9" xfId="42073"/>
    <cellStyle name="IntInputBk" xfId="42074"/>
    <cellStyle name="IntInputBk 2" xfId="42075"/>
    <cellStyle name="IntInputBk 2 10" xfId="42076"/>
    <cellStyle name="IntInputBk 2 11" xfId="42077"/>
    <cellStyle name="IntInputBk 2 12" xfId="42078"/>
    <cellStyle name="IntInputBk 2 13" xfId="42079"/>
    <cellStyle name="IntInputBk 2 14" xfId="42080"/>
    <cellStyle name="IntInputBk 2 15" xfId="42081"/>
    <cellStyle name="IntInputBk 2 16" xfId="42082"/>
    <cellStyle name="IntInputBk 2 17" xfId="42083"/>
    <cellStyle name="IntInputBk 2 2" xfId="42084"/>
    <cellStyle name="IntInputBk 2 2 2" xfId="42085"/>
    <cellStyle name="IntInputBk 2 2 3" xfId="42086"/>
    <cellStyle name="IntInputBk 2 2 4" xfId="42087"/>
    <cellStyle name="IntInputBk 2 2 5" xfId="42088"/>
    <cellStyle name="IntInputBk 2 2 6" xfId="42089"/>
    <cellStyle name="IntInputBk 2 2 7" xfId="42090"/>
    <cellStyle name="IntInputBk 2 2 8" xfId="42091"/>
    <cellStyle name="IntInputBk 2 2 9" xfId="42092"/>
    <cellStyle name="IntInputBk 2 3" xfId="42093"/>
    <cellStyle name="IntInputBk 2 4" xfId="42094"/>
    <cellStyle name="IntInputBk 2 5" xfId="42095"/>
    <cellStyle name="IntInputBk 2 6" xfId="42096"/>
    <cellStyle name="IntInputBk 2 7" xfId="42097"/>
    <cellStyle name="IntInputBk 2 8" xfId="42098"/>
    <cellStyle name="IntInputBk 2 9" xfId="42099"/>
    <cellStyle name="IntInputBk 3" xfId="42100"/>
    <cellStyle name="IntInputBk 3 10" xfId="42101"/>
    <cellStyle name="IntInputBk 3 11" xfId="42102"/>
    <cellStyle name="IntInputBk 3 12" xfId="42103"/>
    <cellStyle name="IntInputBk 3 13" xfId="42104"/>
    <cellStyle name="IntInputBk 3 14" xfId="42105"/>
    <cellStyle name="IntInputBk 3 15" xfId="42106"/>
    <cellStyle name="IntInputBk 3 16" xfId="42107"/>
    <cellStyle name="IntInputBk 3 2" xfId="42108"/>
    <cellStyle name="IntInputBk 3 2 2" xfId="42109"/>
    <cellStyle name="IntInputBk 3 2 3" xfId="42110"/>
    <cellStyle name="IntInputBk 3 2 4" xfId="42111"/>
    <cellStyle name="IntInputBk 3 2 5" xfId="42112"/>
    <cellStyle name="IntInputBk 3 2 6" xfId="42113"/>
    <cellStyle name="IntInputBk 3 2 7" xfId="42114"/>
    <cellStyle name="IntInputBk 3 2 8" xfId="42115"/>
    <cellStyle name="IntInputBk 3 2 9" xfId="42116"/>
    <cellStyle name="IntInputBk 3 3" xfId="42117"/>
    <cellStyle name="IntInputBk 3 4" xfId="42118"/>
    <cellStyle name="IntInputBk 3 5" xfId="42119"/>
    <cellStyle name="IntInputBk 3 6" xfId="42120"/>
    <cellStyle name="IntInputBk 3 7" xfId="42121"/>
    <cellStyle name="IntInputBk 3 8" xfId="42122"/>
    <cellStyle name="IntInputBk 3 9" xfId="42123"/>
    <cellStyle name="IntInputBu" xfId="42124"/>
    <cellStyle name="IntInputBu 2" xfId="42125"/>
    <cellStyle name="IntInputBu 2 10" xfId="42126"/>
    <cellStyle name="IntInputBu 2 11" xfId="42127"/>
    <cellStyle name="IntInputBu 2 12" xfId="42128"/>
    <cellStyle name="IntInputBu 2 13" xfId="42129"/>
    <cellStyle name="IntInputBu 2 14" xfId="42130"/>
    <cellStyle name="IntInputBu 2 15" xfId="42131"/>
    <cellStyle name="IntInputBu 2 16" xfId="42132"/>
    <cellStyle name="IntInputBu 2 17" xfId="42133"/>
    <cellStyle name="IntInputBu 2 2" xfId="42134"/>
    <cellStyle name="IntInputBu 2 2 2" xfId="42135"/>
    <cellStyle name="IntInputBu 2 2 3" xfId="42136"/>
    <cellStyle name="IntInputBu 2 2 4" xfId="42137"/>
    <cellStyle name="IntInputBu 2 2 5" xfId="42138"/>
    <cellStyle name="IntInputBu 2 2 6" xfId="42139"/>
    <cellStyle name="IntInputBu 2 2 7" xfId="42140"/>
    <cellStyle name="IntInputBu 2 2 8" xfId="42141"/>
    <cellStyle name="IntInputBu 2 2 9" xfId="42142"/>
    <cellStyle name="IntInputBu 2 3" xfId="42143"/>
    <cellStyle name="IntInputBu 2 4" xfId="42144"/>
    <cellStyle name="IntInputBu 2 5" xfId="42145"/>
    <cellStyle name="IntInputBu 2 6" xfId="42146"/>
    <cellStyle name="IntInputBu 2 7" xfId="42147"/>
    <cellStyle name="IntInputBu 2 8" xfId="42148"/>
    <cellStyle name="IntInputBu 2 9" xfId="42149"/>
    <cellStyle name="IntInputBu 3" xfId="42150"/>
    <cellStyle name="IntInputBu 3 10" xfId="42151"/>
    <cellStyle name="IntInputBu 3 11" xfId="42152"/>
    <cellStyle name="IntInputBu 3 12" xfId="42153"/>
    <cellStyle name="IntInputBu 3 13" xfId="42154"/>
    <cellStyle name="IntInputBu 3 14" xfId="42155"/>
    <cellStyle name="IntInputBu 3 15" xfId="42156"/>
    <cellStyle name="IntInputBu 3 16" xfId="42157"/>
    <cellStyle name="IntInputBu 3 2" xfId="42158"/>
    <cellStyle name="IntInputBu 3 2 2" xfId="42159"/>
    <cellStyle name="IntInputBu 3 2 3" xfId="42160"/>
    <cellStyle name="IntInputBu 3 2 4" xfId="42161"/>
    <cellStyle name="IntInputBu 3 2 5" xfId="42162"/>
    <cellStyle name="IntInputBu 3 2 6" xfId="42163"/>
    <cellStyle name="IntInputBu 3 2 7" xfId="42164"/>
    <cellStyle name="IntInputBu 3 2 8" xfId="42165"/>
    <cellStyle name="IntInputBu 3 2 9" xfId="42166"/>
    <cellStyle name="IntInputBu 3 3" xfId="42167"/>
    <cellStyle name="IntInputBu 3 4" xfId="42168"/>
    <cellStyle name="IntInputBu 3 5" xfId="42169"/>
    <cellStyle name="IntInputBu 3 6" xfId="42170"/>
    <cellStyle name="IntInputBu 3 7" xfId="42171"/>
    <cellStyle name="IntInputBu 3 8" xfId="42172"/>
    <cellStyle name="IntInputBu 3 9" xfId="42173"/>
    <cellStyle name="Ioe?uaaaoayny aeia?nnueea" xfId="42174"/>
    <cellStyle name="Ioe?uaaaoayny aeia?nnueea 10" xfId="42175"/>
    <cellStyle name="Ioe?uaaaoayny aeia?nnueea 11" xfId="42176"/>
    <cellStyle name="Ioe?uaaaoayny aeia?nnueea 12" xfId="42177"/>
    <cellStyle name="Ioe?uaaaoayny aeia?nnueea 13" xfId="42178"/>
    <cellStyle name="Ioe?uaaaoayny aeia?nnueea 14" xfId="42179"/>
    <cellStyle name="Ioe?uaaaoayny aeia?nnueea 15" xfId="42180"/>
    <cellStyle name="Ioe?uaaaoayny aeia?nnueea 16" xfId="42181"/>
    <cellStyle name="Ioe?uaaaoayny aeia?nnueea 17" xfId="42182"/>
    <cellStyle name="Ioe?uaaaoayny aeia?nnueea 18" xfId="42183"/>
    <cellStyle name="Ioe?uaaaoayny aeia?nnueea 2" xfId="42184"/>
    <cellStyle name="Ioe?uaaaoayny aeia?nnueea 2 2" xfId="42185"/>
    <cellStyle name="Ioe?uaaaoayny aeia?nnueea 2 3" xfId="42186"/>
    <cellStyle name="Ioe?uaaaoayny aeia?nnueea 2 4" xfId="42187"/>
    <cellStyle name="Ioe?uaaaoayny aeia?nnueea 2 5" xfId="42188"/>
    <cellStyle name="Ioe?uaaaoayny aeia?nnueea 2 6" xfId="42189"/>
    <cellStyle name="Ioe?uaaaoayny aeia?nnueea 2 7" xfId="42190"/>
    <cellStyle name="Ioe?uaaaoayny aeia?nnueea 2 8" xfId="42191"/>
    <cellStyle name="Ioe?uaaaoayny aeia?nnueea 2 9" xfId="42192"/>
    <cellStyle name="Ioe?uaaaoayny aeia?nnueea 3" xfId="42193"/>
    <cellStyle name="Ioe?uaaaoayny aeia?nnueea 3 2" xfId="42194"/>
    <cellStyle name="Ioe?uaaaoayny aeia?nnueea 3 3" xfId="42195"/>
    <cellStyle name="Ioe?uaaaoayny aeia?nnueea 3 4" xfId="42196"/>
    <cellStyle name="Ioe?uaaaoayny aeia?nnueea 3 5" xfId="42197"/>
    <cellStyle name="Ioe?uaaaoayny aeia?nnueea 3 6" xfId="42198"/>
    <cellStyle name="Ioe?uaaaoayny aeia?nnueea 3 7" xfId="42199"/>
    <cellStyle name="Ioe?uaaaoayny aeia?nnueea 3 8" xfId="42200"/>
    <cellStyle name="Ioe?uaaaoayny aeia?nnueea 3 9" xfId="42201"/>
    <cellStyle name="Ioe?uaaaoayny aeia?nnueea 4" xfId="42202"/>
    <cellStyle name="Ioe?uaaaoayny aeia?nnueea 4 2" xfId="42203"/>
    <cellStyle name="Ioe?uaaaoayny aeia?nnueea 4 3" xfId="42204"/>
    <cellStyle name="Ioe?uaaaoayny aeia?nnueea 4 4" xfId="42205"/>
    <cellStyle name="Ioe?uaaaoayny aeia?nnueea 4 5" xfId="42206"/>
    <cellStyle name="Ioe?uaaaoayny aeia?nnueea 4 6" xfId="42207"/>
    <cellStyle name="Ioe?uaaaoayny aeia?nnueea 4 7" xfId="42208"/>
    <cellStyle name="Ioe?uaaaoayny aeia?nnueea 4 8" xfId="42209"/>
    <cellStyle name="Ioe?uaaaoayny aeia?nnueea 4 9" xfId="42210"/>
    <cellStyle name="Ioe?uaaaoayny aeia?nnueea 5" xfId="42211"/>
    <cellStyle name="Ioe?uaaaoayny aeia?nnueea 5 2" xfId="42212"/>
    <cellStyle name="Ioe?uaaaoayny aeia?nnueea 5 3" xfId="42213"/>
    <cellStyle name="Ioe?uaaaoayny aeia?nnueea 5 4" xfId="42214"/>
    <cellStyle name="Ioe?uaaaoayny aeia?nnueea 5 5" xfId="42215"/>
    <cellStyle name="Ioe?uaaaoayny aeia?nnueea 5 6" xfId="42216"/>
    <cellStyle name="Ioe?uaaaoayny aeia?nnueea 5 7" xfId="42217"/>
    <cellStyle name="Ioe?uaaaoayny aeia?nnueea 5 8" xfId="42218"/>
    <cellStyle name="Ioe?uaaaoayny aeia?nnueea 5 9" xfId="42219"/>
    <cellStyle name="Ioe?uaaaoayny aeia?nnueea 6" xfId="42220"/>
    <cellStyle name="Ioe?uaaaoayny aeia?nnueea 6 2" xfId="42221"/>
    <cellStyle name="Ioe?uaaaoayny aeia?nnueea 6 3" xfId="42222"/>
    <cellStyle name="Ioe?uaaaoayny aeia?nnueea 6 4" xfId="42223"/>
    <cellStyle name="Ioe?uaaaoayny aeia?nnueea 6 5" xfId="42224"/>
    <cellStyle name="Ioe?uaaaoayny aeia?nnueea 6 6" xfId="42225"/>
    <cellStyle name="Ioe?uaaaoayny aeia?nnueea 6 7" xfId="42226"/>
    <cellStyle name="Ioe?uaaaoayny aeia?nnueea 6 8" xfId="42227"/>
    <cellStyle name="Ioe?uaaaoayny aeia?nnueea 6 9" xfId="42228"/>
    <cellStyle name="Ioe?uaaaoayny aeia?nnueea 7" xfId="42229"/>
    <cellStyle name="Ioe?uaaaoayny aeia?nnueea 8" xfId="42230"/>
    <cellStyle name="Ioe?uaaaoayny aeia?nnueea 9" xfId="42231"/>
    <cellStyle name="Ioe?uaaaoayny aeia?nnueea_План ДСМ ноябрь 2011 ОТЧЕТ" xfId="42232"/>
    <cellStyle name="ISO" xfId="42233"/>
    <cellStyle name="ISO 10" xfId="42234"/>
    <cellStyle name="ISO 11" xfId="42235"/>
    <cellStyle name="ISO 12" xfId="42236"/>
    <cellStyle name="ISO 13" xfId="42237"/>
    <cellStyle name="ISO 2" xfId="42238"/>
    <cellStyle name="ISO 3" xfId="42239"/>
    <cellStyle name="ISO 4" xfId="42240"/>
    <cellStyle name="ISO 5" xfId="42241"/>
    <cellStyle name="ISO 6" xfId="42242"/>
    <cellStyle name="ISO 7" xfId="42243"/>
    <cellStyle name="ISO 8" xfId="42244"/>
    <cellStyle name="ISO 9" xfId="42245"/>
    <cellStyle name="ISO_Книга2" xfId="42246"/>
    <cellStyle name="l" xfId="42247"/>
    <cellStyle name="Linked Cell" xfId="42248"/>
    <cellStyle name="Linked Cell 10" xfId="42249"/>
    <cellStyle name="Linked Cell 11" xfId="42250"/>
    <cellStyle name="Linked Cell 12" xfId="42251"/>
    <cellStyle name="Linked Cell 13" xfId="42252"/>
    <cellStyle name="Linked Cell 14" xfId="42253"/>
    <cellStyle name="Linked Cell 15" xfId="42254"/>
    <cellStyle name="Linked Cell 16" xfId="42255"/>
    <cellStyle name="Linked Cell 17" xfId="42256"/>
    <cellStyle name="Linked Cell 18" xfId="42257"/>
    <cellStyle name="Linked Cell 19" xfId="42258"/>
    <cellStyle name="Linked Cell 2" xfId="42259"/>
    <cellStyle name="Linked Cell 20" xfId="42260"/>
    <cellStyle name="Linked Cell 3" xfId="42261"/>
    <cellStyle name="Linked Cell 4" xfId="42262"/>
    <cellStyle name="Linked Cell 5" xfId="42263"/>
    <cellStyle name="Linked Cell 6" xfId="42264"/>
    <cellStyle name="Linked Cell 7" xfId="42265"/>
    <cellStyle name="Linked Cell 8" xfId="42266"/>
    <cellStyle name="Linked Cell 9" xfId="42267"/>
    <cellStyle name="Millares [0]_A" xfId="42268"/>
    <cellStyle name="Millares_A" xfId="42269"/>
    <cellStyle name="Milliers [0]_B.S.96" xfId="42270"/>
    <cellStyle name="Milliers_Analyse CA" xfId="42271"/>
    <cellStyle name="Millions" xfId="42272"/>
    <cellStyle name="MLComma0" xfId="42273"/>
    <cellStyle name="MLHeaderSection" xfId="42274"/>
    <cellStyle name="MLPercent0" xfId="42275"/>
    <cellStyle name="Moneda [0]_A" xfId="42276"/>
    <cellStyle name="Moneda_A" xfId="42277"/>
    <cellStyle name="MonthYears" xfId="42278"/>
    <cellStyle name="Monйtaire [0]_B.S.96" xfId="42279"/>
    <cellStyle name="Monйtaire_B.S.96" xfId="42280"/>
    <cellStyle name="MSprotect" xfId="42281"/>
    <cellStyle name="Multiple" xfId="42282"/>
    <cellStyle name="Multiple [0]" xfId="42283"/>
    <cellStyle name="Multiple [1]" xfId="42284"/>
    <cellStyle name="Multiple_Copy of Fleet models v123 (TA)" xfId="42285"/>
    <cellStyle name="Multiple1" xfId="42286"/>
    <cellStyle name="MultipleBelow" xfId="42287"/>
    <cellStyle name="n2" xfId="42288"/>
    <cellStyle name="Name" xfId="42289"/>
    <cellStyle name="Neutral" xfId="42290"/>
    <cellStyle name="Neutral 10" xfId="42291"/>
    <cellStyle name="Neutral 11" xfId="42292"/>
    <cellStyle name="Neutral 12" xfId="42293"/>
    <cellStyle name="Neutral 13" xfId="42294"/>
    <cellStyle name="Neutral 14" xfId="42295"/>
    <cellStyle name="Neutral 15" xfId="42296"/>
    <cellStyle name="Neutral 16" xfId="42297"/>
    <cellStyle name="Neutral 17" xfId="42298"/>
    <cellStyle name="Neutral 18" xfId="42299"/>
    <cellStyle name="Neutral 19" xfId="42300"/>
    <cellStyle name="Neutral 2" xfId="42301"/>
    <cellStyle name="Neutral 20" xfId="42302"/>
    <cellStyle name="Neutral 3" xfId="42303"/>
    <cellStyle name="Neutral 4" xfId="42304"/>
    <cellStyle name="Neutral 5" xfId="42305"/>
    <cellStyle name="Neutral 6" xfId="42306"/>
    <cellStyle name="Neutral 7" xfId="42307"/>
    <cellStyle name="Neutral 8" xfId="42308"/>
    <cellStyle name="Neutral 9" xfId="42309"/>
    <cellStyle name="New Heading" xfId="42310"/>
    <cellStyle name="NINA" xfId="42311"/>
    <cellStyle name="No zero - 1dp" xfId="42312"/>
    <cellStyle name="No zero - percent" xfId="42313"/>
    <cellStyle name="No zero - percent 2" xfId="42314"/>
    <cellStyle name="No zero - percent 2 10" xfId="42315"/>
    <cellStyle name="No zero - percent 2 11" xfId="42316"/>
    <cellStyle name="No zero - percent 2 12" xfId="42317"/>
    <cellStyle name="No zero - percent 2 13" xfId="42318"/>
    <cellStyle name="No zero - percent 2 14" xfId="42319"/>
    <cellStyle name="No zero - percent 2 15" xfId="42320"/>
    <cellStyle name="No zero - percent 2 16" xfId="42321"/>
    <cellStyle name="No zero - percent 2 17" xfId="42322"/>
    <cellStyle name="No zero - percent 2 18" xfId="42323"/>
    <cellStyle name="No zero - percent 2 19" xfId="42324"/>
    <cellStyle name="No zero - percent 2 2" xfId="42325"/>
    <cellStyle name="No zero - percent 2 2 2" xfId="42326"/>
    <cellStyle name="No zero - percent 2 2 3" xfId="42327"/>
    <cellStyle name="No zero - percent 2 2 4" xfId="42328"/>
    <cellStyle name="No zero - percent 2 2 5" xfId="42329"/>
    <cellStyle name="No zero - percent 2 2 6" xfId="42330"/>
    <cellStyle name="No zero - percent 2 2 7" xfId="42331"/>
    <cellStyle name="No zero - percent 2 2 8" xfId="42332"/>
    <cellStyle name="No zero - percent 2 2 9" xfId="42333"/>
    <cellStyle name="No zero - percent 2 20" xfId="42334"/>
    <cellStyle name="No zero - percent 2 21" xfId="42335"/>
    <cellStyle name="No zero - percent 2 3" xfId="42336"/>
    <cellStyle name="No zero - percent 2 4" xfId="42337"/>
    <cellStyle name="No zero - percent 2 5" xfId="42338"/>
    <cellStyle name="No zero - percent 2 6" xfId="42339"/>
    <cellStyle name="No zero - percent 2 7" xfId="42340"/>
    <cellStyle name="No zero - percent 2 8" xfId="42341"/>
    <cellStyle name="No zero - percent 2 9" xfId="42342"/>
    <cellStyle name="No zero - percent 3" xfId="42343"/>
    <cellStyle name="No zero - percent 3 10" xfId="42344"/>
    <cellStyle name="No zero - percent 3 11" xfId="42345"/>
    <cellStyle name="No zero - percent 3 12" xfId="42346"/>
    <cellStyle name="No zero - percent 3 13" xfId="42347"/>
    <cellStyle name="No zero - percent 3 14" xfId="42348"/>
    <cellStyle name="No zero - percent 3 15" xfId="42349"/>
    <cellStyle name="No zero - percent 3 16" xfId="42350"/>
    <cellStyle name="No zero - percent 3 17" xfId="42351"/>
    <cellStyle name="No zero - percent 3 18" xfId="42352"/>
    <cellStyle name="No zero - percent 3 19" xfId="42353"/>
    <cellStyle name="No zero - percent 3 2" xfId="42354"/>
    <cellStyle name="No zero - percent 3 2 2" xfId="42355"/>
    <cellStyle name="No zero - percent 3 2 3" xfId="42356"/>
    <cellStyle name="No zero - percent 3 2 4" xfId="42357"/>
    <cellStyle name="No zero - percent 3 2 5" xfId="42358"/>
    <cellStyle name="No zero - percent 3 2 6" xfId="42359"/>
    <cellStyle name="No zero - percent 3 2 7" xfId="42360"/>
    <cellStyle name="No zero - percent 3 2 8" xfId="42361"/>
    <cellStyle name="No zero - percent 3 2 9" xfId="42362"/>
    <cellStyle name="No zero - percent 3 3" xfId="42363"/>
    <cellStyle name="No zero - percent 3 4" xfId="42364"/>
    <cellStyle name="No zero - percent 3 5" xfId="42365"/>
    <cellStyle name="No zero - percent 3 6" xfId="42366"/>
    <cellStyle name="No zero - percent 3 7" xfId="42367"/>
    <cellStyle name="No zero - percent 3 8" xfId="42368"/>
    <cellStyle name="No zero - percent 3 9" xfId="42369"/>
    <cellStyle name="No zero - percent 4" xfId="42370"/>
    <cellStyle name="No zero - percent 4 10" xfId="42371"/>
    <cellStyle name="No zero - percent 4 11" xfId="42372"/>
    <cellStyle name="No zero - percent 4 12" xfId="42373"/>
    <cellStyle name="No zero - percent 4 13" xfId="42374"/>
    <cellStyle name="No zero - percent 4 14" xfId="42375"/>
    <cellStyle name="No zero - percent 4 15" xfId="42376"/>
    <cellStyle name="No zero - percent 4 16" xfId="42377"/>
    <cellStyle name="No zero - percent 4 17" xfId="42378"/>
    <cellStyle name="No zero - percent 4 18" xfId="42379"/>
    <cellStyle name="No zero - percent 4 2" xfId="42380"/>
    <cellStyle name="No zero - percent 4 2 2" xfId="42381"/>
    <cellStyle name="No zero - percent 4 2 3" xfId="42382"/>
    <cellStyle name="No zero - percent 4 2 4" xfId="42383"/>
    <cellStyle name="No zero - percent 4 2 5" xfId="42384"/>
    <cellStyle name="No zero - percent 4 2 6" xfId="42385"/>
    <cellStyle name="No zero - percent 4 2 7" xfId="42386"/>
    <cellStyle name="No zero - percent 4 2 8" xfId="42387"/>
    <cellStyle name="No zero - percent 4 2 9" xfId="42388"/>
    <cellStyle name="No zero - percent 4 3" xfId="42389"/>
    <cellStyle name="No zero - percent 4 4" xfId="42390"/>
    <cellStyle name="No zero - percent 4 5" xfId="42391"/>
    <cellStyle name="No zero - percent 4 6" xfId="42392"/>
    <cellStyle name="No zero - percent 4 7" xfId="42393"/>
    <cellStyle name="No zero - percent 4 8" xfId="42394"/>
    <cellStyle name="No zero - percent 4 9" xfId="42395"/>
    <cellStyle name="No zero - percent 5" xfId="42396"/>
    <cellStyle name="No zero - percent 5 2" xfId="42397"/>
    <cellStyle name="No zero - percent 5 3" xfId="42398"/>
    <cellStyle name="No zero - percent 6" xfId="42399"/>
    <cellStyle name="nopl_WCP.XLS" xfId="42400"/>
    <cellStyle name="Norma11l" xfId="42401"/>
    <cellStyle name="normal" xfId="42402"/>
    <cellStyle name="Normal - Style1" xfId="42403"/>
    <cellStyle name="Normal - Style1 2" xfId="42404"/>
    <cellStyle name="Normal - Style1 3" xfId="42405"/>
    <cellStyle name="Normal - Style1 4" xfId="42406"/>
    <cellStyle name="Normal 2" xfId="42407"/>
    <cellStyle name="Normal 2 2" xfId="42408"/>
    <cellStyle name="Normal 2 3" xfId="42409"/>
    <cellStyle name="Normal 3" xfId="42410"/>
    <cellStyle name="Normal 3 2" xfId="42411"/>
    <cellStyle name="Normal 4" xfId="42412"/>
    <cellStyle name="Normal_#10-Headcount" xfId="42413"/>
    <cellStyle name="Normal2" xfId="42414"/>
    <cellStyle name="Normale_Amm AR IT" xfId="42415"/>
    <cellStyle name="NormalGB" xfId="42416"/>
    <cellStyle name="Normalny_Eksport 2000 - F" xfId="42417"/>
    <cellStyle name="normalPercent" xfId="42418"/>
    <cellStyle name="normбlnм_laroux" xfId="42419"/>
    <cellStyle name="Note" xfId="42420"/>
    <cellStyle name="Note 10" xfId="42421"/>
    <cellStyle name="Note 10 10" xfId="42422"/>
    <cellStyle name="Note 10 11" xfId="42423"/>
    <cellStyle name="Note 10 12" xfId="42424"/>
    <cellStyle name="Note 10 13" xfId="42425"/>
    <cellStyle name="Note 10 14" xfId="42426"/>
    <cellStyle name="Note 10 15" xfId="42427"/>
    <cellStyle name="Note 10 16" xfId="42428"/>
    <cellStyle name="Note 10 17" xfId="42429"/>
    <cellStyle name="Note 10 18" xfId="42430"/>
    <cellStyle name="Note 10 2" xfId="42431"/>
    <cellStyle name="Note 10 2 2" xfId="42432"/>
    <cellStyle name="Note 10 2 3" xfId="42433"/>
    <cellStyle name="Note 10 2 4" xfId="42434"/>
    <cellStyle name="Note 10 2 5" xfId="42435"/>
    <cellStyle name="Note 10 2 6" xfId="42436"/>
    <cellStyle name="Note 10 2 7" xfId="42437"/>
    <cellStyle name="Note 10 2 8" xfId="42438"/>
    <cellStyle name="Note 10 2 9" xfId="42439"/>
    <cellStyle name="Note 10 3" xfId="42440"/>
    <cellStyle name="Note 10 4" xfId="42441"/>
    <cellStyle name="Note 10 5" xfId="42442"/>
    <cellStyle name="Note 10 6" xfId="42443"/>
    <cellStyle name="Note 10 7" xfId="42444"/>
    <cellStyle name="Note 10 8" xfId="42445"/>
    <cellStyle name="Note 10 9" xfId="42446"/>
    <cellStyle name="Note 11" xfId="42447"/>
    <cellStyle name="Note 12" xfId="42448"/>
    <cellStyle name="Note 13" xfId="42449"/>
    <cellStyle name="Note 14" xfId="42450"/>
    <cellStyle name="Note 15" xfId="42451"/>
    <cellStyle name="Note 16" xfId="42452"/>
    <cellStyle name="Note 17" xfId="42453"/>
    <cellStyle name="Note 18" xfId="42454"/>
    <cellStyle name="Note 19" xfId="42455"/>
    <cellStyle name="Note 2" xfId="42456"/>
    <cellStyle name="Note 2 10" xfId="42457"/>
    <cellStyle name="Note 2 10 10" xfId="42458"/>
    <cellStyle name="Note 2 10 11" xfId="42459"/>
    <cellStyle name="Note 2 10 12" xfId="42460"/>
    <cellStyle name="Note 2 10 13" xfId="42461"/>
    <cellStyle name="Note 2 10 14" xfId="42462"/>
    <cellStyle name="Note 2 10 15" xfId="42463"/>
    <cellStyle name="Note 2 10 16" xfId="42464"/>
    <cellStyle name="Note 2 10 17" xfId="42465"/>
    <cellStyle name="Note 2 10 18" xfId="42466"/>
    <cellStyle name="Note 2 10 19" xfId="42467"/>
    <cellStyle name="Note 2 10 2" xfId="42468"/>
    <cellStyle name="Note 2 10 2 2" xfId="42469"/>
    <cellStyle name="Note 2 10 2 3" xfId="42470"/>
    <cellStyle name="Note 2 10 2 4" xfId="42471"/>
    <cellStyle name="Note 2 10 2 5" xfId="42472"/>
    <cellStyle name="Note 2 10 2 6" xfId="42473"/>
    <cellStyle name="Note 2 10 2 7" xfId="42474"/>
    <cellStyle name="Note 2 10 2 8" xfId="42475"/>
    <cellStyle name="Note 2 10 2 9" xfId="42476"/>
    <cellStyle name="Note 2 10 3" xfId="42477"/>
    <cellStyle name="Note 2 10 4" xfId="42478"/>
    <cellStyle name="Note 2 10 5" xfId="42479"/>
    <cellStyle name="Note 2 10 6" xfId="42480"/>
    <cellStyle name="Note 2 10 7" xfId="42481"/>
    <cellStyle name="Note 2 10 8" xfId="42482"/>
    <cellStyle name="Note 2 10 9" xfId="42483"/>
    <cellStyle name="Note 2 11" xfId="42484"/>
    <cellStyle name="Note 2 11 10" xfId="42485"/>
    <cellStyle name="Note 2 11 11" xfId="42486"/>
    <cellStyle name="Note 2 11 12" xfId="42487"/>
    <cellStyle name="Note 2 11 13" xfId="42488"/>
    <cellStyle name="Note 2 11 14" xfId="42489"/>
    <cellStyle name="Note 2 11 15" xfId="42490"/>
    <cellStyle name="Note 2 11 16" xfId="42491"/>
    <cellStyle name="Note 2 11 17" xfId="42492"/>
    <cellStyle name="Note 2 11 18" xfId="42493"/>
    <cellStyle name="Note 2 11 2" xfId="42494"/>
    <cellStyle name="Note 2 11 2 2" xfId="42495"/>
    <cellStyle name="Note 2 11 2 3" xfId="42496"/>
    <cellStyle name="Note 2 11 2 4" xfId="42497"/>
    <cellStyle name="Note 2 11 2 5" xfId="42498"/>
    <cellStyle name="Note 2 11 2 6" xfId="42499"/>
    <cellStyle name="Note 2 11 2 7" xfId="42500"/>
    <cellStyle name="Note 2 11 2 8" xfId="42501"/>
    <cellStyle name="Note 2 11 2 9" xfId="42502"/>
    <cellStyle name="Note 2 11 3" xfId="42503"/>
    <cellStyle name="Note 2 11 4" xfId="42504"/>
    <cellStyle name="Note 2 11 5" xfId="42505"/>
    <cellStyle name="Note 2 11 6" xfId="42506"/>
    <cellStyle name="Note 2 11 7" xfId="42507"/>
    <cellStyle name="Note 2 11 8" xfId="42508"/>
    <cellStyle name="Note 2 11 9" xfId="42509"/>
    <cellStyle name="Note 2 12" xfId="42510"/>
    <cellStyle name="Note 2 12 10" xfId="42511"/>
    <cellStyle name="Note 2 12 11" xfId="42512"/>
    <cellStyle name="Note 2 12 12" xfId="42513"/>
    <cellStyle name="Note 2 12 13" xfId="42514"/>
    <cellStyle name="Note 2 12 14" xfId="42515"/>
    <cellStyle name="Note 2 12 15" xfId="42516"/>
    <cellStyle name="Note 2 12 16" xfId="42517"/>
    <cellStyle name="Note 2 12 17" xfId="42518"/>
    <cellStyle name="Note 2 12 18" xfId="42519"/>
    <cellStyle name="Note 2 12 19" xfId="42520"/>
    <cellStyle name="Note 2 12 2" xfId="42521"/>
    <cellStyle name="Note 2 12 2 2" xfId="42522"/>
    <cellStyle name="Note 2 12 2 3" xfId="42523"/>
    <cellStyle name="Note 2 12 2 4" xfId="42524"/>
    <cellStyle name="Note 2 12 2 5" xfId="42525"/>
    <cellStyle name="Note 2 12 2 6" xfId="42526"/>
    <cellStyle name="Note 2 12 2 7" xfId="42527"/>
    <cellStyle name="Note 2 12 2 8" xfId="42528"/>
    <cellStyle name="Note 2 12 2 9" xfId="42529"/>
    <cellStyle name="Note 2 12 3" xfId="42530"/>
    <cellStyle name="Note 2 12 4" xfId="42531"/>
    <cellStyle name="Note 2 12 5" xfId="42532"/>
    <cellStyle name="Note 2 12 6" xfId="42533"/>
    <cellStyle name="Note 2 12 7" xfId="42534"/>
    <cellStyle name="Note 2 12 8" xfId="42535"/>
    <cellStyle name="Note 2 12 9" xfId="42536"/>
    <cellStyle name="Note 2 13" xfId="42537"/>
    <cellStyle name="Note 2 2" xfId="42538"/>
    <cellStyle name="Note 2 2 2" xfId="42539"/>
    <cellStyle name="Note 2 2 2 2" xfId="42540"/>
    <cellStyle name="Note 2 2 2 2 10" xfId="42541"/>
    <cellStyle name="Note 2 2 2 2 11" xfId="42542"/>
    <cellStyle name="Note 2 2 2 2 12" xfId="42543"/>
    <cellStyle name="Note 2 2 2 2 13" xfId="42544"/>
    <cellStyle name="Note 2 2 2 2 14" xfId="42545"/>
    <cellStyle name="Note 2 2 2 2 15" xfId="42546"/>
    <cellStyle name="Note 2 2 2 2 16" xfId="42547"/>
    <cellStyle name="Note 2 2 2 2 17" xfId="42548"/>
    <cellStyle name="Note 2 2 2 2 18" xfId="42549"/>
    <cellStyle name="Note 2 2 2 2 19" xfId="42550"/>
    <cellStyle name="Note 2 2 2 2 2" xfId="42551"/>
    <cellStyle name="Note 2 2 2 2 2 2" xfId="42552"/>
    <cellStyle name="Note 2 2 2 2 2 3" xfId="42553"/>
    <cellStyle name="Note 2 2 2 2 2 4" xfId="42554"/>
    <cellStyle name="Note 2 2 2 2 2 5" xfId="42555"/>
    <cellStyle name="Note 2 2 2 2 2 6" xfId="42556"/>
    <cellStyle name="Note 2 2 2 2 2 7" xfId="42557"/>
    <cellStyle name="Note 2 2 2 2 2 8" xfId="42558"/>
    <cellStyle name="Note 2 2 2 2 2 9" xfId="42559"/>
    <cellStyle name="Note 2 2 2 2 3" xfId="42560"/>
    <cellStyle name="Note 2 2 2 2 4" xfId="42561"/>
    <cellStyle name="Note 2 2 2 2 5" xfId="42562"/>
    <cellStyle name="Note 2 2 2 2 6" xfId="42563"/>
    <cellStyle name="Note 2 2 2 2 7" xfId="42564"/>
    <cellStyle name="Note 2 2 2 2 8" xfId="42565"/>
    <cellStyle name="Note 2 2 2 2 9" xfId="42566"/>
    <cellStyle name="Note 2 2 2 3" xfId="42567"/>
    <cellStyle name="Note 2 2 2 3 10" xfId="42568"/>
    <cellStyle name="Note 2 2 2 3 11" xfId="42569"/>
    <cellStyle name="Note 2 2 2 3 12" xfId="42570"/>
    <cellStyle name="Note 2 2 2 3 13" xfId="42571"/>
    <cellStyle name="Note 2 2 2 3 14" xfId="42572"/>
    <cellStyle name="Note 2 2 2 3 15" xfId="42573"/>
    <cellStyle name="Note 2 2 2 3 16" xfId="42574"/>
    <cellStyle name="Note 2 2 2 3 17" xfId="42575"/>
    <cellStyle name="Note 2 2 2 3 18" xfId="42576"/>
    <cellStyle name="Note 2 2 2 3 2" xfId="42577"/>
    <cellStyle name="Note 2 2 2 3 2 2" xfId="42578"/>
    <cellStyle name="Note 2 2 2 3 2 3" xfId="42579"/>
    <cellStyle name="Note 2 2 2 3 2 4" xfId="42580"/>
    <cellStyle name="Note 2 2 2 3 2 5" xfId="42581"/>
    <cellStyle name="Note 2 2 2 3 2 6" xfId="42582"/>
    <cellStyle name="Note 2 2 2 3 2 7" xfId="42583"/>
    <cellStyle name="Note 2 2 2 3 2 8" xfId="42584"/>
    <cellStyle name="Note 2 2 2 3 2 9" xfId="42585"/>
    <cellStyle name="Note 2 2 2 3 3" xfId="42586"/>
    <cellStyle name="Note 2 2 2 3 4" xfId="42587"/>
    <cellStyle name="Note 2 2 2 3 5" xfId="42588"/>
    <cellStyle name="Note 2 2 2 3 6" xfId="42589"/>
    <cellStyle name="Note 2 2 2 3 7" xfId="42590"/>
    <cellStyle name="Note 2 2 2 3 8" xfId="42591"/>
    <cellStyle name="Note 2 2 2 3 9" xfId="42592"/>
    <cellStyle name="Note 2 2 2 4" xfId="42593"/>
    <cellStyle name="Note 2 2 2 4 10" xfId="42594"/>
    <cellStyle name="Note 2 2 2 4 11" xfId="42595"/>
    <cellStyle name="Note 2 2 2 4 12" xfId="42596"/>
    <cellStyle name="Note 2 2 2 4 13" xfId="42597"/>
    <cellStyle name="Note 2 2 2 4 14" xfId="42598"/>
    <cellStyle name="Note 2 2 2 4 15" xfId="42599"/>
    <cellStyle name="Note 2 2 2 4 16" xfId="42600"/>
    <cellStyle name="Note 2 2 2 4 17" xfId="42601"/>
    <cellStyle name="Note 2 2 2 4 18" xfId="42602"/>
    <cellStyle name="Note 2 2 2 4 19" xfId="42603"/>
    <cellStyle name="Note 2 2 2 4 2" xfId="42604"/>
    <cellStyle name="Note 2 2 2 4 2 2" xfId="42605"/>
    <cellStyle name="Note 2 2 2 4 2 3" xfId="42606"/>
    <cellStyle name="Note 2 2 2 4 2 4" xfId="42607"/>
    <cellStyle name="Note 2 2 2 4 2 5" xfId="42608"/>
    <cellStyle name="Note 2 2 2 4 2 6" xfId="42609"/>
    <cellStyle name="Note 2 2 2 4 2 7" xfId="42610"/>
    <cellStyle name="Note 2 2 2 4 2 8" xfId="42611"/>
    <cellStyle name="Note 2 2 2 4 2 9" xfId="42612"/>
    <cellStyle name="Note 2 2 2 4 3" xfId="42613"/>
    <cellStyle name="Note 2 2 2 4 4" xfId="42614"/>
    <cellStyle name="Note 2 2 2 4 5" xfId="42615"/>
    <cellStyle name="Note 2 2 2 4 6" xfId="42616"/>
    <cellStyle name="Note 2 2 2 4 7" xfId="42617"/>
    <cellStyle name="Note 2 2 2 4 8" xfId="42618"/>
    <cellStyle name="Note 2 2 2 4 9" xfId="42619"/>
    <cellStyle name="Note 2 2 2 5" xfId="42620"/>
    <cellStyle name="Note 2 2 3" xfId="42621"/>
    <cellStyle name="Note 2 2 3 2" xfId="42622"/>
    <cellStyle name="Note 2 2 3 2 10" xfId="42623"/>
    <cellStyle name="Note 2 2 3 2 11" xfId="42624"/>
    <cellStyle name="Note 2 2 3 2 12" xfId="42625"/>
    <cellStyle name="Note 2 2 3 2 13" xfId="42626"/>
    <cellStyle name="Note 2 2 3 2 14" xfId="42627"/>
    <cellStyle name="Note 2 2 3 2 15" xfId="42628"/>
    <cellStyle name="Note 2 2 3 2 16" xfId="42629"/>
    <cellStyle name="Note 2 2 3 2 17" xfId="42630"/>
    <cellStyle name="Note 2 2 3 2 18" xfId="42631"/>
    <cellStyle name="Note 2 2 3 2 19" xfId="42632"/>
    <cellStyle name="Note 2 2 3 2 2" xfId="42633"/>
    <cellStyle name="Note 2 2 3 2 2 2" xfId="42634"/>
    <cellStyle name="Note 2 2 3 2 2 3" xfId="42635"/>
    <cellStyle name="Note 2 2 3 2 2 4" xfId="42636"/>
    <cellStyle name="Note 2 2 3 2 2 5" xfId="42637"/>
    <cellStyle name="Note 2 2 3 2 2 6" xfId="42638"/>
    <cellStyle name="Note 2 2 3 2 2 7" xfId="42639"/>
    <cellStyle name="Note 2 2 3 2 2 8" xfId="42640"/>
    <cellStyle name="Note 2 2 3 2 2 9" xfId="42641"/>
    <cellStyle name="Note 2 2 3 2 3" xfId="42642"/>
    <cellStyle name="Note 2 2 3 2 4" xfId="42643"/>
    <cellStyle name="Note 2 2 3 2 5" xfId="42644"/>
    <cellStyle name="Note 2 2 3 2 6" xfId="42645"/>
    <cellStyle name="Note 2 2 3 2 7" xfId="42646"/>
    <cellStyle name="Note 2 2 3 2 8" xfId="42647"/>
    <cellStyle name="Note 2 2 3 2 9" xfId="42648"/>
    <cellStyle name="Note 2 2 3 3" xfId="42649"/>
    <cellStyle name="Note 2 2 3 3 10" xfId="42650"/>
    <cellStyle name="Note 2 2 3 3 11" xfId="42651"/>
    <cellStyle name="Note 2 2 3 3 12" xfId="42652"/>
    <cellStyle name="Note 2 2 3 3 13" xfId="42653"/>
    <cellStyle name="Note 2 2 3 3 14" xfId="42654"/>
    <cellStyle name="Note 2 2 3 3 15" xfId="42655"/>
    <cellStyle name="Note 2 2 3 3 16" xfId="42656"/>
    <cellStyle name="Note 2 2 3 3 17" xfId="42657"/>
    <cellStyle name="Note 2 2 3 3 18" xfId="42658"/>
    <cellStyle name="Note 2 2 3 3 2" xfId="42659"/>
    <cellStyle name="Note 2 2 3 3 2 2" xfId="42660"/>
    <cellStyle name="Note 2 2 3 3 2 3" xfId="42661"/>
    <cellStyle name="Note 2 2 3 3 2 4" xfId="42662"/>
    <cellStyle name="Note 2 2 3 3 2 5" xfId="42663"/>
    <cellStyle name="Note 2 2 3 3 2 6" xfId="42664"/>
    <cellStyle name="Note 2 2 3 3 2 7" xfId="42665"/>
    <cellStyle name="Note 2 2 3 3 2 8" xfId="42666"/>
    <cellStyle name="Note 2 2 3 3 2 9" xfId="42667"/>
    <cellStyle name="Note 2 2 3 3 3" xfId="42668"/>
    <cellStyle name="Note 2 2 3 3 4" xfId="42669"/>
    <cellStyle name="Note 2 2 3 3 5" xfId="42670"/>
    <cellStyle name="Note 2 2 3 3 6" xfId="42671"/>
    <cellStyle name="Note 2 2 3 3 7" xfId="42672"/>
    <cellStyle name="Note 2 2 3 3 8" xfId="42673"/>
    <cellStyle name="Note 2 2 3 3 9" xfId="42674"/>
    <cellStyle name="Note 2 2 3 4" xfId="42675"/>
    <cellStyle name="Note 2 2 3 4 10" xfId="42676"/>
    <cellStyle name="Note 2 2 3 4 11" xfId="42677"/>
    <cellStyle name="Note 2 2 3 4 12" xfId="42678"/>
    <cellStyle name="Note 2 2 3 4 13" xfId="42679"/>
    <cellStyle name="Note 2 2 3 4 14" xfId="42680"/>
    <cellStyle name="Note 2 2 3 4 15" xfId="42681"/>
    <cellStyle name="Note 2 2 3 4 16" xfId="42682"/>
    <cellStyle name="Note 2 2 3 4 17" xfId="42683"/>
    <cellStyle name="Note 2 2 3 4 18" xfId="42684"/>
    <cellStyle name="Note 2 2 3 4 19" xfId="42685"/>
    <cellStyle name="Note 2 2 3 4 2" xfId="42686"/>
    <cellStyle name="Note 2 2 3 4 2 2" xfId="42687"/>
    <cellStyle name="Note 2 2 3 4 2 3" xfId="42688"/>
    <cellStyle name="Note 2 2 3 4 2 4" xfId="42689"/>
    <cellStyle name="Note 2 2 3 4 2 5" xfId="42690"/>
    <cellStyle name="Note 2 2 3 4 2 6" xfId="42691"/>
    <cellStyle name="Note 2 2 3 4 2 7" xfId="42692"/>
    <cellStyle name="Note 2 2 3 4 2 8" xfId="42693"/>
    <cellStyle name="Note 2 2 3 4 2 9" xfId="42694"/>
    <cellStyle name="Note 2 2 3 4 3" xfId="42695"/>
    <cellStyle name="Note 2 2 3 4 4" xfId="42696"/>
    <cellStyle name="Note 2 2 3 4 5" xfId="42697"/>
    <cellStyle name="Note 2 2 3 4 6" xfId="42698"/>
    <cellStyle name="Note 2 2 3 4 7" xfId="42699"/>
    <cellStyle name="Note 2 2 3 4 8" xfId="42700"/>
    <cellStyle name="Note 2 2 3 4 9" xfId="42701"/>
    <cellStyle name="Note 2 2 3 5" xfId="42702"/>
    <cellStyle name="Note 2 2 4" xfId="42703"/>
    <cellStyle name="Note 2 2 4 10" xfId="42704"/>
    <cellStyle name="Note 2 2 4 11" xfId="42705"/>
    <cellStyle name="Note 2 2 4 12" xfId="42706"/>
    <cellStyle name="Note 2 2 4 13" xfId="42707"/>
    <cellStyle name="Note 2 2 4 14" xfId="42708"/>
    <cellStyle name="Note 2 2 4 15" xfId="42709"/>
    <cellStyle name="Note 2 2 4 16" xfId="42710"/>
    <cellStyle name="Note 2 2 4 17" xfId="42711"/>
    <cellStyle name="Note 2 2 4 18" xfId="42712"/>
    <cellStyle name="Note 2 2 4 19" xfId="42713"/>
    <cellStyle name="Note 2 2 4 2" xfId="42714"/>
    <cellStyle name="Note 2 2 4 2 2" xfId="42715"/>
    <cellStyle name="Note 2 2 4 2 3" xfId="42716"/>
    <cellStyle name="Note 2 2 4 2 4" xfId="42717"/>
    <cellStyle name="Note 2 2 4 2 5" xfId="42718"/>
    <cellStyle name="Note 2 2 4 2 6" xfId="42719"/>
    <cellStyle name="Note 2 2 4 2 7" xfId="42720"/>
    <cellStyle name="Note 2 2 4 2 8" xfId="42721"/>
    <cellStyle name="Note 2 2 4 2 9" xfId="42722"/>
    <cellStyle name="Note 2 2 4 3" xfId="42723"/>
    <cellStyle name="Note 2 2 4 4" xfId="42724"/>
    <cellStyle name="Note 2 2 4 5" xfId="42725"/>
    <cellStyle name="Note 2 2 4 6" xfId="42726"/>
    <cellStyle name="Note 2 2 4 7" xfId="42727"/>
    <cellStyle name="Note 2 2 4 8" xfId="42728"/>
    <cellStyle name="Note 2 2 4 9" xfId="42729"/>
    <cellStyle name="Note 2 2 5" xfId="42730"/>
    <cellStyle name="Note 2 2 5 10" xfId="42731"/>
    <cellStyle name="Note 2 2 5 11" xfId="42732"/>
    <cellStyle name="Note 2 2 5 12" xfId="42733"/>
    <cellStyle name="Note 2 2 5 13" xfId="42734"/>
    <cellStyle name="Note 2 2 5 14" xfId="42735"/>
    <cellStyle name="Note 2 2 5 15" xfId="42736"/>
    <cellStyle name="Note 2 2 5 16" xfId="42737"/>
    <cellStyle name="Note 2 2 5 17" xfId="42738"/>
    <cellStyle name="Note 2 2 5 18" xfId="42739"/>
    <cellStyle name="Note 2 2 5 2" xfId="42740"/>
    <cellStyle name="Note 2 2 5 2 2" xfId="42741"/>
    <cellStyle name="Note 2 2 5 2 3" xfId="42742"/>
    <cellStyle name="Note 2 2 5 2 4" xfId="42743"/>
    <cellStyle name="Note 2 2 5 2 5" xfId="42744"/>
    <cellStyle name="Note 2 2 5 2 6" xfId="42745"/>
    <cellStyle name="Note 2 2 5 2 7" xfId="42746"/>
    <cellStyle name="Note 2 2 5 2 8" xfId="42747"/>
    <cellStyle name="Note 2 2 5 2 9" xfId="42748"/>
    <cellStyle name="Note 2 2 5 3" xfId="42749"/>
    <cellStyle name="Note 2 2 5 4" xfId="42750"/>
    <cellStyle name="Note 2 2 5 5" xfId="42751"/>
    <cellStyle name="Note 2 2 5 6" xfId="42752"/>
    <cellStyle name="Note 2 2 5 7" xfId="42753"/>
    <cellStyle name="Note 2 2 5 8" xfId="42754"/>
    <cellStyle name="Note 2 2 5 9" xfId="42755"/>
    <cellStyle name="Note 2 2 6" xfId="42756"/>
    <cellStyle name="Note 2 2 6 10" xfId="42757"/>
    <cellStyle name="Note 2 2 6 11" xfId="42758"/>
    <cellStyle name="Note 2 2 6 12" xfId="42759"/>
    <cellStyle name="Note 2 2 6 13" xfId="42760"/>
    <cellStyle name="Note 2 2 6 14" xfId="42761"/>
    <cellStyle name="Note 2 2 6 15" xfId="42762"/>
    <cellStyle name="Note 2 2 6 16" xfId="42763"/>
    <cellStyle name="Note 2 2 6 17" xfId="42764"/>
    <cellStyle name="Note 2 2 6 18" xfId="42765"/>
    <cellStyle name="Note 2 2 6 19" xfId="42766"/>
    <cellStyle name="Note 2 2 6 2" xfId="42767"/>
    <cellStyle name="Note 2 2 6 2 2" xfId="42768"/>
    <cellStyle name="Note 2 2 6 2 3" xfId="42769"/>
    <cellStyle name="Note 2 2 6 2 4" xfId="42770"/>
    <cellStyle name="Note 2 2 6 2 5" xfId="42771"/>
    <cellStyle name="Note 2 2 6 2 6" xfId="42772"/>
    <cellStyle name="Note 2 2 6 2 7" xfId="42773"/>
    <cellStyle name="Note 2 2 6 2 8" xfId="42774"/>
    <cellStyle name="Note 2 2 6 2 9" xfId="42775"/>
    <cellStyle name="Note 2 2 6 3" xfId="42776"/>
    <cellStyle name="Note 2 2 6 4" xfId="42777"/>
    <cellStyle name="Note 2 2 6 5" xfId="42778"/>
    <cellStyle name="Note 2 2 6 6" xfId="42779"/>
    <cellStyle name="Note 2 2 6 7" xfId="42780"/>
    <cellStyle name="Note 2 2 6 8" xfId="42781"/>
    <cellStyle name="Note 2 2 6 9" xfId="42782"/>
    <cellStyle name="Note 2 2 7" xfId="42783"/>
    <cellStyle name="Note 2 3" xfId="42784"/>
    <cellStyle name="Note 2 3 2" xfId="42785"/>
    <cellStyle name="Note 2 3 2 2" xfId="42786"/>
    <cellStyle name="Note 2 3 2 2 10" xfId="42787"/>
    <cellStyle name="Note 2 3 2 2 11" xfId="42788"/>
    <cellStyle name="Note 2 3 2 2 12" xfId="42789"/>
    <cellStyle name="Note 2 3 2 2 13" xfId="42790"/>
    <cellStyle name="Note 2 3 2 2 14" xfId="42791"/>
    <cellStyle name="Note 2 3 2 2 15" xfId="42792"/>
    <cellStyle name="Note 2 3 2 2 16" xfId="42793"/>
    <cellStyle name="Note 2 3 2 2 17" xfId="42794"/>
    <cellStyle name="Note 2 3 2 2 18" xfId="42795"/>
    <cellStyle name="Note 2 3 2 2 19" xfId="42796"/>
    <cellStyle name="Note 2 3 2 2 2" xfId="42797"/>
    <cellStyle name="Note 2 3 2 2 2 2" xfId="42798"/>
    <cellStyle name="Note 2 3 2 2 2 3" xfId="42799"/>
    <cellStyle name="Note 2 3 2 2 2 4" xfId="42800"/>
    <cellStyle name="Note 2 3 2 2 2 5" xfId="42801"/>
    <cellStyle name="Note 2 3 2 2 2 6" xfId="42802"/>
    <cellStyle name="Note 2 3 2 2 2 7" xfId="42803"/>
    <cellStyle name="Note 2 3 2 2 2 8" xfId="42804"/>
    <cellStyle name="Note 2 3 2 2 2 9" xfId="42805"/>
    <cellStyle name="Note 2 3 2 2 3" xfId="42806"/>
    <cellStyle name="Note 2 3 2 2 4" xfId="42807"/>
    <cellStyle name="Note 2 3 2 2 5" xfId="42808"/>
    <cellStyle name="Note 2 3 2 2 6" xfId="42809"/>
    <cellStyle name="Note 2 3 2 2 7" xfId="42810"/>
    <cellStyle name="Note 2 3 2 2 8" xfId="42811"/>
    <cellStyle name="Note 2 3 2 2 9" xfId="42812"/>
    <cellStyle name="Note 2 3 2 3" xfId="42813"/>
    <cellStyle name="Note 2 3 2 3 10" xfId="42814"/>
    <cellStyle name="Note 2 3 2 3 11" xfId="42815"/>
    <cellStyle name="Note 2 3 2 3 12" xfId="42816"/>
    <cellStyle name="Note 2 3 2 3 13" xfId="42817"/>
    <cellStyle name="Note 2 3 2 3 14" xfId="42818"/>
    <cellStyle name="Note 2 3 2 3 15" xfId="42819"/>
    <cellStyle name="Note 2 3 2 3 16" xfId="42820"/>
    <cellStyle name="Note 2 3 2 3 17" xfId="42821"/>
    <cellStyle name="Note 2 3 2 3 18" xfId="42822"/>
    <cellStyle name="Note 2 3 2 3 2" xfId="42823"/>
    <cellStyle name="Note 2 3 2 3 2 2" xfId="42824"/>
    <cellStyle name="Note 2 3 2 3 2 3" xfId="42825"/>
    <cellStyle name="Note 2 3 2 3 2 4" xfId="42826"/>
    <cellStyle name="Note 2 3 2 3 2 5" xfId="42827"/>
    <cellStyle name="Note 2 3 2 3 2 6" xfId="42828"/>
    <cellStyle name="Note 2 3 2 3 2 7" xfId="42829"/>
    <cellStyle name="Note 2 3 2 3 2 8" xfId="42830"/>
    <cellStyle name="Note 2 3 2 3 2 9" xfId="42831"/>
    <cellStyle name="Note 2 3 2 3 3" xfId="42832"/>
    <cellStyle name="Note 2 3 2 3 4" xfId="42833"/>
    <cellStyle name="Note 2 3 2 3 5" xfId="42834"/>
    <cellStyle name="Note 2 3 2 3 6" xfId="42835"/>
    <cellStyle name="Note 2 3 2 3 7" xfId="42836"/>
    <cellStyle name="Note 2 3 2 3 8" xfId="42837"/>
    <cellStyle name="Note 2 3 2 3 9" xfId="42838"/>
    <cellStyle name="Note 2 3 2 4" xfId="42839"/>
    <cellStyle name="Note 2 3 2 4 10" xfId="42840"/>
    <cellStyle name="Note 2 3 2 4 11" xfId="42841"/>
    <cellStyle name="Note 2 3 2 4 12" xfId="42842"/>
    <cellStyle name="Note 2 3 2 4 13" xfId="42843"/>
    <cellStyle name="Note 2 3 2 4 14" xfId="42844"/>
    <cellStyle name="Note 2 3 2 4 15" xfId="42845"/>
    <cellStyle name="Note 2 3 2 4 16" xfId="42846"/>
    <cellStyle name="Note 2 3 2 4 17" xfId="42847"/>
    <cellStyle name="Note 2 3 2 4 18" xfId="42848"/>
    <cellStyle name="Note 2 3 2 4 19" xfId="42849"/>
    <cellStyle name="Note 2 3 2 4 2" xfId="42850"/>
    <cellStyle name="Note 2 3 2 4 2 2" xfId="42851"/>
    <cellStyle name="Note 2 3 2 4 2 3" xfId="42852"/>
    <cellStyle name="Note 2 3 2 4 2 4" xfId="42853"/>
    <cellStyle name="Note 2 3 2 4 2 5" xfId="42854"/>
    <cellStyle name="Note 2 3 2 4 2 6" xfId="42855"/>
    <cellStyle name="Note 2 3 2 4 2 7" xfId="42856"/>
    <cellStyle name="Note 2 3 2 4 2 8" xfId="42857"/>
    <cellStyle name="Note 2 3 2 4 2 9" xfId="42858"/>
    <cellStyle name="Note 2 3 2 4 3" xfId="42859"/>
    <cellStyle name="Note 2 3 2 4 4" xfId="42860"/>
    <cellStyle name="Note 2 3 2 4 5" xfId="42861"/>
    <cellStyle name="Note 2 3 2 4 6" xfId="42862"/>
    <cellStyle name="Note 2 3 2 4 7" xfId="42863"/>
    <cellStyle name="Note 2 3 2 4 8" xfId="42864"/>
    <cellStyle name="Note 2 3 2 4 9" xfId="42865"/>
    <cellStyle name="Note 2 3 2 5" xfId="42866"/>
    <cellStyle name="Note 2 3 3" xfId="42867"/>
    <cellStyle name="Note 2 3 3 2" xfId="42868"/>
    <cellStyle name="Note 2 3 3 2 10" xfId="42869"/>
    <cellStyle name="Note 2 3 3 2 11" xfId="42870"/>
    <cellStyle name="Note 2 3 3 2 12" xfId="42871"/>
    <cellStyle name="Note 2 3 3 2 13" xfId="42872"/>
    <cellStyle name="Note 2 3 3 2 14" xfId="42873"/>
    <cellStyle name="Note 2 3 3 2 15" xfId="42874"/>
    <cellStyle name="Note 2 3 3 2 16" xfId="42875"/>
    <cellStyle name="Note 2 3 3 2 17" xfId="42876"/>
    <cellStyle name="Note 2 3 3 2 18" xfId="42877"/>
    <cellStyle name="Note 2 3 3 2 19" xfId="42878"/>
    <cellStyle name="Note 2 3 3 2 2" xfId="42879"/>
    <cellStyle name="Note 2 3 3 2 2 2" xfId="42880"/>
    <cellStyle name="Note 2 3 3 2 2 3" xfId="42881"/>
    <cellStyle name="Note 2 3 3 2 2 4" xfId="42882"/>
    <cellStyle name="Note 2 3 3 2 2 5" xfId="42883"/>
    <cellStyle name="Note 2 3 3 2 2 6" xfId="42884"/>
    <cellStyle name="Note 2 3 3 2 2 7" xfId="42885"/>
    <cellStyle name="Note 2 3 3 2 2 8" xfId="42886"/>
    <cellStyle name="Note 2 3 3 2 2 9" xfId="42887"/>
    <cellStyle name="Note 2 3 3 2 3" xfId="42888"/>
    <cellStyle name="Note 2 3 3 2 4" xfId="42889"/>
    <cellStyle name="Note 2 3 3 2 5" xfId="42890"/>
    <cellStyle name="Note 2 3 3 2 6" xfId="42891"/>
    <cellStyle name="Note 2 3 3 2 7" xfId="42892"/>
    <cellStyle name="Note 2 3 3 2 8" xfId="42893"/>
    <cellStyle name="Note 2 3 3 2 9" xfId="42894"/>
    <cellStyle name="Note 2 3 3 3" xfId="42895"/>
    <cellStyle name="Note 2 3 3 3 10" xfId="42896"/>
    <cellStyle name="Note 2 3 3 3 11" xfId="42897"/>
    <cellStyle name="Note 2 3 3 3 12" xfId="42898"/>
    <cellStyle name="Note 2 3 3 3 13" xfId="42899"/>
    <cellStyle name="Note 2 3 3 3 14" xfId="42900"/>
    <cellStyle name="Note 2 3 3 3 15" xfId="42901"/>
    <cellStyle name="Note 2 3 3 3 16" xfId="42902"/>
    <cellStyle name="Note 2 3 3 3 17" xfId="42903"/>
    <cellStyle name="Note 2 3 3 3 18" xfId="42904"/>
    <cellStyle name="Note 2 3 3 3 2" xfId="42905"/>
    <cellStyle name="Note 2 3 3 3 2 2" xfId="42906"/>
    <cellStyle name="Note 2 3 3 3 2 3" xfId="42907"/>
    <cellStyle name="Note 2 3 3 3 2 4" xfId="42908"/>
    <cellStyle name="Note 2 3 3 3 2 5" xfId="42909"/>
    <cellStyle name="Note 2 3 3 3 2 6" xfId="42910"/>
    <cellStyle name="Note 2 3 3 3 2 7" xfId="42911"/>
    <cellStyle name="Note 2 3 3 3 2 8" xfId="42912"/>
    <cellStyle name="Note 2 3 3 3 2 9" xfId="42913"/>
    <cellStyle name="Note 2 3 3 3 3" xfId="42914"/>
    <cellStyle name="Note 2 3 3 3 4" xfId="42915"/>
    <cellStyle name="Note 2 3 3 3 5" xfId="42916"/>
    <cellStyle name="Note 2 3 3 3 6" xfId="42917"/>
    <cellStyle name="Note 2 3 3 3 7" xfId="42918"/>
    <cellStyle name="Note 2 3 3 3 8" xfId="42919"/>
    <cellStyle name="Note 2 3 3 3 9" xfId="42920"/>
    <cellStyle name="Note 2 3 3 4" xfId="42921"/>
    <cellStyle name="Note 2 3 3 4 10" xfId="42922"/>
    <cellStyle name="Note 2 3 3 4 11" xfId="42923"/>
    <cellStyle name="Note 2 3 3 4 12" xfId="42924"/>
    <cellStyle name="Note 2 3 3 4 13" xfId="42925"/>
    <cellStyle name="Note 2 3 3 4 14" xfId="42926"/>
    <cellStyle name="Note 2 3 3 4 15" xfId="42927"/>
    <cellStyle name="Note 2 3 3 4 16" xfId="42928"/>
    <cellStyle name="Note 2 3 3 4 17" xfId="42929"/>
    <cellStyle name="Note 2 3 3 4 18" xfId="42930"/>
    <cellStyle name="Note 2 3 3 4 19" xfId="42931"/>
    <cellStyle name="Note 2 3 3 4 2" xfId="42932"/>
    <cellStyle name="Note 2 3 3 4 2 2" xfId="42933"/>
    <cellStyle name="Note 2 3 3 4 2 3" xfId="42934"/>
    <cellStyle name="Note 2 3 3 4 2 4" xfId="42935"/>
    <cellStyle name="Note 2 3 3 4 2 5" xfId="42936"/>
    <cellStyle name="Note 2 3 3 4 2 6" xfId="42937"/>
    <cellStyle name="Note 2 3 3 4 2 7" xfId="42938"/>
    <cellStyle name="Note 2 3 3 4 2 8" xfId="42939"/>
    <cellStyle name="Note 2 3 3 4 2 9" xfId="42940"/>
    <cellStyle name="Note 2 3 3 4 3" xfId="42941"/>
    <cellStyle name="Note 2 3 3 4 4" xfId="42942"/>
    <cellStyle name="Note 2 3 3 4 5" xfId="42943"/>
    <cellStyle name="Note 2 3 3 4 6" xfId="42944"/>
    <cellStyle name="Note 2 3 3 4 7" xfId="42945"/>
    <cellStyle name="Note 2 3 3 4 8" xfId="42946"/>
    <cellStyle name="Note 2 3 3 4 9" xfId="42947"/>
    <cellStyle name="Note 2 3 3 5" xfId="42948"/>
    <cellStyle name="Note 2 3 4" xfId="42949"/>
    <cellStyle name="Note 2 3 4 10" xfId="42950"/>
    <cellStyle name="Note 2 3 4 11" xfId="42951"/>
    <cellStyle name="Note 2 3 4 12" xfId="42952"/>
    <cellStyle name="Note 2 3 4 13" xfId="42953"/>
    <cellStyle name="Note 2 3 4 14" xfId="42954"/>
    <cellStyle name="Note 2 3 4 15" xfId="42955"/>
    <cellStyle name="Note 2 3 4 16" xfId="42956"/>
    <cellStyle name="Note 2 3 4 17" xfId="42957"/>
    <cellStyle name="Note 2 3 4 18" xfId="42958"/>
    <cellStyle name="Note 2 3 4 19" xfId="42959"/>
    <cellStyle name="Note 2 3 4 2" xfId="42960"/>
    <cellStyle name="Note 2 3 4 2 2" xfId="42961"/>
    <cellStyle name="Note 2 3 4 2 3" xfId="42962"/>
    <cellStyle name="Note 2 3 4 2 4" xfId="42963"/>
    <cellStyle name="Note 2 3 4 2 5" xfId="42964"/>
    <cellStyle name="Note 2 3 4 2 6" xfId="42965"/>
    <cellStyle name="Note 2 3 4 2 7" xfId="42966"/>
    <cellStyle name="Note 2 3 4 2 8" xfId="42967"/>
    <cellStyle name="Note 2 3 4 2 9" xfId="42968"/>
    <cellStyle name="Note 2 3 4 3" xfId="42969"/>
    <cellStyle name="Note 2 3 4 4" xfId="42970"/>
    <cellStyle name="Note 2 3 4 5" xfId="42971"/>
    <cellStyle name="Note 2 3 4 6" xfId="42972"/>
    <cellStyle name="Note 2 3 4 7" xfId="42973"/>
    <cellStyle name="Note 2 3 4 8" xfId="42974"/>
    <cellStyle name="Note 2 3 4 9" xfId="42975"/>
    <cellStyle name="Note 2 3 5" xfId="42976"/>
    <cellStyle name="Note 2 3 5 10" xfId="42977"/>
    <cellStyle name="Note 2 3 5 11" xfId="42978"/>
    <cellStyle name="Note 2 3 5 12" xfId="42979"/>
    <cellStyle name="Note 2 3 5 13" xfId="42980"/>
    <cellStyle name="Note 2 3 5 14" xfId="42981"/>
    <cellStyle name="Note 2 3 5 15" xfId="42982"/>
    <cellStyle name="Note 2 3 5 16" xfId="42983"/>
    <cellStyle name="Note 2 3 5 17" xfId="42984"/>
    <cellStyle name="Note 2 3 5 18" xfId="42985"/>
    <cellStyle name="Note 2 3 5 2" xfId="42986"/>
    <cellStyle name="Note 2 3 5 2 2" xfId="42987"/>
    <cellStyle name="Note 2 3 5 2 3" xfId="42988"/>
    <cellStyle name="Note 2 3 5 2 4" xfId="42989"/>
    <cellStyle name="Note 2 3 5 2 5" xfId="42990"/>
    <cellStyle name="Note 2 3 5 2 6" xfId="42991"/>
    <cellStyle name="Note 2 3 5 2 7" xfId="42992"/>
    <cellStyle name="Note 2 3 5 2 8" xfId="42993"/>
    <cellStyle name="Note 2 3 5 2 9" xfId="42994"/>
    <cellStyle name="Note 2 3 5 3" xfId="42995"/>
    <cellStyle name="Note 2 3 5 4" xfId="42996"/>
    <cellStyle name="Note 2 3 5 5" xfId="42997"/>
    <cellStyle name="Note 2 3 5 6" xfId="42998"/>
    <cellStyle name="Note 2 3 5 7" xfId="42999"/>
    <cellStyle name="Note 2 3 5 8" xfId="43000"/>
    <cellStyle name="Note 2 3 5 9" xfId="43001"/>
    <cellStyle name="Note 2 3 6" xfId="43002"/>
    <cellStyle name="Note 2 3 6 10" xfId="43003"/>
    <cellStyle name="Note 2 3 6 11" xfId="43004"/>
    <cellStyle name="Note 2 3 6 12" xfId="43005"/>
    <cellStyle name="Note 2 3 6 13" xfId="43006"/>
    <cellStyle name="Note 2 3 6 14" xfId="43007"/>
    <cellStyle name="Note 2 3 6 15" xfId="43008"/>
    <cellStyle name="Note 2 3 6 16" xfId="43009"/>
    <cellStyle name="Note 2 3 6 17" xfId="43010"/>
    <cellStyle name="Note 2 3 6 18" xfId="43011"/>
    <cellStyle name="Note 2 3 6 19" xfId="43012"/>
    <cellStyle name="Note 2 3 6 2" xfId="43013"/>
    <cellStyle name="Note 2 3 6 2 2" xfId="43014"/>
    <cellStyle name="Note 2 3 6 2 3" xfId="43015"/>
    <cellStyle name="Note 2 3 6 2 4" xfId="43016"/>
    <cellStyle name="Note 2 3 6 2 5" xfId="43017"/>
    <cellStyle name="Note 2 3 6 2 6" xfId="43018"/>
    <cellStyle name="Note 2 3 6 2 7" xfId="43019"/>
    <cellStyle name="Note 2 3 6 2 8" xfId="43020"/>
    <cellStyle name="Note 2 3 6 2 9" xfId="43021"/>
    <cellStyle name="Note 2 3 6 3" xfId="43022"/>
    <cellStyle name="Note 2 3 6 4" xfId="43023"/>
    <cellStyle name="Note 2 3 6 5" xfId="43024"/>
    <cellStyle name="Note 2 3 6 6" xfId="43025"/>
    <cellStyle name="Note 2 3 6 7" xfId="43026"/>
    <cellStyle name="Note 2 3 6 8" xfId="43027"/>
    <cellStyle name="Note 2 3 6 9" xfId="43028"/>
    <cellStyle name="Note 2 3 7" xfId="43029"/>
    <cellStyle name="Note 2 4" xfId="43030"/>
    <cellStyle name="Note 2 4 2" xfId="43031"/>
    <cellStyle name="Note 2 4 2 2" xfId="43032"/>
    <cellStyle name="Note 2 4 2 2 10" xfId="43033"/>
    <cellStyle name="Note 2 4 2 2 11" xfId="43034"/>
    <cellStyle name="Note 2 4 2 2 12" xfId="43035"/>
    <cellStyle name="Note 2 4 2 2 13" xfId="43036"/>
    <cellStyle name="Note 2 4 2 2 14" xfId="43037"/>
    <cellStyle name="Note 2 4 2 2 15" xfId="43038"/>
    <cellStyle name="Note 2 4 2 2 16" xfId="43039"/>
    <cellStyle name="Note 2 4 2 2 17" xfId="43040"/>
    <cellStyle name="Note 2 4 2 2 18" xfId="43041"/>
    <cellStyle name="Note 2 4 2 2 19" xfId="43042"/>
    <cellStyle name="Note 2 4 2 2 2" xfId="43043"/>
    <cellStyle name="Note 2 4 2 2 2 2" xfId="43044"/>
    <cellStyle name="Note 2 4 2 2 2 3" xfId="43045"/>
    <cellStyle name="Note 2 4 2 2 2 4" xfId="43046"/>
    <cellStyle name="Note 2 4 2 2 2 5" xfId="43047"/>
    <cellStyle name="Note 2 4 2 2 2 6" xfId="43048"/>
    <cellStyle name="Note 2 4 2 2 2 7" xfId="43049"/>
    <cellStyle name="Note 2 4 2 2 2 8" xfId="43050"/>
    <cellStyle name="Note 2 4 2 2 2 9" xfId="43051"/>
    <cellStyle name="Note 2 4 2 2 3" xfId="43052"/>
    <cellStyle name="Note 2 4 2 2 4" xfId="43053"/>
    <cellStyle name="Note 2 4 2 2 5" xfId="43054"/>
    <cellStyle name="Note 2 4 2 2 6" xfId="43055"/>
    <cellStyle name="Note 2 4 2 2 7" xfId="43056"/>
    <cellStyle name="Note 2 4 2 2 8" xfId="43057"/>
    <cellStyle name="Note 2 4 2 2 9" xfId="43058"/>
    <cellStyle name="Note 2 4 2 3" xfId="43059"/>
    <cellStyle name="Note 2 4 2 3 10" xfId="43060"/>
    <cellStyle name="Note 2 4 2 3 11" xfId="43061"/>
    <cellStyle name="Note 2 4 2 3 12" xfId="43062"/>
    <cellStyle name="Note 2 4 2 3 13" xfId="43063"/>
    <cellStyle name="Note 2 4 2 3 14" xfId="43064"/>
    <cellStyle name="Note 2 4 2 3 15" xfId="43065"/>
    <cellStyle name="Note 2 4 2 3 16" xfId="43066"/>
    <cellStyle name="Note 2 4 2 3 17" xfId="43067"/>
    <cellStyle name="Note 2 4 2 3 18" xfId="43068"/>
    <cellStyle name="Note 2 4 2 3 2" xfId="43069"/>
    <cellStyle name="Note 2 4 2 3 2 2" xfId="43070"/>
    <cellStyle name="Note 2 4 2 3 2 3" xfId="43071"/>
    <cellStyle name="Note 2 4 2 3 2 4" xfId="43072"/>
    <cellStyle name="Note 2 4 2 3 2 5" xfId="43073"/>
    <cellStyle name="Note 2 4 2 3 2 6" xfId="43074"/>
    <cellStyle name="Note 2 4 2 3 2 7" xfId="43075"/>
    <cellStyle name="Note 2 4 2 3 2 8" xfId="43076"/>
    <cellStyle name="Note 2 4 2 3 2 9" xfId="43077"/>
    <cellStyle name="Note 2 4 2 3 3" xfId="43078"/>
    <cellStyle name="Note 2 4 2 3 4" xfId="43079"/>
    <cellStyle name="Note 2 4 2 3 5" xfId="43080"/>
    <cellStyle name="Note 2 4 2 3 6" xfId="43081"/>
    <cellStyle name="Note 2 4 2 3 7" xfId="43082"/>
    <cellStyle name="Note 2 4 2 3 8" xfId="43083"/>
    <cellStyle name="Note 2 4 2 3 9" xfId="43084"/>
    <cellStyle name="Note 2 4 2 4" xfId="43085"/>
    <cellStyle name="Note 2 4 2 4 10" xfId="43086"/>
    <cellStyle name="Note 2 4 2 4 11" xfId="43087"/>
    <cellStyle name="Note 2 4 2 4 12" xfId="43088"/>
    <cellStyle name="Note 2 4 2 4 13" xfId="43089"/>
    <cellStyle name="Note 2 4 2 4 14" xfId="43090"/>
    <cellStyle name="Note 2 4 2 4 15" xfId="43091"/>
    <cellStyle name="Note 2 4 2 4 16" xfId="43092"/>
    <cellStyle name="Note 2 4 2 4 17" xfId="43093"/>
    <cellStyle name="Note 2 4 2 4 18" xfId="43094"/>
    <cellStyle name="Note 2 4 2 4 19" xfId="43095"/>
    <cellStyle name="Note 2 4 2 4 2" xfId="43096"/>
    <cellStyle name="Note 2 4 2 4 2 2" xfId="43097"/>
    <cellStyle name="Note 2 4 2 4 2 3" xfId="43098"/>
    <cellStyle name="Note 2 4 2 4 2 4" xfId="43099"/>
    <cellStyle name="Note 2 4 2 4 2 5" xfId="43100"/>
    <cellStyle name="Note 2 4 2 4 2 6" xfId="43101"/>
    <cellStyle name="Note 2 4 2 4 2 7" xfId="43102"/>
    <cellStyle name="Note 2 4 2 4 2 8" xfId="43103"/>
    <cellStyle name="Note 2 4 2 4 2 9" xfId="43104"/>
    <cellStyle name="Note 2 4 2 4 3" xfId="43105"/>
    <cellStyle name="Note 2 4 2 4 4" xfId="43106"/>
    <cellStyle name="Note 2 4 2 4 5" xfId="43107"/>
    <cellStyle name="Note 2 4 2 4 6" xfId="43108"/>
    <cellStyle name="Note 2 4 2 4 7" xfId="43109"/>
    <cellStyle name="Note 2 4 2 4 8" xfId="43110"/>
    <cellStyle name="Note 2 4 2 4 9" xfId="43111"/>
    <cellStyle name="Note 2 4 2 5" xfId="43112"/>
    <cellStyle name="Note 2 4 3" xfId="43113"/>
    <cellStyle name="Note 2 4 3 2" xfId="43114"/>
    <cellStyle name="Note 2 4 3 2 10" xfId="43115"/>
    <cellStyle name="Note 2 4 3 2 11" xfId="43116"/>
    <cellStyle name="Note 2 4 3 2 12" xfId="43117"/>
    <cellStyle name="Note 2 4 3 2 13" xfId="43118"/>
    <cellStyle name="Note 2 4 3 2 14" xfId="43119"/>
    <cellStyle name="Note 2 4 3 2 15" xfId="43120"/>
    <cellStyle name="Note 2 4 3 2 16" xfId="43121"/>
    <cellStyle name="Note 2 4 3 2 17" xfId="43122"/>
    <cellStyle name="Note 2 4 3 2 18" xfId="43123"/>
    <cellStyle name="Note 2 4 3 2 19" xfId="43124"/>
    <cellStyle name="Note 2 4 3 2 2" xfId="43125"/>
    <cellStyle name="Note 2 4 3 2 2 2" xfId="43126"/>
    <cellStyle name="Note 2 4 3 2 2 3" xfId="43127"/>
    <cellStyle name="Note 2 4 3 2 2 4" xfId="43128"/>
    <cellStyle name="Note 2 4 3 2 2 5" xfId="43129"/>
    <cellStyle name="Note 2 4 3 2 2 6" xfId="43130"/>
    <cellStyle name="Note 2 4 3 2 2 7" xfId="43131"/>
    <cellStyle name="Note 2 4 3 2 2 8" xfId="43132"/>
    <cellStyle name="Note 2 4 3 2 2 9" xfId="43133"/>
    <cellStyle name="Note 2 4 3 2 3" xfId="43134"/>
    <cellStyle name="Note 2 4 3 2 4" xfId="43135"/>
    <cellStyle name="Note 2 4 3 2 5" xfId="43136"/>
    <cellStyle name="Note 2 4 3 2 6" xfId="43137"/>
    <cellStyle name="Note 2 4 3 2 7" xfId="43138"/>
    <cellStyle name="Note 2 4 3 2 8" xfId="43139"/>
    <cellStyle name="Note 2 4 3 2 9" xfId="43140"/>
    <cellStyle name="Note 2 4 3 3" xfId="43141"/>
    <cellStyle name="Note 2 4 3 3 10" xfId="43142"/>
    <cellStyle name="Note 2 4 3 3 11" xfId="43143"/>
    <cellStyle name="Note 2 4 3 3 12" xfId="43144"/>
    <cellStyle name="Note 2 4 3 3 13" xfId="43145"/>
    <cellStyle name="Note 2 4 3 3 14" xfId="43146"/>
    <cellStyle name="Note 2 4 3 3 15" xfId="43147"/>
    <cellStyle name="Note 2 4 3 3 16" xfId="43148"/>
    <cellStyle name="Note 2 4 3 3 17" xfId="43149"/>
    <cellStyle name="Note 2 4 3 3 18" xfId="43150"/>
    <cellStyle name="Note 2 4 3 3 2" xfId="43151"/>
    <cellStyle name="Note 2 4 3 3 2 2" xfId="43152"/>
    <cellStyle name="Note 2 4 3 3 2 3" xfId="43153"/>
    <cellStyle name="Note 2 4 3 3 2 4" xfId="43154"/>
    <cellStyle name="Note 2 4 3 3 2 5" xfId="43155"/>
    <cellStyle name="Note 2 4 3 3 2 6" xfId="43156"/>
    <cellStyle name="Note 2 4 3 3 2 7" xfId="43157"/>
    <cellStyle name="Note 2 4 3 3 2 8" xfId="43158"/>
    <cellStyle name="Note 2 4 3 3 2 9" xfId="43159"/>
    <cellStyle name="Note 2 4 3 3 3" xfId="43160"/>
    <cellStyle name="Note 2 4 3 3 4" xfId="43161"/>
    <cellStyle name="Note 2 4 3 3 5" xfId="43162"/>
    <cellStyle name="Note 2 4 3 3 6" xfId="43163"/>
    <cellStyle name="Note 2 4 3 3 7" xfId="43164"/>
    <cellStyle name="Note 2 4 3 3 8" xfId="43165"/>
    <cellStyle name="Note 2 4 3 3 9" xfId="43166"/>
    <cellStyle name="Note 2 4 3 4" xfId="43167"/>
    <cellStyle name="Note 2 4 3 4 10" xfId="43168"/>
    <cellStyle name="Note 2 4 3 4 11" xfId="43169"/>
    <cellStyle name="Note 2 4 3 4 12" xfId="43170"/>
    <cellStyle name="Note 2 4 3 4 13" xfId="43171"/>
    <cellStyle name="Note 2 4 3 4 14" xfId="43172"/>
    <cellStyle name="Note 2 4 3 4 15" xfId="43173"/>
    <cellStyle name="Note 2 4 3 4 16" xfId="43174"/>
    <cellStyle name="Note 2 4 3 4 17" xfId="43175"/>
    <cellStyle name="Note 2 4 3 4 18" xfId="43176"/>
    <cellStyle name="Note 2 4 3 4 19" xfId="43177"/>
    <cellStyle name="Note 2 4 3 4 2" xfId="43178"/>
    <cellStyle name="Note 2 4 3 4 2 2" xfId="43179"/>
    <cellStyle name="Note 2 4 3 4 2 3" xfId="43180"/>
    <cellStyle name="Note 2 4 3 4 2 4" xfId="43181"/>
    <cellStyle name="Note 2 4 3 4 2 5" xfId="43182"/>
    <cellStyle name="Note 2 4 3 4 2 6" xfId="43183"/>
    <cellStyle name="Note 2 4 3 4 2 7" xfId="43184"/>
    <cellStyle name="Note 2 4 3 4 2 8" xfId="43185"/>
    <cellStyle name="Note 2 4 3 4 2 9" xfId="43186"/>
    <cellStyle name="Note 2 4 3 4 3" xfId="43187"/>
    <cellStyle name="Note 2 4 3 4 4" xfId="43188"/>
    <cellStyle name="Note 2 4 3 4 5" xfId="43189"/>
    <cellStyle name="Note 2 4 3 4 6" xfId="43190"/>
    <cellStyle name="Note 2 4 3 4 7" xfId="43191"/>
    <cellStyle name="Note 2 4 3 4 8" xfId="43192"/>
    <cellStyle name="Note 2 4 3 4 9" xfId="43193"/>
    <cellStyle name="Note 2 4 3 5" xfId="43194"/>
    <cellStyle name="Note 2 4 4" xfId="43195"/>
    <cellStyle name="Note 2 4 4 10" xfId="43196"/>
    <cellStyle name="Note 2 4 4 11" xfId="43197"/>
    <cellStyle name="Note 2 4 4 12" xfId="43198"/>
    <cellStyle name="Note 2 4 4 13" xfId="43199"/>
    <cellStyle name="Note 2 4 4 14" xfId="43200"/>
    <cellStyle name="Note 2 4 4 15" xfId="43201"/>
    <cellStyle name="Note 2 4 4 16" xfId="43202"/>
    <cellStyle name="Note 2 4 4 17" xfId="43203"/>
    <cellStyle name="Note 2 4 4 18" xfId="43204"/>
    <cellStyle name="Note 2 4 4 19" xfId="43205"/>
    <cellStyle name="Note 2 4 4 2" xfId="43206"/>
    <cellStyle name="Note 2 4 4 2 2" xfId="43207"/>
    <cellStyle name="Note 2 4 4 2 3" xfId="43208"/>
    <cellStyle name="Note 2 4 4 2 4" xfId="43209"/>
    <cellStyle name="Note 2 4 4 2 5" xfId="43210"/>
    <cellStyle name="Note 2 4 4 2 6" xfId="43211"/>
    <cellStyle name="Note 2 4 4 2 7" xfId="43212"/>
    <cellStyle name="Note 2 4 4 2 8" xfId="43213"/>
    <cellStyle name="Note 2 4 4 2 9" xfId="43214"/>
    <cellStyle name="Note 2 4 4 3" xfId="43215"/>
    <cellStyle name="Note 2 4 4 4" xfId="43216"/>
    <cellStyle name="Note 2 4 4 5" xfId="43217"/>
    <cellStyle name="Note 2 4 4 6" xfId="43218"/>
    <cellStyle name="Note 2 4 4 7" xfId="43219"/>
    <cellStyle name="Note 2 4 4 8" xfId="43220"/>
    <cellStyle name="Note 2 4 4 9" xfId="43221"/>
    <cellStyle name="Note 2 4 5" xfId="43222"/>
    <cellStyle name="Note 2 4 5 10" xfId="43223"/>
    <cellStyle name="Note 2 4 5 11" xfId="43224"/>
    <cellStyle name="Note 2 4 5 12" xfId="43225"/>
    <cellStyle name="Note 2 4 5 13" xfId="43226"/>
    <cellStyle name="Note 2 4 5 14" xfId="43227"/>
    <cellStyle name="Note 2 4 5 15" xfId="43228"/>
    <cellStyle name="Note 2 4 5 16" xfId="43229"/>
    <cellStyle name="Note 2 4 5 17" xfId="43230"/>
    <cellStyle name="Note 2 4 5 18" xfId="43231"/>
    <cellStyle name="Note 2 4 5 2" xfId="43232"/>
    <cellStyle name="Note 2 4 5 2 2" xfId="43233"/>
    <cellStyle name="Note 2 4 5 2 3" xfId="43234"/>
    <cellStyle name="Note 2 4 5 2 4" xfId="43235"/>
    <cellStyle name="Note 2 4 5 2 5" xfId="43236"/>
    <cellStyle name="Note 2 4 5 2 6" xfId="43237"/>
    <cellStyle name="Note 2 4 5 2 7" xfId="43238"/>
    <cellStyle name="Note 2 4 5 2 8" xfId="43239"/>
    <cellStyle name="Note 2 4 5 2 9" xfId="43240"/>
    <cellStyle name="Note 2 4 5 3" xfId="43241"/>
    <cellStyle name="Note 2 4 5 4" xfId="43242"/>
    <cellStyle name="Note 2 4 5 5" xfId="43243"/>
    <cellStyle name="Note 2 4 5 6" xfId="43244"/>
    <cellStyle name="Note 2 4 5 7" xfId="43245"/>
    <cellStyle name="Note 2 4 5 8" xfId="43246"/>
    <cellStyle name="Note 2 4 5 9" xfId="43247"/>
    <cellStyle name="Note 2 4 6" xfId="43248"/>
    <cellStyle name="Note 2 4 6 10" xfId="43249"/>
    <cellStyle name="Note 2 4 6 11" xfId="43250"/>
    <cellStyle name="Note 2 4 6 12" xfId="43251"/>
    <cellStyle name="Note 2 4 6 13" xfId="43252"/>
    <cellStyle name="Note 2 4 6 14" xfId="43253"/>
    <cellStyle name="Note 2 4 6 15" xfId="43254"/>
    <cellStyle name="Note 2 4 6 16" xfId="43255"/>
    <cellStyle name="Note 2 4 6 17" xfId="43256"/>
    <cellStyle name="Note 2 4 6 18" xfId="43257"/>
    <cellStyle name="Note 2 4 6 19" xfId="43258"/>
    <cellStyle name="Note 2 4 6 2" xfId="43259"/>
    <cellStyle name="Note 2 4 6 2 2" xfId="43260"/>
    <cellStyle name="Note 2 4 6 2 3" xfId="43261"/>
    <cellStyle name="Note 2 4 6 2 4" xfId="43262"/>
    <cellStyle name="Note 2 4 6 2 5" xfId="43263"/>
    <cellStyle name="Note 2 4 6 2 6" xfId="43264"/>
    <cellStyle name="Note 2 4 6 2 7" xfId="43265"/>
    <cellStyle name="Note 2 4 6 2 8" xfId="43266"/>
    <cellStyle name="Note 2 4 6 2 9" xfId="43267"/>
    <cellStyle name="Note 2 4 6 3" xfId="43268"/>
    <cellStyle name="Note 2 4 6 4" xfId="43269"/>
    <cellStyle name="Note 2 4 6 5" xfId="43270"/>
    <cellStyle name="Note 2 4 6 6" xfId="43271"/>
    <cellStyle name="Note 2 4 6 7" xfId="43272"/>
    <cellStyle name="Note 2 4 6 8" xfId="43273"/>
    <cellStyle name="Note 2 4 6 9" xfId="43274"/>
    <cellStyle name="Note 2 4 7" xfId="43275"/>
    <cellStyle name="Note 2 5" xfId="43276"/>
    <cellStyle name="Note 2 5 2" xfId="43277"/>
    <cellStyle name="Note 2 5 2 2" xfId="43278"/>
    <cellStyle name="Note 2 5 2 2 10" xfId="43279"/>
    <cellStyle name="Note 2 5 2 2 11" xfId="43280"/>
    <cellStyle name="Note 2 5 2 2 12" xfId="43281"/>
    <cellStyle name="Note 2 5 2 2 13" xfId="43282"/>
    <cellStyle name="Note 2 5 2 2 14" xfId="43283"/>
    <cellStyle name="Note 2 5 2 2 15" xfId="43284"/>
    <cellStyle name="Note 2 5 2 2 16" xfId="43285"/>
    <cellStyle name="Note 2 5 2 2 17" xfId="43286"/>
    <cellStyle name="Note 2 5 2 2 18" xfId="43287"/>
    <cellStyle name="Note 2 5 2 2 19" xfId="43288"/>
    <cellStyle name="Note 2 5 2 2 2" xfId="43289"/>
    <cellStyle name="Note 2 5 2 2 2 2" xfId="43290"/>
    <cellStyle name="Note 2 5 2 2 2 3" xfId="43291"/>
    <cellStyle name="Note 2 5 2 2 2 4" xfId="43292"/>
    <cellStyle name="Note 2 5 2 2 2 5" xfId="43293"/>
    <cellStyle name="Note 2 5 2 2 2 6" xfId="43294"/>
    <cellStyle name="Note 2 5 2 2 2 7" xfId="43295"/>
    <cellStyle name="Note 2 5 2 2 2 8" xfId="43296"/>
    <cellStyle name="Note 2 5 2 2 2 9" xfId="43297"/>
    <cellStyle name="Note 2 5 2 2 3" xfId="43298"/>
    <cellStyle name="Note 2 5 2 2 4" xfId="43299"/>
    <cellStyle name="Note 2 5 2 2 5" xfId="43300"/>
    <cellStyle name="Note 2 5 2 2 6" xfId="43301"/>
    <cellStyle name="Note 2 5 2 2 7" xfId="43302"/>
    <cellStyle name="Note 2 5 2 2 8" xfId="43303"/>
    <cellStyle name="Note 2 5 2 2 9" xfId="43304"/>
    <cellStyle name="Note 2 5 2 3" xfId="43305"/>
    <cellStyle name="Note 2 5 2 3 10" xfId="43306"/>
    <cellStyle name="Note 2 5 2 3 11" xfId="43307"/>
    <cellStyle name="Note 2 5 2 3 12" xfId="43308"/>
    <cellStyle name="Note 2 5 2 3 13" xfId="43309"/>
    <cellStyle name="Note 2 5 2 3 14" xfId="43310"/>
    <cellStyle name="Note 2 5 2 3 15" xfId="43311"/>
    <cellStyle name="Note 2 5 2 3 16" xfId="43312"/>
    <cellStyle name="Note 2 5 2 3 17" xfId="43313"/>
    <cellStyle name="Note 2 5 2 3 18" xfId="43314"/>
    <cellStyle name="Note 2 5 2 3 2" xfId="43315"/>
    <cellStyle name="Note 2 5 2 3 2 2" xfId="43316"/>
    <cellStyle name="Note 2 5 2 3 2 3" xfId="43317"/>
    <cellStyle name="Note 2 5 2 3 2 4" xfId="43318"/>
    <cellStyle name="Note 2 5 2 3 2 5" xfId="43319"/>
    <cellStyle name="Note 2 5 2 3 2 6" xfId="43320"/>
    <cellStyle name="Note 2 5 2 3 2 7" xfId="43321"/>
    <cellStyle name="Note 2 5 2 3 2 8" xfId="43322"/>
    <cellStyle name="Note 2 5 2 3 2 9" xfId="43323"/>
    <cellStyle name="Note 2 5 2 3 3" xfId="43324"/>
    <cellStyle name="Note 2 5 2 3 4" xfId="43325"/>
    <cellStyle name="Note 2 5 2 3 5" xfId="43326"/>
    <cellStyle name="Note 2 5 2 3 6" xfId="43327"/>
    <cellStyle name="Note 2 5 2 3 7" xfId="43328"/>
    <cellStyle name="Note 2 5 2 3 8" xfId="43329"/>
    <cellStyle name="Note 2 5 2 3 9" xfId="43330"/>
    <cellStyle name="Note 2 5 2 4" xfId="43331"/>
    <cellStyle name="Note 2 5 2 4 10" xfId="43332"/>
    <cellStyle name="Note 2 5 2 4 11" xfId="43333"/>
    <cellStyle name="Note 2 5 2 4 12" xfId="43334"/>
    <cellStyle name="Note 2 5 2 4 13" xfId="43335"/>
    <cellStyle name="Note 2 5 2 4 14" xfId="43336"/>
    <cellStyle name="Note 2 5 2 4 15" xfId="43337"/>
    <cellStyle name="Note 2 5 2 4 16" xfId="43338"/>
    <cellStyle name="Note 2 5 2 4 17" xfId="43339"/>
    <cellStyle name="Note 2 5 2 4 18" xfId="43340"/>
    <cellStyle name="Note 2 5 2 4 19" xfId="43341"/>
    <cellStyle name="Note 2 5 2 4 2" xfId="43342"/>
    <cellStyle name="Note 2 5 2 4 2 2" xfId="43343"/>
    <cellStyle name="Note 2 5 2 4 2 3" xfId="43344"/>
    <cellStyle name="Note 2 5 2 4 2 4" xfId="43345"/>
    <cellStyle name="Note 2 5 2 4 2 5" xfId="43346"/>
    <cellStyle name="Note 2 5 2 4 2 6" xfId="43347"/>
    <cellStyle name="Note 2 5 2 4 2 7" xfId="43348"/>
    <cellStyle name="Note 2 5 2 4 2 8" xfId="43349"/>
    <cellStyle name="Note 2 5 2 4 2 9" xfId="43350"/>
    <cellStyle name="Note 2 5 2 4 3" xfId="43351"/>
    <cellStyle name="Note 2 5 2 4 4" xfId="43352"/>
    <cellStyle name="Note 2 5 2 4 5" xfId="43353"/>
    <cellStyle name="Note 2 5 2 4 6" xfId="43354"/>
    <cellStyle name="Note 2 5 2 4 7" xfId="43355"/>
    <cellStyle name="Note 2 5 2 4 8" xfId="43356"/>
    <cellStyle name="Note 2 5 2 4 9" xfId="43357"/>
    <cellStyle name="Note 2 5 2 5" xfId="43358"/>
    <cellStyle name="Note 2 5 3" xfId="43359"/>
    <cellStyle name="Note 2 5 3 2" xfId="43360"/>
    <cellStyle name="Note 2 5 3 2 10" xfId="43361"/>
    <cellStyle name="Note 2 5 3 2 11" xfId="43362"/>
    <cellStyle name="Note 2 5 3 2 12" xfId="43363"/>
    <cellStyle name="Note 2 5 3 2 13" xfId="43364"/>
    <cellStyle name="Note 2 5 3 2 14" xfId="43365"/>
    <cellStyle name="Note 2 5 3 2 15" xfId="43366"/>
    <cellStyle name="Note 2 5 3 2 16" xfId="43367"/>
    <cellStyle name="Note 2 5 3 2 17" xfId="43368"/>
    <cellStyle name="Note 2 5 3 2 18" xfId="43369"/>
    <cellStyle name="Note 2 5 3 2 19" xfId="43370"/>
    <cellStyle name="Note 2 5 3 2 2" xfId="43371"/>
    <cellStyle name="Note 2 5 3 2 2 2" xfId="43372"/>
    <cellStyle name="Note 2 5 3 2 2 3" xfId="43373"/>
    <cellStyle name="Note 2 5 3 2 2 4" xfId="43374"/>
    <cellStyle name="Note 2 5 3 2 2 5" xfId="43375"/>
    <cellStyle name="Note 2 5 3 2 2 6" xfId="43376"/>
    <cellStyle name="Note 2 5 3 2 2 7" xfId="43377"/>
    <cellStyle name="Note 2 5 3 2 2 8" xfId="43378"/>
    <cellStyle name="Note 2 5 3 2 2 9" xfId="43379"/>
    <cellStyle name="Note 2 5 3 2 3" xfId="43380"/>
    <cellStyle name="Note 2 5 3 2 4" xfId="43381"/>
    <cellStyle name="Note 2 5 3 2 5" xfId="43382"/>
    <cellStyle name="Note 2 5 3 2 6" xfId="43383"/>
    <cellStyle name="Note 2 5 3 2 7" xfId="43384"/>
    <cellStyle name="Note 2 5 3 2 8" xfId="43385"/>
    <cellStyle name="Note 2 5 3 2 9" xfId="43386"/>
    <cellStyle name="Note 2 5 3 3" xfId="43387"/>
    <cellStyle name="Note 2 5 3 3 10" xfId="43388"/>
    <cellStyle name="Note 2 5 3 3 11" xfId="43389"/>
    <cellStyle name="Note 2 5 3 3 12" xfId="43390"/>
    <cellStyle name="Note 2 5 3 3 13" xfId="43391"/>
    <cellStyle name="Note 2 5 3 3 14" xfId="43392"/>
    <cellStyle name="Note 2 5 3 3 15" xfId="43393"/>
    <cellStyle name="Note 2 5 3 3 16" xfId="43394"/>
    <cellStyle name="Note 2 5 3 3 17" xfId="43395"/>
    <cellStyle name="Note 2 5 3 3 18" xfId="43396"/>
    <cellStyle name="Note 2 5 3 3 2" xfId="43397"/>
    <cellStyle name="Note 2 5 3 3 2 2" xfId="43398"/>
    <cellStyle name="Note 2 5 3 3 2 3" xfId="43399"/>
    <cellStyle name="Note 2 5 3 3 2 4" xfId="43400"/>
    <cellStyle name="Note 2 5 3 3 2 5" xfId="43401"/>
    <cellStyle name="Note 2 5 3 3 2 6" xfId="43402"/>
    <cellStyle name="Note 2 5 3 3 2 7" xfId="43403"/>
    <cellStyle name="Note 2 5 3 3 2 8" xfId="43404"/>
    <cellStyle name="Note 2 5 3 3 2 9" xfId="43405"/>
    <cellStyle name="Note 2 5 3 3 3" xfId="43406"/>
    <cellStyle name="Note 2 5 3 3 4" xfId="43407"/>
    <cellStyle name="Note 2 5 3 3 5" xfId="43408"/>
    <cellStyle name="Note 2 5 3 3 6" xfId="43409"/>
    <cellStyle name="Note 2 5 3 3 7" xfId="43410"/>
    <cellStyle name="Note 2 5 3 3 8" xfId="43411"/>
    <cellStyle name="Note 2 5 3 3 9" xfId="43412"/>
    <cellStyle name="Note 2 5 3 4" xfId="43413"/>
    <cellStyle name="Note 2 5 3 4 10" xfId="43414"/>
    <cellStyle name="Note 2 5 3 4 11" xfId="43415"/>
    <cellStyle name="Note 2 5 3 4 12" xfId="43416"/>
    <cellStyle name="Note 2 5 3 4 13" xfId="43417"/>
    <cellStyle name="Note 2 5 3 4 14" xfId="43418"/>
    <cellStyle name="Note 2 5 3 4 15" xfId="43419"/>
    <cellStyle name="Note 2 5 3 4 16" xfId="43420"/>
    <cellStyle name="Note 2 5 3 4 17" xfId="43421"/>
    <cellStyle name="Note 2 5 3 4 18" xfId="43422"/>
    <cellStyle name="Note 2 5 3 4 19" xfId="43423"/>
    <cellStyle name="Note 2 5 3 4 2" xfId="43424"/>
    <cellStyle name="Note 2 5 3 4 2 2" xfId="43425"/>
    <cellStyle name="Note 2 5 3 4 2 3" xfId="43426"/>
    <cellStyle name="Note 2 5 3 4 2 4" xfId="43427"/>
    <cellStyle name="Note 2 5 3 4 2 5" xfId="43428"/>
    <cellStyle name="Note 2 5 3 4 2 6" xfId="43429"/>
    <cellStyle name="Note 2 5 3 4 2 7" xfId="43430"/>
    <cellStyle name="Note 2 5 3 4 2 8" xfId="43431"/>
    <cellStyle name="Note 2 5 3 4 2 9" xfId="43432"/>
    <cellStyle name="Note 2 5 3 4 3" xfId="43433"/>
    <cellStyle name="Note 2 5 3 4 4" xfId="43434"/>
    <cellStyle name="Note 2 5 3 4 5" xfId="43435"/>
    <cellStyle name="Note 2 5 3 4 6" xfId="43436"/>
    <cellStyle name="Note 2 5 3 4 7" xfId="43437"/>
    <cellStyle name="Note 2 5 3 4 8" xfId="43438"/>
    <cellStyle name="Note 2 5 3 4 9" xfId="43439"/>
    <cellStyle name="Note 2 5 3 5" xfId="43440"/>
    <cellStyle name="Note 2 5 4" xfId="43441"/>
    <cellStyle name="Note 2 5 4 10" xfId="43442"/>
    <cellStyle name="Note 2 5 4 11" xfId="43443"/>
    <cellStyle name="Note 2 5 4 12" xfId="43444"/>
    <cellStyle name="Note 2 5 4 13" xfId="43445"/>
    <cellStyle name="Note 2 5 4 14" xfId="43446"/>
    <cellStyle name="Note 2 5 4 15" xfId="43447"/>
    <cellStyle name="Note 2 5 4 16" xfId="43448"/>
    <cellStyle name="Note 2 5 4 17" xfId="43449"/>
    <cellStyle name="Note 2 5 4 18" xfId="43450"/>
    <cellStyle name="Note 2 5 4 19" xfId="43451"/>
    <cellStyle name="Note 2 5 4 2" xfId="43452"/>
    <cellStyle name="Note 2 5 4 2 2" xfId="43453"/>
    <cellStyle name="Note 2 5 4 2 3" xfId="43454"/>
    <cellStyle name="Note 2 5 4 2 4" xfId="43455"/>
    <cellStyle name="Note 2 5 4 2 5" xfId="43456"/>
    <cellStyle name="Note 2 5 4 2 6" xfId="43457"/>
    <cellStyle name="Note 2 5 4 2 7" xfId="43458"/>
    <cellStyle name="Note 2 5 4 2 8" xfId="43459"/>
    <cellStyle name="Note 2 5 4 2 9" xfId="43460"/>
    <cellStyle name="Note 2 5 4 3" xfId="43461"/>
    <cellStyle name="Note 2 5 4 4" xfId="43462"/>
    <cellStyle name="Note 2 5 4 5" xfId="43463"/>
    <cellStyle name="Note 2 5 4 6" xfId="43464"/>
    <cellStyle name="Note 2 5 4 7" xfId="43465"/>
    <cellStyle name="Note 2 5 4 8" xfId="43466"/>
    <cellStyle name="Note 2 5 4 9" xfId="43467"/>
    <cellStyle name="Note 2 5 5" xfId="43468"/>
    <cellStyle name="Note 2 5 5 10" xfId="43469"/>
    <cellStyle name="Note 2 5 5 11" xfId="43470"/>
    <cellStyle name="Note 2 5 5 12" xfId="43471"/>
    <cellStyle name="Note 2 5 5 13" xfId="43472"/>
    <cellStyle name="Note 2 5 5 14" xfId="43473"/>
    <cellStyle name="Note 2 5 5 15" xfId="43474"/>
    <cellStyle name="Note 2 5 5 16" xfId="43475"/>
    <cellStyle name="Note 2 5 5 17" xfId="43476"/>
    <cellStyle name="Note 2 5 5 18" xfId="43477"/>
    <cellStyle name="Note 2 5 5 2" xfId="43478"/>
    <cellStyle name="Note 2 5 5 2 2" xfId="43479"/>
    <cellStyle name="Note 2 5 5 2 3" xfId="43480"/>
    <cellStyle name="Note 2 5 5 2 4" xfId="43481"/>
    <cellStyle name="Note 2 5 5 2 5" xfId="43482"/>
    <cellStyle name="Note 2 5 5 2 6" xfId="43483"/>
    <cellStyle name="Note 2 5 5 2 7" xfId="43484"/>
    <cellStyle name="Note 2 5 5 2 8" xfId="43485"/>
    <cellStyle name="Note 2 5 5 2 9" xfId="43486"/>
    <cellStyle name="Note 2 5 5 3" xfId="43487"/>
    <cellStyle name="Note 2 5 5 4" xfId="43488"/>
    <cellStyle name="Note 2 5 5 5" xfId="43489"/>
    <cellStyle name="Note 2 5 5 6" xfId="43490"/>
    <cellStyle name="Note 2 5 5 7" xfId="43491"/>
    <cellStyle name="Note 2 5 5 8" xfId="43492"/>
    <cellStyle name="Note 2 5 5 9" xfId="43493"/>
    <cellStyle name="Note 2 5 6" xfId="43494"/>
    <cellStyle name="Note 2 5 6 10" xfId="43495"/>
    <cellStyle name="Note 2 5 6 11" xfId="43496"/>
    <cellStyle name="Note 2 5 6 12" xfId="43497"/>
    <cellStyle name="Note 2 5 6 13" xfId="43498"/>
    <cellStyle name="Note 2 5 6 14" xfId="43499"/>
    <cellStyle name="Note 2 5 6 15" xfId="43500"/>
    <cellStyle name="Note 2 5 6 16" xfId="43501"/>
    <cellStyle name="Note 2 5 6 17" xfId="43502"/>
    <cellStyle name="Note 2 5 6 18" xfId="43503"/>
    <cellStyle name="Note 2 5 6 19" xfId="43504"/>
    <cellStyle name="Note 2 5 6 2" xfId="43505"/>
    <cellStyle name="Note 2 5 6 2 2" xfId="43506"/>
    <cellStyle name="Note 2 5 6 2 3" xfId="43507"/>
    <cellStyle name="Note 2 5 6 2 4" xfId="43508"/>
    <cellStyle name="Note 2 5 6 2 5" xfId="43509"/>
    <cellStyle name="Note 2 5 6 2 6" xfId="43510"/>
    <cellStyle name="Note 2 5 6 2 7" xfId="43511"/>
    <cellStyle name="Note 2 5 6 2 8" xfId="43512"/>
    <cellStyle name="Note 2 5 6 2 9" xfId="43513"/>
    <cellStyle name="Note 2 5 6 3" xfId="43514"/>
    <cellStyle name="Note 2 5 6 4" xfId="43515"/>
    <cellStyle name="Note 2 5 6 5" xfId="43516"/>
    <cellStyle name="Note 2 5 6 6" xfId="43517"/>
    <cellStyle name="Note 2 5 6 7" xfId="43518"/>
    <cellStyle name="Note 2 5 6 8" xfId="43519"/>
    <cellStyle name="Note 2 5 6 9" xfId="43520"/>
    <cellStyle name="Note 2 5 7" xfId="43521"/>
    <cellStyle name="Note 2 6" xfId="43522"/>
    <cellStyle name="Note 2 6 2" xfId="43523"/>
    <cellStyle name="Note 2 6 2 2" xfId="43524"/>
    <cellStyle name="Note 2 6 2 2 10" xfId="43525"/>
    <cellStyle name="Note 2 6 2 2 11" xfId="43526"/>
    <cellStyle name="Note 2 6 2 2 12" xfId="43527"/>
    <cellStyle name="Note 2 6 2 2 13" xfId="43528"/>
    <cellStyle name="Note 2 6 2 2 14" xfId="43529"/>
    <cellStyle name="Note 2 6 2 2 15" xfId="43530"/>
    <cellStyle name="Note 2 6 2 2 16" xfId="43531"/>
    <cellStyle name="Note 2 6 2 2 17" xfId="43532"/>
    <cellStyle name="Note 2 6 2 2 18" xfId="43533"/>
    <cellStyle name="Note 2 6 2 2 19" xfId="43534"/>
    <cellStyle name="Note 2 6 2 2 2" xfId="43535"/>
    <cellStyle name="Note 2 6 2 2 2 2" xfId="43536"/>
    <cellStyle name="Note 2 6 2 2 2 3" xfId="43537"/>
    <cellStyle name="Note 2 6 2 2 2 4" xfId="43538"/>
    <cellStyle name="Note 2 6 2 2 2 5" xfId="43539"/>
    <cellStyle name="Note 2 6 2 2 2 6" xfId="43540"/>
    <cellStyle name="Note 2 6 2 2 2 7" xfId="43541"/>
    <cellStyle name="Note 2 6 2 2 2 8" xfId="43542"/>
    <cellStyle name="Note 2 6 2 2 2 9" xfId="43543"/>
    <cellStyle name="Note 2 6 2 2 3" xfId="43544"/>
    <cellStyle name="Note 2 6 2 2 4" xfId="43545"/>
    <cellStyle name="Note 2 6 2 2 5" xfId="43546"/>
    <cellStyle name="Note 2 6 2 2 6" xfId="43547"/>
    <cellStyle name="Note 2 6 2 2 7" xfId="43548"/>
    <cellStyle name="Note 2 6 2 2 8" xfId="43549"/>
    <cellStyle name="Note 2 6 2 2 9" xfId="43550"/>
    <cellStyle name="Note 2 6 2 3" xfId="43551"/>
    <cellStyle name="Note 2 6 2 3 10" xfId="43552"/>
    <cellStyle name="Note 2 6 2 3 11" xfId="43553"/>
    <cellStyle name="Note 2 6 2 3 12" xfId="43554"/>
    <cellStyle name="Note 2 6 2 3 13" xfId="43555"/>
    <cellStyle name="Note 2 6 2 3 14" xfId="43556"/>
    <cellStyle name="Note 2 6 2 3 15" xfId="43557"/>
    <cellStyle name="Note 2 6 2 3 16" xfId="43558"/>
    <cellStyle name="Note 2 6 2 3 17" xfId="43559"/>
    <cellStyle name="Note 2 6 2 3 18" xfId="43560"/>
    <cellStyle name="Note 2 6 2 3 2" xfId="43561"/>
    <cellStyle name="Note 2 6 2 3 2 2" xfId="43562"/>
    <cellStyle name="Note 2 6 2 3 2 3" xfId="43563"/>
    <cellStyle name="Note 2 6 2 3 2 4" xfId="43564"/>
    <cellStyle name="Note 2 6 2 3 2 5" xfId="43565"/>
    <cellStyle name="Note 2 6 2 3 2 6" xfId="43566"/>
    <cellStyle name="Note 2 6 2 3 2 7" xfId="43567"/>
    <cellStyle name="Note 2 6 2 3 2 8" xfId="43568"/>
    <cellStyle name="Note 2 6 2 3 2 9" xfId="43569"/>
    <cellStyle name="Note 2 6 2 3 3" xfId="43570"/>
    <cellStyle name="Note 2 6 2 3 4" xfId="43571"/>
    <cellStyle name="Note 2 6 2 3 5" xfId="43572"/>
    <cellStyle name="Note 2 6 2 3 6" xfId="43573"/>
    <cellStyle name="Note 2 6 2 3 7" xfId="43574"/>
    <cellStyle name="Note 2 6 2 3 8" xfId="43575"/>
    <cellStyle name="Note 2 6 2 3 9" xfId="43576"/>
    <cellStyle name="Note 2 6 2 4" xfId="43577"/>
    <cellStyle name="Note 2 6 2 4 10" xfId="43578"/>
    <cellStyle name="Note 2 6 2 4 11" xfId="43579"/>
    <cellStyle name="Note 2 6 2 4 12" xfId="43580"/>
    <cellStyle name="Note 2 6 2 4 13" xfId="43581"/>
    <cellStyle name="Note 2 6 2 4 14" xfId="43582"/>
    <cellStyle name="Note 2 6 2 4 15" xfId="43583"/>
    <cellStyle name="Note 2 6 2 4 16" xfId="43584"/>
    <cellStyle name="Note 2 6 2 4 17" xfId="43585"/>
    <cellStyle name="Note 2 6 2 4 18" xfId="43586"/>
    <cellStyle name="Note 2 6 2 4 19" xfId="43587"/>
    <cellStyle name="Note 2 6 2 4 2" xfId="43588"/>
    <cellStyle name="Note 2 6 2 4 2 2" xfId="43589"/>
    <cellStyle name="Note 2 6 2 4 2 3" xfId="43590"/>
    <cellStyle name="Note 2 6 2 4 2 4" xfId="43591"/>
    <cellStyle name="Note 2 6 2 4 2 5" xfId="43592"/>
    <cellStyle name="Note 2 6 2 4 2 6" xfId="43593"/>
    <cellStyle name="Note 2 6 2 4 2 7" xfId="43594"/>
    <cellStyle name="Note 2 6 2 4 2 8" xfId="43595"/>
    <cellStyle name="Note 2 6 2 4 2 9" xfId="43596"/>
    <cellStyle name="Note 2 6 2 4 3" xfId="43597"/>
    <cellStyle name="Note 2 6 2 4 4" xfId="43598"/>
    <cellStyle name="Note 2 6 2 4 5" xfId="43599"/>
    <cellStyle name="Note 2 6 2 4 6" xfId="43600"/>
    <cellStyle name="Note 2 6 2 4 7" xfId="43601"/>
    <cellStyle name="Note 2 6 2 4 8" xfId="43602"/>
    <cellStyle name="Note 2 6 2 4 9" xfId="43603"/>
    <cellStyle name="Note 2 6 2 5" xfId="43604"/>
    <cellStyle name="Note 2 6 3" xfId="43605"/>
    <cellStyle name="Note 2 6 3 2" xfId="43606"/>
    <cellStyle name="Note 2 6 3 2 10" xfId="43607"/>
    <cellStyle name="Note 2 6 3 2 11" xfId="43608"/>
    <cellStyle name="Note 2 6 3 2 12" xfId="43609"/>
    <cellStyle name="Note 2 6 3 2 13" xfId="43610"/>
    <cellStyle name="Note 2 6 3 2 14" xfId="43611"/>
    <cellStyle name="Note 2 6 3 2 15" xfId="43612"/>
    <cellStyle name="Note 2 6 3 2 16" xfId="43613"/>
    <cellStyle name="Note 2 6 3 2 17" xfId="43614"/>
    <cellStyle name="Note 2 6 3 2 18" xfId="43615"/>
    <cellStyle name="Note 2 6 3 2 19" xfId="43616"/>
    <cellStyle name="Note 2 6 3 2 2" xfId="43617"/>
    <cellStyle name="Note 2 6 3 2 2 2" xfId="43618"/>
    <cellStyle name="Note 2 6 3 2 2 3" xfId="43619"/>
    <cellStyle name="Note 2 6 3 2 2 4" xfId="43620"/>
    <cellStyle name="Note 2 6 3 2 2 5" xfId="43621"/>
    <cellStyle name="Note 2 6 3 2 2 6" xfId="43622"/>
    <cellStyle name="Note 2 6 3 2 2 7" xfId="43623"/>
    <cellStyle name="Note 2 6 3 2 2 8" xfId="43624"/>
    <cellStyle name="Note 2 6 3 2 2 9" xfId="43625"/>
    <cellStyle name="Note 2 6 3 2 3" xfId="43626"/>
    <cellStyle name="Note 2 6 3 2 4" xfId="43627"/>
    <cellStyle name="Note 2 6 3 2 5" xfId="43628"/>
    <cellStyle name="Note 2 6 3 2 6" xfId="43629"/>
    <cellStyle name="Note 2 6 3 2 7" xfId="43630"/>
    <cellStyle name="Note 2 6 3 2 8" xfId="43631"/>
    <cellStyle name="Note 2 6 3 2 9" xfId="43632"/>
    <cellStyle name="Note 2 6 3 3" xfId="43633"/>
    <cellStyle name="Note 2 6 3 3 10" xfId="43634"/>
    <cellStyle name="Note 2 6 3 3 11" xfId="43635"/>
    <cellStyle name="Note 2 6 3 3 12" xfId="43636"/>
    <cellStyle name="Note 2 6 3 3 13" xfId="43637"/>
    <cellStyle name="Note 2 6 3 3 14" xfId="43638"/>
    <cellStyle name="Note 2 6 3 3 15" xfId="43639"/>
    <cellStyle name="Note 2 6 3 3 16" xfId="43640"/>
    <cellStyle name="Note 2 6 3 3 17" xfId="43641"/>
    <cellStyle name="Note 2 6 3 3 18" xfId="43642"/>
    <cellStyle name="Note 2 6 3 3 2" xfId="43643"/>
    <cellStyle name="Note 2 6 3 3 2 2" xfId="43644"/>
    <cellStyle name="Note 2 6 3 3 2 3" xfId="43645"/>
    <cellStyle name="Note 2 6 3 3 2 4" xfId="43646"/>
    <cellStyle name="Note 2 6 3 3 2 5" xfId="43647"/>
    <cellStyle name="Note 2 6 3 3 2 6" xfId="43648"/>
    <cellStyle name="Note 2 6 3 3 2 7" xfId="43649"/>
    <cellStyle name="Note 2 6 3 3 2 8" xfId="43650"/>
    <cellStyle name="Note 2 6 3 3 2 9" xfId="43651"/>
    <cellStyle name="Note 2 6 3 3 3" xfId="43652"/>
    <cellStyle name="Note 2 6 3 3 4" xfId="43653"/>
    <cellStyle name="Note 2 6 3 3 5" xfId="43654"/>
    <cellStyle name="Note 2 6 3 3 6" xfId="43655"/>
    <cellStyle name="Note 2 6 3 3 7" xfId="43656"/>
    <cellStyle name="Note 2 6 3 3 8" xfId="43657"/>
    <cellStyle name="Note 2 6 3 3 9" xfId="43658"/>
    <cellStyle name="Note 2 6 3 4" xfId="43659"/>
    <cellStyle name="Note 2 6 3 4 10" xfId="43660"/>
    <cellStyle name="Note 2 6 3 4 11" xfId="43661"/>
    <cellStyle name="Note 2 6 3 4 12" xfId="43662"/>
    <cellStyle name="Note 2 6 3 4 13" xfId="43663"/>
    <cellStyle name="Note 2 6 3 4 14" xfId="43664"/>
    <cellStyle name="Note 2 6 3 4 15" xfId="43665"/>
    <cellStyle name="Note 2 6 3 4 16" xfId="43666"/>
    <cellStyle name="Note 2 6 3 4 17" xfId="43667"/>
    <cellStyle name="Note 2 6 3 4 18" xfId="43668"/>
    <cellStyle name="Note 2 6 3 4 19" xfId="43669"/>
    <cellStyle name="Note 2 6 3 4 2" xfId="43670"/>
    <cellStyle name="Note 2 6 3 4 2 2" xfId="43671"/>
    <cellStyle name="Note 2 6 3 4 2 3" xfId="43672"/>
    <cellStyle name="Note 2 6 3 4 2 4" xfId="43673"/>
    <cellStyle name="Note 2 6 3 4 2 5" xfId="43674"/>
    <cellStyle name="Note 2 6 3 4 2 6" xfId="43675"/>
    <cellStyle name="Note 2 6 3 4 2 7" xfId="43676"/>
    <cellStyle name="Note 2 6 3 4 2 8" xfId="43677"/>
    <cellStyle name="Note 2 6 3 4 2 9" xfId="43678"/>
    <cellStyle name="Note 2 6 3 4 3" xfId="43679"/>
    <cellStyle name="Note 2 6 3 4 4" xfId="43680"/>
    <cellStyle name="Note 2 6 3 4 5" xfId="43681"/>
    <cellStyle name="Note 2 6 3 4 6" xfId="43682"/>
    <cellStyle name="Note 2 6 3 4 7" xfId="43683"/>
    <cellStyle name="Note 2 6 3 4 8" xfId="43684"/>
    <cellStyle name="Note 2 6 3 4 9" xfId="43685"/>
    <cellStyle name="Note 2 6 3 5" xfId="43686"/>
    <cellStyle name="Note 2 6 4" xfId="43687"/>
    <cellStyle name="Note 2 6 4 10" xfId="43688"/>
    <cellStyle name="Note 2 6 4 11" xfId="43689"/>
    <cellStyle name="Note 2 6 4 12" xfId="43690"/>
    <cellStyle name="Note 2 6 4 13" xfId="43691"/>
    <cellStyle name="Note 2 6 4 14" xfId="43692"/>
    <cellStyle name="Note 2 6 4 15" xfId="43693"/>
    <cellStyle name="Note 2 6 4 16" xfId="43694"/>
    <cellStyle name="Note 2 6 4 17" xfId="43695"/>
    <cellStyle name="Note 2 6 4 18" xfId="43696"/>
    <cellStyle name="Note 2 6 4 19" xfId="43697"/>
    <cellStyle name="Note 2 6 4 2" xfId="43698"/>
    <cellStyle name="Note 2 6 4 2 2" xfId="43699"/>
    <cellStyle name="Note 2 6 4 2 3" xfId="43700"/>
    <cellStyle name="Note 2 6 4 2 4" xfId="43701"/>
    <cellStyle name="Note 2 6 4 2 5" xfId="43702"/>
    <cellStyle name="Note 2 6 4 2 6" xfId="43703"/>
    <cellStyle name="Note 2 6 4 2 7" xfId="43704"/>
    <cellStyle name="Note 2 6 4 2 8" xfId="43705"/>
    <cellStyle name="Note 2 6 4 2 9" xfId="43706"/>
    <cellStyle name="Note 2 6 4 3" xfId="43707"/>
    <cellStyle name="Note 2 6 4 4" xfId="43708"/>
    <cellStyle name="Note 2 6 4 5" xfId="43709"/>
    <cellStyle name="Note 2 6 4 6" xfId="43710"/>
    <cellStyle name="Note 2 6 4 7" xfId="43711"/>
    <cellStyle name="Note 2 6 4 8" xfId="43712"/>
    <cellStyle name="Note 2 6 4 9" xfId="43713"/>
    <cellStyle name="Note 2 6 5" xfId="43714"/>
    <cellStyle name="Note 2 6 5 10" xfId="43715"/>
    <cellStyle name="Note 2 6 5 11" xfId="43716"/>
    <cellStyle name="Note 2 6 5 12" xfId="43717"/>
    <cellStyle name="Note 2 6 5 13" xfId="43718"/>
    <cellStyle name="Note 2 6 5 14" xfId="43719"/>
    <cellStyle name="Note 2 6 5 15" xfId="43720"/>
    <cellStyle name="Note 2 6 5 16" xfId="43721"/>
    <cellStyle name="Note 2 6 5 17" xfId="43722"/>
    <cellStyle name="Note 2 6 5 18" xfId="43723"/>
    <cellStyle name="Note 2 6 5 2" xfId="43724"/>
    <cellStyle name="Note 2 6 5 2 2" xfId="43725"/>
    <cellStyle name="Note 2 6 5 2 3" xfId="43726"/>
    <cellStyle name="Note 2 6 5 2 4" xfId="43727"/>
    <cellStyle name="Note 2 6 5 2 5" xfId="43728"/>
    <cellStyle name="Note 2 6 5 2 6" xfId="43729"/>
    <cellStyle name="Note 2 6 5 2 7" xfId="43730"/>
    <cellStyle name="Note 2 6 5 2 8" xfId="43731"/>
    <cellStyle name="Note 2 6 5 2 9" xfId="43732"/>
    <cellStyle name="Note 2 6 5 3" xfId="43733"/>
    <cellStyle name="Note 2 6 5 4" xfId="43734"/>
    <cellStyle name="Note 2 6 5 5" xfId="43735"/>
    <cellStyle name="Note 2 6 5 6" xfId="43736"/>
    <cellStyle name="Note 2 6 5 7" xfId="43737"/>
    <cellStyle name="Note 2 6 5 8" xfId="43738"/>
    <cellStyle name="Note 2 6 5 9" xfId="43739"/>
    <cellStyle name="Note 2 6 6" xfId="43740"/>
    <cellStyle name="Note 2 6 6 10" xfId="43741"/>
    <cellStyle name="Note 2 6 6 11" xfId="43742"/>
    <cellStyle name="Note 2 6 6 12" xfId="43743"/>
    <cellStyle name="Note 2 6 6 13" xfId="43744"/>
    <cellStyle name="Note 2 6 6 14" xfId="43745"/>
    <cellStyle name="Note 2 6 6 15" xfId="43746"/>
    <cellStyle name="Note 2 6 6 16" xfId="43747"/>
    <cellStyle name="Note 2 6 6 17" xfId="43748"/>
    <cellStyle name="Note 2 6 6 18" xfId="43749"/>
    <cellStyle name="Note 2 6 6 19" xfId="43750"/>
    <cellStyle name="Note 2 6 6 2" xfId="43751"/>
    <cellStyle name="Note 2 6 6 2 2" xfId="43752"/>
    <cellStyle name="Note 2 6 6 2 3" xfId="43753"/>
    <cellStyle name="Note 2 6 6 2 4" xfId="43754"/>
    <cellStyle name="Note 2 6 6 2 5" xfId="43755"/>
    <cellStyle name="Note 2 6 6 2 6" xfId="43756"/>
    <cellStyle name="Note 2 6 6 2 7" xfId="43757"/>
    <cellStyle name="Note 2 6 6 2 8" xfId="43758"/>
    <cellStyle name="Note 2 6 6 2 9" xfId="43759"/>
    <cellStyle name="Note 2 6 6 3" xfId="43760"/>
    <cellStyle name="Note 2 6 6 4" xfId="43761"/>
    <cellStyle name="Note 2 6 6 5" xfId="43762"/>
    <cellStyle name="Note 2 6 6 6" xfId="43763"/>
    <cellStyle name="Note 2 6 6 7" xfId="43764"/>
    <cellStyle name="Note 2 6 6 8" xfId="43765"/>
    <cellStyle name="Note 2 6 6 9" xfId="43766"/>
    <cellStyle name="Note 2 6 7" xfId="43767"/>
    <cellStyle name="Note 2 7" xfId="43768"/>
    <cellStyle name="Note 2 7 2" xfId="43769"/>
    <cellStyle name="Note 2 7 2 2" xfId="43770"/>
    <cellStyle name="Note 2 7 2 2 10" xfId="43771"/>
    <cellStyle name="Note 2 7 2 2 11" xfId="43772"/>
    <cellStyle name="Note 2 7 2 2 12" xfId="43773"/>
    <cellStyle name="Note 2 7 2 2 13" xfId="43774"/>
    <cellStyle name="Note 2 7 2 2 14" xfId="43775"/>
    <cellStyle name="Note 2 7 2 2 15" xfId="43776"/>
    <cellStyle name="Note 2 7 2 2 16" xfId="43777"/>
    <cellStyle name="Note 2 7 2 2 17" xfId="43778"/>
    <cellStyle name="Note 2 7 2 2 18" xfId="43779"/>
    <cellStyle name="Note 2 7 2 2 19" xfId="43780"/>
    <cellStyle name="Note 2 7 2 2 2" xfId="43781"/>
    <cellStyle name="Note 2 7 2 2 2 2" xfId="43782"/>
    <cellStyle name="Note 2 7 2 2 2 3" xfId="43783"/>
    <cellStyle name="Note 2 7 2 2 2 4" xfId="43784"/>
    <cellStyle name="Note 2 7 2 2 2 5" xfId="43785"/>
    <cellStyle name="Note 2 7 2 2 2 6" xfId="43786"/>
    <cellStyle name="Note 2 7 2 2 2 7" xfId="43787"/>
    <cellStyle name="Note 2 7 2 2 2 8" xfId="43788"/>
    <cellStyle name="Note 2 7 2 2 2 9" xfId="43789"/>
    <cellStyle name="Note 2 7 2 2 3" xfId="43790"/>
    <cellStyle name="Note 2 7 2 2 4" xfId="43791"/>
    <cellStyle name="Note 2 7 2 2 5" xfId="43792"/>
    <cellStyle name="Note 2 7 2 2 6" xfId="43793"/>
    <cellStyle name="Note 2 7 2 2 7" xfId="43794"/>
    <cellStyle name="Note 2 7 2 2 8" xfId="43795"/>
    <cellStyle name="Note 2 7 2 2 9" xfId="43796"/>
    <cellStyle name="Note 2 7 2 3" xfId="43797"/>
    <cellStyle name="Note 2 7 2 3 10" xfId="43798"/>
    <cellStyle name="Note 2 7 2 3 11" xfId="43799"/>
    <cellStyle name="Note 2 7 2 3 12" xfId="43800"/>
    <cellStyle name="Note 2 7 2 3 13" xfId="43801"/>
    <cellStyle name="Note 2 7 2 3 14" xfId="43802"/>
    <cellStyle name="Note 2 7 2 3 15" xfId="43803"/>
    <cellStyle name="Note 2 7 2 3 16" xfId="43804"/>
    <cellStyle name="Note 2 7 2 3 17" xfId="43805"/>
    <cellStyle name="Note 2 7 2 3 18" xfId="43806"/>
    <cellStyle name="Note 2 7 2 3 2" xfId="43807"/>
    <cellStyle name="Note 2 7 2 3 2 2" xfId="43808"/>
    <cellStyle name="Note 2 7 2 3 2 3" xfId="43809"/>
    <cellStyle name="Note 2 7 2 3 2 4" xfId="43810"/>
    <cellStyle name="Note 2 7 2 3 2 5" xfId="43811"/>
    <cellStyle name="Note 2 7 2 3 2 6" xfId="43812"/>
    <cellStyle name="Note 2 7 2 3 2 7" xfId="43813"/>
    <cellStyle name="Note 2 7 2 3 2 8" xfId="43814"/>
    <cellStyle name="Note 2 7 2 3 2 9" xfId="43815"/>
    <cellStyle name="Note 2 7 2 3 3" xfId="43816"/>
    <cellStyle name="Note 2 7 2 3 4" xfId="43817"/>
    <cellStyle name="Note 2 7 2 3 5" xfId="43818"/>
    <cellStyle name="Note 2 7 2 3 6" xfId="43819"/>
    <cellStyle name="Note 2 7 2 3 7" xfId="43820"/>
    <cellStyle name="Note 2 7 2 3 8" xfId="43821"/>
    <cellStyle name="Note 2 7 2 3 9" xfId="43822"/>
    <cellStyle name="Note 2 7 2 4" xfId="43823"/>
    <cellStyle name="Note 2 7 2 4 10" xfId="43824"/>
    <cellStyle name="Note 2 7 2 4 11" xfId="43825"/>
    <cellStyle name="Note 2 7 2 4 12" xfId="43826"/>
    <cellStyle name="Note 2 7 2 4 13" xfId="43827"/>
    <cellStyle name="Note 2 7 2 4 14" xfId="43828"/>
    <cellStyle name="Note 2 7 2 4 15" xfId="43829"/>
    <cellStyle name="Note 2 7 2 4 16" xfId="43830"/>
    <cellStyle name="Note 2 7 2 4 17" xfId="43831"/>
    <cellStyle name="Note 2 7 2 4 18" xfId="43832"/>
    <cellStyle name="Note 2 7 2 4 19" xfId="43833"/>
    <cellStyle name="Note 2 7 2 4 2" xfId="43834"/>
    <cellStyle name="Note 2 7 2 4 2 2" xfId="43835"/>
    <cellStyle name="Note 2 7 2 4 2 3" xfId="43836"/>
    <cellStyle name="Note 2 7 2 4 2 4" xfId="43837"/>
    <cellStyle name="Note 2 7 2 4 2 5" xfId="43838"/>
    <cellStyle name="Note 2 7 2 4 2 6" xfId="43839"/>
    <cellStyle name="Note 2 7 2 4 2 7" xfId="43840"/>
    <cellStyle name="Note 2 7 2 4 2 8" xfId="43841"/>
    <cellStyle name="Note 2 7 2 4 2 9" xfId="43842"/>
    <cellStyle name="Note 2 7 2 4 3" xfId="43843"/>
    <cellStyle name="Note 2 7 2 4 4" xfId="43844"/>
    <cellStyle name="Note 2 7 2 4 5" xfId="43845"/>
    <cellStyle name="Note 2 7 2 4 6" xfId="43846"/>
    <cellStyle name="Note 2 7 2 4 7" xfId="43847"/>
    <cellStyle name="Note 2 7 2 4 8" xfId="43848"/>
    <cellStyle name="Note 2 7 2 4 9" xfId="43849"/>
    <cellStyle name="Note 2 7 2 5" xfId="43850"/>
    <cellStyle name="Note 2 7 3" xfId="43851"/>
    <cellStyle name="Note 2 7 3 2" xfId="43852"/>
    <cellStyle name="Note 2 7 3 2 10" xfId="43853"/>
    <cellStyle name="Note 2 7 3 2 11" xfId="43854"/>
    <cellStyle name="Note 2 7 3 2 12" xfId="43855"/>
    <cellStyle name="Note 2 7 3 2 13" xfId="43856"/>
    <cellStyle name="Note 2 7 3 2 14" xfId="43857"/>
    <cellStyle name="Note 2 7 3 2 15" xfId="43858"/>
    <cellStyle name="Note 2 7 3 2 16" xfId="43859"/>
    <cellStyle name="Note 2 7 3 2 17" xfId="43860"/>
    <cellStyle name="Note 2 7 3 2 18" xfId="43861"/>
    <cellStyle name="Note 2 7 3 2 19" xfId="43862"/>
    <cellStyle name="Note 2 7 3 2 2" xfId="43863"/>
    <cellStyle name="Note 2 7 3 2 2 2" xfId="43864"/>
    <cellStyle name="Note 2 7 3 2 2 3" xfId="43865"/>
    <cellStyle name="Note 2 7 3 2 2 4" xfId="43866"/>
    <cellStyle name="Note 2 7 3 2 2 5" xfId="43867"/>
    <cellStyle name="Note 2 7 3 2 2 6" xfId="43868"/>
    <cellStyle name="Note 2 7 3 2 2 7" xfId="43869"/>
    <cellStyle name="Note 2 7 3 2 2 8" xfId="43870"/>
    <cellStyle name="Note 2 7 3 2 2 9" xfId="43871"/>
    <cellStyle name="Note 2 7 3 2 3" xfId="43872"/>
    <cellStyle name="Note 2 7 3 2 4" xfId="43873"/>
    <cellStyle name="Note 2 7 3 2 5" xfId="43874"/>
    <cellStyle name="Note 2 7 3 2 6" xfId="43875"/>
    <cellStyle name="Note 2 7 3 2 7" xfId="43876"/>
    <cellStyle name="Note 2 7 3 2 8" xfId="43877"/>
    <cellStyle name="Note 2 7 3 2 9" xfId="43878"/>
    <cellStyle name="Note 2 7 3 3" xfId="43879"/>
    <cellStyle name="Note 2 7 3 3 10" xfId="43880"/>
    <cellStyle name="Note 2 7 3 3 11" xfId="43881"/>
    <cellStyle name="Note 2 7 3 3 12" xfId="43882"/>
    <cellStyle name="Note 2 7 3 3 13" xfId="43883"/>
    <cellStyle name="Note 2 7 3 3 14" xfId="43884"/>
    <cellStyle name="Note 2 7 3 3 15" xfId="43885"/>
    <cellStyle name="Note 2 7 3 3 16" xfId="43886"/>
    <cellStyle name="Note 2 7 3 3 17" xfId="43887"/>
    <cellStyle name="Note 2 7 3 3 18" xfId="43888"/>
    <cellStyle name="Note 2 7 3 3 2" xfId="43889"/>
    <cellStyle name="Note 2 7 3 3 2 2" xfId="43890"/>
    <cellStyle name="Note 2 7 3 3 2 3" xfId="43891"/>
    <cellStyle name="Note 2 7 3 3 2 4" xfId="43892"/>
    <cellStyle name="Note 2 7 3 3 2 5" xfId="43893"/>
    <cellStyle name="Note 2 7 3 3 2 6" xfId="43894"/>
    <cellStyle name="Note 2 7 3 3 2 7" xfId="43895"/>
    <cellStyle name="Note 2 7 3 3 2 8" xfId="43896"/>
    <cellStyle name="Note 2 7 3 3 2 9" xfId="43897"/>
    <cellStyle name="Note 2 7 3 3 3" xfId="43898"/>
    <cellStyle name="Note 2 7 3 3 4" xfId="43899"/>
    <cellStyle name="Note 2 7 3 3 5" xfId="43900"/>
    <cellStyle name="Note 2 7 3 3 6" xfId="43901"/>
    <cellStyle name="Note 2 7 3 3 7" xfId="43902"/>
    <cellStyle name="Note 2 7 3 3 8" xfId="43903"/>
    <cellStyle name="Note 2 7 3 3 9" xfId="43904"/>
    <cellStyle name="Note 2 7 3 4" xfId="43905"/>
    <cellStyle name="Note 2 7 3 4 10" xfId="43906"/>
    <cellStyle name="Note 2 7 3 4 11" xfId="43907"/>
    <cellStyle name="Note 2 7 3 4 12" xfId="43908"/>
    <cellStyle name="Note 2 7 3 4 13" xfId="43909"/>
    <cellStyle name="Note 2 7 3 4 14" xfId="43910"/>
    <cellStyle name="Note 2 7 3 4 15" xfId="43911"/>
    <cellStyle name="Note 2 7 3 4 16" xfId="43912"/>
    <cellStyle name="Note 2 7 3 4 17" xfId="43913"/>
    <cellStyle name="Note 2 7 3 4 18" xfId="43914"/>
    <cellStyle name="Note 2 7 3 4 19" xfId="43915"/>
    <cellStyle name="Note 2 7 3 4 2" xfId="43916"/>
    <cellStyle name="Note 2 7 3 4 2 2" xfId="43917"/>
    <cellStyle name="Note 2 7 3 4 2 3" xfId="43918"/>
    <cellStyle name="Note 2 7 3 4 2 4" xfId="43919"/>
    <cellStyle name="Note 2 7 3 4 2 5" xfId="43920"/>
    <cellStyle name="Note 2 7 3 4 2 6" xfId="43921"/>
    <cellStyle name="Note 2 7 3 4 2 7" xfId="43922"/>
    <cellStyle name="Note 2 7 3 4 2 8" xfId="43923"/>
    <cellStyle name="Note 2 7 3 4 2 9" xfId="43924"/>
    <cellStyle name="Note 2 7 3 4 3" xfId="43925"/>
    <cellStyle name="Note 2 7 3 4 4" xfId="43926"/>
    <cellStyle name="Note 2 7 3 4 5" xfId="43927"/>
    <cellStyle name="Note 2 7 3 4 6" xfId="43928"/>
    <cellStyle name="Note 2 7 3 4 7" xfId="43929"/>
    <cellStyle name="Note 2 7 3 4 8" xfId="43930"/>
    <cellStyle name="Note 2 7 3 4 9" xfId="43931"/>
    <cellStyle name="Note 2 7 3 5" xfId="43932"/>
    <cellStyle name="Note 2 7 4" xfId="43933"/>
    <cellStyle name="Note 2 7 4 10" xfId="43934"/>
    <cellStyle name="Note 2 7 4 11" xfId="43935"/>
    <cellStyle name="Note 2 7 4 12" xfId="43936"/>
    <cellStyle name="Note 2 7 4 13" xfId="43937"/>
    <cellStyle name="Note 2 7 4 14" xfId="43938"/>
    <cellStyle name="Note 2 7 4 15" xfId="43939"/>
    <cellStyle name="Note 2 7 4 16" xfId="43940"/>
    <cellStyle name="Note 2 7 4 17" xfId="43941"/>
    <cellStyle name="Note 2 7 4 18" xfId="43942"/>
    <cellStyle name="Note 2 7 4 19" xfId="43943"/>
    <cellStyle name="Note 2 7 4 2" xfId="43944"/>
    <cellStyle name="Note 2 7 4 2 2" xfId="43945"/>
    <cellStyle name="Note 2 7 4 2 3" xfId="43946"/>
    <cellStyle name="Note 2 7 4 2 4" xfId="43947"/>
    <cellStyle name="Note 2 7 4 2 5" xfId="43948"/>
    <cellStyle name="Note 2 7 4 2 6" xfId="43949"/>
    <cellStyle name="Note 2 7 4 2 7" xfId="43950"/>
    <cellStyle name="Note 2 7 4 2 8" xfId="43951"/>
    <cellStyle name="Note 2 7 4 2 9" xfId="43952"/>
    <cellStyle name="Note 2 7 4 3" xfId="43953"/>
    <cellStyle name="Note 2 7 4 4" xfId="43954"/>
    <cellStyle name="Note 2 7 4 5" xfId="43955"/>
    <cellStyle name="Note 2 7 4 6" xfId="43956"/>
    <cellStyle name="Note 2 7 4 7" xfId="43957"/>
    <cellStyle name="Note 2 7 4 8" xfId="43958"/>
    <cellStyle name="Note 2 7 4 9" xfId="43959"/>
    <cellStyle name="Note 2 7 5" xfId="43960"/>
    <cellStyle name="Note 2 7 5 10" xfId="43961"/>
    <cellStyle name="Note 2 7 5 11" xfId="43962"/>
    <cellStyle name="Note 2 7 5 12" xfId="43963"/>
    <cellStyle name="Note 2 7 5 13" xfId="43964"/>
    <cellStyle name="Note 2 7 5 14" xfId="43965"/>
    <cellStyle name="Note 2 7 5 15" xfId="43966"/>
    <cellStyle name="Note 2 7 5 16" xfId="43967"/>
    <cellStyle name="Note 2 7 5 17" xfId="43968"/>
    <cellStyle name="Note 2 7 5 18" xfId="43969"/>
    <cellStyle name="Note 2 7 5 2" xfId="43970"/>
    <cellStyle name="Note 2 7 5 2 2" xfId="43971"/>
    <cellStyle name="Note 2 7 5 2 3" xfId="43972"/>
    <cellStyle name="Note 2 7 5 2 4" xfId="43973"/>
    <cellStyle name="Note 2 7 5 2 5" xfId="43974"/>
    <cellStyle name="Note 2 7 5 2 6" xfId="43975"/>
    <cellStyle name="Note 2 7 5 2 7" xfId="43976"/>
    <cellStyle name="Note 2 7 5 2 8" xfId="43977"/>
    <cellStyle name="Note 2 7 5 2 9" xfId="43978"/>
    <cellStyle name="Note 2 7 5 3" xfId="43979"/>
    <cellStyle name="Note 2 7 5 4" xfId="43980"/>
    <cellStyle name="Note 2 7 5 5" xfId="43981"/>
    <cellStyle name="Note 2 7 5 6" xfId="43982"/>
    <cellStyle name="Note 2 7 5 7" xfId="43983"/>
    <cellStyle name="Note 2 7 5 8" xfId="43984"/>
    <cellStyle name="Note 2 7 5 9" xfId="43985"/>
    <cellStyle name="Note 2 7 6" xfId="43986"/>
    <cellStyle name="Note 2 7 6 10" xfId="43987"/>
    <cellStyle name="Note 2 7 6 11" xfId="43988"/>
    <cellStyle name="Note 2 7 6 12" xfId="43989"/>
    <cellStyle name="Note 2 7 6 13" xfId="43990"/>
    <cellStyle name="Note 2 7 6 14" xfId="43991"/>
    <cellStyle name="Note 2 7 6 15" xfId="43992"/>
    <cellStyle name="Note 2 7 6 16" xfId="43993"/>
    <cellStyle name="Note 2 7 6 17" xfId="43994"/>
    <cellStyle name="Note 2 7 6 18" xfId="43995"/>
    <cellStyle name="Note 2 7 6 19" xfId="43996"/>
    <cellStyle name="Note 2 7 6 2" xfId="43997"/>
    <cellStyle name="Note 2 7 6 2 2" xfId="43998"/>
    <cellStyle name="Note 2 7 6 2 3" xfId="43999"/>
    <cellStyle name="Note 2 7 6 2 4" xfId="44000"/>
    <cellStyle name="Note 2 7 6 2 5" xfId="44001"/>
    <cellStyle name="Note 2 7 6 2 6" xfId="44002"/>
    <cellStyle name="Note 2 7 6 2 7" xfId="44003"/>
    <cellStyle name="Note 2 7 6 2 8" xfId="44004"/>
    <cellStyle name="Note 2 7 6 2 9" xfId="44005"/>
    <cellStyle name="Note 2 7 6 3" xfId="44006"/>
    <cellStyle name="Note 2 7 6 4" xfId="44007"/>
    <cellStyle name="Note 2 7 6 5" xfId="44008"/>
    <cellStyle name="Note 2 7 6 6" xfId="44009"/>
    <cellStyle name="Note 2 7 6 7" xfId="44010"/>
    <cellStyle name="Note 2 7 6 8" xfId="44011"/>
    <cellStyle name="Note 2 7 6 9" xfId="44012"/>
    <cellStyle name="Note 2 7 7" xfId="44013"/>
    <cellStyle name="Note 2 8" xfId="44014"/>
    <cellStyle name="Note 2 8 2" xfId="44015"/>
    <cellStyle name="Note 2 8 2 2" xfId="44016"/>
    <cellStyle name="Note 2 8 2 2 10" xfId="44017"/>
    <cellStyle name="Note 2 8 2 2 11" xfId="44018"/>
    <cellStyle name="Note 2 8 2 2 12" xfId="44019"/>
    <cellStyle name="Note 2 8 2 2 13" xfId="44020"/>
    <cellStyle name="Note 2 8 2 2 14" xfId="44021"/>
    <cellStyle name="Note 2 8 2 2 15" xfId="44022"/>
    <cellStyle name="Note 2 8 2 2 16" xfId="44023"/>
    <cellStyle name="Note 2 8 2 2 17" xfId="44024"/>
    <cellStyle name="Note 2 8 2 2 18" xfId="44025"/>
    <cellStyle name="Note 2 8 2 2 19" xfId="44026"/>
    <cellStyle name="Note 2 8 2 2 2" xfId="44027"/>
    <cellStyle name="Note 2 8 2 2 2 2" xfId="44028"/>
    <cellStyle name="Note 2 8 2 2 2 3" xfId="44029"/>
    <cellStyle name="Note 2 8 2 2 2 4" xfId="44030"/>
    <cellStyle name="Note 2 8 2 2 2 5" xfId="44031"/>
    <cellStyle name="Note 2 8 2 2 2 6" xfId="44032"/>
    <cellStyle name="Note 2 8 2 2 2 7" xfId="44033"/>
    <cellStyle name="Note 2 8 2 2 2 8" xfId="44034"/>
    <cellStyle name="Note 2 8 2 2 2 9" xfId="44035"/>
    <cellStyle name="Note 2 8 2 2 3" xfId="44036"/>
    <cellStyle name="Note 2 8 2 2 4" xfId="44037"/>
    <cellStyle name="Note 2 8 2 2 5" xfId="44038"/>
    <cellStyle name="Note 2 8 2 2 6" xfId="44039"/>
    <cellStyle name="Note 2 8 2 2 7" xfId="44040"/>
    <cellStyle name="Note 2 8 2 2 8" xfId="44041"/>
    <cellStyle name="Note 2 8 2 2 9" xfId="44042"/>
    <cellStyle name="Note 2 8 2 3" xfId="44043"/>
    <cellStyle name="Note 2 8 2 3 10" xfId="44044"/>
    <cellStyle name="Note 2 8 2 3 11" xfId="44045"/>
    <cellStyle name="Note 2 8 2 3 12" xfId="44046"/>
    <cellStyle name="Note 2 8 2 3 13" xfId="44047"/>
    <cellStyle name="Note 2 8 2 3 14" xfId="44048"/>
    <cellStyle name="Note 2 8 2 3 15" xfId="44049"/>
    <cellStyle name="Note 2 8 2 3 16" xfId="44050"/>
    <cellStyle name="Note 2 8 2 3 17" xfId="44051"/>
    <cellStyle name="Note 2 8 2 3 18" xfId="44052"/>
    <cellStyle name="Note 2 8 2 3 2" xfId="44053"/>
    <cellStyle name="Note 2 8 2 3 2 2" xfId="44054"/>
    <cellStyle name="Note 2 8 2 3 2 3" xfId="44055"/>
    <cellStyle name="Note 2 8 2 3 2 4" xfId="44056"/>
    <cellStyle name="Note 2 8 2 3 2 5" xfId="44057"/>
    <cellStyle name="Note 2 8 2 3 2 6" xfId="44058"/>
    <cellStyle name="Note 2 8 2 3 2 7" xfId="44059"/>
    <cellStyle name="Note 2 8 2 3 2 8" xfId="44060"/>
    <cellStyle name="Note 2 8 2 3 2 9" xfId="44061"/>
    <cellStyle name="Note 2 8 2 3 3" xfId="44062"/>
    <cellStyle name="Note 2 8 2 3 4" xfId="44063"/>
    <cellStyle name="Note 2 8 2 3 5" xfId="44064"/>
    <cellStyle name="Note 2 8 2 3 6" xfId="44065"/>
    <cellStyle name="Note 2 8 2 3 7" xfId="44066"/>
    <cellStyle name="Note 2 8 2 3 8" xfId="44067"/>
    <cellStyle name="Note 2 8 2 3 9" xfId="44068"/>
    <cellStyle name="Note 2 8 2 4" xfId="44069"/>
    <cellStyle name="Note 2 8 2 4 10" xfId="44070"/>
    <cellStyle name="Note 2 8 2 4 11" xfId="44071"/>
    <cellStyle name="Note 2 8 2 4 12" xfId="44072"/>
    <cellStyle name="Note 2 8 2 4 13" xfId="44073"/>
    <cellStyle name="Note 2 8 2 4 14" xfId="44074"/>
    <cellStyle name="Note 2 8 2 4 15" xfId="44075"/>
    <cellStyle name="Note 2 8 2 4 16" xfId="44076"/>
    <cellStyle name="Note 2 8 2 4 17" xfId="44077"/>
    <cellStyle name="Note 2 8 2 4 18" xfId="44078"/>
    <cellStyle name="Note 2 8 2 4 19" xfId="44079"/>
    <cellStyle name="Note 2 8 2 4 2" xfId="44080"/>
    <cellStyle name="Note 2 8 2 4 2 2" xfId="44081"/>
    <cellStyle name="Note 2 8 2 4 2 3" xfId="44082"/>
    <cellStyle name="Note 2 8 2 4 2 4" xfId="44083"/>
    <cellStyle name="Note 2 8 2 4 2 5" xfId="44084"/>
    <cellStyle name="Note 2 8 2 4 2 6" xfId="44085"/>
    <cellStyle name="Note 2 8 2 4 2 7" xfId="44086"/>
    <cellStyle name="Note 2 8 2 4 2 8" xfId="44087"/>
    <cellStyle name="Note 2 8 2 4 2 9" xfId="44088"/>
    <cellStyle name="Note 2 8 2 4 3" xfId="44089"/>
    <cellStyle name="Note 2 8 2 4 4" xfId="44090"/>
    <cellStyle name="Note 2 8 2 4 5" xfId="44091"/>
    <cellStyle name="Note 2 8 2 4 6" xfId="44092"/>
    <cellStyle name="Note 2 8 2 4 7" xfId="44093"/>
    <cellStyle name="Note 2 8 2 4 8" xfId="44094"/>
    <cellStyle name="Note 2 8 2 4 9" xfId="44095"/>
    <cellStyle name="Note 2 8 2 5" xfId="44096"/>
    <cellStyle name="Note 2 8 3" xfId="44097"/>
    <cellStyle name="Note 2 8 3 2" xfId="44098"/>
    <cellStyle name="Note 2 8 3 2 10" xfId="44099"/>
    <cellStyle name="Note 2 8 3 2 11" xfId="44100"/>
    <cellStyle name="Note 2 8 3 2 12" xfId="44101"/>
    <cellStyle name="Note 2 8 3 2 13" xfId="44102"/>
    <cellStyle name="Note 2 8 3 2 14" xfId="44103"/>
    <cellStyle name="Note 2 8 3 2 15" xfId="44104"/>
    <cellStyle name="Note 2 8 3 2 16" xfId="44105"/>
    <cellStyle name="Note 2 8 3 2 17" xfId="44106"/>
    <cellStyle name="Note 2 8 3 2 18" xfId="44107"/>
    <cellStyle name="Note 2 8 3 2 19" xfId="44108"/>
    <cellStyle name="Note 2 8 3 2 2" xfId="44109"/>
    <cellStyle name="Note 2 8 3 2 2 2" xfId="44110"/>
    <cellStyle name="Note 2 8 3 2 2 3" xfId="44111"/>
    <cellStyle name="Note 2 8 3 2 2 4" xfId="44112"/>
    <cellStyle name="Note 2 8 3 2 2 5" xfId="44113"/>
    <cellStyle name="Note 2 8 3 2 2 6" xfId="44114"/>
    <cellStyle name="Note 2 8 3 2 2 7" xfId="44115"/>
    <cellStyle name="Note 2 8 3 2 2 8" xfId="44116"/>
    <cellStyle name="Note 2 8 3 2 2 9" xfId="44117"/>
    <cellStyle name="Note 2 8 3 2 3" xfId="44118"/>
    <cellStyle name="Note 2 8 3 2 4" xfId="44119"/>
    <cellStyle name="Note 2 8 3 2 5" xfId="44120"/>
    <cellStyle name="Note 2 8 3 2 6" xfId="44121"/>
    <cellStyle name="Note 2 8 3 2 7" xfId="44122"/>
    <cellStyle name="Note 2 8 3 2 8" xfId="44123"/>
    <cellStyle name="Note 2 8 3 2 9" xfId="44124"/>
    <cellStyle name="Note 2 8 3 3" xfId="44125"/>
    <cellStyle name="Note 2 8 3 3 10" xfId="44126"/>
    <cellStyle name="Note 2 8 3 3 11" xfId="44127"/>
    <cellStyle name="Note 2 8 3 3 12" xfId="44128"/>
    <cellStyle name="Note 2 8 3 3 13" xfId="44129"/>
    <cellStyle name="Note 2 8 3 3 14" xfId="44130"/>
    <cellStyle name="Note 2 8 3 3 15" xfId="44131"/>
    <cellStyle name="Note 2 8 3 3 16" xfId="44132"/>
    <cellStyle name="Note 2 8 3 3 17" xfId="44133"/>
    <cellStyle name="Note 2 8 3 3 18" xfId="44134"/>
    <cellStyle name="Note 2 8 3 3 2" xfId="44135"/>
    <cellStyle name="Note 2 8 3 3 2 2" xfId="44136"/>
    <cellStyle name="Note 2 8 3 3 2 3" xfId="44137"/>
    <cellStyle name="Note 2 8 3 3 2 4" xfId="44138"/>
    <cellStyle name="Note 2 8 3 3 2 5" xfId="44139"/>
    <cellStyle name="Note 2 8 3 3 2 6" xfId="44140"/>
    <cellStyle name="Note 2 8 3 3 2 7" xfId="44141"/>
    <cellStyle name="Note 2 8 3 3 2 8" xfId="44142"/>
    <cellStyle name="Note 2 8 3 3 2 9" xfId="44143"/>
    <cellStyle name="Note 2 8 3 3 3" xfId="44144"/>
    <cellStyle name="Note 2 8 3 3 4" xfId="44145"/>
    <cellStyle name="Note 2 8 3 3 5" xfId="44146"/>
    <cellStyle name="Note 2 8 3 3 6" xfId="44147"/>
    <cellStyle name="Note 2 8 3 3 7" xfId="44148"/>
    <cellStyle name="Note 2 8 3 3 8" xfId="44149"/>
    <cellStyle name="Note 2 8 3 3 9" xfId="44150"/>
    <cellStyle name="Note 2 8 3 4" xfId="44151"/>
    <cellStyle name="Note 2 8 3 4 10" xfId="44152"/>
    <cellStyle name="Note 2 8 3 4 11" xfId="44153"/>
    <cellStyle name="Note 2 8 3 4 12" xfId="44154"/>
    <cellStyle name="Note 2 8 3 4 13" xfId="44155"/>
    <cellStyle name="Note 2 8 3 4 14" xfId="44156"/>
    <cellStyle name="Note 2 8 3 4 15" xfId="44157"/>
    <cellStyle name="Note 2 8 3 4 16" xfId="44158"/>
    <cellStyle name="Note 2 8 3 4 17" xfId="44159"/>
    <cellStyle name="Note 2 8 3 4 18" xfId="44160"/>
    <cellStyle name="Note 2 8 3 4 19" xfId="44161"/>
    <cellStyle name="Note 2 8 3 4 2" xfId="44162"/>
    <cellStyle name="Note 2 8 3 4 2 2" xfId="44163"/>
    <cellStyle name="Note 2 8 3 4 2 3" xfId="44164"/>
    <cellStyle name="Note 2 8 3 4 2 4" xfId="44165"/>
    <cellStyle name="Note 2 8 3 4 2 5" xfId="44166"/>
    <cellStyle name="Note 2 8 3 4 2 6" xfId="44167"/>
    <cellStyle name="Note 2 8 3 4 2 7" xfId="44168"/>
    <cellStyle name="Note 2 8 3 4 2 8" xfId="44169"/>
    <cellStyle name="Note 2 8 3 4 2 9" xfId="44170"/>
    <cellStyle name="Note 2 8 3 4 3" xfId="44171"/>
    <cellStyle name="Note 2 8 3 4 4" xfId="44172"/>
    <cellStyle name="Note 2 8 3 4 5" xfId="44173"/>
    <cellStyle name="Note 2 8 3 4 6" xfId="44174"/>
    <cellStyle name="Note 2 8 3 4 7" xfId="44175"/>
    <cellStyle name="Note 2 8 3 4 8" xfId="44176"/>
    <cellStyle name="Note 2 8 3 4 9" xfId="44177"/>
    <cellStyle name="Note 2 8 3 5" xfId="44178"/>
    <cellStyle name="Note 2 8 4" xfId="44179"/>
    <cellStyle name="Note 2 8 4 10" xfId="44180"/>
    <cellStyle name="Note 2 8 4 11" xfId="44181"/>
    <cellStyle name="Note 2 8 4 12" xfId="44182"/>
    <cellStyle name="Note 2 8 4 13" xfId="44183"/>
    <cellStyle name="Note 2 8 4 14" xfId="44184"/>
    <cellStyle name="Note 2 8 4 15" xfId="44185"/>
    <cellStyle name="Note 2 8 4 16" xfId="44186"/>
    <cellStyle name="Note 2 8 4 17" xfId="44187"/>
    <cellStyle name="Note 2 8 4 18" xfId="44188"/>
    <cellStyle name="Note 2 8 4 19" xfId="44189"/>
    <cellStyle name="Note 2 8 4 2" xfId="44190"/>
    <cellStyle name="Note 2 8 4 2 2" xfId="44191"/>
    <cellStyle name="Note 2 8 4 2 3" xfId="44192"/>
    <cellStyle name="Note 2 8 4 2 4" xfId="44193"/>
    <cellStyle name="Note 2 8 4 2 5" xfId="44194"/>
    <cellStyle name="Note 2 8 4 2 6" xfId="44195"/>
    <cellStyle name="Note 2 8 4 2 7" xfId="44196"/>
    <cellStyle name="Note 2 8 4 2 8" xfId="44197"/>
    <cellStyle name="Note 2 8 4 2 9" xfId="44198"/>
    <cellStyle name="Note 2 8 4 3" xfId="44199"/>
    <cellStyle name="Note 2 8 4 4" xfId="44200"/>
    <cellStyle name="Note 2 8 4 5" xfId="44201"/>
    <cellStyle name="Note 2 8 4 6" xfId="44202"/>
    <cellStyle name="Note 2 8 4 7" xfId="44203"/>
    <cellStyle name="Note 2 8 4 8" xfId="44204"/>
    <cellStyle name="Note 2 8 4 9" xfId="44205"/>
    <cellStyle name="Note 2 8 5" xfId="44206"/>
    <cellStyle name="Note 2 8 5 10" xfId="44207"/>
    <cellStyle name="Note 2 8 5 11" xfId="44208"/>
    <cellStyle name="Note 2 8 5 12" xfId="44209"/>
    <cellStyle name="Note 2 8 5 13" xfId="44210"/>
    <cellStyle name="Note 2 8 5 14" xfId="44211"/>
    <cellStyle name="Note 2 8 5 15" xfId="44212"/>
    <cellStyle name="Note 2 8 5 16" xfId="44213"/>
    <cellStyle name="Note 2 8 5 17" xfId="44214"/>
    <cellStyle name="Note 2 8 5 18" xfId="44215"/>
    <cellStyle name="Note 2 8 5 2" xfId="44216"/>
    <cellStyle name="Note 2 8 5 2 2" xfId="44217"/>
    <cellStyle name="Note 2 8 5 2 3" xfId="44218"/>
    <cellStyle name="Note 2 8 5 2 4" xfId="44219"/>
    <cellStyle name="Note 2 8 5 2 5" xfId="44220"/>
    <cellStyle name="Note 2 8 5 2 6" xfId="44221"/>
    <cellStyle name="Note 2 8 5 2 7" xfId="44222"/>
    <cellStyle name="Note 2 8 5 2 8" xfId="44223"/>
    <cellStyle name="Note 2 8 5 2 9" xfId="44224"/>
    <cellStyle name="Note 2 8 5 3" xfId="44225"/>
    <cellStyle name="Note 2 8 5 4" xfId="44226"/>
    <cellStyle name="Note 2 8 5 5" xfId="44227"/>
    <cellStyle name="Note 2 8 5 6" xfId="44228"/>
    <cellStyle name="Note 2 8 5 7" xfId="44229"/>
    <cellStyle name="Note 2 8 5 8" xfId="44230"/>
    <cellStyle name="Note 2 8 5 9" xfId="44231"/>
    <cellStyle name="Note 2 8 6" xfId="44232"/>
    <cellStyle name="Note 2 8 6 10" xfId="44233"/>
    <cellStyle name="Note 2 8 6 11" xfId="44234"/>
    <cellStyle name="Note 2 8 6 12" xfId="44235"/>
    <cellStyle name="Note 2 8 6 13" xfId="44236"/>
    <cellStyle name="Note 2 8 6 14" xfId="44237"/>
    <cellStyle name="Note 2 8 6 15" xfId="44238"/>
    <cellStyle name="Note 2 8 6 16" xfId="44239"/>
    <cellStyle name="Note 2 8 6 17" xfId="44240"/>
    <cellStyle name="Note 2 8 6 18" xfId="44241"/>
    <cellStyle name="Note 2 8 6 19" xfId="44242"/>
    <cellStyle name="Note 2 8 6 2" xfId="44243"/>
    <cellStyle name="Note 2 8 6 2 2" xfId="44244"/>
    <cellStyle name="Note 2 8 6 2 3" xfId="44245"/>
    <cellStyle name="Note 2 8 6 2 4" xfId="44246"/>
    <cellStyle name="Note 2 8 6 2 5" xfId="44247"/>
    <cellStyle name="Note 2 8 6 2 6" xfId="44248"/>
    <cellStyle name="Note 2 8 6 2 7" xfId="44249"/>
    <cellStyle name="Note 2 8 6 2 8" xfId="44250"/>
    <cellStyle name="Note 2 8 6 2 9" xfId="44251"/>
    <cellStyle name="Note 2 8 6 3" xfId="44252"/>
    <cellStyle name="Note 2 8 6 4" xfId="44253"/>
    <cellStyle name="Note 2 8 6 5" xfId="44254"/>
    <cellStyle name="Note 2 8 6 6" xfId="44255"/>
    <cellStyle name="Note 2 8 6 7" xfId="44256"/>
    <cellStyle name="Note 2 8 6 8" xfId="44257"/>
    <cellStyle name="Note 2 8 6 9" xfId="44258"/>
    <cellStyle name="Note 2 8 7" xfId="44259"/>
    <cellStyle name="Note 2 9" xfId="44260"/>
    <cellStyle name="Note 2 9 2" xfId="44261"/>
    <cellStyle name="Note 2 9 2 10" xfId="44262"/>
    <cellStyle name="Note 2 9 2 11" xfId="44263"/>
    <cellStyle name="Note 2 9 2 12" xfId="44264"/>
    <cellStyle name="Note 2 9 2 13" xfId="44265"/>
    <cellStyle name="Note 2 9 2 14" xfId="44266"/>
    <cellStyle name="Note 2 9 2 15" xfId="44267"/>
    <cellStyle name="Note 2 9 2 16" xfId="44268"/>
    <cellStyle name="Note 2 9 2 17" xfId="44269"/>
    <cellStyle name="Note 2 9 2 18" xfId="44270"/>
    <cellStyle name="Note 2 9 2 19" xfId="44271"/>
    <cellStyle name="Note 2 9 2 2" xfId="44272"/>
    <cellStyle name="Note 2 9 2 2 2" xfId="44273"/>
    <cellStyle name="Note 2 9 2 2 3" xfId="44274"/>
    <cellStyle name="Note 2 9 2 2 4" xfId="44275"/>
    <cellStyle name="Note 2 9 2 2 5" xfId="44276"/>
    <cellStyle name="Note 2 9 2 2 6" xfId="44277"/>
    <cellStyle name="Note 2 9 2 2 7" xfId="44278"/>
    <cellStyle name="Note 2 9 2 2 8" xfId="44279"/>
    <cellStyle name="Note 2 9 2 2 9" xfId="44280"/>
    <cellStyle name="Note 2 9 2 3" xfId="44281"/>
    <cellStyle name="Note 2 9 2 4" xfId="44282"/>
    <cellStyle name="Note 2 9 2 5" xfId="44283"/>
    <cellStyle name="Note 2 9 2 6" xfId="44284"/>
    <cellStyle name="Note 2 9 2 7" xfId="44285"/>
    <cellStyle name="Note 2 9 2 8" xfId="44286"/>
    <cellStyle name="Note 2 9 2 9" xfId="44287"/>
    <cellStyle name="Note 2 9 3" xfId="44288"/>
    <cellStyle name="Note 2 9 3 10" xfId="44289"/>
    <cellStyle name="Note 2 9 3 11" xfId="44290"/>
    <cellStyle name="Note 2 9 3 12" xfId="44291"/>
    <cellStyle name="Note 2 9 3 13" xfId="44292"/>
    <cellStyle name="Note 2 9 3 14" xfId="44293"/>
    <cellStyle name="Note 2 9 3 15" xfId="44294"/>
    <cellStyle name="Note 2 9 3 16" xfId="44295"/>
    <cellStyle name="Note 2 9 3 17" xfId="44296"/>
    <cellStyle name="Note 2 9 3 18" xfId="44297"/>
    <cellStyle name="Note 2 9 3 2" xfId="44298"/>
    <cellStyle name="Note 2 9 3 2 2" xfId="44299"/>
    <cellStyle name="Note 2 9 3 2 3" xfId="44300"/>
    <cellStyle name="Note 2 9 3 2 4" xfId="44301"/>
    <cellStyle name="Note 2 9 3 2 5" xfId="44302"/>
    <cellStyle name="Note 2 9 3 2 6" xfId="44303"/>
    <cellStyle name="Note 2 9 3 2 7" xfId="44304"/>
    <cellStyle name="Note 2 9 3 2 8" xfId="44305"/>
    <cellStyle name="Note 2 9 3 2 9" xfId="44306"/>
    <cellStyle name="Note 2 9 3 3" xfId="44307"/>
    <cellStyle name="Note 2 9 3 4" xfId="44308"/>
    <cellStyle name="Note 2 9 3 5" xfId="44309"/>
    <cellStyle name="Note 2 9 3 6" xfId="44310"/>
    <cellStyle name="Note 2 9 3 7" xfId="44311"/>
    <cellStyle name="Note 2 9 3 8" xfId="44312"/>
    <cellStyle name="Note 2 9 3 9" xfId="44313"/>
    <cellStyle name="Note 2 9 4" xfId="44314"/>
    <cellStyle name="Note 2 9 4 10" xfId="44315"/>
    <cellStyle name="Note 2 9 4 11" xfId="44316"/>
    <cellStyle name="Note 2 9 4 12" xfId="44317"/>
    <cellStyle name="Note 2 9 4 13" xfId="44318"/>
    <cellStyle name="Note 2 9 4 14" xfId="44319"/>
    <cellStyle name="Note 2 9 4 15" xfId="44320"/>
    <cellStyle name="Note 2 9 4 16" xfId="44321"/>
    <cellStyle name="Note 2 9 4 17" xfId="44322"/>
    <cellStyle name="Note 2 9 4 18" xfId="44323"/>
    <cellStyle name="Note 2 9 4 19" xfId="44324"/>
    <cellStyle name="Note 2 9 4 2" xfId="44325"/>
    <cellStyle name="Note 2 9 4 2 2" xfId="44326"/>
    <cellStyle name="Note 2 9 4 2 3" xfId="44327"/>
    <cellStyle name="Note 2 9 4 2 4" xfId="44328"/>
    <cellStyle name="Note 2 9 4 2 5" xfId="44329"/>
    <cellStyle name="Note 2 9 4 2 6" xfId="44330"/>
    <cellStyle name="Note 2 9 4 2 7" xfId="44331"/>
    <cellStyle name="Note 2 9 4 2 8" xfId="44332"/>
    <cellStyle name="Note 2 9 4 2 9" xfId="44333"/>
    <cellStyle name="Note 2 9 4 3" xfId="44334"/>
    <cellStyle name="Note 2 9 4 4" xfId="44335"/>
    <cellStyle name="Note 2 9 4 5" xfId="44336"/>
    <cellStyle name="Note 2 9 4 6" xfId="44337"/>
    <cellStyle name="Note 2 9 4 7" xfId="44338"/>
    <cellStyle name="Note 2 9 4 8" xfId="44339"/>
    <cellStyle name="Note 2 9 4 9" xfId="44340"/>
    <cellStyle name="Note 2 9 5" xfId="44341"/>
    <cellStyle name="Note 20" xfId="44342"/>
    <cellStyle name="Note 21" xfId="44343"/>
    <cellStyle name="Note 22" xfId="44344"/>
    <cellStyle name="Note 23" xfId="44345"/>
    <cellStyle name="Note 24" xfId="44346"/>
    <cellStyle name="Note 25" xfId="44347"/>
    <cellStyle name="Note 26" xfId="44348"/>
    <cellStyle name="Note 27" xfId="44349"/>
    <cellStyle name="Note 28" xfId="44350"/>
    <cellStyle name="Note 3" xfId="44351"/>
    <cellStyle name="Note 3 10" xfId="44352"/>
    <cellStyle name="Note 3 10 10" xfId="44353"/>
    <cellStyle name="Note 3 10 11" xfId="44354"/>
    <cellStyle name="Note 3 10 12" xfId="44355"/>
    <cellStyle name="Note 3 10 13" xfId="44356"/>
    <cellStyle name="Note 3 10 14" xfId="44357"/>
    <cellStyle name="Note 3 10 15" xfId="44358"/>
    <cellStyle name="Note 3 10 16" xfId="44359"/>
    <cellStyle name="Note 3 10 17" xfId="44360"/>
    <cellStyle name="Note 3 10 18" xfId="44361"/>
    <cellStyle name="Note 3 10 19" xfId="44362"/>
    <cellStyle name="Note 3 10 2" xfId="44363"/>
    <cellStyle name="Note 3 10 2 2" xfId="44364"/>
    <cellStyle name="Note 3 10 2 3" xfId="44365"/>
    <cellStyle name="Note 3 10 2 4" xfId="44366"/>
    <cellStyle name="Note 3 10 2 5" xfId="44367"/>
    <cellStyle name="Note 3 10 2 6" xfId="44368"/>
    <cellStyle name="Note 3 10 2 7" xfId="44369"/>
    <cellStyle name="Note 3 10 2 8" xfId="44370"/>
    <cellStyle name="Note 3 10 2 9" xfId="44371"/>
    <cellStyle name="Note 3 10 3" xfId="44372"/>
    <cellStyle name="Note 3 10 4" xfId="44373"/>
    <cellStyle name="Note 3 10 5" xfId="44374"/>
    <cellStyle name="Note 3 10 6" xfId="44375"/>
    <cellStyle name="Note 3 10 7" xfId="44376"/>
    <cellStyle name="Note 3 10 8" xfId="44377"/>
    <cellStyle name="Note 3 10 9" xfId="44378"/>
    <cellStyle name="Note 3 11" xfId="44379"/>
    <cellStyle name="Note 3 11 10" xfId="44380"/>
    <cellStyle name="Note 3 11 11" xfId="44381"/>
    <cellStyle name="Note 3 11 12" xfId="44382"/>
    <cellStyle name="Note 3 11 13" xfId="44383"/>
    <cellStyle name="Note 3 11 14" xfId="44384"/>
    <cellStyle name="Note 3 11 15" xfId="44385"/>
    <cellStyle name="Note 3 11 16" xfId="44386"/>
    <cellStyle name="Note 3 11 17" xfId="44387"/>
    <cellStyle name="Note 3 11 18" xfId="44388"/>
    <cellStyle name="Note 3 11 2" xfId="44389"/>
    <cellStyle name="Note 3 11 2 2" xfId="44390"/>
    <cellStyle name="Note 3 11 2 3" xfId="44391"/>
    <cellStyle name="Note 3 11 2 4" xfId="44392"/>
    <cellStyle name="Note 3 11 2 5" xfId="44393"/>
    <cellStyle name="Note 3 11 2 6" xfId="44394"/>
    <cellStyle name="Note 3 11 2 7" xfId="44395"/>
    <cellStyle name="Note 3 11 2 8" xfId="44396"/>
    <cellStyle name="Note 3 11 2 9" xfId="44397"/>
    <cellStyle name="Note 3 11 3" xfId="44398"/>
    <cellStyle name="Note 3 11 4" xfId="44399"/>
    <cellStyle name="Note 3 11 5" xfId="44400"/>
    <cellStyle name="Note 3 11 6" xfId="44401"/>
    <cellStyle name="Note 3 11 7" xfId="44402"/>
    <cellStyle name="Note 3 11 8" xfId="44403"/>
    <cellStyle name="Note 3 11 9" xfId="44404"/>
    <cellStyle name="Note 3 12" xfId="44405"/>
    <cellStyle name="Note 3 12 10" xfId="44406"/>
    <cellStyle name="Note 3 12 11" xfId="44407"/>
    <cellStyle name="Note 3 12 12" xfId="44408"/>
    <cellStyle name="Note 3 12 13" xfId="44409"/>
    <cellStyle name="Note 3 12 14" xfId="44410"/>
    <cellStyle name="Note 3 12 15" xfId="44411"/>
    <cellStyle name="Note 3 12 16" xfId="44412"/>
    <cellStyle name="Note 3 12 17" xfId="44413"/>
    <cellStyle name="Note 3 12 18" xfId="44414"/>
    <cellStyle name="Note 3 12 19" xfId="44415"/>
    <cellStyle name="Note 3 12 2" xfId="44416"/>
    <cellStyle name="Note 3 12 2 2" xfId="44417"/>
    <cellStyle name="Note 3 12 2 3" xfId="44418"/>
    <cellStyle name="Note 3 12 2 4" xfId="44419"/>
    <cellStyle name="Note 3 12 2 5" xfId="44420"/>
    <cellStyle name="Note 3 12 2 6" xfId="44421"/>
    <cellStyle name="Note 3 12 2 7" xfId="44422"/>
    <cellStyle name="Note 3 12 2 8" xfId="44423"/>
    <cellStyle name="Note 3 12 2 9" xfId="44424"/>
    <cellStyle name="Note 3 12 3" xfId="44425"/>
    <cellStyle name="Note 3 12 4" xfId="44426"/>
    <cellStyle name="Note 3 12 5" xfId="44427"/>
    <cellStyle name="Note 3 12 6" xfId="44428"/>
    <cellStyle name="Note 3 12 7" xfId="44429"/>
    <cellStyle name="Note 3 12 8" xfId="44430"/>
    <cellStyle name="Note 3 12 9" xfId="44431"/>
    <cellStyle name="Note 3 13" xfId="44432"/>
    <cellStyle name="Note 3 2" xfId="44433"/>
    <cellStyle name="Note 3 2 2" xfId="44434"/>
    <cellStyle name="Note 3 2 2 2" xfId="44435"/>
    <cellStyle name="Note 3 2 2 2 10" xfId="44436"/>
    <cellStyle name="Note 3 2 2 2 11" xfId="44437"/>
    <cellStyle name="Note 3 2 2 2 12" xfId="44438"/>
    <cellStyle name="Note 3 2 2 2 13" xfId="44439"/>
    <cellStyle name="Note 3 2 2 2 14" xfId="44440"/>
    <cellStyle name="Note 3 2 2 2 15" xfId="44441"/>
    <cellStyle name="Note 3 2 2 2 16" xfId="44442"/>
    <cellStyle name="Note 3 2 2 2 17" xfId="44443"/>
    <cellStyle name="Note 3 2 2 2 18" xfId="44444"/>
    <cellStyle name="Note 3 2 2 2 19" xfId="44445"/>
    <cellStyle name="Note 3 2 2 2 2" xfId="44446"/>
    <cellStyle name="Note 3 2 2 2 2 2" xfId="44447"/>
    <cellStyle name="Note 3 2 2 2 2 3" xfId="44448"/>
    <cellStyle name="Note 3 2 2 2 2 4" xfId="44449"/>
    <cellStyle name="Note 3 2 2 2 2 5" xfId="44450"/>
    <cellStyle name="Note 3 2 2 2 2 6" xfId="44451"/>
    <cellStyle name="Note 3 2 2 2 2 7" xfId="44452"/>
    <cellStyle name="Note 3 2 2 2 2 8" xfId="44453"/>
    <cellStyle name="Note 3 2 2 2 2 9" xfId="44454"/>
    <cellStyle name="Note 3 2 2 2 3" xfId="44455"/>
    <cellStyle name="Note 3 2 2 2 4" xfId="44456"/>
    <cellStyle name="Note 3 2 2 2 5" xfId="44457"/>
    <cellStyle name="Note 3 2 2 2 6" xfId="44458"/>
    <cellStyle name="Note 3 2 2 2 7" xfId="44459"/>
    <cellStyle name="Note 3 2 2 2 8" xfId="44460"/>
    <cellStyle name="Note 3 2 2 2 9" xfId="44461"/>
    <cellStyle name="Note 3 2 2 3" xfId="44462"/>
    <cellStyle name="Note 3 2 2 3 10" xfId="44463"/>
    <cellStyle name="Note 3 2 2 3 11" xfId="44464"/>
    <cellStyle name="Note 3 2 2 3 12" xfId="44465"/>
    <cellStyle name="Note 3 2 2 3 13" xfId="44466"/>
    <cellStyle name="Note 3 2 2 3 14" xfId="44467"/>
    <cellStyle name="Note 3 2 2 3 15" xfId="44468"/>
    <cellStyle name="Note 3 2 2 3 16" xfId="44469"/>
    <cellStyle name="Note 3 2 2 3 17" xfId="44470"/>
    <cellStyle name="Note 3 2 2 3 18" xfId="44471"/>
    <cellStyle name="Note 3 2 2 3 2" xfId="44472"/>
    <cellStyle name="Note 3 2 2 3 2 2" xfId="44473"/>
    <cellStyle name="Note 3 2 2 3 2 3" xfId="44474"/>
    <cellStyle name="Note 3 2 2 3 2 4" xfId="44475"/>
    <cellStyle name="Note 3 2 2 3 2 5" xfId="44476"/>
    <cellStyle name="Note 3 2 2 3 2 6" xfId="44477"/>
    <cellStyle name="Note 3 2 2 3 2 7" xfId="44478"/>
    <cellStyle name="Note 3 2 2 3 2 8" xfId="44479"/>
    <cellStyle name="Note 3 2 2 3 2 9" xfId="44480"/>
    <cellStyle name="Note 3 2 2 3 3" xfId="44481"/>
    <cellStyle name="Note 3 2 2 3 4" xfId="44482"/>
    <cellStyle name="Note 3 2 2 3 5" xfId="44483"/>
    <cellStyle name="Note 3 2 2 3 6" xfId="44484"/>
    <cellStyle name="Note 3 2 2 3 7" xfId="44485"/>
    <cellStyle name="Note 3 2 2 3 8" xfId="44486"/>
    <cellStyle name="Note 3 2 2 3 9" xfId="44487"/>
    <cellStyle name="Note 3 2 2 4" xfId="44488"/>
    <cellStyle name="Note 3 2 2 4 10" xfId="44489"/>
    <cellStyle name="Note 3 2 2 4 11" xfId="44490"/>
    <cellStyle name="Note 3 2 2 4 12" xfId="44491"/>
    <cellStyle name="Note 3 2 2 4 13" xfId="44492"/>
    <cellStyle name="Note 3 2 2 4 14" xfId="44493"/>
    <cellStyle name="Note 3 2 2 4 15" xfId="44494"/>
    <cellStyle name="Note 3 2 2 4 16" xfId="44495"/>
    <cellStyle name="Note 3 2 2 4 17" xfId="44496"/>
    <cellStyle name="Note 3 2 2 4 18" xfId="44497"/>
    <cellStyle name="Note 3 2 2 4 19" xfId="44498"/>
    <cellStyle name="Note 3 2 2 4 2" xfId="44499"/>
    <cellStyle name="Note 3 2 2 4 2 2" xfId="44500"/>
    <cellStyle name="Note 3 2 2 4 2 3" xfId="44501"/>
    <cellStyle name="Note 3 2 2 4 2 4" xfId="44502"/>
    <cellStyle name="Note 3 2 2 4 2 5" xfId="44503"/>
    <cellStyle name="Note 3 2 2 4 2 6" xfId="44504"/>
    <cellStyle name="Note 3 2 2 4 2 7" xfId="44505"/>
    <cellStyle name="Note 3 2 2 4 2 8" xfId="44506"/>
    <cellStyle name="Note 3 2 2 4 2 9" xfId="44507"/>
    <cellStyle name="Note 3 2 2 4 3" xfId="44508"/>
    <cellStyle name="Note 3 2 2 4 4" xfId="44509"/>
    <cellStyle name="Note 3 2 2 4 5" xfId="44510"/>
    <cellStyle name="Note 3 2 2 4 6" xfId="44511"/>
    <cellStyle name="Note 3 2 2 4 7" xfId="44512"/>
    <cellStyle name="Note 3 2 2 4 8" xfId="44513"/>
    <cellStyle name="Note 3 2 2 4 9" xfId="44514"/>
    <cellStyle name="Note 3 2 2 5" xfId="44515"/>
    <cellStyle name="Note 3 2 3" xfId="44516"/>
    <cellStyle name="Note 3 2 3 2" xfId="44517"/>
    <cellStyle name="Note 3 2 3 2 10" xfId="44518"/>
    <cellStyle name="Note 3 2 3 2 11" xfId="44519"/>
    <cellStyle name="Note 3 2 3 2 12" xfId="44520"/>
    <cellStyle name="Note 3 2 3 2 13" xfId="44521"/>
    <cellStyle name="Note 3 2 3 2 14" xfId="44522"/>
    <cellStyle name="Note 3 2 3 2 15" xfId="44523"/>
    <cellStyle name="Note 3 2 3 2 16" xfId="44524"/>
    <cellStyle name="Note 3 2 3 2 17" xfId="44525"/>
    <cellStyle name="Note 3 2 3 2 18" xfId="44526"/>
    <cellStyle name="Note 3 2 3 2 19" xfId="44527"/>
    <cellStyle name="Note 3 2 3 2 2" xfId="44528"/>
    <cellStyle name="Note 3 2 3 2 2 2" xfId="44529"/>
    <cellStyle name="Note 3 2 3 2 2 3" xfId="44530"/>
    <cellStyle name="Note 3 2 3 2 2 4" xfId="44531"/>
    <cellStyle name="Note 3 2 3 2 2 5" xfId="44532"/>
    <cellStyle name="Note 3 2 3 2 2 6" xfId="44533"/>
    <cellStyle name="Note 3 2 3 2 2 7" xfId="44534"/>
    <cellStyle name="Note 3 2 3 2 2 8" xfId="44535"/>
    <cellStyle name="Note 3 2 3 2 2 9" xfId="44536"/>
    <cellStyle name="Note 3 2 3 2 3" xfId="44537"/>
    <cellStyle name="Note 3 2 3 2 4" xfId="44538"/>
    <cellStyle name="Note 3 2 3 2 5" xfId="44539"/>
    <cellStyle name="Note 3 2 3 2 6" xfId="44540"/>
    <cellStyle name="Note 3 2 3 2 7" xfId="44541"/>
    <cellStyle name="Note 3 2 3 2 8" xfId="44542"/>
    <cellStyle name="Note 3 2 3 2 9" xfId="44543"/>
    <cellStyle name="Note 3 2 3 3" xfId="44544"/>
    <cellStyle name="Note 3 2 3 3 10" xfId="44545"/>
    <cellStyle name="Note 3 2 3 3 11" xfId="44546"/>
    <cellStyle name="Note 3 2 3 3 12" xfId="44547"/>
    <cellStyle name="Note 3 2 3 3 13" xfId="44548"/>
    <cellStyle name="Note 3 2 3 3 14" xfId="44549"/>
    <cellStyle name="Note 3 2 3 3 15" xfId="44550"/>
    <cellStyle name="Note 3 2 3 3 16" xfId="44551"/>
    <cellStyle name="Note 3 2 3 3 17" xfId="44552"/>
    <cellStyle name="Note 3 2 3 3 18" xfId="44553"/>
    <cellStyle name="Note 3 2 3 3 2" xfId="44554"/>
    <cellStyle name="Note 3 2 3 3 2 2" xfId="44555"/>
    <cellStyle name="Note 3 2 3 3 2 3" xfId="44556"/>
    <cellStyle name="Note 3 2 3 3 2 4" xfId="44557"/>
    <cellStyle name="Note 3 2 3 3 2 5" xfId="44558"/>
    <cellStyle name="Note 3 2 3 3 2 6" xfId="44559"/>
    <cellStyle name="Note 3 2 3 3 2 7" xfId="44560"/>
    <cellStyle name="Note 3 2 3 3 2 8" xfId="44561"/>
    <cellStyle name="Note 3 2 3 3 2 9" xfId="44562"/>
    <cellStyle name="Note 3 2 3 3 3" xfId="44563"/>
    <cellStyle name="Note 3 2 3 3 4" xfId="44564"/>
    <cellStyle name="Note 3 2 3 3 5" xfId="44565"/>
    <cellStyle name="Note 3 2 3 3 6" xfId="44566"/>
    <cellStyle name="Note 3 2 3 3 7" xfId="44567"/>
    <cellStyle name="Note 3 2 3 3 8" xfId="44568"/>
    <cellStyle name="Note 3 2 3 3 9" xfId="44569"/>
    <cellStyle name="Note 3 2 3 4" xfId="44570"/>
    <cellStyle name="Note 3 2 3 4 10" xfId="44571"/>
    <cellStyle name="Note 3 2 3 4 11" xfId="44572"/>
    <cellStyle name="Note 3 2 3 4 12" xfId="44573"/>
    <cellStyle name="Note 3 2 3 4 13" xfId="44574"/>
    <cellStyle name="Note 3 2 3 4 14" xfId="44575"/>
    <cellStyle name="Note 3 2 3 4 15" xfId="44576"/>
    <cellStyle name="Note 3 2 3 4 16" xfId="44577"/>
    <cellStyle name="Note 3 2 3 4 17" xfId="44578"/>
    <cellStyle name="Note 3 2 3 4 18" xfId="44579"/>
    <cellStyle name="Note 3 2 3 4 19" xfId="44580"/>
    <cellStyle name="Note 3 2 3 4 2" xfId="44581"/>
    <cellStyle name="Note 3 2 3 4 2 2" xfId="44582"/>
    <cellStyle name="Note 3 2 3 4 2 3" xfId="44583"/>
    <cellStyle name="Note 3 2 3 4 2 4" xfId="44584"/>
    <cellStyle name="Note 3 2 3 4 2 5" xfId="44585"/>
    <cellStyle name="Note 3 2 3 4 2 6" xfId="44586"/>
    <cellStyle name="Note 3 2 3 4 2 7" xfId="44587"/>
    <cellStyle name="Note 3 2 3 4 2 8" xfId="44588"/>
    <cellStyle name="Note 3 2 3 4 2 9" xfId="44589"/>
    <cellStyle name="Note 3 2 3 4 3" xfId="44590"/>
    <cellStyle name="Note 3 2 3 4 4" xfId="44591"/>
    <cellStyle name="Note 3 2 3 4 5" xfId="44592"/>
    <cellStyle name="Note 3 2 3 4 6" xfId="44593"/>
    <cellStyle name="Note 3 2 3 4 7" xfId="44594"/>
    <cellStyle name="Note 3 2 3 4 8" xfId="44595"/>
    <cellStyle name="Note 3 2 3 4 9" xfId="44596"/>
    <cellStyle name="Note 3 2 3 5" xfId="44597"/>
    <cellStyle name="Note 3 2 4" xfId="44598"/>
    <cellStyle name="Note 3 2 4 10" xfId="44599"/>
    <cellStyle name="Note 3 2 4 11" xfId="44600"/>
    <cellStyle name="Note 3 2 4 12" xfId="44601"/>
    <cellStyle name="Note 3 2 4 13" xfId="44602"/>
    <cellStyle name="Note 3 2 4 14" xfId="44603"/>
    <cellStyle name="Note 3 2 4 15" xfId="44604"/>
    <cellStyle name="Note 3 2 4 16" xfId="44605"/>
    <cellStyle name="Note 3 2 4 17" xfId="44606"/>
    <cellStyle name="Note 3 2 4 18" xfId="44607"/>
    <cellStyle name="Note 3 2 4 19" xfId="44608"/>
    <cellStyle name="Note 3 2 4 2" xfId="44609"/>
    <cellStyle name="Note 3 2 4 2 2" xfId="44610"/>
    <cellStyle name="Note 3 2 4 2 3" xfId="44611"/>
    <cellStyle name="Note 3 2 4 2 4" xfId="44612"/>
    <cellStyle name="Note 3 2 4 2 5" xfId="44613"/>
    <cellStyle name="Note 3 2 4 2 6" xfId="44614"/>
    <cellStyle name="Note 3 2 4 2 7" xfId="44615"/>
    <cellStyle name="Note 3 2 4 2 8" xfId="44616"/>
    <cellStyle name="Note 3 2 4 2 9" xfId="44617"/>
    <cellStyle name="Note 3 2 4 3" xfId="44618"/>
    <cellStyle name="Note 3 2 4 4" xfId="44619"/>
    <cellStyle name="Note 3 2 4 5" xfId="44620"/>
    <cellStyle name="Note 3 2 4 6" xfId="44621"/>
    <cellStyle name="Note 3 2 4 7" xfId="44622"/>
    <cellStyle name="Note 3 2 4 8" xfId="44623"/>
    <cellStyle name="Note 3 2 4 9" xfId="44624"/>
    <cellStyle name="Note 3 2 5" xfId="44625"/>
    <cellStyle name="Note 3 2 5 10" xfId="44626"/>
    <cellStyle name="Note 3 2 5 11" xfId="44627"/>
    <cellStyle name="Note 3 2 5 12" xfId="44628"/>
    <cellStyle name="Note 3 2 5 13" xfId="44629"/>
    <cellStyle name="Note 3 2 5 14" xfId="44630"/>
    <cellStyle name="Note 3 2 5 15" xfId="44631"/>
    <cellStyle name="Note 3 2 5 16" xfId="44632"/>
    <cellStyle name="Note 3 2 5 17" xfId="44633"/>
    <cellStyle name="Note 3 2 5 18" xfId="44634"/>
    <cellStyle name="Note 3 2 5 2" xfId="44635"/>
    <cellStyle name="Note 3 2 5 2 2" xfId="44636"/>
    <cellStyle name="Note 3 2 5 2 3" xfId="44637"/>
    <cellStyle name="Note 3 2 5 2 4" xfId="44638"/>
    <cellStyle name="Note 3 2 5 2 5" xfId="44639"/>
    <cellStyle name="Note 3 2 5 2 6" xfId="44640"/>
    <cellStyle name="Note 3 2 5 2 7" xfId="44641"/>
    <cellStyle name="Note 3 2 5 2 8" xfId="44642"/>
    <cellStyle name="Note 3 2 5 2 9" xfId="44643"/>
    <cellStyle name="Note 3 2 5 3" xfId="44644"/>
    <cellStyle name="Note 3 2 5 4" xfId="44645"/>
    <cellStyle name="Note 3 2 5 5" xfId="44646"/>
    <cellStyle name="Note 3 2 5 6" xfId="44647"/>
    <cellStyle name="Note 3 2 5 7" xfId="44648"/>
    <cellStyle name="Note 3 2 5 8" xfId="44649"/>
    <cellStyle name="Note 3 2 5 9" xfId="44650"/>
    <cellStyle name="Note 3 2 6" xfId="44651"/>
    <cellStyle name="Note 3 2 6 10" xfId="44652"/>
    <cellStyle name="Note 3 2 6 11" xfId="44653"/>
    <cellStyle name="Note 3 2 6 12" xfId="44654"/>
    <cellStyle name="Note 3 2 6 13" xfId="44655"/>
    <cellStyle name="Note 3 2 6 14" xfId="44656"/>
    <cellStyle name="Note 3 2 6 15" xfId="44657"/>
    <cellStyle name="Note 3 2 6 16" xfId="44658"/>
    <cellStyle name="Note 3 2 6 17" xfId="44659"/>
    <cellStyle name="Note 3 2 6 18" xfId="44660"/>
    <cellStyle name="Note 3 2 6 19" xfId="44661"/>
    <cellStyle name="Note 3 2 6 2" xfId="44662"/>
    <cellStyle name="Note 3 2 6 2 2" xfId="44663"/>
    <cellStyle name="Note 3 2 6 2 3" xfId="44664"/>
    <cellStyle name="Note 3 2 6 2 4" xfId="44665"/>
    <cellStyle name="Note 3 2 6 2 5" xfId="44666"/>
    <cellStyle name="Note 3 2 6 2 6" xfId="44667"/>
    <cellStyle name="Note 3 2 6 2 7" xfId="44668"/>
    <cellStyle name="Note 3 2 6 2 8" xfId="44669"/>
    <cellStyle name="Note 3 2 6 2 9" xfId="44670"/>
    <cellStyle name="Note 3 2 6 3" xfId="44671"/>
    <cellStyle name="Note 3 2 6 4" xfId="44672"/>
    <cellStyle name="Note 3 2 6 5" xfId="44673"/>
    <cellStyle name="Note 3 2 6 6" xfId="44674"/>
    <cellStyle name="Note 3 2 6 7" xfId="44675"/>
    <cellStyle name="Note 3 2 6 8" xfId="44676"/>
    <cellStyle name="Note 3 2 6 9" xfId="44677"/>
    <cellStyle name="Note 3 2 7" xfId="44678"/>
    <cellStyle name="Note 3 3" xfId="44679"/>
    <cellStyle name="Note 3 3 2" xfId="44680"/>
    <cellStyle name="Note 3 3 2 2" xfId="44681"/>
    <cellStyle name="Note 3 3 2 2 10" xfId="44682"/>
    <cellStyle name="Note 3 3 2 2 11" xfId="44683"/>
    <cellStyle name="Note 3 3 2 2 12" xfId="44684"/>
    <cellStyle name="Note 3 3 2 2 13" xfId="44685"/>
    <cellStyle name="Note 3 3 2 2 14" xfId="44686"/>
    <cellStyle name="Note 3 3 2 2 15" xfId="44687"/>
    <cellStyle name="Note 3 3 2 2 16" xfId="44688"/>
    <cellStyle name="Note 3 3 2 2 17" xfId="44689"/>
    <cellStyle name="Note 3 3 2 2 18" xfId="44690"/>
    <cellStyle name="Note 3 3 2 2 19" xfId="44691"/>
    <cellStyle name="Note 3 3 2 2 2" xfId="44692"/>
    <cellStyle name="Note 3 3 2 2 2 2" xfId="44693"/>
    <cellStyle name="Note 3 3 2 2 2 3" xfId="44694"/>
    <cellStyle name="Note 3 3 2 2 2 4" xfId="44695"/>
    <cellStyle name="Note 3 3 2 2 2 5" xfId="44696"/>
    <cellStyle name="Note 3 3 2 2 2 6" xfId="44697"/>
    <cellStyle name="Note 3 3 2 2 2 7" xfId="44698"/>
    <cellStyle name="Note 3 3 2 2 2 8" xfId="44699"/>
    <cellStyle name="Note 3 3 2 2 2 9" xfId="44700"/>
    <cellStyle name="Note 3 3 2 2 3" xfId="44701"/>
    <cellStyle name="Note 3 3 2 2 4" xfId="44702"/>
    <cellStyle name="Note 3 3 2 2 5" xfId="44703"/>
    <cellStyle name="Note 3 3 2 2 6" xfId="44704"/>
    <cellStyle name="Note 3 3 2 2 7" xfId="44705"/>
    <cellStyle name="Note 3 3 2 2 8" xfId="44706"/>
    <cellStyle name="Note 3 3 2 2 9" xfId="44707"/>
    <cellStyle name="Note 3 3 2 3" xfId="44708"/>
    <cellStyle name="Note 3 3 2 3 10" xfId="44709"/>
    <cellStyle name="Note 3 3 2 3 11" xfId="44710"/>
    <cellStyle name="Note 3 3 2 3 12" xfId="44711"/>
    <cellStyle name="Note 3 3 2 3 13" xfId="44712"/>
    <cellStyle name="Note 3 3 2 3 14" xfId="44713"/>
    <cellStyle name="Note 3 3 2 3 15" xfId="44714"/>
    <cellStyle name="Note 3 3 2 3 16" xfId="44715"/>
    <cellStyle name="Note 3 3 2 3 17" xfId="44716"/>
    <cellStyle name="Note 3 3 2 3 18" xfId="44717"/>
    <cellStyle name="Note 3 3 2 3 2" xfId="44718"/>
    <cellStyle name="Note 3 3 2 3 2 2" xfId="44719"/>
    <cellStyle name="Note 3 3 2 3 2 3" xfId="44720"/>
    <cellStyle name="Note 3 3 2 3 2 4" xfId="44721"/>
    <cellStyle name="Note 3 3 2 3 2 5" xfId="44722"/>
    <cellStyle name="Note 3 3 2 3 2 6" xfId="44723"/>
    <cellStyle name="Note 3 3 2 3 2 7" xfId="44724"/>
    <cellStyle name="Note 3 3 2 3 2 8" xfId="44725"/>
    <cellStyle name="Note 3 3 2 3 2 9" xfId="44726"/>
    <cellStyle name="Note 3 3 2 3 3" xfId="44727"/>
    <cellStyle name="Note 3 3 2 3 4" xfId="44728"/>
    <cellStyle name="Note 3 3 2 3 5" xfId="44729"/>
    <cellStyle name="Note 3 3 2 3 6" xfId="44730"/>
    <cellStyle name="Note 3 3 2 3 7" xfId="44731"/>
    <cellStyle name="Note 3 3 2 3 8" xfId="44732"/>
    <cellStyle name="Note 3 3 2 3 9" xfId="44733"/>
    <cellStyle name="Note 3 3 2 4" xfId="44734"/>
    <cellStyle name="Note 3 3 2 4 10" xfId="44735"/>
    <cellStyle name="Note 3 3 2 4 11" xfId="44736"/>
    <cellStyle name="Note 3 3 2 4 12" xfId="44737"/>
    <cellStyle name="Note 3 3 2 4 13" xfId="44738"/>
    <cellStyle name="Note 3 3 2 4 14" xfId="44739"/>
    <cellStyle name="Note 3 3 2 4 15" xfId="44740"/>
    <cellStyle name="Note 3 3 2 4 16" xfId="44741"/>
    <cellStyle name="Note 3 3 2 4 17" xfId="44742"/>
    <cellStyle name="Note 3 3 2 4 18" xfId="44743"/>
    <cellStyle name="Note 3 3 2 4 19" xfId="44744"/>
    <cellStyle name="Note 3 3 2 4 2" xfId="44745"/>
    <cellStyle name="Note 3 3 2 4 2 2" xfId="44746"/>
    <cellStyle name="Note 3 3 2 4 2 3" xfId="44747"/>
    <cellStyle name="Note 3 3 2 4 2 4" xfId="44748"/>
    <cellStyle name="Note 3 3 2 4 2 5" xfId="44749"/>
    <cellStyle name="Note 3 3 2 4 2 6" xfId="44750"/>
    <cellStyle name="Note 3 3 2 4 2 7" xfId="44751"/>
    <cellStyle name="Note 3 3 2 4 2 8" xfId="44752"/>
    <cellStyle name="Note 3 3 2 4 2 9" xfId="44753"/>
    <cellStyle name="Note 3 3 2 4 3" xfId="44754"/>
    <cellStyle name="Note 3 3 2 4 4" xfId="44755"/>
    <cellStyle name="Note 3 3 2 4 5" xfId="44756"/>
    <cellStyle name="Note 3 3 2 4 6" xfId="44757"/>
    <cellStyle name="Note 3 3 2 4 7" xfId="44758"/>
    <cellStyle name="Note 3 3 2 4 8" xfId="44759"/>
    <cellStyle name="Note 3 3 2 4 9" xfId="44760"/>
    <cellStyle name="Note 3 3 2 5" xfId="44761"/>
    <cellStyle name="Note 3 3 3" xfId="44762"/>
    <cellStyle name="Note 3 3 3 2" xfId="44763"/>
    <cellStyle name="Note 3 3 3 2 10" xfId="44764"/>
    <cellStyle name="Note 3 3 3 2 11" xfId="44765"/>
    <cellStyle name="Note 3 3 3 2 12" xfId="44766"/>
    <cellStyle name="Note 3 3 3 2 13" xfId="44767"/>
    <cellStyle name="Note 3 3 3 2 14" xfId="44768"/>
    <cellStyle name="Note 3 3 3 2 15" xfId="44769"/>
    <cellStyle name="Note 3 3 3 2 16" xfId="44770"/>
    <cellStyle name="Note 3 3 3 2 17" xfId="44771"/>
    <cellStyle name="Note 3 3 3 2 18" xfId="44772"/>
    <cellStyle name="Note 3 3 3 2 19" xfId="44773"/>
    <cellStyle name="Note 3 3 3 2 2" xfId="44774"/>
    <cellStyle name="Note 3 3 3 2 2 2" xfId="44775"/>
    <cellStyle name="Note 3 3 3 2 2 3" xfId="44776"/>
    <cellStyle name="Note 3 3 3 2 2 4" xfId="44777"/>
    <cellStyle name="Note 3 3 3 2 2 5" xfId="44778"/>
    <cellStyle name="Note 3 3 3 2 2 6" xfId="44779"/>
    <cellStyle name="Note 3 3 3 2 2 7" xfId="44780"/>
    <cellStyle name="Note 3 3 3 2 2 8" xfId="44781"/>
    <cellStyle name="Note 3 3 3 2 2 9" xfId="44782"/>
    <cellStyle name="Note 3 3 3 2 3" xfId="44783"/>
    <cellStyle name="Note 3 3 3 2 4" xfId="44784"/>
    <cellStyle name="Note 3 3 3 2 5" xfId="44785"/>
    <cellStyle name="Note 3 3 3 2 6" xfId="44786"/>
    <cellStyle name="Note 3 3 3 2 7" xfId="44787"/>
    <cellStyle name="Note 3 3 3 2 8" xfId="44788"/>
    <cellStyle name="Note 3 3 3 2 9" xfId="44789"/>
    <cellStyle name="Note 3 3 3 3" xfId="44790"/>
    <cellStyle name="Note 3 3 3 3 10" xfId="44791"/>
    <cellStyle name="Note 3 3 3 3 11" xfId="44792"/>
    <cellStyle name="Note 3 3 3 3 12" xfId="44793"/>
    <cellStyle name="Note 3 3 3 3 13" xfId="44794"/>
    <cellStyle name="Note 3 3 3 3 14" xfId="44795"/>
    <cellStyle name="Note 3 3 3 3 15" xfId="44796"/>
    <cellStyle name="Note 3 3 3 3 16" xfId="44797"/>
    <cellStyle name="Note 3 3 3 3 17" xfId="44798"/>
    <cellStyle name="Note 3 3 3 3 18" xfId="44799"/>
    <cellStyle name="Note 3 3 3 3 2" xfId="44800"/>
    <cellStyle name="Note 3 3 3 3 2 2" xfId="44801"/>
    <cellStyle name="Note 3 3 3 3 2 3" xfId="44802"/>
    <cellStyle name="Note 3 3 3 3 2 4" xfId="44803"/>
    <cellStyle name="Note 3 3 3 3 2 5" xfId="44804"/>
    <cellStyle name="Note 3 3 3 3 2 6" xfId="44805"/>
    <cellStyle name="Note 3 3 3 3 2 7" xfId="44806"/>
    <cellStyle name="Note 3 3 3 3 2 8" xfId="44807"/>
    <cellStyle name="Note 3 3 3 3 2 9" xfId="44808"/>
    <cellStyle name="Note 3 3 3 3 3" xfId="44809"/>
    <cellStyle name="Note 3 3 3 3 4" xfId="44810"/>
    <cellStyle name="Note 3 3 3 3 5" xfId="44811"/>
    <cellStyle name="Note 3 3 3 3 6" xfId="44812"/>
    <cellStyle name="Note 3 3 3 3 7" xfId="44813"/>
    <cellStyle name="Note 3 3 3 3 8" xfId="44814"/>
    <cellStyle name="Note 3 3 3 3 9" xfId="44815"/>
    <cellStyle name="Note 3 3 3 4" xfId="44816"/>
    <cellStyle name="Note 3 3 3 4 10" xfId="44817"/>
    <cellStyle name="Note 3 3 3 4 11" xfId="44818"/>
    <cellStyle name="Note 3 3 3 4 12" xfId="44819"/>
    <cellStyle name="Note 3 3 3 4 13" xfId="44820"/>
    <cellStyle name="Note 3 3 3 4 14" xfId="44821"/>
    <cellStyle name="Note 3 3 3 4 15" xfId="44822"/>
    <cellStyle name="Note 3 3 3 4 16" xfId="44823"/>
    <cellStyle name="Note 3 3 3 4 17" xfId="44824"/>
    <cellStyle name="Note 3 3 3 4 18" xfId="44825"/>
    <cellStyle name="Note 3 3 3 4 19" xfId="44826"/>
    <cellStyle name="Note 3 3 3 4 2" xfId="44827"/>
    <cellStyle name="Note 3 3 3 4 2 2" xfId="44828"/>
    <cellStyle name="Note 3 3 3 4 2 3" xfId="44829"/>
    <cellStyle name="Note 3 3 3 4 2 4" xfId="44830"/>
    <cellStyle name="Note 3 3 3 4 2 5" xfId="44831"/>
    <cellStyle name="Note 3 3 3 4 2 6" xfId="44832"/>
    <cellStyle name="Note 3 3 3 4 2 7" xfId="44833"/>
    <cellStyle name="Note 3 3 3 4 2 8" xfId="44834"/>
    <cellStyle name="Note 3 3 3 4 2 9" xfId="44835"/>
    <cellStyle name="Note 3 3 3 4 3" xfId="44836"/>
    <cellStyle name="Note 3 3 3 4 4" xfId="44837"/>
    <cellStyle name="Note 3 3 3 4 5" xfId="44838"/>
    <cellStyle name="Note 3 3 3 4 6" xfId="44839"/>
    <cellStyle name="Note 3 3 3 4 7" xfId="44840"/>
    <cellStyle name="Note 3 3 3 4 8" xfId="44841"/>
    <cellStyle name="Note 3 3 3 4 9" xfId="44842"/>
    <cellStyle name="Note 3 3 3 5" xfId="44843"/>
    <cellStyle name="Note 3 3 4" xfId="44844"/>
    <cellStyle name="Note 3 3 4 10" xfId="44845"/>
    <cellStyle name="Note 3 3 4 11" xfId="44846"/>
    <cellStyle name="Note 3 3 4 12" xfId="44847"/>
    <cellStyle name="Note 3 3 4 13" xfId="44848"/>
    <cellStyle name="Note 3 3 4 14" xfId="44849"/>
    <cellStyle name="Note 3 3 4 15" xfId="44850"/>
    <cellStyle name="Note 3 3 4 16" xfId="44851"/>
    <cellStyle name="Note 3 3 4 17" xfId="44852"/>
    <cellStyle name="Note 3 3 4 18" xfId="44853"/>
    <cellStyle name="Note 3 3 4 19" xfId="44854"/>
    <cellStyle name="Note 3 3 4 2" xfId="44855"/>
    <cellStyle name="Note 3 3 4 2 2" xfId="44856"/>
    <cellStyle name="Note 3 3 4 2 3" xfId="44857"/>
    <cellStyle name="Note 3 3 4 2 4" xfId="44858"/>
    <cellStyle name="Note 3 3 4 2 5" xfId="44859"/>
    <cellStyle name="Note 3 3 4 2 6" xfId="44860"/>
    <cellStyle name="Note 3 3 4 2 7" xfId="44861"/>
    <cellStyle name="Note 3 3 4 2 8" xfId="44862"/>
    <cellStyle name="Note 3 3 4 2 9" xfId="44863"/>
    <cellStyle name="Note 3 3 4 3" xfId="44864"/>
    <cellStyle name="Note 3 3 4 4" xfId="44865"/>
    <cellStyle name="Note 3 3 4 5" xfId="44866"/>
    <cellStyle name="Note 3 3 4 6" xfId="44867"/>
    <cellStyle name="Note 3 3 4 7" xfId="44868"/>
    <cellStyle name="Note 3 3 4 8" xfId="44869"/>
    <cellStyle name="Note 3 3 4 9" xfId="44870"/>
    <cellStyle name="Note 3 3 5" xfId="44871"/>
    <cellStyle name="Note 3 3 5 10" xfId="44872"/>
    <cellStyle name="Note 3 3 5 11" xfId="44873"/>
    <cellStyle name="Note 3 3 5 12" xfId="44874"/>
    <cellStyle name="Note 3 3 5 13" xfId="44875"/>
    <cellStyle name="Note 3 3 5 14" xfId="44876"/>
    <cellStyle name="Note 3 3 5 15" xfId="44877"/>
    <cellStyle name="Note 3 3 5 16" xfId="44878"/>
    <cellStyle name="Note 3 3 5 17" xfId="44879"/>
    <cellStyle name="Note 3 3 5 18" xfId="44880"/>
    <cellStyle name="Note 3 3 5 2" xfId="44881"/>
    <cellStyle name="Note 3 3 5 2 2" xfId="44882"/>
    <cellStyle name="Note 3 3 5 2 3" xfId="44883"/>
    <cellStyle name="Note 3 3 5 2 4" xfId="44884"/>
    <cellStyle name="Note 3 3 5 2 5" xfId="44885"/>
    <cellStyle name="Note 3 3 5 2 6" xfId="44886"/>
    <cellStyle name="Note 3 3 5 2 7" xfId="44887"/>
    <cellStyle name="Note 3 3 5 2 8" xfId="44888"/>
    <cellStyle name="Note 3 3 5 2 9" xfId="44889"/>
    <cellStyle name="Note 3 3 5 3" xfId="44890"/>
    <cellStyle name="Note 3 3 5 4" xfId="44891"/>
    <cellStyle name="Note 3 3 5 5" xfId="44892"/>
    <cellStyle name="Note 3 3 5 6" xfId="44893"/>
    <cellStyle name="Note 3 3 5 7" xfId="44894"/>
    <cellStyle name="Note 3 3 5 8" xfId="44895"/>
    <cellStyle name="Note 3 3 5 9" xfId="44896"/>
    <cellStyle name="Note 3 3 6" xfId="44897"/>
    <cellStyle name="Note 3 3 6 10" xfId="44898"/>
    <cellStyle name="Note 3 3 6 11" xfId="44899"/>
    <cellStyle name="Note 3 3 6 12" xfId="44900"/>
    <cellStyle name="Note 3 3 6 13" xfId="44901"/>
    <cellStyle name="Note 3 3 6 14" xfId="44902"/>
    <cellStyle name="Note 3 3 6 15" xfId="44903"/>
    <cellStyle name="Note 3 3 6 16" xfId="44904"/>
    <cellStyle name="Note 3 3 6 17" xfId="44905"/>
    <cellStyle name="Note 3 3 6 18" xfId="44906"/>
    <cellStyle name="Note 3 3 6 19" xfId="44907"/>
    <cellStyle name="Note 3 3 6 2" xfId="44908"/>
    <cellStyle name="Note 3 3 6 2 2" xfId="44909"/>
    <cellStyle name="Note 3 3 6 2 3" xfId="44910"/>
    <cellStyle name="Note 3 3 6 2 4" xfId="44911"/>
    <cellStyle name="Note 3 3 6 2 5" xfId="44912"/>
    <cellStyle name="Note 3 3 6 2 6" xfId="44913"/>
    <cellStyle name="Note 3 3 6 2 7" xfId="44914"/>
    <cellStyle name="Note 3 3 6 2 8" xfId="44915"/>
    <cellStyle name="Note 3 3 6 2 9" xfId="44916"/>
    <cellStyle name="Note 3 3 6 3" xfId="44917"/>
    <cellStyle name="Note 3 3 6 4" xfId="44918"/>
    <cellStyle name="Note 3 3 6 5" xfId="44919"/>
    <cellStyle name="Note 3 3 6 6" xfId="44920"/>
    <cellStyle name="Note 3 3 6 7" xfId="44921"/>
    <cellStyle name="Note 3 3 6 8" xfId="44922"/>
    <cellStyle name="Note 3 3 6 9" xfId="44923"/>
    <cellStyle name="Note 3 3 7" xfId="44924"/>
    <cellStyle name="Note 3 4" xfId="44925"/>
    <cellStyle name="Note 3 4 2" xfId="44926"/>
    <cellStyle name="Note 3 4 2 2" xfId="44927"/>
    <cellStyle name="Note 3 4 2 2 10" xfId="44928"/>
    <cellStyle name="Note 3 4 2 2 11" xfId="44929"/>
    <cellStyle name="Note 3 4 2 2 12" xfId="44930"/>
    <cellStyle name="Note 3 4 2 2 13" xfId="44931"/>
    <cellStyle name="Note 3 4 2 2 14" xfId="44932"/>
    <cellStyle name="Note 3 4 2 2 15" xfId="44933"/>
    <cellStyle name="Note 3 4 2 2 16" xfId="44934"/>
    <cellStyle name="Note 3 4 2 2 17" xfId="44935"/>
    <cellStyle name="Note 3 4 2 2 18" xfId="44936"/>
    <cellStyle name="Note 3 4 2 2 19" xfId="44937"/>
    <cellStyle name="Note 3 4 2 2 2" xfId="44938"/>
    <cellStyle name="Note 3 4 2 2 2 2" xfId="44939"/>
    <cellStyle name="Note 3 4 2 2 2 3" xfId="44940"/>
    <cellStyle name="Note 3 4 2 2 2 4" xfId="44941"/>
    <cellStyle name="Note 3 4 2 2 2 5" xfId="44942"/>
    <cellStyle name="Note 3 4 2 2 2 6" xfId="44943"/>
    <cellStyle name="Note 3 4 2 2 2 7" xfId="44944"/>
    <cellStyle name="Note 3 4 2 2 2 8" xfId="44945"/>
    <cellStyle name="Note 3 4 2 2 2 9" xfId="44946"/>
    <cellStyle name="Note 3 4 2 2 3" xfId="44947"/>
    <cellStyle name="Note 3 4 2 2 4" xfId="44948"/>
    <cellStyle name="Note 3 4 2 2 5" xfId="44949"/>
    <cellStyle name="Note 3 4 2 2 6" xfId="44950"/>
    <cellStyle name="Note 3 4 2 2 7" xfId="44951"/>
    <cellStyle name="Note 3 4 2 2 8" xfId="44952"/>
    <cellStyle name="Note 3 4 2 2 9" xfId="44953"/>
    <cellStyle name="Note 3 4 2 3" xfId="44954"/>
    <cellStyle name="Note 3 4 2 3 10" xfId="44955"/>
    <cellStyle name="Note 3 4 2 3 11" xfId="44956"/>
    <cellStyle name="Note 3 4 2 3 12" xfId="44957"/>
    <cellStyle name="Note 3 4 2 3 13" xfId="44958"/>
    <cellStyle name="Note 3 4 2 3 14" xfId="44959"/>
    <cellStyle name="Note 3 4 2 3 15" xfId="44960"/>
    <cellStyle name="Note 3 4 2 3 16" xfId="44961"/>
    <cellStyle name="Note 3 4 2 3 17" xfId="44962"/>
    <cellStyle name="Note 3 4 2 3 18" xfId="44963"/>
    <cellStyle name="Note 3 4 2 3 2" xfId="44964"/>
    <cellStyle name="Note 3 4 2 3 2 2" xfId="44965"/>
    <cellStyle name="Note 3 4 2 3 2 3" xfId="44966"/>
    <cellStyle name="Note 3 4 2 3 2 4" xfId="44967"/>
    <cellStyle name="Note 3 4 2 3 2 5" xfId="44968"/>
    <cellStyle name="Note 3 4 2 3 2 6" xfId="44969"/>
    <cellStyle name="Note 3 4 2 3 2 7" xfId="44970"/>
    <cellStyle name="Note 3 4 2 3 2 8" xfId="44971"/>
    <cellStyle name="Note 3 4 2 3 2 9" xfId="44972"/>
    <cellStyle name="Note 3 4 2 3 3" xfId="44973"/>
    <cellStyle name="Note 3 4 2 3 4" xfId="44974"/>
    <cellStyle name="Note 3 4 2 3 5" xfId="44975"/>
    <cellStyle name="Note 3 4 2 3 6" xfId="44976"/>
    <cellStyle name="Note 3 4 2 3 7" xfId="44977"/>
    <cellStyle name="Note 3 4 2 3 8" xfId="44978"/>
    <cellStyle name="Note 3 4 2 3 9" xfId="44979"/>
    <cellStyle name="Note 3 4 2 4" xfId="44980"/>
    <cellStyle name="Note 3 4 2 4 10" xfId="44981"/>
    <cellStyle name="Note 3 4 2 4 11" xfId="44982"/>
    <cellStyle name="Note 3 4 2 4 12" xfId="44983"/>
    <cellStyle name="Note 3 4 2 4 13" xfId="44984"/>
    <cellStyle name="Note 3 4 2 4 14" xfId="44985"/>
    <cellStyle name="Note 3 4 2 4 15" xfId="44986"/>
    <cellStyle name="Note 3 4 2 4 16" xfId="44987"/>
    <cellStyle name="Note 3 4 2 4 17" xfId="44988"/>
    <cellStyle name="Note 3 4 2 4 18" xfId="44989"/>
    <cellStyle name="Note 3 4 2 4 19" xfId="44990"/>
    <cellStyle name="Note 3 4 2 4 2" xfId="44991"/>
    <cellStyle name="Note 3 4 2 4 2 2" xfId="44992"/>
    <cellStyle name="Note 3 4 2 4 2 3" xfId="44993"/>
    <cellStyle name="Note 3 4 2 4 2 4" xfId="44994"/>
    <cellStyle name="Note 3 4 2 4 2 5" xfId="44995"/>
    <cellStyle name="Note 3 4 2 4 2 6" xfId="44996"/>
    <cellStyle name="Note 3 4 2 4 2 7" xfId="44997"/>
    <cellStyle name="Note 3 4 2 4 2 8" xfId="44998"/>
    <cellStyle name="Note 3 4 2 4 2 9" xfId="44999"/>
    <cellStyle name="Note 3 4 2 4 3" xfId="45000"/>
    <cellStyle name="Note 3 4 2 4 4" xfId="45001"/>
    <cellStyle name="Note 3 4 2 4 5" xfId="45002"/>
    <cellStyle name="Note 3 4 2 4 6" xfId="45003"/>
    <cellStyle name="Note 3 4 2 4 7" xfId="45004"/>
    <cellStyle name="Note 3 4 2 4 8" xfId="45005"/>
    <cellStyle name="Note 3 4 2 4 9" xfId="45006"/>
    <cellStyle name="Note 3 4 2 5" xfId="45007"/>
    <cellStyle name="Note 3 4 3" xfId="45008"/>
    <cellStyle name="Note 3 4 3 2" xfId="45009"/>
    <cellStyle name="Note 3 4 3 2 10" xfId="45010"/>
    <cellStyle name="Note 3 4 3 2 11" xfId="45011"/>
    <cellStyle name="Note 3 4 3 2 12" xfId="45012"/>
    <cellStyle name="Note 3 4 3 2 13" xfId="45013"/>
    <cellStyle name="Note 3 4 3 2 14" xfId="45014"/>
    <cellStyle name="Note 3 4 3 2 15" xfId="45015"/>
    <cellStyle name="Note 3 4 3 2 16" xfId="45016"/>
    <cellStyle name="Note 3 4 3 2 17" xfId="45017"/>
    <cellStyle name="Note 3 4 3 2 18" xfId="45018"/>
    <cellStyle name="Note 3 4 3 2 19" xfId="45019"/>
    <cellStyle name="Note 3 4 3 2 2" xfId="45020"/>
    <cellStyle name="Note 3 4 3 2 2 2" xfId="45021"/>
    <cellStyle name="Note 3 4 3 2 2 3" xfId="45022"/>
    <cellStyle name="Note 3 4 3 2 2 4" xfId="45023"/>
    <cellStyle name="Note 3 4 3 2 2 5" xfId="45024"/>
    <cellStyle name="Note 3 4 3 2 2 6" xfId="45025"/>
    <cellStyle name="Note 3 4 3 2 2 7" xfId="45026"/>
    <cellStyle name="Note 3 4 3 2 2 8" xfId="45027"/>
    <cellStyle name="Note 3 4 3 2 2 9" xfId="45028"/>
    <cellStyle name="Note 3 4 3 2 3" xfId="45029"/>
    <cellStyle name="Note 3 4 3 2 4" xfId="45030"/>
    <cellStyle name="Note 3 4 3 2 5" xfId="45031"/>
    <cellStyle name="Note 3 4 3 2 6" xfId="45032"/>
    <cellStyle name="Note 3 4 3 2 7" xfId="45033"/>
    <cellStyle name="Note 3 4 3 2 8" xfId="45034"/>
    <cellStyle name="Note 3 4 3 2 9" xfId="45035"/>
    <cellStyle name="Note 3 4 3 3" xfId="45036"/>
    <cellStyle name="Note 3 4 3 3 10" xfId="45037"/>
    <cellStyle name="Note 3 4 3 3 11" xfId="45038"/>
    <cellStyle name="Note 3 4 3 3 12" xfId="45039"/>
    <cellStyle name="Note 3 4 3 3 13" xfId="45040"/>
    <cellStyle name="Note 3 4 3 3 14" xfId="45041"/>
    <cellStyle name="Note 3 4 3 3 15" xfId="45042"/>
    <cellStyle name="Note 3 4 3 3 16" xfId="45043"/>
    <cellStyle name="Note 3 4 3 3 17" xfId="45044"/>
    <cellStyle name="Note 3 4 3 3 18" xfId="45045"/>
    <cellStyle name="Note 3 4 3 3 2" xfId="45046"/>
    <cellStyle name="Note 3 4 3 3 2 2" xfId="45047"/>
    <cellStyle name="Note 3 4 3 3 2 3" xfId="45048"/>
    <cellStyle name="Note 3 4 3 3 2 4" xfId="45049"/>
    <cellStyle name="Note 3 4 3 3 2 5" xfId="45050"/>
    <cellStyle name="Note 3 4 3 3 2 6" xfId="45051"/>
    <cellStyle name="Note 3 4 3 3 2 7" xfId="45052"/>
    <cellStyle name="Note 3 4 3 3 2 8" xfId="45053"/>
    <cellStyle name="Note 3 4 3 3 2 9" xfId="45054"/>
    <cellStyle name="Note 3 4 3 3 3" xfId="45055"/>
    <cellStyle name="Note 3 4 3 3 4" xfId="45056"/>
    <cellStyle name="Note 3 4 3 3 5" xfId="45057"/>
    <cellStyle name="Note 3 4 3 3 6" xfId="45058"/>
    <cellStyle name="Note 3 4 3 3 7" xfId="45059"/>
    <cellStyle name="Note 3 4 3 3 8" xfId="45060"/>
    <cellStyle name="Note 3 4 3 3 9" xfId="45061"/>
    <cellStyle name="Note 3 4 3 4" xfId="45062"/>
    <cellStyle name="Note 3 4 3 4 10" xfId="45063"/>
    <cellStyle name="Note 3 4 3 4 11" xfId="45064"/>
    <cellStyle name="Note 3 4 3 4 12" xfId="45065"/>
    <cellStyle name="Note 3 4 3 4 13" xfId="45066"/>
    <cellStyle name="Note 3 4 3 4 14" xfId="45067"/>
    <cellStyle name="Note 3 4 3 4 15" xfId="45068"/>
    <cellStyle name="Note 3 4 3 4 16" xfId="45069"/>
    <cellStyle name="Note 3 4 3 4 17" xfId="45070"/>
    <cellStyle name="Note 3 4 3 4 18" xfId="45071"/>
    <cellStyle name="Note 3 4 3 4 19" xfId="45072"/>
    <cellStyle name="Note 3 4 3 4 2" xfId="45073"/>
    <cellStyle name="Note 3 4 3 4 2 2" xfId="45074"/>
    <cellStyle name="Note 3 4 3 4 2 3" xfId="45075"/>
    <cellStyle name="Note 3 4 3 4 2 4" xfId="45076"/>
    <cellStyle name="Note 3 4 3 4 2 5" xfId="45077"/>
    <cellStyle name="Note 3 4 3 4 2 6" xfId="45078"/>
    <cellStyle name="Note 3 4 3 4 2 7" xfId="45079"/>
    <cellStyle name="Note 3 4 3 4 2 8" xfId="45080"/>
    <cellStyle name="Note 3 4 3 4 2 9" xfId="45081"/>
    <cellStyle name="Note 3 4 3 4 3" xfId="45082"/>
    <cellStyle name="Note 3 4 3 4 4" xfId="45083"/>
    <cellStyle name="Note 3 4 3 4 5" xfId="45084"/>
    <cellStyle name="Note 3 4 3 4 6" xfId="45085"/>
    <cellStyle name="Note 3 4 3 4 7" xfId="45086"/>
    <cellStyle name="Note 3 4 3 4 8" xfId="45087"/>
    <cellStyle name="Note 3 4 3 4 9" xfId="45088"/>
    <cellStyle name="Note 3 4 3 5" xfId="45089"/>
    <cellStyle name="Note 3 4 4" xfId="45090"/>
    <cellStyle name="Note 3 4 4 10" xfId="45091"/>
    <cellStyle name="Note 3 4 4 11" xfId="45092"/>
    <cellStyle name="Note 3 4 4 12" xfId="45093"/>
    <cellStyle name="Note 3 4 4 13" xfId="45094"/>
    <cellStyle name="Note 3 4 4 14" xfId="45095"/>
    <cellStyle name="Note 3 4 4 15" xfId="45096"/>
    <cellStyle name="Note 3 4 4 16" xfId="45097"/>
    <cellStyle name="Note 3 4 4 17" xfId="45098"/>
    <cellStyle name="Note 3 4 4 18" xfId="45099"/>
    <cellStyle name="Note 3 4 4 19" xfId="45100"/>
    <cellStyle name="Note 3 4 4 2" xfId="45101"/>
    <cellStyle name="Note 3 4 4 2 2" xfId="45102"/>
    <cellStyle name="Note 3 4 4 2 3" xfId="45103"/>
    <cellStyle name="Note 3 4 4 2 4" xfId="45104"/>
    <cellStyle name="Note 3 4 4 2 5" xfId="45105"/>
    <cellStyle name="Note 3 4 4 2 6" xfId="45106"/>
    <cellStyle name="Note 3 4 4 2 7" xfId="45107"/>
    <cellStyle name="Note 3 4 4 2 8" xfId="45108"/>
    <cellStyle name="Note 3 4 4 2 9" xfId="45109"/>
    <cellStyle name="Note 3 4 4 3" xfId="45110"/>
    <cellStyle name="Note 3 4 4 4" xfId="45111"/>
    <cellStyle name="Note 3 4 4 5" xfId="45112"/>
    <cellStyle name="Note 3 4 4 6" xfId="45113"/>
    <cellStyle name="Note 3 4 4 7" xfId="45114"/>
    <cellStyle name="Note 3 4 4 8" xfId="45115"/>
    <cellStyle name="Note 3 4 4 9" xfId="45116"/>
    <cellStyle name="Note 3 4 5" xfId="45117"/>
    <cellStyle name="Note 3 4 5 10" xfId="45118"/>
    <cellStyle name="Note 3 4 5 11" xfId="45119"/>
    <cellStyle name="Note 3 4 5 12" xfId="45120"/>
    <cellStyle name="Note 3 4 5 13" xfId="45121"/>
    <cellStyle name="Note 3 4 5 14" xfId="45122"/>
    <cellStyle name="Note 3 4 5 15" xfId="45123"/>
    <cellStyle name="Note 3 4 5 16" xfId="45124"/>
    <cellStyle name="Note 3 4 5 17" xfId="45125"/>
    <cellStyle name="Note 3 4 5 18" xfId="45126"/>
    <cellStyle name="Note 3 4 5 2" xfId="45127"/>
    <cellStyle name="Note 3 4 5 2 2" xfId="45128"/>
    <cellStyle name="Note 3 4 5 2 3" xfId="45129"/>
    <cellStyle name="Note 3 4 5 2 4" xfId="45130"/>
    <cellStyle name="Note 3 4 5 2 5" xfId="45131"/>
    <cellStyle name="Note 3 4 5 2 6" xfId="45132"/>
    <cellStyle name="Note 3 4 5 2 7" xfId="45133"/>
    <cellStyle name="Note 3 4 5 2 8" xfId="45134"/>
    <cellStyle name="Note 3 4 5 2 9" xfId="45135"/>
    <cellStyle name="Note 3 4 5 3" xfId="45136"/>
    <cellStyle name="Note 3 4 5 4" xfId="45137"/>
    <cellStyle name="Note 3 4 5 5" xfId="45138"/>
    <cellStyle name="Note 3 4 5 6" xfId="45139"/>
    <cellStyle name="Note 3 4 5 7" xfId="45140"/>
    <cellStyle name="Note 3 4 5 8" xfId="45141"/>
    <cellStyle name="Note 3 4 5 9" xfId="45142"/>
    <cellStyle name="Note 3 4 6" xfId="45143"/>
    <cellStyle name="Note 3 4 6 10" xfId="45144"/>
    <cellStyle name="Note 3 4 6 11" xfId="45145"/>
    <cellStyle name="Note 3 4 6 12" xfId="45146"/>
    <cellStyle name="Note 3 4 6 13" xfId="45147"/>
    <cellStyle name="Note 3 4 6 14" xfId="45148"/>
    <cellStyle name="Note 3 4 6 15" xfId="45149"/>
    <cellStyle name="Note 3 4 6 16" xfId="45150"/>
    <cellStyle name="Note 3 4 6 17" xfId="45151"/>
    <cellStyle name="Note 3 4 6 18" xfId="45152"/>
    <cellStyle name="Note 3 4 6 19" xfId="45153"/>
    <cellStyle name="Note 3 4 6 2" xfId="45154"/>
    <cellStyle name="Note 3 4 6 2 2" xfId="45155"/>
    <cellStyle name="Note 3 4 6 2 3" xfId="45156"/>
    <cellStyle name="Note 3 4 6 2 4" xfId="45157"/>
    <cellStyle name="Note 3 4 6 2 5" xfId="45158"/>
    <cellStyle name="Note 3 4 6 2 6" xfId="45159"/>
    <cellStyle name="Note 3 4 6 2 7" xfId="45160"/>
    <cellStyle name="Note 3 4 6 2 8" xfId="45161"/>
    <cellStyle name="Note 3 4 6 2 9" xfId="45162"/>
    <cellStyle name="Note 3 4 6 3" xfId="45163"/>
    <cellStyle name="Note 3 4 6 4" xfId="45164"/>
    <cellStyle name="Note 3 4 6 5" xfId="45165"/>
    <cellStyle name="Note 3 4 6 6" xfId="45166"/>
    <cellStyle name="Note 3 4 6 7" xfId="45167"/>
    <cellStyle name="Note 3 4 6 8" xfId="45168"/>
    <cellStyle name="Note 3 4 6 9" xfId="45169"/>
    <cellStyle name="Note 3 4 7" xfId="45170"/>
    <cellStyle name="Note 3 5" xfId="45171"/>
    <cellStyle name="Note 3 5 2" xfId="45172"/>
    <cellStyle name="Note 3 5 2 2" xfId="45173"/>
    <cellStyle name="Note 3 5 2 2 10" xfId="45174"/>
    <cellStyle name="Note 3 5 2 2 11" xfId="45175"/>
    <cellStyle name="Note 3 5 2 2 12" xfId="45176"/>
    <cellStyle name="Note 3 5 2 2 13" xfId="45177"/>
    <cellStyle name="Note 3 5 2 2 14" xfId="45178"/>
    <cellStyle name="Note 3 5 2 2 15" xfId="45179"/>
    <cellStyle name="Note 3 5 2 2 16" xfId="45180"/>
    <cellStyle name="Note 3 5 2 2 17" xfId="45181"/>
    <cellStyle name="Note 3 5 2 2 18" xfId="45182"/>
    <cellStyle name="Note 3 5 2 2 19" xfId="45183"/>
    <cellStyle name="Note 3 5 2 2 2" xfId="45184"/>
    <cellStyle name="Note 3 5 2 2 2 2" xfId="45185"/>
    <cellStyle name="Note 3 5 2 2 2 3" xfId="45186"/>
    <cellStyle name="Note 3 5 2 2 2 4" xfId="45187"/>
    <cellStyle name="Note 3 5 2 2 2 5" xfId="45188"/>
    <cellStyle name="Note 3 5 2 2 2 6" xfId="45189"/>
    <cellStyle name="Note 3 5 2 2 2 7" xfId="45190"/>
    <cellStyle name="Note 3 5 2 2 2 8" xfId="45191"/>
    <cellStyle name="Note 3 5 2 2 2 9" xfId="45192"/>
    <cellStyle name="Note 3 5 2 2 3" xfId="45193"/>
    <cellStyle name="Note 3 5 2 2 4" xfId="45194"/>
    <cellStyle name="Note 3 5 2 2 5" xfId="45195"/>
    <cellStyle name="Note 3 5 2 2 6" xfId="45196"/>
    <cellStyle name="Note 3 5 2 2 7" xfId="45197"/>
    <cellStyle name="Note 3 5 2 2 8" xfId="45198"/>
    <cellStyle name="Note 3 5 2 2 9" xfId="45199"/>
    <cellStyle name="Note 3 5 2 3" xfId="45200"/>
    <cellStyle name="Note 3 5 2 3 10" xfId="45201"/>
    <cellStyle name="Note 3 5 2 3 11" xfId="45202"/>
    <cellStyle name="Note 3 5 2 3 12" xfId="45203"/>
    <cellStyle name="Note 3 5 2 3 13" xfId="45204"/>
    <cellStyle name="Note 3 5 2 3 14" xfId="45205"/>
    <cellStyle name="Note 3 5 2 3 15" xfId="45206"/>
    <cellStyle name="Note 3 5 2 3 16" xfId="45207"/>
    <cellStyle name="Note 3 5 2 3 17" xfId="45208"/>
    <cellStyle name="Note 3 5 2 3 18" xfId="45209"/>
    <cellStyle name="Note 3 5 2 3 2" xfId="45210"/>
    <cellStyle name="Note 3 5 2 3 2 2" xfId="45211"/>
    <cellStyle name="Note 3 5 2 3 2 3" xfId="45212"/>
    <cellStyle name="Note 3 5 2 3 2 4" xfId="45213"/>
    <cellStyle name="Note 3 5 2 3 2 5" xfId="45214"/>
    <cellStyle name="Note 3 5 2 3 2 6" xfId="45215"/>
    <cellStyle name="Note 3 5 2 3 2 7" xfId="45216"/>
    <cellStyle name="Note 3 5 2 3 2 8" xfId="45217"/>
    <cellStyle name="Note 3 5 2 3 2 9" xfId="45218"/>
    <cellStyle name="Note 3 5 2 3 3" xfId="45219"/>
    <cellStyle name="Note 3 5 2 3 4" xfId="45220"/>
    <cellStyle name="Note 3 5 2 3 5" xfId="45221"/>
    <cellStyle name="Note 3 5 2 3 6" xfId="45222"/>
    <cellStyle name="Note 3 5 2 3 7" xfId="45223"/>
    <cellStyle name="Note 3 5 2 3 8" xfId="45224"/>
    <cellStyle name="Note 3 5 2 3 9" xfId="45225"/>
    <cellStyle name="Note 3 5 2 4" xfId="45226"/>
    <cellStyle name="Note 3 5 2 4 10" xfId="45227"/>
    <cellStyle name="Note 3 5 2 4 11" xfId="45228"/>
    <cellStyle name="Note 3 5 2 4 12" xfId="45229"/>
    <cellStyle name="Note 3 5 2 4 13" xfId="45230"/>
    <cellStyle name="Note 3 5 2 4 14" xfId="45231"/>
    <cellStyle name="Note 3 5 2 4 15" xfId="45232"/>
    <cellStyle name="Note 3 5 2 4 16" xfId="45233"/>
    <cellStyle name="Note 3 5 2 4 17" xfId="45234"/>
    <cellStyle name="Note 3 5 2 4 18" xfId="45235"/>
    <cellStyle name="Note 3 5 2 4 19" xfId="45236"/>
    <cellStyle name="Note 3 5 2 4 2" xfId="45237"/>
    <cellStyle name="Note 3 5 2 4 2 2" xfId="45238"/>
    <cellStyle name="Note 3 5 2 4 2 3" xfId="45239"/>
    <cellStyle name="Note 3 5 2 4 2 4" xfId="45240"/>
    <cellStyle name="Note 3 5 2 4 2 5" xfId="45241"/>
    <cellStyle name="Note 3 5 2 4 2 6" xfId="45242"/>
    <cellStyle name="Note 3 5 2 4 2 7" xfId="45243"/>
    <cellStyle name="Note 3 5 2 4 2 8" xfId="45244"/>
    <cellStyle name="Note 3 5 2 4 2 9" xfId="45245"/>
    <cellStyle name="Note 3 5 2 4 3" xfId="45246"/>
    <cellStyle name="Note 3 5 2 4 4" xfId="45247"/>
    <cellStyle name="Note 3 5 2 4 5" xfId="45248"/>
    <cellStyle name="Note 3 5 2 4 6" xfId="45249"/>
    <cellStyle name="Note 3 5 2 4 7" xfId="45250"/>
    <cellStyle name="Note 3 5 2 4 8" xfId="45251"/>
    <cellStyle name="Note 3 5 2 4 9" xfId="45252"/>
    <cellStyle name="Note 3 5 2 5" xfId="45253"/>
    <cellStyle name="Note 3 5 3" xfId="45254"/>
    <cellStyle name="Note 3 5 3 2" xfId="45255"/>
    <cellStyle name="Note 3 5 3 2 10" xfId="45256"/>
    <cellStyle name="Note 3 5 3 2 11" xfId="45257"/>
    <cellStyle name="Note 3 5 3 2 12" xfId="45258"/>
    <cellStyle name="Note 3 5 3 2 13" xfId="45259"/>
    <cellStyle name="Note 3 5 3 2 14" xfId="45260"/>
    <cellStyle name="Note 3 5 3 2 15" xfId="45261"/>
    <cellStyle name="Note 3 5 3 2 16" xfId="45262"/>
    <cellStyle name="Note 3 5 3 2 17" xfId="45263"/>
    <cellStyle name="Note 3 5 3 2 18" xfId="45264"/>
    <cellStyle name="Note 3 5 3 2 19" xfId="45265"/>
    <cellStyle name="Note 3 5 3 2 2" xfId="45266"/>
    <cellStyle name="Note 3 5 3 2 2 2" xfId="45267"/>
    <cellStyle name="Note 3 5 3 2 2 3" xfId="45268"/>
    <cellStyle name="Note 3 5 3 2 2 4" xfId="45269"/>
    <cellStyle name="Note 3 5 3 2 2 5" xfId="45270"/>
    <cellStyle name="Note 3 5 3 2 2 6" xfId="45271"/>
    <cellStyle name="Note 3 5 3 2 2 7" xfId="45272"/>
    <cellStyle name="Note 3 5 3 2 2 8" xfId="45273"/>
    <cellStyle name="Note 3 5 3 2 2 9" xfId="45274"/>
    <cellStyle name="Note 3 5 3 2 3" xfId="45275"/>
    <cellStyle name="Note 3 5 3 2 4" xfId="45276"/>
    <cellStyle name="Note 3 5 3 2 5" xfId="45277"/>
    <cellStyle name="Note 3 5 3 2 6" xfId="45278"/>
    <cellStyle name="Note 3 5 3 2 7" xfId="45279"/>
    <cellStyle name="Note 3 5 3 2 8" xfId="45280"/>
    <cellStyle name="Note 3 5 3 2 9" xfId="45281"/>
    <cellStyle name="Note 3 5 3 3" xfId="45282"/>
    <cellStyle name="Note 3 5 3 3 10" xfId="45283"/>
    <cellStyle name="Note 3 5 3 3 11" xfId="45284"/>
    <cellStyle name="Note 3 5 3 3 12" xfId="45285"/>
    <cellStyle name="Note 3 5 3 3 13" xfId="45286"/>
    <cellStyle name="Note 3 5 3 3 14" xfId="45287"/>
    <cellStyle name="Note 3 5 3 3 15" xfId="45288"/>
    <cellStyle name="Note 3 5 3 3 16" xfId="45289"/>
    <cellStyle name="Note 3 5 3 3 17" xfId="45290"/>
    <cellStyle name="Note 3 5 3 3 18" xfId="45291"/>
    <cellStyle name="Note 3 5 3 3 2" xfId="45292"/>
    <cellStyle name="Note 3 5 3 3 2 2" xfId="45293"/>
    <cellStyle name="Note 3 5 3 3 2 3" xfId="45294"/>
    <cellStyle name="Note 3 5 3 3 2 4" xfId="45295"/>
    <cellStyle name="Note 3 5 3 3 2 5" xfId="45296"/>
    <cellStyle name="Note 3 5 3 3 2 6" xfId="45297"/>
    <cellStyle name="Note 3 5 3 3 2 7" xfId="45298"/>
    <cellStyle name="Note 3 5 3 3 2 8" xfId="45299"/>
    <cellStyle name="Note 3 5 3 3 2 9" xfId="45300"/>
    <cellStyle name="Note 3 5 3 3 3" xfId="45301"/>
    <cellStyle name="Note 3 5 3 3 4" xfId="45302"/>
    <cellStyle name="Note 3 5 3 3 5" xfId="45303"/>
    <cellStyle name="Note 3 5 3 3 6" xfId="45304"/>
    <cellStyle name="Note 3 5 3 3 7" xfId="45305"/>
    <cellStyle name="Note 3 5 3 3 8" xfId="45306"/>
    <cellStyle name="Note 3 5 3 3 9" xfId="45307"/>
    <cellStyle name="Note 3 5 3 4" xfId="45308"/>
    <cellStyle name="Note 3 5 3 4 10" xfId="45309"/>
    <cellStyle name="Note 3 5 3 4 11" xfId="45310"/>
    <cellStyle name="Note 3 5 3 4 12" xfId="45311"/>
    <cellStyle name="Note 3 5 3 4 13" xfId="45312"/>
    <cellStyle name="Note 3 5 3 4 14" xfId="45313"/>
    <cellStyle name="Note 3 5 3 4 15" xfId="45314"/>
    <cellStyle name="Note 3 5 3 4 16" xfId="45315"/>
    <cellStyle name="Note 3 5 3 4 17" xfId="45316"/>
    <cellStyle name="Note 3 5 3 4 18" xfId="45317"/>
    <cellStyle name="Note 3 5 3 4 19" xfId="45318"/>
    <cellStyle name="Note 3 5 3 4 2" xfId="45319"/>
    <cellStyle name="Note 3 5 3 4 2 2" xfId="45320"/>
    <cellStyle name="Note 3 5 3 4 2 3" xfId="45321"/>
    <cellStyle name="Note 3 5 3 4 2 4" xfId="45322"/>
    <cellStyle name="Note 3 5 3 4 2 5" xfId="45323"/>
    <cellStyle name="Note 3 5 3 4 2 6" xfId="45324"/>
    <cellStyle name="Note 3 5 3 4 2 7" xfId="45325"/>
    <cellStyle name="Note 3 5 3 4 2 8" xfId="45326"/>
    <cellStyle name="Note 3 5 3 4 2 9" xfId="45327"/>
    <cellStyle name="Note 3 5 3 4 3" xfId="45328"/>
    <cellStyle name="Note 3 5 3 4 4" xfId="45329"/>
    <cellStyle name="Note 3 5 3 4 5" xfId="45330"/>
    <cellStyle name="Note 3 5 3 4 6" xfId="45331"/>
    <cellStyle name="Note 3 5 3 4 7" xfId="45332"/>
    <cellStyle name="Note 3 5 3 4 8" xfId="45333"/>
    <cellStyle name="Note 3 5 3 4 9" xfId="45334"/>
    <cellStyle name="Note 3 5 3 5" xfId="45335"/>
    <cellStyle name="Note 3 5 4" xfId="45336"/>
    <cellStyle name="Note 3 5 4 10" xfId="45337"/>
    <cellStyle name="Note 3 5 4 11" xfId="45338"/>
    <cellStyle name="Note 3 5 4 12" xfId="45339"/>
    <cellStyle name="Note 3 5 4 13" xfId="45340"/>
    <cellStyle name="Note 3 5 4 14" xfId="45341"/>
    <cellStyle name="Note 3 5 4 15" xfId="45342"/>
    <cellStyle name="Note 3 5 4 16" xfId="45343"/>
    <cellStyle name="Note 3 5 4 17" xfId="45344"/>
    <cellStyle name="Note 3 5 4 18" xfId="45345"/>
    <cellStyle name="Note 3 5 4 19" xfId="45346"/>
    <cellStyle name="Note 3 5 4 2" xfId="45347"/>
    <cellStyle name="Note 3 5 4 2 2" xfId="45348"/>
    <cellStyle name="Note 3 5 4 2 3" xfId="45349"/>
    <cellStyle name="Note 3 5 4 2 4" xfId="45350"/>
    <cellStyle name="Note 3 5 4 2 5" xfId="45351"/>
    <cellStyle name="Note 3 5 4 2 6" xfId="45352"/>
    <cellStyle name="Note 3 5 4 2 7" xfId="45353"/>
    <cellStyle name="Note 3 5 4 2 8" xfId="45354"/>
    <cellStyle name="Note 3 5 4 2 9" xfId="45355"/>
    <cellStyle name="Note 3 5 4 3" xfId="45356"/>
    <cellStyle name="Note 3 5 4 4" xfId="45357"/>
    <cellStyle name="Note 3 5 4 5" xfId="45358"/>
    <cellStyle name="Note 3 5 4 6" xfId="45359"/>
    <cellStyle name="Note 3 5 4 7" xfId="45360"/>
    <cellStyle name="Note 3 5 4 8" xfId="45361"/>
    <cellStyle name="Note 3 5 4 9" xfId="45362"/>
    <cellStyle name="Note 3 5 5" xfId="45363"/>
    <cellStyle name="Note 3 5 5 10" xfId="45364"/>
    <cellStyle name="Note 3 5 5 11" xfId="45365"/>
    <cellStyle name="Note 3 5 5 12" xfId="45366"/>
    <cellStyle name="Note 3 5 5 13" xfId="45367"/>
    <cellStyle name="Note 3 5 5 14" xfId="45368"/>
    <cellStyle name="Note 3 5 5 15" xfId="45369"/>
    <cellStyle name="Note 3 5 5 16" xfId="45370"/>
    <cellStyle name="Note 3 5 5 17" xfId="45371"/>
    <cellStyle name="Note 3 5 5 18" xfId="45372"/>
    <cellStyle name="Note 3 5 5 2" xfId="45373"/>
    <cellStyle name="Note 3 5 5 2 2" xfId="45374"/>
    <cellStyle name="Note 3 5 5 2 3" xfId="45375"/>
    <cellStyle name="Note 3 5 5 2 4" xfId="45376"/>
    <cellStyle name="Note 3 5 5 2 5" xfId="45377"/>
    <cellStyle name="Note 3 5 5 2 6" xfId="45378"/>
    <cellStyle name="Note 3 5 5 2 7" xfId="45379"/>
    <cellStyle name="Note 3 5 5 2 8" xfId="45380"/>
    <cellStyle name="Note 3 5 5 2 9" xfId="45381"/>
    <cellStyle name="Note 3 5 5 3" xfId="45382"/>
    <cellStyle name="Note 3 5 5 4" xfId="45383"/>
    <cellStyle name="Note 3 5 5 5" xfId="45384"/>
    <cellStyle name="Note 3 5 5 6" xfId="45385"/>
    <cellStyle name="Note 3 5 5 7" xfId="45386"/>
    <cellStyle name="Note 3 5 5 8" xfId="45387"/>
    <cellStyle name="Note 3 5 5 9" xfId="45388"/>
    <cellStyle name="Note 3 5 6" xfId="45389"/>
    <cellStyle name="Note 3 5 6 10" xfId="45390"/>
    <cellStyle name="Note 3 5 6 11" xfId="45391"/>
    <cellStyle name="Note 3 5 6 12" xfId="45392"/>
    <cellStyle name="Note 3 5 6 13" xfId="45393"/>
    <cellStyle name="Note 3 5 6 14" xfId="45394"/>
    <cellStyle name="Note 3 5 6 15" xfId="45395"/>
    <cellStyle name="Note 3 5 6 16" xfId="45396"/>
    <cellStyle name="Note 3 5 6 17" xfId="45397"/>
    <cellStyle name="Note 3 5 6 18" xfId="45398"/>
    <cellStyle name="Note 3 5 6 19" xfId="45399"/>
    <cellStyle name="Note 3 5 6 2" xfId="45400"/>
    <cellStyle name="Note 3 5 6 2 2" xfId="45401"/>
    <cellStyle name="Note 3 5 6 2 3" xfId="45402"/>
    <cellStyle name="Note 3 5 6 2 4" xfId="45403"/>
    <cellStyle name="Note 3 5 6 2 5" xfId="45404"/>
    <cellStyle name="Note 3 5 6 2 6" xfId="45405"/>
    <cellStyle name="Note 3 5 6 2 7" xfId="45406"/>
    <cellStyle name="Note 3 5 6 2 8" xfId="45407"/>
    <cellStyle name="Note 3 5 6 2 9" xfId="45408"/>
    <cellStyle name="Note 3 5 6 3" xfId="45409"/>
    <cellStyle name="Note 3 5 6 4" xfId="45410"/>
    <cellStyle name="Note 3 5 6 5" xfId="45411"/>
    <cellStyle name="Note 3 5 6 6" xfId="45412"/>
    <cellStyle name="Note 3 5 6 7" xfId="45413"/>
    <cellStyle name="Note 3 5 6 8" xfId="45414"/>
    <cellStyle name="Note 3 5 6 9" xfId="45415"/>
    <cellStyle name="Note 3 5 7" xfId="45416"/>
    <cellStyle name="Note 3 6" xfId="45417"/>
    <cellStyle name="Note 3 6 2" xfId="45418"/>
    <cellStyle name="Note 3 6 2 2" xfId="45419"/>
    <cellStyle name="Note 3 6 2 2 10" xfId="45420"/>
    <cellStyle name="Note 3 6 2 2 11" xfId="45421"/>
    <cellStyle name="Note 3 6 2 2 12" xfId="45422"/>
    <cellStyle name="Note 3 6 2 2 13" xfId="45423"/>
    <cellStyle name="Note 3 6 2 2 14" xfId="45424"/>
    <cellStyle name="Note 3 6 2 2 15" xfId="45425"/>
    <cellStyle name="Note 3 6 2 2 16" xfId="45426"/>
    <cellStyle name="Note 3 6 2 2 17" xfId="45427"/>
    <cellStyle name="Note 3 6 2 2 18" xfId="45428"/>
    <cellStyle name="Note 3 6 2 2 19" xfId="45429"/>
    <cellStyle name="Note 3 6 2 2 2" xfId="45430"/>
    <cellStyle name="Note 3 6 2 2 2 2" xfId="45431"/>
    <cellStyle name="Note 3 6 2 2 2 3" xfId="45432"/>
    <cellStyle name="Note 3 6 2 2 2 4" xfId="45433"/>
    <cellStyle name="Note 3 6 2 2 2 5" xfId="45434"/>
    <cellStyle name="Note 3 6 2 2 2 6" xfId="45435"/>
    <cellStyle name="Note 3 6 2 2 2 7" xfId="45436"/>
    <cellStyle name="Note 3 6 2 2 2 8" xfId="45437"/>
    <cellStyle name="Note 3 6 2 2 2 9" xfId="45438"/>
    <cellStyle name="Note 3 6 2 2 3" xfId="45439"/>
    <cellStyle name="Note 3 6 2 2 4" xfId="45440"/>
    <cellStyle name="Note 3 6 2 2 5" xfId="45441"/>
    <cellStyle name="Note 3 6 2 2 6" xfId="45442"/>
    <cellStyle name="Note 3 6 2 2 7" xfId="45443"/>
    <cellStyle name="Note 3 6 2 2 8" xfId="45444"/>
    <cellStyle name="Note 3 6 2 2 9" xfId="45445"/>
    <cellStyle name="Note 3 6 2 3" xfId="45446"/>
    <cellStyle name="Note 3 6 2 3 10" xfId="45447"/>
    <cellStyle name="Note 3 6 2 3 11" xfId="45448"/>
    <cellStyle name="Note 3 6 2 3 12" xfId="45449"/>
    <cellStyle name="Note 3 6 2 3 13" xfId="45450"/>
    <cellStyle name="Note 3 6 2 3 14" xfId="45451"/>
    <cellStyle name="Note 3 6 2 3 15" xfId="45452"/>
    <cellStyle name="Note 3 6 2 3 16" xfId="45453"/>
    <cellStyle name="Note 3 6 2 3 17" xfId="45454"/>
    <cellStyle name="Note 3 6 2 3 18" xfId="45455"/>
    <cellStyle name="Note 3 6 2 3 2" xfId="45456"/>
    <cellStyle name="Note 3 6 2 3 2 2" xfId="45457"/>
    <cellStyle name="Note 3 6 2 3 2 3" xfId="45458"/>
    <cellStyle name="Note 3 6 2 3 2 4" xfId="45459"/>
    <cellStyle name="Note 3 6 2 3 2 5" xfId="45460"/>
    <cellStyle name="Note 3 6 2 3 2 6" xfId="45461"/>
    <cellStyle name="Note 3 6 2 3 2 7" xfId="45462"/>
    <cellStyle name="Note 3 6 2 3 2 8" xfId="45463"/>
    <cellStyle name="Note 3 6 2 3 2 9" xfId="45464"/>
    <cellStyle name="Note 3 6 2 3 3" xfId="45465"/>
    <cellStyle name="Note 3 6 2 3 4" xfId="45466"/>
    <cellStyle name="Note 3 6 2 3 5" xfId="45467"/>
    <cellStyle name="Note 3 6 2 3 6" xfId="45468"/>
    <cellStyle name="Note 3 6 2 3 7" xfId="45469"/>
    <cellStyle name="Note 3 6 2 3 8" xfId="45470"/>
    <cellStyle name="Note 3 6 2 3 9" xfId="45471"/>
    <cellStyle name="Note 3 6 2 4" xfId="45472"/>
    <cellStyle name="Note 3 6 2 4 10" xfId="45473"/>
    <cellStyle name="Note 3 6 2 4 11" xfId="45474"/>
    <cellStyle name="Note 3 6 2 4 12" xfId="45475"/>
    <cellStyle name="Note 3 6 2 4 13" xfId="45476"/>
    <cellStyle name="Note 3 6 2 4 14" xfId="45477"/>
    <cellStyle name="Note 3 6 2 4 15" xfId="45478"/>
    <cellStyle name="Note 3 6 2 4 16" xfId="45479"/>
    <cellStyle name="Note 3 6 2 4 17" xfId="45480"/>
    <cellStyle name="Note 3 6 2 4 18" xfId="45481"/>
    <cellStyle name="Note 3 6 2 4 19" xfId="45482"/>
    <cellStyle name="Note 3 6 2 4 2" xfId="45483"/>
    <cellStyle name="Note 3 6 2 4 2 2" xfId="45484"/>
    <cellStyle name="Note 3 6 2 4 2 3" xfId="45485"/>
    <cellStyle name="Note 3 6 2 4 2 4" xfId="45486"/>
    <cellStyle name="Note 3 6 2 4 2 5" xfId="45487"/>
    <cellStyle name="Note 3 6 2 4 2 6" xfId="45488"/>
    <cellStyle name="Note 3 6 2 4 2 7" xfId="45489"/>
    <cellStyle name="Note 3 6 2 4 2 8" xfId="45490"/>
    <cellStyle name="Note 3 6 2 4 2 9" xfId="45491"/>
    <cellStyle name="Note 3 6 2 4 3" xfId="45492"/>
    <cellStyle name="Note 3 6 2 4 4" xfId="45493"/>
    <cellStyle name="Note 3 6 2 4 5" xfId="45494"/>
    <cellStyle name="Note 3 6 2 4 6" xfId="45495"/>
    <cellStyle name="Note 3 6 2 4 7" xfId="45496"/>
    <cellStyle name="Note 3 6 2 4 8" xfId="45497"/>
    <cellStyle name="Note 3 6 2 4 9" xfId="45498"/>
    <cellStyle name="Note 3 6 2 5" xfId="45499"/>
    <cellStyle name="Note 3 6 3" xfId="45500"/>
    <cellStyle name="Note 3 6 3 2" xfId="45501"/>
    <cellStyle name="Note 3 6 3 2 10" xfId="45502"/>
    <cellStyle name="Note 3 6 3 2 11" xfId="45503"/>
    <cellStyle name="Note 3 6 3 2 12" xfId="45504"/>
    <cellStyle name="Note 3 6 3 2 13" xfId="45505"/>
    <cellStyle name="Note 3 6 3 2 14" xfId="45506"/>
    <cellStyle name="Note 3 6 3 2 15" xfId="45507"/>
    <cellStyle name="Note 3 6 3 2 16" xfId="45508"/>
    <cellStyle name="Note 3 6 3 2 17" xfId="45509"/>
    <cellStyle name="Note 3 6 3 2 18" xfId="45510"/>
    <cellStyle name="Note 3 6 3 2 19" xfId="45511"/>
    <cellStyle name="Note 3 6 3 2 2" xfId="45512"/>
    <cellStyle name="Note 3 6 3 2 2 2" xfId="45513"/>
    <cellStyle name="Note 3 6 3 2 2 3" xfId="45514"/>
    <cellStyle name="Note 3 6 3 2 2 4" xfId="45515"/>
    <cellStyle name="Note 3 6 3 2 2 5" xfId="45516"/>
    <cellStyle name="Note 3 6 3 2 2 6" xfId="45517"/>
    <cellStyle name="Note 3 6 3 2 2 7" xfId="45518"/>
    <cellStyle name="Note 3 6 3 2 2 8" xfId="45519"/>
    <cellStyle name="Note 3 6 3 2 2 9" xfId="45520"/>
    <cellStyle name="Note 3 6 3 2 3" xfId="45521"/>
    <cellStyle name="Note 3 6 3 2 4" xfId="45522"/>
    <cellStyle name="Note 3 6 3 2 5" xfId="45523"/>
    <cellStyle name="Note 3 6 3 2 6" xfId="45524"/>
    <cellStyle name="Note 3 6 3 2 7" xfId="45525"/>
    <cellStyle name="Note 3 6 3 2 8" xfId="45526"/>
    <cellStyle name="Note 3 6 3 2 9" xfId="45527"/>
    <cellStyle name="Note 3 6 3 3" xfId="45528"/>
    <cellStyle name="Note 3 6 3 3 10" xfId="45529"/>
    <cellStyle name="Note 3 6 3 3 11" xfId="45530"/>
    <cellStyle name="Note 3 6 3 3 12" xfId="45531"/>
    <cellStyle name="Note 3 6 3 3 13" xfId="45532"/>
    <cellStyle name="Note 3 6 3 3 14" xfId="45533"/>
    <cellStyle name="Note 3 6 3 3 15" xfId="45534"/>
    <cellStyle name="Note 3 6 3 3 16" xfId="45535"/>
    <cellStyle name="Note 3 6 3 3 17" xfId="45536"/>
    <cellStyle name="Note 3 6 3 3 18" xfId="45537"/>
    <cellStyle name="Note 3 6 3 3 2" xfId="45538"/>
    <cellStyle name="Note 3 6 3 3 2 2" xfId="45539"/>
    <cellStyle name="Note 3 6 3 3 2 3" xfId="45540"/>
    <cellStyle name="Note 3 6 3 3 2 4" xfId="45541"/>
    <cellStyle name="Note 3 6 3 3 2 5" xfId="45542"/>
    <cellStyle name="Note 3 6 3 3 2 6" xfId="45543"/>
    <cellStyle name="Note 3 6 3 3 2 7" xfId="45544"/>
    <cellStyle name="Note 3 6 3 3 2 8" xfId="45545"/>
    <cellStyle name="Note 3 6 3 3 2 9" xfId="45546"/>
    <cellStyle name="Note 3 6 3 3 3" xfId="45547"/>
    <cellStyle name="Note 3 6 3 3 4" xfId="45548"/>
    <cellStyle name="Note 3 6 3 3 5" xfId="45549"/>
    <cellStyle name="Note 3 6 3 3 6" xfId="45550"/>
    <cellStyle name="Note 3 6 3 3 7" xfId="45551"/>
    <cellStyle name="Note 3 6 3 3 8" xfId="45552"/>
    <cellStyle name="Note 3 6 3 3 9" xfId="45553"/>
    <cellStyle name="Note 3 6 3 4" xfId="45554"/>
    <cellStyle name="Note 3 6 3 4 10" xfId="45555"/>
    <cellStyle name="Note 3 6 3 4 11" xfId="45556"/>
    <cellStyle name="Note 3 6 3 4 12" xfId="45557"/>
    <cellStyle name="Note 3 6 3 4 13" xfId="45558"/>
    <cellStyle name="Note 3 6 3 4 14" xfId="45559"/>
    <cellStyle name="Note 3 6 3 4 15" xfId="45560"/>
    <cellStyle name="Note 3 6 3 4 16" xfId="45561"/>
    <cellStyle name="Note 3 6 3 4 17" xfId="45562"/>
    <cellStyle name="Note 3 6 3 4 18" xfId="45563"/>
    <cellStyle name="Note 3 6 3 4 19" xfId="45564"/>
    <cellStyle name="Note 3 6 3 4 2" xfId="45565"/>
    <cellStyle name="Note 3 6 3 4 2 2" xfId="45566"/>
    <cellStyle name="Note 3 6 3 4 2 3" xfId="45567"/>
    <cellStyle name="Note 3 6 3 4 2 4" xfId="45568"/>
    <cellStyle name="Note 3 6 3 4 2 5" xfId="45569"/>
    <cellStyle name="Note 3 6 3 4 2 6" xfId="45570"/>
    <cellStyle name="Note 3 6 3 4 2 7" xfId="45571"/>
    <cellStyle name="Note 3 6 3 4 2 8" xfId="45572"/>
    <cellStyle name="Note 3 6 3 4 2 9" xfId="45573"/>
    <cellStyle name="Note 3 6 3 4 3" xfId="45574"/>
    <cellStyle name="Note 3 6 3 4 4" xfId="45575"/>
    <cellStyle name="Note 3 6 3 4 5" xfId="45576"/>
    <cellStyle name="Note 3 6 3 4 6" xfId="45577"/>
    <cellStyle name="Note 3 6 3 4 7" xfId="45578"/>
    <cellStyle name="Note 3 6 3 4 8" xfId="45579"/>
    <cellStyle name="Note 3 6 3 4 9" xfId="45580"/>
    <cellStyle name="Note 3 6 3 5" xfId="45581"/>
    <cellStyle name="Note 3 6 4" xfId="45582"/>
    <cellStyle name="Note 3 6 4 10" xfId="45583"/>
    <cellStyle name="Note 3 6 4 11" xfId="45584"/>
    <cellStyle name="Note 3 6 4 12" xfId="45585"/>
    <cellStyle name="Note 3 6 4 13" xfId="45586"/>
    <cellStyle name="Note 3 6 4 14" xfId="45587"/>
    <cellStyle name="Note 3 6 4 15" xfId="45588"/>
    <cellStyle name="Note 3 6 4 16" xfId="45589"/>
    <cellStyle name="Note 3 6 4 17" xfId="45590"/>
    <cellStyle name="Note 3 6 4 18" xfId="45591"/>
    <cellStyle name="Note 3 6 4 19" xfId="45592"/>
    <cellStyle name="Note 3 6 4 2" xfId="45593"/>
    <cellStyle name="Note 3 6 4 2 2" xfId="45594"/>
    <cellStyle name="Note 3 6 4 2 3" xfId="45595"/>
    <cellStyle name="Note 3 6 4 2 4" xfId="45596"/>
    <cellStyle name="Note 3 6 4 2 5" xfId="45597"/>
    <cellStyle name="Note 3 6 4 2 6" xfId="45598"/>
    <cellStyle name="Note 3 6 4 2 7" xfId="45599"/>
    <cellStyle name="Note 3 6 4 2 8" xfId="45600"/>
    <cellStyle name="Note 3 6 4 2 9" xfId="45601"/>
    <cellStyle name="Note 3 6 4 3" xfId="45602"/>
    <cellStyle name="Note 3 6 4 4" xfId="45603"/>
    <cellStyle name="Note 3 6 4 5" xfId="45604"/>
    <cellStyle name="Note 3 6 4 6" xfId="45605"/>
    <cellStyle name="Note 3 6 4 7" xfId="45606"/>
    <cellStyle name="Note 3 6 4 8" xfId="45607"/>
    <cellStyle name="Note 3 6 4 9" xfId="45608"/>
    <cellStyle name="Note 3 6 5" xfId="45609"/>
    <cellStyle name="Note 3 6 5 10" xfId="45610"/>
    <cellStyle name="Note 3 6 5 11" xfId="45611"/>
    <cellStyle name="Note 3 6 5 12" xfId="45612"/>
    <cellStyle name="Note 3 6 5 13" xfId="45613"/>
    <cellStyle name="Note 3 6 5 14" xfId="45614"/>
    <cellStyle name="Note 3 6 5 15" xfId="45615"/>
    <cellStyle name="Note 3 6 5 16" xfId="45616"/>
    <cellStyle name="Note 3 6 5 17" xfId="45617"/>
    <cellStyle name="Note 3 6 5 18" xfId="45618"/>
    <cellStyle name="Note 3 6 5 2" xfId="45619"/>
    <cellStyle name="Note 3 6 5 2 2" xfId="45620"/>
    <cellStyle name="Note 3 6 5 2 3" xfId="45621"/>
    <cellStyle name="Note 3 6 5 2 4" xfId="45622"/>
    <cellStyle name="Note 3 6 5 2 5" xfId="45623"/>
    <cellStyle name="Note 3 6 5 2 6" xfId="45624"/>
    <cellStyle name="Note 3 6 5 2 7" xfId="45625"/>
    <cellStyle name="Note 3 6 5 2 8" xfId="45626"/>
    <cellStyle name="Note 3 6 5 2 9" xfId="45627"/>
    <cellStyle name="Note 3 6 5 3" xfId="45628"/>
    <cellStyle name="Note 3 6 5 4" xfId="45629"/>
    <cellStyle name="Note 3 6 5 5" xfId="45630"/>
    <cellStyle name="Note 3 6 5 6" xfId="45631"/>
    <cellStyle name="Note 3 6 5 7" xfId="45632"/>
    <cellStyle name="Note 3 6 5 8" xfId="45633"/>
    <cellStyle name="Note 3 6 5 9" xfId="45634"/>
    <cellStyle name="Note 3 6 6" xfId="45635"/>
    <cellStyle name="Note 3 6 6 10" xfId="45636"/>
    <cellStyle name="Note 3 6 6 11" xfId="45637"/>
    <cellStyle name="Note 3 6 6 12" xfId="45638"/>
    <cellStyle name="Note 3 6 6 13" xfId="45639"/>
    <cellStyle name="Note 3 6 6 14" xfId="45640"/>
    <cellStyle name="Note 3 6 6 15" xfId="45641"/>
    <cellStyle name="Note 3 6 6 16" xfId="45642"/>
    <cellStyle name="Note 3 6 6 17" xfId="45643"/>
    <cellStyle name="Note 3 6 6 18" xfId="45644"/>
    <cellStyle name="Note 3 6 6 19" xfId="45645"/>
    <cellStyle name="Note 3 6 6 2" xfId="45646"/>
    <cellStyle name="Note 3 6 6 2 2" xfId="45647"/>
    <cellStyle name="Note 3 6 6 2 3" xfId="45648"/>
    <cellStyle name="Note 3 6 6 2 4" xfId="45649"/>
    <cellStyle name="Note 3 6 6 2 5" xfId="45650"/>
    <cellStyle name="Note 3 6 6 2 6" xfId="45651"/>
    <cellStyle name="Note 3 6 6 2 7" xfId="45652"/>
    <cellStyle name="Note 3 6 6 2 8" xfId="45653"/>
    <cellStyle name="Note 3 6 6 2 9" xfId="45654"/>
    <cellStyle name="Note 3 6 6 3" xfId="45655"/>
    <cellStyle name="Note 3 6 6 4" xfId="45656"/>
    <cellStyle name="Note 3 6 6 5" xfId="45657"/>
    <cellStyle name="Note 3 6 6 6" xfId="45658"/>
    <cellStyle name="Note 3 6 6 7" xfId="45659"/>
    <cellStyle name="Note 3 6 6 8" xfId="45660"/>
    <cellStyle name="Note 3 6 6 9" xfId="45661"/>
    <cellStyle name="Note 3 6 7" xfId="45662"/>
    <cellStyle name="Note 3 7" xfId="45663"/>
    <cellStyle name="Note 3 7 2" xfId="45664"/>
    <cellStyle name="Note 3 7 2 2" xfId="45665"/>
    <cellStyle name="Note 3 7 2 2 10" xfId="45666"/>
    <cellStyle name="Note 3 7 2 2 11" xfId="45667"/>
    <cellStyle name="Note 3 7 2 2 12" xfId="45668"/>
    <cellStyle name="Note 3 7 2 2 13" xfId="45669"/>
    <cellStyle name="Note 3 7 2 2 14" xfId="45670"/>
    <cellStyle name="Note 3 7 2 2 15" xfId="45671"/>
    <cellStyle name="Note 3 7 2 2 16" xfId="45672"/>
    <cellStyle name="Note 3 7 2 2 17" xfId="45673"/>
    <cellStyle name="Note 3 7 2 2 18" xfId="45674"/>
    <cellStyle name="Note 3 7 2 2 19" xfId="45675"/>
    <cellStyle name="Note 3 7 2 2 2" xfId="45676"/>
    <cellStyle name="Note 3 7 2 2 2 2" xfId="45677"/>
    <cellStyle name="Note 3 7 2 2 2 3" xfId="45678"/>
    <cellStyle name="Note 3 7 2 2 2 4" xfId="45679"/>
    <cellStyle name="Note 3 7 2 2 2 5" xfId="45680"/>
    <cellStyle name="Note 3 7 2 2 2 6" xfId="45681"/>
    <cellStyle name="Note 3 7 2 2 2 7" xfId="45682"/>
    <cellStyle name="Note 3 7 2 2 2 8" xfId="45683"/>
    <cellStyle name="Note 3 7 2 2 2 9" xfId="45684"/>
    <cellStyle name="Note 3 7 2 2 3" xfId="45685"/>
    <cellStyle name="Note 3 7 2 2 4" xfId="45686"/>
    <cellStyle name="Note 3 7 2 2 5" xfId="45687"/>
    <cellStyle name="Note 3 7 2 2 6" xfId="45688"/>
    <cellStyle name="Note 3 7 2 2 7" xfId="45689"/>
    <cellStyle name="Note 3 7 2 2 8" xfId="45690"/>
    <cellStyle name="Note 3 7 2 2 9" xfId="45691"/>
    <cellStyle name="Note 3 7 2 3" xfId="45692"/>
    <cellStyle name="Note 3 7 2 3 10" xfId="45693"/>
    <cellStyle name="Note 3 7 2 3 11" xfId="45694"/>
    <cellStyle name="Note 3 7 2 3 12" xfId="45695"/>
    <cellStyle name="Note 3 7 2 3 13" xfId="45696"/>
    <cellStyle name="Note 3 7 2 3 14" xfId="45697"/>
    <cellStyle name="Note 3 7 2 3 15" xfId="45698"/>
    <cellStyle name="Note 3 7 2 3 16" xfId="45699"/>
    <cellStyle name="Note 3 7 2 3 17" xfId="45700"/>
    <cellStyle name="Note 3 7 2 3 18" xfId="45701"/>
    <cellStyle name="Note 3 7 2 3 2" xfId="45702"/>
    <cellStyle name="Note 3 7 2 3 2 2" xfId="45703"/>
    <cellStyle name="Note 3 7 2 3 2 3" xfId="45704"/>
    <cellStyle name="Note 3 7 2 3 2 4" xfId="45705"/>
    <cellStyle name="Note 3 7 2 3 2 5" xfId="45706"/>
    <cellStyle name="Note 3 7 2 3 2 6" xfId="45707"/>
    <cellStyle name="Note 3 7 2 3 2 7" xfId="45708"/>
    <cellStyle name="Note 3 7 2 3 2 8" xfId="45709"/>
    <cellStyle name="Note 3 7 2 3 2 9" xfId="45710"/>
    <cellStyle name="Note 3 7 2 3 3" xfId="45711"/>
    <cellStyle name="Note 3 7 2 3 4" xfId="45712"/>
    <cellStyle name="Note 3 7 2 3 5" xfId="45713"/>
    <cellStyle name="Note 3 7 2 3 6" xfId="45714"/>
    <cellStyle name="Note 3 7 2 3 7" xfId="45715"/>
    <cellStyle name="Note 3 7 2 3 8" xfId="45716"/>
    <cellStyle name="Note 3 7 2 3 9" xfId="45717"/>
    <cellStyle name="Note 3 7 2 4" xfId="45718"/>
    <cellStyle name="Note 3 7 2 4 10" xfId="45719"/>
    <cellStyle name="Note 3 7 2 4 11" xfId="45720"/>
    <cellStyle name="Note 3 7 2 4 12" xfId="45721"/>
    <cellStyle name="Note 3 7 2 4 13" xfId="45722"/>
    <cellStyle name="Note 3 7 2 4 14" xfId="45723"/>
    <cellStyle name="Note 3 7 2 4 15" xfId="45724"/>
    <cellStyle name="Note 3 7 2 4 16" xfId="45725"/>
    <cellStyle name="Note 3 7 2 4 17" xfId="45726"/>
    <cellStyle name="Note 3 7 2 4 18" xfId="45727"/>
    <cellStyle name="Note 3 7 2 4 19" xfId="45728"/>
    <cellStyle name="Note 3 7 2 4 2" xfId="45729"/>
    <cellStyle name="Note 3 7 2 4 2 2" xfId="45730"/>
    <cellStyle name="Note 3 7 2 4 2 3" xfId="45731"/>
    <cellStyle name="Note 3 7 2 4 2 4" xfId="45732"/>
    <cellStyle name="Note 3 7 2 4 2 5" xfId="45733"/>
    <cellStyle name="Note 3 7 2 4 2 6" xfId="45734"/>
    <cellStyle name="Note 3 7 2 4 2 7" xfId="45735"/>
    <cellStyle name="Note 3 7 2 4 2 8" xfId="45736"/>
    <cellStyle name="Note 3 7 2 4 2 9" xfId="45737"/>
    <cellStyle name="Note 3 7 2 4 3" xfId="45738"/>
    <cellStyle name="Note 3 7 2 4 4" xfId="45739"/>
    <cellStyle name="Note 3 7 2 4 5" xfId="45740"/>
    <cellStyle name="Note 3 7 2 4 6" xfId="45741"/>
    <cellStyle name="Note 3 7 2 4 7" xfId="45742"/>
    <cellStyle name="Note 3 7 2 4 8" xfId="45743"/>
    <cellStyle name="Note 3 7 2 4 9" xfId="45744"/>
    <cellStyle name="Note 3 7 2 5" xfId="45745"/>
    <cellStyle name="Note 3 7 3" xfId="45746"/>
    <cellStyle name="Note 3 7 3 2" xfId="45747"/>
    <cellStyle name="Note 3 7 3 2 10" xfId="45748"/>
    <cellStyle name="Note 3 7 3 2 11" xfId="45749"/>
    <cellStyle name="Note 3 7 3 2 12" xfId="45750"/>
    <cellStyle name="Note 3 7 3 2 13" xfId="45751"/>
    <cellStyle name="Note 3 7 3 2 14" xfId="45752"/>
    <cellStyle name="Note 3 7 3 2 15" xfId="45753"/>
    <cellStyle name="Note 3 7 3 2 16" xfId="45754"/>
    <cellStyle name="Note 3 7 3 2 17" xfId="45755"/>
    <cellStyle name="Note 3 7 3 2 18" xfId="45756"/>
    <cellStyle name="Note 3 7 3 2 19" xfId="45757"/>
    <cellStyle name="Note 3 7 3 2 2" xfId="45758"/>
    <cellStyle name="Note 3 7 3 2 2 2" xfId="45759"/>
    <cellStyle name="Note 3 7 3 2 2 3" xfId="45760"/>
    <cellStyle name="Note 3 7 3 2 2 4" xfId="45761"/>
    <cellStyle name="Note 3 7 3 2 2 5" xfId="45762"/>
    <cellStyle name="Note 3 7 3 2 2 6" xfId="45763"/>
    <cellStyle name="Note 3 7 3 2 2 7" xfId="45764"/>
    <cellStyle name="Note 3 7 3 2 2 8" xfId="45765"/>
    <cellStyle name="Note 3 7 3 2 2 9" xfId="45766"/>
    <cellStyle name="Note 3 7 3 2 3" xfId="45767"/>
    <cellStyle name="Note 3 7 3 2 4" xfId="45768"/>
    <cellStyle name="Note 3 7 3 2 5" xfId="45769"/>
    <cellStyle name="Note 3 7 3 2 6" xfId="45770"/>
    <cellStyle name="Note 3 7 3 2 7" xfId="45771"/>
    <cellStyle name="Note 3 7 3 2 8" xfId="45772"/>
    <cellStyle name="Note 3 7 3 2 9" xfId="45773"/>
    <cellStyle name="Note 3 7 3 3" xfId="45774"/>
    <cellStyle name="Note 3 7 3 3 10" xfId="45775"/>
    <cellStyle name="Note 3 7 3 3 11" xfId="45776"/>
    <cellStyle name="Note 3 7 3 3 12" xfId="45777"/>
    <cellStyle name="Note 3 7 3 3 13" xfId="45778"/>
    <cellStyle name="Note 3 7 3 3 14" xfId="45779"/>
    <cellStyle name="Note 3 7 3 3 15" xfId="45780"/>
    <cellStyle name="Note 3 7 3 3 16" xfId="45781"/>
    <cellStyle name="Note 3 7 3 3 17" xfId="45782"/>
    <cellStyle name="Note 3 7 3 3 18" xfId="45783"/>
    <cellStyle name="Note 3 7 3 3 2" xfId="45784"/>
    <cellStyle name="Note 3 7 3 3 2 2" xfId="45785"/>
    <cellStyle name="Note 3 7 3 3 2 3" xfId="45786"/>
    <cellStyle name="Note 3 7 3 3 2 4" xfId="45787"/>
    <cellStyle name="Note 3 7 3 3 2 5" xfId="45788"/>
    <cellStyle name="Note 3 7 3 3 2 6" xfId="45789"/>
    <cellStyle name="Note 3 7 3 3 2 7" xfId="45790"/>
    <cellStyle name="Note 3 7 3 3 2 8" xfId="45791"/>
    <cellStyle name="Note 3 7 3 3 2 9" xfId="45792"/>
    <cellStyle name="Note 3 7 3 3 3" xfId="45793"/>
    <cellStyle name="Note 3 7 3 3 4" xfId="45794"/>
    <cellStyle name="Note 3 7 3 3 5" xfId="45795"/>
    <cellStyle name="Note 3 7 3 3 6" xfId="45796"/>
    <cellStyle name="Note 3 7 3 3 7" xfId="45797"/>
    <cellStyle name="Note 3 7 3 3 8" xfId="45798"/>
    <cellStyle name="Note 3 7 3 3 9" xfId="45799"/>
    <cellStyle name="Note 3 7 3 4" xfId="45800"/>
    <cellStyle name="Note 3 7 3 4 10" xfId="45801"/>
    <cellStyle name="Note 3 7 3 4 11" xfId="45802"/>
    <cellStyle name="Note 3 7 3 4 12" xfId="45803"/>
    <cellStyle name="Note 3 7 3 4 13" xfId="45804"/>
    <cellStyle name="Note 3 7 3 4 14" xfId="45805"/>
    <cellStyle name="Note 3 7 3 4 15" xfId="45806"/>
    <cellStyle name="Note 3 7 3 4 16" xfId="45807"/>
    <cellStyle name="Note 3 7 3 4 17" xfId="45808"/>
    <cellStyle name="Note 3 7 3 4 18" xfId="45809"/>
    <cellStyle name="Note 3 7 3 4 19" xfId="45810"/>
    <cellStyle name="Note 3 7 3 4 2" xfId="45811"/>
    <cellStyle name="Note 3 7 3 4 2 2" xfId="45812"/>
    <cellStyle name="Note 3 7 3 4 2 3" xfId="45813"/>
    <cellStyle name="Note 3 7 3 4 2 4" xfId="45814"/>
    <cellStyle name="Note 3 7 3 4 2 5" xfId="45815"/>
    <cellStyle name="Note 3 7 3 4 2 6" xfId="45816"/>
    <cellStyle name="Note 3 7 3 4 2 7" xfId="45817"/>
    <cellStyle name="Note 3 7 3 4 2 8" xfId="45818"/>
    <cellStyle name="Note 3 7 3 4 2 9" xfId="45819"/>
    <cellStyle name="Note 3 7 3 4 3" xfId="45820"/>
    <cellStyle name="Note 3 7 3 4 4" xfId="45821"/>
    <cellStyle name="Note 3 7 3 4 5" xfId="45822"/>
    <cellStyle name="Note 3 7 3 4 6" xfId="45823"/>
    <cellStyle name="Note 3 7 3 4 7" xfId="45824"/>
    <cellStyle name="Note 3 7 3 4 8" xfId="45825"/>
    <cellStyle name="Note 3 7 3 4 9" xfId="45826"/>
    <cellStyle name="Note 3 7 3 5" xfId="45827"/>
    <cellStyle name="Note 3 7 4" xfId="45828"/>
    <cellStyle name="Note 3 7 4 10" xfId="45829"/>
    <cellStyle name="Note 3 7 4 11" xfId="45830"/>
    <cellStyle name="Note 3 7 4 12" xfId="45831"/>
    <cellStyle name="Note 3 7 4 13" xfId="45832"/>
    <cellStyle name="Note 3 7 4 14" xfId="45833"/>
    <cellStyle name="Note 3 7 4 15" xfId="45834"/>
    <cellStyle name="Note 3 7 4 16" xfId="45835"/>
    <cellStyle name="Note 3 7 4 17" xfId="45836"/>
    <cellStyle name="Note 3 7 4 18" xfId="45837"/>
    <cellStyle name="Note 3 7 4 19" xfId="45838"/>
    <cellStyle name="Note 3 7 4 2" xfId="45839"/>
    <cellStyle name="Note 3 7 4 2 2" xfId="45840"/>
    <cellStyle name="Note 3 7 4 2 3" xfId="45841"/>
    <cellStyle name="Note 3 7 4 2 4" xfId="45842"/>
    <cellStyle name="Note 3 7 4 2 5" xfId="45843"/>
    <cellStyle name="Note 3 7 4 2 6" xfId="45844"/>
    <cellStyle name="Note 3 7 4 2 7" xfId="45845"/>
    <cellStyle name="Note 3 7 4 2 8" xfId="45846"/>
    <cellStyle name="Note 3 7 4 2 9" xfId="45847"/>
    <cellStyle name="Note 3 7 4 3" xfId="45848"/>
    <cellStyle name="Note 3 7 4 4" xfId="45849"/>
    <cellStyle name="Note 3 7 4 5" xfId="45850"/>
    <cellStyle name="Note 3 7 4 6" xfId="45851"/>
    <cellStyle name="Note 3 7 4 7" xfId="45852"/>
    <cellStyle name="Note 3 7 4 8" xfId="45853"/>
    <cellStyle name="Note 3 7 4 9" xfId="45854"/>
    <cellStyle name="Note 3 7 5" xfId="45855"/>
    <cellStyle name="Note 3 7 5 10" xfId="45856"/>
    <cellStyle name="Note 3 7 5 11" xfId="45857"/>
    <cellStyle name="Note 3 7 5 12" xfId="45858"/>
    <cellStyle name="Note 3 7 5 13" xfId="45859"/>
    <cellStyle name="Note 3 7 5 14" xfId="45860"/>
    <cellStyle name="Note 3 7 5 15" xfId="45861"/>
    <cellStyle name="Note 3 7 5 16" xfId="45862"/>
    <cellStyle name="Note 3 7 5 17" xfId="45863"/>
    <cellStyle name="Note 3 7 5 18" xfId="45864"/>
    <cellStyle name="Note 3 7 5 2" xfId="45865"/>
    <cellStyle name="Note 3 7 5 2 2" xfId="45866"/>
    <cellStyle name="Note 3 7 5 2 3" xfId="45867"/>
    <cellStyle name="Note 3 7 5 2 4" xfId="45868"/>
    <cellStyle name="Note 3 7 5 2 5" xfId="45869"/>
    <cellStyle name="Note 3 7 5 2 6" xfId="45870"/>
    <cellStyle name="Note 3 7 5 2 7" xfId="45871"/>
    <cellStyle name="Note 3 7 5 2 8" xfId="45872"/>
    <cellStyle name="Note 3 7 5 2 9" xfId="45873"/>
    <cellStyle name="Note 3 7 5 3" xfId="45874"/>
    <cellStyle name="Note 3 7 5 4" xfId="45875"/>
    <cellStyle name="Note 3 7 5 5" xfId="45876"/>
    <cellStyle name="Note 3 7 5 6" xfId="45877"/>
    <cellStyle name="Note 3 7 5 7" xfId="45878"/>
    <cellStyle name="Note 3 7 5 8" xfId="45879"/>
    <cellStyle name="Note 3 7 5 9" xfId="45880"/>
    <cellStyle name="Note 3 7 6" xfId="45881"/>
    <cellStyle name="Note 3 7 6 10" xfId="45882"/>
    <cellStyle name="Note 3 7 6 11" xfId="45883"/>
    <cellStyle name="Note 3 7 6 12" xfId="45884"/>
    <cellStyle name="Note 3 7 6 13" xfId="45885"/>
    <cellStyle name="Note 3 7 6 14" xfId="45886"/>
    <cellStyle name="Note 3 7 6 15" xfId="45887"/>
    <cellStyle name="Note 3 7 6 16" xfId="45888"/>
    <cellStyle name="Note 3 7 6 17" xfId="45889"/>
    <cellStyle name="Note 3 7 6 18" xfId="45890"/>
    <cellStyle name="Note 3 7 6 19" xfId="45891"/>
    <cellStyle name="Note 3 7 6 2" xfId="45892"/>
    <cellStyle name="Note 3 7 6 2 2" xfId="45893"/>
    <cellStyle name="Note 3 7 6 2 3" xfId="45894"/>
    <cellStyle name="Note 3 7 6 2 4" xfId="45895"/>
    <cellStyle name="Note 3 7 6 2 5" xfId="45896"/>
    <cellStyle name="Note 3 7 6 2 6" xfId="45897"/>
    <cellStyle name="Note 3 7 6 2 7" xfId="45898"/>
    <cellStyle name="Note 3 7 6 2 8" xfId="45899"/>
    <cellStyle name="Note 3 7 6 2 9" xfId="45900"/>
    <cellStyle name="Note 3 7 6 3" xfId="45901"/>
    <cellStyle name="Note 3 7 6 4" xfId="45902"/>
    <cellStyle name="Note 3 7 6 5" xfId="45903"/>
    <cellStyle name="Note 3 7 6 6" xfId="45904"/>
    <cellStyle name="Note 3 7 6 7" xfId="45905"/>
    <cellStyle name="Note 3 7 6 8" xfId="45906"/>
    <cellStyle name="Note 3 7 6 9" xfId="45907"/>
    <cellStyle name="Note 3 7 7" xfId="45908"/>
    <cellStyle name="Note 3 8" xfId="45909"/>
    <cellStyle name="Note 3 8 2" xfId="45910"/>
    <cellStyle name="Note 3 8 2 2" xfId="45911"/>
    <cellStyle name="Note 3 8 2 2 10" xfId="45912"/>
    <cellStyle name="Note 3 8 2 2 11" xfId="45913"/>
    <cellStyle name="Note 3 8 2 2 12" xfId="45914"/>
    <cellStyle name="Note 3 8 2 2 13" xfId="45915"/>
    <cellStyle name="Note 3 8 2 2 14" xfId="45916"/>
    <cellStyle name="Note 3 8 2 2 15" xfId="45917"/>
    <cellStyle name="Note 3 8 2 2 16" xfId="45918"/>
    <cellStyle name="Note 3 8 2 2 17" xfId="45919"/>
    <cellStyle name="Note 3 8 2 2 18" xfId="45920"/>
    <cellStyle name="Note 3 8 2 2 19" xfId="45921"/>
    <cellStyle name="Note 3 8 2 2 2" xfId="45922"/>
    <cellStyle name="Note 3 8 2 2 2 2" xfId="45923"/>
    <cellStyle name="Note 3 8 2 2 2 3" xfId="45924"/>
    <cellStyle name="Note 3 8 2 2 2 4" xfId="45925"/>
    <cellStyle name="Note 3 8 2 2 2 5" xfId="45926"/>
    <cellStyle name="Note 3 8 2 2 2 6" xfId="45927"/>
    <cellStyle name="Note 3 8 2 2 2 7" xfId="45928"/>
    <cellStyle name="Note 3 8 2 2 2 8" xfId="45929"/>
    <cellStyle name="Note 3 8 2 2 2 9" xfId="45930"/>
    <cellStyle name="Note 3 8 2 2 3" xfId="45931"/>
    <cellStyle name="Note 3 8 2 2 4" xfId="45932"/>
    <cellStyle name="Note 3 8 2 2 5" xfId="45933"/>
    <cellStyle name="Note 3 8 2 2 6" xfId="45934"/>
    <cellStyle name="Note 3 8 2 2 7" xfId="45935"/>
    <cellStyle name="Note 3 8 2 2 8" xfId="45936"/>
    <cellStyle name="Note 3 8 2 2 9" xfId="45937"/>
    <cellStyle name="Note 3 8 2 3" xfId="45938"/>
    <cellStyle name="Note 3 8 2 3 10" xfId="45939"/>
    <cellStyle name="Note 3 8 2 3 11" xfId="45940"/>
    <cellStyle name="Note 3 8 2 3 12" xfId="45941"/>
    <cellStyle name="Note 3 8 2 3 13" xfId="45942"/>
    <cellStyle name="Note 3 8 2 3 14" xfId="45943"/>
    <cellStyle name="Note 3 8 2 3 15" xfId="45944"/>
    <cellStyle name="Note 3 8 2 3 16" xfId="45945"/>
    <cellStyle name="Note 3 8 2 3 17" xfId="45946"/>
    <cellStyle name="Note 3 8 2 3 18" xfId="45947"/>
    <cellStyle name="Note 3 8 2 3 2" xfId="45948"/>
    <cellStyle name="Note 3 8 2 3 2 2" xfId="45949"/>
    <cellStyle name="Note 3 8 2 3 2 3" xfId="45950"/>
    <cellStyle name="Note 3 8 2 3 2 4" xfId="45951"/>
    <cellStyle name="Note 3 8 2 3 2 5" xfId="45952"/>
    <cellStyle name="Note 3 8 2 3 2 6" xfId="45953"/>
    <cellStyle name="Note 3 8 2 3 2 7" xfId="45954"/>
    <cellStyle name="Note 3 8 2 3 2 8" xfId="45955"/>
    <cellStyle name="Note 3 8 2 3 2 9" xfId="45956"/>
    <cellStyle name="Note 3 8 2 3 3" xfId="45957"/>
    <cellStyle name="Note 3 8 2 3 4" xfId="45958"/>
    <cellStyle name="Note 3 8 2 3 5" xfId="45959"/>
    <cellStyle name="Note 3 8 2 3 6" xfId="45960"/>
    <cellStyle name="Note 3 8 2 3 7" xfId="45961"/>
    <cellStyle name="Note 3 8 2 3 8" xfId="45962"/>
    <cellStyle name="Note 3 8 2 3 9" xfId="45963"/>
    <cellStyle name="Note 3 8 2 4" xfId="45964"/>
    <cellStyle name="Note 3 8 2 4 10" xfId="45965"/>
    <cellStyle name="Note 3 8 2 4 11" xfId="45966"/>
    <cellStyle name="Note 3 8 2 4 12" xfId="45967"/>
    <cellStyle name="Note 3 8 2 4 13" xfId="45968"/>
    <cellStyle name="Note 3 8 2 4 14" xfId="45969"/>
    <cellStyle name="Note 3 8 2 4 15" xfId="45970"/>
    <cellStyle name="Note 3 8 2 4 16" xfId="45971"/>
    <cellStyle name="Note 3 8 2 4 17" xfId="45972"/>
    <cellStyle name="Note 3 8 2 4 18" xfId="45973"/>
    <cellStyle name="Note 3 8 2 4 19" xfId="45974"/>
    <cellStyle name="Note 3 8 2 4 2" xfId="45975"/>
    <cellStyle name="Note 3 8 2 4 2 2" xfId="45976"/>
    <cellStyle name="Note 3 8 2 4 2 3" xfId="45977"/>
    <cellStyle name="Note 3 8 2 4 2 4" xfId="45978"/>
    <cellStyle name="Note 3 8 2 4 2 5" xfId="45979"/>
    <cellStyle name="Note 3 8 2 4 2 6" xfId="45980"/>
    <cellStyle name="Note 3 8 2 4 2 7" xfId="45981"/>
    <cellStyle name="Note 3 8 2 4 2 8" xfId="45982"/>
    <cellStyle name="Note 3 8 2 4 2 9" xfId="45983"/>
    <cellStyle name="Note 3 8 2 4 3" xfId="45984"/>
    <cellStyle name="Note 3 8 2 4 4" xfId="45985"/>
    <cellStyle name="Note 3 8 2 4 5" xfId="45986"/>
    <cellStyle name="Note 3 8 2 4 6" xfId="45987"/>
    <cellStyle name="Note 3 8 2 4 7" xfId="45988"/>
    <cellStyle name="Note 3 8 2 4 8" xfId="45989"/>
    <cellStyle name="Note 3 8 2 4 9" xfId="45990"/>
    <cellStyle name="Note 3 8 2 5" xfId="45991"/>
    <cellStyle name="Note 3 8 3" xfId="45992"/>
    <cellStyle name="Note 3 8 3 2" xfId="45993"/>
    <cellStyle name="Note 3 8 3 2 10" xfId="45994"/>
    <cellStyle name="Note 3 8 3 2 11" xfId="45995"/>
    <cellStyle name="Note 3 8 3 2 12" xfId="45996"/>
    <cellStyle name="Note 3 8 3 2 13" xfId="45997"/>
    <cellStyle name="Note 3 8 3 2 14" xfId="45998"/>
    <cellStyle name="Note 3 8 3 2 15" xfId="45999"/>
    <cellStyle name="Note 3 8 3 2 16" xfId="46000"/>
    <cellStyle name="Note 3 8 3 2 17" xfId="46001"/>
    <cellStyle name="Note 3 8 3 2 18" xfId="46002"/>
    <cellStyle name="Note 3 8 3 2 19" xfId="46003"/>
    <cellStyle name="Note 3 8 3 2 2" xfId="46004"/>
    <cellStyle name="Note 3 8 3 2 2 2" xfId="46005"/>
    <cellStyle name="Note 3 8 3 2 2 3" xfId="46006"/>
    <cellStyle name="Note 3 8 3 2 2 4" xfId="46007"/>
    <cellStyle name="Note 3 8 3 2 2 5" xfId="46008"/>
    <cellStyle name="Note 3 8 3 2 2 6" xfId="46009"/>
    <cellStyle name="Note 3 8 3 2 2 7" xfId="46010"/>
    <cellStyle name="Note 3 8 3 2 2 8" xfId="46011"/>
    <cellStyle name="Note 3 8 3 2 2 9" xfId="46012"/>
    <cellStyle name="Note 3 8 3 2 3" xfId="46013"/>
    <cellStyle name="Note 3 8 3 2 4" xfId="46014"/>
    <cellStyle name="Note 3 8 3 2 5" xfId="46015"/>
    <cellStyle name="Note 3 8 3 2 6" xfId="46016"/>
    <cellStyle name="Note 3 8 3 2 7" xfId="46017"/>
    <cellStyle name="Note 3 8 3 2 8" xfId="46018"/>
    <cellStyle name="Note 3 8 3 2 9" xfId="46019"/>
    <cellStyle name="Note 3 8 3 3" xfId="46020"/>
    <cellStyle name="Note 3 8 3 3 10" xfId="46021"/>
    <cellStyle name="Note 3 8 3 3 11" xfId="46022"/>
    <cellStyle name="Note 3 8 3 3 12" xfId="46023"/>
    <cellStyle name="Note 3 8 3 3 13" xfId="46024"/>
    <cellStyle name="Note 3 8 3 3 14" xfId="46025"/>
    <cellStyle name="Note 3 8 3 3 15" xfId="46026"/>
    <cellStyle name="Note 3 8 3 3 16" xfId="46027"/>
    <cellStyle name="Note 3 8 3 3 17" xfId="46028"/>
    <cellStyle name="Note 3 8 3 3 18" xfId="46029"/>
    <cellStyle name="Note 3 8 3 3 2" xfId="46030"/>
    <cellStyle name="Note 3 8 3 3 2 2" xfId="46031"/>
    <cellStyle name="Note 3 8 3 3 2 3" xfId="46032"/>
    <cellStyle name="Note 3 8 3 3 2 4" xfId="46033"/>
    <cellStyle name="Note 3 8 3 3 2 5" xfId="46034"/>
    <cellStyle name="Note 3 8 3 3 2 6" xfId="46035"/>
    <cellStyle name="Note 3 8 3 3 2 7" xfId="46036"/>
    <cellStyle name="Note 3 8 3 3 2 8" xfId="46037"/>
    <cellStyle name="Note 3 8 3 3 2 9" xfId="46038"/>
    <cellStyle name="Note 3 8 3 3 3" xfId="46039"/>
    <cellStyle name="Note 3 8 3 3 4" xfId="46040"/>
    <cellStyle name="Note 3 8 3 3 5" xfId="46041"/>
    <cellStyle name="Note 3 8 3 3 6" xfId="46042"/>
    <cellStyle name="Note 3 8 3 3 7" xfId="46043"/>
    <cellStyle name="Note 3 8 3 3 8" xfId="46044"/>
    <cellStyle name="Note 3 8 3 3 9" xfId="46045"/>
    <cellStyle name="Note 3 8 3 4" xfId="46046"/>
    <cellStyle name="Note 3 8 3 4 10" xfId="46047"/>
    <cellStyle name="Note 3 8 3 4 11" xfId="46048"/>
    <cellStyle name="Note 3 8 3 4 12" xfId="46049"/>
    <cellStyle name="Note 3 8 3 4 13" xfId="46050"/>
    <cellStyle name="Note 3 8 3 4 14" xfId="46051"/>
    <cellStyle name="Note 3 8 3 4 15" xfId="46052"/>
    <cellStyle name="Note 3 8 3 4 16" xfId="46053"/>
    <cellStyle name="Note 3 8 3 4 17" xfId="46054"/>
    <cellStyle name="Note 3 8 3 4 18" xfId="46055"/>
    <cellStyle name="Note 3 8 3 4 19" xfId="46056"/>
    <cellStyle name="Note 3 8 3 4 2" xfId="46057"/>
    <cellStyle name="Note 3 8 3 4 2 2" xfId="46058"/>
    <cellStyle name="Note 3 8 3 4 2 3" xfId="46059"/>
    <cellStyle name="Note 3 8 3 4 2 4" xfId="46060"/>
    <cellStyle name="Note 3 8 3 4 2 5" xfId="46061"/>
    <cellStyle name="Note 3 8 3 4 2 6" xfId="46062"/>
    <cellStyle name="Note 3 8 3 4 2 7" xfId="46063"/>
    <cellStyle name="Note 3 8 3 4 2 8" xfId="46064"/>
    <cellStyle name="Note 3 8 3 4 2 9" xfId="46065"/>
    <cellStyle name="Note 3 8 3 4 3" xfId="46066"/>
    <cellStyle name="Note 3 8 3 4 4" xfId="46067"/>
    <cellStyle name="Note 3 8 3 4 5" xfId="46068"/>
    <cellStyle name="Note 3 8 3 4 6" xfId="46069"/>
    <cellStyle name="Note 3 8 3 4 7" xfId="46070"/>
    <cellStyle name="Note 3 8 3 4 8" xfId="46071"/>
    <cellStyle name="Note 3 8 3 4 9" xfId="46072"/>
    <cellStyle name="Note 3 8 3 5" xfId="46073"/>
    <cellStyle name="Note 3 8 4" xfId="46074"/>
    <cellStyle name="Note 3 8 4 10" xfId="46075"/>
    <cellStyle name="Note 3 8 4 11" xfId="46076"/>
    <cellStyle name="Note 3 8 4 12" xfId="46077"/>
    <cellStyle name="Note 3 8 4 13" xfId="46078"/>
    <cellStyle name="Note 3 8 4 14" xfId="46079"/>
    <cellStyle name="Note 3 8 4 15" xfId="46080"/>
    <cellStyle name="Note 3 8 4 16" xfId="46081"/>
    <cellStyle name="Note 3 8 4 17" xfId="46082"/>
    <cellStyle name="Note 3 8 4 18" xfId="46083"/>
    <cellStyle name="Note 3 8 4 19" xfId="46084"/>
    <cellStyle name="Note 3 8 4 2" xfId="46085"/>
    <cellStyle name="Note 3 8 4 2 2" xfId="46086"/>
    <cellStyle name="Note 3 8 4 2 3" xfId="46087"/>
    <cellStyle name="Note 3 8 4 2 4" xfId="46088"/>
    <cellStyle name="Note 3 8 4 2 5" xfId="46089"/>
    <cellStyle name="Note 3 8 4 2 6" xfId="46090"/>
    <cellStyle name="Note 3 8 4 2 7" xfId="46091"/>
    <cellStyle name="Note 3 8 4 2 8" xfId="46092"/>
    <cellStyle name="Note 3 8 4 2 9" xfId="46093"/>
    <cellStyle name="Note 3 8 4 3" xfId="46094"/>
    <cellStyle name="Note 3 8 4 4" xfId="46095"/>
    <cellStyle name="Note 3 8 4 5" xfId="46096"/>
    <cellStyle name="Note 3 8 4 6" xfId="46097"/>
    <cellStyle name="Note 3 8 4 7" xfId="46098"/>
    <cellStyle name="Note 3 8 4 8" xfId="46099"/>
    <cellStyle name="Note 3 8 4 9" xfId="46100"/>
    <cellStyle name="Note 3 8 5" xfId="46101"/>
    <cellStyle name="Note 3 8 5 10" xfId="46102"/>
    <cellStyle name="Note 3 8 5 11" xfId="46103"/>
    <cellStyle name="Note 3 8 5 12" xfId="46104"/>
    <cellStyle name="Note 3 8 5 13" xfId="46105"/>
    <cellStyle name="Note 3 8 5 14" xfId="46106"/>
    <cellStyle name="Note 3 8 5 15" xfId="46107"/>
    <cellStyle name="Note 3 8 5 16" xfId="46108"/>
    <cellStyle name="Note 3 8 5 17" xfId="46109"/>
    <cellStyle name="Note 3 8 5 18" xfId="46110"/>
    <cellStyle name="Note 3 8 5 2" xfId="46111"/>
    <cellStyle name="Note 3 8 5 2 2" xfId="46112"/>
    <cellStyle name="Note 3 8 5 2 3" xfId="46113"/>
    <cellStyle name="Note 3 8 5 2 4" xfId="46114"/>
    <cellStyle name="Note 3 8 5 2 5" xfId="46115"/>
    <cellStyle name="Note 3 8 5 2 6" xfId="46116"/>
    <cellStyle name="Note 3 8 5 2 7" xfId="46117"/>
    <cellStyle name="Note 3 8 5 2 8" xfId="46118"/>
    <cellStyle name="Note 3 8 5 2 9" xfId="46119"/>
    <cellStyle name="Note 3 8 5 3" xfId="46120"/>
    <cellStyle name="Note 3 8 5 4" xfId="46121"/>
    <cellStyle name="Note 3 8 5 5" xfId="46122"/>
    <cellStyle name="Note 3 8 5 6" xfId="46123"/>
    <cellStyle name="Note 3 8 5 7" xfId="46124"/>
    <cellStyle name="Note 3 8 5 8" xfId="46125"/>
    <cellStyle name="Note 3 8 5 9" xfId="46126"/>
    <cellStyle name="Note 3 8 6" xfId="46127"/>
    <cellStyle name="Note 3 8 6 10" xfId="46128"/>
    <cellStyle name="Note 3 8 6 11" xfId="46129"/>
    <cellStyle name="Note 3 8 6 12" xfId="46130"/>
    <cellStyle name="Note 3 8 6 13" xfId="46131"/>
    <cellStyle name="Note 3 8 6 14" xfId="46132"/>
    <cellStyle name="Note 3 8 6 15" xfId="46133"/>
    <cellStyle name="Note 3 8 6 16" xfId="46134"/>
    <cellStyle name="Note 3 8 6 17" xfId="46135"/>
    <cellStyle name="Note 3 8 6 18" xfId="46136"/>
    <cellStyle name="Note 3 8 6 19" xfId="46137"/>
    <cellStyle name="Note 3 8 6 2" xfId="46138"/>
    <cellStyle name="Note 3 8 6 2 2" xfId="46139"/>
    <cellStyle name="Note 3 8 6 2 3" xfId="46140"/>
    <cellStyle name="Note 3 8 6 2 4" xfId="46141"/>
    <cellStyle name="Note 3 8 6 2 5" xfId="46142"/>
    <cellStyle name="Note 3 8 6 2 6" xfId="46143"/>
    <cellStyle name="Note 3 8 6 2 7" xfId="46144"/>
    <cellStyle name="Note 3 8 6 2 8" xfId="46145"/>
    <cellStyle name="Note 3 8 6 2 9" xfId="46146"/>
    <cellStyle name="Note 3 8 6 3" xfId="46147"/>
    <cellStyle name="Note 3 8 6 4" xfId="46148"/>
    <cellStyle name="Note 3 8 6 5" xfId="46149"/>
    <cellStyle name="Note 3 8 6 6" xfId="46150"/>
    <cellStyle name="Note 3 8 6 7" xfId="46151"/>
    <cellStyle name="Note 3 8 6 8" xfId="46152"/>
    <cellStyle name="Note 3 8 6 9" xfId="46153"/>
    <cellStyle name="Note 3 8 7" xfId="46154"/>
    <cellStyle name="Note 3 9" xfId="46155"/>
    <cellStyle name="Note 3 9 2" xfId="46156"/>
    <cellStyle name="Note 3 9 2 10" xfId="46157"/>
    <cellStyle name="Note 3 9 2 11" xfId="46158"/>
    <cellStyle name="Note 3 9 2 12" xfId="46159"/>
    <cellStyle name="Note 3 9 2 13" xfId="46160"/>
    <cellStyle name="Note 3 9 2 14" xfId="46161"/>
    <cellStyle name="Note 3 9 2 15" xfId="46162"/>
    <cellStyle name="Note 3 9 2 16" xfId="46163"/>
    <cellStyle name="Note 3 9 2 17" xfId="46164"/>
    <cellStyle name="Note 3 9 2 18" xfId="46165"/>
    <cellStyle name="Note 3 9 2 19" xfId="46166"/>
    <cellStyle name="Note 3 9 2 2" xfId="46167"/>
    <cellStyle name="Note 3 9 2 2 2" xfId="46168"/>
    <cellStyle name="Note 3 9 2 2 3" xfId="46169"/>
    <cellStyle name="Note 3 9 2 2 4" xfId="46170"/>
    <cellStyle name="Note 3 9 2 2 5" xfId="46171"/>
    <cellStyle name="Note 3 9 2 2 6" xfId="46172"/>
    <cellStyle name="Note 3 9 2 2 7" xfId="46173"/>
    <cellStyle name="Note 3 9 2 2 8" xfId="46174"/>
    <cellStyle name="Note 3 9 2 2 9" xfId="46175"/>
    <cellStyle name="Note 3 9 2 3" xfId="46176"/>
    <cellStyle name="Note 3 9 2 4" xfId="46177"/>
    <cellStyle name="Note 3 9 2 5" xfId="46178"/>
    <cellStyle name="Note 3 9 2 6" xfId="46179"/>
    <cellStyle name="Note 3 9 2 7" xfId="46180"/>
    <cellStyle name="Note 3 9 2 8" xfId="46181"/>
    <cellStyle name="Note 3 9 2 9" xfId="46182"/>
    <cellStyle name="Note 3 9 3" xfId="46183"/>
    <cellStyle name="Note 3 9 3 10" xfId="46184"/>
    <cellStyle name="Note 3 9 3 11" xfId="46185"/>
    <cellStyle name="Note 3 9 3 12" xfId="46186"/>
    <cellStyle name="Note 3 9 3 13" xfId="46187"/>
    <cellStyle name="Note 3 9 3 14" xfId="46188"/>
    <cellStyle name="Note 3 9 3 15" xfId="46189"/>
    <cellStyle name="Note 3 9 3 16" xfId="46190"/>
    <cellStyle name="Note 3 9 3 17" xfId="46191"/>
    <cellStyle name="Note 3 9 3 18" xfId="46192"/>
    <cellStyle name="Note 3 9 3 2" xfId="46193"/>
    <cellStyle name="Note 3 9 3 2 2" xfId="46194"/>
    <cellStyle name="Note 3 9 3 2 3" xfId="46195"/>
    <cellStyle name="Note 3 9 3 2 4" xfId="46196"/>
    <cellStyle name="Note 3 9 3 2 5" xfId="46197"/>
    <cellStyle name="Note 3 9 3 2 6" xfId="46198"/>
    <cellStyle name="Note 3 9 3 2 7" xfId="46199"/>
    <cellStyle name="Note 3 9 3 2 8" xfId="46200"/>
    <cellStyle name="Note 3 9 3 2 9" xfId="46201"/>
    <cellStyle name="Note 3 9 3 3" xfId="46202"/>
    <cellStyle name="Note 3 9 3 4" xfId="46203"/>
    <cellStyle name="Note 3 9 3 5" xfId="46204"/>
    <cellStyle name="Note 3 9 3 6" xfId="46205"/>
    <cellStyle name="Note 3 9 3 7" xfId="46206"/>
    <cellStyle name="Note 3 9 3 8" xfId="46207"/>
    <cellStyle name="Note 3 9 3 9" xfId="46208"/>
    <cellStyle name="Note 3 9 4" xfId="46209"/>
    <cellStyle name="Note 3 9 4 10" xfId="46210"/>
    <cellStyle name="Note 3 9 4 11" xfId="46211"/>
    <cellStyle name="Note 3 9 4 12" xfId="46212"/>
    <cellStyle name="Note 3 9 4 13" xfId="46213"/>
    <cellStyle name="Note 3 9 4 14" xfId="46214"/>
    <cellStyle name="Note 3 9 4 15" xfId="46215"/>
    <cellStyle name="Note 3 9 4 16" xfId="46216"/>
    <cellStyle name="Note 3 9 4 17" xfId="46217"/>
    <cellStyle name="Note 3 9 4 18" xfId="46218"/>
    <cellStyle name="Note 3 9 4 19" xfId="46219"/>
    <cellStyle name="Note 3 9 4 2" xfId="46220"/>
    <cellStyle name="Note 3 9 4 2 2" xfId="46221"/>
    <cellStyle name="Note 3 9 4 2 3" xfId="46222"/>
    <cellStyle name="Note 3 9 4 2 4" xfId="46223"/>
    <cellStyle name="Note 3 9 4 2 5" xfId="46224"/>
    <cellStyle name="Note 3 9 4 2 6" xfId="46225"/>
    <cellStyle name="Note 3 9 4 2 7" xfId="46226"/>
    <cellStyle name="Note 3 9 4 2 8" xfId="46227"/>
    <cellStyle name="Note 3 9 4 2 9" xfId="46228"/>
    <cellStyle name="Note 3 9 4 3" xfId="46229"/>
    <cellStyle name="Note 3 9 4 4" xfId="46230"/>
    <cellStyle name="Note 3 9 4 5" xfId="46231"/>
    <cellStyle name="Note 3 9 4 6" xfId="46232"/>
    <cellStyle name="Note 3 9 4 7" xfId="46233"/>
    <cellStyle name="Note 3 9 4 8" xfId="46234"/>
    <cellStyle name="Note 3 9 4 9" xfId="46235"/>
    <cellStyle name="Note 3 9 5" xfId="46236"/>
    <cellStyle name="Note 4" xfId="46237"/>
    <cellStyle name="Note 4 2" xfId="46238"/>
    <cellStyle name="Note 4 2 2" xfId="46239"/>
    <cellStyle name="Note 4 2 2 10" xfId="46240"/>
    <cellStyle name="Note 4 2 2 11" xfId="46241"/>
    <cellStyle name="Note 4 2 2 12" xfId="46242"/>
    <cellStyle name="Note 4 2 2 13" xfId="46243"/>
    <cellStyle name="Note 4 2 2 14" xfId="46244"/>
    <cellStyle name="Note 4 2 2 15" xfId="46245"/>
    <cellStyle name="Note 4 2 2 16" xfId="46246"/>
    <cellStyle name="Note 4 2 2 17" xfId="46247"/>
    <cellStyle name="Note 4 2 2 18" xfId="46248"/>
    <cellStyle name="Note 4 2 2 19" xfId="46249"/>
    <cellStyle name="Note 4 2 2 2" xfId="46250"/>
    <cellStyle name="Note 4 2 2 2 2" xfId="46251"/>
    <cellStyle name="Note 4 2 2 2 3" xfId="46252"/>
    <cellStyle name="Note 4 2 2 2 4" xfId="46253"/>
    <cellStyle name="Note 4 2 2 2 5" xfId="46254"/>
    <cellStyle name="Note 4 2 2 2 6" xfId="46255"/>
    <cellStyle name="Note 4 2 2 2 7" xfId="46256"/>
    <cellStyle name="Note 4 2 2 2 8" xfId="46257"/>
    <cellStyle name="Note 4 2 2 2 9" xfId="46258"/>
    <cellStyle name="Note 4 2 2 3" xfId="46259"/>
    <cellStyle name="Note 4 2 2 4" xfId="46260"/>
    <cellStyle name="Note 4 2 2 5" xfId="46261"/>
    <cellStyle name="Note 4 2 2 6" xfId="46262"/>
    <cellStyle name="Note 4 2 2 7" xfId="46263"/>
    <cellStyle name="Note 4 2 2 8" xfId="46264"/>
    <cellStyle name="Note 4 2 2 9" xfId="46265"/>
    <cellStyle name="Note 4 2 3" xfId="46266"/>
    <cellStyle name="Note 4 2 3 10" xfId="46267"/>
    <cellStyle name="Note 4 2 3 11" xfId="46268"/>
    <cellStyle name="Note 4 2 3 12" xfId="46269"/>
    <cellStyle name="Note 4 2 3 13" xfId="46270"/>
    <cellStyle name="Note 4 2 3 14" xfId="46271"/>
    <cellStyle name="Note 4 2 3 15" xfId="46272"/>
    <cellStyle name="Note 4 2 3 16" xfId="46273"/>
    <cellStyle name="Note 4 2 3 17" xfId="46274"/>
    <cellStyle name="Note 4 2 3 18" xfId="46275"/>
    <cellStyle name="Note 4 2 3 2" xfId="46276"/>
    <cellStyle name="Note 4 2 3 2 2" xfId="46277"/>
    <cellStyle name="Note 4 2 3 2 3" xfId="46278"/>
    <cellStyle name="Note 4 2 3 2 4" xfId="46279"/>
    <cellStyle name="Note 4 2 3 2 5" xfId="46280"/>
    <cellStyle name="Note 4 2 3 2 6" xfId="46281"/>
    <cellStyle name="Note 4 2 3 2 7" xfId="46282"/>
    <cellStyle name="Note 4 2 3 2 8" xfId="46283"/>
    <cellStyle name="Note 4 2 3 2 9" xfId="46284"/>
    <cellStyle name="Note 4 2 3 3" xfId="46285"/>
    <cellStyle name="Note 4 2 3 4" xfId="46286"/>
    <cellStyle name="Note 4 2 3 5" xfId="46287"/>
    <cellStyle name="Note 4 2 3 6" xfId="46288"/>
    <cellStyle name="Note 4 2 3 7" xfId="46289"/>
    <cellStyle name="Note 4 2 3 8" xfId="46290"/>
    <cellStyle name="Note 4 2 3 9" xfId="46291"/>
    <cellStyle name="Note 4 2 4" xfId="46292"/>
    <cellStyle name="Note 4 2 4 10" xfId="46293"/>
    <cellStyle name="Note 4 2 4 11" xfId="46294"/>
    <cellStyle name="Note 4 2 4 12" xfId="46295"/>
    <cellStyle name="Note 4 2 4 13" xfId="46296"/>
    <cellStyle name="Note 4 2 4 14" xfId="46297"/>
    <cellStyle name="Note 4 2 4 15" xfId="46298"/>
    <cellStyle name="Note 4 2 4 16" xfId="46299"/>
    <cellStyle name="Note 4 2 4 17" xfId="46300"/>
    <cellStyle name="Note 4 2 4 18" xfId="46301"/>
    <cellStyle name="Note 4 2 4 19" xfId="46302"/>
    <cellStyle name="Note 4 2 4 2" xfId="46303"/>
    <cellStyle name="Note 4 2 4 2 2" xfId="46304"/>
    <cellStyle name="Note 4 2 4 2 3" xfId="46305"/>
    <cellStyle name="Note 4 2 4 2 4" xfId="46306"/>
    <cellStyle name="Note 4 2 4 2 5" xfId="46307"/>
    <cellStyle name="Note 4 2 4 2 6" xfId="46308"/>
    <cellStyle name="Note 4 2 4 2 7" xfId="46309"/>
    <cellStyle name="Note 4 2 4 2 8" xfId="46310"/>
    <cellStyle name="Note 4 2 4 2 9" xfId="46311"/>
    <cellStyle name="Note 4 2 4 3" xfId="46312"/>
    <cellStyle name="Note 4 2 4 4" xfId="46313"/>
    <cellStyle name="Note 4 2 4 5" xfId="46314"/>
    <cellStyle name="Note 4 2 4 6" xfId="46315"/>
    <cellStyle name="Note 4 2 4 7" xfId="46316"/>
    <cellStyle name="Note 4 2 4 8" xfId="46317"/>
    <cellStyle name="Note 4 2 4 9" xfId="46318"/>
    <cellStyle name="Note 4 2 5" xfId="46319"/>
    <cellStyle name="Note 4 3" xfId="46320"/>
    <cellStyle name="Note 4 3 2" xfId="46321"/>
    <cellStyle name="Note 4 3 2 10" xfId="46322"/>
    <cellStyle name="Note 4 3 2 11" xfId="46323"/>
    <cellStyle name="Note 4 3 2 12" xfId="46324"/>
    <cellStyle name="Note 4 3 2 13" xfId="46325"/>
    <cellStyle name="Note 4 3 2 14" xfId="46326"/>
    <cellStyle name="Note 4 3 2 15" xfId="46327"/>
    <cellStyle name="Note 4 3 2 16" xfId="46328"/>
    <cellStyle name="Note 4 3 2 17" xfId="46329"/>
    <cellStyle name="Note 4 3 2 18" xfId="46330"/>
    <cellStyle name="Note 4 3 2 19" xfId="46331"/>
    <cellStyle name="Note 4 3 2 2" xfId="46332"/>
    <cellStyle name="Note 4 3 2 2 2" xfId="46333"/>
    <cellStyle name="Note 4 3 2 2 3" xfId="46334"/>
    <cellStyle name="Note 4 3 2 2 4" xfId="46335"/>
    <cellStyle name="Note 4 3 2 2 5" xfId="46336"/>
    <cellStyle name="Note 4 3 2 2 6" xfId="46337"/>
    <cellStyle name="Note 4 3 2 2 7" xfId="46338"/>
    <cellStyle name="Note 4 3 2 2 8" xfId="46339"/>
    <cellStyle name="Note 4 3 2 2 9" xfId="46340"/>
    <cellStyle name="Note 4 3 2 3" xfId="46341"/>
    <cellStyle name="Note 4 3 2 4" xfId="46342"/>
    <cellStyle name="Note 4 3 2 5" xfId="46343"/>
    <cellStyle name="Note 4 3 2 6" xfId="46344"/>
    <cellStyle name="Note 4 3 2 7" xfId="46345"/>
    <cellStyle name="Note 4 3 2 8" xfId="46346"/>
    <cellStyle name="Note 4 3 2 9" xfId="46347"/>
    <cellStyle name="Note 4 3 3" xfId="46348"/>
    <cellStyle name="Note 4 3 3 10" xfId="46349"/>
    <cellStyle name="Note 4 3 3 11" xfId="46350"/>
    <cellStyle name="Note 4 3 3 12" xfId="46351"/>
    <cellStyle name="Note 4 3 3 13" xfId="46352"/>
    <cellStyle name="Note 4 3 3 14" xfId="46353"/>
    <cellStyle name="Note 4 3 3 15" xfId="46354"/>
    <cellStyle name="Note 4 3 3 16" xfId="46355"/>
    <cellStyle name="Note 4 3 3 17" xfId="46356"/>
    <cellStyle name="Note 4 3 3 18" xfId="46357"/>
    <cellStyle name="Note 4 3 3 2" xfId="46358"/>
    <cellStyle name="Note 4 3 3 2 2" xfId="46359"/>
    <cellStyle name="Note 4 3 3 2 3" xfId="46360"/>
    <cellStyle name="Note 4 3 3 2 4" xfId="46361"/>
    <cellStyle name="Note 4 3 3 2 5" xfId="46362"/>
    <cellStyle name="Note 4 3 3 2 6" xfId="46363"/>
    <cellStyle name="Note 4 3 3 2 7" xfId="46364"/>
    <cellStyle name="Note 4 3 3 2 8" xfId="46365"/>
    <cellStyle name="Note 4 3 3 2 9" xfId="46366"/>
    <cellStyle name="Note 4 3 3 3" xfId="46367"/>
    <cellStyle name="Note 4 3 3 4" xfId="46368"/>
    <cellStyle name="Note 4 3 3 5" xfId="46369"/>
    <cellStyle name="Note 4 3 3 6" xfId="46370"/>
    <cellStyle name="Note 4 3 3 7" xfId="46371"/>
    <cellStyle name="Note 4 3 3 8" xfId="46372"/>
    <cellStyle name="Note 4 3 3 9" xfId="46373"/>
    <cellStyle name="Note 4 3 4" xfId="46374"/>
    <cellStyle name="Note 4 3 4 10" xfId="46375"/>
    <cellStyle name="Note 4 3 4 11" xfId="46376"/>
    <cellStyle name="Note 4 3 4 12" xfId="46377"/>
    <cellStyle name="Note 4 3 4 13" xfId="46378"/>
    <cellStyle name="Note 4 3 4 14" xfId="46379"/>
    <cellStyle name="Note 4 3 4 15" xfId="46380"/>
    <cellStyle name="Note 4 3 4 16" xfId="46381"/>
    <cellStyle name="Note 4 3 4 17" xfId="46382"/>
    <cellStyle name="Note 4 3 4 18" xfId="46383"/>
    <cellStyle name="Note 4 3 4 19" xfId="46384"/>
    <cellStyle name="Note 4 3 4 2" xfId="46385"/>
    <cellStyle name="Note 4 3 4 2 2" xfId="46386"/>
    <cellStyle name="Note 4 3 4 2 3" xfId="46387"/>
    <cellStyle name="Note 4 3 4 2 4" xfId="46388"/>
    <cellStyle name="Note 4 3 4 2 5" xfId="46389"/>
    <cellStyle name="Note 4 3 4 2 6" xfId="46390"/>
    <cellStyle name="Note 4 3 4 2 7" xfId="46391"/>
    <cellStyle name="Note 4 3 4 2 8" xfId="46392"/>
    <cellStyle name="Note 4 3 4 2 9" xfId="46393"/>
    <cellStyle name="Note 4 3 4 3" xfId="46394"/>
    <cellStyle name="Note 4 3 4 4" xfId="46395"/>
    <cellStyle name="Note 4 3 4 5" xfId="46396"/>
    <cellStyle name="Note 4 3 4 6" xfId="46397"/>
    <cellStyle name="Note 4 3 4 7" xfId="46398"/>
    <cellStyle name="Note 4 3 4 8" xfId="46399"/>
    <cellStyle name="Note 4 3 4 9" xfId="46400"/>
    <cellStyle name="Note 4 3 5" xfId="46401"/>
    <cellStyle name="Note 4 4" xfId="46402"/>
    <cellStyle name="Note 4 4 10" xfId="46403"/>
    <cellStyle name="Note 4 4 11" xfId="46404"/>
    <cellStyle name="Note 4 4 12" xfId="46405"/>
    <cellStyle name="Note 4 4 13" xfId="46406"/>
    <cellStyle name="Note 4 4 14" xfId="46407"/>
    <cellStyle name="Note 4 4 15" xfId="46408"/>
    <cellStyle name="Note 4 4 16" xfId="46409"/>
    <cellStyle name="Note 4 4 17" xfId="46410"/>
    <cellStyle name="Note 4 4 18" xfId="46411"/>
    <cellStyle name="Note 4 4 19" xfId="46412"/>
    <cellStyle name="Note 4 4 2" xfId="46413"/>
    <cellStyle name="Note 4 4 2 2" xfId="46414"/>
    <cellStyle name="Note 4 4 2 3" xfId="46415"/>
    <cellStyle name="Note 4 4 2 4" xfId="46416"/>
    <cellStyle name="Note 4 4 2 5" xfId="46417"/>
    <cellStyle name="Note 4 4 2 6" xfId="46418"/>
    <cellStyle name="Note 4 4 2 7" xfId="46419"/>
    <cellStyle name="Note 4 4 2 8" xfId="46420"/>
    <cellStyle name="Note 4 4 2 9" xfId="46421"/>
    <cellStyle name="Note 4 4 3" xfId="46422"/>
    <cellStyle name="Note 4 4 4" xfId="46423"/>
    <cellStyle name="Note 4 4 5" xfId="46424"/>
    <cellStyle name="Note 4 4 6" xfId="46425"/>
    <cellStyle name="Note 4 4 7" xfId="46426"/>
    <cellStyle name="Note 4 4 8" xfId="46427"/>
    <cellStyle name="Note 4 4 9" xfId="46428"/>
    <cellStyle name="Note 4 5" xfId="46429"/>
    <cellStyle name="Note 4 5 10" xfId="46430"/>
    <cellStyle name="Note 4 5 11" xfId="46431"/>
    <cellStyle name="Note 4 5 12" xfId="46432"/>
    <cellStyle name="Note 4 5 13" xfId="46433"/>
    <cellStyle name="Note 4 5 14" xfId="46434"/>
    <cellStyle name="Note 4 5 15" xfId="46435"/>
    <cellStyle name="Note 4 5 16" xfId="46436"/>
    <cellStyle name="Note 4 5 17" xfId="46437"/>
    <cellStyle name="Note 4 5 18" xfId="46438"/>
    <cellStyle name="Note 4 5 2" xfId="46439"/>
    <cellStyle name="Note 4 5 2 2" xfId="46440"/>
    <cellStyle name="Note 4 5 2 3" xfId="46441"/>
    <cellStyle name="Note 4 5 2 4" xfId="46442"/>
    <cellStyle name="Note 4 5 2 5" xfId="46443"/>
    <cellStyle name="Note 4 5 2 6" xfId="46444"/>
    <cellStyle name="Note 4 5 2 7" xfId="46445"/>
    <cellStyle name="Note 4 5 2 8" xfId="46446"/>
    <cellStyle name="Note 4 5 2 9" xfId="46447"/>
    <cellStyle name="Note 4 5 3" xfId="46448"/>
    <cellStyle name="Note 4 5 4" xfId="46449"/>
    <cellStyle name="Note 4 5 5" xfId="46450"/>
    <cellStyle name="Note 4 5 6" xfId="46451"/>
    <cellStyle name="Note 4 5 7" xfId="46452"/>
    <cellStyle name="Note 4 5 8" xfId="46453"/>
    <cellStyle name="Note 4 5 9" xfId="46454"/>
    <cellStyle name="Note 4 6" xfId="46455"/>
    <cellStyle name="Note 4 6 10" xfId="46456"/>
    <cellStyle name="Note 4 6 11" xfId="46457"/>
    <cellStyle name="Note 4 6 12" xfId="46458"/>
    <cellStyle name="Note 4 6 13" xfId="46459"/>
    <cellStyle name="Note 4 6 14" xfId="46460"/>
    <cellStyle name="Note 4 6 15" xfId="46461"/>
    <cellStyle name="Note 4 6 16" xfId="46462"/>
    <cellStyle name="Note 4 6 17" xfId="46463"/>
    <cellStyle name="Note 4 6 18" xfId="46464"/>
    <cellStyle name="Note 4 6 19" xfId="46465"/>
    <cellStyle name="Note 4 6 2" xfId="46466"/>
    <cellStyle name="Note 4 6 2 2" xfId="46467"/>
    <cellStyle name="Note 4 6 2 3" xfId="46468"/>
    <cellStyle name="Note 4 6 2 4" xfId="46469"/>
    <cellStyle name="Note 4 6 2 5" xfId="46470"/>
    <cellStyle name="Note 4 6 2 6" xfId="46471"/>
    <cellStyle name="Note 4 6 2 7" xfId="46472"/>
    <cellStyle name="Note 4 6 2 8" xfId="46473"/>
    <cellStyle name="Note 4 6 2 9" xfId="46474"/>
    <cellStyle name="Note 4 6 3" xfId="46475"/>
    <cellStyle name="Note 4 6 4" xfId="46476"/>
    <cellStyle name="Note 4 6 5" xfId="46477"/>
    <cellStyle name="Note 4 6 6" xfId="46478"/>
    <cellStyle name="Note 4 6 7" xfId="46479"/>
    <cellStyle name="Note 4 6 8" xfId="46480"/>
    <cellStyle name="Note 4 6 9" xfId="46481"/>
    <cellStyle name="Note 4 7" xfId="46482"/>
    <cellStyle name="Note 5" xfId="46483"/>
    <cellStyle name="Note 5 2" xfId="46484"/>
    <cellStyle name="Note 5 2 2" xfId="46485"/>
    <cellStyle name="Note 5 2 2 10" xfId="46486"/>
    <cellStyle name="Note 5 2 2 11" xfId="46487"/>
    <cellStyle name="Note 5 2 2 12" xfId="46488"/>
    <cellStyle name="Note 5 2 2 13" xfId="46489"/>
    <cellStyle name="Note 5 2 2 14" xfId="46490"/>
    <cellStyle name="Note 5 2 2 15" xfId="46491"/>
    <cellStyle name="Note 5 2 2 16" xfId="46492"/>
    <cellStyle name="Note 5 2 2 17" xfId="46493"/>
    <cellStyle name="Note 5 2 2 18" xfId="46494"/>
    <cellStyle name="Note 5 2 2 19" xfId="46495"/>
    <cellStyle name="Note 5 2 2 2" xfId="46496"/>
    <cellStyle name="Note 5 2 2 2 2" xfId="46497"/>
    <cellStyle name="Note 5 2 2 2 3" xfId="46498"/>
    <cellStyle name="Note 5 2 2 2 4" xfId="46499"/>
    <cellStyle name="Note 5 2 2 2 5" xfId="46500"/>
    <cellStyle name="Note 5 2 2 2 6" xfId="46501"/>
    <cellStyle name="Note 5 2 2 2 7" xfId="46502"/>
    <cellStyle name="Note 5 2 2 2 8" xfId="46503"/>
    <cellStyle name="Note 5 2 2 2 9" xfId="46504"/>
    <cellStyle name="Note 5 2 2 3" xfId="46505"/>
    <cellStyle name="Note 5 2 2 4" xfId="46506"/>
    <cellStyle name="Note 5 2 2 5" xfId="46507"/>
    <cellStyle name="Note 5 2 2 6" xfId="46508"/>
    <cellStyle name="Note 5 2 2 7" xfId="46509"/>
    <cellStyle name="Note 5 2 2 8" xfId="46510"/>
    <cellStyle name="Note 5 2 2 9" xfId="46511"/>
    <cellStyle name="Note 5 2 3" xfId="46512"/>
    <cellStyle name="Note 5 2 3 10" xfId="46513"/>
    <cellStyle name="Note 5 2 3 11" xfId="46514"/>
    <cellStyle name="Note 5 2 3 12" xfId="46515"/>
    <cellStyle name="Note 5 2 3 13" xfId="46516"/>
    <cellStyle name="Note 5 2 3 14" xfId="46517"/>
    <cellStyle name="Note 5 2 3 15" xfId="46518"/>
    <cellStyle name="Note 5 2 3 16" xfId="46519"/>
    <cellStyle name="Note 5 2 3 17" xfId="46520"/>
    <cellStyle name="Note 5 2 3 18" xfId="46521"/>
    <cellStyle name="Note 5 2 3 2" xfId="46522"/>
    <cellStyle name="Note 5 2 3 2 2" xfId="46523"/>
    <cellStyle name="Note 5 2 3 2 3" xfId="46524"/>
    <cellStyle name="Note 5 2 3 2 4" xfId="46525"/>
    <cellStyle name="Note 5 2 3 2 5" xfId="46526"/>
    <cellStyle name="Note 5 2 3 2 6" xfId="46527"/>
    <cellStyle name="Note 5 2 3 2 7" xfId="46528"/>
    <cellStyle name="Note 5 2 3 2 8" xfId="46529"/>
    <cellStyle name="Note 5 2 3 2 9" xfId="46530"/>
    <cellStyle name="Note 5 2 3 3" xfId="46531"/>
    <cellStyle name="Note 5 2 3 4" xfId="46532"/>
    <cellStyle name="Note 5 2 3 5" xfId="46533"/>
    <cellStyle name="Note 5 2 3 6" xfId="46534"/>
    <cellStyle name="Note 5 2 3 7" xfId="46535"/>
    <cellStyle name="Note 5 2 3 8" xfId="46536"/>
    <cellStyle name="Note 5 2 3 9" xfId="46537"/>
    <cellStyle name="Note 5 2 4" xfId="46538"/>
    <cellStyle name="Note 5 2 4 10" xfId="46539"/>
    <cellStyle name="Note 5 2 4 11" xfId="46540"/>
    <cellStyle name="Note 5 2 4 12" xfId="46541"/>
    <cellStyle name="Note 5 2 4 13" xfId="46542"/>
    <cellStyle name="Note 5 2 4 14" xfId="46543"/>
    <cellStyle name="Note 5 2 4 15" xfId="46544"/>
    <cellStyle name="Note 5 2 4 16" xfId="46545"/>
    <cellStyle name="Note 5 2 4 17" xfId="46546"/>
    <cellStyle name="Note 5 2 4 18" xfId="46547"/>
    <cellStyle name="Note 5 2 4 19" xfId="46548"/>
    <cellStyle name="Note 5 2 4 2" xfId="46549"/>
    <cellStyle name="Note 5 2 4 2 2" xfId="46550"/>
    <cellStyle name="Note 5 2 4 2 3" xfId="46551"/>
    <cellStyle name="Note 5 2 4 2 4" xfId="46552"/>
    <cellStyle name="Note 5 2 4 2 5" xfId="46553"/>
    <cellStyle name="Note 5 2 4 2 6" xfId="46554"/>
    <cellStyle name="Note 5 2 4 2 7" xfId="46555"/>
    <cellStyle name="Note 5 2 4 2 8" xfId="46556"/>
    <cellStyle name="Note 5 2 4 2 9" xfId="46557"/>
    <cellStyle name="Note 5 2 4 3" xfId="46558"/>
    <cellStyle name="Note 5 2 4 4" xfId="46559"/>
    <cellStyle name="Note 5 2 4 5" xfId="46560"/>
    <cellStyle name="Note 5 2 4 6" xfId="46561"/>
    <cellStyle name="Note 5 2 4 7" xfId="46562"/>
    <cellStyle name="Note 5 2 4 8" xfId="46563"/>
    <cellStyle name="Note 5 2 4 9" xfId="46564"/>
    <cellStyle name="Note 5 2 5" xfId="46565"/>
    <cellStyle name="Note 5 3" xfId="46566"/>
    <cellStyle name="Note 5 3 2" xfId="46567"/>
    <cellStyle name="Note 5 3 2 10" xfId="46568"/>
    <cellStyle name="Note 5 3 2 11" xfId="46569"/>
    <cellStyle name="Note 5 3 2 12" xfId="46570"/>
    <cellStyle name="Note 5 3 2 13" xfId="46571"/>
    <cellStyle name="Note 5 3 2 14" xfId="46572"/>
    <cellStyle name="Note 5 3 2 15" xfId="46573"/>
    <cellStyle name="Note 5 3 2 16" xfId="46574"/>
    <cellStyle name="Note 5 3 2 17" xfId="46575"/>
    <cellStyle name="Note 5 3 2 18" xfId="46576"/>
    <cellStyle name="Note 5 3 2 19" xfId="46577"/>
    <cellStyle name="Note 5 3 2 2" xfId="46578"/>
    <cellStyle name="Note 5 3 2 2 2" xfId="46579"/>
    <cellStyle name="Note 5 3 2 2 3" xfId="46580"/>
    <cellStyle name="Note 5 3 2 2 4" xfId="46581"/>
    <cellStyle name="Note 5 3 2 2 5" xfId="46582"/>
    <cellStyle name="Note 5 3 2 2 6" xfId="46583"/>
    <cellStyle name="Note 5 3 2 2 7" xfId="46584"/>
    <cellStyle name="Note 5 3 2 2 8" xfId="46585"/>
    <cellStyle name="Note 5 3 2 2 9" xfId="46586"/>
    <cellStyle name="Note 5 3 2 3" xfId="46587"/>
    <cellStyle name="Note 5 3 2 4" xfId="46588"/>
    <cellStyle name="Note 5 3 2 5" xfId="46589"/>
    <cellStyle name="Note 5 3 2 6" xfId="46590"/>
    <cellStyle name="Note 5 3 2 7" xfId="46591"/>
    <cellStyle name="Note 5 3 2 8" xfId="46592"/>
    <cellStyle name="Note 5 3 2 9" xfId="46593"/>
    <cellStyle name="Note 5 3 3" xfId="46594"/>
    <cellStyle name="Note 5 3 3 10" xfId="46595"/>
    <cellStyle name="Note 5 3 3 11" xfId="46596"/>
    <cellStyle name="Note 5 3 3 12" xfId="46597"/>
    <cellStyle name="Note 5 3 3 13" xfId="46598"/>
    <cellStyle name="Note 5 3 3 14" xfId="46599"/>
    <cellStyle name="Note 5 3 3 15" xfId="46600"/>
    <cellStyle name="Note 5 3 3 16" xfId="46601"/>
    <cellStyle name="Note 5 3 3 17" xfId="46602"/>
    <cellStyle name="Note 5 3 3 18" xfId="46603"/>
    <cellStyle name="Note 5 3 3 2" xfId="46604"/>
    <cellStyle name="Note 5 3 3 2 2" xfId="46605"/>
    <cellStyle name="Note 5 3 3 2 3" xfId="46606"/>
    <cellStyle name="Note 5 3 3 2 4" xfId="46607"/>
    <cellStyle name="Note 5 3 3 2 5" xfId="46608"/>
    <cellStyle name="Note 5 3 3 2 6" xfId="46609"/>
    <cellStyle name="Note 5 3 3 2 7" xfId="46610"/>
    <cellStyle name="Note 5 3 3 2 8" xfId="46611"/>
    <cellStyle name="Note 5 3 3 2 9" xfId="46612"/>
    <cellStyle name="Note 5 3 3 3" xfId="46613"/>
    <cellStyle name="Note 5 3 3 4" xfId="46614"/>
    <cellStyle name="Note 5 3 3 5" xfId="46615"/>
    <cellStyle name="Note 5 3 3 6" xfId="46616"/>
    <cellStyle name="Note 5 3 3 7" xfId="46617"/>
    <cellStyle name="Note 5 3 3 8" xfId="46618"/>
    <cellStyle name="Note 5 3 3 9" xfId="46619"/>
    <cellStyle name="Note 5 3 4" xfId="46620"/>
    <cellStyle name="Note 5 3 4 10" xfId="46621"/>
    <cellStyle name="Note 5 3 4 11" xfId="46622"/>
    <cellStyle name="Note 5 3 4 12" xfId="46623"/>
    <cellStyle name="Note 5 3 4 13" xfId="46624"/>
    <cellStyle name="Note 5 3 4 14" xfId="46625"/>
    <cellStyle name="Note 5 3 4 15" xfId="46626"/>
    <cellStyle name="Note 5 3 4 16" xfId="46627"/>
    <cellStyle name="Note 5 3 4 17" xfId="46628"/>
    <cellStyle name="Note 5 3 4 18" xfId="46629"/>
    <cellStyle name="Note 5 3 4 19" xfId="46630"/>
    <cellStyle name="Note 5 3 4 2" xfId="46631"/>
    <cellStyle name="Note 5 3 4 2 2" xfId="46632"/>
    <cellStyle name="Note 5 3 4 2 3" xfId="46633"/>
    <cellStyle name="Note 5 3 4 2 4" xfId="46634"/>
    <cellStyle name="Note 5 3 4 2 5" xfId="46635"/>
    <cellStyle name="Note 5 3 4 2 6" xfId="46636"/>
    <cellStyle name="Note 5 3 4 2 7" xfId="46637"/>
    <cellStyle name="Note 5 3 4 2 8" xfId="46638"/>
    <cellStyle name="Note 5 3 4 2 9" xfId="46639"/>
    <cellStyle name="Note 5 3 4 3" xfId="46640"/>
    <cellStyle name="Note 5 3 4 4" xfId="46641"/>
    <cellStyle name="Note 5 3 4 5" xfId="46642"/>
    <cellStyle name="Note 5 3 4 6" xfId="46643"/>
    <cellStyle name="Note 5 3 4 7" xfId="46644"/>
    <cellStyle name="Note 5 3 4 8" xfId="46645"/>
    <cellStyle name="Note 5 3 4 9" xfId="46646"/>
    <cellStyle name="Note 5 3 5" xfId="46647"/>
    <cellStyle name="Note 5 4" xfId="46648"/>
    <cellStyle name="Note 5 4 10" xfId="46649"/>
    <cellStyle name="Note 5 4 11" xfId="46650"/>
    <cellStyle name="Note 5 4 12" xfId="46651"/>
    <cellStyle name="Note 5 4 13" xfId="46652"/>
    <cellStyle name="Note 5 4 14" xfId="46653"/>
    <cellStyle name="Note 5 4 15" xfId="46654"/>
    <cellStyle name="Note 5 4 16" xfId="46655"/>
    <cellStyle name="Note 5 4 17" xfId="46656"/>
    <cellStyle name="Note 5 4 18" xfId="46657"/>
    <cellStyle name="Note 5 4 19" xfId="46658"/>
    <cellStyle name="Note 5 4 2" xfId="46659"/>
    <cellStyle name="Note 5 4 2 2" xfId="46660"/>
    <cellStyle name="Note 5 4 2 3" xfId="46661"/>
    <cellStyle name="Note 5 4 2 4" xfId="46662"/>
    <cellStyle name="Note 5 4 2 5" xfId="46663"/>
    <cellStyle name="Note 5 4 2 6" xfId="46664"/>
    <cellStyle name="Note 5 4 2 7" xfId="46665"/>
    <cellStyle name="Note 5 4 2 8" xfId="46666"/>
    <cellStyle name="Note 5 4 2 9" xfId="46667"/>
    <cellStyle name="Note 5 4 3" xfId="46668"/>
    <cellStyle name="Note 5 4 4" xfId="46669"/>
    <cellStyle name="Note 5 4 5" xfId="46670"/>
    <cellStyle name="Note 5 4 6" xfId="46671"/>
    <cellStyle name="Note 5 4 7" xfId="46672"/>
    <cellStyle name="Note 5 4 8" xfId="46673"/>
    <cellStyle name="Note 5 4 9" xfId="46674"/>
    <cellStyle name="Note 5 5" xfId="46675"/>
    <cellStyle name="Note 5 5 10" xfId="46676"/>
    <cellStyle name="Note 5 5 11" xfId="46677"/>
    <cellStyle name="Note 5 5 12" xfId="46678"/>
    <cellStyle name="Note 5 5 13" xfId="46679"/>
    <cellStyle name="Note 5 5 14" xfId="46680"/>
    <cellStyle name="Note 5 5 15" xfId="46681"/>
    <cellStyle name="Note 5 5 16" xfId="46682"/>
    <cellStyle name="Note 5 5 17" xfId="46683"/>
    <cellStyle name="Note 5 5 18" xfId="46684"/>
    <cellStyle name="Note 5 5 2" xfId="46685"/>
    <cellStyle name="Note 5 5 2 2" xfId="46686"/>
    <cellStyle name="Note 5 5 2 3" xfId="46687"/>
    <cellStyle name="Note 5 5 2 4" xfId="46688"/>
    <cellStyle name="Note 5 5 2 5" xfId="46689"/>
    <cellStyle name="Note 5 5 2 6" xfId="46690"/>
    <cellStyle name="Note 5 5 2 7" xfId="46691"/>
    <cellStyle name="Note 5 5 2 8" xfId="46692"/>
    <cellStyle name="Note 5 5 2 9" xfId="46693"/>
    <cellStyle name="Note 5 5 3" xfId="46694"/>
    <cellStyle name="Note 5 5 4" xfId="46695"/>
    <cellStyle name="Note 5 5 5" xfId="46696"/>
    <cellStyle name="Note 5 5 6" xfId="46697"/>
    <cellStyle name="Note 5 5 7" xfId="46698"/>
    <cellStyle name="Note 5 5 8" xfId="46699"/>
    <cellStyle name="Note 5 5 9" xfId="46700"/>
    <cellStyle name="Note 5 6" xfId="46701"/>
    <cellStyle name="Note 5 6 10" xfId="46702"/>
    <cellStyle name="Note 5 6 11" xfId="46703"/>
    <cellStyle name="Note 5 6 12" xfId="46704"/>
    <cellStyle name="Note 5 6 13" xfId="46705"/>
    <cellStyle name="Note 5 6 14" xfId="46706"/>
    <cellStyle name="Note 5 6 15" xfId="46707"/>
    <cellStyle name="Note 5 6 16" xfId="46708"/>
    <cellStyle name="Note 5 6 17" xfId="46709"/>
    <cellStyle name="Note 5 6 18" xfId="46710"/>
    <cellStyle name="Note 5 6 19" xfId="46711"/>
    <cellStyle name="Note 5 6 2" xfId="46712"/>
    <cellStyle name="Note 5 6 2 2" xfId="46713"/>
    <cellStyle name="Note 5 6 2 3" xfId="46714"/>
    <cellStyle name="Note 5 6 2 4" xfId="46715"/>
    <cellStyle name="Note 5 6 2 5" xfId="46716"/>
    <cellStyle name="Note 5 6 2 6" xfId="46717"/>
    <cellStyle name="Note 5 6 2 7" xfId="46718"/>
    <cellStyle name="Note 5 6 2 8" xfId="46719"/>
    <cellStyle name="Note 5 6 2 9" xfId="46720"/>
    <cellStyle name="Note 5 6 3" xfId="46721"/>
    <cellStyle name="Note 5 6 4" xfId="46722"/>
    <cellStyle name="Note 5 6 5" xfId="46723"/>
    <cellStyle name="Note 5 6 6" xfId="46724"/>
    <cellStyle name="Note 5 6 7" xfId="46725"/>
    <cellStyle name="Note 5 6 8" xfId="46726"/>
    <cellStyle name="Note 5 6 9" xfId="46727"/>
    <cellStyle name="Note 5 7" xfId="46728"/>
    <cellStyle name="Note 6" xfId="46729"/>
    <cellStyle name="Note 6 2" xfId="46730"/>
    <cellStyle name="Note 6 2 2" xfId="46731"/>
    <cellStyle name="Note 6 2 2 10" xfId="46732"/>
    <cellStyle name="Note 6 2 2 11" xfId="46733"/>
    <cellStyle name="Note 6 2 2 12" xfId="46734"/>
    <cellStyle name="Note 6 2 2 13" xfId="46735"/>
    <cellStyle name="Note 6 2 2 14" xfId="46736"/>
    <cellStyle name="Note 6 2 2 15" xfId="46737"/>
    <cellStyle name="Note 6 2 2 16" xfId="46738"/>
    <cellStyle name="Note 6 2 2 17" xfId="46739"/>
    <cellStyle name="Note 6 2 2 18" xfId="46740"/>
    <cellStyle name="Note 6 2 2 19" xfId="46741"/>
    <cellStyle name="Note 6 2 2 2" xfId="46742"/>
    <cellStyle name="Note 6 2 2 2 2" xfId="46743"/>
    <cellStyle name="Note 6 2 2 2 3" xfId="46744"/>
    <cellStyle name="Note 6 2 2 2 4" xfId="46745"/>
    <cellStyle name="Note 6 2 2 2 5" xfId="46746"/>
    <cellStyle name="Note 6 2 2 2 6" xfId="46747"/>
    <cellStyle name="Note 6 2 2 2 7" xfId="46748"/>
    <cellStyle name="Note 6 2 2 2 8" xfId="46749"/>
    <cellStyle name="Note 6 2 2 2 9" xfId="46750"/>
    <cellStyle name="Note 6 2 2 3" xfId="46751"/>
    <cellStyle name="Note 6 2 2 4" xfId="46752"/>
    <cellStyle name="Note 6 2 2 5" xfId="46753"/>
    <cellStyle name="Note 6 2 2 6" xfId="46754"/>
    <cellStyle name="Note 6 2 2 7" xfId="46755"/>
    <cellStyle name="Note 6 2 2 8" xfId="46756"/>
    <cellStyle name="Note 6 2 2 9" xfId="46757"/>
    <cellStyle name="Note 6 2 3" xfId="46758"/>
    <cellStyle name="Note 6 2 3 10" xfId="46759"/>
    <cellStyle name="Note 6 2 3 11" xfId="46760"/>
    <cellStyle name="Note 6 2 3 12" xfId="46761"/>
    <cellStyle name="Note 6 2 3 13" xfId="46762"/>
    <cellStyle name="Note 6 2 3 14" xfId="46763"/>
    <cellStyle name="Note 6 2 3 15" xfId="46764"/>
    <cellStyle name="Note 6 2 3 16" xfId="46765"/>
    <cellStyle name="Note 6 2 3 17" xfId="46766"/>
    <cellStyle name="Note 6 2 3 18" xfId="46767"/>
    <cellStyle name="Note 6 2 3 2" xfId="46768"/>
    <cellStyle name="Note 6 2 3 2 2" xfId="46769"/>
    <cellStyle name="Note 6 2 3 2 3" xfId="46770"/>
    <cellStyle name="Note 6 2 3 2 4" xfId="46771"/>
    <cellStyle name="Note 6 2 3 2 5" xfId="46772"/>
    <cellStyle name="Note 6 2 3 2 6" xfId="46773"/>
    <cellStyle name="Note 6 2 3 2 7" xfId="46774"/>
    <cellStyle name="Note 6 2 3 2 8" xfId="46775"/>
    <cellStyle name="Note 6 2 3 2 9" xfId="46776"/>
    <cellStyle name="Note 6 2 3 3" xfId="46777"/>
    <cellStyle name="Note 6 2 3 4" xfId="46778"/>
    <cellStyle name="Note 6 2 3 5" xfId="46779"/>
    <cellStyle name="Note 6 2 3 6" xfId="46780"/>
    <cellStyle name="Note 6 2 3 7" xfId="46781"/>
    <cellStyle name="Note 6 2 3 8" xfId="46782"/>
    <cellStyle name="Note 6 2 3 9" xfId="46783"/>
    <cellStyle name="Note 6 2 4" xfId="46784"/>
    <cellStyle name="Note 6 2 4 10" xfId="46785"/>
    <cellStyle name="Note 6 2 4 11" xfId="46786"/>
    <cellStyle name="Note 6 2 4 12" xfId="46787"/>
    <cellStyle name="Note 6 2 4 13" xfId="46788"/>
    <cellStyle name="Note 6 2 4 14" xfId="46789"/>
    <cellStyle name="Note 6 2 4 15" xfId="46790"/>
    <cellStyle name="Note 6 2 4 16" xfId="46791"/>
    <cellStyle name="Note 6 2 4 17" xfId="46792"/>
    <cellStyle name="Note 6 2 4 18" xfId="46793"/>
    <cellStyle name="Note 6 2 4 19" xfId="46794"/>
    <cellStyle name="Note 6 2 4 2" xfId="46795"/>
    <cellStyle name="Note 6 2 4 2 2" xfId="46796"/>
    <cellStyle name="Note 6 2 4 2 3" xfId="46797"/>
    <cellStyle name="Note 6 2 4 2 4" xfId="46798"/>
    <cellStyle name="Note 6 2 4 2 5" xfId="46799"/>
    <cellStyle name="Note 6 2 4 2 6" xfId="46800"/>
    <cellStyle name="Note 6 2 4 2 7" xfId="46801"/>
    <cellStyle name="Note 6 2 4 2 8" xfId="46802"/>
    <cellStyle name="Note 6 2 4 2 9" xfId="46803"/>
    <cellStyle name="Note 6 2 4 3" xfId="46804"/>
    <cellStyle name="Note 6 2 4 4" xfId="46805"/>
    <cellStyle name="Note 6 2 4 5" xfId="46806"/>
    <cellStyle name="Note 6 2 4 6" xfId="46807"/>
    <cellStyle name="Note 6 2 4 7" xfId="46808"/>
    <cellStyle name="Note 6 2 4 8" xfId="46809"/>
    <cellStyle name="Note 6 2 4 9" xfId="46810"/>
    <cellStyle name="Note 6 2 5" xfId="46811"/>
    <cellStyle name="Note 6 3" xfId="46812"/>
    <cellStyle name="Note 6 3 2" xfId="46813"/>
    <cellStyle name="Note 6 3 2 10" xfId="46814"/>
    <cellStyle name="Note 6 3 2 11" xfId="46815"/>
    <cellStyle name="Note 6 3 2 12" xfId="46816"/>
    <cellStyle name="Note 6 3 2 13" xfId="46817"/>
    <cellStyle name="Note 6 3 2 14" xfId="46818"/>
    <cellStyle name="Note 6 3 2 15" xfId="46819"/>
    <cellStyle name="Note 6 3 2 16" xfId="46820"/>
    <cellStyle name="Note 6 3 2 17" xfId="46821"/>
    <cellStyle name="Note 6 3 2 18" xfId="46822"/>
    <cellStyle name="Note 6 3 2 19" xfId="46823"/>
    <cellStyle name="Note 6 3 2 2" xfId="46824"/>
    <cellStyle name="Note 6 3 2 2 2" xfId="46825"/>
    <cellStyle name="Note 6 3 2 2 3" xfId="46826"/>
    <cellStyle name="Note 6 3 2 2 4" xfId="46827"/>
    <cellStyle name="Note 6 3 2 2 5" xfId="46828"/>
    <cellStyle name="Note 6 3 2 2 6" xfId="46829"/>
    <cellStyle name="Note 6 3 2 2 7" xfId="46830"/>
    <cellStyle name="Note 6 3 2 2 8" xfId="46831"/>
    <cellStyle name="Note 6 3 2 2 9" xfId="46832"/>
    <cellStyle name="Note 6 3 2 3" xfId="46833"/>
    <cellStyle name="Note 6 3 2 4" xfId="46834"/>
    <cellStyle name="Note 6 3 2 5" xfId="46835"/>
    <cellStyle name="Note 6 3 2 6" xfId="46836"/>
    <cellStyle name="Note 6 3 2 7" xfId="46837"/>
    <cellStyle name="Note 6 3 2 8" xfId="46838"/>
    <cellStyle name="Note 6 3 2 9" xfId="46839"/>
    <cellStyle name="Note 6 3 3" xfId="46840"/>
    <cellStyle name="Note 6 3 3 10" xfId="46841"/>
    <cellStyle name="Note 6 3 3 11" xfId="46842"/>
    <cellStyle name="Note 6 3 3 12" xfId="46843"/>
    <cellStyle name="Note 6 3 3 13" xfId="46844"/>
    <cellStyle name="Note 6 3 3 14" xfId="46845"/>
    <cellStyle name="Note 6 3 3 15" xfId="46846"/>
    <cellStyle name="Note 6 3 3 16" xfId="46847"/>
    <cellStyle name="Note 6 3 3 17" xfId="46848"/>
    <cellStyle name="Note 6 3 3 18" xfId="46849"/>
    <cellStyle name="Note 6 3 3 2" xfId="46850"/>
    <cellStyle name="Note 6 3 3 2 2" xfId="46851"/>
    <cellStyle name="Note 6 3 3 2 3" xfId="46852"/>
    <cellStyle name="Note 6 3 3 2 4" xfId="46853"/>
    <cellStyle name="Note 6 3 3 2 5" xfId="46854"/>
    <cellStyle name="Note 6 3 3 2 6" xfId="46855"/>
    <cellStyle name="Note 6 3 3 2 7" xfId="46856"/>
    <cellStyle name="Note 6 3 3 2 8" xfId="46857"/>
    <cellStyle name="Note 6 3 3 2 9" xfId="46858"/>
    <cellStyle name="Note 6 3 3 3" xfId="46859"/>
    <cellStyle name="Note 6 3 3 4" xfId="46860"/>
    <cellStyle name="Note 6 3 3 5" xfId="46861"/>
    <cellStyle name="Note 6 3 3 6" xfId="46862"/>
    <cellStyle name="Note 6 3 3 7" xfId="46863"/>
    <cellStyle name="Note 6 3 3 8" xfId="46864"/>
    <cellStyle name="Note 6 3 3 9" xfId="46865"/>
    <cellStyle name="Note 6 3 4" xfId="46866"/>
    <cellStyle name="Note 6 3 4 10" xfId="46867"/>
    <cellStyle name="Note 6 3 4 11" xfId="46868"/>
    <cellStyle name="Note 6 3 4 12" xfId="46869"/>
    <cellStyle name="Note 6 3 4 13" xfId="46870"/>
    <cellStyle name="Note 6 3 4 14" xfId="46871"/>
    <cellStyle name="Note 6 3 4 15" xfId="46872"/>
    <cellStyle name="Note 6 3 4 16" xfId="46873"/>
    <cellStyle name="Note 6 3 4 17" xfId="46874"/>
    <cellStyle name="Note 6 3 4 18" xfId="46875"/>
    <cellStyle name="Note 6 3 4 19" xfId="46876"/>
    <cellStyle name="Note 6 3 4 2" xfId="46877"/>
    <cellStyle name="Note 6 3 4 2 2" xfId="46878"/>
    <cellStyle name="Note 6 3 4 2 3" xfId="46879"/>
    <cellStyle name="Note 6 3 4 2 4" xfId="46880"/>
    <cellStyle name="Note 6 3 4 2 5" xfId="46881"/>
    <cellStyle name="Note 6 3 4 2 6" xfId="46882"/>
    <cellStyle name="Note 6 3 4 2 7" xfId="46883"/>
    <cellStyle name="Note 6 3 4 2 8" xfId="46884"/>
    <cellStyle name="Note 6 3 4 2 9" xfId="46885"/>
    <cellStyle name="Note 6 3 4 3" xfId="46886"/>
    <cellStyle name="Note 6 3 4 4" xfId="46887"/>
    <cellStyle name="Note 6 3 4 5" xfId="46888"/>
    <cellStyle name="Note 6 3 4 6" xfId="46889"/>
    <cellStyle name="Note 6 3 4 7" xfId="46890"/>
    <cellStyle name="Note 6 3 4 8" xfId="46891"/>
    <cellStyle name="Note 6 3 4 9" xfId="46892"/>
    <cellStyle name="Note 6 3 5" xfId="46893"/>
    <cellStyle name="Note 6 4" xfId="46894"/>
    <cellStyle name="Note 6 4 10" xfId="46895"/>
    <cellStyle name="Note 6 4 11" xfId="46896"/>
    <cellStyle name="Note 6 4 12" xfId="46897"/>
    <cellStyle name="Note 6 4 13" xfId="46898"/>
    <cellStyle name="Note 6 4 14" xfId="46899"/>
    <cellStyle name="Note 6 4 15" xfId="46900"/>
    <cellStyle name="Note 6 4 16" xfId="46901"/>
    <cellStyle name="Note 6 4 17" xfId="46902"/>
    <cellStyle name="Note 6 4 18" xfId="46903"/>
    <cellStyle name="Note 6 4 19" xfId="46904"/>
    <cellStyle name="Note 6 4 2" xfId="46905"/>
    <cellStyle name="Note 6 4 2 2" xfId="46906"/>
    <cellStyle name="Note 6 4 2 3" xfId="46907"/>
    <cellStyle name="Note 6 4 2 4" xfId="46908"/>
    <cellStyle name="Note 6 4 2 5" xfId="46909"/>
    <cellStyle name="Note 6 4 2 6" xfId="46910"/>
    <cellStyle name="Note 6 4 2 7" xfId="46911"/>
    <cellStyle name="Note 6 4 2 8" xfId="46912"/>
    <cellStyle name="Note 6 4 2 9" xfId="46913"/>
    <cellStyle name="Note 6 4 3" xfId="46914"/>
    <cellStyle name="Note 6 4 4" xfId="46915"/>
    <cellStyle name="Note 6 4 5" xfId="46916"/>
    <cellStyle name="Note 6 4 6" xfId="46917"/>
    <cellStyle name="Note 6 4 7" xfId="46918"/>
    <cellStyle name="Note 6 4 8" xfId="46919"/>
    <cellStyle name="Note 6 4 9" xfId="46920"/>
    <cellStyle name="Note 6 5" xfId="46921"/>
    <cellStyle name="Note 6 5 10" xfId="46922"/>
    <cellStyle name="Note 6 5 11" xfId="46923"/>
    <cellStyle name="Note 6 5 12" xfId="46924"/>
    <cellStyle name="Note 6 5 13" xfId="46925"/>
    <cellStyle name="Note 6 5 14" xfId="46926"/>
    <cellStyle name="Note 6 5 15" xfId="46927"/>
    <cellStyle name="Note 6 5 16" xfId="46928"/>
    <cellStyle name="Note 6 5 17" xfId="46929"/>
    <cellStyle name="Note 6 5 18" xfId="46930"/>
    <cellStyle name="Note 6 5 2" xfId="46931"/>
    <cellStyle name="Note 6 5 2 2" xfId="46932"/>
    <cellStyle name="Note 6 5 2 3" xfId="46933"/>
    <cellStyle name="Note 6 5 2 4" xfId="46934"/>
    <cellStyle name="Note 6 5 2 5" xfId="46935"/>
    <cellStyle name="Note 6 5 2 6" xfId="46936"/>
    <cellStyle name="Note 6 5 2 7" xfId="46937"/>
    <cellStyle name="Note 6 5 2 8" xfId="46938"/>
    <cellStyle name="Note 6 5 2 9" xfId="46939"/>
    <cellStyle name="Note 6 5 3" xfId="46940"/>
    <cellStyle name="Note 6 5 4" xfId="46941"/>
    <cellStyle name="Note 6 5 5" xfId="46942"/>
    <cellStyle name="Note 6 5 6" xfId="46943"/>
    <cellStyle name="Note 6 5 7" xfId="46944"/>
    <cellStyle name="Note 6 5 8" xfId="46945"/>
    <cellStyle name="Note 6 5 9" xfId="46946"/>
    <cellStyle name="Note 6 6" xfId="46947"/>
    <cellStyle name="Note 6 6 10" xfId="46948"/>
    <cellStyle name="Note 6 6 11" xfId="46949"/>
    <cellStyle name="Note 6 6 12" xfId="46950"/>
    <cellStyle name="Note 6 6 13" xfId="46951"/>
    <cellStyle name="Note 6 6 14" xfId="46952"/>
    <cellStyle name="Note 6 6 15" xfId="46953"/>
    <cellStyle name="Note 6 6 16" xfId="46954"/>
    <cellStyle name="Note 6 6 17" xfId="46955"/>
    <cellStyle name="Note 6 6 18" xfId="46956"/>
    <cellStyle name="Note 6 6 19" xfId="46957"/>
    <cellStyle name="Note 6 6 2" xfId="46958"/>
    <cellStyle name="Note 6 6 2 2" xfId="46959"/>
    <cellStyle name="Note 6 6 2 3" xfId="46960"/>
    <cellStyle name="Note 6 6 2 4" xfId="46961"/>
    <cellStyle name="Note 6 6 2 5" xfId="46962"/>
    <cellStyle name="Note 6 6 2 6" xfId="46963"/>
    <cellStyle name="Note 6 6 2 7" xfId="46964"/>
    <cellStyle name="Note 6 6 2 8" xfId="46965"/>
    <cellStyle name="Note 6 6 2 9" xfId="46966"/>
    <cellStyle name="Note 6 6 3" xfId="46967"/>
    <cellStyle name="Note 6 6 4" xfId="46968"/>
    <cellStyle name="Note 6 6 5" xfId="46969"/>
    <cellStyle name="Note 6 6 6" xfId="46970"/>
    <cellStyle name="Note 6 6 7" xfId="46971"/>
    <cellStyle name="Note 6 6 8" xfId="46972"/>
    <cellStyle name="Note 6 6 9" xfId="46973"/>
    <cellStyle name="Note 6 7" xfId="46974"/>
    <cellStyle name="Note 7" xfId="46975"/>
    <cellStyle name="Note 7 2" xfId="46976"/>
    <cellStyle name="Note 7 2 2" xfId="46977"/>
    <cellStyle name="Note 7 2 2 10" xfId="46978"/>
    <cellStyle name="Note 7 2 2 11" xfId="46979"/>
    <cellStyle name="Note 7 2 2 12" xfId="46980"/>
    <cellStyle name="Note 7 2 2 13" xfId="46981"/>
    <cellStyle name="Note 7 2 2 14" xfId="46982"/>
    <cellStyle name="Note 7 2 2 15" xfId="46983"/>
    <cellStyle name="Note 7 2 2 16" xfId="46984"/>
    <cellStyle name="Note 7 2 2 17" xfId="46985"/>
    <cellStyle name="Note 7 2 2 18" xfId="46986"/>
    <cellStyle name="Note 7 2 2 19" xfId="46987"/>
    <cellStyle name="Note 7 2 2 2" xfId="46988"/>
    <cellStyle name="Note 7 2 2 2 2" xfId="46989"/>
    <cellStyle name="Note 7 2 2 2 3" xfId="46990"/>
    <cellStyle name="Note 7 2 2 2 4" xfId="46991"/>
    <cellStyle name="Note 7 2 2 2 5" xfId="46992"/>
    <cellStyle name="Note 7 2 2 2 6" xfId="46993"/>
    <cellStyle name="Note 7 2 2 2 7" xfId="46994"/>
    <cellStyle name="Note 7 2 2 2 8" xfId="46995"/>
    <cellStyle name="Note 7 2 2 2 9" xfId="46996"/>
    <cellStyle name="Note 7 2 2 3" xfId="46997"/>
    <cellStyle name="Note 7 2 2 4" xfId="46998"/>
    <cellStyle name="Note 7 2 2 5" xfId="46999"/>
    <cellStyle name="Note 7 2 2 6" xfId="47000"/>
    <cellStyle name="Note 7 2 2 7" xfId="47001"/>
    <cellStyle name="Note 7 2 2 8" xfId="47002"/>
    <cellStyle name="Note 7 2 2 9" xfId="47003"/>
    <cellStyle name="Note 7 2 3" xfId="47004"/>
    <cellStyle name="Note 7 2 3 10" xfId="47005"/>
    <cellStyle name="Note 7 2 3 11" xfId="47006"/>
    <cellStyle name="Note 7 2 3 12" xfId="47007"/>
    <cellStyle name="Note 7 2 3 13" xfId="47008"/>
    <cellStyle name="Note 7 2 3 14" xfId="47009"/>
    <cellStyle name="Note 7 2 3 15" xfId="47010"/>
    <cellStyle name="Note 7 2 3 16" xfId="47011"/>
    <cellStyle name="Note 7 2 3 17" xfId="47012"/>
    <cellStyle name="Note 7 2 3 18" xfId="47013"/>
    <cellStyle name="Note 7 2 3 2" xfId="47014"/>
    <cellStyle name="Note 7 2 3 2 2" xfId="47015"/>
    <cellStyle name="Note 7 2 3 2 3" xfId="47016"/>
    <cellStyle name="Note 7 2 3 2 4" xfId="47017"/>
    <cellStyle name="Note 7 2 3 2 5" xfId="47018"/>
    <cellStyle name="Note 7 2 3 2 6" xfId="47019"/>
    <cellStyle name="Note 7 2 3 2 7" xfId="47020"/>
    <cellStyle name="Note 7 2 3 2 8" xfId="47021"/>
    <cellStyle name="Note 7 2 3 2 9" xfId="47022"/>
    <cellStyle name="Note 7 2 3 3" xfId="47023"/>
    <cellStyle name="Note 7 2 3 4" xfId="47024"/>
    <cellStyle name="Note 7 2 3 5" xfId="47025"/>
    <cellStyle name="Note 7 2 3 6" xfId="47026"/>
    <cellStyle name="Note 7 2 3 7" xfId="47027"/>
    <cellStyle name="Note 7 2 3 8" xfId="47028"/>
    <cellStyle name="Note 7 2 3 9" xfId="47029"/>
    <cellStyle name="Note 7 2 4" xfId="47030"/>
    <cellStyle name="Note 7 2 4 10" xfId="47031"/>
    <cellStyle name="Note 7 2 4 11" xfId="47032"/>
    <cellStyle name="Note 7 2 4 12" xfId="47033"/>
    <cellStyle name="Note 7 2 4 13" xfId="47034"/>
    <cellStyle name="Note 7 2 4 14" xfId="47035"/>
    <cellStyle name="Note 7 2 4 15" xfId="47036"/>
    <cellStyle name="Note 7 2 4 16" xfId="47037"/>
    <cellStyle name="Note 7 2 4 17" xfId="47038"/>
    <cellStyle name="Note 7 2 4 18" xfId="47039"/>
    <cellStyle name="Note 7 2 4 19" xfId="47040"/>
    <cellStyle name="Note 7 2 4 2" xfId="47041"/>
    <cellStyle name="Note 7 2 4 2 2" xfId="47042"/>
    <cellStyle name="Note 7 2 4 2 3" xfId="47043"/>
    <cellStyle name="Note 7 2 4 2 4" xfId="47044"/>
    <cellStyle name="Note 7 2 4 2 5" xfId="47045"/>
    <cellStyle name="Note 7 2 4 2 6" xfId="47046"/>
    <cellStyle name="Note 7 2 4 2 7" xfId="47047"/>
    <cellStyle name="Note 7 2 4 2 8" xfId="47048"/>
    <cellStyle name="Note 7 2 4 2 9" xfId="47049"/>
    <cellStyle name="Note 7 2 4 3" xfId="47050"/>
    <cellStyle name="Note 7 2 4 4" xfId="47051"/>
    <cellStyle name="Note 7 2 4 5" xfId="47052"/>
    <cellStyle name="Note 7 2 4 6" xfId="47053"/>
    <cellStyle name="Note 7 2 4 7" xfId="47054"/>
    <cellStyle name="Note 7 2 4 8" xfId="47055"/>
    <cellStyle name="Note 7 2 4 9" xfId="47056"/>
    <cellStyle name="Note 7 2 5" xfId="47057"/>
    <cellStyle name="Note 7 3" xfId="47058"/>
    <cellStyle name="Note 7 3 2" xfId="47059"/>
    <cellStyle name="Note 7 3 2 10" xfId="47060"/>
    <cellStyle name="Note 7 3 2 11" xfId="47061"/>
    <cellStyle name="Note 7 3 2 12" xfId="47062"/>
    <cellStyle name="Note 7 3 2 13" xfId="47063"/>
    <cellStyle name="Note 7 3 2 14" xfId="47064"/>
    <cellStyle name="Note 7 3 2 15" xfId="47065"/>
    <cellStyle name="Note 7 3 2 16" xfId="47066"/>
    <cellStyle name="Note 7 3 2 17" xfId="47067"/>
    <cellStyle name="Note 7 3 2 18" xfId="47068"/>
    <cellStyle name="Note 7 3 2 19" xfId="47069"/>
    <cellStyle name="Note 7 3 2 2" xfId="47070"/>
    <cellStyle name="Note 7 3 2 2 2" xfId="47071"/>
    <cellStyle name="Note 7 3 2 2 3" xfId="47072"/>
    <cellStyle name="Note 7 3 2 2 4" xfId="47073"/>
    <cellStyle name="Note 7 3 2 2 5" xfId="47074"/>
    <cellStyle name="Note 7 3 2 2 6" xfId="47075"/>
    <cellStyle name="Note 7 3 2 2 7" xfId="47076"/>
    <cellStyle name="Note 7 3 2 2 8" xfId="47077"/>
    <cellStyle name="Note 7 3 2 2 9" xfId="47078"/>
    <cellStyle name="Note 7 3 2 3" xfId="47079"/>
    <cellStyle name="Note 7 3 2 4" xfId="47080"/>
    <cellStyle name="Note 7 3 2 5" xfId="47081"/>
    <cellStyle name="Note 7 3 2 6" xfId="47082"/>
    <cellStyle name="Note 7 3 2 7" xfId="47083"/>
    <cellStyle name="Note 7 3 2 8" xfId="47084"/>
    <cellStyle name="Note 7 3 2 9" xfId="47085"/>
    <cellStyle name="Note 7 3 3" xfId="47086"/>
    <cellStyle name="Note 7 3 3 10" xfId="47087"/>
    <cellStyle name="Note 7 3 3 11" xfId="47088"/>
    <cellStyle name="Note 7 3 3 12" xfId="47089"/>
    <cellStyle name="Note 7 3 3 13" xfId="47090"/>
    <cellStyle name="Note 7 3 3 14" xfId="47091"/>
    <cellStyle name="Note 7 3 3 15" xfId="47092"/>
    <cellStyle name="Note 7 3 3 16" xfId="47093"/>
    <cellStyle name="Note 7 3 3 17" xfId="47094"/>
    <cellStyle name="Note 7 3 3 18" xfId="47095"/>
    <cellStyle name="Note 7 3 3 2" xfId="47096"/>
    <cellStyle name="Note 7 3 3 2 2" xfId="47097"/>
    <cellStyle name="Note 7 3 3 2 3" xfId="47098"/>
    <cellStyle name="Note 7 3 3 2 4" xfId="47099"/>
    <cellStyle name="Note 7 3 3 2 5" xfId="47100"/>
    <cellStyle name="Note 7 3 3 2 6" xfId="47101"/>
    <cellStyle name="Note 7 3 3 2 7" xfId="47102"/>
    <cellStyle name="Note 7 3 3 2 8" xfId="47103"/>
    <cellStyle name="Note 7 3 3 2 9" xfId="47104"/>
    <cellStyle name="Note 7 3 3 3" xfId="47105"/>
    <cellStyle name="Note 7 3 3 4" xfId="47106"/>
    <cellStyle name="Note 7 3 3 5" xfId="47107"/>
    <cellStyle name="Note 7 3 3 6" xfId="47108"/>
    <cellStyle name="Note 7 3 3 7" xfId="47109"/>
    <cellStyle name="Note 7 3 3 8" xfId="47110"/>
    <cellStyle name="Note 7 3 3 9" xfId="47111"/>
    <cellStyle name="Note 7 3 4" xfId="47112"/>
    <cellStyle name="Note 7 3 4 10" xfId="47113"/>
    <cellStyle name="Note 7 3 4 11" xfId="47114"/>
    <cellStyle name="Note 7 3 4 12" xfId="47115"/>
    <cellStyle name="Note 7 3 4 13" xfId="47116"/>
    <cellStyle name="Note 7 3 4 14" xfId="47117"/>
    <cellStyle name="Note 7 3 4 15" xfId="47118"/>
    <cellStyle name="Note 7 3 4 16" xfId="47119"/>
    <cellStyle name="Note 7 3 4 17" xfId="47120"/>
    <cellStyle name="Note 7 3 4 18" xfId="47121"/>
    <cellStyle name="Note 7 3 4 19" xfId="47122"/>
    <cellStyle name="Note 7 3 4 2" xfId="47123"/>
    <cellStyle name="Note 7 3 4 2 2" xfId="47124"/>
    <cellStyle name="Note 7 3 4 2 3" xfId="47125"/>
    <cellStyle name="Note 7 3 4 2 4" xfId="47126"/>
    <cellStyle name="Note 7 3 4 2 5" xfId="47127"/>
    <cellStyle name="Note 7 3 4 2 6" xfId="47128"/>
    <cellStyle name="Note 7 3 4 2 7" xfId="47129"/>
    <cellStyle name="Note 7 3 4 2 8" xfId="47130"/>
    <cellStyle name="Note 7 3 4 2 9" xfId="47131"/>
    <cellStyle name="Note 7 3 4 3" xfId="47132"/>
    <cellStyle name="Note 7 3 4 4" xfId="47133"/>
    <cellStyle name="Note 7 3 4 5" xfId="47134"/>
    <cellStyle name="Note 7 3 4 6" xfId="47135"/>
    <cellStyle name="Note 7 3 4 7" xfId="47136"/>
    <cellStyle name="Note 7 3 4 8" xfId="47137"/>
    <cellStyle name="Note 7 3 4 9" xfId="47138"/>
    <cellStyle name="Note 7 3 5" xfId="47139"/>
    <cellStyle name="Note 7 4" xfId="47140"/>
    <cellStyle name="Note 7 4 10" xfId="47141"/>
    <cellStyle name="Note 7 4 11" xfId="47142"/>
    <cellStyle name="Note 7 4 12" xfId="47143"/>
    <cellStyle name="Note 7 4 13" xfId="47144"/>
    <cellStyle name="Note 7 4 14" xfId="47145"/>
    <cellStyle name="Note 7 4 15" xfId="47146"/>
    <cellStyle name="Note 7 4 16" xfId="47147"/>
    <cellStyle name="Note 7 4 17" xfId="47148"/>
    <cellStyle name="Note 7 4 18" xfId="47149"/>
    <cellStyle name="Note 7 4 19" xfId="47150"/>
    <cellStyle name="Note 7 4 2" xfId="47151"/>
    <cellStyle name="Note 7 4 2 2" xfId="47152"/>
    <cellStyle name="Note 7 4 2 3" xfId="47153"/>
    <cellStyle name="Note 7 4 2 4" xfId="47154"/>
    <cellStyle name="Note 7 4 2 5" xfId="47155"/>
    <cellStyle name="Note 7 4 2 6" xfId="47156"/>
    <cellStyle name="Note 7 4 2 7" xfId="47157"/>
    <cellStyle name="Note 7 4 2 8" xfId="47158"/>
    <cellStyle name="Note 7 4 2 9" xfId="47159"/>
    <cellStyle name="Note 7 4 3" xfId="47160"/>
    <cellStyle name="Note 7 4 4" xfId="47161"/>
    <cellStyle name="Note 7 4 5" xfId="47162"/>
    <cellStyle name="Note 7 4 6" xfId="47163"/>
    <cellStyle name="Note 7 4 7" xfId="47164"/>
    <cellStyle name="Note 7 4 8" xfId="47165"/>
    <cellStyle name="Note 7 4 9" xfId="47166"/>
    <cellStyle name="Note 7 5" xfId="47167"/>
    <cellStyle name="Note 7 5 10" xfId="47168"/>
    <cellStyle name="Note 7 5 11" xfId="47169"/>
    <cellStyle name="Note 7 5 12" xfId="47170"/>
    <cellStyle name="Note 7 5 13" xfId="47171"/>
    <cellStyle name="Note 7 5 14" xfId="47172"/>
    <cellStyle name="Note 7 5 15" xfId="47173"/>
    <cellStyle name="Note 7 5 16" xfId="47174"/>
    <cellStyle name="Note 7 5 17" xfId="47175"/>
    <cellStyle name="Note 7 5 18" xfId="47176"/>
    <cellStyle name="Note 7 5 2" xfId="47177"/>
    <cellStyle name="Note 7 5 2 2" xfId="47178"/>
    <cellStyle name="Note 7 5 2 3" xfId="47179"/>
    <cellStyle name="Note 7 5 2 4" xfId="47180"/>
    <cellStyle name="Note 7 5 2 5" xfId="47181"/>
    <cellStyle name="Note 7 5 2 6" xfId="47182"/>
    <cellStyle name="Note 7 5 2 7" xfId="47183"/>
    <cellStyle name="Note 7 5 2 8" xfId="47184"/>
    <cellStyle name="Note 7 5 2 9" xfId="47185"/>
    <cellStyle name="Note 7 5 3" xfId="47186"/>
    <cellStyle name="Note 7 5 4" xfId="47187"/>
    <cellStyle name="Note 7 5 5" xfId="47188"/>
    <cellStyle name="Note 7 5 6" xfId="47189"/>
    <cellStyle name="Note 7 5 7" xfId="47190"/>
    <cellStyle name="Note 7 5 8" xfId="47191"/>
    <cellStyle name="Note 7 5 9" xfId="47192"/>
    <cellStyle name="Note 7 6" xfId="47193"/>
    <cellStyle name="Note 7 6 10" xfId="47194"/>
    <cellStyle name="Note 7 6 11" xfId="47195"/>
    <cellStyle name="Note 7 6 12" xfId="47196"/>
    <cellStyle name="Note 7 6 13" xfId="47197"/>
    <cellStyle name="Note 7 6 14" xfId="47198"/>
    <cellStyle name="Note 7 6 15" xfId="47199"/>
    <cellStyle name="Note 7 6 16" xfId="47200"/>
    <cellStyle name="Note 7 6 17" xfId="47201"/>
    <cellStyle name="Note 7 6 18" xfId="47202"/>
    <cellStyle name="Note 7 6 19" xfId="47203"/>
    <cellStyle name="Note 7 6 2" xfId="47204"/>
    <cellStyle name="Note 7 6 2 2" xfId="47205"/>
    <cellStyle name="Note 7 6 2 3" xfId="47206"/>
    <cellStyle name="Note 7 6 2 4" xfId="47207"/>
    <cellStyle name="Note 7 6 2 5" xfId="47208"/>
    <cellStyle name="Note 7 6 2 6" xfId="47209"/>
    <cellStyle name="Note 7 6 2 7" xfId="47210"/>
    <cellStyle name="Note 7 6 2 8" xfId="47211"/>
    <cellStyle name="Note 7 6 2 9" xfId="47212"/>
    <cellStyle name="Note 7 6 3" xfId="47213"/>
    <cellStyle name="Note 7 6 4" xfId="47214"/>
    <cellStyle name="Note 7 6 5" xfId="47215"/>
    <cellStyle name="Note 7 6 6" xfId="47216"/>
    <cellStyle name="Note 7 6 7" xfId="47217"/>
    <cellStyle name="Note 7 6 8" xfId="47218"/>
    <cellStyle name="Note 7 6 9" xfId="47219"/>
    <cellStyle name="Note 7 7" xfId="47220"/>
    <cellStyle name="Note 8" xfId="47221"/>
    <cellStyle name="Note 8 2" xfId="47222"/>
    <cellStyle name="Note 8 2 2" xfId="47223"/>
    <cellStyle name="Note 8 2 2 10" xfId="47224"/>
    <cellStyle name="Note 8 2 2 11" xfId="47225"/>
    <cellStyle name="Note 8 2 2 12" xfId="47226"/>
    <cellStyle name="Note 8 2 2 13" xfId="47227"/>
    <cellStyle name="Note 8 2 2 14" xfId="47228"/>
    <cellStyle name="Note 8 2 2 15" xfId="47229"/>
    <cellStyle name="Note 8 2 2 16" xfId="47230"/>
    <cellStyle name="Note 8 2 2 17" xfId="47231"/>
    <cellStyle name="Note 8 2 2 18" xfId="47232"/>
    <cellStyle name="Note 8 2 2 19" xfId="47233"/>
    <cellStyle name="Note 8 2 2 2" xfId="47234"/>
    <cellStyle name="Note 8 2 2 2 2" xfId="47235"/>
    <cellStyle name="Note 8 2 2 2 3" xfId="47236"/>
    <cellStyle name="Note 8 2 2 2 4" xfId="47237"/>
    <cellStyle name="Note 8 2 2 2 5" xfId="47238"/>
    <cellStyle name="Note 8 2 2 2 6" xfId="47239"/>
    <cellStyle name="Note 8 2 2 2 7" xfId="47240"/>
    <cellStyle name="Note 8 2 2 2 8" xfId="47241"/>
    <cellStyle name="Note 8 2 2 2 9" xfId="47242"/>
    <cellStyle name="Note 8 2 2 3" xfId="47243"/>
    <cellStyle name="Note 8 2 2 4" xfId="47244"/>
    <cellStyle name="Note 8 2 2 5" xfId="47245"/>
    <cellStyle name="Note 8 2 2 6" xfId="47246"/>
    <cellStyle name="Note 8 2 2 7" xfId="47247"/>
    <cellStyle name="Note 8 2 2 8" xfId="47248"/>
    <cellStyle name="Note 8 2 2 9" xfId="47249"/>
    <cellStyle name="Note 8 2 3" xfId="47250"/>
    <cellStyle name="Note 8 2 3 10" xfId="47251"/>
    <cellStyle name="Note 8 2 3 11" xfId="47252"/>
    <cellStyle name="Note 8 2 3 12" xfId="47253"/>
    <cellStyle name="Note 8 2 3 13" xfId="47254"/>
    <cellStyle name="Note 8 2 3 14" xfId="47255"/>
    <cellStyle name="Note 8 2 3 15" xfId="47256"/>
    <cellStyle name="Note 8 2 3 16" xfId="47257"/>
    <cellStyle name="Note 8 2 3 17" xfId="47258"/>
    <cellStyle name="Note 8 2 3 18" xfId="47259"/>
    <cellStyle name="Note 8 2 3 2" xfId="47260"/>
    <cellStyle name="Note 8 2 3 2 2" xfId="47261"/>
    <cellStyle name="Note 8 2 3 2 3" xfId="47262"/>
    <cellStyle name="Note 8 2 3 2 4" xfId="47263"/>
    <cellStyle name="Note 8 2 3 2 5" xfId="47264"/>
    <cellStyle name="Note 8 2 3 2 6" xfId="47265"/>
    <cellStyle name="Note 8 2 3 2 7" xfId="47266"/>
    <cellStyle name="Note 8 2 3 2 8" xfId="47267"/>
    <cellStyle name="Note 8 2 3 2 9" xfId="47268"/>
    <cellStyle name="Note 8 2 3 3" xfId="47269"/>
    <cellStyle name="Note 8 2 3 4" xfId="47270"/>
    <cellStyle name="Note 8 2 3 5" xfId="47271"/>
    <cellStyle name="Note 8 2 3 6" xfId="47272"/>
    <cellStyle name="Note 8 2 3 7" xfId="47273"/>
    <cellStyle name="Note 8 2 3 8" xfId="47274"/>
    <cellStyle name="Note 8 2 3 9" xfId="47275"/>
    <cellStyle name="Note 8 2 4" xfId="47276"/>
    <cellStyle name="Note 8 2 4 10" xfId="47277"/>
    <cellStyle name="Note 8 2 4 11" xfId="47278"/>
    <cellStyle name="Note 8 2 4 12" xfId="47279"/>
    <cellStyle name="Note 8 2 4 13" xfId="47280"/>
    <cellStyle name="Note 8 2 4 14" xfId="47281"/>
    <cellStyle name="Note 8 2 4 15" xfId="47282"/>
    <cellStyle name="Note 8 2 4 16" xfId="47283"/>
    <cellStyle name="Note 8 2 4 17" xfId="47284"/>
    <cellStyle name="Note 8 2 4 18" xfId="47285"/>
    <cellStyle name="Note 8 2 4 19" xfId="47286"/>
    <cellStyle name="Note 8 2 4 2" xfId="47287"/>
    <cellStyle name="Note 8 2 4 2 2" xfId="47288"/>
    <cellStyle name="Note 8 2 4 2 3" xfId="47289"/>
    <cellStyle name="Note 8 2 4 2 4" xfId="47290"/>
    <cellStyle name="Note 8 2 4 2 5" xfId="47291"/>
    <cellStyle name="Note 8 2 4 2 6" xfId="47292"/>
    <cellStyle name="Note 8 2 4 2 7" xfId="47293"/>
    <cellStyle name="Note 8 2 4 2 8" xfId="47294"/>
    <cellStyle name="Note 8 2 4 2 9" xfId="47295"/>
    <cellStyle name="Note 8 2 4 3" xfId="47296"/>
    <cellStyle name="Note 8 2 4 4" xfId="47297"/>
    <cellStyle name="Note 8 2 4 5" xfId="47298"/>
    <cellStyle name="Note 8 2 4 6" xfId="47299"/>
    <cellStyle name="Note 8 2 4 7" xfId="47300"/>
    <cellStyle name="Note 8 2 4 8" xfId="47301"/>
    <cellStyle name="Note 8 2 4 9" xfId="47302"/>
    <cellStyle name="Note 8 2 5" xfId="47303"/>
    <cellStyle name="Note 8 3" xfId="47304"/>
    <cellStyle name="Note 8 3 2" xfId="47305"/>
    <cellStyle name="Note 8 3 2 10" xfId="47306"/>
    <cellStyle name="Note 8 3 2 11" xfId="47307"/>
    <cellStyle name="Note 8 3 2 12" xfId="47308"/>
    <cellStyle name="Note 8 3 2 13" xfId="47309"/>
    <cellStyle name="Note 8 3 2 14" xfId="47310"/>
    <cellStyle name="Note 8 3 2 15" xfId="47311"/>
    <cellStyle name="Note 8 3 2 16" xfId="47312"/>
    <cellStyle name="Note 8 3 2 17" xfId="47313"/>
    <cellStyle name="Note 8 3 2 18" xfId="47314"/>
    <cellStyle name="Note 8 3 2 19" xfId="47315"/>
    <cellStyle name="Note 8 3 2 2" xfId="47316"/>
    <cellStyle name="Note 8 3 2 2 2" xfId="47317"/>
    <cellStyle name="Note 8 3 2 2 3" xfId="47318"/>
    <cellStyle name="Note 8 3 2 2 4" xfId="47319"/>
    <cellStyle name="Note 8 3 2 2 5" xfId="47320"/>
    <cellStyle name="Note 8 3 2 2 6" xfId="47321"/>
    <cellStyle name="Note 8 3 2 2 7" xfId="47322"/>
    <cellStyle name="Note 8 3 2 2 8" xfId="47323"/>
    <cellStyle name="Note 8 3 2 2 9" xfId="47324"/>
    <cellStyle name="Note 8 3 2 3" xfId="47325"/>
    <cellStyle name="Note 8 3 2 4" xfId="47326"/>
    <cellStyle name="Note 8 3 2 5" xfId="47327"/>
    <cellStyle name="Note 8 3 2 6" xfId="47328"/>
    <cellStyle name="Note 8 3 2 7" xfId="47329"/>
    <cellStyle name="Note 8 3 2 8" xfId="47330"/>
    <cellStyle name="Note 8 3 2 9" xfId="47331"/>
    <cellStyle name="Note 8 3 3" xfId="47332"/>
    <cellStyle name="Note 8 3 3 10" xfId="47333"/>
    <cellStyle name="Note 8 3 3 11" xfId="47334"/>
    <cellStyle name="Note 8 3 3 12" xfId="47335"/>
    <cellStyle name="Note 8 3 3 13" xfId="47336"/>
    <cellStyle name="Note 8 3 3 14" xfId="47337"/>
    <cellStyle name="Note 8 3 3 15" xfId="47338"/>
    <cellStyle name="Note 8 3 3 16" xfId="47339"/>
    <cellStyle name="Note 8 3 3 17" xfId="47340"/>
    <cellStyle name="Note 8 3 3 18" xfId="47341"/>
    <cellStyle name="Note 8 3 3 2" xfId="47342"/>
    <cellStyle name="Note 8 3 3 2 2" xfId="47343"/>
    <cellStyle name="Note 8 3 3 2 3" xfId="47344"/>
    <cellStyle name="Note 8 3 3 2 4" xfId="47345"/>
    <cellStyle name="Note 8 3 3 2 5" xfId="47346"/>
    <cellStyle name="Note 8 3 3 2 6" xfId="47347"/>
    <cellStyle name="Note 8 3 3 2 7" xfId="47348"/>
    <cellStyle name="Note 8 3 3 2 8" xfId="47349"/>
    <cellStyle name="Note 8 3 3 2 9" xfId="47350"/>
    <cellStyle name="Note 8 3 3 3" xfId="47351"/>
    <cellStyle name="Note 8 3 3 4" xfId="47352"/>
    <cellStyle name="Note 8 3 3 5" xfId="47353"/>
    <cellStyle name="Note 8 3 3 6" xfId="47354"/>
    <cellStyle name="Note 8 3 3 7" xfId="47355"/>
    <cellStyle name="Note 8 3 3 8" xfId="47356"/>
    <cellStyle name="Note 8 3 3 9" xfId="47357"/>
    <cellStyle name="Note 8 3 4" xfId="47358"/>
    <cellStyle name="Note 8 3 4 10" xfId="47359"/>
    <cellStyle name="Note 8 3 4 11" xfId="47360"/>
    <cellStyle name="Note 8 3 4 12" xfId="47361"/>
    <cellStyle name="Note 8 3 4 13" xfId="47362"/>
    <cellStyle name="Note 8 3 4 14" xfId="47363"/>
    <cellStyle name="Note 8 3 4 15" xfId="47364"/>
    <cellStyle name="Note 8 3 4 16" xfId="47365"/>
    <cellStyle name="Note 8 3 4 17" xfId="47366"/>
    <cellStyle name="Note 8 3 4 18" xfId="47367"/>
    <cellStyle name="Note 8 3 4 19" xfId="47368"/>
    <cellStyle name="Note 8 3 4 2" xfId="47369"/>
    <cellStyle name="Note 8 3 4 2 2" xfId="47370"/>
    <cellStyle name="Note 8 3 4 2 3" xfId="47371"/>
    <cellStyle name="Note 8 3 4 2 4" xfId="47372"/>
    <cellStyle name="Note 8 3 4 2 5" xfId="47373"/>
    <cellStyle name="Note 8 3 4 2 6" xfId="47374"/>
    <cellStyle name="Note 8 3 4 2 7" xfId="47375"/>
    <cellStyle name="Note 8 3 4 2 8" xfId="47376"/>
    <cellStyle name="Note 8 3 4 2 9" xfId="47377"/>
    <cellStyle name="Note 8 3 4 3" xfId="47378"/>
    <cellStyle name="Note 8 3 4 4" xfId="47379"/>
    <cellStyle name="Note 8 3 4 5" xfId="47380"/>
    <cellStyle name="Note 8 3 4 6" xfId="47381"/>
    <cellStyle name="Note 8 3 4 7" xfId="47382"/>
    <cellStyle name="Note 8 3 4 8" xfId="47383"/>
    <cellStyle name="Note 8 3 4 9" xfId="47384"/>
    <cellStyle name="Note 8 3 5" xfId="47385"/>
    <cellStyle name="Note 8 4" xfId="47386"/>
    <cellStyle name="Note 8 4 10" xfId="47387"/>
    <cellStyle name="Note 8 4 11" xfId="47388"/>
    <cellStyle name="Note 8 4 12" xfId="47389"/>
    <cellStyle name="Note 8 4 13" xfId="47390"/>
    <cellStyle name="Note 8 4 14" xfId="47391"/>
    <cellStyle name="Note 8 4 15" xfId="47392"/>
    <cellStyle name="Note 8 4 16" xfId="47393"/>
    <cellStyle name="Note 8 4 17" xfId="47394"/>
    <cellStyle name="Note 8 4 18" xfId="47395"/>
    <cellStyle name="Note 8 4 19" xfId="47396"/>
    <cellStyle name="Note 8 4 2" xfId="47397"/>
    <cellStyle name="Note 8 4 2 2" xfId="47398"/>
    <cellStyle name="Note 8 4 2 3" xfId="47399"/>
    <cellStyle name="Note 8 4 2 4" xfId="47400"/>
    <cellStyle name="Note 8 4 2 5" xfId="47401"/>
    <cellStyle name="Note 8 4 2 6" xfId="47402"/>
    <cellStyle name="Note 8 4 2 7" xfId="47403"/>
    <cellStyle name="Note 8 4 2 8" xfId="47404"/>
    <cellStyle name="Note 8 4 2 9" xfId="47405"/>
    <cellStyle name="Note 8 4 3" xfId="47406"/>
    <cellStyle name="Note 8 4 4" xfId="47407"/>
    <cellStyle name="Note 8 4 5" xfId="47408"/>
    <cellStyle name="Note 8 4 6" xfId="47409"/>
    <cellStyle name="Note 8 4 7" xfId="47410"/>
    <cellStyle name="Note 8 4 8" xfId="47411"/>
    <cellStyle name="Note 8 4 9" xfId="47412"/>
    <cellStyle name="Note 8 5" xfId="47413"/>
    <cellStyle name="Note 8 5 10" xfId="47414"/>
    <cellStyle name="Note 8 5 11" xfId="47415"/>
    <cellStyle name="Note 8 5 12" xfId="47416"/>
    <cellStyle name="Note 8 5 13" xfId="47417"/>
    <cellStyle name="Note 8 5 14" xfId="47418"/>
    <cellStyle name="Note 8 5 15" xfId="47419"/>
    <cellStyle name="Note 8 5 16" xfId="47420"/>
    <cellStyle name="Note 8 5 17" xfId="47421"/>
    <cellStyle name="Note 8 5 18" xfId="47422"/>
    <cellStyle name="Note 8 5 2" xfId="47423"/>
    <cellStyle name="Note 8 5 2 2" xfId="47424"/>
    <cellStyle name="Note 8 5 2 3" xfId="47425"/>
    <cellStyle name="Note 8 5 2 4" xfId="47426"/>
    <cellStyle name="Note 8 5 2 5" xfId="47427"/>
    <cellStyle name="Note 8 5 2 6" xfId="47428"/>
    <cellStyle name="Note 8 5 2 7" xfId="47429"/>
    <cellStyle name="Note 8 5 2 8" xfId="47430"/>
    <cellStyle name="Note 8 5 2 9" xfId="47431"/>
    <cellStyle name="Note 8 5 3" xfId="47432"/>
    <cellStyle name="Note 8 5 4" xfId="47433"/>
    <cellStyle name="Note 8 5 5" xfId="47434"/>
    <cellStyle name="Note 8 5 6" xfId="47435"/>
    <cellStyle name="Note 8 5 7" xfId="47436"/>
    <cellStyle name="Note 8 5 8" xfId="47437"/>
    <cellStyle name="Note 8 5 9" xfId="47438"/>
    <cellStyle name="Note 8 6" xfId="47439"/>
    <cellStyle name="Note 8 6 10" xfId="47440"/>
    <cellStyle name="Note 8 6 11" xfId="47441"/>
    <cellStyle name="Note 8 6 12" xfId="47442"/>
    <cellStyle name="Note 8 6 13" xfId="47443"/>
    <cellStyle name="Note 8 6 14" xfId="47444"/>
    <cellStyle name="Note 8 6 15" xfId="47445"/>
    <cellStyle name="Note 8 6 16" xfId="47446"/>
    <cellStyle name="Note 8 6 17" xfId="47447"/>
    <cellStyle name="Note 8 6 18" xfId="47448"/>
    <cellStyle name="Note 8 6 19" xfId="47449"/>
    <cellStyle name="Note 8 6 2" xfId="47450"/>
    <cellStyle name="Note 8 6 2 2" xfId="47451"/>
    <cellStyle name="Note 8 6 2 3" xfId="47452"/>
    <cellStyle name="Note 8 6 2 4" xfId="47453"/>
    <cellStyle name="Note 8 6 2 5" xfId="47454"/>
    <cellStyle name="Note 8 6 2 6" xfId="47455"/>
    <cellStyle name="Note 8 6 2 7" xfId="47456"/>
    <cellStyle name="Note 8 6 2 8" xfId="47457"/>
    <cellStyle name="Note 8 6 2 9" xfId="47458"/>
    <cellStyle name="Note 8 6 3" xfId="47459"/>
    <cellStyle name="Note 8 6 4" xfId="47460"/>
    <cellStyle name="Note 8 6 5" xfId="47461"/>
    <cellStyle name="Note 8 6 6" xfId="47462"/>
    <cellStyle name="Note 8 6 7" xfId="47463"/>
    <cellStyle name="Note 8 6 8" xfId="47464"/>
    <cellStyle name="Note 8 6 9" xfId="47465"/>
    <cellStyle name="Note 8 7" xfId="47466"/>
    <cellStyle name="Note 9" xfId="47467"/>
    <cellStyle name="Note 9 2" xfId="47468"/>
    <cellStyle name="Note 9 2 10" xfId="47469"/>
    <cellStyle name="Note 9 2 11" xfId="47470"/>
    <cellStyle name="Note 9 2 12" xfId="47471"/>
    <cellStyle name="Note 9 2 13" xfId="47472"/>
    <cellStyle name="Note 9 2 14" xfId="47473"/>
    <cellStyle name="Note 9 2 15" xfId="47474"/>
    <cellStyle name="Note 9 2 16" xfId="47475"/>
    <cellStyle name="Note 9 2 17" xfId="47476"/>
    <cellStyle name="Note 9 2 18" xfId="47477"/>
    <cellStyle name="Note 9 2 19" xfId="47478"/>
    <cellStyle name="Note 9 2 2" xfId="47479"/>
    <cellStyle name="Note 9 2 2 2" xfId="47480"/>
    <cellStyle name="Note 9 2 2 3" xfId="47481"/>
    <cellStyle name="Note 9 2 2 4" xfId="47482"/>
    <cellStyle name="Note 9 2 2 5" xfId="47483"/>
    <cellStyle name="Note 9 2 2 6" xfId="47484"/>
    <cellStyle name="Note 9 2 2 7" xfId="47485"/>
    <cellStyle name="Note 9 2 2 8" xfId="47486"/>
    <cellStyle name="Note 9 2 2 9" xfId="47487"/>
    <cellStyle name="Note 9 2 3" xfId="47488"/>
    <cellStyle name="Note 9 2 4" xfId="47489"/>
    <cellStyle name="Note 9 2 5" xfId="47490"/>
    <cellStyle name="Note 9 2 6" xfId="47491"/>
    <cellStyle name="Note 9 2 7" xfId="47492"/>
    <cellStyle name="Note 9 2 8" xfId="47493"/>
    <cellStyle name="Note 9 2 9" xfId="47494"/>
    <cellStyle name="Note 9 3" xfId="47495"/>
    <cellStyle name="Note 9 3 10" xfId="47496"/>
    <cellStyle name="Note 9 3 11" xfId="47497"/>
    <cellStyle name="Note 9 3 12" xfId="47498"/>
    <cellStyle name="Note 9 3 13" xfId="47499"/>
    <cellStyle name="Note 9 3 14" xfId="47500"/>
    <cellStyle name="Note 9 3 15" xfId="47501"/>
    <cellStyle name="Note 9 3 16" xfId="47502"/>
    <cellStyle name="Note 9 3 17" xfId="47503"/>
    <cellStyle name="Note 9 3 18" xfId="47504"/>
    <cellStyle name="Note 9 3 2" xfId="47505"/>
    <cellStyle name="Note 9 3 2 2" xfId="47506"/>
    <cellStyle name="Note 9 3 2 3" xfId="47507"/>
    <cellStyle name="Note 9 3 2 4" xfId="47508"/>
    <cellStyle name="Note 9 3 2 5" xfId="47509"/>
    <cellStyle name="Note 9 3 2 6" xfId="47510"/>
    <cellStyle name="Note 9 3 2 7" xfId="47511"/>
    <cellStyle name="Note 9 3 2 8" xfId="47512"/>
    <cellStyle name="Note 9 3 2 9" xfId="47513"/>
    <cellStyle name="Note 9 3 3" xfId="47514"/>
    <cellStyle name="Note 9 3 4" xfId="47515"/>
    <cellStyle name="Note 9 3 5" xfId="47516"/>
    <cellStyle name="Note 9 3 6" xfId="47517"/>
    <cellStyle name="Note 9 3 7" xfId="47518"/>
    <cellStyle name="Note 9 3 8" xfId="47519"/>
    <cellStyle name="Note 9 3 9" xfId="47520"/>
    <cellStyle name="Note 9 4" xfId="47521"/>
    <cellStyle name="Note 9 4 10" xfId="47522"/>
    <cellStyle name="Note 9 4 11" xfId="47523"/>
    <cellStyle name="Note 9 4 12" xfId="47524"/>
    <cellStyle name="Note 9 4 13" xfId="47525"/>
    <cellStyle name="Note 9 4 14" xfId="47526"/>
    <cellStyle name="Note 9 4 15" xfId="47527"/>
    <cellStyle name="Note 9 4 16" xfId="47528"/>
    <cellStyle name="Note 9 4 17" xfId="47529"/>
    <cellStyle name="Note 9 4 18" xfId="47530"/>
    <cellStyle name="Note 9 4 19" xfId="47531"/>
    <cellStyle name="Note 9 4 2" xfId="47532"/>
    <cellStyle name="Note 9 4 2 2" xfId="47533"/>
    <cellStyle name="Note 9 4 2 3" xfId="47534"/>
    <cellStyle name="Note 9 4 2 4" xfId="47535"/>
    <cellStyle name="Note 9 4 2 5" xfId="47536"/>
    <cellStyle name="Note 9 4 2 6" xfId="47537"/>
    <cellStyle name="Note 9 4 2 7" xfId="47538"/>
    <cellStyle name="Note 9 4 2 8" xfId="47539"/>
    <cellStyle name="Note 9 4 2 9" xfId="47540"/>
    <cellStyle name="Note 9 4 3" xfId="47541"/>
    <cellStyle name="Note 9 4 4" xfId="47542"/>
    <cellStyle name="Note 9 4 5" xfId="47543"/>
    <cellStyle name="Note 9 4 6" xfId="47544"/>
    <cellStyle name="Note 9 4 7" xfId="47545"/>
    <cellStyle name="Note 9 4 8" xfId="47546"/>
    <cellStyle name="Note 9 4 9" xfId="47547"/>
    <cellStyle name="Note 9 5" xfId="47548"/>
    <cellStyle name="Note Number" xfId="47549"/>
    <cellStyle name="Notes" xfId="47550"/>
    <cellStyle name="Number" xfId="47551"/>
    <cellStyle name="Numbers" xfId="47552"/>
    <cellStyle name="Numbers - Bold" xfId="47553"/>
    <cellStyle name="Numbers - Bold - Italic" xfId="47554"/>
    <cellStyle name="Numbers - Bold_Arab Light Pricing" xfId="47555"/>
    <cellStyle name="Numbers - Large" xfId="47556"/>
    <cellStyle name="Numbers_Book3" xfId="47557"/>
    <cellStyle name="Ňűń˙÷č [0]_Đĺôĺđĺíň" xfId="47558"/>
    <cellStyle name="Ňűń˙÷č_Đĺôĺđĺíň" xfId="47559"/>
    <cellStyle name="Œ…‹æØ‚è [0.00]_GE 3 MINIMUM" xfId="47560"/>
    <cellStyle name="Œ…‹æØ‚è_GE 3 MINIMUM" xfId="47561"/>
    <cellStyle name="Oeiainiaue [0]_NotesFA" xfId="47562"/>
    <cellStyle name="Oeiainiaue_NotesFA" xfId="47563"/>
    <cellStyle name="onedec" xfId="47564"/>
    <cellStyle name="Ouny?e [0]_Oi?a IAIE" xfId="47565"/>
    <cellStyle name="Ouny?e_Oi?a IAIE" xfId="47566"/>
    <cellStyle name="outh America" xfId="47567"/>
    <cellStyle name="Output" xfId="47568"/>
    <cellStyle name="Output 10" xfId="47569"/>
    <cellStyle name="Output 10 2" xfId="47570"/>
    <cellStyle name="Output 10 2 10" xfId="47571"/>
    <cellStyle name="Output 10 2 11" xfId="47572"/>
    <cellStyle name="Output 10 2 12" xfId="47573"/>
    <cellStyle name="Output 10 2 13" xfId="47574"/>
    <cellStyle name="Output 10 2 14" xfId="47575"/>
    <cellStyle name="Output 10 2 15" xfId="47576"/>
    <cellStyle name="Output 10 2 16" xfId="47577"/>
    <cellStyle name="Output 10 2 17" xfId="47578"/>
    <cellStyle name="Output 10 2 18" xfId="47579"/>
    <cellStyle name="Output 10 2 19" xfId="47580"/>
    <cellStyle name="Output 10 2 2" xfId="47581"/>
    <cellStyle name="Output 10 2 2 2" xfId="47582"/>
    <cellStyle name="Output 10 2 2 3" xfId="47583"/>
    <cellStyle name="Output 10 2 2 4" xfId="47584"/>
    <cellStyle name="Output 10 2 2 5" xfId="47585"/>
    <cellStyle name="Output 10 2 2 6" xfId="47586"/>
    <cellStyle name="Output 10 2 2 7" xfId="47587"/>
    <cellStyle name="Output 10 2 2 8" xfId="47588"/>
    <cellStyle name="Output 10 2 2 9" xfId="47589"/>
    <cellStyle name="Output 10 2 20" xfId="47590"/>
    <cellStyle name="Output 10 2 21" xfId="47591"/>
    <cellStyle name="Output 10 2 3" xfId="47592"/>
    <cellStyle name="Output 10 2 4" xfId="47593"/>
    <cellStyle name="Output 10 2 5" xfId="47594"/>
    <cellStyle name="Output 10 2 6" xfId="47595"/>
    <cellStyle name="Output 10 2 7" xfId="47596"/>
    <cellStyle name="Output 10 2 8" xfId="47597"/>
    <cellStyle name="Output 10 2 9" xfId="47598"/>
    <cellStyle name="Output 10 3" xfId="47599"/>
    <cellStyle name="Output 10 3 10" xfId="47600"/>
    <cellStyle name="Output 10 3 11" xfId="47601"/>
    <cellStyle name="Output 10 3 12" xfId="47602"/>
    <cellStyle name="Output 10 3 13" xfId="47603"/>
    <cellStyle name="Output 10 3 14" xfId="47604"/>
    <cellStyle name="Output 10 3 15" xfId="47605"/>
    <cellStyle name="Output 10 3 16" xfId="47606"/>
    <cellStyle name="Output 10 3 17" xfId="47607"/>
    <cellStyle name="Output 10 3 18" xfId="47608"/>
    <cellStyle name="Output 10 3 19" xfId="47609"/>
    <cellStyle name="Output 10 3 2" xfId="47610"/>
    <cellStyle name="Output 10 3 2 2" xfId="47611"/>
    <cellStyle name="Output 10 3 2 3" xfId="47612"/>
    <cellStyle name="Output 10 3 2 4" xfId="47613"/>
    <cellStyle name="Output 10 3 2 5" xfId="47614"/>
    <cellStyle name="Output 10 3 2 6" xfId="47615"/>
    <cellStyle name="Output 10 3 2 7" xfId="47616"/>
    <cellStyle name="Output 10 3 2 8" xfId="47617"/>
    <cellStyle name="Output 10 3 2 9" xfId="47618"/>
    <cellStyle name="Output 10 3 3" xfId="47619"/>
    <cellStyle name="Output 10 3 4" xfId="47620"/>
    <cellStyle name="Output 10 3 5" xfId="47621"/>
    <cellStyle name="Output 10 3 6" xfId="47622"/>
    <cellStyle name="Output 10 3 7" xfId="47623"/>
    <cellStyle name="Output 10 3 8" xfId="47624"/>
    <cellStyle name="Output 10 3 9" xfId="47625"/>
    <cellStyle name="Output 10 4" xfId="47626"/>
    <cellStyle name="Output 10 4 10" xfId="47627"/>
    <cellStyle name="Output 10 4 11" xfId="47628"/>
    <cellStyle name="Output 10 4 12" xfId="47629"/>
    <cellStyle name="Output 10 4 13" xfId="47630"/>
    <cellStyle name="Output 10 4 14" xfId="47631"/>
    <cellStyle name="Output 10 4 15" xfId="47632"/>
    <cellStyle name="Output 10 4 16" xfId="47633"/>
    <cellStyle name="Output 10 4 17" xfId="47634"/>
    <cellStyle name="Output 10 4 18" xfId="47635"/>
    <cellStyle name="Output 10 4 2" xfId="47636"/>
    <cellStyle name="Output 10 4 2 2" xfId="47637"/>
    <cellStyle name="Output 10 4 2 3" xfId="47638"/>
    <cellStyle name="Output 10 4 2 4" xfId="47639"/>
    <cellStyle name="Output 10 4 2 5" xfId="47640"/>
    <cellStyle name="Output 10 4 2 6" xfId="47641"/>
    <cellStyle name="Output 10 4 2 7" xfId="47642"/>
    <cellStyle name="Output 10 4 2 8" xfId="47643"/>
    <cellStyle name="Output 10 4 2 9" xfId="47644"/>
    <cellStyle name="Output 10 4 3" xfId="47645"/>
    <cellStyle name="Output 10 4 4" xfId="47646"/>
    <cellStyle name="Output 10 4 5" xfId="47647"/>
    <cellStyle name="Output 10 4 6" xfId="47648"/>
    <cellStyle name="Output 10 4 7" xfId="47649"/>
    <cellStyle name="Output 10 4 8" xfId="47650"/>
    <cellStyle name="Output 10 4 9" xfId="47651"/>
    <cellStyle name="Output 10 5" xfId="47652"/>
    <cellStyle name="Output 11" xfId="47653"/>
    <cellStyle name="Output 11 10" xfId="47654"/>
    <cellStyle name="Output 11 11" xfId="47655"/>
    <cellStyle name="Output 11 12" xfId="47656"/>
    <cellStyle name="Output 11 13" xfId="47657"/>
    <cellStyle name="Output 11 14" xfId="47658"/>
    <cellStyle name="Output 11 15" xfId="47659"/>
    <cellStyle name="Output 11 16" xfId="47660"/>
    <cellStyle name="Output 11 17" xfId="47661"/>
    <cellStyle name="Output 11 18" xfId="47662"/>
    <cellStyle name="Output 11 19" xfId="47663"/>
    <cellStyle name="Output 11 2" xfId="47664"/>
    <cellStyle name="Output 11 2 2" xfId="47665"/>
    <cellStyle name="Output 11 2 3" xfId="47666"/>
    <cellStyle name="Output 11 2 4" xfId="47667"/>
    <cellStyle name="Output 11 2 5" xfId="47668"/>
    <cellStyle name="Output 11 2 6" xfId="47669"/>
    <cellStyle name="Output 11 2 7" xfId="47670"/>
    <cellStyle name="Output 11 2 8" xfId="47671"/>
    <cellStyle name="Output 11 2 9" xfId="47672"/>
    <cellStyle name="Output 11 20" xfId="47673"/>
    <cellStyle name="Output 11 21" xfId="47674"/>
    <cellStyle name="Output 11 3" xfId="47675"/>
    <cellStyle name="Output 11 4" xfId="47676"/>
    <cellStyle name="Output 11 5" xfId="47677"/>
    <cellStyle name="Output 11 6" xfId="47678"/>
    <cellStyle name="Output 11 7" xfId="47679"/>
    <cellStyle name="Output 11 8" xfId="47680"/>
    <cellStyle name="Output 11 9" xfId="47681"/>
    <cellStyle name="Output 12" xfId="47682"/>
    <cellStyle name="Output 13" xfId="47683"/>
    <cellStyle name="Output 14" xfId="47684"/>
    <cellStyle name="Output 15" xfId="47685"/>
    <cellStyle name="Output 16" xfId="47686"/>
    <cellStyle name="Output 17" xfId="47687"/>
    <cellStyle name="Output 18" xfId="47688"/>
    <cellStyle name="Output 19" xfId="47689"/>
    <cellStyle name="Output 2" xfId="47690"/>
    <cellStyle name="Output 2 10" xfId="47691"/>
    <cellStyle name="Output 2 10 10" xfId="47692"/>
    <cellStyle name="Output 2 10 11" xfId="47693"/>
    <cellStyle name="Output 2 10 12" xfId="47694"/>
    <cellStyle name="Output 2 10 13" xfId="47695"/>
    <cellStyle name="Output 2 10 14" xfId="47696"/>
    <cellStyle name="Output 2 10 15" xfId="47697"/>
    <cellStyle name="Output 2 10 16" xfId="47698"/>
    <cellStyle name="Output 2 10 17" xfId="47699"/>
    <cellStyle name="Output 2 10 18" xfId="47700"/>
    <cellStyle name="Output 2 10 19" xfId="47701"/>
    <cellStyle name="Output 2 10 2" xfId="47702"/>
    <cellStyle name="Output 2 10 2 2" xfId="47703"/>
    <cellStyle name="Output 2 10 2 3" xfId="47704"/>
    <cellStyle name="Output 2 10 2 4" xfId="47705"/>
    <cellStyle name="Output 2 10 2 5" xfId="47706"/>
    <cellStyle name="Output 2 10 2 6" xfId="47707"/>
    <cellStyle name="Output 2 10 2 7" xfId="47708"/>
    <cellStyle name="Output 2 10 2 8" xfId="47709"/>
    <cellStyle name="Output 2 10 2 9" xfId="47710"/>
    <cellStyle name="Output 2 10 20" xfId="47711"/>
    <cellStyle name="Output 2 10 21" xfId="47712"/>
    <cellStyle name="Output 2 10 3" xfId="47713"/>
    <cellStyle name="Output 2 10 4" xfId="47714"/>
    <cellStyle name="Output 2 10 5" xfId="47715"/>
    <cellStyle name="Output 2 10 6" xfId="47716"/>
    <cellStyle name="Output 2 10 7" xfId="47717"/>
    <cellStyle name="Output 2 10 8" xfId="47718"/>
    <cellStyle name="Output 2 10 9" xfId="47719"/>
    <cellStyle name="Output 2 11" xfId="47720"/>
    <cellStyle name="Output 2 11 10" xfId="47721"/>
    <cellStyle name="Output 2 11 11" xfId="47722"/>
    <cellStyle name="Output 2 11 12" xfId="47723"/>
    <cellStyle name="Output 2 11 13" xfId="47724"/>
    <cellStyle name="Output 2 11 14" xfId="47725"/>
    <cellStyle name="Output 2 11 15" xfId="47726"/>
    <cellStyle name="Output 2 11 16" xfId="47727"/>
    <cellStyle name="Output 2 11 17" xfId="47728"/>
    <cellStyle name="Output 2 11 18" xfId="47729"/>
    <cellStyle name="Output 2 11 19" xfId="47730"/>
    <cellStyle name="Output 2 11 2" xfId="47731"/>
    <cellStyle name="Output 2 11 2 2" xfId="47732"/>
    <cellStyle name="Output 2 11 2 3" xfId="47733"/>
    <cellStyle name="Output 2 11 2 4" xfId="47734"/>
    <cellStyle name="Output 2 11 2 5" xfId="47735"/>
    <cellStyle name="Output 2 11 2 6" xfId="47736"/>
    <cellStyle name="Output 2 11 2 7" xfId="47737"/>
    <cellStyle name="Output 2 11 2 8" xfId="47738"/>
    <cellStyle name="Output 2 11 2 9" xfId="47739"/>
    <cellStyle name="Output 2 11 3" xfId="47740"/>
    <cellStyle name="Output 2 11 4" xfId="47741"/>
    <cellStyle name="Output 2 11 5" xfId="47742"/>
    <cellStyle name="Output 2 11 6" xfId="47743"/>
    <cellStyle name="Output 2 11 7" xfId="47744"/>
    <cellStyle name="Output 2 11 8" xfId="47745"/>
    <cellStyle name="Output 2 11 9" xfId="47746"/>
    <cellStyle name="Output 2 12" xfId="47747"/>
    <cellStyle name="Output 2 12 10" xfId="47748"/>
    <cellStyle name="Output 2 12 11" xfId="47749"/>
    <cellStyle name="Output 2 12 12" xfId="47750"/>
    <cellStyle name="Output 2 12 13" xfId="47751"/>
    <cellStyle name="Output 2 12 14" xfId="47752"/>
    <cellStyle name="Output 2 12 15" xfId="47753"/>
    <cellStyle name="Output 2 12 16" xfId="47754"/>
    <cellStyle name="Output 2 12 17" xfId="47755"/>
    <cellStyle name="Output 2 12 18" xfId="47756"/>
    <cellStyle name="Output 2 12 2" xfId="47757"/>
    <cellStyle name="Output 2 12 2 2" xfId="47758"/>
    <cellStyle name="Output 2 12 2 3" xfId="47759"/>
    <cellStyle name="Output 2 12 2 4" xfId="47760"/>
    <cellStyle name="Output 2 12 2 5" xfId="47761"/>
    <cellStyle name="Output 2 12 2 6" xfId="47762"/>
    <cellStyle name="Output 2 12 2 7" xfId="47763"/>
    <cellStyle name="Output 2 12 2 8" xfId="47764"/>
    <cellStyle name="Output 2 12 2 9" xfId="47765"/>
    <cellStyle name="Output 2 12 3" xfId="47766"/>
    <cellStyle name="Output 2 12 4" xfId="47767"/>
    <cellStyle name="Output 2 12 5" xfId="47768"/>
    <cellStyle name="Output 2 12 6" xfId="47769"/>
    <cellStyle name="Output 2 12 7" xfId="47770"/>
    <cellStyle name="Output 2 12 8" xfId="47771"/>
    <cellStyle name="Output 2 12 9" xfId="47772"/>
    <cellStyle name="Output 2 13" xfId="47773"/>
    <cellStyle name="Output 2 2" xfId="47774"/>
    <cellStyle name="Output 2 2 2" xfId="47775"/>
    <cellStyle name="Output 2 2 2 2" xfId="47776"/>
    <cellStyle name="Output 2 2 2 2 10" xfId="47777"/>
    <cellStyle name="Output 2 2 2 2 11" xfId="47778"/>
    <cellStyle name="Output 2 2 2 2 12" xfId="47779"/>
    <cellStyle name="Output 2 2 2 2 13" xfId="47780"/>
    <cellStyle name="Output 2 2 2 2 14" xfId="47781"/>
    <cellStyle name="Output 2 2 2 2 15" xfId="47782"/>
    <cellStyle name="Output 2 2 2 2 16" xfId="47783"/>
    <cellStyle name="Output 2 2 2 2 17" xfId="47784"/>
    <cellStyle name="Output 2 2 2 2 18" xfId="47785"/>
    <cellStyle name="Output 2 2 2 2 19" xfId="47786"/>
    <cellStyle name="Output 2 2 2 2 2" xfId="47787"/>
    <cellStyle name="Output 2 2 2 2 2 2" xfId="47788"/>
    <cellStyle name="Output 2 2 2 2 2 3" xfId="47789"/>
    <cellStyle name="Output 2 2 2 2 2 4" xfId="47790"/>
    <cellStyle name="Output 2 2 2 2 2 5" xfId="47791"/>
    <cellStyle name="Output 2 2 2 2 2 6" xfId="47792"/>
    <cellStyle name="Output 2 2 2 2 2 7" xfId="47793"/>
    <cellStyle name="Output 2 2 2 2 2 8" xfId="47794"/>
    <cellStyle name="Output 2 2 2 2 2 9" xfId="47795"/>
    <cellStyle name="Output 2 2 2 2 20" xfId="47796"/>
    <cellStyle name="Output 2 2 2 2 21" xfId="47797"/>
    <cellStyle name="Output 2 2 2 2 3" xfId="47798"/>
    <cellStyle name="Output 2 2 2 2 4" xfId="47799"/>
    <cellStyle name="Output 2 2 2 2 5" xfId="47800"/>
    <cellStyle name="Output 2 2 2 2 6" xfId="47801"/>
    <cellStyle name="Output 2 2 2 2 7" xfId="47802"/>
    <cellStyle name="Output 2 2 2 2 8" xfId="47803"/>
    <cellStyle name="Output 2 2 2 2 9" xfId="47804"/>
    <cellStyle name="Output 2 2 2 3" xfId="47805"/>
    <cellStyle name="Output 2 2 2 3 10" xfId="47806"/>
    <cellStyle name="Output 2 2 2 3 11" xfId="47807"/>
    <cellStyle name="Output 2 2 2 3 12" xfId="47808"/>
    <cellStyle name="Output 2 2 2 3 13" xfId="47809"/>
    <cellStyle name="Output 2 2 2 3 14" xfId="47810"/>
    <cellStyle name="Output 2 2 2 3 15" xfId="47811"/>
    <cellStyle name="Output 2 2 2 3 16" xfId="47812"/>
    <cellStyle name="Output 2 2 2 3 17" xfId="47813"/>
    <cellStyle name="Output 2 2 2 3 18" xfId="47814"/>
    <cellStyle name="Output 2 2 2 3 19" xfId="47815"/>
    <cellStyle name="Output 2 2 2 3 2" xfId="47816"/>
    <cellStyle name="Output 2 2 2 3 2 2" xfId="47817"/>
    <cellStyle name="Output 2 2 2 3 2 3" xfId="47818"/>
    <cellStyle name="Output 2 2 2 3 2 4" xfId="47819"/>
    <cellStyle name="Output 2 2 2 3 2 5" xfId="47820"/>
    <cellStyle name="Output 2 2 2 3 2 6" xfId="47821"/>
    <cellStyle name="Output 2 2 2 3 2 7" xfId="47822"/>
    <cellStyle name="Output 2 2 2 3 2 8" xfId="47823"/>
    <cellStyle name="Output 2 2 2 3 2 9" xfId="47824"/>
    <cellStyle name="Output 2 2 2 3 3" xfId="47825"/>
    <cellStyle name="Output 2 2 2 3 4" xfId="47826"/>
    <cellStyle name="Output 2 2 2 3 5" xfId="47827"/>
    <cellStyle name="Output 2 2 2 3 6" xfId="47828"/>
    <cellStyle name="Output 2 2 2 3 7" xfId="47829"/>
    <cellStyle name="Output 2 2 2 3 8" xfId="47830"/>
    <cellStyle name="Output 2 2 2 3 9" xfId="47831"/>
    <cellStyle name="Output 2 2 2 4" xfId="47832"/>
    <cellStyle name="Output 2 2 2 4 10" xfId="47833"/>
    <cellStyle name="Output 2 2 2 4 11" xfId="47834"/>
    <cellStyle name="Output 2 2 2 4 12" xfId="47835"/>
    <cellStyle name="Output 2 2 2 4 13" xfId="47836"/>
    <cellStyle name="Output 2 2 2 4 14" xfId="47837"/>
    <cellStyle name="Output 2 2 2 4 15" xfId="47838"/>
    <cellStyle name="Output 2 2 2 4 16" xfId="47839"/>
    <cellStyle name="Output 2 2 2 4 17" xfId="47840"/>
    <cellStyle name="Output 2 2 2 4 18" xfId="47841"/>
    <cellStyle name="Output 2 2 2 4 2" xfId="47842"/>
    <cellStyle name="Output 2 2 2 4 2 2" xfId="47843"/>
    <cellStyle name="Output 2 2 2 4 2 3" xfId="47844"/>
    <cellStyle name="Output 2 2 2 4 2 4" xfId="47845"/>
    <cellStyle name="Output 2 2 2 4 2 5" xfId="47846"/>
    <cellStyle name="Output 2 2 2 4 2 6" xfId="47847"/>
    <cellStyle name="Output 2 2 2 4 2 7" xfId="47848"/>
    <cellStyle name="Output 2 2 2 4 2 8" xfId="47849"/>
    <cellStyle name="Output 2 2 2 4 2 9" xfId="47850"/>
    <cellStyle name="Output 2 2 2 4 3" xfId="47851"/>
    <cellStyle name="Output 2 2 2 4 4" xfId="47852"/>
    <cellStyle name="Output 2 2 2 4 5" xfId="47853"/>
    <cellStyle name="Output 2 2 2 4 6" xfId="47854"/>
    <cellStyle name="Output 2 2 2 4 7" xfId="47855"/>
    <cellStyle name="Output 2 2 2 4 8" xfId="47856"/>
    <cellStyle name="Output 2 2 2 4 9" xfId="47857"/>
    <cellStyle name="Output 2 2 2 5" xfId="47858"/>
    <cellStyle name="Output 2 2 3" xfId="47859"/>
    <cellStyle name="Output 2 2 3 2" xfId="47860"/>
    <cellStyle name="Output 2 2 3 2 10" xfId="47861"/>
    <cellStyle name="Output 2 2 3 2 11" xfId="47862"/>
    <cellStyle name="Output 2 2 3 2 12" xfId="47863"/>
    <cellStyle name="Output 2 2 3 2 13" xfId="47864"/>
    <cellStyle name="Output 2 2 3 2 14" xfId="47865"/>
    <cellStyle name="Output 2 2 3 2 15" xfId="47866"/>
    <cellStyle name="Output 2 2 3 2 16" xfId="47867"/>
    <cellStyle name="Output 2 2 3 2 17" xfId="47868"/>
    <cellStyle name="Output 2 2 3 2 18" xfId="47869"/>
    <cellStyle name="Output 2 2 3 2 19" xfId="47870"/>
    <cellStyle name="Output 2 2 3 2 2" xfId="47871"/>
    <cellStyle name="Output 2 2 3 2 2 2" xfId="47872"/>
    <cellStyle name="Output 2 2 3 2 2 3" xfId="47873"/>
    <cellStyle name="Output 2 2 3 2 2 4" xfId="47874"/>
    <cellStyle name="Output 2 2 3 2 2 5" xfId="47875"/>
    <cellStyle name="Output 2 2 3 2 2 6" xfId="47876"/>
    <cellStyle name="Output 2 2 3 2 2 7" xfId="47877"/>
    <cellStyle name="Output 2 2 3 2 2 8" xfId="47878"/>
    <cellStyle name="Output 2 2 3 2 2 9" xfId="47879"/>
    <cellStyle name="Output 2 2 3 2 20" xfId="47880"/>
    <cellStyle name="Output 2 2 3 2 21" xfId="47881"/>
    <cellStyle name="Output 2 2 3 2 3" xfId="47882"/>
    <cellStyle name="Output 2 2 3 2 4" xfId="47883"/>
    <cellStyle name="Output 2 2 3 2 5" xfId="47884"/>
    <cellStyle name="Output 2 2 3 2 6" xfId="47885"/>
    <cellStyle name="Output 2 2 3 2 7" xfId="47886"/>
    <cellStyle name="Output 2 2 3 2 8" xfId="47887"/>
    <cellStyle name="Output 2 2 3 2 9" xfId="47888"/>
    <cellStyle name="Output 2 2 3 3" xfId="47889"/>
    <cellStyle name="Output 2 2 3 3 10" xfId="47890"/>
    <cellStyle name="Output 2 2 3 3 11" xfId="47891"/>
    <cellStyle name="Output 2 2 3 3 12" xfId="47892"/>
    <cellStyle name="Output 2 2 3 3 13" xfId="47893"/>
    <cellStyle name="Output 2 2 3 3 14" xfId="47894"/>
    <cellStyle name="Output 2 2 3 3 15" xfId="47895"/>
    <cellStyle name="Output 2 2 3 3 16" xfId="47896"/>
    <cellStyle name="Output 2 2 3 3 17" xfId="47897"/>
    <cellStyle name="Output 2 2 3 3 18" xfId="47898"/>
    <cellStyle name="Output 2 2 3 3 19" xfId="47899"/>
    <cellStyle name="Output 2 2 3 3 2" xfId="47900"/>
    <cellStyle name="Output 2 2 3 3 2 2" xfId="47901"/>
    <cellStyle name="Output 2 2 3 3 2 3" xfId="47902"/>
    <cellStyle name="Output 2 2 3 3 2 4" xfId="47903"/>
    <cellStyle name="Output 2 2 3 3 2 5" xfId="47904"/>
    <cellStyle name="Output 2 2 3 3 2 6" xfId="47905"/>
    <cellStyle name="Output 2 2 3 3 2 7" xfId="47906"/>
    <cellStyle name="Output 2 2 3 3 2 8" xfId="47907"/>
    <cellStyle name="Output 2 2 3 3 2 9" xfId="47908"/>
    <cellStyle name="Output 2 2 3 3 3" xfId="47909"/>
    <cellStyle name="Output 2 2 3 3 4" xfId="47910"/>
    <cellStyle name="Output 2 2 3 3 5" xfId="47911"/>
    <cellStyle name="Output 2 2 3 3 6" xfId="47912"/>
    <cellStyle name="Output 2 2 3 3 7" xfId="47913"/>
    <cellStyle name="Output 2 2 3 3 8" xfId="47914"/>
    <cellStyle name="Output 2 2 3 3 9" xfId="47915"/>
    <cellStyle name="Output 2 2 3 4" xfId="47916"/>
    <cellStyle name="Output 2 2 3 4 10" xfId="47917"/>
    <cellStyle name="Output 2 2 3 4 11" xfId="47918"/>
    <cellStyle name="Output 2 2 3 4 12" xfId="47919"/>
    <cellStyle name="Output 2 2 3 4 13" xfId="47920"/>
    <cellStyle name="Output 2 2 3 4 14" xfId="47921"/>
    <cellStyle name="Output 2 2 3 4 15" xfId="47922"/>
    <cellStyle name="Output 2 2 3 4 16" xfId="47923"/>
    <cellStyle name="Output 2 2 3 4 17" xfId="47924"/>
    <cellStyle name="Output 2 2 3 4 18" xfId="47925"/>
    <cellStyle name="Output 2 2 3 4 2" xfId="47926"/>
    <cellStyle name="Output 2 2 3 4 2 2" xfId="47927"/>
    <cellStyle name="Output 2 2 3 4 2 3" xfId="47928"/>
    <cellStyle name="Output 2 2 3 4 2 4" xfId="47929"/>
    <cellStyle name="Output 2 2 3 4 2 5" xfId="47930"/>
    <cellStyle name="Output 2 2 3 4 2 6" xfId="47931"/>
    <cellStyle name="Output 2 2 3 4 2 7" xfId="47932"/>
    <cellStyle name="Output 2 2 3 4 2 8" xfId="47933"/>
    <cellStyle name="Output 2 2 3 4 2 9" xfId="47934"/>
    <cellStyle name="Output 2 2 3 4 3" xfId="47935"/>
    <cellStyle name="Output 2 2 3 4 4" xfId="47936"/>
    <cellStyle name="Output 2 2 3 4 5" xfId="47937"/>
    <cellStyle name="Output 2 2 3 4 6" xfId="47938"/>
    <cellStyle name="Output 2 2 3 4 7" xfId="47939"/>
    <cellStyle name="Output 2 2 3 4 8" xfId="47940"/>
    <cellStyle name="Output 2 2 3 4 9" xfId="47941"/>
    <cellStyle name="Output 2 2 3 5" xfId="47942"/>
    <cellStyle name="Output 2 2 4" xfId="47943"/>
    <cellStyle name="Output 2 2 4 10" xfId="47944"/>
    <cellStyle name="Output 2 2 4 11" xfId="47945"/>
    <cellStyle name="Output 2 2 4 12" xfId="47946"/>
    <cellStyle name="Output 2 2 4 13" xfId="47947"/>
    <cellStyle name="Output 2 2 4 14" xfId="47948"/>
    <cellStyle name="Output 2 2 4 15" xfId="47949"/>
    <cellStyle name="Output 2 2 4 16" xfId="47950"/>
    <cellStyle name="Output 2 2 4 17" xfId="47951"/>
    <cellStyle name="Output 2 2 4 18" xfId="47952"/>
    <cellStyle name="Output 2 2 4 19" xfId="47953"/>
    <cellStyle name="Output 2 2 4 2" xfId="47954"/>
    <cellStyle name="Output 2 2 4 2 2" xfId="47955"/>
    <cellStyle name="Output 2 2 4 2 3" xfId="47956"/>
    <cellStyle name="Output 2 2 4 2 4" xfId="47957"/>
    <cellStyle name="Output 2 2 4 2 5" xfId="47958"/>
    <cellStyle name="Output 2 2 4 2 6" xfId="47959"/>
    <cellStyle name="Output 2 2 4 2 7" xfId="47960"/>
    <cellStyle name="Output 2 2 4 2 8" xfId="47961"/>
    <cellStyle name="Output 2 2 4 2 9" xfId="47962"/>
    <cellStyle name="Output 2 2 4 20" xfId="47963"/>
    <cellStyle name="Output 2 2 4 21" xfId="47964"/>
    <cellStyle name="Output 2 2 4 3" xfId="47965"/>
    <cellStyle name="Output 2 2 4 4" xfId="47966"/>
    <cellStyle name="Output 2 2 4 5" xfId="47967"/>
    <cellStyle name="Output 2 2 4 6" xfId="47968"/>
    <cellStyle name="Output 2 2 4 7" xfId="47969"/>
    <cellStyle name="Output 2 2 4 8" xfId="47970"/>
    <cellStyle name="Output 2 2 4 9" xfId="47971"/>
    <cellStyle name="Output 2 2 5" xfId="47972"/>
    <cellStyle name="Output 2 2 5 10" xfId="47973"/>
    <cellStyle name="Output 2 2 5 11" xfId="47974"/>
    <cellStyle name="Output 2 2 5 12" xfId="47975"/>
    <cellStyle name="Output 2 2 5 13" xfId="47976"/>
    <cellStyle name="Output 2 2 5 14" xfId="47977"/>
    <cellStyle name="Output 2 2 5 15" xfId="47978"/>
    <cellStyle name="Output 2 2 5 16" xfId="47979"/>
    <cellStyle name="Output 2 2 5 17" xfId="47980"/>
    <cellStyle name="Output 2 2 5 18" xfId="47981"/>
    <cellStyle name="Output 2 2 5 19" xfId="47982"/>
    <cellStyle name="Output 2 2 5 2" xfId="47983"/>
    <cellStyle name="Output 2 2 5 2 2" xfId="47984"/>
    <cellStyle name="Output 2 2 5 2 3" xfId="47985"/>
    <cellStyle name="Output 2 2 5 2 4" xfId="47986"/>
    <cellStyle name="Output 2 2 5 2 5" xfId="47987"/>
    <cellStyle name="Output 2 2 5 2 6" xfId="47988"/>
    <cellStyle name="Output 2 2 5 2 7" xfId="47989"/>
    <cellStyle name="Output 2 2 5 2 8" xfId="47990"/>
    <cellStyle name="Output 2 2 5 2 9" xfId="47991"/>
    <cellStyle name="Output 2 2 5 3" xfId="47992"/>
    <cellStyle name="Output 2 2 5 4" xfId="47993"/>
    <cellStyle name="Output 2 2 5 5" xfId="47994"/>
    <cellStyle name="Output 2 2 5 6" xfId="47995"/>
    <cellStyle name="Output 2 2 5 7" xfId="47996"/>
    <cellStyle name="Output 2 2 5 8" xfId="47997"/>
    <cellStyle name="Output 2 2 5 9" xfId="47998"/>
    <cellStyle name="Output 2 2 6" xfId="47999"/>
    <cellStyle name="Output 2 2 6 10" xfId="48000"/>
    <cellStyle name="Output 2 2 6 11" xfId="48001"/>
    <cellStyle name="Output 2 2 6 12" xfId="48002"/>
    <cellStyle name="Output 2 2 6 13" xfId="48003"/>
    <cellStyle name="Output 2 2 6 14" xfId="48004"/>
    <cellStyle name="Output 2 2 6 15" xfId="48005"/>
    <cellStyle name="Output 2 2 6 16" xfId="48006"/>
    <cellStyle name="Output 2 2 6 17" xfId="48007"/>
    <cellStyle name="Output 2 2 6 18" xfId="48008"/>
    <cellStyle name="Output 2 2 6 2" xfId="48009"/>
    <cellStyle name="Output 2 2 6 2 2" xfId="48010"/>
    <cellStyle name="Output 2 2 6 2 3" xfId="48011"/>
    <cellStyle name="Output 2 2 6 2 4" xfId="48012"/>
    <cellStyle name="Output 2 2 6 2 5" xfId="48013"/>
    <cellStyle name="Output 2 2 6 2 6" xfId="48014"/>
    <cellStyle name="Output 2 2 6 2 7" xfId="48015"/>
    <cellStyle name="Output 2 2 6 2 8" xfId="48016"/>
    <cellStyle name="Output 2 2 6 2 9" xfId="48017"/>
    <cellStyle name="Output 2 2 6 3" xfId="48018"/>
    <cellStyle name="Output 2 2 6 4" xfId="48019"/>
    <cellStyle name="Output 2 2 6 5" xfId="48020"/>
    <cellStyle name="Output 2 2 6 6" xfId="48021"/>
    <cellStyle name="Output 2 2 6 7" xfId="48022"/>
    <cellStyle name="Output 2 2 6 8" xfId="48023"/>
    <cellStyle name="Output 2 2 6 9" xfId="48024"/>
    <cellStyle name="Output 2 2 7" xfId="48025"/>
    <cellStyle name="Output 2 3" xfId="48026"/>
    <cellStyle name="Output 2 3 2" xfId="48027"/>
    <cellStyle name="Output 2 3 2 2" xfId="48028"/>
    <cellStyle name="Output 2 3 2 2 10" xfId="48029"/>
    <cellStyle name="Output 2 3 2 2 11" xfId="48030"/>
    <cellStyle name="Output 2 3 2 2 12" xfId="48031"/>
    <cellStyle name="Output 2 3 2 2 13" xfId="48032"/>
    <cellStyle name="Output 2 3 2 2 14" xfId="48033"/>
    <cellStyle name="Output 2 3 2 2 15" xfId="48034"/>
    <cellStyle name="Output 2 3 2 2 16" xfId="48035"/>
    <cellStyle name="Output 2 3 2 2 17" xfId="48036"/>
    <cellStyle name="Output 2 3 2 2 18" xfId="48037"/>
    <cellStyle name="Output 2 3 2 2 19" xfId="48038"/>
    <cellStyle name="Output 2 3 2 2 2" xfId="48039"/>
    <cellStyle name="Output 2 3 2 2 2 2" xfId="48040"/>
    <cellStyle name="Output 2 3 2 2 2 3" xfId="48041"/>
    <cellStyle name="Output 2 3 2 2 2 4" xfId="48042"/>
    <cellStyle name="Output 2 3 2 2 2 5" xfId="48043"/>
    <cellStyle name="Output 2 3 2 2 2 6" xfId="48044"/>
    <cellStyle name="Output 2 3 2 2 2 7" xfId="48045"/>
    <cellStyle name="Output 2 3 2 2 2 8" xfId="48046"/>
    <cellStyle name="Output 2 3 2 2 2 9" xfId="48047"/>
    <cellStyle name="Output 2 3 2 2 20" xfId="48048"/>
    <cellStyle name="Output 2 3 2 2 21" xfId="48049"/>
    <cellStyle name="Output 2 3 2 2 3" xfId="48050"/>
    <cellStyle name="Output 2 3 2 2 4" xfId="48051"/>
    <cellStyle name="Output 2 3 2 2 5" xfId="48052"/>
    <cellStyle name="Output 2 3 2 2 6" xfId="48053"/>
    <cellStyle name="Output 2 3 2 2 7" xfId="48054"/>
    <cellStyle name="Output 2 3 2 2 8" xfId="48055"/>
    <cellStyle name="Output 2 3 2 2 9" xfId="48056"/>
    <cellStyle name="Output 2 3 2 3" xfId="48057"/>
    <cellStyle name="Output 2 3 2 3 10" xfId="48058"/>
    <cellStyle name="Output 2 3 2 3 11" xfId="48059"/>
    <cellStyle name="Output 2 3 2 3 12" xfId="48060"/>
    <cellStyle name="Output 2 3 2 3 13" xfId="48061"/>
    <cellStyle name="Output 2 3 2 3 14" xfId="48062"/>
    <cellStyle name="Output 2 3 2 3 15" xfId="48063"/>
    <cellStyle name="Output 2 3 2 3 16" xfId="48064"/>
    <cellStyle name="Output 2 3 2 3 17" xfId="48065"/>
    <cellStyle name="Output 2 3 2 3 18" xfId="48066"/>
    <cellStyle name="Output 2 3 2 3 19" xfId="48067"/>
    <cellStyle name="Output 2 3 2 3 2" xfId="48068"/>
    <cellStyle name="Output 2 3 2 3 2 2" xfId="48069"/>
    <cellStyle name="Output 2 3 2 3 2 3" xfId="48070"/>
    <cellStyle name="Output 2 3 2 3 2 4" xfId="48071"/>
    <cellStyle name="Output 2 3 2 3 2 5" xfId="48072"/>
    <cellStyle name="Output 2 3 2 3 2 6" xfId="48073"/>
    <cellStyle name="Output 2 3 2 3 2 7" xfId="48074"/>
    <cellStyle name="Output 2 3 2 3 2 8" xfId="48075"/>
    <cellStyle name="Output 2 3 2 3 2 9" xfId="48076"/>
    <cellStyle name="Output 2 3 2 3 3" xfId="48077"/>
    <cellStyle name="Output 2 3 2 3 4" xfId="48078"/>
    <cellStyle name="Output 2 3 2 3 5" xfId="48079"/>
    <cellStyle name="Output 2 3 2 3 6" xfId="48080"/>
    <cellStyle name="Output 2 3 2 3 7" xfId="48081"/>
    <cellStyle name="Output 2 3 2 3 8" xfId="48082"/>
    <cellStyle name="Output 2 3 2 3 9" xfId="48083"/>
    <cellStyle name="Output 2 3 2 4" xfId="48084"/>
    <cellStyle name="Output 2 3 2 4 10" xfId="48085"/>
    <cellStyle name="Output 2 3 2 4 11" xfId="48086"/>
    <cellStyle name="Output 2 3 2 4 12" xfId="48087"/>
    <cellStyle name="Output 2 3 2 4 13" xfId="48088"/>
    <cellStyle name="Output 2 3 2 4 14" xfId="48089"/>
    <cellStyle name="Output 2 3 2 4 15" xfId="48090"/>
    <cellStyle name="Output 2 3 2 4 16" xfId="48091"/>
    <cellStyle name="Output 2 3 2 4 17" xfId="48092"/>
    <cellStyle name="Output 2 3 2 4 18" xfId="48093"/>
    <cellStyle name="Output 2 3 2 4 2" xfId="48094"/>
    <cellStyle name="Output 2 3 2 4 2 2" xfId="48095"/>
    <cellStyle name="Output 2 3 2 4 2 3" xfId="48096"/>
    <cellStyle name="Output 2 3 2 4 2 4" xfId="48097"/>
    <cellStyle name="Output 2 3 2 4 2 5" xfId="48098"/>
    <cellStyle name="Output 2 3 2 4 2 6" xfId="48099"/>
    <cellStyle name="Output 2 3 2 4 2 7" xfId="48100"/>
    <cellStyle name="Output 2 3 2 4 2 8" xfId="48101"/>
    <cellStyle name="Output 2 3 2 4 2 9" xfId="48102"/>
    <cellStyle name="Output 2 3 2 4 3" xfId="48103"/>
    <cellStyle name="Output 2 3 2 4 4" xfId="48104"/>
    <cellStyle name="Output 2 3 2 4 5" xfId="48105"/>
    <cellStyle name="Output 2 3 2 4 6" xfId="48106"/>
    <cellStyle name="Output 2 3 2 4 7" xfId="48107"/>
    <cellStyle name="Output 2 3 2 4 8" xfId="48108"/>
    <cellStyle name="Output 2 3 2 4 9" xfId="48109"/>
    <cellStyle name="Output 2 3 2 5" xfId="48110"/>
    <cellStyle name="Output 2 3 3" xfId="48111"/>
    <cellStyle name="Output 2 3 3 2" xfId="48112"/>
    <cellStyle name="Output 2 3 3 2 10" xfId="48113"/>
    <cellStyle name="Output 2 3 3 2 11" xfId="48114"/>
    <cellStyle name="Output 2 3 3 2 12" xfId="48115"/>
    <cellStyle name="Output 2 3 3 2 13" xfId="48116"/>
    <cellStyle name="Output 2 3 3 2 14" xfId="48117"/>
    <cellStyle name="Output 2 3 3 2 15" xfId="48118"/>
    <cellStyle name="Output 2 3 3 2 16" xfId="48119"/>
    <cellStyle name="Output 2 3 3 2 17" xfId="48120"/>
    <cellStyle name="Output 2 3 3 2 18" xfId="48121"/>
    <cellStyle name="Output 2 3 3 2 19" xfId="48122"/>
    <cellStyle name="Output 2 3 3 2 2" xfId="48123"/>
    <cellStyle name="Output 2 3 3 2 2 2" xfId="48124"/>
    <cellStyle name="Output 2 3 3 2 2 3" xfId="48125"/>
    <cellStyle name="Output 2 3 3 2 2 4" xfId="48126"/>
    <cellStyle name="Output 2 3 3 2 2 5" xfId="48127"/>
    <cellStyle name="Output 2 3 3 2 2 6" xfId="48128"/>
    <cellStyle name="Output 2 3 3 2 2 7" xfId="48129"/>
    <cellStyle name="Output 2 3 3 2 2 8" xfId="48130"/>
    <cellStyle name="Output 2 3 3 2 2 9" xfId="48131"/>
    <cellStyle name="Output 2 3 3 2 20" xfId="48132"/>
    <cellStyle name="Output 2 3 3 2 21" xfId="48133"/>
    <cellStyle name="Output 2 3 3 2 3" xfId="48134"/>
    <cellStyle name="Output 2 3 3 2 4" xfId="48135"/>
    <cellStyle name="Output 2 3 3 2 5" xfId="48136"/>
    <cellStyle name="Output 2 3 3 2 6" xfId="48137"/>
    <cellStyle name="Output 2 3 3 2 7" xfId="48138"/>
    <cellStyle name="Output 2 3 3 2 8" xfId="48139"/>
    <cellStyle name="Output 2 3 3 2 9" xfId="48140"/>
    <cellStyle name="Output 2 3 3 3" xfId="48141"/>
    <cellStyle name="Output 2 3 3 3 10" xfId="48142"/>
    <cellStyle name="Output 2 3 3 3 11" xfId="48143"/>
    <cellStyle name="Output 2 3 3 3 12" xfId="48144"/>
    <cellStyle name="Output 2 3 3 3 13" xfId="48145"/>
    <cellStyle name="Output 2 3 3 3 14" xfId="48146"/>
    <cellStyle name="Output 2 3 3 3 15" xfId="48147"/>
    <cellStyle name="Output 2 3 3 3 16" xfId="48148"/>
    <cellStyle name="Output 2 3 3 3 17" xfId="48149"/>
    <cellStyle name="Output 2 3 3 3 18" xfId="48150"/>
    <cellStyle name="Output 2 3 3 3 19" xfId="48151"/>
    <cellStyle name="Output 2 3 3 3 2" xfId="48152"/>
    <cellStyle name="Output 2 3 3 3 2 2" xfId="48153"/>
    <cellStyle name="Output 2 3 3 3 2 3" xfId="48154"/>
    <cellStyle name="Output 2 3 3 3 2 4" xfId="48155"/>
    <cellStyle name="Output 2 3 3 3 2 5" xfId="48156"/>
    <cellStyle name="Output 2 3 3 3 2 6" xfId="48157"/>
    <cellStyle name="Output 2 3 3 3 2 7" xfId="48158"/>
    <cellStyle name="Output 2 3 3 3 2 8" xfId="48159"/>
    <cellStyle name="Output 2 3 3 3 2 9" xfId="48160"/>
    <cellStyle name="Output 2 3 3 3 3" xfId="48161"/>
    <cellStyle name="Output 2 3 3 3 4" xfId="48162"/>
    <cellStyle name="Output 2 3 3 3 5" xfId="48163"/>
    <cellStyle name="Output 2 3 3 3 6" xfId="48164"/>
    <cellStyle name="Output 2 3 3 3 7" xfId="48165"/>
    <cellStyle name="Output 2 3 3 3 8" xfId="48166"/>
    <cellStyle name="Output 2 3 3 3 9" xfId="48167"/>
    <cellStyle name="Output 2 3 3 4" xfId="48168"/>
    <cellStyle name="Output 2 3 3 4 10" xfId="48169"/>
    <cellStyle name="Output 2 3 3 4 11" xfId="48170"/>
    <cellStyle name="Output 2 3 3 4 12" xfId="48171"/>
    <cellStyle name="Output 2 3 3 4 13" xfId="48172"/>
    <cellStyle name="Output 2 3 3 4 14" xfId="48173"/>
    <cellStyle name="Output 2 3 3 4 15" xfId="48174"/>
    <cellStyle name="Output 2 3 3 4 16" xfId="48175"/>
    <cellStyle name="Output 2 3 3 4 17" xfId="48176"/>
    <cellStyle name="Output 2 3 3 4 18" xfId="48177"/>
    <cellStyle name="Output 2 3 3 4 2" xfId="48178"/>
    <cellStyle name="Output 2 3 3 4 2 2" xfId="48179"/>
    <cellStyle name="Output 2 3 3 4 2 3" xfId="48180"/>
    <cellStyle name="Output 2 3 3 4 2 4" xfId="48181"/>
    <cellStyle name="Output 2 3 3 4 2 5" xfId="48182"/>
    <cellStyle name="Output 2 3 3 4 2 6" xfId="48183"/>
    <cellStyle name="Output 2 3 3 4 2 7" xfId="48184"/>
    <cellStyle name="Output 2 3 3 4 2 8" xfId="48185"/>
    <cellStyle name="Output 2 3 3 4 2 9" xfId="48186"/>
    <cellStyle name="Output 2 3 3 4 3" xfId="48187"/>
    <cellStyle name="Output 2 3 3 4 4" xfId="48188"/>
    <cellStyle name="Output 2 3 3 4 5" xfId="48189"/>
    <cellStyle name="Output 2 3 3 4 6" xfId="48190"/>
    <cellStyle name="Output 2 3 3 4 7" xfId="48191"/>
    <cellStyle name="Output 2 3 3 4 8" xfId="48192"/>
    <cellStyle name="Output 2 3 3 4 9" xfId="48193"/>
    <cellStyle name="Output 2 3 3 5" xfId="48194"/>
    <cellStyle name="Output 2 3 4" xfId="48195"/>
    <cellStyle name="Output 2 3 4 10" xfId="48196"/>
    <cellStyle name="Output 2 3 4 11" xfId="48197"/>
    <cellStyle name="Output 2 3 4 12" xfId="48198"/>
    <cellStyle name="Output 2 3 4 13" xfId="48199"/>
    <cellStyle name="Output 2 3 4 14" xfId="48200"/>
    <cellStyle name="Output 2 3 4 15" xfId="48201"/>
    <cellStyle name="Output 2 3 4 16" xfId="48202"/>
    <cellStyle name="Output 2 3 4 17" xfId="48203"/>
    <cellStyle name="Output 2 3 4 18" xfId="48204"/>
    <cellStyle name="Output 2 3 4 19" xfId="48205"/>
    <cellStyle name="Output 2 3 4 2" xfId="48206"/>
    <cellStyle name="Output 2 3 4 2 2" xfId="48207"/>
    <cellStyle name="Output 2 3 4 2 3" xfId="48208"/>
    <cellStyle name="Output 2 3 4 2 4" xfId="48209"/>
    <cellStyle name="Output 2 3 4 2 5" xfId="48210"/>
    <cellStyle name="Output 2 3 4 2 6" xfId="48211"/>
    <cellStyle name="Output 2 3 4 2 7" xfId="48212"/>
    <cellStyle name="Output 2 3 4 2 8" xfId="48213"/>
    <cellStyle name="Output 2 3 4 2 9" xfId="48214"/>
    <cellStyle name="Output 2 3 4 20" xfId="48215"/>
    <cellStyle name="Output 2 3 4 21" xfId="48216"/>
    <cellStyle name="Output 2 3 4 3" xfId="48217"/>
    <cellStyle name="Output 2 3 4 4" xfId="48218"/>
    <cellStyle name="Output 2 3 4 5" xfId="48219"/>
    <cellStyle name="Output 2 3 4 6" xfId="48220"/>
    <cellStyle name="Output 2 3 4 7" xfId="48221"/>
    <cellStyle name="Output 2 3 4 8" xfId="48222"/>
    <cellStyle name="Output 2 3 4 9" xfId="48223"/>
    <cellStyle name="Output 2 3 5" xfId="48224"/>
    <cellStyle name="Output 2 3 5 10" xfId="48225"/>
    <cellStyle name="Output 2 3 5 11" xfId="48226"/>
    <cellStyle name="Output 2 3 5 12" xfId="48227"/>
    <cellStyle name="Output 2 3 5 13" xfId="48228"/>
    <cellStyle name="Output 2 3 5 14" xfId="48229"/>
    <cellStyle name="Output 2 3 5 15" xfId="48230"/>
    <cellStyle name="Output 2 3 5 16" xfId="48231"/>
    <cellStyle name="Output 2 3 5 17" xfId="48232"/>
    <cellStyle name="Output 2 3 5 18" xfId="48233"/>
    <cellStyle name="Output 2 3 5 19" xfId="48234"/>
    <cellStyle name="Output 2 3 5 2" xfId="48235"/>
    <cellStyle name="Output 2 3 5 2 2" xfId="48236"/>
    <cellStyle name="Output 2 3 5 2 3" xfId="48237"/>
    <cellStyle name="Output 2 3 5 2 4" xfId="48238"/>
    <cellStyle name="Output 2 3 5 2 5" xfId="48239"/>
    <cellStyle name="Output 2 3 5 2 6" xfId="48240"/>
    <cellStyle name="Output 2 3 5 2 7" xfId="48241"/>
    <cellStyle name="Output 2 3 5 2 8" xfId="48242"/>
    <cellStyle name="Output 2 3 5 2 9" xfId="48243"/>
    <cellStyle name="Output 2 3 5 3" xfId="48244"/>
    <cellStyle name="Output 2 3 5 4" xfId="48245"/>
    <cellStyle name="Output 2 3 5 5" xfId="48246"/>
    <cellStyle name="Output 2 3 5 6" xfId="48247"/>
    <cellStyle name="Output 2 3 5 7" xfId="48248"/>
    <cellStyle name="Output 2 3 5 8" xfId="48249"/>
    <cellStyle name="Output 2 3 5 9" xfId="48250"/>
    <cellStyle name="Output 2 3 6" xfId="48251"/>
    <cellStyle name="Output 2 3 6 10" xfId="48252"/>
    <cellStyle name="Output 2 3 6 11" xfId="48253"/>
    <cellStyle name="Output 2 3 6 12" xfId="48254"/>
    <cellStyle name="Output 2 3 6 13" xfId="48255"/>
    <cellStyle name="Output 2 3 6 14" xfId="48256"/>
    <cellStyle name="Output 2 3 6 15" xfId="48257"/>
    <cellStyle name="Output 2 3 6 16" xfId="48258"/>
    <cellStyle name="Output 2 3 6 17" xfId="48259"/>
    <cellStyle name="Output 2 3 6 18" xfId="48260"/>
    <cellStyle name="Output 2 3 6 2" xfId="48261"/>
    <cellStyle name="Output 2 3 6 2 2" xfId="48262"/>
    <cellStyle name="Output 2 3 6 2 3" xfId="48263"/>
    <cellStyle name="Output 2 3 6 2 4" xfId="48264"/>
    <cellStyle name="Output 2 3 6 2 5" xfId="48265"/>
    <cellStyle name="Output 2 3 6 2 6" xfId="48266"/>
    <cellStyle name="Output 2 3 6 2 7" xfId="48267"/>
    <cellStyle name="Output 2 3 6 2 8" xfId="48268"/>
    <cellStyle name="Output 2 3 6 2 9" xfId="48269"/>
    <cellStyle name="Output 2 3 6 3" xfId="48270"/>
    <cellStyle name="Output 2 3 6 4" xfId="48271"/>
    <cellStyle name="Output 2 3 6 5" xfId="48272"/>
    <cellStyle name="Output 2 3 6 6" xfId="48273"/>
    <cellStyle name="Output 2 3 6 7" xfId="48274"/>
    <cellStyle name="Output 2 3 6 8" xfId="48275"/>
    <cellStyle name="Output 2 3 6 9" xfId="48276"/>
    <cellStyle name="Output 2 3 7" xfId="48277"/>
    <cellStyle name="Output 2 4" xfId="48278"/>
    <cellStyle name="Output 2 4 2" xfId="48279"/>
    <cellStyle name="Output 2 4 2 2" xfId="48280"/>
    <cellStyle name="Output 2 4 2 2 10" xfId="48281"/>
    <cellStyle name="Output 2 4 2 2 11" xfId="48282"/>
    <cellStyle name="Output 2 4 2 2 12" xfId="48283"/>
    <cellStyle name="Output 2 4 2 2 13" xfId="48284"/>
    <cellStyle name="Output 2 4 2 2 14" xfId="48285"/>
    <cellStyle name="Output 2 4 2 2 15" xfId="48286"/>
    <cellStyle name="Output 2 4 2 2 16" xfId="48287"/>
    <cellStyle name="Output 2 4 2 2 17" xfId="48288"/>
    <cellStyle name="Output 2 4 2 2 18" xfId="48289"/>
    <cellStyle name="Output 2 4 2 2 19" xfId="48290"/>
    <cellStyle name="Output 2 4 2 2 2" xfId="48291"/>
    <cellStyle name="Output 2 4 2 2 2 2" xfId="48292"/>
    <cellStyle name="Output 2 4 2 2 2 3" xfId="48293"/>
    <cellStyle name="Output 2 4 2 2 2 4" xfId="48294"/>
    <cellStyle name="Output 2 4 2 2 2 5" xfId="48295"/>
    <cellStyle name="Output 2 4 2 2 2 6" xfId="48296"/>
    <cellStyle name="Output 2 4 2 2 2 7" xfId="48297"/>
    <cellStyle name="Output 2 4 2 2 2 8" xfId="48298"/>
    <cellStyle name="Output 2 4 2 2 2 9" xfId="48299"/>
    <cellStyle name="Output 2 4 2 2 20" xfId="48300"/>
    <cellStyle name="Output 2 4 2 2 21" xfId="48301"/>
    <cellStyle name="Output 2 4 2 2 3" xfId="48302"/>
    <cellStyle name="Output 2 4 2 2 4" xfId="48303"/>
    <cellStyle name="Output 2 4 2 2 5" xfId="48304"/>
    <cellStyle name="Output 2 4 2 2 6" xfId="48305"/>
    <cellStyle name="Output 2 4 2 2 7" xfId="48306"/>
    <cellStyle name="Output 2 4 2 2 8" xfId="48307"/>
    <cellStyle name="Output 2 4 2 2 9" xfId="48308"/>
    <cellStyle name="Output 2 4 2 3" xfId="48309"/>
    <cellStyle name="Output 2 4 2 3 10" xfId="48310"/>
    <cellStyle name="Output 2 4 2 3 11" xfId="48311"/>
    <cellStyle name="Output 2 4 2 3 12" xfId="48312"/>
    <cellStyle name="Output 2 4 2 3 13" xfId="48313"/>
    <cellStyle name="Output 2 4 2 3 14" xfId="48314"/>
    <cellStyle name="Output 2 4 2 3 15" xfId="48315"/>
    <cellStyle name="Output 2 4 2 3 16" xfId="48316"/>
    <cellStyle name="Output 2 4 2 3 17" xfId="48317"/>
    <cellStyle name="Output 2 4 2 3 18" xfId="48318"/>
    <cellStyle name="Output 2 4 2 3 19" xfId="48319"/>
    <cellStyle name="Output 2 4 2 3 2" xfId="48320"/>
    <cellStyle name="Output 2 4 2 3 2 2" xfId="48321"/>
    <cellStyle name="Output 2 4 2 3 2 3" xfId="48322"/>
    <cellStyle name="Output 2 4 2 3 2 4" xfId="48323"/>
    <cellStyle name="Output 2 4 2 3 2 5" xfId="48324"/>
    <cellStyle name="Output 2 4 2 3 2 6" xfId="48325"/>
    <cellStyle name="Output 2 4 2 3 2 7" xfId="48326"/>
    <cellStyle name="Output 2 4 2 3 2 8" xfId="48327"/>
    <cellStyle name="Output 2 4 2 3 2 9" xfId="48328"/>
    <cellStyle name="Output 2 4 2 3 3" xfId="48329"/>
    <cellStyle name="Output 2 4 2 3 4" xfId="48330"/>
    <cellStyle name="Output 2 4 2 3 5" xfId="48331"/>
    <cellStyle name="Output 2 4 2 3 6" xfId="48332"/>
    <cellStyle name="Output 2 4 2 3 7" xfId="48333"/>
    <cellStyle name="Output 2 4 2 3 8" xfId="48334"/>
    <cellStyle name="Output 2 4 2 3 9" xfId="48335"/>
    <cellStyle name="Output 2 4 2 4" xfId="48336"/>
    <cellStyle name="Output 2 4 2 4 10" xfId="48337"/>
    <cellStyle name="Output 2 4 2 4 11" xfId="48338"/>
    <cellStyle name="Output 2 4 2 4 12" xfId="48339"/>
    <cellStyle name="Output 2 4 2 4 13" xfId="48340"/>
    <cellStyle name="Output 2 4 2 4 14" xfId="48341"/>
    <cellStyle name="Output 2 4 2 4 15" xfId="48342"/>
    <cellStyle name="Output 2 4 2 4 16" xfId="48343"/>
    <cellStyle name="Output 2 4 2 4 17" xfId="48344"/>
    <cellStyle name="Output 2 4 2 4 18" xfId="48345"/>
    <cellStyle name="Output 2 4 2 4 2" xfId="48346"/>
    <cellStyle name="Output 2 4 2 4 2 2" xfId="48347"/>
    <cellStyle name="Output 2 4 2 4 2 3" xfId="48348"/>
    <cellStyle name="Output 2 4 2 4 2 4" xfId="48349"/>
    <cellStyle name="Output 2 4 2 4 2 5" xfId="48350"/>
    <cellStyle name="Output 2 4 2 4 2 6" xfId="48351"/>
    <cellStyle name="Output 2 4 2 4 2 7" xfId="48352"/>
    <cellStyle name="Output 2 4 2 4 2 8" xfId="48353"/>
    <cellStyle name="Output 2 4 2 4 2 9" xfId="48354"/>
    <cellStyle name="Output 2 4 2 4 3" xfId="48355"/>
    <cellStyle name="Output 2 4 2 4 4" xfId="48356"/>
    <cellStyle name="Output 2 4 2 4 5" xfId="48357"/>
    <cellStyle name="Output 2 4 2 4 6" xfId="48358"/>
    <cellStyle name="Output 2 4 2 4 7" xfId="48359"/>
    <cellStyle name="Output 2 4 2 4 8" xfId="48360"/>
    <cellStyle name="Output 2 4 2 4 9" xfId="48361"/>
    <cellStyle name="Output 2 4 2 5" xfId="48362"/>
    <cellStyle name="Output 2 4 3" xfId="48363"/>
    <cellStyle name="Output 2 4 3 2" xfId="48364"/>
    <cellStyle name="Output 2 4 3 2 10" xfId="48365"/>
    <cellStyle name="Output 2 4 3 2 11" xfId="48366"/>
    <cellStyle name="Output 2 4 3 2 12" xfId="48367"/>
    <cellStyle name="Output 2 4 3 2 13" xfId="48368"/>
    <cellStyle name="Output 2 4 3 2 14" xfId="48369"/>
    <cellStyle name="Output 2 4 3 2 15" xfId="48370"/>
    <cellStyle name="Output 2 4 3 2 16" xfId="48371"/>
    <cellStyle name="Output 2 4 3 2 17" xfId="48372"/>
    <cellStyle name="Output 2 4 3 2 18" xfId="48373"/>
    <cellStyle name="Output 2 4 3 2 19" xfId="48374"/>
    <cellStyle name="Output 2 4 3 2 2" xfId="48375"/>
    <cellStyle name="Output 2 4 3 2 2 2" xfId="48376"/>
    <cellStyle name="Output 2 4 3 2 2 3" xfId="48377"/>
    <cellStyle name="Output 2 4 3 2 2 4" xfId="48378"/>
    <cellStyle name="Output 2 4 3 2 2 5" xfId="48379"/>
    <cellStyle name="Output 2 4 3 2 2 6" xfId="48380"/>
    <cellStyle name="Output 2 4 3 2 2 7" xfId="48381"/>
    <cellStyle name="Output 2 4 3 2 2 8" xfId="48382"/>
    <cellStyle name="Output 2 4 3 2 2 9" xfId="48383"/>
    <cellStyle name="Output 2 4 3 2 20" xfId="48384"/>
    <cellStyle name="Output 2 4 3 2 21" xfId="48385"/>
    <cellStyle name="Output 2 4 3 2 3" xfId="48386"/>
    <cellStyle name="Output 2 4 3 2 4" xfId="48387"/>
    <cellStyle name="Output 2 4 3 2 5" xfId="48388"/>
    <cellStyle name="Output 2 4 3 2 6" xfId="48389"/>
    <cellStyle name="Output 2 4 3 2 7" xfId="48390"/>
    <cellStyle name="Output 2 4 3 2 8" xfId="48391"/>
    <cellStyle name="Output 2 4 3 2 9" xfId="48392"/>
    <cellStyle name="Output 2 4 3 3" xfId="48393"/>
    <cellStyle name="Output 2 4 3 3 10" xfId="48394"/>
    <cellStyle name="Output 2 4 3 3 11" xfId="48395"/>
    <cellStyle name="Output 2 4 3 3 12" xfId="48396"/>
    <cellStyle name="Output 2 4 3 3 13" xfId="48397"/>
    <cellStyle name="Output 2 4 3 3 14" xfId="48398"/>
    <cellStyle name="Output 2 4 3 3 15" xfId="48399"/>
    <cellStyle name="Output 2 4 3 3 16" xfId="48400"/>
    <cellStyle name="Output 2 4 3 3 17" xfId="48401"/>
    <cellStyle name="Output 2 4 3 3 18" xfId="48402"/>
    <cellStyle name="Output 2 4 3 3 19" xfId="48403"/>
    <cellStyle name="Output 2 4 3 3 2" xfId="48404"/>
    <cellStyle name="Output 2 4 3 3 2 2" xfId="48405"/>
    <cellStyle name="Output 2 4 3 3 2 3" xfId="48406"/>
    <cellStyle name="Output 2 4 3 3 2 4" xfId="48407"/>
    <cellStyle name="Output 2 4 3 3 2 5" xfId="48408"/>
    <cellStyle name="Output 2 4 3 3 2 6" xfId="48409"/>
    <cellStyle name="Output 2 4 3 3 2 7" xfId="48410"/>
    <cellStyle name="Output 2 4 3 3 2 8" xfId="48411"/>
    <cellStyle name="Output 2 4 3 3 2 9" xfId="48412"/>
    <cellStyle name="Output 2 4 3 3 3" xfId="48413"/>
    <cellStyle name="Output 2 4 3 3 4" xfId="48414"/>
    <cellStyle name="Output 2 4 3 3 5" xfId="48415"/>
    <cellStyle name="Output 2 4 3 3 6" xfId="48416"/>
    <cellStyle name="Output 2 4 3 3 7" xfId="48417"/>
    <cellStyle name="Output 2 4 3 3 8" xfId="48418"/>
    <cellStyle name="Output 2 4 3 3 9" xfId="48419"/>
    <cellStyle name="Output 2 4 3 4" xfId="48420"/>
    <cellStyle name="Output 2 4 3 4 10" xfId="48421"/>
    <cellStyle name="Output 2 4 3 4 11" xfId="48422"/>
    <cellStyle name="Output 2 4 3 4 12" xfId="48423"/>
    <cellStyle name="Output 2 4 3 4 13" xfId="48424"/>
    <cellStyle name="Output 2 4 3 4 14" xfId="48425"/>
    <cellStyle name="Output 2 4 3 4 15" xfId="48426"/>
    <cellStyle name="Output 2 4 3 4 16" xfId="48427"/>
    <cellStyle name="Output 2 4 3 4 17" xfId="48428"/>
    <cellStyle name="Output 2 4 3 4 18" xfId="48429"/>
    <cellStyle name="Output 2 4 3 4 2" xfId="48430"/>
    <cellStyle name="Output 2 4 3 4 2 2" xfId="48431"/>
    <cellStyle name="Output 2 4 3 4 2 3" xfId="48432"/>
    <cellStyle name="Output 2 4 3 4 2 4" xfId="48433"/>
    <cellStyle name="Output 2 4 3 4 2 5" xfId="48434"/>
    <cellStyle name="Output 2 4 3 4 2 6" xfId="48435"/>
    <cellStyle name="Output 2 4 3 4 2 7" xfId="48436"/>
    <cellStyle name="Output 2 4 3 4 2 8" xfId="48437"/>
    <cellStyle name="Output 2 4 3 4 2 9" xfId="48438"/>
    <cellStyle name="Output 2 4 3 4 3" xfId="48439"/>
    <cellStyle name="Output 2 4 3 4 4" xfId="48440"/>
    <cellStyle name="Output 2 4 3 4 5" xfId="48441"/>
    <cellStyle name="Output 2 4 3 4 6" xfId="48442"/>
    <cellStyle name="Output 2 4 3 4 7" xfId="48443"/>
    <cellStyle name="Output 2 4 3 4 8" xfId="48444"/>
    <cellStyle name="Output 2 4 3 4 9" xfId="48445"/>
    <cellStyle name="Output 2 4 3 5" xfId="48446"/>
    <cellStyle name="Output 2 4 4" xfId="48447"/>
    <cellStyle name="Output 2 4 4 10" xfId="48448"/>
    <cellStyle name="Output 2 4 4 11" xfId="48449"/>
    <cellStyle name="Output 2 4 4 12" xfId="48450"/>
    <cellStyle name="Output 2 4 4 13" xfId="48451"/>
    <cellStyle name="Output 2 4 4 14" xfId="48452"/>
    <cellStyle name="Output 2 4 4 15" xfId="48453"/>
    <cellStyle name="Output 2 4 4 16" xfId="48454"/>
    <cellStyle name="Output 2 4 4 17" xfId="48455"/>
    <cellStyle name="Output 2 4 4 18" xfId="48456"/>
    <cellStyle name="Output 2 4 4 19" xfId="48457"/>
    <cellStyle name="Output 2 4 4 2" xfId="48458"/>
    <cellStyle name="Output 2 4 4 2 2" xfId="48459"/>
    <cellStyle name="Output 2 4 4 2 3" xfId="48460"/>
    <cellStyle name="Output 2 4 4 2 4" xfId="48461"/>
    <cellStyle name="Output 2 4 4 2 5" xfId="48462"/>
    <cellStyle name="Output 2 4 4 2 6" xfId="48463"/>
    <cellStyle name="Output 2 4 4 2 7" xfId="48464"/>
    <cellStyle name="Output 2 4 4 2 8" xfId="48465"/>
    <cellStyle name="Output 2 4 4 2 9" xfId="48466"/>
    <cellStyle name="Output 2 4 4 20" xfId="48467"/>
    <cellStyle name="Output 2 4 4 21" xfId="48468"/>
    <cellStyle name="Output 2 4 4 3" xfId="48469"/>
    <cellStyle name="Output 2 4 4 4" xfId="48470"/>
    <cellStyle name="Output 2 4 4 5" xfId="48471"/>
    <cellStyle name="Output 2 4 4 6" xfId="48472"/>
    <cellStyle name="Output 2 4 4 7" xfId="48473"/>
    <cellStyle name="Output 2 4 4 8" xfId="48474"/>
    <cellStyle name="Output 2 4 4 9" xfId="48475"/>
    <cellStyle name="Output 2 4 5" xfId="48476"/>
    <cellStyle name="Output 2 4 5 10" xfId="48477"/>
    <cellStyle name="Output 2 4 5 11" xfId="48478"/>
    <cellStyle name="Output 2 4 5 12" xfId="48479"/>
    <cellStyle name="Output 2 4 5 13" xfId="48480"/>
    <cellStyle name="Output 2 4 5 14" xfId="48481"/>
    <cellStyle name="Output 2 4 5 15" xfId="48482"/>
    <cellStyle name="Output 2 4 5 16" xfId="48483"/>
    <cellStyle name="Output 2 4 5 17" xfId="48484"/>
    <cellStyle name="Output 2 4 5 18" xfId="48485"/>
    <cellStyle name="Output 2 4 5 19" xfId="48486"/>
    <cellStyle name="Output 2 4 5 2" xfId="48487"/>
    <cellStyle name="Output 2 4 5 2 2" xfId="48488"/>
    <cellStyle name="Output 2 4 5 2 3" xfId="48489"/>
    <cellStyle name="Output 2 4 5 2 4" xfId="48490"/>
    <cellStyle name="Output 2 4 5 2 5" xfId="48491"/>
    <cellStyle name="Output 2 4 5 2 6" xfId="48492"/>
    <cellStyle name="Output 2 4 5 2 7" xfId="48493"/>
    <cellStyle name="Output 2 4 5 2 8" xfId="48494"/>
    <cellStyle name="Output 2 4 5 2 9" xfId="48495"/>
    <cellStyle name="Output 2 4 5 3" xfId="48496"/>
    <cellStyle name="Output 2 4 5 4" xfId="48497"/>
    <cellStyle name="Output 2 4 5 5" xfId="48498"/>
    <cellStyle name="Output 2 4 5 6" xfId="48499"/>
    <cellStyle name="Output 2 4 5 7" xfId="48500"/>
    <cellStyle name="Output 2 4 5 8" xfId="48501"/>
    <cellStyle name="Output 2 4 5 9" xfId="48502"/>
    <cellStyle name="Output 2 4 6" xfId="48503"/>
    <cellStyle name="Output 2 4 6 10" xfId="48504"/>
    <cellStyle name="Output 2 4 6 11" xfId="48505"/>
    <cellStyle name="Output 2 4 6 12" xfId="48506"/>
    <cellStyle name="Output 2 4 6 13" xfId="48507"/>
    <cellStyle name="Output 2 4 6 14" xfId="48508"/>
    <cellStyle name="Output 2 4 6 15" xfId="48509"/>
    <cellStyle name="Output 2 4 6 16" xfId="48510"/>
    <cellStyle name="Output 2 4 6 17" xfId="48511"/>
    <cellStyle name="Output 2 4 6 18" xfId="48512"/>
    <cellStyle name="Output 2 4 6 2" xfId="48513"/>
    <cellStyle name="Output 2 4 6 2 2" xfId="48514"/>
    <cellStyle name="Output 2 4 6 2 3" xfId="48515"/>
    <cellStyle name="Output 2 4 6 2 4" xfId="48516"/>
    <cellStyle name="Output 2 4 6 2 5" xfId="48517"/>
    <cellStyle name="Output 2 4 6 2 6" xfId="48518"/>
    <cellStyle name="Output 2 4 6 2 7" xfId="48519"/>
    <cellStyle name="Output 2 4 6 2 8" xfId="48520"/>
    <cellStyle name="Output 2 4 6 2 9" xfId="48521"/>
    <cellStyle name="Output 2 4 6 3" xfId="48522"/>
    <cellStyle name="Output 2 4 6 4" xfId="48523"/>
    <cellStyle name="Output 2 4 6 5" xfId="48524"/>
    <cellStyle name="Output 2 4 6 6" xfId="48525"/>
    <cellStyle name="Output 2 4 6 7" xfId="48526"/>
    <cellStyle name="Output 2 4 6 8" xfId="48527"/>
    <cellStyle name="Output 2 4 6 9" xfId="48528"/>
    <cellStyle name="Output 2 4 7" xfId="48529"/>
    <cellStyle name="Output 2 5" xfId="48530"/>
    <cellStyle name="Output 2 5 2" xfId="48531"/>
    <cellStyle name="Output 2 5 2 2" xfId="48532"/>
    <cellStyle name="Output 2 5 2 2 10" xfId="48533"/>
    <cellStyle name="Output 2 5 2 2 11" xfId="48534"/>
    <cellStyle name="Output 2 5 2 2 12" xfId="48535"/>
    <cellStyle name="Output 2 5 2 2 13" xfId="48536"/>
    <cellStyle name="Output 2 5 2 2 14" xfId="48537"/>
    <cellStyle name="Output 2 5 2 2 15" xfId="48538"/>
    <cellStyle name="Output 2 5 2 2 16" xfId="48539"/>
    <cellStyle name="Output 2 5 2 2 17" xfId="48540"/>
    <cellStyle name="Output 2 5 2 2 18" xfId="48541"/>
    <cellStyle name="Output 2 5 2 2 19" xfId="48542"/>
    <cellStyle name="Output 2 5 2 2 2" xfId="48543"/>
    <cellStyle name="Output 2 5 2 2 2 2" xfId="48544"/>
    <cellStyle name="Output 2 5 2 2 2 3" xfId="48545"/>
    <cellStyle name="Output 2 5 2 2 2 4" xfId="48546"/>
    <cellStyle name="Output 2 5 2 2 2 5" xfId="48547"/>
    <cellStyle name="Output 2 5 2 2 2 6" xfId="48548"/>
    <cellStyle name="Output 2 5 2 2 2 7" xfId="48549"/>
    <cellStyle name="Output 2 5 2 2 2 8" xfId="48550"/>
    <cellStyle name="Output 2 5 2 2 2 9" xfId="48551"/>
    <cellStyle name="Output 2 5 2 2 20" xfId="48552"/>
    <cellStyle name="Output 2 5 2 2 21" xfId="48553"/>
    <cellStyle name="Output 2 5 2 2 3" xfId="48554"/>
    <cellStyle name="Output 2 5 2 2 4" xfId="48555"/>
    <cellStyle name="Output 2 5 2 2 5" xfId="48556"/>
    <cellStyle name="Output 2 5 2 2 6" xfId="48557"/>
    <cellStyle name="Output 2 5 2 2 7" xfId="48558"/>
    <cellStyle name="Output 2 5 2 2 8" xfId="48559"/>
    <cellStyle name="Output 2 5 2 2 9" xfId="48560"/>
    <cellStyle name="Output 2 5 2 3" xfId="48561"/>
    <cellStyle name="Output 2 5 2 3 10" xfId="48562"/>
    <cellStyle name="Output 2 5 2 3 11" xfId="48563"/>
    <cellStyle name="Output 2 5 2 3 12" xfId="48564"/>
    <cellStyle name="Output 2 5 2 3 13" xfId="48565"/>
    <cellStyle name="Output 2 5 2 3 14" xfId="48566"/>
    <cellStyle name="Output 2 5 2 3 15" xfId="48567"/>
    <cellStyle name="Output 2 5 2 3 16" xfId="48568"/>
    <cellStyle name="Output 2 5 2 3 17" xfId="48569"/>
    <cellStyle name="Output 2 5 2 3 18" xfId="48570"/>
    <cellStyle name="Output 2 5 2 3 19" xfId="48571"/>
    <cellStyle name="Output 2 5 2 3 2" xfId="48572"/>
    <cellStyle name="Output 2 5 2 3 2 2" xfId="48573"/>
    <cellStyle name="Output 2 5 2 3 2 3" xfId="48574"/>
    <cellStyle name="Output 2 5 2 3 2 4" xfId="48575"/>
    <cellStyle name="Output 2 5 2 3 2 5" xfId="48576"/>
    <cellStyle name="Output 2 5 2 3 2 6" xfId="48577"/>
    <cellStyle name="Output 2 5 2 3 2 7" xfId="48578"/>
    <cellStyle name="Output 2 5 2 3 2 8" xfId="48579"/>
    <cellStyle name="Output 2 5 2 3 2 9" xfId="48580"/>
    <cellStyle name="Output 2 5 2 3 3" xfId="48581"/>
    <cellStyle name="Output 2 5 2 3 4" xfId="48582"/>
    <cellStyle name="Output 2 5 2 3 5" xfId="48583"/>
    <cellStyle name="Output 2 5 2 3 6" xfId="48584"/>
    <cellStyle name="Output 2 5 2 3 7" xfId="48585"/>
    <cellStyle name="Output 2 5 2 3 8" xfId="48586"/>
    <cellStyle name="Output 2 5 2 3 9" xfId="48587"/>
    <cellStyle name="Output 2 5 2 4" xfId="48588"/>
    <cellStyle name="Output 2 5 2 4 10" xfId="48589"/>
    <cellStyle name="Output 2 5 2 4 11" xfId="48590"/>
    <cellStyle name="Output 2 5 2 4 12" xfId="48591"/>
    <cellStyle name="Output 2 5 2 4 13" xfId="48592"/>
    <cellStyle name="Output 2 5 2 4 14" xfId="48593"/>
    <cellStyle name="Output 2 5 2 4 15" xfId="48594"/>
    <cellStyle name="Output 2 5 2 4 16" xfId="48595"/>
    <cellStyle name="Output 2 5 2 4 17" xfId="48596"/>
    <cellStyle name="Output 2 5 2 4 18" xfId="48597"/>
    <cellStyle name="Output 2 5 2 4 2" xfId="48598"/>
    <cellStyle name="Output 2 5 2 4 2 2" xfId="48599"/>
    <cellStyle name="Output 2 5 2 4 2 3" xfId="48600"/>
    <cellStyle name="Output 2 5 2 4 2 4" xfId="48601"/>
    <cellStyle name="Output 2 5 2 4 2 5" xfId="48602"/>
    <cellStyle name="Output 2 5 2 4 2 6" xfId="48603"/>
    <cellStyle name="Output 2 5 2 4 2 7" xfId="48604"/>
    <cellStyle name="Output 2 5 2 4 2 8" xfId="48605"/>
    <cellStyle name="Output 2 5 2 4 2 9" xfId="48606"/>
    <cellStyle name="Output 2 5 2 4 3" xfId="48607"/>
    <cellStyle name="Output 2 5 2 4 4" xfId="48608"/>
    <cellStyle name="Output 2 5 2 4 5" xfId="48609"/>
    <cellStyle name="Output 2 5 2 4 6" xfId="48610"/>
    <cellStyle name="Output 2 5 2 4 7" xfId="48611"/>
    <cellStyle name="Output 2 5 2 4 8" xfId="48612"/>
    <cellStyle name="Output 2 5 2 4 9" xfId="48613"/>
    <cellStyle name="Output 2 5 2 5" xfId="48614"/>
    <cellStyle name="Output 2 5 3" xfId="48615"/>
    <cellStyle name="Output 2 5 3 2" xfId="48616"/>
    <cellStyle name="Output 2 5 3 2 10" xfId="48617"/>
    <cellStyle name="Output 2 5 3 2 11" xfId="48618"/>
    <cellStyle name="Output 2 5 3 2 12" xfId="48619"/>
    <cellStyle name="Output 2 5 3 2 13" xfId="48620"/>
    <cellStyle name="Output 2 5 3 2 14" xfId="48621"/>
    <cellStyle name="Output 2 5 3 2 15" xfId="48622"/>
    <cellStyle name="Output 2 5 3 2 16" xfId="48623"/>
    <cellStyle name="Output 2 5 3 2 17" xfId="48624"/>
    <cellStyle name="Output 2 5 3 2 18" xfId="48625"/>
    <cellStyle name="Output 2 5 3 2 19" xfId="48626"/>
    <cellStyle name="Output 2 5 3 2 2" xfId="48627"/>
    <cellStyle name="Output 2 5 3 2 2 2" xfId="48628"/>
    <cellStyle name="Output 2 5 3 2 2 3" xfId="48629"/>
    <cellStyle name="Output 2 5 3 2 2 4" xfId="48630"/>
    <cellStyle name="Output 2 5 3 2 2 5" xfId="48631"/>
    <cellStyle name="Output 2 5 3 2 2 6" xfId="48632"/>
    <cellStyle name="Output 2 5 3 2 2 7" xfId="48633"/>
    <cellStyle name="Output 2 5 3 2 2 8" xfId="48634"/>
    <cellStyle name="Output 2 5 3 2 2 9" xfId="48635"/>
    <cellStyle name="Output 2 5 3 2 20" xfId="48636"/>
    <cellStyle name="Output 2 5 3 2 21" xfId="48637"/>
    <cellStyle name="Output 2 5 3 2 3" xfId="48638"/>
    <cellStyle name="Output 2 5 3 2 4" xfId="48639"/>
    <cellStyle name="Output 2 5 3 2 5" xfId="48640"/>
    <cellStyle name="Output 2 5 3 2 6" xfId="48641"/>
    <cellStyle name="Output 2 5 3 2 7" xfId="48642"/>
    <cellStyle name="Output 2 5 3 2 8" xfId="48643"/>
    <cellStyle name="Output 2 5 3 2 9" xfId="48644"/>
    <cellStyle name="Output 2 5 3 3" xfId="48645"/>
    <cellStyle name="Output 2 5 3 3 10" xfId="48646"/>
    <cellStyle name="Output 2 5 3 3 11" xfId="48647"/>
    <cellStyle name="Output 2 5 3 3 12" xfId="48648"/>
    <cellStyle name="Output 2 5 3 3 13" xfId="48649"/>
    <cellStyle name="Output 2 5 3 3 14" xfId="48650"/>
    <cellStyle name="Output 2 5 3 3 15" xfId="48651"/>
    <cellStyle name="Output 2 5 3 3 16" xfId="48652"/>
    <cellStyle name="Output 2 5 3 3 17" xfId="48653"/>
    <cellStyle name="Output 2 5 3 3 18" xfId="48654"/>
    <cellStyle name="Output 2 5 3 3 19" xfId="48655"/>
    <cellStyle name="Output 2 5 3 3 2" xfId="48656"/>
    <cellStyle name="Output 2 5 3 3 2 2" xfId="48657"/>
    <cellStyle name="Output 2 5 3 3 2 3" xfId="48658"/>
    <cellStyle name="Output 2 5 3 3 2 4" xfId="48659"/>
    <cellStyle name="Output 2 5 3 3 2 5" xfId="48660"/>
    <cellStyle name="Output 2 5 3 3 2 6" xfId="48661"/>
    <cellStyle name="Output 2 5 3 3 2 7" xfId="48662"/>
    <cellStyle name="Output 2 5 3 3 2 8" xfId="48663"/>
    <cellStyle name="Output 2 5 3 3 2 9" xfId="48664"/>
    <cellStyle name="Output 2 5 3 3 3" xfId="48665"/>
    <cellStyle name="Output 2 5 3 3 4" xfId="48666"/>
    <cellStyle name="Output 2 5 3 3 5" xfId="48667"/>
    <cellStyle name="Output 2 5 3 3 6" xfId="48668"/>
    <cellStyle name="Output 2 5 3 3 7" xfId="48669"/>
    <cellStyle name="Output 2 5 3 3 8" xfId="48670"/>
    <cellStyle name="Output 2 5 3 3 9" xfId="48671"/>
    <cellStyle name="Output 2 5 3 4" xfId="48672"/>
    <cellStyle name="Output 2 5 3 4 10" xfId="48673"/>
    <cellStyle name="Output 2 5 3 4 11" xfId="48674"/>
    <cellStyle name="Output 2 5 3 4 12" xfId="48675"/>
    <cellStyle name="Output 2 5 3 4 13" xfId="48676"/>
    <cellStyle name="Output 2 5 3 4 14" xfId="48677"/>
    <cellStyle name="Output 2 5 3 4 15" xfId="48678"/>
    <cellStyle name="Output 2 5 3 4 16" xfId="48679"/>
    <cellStyle name="Output 2 5 3 4 17" xfId="48680"/>
    <cellStyle name="Output 2 5 3 4 18" xfId="48681"/>
    <cellStyle name="Output 2 5 3 4 2" xfId="48682"/>
    <cellStyle name="Output 2 5 3 4 2 2" xfId="48683"/>
    <cellStyle name="Output 2 5 3 4 2 3" xfId="48684"/>
    <cellStyle name="Output 2 5 3 4 2 4" xfId="48685"/>
    <cellStyle name="Output 2 5 3 4 2 5" xfId="48686"/>
    <cellStyle name="Output 2 5 3 4 2 6" xfId="48687"/>
    <cellStyle name="Output 2 5 3 4 2 7" xfId="48688"/>
    <cellStyle name="Output 2 5 3 4 2 8" xfId="48689"/>
    <cellStyle name="Output 2 5 3 4 2 9" xfId="48690"/>
    <cellStyle name="Output 2 5 3 4 3" xfId="48691"/>
    <cellStyle name="Output 2 5 3 4 4" xfId="48692"/>
    <cellStyle name="Output 2 5 3 4 5" xfId="48693"/>
    <cellStyle name="Output 2 5 3 4 6" xfId="48694"/>
    <cellStyle name="Output 2 5 3 4 7" xfId="48695"/>
    <cellStyle name="Output 2 5 3 4 8" xfId="48696"/>
    <cellStyle name="Output 2 5 3 4 9" xfId="48697"/>
    <cellStyle name="Output 2 5 3 5" xfId="48698"/>
    <cellStyle name="Output 2 5 4" xfId="48699"/>
    <cellStyle name="Output 2 5 4 10" xfId="48700"/>
    <cellStyle name="Output 2 5 4 11" xfId="48701"/>
    <cellStyle name="Output 2 5 4 12" xfId="48702"/>
    <cellStyle name="Output 2 5 4 13" xfId="48703"/>
    <cellStyle name="Output 2 5 4 14" xfId="48704"/>
    <cellStyle name="Output 2 5 4 15" xfId="48705"/>
    <cellStyle name="Output 2 5 4 16" xfId="48706"/>
    <cellStyle name="Output 2 5 4 17" xfId="48707"/>
    <cellStyle name="Output 2 5 4 18" xfId="48708"/>
    <cellStyle name="Output 2 5 4 19" xfId="48709"/>
    <cellStyle name="Output 2 5 4 2" xfId="48710"/>
    <cellStyle name="Output 2 5 4 2 2" xfId="48711"/>
    <cellStyle name="Output 2 5 4 2 3" xfId="48712"/>
    <cellStyle name="Output 2 5 4 2 4" xfId="48713"/>
    <cellStyle name="Output 2 5 4 2 5" xfId="48714"/>
    <cellStyle name="Output 2 5 4 2 6" xfId="48715"/>
    <cellStyle name="Output 2 5 4 2 7" xfId="48716"/>
    <cellStyle name="Output 2 5 4 2 8" xfId="48717"/>
    <cellStyle name="Output 2 5 4 2 9" xfId="48718"/>
    <cellStyle name="Output 2 5 4 20" xfId="48719"/>
    <cellStyle name="Output 2 5 4 21" xfId="48720"/>
    <cellStyle name="Output 2 5 4 3" xfId="48721"/>
    <cellStyle name="Output 2 5 4 4" xfId="48722"/>
    <cellStyle name="Output 2 5 4 5" xfId="48723"/>
    <cellStyle name="Output 2 5 4 6" xfId="48724"/>
    <cellStyle name="Output 2 5 4 7" xfId="48725"/>
    <cellStyle name="Output 2 5 4 8" xfId="48726"/>
    <cellStyle name="Output 2 5 4 9" xfId="48727"/>
    <cellStyle name="Output 2 5 5" xfId="48728"/>
    <cellStyle name="Output 2 5 5 10" xfId="48729"/>
    <cellStyle name="Output 2 5 5 11" xfId="48730"/>
    <cellStyle name="Output 2 5 5 12" xfId="48731"/>
    <cellStyle name="Output 2 5 5 13" xfId="48732"/>
    <cellStyle name="Output 2 5 5 14" xfId="48733"/>
    <cellStyle name="Output 2 5 5 15" xfId="48734"/>
    <cellStyle name="Output 2 5 5 16" xfId="48735"/>
    <cellStyle name="Output 2 5 5 17" xfId="48736"/>
    <cellStyle name="Output 2 5 5 18" xfId="48737"/>
    <cellStyle name="Output 2 5 5 19" xfId="48738"/>
    <cellStyle name="Output 2 5 5 2" xfId="48739"/>
    <cellStyle name="Output 2 5 5 2 2" xfId="48740"/>
    <cellStyle name="Output 2 5 5 2 3" xfId="48741"/>
    <cellStyle name="Output 2 5 5 2 4" xfId="48742"/>
    <cellStyle name="Output 2 5 5 2 5" xfId="48743"/>
    <cellStyle name="Output 2 5 5 2 6" xfId="48744"/>
    <cellStyle name="Output 2 5 5 2 7" xfId="48745"/>
    <cellStyle name="Output 2 5 5 2 8" xfId="48746"/>
    <cellStyle name="Output 2 5 5 2 9" xfId="48747"/>
    <cellStyle name="Output 2 5 5 3" xfId="48748"/>
    <cellStyle name="Output 2 5 5 4" xfId="48749"/>
    <cellStyle name="Output 2 5 5 5" xfId="48750"/>
    <cellStyle name="Output 2 5 5 6" xfId="48751"/>
    <cellStyle name="Output 2 5 5 7" xfId="48752"/>
    <cellStyle name="Output 2 5 5 8" xfId="48753"/>
    <cellStyle name="Output 2 5 5 9" xfId="48754"/>
    <cellStyle name="Output 2 5 6" xfId="48755"/>
    <cellStyle name="Output 2 5 6 10" xfId="48756"/>
    <cellStyle name="Output 2 5 6 11" xfId="48757"/>
    <cellStyle name="Output 2 5 6 12" xfId="48758"/>
    <cellStyle name="Output 2 5 6 13" xfId="48759"/>
    <cellStyle name="Output 2 5 6 14" xfId="48760"/>
    <cellStyle name="Output 2 5 6 15" xfId="48761"/>
    <cellStyle name="Output 2 5 6 16" xfId="48762"/>
    <cellStyle name="Output 2 5 6 17" xfId="48763"/>
    <cellStyle name="Output 2 5 6 18" xfId="48764"/>
    <cellStyle name="Output 2 5 6 2" xfId="48765"/>
    <cellStyle name="Output 2 5 6 2 2" xfId="48766"/>
    <cellStyle name="Output 2 5 6 2 3" xfId="48767"/>
    <cellStyle name="Output 2 5 6 2 4" xfId="48768"/>
    <cellStyle name="Output 2 5 6 2 5" xfId="48769"/>
    <cellStyle name="Output 2 5 6 2 6" xfId="48770"/>
    <cellStyle name="Output 2 5 6 2 7" xfId="48771"/>
    <cellStyle name="Output 2 5 6 2 8" xfId="48772"/>
    <cellStyle name="Output 2 5 6 2 9" xfId="48773"/>
    <cellStyle name="Output 2 5 6 3" xfId="48774"/>
    <cellStyle name="Output 2 5 6 4" xfId="48775"/>
    <cellStyle name="Output 2 5 6 5" xfId="48776"/>
    <cellStyle name="Output 2 5 6 6" xfId="48777"/>
    <cellStyle name="Output 2 5 6 7" xfId="48778"/>
    <cellStyle name="Output 2 5 6 8" xfId="48779"/>
    <cellStyle name="Output 2 5 6 9" xfId="48780"/>
    <cellStyle name="Output 2 5 7" xfId="48781"/>
    <cellStyle name="Output 2 6" xfId="48782"/>
    <cellStyle name="Output 2 6 2" xfId="48783"/>
    <cellStyle name="Output 2 6 2 2" xfId="48784"/>
    <cellStyle name="Output 2 6 2 2 10" xfId="48785"/>
    <cellStyle name="Output 2 6 2 2 11" xfId="48786"/>
    <cellStyle name="Output 2 6 2 2 12" xfId="48787"/>
    <cellStyle name="Output 2 6 2 2 13" xfId="48788"/>
    <cellStyle name="Output 2 6 2 2 14" xfId="48789"/>
    <cellStyle name="Output 2 6 2 2 15" xfId="48790"/>
    <cellStyle name="Output 2 6 2 2 16" xfId="48791"/>
    <cellStyle name="Output 2 6 2 2 17" xfId="48792"/>
    <cellStyle name="Output 2 6 2 2 18" xfId="48793"/>
    <cellStyle name="Output 2 6 2 2 19" xfId="48794"/>
    <cellStyle name="Output 2 6 2 2 2" xfId="48795"/>
    <cellStyle name="Output 2 6 2 2 2 2" xfId="48796"/>
    <cellStyle name="Output 2 6 2 2 2 3" xfId="48797"/>
    <cellStyle name="Output 2 6 2 2 2 4" xfId="48798"/>
    <cellStyle name="Output 2 6 2 2 2 5" xfId="48799"/>
    <cellStyle name="Output 2 6 2 2 2 6" xfId="48800"/>
    <cellStyle name="Output 2 6 2 2 2 7" xfId="48801"/>
    <cellStyle name="Output 2 6 2 2 2 8" xfId="48802"/>
    <cellStyle name="Output 2 6 2 2 2 9" xfId="48803"/>
    <cellStyle name="Output 2 6 2 2 20" xfId="48804"/>
    <cellStyle name="Output 2 6 2 2 21" xfId="48805"/>
    <cellStyle name="Output 2 6 2 2 3" xfId="48806"/>
    <cellStyle name="Output 2 6 2 2 4" xfId="48807"/>
    <cellStyle name="Output 2 6 2 2 5" xfId="48808"/>
    <cellStyle name="Output 2 6 2 2 6" xfId="48809"/>
    <cellStyle name="Output 2 6 2 2 7" xfId="48810"/>
    <cellStyle name="Output 2 6 2 2 8" xfId="48811"/>
    <cellStyle name="Output 2 6 2 2 9" xfId="48812"/>
    <cellStyle name="Output 2 6 2 3" xfId="48813"/>
    <cellStyle name="Output 2 6 2 3 10" xfId="48814"/>
    <cellStyle name="Output 2 6 2 3 11" xfId="48815"/>
    <cellStyle name="Output 2 6 2 3 12" xfId="48816"/>
    <cellStyle name="Output 2 6 2 3 13" xfId="48817"/>
    <cellStyle name="Output 2 6 2 3 14" xfId="48818"/>
    <cellStyle name="Output 2 6 2 3 15" xfId="48819"/>
    <cellStyle name="Output 2 6 2 3 16" xfId="48820"/>
    <cellStyle name="Output 2 6 2 3 17" xfId="48821"/>
    <cellStyle name="Output 2 6 2 3 18" xfId="48822"/>
    <cellStyle name="Output 2 6 2 3 19" xfId="48823"/>
    <cellStyle name="Output 2 6 2 3 2" xfId="48824"/>
    <cellStyle name="Output 2 6 2 3 2 2" xfId="48825"/>
    <cellStyle name="Output 2 6 2 3 2 3" xfId="48826"/>
    <cellStyle name="Output 2 6 2 3 2 4" xfId="48827"/>
    <cellStyle name="Output 2 6 2 3 2 5" xfId="48828"/>
    <cellStyle name="Output 2 6 2 3 2 6" xfId="48829"/>
    <cellStyle name="Output 2 6 2 3 2 7" xfId="48830"/>
    <cellStyle name="Output 2 6 2 3 2 8" xfId="48831"/>
    <cellStyle name="Output 2 6 2 3 2 9" xfId="48832"/>
    <cellStyle name="Output 2 6 2 3 3" xfId="48833"/>
    <cellStyle name="Output 2 6 2 3 4" xfId="48834"/>
    <cellStyle name="Output 2 6 2 3 5" xfId="48835"/>
    <cellStyle name="Output 2 6 2 3 6" xfId="48836"/>
    <cellStyle name="Output 2 6 2 3 7" xfId="48837"/>
    <cellStyle name="Output 2 6 2 3 8" xfId="48838"/>
    <cellStyle name="Output 2 6 2 3 9" xfId="48839"/>
    <cellStyle name="Output 2 6 2 4" xfId="48840"/>
    <cellStyle name="Output 2 6 2 4 10" xfId="48841"/>
    <cellStyle name="Output 2 6 2 4 11" xfId="48842"/>
    <cellStyle name="Output 2 6 2 4 12" xfId="48843"/>
    <cellStyle name="Output 2 6 2 4 13" xfId="48844"/>
    <cellStyle name="Output 2 6 2 4 14" xfId="48845"/>
    <cellStyle name="Output 2 6 2 4 15" xfId="48846"/>
    <cellStyle name="Output 2 6 2 4 16" xfId="48847"/>
    <cellStyle name="Output 2 6 2 4 17" xfId="48848"/>
    <cellStyle name="Output 2 6 2 4 18" xfId="48849"/>
    <cellStyle name="Output 2 6 2 4 2" xfId="48850"/>
    <cellStyle name="Output 2 6 2 4 2 2" xfId="48851"/>
    <cellStyle name="Output 2 6 2 4 2 3" xfId="48852"/>
    <cellStyle name="Output 2 6 2 4 2 4" xfId="48853"/>
    <cellStyle name="Output 2 6 2 4 2 5" xfId="48854"/>
    <cellStyle name="Output 2 6 2 4 2 6" xfId="48855"/>
    <cellStyle name="Output 2 6 2 4 2 7" xfId="48856"/>
    <cellStyle name="Output 2 6 2 4 2 8" xfId="48857"/>
    <cellStyle name="Output 2 6 2 4 2 9" xfId="48858"/>
    <cellStyle name="Output 2 6 2 4 3" xfId="48859"/>
    <cellStyle name="Output 2 6 2 4 4" xfId="48860"/>
    <cellStyle name="Output 2 6 2 4 5" xfId="48861"/>
    <cellStyle name="Output 2 6 2 4 6" xfId="48862"/>
    <cellStyle name="Output 2 6 2 4 7" xfId="48863"/>
    <cellStyle name="Output 2 6 2 4 8" xfId="48864"/>
    <cellStyle name="Output 2 6 2 4 9" xfId="48865"/>
    <cellStyle name="Output 2 6 2 5" xfId="48866"/>
    <cellStyle name="Output 2 6 3" xfId="48867"/>
    <cellStyle name="Output 2 6 3 2" xfId="48868"/>
    <cellStyle name="Output 2 6 3 2 10" xfId="48869"/>
    <cellStyle name="Output 2 6 3 2 11" xfId="48870"/>
    <cellStyle name="Output 2 6 3 2 12" xfId="48871"/>
    <cellStyle name="Output 2 6 3 2 13" xfId="48872"/>
    <cellStyle name="Output 2 6 3 2 14" xfId="48873"/>
    <cellStyle name="Output 2 6 3 2 15" xfId="48874"/>
    <cellStyle name="Output 2 6 3 2 16" xfId="48875"/>
    <cellStyle name="Output 2 6 3 2 17" xfId="48876"/>
    <cellStyle name="Output 2 6 3 2 18" xfId="48877"/>
    <cellStyle name="Output 2 6 3 2 19" xfId="48878"/>
    <cellStyle name="Output 2 6 3 2 2" xfId="48879"/>
    <cellStyle name="Output 2 6 3 2 2 2" xfId="48880"/>
    <cellStyle name="Output 2 6 3 2 2 3" xfId="48881"/>
    <cellStyle name="Output 2 6 3 2 2 4" xfId="48882"/>
    <cellStyle name="Output 2 6 3 2 2 5" xfId="48883"/>
    <cellStyle name="Output 2 6 3 2 2 6" xfId="48884"/>
    <cellStyle name="Output 2 6 3 2 2 7" xfId="48885"/>
    <cellStyle name="Output 2 6 3 2 2 8" xfId="48886"/>
    <cellStyle name="Output 2 6 3 2 2 9" xfId="48887"/>
    <cellStyle name="Output 2 6 3 2 20" xfId="48888"/>
    <cellStyle name="Output 2 6 3 2 21" xfId="48889"/>
    <cellStyle name="Output 2 6 3 2 3" xfId="48890"/>
    <cellStyle name="Output 2 6 3 2 4" xfId="48891"/>
    <cellStyle name="Output 2 6 3 2 5" xfId="48892"/>
    <cellStyle name="Output 2 6 3 2 6" xfId="48893"/>
    <cellStyle name="Output 2 6 3 2 7" xfId="48894"/>
    <cellStyle name="Output 2 6 3 2 8" xfId="48895"/>
    <cellStyle name="Output 2 6 3 2 9" xfId="48896"/>
    <cellStyle name="Output 2 6 3 3" xfId="48897"/>
    <cellStyle name="Output 2 6 3 3 10" xfId="48898"/>
    <cellStyle name="Output 2 6 3 3 11" xfId="48899"/>
    <cellStyle name="Output 2 6 3 3 12" xfId="48900"/>
    <cellStyle name="Output 2 6 3 3 13" xfId="48901"/>
    <cellStyle name="Output 2 6 3 3 14" xfId="48902"/>
    <cellStyle name="Output 2 6 3 3 15" xfId="48903"/>
    <cellStyle name="Output 2 6 3 3 16" xfId="48904"/>
    <cellStyle name="Output 2 6 3 3 17" xfId="48905"/>
    <cellStyle name="Output 2 6 3 3 18" xfId="48906"/>
    <cellStyle name="Output 2 6 3 3 19" xfId="48907"/>
    <cellStyle name="Output 2 6 3 3 2" xfId="48908"/>
    <cellStyle name="Output 2 6 3 3 2 2" xfId="48909"/>
    <cellStyle name="Output 2 6 3 3 2 3" xfId="48910"/>
    <cellStyle name="Output 2 6 3 3 2 4" xfId="48911"/>
    <cellStyle name="Output 2 6 3 3 2 5" xfId="48912"/>
    <cellStyle name="Output 2 6 3 3 2 6" xfId="48913"/>
    <cellStyle name="Output 2 6 3 3 2 7" xfId="48914"/>
    <cellStyle name="Output 2 6 3 3 2 8" xfId="48915"/>
    <cellStyle name="Output 2 6 3 3 2 9" xfId="48916"/>
    <cellStyle name="Output 2 6 3 3 3" xfId="48917"/>
    <cellStyle name="Output 2 6 3 3 4" xfId="48918"/>
    <cellStyle name="Output 2 6 3 3 5" xfId="48919"/>
    <cellStyle name="Output 2 6 3 3 6" xfId="48920"/>
    <cellStyle name="Output 2 6 3 3 7" xfId="48921"/>
    <cellStyle name="Output 2 6 3 3 8" xfId="48922"/>
    <cellStyle name="Output 2 6 3 3 9" xfId="48923"/>
    <cellStyle name="Output 2 6 3 4" xfId="48924"/>
    <cellStyle name="Output 2 6 3 4 10" xfId="48925"/>
    <cellStyle name="Output 2 6 3 4 11" xfId="48926"/>
    <cellStyle name="Output 2 6 3 4 12" xfId="48927"/>
    <cellStyle name="Output 2 6 3 4 13" xfId="48928"/>
    <cellStyle name="Output 2 6 3 4 14" xfId="48929"/>
    <cellStyle name="Output 2 6 3 4 15" xfId="48930"/>
    <cellStyle name="Output 2 6 3 4 16" xfId="48931"/>
    <cellStyle name="Output 2 6 3 4 17" xfId="48932"/>
    <cellStyle name="Output 2 6 3 4 18" xfId="48933"/>
    <cellStyle name="Output 2 6 3 4 2" xfId="48934"/>
    <cellStyle name="Output 2 6 3 4 2 2" xfId="48935"/>
    <cellStyle name="Output 2 6 3 4 2 3" xfId="48936"/>
    <cellStyle name="Output 2 6 3 4 2 4" xfId="48937"/>
    <cellStyle name="Output 2 6 3 4 2 5" xfId="48938"/>
    <cellStyle name="Output 2 6 3 4 2 6" xfId="48939"/>
    <cellStyle name="Output 2 6 3 4 2 7" xfId="48940"/>
    <cellStyle name="Output 2 6 3 4 2 8" xfId="48941"/>
    <cellStyle name="Output 2 6 3 4 2 9" xfId="48942"/>
    <cellStyle name="Output 2 6 3 4 3" xfId="48943"/>
    <cellStyle name="Output 2 6 3 4 4" xfId="48944"/>
    <cellStyle name="Output 2 6 3 4 5" xfId="48945"/>
    <cellStyle name="Output 2 6 3 4 6" xfId="48946"/>
    <cellStyle name="Output 2 6 3 4 7" xfId="48947"/>
    <cellStyle name="Output 2 6 3 4 8" xfId="48948"/>
    <cellStyle name="Output 2 6 3 4 9" xfId="48949"/>
    <cellStyle name="Output 2 6 3 5" xfId="48950"/>
    <cellStyle name="Output 2 6 4" xfId="48951"/>
    <cellStyle name="Output 2 6 4 10" xfId="48952"/>
    <cellStyle name="Output 2 6 4 11" xfId="48953"/>
    <cellStyle name="Output 2 6 4 12" xfId="48954"/>
    <cellStyle name="Output 2 6 4 13" xfId="48955"/>
    <cellStyle name="Output 2 6 4 14" xfId="48956"/>
    <cellStyle name="Output 2 6 4 15" xfId="48957"/>
    <cellStyle name="Output 2 6 4 16" xfId="48958"/>
    <cellStyle name="Output 2 6 4 17" xfId="48959"/>
    <cellStyle name="Output 2 6 4 18" xfId="48960"/>
    <cellStyle name="Output 2 6 4 19" xfId="48961"/>
    <cellStyle name="Output 2 6 4 2" xfId="48962"/>
    <cellStyle name="Output 2 6 4 2 2" xfId="48963"/>
    <cellStyle name="Output 2 6 4 2 3" xfId="48964"/>
    <cellStyle name="Output 2 6 4 2 4" xfId="48965"/>
    <cellStyle name="Output 2 6 4 2 5" xfId="48966"/>
    <cellStyle name="Output 2 6 4 2 6" xfId="48967"/>
    <cellStyle name="Output 2 6 4 2 7" xfId="48968"/>
    <cellStyle name="Output 2 6 4 2 8" xfId="48969"/>
    <cellStyle name="Output 2 6 4 2 9" xfId="48970"/>
    <cellStyle name="Output 2 6 4 20" xfId="48971"/>
    <cellStyle name="Output 2 6 4 21" xfId="48972"/>
    <cellStyle name="Output 2 6 4 3" xfId="48973"/>
    <cellStyle name="Output 2 6 4 4" xfId="48974"/>
    <cellStyle name="Output 2 6 4 5" xfId="48975"/>
    <cellStyle name="Output 2 6 4 6" xfId="48976"/>
    <cellStyle name="Output 2 6 4 7" xfId="48977"/>
    <cellStyle name="Output 2 6 4 8" xfId="48978"/>
    <cellStyle name="Output 2 6 4 9" xfId="48979"/>
    <cellStyle name="Output 2 6 5" xfId="48980"/>
    <cellStyle name="Output 2 6 5 10" xfId="48981"/>
    <cellStyle name="Output 2 6 5 11" xfId="48982"/>
    <cellStyle name="Output 2 6 5 12" xfId="48983"/>
    <cellStyle name="Output 2 6 5 13" xfId="48984"/>
    <cellStyle name="Output 2 6 5 14" xfId="48985"/>
    <cellStyle name="Output 2 6 5 15" xfId="48986"/>
    <cellStyle name="Output 2 6 5 16" xfId="48987"/>
    <cellStyle name="Output 2 6 5 17" xfId="48988"/>
    <cellStyle name="Output 2 6 5 18" xfId="48989"/>
    <cellStyle name="Output 2 6 5 19" xfId="48990"/>
    <cellStyle name="Output 2 6 5 2" xfId="48991"/>
    <cellStyle name="Output 2 6 5 2 2" xfId="48992"/>
    <cellStyle name="Output 2 6 5 2 3" xfId="48993"/>
    <cellStyle name="Output 2 6 5 2 4" xfId="48994"/>
    <cellStyle name="Output 2 6 5 2 5" xfId="48995"/>
    <cellStyle name="Output 2 6 5 2 6" xfId="48996"/>
    <cellStyle name="Output 2 6 5 2 7" xfId="48997"/>
    <cellStyle name="Output 2 6 5 2 8" xfId="48998"/>
    <cellStyle name="Output 2 6 5 2 9" xfId="48999"/>
    <cellStyle name="Output 2 6 5 3" xfId="49000"/>
    <cellStyle name="Output 2 6 5 4" xfId="49001"/>
    <cellStyle name="Output 2 6 5 5" xfId="49002"/>
    <cellStyle name="Output 2 6 5 6" xfId="49003"/>
    <cellStyle name="Output 2 6 5 7" xfId="49004"/>
    <cellStyle name="Output 2 6 5 8" xfId="49005"/>
    <cellStyle name="Output 2 6 5 9" xfId="49006"/>
    <cellStyle name="Output 2 6 6" xfId="49007"/>
    <cellStyle name="Output 2 6 6 10" xfId="49008"/>
    <cellStyle name="Output 2 6 6 11" xfId="49009"/>
    <cellStyle name="Output 2 6 6 12" xfId="49010"/>
    <cellStyle name="Output 2 6 6 13" xfId="49011"/>
    <cellStyle name="Output 2 6 6 14" xfId="49012"/>
    <cellStyle name="Output 2 6 6 15" xfId="49013"/>
    <cellStyle name="Output 2 6 6 16" xfId="49014"/>
    <cellStyle name="Output 2 6 6 17" xfId="49015"/>
    <cellStyle name="Output 2 6 6 18" xfId="49016"/>
    <cellStyle name="Output 2 6 6 2" xfId="49017"/>
    <cellStyle name="Output 2 6 6 2 2" xfId="49018"/>
    <cellStyle name="Output 2 6 6 2 3" xfId="49019"/>
    <cellStyle name="Output 2 6 6 2 4" xfId="49020"/>
    <cellStyle name="Output 2 6 6 2 5" xfId="49021"/>
    <cellStyle name="Output 2 6 6 2 6" xfId="49022"/>
    <cellStyle name="Output 2 6 6 2 7" xfId="49023"/>
    <cellStyle name="Output 2 6 6 2 8" xfId="49024"/>
    <cellStyle name="Output 2 6 6 2 9" xfId="49025"/>
    <cellStyle name="Output 2 6 6 3" xfId="49026"/>
    <cellStyle name="Output 2 6 6 4" xfId="49027"/>
    <cellStyle name="Output 2 6 6 5" xfId="49028"/>
    <cellStyle name="Output 2 6 6 6" xfId="49029"/>
    <cellStyle name="Output 2 6 6 7" xfId="49030"/>
    <cellStyle name="Output 2 6 6 8" xfId="49031"/>
    <cellStyle name="Output 2 6 6 9" xfId="49032"/>
    <cellStyle name="Output 2 6 7" xfId="49033"/>
    <cellStyle name="Output 2 7" xfId="49034"/>
    <cellStyle name="Output 2 7 2" xfId="49035"/>
    <cellStyle name="Output 2 7 2 2" xfId="49036"/>
    <cellStyle name="Output 2 7 2 2 10" xfId="49037"/>
    <cellStyle name="Output 2 7 2 2 11" xfId="49038"/>
    <cellStyle name="Output 2 7 2 2 12" xfId="49039"/>
    <cellStyle name="Output 2 7 2 2 13" xfId="49040"/>
    <cellStyle name="Output 2 7 2 2 14" xfId="49041"/>
    <cellStyle name="Output 2 7 2 2 15" xfId="49042"/>
    <cellStyle name="Output 2 7 2 2 16" xfId="49043"/>
    <cellStyle name="Output 2 7 2 2 17" xfId="49044"/>
    <cellStyle name="Output 2 7 2 2 18" xfId="49045"/>
    <cellStyle name="Output 2 7 2 2 19" xfId="49046"/>
    <cellStyle name="Output 2 7 2 2 2" xfId="49047"/>
    <cellStyle name="Output 2 7 2 2 2 2" xfId="49048"/>
    <cellStyle name="Output 2 7 2 2 2 3" xfId="49049"/>
    <cellStyle name="Output 2 7 2 2 2 4" xfId="49050"/>
    <cellStyle name="Output 2 7 2 2 2 5" xfId="49051"/>
    <cellStyle name="Output 2 7 2 2 2 6" xfId="49052"/>
    <cellStyle name="Output 2 7 2 2 2 7" xfId="49053"/>
    <cellStyle name="Output 2 7 2 2 2 8" xfId="49054"/>
    <cellStyle name="Output 2 7 2 2 2 9" xfId="49055"/>
    <cellStyle name="Output 2 7 2 2 20" xfId="49056"/>
    <cellStyle name="Output 2 7 2 2 21" xfId="49057"/>
    <cellStyle name="Output 2 7 2 2 3" xfId="49058"/>
    <cellStyle name="Output 2 7 2 2 4" xfId="49059"/>
    <cellStyle name="Output 2 7 2 2 5" xfId="49060"/>
    <cellStyle name="Output 2 7 2 2 6" xfId="49061"/>
    <cellStyle name="Output 2 7 2 2 7" xfId="49062"/>
    <cellStyle name="Output 2 7 2 2 8" xfId="49063"/>
    <cellStyle name="Output 2 7 2 2 9" xfId="49064"/>
    <cellStyle name="Output 2 7 2 3" xfId="49065"/>
    <cellStyle name="Output 2 7 2 3 10" xfId="49066"/>
    <cellStyle name="Output 2 7 2 3 11" xfId="49067"/>
    <cellStyle name="Output 2 7 2 3 12" xfId="49068"/>
    <cellStyle name="Output 2 7 2 3 13" xfId="49069"/>
    <cellStyle name="Output 2 7 2 3 14" xfId="49070"/>
    <cellStyle name="Output 2 7 2 3 15" xfId="49071"/>
    <cellStyle name="Output 2 7 2 3 16" xfId="49072"/>
    <cellStyle name="Output 2 7 2 3 17" xfId="49073"/>
    <cellStyle name="Output 2 7 2 3 18" xfId="49074"/>
    <cellStyle name="Output 2 7 2 3 19" xfId="49075"/>
    <cellStyle name="Output 2 7 2 3 2" xfId="49076"/>
    <cellStyle name="Output 2 7 2 3 2 2" xfId="49077"/>
    <cellStyle name="Output 2 7 2 3 2 3" xfId="49078"/>
    <cellStyle name="Output 2 7 2 3 2 4" xfId="49079"/>
    <cellStyle name="Output 2 7 2 3 2 5" xfId="49080"/>
    <cellStyle name="Output 2 7 2 3 2 6" xfId="49081"/>
    <cellStyle name="Output 2 7 2 3 2 7" xfId="49082"/>
    <cellStyle name="Output 2 7 2 3 2 8" xfId="49083"/>
    <cellStyle name="Output 2 7 2 3 2 9" xfId="49084"/>
    <cellStyle name="Output 2 7 2 3 3" xfId="49085"/>
    <cellStyle name="Output 2 7 2 3 4" xfId="49086"/>
    <cellStyle name="Output 2 7 2 3 5" xfId="49087"/>
    <cellStyle name="Output 2 7 2 3 6" xfId="49088"/>
    <cellStyle name="Output 2 7 2 3 7" xfId="49089"/>
    <cellStyle name="Output 2 7 2 3 8" xfId="49090"/>
    <cellStyle name="Output 2 7 2 3 9" xfId="49091"/>
    <cellStyle name="Output 2 7 2 4" xfId="49092"/>
    <cellStyle name="Output 2 7 2 4 10" xfId="49093"/>
    <cellStyle name="Output 2 7 2 4 11" xfId="49094"/>
    <cellStyle name="Output 2 7 2 4 12" xfId="49095"/>
    <cellStyle name="Output 2 7 2 4 13" xfId="49096"/>
    <cellStyle name="Output 2 7 2 4 14" xfId="49097"/>
    <cellStyle name="Output 2 7 2 4 15" xfId="49098"/>
    <cellStyle name="Output 2 7 2 4 16" xfId="49099"/>
    <cellStyle name="Output 2 7 2 4 17" xfId="49100"/>
    <cellStyle name="Output 2 7 2 4 18" xfId="49101"/>
    <cellStyle name="Output 2 7 2 4 2" xfId="49102"/>
    <cellStyle name="Output 2 7 2 4 2 2" xfId="49103"/>
    <cellStyle name="Output 2 7 2 4 2 3" xfId="49104"/>
    <cellStyle name="Output 2 7 2 4 2 4" xfId="49105"/>
    <cellStyle name="Output 2 7 2 4 2 5" xfId="49106"/>
    <cellStyle name="Output 2 7 2 4 2 6" xfId="49107"/>
    <cellStyle name="Output 2 7 2 4 2 7" xfId="49108"/>
    <cellStyle name="Output 2 7 2 4 2 8" xfId="49109"/>
    <cellStyle name="Output 2 7 2 4 2 9" xfId="49110"/>
    <cellStyle name="Output 2 7 2 4 3" xfId="49111"/>
    <cellStyle name="Output 2 7 2 4 4" xfId="49112"/>
    <cellStyle name="Output 2 7 2 4 5" xfId="49113"/>
    <cellStyle name="Output 2 7 2 4 6" xfId="49114"/>
    <cellStyle name="Output 2 7 2 4 7" xfId="49115"/>
    <cellStyle name="Output 2 7 2 4 8" xfId="49116"/>
    <cellStyle name="Output 2 7 2 4 9" xfId="49117"/>
    <cellStyle name="Output 2 7 2 5" xfId="49118"/>
    <cellStyle name="Output 2 7 3" xfId="49119"/>
    <cellStyle name="Output 2 7 3 2" xfId="49120"/>
    <cellStyle name="Output 2 7 3 2 10" xfId="49121"/>
    <cellStyle name="Output 2 7 3 2 11" xfId="49122"/>
    <cellStyle name="Output 2 7 3 2 12" xfId="49123"/>
    <cellStyle name="Output 2 7 3 2 13" xfId="49124"/>
    <cellStyle name="Output 2 7 3 2 14" xfId="49125"/>
    <cellStyle name="Output 2 7 3 2 15" xfId="49126"/>
    <cellStyle name="Output 2 7 3 2 16" xfId="49127"/>
    <cellStyle name="Output 2 7 3 2 17" xfId="49128"/>
    <cellStyle name="Output 2 7 3 2 18" xfId="49129"/>
    <cellStyle name="Output 2 7 3 2 19" xfId="49130"/>
    <cellStyle name="Output 2 7 3 2 2" xfId="49131"/>
    <cellStyle name="Output 2 7 3 2 2 2" xfId="49132"/>
    <cellStyle name="Output 2 7 3 2 2 3" xfId="49133"/>
    <cellStyle name="Output 2 7 3 2 2 4" xfId="49134"/>
    <cellStyle name="Output 2 7 3 2 2 5" xfId="49135"/>
    <cellStyle name="Output 2 7 3 2 2 6" xfId="49136"/>
    <cellStyle name="Output 2 7 3 2 2 7" xfId="49137"/>
    <cellStyle name="Output 2 7 3 2 2 8" xfId="49138"/>
    <cellStyle name="Output 2 7 3 2 2 9" xfId="49139"/>
    <cellStyle name="Output 2 7 3 2 20" xfId="49140"/>
    <cellStyle name="Output 2 7 3 2 21" xfId="49141"/>
    <cellStyle name="Output 2 7 3 2 3" xfId="49142"/>
    <cellStyle name="Output 2 7 3 2 4" xfId="49143"/>
    <cellStyle name="Output 2 7 3 2 5" xfId="49144"/>
    <cellStyle name="Output 2 7 3 2 6" xfId="49145"/>
    <cellStyle name="Output 2 7 3 2 7" xfId="49146"/>
    <cellStyle name="Output 2 7 3 2 8" xfId="49147"/>
    <cellStyle name="Output 2 7 3 2 9" xfId="49148"/>
    <cellStyle name="Output 2 7 3 3" xfId="49149"/>
    <cellStyle name="Output 2 7 3 3 10" xfId="49150"/>
    <cellStyle name="Output 2 7 3 3 11" xfId="49151"/>
    <cellStyle name="Output 2 7 3 3 12" xfId="49152"/>
    <cellStyle name="Output 2 7 3 3 13" xfId="49153"/>
    <cellStyle name="Output 2 7 3 3 14" xfId="49154"/>
    <cellStyle name="Output 2 7 3 3 15" xfId="49155"/>
    <cellStyle name="Output 2 7 3 3 16" xfId="49156"/>
    <cellStyle name="Output 2 7 3 3 17" xfId="49157"/>
    <cellStyle name="Output 2 7 3 3 18" xfId="49158"/>
    <cellStyle name="Output 2 7 3 3 19" xfId="49159"/>
    <cellStyle name="Output 2 7 3 3 2" xfId="49160"/>
    <cellStyle name="Output 2 7 3 3 2 2" xfId="49161"/>
    <cellStyle name="Output 2 7 3 3 2 3" xfId="49162"/>
    <cellStyle name="Output 2 7 3 3 2 4" xfId="49163"/>
    <cellStyle name="Output 2 7 3 3 2 5" xfId="49164"/>
    <cellStyle name="Output 2 7 3 3 2 6" xfId="49165"/>
    <cellStyle name="Output 2 7 3 3 2 7" xfId="49166"/>
    <cellStyle name="Output 2 7 3 3 2 8" xfId="49167"/>
    <cellStyle name="Output 2 7 3 3 2 9" xfId="49168"/>
    <cellStyle name="Output 2 7 3 3 3" xfId="49169"/>
    <cellStyle name="Output 2 7 3 3 4" xfId="49170"/>
    <cellStyle name="Output 2 7 3 3 5" xfId="49171"/>
    <cellStyle name="Output 2 7 3 3 6" xfId="49172"/>
    <cellStyle name="Output 2 7 3 3 7" xfId="49173"/>
    <cellStyle name="Output 2 7 3 3 8" xfId="49174"/>
    <cellStyle name="Output 2 7 3 3 9" xfId="49175"/>
    <cellStyle name="Output 2 7 3 4" xfId="49176"/>
    <cellStyle name="Output 2 7 3 4 10" xfId="49177"/>
    <cellStyle name="Output 2 7 3 4 11" xfId="49178"/>
    <cellStyle name="Output 2 7 3 4 12" xfId="49179"/>
    <cellStyle name="Output 2 7 3 4 13" xfId="49180"/>
    <cellStyle name="Output 2 7 3 4 14" xfId="49181"/>
    <cellStyle name="Output 2 7 3 4 15" xfId="49182"/>
    <cellStyle name="Output 2 7 3 4 16" xfId="49183"/>
    <cellStyle name="Output 2 7 3 4 17" xfId="49184"/>
    <cellStyle name="Output 2 7 3 4 18" xfId="49185"/>
    <cellStyle name="Output 2 7 3 4 2" xfId="49186"/>
    <cellStyle name="Output 2 7 3 4 2 2" xfId="49187"/>
    <cellStyle name="Output 2 7 3 4 2 3" xfId="49188"/>
    <cellStyle name="Output 2 7 3 4 2 4" xfId="49189"/>
    <cellStyle name="Output 2 7 3 4 2 5" xfId="49190"/>
    <cellStyle name="Output 2 7 3 4 2 6" xfId="49191"/>
    <cellStyle name="Output 2 7 3 4 2 7" xfId="49192"/>
    <cellStyle name="Output 2 7 3 4 2 8" xfId="49193"/>
    <cellStyle name="Output 2 7 3 4 2 9" xfId="49194"/>
    <cellStyle name="Output 2 7 3 4 3" xfId="49195"/>
    <cellStyle name="Output 2 7 3 4 4" xfId="49196"/>
    <cellStyle name="Output 2 7 3 4 5" xfId="49197"/>
    <cellStyle name="Output 2 7 3 4 6" xfId="49198"/>
    <cellStyle name="Output 2 7 3 4 7" xfId="49199"/>
    <cellStyle name="Output 2 7 3 4 8" xfId="49200"/>
    <cellStyle name="Output 2 7 3 4 9" xfId="49201"/>
    <cellStyle name="Output 2 7 3 5" xfId="49202"/>
    <cellStyle name="Output 2 7 4" xfId="49203"/>
    <cellStyle name="Output 2 7 4 10" xfId="49204"/>
    <cellStyle name="Output 2 7 4 11" xfId="49205"/>
    <cellStyle name="Output 2 7 4 12" xfId="49206"/>
    <cellStyle name="Output 2 7 4 13" xfId="49207"/>
    <cellStyle name="Output 2 7 4 14" xfId="49208"/>
    <cellStyle name="Output 2 7 4 15" xfId="49209"/>
    <cellStyle name="Output 2 7 4 16" xfId="49210"/>
    <cellStyle name="Output 2 7 4 17" xfId="49211"/>
    <cellStyle name="Output 2 7 4 18" xfId="49212"/>
    <cellStyle name="Output 2 7 4 19" xfId="49213"/>
    <cellStyle name="Output 2 7 4 2" xfId="49214"/>
    <cellStyle name="Output 2 7 4 2 2" xfId="49215"/>
    <cellStyle name="Output 2 7 4 2 3" xfId="49216"/>
    <cellStyle name="Output 2 7 4 2 4" xfId="49217"/>
    <cellStyle name="Output 2 7 4 2 5" xfId="49218"/>
    <cellStyle name="Output 2 7 4 2 6" xfId="49219"/>
    <cellStyle name="Output 2 7 4 2 7" xfId="49220"/>
    <cellStyle name="Output 2 7 4 2 8" xfId="49221"/>
    <cellStyle name="Output 2 7 4 2 9" xfId="49222"/>
    <cellStyle name="Output 2 7 4 20" xfId="49223"/>
    <cellStyle name="Output 2 7 4 21" xfId="49224"/>
    <cellStyle name="Output 2 7 4 3" xfId="49225"/>
    <cellStyle name="Output 2 7 4 4" xfId="49226"/>
    <cellStyle name="Output 2 7 4 5" xfId="49227"/>
    <cellStyle name="Output 2 7 4 6" xfId="49228"/>
    <cellStyle name="Output 2 7 4 7" xfId="49229"/>
    <cellStyle name="Output 2 7 4 8" xfId="49230"/>
    <cellStyle name="Output 2 7 4 9" xfId="49231"/>
    <cellStyle name="Output 2 7 5" xfId="49232"/>
    <cellStyle name="Output 2 7 5 10" xfId="49233"/>
    <cellStyle name="Output 2 7 5 11" xfId="49234"/>
    <cellStyle name="Output 2 7 5 12" xfId="49235"/>
    <cellStyle name="Output 2 7 5 13" xfId="49236"/>
    <cellStyle name="Output 2 7 5 14" xfId="49237"/>
    <cellStyle name="Output 2 7 5 15" xfId="49238"/>
    <cellStyle name="Output 2 7 5 16" xfId="49239"/>
    <cellStyle name="Output 2 7 5 17" xfId="49240"/>
    <cellStyle name="Output 2 7 5 18" xfId="49241"/>
    <cellStyle name="Output 2 7 5 19" xfId="49242"/>
    <cellStyle name="Output 2 7 5 2" xfId="49243"/>
    <cellStyle name="Output 2 7 5 2 2" xfId="49244"/>
    <cellStyle name="Output 2 7 5 2 3" xfId="49245"/>
    <cellStyle name="Output 2 7 5 2 4" xfId="49246"/>
    <cellStyle name="Output 2 7 5 2 5" xfId="49247"/>
    <cellStyle name="Output 2 7 5 2 6" xfId="49248"/>
    <cellStyle name="Output 2 7 5 2 7" xfId="49249"/>
    <cellStyle name="Output 2 7 5 2 8" xfId="49250"/>
    <cellStyle name="Output 2 7 5 2 9" xfId="49251"/>
    <cellStyle name="Output 2 7 5 3" xfId="49252"/>
    <cellStyle name="Output 2 7 5 4" xfId="49253"/>
    <cellStyle name="Output 2 7 5 5" xfId="49254"/>
    <cellStyle name="Output 2 7 5 6" xfId="49255"/>
    <cellStyle name="Output 2 7 5 7" xfId="49256"/>
    <cellStyle name="Output 2 7 5 8" xfId="49257"/>
    <cellStyle name="Output 2 7 5 9" xfId="49258"/>
    <cellStyle name="Output 2 7 6" xfId="49259"/>
    <cellStyle name="Output 2 7 6 10" xfId="49260"/>
    <cellStyle name="Output 2 7 6 11" xfId="49261"/>
    <cellStyle name="Output 2 7 6 12" xfId="49262"/>
    <cellStyle name="Output 2 7 6 13" xfId="49263"/>
    <cellStyle name="Output 2 7 6 14" xfId="49264"/>
    <cellStyle name="Output 2 7 6 15" xfId="49265"/>
    <cellStyle name="Output 2 7 6 16" xfId="49266"/>
    <cellStyle name="Output 2 7 6 17" xfId="49267"/>
    <cellStyle name="Output 2 7 6 18" xfId="49268"/>
    <cellStyle name="Output 2 7 6 2" xfId="49269"/>
    <cellStyle name="Output 2 7 6 2 2" xfId="49270"/>
    <cellStyle name="Output 2 7 6 2 3" xfId="49271"/>
    <cellStyle name="Output 2 7 6 2 4" xfId="49272"/>
    <cellStyle name="Output 2 7 6 2 5" xfId="49273"/>
    <cellStyle name="Output 2 7 6 2 6" xfId="49274"/>
    <cellStyle name="Output 2 7 6 2 7" xfId="49275"/>
    <cellStyle name="Output 2 7 6 2 8" xfId="49276"/>
    <cellStyle name="Output 2 7 6 2 9" xfId="49277"/>
    <cellStyle name="Output 2 7 6 3" xfId="49278"/>
    <cellStyle name="Output 2 7 6 4" xfId="49279"/>
    <cellStyle name="Output 2 7 6 5" xfId="49280"/>
    <cellStyle name="Output 2 7 6 6" xfId="49281"/>
    <cellStyle name="Output 2 7 6 7" xfId="49282"/>
    <cellStyle name="Output 2 7 6 8" xfId="49283"/>
    <cellStyle name="Output 2 7 6 9" xfId="49284"/>
    <cellStyle name="Output 2 7 7" xfId="49285"/>
    <cellStyle name="Output 2 8" xfId="49286"/>
    <cellStyle name="Output 2 8 2" xfId="49287"/>
    <cellStyle name="Output 2 8 2 2" xfId="49288"/>
    <cellStyle name="Output 2 8 2 2 10" xfId="49289"/>
    <cellStyle name="Output 2 8 2 2 11" xfId="49290"/>
    <cellStyle name="Output 2 8 2 2 12" xfId="49291"/>
    <cellStyle name="Output 2 8 2 2 13" xfId="49292"/>
    <cellStyle name="Output 2 8 2 2 14" xfId="49293"/>
    <cellStyle name="Output 2 8 2 2 15" xfId="49294"/>
    <cellStyle name="Output 2 8 2 2 16" xfId="49295"/>
    <cellStyle name="Output 2 8 2 2 17" xfId="49296"/>
    <cellStyle name="Output 2 8 2 2 18" xfId="49297"/>
    <cellStyle name="Output 2 8 2 2 19" xfId="49298"/>
    <cellStyle name="Output 2 8 2 2 2" xfId="49299"/>
    <cellStyle name="Output 2 8 2 2 2 2" xfId="49300"/>
    <cellStyle name="Output 2 8 2 2 2 3" xfId="49301"/>
    <cellStyle name="Output 2 8 2 2 2 4" xfId="49302"/>
    <cellStyle name="Output 2 8 2 2 2 5" xfId="49303"/>
    <cellStyle name="Output 2 8 2 2 2 6" xfId="49304"/>
    <cellStyle name="Output 2 8 2 2 2 7" xfId="49305"/>
    <cellStyle name="Output 2 8 2 2 2 8" xfId="49306"/>
    <cellStyle name="Output 2 8 2 2 2 9" xfId="49307"/>
    <cellStyle name="Output 2 8 2 2 20" xfId="49308"/>
    <cellStyle name="Output 2 8 2 2 21" xfId="49309"/>
    <cellStyle name="Output 2 8 2 2 3" xfId="49310"/>
    <cellStyle name="Output 2 8 2 2 4" xfId="49311"/>
    <cellStyle name="Output 2 8 2 2 5" xfId="49312"/>
    <cellStyle name="Output 2 8 2 2 6" xfId="49313"/>
    <cellStyle name="Output 2 8 2 2 7" xfId="49314"/>
    <cellStyle name="Output 2 8 2 2 8" xfId="49315"/>
    <cellStyle name="Output 2 8 2 2 9" xfId="49316"/>
    <cellStyle name="Output 2 8 2 3" xfId="49317"/>
    <cellStyle name="Output 2 8 2 3 10" xfId="49318"/>
    <cellStyle name="Output 2 8 2 3 11" xfId="49319"/>
    <cellStyle name="Output 2 8 2 3 12" xfId="49320"/>
    <cellStyle name="Output 2 8 2 3 13" xfId="49321"/>
    <cellStyle name="Output 2 8 2 3 14" xfId="49322"/>
    <cellStyle name="Output 2 8 2 3 15" xfId="49323"/>
    <cellStyle name="Output 2 8 2 3 16" xfId="49324"/>
    <cellStyle name="Output 2 8 2 3 17" xfId="49325"/>
    <cellStyle name="Output 2 8 2 3 18" xfId="49326"/>
    <cellStyle name="Output 2 8 2 3 19" xfId="49327"/>
    <cellStyle name="Output 2 8 2 3 2" xfId="49328"/>
    <cellStyle name="Output 2 8 2 3 2 2" xfId="49329"/>
    <cellStyle name="Output 2 8 2 3 2 3" xfId="49330"/>
    <cellStyle name="Output 2 8 2 3 2 4" xfId="49331"/>
    <cellStyle name="Output 2 8 2 3 2 5" xfId="49332"/>
    <cellStyle name="Output 2 8 2 3 2 6" xfId="49333"/>
    <cellStyle name="Output 2 8 2 3 2 7" xfId="49334"/>
    <cellStyle name="Output 2 8 2 3 2 8" xfId="49335"/>
    <cellStyle name="Output 2 8 2 3 2 9" xfId="49336"/>
    <cellStyle name="Output 2 8 2 3 3" xfId="49337"/>
    <cellStyle name="Output 2 8 2 3 4" xfId="49338"/>
    <cellStyle name="Output 2 8 2 3 5" xfId="49339"/>
    <cellStyle name="Output 2 8 2 3 6" xfId="49340"/>
    <cellStyle name="Output 2 8 2 3 7" xfId="49341"/>
    <cellStyle name="Output 2 8 2 3 8" xfId="49342"/>
    <cellStyle name="Output 2 8 2 3 9" xfId="49343"/>
    <cellStyle name="Output 2 8 2 4" xfId="49344"/>
    <cellStyle name="Output 2 8 2 4 10" xfId="49345"/>
    <cellStyle name="Output 2 8 2 4 11" xfId="49346"/>
    <cellStyle name="Output 2 8 2 4 12" xfId="49347"/>
    <cellStyle name="Output 2 8 2 4 13" xfId="49348"/>
    <cellStyle name="Output 2 8 2 4 14" xfId="49349"/>
    <cellStyle name="Output 2 8 2 4 15" xfId="49350"/>
    <cellStyle name="Output 2 8 2 4 16" xfId="49351"/>
    <cellStyle name="Output 2 8 2 4 17" xfId="49352"/>
    <cellStyle name="Output 2 8 2 4 18" xfId="49353"/>
    <cellStyle name="Output 2 8 2 4 2" xfId="49354"/>
    <cellStyle name="Output 2 8 2 4 2 2" xfId="49355"/>
    <cellStyle name="Output 2 8 2 4 2 3" xfId="49356"/>
    <cellStyle name="Output 2 8 2 4 2 4" xfId="49357"/>
    <cellStyle name="Output 2 8 2 4 2 5" xfId="49358"/>
    <cellStyle name="Output 2 8 2 4 2 6" xfId="49359"/>
    <cellStyle name="Output 2 8 2 4 2 7" xfId="49360"/>
    <cellStyle name="Output 2 8 2 4 2 8" xfId="49361"/>
    <cellStyle name="Output 2 8 2 4 2 9" xfId="49362"/>
    <cellStyle name="Output 2 8 2 4 3" xfId="49363"/>
    <cellStyle name="Output 2 8 2 4 4" xfId="49364"/>
    <cellStyle name="Output 2 8 2 4 5" xfId="49365"/>
    <cellStyle name="Output 2 8 2 4 6" xfId="49366"/>
    <cellStyle name="Output 2 8 2 4 7" xfId="49367"/>
    <cellStyle name="Output 2 8 2 4 8" xfId="49368"/>
    <cellStyle name="Output 2 8 2 4 9" xfId="49369"/>
    <cellStyle name="Output 2 8 2 5" xfId="49370"/>
    <cellStyle name="Output 2 8 3" xfId="49371"/>
    <cellStyle name="Output 2 8 3 2" xfId="49372"/>
    <cellStyle name="Output 2 8 3 2 10" xfId="49373"/>
    <cellStyle name="Output 2 8 3 2 11" xfId="49374"/>
    <cellStyle name="Output 2 8 3 2 12" xfId="49375"/>
    <cellStyle name="Output 2 8 3 2 13" xfId="49376"/>
    <cellStyle name="Output 2 8 3 2 14" xfId="49377"/>
    <cellStyle name="Output 2 8 3 2 15" xfId="49378"/>
    <cellStyle name="Output 2 8 3 2 16" xfId="49379"/>
    <cellStyle name="Output 2 8 3 2 17" xfId="49380"/>
    <cellStyle name="Output 2 8 3 2 18" xfId="49381"/>
    <cellStyle name="Output 2 8 3 2 19" xfId="49382"/>
    <cellStyle name="Output 2 8 3 2 2" xfId="49383"/>
    <cellStyle name="Output 2 8 3 2 2 2" xfId="49384"/>
    <cellStyle name="Output 2 8 3 2 2 3" xfId="49385"/>
    <cellStyle name="Output 2 8 3 2 2 4" xfId="49386"/>
    <cellStyle name="Output 2 8 3 2 2 5" xfId="49387"/>
    <cellStyle name="Output 2 8 3 2 2 6" xfId="49388"/>
    <cellStyle name="Output 2 8 3 2 2 7" xfId="49389"/>
    <cellStyle name="Output 2 8 3 2 2 8" xfId="49390"/>
    <cellStyle name="Output 2 8 3 2 2 9" xfId="49391"/>
    <cellStyle name="Output 2 8 3 2 20" xfId="49392"/>
    <cellStyle name="Output 2 8 3 2 21" xfId="49393"/>
    <cellStyle name="Output 2 8 3 2 3" xfId="49394"/>
    <cellStyle name="Output 2 8 3 2 4" xfId="49395"/>
    <cellStyle name="Output 2 8 3 2 5" xfId="49396"/>
    <cellStyle name="Output 2 8 3 2 6" xfId="49397"/>
    <cellStyle name="Output 2 8 3 2 7" xfId="49398"/>
    <cellStyle name="Output 2 8 3 2 8" xfId="49399"/>
    <cellStyle name="Output 2 8 3 2 9" xfId="49400"/>
    <cellStyle name="Output 2 8 3 3" xfId="49401"/>
    <cellStyle name="Output 2 8 3 3 10" xfId="49402"/>
    <cellStyle name="Output 2 8 3 3 11" xfId="49403"/>
    <cellStyle name="Output 2 8 3 3 12" xfId="49404"/>
    <cellStyle name="Output 2 8 3 3 13" xfId="49405"/>
    <cellStyle name="Output 2 8 3 3 14" xfId="49406"/>
    <cellStyle name="Output 2 8 3 3 15" xfId="49407"/>
    <cellStyle name="Output 2 8 3 3 16" xfId="49408"/>
    <cellStyle name="Output 2 8 3 3 17" xfId="49409"/>
    <cellStyle name="Output 2 8 3 3 18" xfId="49410"/>
    <cellStyle name="Output 2 8 3 3 19" xfId="49411"/>
    <cellStyle name="Output 2 8 3 3 2" xfId="49412"/>
    <cellStyle name="Output 2 8 3 3 2 2" xfId="49413"/>
    <cellStyle name="Output 2 8 3 3 2 3" xfId="49414"/>
    <cellStyle name="Output 2 8 3 3 2 4" xfId="49415"/>
    <cellStyle name="Output 2 8 3 3 2 5" xfId="49416"/>
    <cellStyle name="Output 2 8 3 3 2 6" xfId="49417"/>
    <cellStyle name="Output 2 8 3 3 2 7" xfId="49418"/>
    <cellStyle name="Output 2 8 3 3 2 8" xfId="49419"/>
    <cellStyle name="Output 2 8 3 3 2 9" xfId="49420"/>
    <cellStyle name="Output 2 8 3 3 3" xfId="49421"/>
    <cellStyle name="Output 2 8 3 3 4" xfId="49422"/>
    <cellStyle name="Output 2 8 3 3 5" xfId="49423"/>
    <cellStyle name="Output 2 8 3 3 6" xfId="49424"/>
    <cellStyle name="Output 2 8 3 3 7" xfId="49425"/>
    <cellStyle name="Output 2 8 3 3 8" xfId="49426"/>
    <cellStyle name="Output 2 8 3 3 9" xfId="49427"/>
    <cellStyle name="Output 2 8 3 4" xfId="49428"/>
    <cellStyle name="Output 2 8 3 4 10" xfId="49429"/>
    <cellStyle name="Output 2 8 3 4 11" xfId="49430"/>
    <cellStyle name="Output 2 8 3 4 12" xfId="49431"/>
    <cellStyle name="Output 2 8 3 4 13" xfId="49432"/>
    <cellStyle name="Output 2 8 3 4 14" xfId="49433"/>
    <cellStyle name="Output 2 8 3 4 15" xfId="49434"/>
    <cellStyle name="Output 2 8 3 4 16" xfId="49435"/>
    <cellStyle name="Output 2 8 3 4 17" xfId="49436"/>
    <cellStyle name="Output 2 8 3 4 18" xfId="49437"/>
    <cellStyle name="Output 2 8 3 4 2" xfId="49438"/>
    <cellStyle name="Output 2 8 3 4 2 2" xfId="49439"/>
    <cellStyle name="Output 2 8 3 4 2 3" xfId="49440"/>
    <cellStyle name="Output 2 8 3 4 2 4" xfId="49441"/>
    <cellStyle name="Output 2 8 3 4 2 5" xfId="49442"/>
    <cellStyle name="Output 2 8 3 4 2 6" xfId="49443"/>
    <cellStyle name="Output 2 8 3 4 2 7" xfId="49444"/>
    <cellStyle name="Output 2 8 3 4 2 8" xfId="49445"/>
    <cellStyle name="Output 2 8 3 4 2 9" xfId="49446"/>
    <cellStyle name="Output 2 8 3 4 3" xfId="49447"/>
    <cellStyle name="Output 2 8 3 4 4" xfId="49448"/>
    <cellStyle name="Output 2 8 3 4 5" xfId="49449"/>
    <cellStyle name="Output 2 8 3 4 6" xfId="49450"/>
    <cellStyle name="Output 2 8 3 4 7" xfId="49451"/>
    <cellStyle name="Output 2 8 3 4 8" xfId="49452"/>
    <cellStyle name="Output 2 8 3 4 9" xfId="49453"/>
    <cellStyle name="Output 2 8 3 5" xfId="49454"/>
    <cellStyle name="Output 2 8 4" xfId="49455"/>
    <cellStyle name="Output 2 8 4 10" xfId="49456"/>
    <cellStyle name="Output 2 8 4 11" xfId="49457"/>
    <cellStyle name="Output 2 8 4 12" xfId="49458"/>
    <cellStyle name="Output 2 8 4 13" xfId="49459"/>
    <cellStyle name="Output 2 8 4 14" xfId="49460"/>
    <cellStyle name="Output 2 8 4 15" xfId="49461"/>
    <cellStyle name="Output 2 8 4 16" xfId="49462"/>
    <cellStyle name="Output 2 8 4 17" xfId="49463"/>
    <cellStyle name="Output 2 8 4 18" xfId="49464"/>
    <cellStyle name="Output 2 8 4 19" xfId="49465"/>
    <cellStyle name="Output 2 8 4 2" xfId="49466"/>
    <cellStyle name="Output 2 8 4 2 2" xfId="49467"/>
    <cellStyle name="Output 2 8 4 2 3" xfId="49468"/>
    <cellStyle name="Output 2 8 4 2 4" xfId="49469"/>
    <cellStyle name="Output 2 8 4 2 5" xfId="49470"/>
    <cellStyle name="Output 2 8 4 2 6" xfId="49471"/>
    <cellStyle name="Output 2 8 4 2 7" xfId="49472"/>
    <cellStyle name="Output 2 8 4 2 8" xfId="49473"/>
    <cellStyle name="Output 2 8 4 2 9" xfId="49474"/>
    <cellStyle name="Output 2 8 4 20" xfId="49475"/>
    <cellStyle name="Output 2 8 4 21" xfId="49476"/>
    <cellStyle name="Output 2 8 4 3" xfId="49477"/>
    <cellStyle name="Output 2 8 4 4" xfId="49478"/>
    <cellStyle name="Output 2 8 4 5" xfId="49479"/>
    <cellStyle name="Output 2 8 4 6" xfId="49480"/>
    <cellStyle name="Output 2 8 4 7" xfId="49481"/>
    <cellStyle name="Output 2 8 4 8" xfId="49482"/>
    <cellStyle name="Output 2 8 4 9" xfId="49483"/>
    <cellStyle name="Output 2 8 5" xfId="49484"/>
    <cellStyle name="Output 2 8 5 10" xfId="49485"/>
    <cellStyle name="Output 2 8 5 11" xfId="49486"/>
    <cellStyle name="Output 2 8 5 12" xfId="49487"/>
    <cellStyle name="Output 2 8 5 13" xfId="49488"/>
    <cellStyle name="Output 2 8 5 14" xfId="49489"/>
    <cellStyle name="Output 2 8 5 15" xfId="49490"/>
    <cellStyle name="Output 2 8 5 16" xfId="49491"/>
    <cellStyle name="Output 2 8 5 17" xfId="49492"/>
    <cellStyle name="Output 2 8 5 18" xfId="49493"/>
    <cellStyle name="Output 2 8 5 19" xfId="49494"/>
    <cellStyle name="Output 2 8 5 2" xfId="49495"/>
    <cellStyle name="Output 2 8 5 2 2" xfId="49496"/>
    <cellStyle name="Output 2 8 5 2 3" xfId="49497"/>
    <cellStyle name="Output 2 8 5 2 4" xfId="49498"/>
    <cellStyle name="Output 2 8 5 2 5" xfId="49499"/>
    <cellStyle name="Output 2 8 5 2 6" xfId="49500"/>
    <cellStyle name="Output 2 8 5 2 7" xfId="49501"/>
    <cellStyle name="Output 2 8 5 2 8" xfId="49502"/>
    <cellStyle name="Output 2 8 5 2 9" xfId="49503"/>
    <cellStyle name="Output 2 8 5 3" xfId="49504"/>
    <cellStyle name="Output 2 8 5 4" xfId="49505"/>
    <cellStyle name="Output 2 8 5 5" xfId="49506"/>
    <cellStyle name="Output 2 8 5 6" xfId="49507"/>
    <cellStyle name="Output 2 8 5 7" xfId="49508"/>
    <cellStyle name="Output 2 8 5 8" xfId="49509"/>
    <cellStyle name="Output 2 8 5 9" xfId="49510"/>
    <cellStyle name="Output 2 8 6" xfId="49511"/>
    <cellStyle name="Output 2 8 6 10" xfId="49512"/>
    <cellStyle name="Output 2 8 6 11" xfId="49513"/>
    <cellStyle name="Output 2 8 6 12" xfId="49514"/>
    <cellStyle name="Output 2 8 6 13" xfId="49515"/>
    <cellStyle name="Output 2 8 6 14" xfId="49516"/>
    <cellStyle name="Output 2 8 6 15" xfId="49517"/>
    <cellStyle name="Output 2 8 6 16" xfId="49518"/>
    <cellStyle name="Output 2 8 6 17" xfId="49519"/>
    <cellStyle name="Output 2 8 6 18" xfId="49520"/>
    <cellStyle name="Output 2 8 6 2" xfId="49521"/>
    <cellStyle name="Output 2 8 6 2 2" xfId="49522"/>
    <cellStyle name="Output 2 8 6 2 3" xfId="49523"/>
    <cellStyle name="Output 2 8 6 2 4" xfId="49524"/>
    <cellStyle name="Output 2 8 6 2 5" xfId="49525"/>
    <cellStyle name="Output 2 8 6 2 6" xfId="49526"/>
    <cellStyle name="Output 2 8 6 2 7" xfId="49527"/>
    <cellStyle name="Output 2 8 6 2 8" xfId="49528"/>
    <cellStyle name="Output 2 8 6 2 9" xfId="49529"/>
    <cellStyle name="Output 2 8 6 3" xfId="49530"/>
    <cellStyle name="Output 2 8 6 4" xfId="49531"/>
    <cellStyle name="Output 2 8 6 5" xfId="49532"/>
    <cellStyle name="Output 2 8 6 6" xfId="49533"/>
    <cellStyle name="Output 2 8 6 7" xfId="49534"/>
    <cellStyle name="Output 2 8 6 8" xfId="49535"/>
    <cellStyle name="Output 2 8 6 9" xfId="49536"/>
    <cellStyle name="Output 2 8 7" xfId="49537"/>
    <cellStyle name="Output 2 9" xfId="49538"/>
    <cellStyle name="Output 2 9 2" xfId="49539"/>
    <cellStyle name="Output 2 9 2 10" xfId="49540"/>
    <cellStyle name="Output 2 9 2 11" xfId="49541"/>
    <cellStyle name="Output 2 9 2 12" xfId="49542"/>
    <cellStyle name="Output 2 9 2 13" xfId="49543"/>
    <cellStyle name="Output 2 9 2 14" xfId="49544"/>
    <cellStyle name="Output 2 9 2 15" xfId="49545"/>
    <cellStyle name="Output 2 9 2 16" xfId="49546"/>
    <cellStyle name="Output 2 9 2 17" xfId="49547"/>
    <cellStyle name="Output 2 9 2 18" xfId="49548"/>
    <cellStyle name="Output 2 9 2 19" xfId="49549"/>
    <cellStyle name="Output 2 9 2 2" xfId="49550"/>
    <cellStyle name="Output 2 9 2 2 2" xfId="49551"/>
    <cellStyle name="Output 2 9 2 2 3" xfId="49552"/>
    <cellStyle name="Output 2 9 2 2 4" xfId="49553"/>
    <cellStyle name="Output 2 9 2 2 5" xfId="49554"/>
    <cellStyle name="Output 2 9 2 2 6" xfId="49555"/>
    <cellStyle name="Output 2 9 2 2 7" xfId="49556"/>
    <cellStyle name="Output 2 9 2 2 8" xfId="49557"/>
    <cellStyle name="Output 2 9 2 2 9" xfId="49558"/>
    <cellStyle name="Output 2 9 2 20" xfId="49559"/>
    <cellStyle name="Output 2 9 2 21" xfId="49560"/>
    <cellStyle name="Output 2 9 2 3" xfId="49561"/>
    <cellStyle name="Output 2 9 2 4" xfId="49562"/>
    <cellStyle name="Output 2 9 2 5" xfId="49563"/>
    <cellStyle name="Output 2 9 2 6" xfId="49564"/>
    <cellStyle name="Output 2 9 2 7" xfId="49565"/>
    <cellStyle name="Output 2 9 2 8" xfId="49566"/>
    <cellStyle name="Output 2 9 2 9" xfId="49567"/>
    <cellStyle name="Output 2 9 3" xfId="49568"/>
    <cellStyle name="Output 2 9 3 10" xfId="49569"/>
    <cellStyle name="Output 2 9 3 11" xfId="49570"/>
    <cellStyle name="Output 2 9 3 12" xfId="49571"/>
    <cellStyle name="Output 2 9 3 13" xfId="49572"/>
    <cellStyle name="Output 2 9 3 14" xfId="49573"/>
    <cellStyle name="Output 2 9 3 15" xfId="49574"/>
    <cellStyle name="Output 2 9 3 16" xfId="49575"/>
    <cellStyle name="Output 2 9 3 17" xfId="49576"/>
    <cellStyle name="Output 2 9 3 18" xfId="49577"/>
    <cellStyle name="Output 2 9 3 19" xfId="49578"/>
    <cellStyle name="Output 2 9 3 2" xfId="49579"/>
    <cellStyle name="Output 2 9 3 2 2" xfId="49580"/>
    <cellStyle name="Output 2 9 3 2 3" xfId="49581"/>
    <cellStyle name="Output 2 9 3 2 4" xfId="49582"/>
    <cellStyle name="Output 2 9 3 2 5" xfId="49583"/>
    <cellStyle name="Output 2 9 3 2 6" xfId="49584"/>
    <cellStyle name="Output 2 9 3 2 7" xfId="49585"/>
    <cellStyle name="Output 2 9 3 2 8" xfId="49586"/>
    <cellStyle name="Output 2 9 3 2 9" xfId="49587"/>
    <cellStyle name="Output 2 9 3 3" xfId="49588"/>
    <cellStyle name="Output 2 9 3 4" xfId="49589"/>
    <cellStyle name="Output 2 9 3 5" xfId="49590"/>
    <cellStyle name="Output 2 9 3 6" xfId="49591"/>
    <cellStyle name="Output 2 9 3 7" xfId="49592"/>
    <cellStyle name="Output 2 9 3 8" xfId="49593"/>
    <cellStyle name="Output 2 9 3 9" xfId="49594"/>
    <cellStyle name="Output 2 9 4" xfId="49595"/>
    <cellStyle name="Output 2 9 4 10" xfId="49596"/>
    <cellStyle name="Output 2 9 4 11" xfId="49597"/>
    <cellStyle name="Output 2 9 4 12" xfId="49598"/>
    <cellStyle name="Output 2 9 4 13" xfId="49599"/>
    <cellStyle name="Output 2 9 4 14" xfId="49600"/>
    <cellStyle name="Output 2 9 4 15" xfId="49601"/>
    <cellStyle name="Output 2 9 4 16" xfId="49602"/>
    <cellStyle name="Output 2 9 4 17" xfId="49603"/>
    <cellStyle name="Output 2 9 4 18" xfId="49604"/>
    <cellStyle name="Output 2 9 4 2" xfId="49605"/>
    <cellStyle name="Output 2 9 4 2 2" xfId="49606"/>
    <cellStyle name="Output 2 9 4 2 3" xfId="49607"/>
    <cellStyle name="Output 2 9 4 2 4" xfId="49608"/>
    <cellStyle name="Output 2 9 4 2 5" xfId="49609"/>
    <cellStyle name="Output 2 9 4 2 6" xfId="49610"/>
    <cellStyle name="Output 2 9 4 2 7" xfId="49611"/>
    <cellStyle name="Output 2 9 4 2 8" xfId="49612"/>
    <cellStyle name="Output 2 9 4 2 9" xfId="49613"/>
    <cellStyle name="Output 2 9 4 3" xfId="49614"/>
    <cellStyle name="Output 2 9 4 4" xfId="49615"/>
    <cellStyle name="Output 2 9 4 5" xfId="49616"/>
    <cellStyle name="Output 2 9 4 6" xfId="49617"/>
    <cellStyle name="Output 2 9 4 7" xfId="49618"/>
    <cellStyle name="Output 2 9 4 8" xfId="49619"/>
    <cellStyle name="Output 2 9 4 9" xfId="49620"/>
    <cellStyle name="Output 2 9 5" xfId="49621"/>
    <cellStyle name="Output 20" xfId="49622"/>
    <cellStyle name="Output 3" xfId="49623"/>
    <cellStyle name="Output 3 10" xfId="49624"/>
    <cellStyle name="Output 3 10 10" xfId="49625"/>
    <cellStyle name="Output 3 10 11" xfId="49626"/>
    <cellStyle name="Output 3 10 12" xfId="49627"/>
    <cellStyle name="Output 3 10 13" xfId="49628"/>
    <cellStyle name="Output 3 10 14" xfId="49629"/>
    <cellStyle name="Output 3 10 15" xfId="49630"/>
    <cellStyle name="Output 3 10 16" xfId="49631"/>
    <cellStyle name="Output 3 10 17" xfId="49632"/>
    <cellStyle name="Output 3 10 18" xfId="49633"/>
    <cellStyle name="Output 3 10 19" xfId="49634"/>
    <cellStyle name="Output 3 10 2" xfId="49635"/>
    <cellStyle name="Output 3 10 2 2" xfId="49636"/>
    <cellStyle name="Output 3 10 2 3" xfId="49637"/>
    <cellStyle name="Output 3 10 2 4" xfId="49638"/>
    <cellStyle name="Output 3 10 2 5" xfId="49639"/>
    <cellStyle name="Output 3 10 2 6" xfId="49640"/>
    <cellStyle name="Output 3 10 2 7" xfId="49641"/>
    <cellStyle name="Output 3 10 2 8" xfId="49642"/>
    <cellStyle name="Output 3 10 2 9" xfId="49643"/>
    <cellStyle name="Output 3 10 20" xfId="49644"/>
    <cellStyle name="Output 3 10 21" xfId="49645"/>
    <cellStyle name="Output 3 10 3" xfId="49646"/>
    <cellStyle name="Output 3 10 4" xfId="49647"/>
    <cellStyle name="Output 3 10 5" xfId="49648"/>
    <cellStyle name="Output 3 10 6" xfId="49649"/>
    <cellStyle name="Output 3 10 7" xfId="49650"/>
    <cellStyle name="Output 3 10 8" xfId="49651"/>
    <cellStyle name="Output 3 10 9" xfId="49652"/>
    <cellStyle name="Output 3 11" xfId="49653"/>
    <cellStyle name="Output 3 11 10" xfId="49654"/>
    <cellStyle name="Output 3 11 11" xfId="49655"/>
    <cellStyle name="Output 3 11 12" xfId="49656"/>
    <cellStyle name="Output 3 11 13" xfId="49657"/>
    <cellStyle name="Output 3 11 14" xfId="49658"/>
    <cellStyle name="Output 3 11 15" xfId="49659"/>
    <cellStyle name="Output 3 11 16" xfId="49660"/>
    <cellStyle name="Output 3 11 17" xfId="49661"/>
    <cellStyle name="Output 3 11 18" xfId="49662"/>
    <cellStyle name="Output 3 11 19" xfId="49663"/>
    <cellStyle name="Output 3 11 2" xfId="49664"/>
    <cellStyle name="Output 3 11 2 2" xfId="49665"/>
    <cellStyle name="Output 3 11 2 3" xfId="49666"/>
    <cellStyle name="Output 3 11 2 4" xfId="49667"/>
    <cellStyle name="Output 3 11 2 5" xfId="49668"/>
    <cellStyle name="Output 3 11 2 6" xfId="49669"/>
    <cellStyle name="Output 3 11 2 7" xfId="49670"/>
    <cellStyle name="Output 3 11 2 8" xfId="49671"/>
    <cellStyle name="Output 3 11 2 9" xfId="49672"/>
    <cellStyle name="Output 3 11 3" xfId="49673"/>
    <cellStyle name="Output 3 11 4" xfId="49674"/>
    <cellStyle name="Output 3 11 5" xfId="49675"/>
    <cellStyle name="Output 3 11 6" xfId="49676"/>
    <cellStyle name="Output 3 11 7" xfId="49677"/>
    <cellStyle name="Output 3 11 8" xfId="49678"/>
    <cellStyle name="Output 3 11 9" xfId="49679"/>
    <cellStyle name="Output 3 12" xfId="49680"/>
    <cellStyle name="Output 3 12 10" xfId="49681"/>
    <cellStyle name="Output 3 12 11" xfId="49682"/>
    <cellStyle name="Output 3 12 12" xfId="49683"/>
    <cellStyle name="Output 3 12 13" xfId="49684"/>
    <cellStyle name="Output 3 12 14" xfId="49685"/>
    <cellStyle name="Output 3 12 15" xfId="49686"/>
    <cellStyle name="Output 3 12 16" xfId="49687"/>
    <cellStyle name="Output 3 12 17" xfId="49688"/>
    <cellStyle name="Output 3 12 18" xfId="49689"/>
    <cellStyle name="Output 3 12 2" xfId="49690"/>
    <cellStyle name="Output 3 12 2 2" xfId="49691"/>
    <cellStyle name="Output 3 12 2 3" xfId="49692"/>
    <cellStyle name="Output 3 12 2 4" xfId="49693"/>
    <cellStyle name="Output 3 12 2 5" xfId="49694"/>
    <cellStyle name="Output 3 12 2 6" xfId="49695"/>
    <cellStyle name="Output 3 12 2 7" xfId="49696"/>
    <cellStyle name="Output 3 12 2 8" xfId="49697"/>
    <cellStyle name="Output 3 12 2 9" xfId="49698"/>
    <cellStyle name="Output 3 12 3" xfId="49699"/>
    <cellStyle name="Output 3 12 4" xfId="49700"/>
    <cellStyle name="Output 3 12 5" xfId="49701"/>
    <cellStyle name="Output 3 12 6" xfId="49702"/>
    <cellStyle name="Output 3 12 7" xfId="49703"/>
    <cellStyle name="Output 3 12 8" xfId="49704"/>
    <cellStyle name="Output 3 12 9" xfId="49705"/>
    <cellStyle name="Output 3 13" xfId="49706"/>
    <cellStyle name="Output 3 2" xfId="49707"/>
    <cellStyle name="Output 3 2 2" xfId="49708"/>
    <cellStyle name="Output 3 2 2 2" xfId="49709"/>
    <cellStyle name="Output 3 2 2 2 10" xfId="49710"/>
    <cellStyle name="Output 3 2 2 2 11" xfId="49711"/>
    <cellStyle name="Output 3 2 2 2 12" xfId="49712"/>
    <cellStyle name="Output 3 2 2 2 13" xfId="49713"/>
    <cellStyle name="Output 3 2 2 2 14" xfId="49714"/>
    <cellStyle name="Output 3 2 2 2 15" xfId="49715"/>
    <cellStyle name="Output 3 2 2 2 16" xfId="49716"/>
    <cellStyle name="Output 3 2 2 2 17" xfId="49717"/>
    <cellStyle name="Output 3 2 2 2 18" xfId="49718"/>
    <cellStyle name="Output 3 2 2 2 19" xfId="49719"/>
    <cellStyle name="Output 3 2 2 2 2" xfId="49720"/>
    <cellStyle name="Output 3 2 2 2 2 2" xfId="49721"/>
    <cellStyle name="Output 3 2 2 2 2 3" xfId="49722"/>
    <cellStyle name="Output 3 2 2 2 2 4" xfId="49723"/>
    <cellStyle name="Output 3 2 2 2 2 5" xfId="49724"/>
    <cellStyle name="Output 3 2 2 2 2 6" xfId="49725"/>
    <cellStyle name="Output 3 2 2 2 2 7" xfId="49726"/>
    <cellStyle name="Output 3 2 2 2 2 8" xfId="49727"/>
    <cellStyle name="Output 3 2 2 2 2 9" xfId="49728"/>
    <cellStyle name="Output 3 2 2 2 20" xfId="49729"/>
    <cellStyle name="Output 3 2 2 2 21" xfId="49730"/>
    <cellStyle name="Output 3 2 2 2 3" xfId="49731"/>
    <cellStyle name="Output 3 2 2 2 4" xfId="49732"/>
    <cellStyle name="Output 3 2 2 2 5" xfId="49733"/>
    <cellStyle name="Output 3 2 2 2 6" xfId="49734"/>
    <cellStyle name="Output 3 2 2 2 7" xfId="49735"/>
    <cellStyle name="Output 3 2 2 2 8" xfId="49736"/>
    <cellStyle name="Output 3 2 2 2 9" xfId="49737"/>
    <cellStyle name="Output 3 2 2 3" xfId="49738"/>
    <cellStyle name="Output 3 2 2 3 10" xfId="49739"/>
    <cellStyle name="Output 3 2 2 3 11" xfId="49740"/>
    <cellStyle name="Output 3 2 2 3 12" xfId="49741"/>
    <cellStyle name="Output 3 2 2 3 13" xfId="49742"/>
    <cellStyle name="Output 3 2 2 3 14" xfId="49743"/>
    <cellStyle name="Output 3 2 2 3 15" xfId="49744"/>
    <cellStyle name="Output 3 2 2 3 16" xfId="49745"/>
    <cellStyle name="Output 3 2 2 3 17" xfId="49746"/>
    <cellStyle name="Output 3 2 2 3 18" xfId="49747"/>
    <cellStyle name="Output 3 2 2 3 19" xfId="49748"/>
    <cellStyle name="Output 3 2 2 3 2" xfId="49749"/>
    <cellStyle name="Output 3 2 2 3 2 2" xfId="49750"/>
    <cellStyle name="Output 3 2 2 3 2 3" xfId="49751"/>
    <cellStyle name="Output 3 2 2 3 2 4" xfId="49752"/>
    <cellStyle name="Output 3 2 2 3 2 5" xfId="49753"/>
    <cellStyle name="Output 3 2 2 3 2 6" xfId="49754"/>
    <cellStyle name="Output 3 2 2 3 2 7" xfId="49755"/>
    <cellStyle name="Output 3 2 2 3 2 8" xfId="49756"/>
    <cellStyle name="Output 3 2 2 3 2 9" xfId="49757"/>
    <cellStyle name="Output 3 2 2 3 3" xfId="49758"/>
    <cellStyle name="Output 3 2 2 3 4" xfId="49759"/>
    <cellStyle name="Output 3 2 2 3 5" xfId="49760"/>
    <cellStyle name="Output 3 2 2 3 6" xfId="49761"/>
    <cellStyle name="Output 3 2 2 3 7" xfId="49762"/>
    <cellStyle name="Output 3 2 2 3 8" xfId="49763"/>
    <cellStyle name="Output 3 2 2 3 9" xfId="49764"/>
    <cellStyle name="Output 3 2 2 4" xfId="49765"/>
    <cellStyle name="Output 3 2 2 4 10" xfId="49766"/>
    <cellStyle name="Output 3 2 2 4 11" xfId="49767"/>
    <cellStyle name="Output 3 2 2 4 12" xfId="49768"/>
    <cellStyle name="Output 3 2 2 4 13" xfId="49769"/>
    <cellStyle name="Output 3 2 2 4 14" xfId="49770"/>
    <cellStyle name="Output 3 2 2 4 15" xfId="49771"/>
    <cellStyle name="Output 3 2 2 4 16" xfId="49772"/>
    <cellStyle name="Output 3 2 2 4 17" xfId="49773"/>
    <cellStyle name="Output 3 2 2 4 18" xfId="49774"/>
    <cellStyle name="Output 3 2 2 4 2" xfId="49775"/>
    <cellStyle name="Output 3 2 2 4 2 2" xfId="49776"/>
    <cellStyle name="Output 3 2 2 4 2 3" xfId="49777"/>
    <cellStyle name="Output 3 2 2 4 2 4" xfId="49778"/>
    <cellStyle name="Output 3 2 2 4 2 5" xfId="49779"/>
    <cellStyle name="Output 3 2 2 4 2 6" xfId="49780"/>
    <cellStyle name="Output 3 2 2 4 2 7" xfId="49781"/>
    <cellStyle name="Output 3 2 2 4 2 8" xfId="49782"/>
    <cellStyle name="Output 3 2 2 4 2 9" xfId="49783"/>
    <cellStyle name="Output 3 2 2 4 3" xfId="49784"/>
    <cellStyle name="Output 3 2 2 4 4" xfId="49785"/>
    <cellStyle name="Output 3 2 2 4 5" xfId="49786"/>
    <cellStyle name="Output 3 2 2 4 6" xfId="49787"/>
    <cellStyle name="Output 3 2 2 4 7" xfId="49788"/>
    <cellStyle name="Output 3 2 2 4 8" xfId="49789"/>
    <cellStyle name="Output 3 2 2 4 9" xfId="49790"/>
    <cellStyle name="Output 3 2 2 5" xfId="49791"/>
    <cellStyle name="Output 3 2 3" xfId="49792"/>
    <cellStyle name="Output 3 2 3 2" xfId="49793"/>
    <cellStyle name="Output 3 2 3 2 10" xfId="49794"/>
    <cellStyle name="Output 3 2 3 2 11" xfId="49795"/>
    <cellStyle name="Output 3 2 3 2 12" xfId="49796"/>
    <cellStyle name="Output 3 2 3 2 13" xfId="49797"/>
    <cellStyle name="Output 3 2 3 2 14" xfId="49798"/>
    <cellStyle name="Output 3 2 3 2 15" xfId="49799"/>
    <cellStyle name="Output 3 2 3 2 16" xfId="49800"/>
    <cellStyle name="Output 3 2 3 2 17" xfId="49801"/>
    <cellStyle name="Output 3 2 3 2 18" xfId="49802"/>
    <cellStyle name="Output 3 2 3 2 19" xfId="49803"/>
    <cellStyle name="Output 3 2 3 2 2" xfId="49804"/>
    <cellStyle name="Output 3 2 3 2 2 2" xfId="49805"/>
    <cellStyle name="Output 3 2 3 2 2 3" xfId="49806"/>
    <cellStyle name="Output 3 2 3 2 2 4" xfId="49807"/>
    <cellStyle name="Output 3 2 3 2 2 5" xfId="49808"/>
    <cellStyle name="Output 3 2 3 2 2 6" xfId="49809"/>
    <cellStyle name="Output 3 2 3 2 2 7" xfId="49810"/>
    <cellStyle name="Output 3 2 3 2 2 8" xfId="49811"/>
    <cellStyle name="Output 3 2 3 2 2 9" xfId="49812"/>
    <cellStyle name="Output 3 2 3 2 20" xfId="49813"/>
    <cellStyle name="Output 3 2 3 2 21" xfId="49814"/>
    <cellStyle name="Output 3 2 3 2 3" xfId="49815"/>
    <cellStyle name="Output 3 2 3 2 4" xfId="49816"/>
    <cellStyle name="Output 3 2 3 2 5" xfId="49817"/>
    <cellStyle name="Output 3 2 3 2 6" xfId="49818"/>
    <cellStyle name="Output 3 2 3 2 7" xfId="49819"/>
    <cellStyle name="Output 3 2 3 2 8" xfId="49820"/>
    <cellStyle name="Output 3 2 3 2 9" xfId="49821"/>
    <cellStyle name="Output 3 2 3 3" xfId="49822"/>
    <cellStyle name="Output 3 2 3 3 10" xfId="49823"/>
    <cellStyle name="Output 3 2 3 3 11" xfId="49824"/>
    <cellStyle name="Output 3 2 3 3 12" xfId="49825"/>
    <cellStyle name="Output 3 2 3 3 13" xfId="49826"/>
    <cellStyle name="Output 3 2 3 3 14" xfId="49827"/>
    <cellStyle name="Output 3 2 3 3 15" xfId="49828"/>
    <cellStyle name="Output 3 2 3 3 16" xfId="49829"/>
    <cellStyle name="Output 3 2 3 3 17" xfId="49830"/>
    <cellStyle name="Output 3 2 3 3 18" xfId="49831"/>
    <cellStyle name="Output 3 2 3 3 19" xfId="49832"/>
    <cellStyle name="Output 3 2 3 3 2" xfId="49833"/>
    <cellStyle name="Output 3 2 3 3 2 2" xfId="49834"/>
    <cellStyle name="Output 3 2 3 3 2 3" xfId="49835"/>
    <cellStyle name="Output 3 2 3 3 2 4" xfId="49836"/>
    <cellStyle name="Output 3 2 3 3 2 5" xfId="49837"/>
    <cellStyle name="Output 3 2 3 3 2 6" xfId="49838"/>
    <cellStyle name="Output 3 2 3 3 2 7" xfId="49839"/>
    <cellStyle name="Output 3 2 3 3 2 8" xfId="49840"/>
    <cellStyle name="Output 3 2 3 3 2 9" xfId="49841"/>
    <cellStyle name="Output 3 2 3 3 3" xfId="49842"/>
    <cellStyle name="Output 3 2 3 3 4" xfId="49843"/>
    <cellStyle name="Output 3 2 3 3 5" xfId="49844"/>
    <cellStyle name="Output 3 2 3 3 6" xfId="49845"/>
    <cellStyle name="Output 3 2 3 3 7" xfId="49846"/>
    <cellStyle name="Output 3 2 3 3 8" xfId="49847"/>
    <cellStyle name="Output 3 2 3 3 9" xfId="49848"/>
    <cellStyle name="Output 3 2 3 4" xfId="49849"/>
    <cellStyle name="Output 3 2 3 4 10" xfId="49850"/>
    <cellStyle name="Output 3 2 3 4 11" xfId="49851"/>
    <cellStyle name="Output 3 2 3 4 12" xfId="49852"/>
    <cellStyle name="Output 3 2 3 4 13" xfId="49853"/>
    <cellStyle name="Output 3 2 3 4 14" xfId="49854"/>
    <cellStyle name="Output 3 2 3 4 15" xfId="49855"/>
    <cellStyle name="Output 3 2 3 4 16" xfId="49856"/>
    <cellStyle name="Output 3 2 3 4 17" xfId="49857"/>
    <cellStyle name="Output 3 2 3 4 18" xfId="49858"/>
    <cellStyle name="Output 3 2 3 4 2" xfId="49859"/>
    <cellStyle name="Output 3 2 3 4 2 2" xfId="49860"/>
    <cellStyle name="Output 3 2 3 4 2 3" xfId="49861"/>
    <cellStyle name="Output 3 2 3 4 2 4" xfId="49862"/>
    <cellStyle name="Output 3 2 3 4 2 5" xfId="49863"/>
    <cellStyle name="Output 3 2 3 4 2 6" xfId="49864"/>
    <cellStyle name="Output 3 2 3 4 2 7" xfId="49865"/>
    <cellStyle name="Output 3 2 3 4 2 8" xfId="49866"/>
    <cellStyle name="Output 3 2 3 4 2 9" xfId="49867"/>
    <cellStyle name="Output 3 2 3 4 3" xfId="49868"/>
    <cellStyle name="Output 3 2 3 4 4" xfId="49869"/>
    <cellStyle name="Output 3 2 3 4 5" xfId="49870"/>
    <cellStyle name="Output 3 2 3 4 6" xfId="49871"/>
    <cellStyle name="Output 3 2 3 4 7" xfId="49872"/>
    <cellStyle name="Output 3 2 3 4 8" xfId="49873"/>
    <cellStyle name="Output 3 2 3 4 9" xfId="49874"/>
    <cellStyle name="Output 3 2 3 5" xfId="49875"/>
    <cellStyle name="Output 3 2 4" xfId="49876"/>
    <cellStyle name="Output 3 2 4 10" xfId="49877"/>
    <cellStyle name="Output 3 2 4 11" xfId="49878"/>
    <cellStyle name="Output 3 2 4 12" xfId="49879"/>
    <cellStyle name="Output 3 2 4 13" xfId="49880"/>
    <cellStyle name="Output 3 2 4 14" xfId="49881"/>
    <cellStyle name="Output 3 2 4 15" xfId="49882"/>
    <cellStyle name="Output 3 2 4 16" xfId="49883"/>
    <cellStyle name="Output 3 2 4 17" xfId="49884"/>
    <cellStyle name="Output 3 2 4 18" xfId="49885"/>
    <cellStyle name="Output 3 2 4 19" xfId="49886"/>
    <cellStyle name="Output 3 2 4 2" xfId="49887"/>
    <cellStyle name="Output 3 2 4 2 2" xfId="49888"/>
    <cellStyle name="Output 3 2 4 2 3" xfId="49889"/>
    <cellStyle name="Output 3 2 4 2 4" xfId="49890"/>
    <cellStyle name="Output 3 2 4 2 5" xfId="49891"/>
    <cellStyle name="Output 3 2 4 2 6" xfId="49892"/>
    <cellStyle name="Output 3 2 4 2 7" xfId="49893"/>
    <cellStyle name="Output 3 2 4 2 8" xfId="49894"/>
    <cellStyle name="Output 3 2 4 2 9" xfId="49895"/>
    <cellStyle name="Output 3 2 4 20" xfId="49896"/>
    <cellStyle name="Output 3 2 4 21" xfId="49897"/>
    <cellStyle name="Output 3 2 4 3" xfId="49898"/>
    <cellStyle name="Output 3 2 4 4" xfId="49899"/>
    <cellStyle name="Output 3 2 4 5" xfId="49900"/>
    <cellStyle name="Output 3 2 4 6" xfId="49901"/>
    <cellStyle name="Output 3 2 4 7" xfId="49902"/>
    <cellStyle name="Output 3 2 4 8" xfId="49903"/>
    <cellStyle name="Output 3 2 4 9" xfId="49904"/>
    <cellStyle name="Output 3 2 5" xfId="49905"/>
    <cellStyle name="Output 3 2 5 10" xfId="49906"/>
    <cellStyle name="Output 3 2 5 11" xfId="49907"/>
    <cellStyle name="Output 3 2 5 12" xfId="49908"/>
    <cellStyle name="Output 3 2 5 13" xfId="49909"/>
    <cellStyle name="Output 3 2 5 14" xfId="49910"/>
    <cellStyle name="Output 3 2 5 15" xfId="49911"/>
    <cellStyle name="Output 3 2 5 16" xfId="49912"/>
    <cellStyle name="Output 3 2 5 17" xfId="49913"/>
    <cellStyle name="Output 3 2 5 18" xfId="49914"/>
    <cellStyle name="Output 3 2 5 19" xfId="49915"/>
    <cellStyle name="Output 3 2 5 2" xfId="49916"/>
    <cellStyle name="Output 3 2 5 2 2" xfId="49917"/>
    <cellStyle name="Output 3 2 5 2 3" xfId="49918"/>
    <cellStyle name="Output 3 2 5 2 4" xfId="49919"/>
    <cellStyle name="Output 3 2 5 2 5" xfId="49920"/>
    <cellStyle name="Output 3 2 5 2 6" xfId="49921"/>
    <cellStyle name="Output 3 2 5 2 7" xfId="49922"/>
    <cellStyle name="Output 3 2 5 2 8" xfId="49923"/>
    <cellStyle name="Output 3 2 5 2 9" xfId="49924"/>
    <cellStyle name="Output 3 2 5 3" xfId="49925"/>
    <cellStyle name="Output 3 2 5 4" xfId="49926"/>
    <cellStyle name="Output 3 2 5 5" xfId="49927"/>
    <cellStyle name="Output 3 2 5 6" xfId="49928"/>
    <cellStyle name="Output 3 2 5 7" xfId="49929"/>
    <cellStyle name="Output 3 2 5 8" xfId="49930"/>
    <cellStyle name="Output 3 2 5 9" xfId="49931"/>
    <cellStyle name="Output 3 2 6" xfId="49932"/>
    <cellStyle name="Output 3 2 6 10" xfId="49933"/>
    <cellStyle name="Output 3 2 6 11" xfId="49934"/>
    <cellStyle name="Output 3 2 6 12" xfId="49935"/>
    <cellStyle name="Output 3 2 6 13" xfId="49936"/>
    <cellStyle name="Output 3 2 6 14" xfId="49937"/>
    <cellStyle name="Output 3 2 6 15" xfId="49938"/>
    <cellStyle name="Output 3 2 6 16" xfId="49939"/>
    <cellStyle name="Output 3 2 6 17" xfId="49940"/>
    <cellStyle name="Output 3 2 6 18" xfId="49941"/>
    <cellStyle name="Output 3 2 6 2" xfId="49942"/>
    <cellStyle name="Output 3 2 6 2 2" xfId="49943"/>
    <cellStyle name="Output 3 2 6 2 3" xfId="49944"/>
    <cellStyle name="Output 3 2 6 2 4" xfId="49945"/>
    <cellStyle name="Output 3 2 6 2 5" xfId="49946"/>
    <cellStyle name="Output 3 2 6 2 6" xfId="49947"/>
    <cellStyle name="Output 3 2 6 2 7" xfId="49948"/>
    <cellStyle name="Output 3 2 6 2 8" xfId="49949"/>
    <cellStyle name="Output 3 2 6 2 9" xfId="49950"/>
    <cellStyle name="Output 3 2 6 3" xfId="49951"/>
    <cellStyle name="Output 3 2 6 4" xfId="49952"/>
    <cellStyle name="Output 3 2 6 5" xfId="49953"/>
    <cellStyle name="Output 3 2 6 6" xfId="49954"/>
    <cellStyle name="Output 3 2 6 7" xfId="49955"/>
    <cellStyle name="Output 3 2 6 8" xfId="49956"/>
    <cellStyle name="Output 3 2 6 9" xfId="49957"/>
    <cellStyle name="Output 3 2 7" xfId="49958"/>
    <cellStyle name="Output 3 3" xfId="49959"/>
    <cellStyle name="Output 3 3 2" xfId="49960"/>
    <cellStyle name="Output 3 3 2 2" xfId="49961"/>
    <cellStyle name="Output 3 3 2 2 10" xfId="49962"/>
    <cellStyle name="Output 3 3 2 2 11" xfId="49963"/>
    <cellStyle name="Output 3 3 2 2 12" xfId="49964"/>
    <cellStyle name="Output 3 3 2 2 13" xfId="49965"/>
    <cellStyle name="Output 3 3 2 2 14" xfId="49966"/>
    <cellStyle name="Output 3 3 2 2 15" xfId="49967"/>
    <cellStyle name="Output 3 3 2 2 16" xfId="49968"/>
    <cellStyle name="Output 3 3 2 2 17" xfId="49969"/>
    <cellStyle name="Output 3 3 2 2 18" xfId="49970"/>
    <cellStyle name="Output 3 3 2 2 19" xfId="49971"/>
    <cellStyle name="Output 3 3 2 2 2" xfId="49972"/>
    <cellStyle name="Output 3 3 2 2 2 2" xfId="49973"/>
    <cellStyle name="Output 3 3 2 2 2 3" xfId="49974"/>
    <cellStyle name="Output 3 3 2 2 2 4" xfId="49975"/>
    <cellStyle name="Output 3 3 2 2 2 5" xfId="49976"/>
    <cellStyle name="Output 3 3 2 2 2 6" xfId="49977"/>
    <cellStyle name="Output 3 3 2 2 2 7" xfId="49978"/>
    <cellStyle name="Output 3 3 2 2 2 8" xfId="49979"/>
    <cellStyle name="Output 3 3 2 2 2 9" xfId="49980"/>
    <cellStyle name="Output 3 3 2 2 20" xfId="49981"/>
    <cellStyle name="Output 3 3 2 2 21" xfId="49982"/>
    <cellStyle name="Output 3 3 2 2 3" xfId="49983"/>
    <cellStyle name="Output 3 3 2 2 4" xfId="49984"/>
    <cellStyle name="Output 3 3 2 2 5" xfId="49985"/>
    <cellStyle name="Output 3 3 2 2 6" xfId="49986"/>
    <cellStyle name="Output 3 3 2 2 7" xfId="49987"/>
    <cellStyle name="Output 3 3 2 2 8" xfId="49988"/>
    <cellStyle name="Output 3 3 2 2 9" xfId="49989"/>
    <cellStyle name="Output 3 3 2 3" xfId="49990"/>
    <cellStyle name="Output 3 3 2 3 10" xfId="49991"/>
    <cellStyle name="Output 3 3 2 3 11" xfId="49992"/>
    <cellStyle name="Output 3 3 2 3 12" xfId="49993"/>
    <cellStyle name="Output 3 3 2 3 13" xfId="49994"/>
    <cellStyle name="Output 3 3 2 3 14" xfId="49995"/>
    <cellStyle name="Output 3 3 2 3 15" xfId="49996"/>
    <cellStyle name="Output 3 3 2 3 16" xfId="49997"/>
    <cellStyle name="Output 3 3 2 3 17" xfId="49998"/>
    <cellStyle name="Output 3 3 2 3 18" xfId="49999"/>
    <cellStyle name="Output 3 3 2 3 19" xfId="50000"/>
    <cellStyle name="Output 3 3 2 3 2" xfId="50001"/>
    <cellStyle name="Output 3 3 2 3 2 2" xfId="50002"/>
    <cellStyle name="Output 3 3 2 3 2 3" xfId="50003"/>
    <cellStyle name="Output 3 3 2 3 2 4" xfId="50004"/>
    <cellStyle name="Output 3 3 2 3 2 5" xfId="50005"/>
    <cellStyle name="Output 3 3 2 3 2 6" xfId="50006"/>
    <cellStyle name="Output 3 3 2 3 2 7" xfId="50007"/>
    <cellStyle name="Output 3 3 2 3 2 8" xfId="50008"/>
    <cellStyle name="Output 3 3 2 3 2 9" xfId="50009"/>
    <cellStyle name="Output 3 3 2 3 3" xfId="50010"/>
    <cellStyle name="Output 3 3 2 3 4" xfId="50011"/>
    <cellStyle name="Output 3 3 2 3 5" xfId="50012"/>
    <cellStyle name="Output 3 3 2 3 6" xfId="50013"/>
    <cellStyle name="Output 3 3 2 3 7" xfId="50014"/>
    <cellStyle name="Output 3 3 2 3 8" xfId="50015"/>
    <cellStyle name="Output 3 3 2 3 9" xfId="50016"/>
    <cellStyle name="Output 3 3 2 4" xfId="50017"/>
    <cellStyle name="Output 3 3 2 4 10" xfId="50018"/>
    <cellStyle name="Output 3 3 2 4 11" xfId="50019"/>
    <cellStyle name="Output 3 3 2 4 12" xfId="50020"/>
    <cellStyle name="Output 3 3 2 4 13" xfId="50021"/>
    <cellStyle name="Output 3 3 2 4 14" xfId="50022"/>
    <cellStyle name="Output 3 3 2 4 15" xfId="50023"/>
    <cellStyle name="Output 3 3 2 4 16" xfId="50024"/>
    <cellStyle name="Output 3 3 2 4 17" xfId="50025"/>
    <cellStyle name="Output 3 3 2 4 18" xfId="50026"/>
    <cellStyle name="Output 3 3 2 4 2" xfId="50027"/>
    <cellStyle name="Output 3 3 2 4 2 2" xfId="50028"/>
    <cellStyle name="Output 3 3 2 4 2 3" xfId="50029"/>
    <cellStyle name="Output 3 3 2 4 2 4" xfId="50030"/>
    <cellStyle name="Output 3 3 2 4 2 5" xfId="50031"/>
    <cellStyle name="Output 3 3 2 4 2 6" xfId="50032"/>
    <cellStyle name="Output 3 3 2 4 2 7" xfId="50033"/>
    <cellStyle name="Output 3 3 2 4 2 8" xfId="50034"/>
    <cellStyle name="Output 3 3 2 4 2 9" xfId="50035"/>
    <cellStyle name="Output 3 3 2 4 3" xfId="50036"/>
    <cellStyle name="Output 3 3 2 4 4" xfId="50037"/>
    <cellStyle name="Output 3 3 2 4 5" xfId="50038"/>
    <cellStyle name="Output 3 3 2 4 6" xfId="50039"/>
    <cellStyle name="Output 3 3 2 4 7" xfId="50040"/>
    <cellStyle name="Output 3 3 2 4 8" xfId="50041"/>
    <cellStyle name="Output 3 3 2 4 9" xfId="50042"/>
    <cellStyle name="Output 3 3 2 5" xfId="50043"/>
    <cellStyle name="Output 3 3 3" xfId="50044"/>
    <cellStyle name="Output 3 3 3 2" xfId="50045"/>
    <cellStyle name="Output 3 3 3 2 10" xfId="50046"/>
    <cellStyle name="Output 3 3 3 2 11" xfId="50047"/>
    <cellStyle name="Output 3 3 3 2 12" xfId="50048"/>
    <cellStyle name="Output 3 3 3 2 13" xfId="50049"/>
    <cellStyle name="Output 3 3 3 2 14" xfId="50050"/>
    <cellStyle name="Output 3 3 3 2 15" xfId="50051"/>
    <cellStyle name="Output 3 3 3 2 16" xfId="50052"/>
    <cellStyle name="Output 3 3 3 2 17" xfId="50053"/>
    <cellStyle name="Output 3 3 3 2 18" xfId="50054"/>
    <cellStyle name="Output 3 3 3 2 19" xfId="50055"/>
    <cellStyle name="Output 3 3 3 2 2" xfId="50056"/>
    <cellStyle name="Output 3 3 3 2 2 2" xfId="50057"/>
    <cellStyle name="Output 3 3 3 2 2 3" xfId="50058"/>
    <cellStyle name="Output 3 3 3 2 2 4" xfId="50059"/>
    <cellStyle name="Output 3 3 3 2 2 5" xfId="50060"/>
    <cellStyle name="Output 3 3 3 2 2 6" xfId="50061"/>
    <cellStyle name="Output 3 3 3 2 2 7" xfId="50062"/>
    <cellStyle name="Output 3 3 3 2 2 8" xfId="50063"/>
    <cellStyle name="Output 3 3 3 2 2 9" xfId="50064"/>
    <cellStyle name="Output 3 3 3 2 20" xfId="50065"/>
    <cellStyle name="Output 3 3 3 2 21" xfId="50066"/>
    <cellStyle name="Output 3 3 3 2 3" xfId="50067"/>
    <cellStyle name="Output 3 3 3 2 4" xfId="50068"/>
    <cellStyle name="Output 3 3 3 2 5" xfId="50069"/>
    <cellStyle name="Output 3 3 3 2 6" xfId="50070"/>
    <cellStyle name="Output 3 3 3 2 7" xfId="50071"/>
    <cellStyle name="Output 3 3 3 2 8" xfId="50072"/>
    <cellStyle name="Output 3 3 3 2 9" xfId="50073"/>
    <cellStyle name="Output 3 3 3 3" xfId="50074"/>
    <cellStyle name="Output 3 3 3 3 10" xfId="50075"/>
    <cellStyle name="Output 3 3 3 3 11" xfId="50076"/>
    <cellStyle name="Output 3 3 3 3 12" xfId="50077"/>
    <cellStyle name="Output 3 3 3 3 13" xfId="50078"/>
    <cellStyle name="Output 3 3 3 3 14" xfId="50079"/>
    <cellStyle name="Output 3 3 3 3 15" xfId="50080"/>
    <cellStyle name="Output 3 3 3 3 16" xfId="50081"/>
    <cellStyle name="Output 3 3 3 3 17" xfId="50082"/>
    <cellStyle name="Output 3 3 3 3 18" xfId="50083"/>
    <cellStyle name="Output 3 3 3 3 19" xfId="50084"/>
    <cellStyle name="Output 3 3 3 3 2" xfId="50085"/>
    <cellStyle name="Output 3 3 3 3 2 2" xfId="50086"/>
    <cellStyle name="Output 3 3 3 3 2 3" xfId="50087"/>
    <cellStyle name="Output 3 3 3 3 2 4" xfId="50088"/>
    <cellStyle name="Output 3 3 3 3 2 5" xfId="50089"/>
    <cellStyle name="Output 3 3 3 3 2 6" xfId="50090"/>
    <cellStyle name="Output 3 3 3 3 2 7" xfId="50091"/>
    <cellStyle name="Output 3 3 3 3 2 8" xfId="50092"/>
    <cellStyle name="Output 3 3 3 3 2 9" xfId="50093"/>
    <cellStyle name="Output 3 3 3 3 3" xfId="50094"/>
    <cellStyle name="Output 3 3 3 3 4" xfId="50095"/>
    <cellStyle name="Output 3 3 3 3 5" xfId="50096"/>
    <cellStyle name="Output 3 3 3 3 6" xfId="50097"/>
    <cellStyle name="Output 3 3 3 3 7" xfId="50098"/>
    <cellStyle name="Output 3 3 3 3 8" xfId="50099"/>
    <cellStyle name="Output 3 3 3 3 9" xfId="50100"/>
    <cellStyle name="Output 3 3 3 4" xfId="50101"/>
    <cellStyle name="Output 3 3 3 4 10" xfId="50102"/>
    <cellStyle name="Output 3 3 3 4 11" xfId="50103"/>
    <cellStyle name="Output 3 3 3 4 12" xfId="50104"/>
    <cellStyle name="Output 3 3 3 4 13" xfId="50105"/>
    <cellStyle name="Output 3 3 3 4 14" xfId="50106"/>
    <cellStyle name="Output 3 3 3 4 15" xfId="50107"/>
    <cellStyle name="Output 3 3 3 4 16" xfId="50108"/>
    <cellStyle name="Output 3 3 3 4 17" xfId="50109"/>
    <cellStyle name="Output 3 3 3 4 18" xfId="50110"/>
    <cellStyle name="Output 3 3 3 4 2" xfId="50111"/>
    <cellStyle name="Output 3 3 3 4 2 2" xfId="50112"/>
    <cellStyle name="Output 3 3 3 4 2 3" xfId="50113"/>
    <cellStyle name="Output 3 3 3 4 2 4" xfId="50114"/>
    <cellStyle name="Output 3 3 3 4 2 5" xfId="50115"/>
    <cellStyle name="Output 3 3 3 4 2 6" xfId="50116"/>
    <cellStyle name="Output 3 3 3 4 2 7" xfId="50117"/>
    <cellStyle name="Output 3 3 3 4 2 8" xfId="50118"/>
    <cellStyle name="Output 3 3 3 4 2 9" xfId="50119"/>
    <cellStyle name="Output 3 3 3 4 3" xfId="50120"/>
    <cellStyle name="Output 3 3 3 4 4" xfId="50121"/>
    <cellStyle name="Output 3 3 3 4 5" xfId="50122"/>
    <cellStyle name="Output 3 3 3 4 6" xfId="50123"/>
    <cellStyle name="Output 3 3 3 4 7" xfId="50124"/>
    <cellStyle name="Output 3 3 3 4 8" xfId="50125"/>
    <cellStyle name="Output 3 3 3 4 9" xfId="50126"/>
    <cellStyle name="Output 3 3 3 5" xfId="50127"/>
    <cellStyle name="Output 3 3 4" xfId="50128"/>
    <cellStyle name="Output 3 3 4 10" xfId="50129"/>
    <cellStyle name="Output 3 3 4 11" xfId="50130"/>
    <cellStyle name="Output 3 3 4 12" xfId="50131"/>
    <cellStyle name="Output 3 3 4 13" xfId="50132"/>
    <cellStyle name="Output 3 3 4 14" xfId="50133"/>
    <cellStyle name="Output 3 3 4 15" xfId="50134"/>
    <cellStyle name="Output 3 3 4 16" xfId="50135"/>
    <cellStyle name="Output 3 3 4 17" xfId="50136"/>
    <cellStyle name="Output 3 3 4 18" xfId="50137"/>
    <cellStyle name="Output 3 3 4 19" xfId="50138"/>
    <cellStyle name="Output 3 3 4 2" xfId="50139"/>
    <cellStyle name="Output 3 3 4 2 2" xfId="50140"/>
    <cellStyle name="Output 3 3 4 2 3" xfId="50141"/>
    <cellStyle name="Output 3 3 4 2 4" xfId="50142"/>
    <cellStyle name="Output 3 3 4 2 5" xfId="50143"/>
    <cellStyle name="Output 3 3 4 2 6" xfId="50144"/>
    <cellStyle name="Output 3 3 4 2 7" xfId="50145"/>
    <cellStyle name="Output 3 3 4 2 8" xfId="50146"/>
    <cellStyle name="Output 3 3 4 2 9" xfId="50147"/>
    <cellStyle name="Output 3 3 4 20" xfId="50148"/>
    <cellStyle name="Output 3 3 4 21" xfId="50149"/>
    <cellStyle name="Output 3 3 4 3" xfId="50150"/>
    <cellStyle name="Output 3 3 4 4" xfId="50151"/>
    <cellStyle name="Output 3 3 4 5" xfId="50152"/>
    <cellStyle name="Output 3 3 4 6" xfId="50153"/>
    <cellStyle name="Output 3 3 4 7" xfId="50154"/>
    <cellStyle name="Output 3 3 4 8" xfId="50155"/>
    <cellStyle name="Output 3 3 4 9" xfId="50156"/>
    <cellStyle name="Output 3 3 5" xfId="50157"/>
    <cellStyle name="Output 3 3 5 10" xfId="50158"/>
    <cellStyle name="Output 3 3 5 11" xfId="50159"/>
    <cellStyle name="Output 3 3 5 12" xfId="50160"/>
    <cellStyle name="Output 3 3 5 13" xfId="50161"/>
    <cellStyle name="Output 3 3 5 14" xfId="50162"/>
    <cellStyle name="Output 3 3 5 15" xfId="50163"/>
    <cellStyle name="Output 3 3 5 16" xfId="50164"/>
    <cellStyle name="Output 3 3 5 17" xfId="50165"/>
    <cellStyle name="Output 3 3 5 18" xfId="50166"/>
    <cellStyle name="Output 3 3 5 19" xfId="50167"/>
    <cellStyle name="Output 3 3 5 2" xfId="50168"/>
    <cellStyle name="Output 3 3 5 2 2" xfId="50169"/>
    <cellStyle name="Output 3 3 5 2 3" xfId="50170"/>
    <cellStyle name="Output 3 3 5 2 4" xfId="50171"/>
    <cellStyle name="Output 3 3 5 2 5" xfId="50172"/>
    <cellStyle name="Output 3 3 5 2 6" xfId="50173"/>
    <cellStyle name="Output 3 3 5 2 7" xfId="50174"/>
    <cellStyle name="Output 3 3 5 2 8" xfId="50175"/>
    <cellStyle name="Output 3 3 5 2 9" xfId="50176"/>
    <cellStyle name="Output 3 3 5 3" xfId="50177"/>
    <cellStyle name="Output 3 3 5 4" xfId="50178"/>
    <cellStyle name="Output 3 3 5 5" xfId="50179"/>
    <cellStyle name="Output 3 3 5 6" xfId="50180"/>
    <cellStyle name="Output 3 3 5 7" xfId="50181"/>
    <cellStyle name="Output 3 3 5 8" xfId="50182"/>
    <cellStyle name="Output 3 3 5 9" xfId="50183"/>
    <cellStyle name="Output 3 3 6" xfId="50184"/>
    <cellStyle name="Output 3 3 6 10" xfId="50185"/>
    <cellStyle name="Output 3 3 6 11" xfId="50186"/>
    <cellStyle name="Output 3 3 6 12" xfId="50187"/>
    <cellStyle name="Output 3 3 6 13" xfId="50188"/>
    <cellStyle name="Output 3 3 6 14" xfId="50189"/>
    <cellStyle name="Output 3 3 6 15" xfId="50190"/>
    <cellStyle name="Output 3 3 6 16" xfId="50191"/>
    <cellStyle name="Output 3 3 6 17" xfId="50192"/>
    <cellStyle name="Output 3 3 6 18" xfId="50193"/>
    <cellStyle name="Output 3 3 6 2" xfId="50194"/>
    <cellStyle name="Output 3 3 6 2 2" xfId="50195"/>
    <cellStyle name="Output 3 3 6 2 3" xfId="50196"/>
    <cellStyle name="Output 3 3 6 2 4" xfId="50197"/>
    <cellStyle name="Output 3 3 6 2 5" xfId="50198"/>
    <cellStyle name="Output 3 3 6 2 6" xfId="50199"/>
    <cellStyle name="Output 3 3 6 2 7" xfId="50200"/>
    <cellStyle name="Output 3 3 6 2 8" xfId="50201"/>
    <cellStyle name="Output 3 3 6 2 9" xfId="50202"/>
    <cellStyle name="Output 3 3 6 3" xfId="50203"/>
    <cellStyle name="Output 3 3 6 4" xfId="50204"/>
    <cellStyle name="Output 3 3 6 5" xfId="50205"/>
    <cellStyle name="Output 3 3 6 6" xfId="50206"/>
    <cellStyle name="Output 3 3 6 7" xfId="50207"/>
    <cellStyle name="Output 3 3 6 8" xfId="50208"/>
    <cellStyle name="Output 3 3 6 9" xfId="50209"/>
    <cellStyle name="Output 3 3 7" xfId="50210"/>
    <cellStyle name="Output 3 4" xfId="50211"/>
    <cellStyle name="Output 3 4 2" xfId="50212"/>
    <cellStyle name="Output 3 4 2 2" xfId="50213"/>
    <cellStyle name="Output 3 4 2 2 10" xfId="50214"/>
    <cellStyle name="Output 3 4 2 2 11" xfId="50215"/>
    <cellStyle name="Output 3 4 2 2 12" xfId="50216"/>
    <cellStyle name="Output 3 4 2 2 13" xfId="50217"/>
    <cellStyle name="Output 3 4 2 2 14" xfId="50218"/>
    <cellStyle name="Output 3 4 2 2 15" xfId="50219"/>
    <cellStyle name="Output 3 4 2 2 16" xfId="50220"/>
    <cellStyle name="Output 3 4 2 2 17" xfId="50221"/>
    <cellStyle name="Output 3 4 2 2 18" xfId="50222"/>
    <cellStyle name="Output 3 4 2 2 19" xfId="50223"/>
    <cellStyle name="Output 3 4 2 2 2" xfId="50224"/>
    <cellStyle name="Output 3 4 2 2 2 2" xfId="50225"/>
    <cellStyle name="Output 3 4 2 2 2 3" xfId="50226"/>
    <cellStyle name="Output 3 4 2 2 2 4" xfId="50227"/>
    <cellStyle name="Output 3 4 2 2 2 5" xfId="50228"/>
    <cellStyle name="Output 3 4 2 2 2 6" xfId="50229"/>
    <cellStyle name="Output 3 4 2 2 2 7" xfId="50230"/>
    <cellStyle name="Output 3 4 2 2 2 8" xfId="50231"/>
    <cellStyle name="Output 3 4 2 2 2 9" xfId="50232"/>
    <cellStyle name="Output 3 4 2 2 20" xfId="50233"/>
    <cellStyle name="Output 3 4 2 2 21" xfId="50234"/>
    <cellStyle name="Output 3 4 2 2 3" xfId="50235"/>
    <cellStyle name="Output 3 4 2 2 4" xfId="50236"/>
    <cellStyle name="Output 3 4 2 2 5" xfId="50237"/>
    <cellStyle name="Output 3 4 2 2 6" xfId="50238"/>
    <cellStyle name="Output 3 4 2 2 7" xfId="50239"/>
    <cellStyle name="Output 3 4 2 2 8" xfId="50240"/>
    <cellStyle name="Output 3 4 2 2 9" xfId="50241"/>
    <cellStyle name="Output 3 4 2 3" xfId="50242"/>
    <cellStyle name="Output 3 4 2 3 10" xfId="50243"/>
    <cellStyle name="Output 3 4 2 3 11" xfId="50244"/>
    <cellStyle name="Output 3 4 2 3 12" xfId="50245"/>
    <cellStyle name="Output 3 4 2 3 13" xfId="50246"/>
    <cellStyle name="Output 3 4 2 3 14" xfId="50247"/>
    <cellStyle name="Output 3 4 2 3 15" xfId="50248"/>
    <cellStyle name="Output 3 4 2 3 16" xfId="50249"/>
    <cellStyle name="Output 3 4 2 3 17" xfId="50250"/>
    <cellStyle name="Output 3 4 2 3 18" xfId="50251"/>
    <cellStyle name="Output 3 4 2 3 19" xfId="50252"/>
    <cellStyle name="Output 3 4 2 3 2" xfId="50253"/>
    <cellStyle name="Output 3 4 2 3 2 2" xfId="50254"/>
    <cellStyle name="Output 3 4 2 3 2 3" xfId="50255"/>
    <cellStyle name="Output 3 4 2 3 2 4" xfId="50256"/>
    <cellStyle name="Output 3 4 2 3 2 5" xfId="50257"/>
    <cellStyle name="Output 3 4 2 3 2 6" xfId="50258"/>
    <cellStyle name="Output 3 4 2 3 2 7" xfId="50259"/>
    <cellStyle name="Output 3 4 2 3 2 8" xfId="50260"/>
    <cellStyle name="Output 3 4 2 3 2 9" xfId="50261"/>
    <cellStyle name="Output 3 4 2 3 3" xfId="50262"/>
    <cellStyle name="Output 3 4 2 3 4" xfId="50263"/>
    <cellStyle name="Output 3 4 2 3 5" xfId="50264"/>
    <cellStyle name="Output 3 4 2 3 6" xfId="50265"/>
    <cellStyle name="Output 3 4 2 3 7" xfId="50266"/>
    <cellStyle name="Output 3 4 2 3 8" xfId="50267"/>
    <cellStyle name="Output 3 4 2 3 9" xfId="50268"/>
    <cellStyle name="Output 3 4 2 4" xfId="50269"/>
    <cellStyle name="Output 3 4 2 4 10" xfId="50270"/>
    <cellStyle name="Output 3 4 2 4 11" xfId="50271"/>
    <cellStyle name="Output 3 4 2 4 12" xfId="50272"/>
    <cellStyle name="Output 3 4 2 4 13" xfId="50273"/>
    <cellStyle name="Output 3 4 2 4 14" xfId="50274"/>
    <cellStyle name="Output 3 4 2 4 15" xfId="50275"/>
    <cellStyle name="Output 3 4 2 4 16" xfId="50276"/>
    <cellStyle name="Output 3 4 2 4 17" xfId="50277"/>
    <cellStyle name="Output 3 4 2 4 18" xfId="50278"/>
    <cellStyle name="Output 3 4 2 4 2" xfId="50279"/>
    <cellStyle name="Output 3 4 2 4 2 2" xfId="50280"/>
    <cellStyle name="Output 3 4 2 4 2 3" xfId="50281"/>
    <cellStyle name="Output 3 4 2 4 2 4" xfId="50282"/>
    <cellStyle name="Output 3 4 2 4 2 5" xfId="50283"/>
    <cellStyle name="Output 3 4 2 4 2 6" xfId="50284"/>
    <cellStyle name="Output 3 4 2 4 2 7" xfId="50285"/>
    <cellStyle name="Output 3 4 2 4 2 8" xfId="50286"/>
    <cellStyle name="Output 3 4 2 4 2 9" xfId="50287"/>
    <cellStyle name="Output 3 4 2 4 3" xfId="50288"/>
    <cellStyle name="Output 3 4 2 4 4" xfId="50289"/>
    <cellStyle name="Output 3 4 2 4 5" xfId="50290"/>
    <cellStyle name="Output 3 4 2 4 6" xfId="50291"/>
    <cellStyle name="Output 3 4 2 4 7" xfId="50292"/>
    <cellStyle name="Output 3 4 2 4 8" xfId="50293"/>
    <cellStyle name="Output 3 4 2 4 9" xfId="50294"/>
    <cellStyle name="Output 3 4 2 5" xfId="50295"/>
    <cellStyle name="Output 3 4 3" xfId="50296"/>
    <cellStyle name="Output 3 4 3 2" xfId="50297"/>
    <cellStyle name="Output 3 4 3 2 10" xfId="50298"/>
    <cellStyle name="Output 3 4 3 2 11" xfId="50299"/>
    <cellStyle name="Output 3 4 3 2 12" xfId="50300"/>
    <cellStyle name="Output 3 4 3 2 13" xfId="50301"/>
    <cellStyle name="Output 3 4 3 2 14" xfId="50302"/>
    <cellStyle name="Output 3 4 3 2 15" xfId="50303"/>
    <cellStyle name="Output 3 4 3 2 16" xfId="50304"/>
    <cellStyle name="Output 3 4 3 2 17" xfId="50305"/>
    <cellStyle name="Output 3 4 3 2 18" xfId="50306"/>
    <cellStyle name="Output 3 4 3 2 19" xfId="50307"/>
    <cellStyle name="Output 3 4 3 2 2" xfId="50308"/>
    <cellStyle name="Output 3 4 3 2 2 2" xfId="50309"/>
    <cellStyle name="Output 3 4 3 2 2 3" xfId="50310"/>
    <cellStyle name="Output 3 4 3 2 2 4" xfId="50311"/>
    <cellStyle name="Output 3 4 3 2 2 5" xfId="50312"/>
    <cellStyle name="Output 3 4 3 2 2 6" xfId="50313"/>
    <cellStyle name="Output 3 4 3 2 2 7" xfId="50314"/>
    <cellStyle name="Output 3 4 3 2 2 8" xfId="50315"/>
    <cellStyle name="Output 3 4 3 2 2 9" xfId="50316"/>
    <cellStyle name="Output 3 4 3 2 20" xfId="50317"/>
    <cellStyle name="Output 3 4 3 2 21" xfId="50318"/>
    <cellStyle name="Output 3 4 3 2 3" xfId="50319"/>
    <cellStyle name="Output 3 4 3 2 4" xfId="50320"/>
    <cellStyle name="Output 3 4 3 2 5" xfId="50321"/>
    <cellStyle name="Output 3 4 3 2 6" xfId="50322"/>
    <cellStyle name="Output 3 4 3 2 7" xfId="50323"/>
    <cellStyle name="Output 3 4 3 2 8" xfId="50324"/>
    <cellStyle name="Output 3 4 3 2 9" xfId="50325"/>
    <cellStyle name="Output 3 4 3 3" xfId="50326"/>
    <cellStyle name="Output 3 4 3 3 10" xfId="50327"/>
    <cellStyle name="Output 3 4 3 3 11" xfId="50328"/>
    <cellStyle name="Output 3 4 3 3 12" xfId="50329"/>
    <cellStyle name="Output 3 4 3 3 13" xfId="50330"/>
    <cellStyle name="Output 3 4 3 3 14" xfId="50331"/>
    <cellStyle name="Output 3 4 3 3 15" xfId="50332"/>
    <cellStyle name="Output 3 4 3 3 16" xfId="50333"/>
    <cellStyle name="Output 3 4 3 3 17" xfId="50334"/>
    <cellStyle name="Output 3 4 3 3 18" xfId="50335"/>
    <cellStyle name="Output 3 4 3 3 19" xfId="50336"/>
    <cellStyle name="Output 3 4 3 3 2" xfId="50337"/>
    <cellStyle name="Output 3 4 3 3 2 2" xfId="50338"/>
    <cellStyle name="Output 3 4 3 3 2 3" xfId="50339"/>
    <cellStyle name="Output 3 4 3 3 2 4" xfId="50340"/>
    <cellStyle name="Output 3 4 3 3 2 5" xfId="50341"/>
    <cellStyle name="Output 3 4 3 3 2 6" xfId="50342"/>
    <cellStyle name="Output 3 4 3 3 2 7" xfId="50343"/>
    <cellStyle name="Output 3 4 3 3 2 8" xfId="50344"/>
    <cellStyle name="Output 3 4 3 3 2 9" xfId="50345"/>
    <cellStyle name="Output 3 4 3 3 3" xfId="50346"/>
    <cellStyle name="Output 3 4 3 3 4" xfId="50347"/>
    <cellStyle name="Output 3 4 3 3 5" xfId="50348"/>
    <cellStyle name="Output 3 4 3 3 6" xfId="50349"/>
    <cellStyle name="Output 3 4 3 3 7" xfId="50350"/>
    <cellStyle name="Output 3 4 3 3 8" xfId="50351"/>
    <cellStyle name="Output 3 4 3 3 9" xfId="50352"/>
    <cellStyle name="Output 3 4 3 4" xfId="50353"/>
    <cellStyle name="Output 3 4 3 4 10" xfId="50354"/>
    <cellStyle name="Output 3 4 3 4 11" xfId="50355"/>
    <cellStyle name="Output 3 4 3 4 12" xfId="50356"/>
    <cellStyle name="Output 3 4 3 4 13" xfId="50357"/>
    <cellStyle name="Output 3 4 3 4 14" xfId="50358"/>
    <cellStyle name="Output 3 4 3 4 15" xfId="50359"/>
    <cellStyle name="Output 3 4 3 4 16" xfId="50360"/>
    <cellStyle name="Output 3 4 3 4 17" xfId="50361"/>
    <cellStyle name="Output 3 4 3 4 18" xfId="50362"/>
    <cellStyle name="Output 3 4 3 4 2" xfId="50363"/>
    <cellStyle name="Output 3 4 3 4 2 2" xfId="50364"/>
    <cellStyle name="Output 3 4 3 4 2 3" xfId="50365"/>
    <cellStyle name="Output 3 4 3 4 2 4" xfId="50366"/>
    <cellStyle name="Output 3 4 3 4 2 5" xfId="50367"/>
    <cellStyle name="Output 3 4 3 4 2 6" xfId="50368"/>
    <cellStyle name="Output 3 4 3 4 2 7" xfId="50369"/>
    <cellStyle name="Output 3 4 3 4 2 8" xfId="50370"/>
    <cellStyle name="Output 3 4 3 4 2 9" xfId="50371"/>
    <cellStyle name="Output 3 4 3 4 3" xfId="50372"/>
    <cellStyle name="Output 3 4 3 4 4" xfId="50373"/>
    <cellStyle name="Output 3 4 3 4 5" xfId="50374"/>
    <cellStyle name="Output 3 4 3 4 6" xfId="50375"/>
    <cellStyle name="Output 3 4 3 4 7" xfId="50376"/>
    <cellStyle name="Output 3 4 3 4 8" xfId="50377"/>
    <cellStyle name="Output 3 4 3 4 9" xfId="50378"/>
    <cellStyle name="Output 3 4 3 5" xfId="50379"/>
    <cellStyle name="Output 3 4 4" xfId="50380"/>
    <cellStyle name="Output 3 4 4 10" xfId="50381"/>
    <cellStyle name="Output 3 4 4 11" xfId="50382"/>
    <cellStyle name="Output 3 4 4 12" xfId="50383"/>
    <cellStyle name="Output 3 4 4 13" xfId="50384"/>
    <cellStyle name="Output 3 4 4 14" xfId="50385"/>
    <cellStyle name="Output 3 4 4 15" xfId="50386"/>
    <cellStyle name="Output 3 4 4 16" xfId="50387"/>
    <cellStyle name="Output 3 4 4 17" xfId="50388"/>
    <cellStyle name="Output 3 4 4 18" xfId="50389"/>
    <cellStyle name="Output 3 4 4 19" xfId="50390"/>
    <cellStyle name="Output 3 4 4 2" xfId="50391"/>
    <cellStyle name="Output 3 4 4 2 2" xfId="50392"/>
    <cellStyle name="Output 3 4 4 2 3" xfId="50393"/>
    <cellStyle name="Output 3 4 4 2 4" xfId="50394"/>
    <cellStyle name="Output 3 4 4 2 5" xfId="50395"/>
    <cellStyle name="Output 3 4 4 2 6" xfId="50396"/>
    <cellStyle name="Output 3 4 4 2 7" xfId="50397"/>
    <cellStyle name="Output 3 4 4 2 8" xfId="50398"/>
    <cellStyle name="Output 3 4 4 2 9" xfId="50399"/>
    <cellStyle name="Output 3 4 4 20" xfId="50400"/>
    <cellStyle name="Output 3 4 4 21" xfId="50401"/>
    <cellStyle name="Output 3 4 4 3" xfId="50402"/>
    <cellStyle name="Output 3 4 4 4" xfId="50403"/>
    <cellStyle name="Output 3 4 4 5" xfId="50404"/>
    <cellStyle name="Output 3 4 4 6" xfId="50405"/>
    <cellStyle name="Output 3 4 4 7" xfId="50406"/>
    <cellStyle name="Output 3 4 4 8" xfId="50407"/>
    <cellStyle name="Output 3 4 4 9" xfId="50408"/>
    <cellStyle name="Output 3 4 5" xfId="50409"/>
    <cellStyle name="Output 3 4 5 10" xfId="50410"/>
    <cellStyle name="Output 3 4 5 11" xfId="50411"/>
    <cellStyle name="Output 3 4 5 12" xfId="50412"/>
    <cellStyle name="Output 3 4 5 13" xfId="50413"/>
    <cellStyle name="Output 3 4 5 14" xfId="50414"/>
    <cellStyle name="Output 3 4 5 15" xfId="50415"/>
    <cellStyle name="Output 3 4 5 16" xfId="50416"/>
    <cellStyle name="Output 3 4 5 17" xfId="50417"/>
    <cellStyle name="Output 3 4 5 18" xfId="50418"/>
    <cellStyle name="Output 3 4 5 19" xfId="50419"/>
    <cellStyle name="Output 3 4 5 2" xfId="50420"/>
    <cellStyle name="Output 3 4 5 2 2" xfId="50421"/>
    <cellStyle name="Output 3 4 5 2 3" xfId="50422"/>
    <cellStyle name="Output 3 4 5 2 4" xfId="50423"/>
    <cellStyle name="Output 3 4 5 2 5" xfId="50424"/>
    <cellStyle name="Output 3 4 5 2 6" xfId="50425"/>
    <cellStyle name="Output 3 4 5 2 7" xfId="50426"/>
    <cellStyle name="Output 3 4 5 2 8" xfId="50427"/>
    <cellStyle name="Output 3 4 5 2 9" xfId="50428"/>
    <cellStyle name="Output 3 4 5 3" xfId="50429"/>
    <cellStyle name="Output 3 4 5 4" xfId="50430"/>
    <cellStyle name="Output 3 4 5 5" xfId="50431"/>
    <cellStyle name="Output 3 4 5 6" xfId="50432"/>
    <cellStyle name="Output 3 4 5 7" xfId="50433"/>
    <cellStyle name="Output 3 4 5 8" xfId="50434"/>
    <cellStyle name="Output 3 4 5 9" xfId="50435"/>
    <cellStyle name="Output 3 4 6" xfId="50436"/>
    <cellStyle name="Output 3 4 6 10" xfId="50437"/>
    <cellStyle name="Output 3 4 6 11" xfId="50438"/>
    <cellStyle name="Output 3 4 6 12" xfId="50439"/>
    <cellStyle name="Output 3 4 6 13" xfId="50440"/>
    <cellStyle name="Output 3 4 6 14" xfId="50441"/>
    <cellStyle name="Output 3 4 6 15" xfId="50442"/>
    <cellStyle name="Output 3 4 6 16" xfId="50443"/>
    <cellStyle name="Output 3 4 6 17" xfId="50444"/>
    <cellStyle name="Output 3 4 6 18" xfId="50445"/>
    <cellStyle name="Output 3 4 6 2" xfId="50446"/>
    <cellStyle name="Output 3 4 6 2 2" xfId="50447"/>
    <cellStyle name="Output 3 4 6 2 3" xfId="50448"/>
    <cellStyle name="Output 3 4 6 2 4" xfId="50449"/>
    <cellStyle name="Output 3 4 6 2 5" xfId="50450"/>
    <cellStyle name="Output 3 4 6 2 6" xfId="50451"/>
    <cellStyle name="Output 3 4 6 2 7" xfId="50452"/>
    <cellStyle name="Output 3 4 6 2 8" xfId="50453"/>
    <cellStyle name="Output 3 4 6 2 9" xfId="50454"/>
    <cellStyle name="Output 3 4 6 3" xfId="50455"/>
    <cellStyle name="Output 3 4 6 4" xfId="50456"/>
    <cellStyle name="Output 3 4 6 5" xfId="50457"/>
    <cellStyle name="Output 3 4 6 6" xfId="50458"/>
    <cellStyle name="Output 3 4 6 7" xfId="50459"/>
    <cellStyle name="Output 3 4 6 8" xfId="50460"/>
    <cellStyle name="Output 3 4 6 9" xfId="50461"/>
    <cellStyle name="Output 3 4 7" xfId="50462"/>
    <cellStyle name="Output 3 5" xfId="50463"/>
    <cellStyle name="Output 3 5 2" xfId="50464"/>
    <cellStyle name="Output 3 5 2 2" xfId="50465"/>
    <cellStyle name="Output 3 5 2 2 10" xfId="50466"/>
    <cellStyle name="Output 3 5 2 2 11" xfId="50467"/>
    <cellStyle name="Output 3 5 2 2 12" xfId="50468"/>
    <cellStyle name="Output 3 5 2 2 13" xfId="50469"/>
    <cellStyle name="Output 3 5 2 2 14" xfId="50470"/>
    <cellStyle name="Output 3 5 2 2 15" xfId="50471"/>
    <cellStyle name="Output 3 5 2 2 16" xfId="50472"/>
    <cellStyle name="Output 3 5 2 2 17" xfId="50473"/>
    <cellStyle name="Output 3 5 2 2 18" xfId="50474"/>
    <cellStyle name="Output 3 5 2 2 19" xfId="50475"/>
    <cellStyle name="Output 3 5 2 2 2" xfId="50476"/>
    <cellStyle name="Output 3 5 2 2 2 2" xfId="50477"/>
    <cellStyle name="Output 3 5 2 2 2 3" xfId="50478"/>
    <cellStyle name="Output 3 5 2 2 2 4" xfId="50479"/>
    <cellStyle name="Output 3 5 2 2 2 5" xfId="50480"/>
    <cellStyle name="Output 3 5 2 2 2 6" xfId="50481"/>
    <cellStyle name="Output 3 5 2 2 2 7" xfId="50482"/>
    <cellStyle name="Output 3 5 2 2 2 8" xfId="50483"/>
    <cellStyle name="Output 3 5 2 2 2 9" xfId="50484"/>
    <cellStyle name="Output 3 5 2 2 20" xfId="50485"/>
    <cellStyle name="Output 3 5 2 2 21" xfId="50486"/>
    <cellStyle name="Output 3 5 2 2 3" xfId="50487"/>
    <cellStyle name="Output 3 5 2 2 4" xfId="50488"/>
    <cellStyle name="Output 3 5 2 2 5" xfId="50489"/>
    <cellStyle name="Output 3 5 2 2 6" xfId="50490"/>
    <cellStyle name="Output 3 5 2 2 7" xfId="50491"/>
    <cellStyle name="Output 3 5 2 2 8" xfId="50492"/>
    <cellStyle name="Output 3 5 2 2 9" xfId="50493"/>
    <cellStyle name="Output 3 5 2 3" xfId="50494"/>
    <cellStyle name="Output 3 5 2 3 10" xfId="50495"/>
    <cellStyle name="Output 3 5 2 3 11" xfId="50496"/>
    <cellStyle name="Output 3 5 2 3 12" xfId="50497"/>
    <cellStyle name="Output 3 5 2 3 13" xfId="50498"/>
    <cellStyle name="Output 3 5 2 3 14" xfId="50499"/>
    <cellStyle name="Output 3 5 2 3 15" xfId="50500"/>
    <cellStyle name="Output 3 5 2 3 16" xfId="50501"/>
    <cellStyle name="Output 3 5 2 3 17" xfId="50502"/>
    <cellStyle name="Output 3 5 2 3 18" xfId="50503"/>
    <cellStyle name="Output 3 5 2 3 19" xfId="50504"/>
    <cellStyle name="Output 3 5 2 3 2" xfId="50505"/>
    <cellStyle name="Output 3 5 2 3 2 2" xfId="50506"/>
    <cellStyle name="Output 3 5 2 3 2 3" xfId="50507"/>
    <cellStyle name="Output 3 5 2 3 2 4" xfId="50508"/>
    <cellStyle name="Output 3 5 2 3 2 5" xfId="50509"/>
    <cellStyle name="Output 3 5 2 3 2 6" xfId="50510"/>
    <cellStyle name="Output 3 5 2 3 2 7" xfId="50511"/>
    <cellStyle name="Output 3 5 2 3 2 8" xfId="50512"/>
    <cellStyle name="Output 3 5 2 3 2 9" xfId="50513"/>
    <cellStyle name="Output 3 5 2 3 3" xfId="50514"/>
    <cellStyle name="Output 3 5 2 3 4" xfId="50515"/>
    <cellStyle name="Output 3 5 2 3 5" xfId="50516"/>
    <cellStyle name="Output 3 5 2 3 6" xfId="50517"/>
    <cellStyle name="Output 3 5 2 3 7" xfId="50518"/>
    <cellStyle name="Output 3 5 2 3 8" xfId="50519"/>
    <cellStyle name="Output 3 5 2 3 9" xfId="50520"/>
    <cellStyle name="Output 3 5 2 4" xfId="50521"/>
    <cellStyle name="Output 3 5 2 4 10" xfId="50522"/>
    <cellStyle name="Output 3 5 2 4 11" xfId="50523"/>
    <cellStyle name="Output 3 5 2 4 12" xfId="50524"/>
    <cellStyle name="Output 3 5 2 4 13" xfId="50525"/>
    <cellStyle name="Output 3 5 2 4 14" xfId="50526"/>
    <cellStyle name="Output 3 5 2 4 15" xfId="50527"/>
    <cellStyle name="Output 3 5 2 4 16" xfId="50528"/>
    <cellStyle name="Output 3 5 2 4 17" xfId="50529"/>
    <cellStyle name="Output 3 5 2 4 18" xfId="50530"/>
    <cellStyle name="Output 3 5 2 4 2" xfId="50531"/>
    <cellStyle name="Output 3 5 2 4 2 2" xfId="50532"/>
    <cellStyle name="Output 3 5 2 4 2 3" xfId="50533"/>
    <cellStyle name="Output 3 5 2 4 2 4" xfId="50534"/>
    <cellStyle name="Output 3 5 2 4 2 5" xfId="50535"/>
    <cellStyle name="Output 3 5 2 4 2 6" xfId="50536"/>
    <cellStyle name="Output 3 5 2 4 2 7" xfId="50537"/>
    <cellStyle name="Output 3 5 2 4 2 8" xfId="50538"/>
    <cellStyle name="Output 3 5 2 4 2 9" xfId="50539"/>
    <cellStyle name="Output 3 5 2 4 3" xfId="50540"/>
    <cellStyle name="Output 3 5 2 4 4" xfId="50541"/>
    <cellStyle name="Output 3 5 2 4 5" xfId="50542"/>
    <cellStyle name="Output 3 5 2 4 6" xfId="50543"/>
    <cellStyle name="Output 3 5 2 4 7" xfId="50544"/>
    <cellStyle name="Output 3 5 2 4 8" xfId="50545"/>
    <cellStyle name="Output 3 5 2 4 9" xfId="50546"/>
    <cellStyle name="Output 3 5 2 5" xfId="50547"/>
    <cellStyle name="Output 3 5 3" xfId="50548"/>
    <cellStyle name="Output 3 5 3 2" xfId="50549"/>
    <cellStyle name="Output 3 5 3 2 10" xfId="50550"/>
    <cellStyle name="Output 3 5 3 2 11" xfId="50551"/>
    <cellStyle name="Output 3 5 3 2 12" xfId="50552"/>
    <cellStyle name="Output 3 5 3 2 13" xfId="50553"/>
    <cellStyle name="Output 3 5 3 2 14" xfId="50554"/>
    <cellStyle name="Output 3 5 3 2 15" xfId="50555"/>
    <cellStyle name="Output 3 5 3 2 16" xfId="50556"/>
    <cellStyle name="Output 3 5 3 2 17" xfId="50557"/>
    <cellStyle name="Output 3 5 3 2 18" xfId="50558"/>
    <cellStyle name="Output 3 5 3 2 19" xfId="50559"/>
    <cellStyle name="Output 3 5 3 2 2" xfId="50560"/>
    <cellStyle name="Output 3 5 3 2 2 2" xfId="50561"/>
    <cellStyle name="Output 3 5 3 2 2 3" xfId="50562"/>
    <cellStyle name="Output 3 5 3 2 2 4" xfId="50563"/>
    <cellStyle name="Output 3 5 3 2 2 5" xfId="50564"/>
    <cellStyle name="Output 3 5 3 2 2 6" xfId="50565"/>
    <cellStyle name="Output 3 5 3 2 2 7" xfId="50566"/>
    <cellStyle name="Output 3 5 3 2 2 8" xfId="50567"/>
    <cellStyle name="Output 3 5 3 2 2 9" xfId="50568"/>
    <cellStyle name="Output 3 5 3 2 20" xfId="50569"/>
    <cellStyle name="Output 3 5 3 2 21" xfId="50570"/>
    <cellStyle name="Output 3 5 3 2 3" xfId="50571"/>
    <cellStyle name="Output 3 5 3 2 4" xfId="50572"/>
    <cellStyle name="Output 3 5 3 2 5" xfId="50573"/>
    <cellStyle name="Output 3 5 3 2 6" xfId="50574"/>
    <cellStyle name="Output 3 5 3 2 7" xfId="50575"/>
    <cellStyle name="Output 3 5 3 2 8" xfId="50576"/>
    <cellStyle name="Output 3 5 3 2 9" xfId="50577"/>
    <cellStyle name="Output 3 5 3 3" xfId="50578"/>
    <cellStyle name="Output 3 5 3 3 10" xfId="50579"/>
    <cellStyle name="Output 3 5 3 3 11" xfId="50580"/>
    <cellStyle name="Output 3 5 3 3 12" xfId="50581"/>
    <cellStyle name="Output 3 5 3 3 13" xfId="50582"/>
    <cellStyle name="Output 3 5 3 3 14" xfId="50583"/>
    <cellStyle name="Output 3 5 3 3 15" xfId="50584"/>
    <cellStyle name="Output 3 5 3 3 16" xfId="50585"/>
    <cellStyle name="Output 3 5 3 3 17" xfId="50586"/>
    <cellStyle name="Output 3 5 3 3 18" xfId="50587"/>
    <cellStyle name="Output 3 5 3 3 19" xfId="50588"/>
    <cellStyle name="Output 3 5 3 3 2" xfId="50589"/>
    <cellStyle name="Output 3 5 3 3 2 2" xfId="50590"/>
    <cellStyle name="Output 3 5 3 3 2 3" xfId="50591"/>
    <cellStyle name="Output 3 5 3 3 2 4" xfId="50592"/>
    <cellStyle name="Output 3 5 3 3 2 5" xfId="50593"/>
    <cellStyle name="Output 3 5 3 3 2 6" xfId="50594"/>
    <cellStyle name="Output 3 5 3 3 2 7" xfId="50595"/>
    <cellStyle name="Output 3 5 3 3 2 8" xfId="50596"/>
    <cellStyle name="Output 3 5 3 3 2 9" xfId="50597"/>
    <cellStyle name="Output 3 5 3 3 3" xfId="50598"/>
    <cellStyle name="Output 3 5 3 3 4" xfId="50599"/>
    <cellStyle name="Output 3 5 3 3 5" xfId="50600"/>
    <cellStyle name="Output 3 5 3 3 6" xfId="50601"/>
    <cellStyle name="Output 3 5 3 3 7" xfId="50602"/>
    <cellStyle name="Output 3 5 3 3 8" xfId="50603"/>
    <cellStyle name="Output 3 5 3 3 9" xfId="50604"/>
    <cellStyle name="Output 3 5 3 4" xfId="50605"/>
    <cellStyle name="Output 3 5 3 4 10" xfId="50606"/>
    <cellStyle name="Output 3 5 3 4 11" xfId="50607"/>
    <cellStyle name="Output 3 5 3 4 12" xfId="50608"/>
    <cellStyle name="Output 3 5 3 4 13" xfId="50609"/>
    <cellStyle name="Output 3 5 3 4 14" xfId="50610"/>
    <cellStyle name="Output 3 5 3 4 15" xfId="50611"/>
    <cellStyle name="Output 3 5 3 4 16" xfId="50612"/>
    <cellStyle name="Output 3 5 3 4 17" xfId="50613"/>
    <cellStyle name="Output 3 5 3 4 18" xfId="50614"/>
    <cellStyle name="Output 3 5 3 4 2" xfId="50615"/>
    <cellStyle name="Output 3 5 3 4 2 2" xfId="50616"/>
    <cellStyle name="Output 3 5 3 4 2 3" xfId="50617"/>
    <cellStyle name="Output 3 5 3 4 2 4" xfId="50618"/>
    <cellStyle name="Output 3 5 3 4 2 5" xfId="50619"/>
    <cellStyle name="Output 3 5 3 4 2 6" xfId="50620"/>
    <cellStyle name="Output 3 5 3 4 2 7" xfId="50621"/>
    <cellStyle name="Output 3 5 3 4 2 8" xfId="50622"/>
    <cellStyle name="Output 3 5 3 4 2 9" xfId="50623"/>
    <cellStyle name="Output 3 5 3 4 3" xfId="50624"/>
    <cellStyle name="Output 3 5 3 4 4" xfId="50625"/>
    <cellStyle name="Output 3 5 3 4 5" xfId="50626"/>
    <cellStyle name="Output 3 5 3 4 6" xfId="50627"/>
    <cellStyle name="Output 3 5 3 4 7" xfId="50628"/>
    <cellStyle name="Output 3 5 3 4 8" xfId="50629"/>
    <cellStyle name="Output 3 5 3 4 9" xfId="50630"/>
    <cellStyle name="Output 3 5 3 5" xfId="50631"/>
    <cellStyle name="Output 3 5 4" xfId="50632"/>
    <cellStyle name="Output 3 5 4 10" xfId="50633"/>
    <cellStyle name="Output 3 5 4 11" xfId="50634"/>
    <cellStyle name="Output 3 5 4 12" xfId="50635"/>
    <cellStyle name="Output 3 5 4 13" xfId="50636"/>
    <cellStyle name="Output 3 5 4 14" xfId="50637"/>
    <cellStyle name="Output 3 5 4 15" xfId="50638"/>
    <cellStyle name="Output 3 5 4 16" xfId="50639"/>
    <cellStyle name="Output 3 5 4 17" xfId="50640"/>
    <cellStyle name="Output 3 5 4 18" xfId="50641"/>
    <cellStyle name="Output 3 5 4 19" xfId="50642"/>
    <cellStyle name="Output 3 5 4 2" xfId="50643"/>
    <cellStyle name="Output 3 5 4 2 2" xfId="50644"/>
    <cellStyle name="Output 3 5 4 2 3" xfId="50645"/>
    <cellStyle name="Output 3 5 4 2 4" xfId="50646"/>
    <cellStyle name="Output 3 5 4 2 5" xfId="50647"/>
    <cellStyle name="Output 3 5 4 2 6" xfId="50648"/>
    <cellStyle name="Output 3 5 4 2 7" xfId="50649"/>
    <cellStyle name="Output 3 5 4 2 8" xfId="50650"/>
    <cellStyle name="Output 3 5 4 2 9" xfId="50651"/>
    <cellStyle name="Output 3 5 4 20" xfId="50652"/>
    <cellStyle name="Output 3 5 4 21" xfId="50653"/>
    <cellStyle name="Output 3 5 4 3" xfId="50654"/>
    <cellStyle name="Output 3 5 4 4" xfId="50655"/>
    <cellStyle name="Output 3 5 4 5" xfId="50656"/>
    <cellStyle name="Output 3 5 4 6" xfId="50657"/>
    <cellStyle name="Output 3 5 4 7" xfId="50658"/>
    <cellStyle name="Output 3 5 4 8" xfId="50659"/>
    <cellStyle name="Output 3 5 4 9" xfId="50660"/>
    <cellStyle name="Output 3 5 5" xfId="50661"/>
    <cellStyle name="Output 3 5 5 10" xfId="50662"/>
    <cellStyle name="Output 3 5 5 11" xfId="50663"/>
    <cellStyle name="Output 3 5 5 12" xfId="50664"/>
    <cellStyle name="Output 3 5 5 13" xfId="50665"/>
    <cellStyle name="Output 3 5 5 14" xfId="50666"/>
    <cellStyle name="Output 3 5 5 15" xfId="50667"/>
    <cellStyle name="Output 3 5 5 16" xfId="50668"/>
    <cellStyle name="Output 3 5 5 17" xfId="50669"/>
    <cellStyle name="Output 3 5 5 18" xfId="50670"/>
    <cellStyle name="Output 3 5 5 19" xfId="50671"/>
    <cellStyle name="Output 3 5 5 2" xfId="50672"/>
    <cellStyle name="Output 3 5 5 2 2" xfId="50673"/>
    <cellStyle name="Output 3 5 5 2 3" xfId="50674"/>
    <cellStyle name="Output 3 5 5 2 4" xfId="50675"/>
    <cellStyle name="Output 3 5 5 2 5" xfId="50676"/>
    <cellStyle name="Output 3 5 5 2 6" xfId="50677"/>
    <cellStyle name="Output 3 5 5 2 7" xfId="50678"/>
    <cellStyle name="Output 3 5 5 2 8" xfId="50679"/>
    <cellStyle name="Output 3 5 5 2 9" xfId="50680"/>
    <cellStyle name="Output 3 5 5 3" xfId="50681"/>
    <cellStyle name="Output 3 5 5 4" xfId="50682"/>
    <cellStyle name="Output 3 5 5 5" xfId="50683"/>
    <cellStyle name="Output 3 5 5 6" xfId="50684"/>
    <cellStyle name="Output 3 5 5 7" xfId="50685"/>
    <cellStyle name="Output 3 5 5 8" xfId="50686"/>
    <cellStyle name="Output 3 5 5 9" xfId="50687"/>
    <cellStyle name="Output 3 5 6" xfId="50688"/>
    <cellStyle name="Output 3 5 6 10" xfId="50689"/>
    <cellStyle name="Output 3 5 6 11" xfId="50690"/>
    <cellStyle name="Output 3 5 6 12" xfId="50691"/>
    <cellStyle name="Output 3 5 6 13" xfId="50692"/>
    <cellStyle name="Output 3 5 6 14" xfId="50693"/>
    <cellStyle name="Output 3 5 6 15" xfId="50694"/>
    <cellStyle name="Output 3 5 6 16" xfId="50695"/>
    <cellStyle name="Output 3 5 6 17" xfId="50696"/>
    <cellStyle name="Output 3 5 6 18" xfId="50697"/>
    <cellStyle name="Output 3 5 6 2" xfId="50698"/>
    <cellStyle name="Output 3 5 6 2 2" xfId="50699"/>
    <cellStyle name="Output 3 5 6 2 3" xfId="50700"/>
    <cellStyle name="Output 3 5 6 2 4" xfId="50701"/>
    <cellStyle name="Output 3 5 6 2 5" xfId="50702"/>
    <cellStyle name="Output 3 5 6 2 6" xfId="50703"/>
    <cellStyle name="Output 3 5 6 2 7" xfId="50704"/>
    <cellStyle name="Output 3 5 6 2 8" xfId="50705"/>
    <cellStyle name="Output 3 5 6 2 9" xfId="50706"/>
    <cellStyle name="Output 3 5 6 3" xfId="50707"/>
    <cellStyle name="Output 3 5 6 4" xfId="50708"/>
    <cellStyle name="Output 3 5 6 5" xfId="50709"/>
    <cellStyle name="Output 3 5 6 6" xfId="50710"/>
    <cellStyle name="Output 3 5 6 7" xfId="50711"/>
    <cellStyle name="Output 3 5 6 8" xfId="50712"/>
    <cellStyle name="Output 3 5 6 9" xfId="50713"/>
    <cellStyle name="Output 3 5 7" xfId="50714"/>
    <cellStyle name="Output 3 6" xfId="50715"/>
    <cellStyle name="Output 3 6 2" xfId="50716"/>
    <cellStyle name="Output 3 6 2 2" xfId="50717"/>
    <cellStyle name="Output 3 6 2 2 10" xfId="50718"/>
    <cellStyle name="Output 3 6 2 2 11" xfId="50719"/>
    <cellStyle name="Output 3 6 2 2 12" xfId="50720"/>
    <cellStyle name="Output 3 6 2 2 13" xfId="50721"/>
    <cellStyle name="Output 3 6 2 2 14" xfId="50722"/>
    <cellStyle name="Output 3 6 2 2 15" xfId="50723"/>
    <cellStyle name="Output 3 6 2 2 16" xfId="50724"/>
    <cellStyle name="Output 3 6 2 2 17" xfId="50725"/>
    <cellStyle name="Output 3 6 2 2 18" xfId="50726"/>
    <cellStyle name="Output 3 6 2 2 19" xfId="50727"/>
    <cellStyle name="Output 3 6 2 2 2" xfId="50728"/>
    <cellStyle name="Output 3 6 2 2 2 2" xfId="50729"/>
    <cellStyle name="Output 3 6 2 2 2 3" xfId="50730"/>
    <cellStyle name="Output 3 6 2 2 2 4" xfId="50731"/>
    <cellStyle name="Output 3 6 2 2 2 5" xfId="50732"/>
    <cellStyle name="Output 3 6 2 2 2 6" xfId="50733"/>
    <cellStyle name="Output 3 6 2 2 2 7" xfId="50734"/>
    <cellStyle name="Output 3 6 2 2 2 8" xfId="50735"/>
    <cellStyle name="Output 3 6 2 2 2 9" xfId="50736"/>
    <cellStyle name="Output 3 6 2 2 20" xfId="50737"/>
    <cellStyle name="Output 3 6 2 2 21" xfId="50738"/>
    <cellStyle name="Output 3 6 2 2 3" xfId="50739"/>
    <cellStyle name="Output 3 6 2 2 4" xfId="50740"/>
    <cellStyle name="Output 3 6 2 2 5" xfId="50741"/>
    <cellStyle name="Output 3 6 2 2 6" xfId="50742"/>
    <cellStyle name="Output 3 6 2 2 7" xfId="50743"/>
    <cellStyle name="Output 3 6 2 2 8" xfId="50744"/>
    <cellStyle name="Output 3 6 2 2 9" xfId="50745"/>
    <cellStyle name="Output 3 6 2 3" xfId="50746"/>
    <cellStyle name="Output 3 6 2 3 10" xfId="50747"/>
    <cellStyle name="Output 3 6 2 3 11" xfId="50748"/>
    <cellStyle name="Output 3 6 2 3 12" xfId="50749"/>
    <cellStyle name="Output 3 6 2 3 13" xfId="50750"/>
    <cellStyle name="Output 3 6 2 3 14" xfId="50751"/>
    <cellStyle name="Output 3 6 2 3 15" xfId="50752"/>
    <cellStyle name="Output 3 6 2 3 16" xfId="50753"/>
    <cellStyle name="Output 3 6 2 3 17" xfId="50754"/>
    <cellStyle name="Output 3 6 2 3 18" xfId="50755"/>
    <cellStyle name="Output 3 6 2 3 19" xfId="50756"/>
    <cellStyle name="Output 3 6 2 3 2" xfId="50757"/>
    <cellStyle name="Output 3 6 2 3 2 2" xfId="50758"/>
    <cellStyle name="Output 3 6 2 3 2 3" xfId="50759"/>
    <cellStyle name="Output 3 6 2 3 2 4" xfId="50760"/>
    <cellStyle name="Output 3 6 2 3 2 5" xfId="50761"/>
    <cellStyle name="Output 3 6 2 3 2 6" xfId="50762"/>
    <cellStyle name="Output 3 6 2 3 2 7" xfId="50763"/>
    <cellStyle name="Output 3 6 2 3 2 8" xfId="50764"/>
    <cellStyle name="Output 3 6 2 3 2 9" xfId="50765"/>
    <cellStyle name="Output 3 6 2 3 3" xfId="50766"/>
    <cellStyle name="Output 3 6 2 3 4" xfId="50767"/>
    <cellStyle name="Output 3 6 2 3 5" xfId="50768"/>
    <cellStyle name="Output 3 6 2 3 6" xfId="50769"/>
    <cellStyle name="Output 3 6 2 3 7" xfId="50770"/>
    <cellStyle name="Output 3 6 2 3 8" xfId="50771"/>
    <cellStyle name="Output 3 6 2 3 9" xfId="50772"/>
    <cellStyle name="Output 3 6 2 4" xfId="50773"/>
    <cellStyle name="Output 3 6 2 4 10" xfId="50774"/>
    <cellStyle name="Output 3 6 2 4 11" xfId="50775"/>
    <cellStyle name="Output 3 6 2 4 12" xfId="50776"/>
    <cellStyle name="Output 3 6 2 4 13" xfId="50777"/>
    <cellStyle name="Output 3 6 2 4 14" xfId="50778"/>
    <cellStyle name="Output 3 6 2 4 15" xfId="50779"/>
    <cellStyle name="Output 3 6 2 4 16" xfId="50780"/>
    <cellStyle name="Output 3 6 2 4 17" xfId="50781"/>
    <cellStyle name="Output 3 6 2 4 18" xfId="50782"/>
    <cellStyle name="Output 3 6 2 4 2" xfId="50783"/>
    <cellStyle name="Output 3 6 2 4 2 2" xfId="50784"/>
    <cellStyle name="Output 3 6 2 4 2 3" xfId="50785"/>
    <cellStyle name="Output 3 6 2 4 2 4" xfId="50786"/>
    <cellStyle name="Output 3 6 2 4 2 5" xfId="50787"/>
    <cellStyle name="Output 3 6 2 4 2 6" xfId="50788"/>
    <cellStyle name="Output 3 6 2 4 2 7" xfId="50789"/>
    <cellStyle name="Output 3 6 2 4 2 8" xfId="50790"/>
    <cellStyle name="Output 3 6 2 4 2 9" xfId="50791"/>
    <cellStyle name="Output 3 6 2 4 3" xfId="50792"/>
    <cellStyle name="Output 3 6 2 4 4" xfId="50793"/>
    <cellStyle name="Output 3 6 2 4 5" xfId="50794"/>
    <cellStyle name="Output 3 6 2 4 6" xfId="50795"/>
    <cellStyle name="Output 3 6 2 4 7" xfId="50796"/>
    <cellStyle name="Output 3 6 2 4 8" xfId="50797"/>
    <cellStyle name="Output 3 6 2 4 9" xfId="50798"/>
    <cellStyle name="Output 3 6 2 5" xfId="50799"/>
    <cellStyle name="Output 3 6 3" xfId="50800"/>
    <cellStyle name="Output 3 6 3 2" xfId="50801"/>
    <cellStyle name="Output 3 6 3 2 10" xfId="50802"/>
    <cellStyle name="Output 3 6 3 2 11" xfId="50803"/>
    <cellStyle name="Output 3 6 3 2 12" xfId="50804"/>
    <cellStyle name="Output 3 6 3 2 13" xfId="50805"/>
    <cellStyle name="Output 3 6 3 2 14" xfId="50806"/>
    <cellStyle name="Output 3 6 3 2 15" xfId="50807"/>
    <cellStyle name="Output 3 6 3 2 16" xfId="50808"/>
    <cellStyle name="Output 3 6 3 2 17" xfId="50809"/>
    <cellStyle name="Output 3 6 3 2 18" xfId="50810"/>
    <cellStyle name="Output 3 6 3 2 19" xfId="50811"/>
    <cellStyle name="Output 3 6 3 2 2" xfId="50812"/>
    <cellStyle name="Output 3 6 3 2 2 2" xfId="50813"/>
    <cellStyle name="Output 3 6 3 2 2 3" xfId="50814"/>
    <cellStyle name="Output 3 6 3 2 2 4" xfId="50815"/>
    <cellStyle name="Output 3 6 3 2 2 5" xfId="50816"/>
    <cellStyle name="Output 3 6 3 2 2 6" xfId="50817"/>
    <cellStyle name="Output 3 6 3 2 2 7" xfId="50818"/>
    <cellStyle name="Output 3 6 3 2 2 8" xfId="50819"/>
    <cellStyle name="Output 3 6 3 2 2 9" xfId="50820"/>
    <cellStyle name="Output 3 6 3 2 20" xfId="50821"/>
    <cellStyle name="Output 3 6 3 2 21" xfId="50822"/>
    <cellStyle name="Output 3 6 3 2 3" xfId="50823"/>
    <cellStyle name="Output 3 6 3 2 4" xfId="50824"/>
    <cellStyle name="Output 3 6 3 2 5" xfId="50825"/>
    <cellStyle name="Output 3 6 3 2 6" xfId="50826"/>
    <cellStyle name="Output 3 6 3 2 7" xfId="50827"/>
    <cellStyle name="Output 3 6 3 2 8" xfId="50828"/>
    <cellStyle name="Output 3 6 3 2 9" xfId="50829"/>
    <cellStyle name="Output 3 6 3 3" xfId="50830"/>
    <cellStyle name="Output 3 6 3 3 10" xfId="50831"/>
    <cellStyle name="Output 3 6 3 3 11" xfId="50832"/>
    <cellStyle name="Output 3 6 3 3 12" xfId="50833"/>
    <cellStyle name="Output 3 6 3 3 13" xfId="50834"/>
    <cellStyle name="Output 3 6 3 3 14" xfId="50835"/>
    <cellStyle name="Output 3 6 3 3 15" xfId="50836"/>
    <cellStyle name="Output 3 6 3 3 16" xfId="50837"/>
    <cellStyle name="Output 3 6 3 3 17" xfId="50838"/>
    <cellStyle name="Output 3 6 3 3 18" xfId="50839"/>
    <cellStyle name="Output 3 6 3 3 19" xfId="50840"/>
    <cellStyle name="Output 3 6 3 3 2" xfId="50841"/>
    <cellStyle name="Output 3 6 3 3 2 2" xfId="50842"/>
    <cellStyle name="Output 3 6 3 3 2 3" xfId="50843"/>
    <cellStyle name="Output 3 6 3 3 2 4" xfId="50844"/>
    <cellStyle name="Output 3 6 3 3 2 5" xfId="50845"/>
    <cellStyle name="Output 3 6 3 3 2 6" xfId="50846"/>
    <cellStyle name="Output 3 6 3 3 2 7" xfId="50847"/>
    <cellStyle name="Output 3 6 3 3 2 8" xfId="50848"/>
    <cellStyle name="Output 3 6 3 3 2 9" xfId="50849"/>
    <cellStyle name="Output 3 6 3 3 3" xfId="50850"/>
    <cellStyle name="Output 3 6 3 3 4" xfId="50851"/>
    <cellStyle name="Output 3 6 3 3 5" xfId="50852"/>
    <cellStyle name="Output 3 6 3 3 6" xfId="50853"/>
    <cellStyle name="Output 3 6 3 3 7" xfId="50854"/>
    <cellStyle name="Output 3 6 3 3 8" xfId="50855"/>
    <cellStyle name="Output 3 6 3 3 9" xfId="50856"/>
    <cellStyle name="Output 3 6 3 4" xfId="50857"/>
    <cellStyle name="Output 3 6 3 4 10" xfId="50858"/>
    <cellStyle name="Output 3 6 3 4 11" xfId="50859"/>
    <cellStyle name="Output 3 6 3 4 12" xfId="50860"/>
    <cellStyle name="Output 3 6 3 4 13" xfId="50861"/>
    <cellStyle name="Output 3 6 3 4 14" xfId="50862"/>
    <cellStyle name="Output 3 6 3 4 15" xfId="50863"/>
    <cellStyle name="Output 3 6 3 4 16" xfId="50864"/>
    <cellStyle name="Output 3 6 3 4 17" xfId="50865"/>
    <cellStyle name="Output 3 6 3 4 18" xfId="50866"/>
    <cellStyle name="Output 3 6 3 4 2" xfId="50867"/>
    <cellStyle name="Output 3 6 3 4 2 2" xfId="50868"/>
    <cellStyle name="Output 3 6 3 4 2 3" xfId="50869"/>
    <cellStyle name="Output 3 6 3 4 2 4" xfId="50870"/>
    <cellStyle name="Output 3 6 3 4 2 5" xfId="50871"/>
    <cellStyle name="Output 3 6 3 4 2 6" xfId="50872"/>
    <cellStyle name="Output 3 6 3 4 2 7" xfId="50873"/>
    <cellStyle name="Output 3 6 3 4 2 8" xfId="50874"/>
    <cellStyle name="Output 3 6 3 4 2 9" xfId="50875"/>
    <cellStyle name="Output 3 6 3 4 3" xfId="50876"/>
    <cellStyle name="Output 3 6 3 4 4" xfId="50877"/>
    <cellStyle name="Output 3 6 3 4 5" xfId="50878"/>
    <cellStyle name="Output 3 6 3 4 6" xfId="50879"/>
    <cellStyle name="Output 3 6 3 4 7" xfId="50880"/>
    <cellStyle name="Output 3 6 3 4 8" xfId="50881"/>
    <cellStyle name="Output 3 6 3 4 9" xfId="50882"/>
    <cellStyle name="Output 3 6 3 5" xfId="50883"/>
    <cellStyle name="Output 3 6 4" xfId="50884"/>
    <cellStyle name="Output 3 6 4 10" xfId="50885"/>
    <cellStyle name="Output 3 6 4 11" xfId="50886"/>
    <cellStyle name="Output 3 6 4 12" xfId="50887"/>
    <cellStyle name="Output 3 6 4 13" xfId="50888"/>
    <cellStyle name="Output 3 6 4 14" xfId="50889"/>
    <cellStyle name="Output 3 6 4 15" xfId="50890"/>
    <cellStyle name="Output 3 6 4 16" xfId="50891"/>
    <cellStyle name="Output 3 6 4 17" xfId="50892"/>
    <cellStyle name="Output 3 6 4 18" xfId="50893"/>
    <cellStyle name="Output 3 6 4 19" xfId="50894"/>
    <cellStyle name="Output 3 6 4 2" xfId="50895"/>
    <cellStyle name="Output 3 6 4 2 2" xfId="50896"/>
    <cellStyle name="Output 3 6 4 2 3" xfId="50897"/>
    <cellStyle name="Output 3 6 4 2 4" xfId="50898"/>
    <cellStyle name="Output 3 6 4 2 5" xfId="50899"/>
    <cellStyle name="Output 3 6 4 2 6" xfId="50900"/>
    <cellStyle name="Output 3 6 4 2 7" xfId="50901"/>
    <cellStyle name="Output 3 6 4 2 8" xfId="50902"/>
    <cellStyle name="Output 3 6 4 2 9" xfId="50903"/>
    <cellStyle name="Output 3 6 4 20" xfId="50904"/>
    <cellStyle name="Output 3 6 4 21" xfId="50905"/>
    <cellStyle name="Output 3 6 4 3" xfId="50906"/>
    <cellStyle name="Output 3 6 4 4" xfId="50907"/>
    <cellStyle name="Output 3 6 4 5" xfId="50908"/>
    <cellStyle name="Output 3 6 4 6" xfId="50909"/>
    <cellStyle name="Output 3 6 4 7" xfId="50910"/>
    <cellStyle name="Output 3 6 4 8" xfId="50911"/>
    <cellStyle name="Output 3 6 4 9" xfId="50912"/>
    <cellStyle name="Output 3 6 5" xfId="50913"/>
    <cellStyle name="Output 3 6 5 10" xfId="50914"/>
    <cellStyle name="Output 3 6 5 11" xfId="50915"/>
    <cellStyle name="Output 3 6 5 12" xfId="50916"/>
    <cellStyle name="Output 3 6 5 13" xfId="50917"/>
    <cellStyle name="Output 3 6 5 14" xfId="50918"/>
    <cellStyle name="Output 3 6 5 15" xfId="50919"/>
    <cellStyle name="Output 3 6 5 16" xfId="50920"/>
    <cellStyle name="Output 3 6 5 17" xfId="50921"/>
    <cellStyle name="Output 3 6 5 18" xfId="50922"/>
    <cellStyle name="Output 3 6 5 19" xfId="50923"/>
    <cellStyle name="Output 3 6 5 2" xfId="50924"/>
    <cellStyle name="Output 3 6 5 2 2" xfId="50925"/>
    <cellStyle name="Output 3 6 5 2 3" xfId="50926"/>
    <cellStyle name="Output 3 6 5 2 4" xfId="50927"/>
    <cellStyle name="Output 3 6 5 2 5" xfId="50928"/>
    <cellStyle name="Output 3 6 5 2 6" xfId="50929"/>
    <cellStyle name="Output 3 6 5 2 7" xfId="50930"/>
    <cellStyle name="Output 3 6 5 2 8" xfId="50931"/>
    <cellStyle name="Output 3 6 5 2 9" xfId="50932"/>
    <cellStyle name="Output 3 6 5 3" xfId="50933"/>
    <cellStyle name="Output 3 6 5 4" xfId="50934"/>
    <cellStyle name="Output 3 6 5 5" xfId="50935"/>
    <cellStyle name="Output 3 6 5 6" xfId="50936"/>
    <cellStyle name="Output 3 6 5 7" xfId="50937"/>
    <cellStyle name="Output 3 6 5 8" xfId="50938"/>
    <cellStyle name="Output 3 6 5 9" xfId="50939"/>
    <cellStyle name="Output 3 6 6" xfId="50940"/>
    <cellStyle name="Output 3 6 6 10" xfId="50941"/>
    <cellStyle name="Output 3 6 6 11" xfId="50942"/>
    <cellStyle name="Output 3 6 6 12" xfId="50943"/>
    <cellStyle name="Output 3 6 6 13" xfId="50944"/>
    <cellStyle name="Output 3 6 6 14" xfId="50945"/>
    <cellStyle name="Output 3 6 6 15" xfId="50946"/>
    <cellStyle name="Output 3 6 6 16" xfId="50947"/>
    <cellStyle name="Output 3 6 6 17" xfId="50948"/>
    <cellStyle name="Output 3 6 6 18" xfId="50949"/>
    <cellStyle name="Output 3 6 6 2" xfId="50950"/>
    <cellStyle name="Output 3 6 6 2 2" xfId="50951"/>
    <cellStyle name="Output 3 6 6 2 3" xfId="50952"/>
    <cellStyle name="Output 3 6 6 2 4" xfId="50953"/>
    <cellStyle name="Output 3 6 6 2 5" xfId="50954"/>
    <cellStyle name="Output 3 6 6 2 6" xfId="50955"/>
    <cellStyle name="Output 3 6 6 2 7" xfId="50956"/>
    <cellStyle name="Output 3 6 6 2 8" xfId="50957"/>
    <cellStyle name="Output 3 6 6 2 9" xfId="50958"/>
    <cellStyle name="Output 3 6 6 3" xfId="50959"/>
    <cellStyle name="Output 3 6 6 4" xfId="50960"/>
    <cellStyle name="Output 3 6 6 5" xfId="50961"/>
    <cellStyle name="Output 3 6 6 6" xfId="50962"/>
    <cellStyle name="Output 3 6 6 7" xfId="50963"/>
    <cellStyle name="Output 3 6 6 8" xfId="50964"/>
    <cellStyle name="Output 3 6 6 9" xfId="50965"/>
    <cellStyle name="Output 3 6 7" xfId="50966"/>
    <cellStyle name="Output 3 7" xfId="50967"/>
    <cellStyle name="Output 3 7 2" xfId="50968"/>
    <cellStyle name="Output 3 7 2 2" xfId="50969"/>
    <cellStyle name="Output 3 7 2 2 10" xfId="50970"/>
    <cellStyle name="Output 3 7 2 2 11" xfId="50971"/>
    <cellStyle name="Output 3 7 2 2 12" xfId="50972"/>
    <cellStyle name="Output 3 7 2 2 13" xfId="50973"/>
    <cellStyle name="Output 3 7 2 2 14" xfId="50974"/>
    <cellStyle name="Output 3 7 2 2 15" xfId="50975"/>
    <cellStyle name="Output 3 7 2 2 16" xfId="50976"/>
    <cellStyle name="Output 3 7 2 2 17" xfId="50977"/>
    <cellStyle name="Output 3 7 2 2 18" xfId="50978"/>
    <cellStyle name="Output 3 7 2 2 19" xfId="50979"/>
    <cellStyle name="Output 3 7 2 2 2" xfId="50980"/>
    <cellStyle name="Output 3 7 2 2 2 2" xfId="50981"/>
    <cellStyle name="Output 3 7 2 2 2 3" xfId="50982"/>
    <cellStyle name="Output 3 7 2 2 2 4" xfId="50983"/>
    <cellStyle name="Output 3 7 2 2 2 5" xfId="50984"/>
    <cellStyle name="Output 3 7 2 2 2 6" xfId="50985"/>
    <cellStyle name="Output 3 7 2 2 2 7" xfId="50986"/>
    <cellStyle name="Output 3 7 2 2 2 8" xfId="50987"/>
    <cellStyle name="Output 3 7 2 2 2 9" xfId="50988"/>
    <cellStyle name="Output 3 7 2 2 20" xfId="50989"/>
    <cellStyle name="Output 3 7 2 2 21" xfId="50990"/>
    <cellStyle name="Output 3 7 2 2 3" xfId="50991"/>
    <cellStyle name="Output 3 7 2 2 4" xfId="50992"/>
    <cellStyle name="Output 3 7 2 2 5" xfId="50993"/>
    <cellStyle name="Output 3 7 2 2 6" xfId="50994"/>
    <cellStyle name="Output 3 7 2 2 7" xfId="50995"/>
    <cellStyle name="Output 3 7 2 2 8" xfId="50996"/>
    <cellStyle name="Output 3 7 2 2 9" xfId="50997"/>
    <cellStyle name="Output 3 7 2 3" xfId="50998"/>
    <cellStyle name="Output 3 7 2 3 10" xfId="50999"/>
    <cellStyle name="Output 3 7 2 3 11" xfId="51000"/>
    <cellStyle name="Output 3 7 2 3 12" xfId="51001"/>
    <cellStyle name="Output 3 7 2 3 13" xfId="51002"/>
    <cellStyle name="Output 3 7 2 3 14" xfId="51003"/>
    <cellStyle name="Output 3 7 2 3 15" xfId="51004"/>
    <cellStyle name="Output 3 7 2 3 16" xfId="51005"/>
    <cellStyle name="Output 3 7 2 3 17" xfId="51006"/>
    <cellStyle name="Output 3 7 2 3 18" xfId="51007"/>
    <cellStyle name="Output 3 7 2 3 19" xfId="51008"/>
    <cellStyle name="Output 3 7 2 3 2" xfId="51009"/>
    <cellStyle name="Output 3 7 2 3 2 2" xfId="51010"/>
    <cellStyle name="Output 3 7 2 3 2 3" xfId="51011"/>
    <cellStyle name="Output 3 7 2 3 2 4" xfId="51012"/>
    <cellStyle name="Output 3 7 2 3 2 5" xfId="51013"/>
    <cellStyle name="Output 3 7 2 3 2 6" xfId="51014"/>
    <cellStyle name="Output 3 7 2 3 2 7" xfId="51015"/>
    <cellStyle name="Output 3 7 2 3 2 8" xfId="51016"/>
    <cellStyle name="Output 3 7 2 3 2 9" xfId="51017"/>
    <cellStyle name="Output 3 7 2 3 3" xfId="51018"/>
    <cellStyle name="Output 3 7 2 3 4" xfId="51019"/>
    <cellStyle name="Output 3 7 2 3 5" xfId="51020"/>
    <cellStyle name="Output 3 7 2 3 6" xfId="51021"/>
    <cellStyle name="Output 3 7 2 3 7" xfId="51022"/>
    <cellStyle name="Output 3 7 2 3 8" xfId="51023"/>
    <cellStyle name="Output 3 7 2 3 9" xfId="51024"/>
    <cellStyle name="Output 3 7 2 4" xfId="51025"/>
    <cellStyle name="Output 3 7 2 4 10" xfId="51026"/>
    <cellStyle name="Output 3 7 2 4 11" xfId="51027"/>
    <cellStyle name="Output 3 7 2 4 12" xfId="51028"/>
    <cellStyle name="Output 3 7 2 4 13" xfId="51029"/>
    <cellStyle name="Output 3 7 2 4 14" xfId="51030"/>
    <cellStyle name="Output 3 7 2 4 15" xfId="51031"/>
    <cellStyle name="Output 3 7 2 4 16" xfId="51032"/>
    <cellStyle name="Output 3 7 2 4 17" xfId="51033"/>
    <cellStyle name="Output 3 7 2 4 18" xfId="51034"/>
    <cellStyle name="Output 3 7 2 4 2" xfId="51035"/>
    <cellStyle name="Output 3 7 2 4 2 2" xfId="51036"/>
    <cellStyle name="Output 3 7 2 4 2 3" xfId="51037"/>
    <cellStyle name="Output 3 7 2 4 2 4" xfId="51038"/>
    <cellStyle name="Output 3 7 2 4 2 5" xfId="51039"/>
    <cellStyle name="Output 3 7 2 4 2 6" xfId="51040"/>
    <cellStyle name="Output 3 7 2 4 2 7" xfId="51041"/>
    <cellStyle name="Output 3 7 2 4 2 8" xfId="51042"/>
    <cellStyle name="Output 3 7 2 4 2 9" xfId="51043"/>
    <cellStyle name="Output 3 7 2 4 3" xfId="51044"/>
    <cellStyle name="Output 3 7 2 4 4" xfId="51045"/>
    <cellStyle name="Output 3 7 2 4 5" xfId="51046"/>
    <cellStyle name="Output 3 7 2 4 6" xfId="51047"/>
    <cellStyle name="Output 3 7 2 4 7" xfId="51048"/>
    <cellStyle name="Output 3 7 2 4 8" xfId="51049"/>
    <cellStyle name="Output 3 7 2 4 9" xfId="51050"/>
    <cellStyle name="Output 3 7 2 5" xfId="51051"/>
    <cellStyle name="Output 3 7 3" xfId="51052"/>
    <cellStyle name="Output 3 7 3 2" xfId="51053"/>
    <cellStyle name="Output 3 7 3 2 10" xfId="51054"/>
    <cellStyle name="Output 3 7 3 2 11" xfId="51055"/>
    <cellStyle name="Output 3 7 3 2 12" xfId="51056"/>
    <cellStyle name="Output 3 7 3 2 13" xfId="51057"/>
    <cellStyle name="Output 3 7 3 2 14" xfId="51058"/>
    <cellStyle name="Output 3 7 3 2 15" xfId="51059"/>
    <cellStyle name="Output 3 7 3 2 16" xfId="51060"/>
    <cellStyle name="Output 3 7 3 2 17" xfId="51061"/>
    <cellStyle name="Output 3 7 3 2 18" xfId="51062"/>
    <cellStyle name="Output 3 7 3 2 19" xfId="51063"/>
    <cellStyle name="Output 3 7 3 2 2" xfId="51064"/>
    <cellStyle name="Output 3 7 3 2 2 2" xfId="51065"/>
    <cellStyle name="Output 3 7 3 2 2 3" xfId="51066"/>
    <cellStyle name="Output 3 7 3 2 2 4" xfId="51067"/>
    <cellStyle name="Output 3 7 3 2 2 5" xfId="51068"/>
    <cellStyle name="Output 3 7 3 2 2 6" xfId="51069"/>
    <cellStyle name="Output 3 7 3 2 2 7" xfId="51070"/>
    <cellStyle name="Output 3 7 3 2 2 8" xfId="51071"/>
    <cellStyle name="Output 3 7 3 2 2 9" xfId="51072"/>
    <cellStyle name="Output 3 7 3 2 20" xfId="51073"/>
    <cellStyle name="Output 3 7 3 2 21" xfId="51074"/>
    <cellStyle name="Output 3 7 3 2 3" xfId="51075"/>
    <cellStyle name="Output 3 7 3 2 4" xfId="51076"/>
    <cellStyle name="Output 3 7 3 2 5" xfId="51077"/>
    <cellStyle name="Output 3 7 3 2 6" xfId="51078"/>
    <cellStyle name="Output 3 7 3 2 7" xfId="51079"/>
    <cellStyle name="Output 3 7 3 2 8" xfId="51080"/>
    <cellStyle name="Output 3 7 3 2 9" xfId="51081"/>
    <cellStyle name="Output 3 7 3 3" xfId="51082"/>
    <cellStyle name="Output 3 7 3 3 10" xfId="51083"/>
    <cellStyle name="Output 3 7 3 3 11" xfId="51084"/>
    <cellStyle name="Output 3 7 3 3 12" xfId="51085"/>
    <cellStyle name="Output 3 7 3 3 13" xfId="51086"/>
    <cellStyle name="Output 3 7 3 3 14" xfId="51087"/>
    <cellStyle name="Output 3 7 3 3 15" xfId="51088"/>
    <cellStyle name="Output 3 7 3 3 16" xfId="51089"/>
    <cellStyle name="Output 3 7 3 3 17" xfId="51090"/>
    <cellStyle name="Output 3 7 3 3 18" xfId="51091"/>
    <cellStyle name="Output 3 7 3 3 19" xfId="51092"/>
    <cellStyle name="Output 3 7 3 3 2" xfId="51093"/>
    <cellStyle name="Output 3 7 3 3 2 2" xfId="51094"/>
    <cellStyle name="Output 3 7 3 3 2 3" xfId="51095"/>
    <cellStyle name="Output 3 7 3 3 2 4" xfId="51096"/>
    <cellStyle name="Output 3 7 3 3 2 5" xfId="51097"/>
    <cellStyle name="Output 3 7 3 3 2 6" xfId="51098"/>
    <cellStyle name="Output 3 7 3 3 2 7" xfId="51099"/>
    <cellStyle name="Output 3 7 3 3 2 8" xfId="51100"/>
    <cellStyle name="Output 3 7 3 3 2 9" xfId="51101"/>
    <cellStyle name="Output 3 7 3 3 3" xfId="51102"/>
    <cellStyle name="Output 3 7 3 3 4" xfId="51103"/>
    <cellStyle name="Output 3 7 3 3 5" xfId="51104"/>
    <cellStyle name="Output 3 7 3 3 6" xfId="51105"/>
    <cellStyle name="Output 3 7 3 3 7" xfId="51106"/>
    <cellStyle name="Output 3 7 3 3 8" xfId="51107"/>
    <cellStyle name="Output 3 7 3 3 9" xfId="51108"/>
    <cellStyle name="Output 3 7 3 4" xfId="51109"/>
    <cellStyle name="Output 3 7 3 4 10" xfId="51110"/>
    <cellStyle name="Output 3 7 3 4 11" xfId="51111"/>
    <cellStyle name="Output 3 7 3 4 12" xfId="51112"/>
    <cellStyle name="Output 3 7 3 4 13" xfId="51113"/>
    <cellStyle name="Output 3 7 3 4 14" xfId="51114"/>
    <cellStyle name="Output 3 7 3 4 15" xfId="51115"/>
    <cellStyle name="Output 3 7 3 4 16" xfId="51116"/>
    <cellStyle name="Output 3 7 3 4 17" xfId="51117"/>
    <cellStyle name="Output 3 7 3 4 18" xfId="51118"/>
    <cellStyle name="Output 3 7 3 4 2" xfId="51119"/>
    <cellStyle name="Output 3 7 3 4 2 2" xfId="51120"/>
    <cellStyle name="Output 3 7 3 4 2 3" xfId="51121"/>
    <cellStyle name="Output 3 7 3 4 2 4" xfId="51122"/>
    <cellStyle name="Output 3 7 3 4 2 5" xfId="51123"/>
    <cellStyle name="Output 3 7 3 4 2 6" xfId="51124"/>
    <cellStyle name="Output 3 7 3 4 2 7" xfId="51125"/>
    <cellStyle name="Output 3 7 3 4 2 8" xfId="51126"/>
    <cellStyle name="Output 3 7 3 4 2 9" xfId="51127"/>
    <cellStyle name="Output 3 7 3 4 3" xfId="51128"/>
    <cellStyle name="Output 3 7 3 4 4" xfId="51129"/>
    <cellStyle name="Output 3 7 3 4 5" xfId="51130"/>
    <cellStyle name="Output 3 7 3 4 6" xfId="51131"/>
    <cellStyle name="Output 3 7 3 4 7" xfId="51132"/>
    <cellStyle name="Output 3 7 3 4 8" xfId="51133"/>
    <cellStyle name="Output 3 7 3 4 9" xfId="51134"/>
    <cellStyle name="Output 3 7 3 5" xfId="51135"/>
    <cellStyle name="Output 3 7 4" xfId="51136"/>
    <cellStyle name="Output 3 7 4 10" xfId="51137"/>
    <cellStyle name="Output 3 7 4 11" xfId="51138"/>
    <cellStyle name="Output 3 7 4 12" xfId="51139"/>
    <cellStyle name="Output 3 7 4 13" xfId="51140"/>
    <cellStyle name="Output 3 7 4 14" xfId="51141"/>
    <cellStyle name="Output 3 7 4 15" xfId="51142"/>
    <cellStyle name="Output 3 7 4 16" xfId="51143"/>
    <cellStyle name="Output 3 7 4 17" xfId="51144"/>
    <cellStyle name="Output 3 7 4 18" xfId="51145"/>
    <cellStyle name="Output 3 7 4 19" xfId="51146"/>
    <cellStyle name="Output 3 7 4 2" xfId="51147"/>
    <cellStyle name="Output 3 7 4 2 2" xfId="51148"/>
    <cellStyle name="Output 3 7 4 2 3" xfId="51149"/>
    <cellStyle name="Output 3 7 4 2 4" xfId="51150"/>
    <cellStyle name="Output 3 7 4 2 5" xfId="51151"/>
    <cellStyle name="Output 3 7 4 2 6" xfId="51152"/>
    <cellStyle name="Output 3 7 4 2 7" xfId="51153"/>
    <cellStyle name="Output 3 7 4 2 8" xfId="51154"/>
    <cellStyle name="Output 3 7 4 2 9" xfId="51155"/>
    <cellStyle name="Output 3 7 4 20" xfId="51156"/>
    <cellStyle name="Output 3 7 4 21" xfId="51157"/>
    <cellStyle name="Output 3 7 4 3" xfId="51158"/>
    <cellStyle name="Output 3 7 4 4" xfId="51159"/>
    <cellStyle name="Output 3 7 4 5" xfId="51160"/>
    <cellStyle name="Output 3 7 4 6" xfId="51161"/>
    <cellStyle name="Output 3 7 4 7" xfId="51162"/>
    <cellStyle name="Output 3 7 4 8" xfId="51163"/>
    <cellStyle name="Output 3 7 4 9" xfId="51164"/>
    <cellStyle name="Output 3 7 5" xfId="51165"/>
    <cellStyle name="Output 3 7 5 10" xfId="51166"/>
    <cellStyle name="Output 3 7 5 11" xfId="51167"/>
    <cellStyle name="Output 3 7 5 12" xfId="51168"/>
    <cellStyle name="Output 3 7 5 13" xfId="51169"/>
    <cellStyle name="Output 3 7 5 14" xfId="51170"/>
    <cellStyle name="Output 3 7 5 15" xfId="51171"/>
    <cellStyle name="Output 3 7 5 16" xfId="51172"/>
    <cellStyle name="Output 3 7 5 17" xfId="51173"/>
    <cellStyle name="Output 3 7 5 18" xfId="51174"/>
    <cellStyle name="Output 3 7 5 19" xfId="51175"/>
    <cellStyle name="Output 3 7 5 2" xfId="51176"/>
    <cellStyle name="Output 3 7 5 2 2" xfId="51177"/>
    <cellStyle name="Output 3 7 5 2 3" xfId="51178"/>
    <cellStyle name="Output 3 7 5 2 4" xfId="51179"/>
    <cellStyle name="Output 3 7 5 2 5" xfId="51180"/>
    <cellStyle name="Output 3 7 5 2 6" xfId="51181"/>
    <cellStyle name="Output 3 7 5 2 7" xfId="51182"/>
    <cellStyle name="Output 3 7 5 2 8" xfId="51183"/>
    <cellStyle name="Output 3 7 5 2 9" xfId="51184"/>
    <cellStyle name="Output 3 7 5 3" xfId="51185"/>
    <cellStyle name="Output 3 7 5 4" xfId="51186"/>
    <cellStyle name="Output 3 7 5 5" xfId="51187"/>
    <cellStyle name="Output 3 7 5 6" xfId="51188"/>
    <cellStyle name="Output 3 7 5 7" xfId="51189"/>
    <cellStyle name="Output 3 7 5 8" xfId="51190"/>
    <cellStyle name="Output 3 7 5 9" xfId="51191"/>
    <cellStyle name="Output 3 7 6" xfId="51192"/>
    <cellStyle name="Output 3 7 6 10" xfId="51193"/>
    <cellStyle name="Output 3 7 6 11" xfId="51194"/>
    <cellStyle name="Output 3 7 6 12" xfId="51195"/>
    <cellStyle name="Output 3 7 6 13" xfId="51196"/>
    <cellStyle name="Output 3 7 6 14" xfId="51197"/>
    <cellStyle name="Output 3 7 6 15" xfId="51198"/>
    <cellStyle name="Output 3 7 6 16" xfId="51199"/>
    <cellStyle name="Output 3 7 6 17" xfId="51200"/>
    <cellStyle name="Output 3 7 6 18" xfId="51201"/>
    <cellStyle name="Output 3 7 6 2" xfId="51202"/>
    <cellStyle name="Output 3 7 6 2 2" xfId="51203"/>
    <cellStyle name="Output 3 7 6 2 3" xfId="51204"/>
    <cellStyle name="Output 3 7 6 2 4" xfId="51205"/>
    <cellStyle name="Output 3 7 6 2 5" xfId="51206"/>
    <cellStyle name="Output 3 7 6 2 6" xfId="51207"/>
    <cellStyle name="Output 3 7 6 2 7" xfId="51208"/>
    <cellStyle name="Output 3 7 6 2 8" xfId="51209"/>
    <cellStyle name="Output 3 7 6 2 9" xfId="51210"/>
    <cellStyle name="Output 3 7 6 3" xfId="51211"/>
    <cellStyle name="Output 3 7 6 4" xfId="51212"/>
    <cellStyle name="Output 3 7 6 5" xfId="51213"/>
    <cellStyle name="Output 3 7 6 6" xfId="51214"/>
    <cellStyle name="Output 3 7 6 7" xfId="51215"/>
    <cellStyle name="Output 3 7 6 8" xfId="51216"/>
    <cellStyle name="Output 3 7 6 9" xfId="51217"/>
    <cellStyle name="Output 3 7 7" xfId="51218"/>
    <cellStyle name="Output 3 8" xfId="51219"/>
    <cellStyle name="Output 3 8 2" xfId="51220"/>
    <cellStyle name="Output 3 8 2 2" xfId="51221"/>
    <cellStyle name="Output 3 8 2 2 10" xfId="51222"/>
    <cellStyle name="Output 3 8 2 2 11" xfId="51223"/>
    <cellStyle name="Output 3 8 2 2 12" xfId="51224"/>
    <cellStyle name="Output 3 8 2 2 13" xfId="51225"/>
    <cellStyle name="Output 3 8 2 2 14" xfId="51226"/>
    <cellStyle name="Output 3 8 2 2 15" xfId="51227"/>
    <cellStyle name="Output 3 8 2 2 16" xfId="51228"/>
    <cellStyle name="Output 3 8 2 2 17" xfId="51229"/>
    <cellStyle name="Output 3 8 2 2 18" xfId="51230"/>
    <cellStyle name="Output 3 8 2 2 19" xfId="51231"/>
    <cellStyle name="Output 3 8 2 2 2" xfId="51232"/>
    <cellStyle name="Output 3 8 2 2 2 2" xfId="51233"/>
    <cellStyle name="Output 3 8 2 2 2 3" xfId="51234"/>
    <cellStyle name="Output 3 8 2 2 2 4" xfId="51235"/>
    <cellStyle name="Output 3 8 2 2 2 5" xfId="51236"/>
    <cellStyle name="Output 3 8 2 2 2 6" xfId="51237"/>
    <cellStyle name="Output 3 8 2 2 2 7" xfId="51238"/>
    <cellStyle name="Output 3 8 2 2 2 8" xfId="51239"/>
    <cellStyle name="Output 3 8 2 2 2 9" xfId="51240"/>
    <cellStyle name="Output 3 8 2 2 20" xfId="51241"/>
    <cellStyle name="Output 3 8 2 2 21" xfId="51242"/>
    <cellStyle name="Output 3 8 2 2 3" xfId="51243"/>
    <cellStyle name="Output 3 8 2 2 4" xfId="51244"/>
    <cellStyle name="Output 3 8 2 2 5" xfId="51245"/>
    <cellStyle name="Output 3 8 2 2 6" xfId="51246"/>
    <cellStyle name="Output 3 8 2 2 7" xfId="51247"/>
    <cellStyle name="Output 3 8 2 2 8" xfId="51248"/>
    <cellStyle name="Output 3 8 2 2 9" xfId="51249"/>
    <cellStyle name="Output 3 8 2 3" xfId="51250"/>
    <cellStyle name="Output 3 8 2 3 10" xfId="51251"/>
    <cellStyle name="Output 3 8 2 3 11" xfId="51252"/>
    <cellStyle name="Output 3 8 2 3 12" xfId="51253"/>
    <cellStyle name="Output 3 8 2 3 13" xfId="51254"/>
    <cellStyle name="Output 3 8 2 3 14" xfId="51255"/>
    <cellStyle name="Output 3 8 2 3 15" xfId="51256"/>
    <cellStyle name="Output 3 8 2 3 16" xfId="51257"/>
    <cellStyle name="Output 3 8 2 3 17" xfId="51258"/>
    <cellStyle name="Output 3 8 2 3 18" xfId="51259"/>
    <cellStyle name="Output 3 8 2 3 19" xfId="51260"/>
    <cellStyle name="Output 3 8 2 3 2" xfId="51261"/>
    <cellStyle name="Output 3 8 2 3 2 2" xfId="51262"/>
    <cellStyle name="Output 3 8 2 3 2 3" xfId="51263"/>
    <cellStyle name="Output 3 8 2 3 2 4" xfId="51264"/>
    <cellStyle name="Output 3 8 2 3 2 5" xfId="51265"/>
    <cellStyle name="Output 3 8 2 3 2 6" xfId="51266"/>
    <cellStyle name="Output 3 8 2 3 2 7" xfId="51267"/>
    <cellStyle name="Output 3 8 2 3 2 8" xfId="51268"/>
    <cellStyle name="Output 3 8 2 3 2 9" xfId="51269"/>
    <cellStyle name="Output 3 8 2 3 3" xfId="51270"/>
    <cellStyle name="Output 3 8 2 3 4" xfId="51271"/>
    <cellStyle name="Output 3 8 2 3 5" xfId="51272"/>
    <cellStyle name="Output 3 8 2 3 6" xfId="51273"/>
    <cellStyle name="Output 3 8 2 3 7" xfId="51274"/>
    <cellStyle name="Output 3 8 2 3 8" xfId="51275"/>
    <cellStyle name="Output 3 8 2 3 9" xfId="51276"/>
    <cellStyle name="Output 3 8 2 4" xfId="51277"/>
    <cellStyle name="Output 3 8 2 4 10" xfId="51278"/>
    <cellStyle name="Output 3 8 2 4 11" xfId="51279"/>
    <cellStyle name="Output 3 8 2 4 12" xfId="51280"/>
    <cellStyle name="Output 3 8 2 4 13" xfId="51281"/>
    <cellStyle name="Output 3 8 2 4 14" xfId="51282"/>
    <cellStyle name="Output 3 8 2 4 15" xfId="51283"/>
    <cellStyle name="Output 3 8 2 4 16" xfId="51284"/>
    <cellStyle name="Output 3 8 2 4 17" xfId="51285"/>
    <cellStyle name="Output 3 8 2 4 18" xfId="51286"/>
    <cellStyle name="Output 3 8 2 4 2" xfId="51287"/>
    <cellStyle name="Output 3 8 2 4 2 2" xfId="51288"/>
    <cellStyle name="Output 3 8 2 4 2 3" xfId="51289"/>
    <cellStyle name="Output 3 8 2 4 2 4" xfId="51290"/>
    <cellStyle name="Output 3 8 2 4 2 5" xfId="51291"/>
    <cellStyle name="Output 3 8 2 4 2 6" xfId="51292"/>
    <cellStyle name="Output 3 8 2 4 2 7" xfId="51293"/>
    <cellStyle name="Output 3 8 2 4 2 8" xfId="51294"/>
    <cellStyle name="Output 3 8 2 4 2 9" xfId="51295"/>
    <cellStyle name="Output 3 8 2 4 3" xfId="51296"/>
    <cellStyle name="Output 3 8 2 4 4" xfId="51297"/>
    <cellStyle name="Output 3 8 2 4 5" xfId="51298"/>
    <cellStyle name="Output 3 8 2 4 6" xfId="51299"/>
    <cellStyle name="Output 3 8 2 4 7" xfId="51300"/>
    <cellStyle name="Output 3 8 2 4 8" xfId="51301"/>
    <cellStyle name="Output 3 8 2 4 9" xfId="51302"/>
    <cellStyle name="Output 3 8 2 5" xfId="51303"/>
    <cellStyle name="Output 3 8 3" xfId="51304"/>
    <cellStyle name="Output 3 8 3 2" xfId="51305"/>
    <cellStyle name="Output 3 8 3 2 10" xfId="51306"/>
    <cellStyle name="Output 3 8 3 2 11" xfId="51307"/>
    <cellStyle name="Output 3 8 3 2 12" xfId="51308"/>
    <cellStyle name="Output 3 8 3 2 13" xfId="51309"/>
    <cellStyle name="Output 3 8 3 2 14" xfId="51310"/>
    <cellStyle name="Output 3 8 3 2 15" xfId="51311"/>
    <cellStyle name="Output 3 8 3 2 16" xfId="51312"/>
    <cellStyle name="Output 3 8 3 2 17" xfId="51313"/>
    <cellStyle name="Output 3 8 3 2 18" xfId="51314"/>
    <cellStyle name="Output 3 8 3 2 19" xfId="51315"/>
    <cellStyle name="Output 3 8 3 2 2" xfId="51316"/>
    <cellStyle name="Output 3 8 3 2 2 2" xfId="51317"/>
    <cellStyle name="Output 3 8 3 2 2 3" xfId="51318"/>
    <cellStyle name="Output 3 8 3 2 2 4" xfId="51319"/>
    <cellStyle name="Output 3 8 3 2 2 5" xfId="51320"/>
    <cellStyle name="Output 3 8 3 2 2 6" xfId="51321"/>
    <cellStyle name="Output 3 8 3 2 2 7" xfId="51322"/>
    <cellStyle name="Output 3 8 3 2 2 8" xfId="51323"/>
    <cellStyle name="Output 3 8 3 2 2 9" xfId="51324"/>
    <cellStyle name="Output 3 8 3 2 20" xfId="51325"/>
    <cellStyle name="Output 3 8 3 2 21" xfId="51326"/>
    <cellStyle name="Output 3 8 3 2 3" xfId="51327"/>
    <cellStyle name="Output 3 8 3 2 4" xfId="51328"/>
    <cellStyle name="Output 3 8 3 2 5" xfId="51329"/>
    <cellStyle name="Output 3 8 3 2 6" xfId="51330"/>
    <cellStyle name="Output 3 8 3 2 7" xfId="51331"/>
    <cellStyle name="Output 3 8 3 2 8" xfId="51332"/>
    <cellStyle name="Output 3 8 3 2 9" xfId="51333"/>
    <cellStyle name="Output 3 8 3 3" xfId="51334"/>
    <cellStyle name="Output 3 8 3 3 10" xfId="51335"/>
    <cellStyle name="Output 3 8 3 3 11" xfId="51336"/>
    <cellStyle name="Output 3 8 3 3 12" xfId="51337"/>
    <cellStyle name="Output 3 8 3 3 13" xfId="51338"/>
    <cellStyle name="Output 3 8 3 3 14" xfId="51339"/>
    <cellStyle name="Output 3 8 3 3 15" xfId="51340"/>
    <cellStyle name="Output 3 8 3 3 16" xfId="51341"/>
    <cellStyle name="Output 3 8 3 3 17" xfId="51342"/>
    <cellStyle name="Output 3 8 3 3 18" xfId="51343"/>
    <cellStyle name="Output 3 8 3 3 19" xfId="51344"/>
    <cellStyle name="Output 3 8 3 3 2" xfId="51345"/>
    <cellStyle name="Output 3 8 3 3 2 2" xfId="51346"/>
    <cellStyle name="Output 3 8 3 3 2 3" xfId="51347"/>
    <cellStyle name="Output 3 8 3 3 2 4" xfId="51348"/>
    <cellStyle name="Output 3 8 3 3 2 5" xfId="51349"/>
    <cellStyle name="Output 3 8 3 3 2 6" xfId="51350"/>
    <cellStyle name="Output 3 8 3 3 2 7" xfId="51351"/>
    <cellStyle name="Output 3 8 3 3 2 8" xfId="51352"/>
    <cellStyle name="Output 3 8 3 3 2 9" xfId="51353"/>
    <cellStyle name="Output 3 8 3 3 3" xfId="51354"/>
    <cellStyle name="Output 3 8 3 3 4" xfId="51355"/>
    <cellStyle name="Output 3 8 3 3 5" xfId="51356"/>
    <cellStyle name="Output 3 8 3 3 6" xfId="51357"/>
    <cellStyle name="Output 3 8 3 3 7" xfId="51358"/>
    <cellStyle name="Output 3 8 3 3 8" xfId="51359"/>
    <cellStyle name="Output 3 8 3 3 9" xfId="51360"/>
    <cellStyle name="Output 3 8 3 4" xfId="51361"/>
    <cellStyle name="Output 3 8 3 4 10" xfId="51362"/>
    <cellStyle name="Output 3 8 3 4 11" xfId="51363"/>
    <cellStyle name="Output 3 8 3 4 12" xfId="51364"/>
    <cellStyle name="Output 3 8 3 4 13" xfId="51365"/>
    <cellStyle name="Output 3 8 3 4 14" xfId="51366"/>
    <cellStyle name="Output 3 8 3 4 15" xfId="51367"/>
    <cellStyle name="Output 3 8 3 4 16" xfId="51368"/>
    <cellStyle name="Output 3 8 3 4 17" xfId="51369"/>
    <cellStyle name="Output 3 8 3 4 18" xfId="51370"/>
    <cellStyle name="Output 3 8 3 4 2" xfId="51371"/>
    <cellStyle name="Output 3 8 3 4 2 2" xfId="51372"/>
    <cellStyle name="Output 3 8 3 4 2 3" xfId="51373"/>
    <cellStyle name="Output 3 8 3 4 2 4" xfId="51374"/>
    <cellStyle name="Output 3 8 3 4 2 5" xfId="51375"/>
    <cellStyle name="Output 3 8 3 4 2 6" xfId="51376"/>
    <cellStyle name="Output 3 8 3 4 2 7" xfId="51377"/>
    <cellStyle name="Output 3 8 3 4 2 8" xfId="51378"/>
    <cellStyle name="Output 3 8 3 4 2 9" xfId="51379"/>
    <cellStyle name="Output 3 8 3 4 3" xfId="51380"/>
    <cellStyle name="Output 3 8 3 4 4" xfId="51381"/>
    <cellStyle name="Output 3 8 3 4 5" xfId="51382"/>
    <cellStyle name="Output 3 8 3 4 6" xfId="51383"/>
    <cellStyle name="Output 3 8 3 4 7" xfId="51384"/>
    <cellStyle name="Output 3 8 3 4 8" xfId="51385"/>
    <cellStyle name="Output 3 8 3 4 9" xfId="51386"/>
    <cellStyle name="Output 3 8 3 5" xfId="51387"/>
    <cellStyle name="Output 3 8 4" xfId="51388"/>
    <cellStyle name="Output 3 8 4 10" xfId="51389"/>
    <cellStyle name="Output 3 8 4 11" xfId="51390"/>
    <cellStyle name="Output 3 8 4 12" xfId="51391"/>
    <cellStyle name="Output 3 8 4 13" xfId="51392"/>
    <cellStyle name="Output 3 8 4 14" xfId="51393"/>
    <cellStyle name="Output 3 8 4 15" xfId="51394"/>
    <cellStyle name="Output 3 8 4 16" xfId="51395"/>
    <cellStyle name="Output 3 8 4 17" xfId="51396"/>
    <cellStyle name="Output 3 8 4 18" xfId="51397"/>
    <cellStyle name="Output 3 8 4 19" xfId="51398"/>
    <cellStyle name="Output 3 8 4 2" xfId="51399"/>
    <cellStyle name="Output 3 8 4 2 2" xfId="51400"/>
    <cellStyle name="Output 3 8 4 2 3" xfId="51401"/>
    <cellStyle name="Output 3 8 4 2 4" xfId="51402"/>
    <cellStyle name="Output 3 8 4 2 5" xfId="51403"/>
    <cellStyle name="Output 3 8 4 2 6" xfId="51404"/>
    <cellStyle name="Output 3 8 4 2 7" xfId="51405"/>
    <cellStyle name="Output 3 8 4 2 8" xfId="51406"/>
    <cellStyle name="Output 3 8 4 2 9" xfId="51407"/>
    <cellStyle name="Output 3 8 4 20" xfId="51408"/>
    <cellStyle name="Output 3 8 4 21" xfId="51409"/>
    <cellStyle name="Output 3 8 4 3" xfId="51410"/>
    <cellStyle name="Output 3 8 4 4" xfId="51411"/>
    <cellStyle name="Output 3 8 4 5" xfId="51412"/>
    <cellStyle name="Output 3 8 4 6" xfId="51413"/>
    <cellStyle name="Output 3 8 4 7" xfId="51414"/>
    <cellStyle name="Output 3 8 4 8" xfId="51415"/>
    <cellStyle name="Output 3 8 4 9" xfId="51416"/>
    <cellStyle name="Output 3 8 5" xfId="51417"/>
    <cellStyle name="Output 3 8 5 10" xfId="51418"/>
    <cellStyle name="Output 3 8 5 11" xfId="51419"/>
    <cellStyle name="Output 3 8 5 12" xfId="51420"/>
    <cellStyle name="Output 3 8 5 13" xfId="51421"/>
    <cellStyle name="Output 3 8 5 14" xfId="51422"/>
    <cellStyle name="Output 3 8 5 15" xfId="51423"/>
    <cellStyle name="Output 3 8 5 16" xfId="51424"/>
    <cellStyle name="Output 3 8 5 17" xfId="51425"/>
    <cellStyle name="Output 3 8 5 18" xfId="51426"/>
    <cellStyle name="Output 3 8 5 19" xfId="51427"/>
    <cellStyle name="Output 3 8 5 2" xfId="51428"/>
    <cellStyle name="Output 3 8 5 2 2" xfId="51429"/>
    <cellStyle name="Output 3 8 5 2 3" xfId="51430"/>
    <cellStyle name="Output 3 8 5 2 4" xfId="51431"/>
    <cellStyle name="Output 3 8 5 2 5" xfId="51432"/>
    <cellStyle name="Output 3 8 5 2 6" xfId="51433"/>
    <cellStyle name="Output 3 8 5 2 7" xfId="51434"/>
    <cellStyle name="Output 3 8 5 2 8" xfId="51435"/>
    <cellStyle name="Output 3 8 5 2 9" xfId="51436"/>
    <cellStyle name="Output 3 8 5 3" xfId="51437"/>
    <cellStyle name="Output 3 8 5 4" xfId="51438"/>
    <cellStyle name="Output 3 8 5 5" xfId="51439"/>
    <cellStyle name="Output 3 8 5 6" xfId="51440"/>
    <cellStyle name="Output 3 8 5 7" xfId="51441"/>
    <cellStyle name="Output 3 8 5 8" xfId="51442"/>
    <cellStyle name="Output 3 8 5 9" xfId="51443"/>
    <cellStyle name="Output 3 8 6" xfId="51444"/>
    <cellStyle name="Output 3 8 6 10" xfId="51445"/>
    <cellStyle name="Output 3 8 6 11" xfId="51446"/>
    <cellStyle name="Output 3 8 6 12" xfId="51447"/>
    <cellStyle name="Output 3 8 6 13" xfId="51448"/>
    <cellStyle name="Output 3 8 6 14" xfId="51449"/>
    <cellStyle name="Output 3 8 6 15" xfId="51450"/>
    <cellStyle name="Output 3 8 6 16" xfId="51451"/>
    <cellStyle name="Output 3 8 6 17" xfId="51452"/>
    <cellStyle name="Output 3 8 6 18" xfId="51453"/>
    <cellStyle name="Output 3 8 6 2" xfId="51454"/>
    <cellStyle name="Output 3 8 6 2 2" xfId="51455"/>
    <cellStyle name="Output 3 8 6 2 3" xfId="51456"/>
    <cellStyle name="Output 3 8 6 2 4" xfId="51457"/>
    <cellStyle name="Output 3 8 6 2 5" xfId="51458"/>
    <cellStyle name="Output 3 8 6 2 6" xfId="51459"/>
    <cellStyle name="Output 3 8 6 2 7" xfId="51460"/>
    <cellStyle name="Output 3 8 6 2 8" xfId="51461"/>
    <cellStyle name="Output 3 8 6 2 9" xfId="51462"/>
    <cellStyle name="Output 3 8 6 3" xfId="51463"/>
    <cellStyle name="Output 3 8 6 4" xfId="51464"/>
    <cellStyle name="Output 3 8 6 5" xfId="51465"/>
    <cellStyle name="Output 3 8 6 6" xfId="51466"/>
    <cellStyle name="Output 3 8 6 7" xfId="51467"/>
    <cellStyle name="Output 3 8 6 8" xfId="51468"/>
    <cellStyle name="Output 3 8 6 9" xfId="51469"/>
    <cellStyle name="Output 3 8 7" xfId="51470"/>
    <cellStyle name="Output 3 9" xfId="51471"/>
    <cellStyle name="Output 3 9 2" xfId="51472"/>
    <cellStyle name="Output 3 9 2 10" xfId="51473"/>
    <cellStyle name="Output 3 9 2 11" xfId="51474"/>
    <cellStyle name="Output 3 9 2 12" xfId="51475"/>
    <cellStyle name="Output 3 9 2 13" xfId="51476"/>
    <cellStyle name="Output 3 9 2 14" xfId="51477"/>
    <cellStyle name="Output 3 9 2 15" xfId="51478"/>
    <cellStyle name="Output 3 9 2 16" xfId="51479"/>
    <cellStyle name="Output 3 9 2 17" xfId="51480"/>
    <cellStyle name="Output 3 9 2 18" xfId="51481"/>
    <cellStyle name="Output 3 9 2 19" xfId="51482"/>
    <cellStyle name="Output 3 9 2 2" xfId="51483"/>
    <cellStyle name="Output 3 9 2 2 2" xfId="51484"/>
    <cellStyle name="Output 3 9 2 2 3" xfId="51485"/>
    <cellStyle name="Output 3 9 2 2 4" xfId="51486"/>
    <cellStyle name="Output 3 9 2 2 5" xfId="51487"/>
    <cellStyle name="Output 3 9 2 2 6" xfId="51488"/>
    <cellStyle name="Output 3 9 2 2 7" xfId="51489"/>
    <cellStyle name="Output 3 9 2 2 8" xfId="51490"/>
    <cellStyle name="Output 3 9 2 2 9" xfId="51491"/>
    <cellStyle name="Output 3 9 2 20" xfId="51492"/>
    <cellStyle name="Output 3 9 2 21" xfId="51493"/>
    <cellStyle name="Output 3 9 2 3" xfId="51494"/>
    <cellStyle name="Output 3 9 2 4" xfId="51495"/>
    <cellStyle name="Output 3 9 2 5" xfId="51496"/>
    <cellStyle name="Output 3 9 2 6" xfId="51497"/>
    <cellStyle name="Output 3 9 2 7" xfId="51498"/>
    <cellStyle name="Output 3 9 2 8" xfId="51499"/>
    <cellStyle name="Output 3 9 2 9" xfId="51500"/>
    <cellStyle name="Output 3 9 3" xfId="51501"/>
    <cellStyle name="Output 3 9 3 10" xfId="51502"/>
    <cellStyle name="Output 3 9 3 11" xfId="51503"/>
    <cellStyle name="Output 3 9 3 12" xfId="51504"/>
    <cellStyle name="Output 3 9 3 13" xfId="51505"/>
    <cellStyle name="Output 3 9 3 14" xfId="51506"/>
    <cellStyle name="Output 3 9 3 15" xfId="51507"/>
    <cellStyle name="Output 3 9 3 16" xfId="51508"/>
    <cellStyle name="Output 3 9 3 17" xfId="51509"/>
    <cellStyle name="Output 3 9 3 18" xfId="51510"/>
    <cellStyle name="Output 3 9 3 19" xfId="51511"/>
    <cellStyle name="Output 3 9 3 2" xfId="51512"/>
    <cellStyle name="Output 3 9 3 2 2" xfId="51513"/>
    <cellStyle name="Output 3 9 3 2 3" xfId="51514"/>
    <cellStyle name="Output 3 9 3 2 4" xfId="51515"/>
    <cellStyle name="Output 3 9 3 2 5" xfId="51516"/>
    <cellStyle name="Output 3 9 3 2 6" xfId="51517"/>
    <cellStyle name="Output 3 9 3 2 7" xfId="51518"/>
    <cellStyle name="Output 3 9 3 2 8" xfId="51519"/>
    <cellStyle name="Output 3 9 3 2 9" xfId="51520"/>
    <cellStyle name="Output 3 9 3 3" xfId="51521"/>
    <cellStyle name="Output 3 9 3 4" xfId="51522"/>
    <cellStyle name="Output 3 9 3 5" xfId="51523"/>
    <cellStyle name="Output 3 9 3 6" xfId="51524"/>
    <cellStyle name="Output 3 9 3 7" xfId="51525"/>
    <cellStyle name="Output 3 9 3 8" xfId="51526"/>
    <cellStyle name="Output 3 9 3 9" xfId="51527"/>
    <cellStyle name="Output 3 9 4" xfId="51528"/>
    <cellStyle name="Output 3 9 4 10" xfId="51529"/>
    <cellStyle name="Output 3 9 4 11" xfId="51530"/>
    <cellStyle name="Output 3 9 4 12" xfId="51531"/>
    <cellStyle name="Output 3 9 4 13" xfId="51532"/>
    <cellStyle name="Output 3 9 4 14" xfId="51533"/>
    <cellStyle name="Output 3 9 4 15" xfId="51534"/>
    <cellStyle name="Output 3 9 4 16" xfId="51535"/>
    <cellStyle name="Output 3 9 4 17" xfId="51536"/>
    <cellStyle name="Output 3 9 4 18" xfId="51537"/>
    <cellStyle name="Output 3 9 4 2" xfId="51538"/>
    <cellStyle name="Output 3 9 4 2 2" xfId="51539"/>
    <cellStyle name="Output 3 9 4 2 3" xfId="51540"/>
    <cellStyle name="Output 3 9 4 2 4" xfId="51541"/>
    <cellStyle name="Output 3 9 4 2 5" xfId="51542"/>
    <cellStyle name="Output 3 9 4 2 6" xfId="51543"/>
    <cellStyle name="Output 3 9 4 2 7" xfId="51544"/>
    <cellStyle name="Output 3 9 4 2 8" xfId="51545"/>
    <cellStyle name="Output 3 9 4 2 9" xfId="51546"/>
    <cellStyle name="Output 3 9 4 3" xfId="51547"/>
    <cellStyle name="Output 3 9 4 4" xfId="51548"/>
    <cellStyle name="Output 3 9 4 5" xfId="51549"/>
    <cellStyle name="Output 3 9 4 6" xfId="51550"/>
    <cellStyle name="Output 3 9 4 7" xfId="51551"/>
    <cellStyle name="Output 3 9 4 8" xfId="51552"/>
    <cellStyle name="Output 3 9 4 9" xfId="51553"/>
    <cellStyle name="Output 3 9 5" xfId="51554"/>
    <cellStyle name="Output 4" xfId="51555"/>
    <cellStyle name="Output 4 2" xfId="51556"/>
    <cellStyle name="Output 4 2 2" xfId="51557"/>
    <cellStyle name="Output 4 2 2 10" xfId="51558"/>
    <cellStyle name="Output 4 2 2 11" xfId="51559"/>
    <cellStyle name="Output 4 2 2 12" xfId="51560"/>
    <cellStyle name="Output 4 2 2 13" xfId="51561"/>
    <cellStyle name="Output 4 2 2 14" xfId="51562"/>
    <cellStyle name="Output 4 2 2 15" xfId="51563"/>
    <cellStyle name="Output 4 2 2 16" xfId="51564"/>
    <cellStyle name="Output 4 2 2 17" xfId="51565"/>
    <cellStyle name="Output 4 2 2 18" xfId="51566"/>
    <cellStyle name="Output 4 2 2 19" xfId="51567"/>
    <cellStyle name="Output 4 2 2 2" xfId="51568"/>
    <cellStyle name="Output 4 2 2 2 2" xfId="51569"/>
    <cellStyle name="Output 4 2 2 2 3" xfId="51570"/>
    <cellStyle name="Output 4 2 2 2 4" xfId="51571"/>
    <cellStyle name="Output 4 2 2 2 5" xfId="51572"/>
    <cellStyle name="Output 4 2 2 2 6" xfId="51573"/>
    <cellStyle name="Output 4 2 2 2 7" xfId="51574"/>
    <cellStyle name="Output 4 2 2 2 8" xfId="51575"/>
    <cellStyle name="Output 4 2 2 2 9" xfId="51576"/>
    <cellStyle name="Output 4 2 2 20" xfId="51577"/>
    <cellStyle name="Output 4 2 2 21" xfId="51578"/>
    <cellStyle name="Output 4 2 2 3" xfId="51579"/>
    <cellStyle name="Output 4 2 2 4" xfId="51580"/>
    <cellStyle name="Output 4 2 2 5" xfId="51581"/>
    <cellStyle name="Output 4 2 2 6" xfId="51582"/>
    <cellStyle name="Output 4 2 2 7" xfId="51583"/>
    <cellStyle name="Output 4 2 2 8" xfId="51584"/>
    <cellStyle name="Output 4 2 2 9" xfId="51585"/>
    <cellStyle name="Output 4 2 3" xfId="51586"/>
    <cellStyle name="Output 4 2 3 10" xfId="51587"/>
    <cellStyle name="Output 4 2 3 11" xfId="51588"/>
    <cellStyle name="Output 4 2 3 12" xfId="51589"/>
    <cellStyle name="Output 4 2 3 13" xfId="51590"/>
    <cellStyle name="Output 4 2 3 14" xfId="51591"/>
    <cellStyle name="Output 4 2 3 15" xfId="51592"/>
    <cellStyle name="Output 4 2 3 16" xfId="51593"/>
    <cellStyle name="Output 4 2 3 17" xfId="51594"/>
    <cellStyle name="Output 4 2 3 18" xfId="51595"/>
    <cellStyle name="Output 4 2 3 19" xfId="51596"/>
    <cellStyle name="Output 4 2 3 2" xfId="51597"/>
    <cellStyle name="Output 4 2 3 2 2" xfId="51598"/>
    <cellStyle name="Output 4 2 3 2 3" xfId="51599"/>
    <cellStyle name="Output 4 2 3 2 4" xfId="51600"/>
    <cellStyle name="Output 4 2 3 2 5" xfId="51601"/>
    <cellStyle name="Output 4 2 3 2 6" xfId="51602"/>
    <cellStyle name="Output 4 2 3 2 7" xfId="51603"/>
    <cellStyle name="Output 4 2 3 2 8" xfId="51604"/>
    <cellStyle name="Output 4 2 3 2 9" xfId="51605"/>
    <cellStyle name="Output 4 2 3 3" xfId="51606"/>
    <cellStyle name="Output 4 2 3 4" xfId="51607"/>
    <cellStyle name="Output 4 2 3 5" xfId="51608"/>
    <cellStyle name="Output 4 2 3 6" xfId="51609"/>
    <cellStyle name="Output 4 2 3 7" xfId="51610"/>
    <cellStyle name="Output 4 2 3 8" xfId="51611"/>
    <cellStyle name="Output 4 2 3 9" xfId="51612"/>
    <cellStyle name="Output 4 2 4" xfId="51613"/>
    <cellStyle name="Output 4 2 4 10" xfId="51614"/>
    <cellStyle name="Output 4 2 4 11" xfId="51615"/>
    <cellStyle name="Output 4 2 4 12" xfId="51616"/>
    <cellStyle name="Output 4 2 4 13" xfId="51617"/>
    <cellStyle name="Output 4 2 4 14" xfId="51618"/>
    <cellStyle name="Output 4 2 4 15" xfId="51619"/>
    <cellStyle name="Output 4 2 4 16" xfId="51620"/>
    <cellStyle name="Output 4 2 4 17" xfId="51621"/>
    <cellStyle name="Output 4 2 4 18" xfId="51622"/>
    <cellStyle name="Output 4 2 4 2" xfId="51623"/>
    <cellStyle name="Output 4 2 4 2 2" xfId="51624"/>
    <cellStyle name="Output 4 2 4 2 3" xfId="51625"/>
    <cellStyle name="Output 4 2 4 2 4" xfId="51626"/>
    <cellStyle name="Output 4 2 4 2 5" xfId="51627"/>
    <cellStyle name="Output 4 2 4 2 6" xfId="51628"/>
    <cellStyle name="Output 4 2 4 2 7" xfId="51629"/>
    <cellStyle name="Output 4 2 4 2 8" xfId="51630"/>
    <cellStyle name="Output 4 2 4 2 9" xfId="51631"/>
    <cellStyle name="Output 4 2 4 3" xfId="51632"/>
    <cellStyle name="Output 4 2 4 4" xfId="51633"/>
    <cellStyle name="Output 4 2 4 5" xfId="51634"/>
    <cellStyle name="Output 4 2 4 6" xfId="51635"/>
    <cellStyle name="Output 4 2 4 7" xfId="51636"/>
    <cellStyle name="Output 4 2 4 8" xfId="51637"/>
    <cellStyle name="Output 4 2 4 9" xfId="51638"/>
    <cellStyle name="Output 4 2 5" xfId="51639"/>
    <cellStyle name="Output 4 3" xfId="51640"/>
    <cellStyle name="Output 4 3 2" xfId="51641"/>
    <cellStyle name="Output 4 3 2 10" xfId="51642"/>
    <cellStyle name="Output 4 3 2 11" xfId="51643"/>
    <cellStyle name="Output 4 3 2 12" xfId="51644"/>
    <cellStyle name="Output 4 3 2 13" xfId="51645"/>
    <cellStyle name="Output 4 3 2 14" xfId="51646"/>
    <cellStyle name="Output 4 3 2 15" xfId="51647"/>
    <cellStyle name="Output 4 3 2 16" xfId="51648"/>
    <cellStyle name="Output 4 3 2 17" xfId="51649"/>
    <cellStyle name="Output 4 3 2 18" xfId="51650"/>
    <cellStyle name="Output 4 3 2 19" xfId="51651"/>
    <cellStyle name="Output 4 3 2 2" xfId="51652"/>
    <cellStyle name="Output 4 3 2 2 2" xfId="51653"/>
    <cellStyle name="Output 4 3 2 2 3" xfId="51654"/>
    <cellStyle name="Output 4 3 2 2 4" xfId="51655"/>
    <cellStyle name="Output 4 3 2 2 5" xfId="51656"/>
    <cellStyle name="Output 4 3 2 2 6" xfId="51657"/>
    <cellStyle name="Output 4 3 2 2 7" xfId="51658"/>
    <cellStyle name="Output 4 3 2 2 8" xfId="51659"/>
    <cellStyle name="Output 4 3 2 2 9" xfId="51660"/>
    <cellStyle name="Output 4 3 2 20" xfId="51661"/>
    <cellStyle name="Output 4 3 2 21" xfId="51662"/>
    <cellStyle name="Output 4 3 2 3" xfId="51663"/>
    <cellStyle name="Output 4 3 2 4" xfId="51664"/>
    <cellStyle name="Output 4 3 2 5" xfId="51665"/>
    <cellStyle name="Output 4 3 2 6" xfId="51666"/>
    <cellStyle name="Output 4 3 2 7" xfId="51667"/>
    <cellStyle name="Output 4 3 2 8" xfId="51668"/>
    <cellStyle name="Output 4 3 2 9" xfId="51669"/>
    <cellStyle name="Output 4 3 3" xfId="51670"/>
    <cellStyle name="Output 4 3 3 10" xfId="51671"/>
    <cellStyle name="Output 4 3 3 11" xfId="51672"/>
    <cellStyle name="Output 4 3 3 12" xfId="51673"/>
    <cellStyle name="Output 4 3 3 13" xfId="51674"/>
    <cellStyle name="Output 4 3 3 14" xfId="51675"/>
    <cellStyle name="Output 4 3 3 15" xfId="51676"/>
    <cellStyle name="Output 4 3 3 16" xfId="51677"/>
    <cellStyle name="Output 4 3 3 17" xfId="51678"/>
    <cellStyle name="Output 4 3 3 18" xfId="51679"/>
    <cellStyle name="Output 4 3 3 19" xfId="51680"/>
    <cellStyle name="Output 4 3 3 2" xfId="51681"/>
    <cellStyle name="Output 4 3 3 2 2" xfId="51682"/>
    <cellStyle name="Output 4 3 3 2 3" xfId="51683"/>
    <cellStyle name="Output 4 3 3 2 4" xfId="51684"/>
    <cellStyle name="Output 4 3 3 2 5" xfId="51685"/>
    <cellStyle name="Output 4 3 3 2 6" xfId="51686"/>
    <cellStyle name="Output 4 3 3 2 7" xfId="51687"/>
    <cellStyle name="Output 4 3 3 2 8" xfId="51688"/>
    <cellStyle name="Output 4 3 3 2 9" xfId="51689"/>
    <cellStyle name="Output 4 3 3 3" xfId="51690"/>
    <cellStyle name="Output 4 3 3 4" xfId="51691"/>
    <cellStyle name="Output 4 3 3 5" xfId="51692"/>
    <cellStyle name="Output 4 3 3 6" xfId="51693"/>
    <cellStyle name="Output 4 3 3 7" xfId="51694"/>
    <cellStyle name="Output 4 3 3 8" xfId="51695"/>
    <cellStyle name="Output 4 3 3 9" xfId="51696"/>
    <cellStyle name="Output 4 3 4" xfId="51697"/>
    <cellStyle name="Output 4 3 4 10" xfId="51698"/>
    <cellStyle name="Output 4 3 4 11" xfId="51699"/>
    <cellStyle name="Output 4 3 4 12" xfId="51700"/>
    <cellStyle name="Output 4 3 4 13" xfId="51701"/>
    <cellStyle name="Output 4 3 4 14" xfId="51702"/>
    <cellStyle name="Output 4 3 4 15" xfId="51703"/>
    <cellStyle name="Output 4 3 4 16" xfId="51704"/>
    <cellStyle name="Output 4 3 4 17" xfId="51705"/>
    <cellStyle name="Output 4 3 4 18" xfId="51706"/>
    <cellStyle name="Output 4 3 4 2" xfId="51707"/>
    <cellStyle name="Output 4 3 4 2 2" xfId="51708"/>
    <cellStyle name="Output 4 3 4 2 3" xfId="51709"/>
    <cellStyle name="Output 4 3 4 2 4" xfId="51710"/>
    <cellStyle name="Output 4 3 4 2 5" xfId="51711"/>
    <cellStyle name="Output 4 3 4 2 6" xfId="51712"/>
    <cellStyle name="Output 4 3 4 2 7" xfId="51713"/>
    <cellStyle name="Output 4 3 4 2 8" xfId="51714"/>
    <cellStyle name="Output 4 3 4 2 9" xfId="51715"/>
    <cellStyle name="Output 4 3 4 3" xfId="51716"/>
    <cellStyle name="Output 4 3 4 4" xfId="51717"/>
    <cellStyle name="Output 4 3 4 5" xfId="51718"/>
    <cellStyle name="Output 4 3 4 6" xfId="51719"/>
    <cellStyle name="Output 4 3 4 7" xfId="51720"/>
    <cellStyle name="Output 4 3 4 8" xfId="51721"/>
    <cellStyle name="Output 4 3 4 9" xfId="51722"/>
    <cellStyle name="Output 4 3 5" xfId="51723"/>
    <cellStyle name="Output 4 4" xfId="51724"/>
    <cellStyle name="Output 4 4 10" xfId="51725"/>
    <cellStyle name="Output 4 4 11" xfId="51726"/>
    <cellStyle name="Output 4 4 12" xfId="51727"/>
    <cellStyle name="Output 4 4 13" xfId="51728"/>
    <cellStyle name="Output 4 4 14" xfId="51729"/>
    <cellStyle name="Output 4 4 15" xfId="51730"/>
    <cellStyle name="Output 4 4 16" xfId="51731"/>
    <cellStyle name="Output 4 4 17" xfId="51732"/>
    <cellStyle name="Output 4 4 18" xfId="51733"/>
    <cellStyle name="Output 4 4 19" xfId="51734"/>
    <cellStyle name="Output 4 4 2" xfId="51735"/>
    <cellStyle name="Output 4 4 2 2" xfId="51736"/>
    <cellStyle name="Output 4 4 2 3" xfId="51737"/>
    <cellStyle name="Output 4 4 2 4" xfId="51738"/>
    <cellStyle name="Output 4 4 2 5" xfId="51739"/>
    <cellStyle name="Output 4 4 2 6" xfId="51740"/>
    <cellStyle name="Output 4 4 2 7" xfId="51741"/>
    <cellStyle name="Output 4 4 2 8" xfId="51742"/>
    <cellStyle name="Output 4 4 2 9" xfId="51743"/>
    <cellStyle name="Output 4 4 20" xfId="51744"/>
    <cellStyle name="Output 4 4 21" xfId="51745"/>
    <cellStyle name="Output 4 4 3" xfId="51746"/>
    <cellStyle name="Output 4 4 4" xfId="51747"/>
    <cellStyle name="Output 4 4 5" xfId="51748"/>
    <cellStyle name="Output 4 4 6" xfId="51749"/>
    <cellStyle name="Output 4 4 7" xfId="51750"/>
    <cellStyle name="Output 4 4 8" xfId="51751"/>
    <cellStyle name="Output 4 4 9" xfId="51752"/>
    <cellStyle name="Output 4 5" xfId="51753"/>
    <cellStyle name="Output 4 5 10" xfId="51754"/>
    <cellStyle name="Output 4 5 11" xfId="51755"/>
    <cellStyle name="Output 4 5 12" xfId="51756"/>
    <cellStyle name="Output 4 5 13" xfId="51757"/>
    <cellStyle name="Output 4 5 14" xfId="51758"/>
    <cellStyle name="Output 4 5 15" xfId="51759"/>
    <cellStyle name="Output 4 5 16" xfId="51760"/>
    <cellStyle name="Output 4 5 17" xfId="51761"/>
    <cellStyle name="Output 4 5 18" xfId="51762"/>
    <cellStyle name="Output 4 5 19" xfId="51763"/>
    <cellStyle name="Output 4 5 2" xfId="51764"/>
    <cellStyle name="Output 4 5 2 2" xfId="51765"/>
    <cellStyle name="Output 4 5 2 3" xfId="51766"/>
    <cellStyle name="Output 4 5 2 4" xfId="51767"/>
    <cellStyle name="Output 4 5 2 5" xfId="51768"/>
    <cellStyle name="Output 4 5 2 6" xfId="51769"/>
    <cellStyle name="Output 4 5 2 7" xfId="51770"/>
    <cellStyle name="Output 4 5 2 8" xfId="51771"/>
    <cellStyle name="Output 4 5 2 9" xfId="51772"/>
    <cellStyle name="Output 4 5 3" xfId="51773"/>
    <cellStyle name="Output 4 5 4" xfId="51774"/>
    <cellStyle name="Output 4 5 5" xfId="51775"/>
    <cellStyle name="Output 4 5 6" xfId="51776"/>
    <cellStyle name="Output 4 5 7" xfId="51777"/>
    <cellStyle name="Output 4 5 8" xfId="51778"/>
    <cellStyle name="Output 4 5 9" xfId="51779"/>
    <cellStyle name="Output 4 6" xfId="51780"/>
    <cellStyle name="Output 4 6 10" xfId="51781"/>
    <cellStyle name="Output 4 6 11" xfId="51782"/>
    <cellStyle name="Output 4 6 12" xfId="51783"/>
    <cellStyle name="Output 4 6 13" xfId="51784"/>
    <cellStyle name="Output 4 6 14" xfId="51785"/>
    <cellStyle name="Output 4 6 15" xfId="51786"/>
    <cellStyle name="Output 4 6 16" xfId="51787"/>
    <cellStyle name="Output 4 6 17" xfId="51788"/>
    <cellStyle name="Output 4 6 18" xfId="51789"/>
    <cellStyle name="Output 4 6 2" xfId="51790"/>
    <cellStyle name="Output 4 6 2 2" xfId="51791"/>
    <cellStyle name="Output 4 6 2 3" xfId="51792"/>
    <cellStyle name="Output 4 6 2 4" xfId="51793"/>
    <cellStyle name="Output 4 6 2 5" xfId="51794"/>
    <cellStyle name="Output 4 6 2 6" xfId="51795"/>
    <cellStyle name="Output 4 6 2 7" xfId="51796"/>
    <cellStyle name="Output 4 6 2 8" xfId="51797"/>
    <cellStyle name="Output 4 6 2 9" xfId="51798"/>
    <cellStyle name="Output 4 6 3" xfId="51799"/>
    <cellStyle name="Output 4 6 4" xfId="51800"/>
    <cellStyle name="Output 4 6 5" xfId="51801"/>
    <cellStyle name="Output 4 6 6" xfId="51802"/>
    <cellStyle name="Output 4 6 7" xfId="51803"/>
    <cellStyle name="Output 4 6 8" xfId="51804"/>
    <cellStyle name="Output 4 6 9" xfId="51805"/>
    <cellStyle name="Output 4 7" xfId="51806"/>
    <cellStyle name="Output 5" xfId="51807"/>
    <cellStyle name="Output 5 2" xfId="51808"/>
    <cellStyle name="Output 5 2 2" xfId="51809"/>
    <cellStyle name="Output 5 2 2 10" xfId="51810"/>
    <cellStyle name="Output 5 2 2 11" xfId="51811"/>
    <cellStyle name="Output 5 2 2 12" xfId="51812"/>
    <cellStyle name="Output 5 2 2 13" xfId="51813"/>
    <cellStyle name="Output 5 2 2 14" xfId="51814"/>
    <cellStyle name="Output 5 2 2 15" xfId="51815"/>
    <cellStyle name="Output 5 2 2 16" xfId="51816"/>
    <cellStyle name="Output 5 2 2 17" xfId="51817"/>
    <cellStyle name="Output 5 2 2 18" xfId="51818"/>
    <cellStyle name="Output 5 2 2 19" xfId="51819"/>
    <cellStyle name="Output 5 2 2 2" xfId="51820"/>
    <cellStyle name="Output 5 2 2 2 2" xfId="51821"/>
    <cellStyle name="Output 5 2 2 2 3" xfId="51822"/>
    <cellStyle name="Output 5 2 2 2 4" xfId="51823"/>
    <cellStyle name="Output 5 2 2 2 5" xfId="51824"/>
    <cellStyle name="Output 5 2 2 2 6" xfId="51825"/>
    <cellStyle name="Output 5 2 2 2 7" xfId="51826"/>
    <cellStyle name="Output 5 2 2 2 8" xfId="51827"/>
    <cellStyle name="Output 5 2 2 2 9" xfId="51828"/>
    <cellStyle name="Output 5 2 2 20" xfId="51829"/>
    <cellStyle name="Output 5 2 2 21" xfId="51830"/>
    <cellStyle name="Output 5 2 2 3" xfId="51831"/>
    <cellStyle name="Output 5 2 2 4" xfId="51832"/>
    <cellStyle name="Output 5 2 2 5" xfId="51833"/>
    <cellStyle name="Output 5 2 2 6" xfId="51834"/>
    <cellStyle name="Output 5 2 2 7" xfId="51835"/>
    <cellStyle name="Output 5 2 2 8" xfId="51836"/>
    <cellStyle name="Output 5 2 2 9" xfId="51837"/>
    <cellStyle name="Output 5 2 3" xfId="51838"/>
    <cellStyle name="Output 5 2 3 10" xfId="51839"/>
    <cellStyle name="Output 5 2 3 11" xfId="51840"/>
    <cellStyle name="Output 5 2 3 12" xfId="51841"/>
    <cellStyle name="Output 5 2 3 13" xfId="51842"/>
    <cellStyle name="Output 5 2 3 14" xfId="51843"/>
    <cellStyle name="Output 5 2 3 15" xfId="51844"/>
    <cellStyle name="Output 5 2 3 16" xfId="51845"/>
    <cellStyle name="Output 5 2 3 17" xfId="51846"/>
    <cellStyle name="Output 5 2 3 18" xfId="51847"/>
    <cellStyle name="Output 5 2 3 19" xfId="51848"/>
    <cellStyle name="Output 5 2 3 2" xfId="51849"/>
    <cellStyle name="Output 5 2 3 2 2" xfId="51850"/>
    <cellStyle name="Output 5 2 3 2 3" xfId="51851"/>
    <cellStyle name="Output 5 2 3 2 4" xfId="51852"/>
    <cellStyle name="Output 5 2 3 2 5" xfId="51853"/>
    <cellStyle name="Output 5 2 3 2 6" xfId="51854"/>
    <cellStyle name="Output 5 2 3 2 7" xfId="51855"/>
    <cellStyle name="Output 5 2 3 2 8" xfId="51856"/>
    <cellStyle name="Output 5 2 3 2 9" xfId="51857"/>
    <cellStyle name="Output 5 2 3 3" xfId="51858"/>
    <cellStyle name="Output 5 2 3 4" xfId="51859"/>
    <cellStyle name="Output 5 2 3 5" xfId="51860"/>
    <cellStyle name="Output 5 2 3 6" xfId="51861"/>
    <cellStyle name="Output 5 2 3 7" xfId="51862"/>
    <cellStyle name="Output 5 2 3 8" xfId="51863"/>
    <cellStyle name="Output 5 2 3 9" xfId="51864"/>
    <cellStyle name="Output 5 2 4" xfId="51865"/>
    <cellStyle name="Output 5 2 4 10" xfId="51866"/>
    <cellStyle name="Output 5 2 4 11" xfId="51867"/>
    <cellStyle name="Output 5 2 4 12" xfId="51868"/>
    <cellStyle name="Output 5 2 4 13" xfId="51869"/>
    <cellStyle name="Output 5 2 4 14" xfId="51870"/>
    <cellStyle name="Output 5 2 4 15" xfId="51871"/>
    <cellStyle name="Output 5 2 4 16" xfId="51872"/>
    <cellStyle name="Output 5 2 4 17" xfId="51873"/>
    <cellStyle name="Output 5 2 4 18" xfId="51874"/>
    <cellStyle name="Output 5 2 4 2" xfId="51875"/>
    <cellStyle name="Output 5 2 4 2 2" xfId="51876"/>
    <cellStyle name="Output 5 2 4 2 3" xfId="51877"/>
    <cellStyle name="Output 5 2 4 2 4" xfId="51878"/>
    <cellStyle name="Output 5 2 4 2 5" xfId="51879"/>
    <cellStyle name="Output 5 2 4 2 6" xfId="51880"/>
    <cellStyle name="Output 5 2 4 2 7" xfId="51881"/>
    <cellStyle name="Output 5 2 4 2 8" xfId="51882"/>
    <cellStyle name="Output 5 2 4 2 9" xfId="51883"/>
    <cellStyle name="Output 5 2 4 3" xfId="51884"/>
    <cellStyle name="Output 5 2 4 4" xfId="51885"/>
    <cellStyle name="Output 5 2 4 5" xfId="51886"/>
    <cellStyle name="Output 5 2 4 6" xfId="51887"/>
    <cellStyle name="Output 5 2 4 7" xfId="51888"/>
    <cellStyle name="Output 5 2 4 8" xfId="51889"/>
    <cellStyle name="Output 5 2 4 9" xfId="51890"/>
    <cellStyle name="Output 5 2 5" xfId="51891"/>
    <cellStyle name="Output 5 3" xfId="51892"/>
    <cellStyle name="Output 5 3 2" xfId="51893"/>
    <cellStyle name="Output 5 3 2 10" xfId="51894"/>
    <cellStyle name="Output 5 3 2 11" xfId="51895"/>
    <cellStyle name="Output 5 3 2 12" xfId="51896"/>
    <cellStyle name="Output 5 3 2 13" xfId="51897"/>
    <cellStyle name="Output 5 3 2 14" xfId="51898"/>
    <cellStyle name="Output 5 3 2 15" xfId="51899"/>
    <cellStyle name="Output 5 3 2 16" xfId="51900"/>
    <cellStyle name="Output 5 3 2 17" xfId="51901"/>
    <cellStyle name="Output 5 3 2 18" xfId="51902"/>
    <cellStyle name="Output 5 3 2 19" xfId="51903"/>
    <cellStyle name="Output 5 3 2 2" xfId="51904"/>
    <cellStyle name="Output 5 3 2 2 2" xfId="51905"/>
    <cellStyle name="Output 5 3 2 2 3" xfId="51906"/>
    <cellStyle name="Output 5 3 2 2 4" xfId="51907"/>
    <cellStyle name="Output 5 3 2 2 5" xfId="51908"/>
    <cellStyle name="Output 5 3 2 2 6" xfId="51909"/>
    <cellStyle name="Output 5 3 2 2 7" xfId="51910"/>
    <cellStyle name="Output 5 3 2 2 8" xfId="51911"/>
    <cellStyle name="Output 5 3 2 2 9" xfId="51912"/>
    <cellStyle name="Output 5 3 2 20" xfId="51913"/>
    <cellStyle name="Output 5 3 2 21" xfId="51914"/>
    <cellStyle name="Output 5 3 2 3" xfId="51915"/>
    <cellStyle name="Output 5 3 2 4" xfId="51916"/>
    <cellStyle name="Output 5 3 2 5" xfId="51917"/>
    <cellStyle name="Output 5 3 2 6" xfId="51918"/>
    <cellStyle name="Output 5 3 2 7" xfId="51919"/>
    <cellStyle name="Output 5 3 2 8" xfId="51920"/>
    <cellStyle name="Output 5 3 2 9" xfId="51921"/>
    <cellStyle name="Output 5 3 3" xfId="51922"/>
    <cellStyle name="Output 5 3 3 10" xfId="51923"/>
    <cellStyle name="Output 5 3 3 11" xfId="51924"/>
    <cellStyle name="Output 5 3 3 12" xfId="51925"/>
    <cellStyle name="Output 5 3 3 13" xfId="51926"/>
    <cellStyle name="Output 5 3 3 14" xfId="51927"/>
    <cellStyle name="Output 5 3 3 15" xfId="51928"/>
    <cellStyle name="Output 5 3 3 16" xfId="51929"/>
    <cellStyle name="Output 5 3 3 17" xfId="51930"/>
    <cellStyle name="Output 5 3 3 18" xfId="51931"/>
    <cellStyle name="Output 5 3 3 19" xfId="51932"/>
    <cellStyle name="Output 5 3 3 2" xfId="51933"/>
    <cellStyle name="Output 5 3 3 2 2" xfId="51934"/>
    <cellStyle name="Output 5 3 3 2 3" xfId="51935"/>
    <cellStyle name="Output 5 3 3 2 4" xfId="51936"/>
    <cellStyle name="Output 5 3 3 2 5" xfId="51937"/>
    <cellStyle name="Output 5 3 3 2 6" xfId="51938"/>
    <cellStyle name="Output 5 3 3 2 7" xfId="51939"/>
    <cellStyle name="Output 5 3 3 2 8" xfId="51940"/>
    <cellStyle name="Output 5 3 3 2 9" xfId="51941"/>
    <cellStyle name="Output 5 3 3 3" xfId="51942"/>
    <cellStyle name="Output 5 3 3 4" xfId="51943"/>
    <cellStyle name="Output 5 3 3 5" xfId="51944"/>
    <cellStyle name="Output 5 3 3 6" xfId="51945"/>
    <cellStyle name="Output 5 3 3 7" xfId="51946"/>
    <cellStyle name="Output 5 3 3 8" xfId="51947"/>
    <cellStyle name="Output 5 3 3 9" xfId="51948"/>
    <cellStyle name="Output 5 3 4" xfId="51949"/>
    <cellStyle name="Output 5 3 4 10" xfId="51950"/>
    <cellStyle name="Output 5 3 4 11" xfId="51951"/>
    <cellStyle name="Output 5 3 4 12" xfId="51952"/>
    <cellStyle name="Output 5 3 4 13" xfId="51953"/>
    <cellStyle name="Output 5 3 4 14" xfId="51954"/>
    <cellStyle name="Output 5 3 4 15" xfId="51955"/>
    <cellStyle name="Output 5 3 4 16" xfId="51956"/>
    <cellStyle name="Output 5 3 4 17" xfId="51957"/>
    <cellStyle name="Output 5 3 4 18" xfId="51958"/>
    <cellStyle name="Output 5 3 4 2" xfId="51959"/>
    <cellStyle name="Output 5 3 4 2 2" xfId="51960"/>
    <cellStyle name="Output 5 3 4 2 3" xfId="51961"/>
    <cellStyle name="Output 5 3 4 2 4" xfId="51962"/>
    <cellStyle name="Output 5 3 4 2 5" xfId="51963"/>
    <cellStyle name="Output 5 3 4 2 6" xfId="51964"/>
    <cellStyle name="Output 5 3 4 2 7" xfId="51965"/>
    <cellStyle name="Output 5 3 4 2 8" xfId="51966"/>
    <cellStyle name="Output 5 3 4 2 9" xfId="51967"/>
    <cellStyle name="Output 5 3 4 3" xfId="51968"/>
    <cellStyle name="Output 5 3 4 4" xfId="51969"/>
    <cellStyle name="Output 5 3 4 5" xfId="51970"/>
    <cellStyle name="Output 5 3 4 6" xfId="51971"/>
    <cellStyle name="Output 5 3 4 7" xfId="51972"/>
    <cellStyle name="Output 5 3 4 8" xfId="51973"/>
    <cellStyle name="Output 5 3 4 9" xfId="51974"/>
    <cellStyle name="Output 5 3 5" xfId="51975"/>
    <cellStyle name="Output 5 4" xfId="51976"/>
    <cellStyle name="Output 5 4 10" xfId="51977"/>
    <cellStyle name="Output 5 4 11" xfId="51978"/>
    <cellStyle name="Output 5 4 12" xfId="51979"/>
    <cellStyle name="Output 5 4 13" xfId="51980"/>
    <cellStyle name="Output 5 4 14" xfId="51981"/>
    <cellStyle name="Output 5 4 15" xfId="51982"/>
    <cellStyle name="Output 5 4 16" xfId="51983"/>
    <cellStyle name="Output 5 4 17" xfId="51984"/>
    <cellStyle name="Output 5 4 18" xfId="51985"/>
    <cellStyle name="Output 5 4 19" xfId="51986"/>
    <cellStyle name="Output 5 4 2" xfId="51987"/>
    <cellStyle name="Output 5 4 2 2" xfId="51988"/>
    <cellStyle name="Output 5 4 2 3" xfId="51989"/>
    <cellStyle name="Output 5 4 2 4" xfId="51990"/>
    <cellStyle name="Output 5 4 2 5" xfId="51991"/>
    <cellStyle name="Output 5 4 2 6" xfId="51992"/>
    <cellStyle name="Output 5 4 2 7" xfId="51993"/>
    <cellStyle name="Output 5 4 2 8" xfId="51994"/>
    <cellStyle name="Output 5 4 2 9" xfId="51995"/>
    <cellStyle name="Output 5 4 20" xfId="51996"/>
    <cellStyle name="Output 5 4 21" xfId="51997"/>
    <cellStyle name="Output 5 4 3" xfId="51998"/>
    <cellStyle name="Output 5 4 4" xfId="51999"/>
    <cellStyle name="Output 5 4 5" xfId="52000"/>
    <cellStyle name="Output 5 4 6" xfId="52001"/>
    <cellStyle name="Output 5 4 7" xfId="52002"/>
    <cellStyle name="Output 5 4 8" xfId="52003"/>
    <cellStyle name="Output 5 4 9" xfId="52004"/>
    <cellStyle name="Output 5 5" xfId="52005"/>
    <cellStyle name="Output 5 5 10" xfId="52006"/>
    <cellStyle name="Output 5 5 11" xfId="52007"/>
    <cellStyle name="Output 5 5 12" xfId="52008"/>
    <cellStyle name="Output 5 5 13" xfId="52009"/>
    <cellStyle name="Output 5 5 14" xfId="52010"/>
    <cellStyle name="Output 5 5 15" xfId="52011"/>
    <cellStyle name="Output 5 5 16" xfId="52012"/>
    <cellStyle name="Output 5 5 17" xfId="52013"/>
    <cellStyle name="Output 5 5 18" xfId="52014"/>
    <cellStyle name="Output 5 5 19" xfId="52015"/>
    <cellStyle name="Output 5 5 2" xfId="52016"/>
    <cellStyle name="Output 5 5 2 2" xfId="52017"/>
    <cellStyle name="Output 5 5 2 3" xfId="52018"/>
    <cellStyle name="Output 5 5 2 4" xfId="52019"/>
    <cellStyle name="Output 5 5 2 5" xfId="52020"/>
    <cellStyle name="Output 5 5 2 6" xfId="52021"/>
    <cellStyle name="Output 5 5 2 7" xfId="52022"/>
    <cellStyle name="Output 5 5 2 8" xfId="52023"/>
    <cellStyle name="Output 5 5 2 9" xfId="52024"/>
    <cellStyle name="Output 5 5 3" xfId="52025"/>
    <cellStyle name="Output 5 5 4" xfId="52026"/>
    <cellStyle name="Output 5 5 5" xfId="52027"/>
    <cellStyle name="Output 5 5 6" xfId="52028"/>
    <cellStyle name="Output 5 5 7" xfId="52029"/>
    <cellStyle name="Output 5 5 8" xfId="52030"/>
    <cellStyle name="Output 5 5 9" xfId="52031"/>
    <cellStyle name="Output 5 6" xfId="52032"/>
    <cellStyle name="Output 5 6 10" xfId="52033"/>
    <cellStyle name="Output 5 6 11" xfId="52034"/>
    <cellStyle name="Output 5 6 12" xfId="52035"/>
    <cellStyle name="Output 5 6 13" xfId="52036"/>
    <cellStyle name="Output 5 6 14" xfId="52037"/>
    <cellStyle name="Output 5 6 15" xfId="52038"/>
    <cellStyle name="Output 5 6 16" xfId="52039"/>
    <cellStyle name="Output 5 6 17" xfId="52040"/>
    <cellStyle name="Output 5 6 18" xfId="52041"/>
    <cellStyle name="Output 5 6 2" xfId="52042"/>
    <cellStyle name="Output 5 6 2 2" xfId="52043"/>
    <cellStyle name="Output 5 6 2 3" xfId="52044"/>
    <cellStyle name="Output 5 6 2 4" xfId="52045"/>
    <cellStyle name="Output 5 6 2 5" xfId="52046"/>
    <cellStyle name="Output 5 6 2 6" xfId="52047"/>
    <cellStyle name="Output 5 6 2 7" xfId="52048"/>
    <cellStyle name="Output 5 6 2 8" xfId="52049"/>
    <cellStyle name="Output 5 6 2 9" xfId="52050"/>
    <cellStyle name="Output 5 6 3" xfId="52051"/>
    <cellStyle name="Output 5 6 4" xfId="52052"/>
    <cellStyle name="Output 5 6 5" xfId="52053"/>
    <cellStyle name="Output 5 6 6" xfId="52054"/>
    <cellStyle name="Output 5 6 7" xfId="52055"/>
    <cellStyle name="Output 5 6 8" xfId="52056"/>
    <cellStyle name="Output 5 6 9" xfId="52057"/>
    <cellStyle name="Output 5 7" xfId="52058"/>
    <cellStyle name="Output 6" xfId="52059"/>
    <cellStyle name="Output 6 2" xfId="52060"/>
    <cellStyle name="Output 6 2 2" xfId="52061"/>
    <cellStyle name="Output 6 2 2 10" xfId="52062"/>
    <cellStyle name="Output 6 2 2 11" xfId="52063"/>
    <cellStyle name="Output 6 2 2 12" xfId="52064"/>
    <cellStyle name="Output 6 2 2 13" xfId="52065"/>
    <cellStyle name="Output 6 2 2 14" xfId="52066"/>
    <cellStyle name="Output 6 2 2 15" xfId="52067"/>
    <cellStyle name="Output 6 2 2 16" xfId="52068"/>
    <cellStyle name="Output 6 2 2 17" xfId="52069"/>
    <cellStyle name="Output 6 2 2 18" xfId="52070"/>
    <cellStyle name="Output 6 2 2 19" xfId="52071"/>
    <cellStyle name="Output 6 2 2 2" xfId="52072"/>
    <cellStyle name="Output 6 2 2 2 2" xfId="52073"/>
    <cellStyle name="Output 6 2 2 2 3" xfId="52074"/>
    <cellStyle name="Output 6 2 2 2 4" xfId="52075"/>
    <cellStyle name="Output 6 2 2 2 5" xfId="52076"/>
    <cellStyle name="Output 6 2 2 2 6" xfId="52077"/>
    <cellStyle name="Output 6 2 2 2 7" xfId="52078"/>
    <cellStyle name="Output 6 2 2 2 8" xfId="52079"/>
    <cellStyle name="Output 6 2 2 2 9" xfId="52080"/>
    <cellStyle name="Output 6 2 2 20" xfId="52081"/>
    <cellStyle name="Output 6 2 2 21" xfId="52082"/>
    <cellStyle name="Output 6 2 2 3" xfId="52083"/>
    <cellStyle name="Output 6 2 2 4" xfId="52084"/>
    <cellStyle name="Output 6 2 2 5" xfId="52085"/>
    <cellStyle name="Output 6 2 2 6" xfId="52086"/>
    <cellStyle name="Output 6 2 2 7" xfId="52087"/>
    <cellStyle name="Output 6 2 2 8" xfId="52088"/>
    <cellStyle name="Output 6 2 2 9" xfId="52089"/>
    <cellStyle name="Output 6 2 3" xfId="52090"/>
    <cellStyle name="Output 6 2 3 10" xfId="52091"/>
    <cellStyle name="Output 6 2 3 11" xfId="52092"/>
    <cellStyle name="Output 6 2 3 12" xfId="52093"/>
    <cellStyle name="Output 6 2 3 13" xfId="52094"/>
    <cellStyle name="Output 6 2 3 14" xfId="52095"/>
    <cellStyle name="Output 6 2 3 15" xfId="52096"/>
    <cellStyle name="Output 6 2 3 16" xfId="52097"/>
    <cellStyle name="Output 6 2 3 17" xfId="52098"/>
    <cellStyle name="Output 6 2 3 18" xfId="52099"/>
    <cellStyle name="Output 6 2 3 19" xfId="52100"/>
    <cellStyle name="Output 6 2 3 2" xfId="52101"/>
    <cellStyle name="Output 6 2 3 2 2" xfId="52102"/>
    <cellStyle name="Output 6 2 3 2 3" xfId="52103"/>
    <cellStyle name="Output 6 2 3 2 4" xfId="52104"/>
    <cellStyle name="Output 6 2 3 2 5" xfId="52105"/>
    <cellStyle name="Output 6 2 3 2 6" xfId="52106"/>
    <cellStyle name="Output 6 2 3 2 7" xfId="52107"/>
    <cellStyle name="Output 6 2 3 2 8" xfId="52108"/>
    <cellStyle name="Output 6 2 3 2 9" xfId="52109"/>
    <cellStyle name="Output 6 2 3 3" xfId="52110"/>
    <cellStyle name="Output 6 2 3 4" xfId="52111"/>
    <cellStyle name="Output 6 2 3 5" xfId="52112"/>
    <cellStyle name="Output 6 2 3 6" xfId="52113"/>
    <cellStyle name="Output 6 2 3 7" xfId="52114"/>
    <cellStyle name="Output 6 2 3 8" xfId="52115"/>
    <cellStyle name="Output 6 2 3 9" xfId="52116"/>
    <cellStyle name="Output 6 2 4" xfId="52117"/>
    <cellStyle name="Output 6 2 4 10" xfId="52118"/>
    <cellStyle name="Output 6 2 4 11" xfId="52119"/>
    <cellStyle name="Output 6 2 4 12" xfId="52120"/>
    <cellStyle name="Output 6 2 4 13" xfId="52121"/>
    <cellStyle name="Output 6 2 4 14" xfId="52122"/>
    <cellStyle name="Output 6 2 4 15" xfId="52123"/>
    <cellStyle name="Output 6 2 4 16" xfId="52124"/>
    <cellStyle name="Output 6 2 4 17" xfId="52125"/>
    <cellStyle name="Output 6 2 4 18" xfId="52126"/>
    <cellStyle name="Output 6 2 4 2" xfId="52127"/>
    <cellStyle name="Output 6 2 4 2 2" xfId="52128"/>
    <cellStyle name="Output 6 2 4 2 3" xfId="52129"/>
    <cellStyle name="Output 6 2 4 2 4" xfId="52130"/>
    <cellStyle name="Output 6 2 4 2 5" xfId="52131"/>
    <cellStyle name="Output 6 2 4 2 6" xfId="52132"/>
    <cellStyle name="Output 6 2 4 2 7" xfId="52133"/>
    <cellStyle name="Output 6 2 4 2 8" xfId="52134"/>
    <cellStyle name="Output 6 2 4 2 9" xfId="52135"/>
    <cellStyle name="Output 6 2 4 3" xfId="52136"/>
    <cellStyle name="Output 6 2 4 4" xfId="52137"/>
    <cellStyle name="Output 6 2 4 5" xfId="52138"/>
    <cellStyle name="Output 6 2 4 6" xfId="52139"/>
    <cellStyle name="Output 6 2 4 7" xfId="52140"/>
    <cellStyle name="Output 6 2 4 8" xfId="52141"/>
    <cellStyle name="Output 6 2 4 9" xfId="52142"/>
    <cellStyle name="Output 6 2 5" xfId="52143"/>
    <cellStyle name="Output 6 3" xfId="52144"/>
    <cellStyle name="Output 6 3 2" xfId="52145"/>
    <cellStyle name="Output 6 3 2 10" xfId="52146"/>
    <cellStyle name="Output 6 3 2 11" xfId="52147"/>
    <cellStyle name="Output 6 3 2 12" xfId="52148"/>
    <cellStyle name="Output 6 3 2 13" xfId="52149"/>
    <cellStyle name="Output 6 3 2 14" xfId="52150"/>
    <cellStyle name="Output 6 3 2 15" xfId="52151"/>
    <cellStyle name="Output 6 3 2 16" xfId="52152"/>
    <cellStyle name="Output 6 3 2 17" xfId="52153"/>
    <cellStyle name="Output 6 3 2 18" xfId="52154"/>
    <cellStyle name="Output 6 3 2 19" xfId="52155"/>
    <cellStyle name="Output 6 3 2 2" xfId="52156"/>
    <cellStyle name="Output 6 3 2 2 2" xfId="52157"/>
    <cellStyle name="Output 6 3 2 2 3" xfId="52158"/>
    <cellStyle name="Output 6 3 2 2 4" xfId="52159"/>
    <cellStyle name="Output 6 3 2 2 5" xfId="52160"/>
    <cellStyle name="Output 6 3 2 2 6" xfId="52161"/>
    <cellStyle name="Output 6 3 2 2 7" xfId="52162"/>
    <cellStyle name="Output 6 3 2 2 8" xfId="52163"/>
    <cellStyle name="Output 6 3 2 2 9" xfId="52164"/>
    <cellStyle name="Output 6 3 2 20" xfId="52165"/>
    <cellStyle name="Output 6 3 2 21" xfId="52166"/>
    <cellStyle name="Output 6 3 2 3" xfId="52167"/>
    <cellStyle name="Output 6 3 2 4" xfId="52168"/>
    <cellStyle name="Output 6 3 2 5" xfId="52169"/>
    <cellStyle name="Output 6 3 2 6" xfId="52170"/>
    <cellStyle name="Output 6 3 2 7" xfId="52171"/>
    <cellStyle name="Output 6 3 2 8" xfId="52172"/>
    <cellStyle name="Output 6 3 2 9" xfId="52173"/>
    <cellStyle name="Output 6 3 3" xfId="52174"/>
    <cellStyle name="Output 6 3 3 10" xfId="52175"/>
    <cellStyle name="Output 6 3 3 11" xfId="52176"/>
    <cellStyle name="Output 6 3 3 12" xfId="52177"/>
    <cellStyle name="Output 6 3 3 13" xfId="52178"/>
    <cellStyle name="Output 6 3 3 14" xfId="52179"/>
    <cellStyle name="Output 6 3 3 15" xfId="52180"/>
    <cellStyle name="Output 6 3 3 16" xfId="52181"/>
    <cellStyle name="Output 6 3 3 17" xfId="52182"/>
    <cellStyle name="Output 6 3 3 18" xfId="52183"/>
    <cellStyle name="Output 6 3 3 19" xfId="52184"/>
    <cellStyle name="Output 6 3 3 2" xfId="52185"/>
    <cellStyle name="Output 6 3 3 2 2" xfId="52186"/>
    <cellStyle name="Output 6 3 3 2 3" xfId="52187"/>
    <cellStyle name="Output 6 3 3 2 4" xfId="52188"/>
    <cellStyle name="Output 6 3 3 2 5" xfId="52189"/>
    <cellStyle name="Output 6 3 3 2 6" xfId="52190"/>
    <cellStyle name="Output 6 3 3 2 7" xfId="52191"/>
    <cellStyle name="Output 6 3 3 2 8" xfId="52192"/>
    <cellStyle name="Output 6 3 3 2 9" xfId="52193"/>
    <cellStyle name="Output 6 3 3 3" xfId="52194"/>
    <cellStyle name="Output 6 3 3 4" xfId="52195"/>
    <cellStyle name="Output 6 3 3 5" xfId="52196"/>
    <cellStyle name="Output 6 3 3 6" xfId="52197"/>
    <cellStyle name="Output 6 3 3 7" xfId="52198"/>
    <cellStyle name="Output 6 3 3 8" xfId="52199"/>
    <cellStyle name="Output 6 3 3 9" xfId="52200"/>
    <cellStyle name="Output 6 3 4" xfId="52201"/>
    <cellStyle name="Output 6 3 4 10" xfId="52202"/>
    <cellStyle name="Output 6 3 4 11" xfId="52203"/>
    <cellStyle name="Output 6 3 4 12" xfId="52204"/>
    <cellStyle name="Output 6 3 4 13" xfId="52205"/>
    <cellStyle name="Output 6 3 4 14" xfId="52206"/>
    <cellStyle name="Output 6 3 4 15" xfId="52207"/>
    <cellStyle name="Output 6 3 4 16" xfId="52208"/>
    <cellStyle name="Output 6 3 4 17" xfId="52209"/>
    <cellStyle name="Output 6 3 4 18" xfId="52210"/>
    <cellStyle name="Output 6 3 4 2" xfId="52211"/>
    <cellStyle name="Output 6 3 4 2 2" xfId="52212"/>
    <cellStyle name="Output 6 3 4 2 3" xfId="52213"/>
    <cellStyle name="Output 6 3 4 2 4" xfId="52214"/>
    <cellStyle name="Output 6 3 4 2 5" xfId="52215"/>
    <cellStyle name="Output 6 3 4 2 6" xfId="52216"/>
    <cellStyle name="Output 6 3 4 2 7" xfId="52217"/>
    <cellStyle name="Output 6 3 4 2 8" xfId="52218"/>
    <cellStyle name="Output 6 3 4 2 9" xfId="52219"/>
    <cellStyle name="Output 6 3 4 3" xfId="52220"/>
    <cellStyle name="Output 6 3 4 4" xfId="52221"/>
    <cellStyle name="Output 6 3 4 5" xfId="52222"/>
    <cellStyle name="Output 6 3 4 6" xfId="52223"/>
    <cellStyle name="Output 6 3 4 7" xfId="52224"/>
    <cellStyle name="Output 6 3 4 8" xfId="52225"/>
    <cellStyle name="Output 6 3 4 9" xfId="52226"/>
    <cellStyle name="Output 6 3 5" xfId="52227"/>
    <cellStyle name="Output 6 4" xfId="52228"/>
    <cellStyle name="Output 6 4 10" xfId="52229"/>
    <cellStyle name="Output 6 4 11" xfId="52230"/>
    <cellStyle name="Output 6 4 12" xfId="52231"/>
    <cellStyle name="Output 6 4 13" xfId="52232"/>
    <cellStyle name="Output 6 4 14" xfId="52233"/>
    <cellStyle name="Output 6 4 15" xfId="52234"/>
    <cellStyle name="Output 6 4 16" xfId="52235"/>
    <cellStyle name="Output 6 4 17" xfId="52236"/>
    <cellStyle name="Output 6 4 18" xfId="52237"/>
    <cellStyle name="Output 6 4 19" xfId="52238"/>
    <cellStyle name="Output 6 4 2" xfId="52239"/>
    <cellStyle name="Output 6 4 2 2" xfId="52240"/>
    <cellStyle name="Output 6 4 2 3" xfId="52241"/>
    <cellStyle name="Output 6 4 2 4" xfId="52242"/>
    <cellStyle name="Output 6 4 2 5" xfId="52243"/>
    <cellStyle name="Output 6 4 2 6" xfId="52244"/>
    <cellStyle name="Output 6 4 2 7" xfId="52245"/>
    <cellStyle name="Output 6 4 2 8" xfId="52246"/>
    <cellStyle name="Output 6 4 2 9" xfId="52247"/>
    <cellStyle name="Output 6 4 20" xfId="52248"/>
    <cellStyle name="Output 6 4 21" xfId="52249"/>
    <cellStyle name="Output 6 4 3" xfId="52250"/>
    <cellStyle name="Output 6 4 4" xfId="52251"/>
    <cellStyle name="Output 6 4 5" xfId="52252"/>
    <cellStyle name="Output 6 4 6" xfId="52253"/>
    <cellStyle name="Output 6 4 7" xfId="52254"/>
    <cellStyle name="Output 6 4 8" xfId="52255"/>
    <cellStyle name="Output 6 4 9" xfId="52256"/>
    <cellStyle name="Output 6 5" xfId="52257"/>
    <cellStyle name="Output 6 5 10" xfId="52258"/>
    <cellStyle name="Output 6 5 11" xfId="52259"/>
    <cellStyle name="Output 6 5 12" xfId="52260"/>
    <cellStyle name="Output 6 5 13" xfId="52261"/>
    <cellStyle name="Output 6 5 14" xfId="52262"/>
    <cellStyle name="Output 6 5 15" xfId="52263"/>
    <cellStyle name="Output 6 5 16" xfId="52264"/>
    <cellStyle name="Output 6 5 17" xfId="52265"/>
    <cellStyle name="Output 6 5 18" xfId="52266"/>
    <cellStyle name="Output 6 5 19" xfId="52267"/>
    <cellStyle name="Output 6 5 2" xfId="52268"/>
    <cellStyle name="Output 6 5 2 2" xfId="52269"/>
    <cellStyle name="Output 6 5 2 3" xfId="52270"/>
    <cellStyle name="Output 6 5 2 4" xfId="52271"/>
    <cellStyle name="Output 6 5 2 5" xfId="52272"/>
    <cellStyle name="Output 6 5 2 6" xfId="52273"/>
    <cellStyle name="Output 6 5 2 7" xfId="52274"/>
    <cellStyle name="Output 6 5 2 8" xfId="52275"/>
    <cellStyle name="Output 6 5 2 9" xfId="52276"/>
    <cellStyle name="Output 6 5 3" xfId="52277"/>
    <cellStyle name="Output 6 5 4" xfId="52278"/>
    <cellStyle name="Output 6 5 5" xfId="52279"/>
    <cellStyle name="Output 6 5 6" xfId="52280"/>
    <cellStyle name="Output 6 5 7" xfId="52281"/>
    <cellStyle name="Output 6 5 8" xfId="52282"/>
    <cellStyle name="Output 6 5 9" xfId="52283"/>
    <cellStyle name="Output 6 6" xfId="52284"/>
    <cellStyle name="Output 6 6 10" xfId="52285"/>
    <cellStyle name="Output 6 6 11" xfId="52286"/>
    <cellStyle name="Output 6 6 12" xfId="52287"/>
    <cellStyle name="Output 6 6 13" xfId="52288"/>
    <cellStyle name="Output 6 6 14" xfId="52289"/>
    <cellStyle name="Output 6 6 15" xfId="52290"/>
    <cellStyle name="Output 6 6 16" xfId="52291"/>
    <cellStyle name="Output 6 6 17" xfId="52292"/>
    <cellStyle name="Output 6 6 18" xfId="52293"/>
    <cellStyle name="Output 6 6 2" xfId="52294"/>
    <cellStyle name="Output 6 6 2 2" xfId="52295"/>
    <cellStyle name="Output 6 6 2 3" xfId="52296"/>
    <cellStyle name="Output 6 6 2 4" xfId="52297"/>
    <cellStyle name="Output 6 6 2 5" xfId="52298"/>
    <cellStyle name="Output 6 6 2 6" xfId="52299"/>
    <cellStyle name="Output 6 6 2 7" xfId="52300"/>
    <cellStyle name="Output 6 6 2 8" xfId="52301"/>
    <cellStyle name="Output 6 6 2 9" xfId="52302"/>
    <cellStyle name="Output 6 6 3" xfId="52303"/>
    <cellStyle name="Output 6 6 4" xfId="52304"/>
    <cellStyle name="Output 6 6 5" xfId="52305"/>
    <cellStyle name="Output 6 6 6" xfId="52306"/>
    <cellStyle name="Output 6 6 7" xfId="52307"/>
    <cellStyle name="Output 6 6 8" xfId="52308"/>
    <cellStyle name="Output 6 6 9" xfId="52309"/>
    <cellStyle name="Output 6 7" xfId="52310"/>
    <cellStyle name="Output 7" xfId="52311"/>
    <cellStyle name="Output 7 2" xfId="52312"/>
    <cellStyle name="Output 7 2 2" xfId="52313"/>
    <cellStyle name="Output 7 2 2 10" xfId="52314"/>
    <cellStyle name="Output 7 2 2 11" xfId="52315"/>
    <cellStyle name="Output 7 2 2 12" xfId="52316"/>
    <cellStyle name="Output 7 2 2 13" xfId="52317"/>
    <cellStyle name="Output 7 2 2 14" xfId="52318"/>
    <cellStyle name="Output 7 2 2 15" xfId="52319"/>
    <cellStyle name="Output 7 2 2 16" xfId="52320"/>
    <cellStyle name="Output 7 2 2 17" xfId="52321"/>
    <cellStyle name="Output 7 2 2 18" xfId="52322"/>
    <cellStyle name="Output 7 2 2 19" xfId="52323"/>
    <cellStyle name="Output 7 2 2 2" xfId="52324"/>
    <cellStyle name="Output 7 2 2 2 2" xfId="52325"/>
    <cellStyle name="Output 7 2 2 2 3" xfId="52326"/>
    <cellStyle name="Output 7 2 2 2 4" xfId="52327"/>
    <cellStyle name="Output 7 2 2 2 5" xfId="52328"/>
    <cellStyle name="Output 7 2 2 2 6" xfId="52329"/>
    <cellStyle name="Output 7 2 2 2 7" xfId="52330"/>
    <cellStyle name="Output 7 2 2 2 8" xfId="52331"/>
    <cellStyle name="Output 7 2 2 2 9" xfId="52332"/>
    <cellStyle name="Output 7 2 2 20" xfId="52333"/>
    <cellStyle name="Output 7 2 2 21" xfId="52334"/>
    <cellStyle name="Output 7 2 2 3" xfId="52335"/>
    <cellStyle name="Output 7 2 2 4" xfId="52336"/>
    <cellStyle name="Output 7 2 2 5" xfId="52337"/>
    <cellStyle name="Output 7 2 2 6" xfId="52338"/>
    <cellStyle name="Output 7 2 2 7" xfId="52339"/>
    <cellStyle name="Output 7 2 2 8" xfId="52340"/>
    <cellStyle name="Output 7 2 2 9" xfId="52341"/>
    <cellStyle name="Output 7 2 3" xfId="52342"/>
    <cellStyle name="Output 7 2 3 10" xfId="52343"/>
    <cellStyle name="Output 7 2 3 11" xfId="52344"/>
    <cellStyle name="Output 7 2 3 12" xfId="52345"/>
    <cellStyle name="Output 7 2 3 13" xfId="52346"/>
    <cellStyle name="Output 7 2 3 14" xfId="52347"/>
    <cellStyle name="Output 7 2 3 15" xfId="52348"/>
    <cellStyle name="Output 7 2 3 16" xfId="52349"/>
    <cellStyle name="Output 7 2 3 17" xfId="52350"/>
    <cellStyle name="Output 7 2 3 18" xfId="52351"/>
    <cellStyle name="Output 7 2 3 19" xfId="52352"/>
    <cellStyle name="Output 7 2 3 2" xfId="52353"/>
    <cellStyle name="Output 7 2 3 2 2" xfId="52354"/>
    <cellStyle name="Output 7 2 3 2 3" xfId="52355"/>
    <cellStyle name="Output 7 2 3 2 4" xfId="52356"/>
    <cellStyle name="Output 7 2 3 2 5" xfId="52357"/>
    <cellStyle name="Output 7 2 3 2 6" xfId="52358"/>
    <cellStyle name="Output 7 2 3 2 7" xfId="52359"/>
    <cellStyle name="Output 7 2 3 2 8" xfId="52360"/>
    <cellStyle name="Output 7 2 3 2 9" xfId="52361"/>
    <cellStyle name="Output 7 2 3 3" xfId="52362"/>
    <cellStyle name="Output 7 2 3 4" xfId="52363"/>
    <cellStyle name="Output 7 2 3 5" xfId="52364"/>
    <cellStyle name="Output 7 2 3 6" xfId="52365"/>
    <cellStyle name="Output 7 2 3 7" xfId="52366"/>
    <cellStyle name="Output 7 2 3 8" xfId="52367"/>
    <cellStyle name="Output 7 2 3 9" xfId="52368"/>
    <cellStyle name="Output 7 2 4" xfId="52369"/>
    <cellStyle name="Output 7 2 4 10" xfId="52370"/>
    <cellStyle name="Output 7 2 4 11" xfId="52371"/>
    <cellStyle name="Output 7 2 4 12" xfId="52372"/>
    <cellStyle name="Output 7 2 4 13" xfId="52373"/>
    <cellStyle name="Output 7 2 4 14" xfId="52374"/>
    <cellStyle name="Output 7 2 4 15" xfId="52375"/>
    <cellStyle name="Output 7 2 4 16" xfId="52376"/>
    <cellStyle name="Output 7 2 4 17" xfId="52377"/>
    <cellStyle name="Output 7 2 4 18" xfId="52378"/>
    <cellStyle name="Output 7 2 4 2" xfId="52379"/>
    <cellStyle name="Output 7 2 4 2 2" xfId="52380"/>
    <cellStyle name="Output 7 2 4 2 3" xfId="52381"/>
    <cellStyle name="Output 7 2 4 2 4" xfId="52382"/>
    <cellStyle name="Output 7 2 4 2 5" xfId="52383"/>
    <cellStyle name="Output 7 2 4 2 6" xfId="52384"/>
    <cellStyle name="Output 7 2 4 2 7" xfId="52385"/>
    <cellStyle name="Output 7 2 4 2 8" xfId="52386"/>
    <cellStyle name="Output 7 2 4 2 9" xfId="52387"/>
    <cellStyle name="Output 7 2 4 3" xfId="52388"/>
    <cellStyle name="Output 7 2 4 4" xfId="52389"/>
    <cellStyle name="Output 7 2 4 5" xfId="52390"/>
    <cellStyle name="Output 7 2 4 6" xfId="52391"/>
    <cellStyle name="Output 7 2 4 7" xfId="52392"/>
    <cellStyle name="Output 7 2 4 8" xfId="52393"/>
    <cellStyle name="Output 7 2 4 9" xfId="52394"/>
    <cellStyle name="Output 7 2 5" xfId="52395"/>
    <cellStyle name="Output 7 3" xfId="52396"/>
    <cellStyle name="Output 7 3 2" xfId="52397"/>
    <cellStyle name="Output 7 3 2 10" xfId="52398"/>
    <cellStyle name="Output 7 3 2 11" xfId="52399"/>
    <cellStyle name="Output 7 3 2 12" xfId="52400"/>
    <cellStyle name="Output 7 3 2 13" xfId="52401"/>
    <cellStyle name="Output 7 3 2 14" xfId="52402"/>
    <cellStyle name="Output 7 3 2 15" xfId="52403"/>
    <cellStyle name="Output 7 3 2 16" xfId="52404"/>
    <cellStyle name="Output 7 3 2 17" xfId="52405"/>
    <cellStyle name="Output 7 3 2 18" xfId="52406"/>
    <cellStyle name="Output 7 3 2 19" xfId="52407"/>
    <cellStyle name="Output 7 3 2 2" xfId="52408"/>
    <cellStyle name="Output 7 3 2 2 2" xfId="52409"/>
    <cellStyle name="Output 7 3 2 2 3" xfId="52410"/>
    <cellStyle name="Output 7 3 2 2 4" xfId="52411"/>
    <cellStyle name="Output 7 3 2 2 5" xfId="52412"/>
    <cellStyle name="Output 7 3 2 2 6" xfId="52413"/>
    <cellStyle name="Output 7 3 2 2 7" xfId="52414"/>
    <cellStyle name="Output 7 3 2 2 8" xfId="52415"/>
    <cellStyle name="Output 7 3 2 2 9" xfId="52416"/>
    <cellStyle name="Output 7 3 2 20" xfId="52417"/>
    <cellStyle name="Output 7 3 2 21" xfId="52418"/>
    <cellStyle name="Output 7 3 2 3" xfId="52419"/>
    <cellStyle name="Output 7 3 2 4" xfId="52420"/>
    <cellStyle name="Output 7 3 2 5" xfId="52421"/>
    <cellStyle name="Output 7 3 2 6" xfId="52422"/>
    <cellStyle name="Output 7 3 2 7" xfId="52423"/>
    <cellStyle name="Output 7 3 2 8" xfId="52424"/>
    <cellStyle name="Output 7 3 2 9" xfId="52425"/>
    <cellStyle name="Output 7 3 3" xfId="52426"/>
    <cellStyle name="Output 7 3 3 10" xfId="52427"/>
    <cellStyle name="Output 7 3 3 11" xfId="52428"/>
    <cellStyle name="Output 7 3 3 12" xfId="52429"/>
    <cellStyle name="Output 7 3 3 13" xfId="52430"/>
    <cellStyle name="Output 7 3 3 14" xfId="52431"/>
    <cellStyle name="Output 7 3 3 15" xfId="52432"/>
    <cellStyle name="Output 7 3 3 16" xfId="52433"/>
    <cellStyle name="Output 7 3 3 17" xfId="52434"/>
    <cellStyle name="Output 7 3 3 18" xfId="52435"/>
    <cellStyle name="Output 7 3 3 19" xfId="52436"/>
    <cellStyle name="Output 7 3 3 2" xfId="52437"/>
    <cellStyle name="Output 7 3 3 2 2" xfId="52438"/>
    <cellStyle name="Output 7 3 3 2 3" xfId="52439"/>
    <cellStyle name="Output 7 3 3 2 4" xfId="52440"/>
    <cellStyle name="Output 7 3 3 2 5" xfId="52441"/>
    <cellStyle name="Output 7 3 3 2 6" xfId="52442"/>
    <cellStyle name="Output 7 3 3 2 7" xfId="52443"/>
    <cellStyle name="Output 7 3 3 2 8" xfId="52444"/>
    <cellStyle name="Output 7 3 3 2 9" xfId="52445"/>
    <cellStyle name="Output 7 3 3 3" xfId="52446"/>
    <cellStyle name="Output 7 3 3 4" xfId="52447"/>
    <cellStyle name="Output 7 3 3 5" xfId="52448"/>
    <cellStyle name="Output 7 3 3 6" xfId="52449"/>
    <cellStyle name="Output 7 3 3 7" xfId="52450"/>
    <cellStyle name="Output 7 3 3 8" xfId="52451"/>
    <cellStyle name="Output 7 3 3 9" xfId="52452"/>
    <cellStyle name="Output 7 3 4" xfId="52453"/>
    <cellStyle name="Output 7 3 4 10" xfId="52454"/>
    <cellStyle name="Output 7 3 4 11" xfId="52455"/>
    <cellStyle name="Output 7 3 4 12" xfId="52456"/>
    <cellStyle name="Output 7 3 4 13" xfId="52457"/>
    <cellStyle name="Output 7 3 4 14" xfId="52458"/>
    <cellStyle name="Output 7 3 4 15" xfId="52459"/>
    <cellStyle name="Output 7 3 4 16" xfId="52460"/>
    <cellStyle name="Output 7 3 4 17" xfId="52461"/>
    <cellStyle name="Output 7 3 4 18" xfId="52462"/>
    <cellStyle name="Output 7 3 4 2" xfId="52463"/>
    <cellStyle name="Output 7 3 4 2 2" xfId="52464"/>
    <cellStyle name="Output 7 3 4 2 3" xfId="52465"/>
    <cellStyle name="Output 7 3 4 2 4" xfId="52466"/>
    <cellStyle name="Output 7 3 4 2 5" xfId="52467"/>
    <cellStyle name="Output 7 3 4 2 6" xfId="52468"/>
    <cellStyle name="Output 7 3 4 2 7" xfId="52469"/>
    <cellStyle name="Output 7 3 4 2 8" xfId="52470"/>
    <cellStyle name="Output 7 3 4 2 9" xfId="52471"/>
    <cellStyle name="Output 7 3 4 3" xfId="52472"/>
    <cellStyle name="Output 7 3 4 4" xfId="52473"/>
    <cellStyle name="Output 7 3 4 5" xfId="52474"/>
    <cellStyle name="Output 7 3 4 6" xfId="52475"/>
    <cellStyle name="Output 7 3 4 7" xfId="52476"/>
    <cellStyle name="Output 7 3 4 8" xfId="52477"/>
    <cellStyle name="Output 7 3 4 9" xfId="52478"/>
    <cellStyle name="Output 7 3 5" xfId="52479"/>
    <cellStyle name="Output 7 4" xfId="52480"/>
    <cellStyle name="Output 7 4 10" xfId="52481"/>
    <cellStyle name="Output 7 4 11" xfId="52482"/>
    <cellStyle name="Output 7 4 12" xfId="52483"/>
    <cellStyle name="Output 7 4 13" xfId="52484"/>
    <cellStyle name="Output 7 4 14" xfId="52485"/>
    <cellStyle name="Output 7 4 15" xfId="52486"/>
    <cellStyle name="Output 7 4 16" xfId="52487"/>
    <cellStyle name="Output 7 4 17" xfId="52488"/>
    <cellStyle name="Output 7 4 18" xfId="52489"/>
    <cellStyle name="Output 7 4 19" xfId="52490"/>
    <cellStyle name="Output 7 4 2" xfId="52491"/>
    <cellStyle name="Output 7 4 2 2" xfId="52492"/>
    <cellStyle name="Output 7 4 2 3" xfId="52493"/>
    <cellStyle name="Output 7 4 2 4" xfId="52494"/>
    <cellStyle name="Output 7 4 2 5" xfId="52495"/>
    <cellStyle name="Output 7 4 2 6" xfId="52496"/>
    <cellStyle name="Output 7 4 2 7" xfId="52497"/>
    <cellStyle name="Output 7 4 2 8" xfId="52498"/>
    <cellStyle name="Output 7 4 2 9" xfId="52499"/>
    <cellStyle name="Output 7 4 20" xfId="52500"/>
    <cellStyle name="Output 7 4 21" xfId="52501"/>
    <cellStyle name="Output 7 4 3" xfId="52502"/>
    <cellStyle name="Output 7 4 4" xfId="52503"/>
    <cellStyle name="Output 7 4 5" xfId="52504"/>
    <cellStyle name="Output 7 4 6" xfId="52505"/>
    <cellStyle name="Output 7 4 7" xfId="52506"/>
    <cellStyle name="Output 7 4 8" xfId="52507"/>
    <cellStyle name="Output 7 4 9" xfId="52508"/>
    <cellStyle name="Output 7 5" xfId="52509"/>
    <cellStyle name="Output 7 5 10" xfId="52510"/>
    <cellStyle name="Output 7 5 11" xfId="52511"/>
    <cellStyle name="Output 7 5 12" xfId="52512"/>
    <cellStyle name="Output 7 5 13" xfId="52513"/>
    <cellStyle name="Output 7 5 14" xfId="52514"/>
    <cellStyle name="Output 7 5 15" xfId="52515"/>
    <cellStyle name="Output 7 5 16" xfId="52516"/>
    <cellStyle name="Output 7 5 17" xfId="52517"/>
    <cellStyle name="Output 7 5 18" xfId="52518"/>
    <cellStyle name="Output 7 5 19" xfId="52519"/>
    <cellStyle name="Output 7 5 2" xfId="52520"/>
    <cellStyle name="Output 7 5 2 2" xfId="52521"/>
    <cellStyle name="Output 7 5 2 3" xfId="52522"/>
    <cellStyle name="Output 7 5 2 4" xfId="52523"/>
    <cellStyle name="Output 7 5 2 5" xfId="52524"/>
    <cellStyle name="Output 7 5 2 6" xfId="52525"/>
    <cellStyle name="Output 7 5 2 7" xfId="52526"/>
    <cellStyle name="Output 7 5 2 8" xfId="52527"/>
    <cellStyle name="Output 7 5 2 9" xfId="52528"/>
    <cellStyle name="Output 7 5 3" xfId="52529"/>
    <cellStyle name="Output 7 5 4" xfId="52530"/>
    <cellStyle name="Output 7 5 5" xfId="52531"/>
    <cellStyle name="Output 7 5 6" xfId="52532"/>
    <cellStyle name="Output 7 5 7" xfId="52533"/>
    <cellStyle name="Output 7 5 8" xfId="52534"/>
    <cellStyle name="Output 7 5 9" xfId="52535"/>
    <cellStyle name="Output 7 6" xfId="52536"/>
    <cellStyle name="Output 7 6 10" xfId="52537"/>
    <cellStyle name="Output 7 6 11" xfId="52538"/>
    <cellStyle name="Output 7 6 12" xfId="52539"/>
    <cellStyle name="Output 7 6 13" xfId="52540"/>
    <cellStyle name="Output 7 6 14" xfId="52541"/>
    <cellStyle name="Output 7 6 15" xfId="52542"/>
    <cellStyle name="Output 7 6 16" xfId="52543"/>
    <cellStyle name="Output 7 6 17" xfId="52544"/>
    <cellStyle name="Output 7 6 18" xfId="52545"/>
    <cellStyle name="Output 7 6 2" xfId="52546"/>
    <cellStyle name="Output 7 6 2 2" xfId="52547"/>
    <cellStyle name="Output 7 6 2 3" xfId="52548"/>
    <cellStyle name="Output 7 6 2 4" xfId="52549"/>
    <cellStyle name="Output 7 6 2 5" xfId="52550"/>
    <cellStyle name="Output 7 6 2 6" xfId="52551"/>
    <cellStyle name="Output 7 6 2 7" xfId="52552"/>
    <cellStyle name="Output 7 6 2 8" xfId="52553"/>
    <cellStyle name="Output 7 6 2 9" xfId="52554"/>
    <cellStyle name="Output 7 6 3" xfId="52555"/>
    <cellStyle name="Output 7 6 4" xfId="52556"/>
    <cellStyle name="Output 7 6 5" xfId="52557"/>
    <cellStyle name="Output 7 6 6" xfId="52558"/>
    <cellStyle name="Output 7 6 7" xfId="52559"/>
    <cellStyle name="Output 7 6 8" xfId="52560"/>
    <cellStyle name="Output 7 6 9" xfId="52561"/>
    <cellStyle name="Output 7 7" xfId="52562"/>
    <cellStyle name="Output 8" xfId="52563"/>
    <cellStyle name="Output 8 2" xfId="52564"/>
    <cellStyle name="Output 8 2 2" xfId="52565"/>
    <cellStyle name="Output 8 2 2 10" xfId="52566"/>
    <cellStyle name="Output 8 2 2 11" xfId="52567"/>
    <cellStyle name="Output 8 2 2 12" xfId="52568"/>
    <cellStyle name="Output 8 2 2 13" xfId="52569"/>
    <cellStyle name="Output 8 2 2 14" xfId="52570"/>
    <cellStyle name="Output 8 2 2 15" xfId="52571"/>
    <cellStyle name="Output 8 2 2 16" xfId="52572"/>
    <cellStyle name="Output 8 2 2 17" xfId="52573"/>
    <cellStyle name="Output 8 2 2 18" xfId="52574"/>
    <cellStyle name="Output 8 2 2 19" xfId="52575"/>
    <cellStyle name="Output 8 2 2 2" xfId="52576"/>
    <cellStyle name="Output 8 2 2 2 2" xfId="52577"/>
    <cellStyle name="Output 8 2 2 2 3" xfId="52578"/>
    <cellStyle name="Output 8 2 2 2 4" xfId="52579"/>
    <cellStyle name="Output 8 2 2 2 5" xfId="52580"/>
    <cellStyle name="Output 8 2 2 2 6" xfId="52581"/>
    <cellStyle name="Output 8 2 2 2 7" xfId="52582"/>
    <cellStyle name="Output 8 2 2 2 8" xfId="52583"/>
    <cellStyle name="Output 8 2 2 2 9" xfId="52584"/>
    <cellStyle name="Output 8 2 2 20" xfId="52585"/>
    <cellStyle name="Output 8 2 2 21" xfId="52586"/>
    <cellStyle name="Output 8 2 2 3" xfId="52587"/>
    <cellStyle name="Output 8 2 2 4" xfId="52588"/>
    <cellStyle name="Output 8 2 2 5" xfId="52589"/>
    <cellStyle name="Output 8 2 2 6" xfId="52590"/>
    <cellStyle name="Output 8 2 2 7" xfId="52591"/>
    <cellStyle name="Output 8 2 2 8" xfId="52592"/>
    <cellStyle name="Output 8 2 2 9" xfId="52593"/>
    <cellStyle name="Output 8 2 3" xfId="52594"/>
    <cellStyle name="Output 8 2 3 10" xfId="52595"/>
    <cellStyle name="Output 8 2 3 11" xfId="52596"/>
    <cellStyle name="Output 8 2 3 12" xfId="52597"/>
    <cellStyle name="Output 8 2 3 13" xfId="52598"/>
    <cellStyle name="Output 8 2 3 14" xfId="52599"/>
    <cellStyle name="Output 8 2 3 15" xfId="52600"/>
    <cellStyle name="Output 8 2 3 16" xfId="52601"/>
    <cellStyle name="Output 8 2 3 17" xfId="52602"/>
    <cellStyle name="Output 8 2 3 18" xfId="52603"/>
    <cellStyle name="Output 8 2 3 19" xfId="52604"/>
    <cellStyle name="Output 8 2 3 2" xfId="52605"/>
    <cellStyle name="Output 8 2 3 2 2" xfId="52606"/>
    <cellStyle name="Output 8 2 3 2 3" xfId="52607"/>
    <cellStyle name="Output 8 2 3 2 4" xfId="52608"/>
    <cellStyle name="Output 8 2 3 2 5" xfId="52609"/>
    <cellStyle name="Output 8 2 3 2 6" xfId="52610"/>
    <cellStyle name="Output 8 2 3 2 7" xfId="52611"/>
    <cellStyle name="Output 8 2 3 2 8" xfId="52612"/>
    <cellStyle name="Output 8 2 3 2 9" xfId="52613"/>
    <cellStyle name="Output 8 2 3 3" xfId="52614"/>
    <cellStyle name="Output 8 2 3 4" xfId="52615"/>
    <cellStyle name="Output 8 2 3 5" xfId="52616"/>
    <cellStyle name="Output 8 2 3 6" xfId="52617"/>
    <cellStyle name="Output 8 2 3 7" xfId="52618"/>
    <cellStyle name="Output 8 2 3 8" xfId="52619"/>
    <cellStyle name="Output 8 2 3 9" xfId="52620"/>
    <cellStyle name="Output 8 2 4" xfId="52621"/>
    <cellStyle name="Output 8 2 4 10" xfId="52622"/>
    <cellStyle name="Output 8 2 4 11" xfId="52623"/>
    <cellStyle name="Output 8 2 4 12" xfId="52624"/>
    <cellStyle name="Output 8 2 4 13" xfId="52625"/>
    <cellStyle name="Output 8 2 4 14" xfId="52626"/>
    <cellStyle name="Output 8 2 4 15" xfId="52627"/>
    <cellStyle name="Output 8 2 4 16" xfId="52628"/>
    <cellStyle name="Output 8 2 4 17" xfId="52629"/>
    <cellStyle name="Output 8 2 4 18" xfId="52630"/>
    <cellStyle name="Output 8 2 4 2" xfId="52631"/>
    <cellStyle name="Output 8 2 4 2 2" xfId="52632"/>
    <cellStyle name="Output 8 2 4 2 3" xfId="52633"/>
    <cellStyle name="Output 8 2 4 2 4" xfId="52634"/>
    <cellStyle name="Output 8 2 4 2 5" xfId="52635"/>
    <cellStyle name="Output 8 2 4 2 6" xfId="52636"/>
    <cellStyle name="Output 8 2 4 2 7" xfId="52637"/>
    <cellStyle name="Output 8 2 4 2 8" xfId="52638"/>
    <cellStyle name="Output 8 2 4 2 9" xfId="52639"/>
    <cellStyle name="Output 8 2 4 3" xfId="52640"/>
    <cellStyle name="Output 8 2 4 4" xfId="52641"/>
    <cellStyle name="Output 8 2 4 5" xfId="52642"/>
    <cellStyle name="Output 8 2 4 6" xfId="52643"/>
    <cellStyle name="Output 8 2 4 7" xfId="52644"/>
    <cellStyle name="Output 8 2 4 8" xfId="52645"/>
    <cellStyle name="Output 8 2 4 9" xfId="52646"/>
    <cellStyle name="Output 8 2 5" xfId="52647"/>
    <cellStyle name="Output 8 3" xfId="52648"/>
    <cellStyle name="Output 8 3 2" xfId="52649"/>
    <cellStyle name="Output 8 3 2 10" xfId="52650"/>
    <cellStyle name="Output 8 3 2 11" xfId="52651"/>
    <cellStyle name="Output 8 3 2 12" xfId="52652"/>
    <cellStyle name="Output 8 3 2 13" xfId="52653"/>
    <cellStyle name="Output 8 3 2 14" xfId="52654"/>
    <cellStyle name="Output 8 3 2 15" xfId="52655"/>
    <cellStyle name="Output 8 3 2 16" xfId="52656"/>
    <cellStyle name="Output 8 3 2 17" xfId="52657"/>
    <cellStyle name="Output 8 3 2 18" xfId="52658"/>
    <cellStyle name="Output 8 3 2 19" xfId="52659"/>
    <cellStyle name="Output 8 3 2 2" xfId="52660"/>
    <cellStyle name="Output 8 3 2 2 2" xfId="52661"/>
    <cellStyle name="Output 8 3 2 2 3" xfId="52662"/>
    <cellStyle name="Output 8 3 2 2 4" xfId="52663"/>
    <cellStyle name="Output 8 3 2 2 5" xfId="52664"/>
    <cellStyle name="Output 8 3 2 2 6" xfId="52665"/>
    <cellStyle name="Output 8 3 2 2 7" xfId="52666"/>
    <cellStyle name="Output 8 3 2 2 8" xfId="52667"/>
    <cellStyle name="Output 8 3 2 2 9" xfId="52668"/>
    <cellStyle name="Output 8 3 2 20" xfId="52669"/>
    <cellStyle name="Output 8 3 2 21" xfId="52670"/>
    <cellStyle name="Output 8 3 2 3" xfId="52671"/>
    <cellStyle name="Output 8 3 2 4" xfId="52672"/>
    <cellStyle name="Output 8 3 2 5" xfId="52673"/>
    <cellStyle name="Output 8 3 2 6" xfId="52674"/>
    <cellStyle name="Output 8 3 2 7" xfId="52675"/>
    <cellStyle name="Output 8 3 2 8" xfId="52676"/>
    <cellStyle name="Output 8 3 2 9" xfId="52677"/>
    <cellStyle name="Output 8 3 3" xfId="52678"/>
    <cellStyle name="Output 8 3 3 10" xfId="52679"/>
    <cellStyle name="Output 8 3 3 11" xfId="52680"/>
    <cellStyle name="Output 8 3 3 12" xfId="52681"/>
    <cellStyle name="Output 8 3 3 13" xfId="52682"/>
    <cellStyle name="Output 8 3 3 14" xfId="52683"/>
    <cellStyle name="Output 8 3 3 15" xfId="52684"/>
    <cellStyle name="Output 8 3 3 16" xfId="52685"/>
    <cellStyle name="Output 8 3 3 17" xfId="52686"/>
    <cellStyle name="Output 8 3 3 18" xfId="52687"/>
    <cellStyle name="Output 8 3 3 19" xfId="52688"/>
    <cellStyle name="Output 8 3 3 2" xfId="52689"/>
    <cellStyle name="Output 8 3 3 2 2" xfId="52690"/>
    <cellStyle name="Output 8 3 3 2 3" xfId="52691"/>
    <cellStyle name="Output 8 3 3 2 4" xfId="52692"/>
    <cellStyle name="Output 8 3 3 2 5" xfId="52693"/>
    <cellStyle name="Output 8 3 3 2 6" xfId="52694"/>
    <cellStyle name="Output 8 3 3 2 7" xfId="52695"/>
    <cellStyle name="Output 8 3 3 2 8" xfId="52696"/>
    <cellStyle name="Output 8 3 3 2 9" xfId="52697"/>
    <cellStyle name="Output 8 3 3 3" xfId="52698"/>
    <cellStyle name="Output 8 3 3 4" xfId="52699"/>
    <cellStyle name="Output 8 3 3 5" xfId="52700"/>
    <cellStyle name="Output 8 3 3 6" xfId="52701"/>
    <cellStyle name="Output 8 3 3 7" xfId="52702"/>
    <cellStyle name="Output 8 3 3 8" xfId="52703"/>
    <cellStyle name="Output 8 3 3 9" xfId="52704"/>
    <cellStyle name="Output 8 3 4" xfId="52705"/>
    <cellStyle name="Output 8 3 4 10" xfId="52706"/>
    <cellStyle name="Output 8 3 4 11" xfId="52707"/>
    <cellStyle name="Output 8 3 4 12" xfId="52708"/>
    <cellStyle name="Output 8 3 4 13" xfId="52709"/>
    <cellStyle name="Output 8 3 4 14" xfId="52710"/>
    <cellStyle name="Output 8 3 4 15" xfId="52711"/>
    <cellStyle name="Output 8 3 4 16" xfId="52712"/>
    <cellStyle name="Output 8 3 4 17" xfId="52713"/>
    <cellStyle name="Output 8 3 4 18" xfId="52714"/>
    <cellStyle name="Output 8 3 4 2" xfId="52715"/>
    <cellStyle name="Output 8 3 4 2 2" xfId="52716"/>
    <cellStyle name="Output 8 3 4 2 3" xfId="52717"/>
    <cellStyle name="Output 8 3 4 2 4" xfId="52718"/>
    <cellStyle name="Output 8 3 4 2 5" xfId="52719"/>
    <cellStyle name="Output 8 3 4 2 6" xfId="52720"/>
    <cellStyle name="Output 8 3 4 2 7" xfId="52721"/>
    <cellStyle name="Output 8 3 4 2 8" xfId="52722"/>
    <cellStyle name="Output 8 3 4 2 9" xfId="52723"/>
    <cellStyle name="Output 8 3 4 3" xfId="52724"/>
    <cellStyle name="Output 8 3 4 4" xfId="52725"/>
    <cellStyle name="Output 8 3 4 5" xfId="52726"/>
    <cellStyle name="Output 8 3 4 6" xfId="52727"/>
    <cellStyle name="Output 8 3 4 7" xfId="52728"/>
    <cellStyle name="Output 8 3 4 8" xfId="52729"/>
    <cellStyle name="Output 8 3 4 9" xfId="52730"/>
    <cellStyle name="Output 8 3 5" xfId="52731"/>
    <cellStyle name="Output 8 4" xfId="52732"/>
    <cellStyle name="Output 8 4 10" xfId="52733"/>
    <cellStyle name="Output 8 4 11" xfId="52734"/>
    <cellStyle name="Output 8 4 12" xfId="52735"/>
    <cellStyle name="Output 8 4 13" xfId="52736"/>
    <cellStyle name="Output 8 4 14" xfId="52737"/>
    <cellStyle name="Output 8 4 15" xfId="52738"/>
    <cellStyle name="Output 8 4 16" xfId="52739"/>
    <cellStyle name="Output 8 4 17" xfId="52740"/>
    <cellStyle name="Output 8 4 18" xfId="52741"/>
    <cellStyle name="Output 8 4 19" xfId="52742"/>
    <cellStyle name="Output 8 4 2" xfId="52743"/>
    <cellStyle name="Output 8 4 2 2" xfId="52744"/>
    <cellStyle name="Output 8 4 2 3" xfId="52745"/>
    <cellStyle name="Output 8 4 2 4" xfId="52746"/>
    <cellStyle name="Output 8 4 2 5" xfId="52747"/>
    <cellStyle name="Output 8 4 2 6" xfId="52748"/>
    <cellStyle name="Output 8 4 2 7" xfId="52749"/>
    <cellStyle name="Output 8 4 2 8" xfId="52750"/>
    <cellStyle name="Output 8 4 2 9" xfId="52751"/>
    <cellStyle name="Output 8 4 20" xfId="52752"/>
    <cellStyle name="Output 8 4 21" xfId="52753"/>
    <cellStyle name="Output 8 4 3" xfId="52754"/>
    <cellStyle name="Output 8 4 4" xfId="52755"/>
    <cellStyle name="Output 8 4 5" xfId="52756"/>
    <cellStyle name="Output 8 4 6" xfId="52757"/>
    <cellStyle name="Output 8 4 7" xfId="52758"/>
    <cellStyle name="Output 8 4 8" xfId="52759"/>
    <cellStyle name="Output 8 4 9" xfId="52760"/>
    <cellStyle name="Output 8 5" xfId="52761"/>
    <cellStyle name="Output 8 5 10" xfId="52762"/>
    <cellStyle name="Output 8 5 11" xfId="52763"/>
    <cellStyle name="Output 8 5 12" xfId="52764"/>
    <cellStyle name="Output 8 5 13" xfId="52765"/>
    <cellStyle name="Output 8 5 14" xfId="52766"/>
    <cellStyle name="Output 8 5 15" xfId="52767"/>
    <cellStyle name="Output 8 5 16" xfId="52768"/>
    <cellStyle name="Output 8 5 17" xfId="52769"/>
    <cellStyle name="Output 8 5 18" xfId="52770"/>
    <cellStyle name="Output 8 5 19" xfId="52771"/>
    <cellStyle name="Output 8 5 2" xfId="52772"/>
    <cellStyle name="Output 8 5 2 2" xfId="52773"/>
    <cellStyle name="Output 8 5 2 3" xfId="52774"/>
    <cellStyle name="Output 8 5 2 4" xfId="52775"/>
    <cellStyle name="Output 8 5 2 5" xfId="52776"/>
    <cellStyle name="Output 8 5 2 6" xfId="52777"/>
    <cellStyle name="Output 8 5 2 7" xfId="52778"/>
    <cellStyle name="Output 8 5 2 8" xfId="52779"/>
    <cellStyle name="Output 8 5 2 9" xfId="52780"/>
    <cellStyle name="Output 8 5 3" xfId="52781"/>
    <cellStyle name="Output 8 5 4" xfId="52782"/>
    <cellStyle name="Output 8 5 5" xfId="52783"/>
    <cellStyle name="Output 8 5 6" xfId="52784"/>
    <cellStyle name="Output 8 5 7" xfId="52785"/>
    <cellStyle name="Output 8 5 8" xfId="52786"/>
    <cellStyle name="Output 8 5 9" xfId="52787"/>
    <cellStyle name="Output 8 6" xfId="52788"/>
    <cellStyle name="Output 8 6 10" xfId="52789"/>
    <cellStyle name="Output 8 6 11" xfId="52790"/>
    <cellStyle name="Output 8 6 12" xfId="52791"/>
    <cellStyle name="Output 8 6 13" xfId="52792"/>
    <cellStyle name="Output 8 6 14" xfId="52793"/>
    <cellStyle name="Output 8 6 15" xfId="52794"/>
    <cellStyle name="Output 8 6 16" xfId="52795"/>
    <cellStyle name="Output 8 6 17" xfId="52796"/>
    <cellStyle name="Output 8 6 18" xfId="52797"/>
    <cellStyle name="Output 8 6 2" xfId="52798"/>
    <cellStyle name="Output 8 6 2 2" xfId="52799"/>
    <cellStyle name="Output 8 6 2 3" xfId="52800"/>
    <cellStyle name="Output 8 6 2 4" xfId="52801"/>
    <cellStyle name="Output 8 6 2 5" xfId="52802"/>
    <cellStyle name="Output 8 6 2 6" xfId="52803"/>
    <cellStyle name="Output 8 6 2 7" xfId="52804"/>
    <cellStyle name="Output 8 6 2 8" xfId="52805"/>
    <cellStyle name="Output 8 6 2 9" xfId="52806"/>
    <cellStyle name="Output 8 6 3" xfId="52807"/>
    <cellStyle name="Output 8 6 4" xfId="52808"/>
    <cellStyle name="Output 8 6 5" xfId="52809"/>
    <cellStyle name="Output 8 6 6" xfId="52810"/>
    <cellStyle name="Output 8 6 7" xfId="52811"/>
    <cellStyle name="Output 8 6 8" xfId="52812"/>
    <cellStyle name="Output 8 6 9" xfId="52813"/>
    <cellStyle name="Output 8 7" xfId="52814"/>
    <cellStyle name="Output 9" xfId="52815"/>
    <cellStyle name="Output 9 2" xfId="52816"/>
    <cellStyle name="Output 9 2 2" xfId="52817"/>
    <cellStyle name="Output 9 2 2 10" xfId="52818"/>
    <cellStyle name="Output 9 2 2 11" xfId="52819"/>
    <cellStyle name="Output 9 2 2 12" xfId="52820"/>
    <cellStyle name="Output 9 2 2 13" xfId="52821"/>
    <cellStyle name="Output 9 2 2 14" xfId="52822"/>
    <cellStyle name="Output 9 2 2 15" xfId="52823"/>
    <cellStyle name="Output 9 2 2 16" xfId="52824"/>
    <cellStyle name="Output 9 2 2 17" xfId="52825"/>
    <cellStyle name="Output 9 2 2 18" xfId="52826"/>
    <cellStyle name="Output 9 2 2 19" xfId="52827"/>
    <cellStyle name="Output 9 2 2 2" xfId="52828"/>
    <cellStyle name="Output 9 2 2 2 2" xfId="52829"/>
    <cellStyle name="Output 9 2 2 2 3" xfId="52830"/>
    <cellStyle name="Output 9 2 2 2 4" xfId="52831"/>
    <cellStyle name="Output 9 2 2 2 5" xfId="52832"/>
    <cellStyle name="Output 9 2 2 2 6" xfId="52833"/>
    <cellStyle name="Output 9 2 2 2 7" xfId="52834"/>
    <cellStyle name="Output 9 2 2 2 8" xfId="52835"/>
    <cellStyle name="Output 9 2 2 2 9" xfId="52836"/>
    <cellStyle name="Output 9 2 2 20" xfId="52837"/>
    <cellStyle name="Output 9 2 2 21" xfId="52838"/>
    <cellStyle name="Output 9 2 2 3" xfId="52839"/>
    <cellStyle name="Output 9 2 2 4" xfId="52840"/>
    <cellStyle name="Output 9 2 2 5" xfId="52841"/>
    <cellStyle name="Output 9 2 2 6" xfId="52842"/>
    <cellStyle name="Output 9 2 2 7" xfId="52843"/>
    <cellStyle name="Output 9 2 2 8" xfId="52844"/>
    <cellStyle name="Output 9 2 2 9" xfId="52845"/>
    <cellStyle name="Output 9 2 3" xfId="52846"/>
    <cellStyle name="Output 9 2 3 10" xfId="52847"/>
    <cellStyle name="Output 9 2 3 11" xfId="52848"/>
    <cellStyle name="Output 9 2 3 12" xfId="52849"/>
    <cellStyle name="Output 9 2 3 13" xfId="52850"/>
    <cellStyle name="Output 9 2 3 14" xfId="52851"/>
    <cellStyle name="Output 9 2 3 15" xfId="52852"/>
    <cellStyle name="Output 9 2 3 16" xfId="52853"/>
    <cellStyle name="Output 9 2 3 17" xfId="52854"/>
    <cellStyle name="Output 9 2 3 18" xfId="52855"/>
    <cellStyle name="Output 9 2 3 19" xfId="52856"/>
    <cellStyle name="Output 9 2 3 2" xfId="52857"/>
    <cellStyle name="Output 9 2 3 2 2" xfId="52858"/>
    <cellStyle name="Output 9 2 3 2 3" xfId="52859"/>
    <cellStyle name="Output 9 2 3 2 4" xfId="52860"/>
    <cellStyle name="Output 9 2 3 2 5" xfId="52861"/>
    <cellStyle name="Output 9 2 3 2 6" xfId="52862"/>
    <cellStyle name="Output 9 2 3 2 7" xfId="52863"/>
    <cellStyle name="Output 9 2 3 2 8" xfId="52864"/>
    <cellStyle name="Output 9 2 3 2 9" xfId="52865"/>
    <cellStyle name="Output 9 2 3 3" xfId="52866"/>
    <cellStyle name="Output 9 2 3 4" xfId="52867"/>
    <cellStyle name="Output 9 2 3 5" xfId="52868"/>
    <cellStyle name="Output 9 2 3 6" xfId="52869"/>
    <cellStyle name="Output 9 2 3 7" xfId="52870"/>
    <cellStyle name="Output 9 2 3 8" xfId="52871"/>
    <cellStyle name="Output 9 2 3 9" xfId="52872"/>
    <cellStyle name="Output 9 2 4" xfId="52873"/>
    <cellStyle name="Output 9 2 4 10" xfId="52874"/>
    <cellStyle name="Output 9 2 4 11" xfId="52875"/>
    <cellStyle name="Output 9 2 4 12" xfId="52876"/>
    <cellStyle name="Output 9 2 4 13" xfId="52877"/>
    <cellStyle name="Output 9 2 4 14" xfId="52878"/>
    <cellStyle name="Output 9 2 4 15" xfId="52879"/>
    <cellStyle name="Output 9 2 4 16" xfId="52880"/>
    <cellStyle name="Output 9 2 4 17" xfId="52881"/>
    <cellStyle name="Output 9 2 4 18" xfId="52882"/>
    <cellStyle name="Output 9 2 4 2" xfId="52883"/>
    <cellStyle name="Output 9 2 4 2 2" xfId="52884"/>
    <cellStyle name="Output 9 2 4 2 3" xfId="52885"/>
    <cellStyle name="Output 9 2 4 2 4" xfId="52886"/>
    <cellStyle name="Output 9 2 4 2 5" xfId="52887"/>
    <cellStyle name="Output 9 2 4 2 6" xfId="52888"/>
    <cellStyle name="Output 9 2 4 2 7" xfId="52889"/>
    <cellStyle name="Output 9 2 4 2 8" xfId="52890"/>
    <cellStyle name="Output 9 2 4 2 9" xfId="52891"/>
    <cellStyle name="Output 9 2 4 3" xfId="52892"/>
    <cellStyle name="Output 9 2 4 4" xfId="52893"/>
    <cellStyle name="Output 9 2 4 5" xfId="52894"/>
    <cellStyle name="Output 9 2 4 6" xfId="52895"/>
    <cellStyle name="Output 9 2 4 7" xfId="52896"/>
    <cellStyle name="Output 9 2 4 8" xfId="52897"/>
    <cellStyle name="Output 9 2 4 9" xfId="52898"/>
    <cellStyle name="Output 9 2 5" xfId="52899"/>
    <cellStyle name="Output 9 3" xfId="52900"/>
    <cellStyle name="Output 9 3 2" xfId="52901"/>
    <cellStyle name="Output 9 3 2 10" xfId="52902"/>
    <cellStyle name="Output 9 3 2 11" xfId="52903"/>
    <cellStyle name="Output 9 3 2 12" xfId="52904"/>
    <cellStyle name="Output 9 3 2 13" xfId="52905"/>
    <cellStyle name="Output 9 3 2 14" xfId="52906"/>
    <cellStyle name="Output 9 3 2 15" xfId="52907"/>
    <cellStyle name="Output 9 3 2 16" xfId="52908"/>
    <cellStyle name="Output 9 3 2 17" xfId="52909"/>
    <cellStyle name="Output 9 3 2 18" xfId="52910"/>
    <cellStyle name="Output 9 3 2 19" xfId="52911"/>
    <cellStyle name="Output 9 3 2 2" xfId="52912"/>
    <cellStyle name="Output 9 3 2 2 2" xfId="52913"/>
    <cellStyle name="Output 9 3 2 2 3" xfId="52914"/>
    <cellStyle name="Output 9 3 2 2 4" xfId="52915"/>
    <cellStyle name="Output 9 3 2 2 5" xfId="52916"/>
    <cellStyle name="Output 9 3 2 2 6" xfId="52917"/>
    <cellStyle name="Output 9 3 2 2 7" xfId="52918"/>
    <cellStyle name="Output 9 3 2 2 8" xfId="52919"/>
    <cellStyle name="Output 9 3 2 2 9" xfId="52920"/>
    <cellStyle name="Output 9 3 2 20" xfId="52921"/>
    <cellStyle name="Output 9 3 2 21" xfId="52922"/>
    <cellStyle name="Output 9 3 2 3" xfId="52923"/>
    <cellStyle name="Output 9 3 2 4" xfId="52924"/>
    <cellStyle name="Output 9 3 2 5" xfId="52925"/>
    <cellStyle name="Output 9 3 2 6" xfId="52926"/>
    <cellStyle name="Output 9 3 2 7" xfId="52927"/>
    <cellStyle name="Output 9 3 2 8" xfId="52928"/>
    <cellStyle name="Output 9 3 2 9" xfId="52929"/>
    <cellStyle name="Output 9 3 3" xfId="52930"/>
    <cellStyle name="Output 9 3 3 10" xfId="52931"/>
    <cellStyle name="Output 9 3 3 11" xfId="52932"/>
    <cellStyle name="Output 9 3 3 12" xfId="52933"/>
    <cellStyle name="Output 9 3 3 13" xfId="52934"/>
    <cellStyle name="Output 9 3 3 14" xfId="52935"/>
    <cellStyle name="Output 9 3 3 15" xfId="52936"/>
    <cellStyle name="Output 9 3 3 16" xfId="52937"/>
    <cellStyle name="Output 9 3 3 17" xfId="52938"/>
    <cellStyle name="Output 9 3 3 18" xfId="52939"/>
    <cellStyle name="Output 9 3 3 19" xfId="52940"/>
    <cellStyle name="Output 9 3 3 2" xfId="52941"/>
    <cellStyle name="Output 9 3 3 2 2" xfId="52942"/>
    <cellStyle name="Output 9 3 3 2 3" xfId="52943"/>
    <cellStyle name="Output 9 3 3 2 4" xfId="52944"/>
    <cellStyle name="Output 9 3 3 2 5" xfId="52945"/>
    <cellStyle name="Output 9 3 3 2 6" xfId="52946"/>
    <cellStyle name="Output 9 3 3 2 7" xfId="52947"/>
    <cellStyle name="Output 9 3 3 2 8" xfId="52948"/>
    <cellStyle name="Output 9 3 3 2 9" xfId="52949"/>
    <cellStyle name="Output 9 3 3 3" xfId="52950"/>
    <cellStyle name="Output 9 3 3 4" xfId="52951"/>
    <cellStyle name="Output 9 3 3 5" xfId="52952"/>
    <cellStyle name="Output 9 3 3 6" xfId="52953"/>
    <cellStyle name="Output 9 3 3 7" xfId="52954"/>
    <cellStyle name="Output 9 3 3 8" xfId="52955"/>
    <cellStyle name="Output 9 3 3 9" xfId="52956"/>
    <cellStyle name="Output 9 3 4" xfId="52957"/>
    <cellStyle name="Output 9 3 4 10" xfId="52958"/>
    <cellStyle name="Output 9 3 4 11" xfId="52959"/>
    <cellStyle name="Output 9 3 4 12" xfId="52960"/>
    <cellStyle name="Output 9 3 4 13" xfId="52961"/>
    <cellStyle name="Output 9 3 4 14" xfId="52962"/>
    <cellStyle name="Output 9 3 4 15" xfId="52963"/>
    <cellStyle name="Output 9 3 4 16" xfId="52964"/>
    <cellStyle name="Output 9 3 4 17" xfId="52965"/>
    <cellStyle name="Output 9 3 4 18" xfId="52966"/>
    <cellStyle name="Output 9 3 4 2" xfId="52967"/>
    <cellStyle name="Output 9 3 4 2 2" xfId="52968"/>
    <cellStyle name="Output 9 3 4 2 3" xfId="52969"/>
    <cellStyle name="Output 9 3 4 2 4" xfId="52970"/>
    <cellStyle name="Output 9 3 4 2 5" xfId="52971"/>
    <cellStyle name="Output 9 3 4 2 6" xfId="52972"/>
    <cellStyle name="Output 9 3 4 2 7" xfId="52973"/>
    <cellStyle name="Output 9 3 4 2 8" xfId="52974"/>
    <cellStyle name="Output 9 3 4 2 9" xfId="52975"/>
    <cellStyle name="Output 9 3 4 3" xfId="52976"/>
    <cellStyle name="Output 9 3 4 4" xfId="52977"/>
    <cellStyle name="Output 9 3 4 5" xfId="52978"/>
    <cellStyle name="Output 9 3 4 6" xfId="52979"/>
    <cellStyle name="Output 9 3 4 7" xfId="52980"/>
    <cellStyle name="Output 9 3 4 8" xfId="52981"/>
    <cellStyle name="Output 9 3 4 9" xfId="52982"/>
    <cellStyle name="Output 9 3 5" xfId="52983"/>
    <cellStyle name="Output 9 4" xfId="52984"/>
    <cellStyle name="Output 9 4 10" xfId="52985"/>
    <cellStyle name="Output 9 4 11" xfId="52986"/>
    <cellStyle name="Output 9 4 12" xfId="52987"/>
    <cellStyle name="Output 9 4 13" xfId="52988"/>
    <cellStyle name="Output 9 4 14" xfId="52989"/>
    <cellStyle name="Output 9 4 15" xfId="52990"/>
    <cellStyle name="Output 9 4 16" xfId="52991"/>
    <cellStyle name="Output 9 4 17" xfId="52992"/>
    <cellStyle name="Output 9 4 18" xfId="52993"/>
    <cellStyle name="Output 9 4 19" xfId="52994"/>
    <cellStyle name="Output 9 4 2" xfId="52995"/>
    <cellStyle name="Output 9 4 2 2" xfId="52996"/>
    <cellStyle name="Output 9 4 2 3" xfId="52997"/>
    <cellStyle name="Output 9 4 2 4" xfId="52998"/>
    <cellStyle name="Output 9 4 2 5" xfId="52999"/>
    <cellStyle name="Output 9 4 2 6" xfId="53000"/>
    <cellStyle name="Output 9 4 2 7" xfId="53001"/>
    <cellStyle name="Output 9 4 2 8" xfId="53002"/>
    <cellStyle name="Output 9 4 2 9" xfId="53003"/>
    <cellStyle name="Output 9 4 20" xfId="53004"/>
    <cellStyle name="Output 9 4 21" xfId="53005"/>
    <cellStyle name="Output 9 4 3" xfId="53006"/>
    <cellStyle name="Output 9 4 4" xfId="53007"/>
    <cellStyle name="Output 9 4 5" xfId="53008"/>
    <cellStyle name="Output 9 4 6" xfId="53009"/>
    <cellStyle name="Output 9 4 7" xfId="53010"/>
    <cellStyle name="Output 9 4 8" xfId="53011"/>
    <cellStyle name="Output 9 4 9" xfId="53012"/>
    <cellStyle name="Output 9 5" xfId="53013"/>
    <cellStyle name="Output 9 5 10" xfId="53014"/>
    <cellStyle name="Output 9 5 11" xfId="53015"/>
    <cellStyle name="Output 9 5 12" xfId="53016"/>
    <cellStyle name="Output 9 5 13" xfId="53017"/>
    <cellStyle name="Output 9 5 14" xfId="53018"/>
    <cellStyle name="Output 9 5 15" xfId="53019"/>
    <cellStyle name="Output 9 5 16" xfId="53020"/>
    <cellStyle name="Output 9 5 17" xfId="53021"/>
    <cellStyle name="Output 9 5 18" xfId="53022"/>
    <cellStyle name="Output 9 5 19" xfId="53023"/>
    <cellStyle name="Output 9 5 2" xfId="53024"/>
    <cellStyle name="Output 9 5 2 2" xfId="53025"/>
    <cellStyle name="Output 9 5 2 3" xfId="53026"/>
    <cellStyle name="Output 9 5 2 4" xfId="53027"/>
    <cellStyle name="Output 9 5 2 5" xfId="53028"/>
    <cellStyle name="Output 9 5 2 6" xfId="53029"/>
    <cellStyle name="Output 9 5 2 7" xfId="53030"/>
    <cellStyle name="Output 9 5 2 8" xfId="53031"/>
    <cellStyle name="Output 9 5 2 9" xfId="53032"/>
    <cellStyle name="Output 9 5 3" xfId="53033"/>
    <cellStyle name="Output 9 5 4" xfId="53034"/>
    <cellStyle name="Output 9 5 5" xfId="53035"/>
    <cellStyle name="Output 9 5 6" xfId="53036"/>
    <cellStyle name="Output 9 5 7" xfId="53037"/>
    <cellStyle name="Output 9 5 8" xfId="53038"/>
    <cellStyle name="Output 9 5 9" xfId="53039"/>
    <cellStyle name="Output 9 6" xfId="53040"/>
    <cellStyle name="Output 9 6 10" xfId="53041"/>
    <cellStyle name="Output 9 6 11" xfId="53042"/>
    <cellStyle name="Output 9 6 12" xfId="53043"/>
    <cellStyle name="Output 9 6 13" xfId="53044"/>
    <cellStyle name="Output 9 6 14" xfId="53045"/>
    <cellStyle name="Output 9 6 15" xfId="53046"/>
    <cellStyle name="Output 9 6 16" xfId="53047"/>
    <cellStyle name="Output 9 6 17" xfId="53048"/>
    <cellStyle name="Output 9 6 18" xfId="53049"/>
    <cellStyle name="Output 9 6 2" xfId="53050"/>
    <cellStyle name="Output 9 6 2 2" xfId="53051"/>
    <cellStyle name="Output 9 6 2 3" xfId="53052"/>
    <cellStyle name="Output 9 6 2 4" xfId="53053"/>
    <cellStyle name="Output 9 6 2 5" xfId="53054"/>
    <cellStyle name="Output 9 6 2 6" xfId="53055"/>
    <cellStyle name="Output 9 6 2 7" xfId="53056"/>
    <cellStyle name="Output 9 6 2 8" xfId="53057"/>
    <cellStyle name="Output 9 6 2 9" xfId="53058"/>
    <cellStyle name="Output 9 6 3" xfId="53059"/>
    <cellStyle name="Output 9 6 4" xfId="53060"/>
    <cellStyle name="Output 9 6 5" xfId="53061"/>
    <cellStyle name="Output 9 6 6" xfId="53062"/>
    <cellStyle name="Output 9 6 7" xfId="53063"/>
    <cellStyle name="Output 9 6 8" xfId="53064"/>
    <cellStyle name="Output 9 6 9" xfId="53065"/>
    <cellStyle name="Output 9 7" xfId="53066"/>
    <cellStyle name="Paaotsikko" xfId="53067"/>
    <cellStyle name="Paaotsikko 10" xfId="53068"/>
    <cellStyle name="Paaotsikko 11" xfId="53069"/>
    <cellStyle name="Paaotsikko 12" xfId="53070"/>
    <cellStyle name="Paaotsikko 13" xfId="53071"/>
    <cellStyle name="Paaotsikko 2" xfId="53072"/>
    <cellStyle name="Paaotsikko 3" xfId="53073"/>
    <cellStyle name="Paaotsikko 4" xfId="53074"/>
    <cellStyle name="Paaotsikko 5" xfId="53075"/>
    <cellStyle name="Paaotsikko 6" xfId="53076"/>
    <cellStyle name="Paaotsikko 7" xfId="53077"/>
    <cellStyle name="Paaotsikko 8" xfId="53078"/>
    <cellStyle name="Paaotsikko 9" xfId="53079"/>
    <cellStyle name="Paaotsikko_Книга2" xfId="53080"/>
    <cellStyle name="Page Heading" xfId="53081"/>
    <cellStyle name="Page Number" xfId="53082"/>
    <cellStyle name="Param_1" xfId="53083"/>
    <cellStyle name="Percent %" xfId="53084"/>
    <cellStyle name="Percent % Long Underline" xfId="53085"/>
    <cellStyle name="Percent (0)" xfId="53086"/>
    <cellStyle name="Percent (1)" xfId="53087"/>
    <cellStyle name="Percent [0]" xfId="53088"/>
    <cellStyle name="Percent [1]" xfId="53089"/>
    <cellStyle name="Percent [2]" xfId="53090"/>
    <cellStyle name="Percent 0.0%" xfId="53091"/>
    <cellStyle name="Percent 0.0% Long Underline" xfId="53092"/>
    <cellStyle name="Percent 0.00%" xfId="53093"/>
    <cellStyle name="Percent 0.00% Long Underline" xfId="53094"/>
    <cellStyle name="Percent 0.000%" xfId="53095"/>
    <cellStyle name="Percent 0.000% Long Underline" xfId="53096"/>
    <cellStyle name="Percent 2" xfId="53097"/>
    <cellStyle name="Percent 2 2" xfId="53098"/>
    <cellStyle name="Percent 2 3" xfId="53099"/>
    <cellStyle name="Percent 2 4" xfId="53100"/>
    <cellStyle name="Percent 3" xfId="53101"/>
    <cellStyle name="Percent*" xfId="53102"/>
    <cellStyle name="Percent1" xfId="53103"/>
    <cellStyle name="Percentage" xfId="53104"/>
    <cellStyle name="Pourcentage_Profit &amp; Loss" xfId="53105"/>
    <cellStyle name="Price" xfId="53106"/>
    <cellStyle name="ProjectionInput" xfId="53107"/>
    <cellStyle name="ProjectionInput 2" xfId="53108"/>
    <cellStyle name="ProjectionInput 2 10" xfId="53109"/>
    <cellStyle name="ProjectionInput 2 11" xfId="53110"/>
    <cellStyle name="ProjectionInput 2 12" xfId="53111"/>
    <cellStyle name="ProjectionInput 2 13" xfId="53112"/>
    <cellStyle name="ProjectionInput 2 14" xfId="53113"/>
    <cellStyle name="ProjectionInput 2 15" xfId="53114"/>
    <cellStyle name="ProjectionInput 2 16" xfId="53115"/>
    <cellStyle name="ProjectionInput 2 17" xfId="53116"/>
    <cellStyle name="ProjectionInput 2 2" xfId="53117"/>
    <cellStyle name="ProjectionInput 2 2 2" xfId="53118"/>
    <cellStyle name="ProjectionInput 2 2 3" xfId="53119"/>
    <cellStyle name="ProjectionInput 2 2 4" xfId="53120"/>
    <cellStyle name="ProjectionInput 2 2 5" xfId="53121"/>
    <cellStyle name="ProjectionInput 2 2 6" xfId="53122"/>
    <cellStyle name="ProjectionInput 2 2 7" xfId="53123"/>
    <cellStyle name="ProjectionInput 2 2 8" xfId="53124"/>
    <cellStyle name="ProjectionInput 2 2 9" xfId="53125"/>
    <cellStyle name="ProjectionInput 2 3" xfId="53126"/>
    <cellStyle name="ProjectionInput 2 4" xfId="53127"/>
    <cellStyle name="ProjectionInput 2 5" xfId="53128"/>
    <cellStyle name="ProjectionInput 2 6" xfId="53129"/>
    <cellStyle name="ProjectionInput 2 7" xfId="53130"/>
    <cellStyle name="ProjectionInput 2 8" xfId="53131"/>
    <cellStyle name="ProjectionInput 2 9" xfId="53132"/>
    <cellStyle name="ProjectionInput 3" xfId="53133"/>
    <cellStyle name="ProjectionInput 3 10" xfId="53134"/>
    <cellStyle name="ProjectionInput 3 11" xfId="53135"/>
    <cellStyle name="ProjectionInput 3 12" xfId="53136"/>
    <cellStyle name="ProjectionInput 3 13" xfId="53137"/>
    <cellStyle name="ProjectionInput 3 14" xfId="53138"/>
    <cellStyle name="ProjectionInput 3 15" xfId="53139"/>
    <cellStyle name="ProjectionInput 3 16" xfId="53140"/>
    <cellStyle name="ProjectionInput 3 2" xfId="53141"/>
    <cellStyle name="ProjectionInput 3 2 2" xfId="53142"/>
    <cellStyle name="ProjectionInput 3 2 3" xfId="53143"/>
    <cellStyle name="ProjectionInput 3 2 4" xfId="53144"/>
    <cellStyle name="ProjectionInput 3 2 5" xfId="53145"/>
    <cellStyle name="ProjectionInput 3 2 6" xfId="53146"/>
    <cellStyle name="ProjectionInput 3 2 7" xfId="53147"/>
    <cellStyle name="ProjectionInput 3 2 8" xfId="53148"/>
    <cellStyle name="ProjectionInput 3 2 9" xfId="53149"/>
    <cellStyle name="ProjectionInput 3 3" xfId="53150"/>
    <cellStyle name="ProjectionInput 3 4" xfId="53151"/>
    <cellStyle name="ProjectionInput 3 5" xfId="53152"/>
    <cellStyle name="ProjectionInput 3 6" xfId="53153"/>
    <cellStyle name="ProjectionInput 3 7" xfId="53154"/>
    <cellStyle name="ProjectionInput 3 8" xfId="53155"/>
    <cellStyle name="ProjectionInput 3 9" xfId="53156"/>
    <cellStyle name="Protected" xfId="53157"/>
    <cellStyle name="ProtectedDates" xfId="53158"/>
    <cellStyle name="PSChar" xfId="53159"/>
    <cellStyle name="PSHeading" xfId="53160"/>
    <cellStyle name="PSHeading 2" xfId="53161"/>
    <cellStyle name="PSHeading 2 2" xfId="53162"/>
    <cellStyle name="Pддotsikko" xfId="53163"/>
    <cellStyle name="Pддotsikko 10" xfId="53164"/>
    <cellStyle name="Pддotsikko 11" xfId="53165"/>
    <cellStyle name="Pддotsikko 12" xfId="53166"/>
    <cellStyle name="Pддotsikko 13" xfId="53167"/>
    <cellStyle name="Pддotsikko 2" xfId="53168"/>
    <cellStyle name="Pддotsikko 3" xfId="53169"/>
    <cellStyle name="Pддotsikko 4" xfId="53170"/>
    <cellStyle name="Pддotsikko 5" xfId="53171"/>
    <cellStyle name="Pддotsikko 6" xfId="53172"/>
    <cellStyle name="Pддotsikko 7" xfId="53173"/>
    <cellStyle name="Pддotsikko 8" xfId="53174"/>
    <cellStyle name="Pддotsikko 9" xfId="53175"/>
    <cellStyle name="Pддotsikko_Книга2" xfId="53176"/>
    <cellStyle name="r" xfId="53177"/>
    <cellStyle name="r_Arab Light Pricing" xfId="53178"/>
    <cellStyle name="r_Book3" xfId="53179"/>
    <cellStyle name="r_Book3_Financial_model_Project_N_03 03 09_for Nitol_final_Base_" xfId="53180"/>
    <cellStyle name="r_DCF_EBITDA" xfId="53181"/>
    <cellStyle name="r_DCF_EBITDA_Arab Light Pricing" xfId="53182"/>
    <cellStyle name="r_DCF_EBITDA_Book3" xfId="53183"/>
    <cellStyle name="r_DCF_EBITDA_Book3_Financial_model_Project_N_03 03 09_for Nitol_final_Base_" xfId="53184"/>
    <cellStyle name="r_DCF_EBITDA_Copy of Rosneft_Standalone_v23 (TA)" xfId="53185"/>
    <cellStyle name="r_DCF_EBITDA_Copy of Rosneft_Standalone_v23 (TA)_Financial_model_Project_N_03 03 09_for Nitol_final_Base_" xfId="53186"/>
    <cellStyle name="r_DCF_EBITDA_Historical Financials" xfId="53187"/>
    <cellStyle name="r_DCF_EBITDA_Historical Financials_Financial_model_Project_N_03 03 09_for Nitol_final_Base_" xfId="53188"/>
    <cellStyle name="r_DCF_EBITDA_JPetro Refinery v37 draft" xfId="53189"/>
    <cellStyle name="r_DCF_EBITDA_JPetro Refinery v37 draft_Financial_model_Project_N_03 03 09_for Nitol_final_Base_" xfId="53190"/>
    <cellStyle name="r_DCF_EBITDA_JPetro Refinery v37 draft_Recovered" xfId="53191"/>
    <cellStyle name="r_DCF_EBITDA_JPetro Refinery v37 draft_Recovered_Financial_model_Project_N_03 03 09_for Nitol_final_Base_" xfId="53192"/>
    <cellStyle name="r_DCF_EBITDA_KazMunaiTeniz v58" xfId="53193"/>
    <cellStyle name="r_DCF_EBITDA_KazMunaiTeniz v58_Arab Light Pricing" xfId="53194"/>
    <cellStyle name="r_DCF_EBITDA_KazMunaiTeniz v58_Book3" xfId="53195"/>
    <cellStyle name="r_DCF_EBITDA_KazMunaiTeniz v58_Book3_Financial_model_Project_N_03 03 09_for Nitol_final_Base_" xfId="53196"/>
    <cellStyle name="r_DCF_EBITDA_PPL v35" xfId="53197"/>
    <cellStyle name="r_DCF_EBITDA_Premier corporate model v43 MS" xfId="53198"/>
    <cellStyle name="r_DCF_EBITDA_Premier corporate model v43 MS_Financial_model_Project_N_03 03 09_for Nitol_final_Base_" xfId="53199"/>
    <cellStyle name="r_DCF_EBITDA_Premier corporate model v94" xfId="53200"/>
    <cellStyle name="r_DCF_EBITDA_Premier corporate model v94_Financial_model_Project_N_03 03 09_for Nitol_final_Base_" xfId="53201"/>
    <cellStyle name="r_DCF_EBITDA_Project Tchaikovsky v24" xfId="53202"/>
    <cellStyle name="r_DCF_EBITDA_Project Tchaikovsky v24_Financial_model_Project_N_03 03 09_for Nitol_final_Base_" xfId="53203"/>
    <cellStyle name="r_DCF_EBITDA_Russian asset model v12" xfId="53204"/>
    <cellStyle name="r_DCF_EBITDA_Russian asset model v12_Financial_model_Project_N_03 03 09_for Nitol_final_Base_" xfId="53205"/>
    <cellStyle name="r_DCF_PERPETUITY" xfId="53206"/>
    <cellStyle name="r_DCF_PERPETUITY_Arab Light Pricing" xfId="53207"/>
    <cellStyle name="r_DCF_PERPETUITY_Book3" xfId="53208"/>
    <cellStyle name="r_DCF_PERPETUITY_Book3_Financial_model_Project_N_03 03 09_for Nitol_final_Base_" xfId="53209"/>
    <cellStyle name="r_DCF_PERPETUITY_Copy of Rosneft_Standalone_v23 (TA)" xfId="53210"/>
    <cellStyle name="r_DCF_PERPETUITY_Copy of Rosneft_Standalone_v23 (TA)_Financial_model_Project_N_03 03 09_for Nitol_final_Base_" xfId="53211"/>
    <cellStyle name="r_DCF_PERPETUITY_Historical Financials" xfId="53212"/>
    <cellStyle name="r_DCF_PERPETUITY_Historical Financials_Financial_model_Project_N_03 03 09_for Nitol_final_Base_" xfId="53213"/>
    <cellStyle name="r_DCF_PERPETUITY_JPetro Refinery v37 draft" xfId="53214"/>
    <cellStyle name="r_DCF_PERPETUITY_JPetro Refinery v37 draft_Financial_model_Project_N_03 03 09_for Nitol_final_Base_" xfId="53215"/>
    <cellStyle name="r_DCF_PERPETUITY_JPetro Refinery v37 draft_Recovered" xfId="53216"/>
    <cellStyle name="r_DCF_PERPETUITY_JPetro Refinery v37 draft_Recovered_Financial_model_Project_N_03 03 09_for Nitol_final_Base_" xfId="53217"/>
    <cellStyle name="r_DCF_PERPETUITY_KazMunaiTeniz v58" xfId="53218"/>
    <cellStyle name="r_DCF_PERPETUITY_KazMunaiTeniz v58_Arab Light Pricing" xfId="53219"/>
    <cellStyle name="r_DCF_PERPETUITY_KazMunaiTeniz v58_Book3" xfId="53220"/>
    <cellStyle name="r_DCF_PERPETUITY_KazMunaiTeniz v58_Book3_Financial_model_Project_N_03 03 09_for Nitol_final_Base_" xfId="53221"/>
    <cellStyle name="r_DCF_PERPETUITY_PPL v35" xfId="53222"/>
    <cellStyle name="r_DCF_PERPETUITY_Premier corporate model v43 MS" xfId="53223"/>
    <cellStyle name="r_DCF_PERPETUITY_Premier corporate model v43 MS_Financial_model_Project_N_03 03 09_for Nitol_final_Base_" xfId="53224"/>
    <cellStyle name="r_DCF_PERPETUITY_Premier corporate model v94" xfId="53225"/>
    <cellStyle name="r_DCF_PERPETUITY_Premier corporate model v94_Financial_model_Project_N_03 03 09_for Nitol_final_Base_" xfId="53226"/>
    <cellStyle name="r_DCF_PERPETUITY_Project Tchaikovsky v24" xfId="53227"/>
    <cellStyle name="r_DCF_PERPETUITY_Project Tchaikovsky v24_Financial_model_Project_N_03 03 09_for Nitol_final_Base_" xfId="53228"/>
    <cellStyle name="r_DCF_PERPETUITY_Russian asset model v12" xfId="53229"/>
    <cellStyle name="r_DCF_PERPETUITY_Russian asset model v12_Financial_model_Project_N_03 03 09_for Nitol_final_Base_" xfId="53230"/>
    <cellStyle name="r_Division" xfId="53231"/>
    <cellStyle name="r_Division_Arab Light Pricing" xfId="53232"/>
    <cellStyle name="r_Division_Book3" xfId="53233"/>
    <cellStyle name="r_Division_Book3_Financial_model_Project_N_03 03 09_for Nitol_final_Base_" xfId="53234"/>
    <cellStyle name="r_Division_Copy of Rosneft_Standalone_v23 (TA)" xfId="53235"/>
    <cellStyle name="r_Division_Copy of Rosneft_Standalone_v23 (TA)_Financial_model_Project_N_03 03 09_for Nitol_final_Base_" xfId="53236"/>
    <cellStyle name="r_Division_EBIT" xfId="53237"/>
    <cellStyle name="r_Division_EBIT_Arab Light Pricing" xfId="53238"/>
    <cellStyle name="r_Division_EBIT_Book3" xfId="53239"/>
    <cellStyle name="r_Division_EBIT_Book3_Financial_model_Project_N_03 03 09_for Nitol_final_Base_" xfId="53240"/>
    <cellStyle name="r_Division_EBIT_Copy of Rosneft_Standalone_v23 (TA)" xfId="53241"/>
    <cellStyle name="r_Division_EBIT_Copy of Rosneft_Standalone_v23 (TA)_Financial_model_Project_N_03 03 09_for Nitol_final_Base_" xfId="53242"/>
    <cellStyle name="r_Division_EBIT_Historical Financials" xfId="53243"/>
    <cellStyle name="r_Division_EBIT_Historical Financials_Financial_model_Project_N_03 03 09_for Nitol_final_Base_" xfId="53244"/>
    <cellStyle name="r_Division_EBIT_JPetro Refinery v37 draft" xfId="53245"/>
    <cellStyle name="r_Division_EBIT_JPetro Refinery v37 draft_Financial_model_Project_N_03 03 09_for Nitol_final_Base_" xfId="53246"/>
    <cellStyle name="r_Division_EBIT_JPetro Refinery v37 draft_Recovered" xfId="53247"/>
    <cellStyle name="r_Division_EBIT_JPetro Refinery v37 draft_Recovered_Financial_model_Project_N_03 03 09_for Nitol_final_Base_" xfId="53248"/>
    <cellStyle name="r_Division_EBIT_KazMunaiTeniz v58" xfId="53249"/>
    <cellStyle name="r_Division_EBIT_KazMunaiTeniz v58_Arab Light Pricing" xfId="53250"/>
    <cellStyle name="r_Division_EBIT_KazMunaiTeniz v58_Book3" xfId="53251"/>
    <cellStyle name="r_Division_EBIT_KazMunaiTeniz v58_Book3_Financial_model_Project_N_03 03 09_for Nitol_final_Base_" xfId="53252"/>
    <cellStyle name="r_Division_EBIT_PPL v35" xfId="53253"/>
    <cellStyle name="r_Division_EBIT_Premier corporate model v43 MS" xfId="53254"/>
    <cellStyle name="r_Division_EBIT_Premier corporate model v43 MS_Financial_model_Project_N_03 03 09_for Nitol_final_Base_" xfId="53255"/>
    <cellStyle name="r_Division_EBIT_Premier corporate model v94" xfId="53256"/>
    <cellStyle name="r_Division_EBIT_Premier corporate model v94_Financial_model_Project_N_03 03 09_for Nitol_final_Base_" xfId="53257"/>
    <cellStyle name="r_Division_EBIT_Project Tchaikovsky v24" xfId="53258"/>
    <cellStyle name="r_Division_EBIT_Project Tchaikovsky v24_Financial_model_Project_N_03 03 09_for Nitol_final_Base_" xfId="53259"/>
    <cellStyle name="r_Division_EBIT_Russian asset model v12" xfId="53260"/>
    <cellStyle name="r_Division_EBIT_Russian asset model v12_Financial_model_Project_N_03 03 09_for Nitol_final_Base_" xfId="53261"/>
    <cellStyle name="r_Division_Historical Financials" xfId="53262"/>
    <cellStyle name="r_Division_Historical Financials_Financial_model_Project_N_03 03 09_for Nitol_final_Base_" xfId="53263"/>
    <cellStyle name="r_Division_JPetro Refinery v37 draft" xfId="53264"/>
    <cellStyle name="r_Division_JPetro Refinery v37 draft_Financial_model_Project_N_03 03 09_for Nitol_final_Base_" xfId="53265"/>
    <cellStyle name="r_Division_JPetro Refinery v37 draft_Recovered" xfId="53266"/>
    <cellStyle name="r_Division_JPetro Refinery v37 draft_Recovered_Financial_model_Project_N_03 03 09_for Nitol_final_Base_" xfId="53267"/>
    <cellStyle name="r_Division_KazMunaiTeniz v58" xfId="53268"/>
    <cellStyle name="r_Division_KazMunaiTeniz v58_Arab Light Pricing" xfId="53269"/>
    <cellStyle name="r_Division_KazMunaiTeniz v58_Book3" xfId="53270"/>
    <cellStyle name="r_Division_KazMunaiTeniz v58_Book3_Financial_model_Project_N_03 03 09_for Nitol_final_Base_" xfId="53271"/>
    <cellStyle name="r_Division_PPL v35" xfId="53272"/>
    <cellStyle name="r_Division_Premier corporate model v43 MS" xfId="53273"/>
    <cellStyle name="r_Division_Premier corporate model v43 MS_Financial_model_Project_N_03 03 09_for Nitol_final_Base_" xfId="53274"/>
    <cellStyle name="r_Division_Premier corporate model v94" xfId="53275"/>
    <cellStyle name="r_Division_Premier corporate model v94_Financial_model_Project_N_03 03 09_for Nitol_final_Base_" xfId="53276"/>
    <cellStyle name="r_Division_Project Tchaikovsky v24" xfId="53277"/>
    <cellStyle name="r_Division_Project Tchaikovsky v24_Financial_model_Project_N_03 03 09_for Nitol_final_Base_" xfId="53278"/>
    <cellStyle name="r_Division_Russian asset model v12" xfId="53279"/>
    <cellStyle name="r_Division_Russian asset model v12_Financial_model_Project_N_03 03 09_for Nitol_final_Base_" xfId="53280"/>
    <cellStyle name="r_Division_Sales" xfId="53281"/>
    <cellStyle name="r_Division_Sales_Arab Light Pricing" xfId="53282"/>
    <cellStyle name="r_Division_Sales_Book3" xfId="53283"/>
    <cellStyle name="r_Division_Sales_Book3_Financial_model_Project_N_03 03 09_for Nitol_final_Base_" xfId="53284"/>
    <cellStyle name="r_Division_Sales_Copy of Rosneft_Standalone_v23 (TA)" xfId="53285"/>
    <cellStyle name="r_Division_Sales_Copy of Rosneft_Standalone_v23 (TA)_Financial_model_Project_N_03 03 09_for Nitol_final_Base_" xfId="53286"/>
    <cellStyle name="r_Division_Sales_Historical Financials" xfId="53287"/>
    <cellStyle name="r_Division_Sales_Historical Financials_Financial_model_Project_N_03 03 09_for Nitol_final_Base_" xfId="53288"/>
    <cellStyle name="r_Division_Sales_JPetro Refinery v37 draft" xfId="53289"/>
    <cellStyle name="r_Division_Sales_JPetro Refinery v37 draft_Financial_model_Project_N_03 03 09_for Nitol_final_Base_" xfId="53290"/>
    <cellStyle name="r_Division_Sales_JPetro Refinery v37 draft_Recovered" xfId="53291"/>
    <cellStyle name="r_Division_Sales_JPetro Refinery v37 draft_Recovered_Financial_model_Project_N_03 03 09_for Nitol_final_Base_" xfId="53292"/>
    <cellStyle name="r_Division_Sales_KazMunaiTeniz v58" xfId="53293"/>
    <cellStyle name="r_Division_Sales_KazMunaiTeniz v58_Arab Light Pricing" xfId="53294"/>
    <cellStyle name="r_Division_Sales_KazMunaiTeniz v58_Book3" xfId="53295"/>
    <cellStyle name="r_Division_Sales_KazMunaiTeniz v58_Book3_Financial_model_Project_N_03 03 09_for Nitol_final_Base_" xfId="53296"/>
    <cellStyle name="r_Division_Sales_PPL v35" xfId="53297"/>
    <cellStyle name="r_Division_Sales_Premier corporate model v43 MS" xfId="53298"/>
    <cellStyle name="r_Division_Sales_Premier corporate model v43 MS_Financial_model_Project_N_03 03 09_for Nitol_final_Base_" xfId="53299"/>
    <cellStyle name="r_Division_Sales_Premier corporate model v94" xfId="53300"/>
    <cellStyle name="r_Division_Sales_Premier corporate model v94_Financial_model_Project_N_03 03 09_for Nitol_final_Base_" xfId="53301"/>
    <cellStyle name="r_Division_Sales_Project Tchaikovsky v24" xfId="53302"/>
    <cellStyle name="r_Division_Sales_Project Tchaikovsky v24_Financial_model_Project_N_03 03 09_for Nitol_final_Base_" xfId="53303"/>
    <cellStyle name="r_Division_Sales_Russian asset model v12" xfId="53304"/>
    <cellStyle name="r_Division_Sales_Russian asset model v12_Financial_model_Project_N_03 03 09_for Nitol_final_Base_" xfId="53305"/>
    <cellStyle name="r_Historical Financials" xfId="53306"/>
    <cellStyle name="r_Historical Financials_Financial_model_Project_N_03 03 09_for Nitol_final_Base_" xfId="53307"/>
    <cellStyle name="r_PPL v35" xfId="53308"/>
    <cellStyle name="r_Premier corporate model v43 MS" xfId="53309"/>
    <cellStyle name="r_Premier corporate model v43 MS_Financial_model_Project_N_03 03 09_for Nitol_final_Base_" xfId="53310"/>
    <cellStyle name="r_Premier corporate model v94" xfId="53311"/>
    <cellStyle name="r_Premier corporate model v94_Financial_model_Project_N_03 03 09_for Nitol_final_Base_" xfId="53312"/>
    <cellStyle name="r_Project Tchaikovsky v24" xfId="53313"/>
    <cellStyle name="r_Project Tchaikovsky v24_Financial_model_Project_N_03 03 09_for Nitol_final_Base_" xfId="53314"/>
    <cellStyle name="r_PUBMKT" xfId="53315"/>
    <cellStyle name="r_PUBMKT_Arab Light Pricing" xfId="53316"/>
    <cellStyle name="r_PUBMKT_Book3" xfId="53317"/>
    <cellStyle name="r_PUBMKT_Book3_Financial_model_Project_N_03 03 09_for Nitol_final_Base_" xfId="53318"/>
    <cellStyle name="r_PUBMKT_Copy of Rosneft_Standalone_v23 (TA)" xfId="53319"/>
    <cellStyle name="r_PUBMKT_Copy of Rosneft_Standalone_v23 (TA)_Financial_model_Project_N_03 03 09_for Nitol_final_Base_" xfId="53320"/>
    <cellStyle name="r_PUBMKT_Historical Financials" xfId="53321"/>
    <cellStyle name="r_PUBMKT_Historical Financials_Financial_model_Project_N_03 03 09_for Nitol_final_Base_" xfId="53322"/>
    <cellStyle name="r_PUBMKT_JPetro Refinery v37 draft" xfId="53323"/>
    <cellStyle name="r_PUBMKT_JPetro Refinery v37 draft_Financial_model_Project_N_03 03 09_for Nitol_final_Base_" xfId="53324"/>
    <cellStyle name="r_PUBMKT_JPetro Refinery v37 draft_Recovered" xfId="53325"/>
    <cellStyle name="r_PUBMKT_JPetro Refinery v37 draft_Recovered_Financial_model_Project_N_03 03 09_for Nitol_final_Base_" xfId="53326"/>
    <cellStyle name="r_PUBMKT_KazMunaiTeniz v58" xfId="53327"/>
    <cellStyle name="r_PUBMKT_KazMunaiTeniz v58_Arab Light Pricing" xfId="53328"/>
    <cellStyle name="r_PUBMKT_KazMunaiTeniz v58_Book3" xfId="53329"/>
    <cellStyle name="r_PUBMKT_KazMunaiTeniz v58_Book3_Financial_model_Project_N_03 03 09_for Nitol_final_Base_" xfId="53330"/>
    <cellStyle name="r_PUBMKT_PPL v35" xfId="53331"/>
    <cellStyle name="r_PUBMKT_Premier corporate model v43 MS" xfId="53332"/>
    <cellStyle name="r_PUBMKT_Premier corporate model v43 MS_Financial_model_Project_N_03 03 09_for Nitol_final_Base_" xfId="53333"/>
    <cellStyle name="r_PUBMKT_Premier corporate model v94" xfId="53334"/>
    <cellStyle name="r_PUBMKT_Premier corporate model v94_Financial_model_Project_N_03 03 09_for Nitol_final_Base_" xfId="53335"/>
    <cellStyle name="r_PUBMKT_Project Tchaikovsky v24" xfId="53336"/>
    <cellStyle name="r_PUBMKT_Project Tchaikovsky v24_Financial_model_Project_N_03 03 09_for Nitol_final_Base_" xfId="53337"/>
    <cellStyle name="r_PUBMKT_Russian asset model v12" xfId="53338"/>
    <cellStyle name="r_PUBMKT_Russian asset model v12_Financial_model_Project_N_03 03 09_for Nitol_final_Base_" xfId="53339"/>
    <cellStyle name="r_Russian asset model v12" xfId="53340"/>
    <cellStyle name="r_Russian asset model v12_Financial_model_Project_N_03 03 09_for Nitol_final_Base_" xfId="53341"/>
    <cellStyle name="r_Synergy" xfId="53342"/>
    <cellStyle name="r_Synergy_Arab Light Pricing" xfId="53343"/>
    <cellStyle name="r_Synergy_Book3" xfId="53344"/>
    <cellStyle name="r_Synergy_Book3_Financial_model_Project_N_03 03 09_for Nitol_final_Base_" xfId="53345"/>
    <cellStyle name="r_Synergy_Copy of Rosneft_Standalone_v23 (TA)" xfId="53346"/>
    <cellStyle name="r_Synergy_Copy of Rosneft_Standalone_v23 (TA)_Financial_model_Project_N_03 03 09_for Nitol_final_Base_" xfId="53347"/>
    <cellStyle name="r_Synergy_DCF_EBITDA" xfId="53348"/>
    <cellStyle name="r_Synergy_DCF_EBITDA_Arab Light Pricing" xfId="53349"/>
    <cellStyle name="r_Synergy_DCF_EBITDA_Book3" xfId="53350"/>
    <cellStyle name="r_Synergy_DCF_EBITDA_Book3_Financial_model_Project_N_03 03 09_for Nitol_final_Base_" xfId="53351"/>
    <cellStyle name="r_Synergy_DCF_EBITDA_Historical Financials" xfId="53352"/>
    <cellStyle name="r_Synergy_DCF_EBITDA_Historical Financials_Financial_model_Project_N_03 03 09_for Nitol_final_Base_" xfId="53353"/>
    <cellStyle name="r_Synergy_DCF_EBITDA_PPL v35" xfId="53354"/>
    <cellStyle name="r_Synergy_DCF_EBITDA_Premier corporate model v43 MS" xfId="53355"/>
    <cellStyle name="r_Synergy_DCF_EBITDA_Premier corporate model v43 MS_Financial_model_Project_N_03 03 09_for Nitol_final_Base_" xfId="53356"/>
    <cellStyle name="r_Synergy_DCF_EBITDA_Premier corporate model v94" xfId="53357"/>
    <cellStyle name="r_Synergy_DCF_EBITDA_Premier corporate model v94_Financial_model_Project_N_03 03 09_for Nitol_final_Base_" xfId="53358"/>
    <cellStyle name="r_Synergy_DCF_EBITDA_Project Tchaikovsky v24" xfId="53359"/>
    <cellStyle name="r_Synergy_DCF_EBITDA_Project Tchaikovsky v24_Financial_model_Project_N_03 03 09_for Nitol_final_Base_" xfId="53360"/>
    <cellStyle name="r_Synergy_DCF_EBITDA_Russian asset model v12" xfId="53361"/>
    <cellStyle name="r_Synergy_DCF_EBITDA_Russian asset model v12_Financial_model_Project_N_03 03 09_for Nitol_final_Base_" xfId="53362"/>
    <cellStyle name="r_Synergy_DCF_PERPETUITY" xfId="53363"/>
    <cellStyle name="r_Synergy_DCF_PERPETUITY_Arab Light Pricing" xfId="53364"/>
    <cellStyle name="r_Synergy_DCF_PERPETUITY_Book3" xfId="53365"/>
    <cellStyle name="r_Synergy_DCF_PERPETUITY_Book3_Financial_model_Project_N_03 03 09_for Nitol_final_Base_" xfId="53366"/>
    <cellStyle name="r_Synergy_DCF_PERPETUITY_Historical Financials" xfId="53367"/>
    <cellStyle name="r_Synergy_DCF_PERPETUITY_Historical Financials_Financial_model_Project_N_03 03 09_for Nitol_final_Base_" xfId="53368"/>
    <cellStyle name="r_Synergy_DCF_PERPETUITY_PPL v35" xfId="53369"/>
    <cellStyle name="r_Synergy_DCF_PERPETUITY_Premier corporate model v43 MS" xfId="53370"/>
    <cellStyle name="r_Synergy_DCF_PERPETUITY_Premier corporate model v43 MS_Financial_model_Project_N_03 03 09_for Nitol_final_Base_" xfId="53371"/>
    <cellStyle name="r_Synergy_DCF_PERPETUITY_Premier corporate model v94" xfId="53372"/>
    <cellStyle name="r_Synergy_DCF_PERPETUITY_Premier corporate model v94_Financial_model_Project_N_03 03 09_for Nitol_final_Base_" xfId="53373"/>
    <cellStyle name="r_Synergy_DCF_PERPETUITY_Project Tchaikovsky v24" xfId="53374"/>
    <cellStyle name="r_Synergy_DCF_PERPETUITY_Project Tchaikovsky v24_Financial_model_Project_N_03 03 09_for Nitol_final_Base_" xfId="53375"/>
    <cellStyle name="r_Synergy_DCF_PERPETUITY_Russian asset model v12" xfId="53376"/>
    <cellStyle name="r_Synergy_DCF_PERPETUITY_Russian asset model v12_Financial_model_Project_N_03 03 09_for Nitol_final_Base_" xfId="53377"/>
    <cellStyle name="r_Synergy_Division_EBIT" xfId="53378"/>
    <cellStyle name="r_Synergy_Division_EBIT_Arab Light Pricing" xfId="53379"/>
    <cellStyle name="r_Synergy_Division_EBIT_Book3" xfId="53380"/>
    <cellStyle name="r_Synergy_Division_EBIT_Book3_Financial_model_Project_N_03 03 09_for Nitol_final_Base_" xfId="53381"/>
    <cellStyle name="r_Synergy_Division_EBIT_Historical Financials" xfId="53382"/>
    <cellStyle name="r_Synergy_Division_EBIT_Historical Financials_Financial_model_Project_N_03 03 09_for Nitol_final_Base_" xfId="53383"/>
    <cellStyle name="r_Synergy_Division_EBIT_PPL v35" xfId="53384"/>
    <cellStyle name="r_Synergy_Division_EBIT_Premier corporate model v43 MS" xfId="53385"/>
    <cellStyle name="r_Synergy_Division_EBIT_Premier corporate model v43 MS_Financial_model_Project_N_03 03 09_for Nitol_final_Base_" xfId="53386"/>
    <cellStyle name="r_Synergy_Division_EBIT_Premier corporate model v94" xfId="53387"/>
    <cellStyle name="r_Synergy_Division_EBIT_Premier corporate model v94_Financial_model_Project_N_03 03 09_for Nitol_final_Base_" xfId="53388"/>
    <cellStyle name="r_Synergy_Division_EBIT_Project Tchaikovsky v24" xfId="53389"/>
    <cellStyle name="r_Synergy_Division_EBIT_Project Tchaikovsky v24_Financial_model_Project_N_03 03 09_for Nitol_final_Base_" xfId="53390"/>
    <cellStyle name="r_Synergy_Division_EBIT_Russian asset model v12" xfId="53391"/>
    <cellStyle name="r_Synergy_Division_EBIT_Russian asset model v12_Financial_model_Project_N_03 03 09_for Nitol_final_Base_" xfId="53392"/>
    <cellStyle name="r_Synergy_Division_Sales" xfId="53393"/>
    <cellStyle name="r_Synergy_Division_Sales_Arab Light Pricing" xfId="53394"/>
    <cellStyle name="r_Synergy_Division_Sales_Book3" xfId="53395"/>
    <cellStyle name="r_Synergy_Division_Sales_Book3_Financial_model_Project_N_03 03 09_for Nitol_final_Base_" xfId="53396"/>
    <cellStyle name="r_Synergy_Division_Sales_Historical Financials" xfId="53397"/>
    <cellStyle name="r_Synergy_Division_Sales_Historical Financials_Financial_model_Project_N_03 03 09_for Nitol_final_Base_" xfId="53398"/>
    <cellStyle name="r_Synergy_Division_Sales_PPL v35" xfId="53399"/>
    <cellStyle name="r_Synergy_Division_Sales_Premier corporate model v43 MS" xfId="53400"/>
    <cellStyle name="r_Synergy_Division_Sales_Premier corporate model v43 MS_Financial_model_Project_N_03 03 09_for Nitol_final_Base_" xfId="53401"/>
    <cellStyle name="r_Synergy_Division_Sales_Premier corporate model v94" xfId="53402"/>
    <cellStyle name="r_Synergy_Division_Sales_Premier corporate model v94_Financial_model_Project_N_03 03 09_for Nitol_final_Base_" xfId="53403"/>
    <cellStyle name="r_Synergy_Division_Sales_Project Tchaikovsky v24" xfId="53404"/>
    <cellStyle name="r_Synergy_Division_Sales_Project Tchaikovsky v24_Financial_model_Project_N_03 03 09_for Nitol_final_Base_" xfId="53405"/>
    <cellStyle name="r_Synergy_Division_Sales_Russian asset model v12" xfId="53406"/>
    <cellStyle name="r_Synergy_Division_Sales_Russian asset model v12_Financial_model_Project_N_03 03 09_for Nitol_final_Base_" xfId="53407"/>
    <cellStyle name="r_Synergy_Historical Financials" xfId="53408"/>
    <cellStyle name="r_Synergy_Historical Financials_Financial_model_Project_N_03 03 09_for Nitol_final_Base_" xfId="53409"/>
    <cellStyle name="r_Synergy_JPetro Refinery v37 draft" xfId="53410"/>
    <cellStyle name="r_Synergy_JPetro Refinery v37 draft_Financial_model_Project_N_03 03 09_for Nitol_final_Base_" xfId="53411"/>
    <cellStyle name="r_Synergy_JPetro Refinery v37 draft_Recovered" xfId="53412"/>
    <cellStyle name="r_Synergy_JPetro Refinery v37 draft_Recovered_Financial_model_Project_N_03 03 09_for Nitol_final_Base_" xfId="53413"/>
    <cellStyle name="r_Synergy_KazMunaiTeniz v58" xfId="53414"/>
    <cellStyle name="r_Synergy_KazMunaiTeniz v58_Arab Light Pricing" xfId="53415"/>
    <cellStyle name="r_Synergy_KazMunaiTeniz v58_Book3" xfId="53416"/>
    <cellStyle name="r_Synergy_KazMunaiTeniz v58_Book3_Financial_model_Project_N_03 03 09_for Nitol_final_Base_" xfId="53417"/>
    <cellStyle name="r_Synergy_PPL v35" xfId="53418"/>
    <cellStyle name="r_Synergy_Premier corporate model v43 MS" xfId="53419"/>
    <cellStyle name="r_Synergy_Premier corporate model v43 MS_Financial_model_Project_N_03 03 09_for Nitol_final_Base_" xfId="53420"/>
    <cellStyle name="r_Synergy_Premier corporate model v94" xfId="53421"/>
    <cellStyle name="r_Synergy_Premier corporate model v94_Financial_model_Project_N_03 03 09_for Nitol_final_Base_" xfId="53422"/>
    <cellStyle name="r_Synergy_Project Tchaikovsky v24" xfId="53423"/>
    <cellStyle name="r_Synergy_Project Tchaikovsky v24_Financial_model_Project_N_03 03 09_for Nitol_final_Base_" xfId="53424"/>
    <cellStyle name="r_Synergy_Russian asset model v12" xfId="53425"/>
    <cellStyle name="r_Synergy_Russian asset model v12_Financial_model_Project_N_03 03 09_for Nitol_final_Base_" xfId="53426"/>
    <cellStyle name="r_Synergy_Tecnol_Matrix" xfId="53427"/>
    <cellStyle name="r_Synergy_Tecnol_Matrix_Arab Light Pricing" xfId="53428"/>
    <cellStyle name="r_Synergy_Tecnol_Matrix_Book3" xfId="53429"/>
    <cellStyle name="r_Synergy_Tecnol_Matrix_Book3_Financial_model_Project_N_03 03 09_for Nitol_final_Base_" xfId="53430"/>
    <cellStyle name="r_Synergy_Tecnol_Matrix_Historical Financials" xfId="53431"/>
    <cellStyle name="r_Synergy_Tecnol_Matrix_Historical Financials_Financial_model_Project_N_03 03 09_for Nitol_final_Base_" xfId="53432"/>
    <cellStyle name="r_Synergy_Tecnol_Matrix_PPL v35" xfId="53433"/>
    <cellStyle name="r_Synergy_Tecnol_Matrix_Premier corporate model v43 MS" xfId="53434"/>
    <cellStyle name="r_Synergy_Tecnol_Matrix_Premier corporate model v43 MS_Financial_model_Project_N_03 03 09_for Nitol_final_Base_" xfId="53435"/>
    <cellStyle name="r_Synergy_Tecnol_Matrix_Premier corporate model v94" xfId="53436"/>
    <cellStyle name="r_Synergy_Tecnol_Matrix_Premier corporate model v94_Financial_model_Project_N_03 03 09_for Nitol_final_Base_" xfId="53437"/>
    <cellStyle name="r_Synergy_Tecnol_Matrix_Project Tchaikovsky v24" xfId="53438"/>
    <cellStyle name="r_Synergy_Tecnol_Matrix_Project Tchaikovsky v24_Financial_model_Project_N_03 03 09_for Nitol_final_Base_" xfId="53439"/>
    <cellStyle name="r_Synergy_Tecnol_Matrix_Russian asset model v12" xfId="53440"/>
    <cellStyle name="r_Synergy_Tecnol_Matrix_Russian asset model v12_Financial_model_Project_N_03 03 09_for Nitol_final_Base_" xfId="53441"/>
    <cellStyle name="r_Tecnol_Matrix" xfId="53442"/>
    <cellStyle name="r_Tecnol_Matrix_Arab Light Pricing" xfId="53443"/>
    <cellStyle name="r_Tecnol_Matrix_Book3" xfId="53444"/>
    <cellStyle name="r_Tecnol_Matrix_Book3_Financial_model_Project_N_03 03 09_for Nitol_final_Base_" xfId="53445"/>
    <cellStyle name="r_Tecnol_Matrix_Copy of Rosneft_Standalone_v23 (TA)" xfId="53446"/>
    <cellStyle name="r_Tecnol_Matrix_Copy of Rosneft_Standalone_v23 (TA)_Financial_model_Project_N_03 03 09_for Nitol_final_Base_" xfId="53447"/>
    <cellStyle name="r_Tecnol_Matrix_Historical Financials" xfId="53448"/>
    <cellStyle name="r_Tecnol_Matrix_Historical Financials_Financial_model_Project_N_03 03 09_for Nitol_final_Base_" xfId="53449"/>
    <cellStyle name="r_Tecnol_Matrix_JPetro Refinery v37 draft" xfId="53450"/>
    <cellStyle name="r_Tecnol_Matrix_JPetro Refinery v37 draft_Financial_model_Project_N_03 03 09_for Nitol_final_Base_" xfId="53451"/>
    <cellStyle name="r_Tecnol_Matrix_JPetro Refinery v37 draft_Recovered" xfId="53452"/>
    <cellStyle name="r_Tecnol_Matrix_JPetro Refinery v37 draft_Recovered_Financial_model_Project_N_03 03 09_for Nitol_final_Base_" xfId="53453"/>
    <cellStyle name="r_Tecnol_Matrix_KazMunaiTeniz v58" xfId="53454"/>
    <cellStyle name="r_Tecnol_Matrix_KazMunaiTeniz v58_Arab Light Pricing" xfId="53455"/>
    <cellStyle name="r_Tecnol_Matrix_KazMunaiTeniz v58_Book3" xfId="53456"/>
    <cellStyle name="r_Tecnol_Matrix_KazMunaiTeniz v58_Book3_Financial_model_Project_N_03 03 09_for Nitol_final_Base_" xfId="53457"/>
    <cellStyle name="r_Tecnol_Matrix_PPL v35" xfId="53458"/>
    <cellStyle name="r_Tecnol_Matrix_Premier corporate model v43 MS" xfId="53459"/>
    <cellStyle name="r_Tecnol_Matrix_Premier corporate model v43 MS_Financial_model_Project_N_03 03 09_for Nitol_final_Base_" xfId="53460"/>
    <cellStyle name="r_Tecnol_Matrix_Premier corporate model v94" xfId="53461"/>
    <cellStyle name="r_Tecnol_Matrix_Premier corporate model v94_Financial_model_Project_N_03 03 09_for Nitol_final_Base_" xfId="53462"/>
    <cellStyle name="r_Tecnol_Matrix_Project Tchaikovsky v24" xfId="53463"/>
    <cellStyle name="r_Tecnol_Matrix_Project Tchaikovsky v24_Financial_model_Project_N_03 03 09_for Nitol_final_Base_" xfId="53464"/>
    <cellStyle name="r_Tecnol_Matrix_Russian asset model v12" xfId="53465"/>
    <cellStyle name="r_Tecnol_Matrix_Russian asset model v12_Financial_model_Project_N_03 03 09_for Nitol_final_Base_" xfId="53466"/>
    <cellStyle name="ratio" xfId="53467"/>
    <cellStyle name="Salomon Logo" xfId="53468"/>
    <cellStyle name="SAPBEXaggData" xfId="53469"/>
    <cellStyle name="SAPBEXaggData 10" xfId="53470"/>
    <cellStyle name="SAPBEXaggData 11" xfId="53471"/>
    <cellStyle name="SAPBEXaggData 12" xfId="53472"/>
    <cellStyle name="SAPBEXaggData 13" xfId="53473"/>
    <cellStyle name="SAPBEXaggData 14" xfId="53474"/>
    <cellStyle name="SAPBEXaggData 2" xfId="53475"/>
    <cellStyle name="SAPBEXaggData 3" xfId="53476"/>
    <cellStyle name="SAPBEXaggData 4" xfId="53477"/>
    <cellStyle name="SAPBEXaggData 5" xfId="53478"/>
    <cellStyle name="SAPBEXaggData 6" xfId="53479"/>
    <cellStyle name="SAPBEXaggData 7" xfId="53480"/>
    <cellStyle name="SAPBEXaggData 8" xfId="53481"/>
    <cellStyle name="SAPBEXaggData 9" xfId="53482"/>
    <cellStyle name="SAPBEXaggDataEmph" xfId="53483"/>
    <cellStyle name="SAPBEXaggDataEmph 10" xfId="53484"/>
    <cellStyle name="SAPBEXaggDataEmph 11" xfId="53485"/>
    <cellStyle name="SAPBEXaggDataEmph 12" xfId="53486"/>
    <cellStyle name="SAPBEXaggDataEmph 13" xfId="53487"/>
    <cellStyle name="SAPBEXaggDataEmph 14" xfId="53488"/>
    <cellStyle name="SAPBEXaggDataEmph 2" xfId="53489"/>
    <cellStyle name="SAPBEXaggDataEmph 3" xfId="53490"/>
    <cellStyle name="SAPBEXaggDataEmph 4" xfId="53491"/>
    <cellStyle name="SAPBEXaggDataEmph 5" xfId="53492"/>
    <cellStyle name="SAPBEXaggDataEmph 6" xfId="53493"/>
    <cellStyle name="SAPBEXaggDataEmph 7" xfId="53494"/>
    <cellStyle name="SAPBEXaggDataEmph 8" xfId="53495"/>
    <cellStyle name="SAPBEXaggDataEmph 9" xfId="53496"/>
    <cellStyle name="SAPBEXaggExc1" xfId="53497"/>
    <cellStyle name="SAPBEXaggExc1Emph" xfId="53498"/>
    <cellStyle name="SAPBEXaggExc2" xfId="53499"/>
    <cellStyle name="SAPBEXaggExc2Emph" xfId="53500"/>
    <cellStyle name="SAPBEXaggItem" xfId="53501"/>
    <cellStyle name="SAPBEXaggItem 10" xfId="53502"/>
    <cellStyle name="SAPBEXaggItem 11" xfId="53503"/>
    <cellStyle name="SAPBEXaggItem 12" xfId="53504"/>
    <cellStyle name="SAPBEXaggItem 13" xfId="53505"/>
    <cellStyle name="SAPBEXaggItem 14" xfId="53506"/>
    <cellStyle name="SAPBEXaggItem 2" xfId="53507"/>
    <cellStyle name="SAPBEXaggItem 3" xfId="53508"/>
    <cellStyle name="SAPBEXaggItem 4" xfId="53509"/>
    <cellStyle name="SAPBEXaggItem 5" xfId="53510"/>
    <cellStyle name="SAPBEXaggItem 6" xfId="53511"/>
    <cellStyle name="SAPBEXaggItem 7" xfId="53512"/>
    <cellStyle name="SAPBEXaggItem 8" xfId="53513"/>
    <cellStyle name="SAPBEXaggItem 9" xfId="53514"/>
    <cellStyle name="SAPBEXaggItemX" xfId="53515"/>
    <cellStyle name="SAPBEXaggItemX 2" xfId="53516"/>
    <cellStyle name="SAPBEXbackground" xfId="53517"/>
    <cellStyle name="SAPBEXbackground 2" xfId="53518"/>
    <cellStyle name="SAPBEXchaText" xfId="53519"/>
    <cellStyle name="SAPBEXchaText 10" xfId="53520"/>
    <cellStyle name="SAPBEXchaText 11" xfId="53521"/>
    <cellStyle name="SAPBEXchaText 12" xfId="53522"/>
    <cellStyle name="SAPBEXchaText 13" xfId="53523"/>
    <cellStyle name="SAPBEXchaText 14" xfId="53524"/>
    <cellStyle name="SAPBEXchaText 2" xfId="53525"/>
    <cellStyle name="SAPBEXchaText 2 2" xfId="53526"/>
    <cellStyle name="SAPBEXchaText 3" xfId="53527"/>
    <cellStyle name="SAPBEXchaText 4" xfId="53528"/>
    <cellStyle name="SAPBEXchaText 5" xfId="53529"/>
    <cellStyle name="SAPBEXchaText 6" xfId="53530"/>
    <cellStyle name="SAPBEXchaText 7" xfId="53531"/>
    <cellStyle name="SAPBEXchaText 8" xfId="53532"/>
    <cellStyle name="SAPBEXchaText 9" xfId="53533"/>
    <cellStyle name="SAPBEXexcBad" xfId="53534"/>
    <cellStyle name="SAPBEXexcBad7" xfId="53535"/>
    <cellStyle name="SAPBEXexcBad7 10" xfId="53536"/>
    <cellStyle name="SAPBEXexcBad7 11" xfId="53537"/>
    <cellStyle name="SAPBEXexcBad7 12" xfId="53538"/>
    <cellStyle name="SAPBEXexcBad7 13" xfId="53539"/>
    <cellStyle name="SAPBEXexcBad7 14" xfId="53540"/>
    <cellStyle name="SAPBEXexcBad7 2" xfId="53541"/>
    <cellStyle name="SAPBEXexcBad7 2 2" xfId="53542"/>
    <cellStyle name="SAPBEXexcBad7 3" xfId="53543"/>
    <cellStyle name="SAPBEXexcBad7 4" xfId="53544"/>
    <cellStyle name="SAPBEXexcBad7 5" xfId="53545"/>
    <cellStyle name="SAPBEXexcBad7 6" xfId="53546"/>
    <cellStyle name="SAPBEXexcBad7 7" xfId="53547"/>
    <cellStyle name="SAPBEXexcBad7 8" xfId="53548"/>
    <cellStyle name="SAPBEXexcBad7 9" xfId="53549"/>
    <cellStyle name="SAPBEXexcBad8" xfId="53550"/>
    <cellStyle name="SAPBEXexcBad8 10" xfId="53551"/>
    <cellStyle name="SAPBEXexcBad8 11" xfId="53552"/>
    <cellStyle name="SAPBEXexcBad8 12" xfId="53553"/>
    <cellStyle name="SAPBEXexcBad8 13" xfId="53554"/>
    <cellStyle name="SAPBEXexcBad8 14" xfId="53555"/>
    <cellStyle name="SAPBEXexcBad8 2" xfId="53556"/>
    <cellStyle name="SAPBEXexcBad8 2 2" xfId="53557"/>
    <cellStyle name="SAPBEXexcBad8 3" xfId="53558"/>
    <cellStyle name="SAPBEXexcBad8 4" xfId="53559"/>
    <cellStyle name="SAPBEXexcBad8 5" xfId="53560"/>
    <cellStyle name="SAPBEXexcBad8 6" xfId="53561"/>
    <cellStyle name="SAPBEXexcBad8 7" xfId="53562"/>
    <cellStyle name="SAPBEXexcBad8 8" xfId="53563"/>
    <cellStyle name="SAPBEXexcBad8 9" xfId="53564"/>
    <cellStyle name="SAPBEXexcBad9" xfId="53565"/>
    <cellStyle name="SAPBEXexcBad9 10" xfId="53566"/>
    <cellStyle name="SAPBEXexcBad9 11" xfId="53567"/>
    <cellStyle name="SAPBEXexcBad9 12" xfId="53568"/>
    <cellStyle name="SAPBEXexcBad9 13" xfId="53569"/>
    <cellStyle name="SAPBEXexcBad9 14" xfId="53570"/>
    <cellStyle name="SAPBEXexcBad9 2" xfId="53571"/>
    <cellStyle name="SAPBEXexcBad9 2 2" xfId="53572"/>
    <cellStyle name="SAPBEXexcBad9 3" xfId="53573"/>
    <cellStyle name="SAPBEXexcBad9 4" xfId="53574"/>
    <cellStyle name="SAPBEXexcBad9 5" xfId="53575"/>
    <cellStyle name="SAPBEXexcBad9 6" xfId="53576"/>
    <cellStyle name="SAPBEXexcBad9 7" xfId="53577"/>
    <cellStyle name="SAPBEXexcBad9 8" xfId="53578"/>
    <cellStyle name="SAPBEXexcBad9 9" xfId="53579"/>
    <cellStyle name="SAPBEXexcCritical" xfId="53580"/>
    <cellStyle name="SAPBEXexcCritical4" xfId="53581"/>
    <cellStyle name="SAPBEXexcCritical4 10" xfId="53582"/>
    <cellStyle name="SAPBEXexcCritical4 11" xfId="53583"/>
    <cellStyle name="SAPBEXexcCritical4 12" xfId="53584"/>
    <cellStyle name="SAPBEXexcCritical4 13" xfId="53585"/>
    <cellStyle name="SAPBEXexcCritical4 14" xfId="53586"/>
    <cellStyle name="SAPBEXexcCritical4 2" xfId="53587"/>
    <cellStyle name="SAPBEXexcCritical4 2 2" xfId="53588"/>
    <cellStyle name="SAPBEXexcCritical4 3" xfId="53589"/>
    <cellStyle name="SAPBEXexcCritical4 4" xfId="53590"/>
    <cellStyle name="SAPBEXexcCritical4 5" xfId="53591"/>
    <cellStyle name="SAPBEXexcCritical4 6" xfId="53592"/>
    <cellStyle name="SAPBEXexcCritical4 7" xfId="53593"/>
    <cellStyle name="SAPBEXexcCritical4 8" xfId="53594"/>
    <cellStyle name="SAPBEXexcCritical4 9" xfId="53595"/>
    <cellStyle name="SAPBEXexcCritical5" xfId="53596"/>
    <cellStyle name="SAPBEXexcCritical5 10" xfId="53597"/>
    <cellStyle name="SAPBEXexcCritical5 11" xfId="53598"/>
    <cellStyle name="SAPBEXexcCritical5 12" xfId="53599"/>
    <cellStyle name="SAPBEXexcCritical5 13" xfId="53600"/>
    <cellStyle name="SAPBEXexcCritical5 14" xfId="53601"/>
    <cellStyle name="SAPBEXexcCritical5 2" xfId="53602"/>
    <cellStyle name="SAPBEXexcCritical5 2 2" xfId="53603"/>
    <cellStyle name="SAPBEXexcCritical5 3" xfId="53604"/>
    <cellStyle name="SAPBEXexcCritical5 4" xfId="53605"/>
    <cellStyle name="SAPBEXexcCritical5 5" xfId="53606"/>
    <cellStyle name="SAPBEXexcCritical5 6" xfId="53607"/>
    <cellStyle name="SAPBEXexcCritical5 7" xfId="53608"/>
    <cellStyle name="SAPBEXexcCritical5 8" xfId="53609"/>
    <cellStyle name="SAPBEXexcCritical5 9" xfId="53610"/>
    <cellStyle name="SAPBEXexcCritical6" xfId="53611"/>
    <cellStyle name="SAPBEXexcCritical6 10" xfId="53612"/>
    <cellStyle name="SAPBEXexcCritical6 11" xfId="53613"/>
    <cellStyle name="SAPBEXexcCritical6 12" xfId="53614"/>
    <cellStyle name="SAPBEXexcCritical6 13" xfId="53615"/>
    <cellStyle name="SAPBEXexcCritical6 14" xfId="53616"/>
    <cellStyle name="SAPBEXexcCritical6 2" xfId="53617"/>
    <cellStyle name="SAPBEXexcCritical6 2 2" xfId="53618"/>
    <cellStyle name="SAPBEXexcCritical6 3" xfId="53619"/>
    <cellStyle name="SAPBEXexcCritical6 4" xfId="53620"/>
    <cellStyle name="SAPBEXexcCritical6 5" xfId="53621"/>
    <cellStyle name="SAPBEXexcCritical6 6" xfId="53622"/>
    <cellStyle name="SAPBEXexcCritical6 7" xfId="53623"/>
    <cellStyle name="SAPBEXexcCritical6 8" xfId="53624"/>
    <cellStyle name="SAPBEXexcCritical6 9" xfId="53625"/>
    <cellStyle name="SAPBEXexcGood" xfId="53626"/>
    <cellStyle name="SAPBEXexcGood1" xfId="53627"/>
    <cellStyle name="SAPBEXexcGood1 10" xfId="53628"/>
    <cellStyle name="SAPBEXexcGood1 11" xfId="53629"/>
    <cellStyle name="SAPBEXexcGood1 12" xfId="53630"/>
    <cellStyle name="SAPBEXexcGood1 13" xfId="53631"/>
    <cellStyle name="SAPBEXexcGood1 14" xfId="53632"/>
    <cellStyle name="SAPBEXexcGood1 2" xfId="53633"/>
    <cellStyle name="SAPBEXexcGood1 2 2" xfId="53634"/>
    <cellStyle name="SAPBEXexcGood1 3" xfId="53635"/>
    <cellStyle name="SAPBEXexcGood1 4" xfId="53636"/>
    <cellStyle name="SAPBEXexcGood1 5" xfId="53637"/>
    <cellStyle name="SAPBEXexcGood1 6" xfId="53638"/>
    <cellStyle name="SAPBEXexcGood1 7" xfId="53639"/>
    <cellStyle name="SAPBEXexcGood1 8" xfId="53640"/>
    <cellStyle name="SAPBEXexcGood1 9" xfId="53641"/>
    <cellStyle name="SAPBEXexcGood2" xfId="53642"/>
    <cellStyle name="SAPBEXexcGood2 10" xfId="53643"/>
    <cellStyle name="SAPBEXexcGood2 11" xfId="53644"/>
    <cellStyle name="SAPBEXexcGood2 12" xfId="53645"/>
    <cellStyle name="SAPBEXexcGood2 13" xfId="53646"/>
    <cellStyle name="SAPBEXexcGood2 14" xfId="53647"/>
    <cellStyle name="SAPBEXexcGood2 2" xfId="53648"/>
    <cellStyle name="SAPBEXexcGood2 2 2" xfId="53649"/>
    <cellStyle name="SAPBEXexcGood2 3" xfId="53650"/>
    <cellStyle name="SAPBEXexcGood2 4" xfId="53651"/>
    <cellStyle name="SAPBEXexcGood2 5" xfId="53652"/>
    <cellStyle name="SAPBEXexcGood2 6" xfId="53653"/>
    <cellStyle name="SAPBEXexcGood2 7" xfId="53654"/>
    <cellStyle name="SAPBEXexcGood2 8" xfId="53655"/>
    <cellStyle name="SAPBEXexcGood2 9" xfId="53656"/>
    <cellStyle name="SAPBEXexcGood3" xfId="53657"/>
    <cellStyle name="SAPBEXexcGood3 10" xfId="53658"/>
    <cellStyle name="SAPBEXexcGood3 11" xfId="53659"/>
    <cellStyle name="SAPBEXexcGood3 12" xfId="53660"/>
    <cellStyle name="SAPBEXexcGood3 13" xfId="53661"/>
    <cellStyle name="SAPBEXexcGood3 14" xfId="53662"/>
    <cellStyle name="SAPBEXexcGood3 2" xfId="53663"/>
    <cellStyle name="SAPBEXexcGood3 2 2" xfId="53664"/>
    <cellStyle name="SAPBEXexcGood3 3" xfId="53665"/>
    <cellStyle name="SAPBEXexcGood3 4" xfId="53666"/>
    <cellStyle name="SAPBEXexcGood3 5" xfId="53667"/>
    <cellStyle name="SAPBEXexcGood3 6" xfId="53668"/>
    <cellStyle name="SAPBEXexcGood3 7" xfId="53669"/>
    <cellStyle name="SAPBEXexcGood3 8" xfId="53670"/>
    <cellStyle name="SAPBEXexcGood3 9" xfId="53671"/>
    <cellStyle name="SAPBEXexcVeryBad" xfId="53672"/>
    <cellStyle name="SAPBEXexcVeryBad 2" xfId="53673"/>
    <cellStyle name="SAPBEXfilterDrill" xfId="53674"/>
    <cellStyle name="SAPBEXfilterDrill 10" xfId="53675"/>
    <cellStyle name="SAPBEXfilterDrill 11" xfId="53676"/>
    <cellStyle name="SAPBEXfilterDrill 12" xfId="53677"/>
    <cellStyle name="SAPBEXfilterDrill 13" xfId="53678"/>
    <cellStyle name="SAPBEXfilterDrill 14" xfId="53679"/>
    <cellStyle name="SAPBEXfilterDrill 2" xfId="53680"/>
    <cellStyle name="SAPBEXfilterDrill 2 2" xfId="53681"/>
    <cellStyle name="SAPBEXfilterDrill 2 3" xfId="53682"/>
    <cellStyle name="SAPBEXfilterDrill 3" xfId="53683"/>
    <cellStyle name="SAPBEXfilterDrill 3 2" xfId="53684"/>
    <cellStyle name="SAPBEXfilterDrill 4" xfId="53685"/>
    <cellStyle name="SAPBEXfilterDrill 5" xfId="53686"/>
    <cellStyle name="SAPBEXfilterDrill 5 2" xfId="53687"/>
    <cellStyle name="SAPBEXfilterDrill 6" xfId="53688"/>
    <cellStyle name="SAPBEXfilterDrill 6 2" xfId="53689"/>
    <cellStyle name="SAPBEXfilterDrill 7" xfId="53690"/>
    <cellStyle name="SAPBEXfilterDrill 7 2" xfId="53691"/>
    <cellStyle name="SAPBEXfilterDrill 8" xfId="53692"/>
    <cellStyle name="SAPBEXfilterDrill 8 2" xfId="53693"/>
    <cellStyle name="SAPBEXfilterDrill 9" xfId="53694"/>
    <cellStyle name="SAPBEXfilterDrill 9 2" xfId="53695"/>
    <cellStyle name="SAPBEXfilterItem" xfId="53696"/>
    <cellStyle name="SAPBEXfilterItem 10" xfId="53697"/>
    <cellStyle name="SAPBEXfilterItem 11" xfId="53698"/>
    <cellStyle name="SAPBEXfilterItem 12" xfId="53699"/>
    <cellStyle name="SAPBEXfilterItem 13" xfId="53700"/>
    <cellStyle name="SAPBEXfilterItem 14" xfId="53701"/>
    <cellStyle name="SAPBEXfilterItem 2" xfId="53702"/>
    <cellStyle name="SAPBEXfilterItem 3" xfId="53703"/>
    <cellStyle name="SAPBEXfilterItem 4" xfId="53704"/>
    <cellStyle name="SAPBEXfilterItem 5" xfId="53705"/>
    <cellStyle name="SAPBEXfilterItem 6" xfId="53706"/>
    <cellStyle name="SAPBEXfilterItem 7" xfId="53707"/>
    <cellStyle name="SAPBEXfilterItem 8" xfId="53708"/>
    <cellStyle name="SAPBEXfilterItem 9" xfId="53709"/>
    <cellStyle name="SAPBEXfilterText" xfId="53710"/>
    <cellStyle name="SAPBEXfilterText 10" xfId="53711"/>
    <cellStyle name="SAPBEXfilterText 11" xfId="53712"/>
    <cellStyle name="SAPBEXfilterText 12" xfId="53713"/>
    <cellStyle name="SAPBEXfilterText 13" xfId="53714"/>
    <cellStyle name="SAPBEXfilterText 14" xfId="53715"/>
    <cellStyle name="SAPBEXfilterText 15" xfId="53716"/>
    <cellStyle name="SAPBEXfilterText 16" xfId="53717"/>
    <cellStyle name="SAPBEXfilterText 17" xfId="53718"/>
    <cellStyle name="SAPBEXfilterText 18" xfId="53719"/>
    <cellStyle name="SAPBEXfilterText 19" xfId="53720"/>
    <cellStyle name="SAPBEXfilterText 2" xfId="53721"/>
    <cellStyle name="SAPBEXfilterText 2 2" xfId="53722"/>
    <cellStyle name="SAPBEXfilterText 20" xfId="53723"/>
    <cellStyle name="SAPBEXfilterText 21" xfId="53724"/>
    <cellStyle name="SAPBEXfilterText 22" xfId="53725"/>
    <cellStyle name="SAPBEXfilterText 23" xfId="53726"/>
    <cellStyle name="SAPBEXfilterText 24" xfId="53727"/>
    <cellStyle name="SAPBEXfilterText 25" xfId="53728"/>
    <cellStyle name="SAPBEXfilterText 26" xfId="53729"/>
    <cellStyle name="SAPBEXfilterText 27" xfId="53730"/>
    <cellStyle name="SAPBEXfilterText 28" xfId="53731"/>
    <cellStyle name="SAPBEXfilterText 3" xfId="53732"/>
    <cellStyle name="SAPBEXfilterText 3 2" xfId="53733"/>
    <cellStyle name="SAPBEXfilterText 4" xfId="53734"/>
    <cellStyle name="SAPBEXfilterText 5" xfId="53735"/>
    <cellStyle name="SAPBEXfilterText 6" xfId="53736"/>
    <cellStyle name="SAPBEXfilterText 7" xfId="53737"/>
    <cellStyle name="SAPBEXfilterText 8" xfId="53738"/>
    <cellStyle name="SAPBEXfilterText 9" xfId="53739"/>
    <cellStyle name="SAPBEXformats" xfId="53740"/>
    <cellStyle name="SAPBEXformats 10" xfId="53741"/>
    <cellStyle name="SAPBEXformats 11" xfId="53742"/>
    <cellStyle name="SAPBEXformats 12" xfId="53743"/>
    <cellStyle name="SAPBEXformats 13" xfId="53744"/>
    <cellStyle name="SAPBEXformats 14" xfId="53745"/>
    <cellStyle name="SAPBEXformats 2" xfId="53746"/>
    <cellStyle name="SAPBEXformats 2 2" xfId="53747"/>
    <cellStyle name="SAPBEXformats 3" xfId="53748"/>
    <cellStyle name="SAPBEXformats 4" xfId="53749"/>
    <cellStyle name="SAPBEXformats 5" xfId="53750"/>
    <cellStyle name="SAPBEXformats 6" xfId="53751"/>
    <cellStyle name="SAPBEXformats 7" xfId="53752"/>
    <cellStyle name="SAPBEXformats 8" xfId="53753"/>
    <cellStyle name="SAPBEXformats 9" xfId="53754"/>
    <cellStyle name="SAPBEXheaderData" xfId="53755"/>
    <cellStyle name="SAPBEXheaderItem" xfId="53756"/>
    <cellStyle name="SAPBEXheaderItem 10" xfId="53757"/>
    <cellStyle name="SAPBEXheaderItem 11" xfId="53758"/>
    <cellStyle name="SAPBEXheaderItem 12" xfId="53759"/>
    <cellStyle name="SAPBEXheaderItem 13" xfId="53760"/>
    <cellStyle name="SAPBEXheaderItem 14" xfId="53761"/>
    <cellStyle name="SAPBEXheaderItem 15" xfId="53762"/>
    <cellStyle name="SAPBEXheaderItem 16" xfId="53763"/>
    <cellStyle name="SAPBEXheaderItem 17" xfId="53764"/>
    <cellStyle name="SAPBEXheaderItem 18" xfId="53765"/>
    <cellStyle name="SAPBEXheaderItem 19" xfId="53766"/>
    <cellStyle name="SAPBEXheaderItem 2" xfId="53767"/>
    <cellStyle name="SAPBEXheaderItem 2 2" xfId="53768"/>
    <cellStyle name="SAPBEXheaderItem 2 3" xfId="53769"/>
    <cellStyle name="SAPBEXheaderItem 20" xfId="53770"/>
    <cellStyle name="SAPBEXheaderItem 21" xfId="53771"/>
    <cellStyle name="SAPBEXheaderItem 22" xfId="53772"/>
    <cellStyle name="SAPBEXheaderItem 3" xfId="53773"/>
    <cellStyle name="SAPBEXheaderItem 4" xfId="53774"/>
    <cellStyle name="SAPBEXheaderItem 5" xfId="53775"/>
    <cellStyle name="SAPBEXheaderItem 6" xfId="53776"/>
    <cellStyle name="SAPBEXheaderItem 7" xfId="53777"/>
    <cellStyle name="SAPBEXheaderItem 8" xfId="53778"/>
    <cellStyle name="SAPBEXheaderItem 9" xfId="53779"/>
    <cellStyle name="SAPBEXheaderRowOne" xfId="53780"/>
    <cellStyle name="SAPBEXheaderRowOne 2" xfId="53781"/>
    <cellStyle name="SAPBEXheaderRowThree" xfId="53782"/>
    <cellStyle name="SAPBEXheaderRowThree 2" xfId="53783"/>
    <cellStyle name="SAPBEXheaderRowTwo" xfId="53784"/>
    <cellStyle name="SAPBEXheaderSingleRow" xfId="53785"/>
    <cellStyle name="SAPBEXheaderSingleRow 2" xfId="53786"/>
    <cellStyle name="SAPBEXheaderText" xfId="53787"/>
    <cellStyle name="SAPBEXheaderText 10" xfId="53788"/>
    <cellStyle name="SAPBEXheaderText 11" xfId="53789"/>
    <cellStyle name="SAPBEXheaderText 12" xfId="53790"/>
    <cellStyle name="SAPBEXheaderText 13" xfId="53791"/>
    <cellStyle name="SAPBEXheaderText 14" xfId="53792"/>
    <cellStyle name="SAPBEXheaderText 15" xfId="53793"/>
    <cellStyle name="SAPBEXheaderText 16" xfId="53794"/>
    <cellStyle name="SAPBEXheaderText 17" xfId="53795"/>
    <cellStyle name="SAPBEXheaderText 18" xfId="53796"/>
    <cellStyle name="SAPBEXheaderText 19" xfId="53797"/>
    <cellStyle name="SAPBEXheaderText 2" xfId="53798"/>
    <cellStyle name="SAPBEXheaderText 2 2" xfId="53799"/>
    <cellStyle name="SAPBEXheaderText 2 3" xfId="53800"/>
    <cellStyle name="SAPBEXheaderText 20" xfId="53801"/>
    <cellStyle name="SAPBEXheaderText 21" xfId="53802"/>
    <cellStyle name="SAPBEXheaderText 22" xfId="53803"/>
    <cellStyle name="SAPBEXheaderText 3" xfId="53804"/>
    <cellStyle name="SAPBEXheaderText 4" xfId="53805"/>
    <cellStyle name="SAPBEXheaderText 5" xfId="53806"/>
    <cellStyle name="SAPBEXheaderText 6" xfId="53807"/>
    <cellStyle name="SAPBEXheaderText 7" xfId="53808"/>
    <cellStyle name="SAPBEXheaderText 8" xfId="53809"/>
    <cellStyle name="SAPBEXheaderText 9" xfId="53810"/>
    <cellStyle name="SAPBEXHLevel0" xfId="53811"/>
    <cellStyle name="SAPBEXHLevel0 10" xfId="53812"/>
    <cellStyle name="SAPBEXHLevel0 11" xfId="53813"/>
    <cellStyle name="SAPBEXHLevel0 12" xfId="53814"/>
    <cellStyle name="SAPBEXHLevel0 13" xfId="53815"/>
    <cellStyle name="SAPBEXHLevel0 14" xfId="53816"/>
    <cellStyle name="SAPBEXHLevel0 15" xfId="53817"/>
    <cellStyle name="SAPBEXHLevel0 16" xfId="53818"/>
    <cellStyle name="SAPBEXHLevel0 17" xfId="53819"/>
    <cellStyle name="SAPBEXHLevel0 18" xfId="53820"/>
    <cellStyle name="SAPBEXHLevel0 19" xfId="53821"/>
    <cellStyle name="SAPBEXHLevel0 2" xfId="53822"/>
    <cellStyle name="SAPBEXHLevel0 2 2" xfId="53823"/>
    <cellStyle name="SAPBEXHLevel0 2 3" xfId="53824"/>
    <cellStyle name="SAPBEXHLevel0 20" xfId="53825"/>
    <cellStyle name="SAPBEXHLevel0 21" xfId="53826"/>
    <cellStyle name="SAPBEXHLevel0 22" xfId="53827"/>
    <cellStyle name="SAPBEXHLevel0 3" xfId="53828"/>
    <cellStyle name="SAPBEXHLevel0 4" xfId="53829"/>
    <cellStyle name="SAPBEXHLevel0 5" xfId="53830"/>
    <cellStyle name="SAPBEXHLevel0 6" xfId="53831"/>
    <cellStyle name="SAPBEXHLevel0 7" xfId="53832"/>
    <cellStyle name="SAPBEXHLevel0 8" xfId="53833"/>
    <cellStyle name="SAPBEXHLevel0 9" xfId="53834"/>
    <cellStyle name="SAPBEXHLevel0X" xfId="53835"/>
    <cellStyle name="SAPBEXHLevel0X 10" xfId="53836"/>
    <cellStyle name="SAPBEXHLevel0X 11" xfId="53837"/>
    <cellStyle name="SAPBEXHLevel0X 12" xfId="53838"/>
    <cellStyle name="SAPBEXHLevel0X 13" xfId="53839"/>
    <cellStyle name="SAPBEXHLevel0X 14" xfId="53840"/>
    <cellStyle name="SAPBEXHLevel0X 15" xfId="53841"/>
    <cellStyle name="SAPBEXHLevel0X 16" xfId="53842"/>
    <cellStyle name="SAPBEXHLevel0X 17" xfId="53843"/>
    <cellStyle name="SAPBEXHLevel0X 18" xfId="53844"/>
    <cellStyle name="SAPBEXHLevel0X 19" xfId="53845"/>
    <cellStyle name="SAPBEXHLevel0X 2" xfId="53846"/>
    <cellStyle name="SAPBEXHLevel0X 2 2" xfId="53847"/>
    <cellStyle name="SAPBEXHLevel0X 2 3" xfId="53848"/>
    <cellStyle name="SAPBEXHLevel0X 2 4" xfId="53849"/>
    <cellStyle name="SAPBEXHLevel0X 2 5" xfId="53850"/>
    <cellStyle name="SAPBEXHLevel0X 20" xfId="53851"/>
    <cellStyle name="SAPBEXHLevel0X 21" xfId="53852"/>
    <cellStyle name="SAPBEXHLevel0X 22" xfId="53853"/>
    <cellStyle name="SAPBEXHLevel0X 23" xfId="53854"/>
    <cellStyle name="SAPBEXHLevel0X 24" xfId="53855"/>
    <cellStyle name="SAPBEXHLevel0X 25" xfId="53856"/>
    <cellStyle name="SAPBEXHLevel0X 26" xfId="53857"/>
    <cellStyle name="SAPBEXHLevel0X 27" xfId="53858"/>
    <cellStyle name="SAPBEXHLevel0X 28" xfId="53859"/>
    <cellStyle name="SAPBEXHLevel0X 29" xfId="53860"/>
    <cellStyle name="SAPBEXHLevel0X 3" xfId="53861"/>
    <cellStyle name="SAPBEXHLevel0X 3 2" xfId="53862"/>
    <cellStyle name="SAPBEXHLevel0X 3 3" xfId="53863"/>
    <cellStyle name="SAPBEXHLevel0X 3 3 2" xfId="53864"/>
    <cellStyle name="SAPBEXHLevel0X 3 4" xfId="53865"/>
    <cellStyle name="SAPBEXHLevel0X 4" xfId="53866"/>
    <cellStyle name="SAPBEXHLevel0X 4 2" xfId="53867"/>
    <cellStyle name="SAPBEXHLevel0X 5" xfId="53868"/>
    <cellStyle name="SAPBEXHLevel0X 5 2" xfId="53869"/>
    <cellStyle name="SAPBEXHLevel0X 6" xfId="53870"/>
    <cellStyle name="SAPBEXHLevel0X 7" xfId="53871"/>
    <cellStyle name="SAPBEXHLevel0X 8" xfId="53872"/>
    <cellStyle name="SAPBEXHLevel0X 9" xfId="53873"/>
    <cellStyle name="SAPBEXHLevel1" xfId="53874"/>
    <cellStyle name="SAPBEXHLevel1 10" xfId="53875"/>
    <cellStyle name="SAPBEXHLevel1 11" xfId="53876"/>
    <cellStyle name="SAPBEXHLevel1 12" xfId="53877"/>
    <cellStyle name="SAPBEXHLevel1 13" xfId="53878"/>
    <cellStyle name="SAPBEXHLevel1 14" xfId="53879"/>
    <cellStyle name="SAPBEXHLevel1 15" xfId="53880"/>
    <cellStyle name="SAPBEXHLevel1 16" xfId="53881"/>
    <cellStyle name="SAPBEXHLevel1 17" xfId="53882"/>
    <cellStyle name="SAPBEXHLevel1 18" xfId="53883"/>
    <cellStyle name="SAPBEXHLevel1 19" xfId="53884"/>
    <cellStyle name="SAPBEXHLevel1 2" xfId="53885"/>
    <cellStyle name="SAPBEXHLevel1 2 2" xfId="53886"/>
    <cellStyle name="SAPBEXHLevel1 2 3" xfId="53887"/>
    <cellStyle name="SAPBEXHLevel1 20" xfId="53888"/>
    <cellStyle name="SAPBEXHLevel1 21" xfId="53889"/>
    <cellStyle name="SAPBEXHLevel1 22" xfId="53890"/>
    <cellStyle name="SAPBEXHLevel1 3" xfId="53891"/>
    <cellStyle name="SAPBEXHLevel1 4" xfId="53892"/>
    <cellStyle name="SAPBEXHLevel1 5" xfId="53893"/>
    <cellStyle name="SAPBEXHLevel1 6" xfId="53894"/>
    <cellStyle name="SAPBEXHLevel1 7" xfId="53895"/>
    <cellStyle name="SAPBEXHLevel1 8" xfId="53896"/>
    <cellStyle name="SAPBEXHLevel1 9" xfId="53897"/>
    <cellStyle name="SAPBEXHLevel1X" xfId="53898"/>
    <cellStyle name="SAPBEXHLevel1X 10" xfId="53899"/>
    <cellStyle name="SAPBEXHLevel1X 11" xfId="53900"/>
    <cellStyle name="SAPBEXHLevel1X 12" xfId="53901"/>
    <cellStyle name="SAPBEXHLevel1X 13" xfId="53902"/>
    <cellStyle name="SAPBEXHLevel1X 14" xfId="53903"/>
    <cellStyle name="SAPBEXHLevel1X 15" xfId="53904"/>
    <cellStyle name="SAPBEXHLevel1X 16" xfId="53905"/>
    <cellStyle name="SAPBEXHLevel1X 17" xfId="53906"/>
    <cellStyle name="SAPBEXHLevel1X 18" xfId="53907"/>
    <cellStyle name="SAPBEXHLevel1X 19" xfId="53908"/>
    <cellStyle name="SAPBEXHLevel1X 2" xfId="53909"/>
    <cellStyle name="SAPBEXHLevel1X 2 2" xfId="53910"/>
    <cellStyle name="SAPBEXHLevel1X 2 3" xfId="53911"/>
    <cellStyle name="SAPBEXHLevel1X 2 4" xfId="53912"/>
    <cellStyle name="SAPBEXHLevel1X 2 5" xfId="53913"/>
    <cellStyle name="SAPBEXHLevel1X 20" xfId="53914"/>
    <cellStyle name="SAPBEXHLevel1X 21" xfId="53915"/>
    <cellStyle name="SAPBEXHLevel1X 22" xfId="53916"/>
    <cellStyle name="SAPBEXHLevel1X 23" xfId="53917"/>
    <cellStyle name="SAPBEXHLevel1X 24" xfId="53918"/>
    <cellStyle name="SAPBEXHLevel1X 25" xfId="53919"/>
    <cellStyle name="SAPBEXHLevel1X 26" xfId="53920"/>
    <cellStyle name="SAPBEXHLevel1X 27" xfId="53921"/>
    <cellStyle name="SAPBEXHLevel1X 28" xfId="53922"/>
    <cellStyle name="SAPBEXHLevel1X 29" xfId="53923"/>
    <cellStyle name="SAPBEXHLevel1X 3" xfId="53924"/>
    <cellStyle name="SAPBEXHLevel1X 3 2" xfId="53925"/>
    <cellStyle name="SAPBEXHLevel1X 4" xfId="53926"/>
    <cellStyle name="SAPBEXHLevel1X 5" xfId="53927"/>
    <cellStyle name="SAPBEXHLevel1X 5 2" xfId="53928"/>
    <cellStyle name="SAPBEXHLevel1X 6" xfId="53929"/>
    <cellStyle name="SAPBEXHLevel1X 7" xfId="53930"/>
    <cellStyle name="SAPBEXHLevel1X 8" xfId="53931"/>
    <cellStyle name="SAPBEXHLevel1X 9" xfId="53932"/>
    <cellStyle name="SAPBEXHLevel2" xfId="53933"/>
    <cellStyle name="SAPBEXHLevel2 10" xfId="53934"/>
    <cellStyle name="SAPBEXHLevel2 11" xfId="53935"/>
    <cellStyle name="SAPBEXHLevel2 12" xfId="53936"/>
    <cellStyle name="SAPBEXHLevel2 13" xfId="53937"/>
    <cellStyle name="SAPBEXHLevel2 14" xfId="53938"/>
    <cellStyle name="SAPBEXHLevel2 15" xfId="53939"/>
    <cellStyle name="SAPBEXHLevel2 16" xfId="53940"/>
    <cellStyle name="SAPBEXHLevel2 17" xfId="53941"/>
    <cellStyle name="SAPBEXHLevel2 18" xfId="53942"/>
    <cellStyle name="SAPBEXHLevel2 19" xfId="53943"/>
    <cellStyle name="SAPBEXHLevel2 2" xfId="53944"/>
    <cellStyle name="SAPBEXHLevel2 2 2" xfId="53945"/>
    <cellStyle name="SAPBEXHLevel2 2 3" xfId="53946"/>
    <cellStyle name="SAPBEXHLevel2 20" xfId="53947"/>
    <cellStyle name="SAPBEXHLevel2 21" xfId="53948"/>
    <cellStyle name="SAPBEXHLevel2 22" xfId="53949"/>
    <cellStyle name="SAPBEXHLevel2 3" xfId="53950"/>
    <cellStyle name="SAPBEXHLevel2 4" xfId="53951"/>
    <cellStyle name="SAPBEXHLevel2 5" xfId="53952"/>
    <cellStyle name="SAPBEXHLevel2 6" xfId="53953"/>
    <cellStyle name="SAPBEXHLevel2 7" xfId="53954"/>
    <cellStyle name="SAPBEXHLevel2 8" xfId="53955"/>
    <cellStyle name="SAPBEXHLevel2 9" xfId="53956"/>
    <cellStyle name="SAPBEXHLevel2X" xfId="53957"/>
    <cellStyle name="SAPBEXHLevel2X 10" xfId="53958"/>
    <cellStyle name="SAPBEXHLevel2X 11" xfId="53959"/>
    <cellStyle name="SAPBEXHLevel2X 12" xfId="53960"/>
    <cellStyle name="SAPBEXHLevel2X 13" xfId="53961"/>
    <cellStyle name="SAPBEXHLevel2X 14" xfId="53962"/>
    <cellStyle name="SAPBEXHLevel2X 15" xfId="53963"/>
    <cellStyle name="SAPBEXHLevel2X 16" xfId="53964"/>
    <cellStyle name="SAPBEXHLevel2X 17" xfId="53965"/>
    <cellStyle name="SAPBEXHLevel2X 18" xfId="53966"/>
    <cellStyle name="SAPBEXHLevel2X 19" xfId="53967"/>
    <cellStyle name="SAPBEXHLevel2X 2" xfId="53968"/>
    <cellStyle name="SAPBEXHLevel2X 2 2" xfId="53969"/>
    <cellStyle name="SAPBEXHLevel2X 2 3" xfId="53970"/>
    <cellStyle name="SAPBEXHLevel2X 20" xfId="53971"/>
    <cellStyle name="SAPBEXHLevel2X 21" xfId="53972"/>
    <cellStyle name="SAPBEXHLevel2X 22" xfId="53973"/>
    <cellStyle name="SAPBEXHLevel2X 23" xfId="53974"/>
    <cellStyle name="SAPBEXHLevel2X 24" xfId="53975"/>
    <cellStyle name="SAPBEXHLevel2X 25" xfId="53976"/>
    <cellStyle name="SAPBEXHLevel2X 26" xfId="53977"/>
    <cellStyle name="SAPBEXHLevel2X 27" xfId="53978"/>
    <cellStyle name="SAPBEXHLevel2X 28" xfId="53979"/>
    <cellStyle name="SAPBEXHLevel2X 3" xfId="53980"/>
    <cellStyle name="SAPBEXHLevel2X 3 2" xfId="53981"/>
    <cellStyle name="SAPBEXHLevel2X 4" xfId="53982"/>
    <cellStyle name="SAPBEXHLevel2X 5" xfId="53983"/>
    <cellStyle name="SAPBEXHLevel2X 6" xfId="53984"/>
    <cellStyle name="SAPBEXHLevel2X 7" xfId="53985"/>
    <cellStyle name="SAPBEXHLevel2X 8" xfId="53986"/>
    <cellStyle name="SAPBEXHLevel2X 9" xfId="53987"/>
    <cellStyle name="SAPBEXHLevel3" xfId="53988"/>
    <cellStyle name="SAPBEXHLevel3 10" xfId="53989"/>
    <cellStyle name="SAPBEXHLevel3 11" xfId="53990"/>
    <cellStyle name="SAPBEXHLevel3 12" xfId="53991"/>
    <cellStyle name="SAPBEXHLevel3 13" xfId="53992"/>
    <cellStyle name="SAPBEXHLevel3 14" xfId="53993"/>
    <cellStyle name="SAPBEXHLevel3 15" xfId="53994"/>
    <cellStyle name="SAPBEXHLevel3 16" xfId="53995"/>
    <cellStyle name="SAPBEXHLevel3 17" xfId="53996"/>
    <cellStyle name="SAPBEXHLevel3 18" xfId="53997"/>
    <cellStyle name="SAPBEXHLevel3 19" xfId="53998"/>
    <cellStyle name="SAPBEXHLevel3 2" xfId="53999"/>
    <cellStyle name="SAPBEXHLevel3 2 2" xfId="54000"/>
    <cellStyle name="SAPBEXHLevel3 2 3" xfId="54001"/>
    <cellStyle name="SAPBEXHLevel3 20" xfId="54002"/>
    <cellStyle name="SAPBEXHLevel3 21" xfId="54003"/>
    <cellStyle name="SAPBEXHLevel3 22" xfId="54004"/>
    <cellStyle name="SAPBEXHLevel3 3" xfId="54005"/>
    <cellStyle name="SAPBEXHLevel3 4" xfId="54006"/>
    <cellStyle name="SAPBEXHLevel3 5" xfId="54007"/>
    <cellStyle name="SAPBEXHLevel3 6" xfId="54008"/>
    <cellStyle name="SAPBEXHLevel3 7" xfId="54009"/>
    <cellStyle name="SAPBEXHLevel3 8" xfId="54010"/>
    <cellStyle name="SAPBEXHLevel3 9" xfId="54011"/>
    <cellStyle name="SAPBEXHLevel3X" xfId="54012"/>
    <cellStyle name="SAPBEXHLevel3X 10" xfId="54013"/>
    <cellStyle name="SAPBEXHLevel3X 11" xfId="54014"/>
    <cellStyle name="SAPBEXHLevel3X 12" xfId="54015"/>
    <cellStyle name="SAPBEXHLevel3X 13" xfId="54016"/>
    <cellStyle name="SAPBEXHLevel3X 14" xfId="54017"/>
    <cellStyle name="SAPBEXHLevel3X 15" xfId="54018"/>
    <cellStyle name="SAPBEXHLevel3X 16" xfId="54019"/>
    <cellStyle name="SAPBEXHLevel3X 17" xfId="54020"/>
    <cellStyle name="SAPBEXHLevel3X 18" xfId="54021"/>
    <cellStyle name="SAPBEXHLevel3X 19" xfId="54022"/>
    <cellStyle name="SAPBEXHLevel3X 2" xfId="54023"/>
    <cellStyle name="SAPBEXHLevel3X 2 2" xfId="54024"/>
    <cellStyle name="SAPBEXHLevel3X 2 3" xfId="54025"/>
    <cellStyle name="SAPBEXHLevel3X 20" xfId="54026"/>
    <cellStyle name="SAPBEXHLevel3X 21" xfId="54027"/>
    <cellStyle name="SAPBEXHLevel3X 22" xfId="54028"/>
    <cellStyle name="SAPBEXHLevel3X 23" xfId="54029"/>
    <cellStyle name="SAPBEXHLevel3X 24" xfId="54030"/>
    <cellStyle name="SAPBEXHLevel3X 25" xfId="54031"/>
    <cellStyle name="SAPBEXHLevel3X 26" xfId="54032"/>
    <cellStyle name="SAPBEXHLevel3X 27" xfId="54033"/>
    <cellStyle name="SAPBEXHLevel3X 28" xfId="54034"/>
    <cellStyle name="SAPBEXHLevel3X 3" xfId="54035"/>
    <cellStyle name="SAPBEXHLevel3X 3 2" xfId="54036"/>
    <cellStyle name="SAPBEXHLevel3X 4" xfId="54037"/>
    <cellStyle name="SAPBEXHLevel3X 5" xfId="54038"/>
    <cellStyle name="SAPBEXHLevel3X 6" xfId="54039"/>
    <cellStyle name="SAPBEXHLevel3X 7" xfId="54040"/>
    <cellStyle name="SAPBEXHLevel3X 8" xfId="54041"/>
    <cellStyle name="SAPBEXHLevel3X 9" xfId="54042"/>
    <cellStyle name="SAPBEXinputData" xfId="54043"/>
    <cellStyle name="SAPBEXinputData 10" xfId="54044"/>
    <cellStyle name="SAPBEXinputData 11" xfId="54045"/>
    <cellStyle name="SAPBEXinputData 12" xfId="54046"/>
    <cellStyle name="SAPBEXinputData 13" xfId="54047"/>
    <cellStyle name="SAPBEXinputData 14" xfId="54048"/>
    <cellStyle name="SAPBEXinputData 15" xfId="54049"/>
    <cellStyle name="SAPBEXinputData 16" xfId="54050"/>
    <cellStyle name="SAPBEXinputData 17" xfId="54051"/>
    <cellStyle name="SAPBEXinputData 18" xfId="54052"/>
    <cellStyle name="SAPBEXinputData 19" xfId="54053"/>
    <cellStyle name="SAPBEXinputData 2" xfId="54054"/>
    <cellStyle name="SAPBEXinputData 2 2" xfId="54055"/>
    <cellStyle name="SAPBEXinputData 2 3" xfId="54056"/>
    <cellStyle name="SAPBEXinputData 20" xfId="54057"/>
    <cellStyle name="SAPBEXinputData 21" xfId="54058"/>
    <cellStyle name="SAPBEXinputData 22" xfId="54059"/>
    <cellStyle name="SAPBEXinputData 23" xfId="54060"/>
    <cellStyle name="SAPBEXinputData 24" xfId="54061"/>
    <cellStyle name="SAPBEXinputData 25" xfId="54062"/>
    <cellStyle name="SAPBEXinputData 26" xfId="54063"/>
    <cellStyle name="SAPBEXinputData 27" xfId="54064"/>
    <cellStyle name="SAPBEXinputData 28" xfId="54065"/>
    <cellStyle name="SAPBEXinputData 29" xfId="54066"/>
    <cellStyle name="SAPBEXinputData 3" xfId="54067"/>
    <cellStyle name="SAPBEXinputData 4" xfId="54068"/>
    <cellStyle name="SAPBEXinputData 4 2" xfId="54069"/>
    <cellStyle name="SAPBEXinputData 5" xfId="54070"/>
    <cellStyle name="SAPBEXinputData 6" xfId="54071"/>
    <cellStyle name="SAPBEXinputData 7" xfId="54072"/>
    <cellStyle name="SAPBEXinputData 8" xfId="54073"/>
    <cellStyle name="SAPBEXinputData 9" xfId="54074"/>
    <cellStyle name="SAPBEXItemHeader" xfId="54075"/>
    <cellStyle name="SAPBEXItemHeader 2" xfId="54076"/>
    <cellStyle name="SAPBEXresData" xfId="54077"/>
    <cellStyle name="SAPBEXresData 2" xfId="54078"/>
    <cellStyle name="SAPBEXresDataEmph" xfId="54079"/>
    <cellStyle name="SAPBEXresDataEmph 10" xfId="54080"/>
    <cellStyle name="SAPBEXresDataEmph 11" xfId="54081"/>
    <cellStyle name="SAPBEXresDataEmph 12" xfId="54082"/>
    <cellStyle name="SAPBEXresDataEmph 13" xfId="54083"/>
    <cellStyle name="SAPBEXresDataEmph 14" xfId="54084"/>
    <cellStyle name="SAPBEXresDataEmph 2" xfId="54085"/>
    <cellStyle name="SAPBEXresDataEmph 3" xfId="54086"/>
    <cellStyle name="SAPBEXresDataEmph 4" xfId="54087"/>
    <cellStyle name="SAPBEXresDataEmph 5" xfId="54088"/>
    <cellStyle name="SAPBEXresDataEmph 6" xfId="54089"/>
    <cellStyle name="SAPBEXresDataEmph 7" xfId="54090"/>
    <cellStyle name="SAPBEXresDataEmph 8" xfId="54091"/>
    <cellStyle name="SAPBEXresDataEmph 9" xfId="54092"/>
    <cellStyle name="SAPBEXresExc1" xfId="54093"/>
    <cellStyle name="SAPBEXresExc1Emph" xfId="54094"/>
    <cellStyle name="SAPBEXresExc2" xfId="54095"/>
    <cellStyle name="SAPBEXresExc2Emph" xfId="54096"/>
    <cellStyle name="SAPBEXresItem" xfId="54097"/>
    <cellStyle name="SAPBEXresItem 10" xfId="54098"/>
    <cellStyle name="SAPBEXresItem 11" xfId="54099"/>
    <cellStyle name="SAPBEXresItem 12" xfId="54100"/>
    <cellStyle name="SAPBEXresItem 13" xfId="54101"/>
    <cellStyle name="SAPBEXresItem 14" xfId="54102"/>
    <cellStyle name="SAPBEXresItem 2" xfId="54103"/>
    <cellStyle name="SAPBEXresItem 3" xfId="54104"/>
    <cellStyle name="SAPBEXresItem 4" xfId="54105"/>
    <cellStyle name="SAPBEXresItem 5" xfId="54106"/>
    <cellStyle name="SAPBEXresItem 6" xfId="54107"/>
    <cellStyle name="SAPBEXresItem 7" xfId="54108"/>
    <cellStyle name="SAPBEXresItem 8" xfId="54109"/>
    <cellStyle name="SAPBEXresItem 9" xfId="54110"/>
    <cellStyle name="SAPBEXresItemX" xfId="54111"/>
    <cellStyle name="SAPBEXresItemX 2" xfId="54112"/>
    <cellStyle name="SAPBEXstdData" xfId="54113"/>
    <cellStyle name="SAPBEXstdData 10" xfId="54114"/>
    <cellStyle name="SAPBEXstdData 11" xfId="54115"/>
    <cellStyle name="SAPBEXstdData 12" xfId="54116"/>
    <cellStyle name="SAPBEXstdData 13" xfId="54117"/>
    <cellStyle name="SAPBEXstdData 14" xfId="54118"/>
    <cellStyle name="SAPBEXstdData 2" xfId="54119"/>
    <cellStyle name="SAPBEXstdData 2 10" xfId="54120"/>
    <cellStyle name="SAPBEXstdData 2 11" xfId="54121"/>
    <cellStyle name="SAPBEXstdData 2 12" xfId="54122"/>
    <cellStyle name="SAPBEXstdData 2 13" xfId="54123"/>
    <cellStyle name="SAPBEXstdData 2 14" xfId="54124"/>
    <cellStyle name="SAPBEXstdData 2 15" xfId="54125"/>
    <cellStyle name="SAPBEXstdData 2 16" xfId="54126"/>
    <cellStyle name="SAPBEXstdData 2 17" xfId="54127"/>
    <cellStyle name="SAPBEXstdData 2 18" xfId="54128"/>
    <cellStyle name="SAPBEXstdData 2 19" xfId="54129"/>
    <cellStyle name="SAPBEXstdData 2 2" xfId="54130"/>
    <cellStyle name="SAPBEXstdData 2 2 2" xfId="54131"/>
    <cellStyle name="SAPBEXstdData 2 2 3" xfId="54132"/>
    <cellStyle name="SAPBEXstdData 2 2 4" xfId="54133"/>
    <cellStyle name="SAPBEXstdData 2 2 5" xfId="54134"/>
    <cellStyle name="SAPBEXstdData 2 2 6" xfId="54135"/>
    <cellStyle name="SAPBEXstdData 2 2 7" xfId="54136"/>
    <cellStyle name="SAPBEXstdData 2 2 8" xfId="54137"/>
    <cellStyle name="SAPBEXstdData 2 2 9" xfId="54138"/>
    <cellStyle name="SAPBEXstdData 2 20" xfId="54139"/>
    <cellStyle name="SAPBEXstdData 2 21" xfId="54140"/>
    <cellStyle name="SAPBEXstdData 2 3" xfId="54141"/>
    <cellStyle name="SAPBEXstdData 2 4" xfId="54142"/>
    <cellStyle name="SAPBEXstdData 2 5" xfId="54143"/>
    <cellStyle name="SAPBEXstdData 2 6" xfId="54144"/>
    <cellStyle name="SAPBEXstdData 2 7" xfId="54145"/>
    <cellStyle name="SAPBEXstdData 2 8" xfId="54146"/>
    <cellStyle name="SAPBEXstdData 2 9" xfId="54147"/>
    <cellStyle name="SAPBEXstdData 3" xfId="54148"/>
    <cellStyle name="SAPBEXstdData 3 10" xfId="54149"/>
    <cellStyle name="SAPBEXstdData 3 11" xfId="54150"/>
    <cellStyle name="SAPBEXstdData 3 12" xfId="54151"/>
    <cellStyle name="SAPBEXstdData 3 13" xfId="54152"/>
    <cellStyle name="SAPBEXstdData 3 14" xfId="54153"/>
    <cellStyle name="SAPBEXstdData 3 15" xfId="54154"/>
    <cellStyle name="SAPBEXstdData 3 16" xfId="54155"/>
    <cellStyle name="SAPBEXstdData 3 17" xfId="54156"/>
    <cellStyle name="SAPBEXstdData 3 18" xfId="54157"/>
    <cellStyle name="SAPBEXstdData 3 2" xfId="54158"/>
    <cellStyle name="SAPBEXstdData 3 2 2" xfId="54159"/>
    <cellStyle name="SAPBEXstdData 3 2 3" xfId="54160"/>
    <cellStyle name="SAPBEXstdData 3 2 4" xfId="54161"/>
    <cellStyle name="SAPBEXstdData 3 2 5" xfId="54162"/>
    <cellStyle name="SAPBEXstdData 3 2 6" xfId="54163"/>
    <cellStyle name="SAPBEXstdData 3 2 7" xfId="54164"/>
    <cellStyle name="SAPBEXstdData 3 2 8" xfId="54165"/>
    <cellStyle name="SAPBEXstdData 3 2 9" xfId="54166"/>
    <cellStyle name="SAPBEXstdData 3 3" xfId="54167"/>
    <cellStyle name="SAPBEXstdData 3 4" xfId="54168"/>
    <cellStyle name="SAPBEXstdData 3 5" xfId="54169"/>
    <cellStyle name="SAPBEXstdData 3 6" xfId="54170"/>
    <cellStyle name="SAPBEXstdData 3 7" xfId="54171"/>
    <cellStyle name="SAPBEXstdData 3 8" xfId="54172"/>
    <cellStyle name="SAPBEXstdData 3 9" xfId="54173"/>
    <cellStyle name="SAPBEXstdData 4" xfId="54174"/>
    <cellStyle name="SAPBEXstdData 4 10" xfId="54175"/>
    <cellStyle name="SAPBEXstdData 4 11" xfId="54176"/>
    <cellStyle name="SAPBEXstdData 4 12" xfId="54177"/>
    <cellStyle name="SAPBEXstdData 4 13" xfId="54178"/>
    <cellStyle name="SAPBEXstdData 4 14" xfId="54179"/>
    <cellStyle name="SAPBEXstdData 4 15" xfId="54180"/>
    <cellStyle name="SAPBEXstdData 4 16" xfId="54181"/>
    <cellStyle name="SAPBEXstdData 4 17" xfId="54182"/>
    <cellStyle name="SAPBEXstdData 4 18" xfId="54183"/>
    <cellStyle name="SAPBEXstdData 4 2" xfId="54184"/>
    <cellStyle name="SAPBEXstdData 4 2 2" xfId="54185"/>
    <cellStyle name="SAPBEXstdData 4 2 3" xfId="54186"/>
    <cellStyle name="SAPBEXstdData 4 2 4" xfId="54187"/>
    <cellStyle name="SAPBEXstdData 4 2 5" xfId="54188"/>
    <cellStyle name="SAPBEXstdData 4 2 6" xfId="54189"/>
    <cellStyle name="SAPBEXstdData 4 2 7" xfId="54190"/>
    <cellStyle name="SAPBEXstdData 4 2 8" xfId="54191"/>
    <cellStyle name="SAPBEXstdData 4 2 9" xfId="54192"/>
    <cellStyle name="SAPBEXstdData 4 3" xfId="54193"/>
    <cellStyle name="SAPBEXstdData 4 4" xfId="54194"/>
    <cellStyle name="SAPBEXstdData 4 5" xfId="54195"/>
    <cellStyle name="SAPBEXstdData 4 6" xfId="54196"/>
    <cellStyle name="SAPBEXstdData 4 7" xfId="54197"/>
    <cellStyle name="SAPBEXstdData 4 8" xfId="54198"/>
    <cellStyle name="SAPBEXstdData 4 9" xfId="54199"/>
    <cellStyle name="SAPBEXstdData 5" xfId="54200"/>
    <cellStyle name="SAPBEXstdData 6" xfId="54201"/>
    <cellStyle name="SAPBEXstdData 7" xfId="54202"/>
    <cellStyle name="SAPBEXstdData 8" xfId="54203"/>
    <cellStyle name="SAPBEXstdData 9" xfId="54204"/>
    <cellStyle name="SAPBEXstdDataEmph" xfId="54205"/>
    <cellStyle name="SAPBEXstdDataEmph 10" xfId="54206"/>
    <cellStyle name="SAPBEXstdDataEmph 11" xfId="54207"/>
    <cellStyle name="SAPBEXstdDataEmph 12" xfId="54208"/>
    <cellStyle name="SAPBEXstdDataEmph 13" xfId="54209"/>
    <cellStyle name="SAPBEXstdDataEmph 14" xfId="54210"/>
    <cellStyle name="SAPBEXstdDataEmph 15" xfId="54211"/>
    <cellStyle name="SAPBEXstdDataEmph 2" xfId="54212"/>
    <cellStyle name="SAPBEXstdDataEmph 2 2" xfId="54213"/>
    <cellStyle name="SAPBEXstdDataEmph 3" xfId="54214"/>
    <cellStyle name="SAPBEXstdDataEmph 4" xfId="54215"/>
    <cellStyle name="SAPBEXstdDataEmph 5" xfId="54216"/>
    <cellStyle name="SAPBEXstdDataEmph 6" xfId="54217"/>
    <cellStyle name="SAPBEXstdDataEmph 7" xfId="54218"/>
    <cellStyle name="SAPBEXstdDataEmph 8" xfId="54219"/>
    <cellStyle name="SAPBEXstdDataEmph 9" xfId="54220"/>
    <cellStyle name="SAPBEXstdExc1" xfId="54221"/>
    <cellStyle name="SAPBEXstdExc1Emph" xfId="54222"/>
    <cellStyle name="SAPBEXstdExc2" xfId="54223"/>
    <cellStyle name="SAPBEXstdExc2Emph" xfId="54224"/>
    <cellStyle name="SAPBEXstdItem" xfId="54225"/>
    <cellStyle name="SAPBEXstdItem 10" xfId="54226"/>
    <cellStyle name="SAPBEXstdItem 11" xfId="54227"/>
    <cellStyle name="SAPBEXstdItem 12" xfId="54228"/>
    <cellStyle name="SAPBEXstdItem 13" xfId="54229"/>
    <cellStyle name="SAPBEXstdItem 14" xfId="54230"/>
    <cellStyle name="SAPBEXstdItem 2" xfId="54231"/>
    <cellStyle name="SAPBEXstdItem 2 2" xfId="54232"/>
    <cellStyle name="SAPBEXstdItem 3" xfId="54233"/>
    <cellStyle name="SAPBEXstdItem 4" xfId="54234"/>
    <cellStyle name="SAPBEXstdItem 5" xfId="54235"/>
    <cellStyle name="SAPBEXstdItem 6" xfId="54236"/>
    <cellStyle name="SAPBEXstdItem 7" xfId="54237"/>
    <cellStyle name="SAPBEXstdItem 8" xfId="54238"/>
    <cellStyle name="SAPBEXstdItem 9" xfId="54239"/>
    <cellStyle name="SAPBEXstdItemHeader" xfId="54240"/>
    <cellStyle name="SAPBEXstdItemHeader 2" xfId="54241"/>
    <cellStyle name="SAPBEXstdItemLeft" xfId="54242"/>
    <cellStyle name="SAPBEXstdItemLeft 2" xfId="54243"/>
    <cellStyle name="SAPBEXstdItemLeftChart" xfId="54244"/>
    <cellStyle name="SAPBEXstdItemLeftChart 2" xfId="54245"/>
    <cellStyle name="SAPBEXstdItemX" xfId="54246"/>
    <cellStyle name="SAPBEXstdItemX 2" xfId="54247"/>
    <cellStyle name="SAPBEXsubData" xfId="54248"/>
    <cellStyle name="SAPBEXsubData 2" xfId="54249"/>
    <cellStyle name="SAPBEXsubDataEmph" xfId="54250"/>
    <cellStyle name="SAPBEXsubExc1" xfId="54251"/>
    <cellStyle name="SAPBEXsubExc1Emph" xfId="54252"/>
    <cellStyle name="SAPBEXsubExc2" xfId="54253"/>
    <cellStyle name="SAPBEXsubExc2Emph" xfId="54254"/>
    <cellStyle name="SAPBEXsubItem" xfId="54255"/>
    <cellStyle name="SAPBEXsubItem 2" xfId="54256"/>
    <cellStyle name="SAPBEXtitle" xfId="54257"/>
    <cellStyle name="SAPBEXtitle 10" xfId="54258"/>
    <cellStyle name="SAPBEXtitle 11" xfId="54259"/>
    <cellStyle name="SAPBEXtitle 12" xfId="54260"/>
    <cellStyle name="SAPBEXtitle 13" xfId="54261"/>
    <cellStyle name="SAPBEXtitle 14" xfId="54262"/>
    <cellStyle name="SAPBEXtitle 15" xfId="54263"/>
    <cellStyle name="SAPBEXtitle 16" xfId="54264"/>
    <cellStyle name="SAPBEXtitle 17" xfId="54265"/>
    <cellStyle name="SAPBEXtitle 18" xfId="54266"/>
    <cellStyle name="SAPBEXtitle 19" xfId="54267"/>
    <cellStyle name="SAPBEXtitle 2" xfId="54268"/>
    <cellStyle name="SAPBEXtitle 2 2" xfId="54269"/>
    <cellStyle name="SAPBEXtitle 20" xfId="54270"/>
    <cellStyle name="SAPBEXtitle 21" xfId="54271"/>
    <cellStyle name="SAPBEXtitle 22" xfId="54272"/>
    <cellStyle name="SAPBEXtitle 3" xfId="54273"/>
    <cellStyle name="SAPBEXtitle 4" xfId="54274"/>
    <cellStyle name="SAPBEXtitle 5" xfId="54275"/>
    <cellStyle name="SAPBEXtitle 6" xfId="54276"/>
    <cellStyle name="SAPBEXtitle 7" xfId="54277"/>
    <cellStyle name="SAPBEXtitle 8" xfId="54278"/>
    <cellStyle name="SAPBEXtitle 9" xfId="54279"/>
    <cellStyle name="SAPBEXunassignedItem" xfId="54280"/>
    <cellStyle name="SAPBEXunassignedItem 2" xfId="54281"/>
    <cellStyle name="SAPBEXunassignedItem 3" xfId="54282"/>
    <cellStyle name="SAPBEXundefined" xfId="54283"/>
    <cellStyle name="SAPBEXundefined 10" xfId="54284"/>
    <cellStyle name="SAPBEXundefined 11" xfId="54285"/>
    <cellStyle name="SAPBEXundefined 12" xfId="54286"/>
    <cellStyle name="SAPBEXundefined 13" xfId="54287"/>
    <cellStyle name="SAPBEXundefined 14" xfId="54288"/>
    <cellStyle name="SAPBEXundefined 2" xfId="54289"/>
    <cellStyle name="SAPBEXundefined 3" xfId="54290"/>
    <cellStyle name="SAPBEXundefined 4" xfId="54291"/>
    <cellStyle name="SAPBEXundefined 5" xfId="54292"/>
    <cellStyle name="SAPBEXundefined 6" xfId="54293"/>
    <cellStyle name="SAPBEXundefined 7" xfId="54294"/>
    <cellStyle name="SAPBEXundefined 8" xfId="54295"/>
    <cellStyle name="SAPBEXundefined 9" xfId="54296"/>
    <cellStyle name="Serguei" xfId="54297"/>
    <cellStyle name="Serguei 2" xfId="54298"/>
    <cellStyle name="Serguei 2 10" xfId="54299"/>
    <cellStyle name="Serguei 2 11" xfId="54300"/>
    <cellStyle name="Serguei 2 12" xfId="54301"/>
    <cellStyle name="Serguei 2 13" xfId="54302"/>
    <cellStyle name="Serguei 2 14" xfId="54303"/>
    <cellStyle name="Serguei 2 15" xfId="54304"/>
    <cellStyle name="Serguei 2 16" xfId="54305"/>
    <cellStyle name="Serguei 2 17" xfId="54306"/>
    <cellStyle name="Serguei 2 18" xfId="54307"/>
    <cellStyle name="Serguei 2 19" xfId="54308"/>
    <cellStyle name="Serguei 2 2" xfId="54309"/>
    <cellStyle name="Serguei 2 2 2" xfId="54310"/>
    <cellStyle name="Serguei 2 2 3" xfId="54311"/>
    <cellStyle name="Serguei 2 2 4" xfId="54312"/>
    <cellStyle name="Serguei 2 2 5" xfId="54313"/>
    <cellStyle name="Serguei 2 2 6" xfId="54314"/>
    <cellStyle name="Serguei 2 2 7" xfId="54315"/>
    <cellStyle name="Serguei 2 2 8" xfId="54316"/>
    <cellStyle name="Serguei 2 2 9" xfId="54317"/>
    <cellStyle name="Serguei 2 3" xfId="54318"/>
    <cellStyle name="Serguei 2 4" xfId="54319"/>
    <cellStyle name="Serguei 2 5" xfId="54320"/>
    <cellStyle name="Serguei 2 6" xfId="54321"/>
    <cellStyle name="Serguei 2 7" xfId="54322"/>
    <cellStyle name="Serguei 2 8" xfId="54323"/>
    <cellStyle name="Serguei 2 9" xfId="54324"/>
    <cellStyle name="Serguei 3" xfId="54325"/>
    <cellStyle name="Serguei 3 10" xfId="54326"/>
    <cellStyle name="Serguei 3 11" xfId="54327"/>
    <cellStyle name="Serguei 3 12" xfId="54328"/>
    <cellStyle name="Serguei 3 13" xfId="54329"/>
    <cellStyle name="Serguei 3 14" xfId="54330"/>
    <cellStyle name="Serguei 3 15" xfId="54331"/>
    <cellStyle name="Serguei 3 16" xfId="54332"/>
    <cellStyle name="Serguei 3 17" xfId="54333"/>
    <cellStyle name="Serguei 3 18" xfId="54334"/>
    <cellStyle name="Serguei 3 19" xfId="54335"/>
    <cellStyle name="Serguei 3 2" xfId="54336"/>
    <cellStyle name="Serguei 3 2 2" xfId="54337"/>
    <cellStyle name="Serguei 3 2 3" xfId="54338"/>
    <cellStyle name="Serguei 3 2 4" xfId="54339"/>
    <cellStyle name="Serguei 3 2 5" xfId="54340"/>
    <cellStyle name="Serguei 3 2 6" xfId="54341"/>
    <cellStyle name="Serguei 3 2 7" xfId="54342"/>
    <cellStyle name="Serguei 3 2 8" xfId="54343"/>
    <cellStyle name="Serguei 3 2 9" xfId="54344"/>
    <cellStyle name="Serguei 3 3" xfId="54345"/>
    <cellStyle name="Serguei 3 4" xfId="54346"/>
    <cellStyle name="Serguei 3 5" xfId="54347"/>
    <cellStyle name="Serguei 3 6" xfId="54348"/>
    <cellStyle name="Serguei 3 7" xfId="54349"/>
    <cellStyle name="Serguei 3 8" xfId="54350"/>
    <cellStyle name="Serguei 3 9" xfId="54351"/>
    <cellStyle name="Serguei 4" xfId="54352"/>
    <cellStyle name="Serguei 4 10" xfId="54353"/>
    <cellStyle name="Serguei 4 11" xfId="54354"/>
    <cellStyle name="Serguei 4 12" xfId="54355"/>
    <cellStyle name="Serguei 4 13" xfId="54356"/>
    <cellStyle name="Serguei 4 14" xfId="54357"/>
    <cellStyle name="Serguei 4 15" xfId="54358"/>
    <cellStyle name="Serguei 4 16" xfId="54359"/>
    <cellStyle name="Serguei 4 17" xfId="54360"/>
    <cellStyle name="Serguei 4 18" xfId="54361"/>
    <cellStyle name="Serguei 4 19" xfId="54362"/>
    <cellStyle name="Serguei 4 2" xfId="54363"/>
    <cellStyle name="Serguei 4 2 2" xfId="54364"/>
    <cellStyle name="Serguei 4 2 3" xfId="54365"/>
    <cellStyle name="Serguei 4 2 4" xfId="54366"/>
    <cellStyle name="Serguei 4 2 5" xfId="54367"/>
    <cellStyle name="Serguei 4 2 6" xfId="54368"/>
    <cellStyle name="Serguei 4 2 7" xfId="54369"/>
    <cellStyle name="Serguei 4 2 8" xfId="54370"/>
    <cellStyle name="Serguei 4 2 9" xfId="54371"/>
    <cellStyle name="Serguei 4 3" xfId="54372"/>
    <cellStyle name="Serguei 4 4" xfId="54373"/>
    <cellStyle name="Serguei 4 5" xfId="54374"/>
    <cellStyle name="Serguei 4 6" xfId="54375"/>
    <cellStyle name="Serguei 4 7" xfId="54376"/>
    <cellStyle name="Serguei 4 8" xfId="54377"/>
    <cellStyle name="Serguei 4 9" xfId="54378"/>
    <cellStyle name="Serguei 5" xfId="54379"/>
    <cellStyle name="ServiceCells" xfId="54380"/>
    <cellStyle name="Shade" xfId="54381"/>
    <cellStyle name="Sheet Title" xfId="54382"/>
    <cellStyle name="Sheet Title 10" xfId="54383"/>
    <cellStyle name="Sheet Title 11" xfId="54384"/>
    <cellStyle name="Sheet Title 12" xfId="54385"/>
    <cellStyle name="Sheet Title 13" xfId="54386"/>
    <cellStyle name="Sheet Title 14" xfId="54387"/>
    <cellStyle name="Sheet Title 15" xfId="54388"/>
    <cellStyle name="Sheet Title 16" xfId="54389"/>
    <cellStyle name="Sheet Title 17" xfId="54390"/>
    <cellStyle name="Sheet Title 18" xfId="54391"/>
    <cellStyle name="Sheet Title 19" xfId="54392"/>
    <cellStyle name="Sheet Title 2" xfId="54393"/>
    <cellStyle name="Sheet Title 20" xfId="54394"/>
    <cellStyle name="Sheet Title 3" xfId="54395"/>
    <cellStyle name="Sheet Title 4" xfId="54396"/>
    <cellStyle name="Sheet Title 5" xfId="54397"/>
    <cellStyle name="Sheet Title 6" xfId="54398"/>
    <cellStyle name="Sheet Title 7" xfId="54399"/>
    <cellStyle name="Sheet Title 8" xfId="54400"/>
    <cellStyle name="Sheet Title 9" xfId="54401"/>
    <cellStyle name="Single Accounting" xfId="54402"/>
    <cellStyle name="small" xfId="54403"/>
    <cellStyle name="Standard" xfId="54404"/>
    <cellStyle name="Style 1" xfId="54405"/>
    <cellStyle name="Style 100" xfId="54406"/>
    <cellStyle name="Style 101" xfId="54407"/>
    <cellStyle name="Style 102" xfId="54408"/>
    <cellStyle name="Style 103" xfId="54409"/>
    <cellStyle name="Style 104" xfId="54410"/>
    <cellStyle name="Style 105" xfId="54411"/>
    <cellStyle name="Style 106" xfId="54412"/>
    <cellStyle name="Style 107" xfId="54413"/>
    <cellStyle name="Style 108" xfId="54414"/>
    <cellStyle name="Style 109" xfId="54415"/>
    <cellStyle name="Style 110" xfId="54416"/>
    <cellStyle name="Style 111" xfId="54417"/>
    <cellStyle name="Style 112" xfId="54418"/>
    <cellStyle name="Style 113" xfId="54419"/>
    <cellStyle name="Style 114" xfId="54420"/>
    <cellStyle name="Style 115" xfId="54421"/>
    <cellStyle name="Style 116" xfId="54422"/>
    <cellStyle name="Style 117" xfId="54423"/>
    <cellStyle name="Style 118" xfId="54424"/>
    <cellStyle name="Style 119" xfId="54425"/>
    <cellStyle name="Style 120" xfId="54426"/>
    <cellStyle name="Style 121" xfId="54427"/>
    <cellStyle name="Style 122" xfId="54428"/>
    <cellStyle name="Style 123" xfId="54429"/>
    <cellStyle name="Style 124" xfId="54430"/>
    <cellStyle name="Style 125" xfId="54431"/>
    <cellStyle name="Style 126" xfId="54432"/>
    <cellStyle name="Style 127" xfId="54433"/>
    <cellStyle name="Style 128" xfId="54434"/>
    <cellStyle name="Style 129" xfId="54435"/>
    <cellStyle name="Style 130" xfId="54436"/>
    <cellStyle name="Style 131" xfId="54437"/>
    <cellStyle name="Style 132" xfId="54438"/>
    <cellStyle name="Style 133" xfId="54439"/>
    <cellStyle name="Style 134" xfId="54440"/>
    <cellStyle name="Style 135" xfId="54441"/>
    <cellStyle name="Style 136" xfId="54442"/>
    <cellStyle name="Style 137" xfId="54443"/>
    <cellStyle name="Style 138" xfId="54444"/>
    <cellStyle name="Style 139" xfId="54445"/>
    <cellStyle name="Style 140" xfId="54446"/>
    <cellStyle name="Style 141" xfId="54447"/>
    <cellStyle name="Style 142" xfId="54448"/>
    <cellStyle name="Style 143" xfId="54449"/>
    <cellStyle name="Style 144" xfId="54450"/>
    <cellStyle name="Style 145" xfId="54451"/>
    <cellStyle name="Style 146" xfId="54452"/>
    <cellStyle name="Style 147" xfId="54453"/>
    <cellStyle name="Style 148" xfId="54454"/>
    <cellStyle name="Style 149" xfId="54455"/>
    <cellStyle name="Style 150" xfId="54456"/>
    <cellStyle name="Style 151" xfId="54457"/>
    <cellStyle name="Style 152" xfId="54458"/>
    <cellStyle name="Style 153" xfId="54459"/>
    <cellStyle name="Style 154" xfId="54460"/>
    <cellStyle name="Style 155" xfId="54461"/>
    <cellStyle name="Style 156" xfId="54462"/>
    <cellStyle name="Style 157" xfId="54463"/>
    <cellStyle name="Style 158" xfId="54464"/>
    <cellStyle name="Style 159" xfId="54465"/>
    <cellStyle name="Style 160" xfId="54466"/>
    <cellStyle name="Style 161" xfId="54467"/>
    <cellStyle name="Style 162" xfId="54468"/>
    <cellStyle name="Style 164" xfId="54469"/>
    <cellStyle name="Style 166" xfId="54470"/>
    <cellStyle name="Style 168" xfId="54471"/>
    <cellStyle name="Style 170" xfId="54472"/>
    <cellStyle name="Style 172" xfId="54473"/>
    <cellStyle name="Style 174" xfId="54474"/>
    <cellStyle name="Style 176" xfId="54475"/>
    <cellStyle name="Style 21" xfId="54476"/>
    <cellStyle name="Style 22" xfId="54477"/>
    <cellStyle name="Style 23" xfId="54478"/>
    <cellStyle name="Style 24" xfId="54479"/>
    <cellStyle name="Style 25" xfId="54480"/>
    <cellStyle name="Style 26" xfId="54481"/>
    <cellStyle name="Style 27" xfId="54482"/>
    <cellStyle name="Style 28" xfId="54483"/>
    <cellStyle name="Style 29" xfId="54484"/>
    <cellStyle name="Style 30" xfId="54485"/>
    <cellStyle name="Style 31" xfId="54486"/>
    <cellStyle name="Style 35" xfId="54487"/>
    <cellStyle name="Style 36" xfId="54488"/>
    <cellStyle name="Style 41" xfId="54489"/>
    <cellStyle name="Style 42" xfId="54490"/>
    <cellStyle name="Style 43" xfId="54491"/>
    <cellStyle name="Style 44" xfId="54492"/>
    <cellStyle name="Style 45" xfId="54493"/>
    <cellStyle name="Style 46" xfId="54494"/>
    <cellStyle name="Style 47" xfId="54495"/>
    <cellStyle name="Style 48" xfId="54496"/>
    <cellStyle name="Style 49" xfId="54497"/>
    <cellStyle name="Style 50" xfId="54498"/>
    <cellStyle name="Style 56" xfId="54499"/>
    <cellStyle name="Style 58" xfId="54500"/>
    <cellStyle name="Style 60" xfId="54501"/>
    <cellStyle name="Style 62" xfId="54502"/>
    <cellStyle name="Style 63" xfId="54503"/>
    <cellStyle name="Style 64" xfId="54504"/>
    <cellStyle name="Style 65" xfId="54505"/>
    <cellStyle name="Style 66" xfId="54506"/>
    <cellStyle name="Style 67" xfId="54507"/>
    <cellStyle name="Style 68" xfId="54508"/>
    <cellStyle name="Style 69" xfId="54509"/>
    <cellStyle name="Style 70" xfId="54510"/>
    <cellStyle name="Style 71" xfId="54511"/>
    <cellStyle name="Style 72" xfId="54512"/>
    <cellStyle name="Style 73" xfId="54513"/>
    <cellStyle name="Style 74" xfId="54514"/>
    <cellStyle name="Style 82" xfId="54515"/>
    <cellStyle name="Style 83" xfId="54516"/>
    <cellStyle name="Style 84" xfId="54517"/>
    <cellStyle name="Style 85" xfId="54518"/>
    <cellStyle name="Style 86" xfId="54519"/>
    <cellStyle name="Style 87" xfId="54520"/>
    <cellStyle name="Style 88" xfId="54521"/>
    <cellStyle name="Style 89" xfId="54522"/>
    <cellStyle name="Style 90" xfId="54523"/>
    <cellStyle name="Style 91" xfId="54524"/>
    <cellStyle name="Style 92" xfId="54525"/>
    <cellStyle name="Style 93" xfId="54526"/>
    <cellStyle name="Style 94" xfId="54527"/>
    <cellStyle name="Style 95" xfId="54528"/>
    <cellStyle name="Style 96" xfId="54529"/>
    <cellStyle name="Style 97" xfId="54530"/>
    <cellStyle name="Style 98" xfId="54531"/>
    <cellStyle name="Style 99" xfId="54532"/>
    <cellStyle name="STYLE1 - Style1" xfId="54533"/>
    <cellStyle name="STYLE1 - Style1 2" xfId="54534"/>
    <cellStyle name="STYLE1 - Style1 2 10" xfId="54535"/>
    <cellStyle name="STYLE1 - Style1 2 11" xfId="54536"/>
    <cellStyle name="STYLE1 - Style1 2 12" xfId="54537"/>
    <cellStyle name="STYLE1 - Style1 2 13" xfId="54538"/>
    <cellStyle name="STYLE1 - Style1 2 14" xfId="54539"/>
    <cellStyle name="STYLE1 - Style1 2 15" xfId="54540"/>
    <cellStyle name="STYLE1 - Style1 2 16" xfId="54541"/>
    <cellStyle name="STYLE1 - Style1 2 17" xfId="54542"/>
    <cellStyle name="STYLE1 - Style1 2 18" xfId="54543"/>
    <cellStyle name="STYLE1 - Style1 2 19" xfId="54544"/>
    <cellStyle name="STYLE1 - Style1 2 2" xfId="54545"/>
    <cellStyle name="STYLE1 - Style1 2 2 2" xfId="54546"/>
    <cellStyle name="STYLE1 - Style1 2 2 3" xfId="54547"/>
    <cellStyle name="STYLE1 - Style1 2 2 4" xfId="54548"/>
    <cellStyle name="STYLE1 - Style1 2 2 5" xfId="54549"/>
    <cellStyle name="STYLE1 - Style1 2 2 6" xfId="54550"/>
    <cellStyle name="STYLE1 - Style1 2 2 7" xfId="54551"/>
    <cellStyle name="STYLE1 - Style1 2 2 8" xfId="54552"/>
    <cellStyle name="STYLE1 - Style1 2 2 9" xfId="54553"/>
    <cellStyle name="STYLE1 - Style1 2 3" xfId="54554"/>
    <cellStyle name="STYLE1 - Style1 2 4" xfId="54555"/>
    <cellStyle name="STYLE1 - Style1 2 5" xfId="54556"/>
    <cellStyle name="STYLE1 - Style1 2 6" xfId="54557"/>
    <cellStyle name="STYLE1 - Style1 2 7" xfId="54558"/>
    <cellStyle name="STYLE1 - Style1 2 8" xfId="54559"/>
    <cellStyle name="STYLE1 - Style1 2 9" xfId="54560"/>
    <cellStyle name="STYLE1 - Style1 3" xfId="54561"/>
    <cellStyle name="STYLE1 - Style1 3 10" xfId="54562"/>
    <cellStyle name="STYLE1 - Style1 3 11" xfId="54563"/>
    <cellStyle name="STYLE1 - Style1 3 12" xfId="54564"/>
    <cellStyle name="STYLE1 - Style1 3 13" xfId="54565"/>
    <cellStyle name="STYLE1 - Style1 3 14" xfId="54566"/>
    <cellStyle name="STYLE1 - Style1 3 15" xfId="54567"/>
    <cellStyle name="STYLE1 - Style1 3 16" xfId="54568"/>
    <cellStyle name="STYLE1 - Style1 3 17" xfId="54569"/>
    <cellStyle name="STYLE1 - Style1 3 18" xfId="54570"/>
    <cellStyle name="STYLE1 - Style1 3 19" xfId="54571"/>
    <cellStyle name="STYLE1 - Style1 3 2" xfId="54572"/>
    <cellStyle name="STYLE1 - Style1 3 2 2" xfId="54573"/>
    <cellStyle name="STYLE1 - Style1 3 2 3" xfId="54574"/>
    <cellStyle name="STYLE1 - Style1 3 2 4" xfId="54575"/>
    <cellStyle name="STYLE1 - Style1 3 2 5" xfId="54576"/>
    <cellStyle name="STYLE1 - Style1 3 2 6" xfId="54577"/>
    <cellStyle name="STYLE1 - Style1 3 2 7" xfId="54578"/>
    <cellStyle name="STYLE1 - Style1 3 2 8" xfId="54579"/>
    <cellStyle name="STYLE1 - Style1 3 2 9" xfId="54580"/>
    <cellStyle name="STYLE1 - Style1 3 3" xfId="54581"/>
    <cellStyle name="STYLE1 - Style1 3 4" xfId="54582"/>
    <cellStyle name="STYLE1 - Style1 3 5" xfId="54583"/>
    <cellStyle name="STYLE1 - Style1 3 6" xfId="54584"/>
    <cellStyle name="STYLE1 - Style1 3 7" xfId="54585"/>
    <cellStyle name="STYLE1 - Style1 3 8" xfId="54586"/>
    <cellStyle name="STYLE1 - Style1 3 9" xfId="54587"/>
    <cellStyle name="STYLE1 - Style1 4" xfId="54588"/>
    <cellStyle name="STYLE1 - Style1 4 10" xfId="54589"/>
    <cellStyle name="STYLE1 - Style1 4 11" xfId="54590"/>
    <cellStyle name="STYLE1 - Style1 4 12" xfId="54591"/>
    <cellStyle name="STYLE1 - Style1 4 13" xfId="54592"/>
    <cellStyle name="STYLE1 - Style1 4 14" xfId="54593"/>
    <cellStyle name="STYLE1 - Style1 4 15" xfId="54594"/>
    <cellStyle name="STYLE1 - Style1 4 16" xfId="54595"/>
    <cellStyle name="STYLE1 - Style1 4 17" xfId="54596"/>
    <cellStyle name="STYLE1 - Style1 4 18" xfId="54597"/>
    <cellStyle name="STYLE1 - Style1 4 19" xfId="54598"/>
    <cellStyle name="STYLE1 - Style1 4 2" xfId="54599"/>
    <cellStyle name="STYLE1 - Style1 4 2 2" xfId="54600"/>
    <cellStyle name="STYLE1 - Style1 4 2 3" xfId="54601"/>
    <cellStyle name="STYLE1 - Style1 4 2 4" xfId="54602"/>
    <cellStyle name="STYLE1 - Style1 4 2 5" xfId="54603"/>
    <cellStyle name="STYLE1 - Style1 4 2 6" xfId="54604"/>
    <cellStyle name="STYLE1 - Style1 4 2 7" xfId="54605"/>
    <cellStyle name="STYLE1 - Style1 4 2 8" xfId="54606"/>
    <cellStyle name="STYLE1 - Style1 4 2 9" xfId="54607"/>
    <cellStyle name="STYLE1 - Style1 4 3" xfId="54608"/>
    <cellStyle name="STYLE1 - Style1 4 4" xfId="54609"/>
    <cellStyle name="STYLE1 - Style1 4 5" xfId="54610"/>
    <cellStyle name="STYLE1 - Style1 4 6" xfId="54611"/>
    <cellStyle name="STYLE1 - Style1 4 7" xfId="54612"/>
    <cellStyle name="STYLE1 - Style1 4 8" xfId="54613"/>
    <cellStyle name="STYLE1 - Style1 4 9" xfId="54614"/>
    <cellStyle name="STYLE1 - Style1 5" xfId="54615"/>
    <cellStyle name="STYLE2 - Style2" xfId="54616"/>
    <cellStyle name="STYLE3 - Style3" xfId="54617"/>
    <cellStyle name="STYLE4 - Style4" xfId="54618"/>
    <cellStyle name="SubHeading" xfId="54619"/>
    <cellStyle name="SubHeading1" xfId="54620"/>
    <cellStyle name="SubSection" xfId="54621"/>
    <cellStyle name="SubTitle 2" xfId="54622"/>
    <cellStyle name="SubTotal" xfId="54623"/>
    <cellStyle name="SubTotal 2" xfId="54624"/>
    <cellStyle name="SubTotal 2 10" xfId="54625"/>
    <cellStyle name="SubTotal 2 11" xfId="54626"/>
    <cellStyle name="SubTotal 2 12" xfId="54627"/>
    <cellStyle name="SubTotal 2 13" xfId="54628"/>
    <cellStyle name="SubTotal 2 14" xfId="54629"/>
    <cellStyle name="SubTotal 2 15" xfId="54630"/>
    <cellStyle name="SubTotal 2 16" xfId="54631"/>
    <cellStyle name="SubTotal 2 17" xfId="54632"/>
    <cellStyle name="SubTotal 2 2" xfId="54633"/>
    <cellStyle name="SubTotal 2 2 2" xfId="54634"/>
    <cellStyle name="SubTotal 2 2 3" xfId="54635"/>
    <cellStyle name="SubTotal 2 2 4" xfId="54636"/>
    <cellStyle name="SubTotal 2 2 5" xfId="54637"/>
    <cellStyle name="SubTotal 2 2 6" xfId="54638"/>
    <cellStyle name="SubTotal 2 2 7" xfId="54639"/>
    <cellStyle name="SubTotal 2 2 8" xfId="54640"/>
    <cellStyle name="SubTotal 2 2 9" xfId="54641"/>
    <cellStyle name="SubTotal 2 3" xfId="54642"/>
    <cellStyle name="SubTotal 2 4" xfId="54643"/>
    <cellStyle name="SubTotal 2 5" xfId="54644"/>
    <cellStyle name="SubTotal 2 6" xfId="54645"/>
    <cellStyle name="SubTotal 2 7" xfId="54646"/>
    <cellStyle name="SubTotal 2 8" xfId="54647"/>
    <cellStyle name="SubTotal 2 9" xfId="54648"/>
    <cellStyle name="SubTotal 3" xfId="54649"/>
    <cellStyle name="SubTotal 3 10" xfId="54650"/>
    <cellStyle name="SubTotal 3 11" xfId="54651"/>
    <cellStyle name="SubTotal 3 12" xfId="54652"/>
    <cellStyle name="SubTotal 3 13" xfId="54653"/>
    <cellStyle name="SubTotal 3 14" xfId="54654"/>
    <cellStyle name="SubTotal 3 15" xfId="54655"/>
    <cellStyle name="SubTotal 3 16" xfId="54656"/>
    <cellStyle name="SubTotal 3 2" xfId="54657"/>
    <cellStyle name="SubTotal 3 2 2" xfId="54658"/>
    <cellStyle name="SubTotal 3 2 3" xfId="54659"/>
    <cellStyle name="SubTotal 3 2 4" xfId="54660"/>
    <cellStyle name="SubTotal 3 2 5" xfId="54661"/>
    <cellStyle name="SubTotal 3 2 6" xfId="54662"/>
    <cellStyle name="SubTotal 3 2 7" xfId="54663"/>
    <cellStyle name="SubTotal 3 2 8" xfId="54664"/>
    <cellStyle name="SubTotal 3 2 9" xfId="54665"/>
    <cellStyle name="SubTotal 3 3" xfId="54666"/>
    <cellStyle name="SubTotal 3 4" xfId="54667"/>
    <cellStyle name="SubTotal 3 5" xfId="54668"/>
    <cellStyle name="SubTotal 3 6" xfId="54669"/>
    <cellStyle name="SubTotal 3 7" xfId="54670"/>
    <cellStyle name="SubTotal 3 8" xfId="54671"/>
    <cellStyle name="SubTotal 3 9" xfId="54672"/>
    <cellStyle name="SubTotal 4" xfId="54673"/>
    <cellStyle name="Summary style" xfId="54674"/>
    <cellStyle name="Summary style 2" xfId="54675"/>
    <cellStyle name="t" xfId="54676"/>
    <cellStyle name="t 2" xfId="54677"/>
    <cellStyle name="t 2 2" xfId="54678"/>
    <cellStyle name="t_Arab Light Pricing" xfId="54679"/>
    <cellStyle name="t_Arab Light Pricing 2" xfId="54680"/>
    <cellStyle name="t_Arab Light Pricing 2 2" xfId="54681"/>
    <cellStyle name="t_Badin_v2" xfId="54682"/>
    <cellStyle name="t_Badin_v2 2" xfId="54683"/>
    <cellStyle name="t_Badin_v2 2 2" xfId="54684"/>
    <cellStyle name="t_book1" xfId="54685"/>
    <cellStyle name="t_book1 2" xfId="54686"/>
    <cellStyle name="t_book1 2 2" xfId="54687"/>
    <cellStyle name="t_Encana_v8" xfId="54688"/>
    <cellStyle name="t_Encana_v8 2" xfId="54689"/>
    <cellStyle name="t_Encana_v8 2 2" xfId="54690"/>
    <cellStyle name="t_Encana_v8_Financial_model_Project_N_03 03 09_for Nitol_final_Base_" xfId="54691"/>
    <cellStyle name="t_Encana_v8_Financial_model_Project_N_03 03 09_for Nitol_final_Base_ 2" xfId="54692"/>
    <cellStyle name="t_Encana_v8_Financial_model_Project_N_03 03 09_for Nitol_final_Base_ 2 2" xfId="54693"/>
    <cellStyle name="t_Financial_model_Project_N_03 03 09_for Nitol_final_Base_" xfId="54694"/>
    <cellStyle name="t_Financial_model_Project_N_03 03 09_for Nitol_final_Base_ 2" xfId="54695"/>
    <cellStyle name="t_Financial_model_Project_N_03 03 09_for Nitol_final_Base_ 2 2" xfId="54696"/>
    <cellStyle name="t_Gazprom_Standalone_v103_ta" xfId="54697"/>
    <cellStyle name="t_Gazprom_Standalone_v103_ta 2" xfId="54698"/>
    <cellStyle name="t_Gazprom_Standalone_v103_ta 2 2" xfId="54699"/>
    <cellStyle name="t_Gazprom_Standalone_v103_ta_Financial_model_Project_N_03 03 09_for Nitol_final_Base_" xfId="54700"/>
    <cellStyle name="t_Gazprom_Standalone_v103_ta_Financial_model_Project_N_03 03 09_for Nitol_final_Base_ 2" xfId="54701"/>
    <cellStyle name="t_Gazprom_Standalone_v103_ta_Financial_model_Project_N_03 03 09_for Nitol_final_Base_ 2 2" xfId="54702"/>
    <cellStyle name="t_Kaviar Model_June05 v44" xfId="54703"/>
    <cellStyle name="t_Kaviar Model_June05 v44 2" xfId="54704"/>
    <cellStyle name="t_Kaviar Model_June05 v44 2 2" xfId="54705"/>
    <cellStyle name="t_Kaviar Model_June05 v47" xfId="54706"/>
    <cellStyle name="t_Kaviar Model_June05 v47 2" xfId="54707"/>
    <cellStyle name="t_Kaviar Model_June05 v47 2 2" xfId="54708"/>
    <cellStyle name="t_Kaviar Model_June05 v75_reconcile" xfId="54709"/>
    <cellStyle name="t_Kaviar Model_June05 v75_reconcile 2" xfId="54710"/>
    <cellStyle name="t_Kaviar Model_June05 v75_reconcile 2 2" xfId="54711"/>
    <cellStyle name="t_Kaviar Model_June05 v76_reconcile" xfId="54712"/>
    <cellStyle name="t_Kaviar Model_June05 v76_reconcile 2" xfId="54713"/>
    <cellStyle name="t_Kaviar Model_June05 v76_reconcile 2 2" xfId="54714"/>
    <cellStyle name="t_Pakistan Upstream Models_v3" xfId="54715"/>
    <cellStyle name="t_Pakistan Upstream Models_v3 2" xfId="54716"/>
    <cellStyle name="t_Pakistan Upstream Models_v3 2 2" xfId="54717"/>
    <cellStyle name="t_PPL v35" xfId="54718"/>
    <cellStyle name="t_PPL v35 2" xfId="54719"/>
    <cellStyle name="t_PPL v35 2 2" xfId="54720"/>
    <cellStyle name="t_Project Ozone_April 14 v7" xfId="54721"/>
    <cellStyle name="t_Project Ozone_April 14 v7 2" xfId="54722"/>
    <cellStyle name="t_Project Ozone_April 14 v7 2 2" xfId="54723"/>
    <cellStyle name="Table Head" xfId="54724"/>
    <cellStyle name="Table Head Aligned" xfId="54725"/>
    <cellStyle name="Table Head Aligned 2" xfId="54726"/>
    <cellStyle name="Table Head Aligned 2 2" xfId="54727"/>
    <cellStyle name="Table Head Blue" xfId="54728"/>
    <cellStyle name="Table Head Green" xfId="54729"/>
    <cellStyle name="Table Head Green 2" xfId="54730"/>
    <cellStyle name="Table Head Green 2 2" xfId="54731"/>
    <cellStyle name="Table Head_ECU WACC" xfId="54732"/>
    <cellStyle name="Table Heading" xfId="54733"/>
    <cellStyle name="Table Source" xfId="54734"/>
    <cellStyle name="Table Text" xfId="54735"/>
    <cellStyle name="Table Title" xfId="54736"/>
    <cellStyle name="Table Units" xfId="54737"/>
    <cellStyle name="Table_Header" xfId="54738"/>
    <cellStyle name="Text" xfId="54739"/>
    <cellStyle name="Text 1" xfId="54740"/>
    <cellStyle name="Text 2" xfId="54741"/>
    <cellStyle name="Text Head" xfId="54742"/>
    <cellStyle name="Text Head 1" xfId="54743"/>
    <cellStyle name="Text Head 2" xfId="54744"/>
    <cellStyle name="Text Head_Arab Light Pricing" xfId="54745"/>
    <cellStyle name="Text Indent 1" xfId="54746"/>
    <cellStyle name="Text Indent 2" xfId="54747"/>
    <cellStyle name="Tickmark" xfId="54748"/>
    <cellStyle name="Times 10" xfId="54749"/>
    <cellStyle name="Times 12" xfId="54750"/>
    <cellStyle name="Title" xfId="54751"/>
    <cellStyle name="Title - PROJECT" xfId="54752"/>
    <cellStyle name="Title - Underline" xfId="54753"/>
    <cellStyle name="Title 2" xfId="54754"/>
    <cellStyle name="Title_Badin_v2" xfId="54755"/>
    <cellStyle name="Titles" xfId="54756"/>
    <cellStyle name="Titles - Col. Headings" xfId="54757"/>
    <cellStyle name="Titles - Other" xfId="54758"/>
    <cellStyle name="Titles_Copy of Rosneft_Standalone_v23 (TA)" xfId="54759"/>
    <cellStyle name="To" xfId="54760"/>
    <cellStyle name="TOC 1" xfId="54761"/>
    <cellStyle name="TOC 2" xfId="54762"/>
    <cellStyle name="Total" xfId="54763"/>
    <cellStyle name="Total 10" xfId="54764"/>
    <cellStyle name="Total 11" xfId="54765"/>
    <cellStyle name="Total 12" xfId="54766"/>
    <cellStyle name="Total 13" xfId="54767"/>
    <cellStyle name="Total 14" xfId="54768"/>
    <cellStyle name="Total 15" xfId="54769"/>
    <cellStyle name="Total 16" xfId="54770"/>
    <cellStyle name="Total 17" xfId="54771"/>
    <cellStyle name="Total 18" xfId="54772"/>
    <cellStyle name="Total 19" xfId="54773"/>
    <cellStyle name="Total 2" xfId="54774"/>
    <cellStyle name="Total 2 2" xfId="54775"/>
    <cellStyle name="Total 2 2 2" xfId="54776"/>
    <cellStyle name="Total 2 2 3" xfId="54777"/>
    <cellStyle name="Total 2 3" xfId="54778"/>
    <cellStyle name="Total 2 4" xfId="54779"/>
    <cellStyle name="Total 2 5" xfId="54780"/>
    <cellStyle name="Total 2 6" xfId="54781"/>
    <cellStyle name="Total 2 7" xfId="54782"/>
    <cellStyle name="Total 2 8" xfId="54783"/>
    <cellStyle name="Total 2 9" xfId="54784"/>
    <cellStyle name="Total 20" xfId="54785"/>
    <cellStyle name="Total 21" xfId="54786"/>
    <cellStyle name="Total 22" xfId="54787"/>
    <cellStyle name="Total 23" xfId="54788"/>
    <cellStyle name="Total 24" xfId="54789"/>
    <cellStyle name="Total 25" xfId="54790"/>
    <cellStyle name="Total 26" xfId="54791"/>
    <cellStyle name="Total 27" xfId="54792"/>
    <cellStyle name="Total 28" xfId="54793"/>
    <cellStyle name="Total 29" xfId="54794"/>
    <cellStyle name="Total 3" xfId="54795"/>
    <cellStyle name="Total 3 2" xfId="54796"/>
    <cellStyle name="Total 3 2 2" xfId="54797"/>
    <cellStyle name="Total 3 2 3" xfId="54798"/>
    <cellStyle name="Total 3 3" xfId="54799"/>
    <cellStyle name="Total 3 4" xfId="54800"/>
    <cellStyle name="Total 3 5" xfId="54801"/>
    <cellStyle name="Total 3 6" xfId="54802"/>
    <cellStyle name="Total 3 7" xfId="54803"/>
    <cellStyle name="Total 3 8" xfId="54804"/>
    <cellStyle name="Total 3 9" xfId="54805"/>
    <cellStyle name="Total 4" xfId="54806"/>
    <cellStyle name="Total 4 2" xfId="54807"/>
    <cellStyle name="Total 4 2 2" xfId="54808"/>
    <cellStyle name="Total 4 2 3" xfId="54809"/>
    <cellStyle name="Total 4 3" xfId="54810"/>
    <cellStyle name="Total 4 4" xfId="54811"/>
    <cellStyle name="Total 4 5" xfId="54812"/>
    <cellStyle name="Total 4 6" xfId="54813"/>
    <cellStyle name="Total 4 7" xfId="54814"/>
    <cellStyle name="Total 4 8" xfId="54815"/>
    <cellStyle name="Total 4 9" xfId="54816"/>
    <cellStyle name="Total 5" xfId="54817"/>
    <cellStyle name="Total 5 2" xfId="54818"/>
    <cellStyle name="Total 5 2 2" xfId="54819"/>
    <cellStyle name="Total 5 2 3" xfId="54820"/>
    <cellStyle name="Total 5 3" xfId="54821"/>
    <cellStyle name="Total 5 4" xfId="54822"/>
    <cellStyle name="Total 5 5" xfId="54823"/>
    <cellStyle name="Total 5 6" xfId="54824"/>
    <cellStyle name="Total 5 7" xfId="54825"/>
    <cellStyle name="Total 5 8" xfId="54826"/>
    <cellStyle name="Total 5 9" xfId="54827"/>
    <cellStyle name="Total 6" xfId="54828"/>
    <cellStyle name="Total 6 2" xfId="54829"/>
    <cellStyle name="Total 6 3" xfId="54830"/>
    <cellStyle name="Total 6 4" xfId="54831"/>
    <cellStyle name="Total 6 5" xfId="54832"/>
    <cellStyle name="Total 6 6" xfId="54833"/>
    <cellStyle name="Total 6 7" xfId="54834"/>
    <cellStyle name="Total 6 8" xfId="54835"/>
    <cellStyle name="Total 6 9" xfId="54836"/>
    <cellStyle name="Total 7" xfId="54837"/>
    <cellStyle name="Total 8" xfId="54838"/>
    <cellStyle name="Total 9" xfId="54839"/>
    <cellStyle name="Total_План ДСМ ноябрь 2011 ОТЧЕТ" xfId="54840"/>
    <cellStyle name="TotalCurrency" xfId="54841"/>
    <cellStyle name="Totals" xfId="54842"/>
    <cellStyle name="Underline_Single" xfId="54843"/>
    <cellStyle name="Unit" xfId="54844"/>
    <cellStyle name="UnProtectedCalc" xfId="54845"/>
    <cellStyle name="Upload Only" xfId="54846"/>
    <cellStyle name="user" xfId="54847"/>
    <cellStyle name="Valiotsikko" xfId="54848"/>
    <cellStyle name="Valiotsikko 10" xfId="54849"/>
    <cellStyle name="Valiotsikko 11" xfId="54850"/>
    <cellStyle name="Valiotsikko 12" xfId="54851"/>
    <cellStyle name="Valiotsikko 13" xfId="54852"/>
    <cellStyle name="Valiotsikko 2" xfId="54853"/>
    <cellStyle name="Valiotsikko 3" xfId="54854"/>
    <cellStyle name="Valiotsikko 4" xfId="54855"/>
    <cellStyle name="Valiotsikko 5" xfId="54856"/>
    <cellStyle name="Valiotsikko 6" xfId="54857"/>
    <cellStyle name="Valiotsikko 7" xfId="54858"/>
    <cellStyle name="Valiotsikko 8" xfId="54859"/>
    <cellStyle name="Valiotsikko 9" xfId="54860"/>
    <cellStyle name="Valiotsikko_Книга2" xfId="54861"/>
    <cellStyle name="Vдliotsikko" xfId="54862"/>
    <cellStyle name="Vдliotsikko 10" xfId="54863"/>
    <cellStyle name="Vдliotsikko 11" xfId="54864"/>
    <cellStyle name="Vдliotsikko 12" xfId="54865"/>
    <cellStyle name="Vдliotsikko 13" xfId="54866"/>
    <cellStyle name="Vдliotsikko 2" xfId="54867"/>
    <cellStyle name="Vдliotsikko 3" xfId="54868"/>
    <cellStyle name="Vдliotsikko 4" xfId="54869"/>
    <cellStyle name="Vдliotsikko 5" xfId="54870"/>
    <cellStyle name="Vдliotsikko 6" xfId="54871"/>
    <cellStyle name="Vдliotsikko 7" xfId="54872"/>
    <cellStyle name="Vдliotsikko 8" xfId="54873"/>
    <cellStyle name="Vдliotsikko 9" xfId="54874"/>
    <cellStyle name="Vдliotsikko_Книга2" xfId="54875"/>
    <cellStyle name="Währung [0]_KOART" xfId="54876"/>
    <cellStyle name="Währung_KOART" xfId="54877"/>
    <cellStyle name="Warning Text" xfId="54878"/>
    <cellStyle name="Warning Text 10" xfId="54879"/>
    <cellStyle name="Warning Text 11" xfId="54880"/>
    <cellStyle name="Warning Text 12" xfId="54881"/>
    <cellStyle name="Warning Text 13" xfId="54882"/>
    <cellStyle name="Warning Text 14" xfId="54883"/>
    <cellStyle name="Warning Text 15" xfId="54884"/>
    <cellStyle name="Warning Text 16" xfId="54885"/>
    <cellStyle name="Warning Text 17" xfId="54886"/>
    <cellStyle name="Warning Text 18" xfId="54887"/>
    <cellStyle name="Warning Text 19" xfId="54888"/>
    <cellStyle name="Warning Text 2" xfId="54889"/>
    <cellStyle name="Warning Text 20" xfId="54890"/>
    <cellStyle name="Warning Text 3" xfId="54891"/>
    <cellStyle name="Warning Text 4" xfId="54892"/>
    <cellStyle name="Warning Text 5" xfId="54893"/>
    <cellStyle name="Warning Text 6" xfId="54894"/>
    <cellStyle name="Warning Text 7" xfId="54895"/>
    <cellStyle name="Warning Text 8" xfId="54896"/>
    <cellStyle name="Warning Text 9" xfId="54897"/>
    <cellStyle name="WIP" xfId="54898"/>
    <cellStyle name="Wдhrung [0]_Compiling Utility Macros" xfId="54899"/>
    <cellStyle name="Wдhrung_Compiling Utility Macros" xfId="54900"/>
    <cellStyle name="XComma" xfId="54901"/>
    <cellStyle name="XComma 0.0" xfId="54902"/>
    <cellStyle name="XComma 0.00" xfId="54903"/>
    <cellStyle name="XComma 0.000" xfId="54904"/>
    <cellStyle name="XCurrency" xfId="54905"/>
    <cellStyle name="XCurrency 0.0" xfId="54906"/>
    <cellStyle name="XCurrency 0.00" xfId="54907"/>
    <cellStyle name="XCurrency 0.000" xfId="54908"/>
    <cellStyle name="Year" xfId="54909"/>
    <cellStyle name="Year EN" xfId="54910"/>
    <cellStyle name="Year EN 2" xfId="54911"/>
    <cellStyle name="Year EN 2 2" xfId="54912"/>
    <cellStyle name="Year EN 2 3" xfId="54913"/>
    <cellStyle name="Year EN 3" xfId="54914"/>
    <cellStyle name="Year EN 3 2" xfId="54915"/>
    <cellStyle name="Year EN 3 3" xfId="54916"/>
    <cellStyle name="Year EN 4" xfId="54917"/>
    <cellStyle name="Year EN 5" xfId="54918"/>
    <cellStyle name="Year RU" xfId="54919"/>
    <cellStyle name="Year RU 2" xfId="54920"/>
    <cellStyle name="Year RU 2 2" xfId="54921"/>
    <cellStyle name="Year RU 2 3" xfId="54922"/>
    <cellStyle name="Year RU 3" xfId="54923"/>
    <cellStyle name="Year RU 3 2" xfId="54924"/>
    <cellStyle name="Year RU 3 3" xfId="54925"/>
    <cellStyle name="Year RU 4" xfId="54926"/>
    <cellStyle name="Year RU 5" xfId="54927"/>
    <cellStyle name="Year2" xfId="54928"/>
    <cellStyle name="Year2 2" xfId="54929"/>
    <cellStyle name="Year2 2 10" xfId="54930"/>
    <cellStyle name="Year2 2 11" xfId="54931"/>
    <cellStyle name="Year2 2 12" xfId="54932"/>
    <cellStyle name="Year2 2 13" xfId="54933"/>
    <cellStyle name="Year2 2 14" xfId="54934"/>
    <cellStyle name="Year2 2 15" xfId="54935"/>
    <cellStyle name="Year2 2 16" xfId="54936"/>
    <cellStyle name="Year2 2 17" xfId="54937"/>
    <cellStyle name="Year2 2 2" xfId="54938"/>
    <cellStyle name="Year2 2 2 2" xfId="54939"/>
    <cellStyle name="Year2 2 2 3" xfId="54940"/>
    <cellStyle name="Year2 2 2 4" xfId="54941"/>
    <cellStyle name="Year2 2 2 5" xfId="54942"/>
    <cellStyle name="Year2 2 2 6" xfId="54943"/>
    <cellStyle name="Year2 2 2 7" xfId="54944"/>
    <cellStyle name="Year2 2 2 8" xfId="54945"/>
    <cellStyle name="Year2 2 2 9" xfId="54946"/>
    <cellStyle name="Year2 2 3" xfId="54947"/>
    <cellStyle name="Year2 2 4" xfId="54948"/>
    <cellStyle name="Year2 2 5" xfId="54949"/>
    <cellStyle name="Year2 2 6" xfId="54950"/>
    <cellStyle name="Year2 2 7" xfId="54951"/>
    <cellStyle name="Year2 2 8" xfId="54952"/>
    <cellStyle name="Year2 2 9" xfId="54953"/>
    <cellStyle name="Year2 3" xfId="54954"/>
    <cellStyle name="Year2 3 10" xfId="54955"/>
    <cellStyle name="Year2 3 11" xfId="54956"/>
    <cellStyle name="Year2 3 12" xfId="54957"/>
    <cellStyle name="Year2 3 13" xfId="54958"/>
    <cellStyle name="Year2 3 14" xfId="54959"/>
    <cellStyle name="Year2 3 15" xfId="54960"/>
    <cellStyle name="Year2 3 16" xfId="54961"/>
    <cellStyle name="Year2 3 2" xfId="54962"/>
    <cellStyle name="Year2 3 2 2" xfId="54963"/>
    <cellStyle name="Year2 3 2 3" xfId="54964"/>
    <cellStyle name="Year2 3 2 4" xfId="54965"/>
    <cellStyle name="Year2 3 2 5" xfId="54966"/>
    <cellStyle name="Year2 3 2 6" xfId="54967"/>
    <cellStyle name="Year2 3 2 7" xfId="54968"/>
    <cellStyle name="Year2 3 2 8" xfId="54969"/>
    <cellStyle name="Year2 3 2 9" xfId="54970"/>
    <cellStyle name="Year2 3 3" xfId="54971"/>
    <cellStyle name="Year2 3 4" xfId="54972"/>
    <cellStyle name="Year2 3 5" xfId="54973"/>
    <cellStyle name="Year2 3 6" xfId="54974"/>
    <cellStyle name="Year2 3 7" xfId="54975"/>
    <cellStyle name="Year2 3 8" xfId="54976"/>
    <cellStyle name="Year2 3 9" xfId="54977"/>
    <cellStyle name="YearInput" xfId="54978"/>
    <cellStyle name="YearInputBk" xfId="54979"/>
    <cellStyle name="YearInputBk 2" xfId="54980"/>
    <cellStyle name="YearInputBk 2 10" xfId="54981"/>
    <cellStyle name="YearInputBk 2 11" xfId="54982"/>
    <cellStyle name="YearInputBk 2 12" xfId="54983"/>
    <cellStyle name="YearInputBk 2 13" xfId="54984"/>
    <cellStyle name="YearInputBk 2 14" xfId="54985"/>
    <cellStyle name="YearInputBk 2 15" xfId="54986"/>
    <cellStyle name="YearInputBk 2 16" xfId="54987"/>
    <cellStyle name="YearInputBk 2 17" xfId="54988"/>
    <cellStyle name="YearInputBk 2 2" xfId="54989"/>
    <cellStyle name="YearInputBk 2 2 2" xfId="54990"/>
    <cellStyle name="YearInputBk 2 2 3" xfId="54991"/>
    <cellStyle name="YearInputBk 2 2 4" xfId="54992"/>
    <cellStyle name="YearInputBk 2 2 5" xfId="54993"/>
    <cellStyle name="YearInputBk 2 2 6" xfId="54994"/>
    <cellStyle name="YearInputBk 2 2 7" xfId="54995"/>
    <cellStyle name="YearInputBk 2 2 8" xfId="54996"/>
    <cellStyle name="YearInputBk 2 2 9" xfId="54997"/>
    <cellStyle name="YearInputBk 2 3" xfId="54998"/>
    <cellStyle name="YearInputBk 2 4" xfId="54999"/>
    <cellStyle name="YearInputBk 2 5" xfId="55000"/>
    <cellStyle name="YearInputBk 2 6" xfId="55001"/>
    <cellStyle name="YearInputBk 2 7" xfId="55002"/>
    <cellStyle name="YearInputBk 2 8" xfId="55003"/>
    <cellStyle name="YearInputBk 2 9" xfId="55004"/>
    <cellStyle name="YearInputBk 3" xfId="55005"/>
    <cellStyle name="YearInputBk 3 10" xfId="55006"/>
    <cellStyle name="YearInputBk 3 11" xfId="55007"/>
    <cellStyle name="YearInputBk 3 12" xfId="55008"/>
    <cellStyle name="YearInputBk 3 13" xfId="55009"/>
    <cellStyle name="YearInputBk 3 14" xfId="55010"/>
    <cellStyle name="YearInputBk 3 15" xfId="55011"/>
    <cellStyle name="YearInputBk 3 16" xfId="55012"/>
    <cellStyle name="YearInputBk 3 2" xfId="55013"/>
    <cellStyle name="YearInputBk 3 2 2" xfId="55014"/>
    <cellStyle name="YearInputBk 3 2 3" xfId="55015"/>
    <cellStyle name="YearInputBk 3 2 4" xfId="55016"/>
    <cellStyle name="YearInputBk 3 2 5" xfId="55017"/>
    <cellStyle name="YearInputBk 3 2 6" xfId="55018"/>
    <cellStyle name="YearInputBk 3 2 7" xfId="55019"/>
    <cellStyle name="YearInputBk 3 2 8" xfId="55020"/>
    <cellStyle name="YearInputBk 3 2 9" xfId="55021"/>
    <cellStyle name="YearInputBk 3 3" xfId="55022"/>
    <cellStyle name="YearInputBk 3 4" xfId="55023"/>
    <cellStyle name="YearInputBk 3 5" xfId="55024"/>
    <cellStyle name="YearInputBk 3 6" xfId="55025"/>
    <cellStyle name="YearInputBk 3 7" xfId="55026"/>
    <cellStyle name="YearInputBk 3 8" xfId="55027"/>
    <cellStyle name="YearInputBk 3 9" xfId="55028"/>
    <cellStyle name="YearInputBu" xfId="55029"/>
    <cellStyle name="YearInputBu 2" xfId="55030"/>
    <cellStyle name="YearInputBu 2 10" xfId="55031"/>
    <cellStyle name="YearInputBu 2 11" xfId="55032"/>
    <cellStyle name="YearInputBu 2 12" xfId="55033"/>
    <cellStyle name="YearInputBu 2 13" xfId="55034"/>
    <cellStyle name="YearInputBu 2 14" xfId="55035"/>
    <cellStyle name="YearInputBu 2 15" xfId="55036"/>
    <cellStyle name="YearInputBu 2 16" xfId="55037"/>
    <cellStyle name="YearInputBu 2 17" xfId="55038"/>
    <cellStyle name="YearInputBu 2 2" xfId="55039"/>
    <cellStyle name="YearInputBu 2 2 2" xfId="55040"/>
    <cellStyle name="YearInputBu 2 2 3" xfId="55041"/>
    <cellStyle name="YearInputBu 2 2 4" xfId="55042"/>
    <cellStyle name="YearInputBu 2 2 5" xfId="55043"/>
    <cellStyle name="YearInputBu 2 2 6" xfId="55044"/>
    <cellStyle name="YearInputBu 2 2 7" xfId="55045"/>
    <cellStyle name="YearInputBu 2 2 8" xfId="55046"/>
    <cellStyle name="YearInputBu 2 2 9" xfId="55047"/>
    <cellStyle name="YearInputBu 2 3" xfId="55048"/>
    <cellStyle name="YearInputBu 2 4" xfId="55049"/>
    <cellStyle name="YearInputBu 2 5" xfId="55050"/>
    <cellStyle name="YearInputBu 2 6" xfId="55051"/>
    <cellStyle name="YearInputBu 2 7" xfId="55052"/>
    <cellStyle name="YearInputBu 2 8" xfId="55053"/>
    <cellStyle name="YearInputBu 2 9" xfId="55054"/>
    <cellStyle name="YearInputBu 3" xfId="55055"/>
    <cellStyle name="YearInputBu 3 10" xfId="55056"/>
    <cellStyle name="YearInputBu 3 11" xfId="55057"/>
    <cellStyle name="YearInputBu 3 12" xfId="55058"/>
    <cellStyle name="YearInputBu 3 13" xfId="55059"/>
    <cellStyle name="YearInputBu 3 14" xfId="55060"/>
    <cellStyle name="YearInputBu 3 15" xfId="55061"/>
    <cellStyle name="YearInputBu 3 16" xfId="55062"/>
    <cellStyle name="YearInputBu 3 2" xfId="55063"/>
    <cellStyle name="YearInputBu 3 2 2" xfId="55064"/>
    <cellStyle name="YearInputBu 3 2 3" xfId="55065"/>
    <cellStyle name="YearInputBu 3 2 4" xfId="55066"/>
    <cellStyle name="YearInputBu 3 2 5" xfId="55067"/>
    <cellStyle name="YearInputBu 3 2 6" xfId="55068"/>
    <cellStyle name="YearInputBu 3 2 7" xfId="55069"/>
    <cellStyle name="YearInputBu 3 2 8" xfId="55070"/>
    <cellStyle name="YearInputBu 3 2 9" xfId="55071"/>
    <cellStyle name="YearInputBu 3 3" xfId="55072"/>
    <cellStyle name="YearInputBu 3 4" xfId="55073"/>
    <cellStyle name="YearInputBu 3 5" xfId="55074"/>
    <cellStyle name="YearInputBu 3 6" xfId="55075"/>
    <cellStyle name="YearInputBu 3 7" xfId="55076"/>
    <cellStyle name="YearInputBu 3 8" xfId="55077"/>
    <cellStyle name="YearInputBu 3 9" xfId="55078"/>
    <cellStyle name="Years" xfId="55079"/>
    <cellStyle name="Yen" xfId="55080"/>
    <cellStyle name="Zero" xfId="55081"/>
    <cellStyle name="Акцент1 10" xfId="55082"/>
    <cellStyle name="Акцент1 11" xfId="55083"/>
    <cellStyle name="Акцент1 12" xfId="55084"/>
    <cellStyle name="Акцент1 13" xfId="55085"/>
    <cellStyle name="Акцент1 14" xfId="55086"/>
    <cellStyle name="Акцент1 15" xfId="55087"/>
    <cellStyle name="Акцент1 16" xfId="55088"/>
    <cellStyle name="Акцент1 17" xfId="55089"/>
    <cellStyle name="Акцент1 18" xfId="55090"/>
    <cellStyle name="Акцент1 19" xfId="55091"/>
    <cellStyle name="Акцент1 2" xfId="55092"/>
    <cellStyle name="Акцент1 2 2" xfId="55093"/>
    <cellStyle name="Акцент1 20" xfId="55094"/>
    <cellStyle name="Акцент1 21" xfId="55095"/>
    <cellStyle name="Акцент1 22" xfId="55096"/>
    <cellStyle name="Акцент1 23" xfId="55097"/>
    <cellStyle name="Акцент1 24" xfId="55098"/>
    <cellStyle name="Акцент1 3" xfId="55099"/>
    <cellStyle name="Акцент1 3 2" xfId="55100"/>
    <cellStyle name="Акцент1 4" xfId="55101"/>
    <cellStyle name="Акцент1 4 2" xfId="55102"/>
    <cellStyle name="Акцент1 5" xfId="55103"/>
    <cellStyle name="Акцент1 5 2" xfId="55104"/>
    <cellStyle name="Акцент1 6" xfId="55105"/>
    <cellStyle name="Акцент1 7" xfId="55106"/>
    <cellStyle name="Акцент1 8" xfId="55107"/>
    <cellStyle name="Акцент1 9" xfId="55108"/>
    <cellStyle name="Акцент2 10" xfId="55109"/>
    <cellStyle name="Акцент2 11" xfId="55110"/>
    <cellStyle name="Акцент2 12" xfId="55111"/>
    <cellStyle name="Акцент2 13" xfId="55112"/>
    <cellStyle name="Акцент2 14" xfId="55113"/>
    <cellStyle name="Акцент2 15" xfId="55114"/>
    <cellStyle name="Акцент2 16" xfId="55115"/>
    <cellStyle name="Акцент2 17" xfId="55116"/>
    <cellStyle name="Акцент2 18" xfId="55117"/>
    <cellStyle name="Акцент2 19" xfId="55118"/>
    <cellStyle name="Акцент2 2" xfId="55119"/>
    <cellStyle name="Акцент2 2 2" xfId="55120"/>
    <cellStyle name="Акцент2 20" xfId="55121"/>
    <cellStyle name="Акцент2 21" xfId="55122"/>
    <cellStyle name="Акцент2 22" xfId="55123"/>
    <cellStyle name="Акцент2 23" xfId="55124"/>
    <cellStyle name="Акцент2 24" xfId="55125"/>
    <cellStyle name="Акцент2 3" xfId="55126"/>
    <cellStyle name="Акцент2 3 2" xfId="55127"/>
    <cellStyle name="Акцент2 4" xfId="55128"/>
    <cellStyle name="Акцент2 4 2" xfId="55129"/>
    <cellStyle name="Акцент2 5" xfId="55130"/>
    <cellStyle name="Акцент2 5 2" xfId="55131"/>
    <cellStyle name="Акцент2 6" xfId="55132"/>
    <cellStyle name="Акцент2 7" xfId="55133"/>
    <cellStyle name="Акцент2 8" xfId="55134"/>
    <cellStyle name="Акцент2 9" xfId="55135"/>
    <cellStyle name="Акцент3 10" xfId="55136"/>
    <cellStyle name="Акцент3 11" xfId="55137"/>
    <cellStyle name="Акцент3 12" xfId="55138"/>
    <cellStyle name="Акцент3 13" xfId="55139"/>
    <cellStyle name="Акцент3 14" xfId="55140"/>
    <cellStyle name="Акцент3 15" xfId="55141"/>
    <cellStyle name="Акцент3 16" xfId="55142"/>
    <cellStyle name="Акцент3 17" xfId="55143"/>
    <cellStyle name="Акцент3 18" xfId="55144"/>
    <cellStyle name="Акцент3 19" xfId="55145"/>
    <cellStyle name="Акцент3 2" xfId="55146"/>
    <cellStyle name="Акцент3 2 2" xfId="55147"/>
    <cellStyle name="Акцент3 20" xfId="55148"/>
    <cellStyle name="Акцент3 21" xfId="55149"/>
    <cellStyle name="Акцент3 22" xfId="55150"/>
    <cellStyle name="Акцент3 23" xfId="55151"/>
    <cellStyle name="Акцент3 24" xfId="55152"/>
    <cellStyle name="Акцент3 3" xfId="55153"/>
    <cellStyle name="Акцент3 3 2" xfId="55154"/>
    <cellStyle name="Акцент3 4" xfId="55155"/>
    <cellStyle name="Акцент3 4 2" xfId="55156"/>
    <cellStyle name="Акцент3 5" xfId="55157"/>
    <cellStyle name="Акцент3 5 2" xfId="55158"/>
    <cellStyle name="Акцент3 6" xfId="55159"/>
    <cellStyle name="Акцент3 7" xfId="55160"/>
    <cellStyle name="Акцент3 8" xfId="55161"/>
    <cellStyle name="Акцент3 9" xfId="55162"/>
    <cellStyle name="Акцент4 10" xfId="55163"/>
    <cellStyle name="Акцент4 11" xfId="55164"/>
    <cellStyle name="Акцент4 12" xfId="55165"/>
    <cellStyle name="Акцент4 13" xfId="55166"/>
    <cellStyle name="Акцент4 14" xfId="55167"/>
    <cellStyle name="Акцент4 15" xfId="55168"/>
    <cellStyle name="Акцент4 16" xfId="55169"/>
    <cellStyle name="Акцент4 17" xfId="55170"/>
    <cellStyle name="Акцент4 18" xfId="55171"/>
    <cellStyle name="Акцент4 19" xfId="55172"/>
    <cellStyle name="Акцент4 2" xfId="55173"/>
    <cellStyle name="Акцент4 2 2" xfId="55174"/>
    <cellStyle name="Акцент4 20" xfId="55175"/>
    <cellStyle name="Акцент4 21" xfId="55176"/>
    <cellStyle name="Акцент4 22" xfId="55177"/>
    <cellStyle name="Акцент4 23" xfId="55178"/>
    <cellStyle name="Акцент4 24" xfId="55179"/>
    <cellStyle name="Акцент4 3" xfId="55180"/>
    <cellStyle name="Акцент4 3 2" xfId="55181"/>
    <cellStyle name="Акцент4 4" xfId="55182"/>
    <cellStyle name="Акцент4 4 2" xfId="55183"/>
    <cellStyle name="Акцент4 5" xfId="55184"/>
    <cellStyle name="Акцент4 5 2" xfId="55185"/>
    <cellStyle name="Акцент4 6" xfId="55186"/>
    <cellStyle name="Акцент4 7" xfId="55187"/>
    <cellStyle name="Акцент4 8" xfId="55188"/>
    <cellStyle name="Акцент4 9" xfId="55189"/>
    <cellStyle name="Акцент5 10" xfId="55190"/>
    <cellStyle name="Акцент5 11" xfId="55191"/>
    <cellStyle name="Акцент5 12" xfId="55192"/>
    <cellStyle name="Акцент5 13" xfId="55193"/>
    <cellStyle name="Акцент5 14" xfId="55194"/>
    <cellStyle name="Акцент5 15" xfId="55195"/>
    <cellStyle name="Акцент5 16" xfId="55196"/>
    <cellStyle name="Акцент5 17" xfId="55197"/>
    <cellStyle name="Акцент5 18" xfId="55198"/>
    <cellStyle name="Акцент5 19" xfId="55199"/>
    <cellStyle name="Акцент5 2" xfId="55200"/>
    <cellStyle name="Акцент5 2 2" xfId="55201"/>
    <cellStyle name="Акцент5 20" xfId="55202"/>
    <cellStyle name="Акцент5 21" xfId="55203"/>
    <cellStyle name="Акцент5 22" xfId="55204"/>
    <cellStyle name="Акцент5 23" xfId="55205"/>
    <cellStyle name="Акцент5 24" xfId="55206"/>
    <cellStyle name="Акцент5 3" xfId="55207"/>
    <cellStyle name="Акцент5 3 2" xfId="55208"/>
    <cellStyle name="Акцент5 4" xfId="55209"/>
    <cellStyle name="Акцент5 4 2" xfId="55210"/>
    <cellStyle name="Акцент5 5" xfId="55211"/>
    <cellStyle name="Акцент5 5 2" xfId="55212"/>
    <cellStyle name="Акцент5 6" xfId="55213"/>
    <cellStyle name="Акцент5 7" xfId="55214"/>
    <cellStyle name="Акцент5 8" xfId="55215"/>
    <cellStyle name="Акцент5 9" xfId="55216"/>
    <cellStyle name="Акцент6 10" xfId="55217"/>
    <cellStyle name="Акцент6 11" xfId="55218"/>
    <cellStyle name="Акцент6 12" xfId="55219"/>
    <cellStyle name="Акцент6 13" xfId="55220"/>
    <cellStyle name="Акцент6 14" xfId="55221"/>
    <cellStyle name="Акцент6 15" xfId="55222"/>
    <cellStyle name="Акцент6 16" xfId="55223"/>
    <cellStyle name="Акцент6 17" xfId="55224"/>
    <cellStyle name="Акцент6 18" xfId="55225"/>
    <cellStyle name="Акцент6 19" xfId="55226"/>
    <cellStyle name="Акцент6 2" xfId="55227"/>
    <cellStyle name="Акцент6 2 2" xfId="55228"/>
    <cellStyle name="Акцент6 20" xfId="55229"/>
    <cellStyle name="Акцент6 21" xfId="55230"/>
    <cellStyle name="Акцент6 22" xfId="55231"/>
    <cellStyle name="Акцент6 23" xfId="55232"/>
    <cellStyle name="Акцент6 24" xfId="55233"/>
    <cellStyle name="Акцент6 3" xfId="55234"/>
    <cellStyle name="Акцент6 3 2" xfId="55235"/>
    <cellStyle name="Акцент6 4" xfId="55236"/>
    <cellStyle name="Акцент6 4 2" xfId="55237"/>
    <cellStyle name="Акцент6 5" xfId="55238"/>
    <cellStyle name="Акцент6 5 2" xfId="55239"/>
    <cellStyle name="Акцент6 6" xfId="55240"/>
    <cellStyle name="Акцент6 7" xfId="55241"/>
    <cellStyle name="Акцент6 8" xfId="55242"/>
    <cellStyle name="Акцент6 9" xfId="55243"/>
    <cellStyle name="БДР_1" xfId="55244"/>
    <cellStyle name="Ввод  10" xfId="55245"/>
    <cellStyle name="Ввод  11" xfId="55246"/>
    <cellStyle name="Ввод  12" xfId="55247"/>
    <cellStyle name="Ввод  13" xfId="55248"/>
    <cellStyle name="Ввод  14" xfId="55249"/>
    <cellStyle name="Ввод  15" xfId="55250"/>
    <cellStyle name="Ввод  16" xfId="55251"/>
    <cellStyle name="Ввод  17" xfId="55252"/>
    <cellStyle name="Ввод  18" xfId="55253"/>
    <cellStyle name="Ввод  19" xfId="55254"/>
    <cellStyle name="Ввод  2" xfId="55255"/>
    <cellStyle name="Ввод  2 2" xfId="55256"/>
    <cellStyle name="Ввод  2 2 10" xfId="55257"/>
    <cellStyle name="Ввод  2 2 11" xfId="55258"/>
    <cellStyle name="Ввод  2 2 12" xfId="55259"/>
    <cellStyle name="Ввод  2 2 13" xfId="55260"/>
    <cellStyle name="Ввод  2 2 14" xfId="55261"/>
    <cellStyle name="Ввод  2 2 15" xfId="55262"/>
    <cellStyle name="Ввод  2 2 16" xfId="55263"/>
    <cellStyle name="Ввод  2 2 17" xfId="55264"/>
    <cellStyle name="Ввод  2 2 18" xfId="55265"/>
    <cellStyle name="Ввод  2 2 19" xfId="55266"/>
    <cellStyle name="Ввод  2 2 2" xfId="55267"/>
    <cellStyle name="Ввод  2 2 2 2" xfId="55268"/>
    <cellStyle name="Ввод  2 2 2 3" xfId="55269"/>
    <cellStyle name="Ввод  2 2 2 4" xfId="55270"/>
    <cellStyle name="Ввод  2 2 2 5" xfId="55271"/>
    <cellStyle name="Ввод  2 2 2 6" xfId="55272"/>
    <cellStyle name="Ввод  2 2 2 7" xfId="55273"/>
    <cellStyle name="Ввод  2 2 2 8" xfId="55274"/>
    <cellStyle name="Ввод  2 2 2 9" xfId="55275"/>
    <cellStyle name="Ввод  2 2 3" xfId="55276"/>
    <cellStyle name="Ввод  2 2 4" xfId="55277"/>
    <cellStyle name="Ввод  2 2 5" xfId="55278"/>
    <cellStyle name="Ввод  2 2 6" xfId="55279"/>
    <cellStyle name="Ввод  2 2 7" xfId="55280"/>
    <cellStyle name="Ввод  2 2 8" xfId="55281"/>
    <cellStyle name="Ввод  2 2 9" xfId="55282"/>
    <cellStyle name="Ввод  2 3" xfId="55283"/>
    <cellStyle name="Ввод  2 3 10" xfId="55284"/>
    <cellStyle name="Ввод  2 3 11" xfId="55285"/>
    <cellStyle name="Ввод  2 3 12" xfId="55286"/>
    <cellStyle name="Ввод  2 3 13" xfId="55287"/>
    <cellStyle name="Ввод  2 3 14" xfId="55288"/>
    <cellStyle name="Ввод  2 3 15" xfId="55289"/>
    <cellStyle name="Ввод  2 3 16" xfId="55290"/>
    <cellStyle name="Ввод  2 3 17" xfId="55291"/>
    <cellStyle name="Ввод  2 3 18" xfId="55292"/>
    <cellStyle name="Ввод  2 3 2" xfId="55293"/>
    <cellStyle name="Ввод  2 3 2 2" xfId="55294"/>
    <cellStyle name="Ввод  2 3 2 3" xfId="55295"/>
    <cellStyle name="Ввод  2 3 2 4" xfId="55296"/>
    <cellStyle name="Ввод  2 3 2 5" xfId="55297"/>
    <cellStyle name="Ввод  2 3 2 6" xfId="55298"/>
    <cellStyle name="Ввод  2 3 2 7" xfId="55299"/>
    <cellStyle name="Ввод  2 3 2 8" xfId="55300"/>
    <cellStyle name="Ввод  2 3 2 9" xfId="55301"/>
    <cellStyle name="Ввод  2 3 3" xfId="55302"/>
    <cellStyle name="Ввод  2 3 4" xfId="55303"/>
    <cellStyle name="Ввод  2 3 5" xfId="55304"/>
    <cellStyle name="Ввод  2 3 6" xfId="55305"/>
    <cellStyle name="Ввод  2 3 7" xfId="55306"/>
    <cellStyle name="Ввод  2 3 8" xfId="55307"/>
    <cellStyle name="Ввод  2 3 9" xfId="55308"/>
    <cellStyle name="Ввод  2 4" xfId="55309"/>
    <cellStyle name="Ввод  2 4 10" xfId="55310"/>
    <cellStyle name="Ввод  2 4 11" xfId="55311"/>
    <cellStyle name="Ввод  2 4 12" xfId="55312"/>
    <cellStyle name="Ввод  2 4 13" xfId="55313"/>
    <cellStyle name="Ввод  2 4 14" xfId="55314"/>
    <cellStyle name="Ввод  2 4 15" xfId="55315"/>
    <cellStyle name="Ввод  2 4 16" xfId="55316"/>
    <cellStyle name="Ввод  2 4 17" xfId="55317"/>
    <cellStyle name="Ввод  2 4 18" xfId="55318"/>
    <cellStyle name="Ввод  2 4 19" xfId="55319"/>
    <cellStyle name="Ввод  2 4 2" xfId="55320"/>
    <cellStyle name="Ввод  2 4 2 2" xfId="55321"/>
    <cellStyle name="Ввод  2 4 2 3" xfId="55322"/>
    <cellStyle name="Ввод  2 4 2 4" xfId="55323"/>
    <cellStyle name="Ввод  2 4 2 5" xfId="55324"/>
    <cellStyle name="Ввод  2 4 2 6" xfId="55325"/>
    <cellStyle name="Ввод  2 4 2 7" xfId="55326"/>
    <cellStyle name="Ввод  2 4 2 8" xfId="55327"/>
    <cellStyle name="Ввод  2 4 2 9" xfId="55328"/>
    <cellStyle name="Ввод  2 4 3" xfId="55329"/>
    <cellStyle name="Ввод  2 4 4" xfId="55330"/>
    <cellStyle name="Ввод  2 4 5" xfId="55331"/>
    <cellStyle name="Ввод  2 4 6" xfId="55332"/>
    <cellStyle name="Ввод  2 4 7" xfId="55333"/>
    <cellStyle name="Ввод  2 4 8" xfId="55334"/>
    <cellStyle name="Ввод  2 4 9" xfId="55335"/>
    <cellStyle name="Ввод  2 5" xfId="55336"/>
    <cellStyle name="Ввод  20" xfId="55337"/>
    <cellStyle name="Ввод  21" xfId="55338"/>
    <cellStyle name="Ввод  22" xfId="55339"/>
    <cellStyle name="Ввод  23" xfId="55340"/>
    <cellStyle name="Ввод  24" xfId="55341"/>
    <cellStyle name="Ввод  3" xfId="55342"/>
    <cellStyle name="Ввод  3 2" xfId="55343"/>
    <cellStyle name="Ввод  3 2 2" xfId="55344"/>
    <cellStyle name="Ввод  3 2 3" xfId="55345"/>
    <cellStyle name="Ввод  3 2 4" xfId="55346"/>
    <cellStyle name="Ввод  3 3" xfId="55347"/>
    <cellStyle name="Ввод  3 4" xfId="55348"/>
    <cellStyle name="Ввод  3 5" xfId="55349"/>
    <cellStyle name="Ввод  4" xfId="55350"/>
    <cellStyle name="Ввод  4 2" xfId="55351"/>
    <cellStyle name="Ввод  4 3" xfId="55352"/>
    <cellStyle name="Ввод  4 4" xfId="55353"/>
    <cellStyle name="Ввод  5" xfId="55354"/>
    <cellStyle name="Ввод  5 2" xfId="55355"/>
    <cellStyle name="Ввод  6" xfId="55356"/>
    <cellStyle name="Ввод  7" xfId="55357"/>
    <cellStyle name="Ввод  8" xfId="55358"/>
    <cellStyle name="Ввод  9" xfId="55359"/>
    <cellStyle name="Вывод 10" xfId="55360"/>
    <cellStyle name="Вывод 11" xfId="55361"/>
    <cellStyle name="Вывод 12" xfId="55362"/>
    <cellStyle name="Вывод 13" xfId="55363"/>
    <cellStyle name="Вывод 14" xfId="55364"/>
    <cellStyle name="Вывод 15" xfId="55365"/>
    <cellStyle name="Вывод 16" xfId="55366"/>
    <cellStyle name="Вывод 17" xfId="55367"/>
    <cellStyle name="Вывод 18" xfId="55368"/>
    <cellStyle name="Вывод 19" xfId="55369"/>
    <cellStyle name="Вывод 2" xfId="55370"/>
    <cellStyle name="Вывод 2 2" xfId="55371"/>
    <cellStyle name="Вывод 2 2 10" xfId="55372"/>
    <cellStyle name="Вывод 2 2 11" xfId="55373"/>
    <cellStyle name="Вывод 2 2 12" xfId="55374"/>
    <cellStyle name="Вывод 2 2 13" xfId="55375"/>
    <cellStyle name="Вывод 2 2 14" xfId="55376"/>
    <cellStyle name="Вывод 2 2 15" xfId="55377"/>
    <cellStyle name="Вывод 2 2 16" xfId="55378"/>
    <cellStyle name="Вывод 2 2 17" xfId="55379"/>
    <cellStyle name="Вывод 2 2 18" xfId="55380"/>
    <cellStyle name="Вывод 2 2 19" xfId="55381"/>
    <cellStyle name="Вывод 2 2 2" xfId="55382"/>
    <cellStyle name="Вывод 2 2 2 2" xfId="55383"/>
    <cellStyle name="Вывод 2 2 2 3" xfId="55384"/>
    <cellStyle name="Вывод 2 2 2 4" xfId="55385"/>
    <cellStyle name="Вывод 2 2 2 5" xfId="55386"/>
    <cellStyle name="Вывод 2 2 2 6" xfId="55387"/>
    <cellStyle name="Вывод 2 2 2 7" xfId="55388"/>
    <cellStyle name="Вывод 2 2 2 8" xfId="55389"/>
    <cellStyle name="Вывод 2 2 2 9" xfId="55390"/>
    <cellStyle name="Вывод 2 2 20" xfId="55391"/>
    <cellStyle name="Вывод 2 2 21" xfId="55392"/>
    <cellStyle name="Вывод 2 2 3" xfId="55393"/>
    <cellStyle name="Вывод 2 2 4" xfId="55394"/>
    <cellStyle name="Вывод 2 2 5" xfId="55395"/>
    <cellStyle name="Вывод 2 2 6" xfId="55396"/>
    <cellStyle name="Вывод 2 2 7" xfId="55397"/>
    <cellStyle name="Вывод 2 2 8" xfId="55398"/>
    <cellStyle name="Вывод 2 2 9" xfId="55399"/>
    <cellStyle name="Вывод 2 3" xfId="55400"/>
    <cellStyle name="Вывод 2 3 10" xfId="55401"/>
    <cellStyle name="Вывод 2 3 11" xfId="55402"/>
    <cellStyle name="Вывод 2 3 12" xfId="55403"/>
    <cellStyle name="Вывод 2 3 13" xfId="55404"/>
    <cellStyle name="Вывод 2 3 14" xfId="55405"/>
    <cellStyle name="Вывод 2 3 15" xfId="55406"/>
    <cellStyle name="Вывод 2 3 16" xfId="55407"/>
    <cellStyle name="Вывод 2 3 17" xfId="55408"/>
    <cellStyle name="Вывод 2 3 18" xfId="55409"/>
    <cellStyle name="Вывод 2 3 19" xfId="55410"/>
    <cellStyle name="Вывод 2 3 2" xfId="55411"/>
    <cellStyle name="Вывод 2 3 2 2" xfId="55412"/>
    <cellStyle name="Вывод 2 3 2 3" xfId="55413"/>
    <cellStyle name="Вывод 2 3 2 4" xfId="55414"/>
    <cellStyle name="Вывод 2 3 2 5" xfId="55415"/>
    <cellStyle name="Вывод 2 3 2 6" xfId="55416"/>
    <cellStyle name="Вывод 2 3 2 7" xfId="55417"/>
    <cellStyle name="Вывод 2 3 2 8" xfId="55418"/>
    <cellStyle name="Вывод 2 3 2 9" xfId="55419"/>
    <cellStyle name="Вывод 2 3 3" xfId="55420"/>
    <cellStyle name="Вывод 2 3 4" xfId="55421"/>
    <cellStyle name="Вывод 2 3 5" xfId="55422"/>
    <cellStyle name="Вывод 2 3 6" xfId="55423"/>
    <cellStyle name="Вывод 2 3 7" xfId="55424"/>
    <cellStyle name="Вывод 2 3 8" xfId="55425"/>
    <cellStyle name="Вывод 2 3 9" xfId="55426"/>
    <cellStyle name="Вывод 2 4" xfId="55427"/>
    <cellStyle name="Вывод 2 4 10" xfId="55428"/>
    <cellStyle name="Вывод 2 4 11" xfId="55429"/>
    <cellStyle name="Вывод 2 4 12" xfId="55430"/>
    <cellStyle name="Вывод 2 4 13" xfId="55431"/>
    <cellStyle name="Вывод 2 4 14" xfId="55432"/>
    <cellStyle name="Вывод 2 4 15" xfId="55433"/>
    <cellStyle name="Вывод 2 4 16" xfId="55434"/>
    <cellStyle name="Вывод 2 4 17" xfId="55435"/>
    <cellStyle name="Вывод 2 4 18" xfId="55436"/>
    <cellStyle name="Вывод 2 4 2" xfId="55437"/>
    <cellStyle name="Вывод 2 4 2 2" xfId="55438"/>
    <cellStyle name="Вывод 2 4 2 3" xfId="55439"/>
    <cellStyle name="Вывод 2 4 2 4" xfId="55440"/>
    <cellStyle name="Вывод 2 4 2 5" xfId="55441"/>
    <cellStyle name="Вывод 2 4 2 6" xfId="55442"/>
    <cellStyle name="Вывод 2 4 2 7" xfId="55443"/>
    <cellStyle name="Вывод 2 4 2 8" xfId="55444"/>
    <cellStyle name="Вывод 2 4 2 9" xfId="55445"/>
    <cellStyle name="Вывод 2 4 3" xfId="55446"/>
    <cellStyle name="Вывод 2 4 4" xfId="55447"/>
    <cellStyle name="Вывод 2 4 5" xfId="55448"/>
    <cellStyle name="Вывод 2 4 6" xfId="55449"/>
    <cellStyle name="Вывод 2 4 7" xfId="55450"/>
    <cellStyle name="Вывод 2 4 8" xfId="55451"/>
    <cellStyle name="Вывод 2 4 9" xfId="55452"/>
    <cellStyle name="Вывод 2 5" xfId="55453"/>
    <cellStyle name="Вывод 20" xfId="55454"/>
    <cellStyle name="Вывод 21" xfId="55455"/>
    <cellStyle name="Вывод 22" xfId="55456"/>
    <cellStyle name="Вывод 23" xfId="55457"/>
    <cellStyle name="Вывод 24" xfId="55458"/>
    <cellStyle name="Вывод 3" xfId="55459"/>
    <cellStyle name="Вывод 3 2" xfId="55460"/>
    <cellStyle name="Вывод 3 2 2" xfId="55461"/>
    <cellStyle name="Вывод 3 2 3" xfId="55462"/>
    <cellStyle name="Вывод 3 2 4" xfId="55463"/>
    <cellStyle name="Вывод 3 3" xfId="55464"/>
    <cellStyle name="Вывод 3 4" xfId="55465"/>
    <cellStyle name="Вывод 3 5" xfId="55466"/>
    <cellStyle name="Вывод 4" xfId="55467"/>
    <cellStyle name="Вывод 4 2" xfId="55468"/>
    <cellStyle name="Вывод 4 3" xfId="55469"/>
    <cellStyle name="Вывод 4 4" xfId="55470"/>
    <cellStyle name="Вывод 5" xfId="55471"/>
    <cellStyle name="Вывод 5 2" xfId="55472"/>
    <cellStyle name="Вывод 6" xfId="55473"/>
    <cellStyle name="Вывод 7" xfId="55474"/>
    <cellStyle name="Вывод 8" xfId="55475"/>
    <cellStyle name="Вывод 9" xfId="55476"/>
    <cellStyle name="Вычисление 10" xfId="55477"/>
    <cellStyle name="Вычисление 11" xfId="55478"/>
    <cellStyle name="Вычисление 12" xfId="55479"/>
    <cellStyle name="Вычисление 13" xfId="55480"/>
    <cellStyle name="Вычисление 14" xfId="55481"/>
    <cellStyle name="Вычисление 15" xfId="55482"/>
    <cellStyle name="Вычисление 16" xfId="55483"/>
    <cellStyle name="Вычисление 17" xfId="55484"/>
    <cellStyle name="Вычисление 18" xfId="55485"/>
    <cellStyle name="Вычисление 19" xfId="55486"/>
    <cellStyle name="Вычисление 2" xfId="55487"/>
    <cellStyle name="Вычисление 2 2" xfId="55488"/>
    <cellStyle name="Вычисление 2 2 10" xfId="55489"/>
    <cellStyle name="Вычисление 2 2 11" xfId="55490"/>
    <cellStyle name="Вычисление 2 2 12" xfId="55491"/>
    <cellStyle name="Вычисление 2 2 13" xfId="55492"/>
    <cellStyle name="Вычисление 2 2 14" xfId="55493"/>
    <cellStyle name="Вычисление 2 2 15" xfId="55494"/>
    <cellStyle name="Вычисление 2 2 16" xfId="55495"/>
    <cellStyle name="Вычисление 2 2 17" xfId="55496"/>
    <cellStyle name="Вычисление 2 2 18" xfId="55497"/>
    <cellStyle name="Вычисление 2 2 19" xfId="55498"/>
    <cellStyle name="Вычисление 2 2 2" xfId="55499"/>
    <cellStyle name="Вычисление 2 2 2 2" xfId="55500"/>
    <cellStyle name="Вычисление 2 2 2 3" xfId="55501"/>
    <cellStyle name="Вычисление 2 2 2 4" xfId="55502"/>
    <cellStyle name="Вычисление 2 2 2 5" xfId="55503"/>
    <cellStyle name="Вычисление 2 2 2 6" xfId="55504"/>
    <cellStyle name="Вычисление 2 2 2 7" xfId="55505"/>
    <cellStyle name="Вычисление 2 2 2 8" xfId="55506"/>
    <cellStyle name="Вычисление 2 2 2 9" xfId="55507"/>
    <cellStyle name="Вычисление 2 2 3" xfId="55508"/>
    <cellStyle name="Вычисление 2 2 4" xfId="55509"/>
    <cellStyle name="Вычисление 2 2 5" xfId="55510"/>
    <cellStyle name="Вычисление 2 2 6" xfId="55511"/>
    <cellStyle name="Вычисление 2 2 7" xfId="55512"/>
    <cellStyle name="Вычисление 2 2 8" xfId="55513"/>
    <cellStyle name="Вычисление 2 2 9" xfId="55514"/>
    <cellStyle name="Вычисление 2 3" xfId="55515"/>
    <cellStyle name="Вычисление 2 3 10" xfId="55516"/>
    <cellStyle name="Вычисление 2 3 11" xfId="55517"/>
    <cellStyle name="Вычисление 2 3 12" xfId="55518"/>
    <cellStyle name="Вычисление 2 3 13" xfId="55519"/>
    <cellStyle name="Вычисление 2 3 14" xfId="55520"/>
    <cellStyle name="Вычисление 2 3 15" xfId="55521"/>
    <cellStyle name="Вычисление 2 3 16" xfId="55522"/>
    <cellStyle name="Вычисление 2 3 17" xfId="55523"/>
    <cellStyle name="Вычисление 2 3 18" xfId="55524"/>
    <cellStyle name="Вычисление 2 3 2" xfId="55525"/>
    <cellStyle name="Вычисление 2 3 2 2" xfId="55526"/>
    <cellStyle name="Вычисление 2 3 2 3" xfId="55527"/>
    <cellStyle name="Вычисление 2 3 2 4" xfId="55528"/>
    <cellStyle name="Вычисление 2 3 2 5" xfId="55529"/>
    <cellStyle name="Вычисление 2 3 2 6" xfId="55530"/>
    <cellStyle name="Вычисление 2 3 2 7" xfId="55531"/>
    <cellStyle name="Вычисление 2 3 2 8" xfId="55532"/>
    <cellStyle name="Вычисление 2 3 2 9" xfId="55533"/>
    <cellStyle name="Вычисление 2 3 3" xfId="55534"/>
    <cellStyle name="Вычисление 2 3 4" xfId="55535"/>
    <cellStyle name="Вычисление 2 3 5" xfId="55536"/>
    <cellStyle name="Вычисление 2 3 6" xfId="55537"/>
    <cellStyle name="Вычисление 2 3 7" xfId="55538"/>
    <cellStyle name="Вычисление 2 3 8" xfId="55539"/>
    <cellStyle name="Вычисление 2 3 9" xfId="55540"/>
    <cellStyle name="Вычисление 2 4" xfId="55541"/>
    <cellStyle name="Вычисление 2 4 10" xfId="55542"/>
    <cellStyle name="Вычисление 2 4 11" xfId="55543"/>
    <cellStyle name="Вычисление 2 4 12" xfId="55544"/>
    <cellStyle name="Вычисление 2 4 13" xfId="55545"/>
    <cellStyle name="Вычисление 2 4 14" xfId="55546"/>
    <cellStyle name="Вычисление 2 4 15" xfId="55547"/>
    <cellStyle name="Вычисление 2 4 16" xfId="55548"/>
    <cellStyle name="Вычисление 2 4 17" xfId="55549"/>
    <cellStyle name="Вычисление 2 4 18" xfId="55550"/>
    <cellStyle name="Вычисление 2 4 19" xfId="55551"/>
    <cellStyle name="Вычисление 2 4 2" xfId="55552"/>
    <cellStyle name="Вычисление 2 4 2 2" xfId="55553"/>
    <cellStyle name="Вычисление 2 4 2 3" xfId="55554"/>
    <cellStyle name="Вычисление 2 4 2 4" xfId="55555"/>
    <cellStyle name="Вычисление 2 4 2 5" xfId="55556"/>
    <cellStyle name="Вычисление 2 4 2 6" xfId="55557"/>
    <cellStyle name="Вычисление 2 4 2 7" xfId="55558"/>
    <cellStyle name="Вычисление 2 4 2 8" xfId="55559"/>
    <cellStyle name="Вычисление 2 4 2 9" xfId="55560"/>
    <cellStyle name="Вычисление 2 4 3" xfId="55561"/>
    <cellStyle name="Вычисление 2 4 4" xfId="55562"/>
    <cellStyle name="Вычисление 2 4 5" xfId="55563"/>
    <cellStyle name="Вычисление 2 4 6" xfId="55564"/>
    <cellStyle name="Вычисление 2 4 7" xfId="55565"/>
    <cellStyle name="Вычисление 2 4 8" xfId="55566"/>
    <cellStyle name="Вычисление 2 4 9" xfId="55567"/>
    <cellStyle name="Вычисление 2 5" xfId="55568"/>
    <cellStyle name="Вычисление 20" xfId="55569"/>
    <cellStyle name="Вычисление 21" xfId="55570"/>
    <cellStyle name="Вычисление 22" xfId="55571"/>
    <cellStyle name="Вычисление 23" xfId="55572"/>
    <cellStyle name="Вычисление 24" xfId="55573"/>
    <cellStyle name="Вычисление 3" xfId="55574"/>
    <cellStyle name="Вычисление 3 2" xfId="55575"/>
    <cellStyle name="Вычисление 3 2 2" xfId="55576"/>
    <cellStyle name="Вычисление 3 2 3" xfId="55577"/>
    <cellStyle name="Вычисление 3 2 4" xfId="55578"/>
    <cellStyle name="Вычисление 3 3" xfId="55579"/>
    <cellStyle name="Вычисление 3 4" xfId="55580"/>
    <cellStyle name="Вычисление 3 5" xfId="55581"/>
    <cellStyle name="Вычисление 4" xfId="55582"/>
    <cellStyle name="Вычисление 4 2" xfId="55583"/>
    <cellStyle name="Вычисление 4 3" xfId="55584"/>
    <cellStyle name="Вычисление 4 4" xfId="55585"/>
    <cellStyle name="Вычисление 5" xfId="55586"/>
    <cellStyle name="Вычисление 5 2" xfId="55587"/>
    <cellStyle name="Вычисление 6" xfId="55588"/>
    <cellStyle name="Вычисление 7" xfId="55589"/>
    <cellStyle name="Вычисление 8" xfId="55590"/>
    <cellStyle name="Вычисление 9" xfId="55591"/>
    <cellStyle name="Гиперссылка 2" xfId="55592"/>
    <cellStyle name="Денежный 2" xfId="55593"/>
    <cellStyle name="Денежный 2 2" xfId="55594"/>
    <cellStyle name="Денежный 2_Калькуляции ДСМ" xfId="55595"/>
    <cellStyle name="Денежный 3" xfId="55596"/>
    <cellStyle name="Денежный 4" xfId="55597"/>
    <cellStyle name="заголовок" xfId="55598"/>
    <cellStyle name="Заголовок 1 10" xfId="55599"/>
    <cellStyle name="Заголовок 1 11" xfId="55600"/>
    <cellStyle name="Заголовок 1 12" xfId="55601"/>
    <cellStyle name="Заголовок 1 13" xfId="55602"/>
    <cellStyle name="Заголовок 1 14" xfId="55603"/>
    <cellStyle name="Заголовок 1 15" xfId="55604"/>
    <cellStyle name="Заголовок 1 16" xfId="55605"/>
    <cellStyle name="Заголовок 1 17" xfId="55606"/>
    <cellStyle name="Заголовок 1 18" xfId="55607"/>
    <cellStyle name="Заголовок 1 19" xfId="55608"/>
    <cellStyle name="Заголовок 1 2" xfId="55609"/>
    <cellStyle name="Заголовок 1 2 2" xfId="55610"/>
    <cellStyle name="Заголовок 1 20" xfId="55611"/>
    <cellStyle name="Заголовок 1 21" xfId="55612"/>
    <cellStyle name="Заголовок 1 22" xfId="55613"/>
    <cellStyle name="Заголовок 1 23" xfId="55614"/>
    <cellStyle name="Заголовок 1 24" xfId="55615"/>
    <cellStyle name="Заголовок 1 3" xfId="55616"/>
    <cellStyle name="Заголовок 1 3 2" xfId="55617"/>
    <cellStyle name="Заголовок 1 4" xfId="55618"/>
    <cellStyle name="Заголовок 1 4 2" xfId="55619"/>
    <cellStyle name="Заголовок 1 5" xfId="55620"/>
    <cellStyle name="Заголовок 1 5 2" xfId="55621"/>
    <cellStyle name="Заголовок 1 6" xfId="55622"/>
    <cellStyle name="Заголовок 1 7" xfId="55623"/>
    <cellStyle name="Заголовок 1 8" xfId="55624"/>
    <cellStyle name="Заголовок 1 9" xfId="55625"/>
    <cellStyle name="Заголовок 2 10" xfId="55626"/>
    <cellStyle name="Заголовок 2 11" xfId="55627"/>
    <cellStyle name="Заголовок 2 12" xfId="55628"/>
    <cellStyle name="Заголовок 2 13" xfId="55629"/>
    <cellStyle name="Заголовок 2 14" xfId="55630"/>
    <cellStyle name="Заголовок 2 15" xfId="55631"/>
    <cellStyle name="Заголовок 2 16" xfId="55632"/>
    <cellStyle name="Заголовок 2 17" xfId="55633"/>
    <cellStyle name="Заголовок 2 18" xfId="55634"/>
    <cellStyle name="Заголовок 2 19" xfId="55635"/>
    <cellStyle name="Заголовок 2 2" xfId="55636"/>
    <cellStyle name="Заголовок 2 2 2" xfId="55637"/>
    <cellStyle name="Заголовок 2 20" xfId="55638"/>
    <cellStyle name="Заголовок 2 21" xfId="55639"/>
    <cellStyle name="Заголовок 2 22" xfId="55640"/>
    <cellStyle name="Заголовок 2 23" xfId="55641"/>
    <cellStyle name="Заголовок 2 24" xfId="55642"/>
    <cellStyle name="Заголовок 2 3" xfId="55643"/>
    <cellStyle name="Заголовок 2 3 2" xfId="55644"/>
    <cellStyle name="Заголовок 2 4" xfId="55645"/>
    <cellStyle name="Заголовок 2 4 2" xfId="55646"/>
    <cellStyle name="Заголовок 2 5" xfId="55647"/>
    <cellStyle name="Заголовок 2 5 2" xfId="55648"/>
    <cellStyle name="Заголовок 2 6" xfId="55649"/>
    <cellStyle name="Заголовок 2 7" xfId="55650"/>
    <cellStyle name="Заголовок 2 8" xfId="55651"/>
    <cellStyle name="Заголовок 2 9" xfId="55652"/>
    <cellStyle name="Заголовок 3 10" xfId="55653"/>
    <cellStyle name="Заголовок 3 11" xfId="55654"/>
    <cellStyle name="Заголовок 3 12" xfId="55655"/>
    <cellStyle name="Заголовок 3 13" xfId="55656"/>
    <cellStyle name="Заголовок 3 14" xfId="55657"/>
    <cellStyle name="Заголовок 3 15" xfId="55658"/>
    <cellStyle name="Заголовок 3 16" xfId="55659"/>
    <cellStyle name="Заголовок 3 17" xfId="55660"/>
    <cellStyle name="Заголовок 3 18" xfId="55661"/>
    <cellStyle name="Заголовок 3 19" xfId="55662"/>
    <cellStyle name="Заголовок 3 2" xfId="55663"/>
    <cellStyle name="Заголовок 3 2 2" xfId="55664"/>
    <cellStyle name="Заголовок 3 20" xfId="55665"/>
    <cellStyle name="Заголовок 3 21" xfId="55666"/>
    <cellStyle name="Заголовок 3 22" xfId="55667"/>
    <cellStyle name="Заголовок 3 23" xfId="55668"/>
    <cellStyle name="Заголовок 3 24" xfId="55669"/>
    <cellStyle name="Заголовок 3 3" xfId="55670"/>
    <cellStyle name="Заголовок 3 3 2" xfId="55671"/>
    <cellStyle name="Заголовок 3 4" xfId="55672"/>
    <cellStyle name="Заголовок 3 4 2" xfId="55673"/>
    <cellStyle name="Заголовок 3 5" xfId="55674"/>
    <cellStyle name="Заголовок 3 5 2" xfId="55675"/>
    <cellStyle name="Заголовок 3 6" xfId="55676"/>
    <cellStyle name="Заголовок 3 7" xfId="55677"/>
    <cellStyle name="Заголовок 3 8" xfId="55678"/>
    <cellStyle name="Заголовок 3 9" xfId="55679"/>
    <cellStyle name="Заголовок 4 10" xfId="55680"/>
    <cellStyle name="Заголовок 4 11" xfId="55681"/>
    <cellStyle name="Заголовок 4 12" xfId="55682"/>
    <cellStyle name="Заголовок 4 13" xfId="55683"/>
    <cellStyle name="Заголовок 4 14" xfId="55684"/>
    <cellStyle name="Заголовок 4 15" xfId="55685"/>
    <cellStyle name="Заголовок 4 16" xfId="55686"/>
    <cellStyle name="Заголовок 4 17" xfId="55687"/>
    <cellStyle name="Заголовок 4 18" xfId="55688"/>
    <cellStyle name="Заголовок 4 19" xfId="55689"/>
    <cellStyle name="Заголовок 4 2" xfId="55690"/>
    <cellStyle name="Заголовок 4 2 2" xfId="55691"/>
    <cellStyle name="Заголовок 4 20" xfId="55692"/>
    <cellStyle name="Заголовок 4 21" xfId="55693"/>
    <cellStyle name="Заголовок 4 22" xfId="55694"/>
    <cellStyle name="Заголовок 4 23" xfId="55695"/>
    <cellStyle name="Заголовок 4 24" xfId="55696"/>
    <cellStyle name="Заголовок 4 3" xfId="55697"/>
    <cellStyle name="Заголовок 4 3 2" xfId="55698"/>
    <cellStyle name="Заголовок 4 4" xfId="55699"/>
    <cellStyle name="Заголовок 4 4 2" xfId="55700"/>
    <cellStyle name="Заголовок 4 5" xfId="55701"/>
    <cellStyle name="Заголовок 4 5 2" xfId="55702"/>
    <cellStyle name="Заголовок 4 6" xfId="55703"/>
    <cellStyle name="Заголовок 4 7" xfId="55704"/>
    <cellStyle name="Заголовок 4 8" xfId="55705"/>
    <cellStyle name="Заголовок 4 9" xfId="55706"/>
    <cellStyle name="Заголовок формы" xfId="55707"/>
    <cellStyle name="Итог 10" xfId="55708"/>
    <cellStyle name="Итог 11" xfId="55709"/>
    <cellStyle name="Итог 12" xfId="55710"/>
    <cellStyle name="Итог 13" xfId="55711"/>
    <cellStyle name="Итог 14" xfId="55712"/>
    <cellStyle name="Итог 15" xfId="55713"/>
    <cellStyle name="Итог 16" xfId="55714"/>
    <cellStyle name="Итог 17" xfId="55715"/>
    <cellStyle name="Итог 18" xfId="55716"/>
    <cellStyle name="Итог 19" xfId="55717"/>
    <cellStyle name="Итог 2" xfId="55718"/>
    <cellStyle name="Итог 2 2" xfId="55719"/>
    <cellStyle name="Итог 2 2 10" xfId="55720"/>
    <cellStyle name="Итог 2 2 11" xfId="55721"/>
    <cellStyle name="Итог 2 2 12" xfId="55722"/>
    <cellStyle name="Итог 2 2 13" xfId="55723"/>
    <cellStyle name="Итог 2 2 14" xfId="55724"/>
    <cellStyle name="Итог 2 2 15" xfId="55725"/>
    <cellStyle name="Итог 2 2 16" xfId="55726"/>
    <cellStyle name="Итог 2 2 17" xfId="55727"/>
    <cellStyle name="Итог 2 2 18" xfId="55728"/>
    <cellStyle name="Итог 2 2 19" xfId="55729"/>
    <cellStyle name="Итог 2 2 2" xfId="55730"/>
    <cellStyle name="Итог 2 2 2 2" xfId="55731"/>
    <cellStyle name="Итог 2 2 2 3" xfId="55732"/>
    <cellStyle name="Итог 2 2 2 4" xfId="55733"/>
    <cellStyle name="Итог 2 2 2 5" xfId="55734"/>
    <cellStyle name="Итог 2 2 2 6" xfId="55735"/>
    <cellStyle name="Итог 2 2 2 7" xfId="55736"/>
    <cellStyle name="Итог 2 2 2 8" xfId="55737"/>
    <cellStyle name="Итог 2 2 2 9" xfId="55738"/>
    <cellStyle name="Итог 2 2 20" xfId="55739"/>
    <cellStyle name="Итог 2 2 3" xfId="55740"/>
    <cellStyle name="Итог 2 2 4" xfId="55741"/>
    <cellStyle name="Итог 2 2 5" xfId="55742"/>
    <cellStyle name="Итог 2 2 6" xfId="55743"/>
    <cellStyle name="Итог 2 2 7" xfId="55744"/>
    <cellStyle name="Итог 2 2 8" xfId="55745"/>
    <cellStyle name="Итог 2 2 9" xfId="55746"/>
    <cellStyle name="Итог 2 3" xfId="55747"/>
    <cellStyle name="Итог 2 3 10" xfId="55748"/>
    <cellStyle name="Итог 2 3 11" xfId="55749"/>
    <cellStyle name="Итог 2 3 12" xfId="55750"/>
    <cellStyle name="Итог 2 3 13" xfId="55751"/>
    <cellStyle name="Итог 2 3 14" xfId="55752"/>
    <cellStyle name="Итог 2 3 15" xfId="55753"/>
    <cellStyle name="Итог 2 3 16" xfId="55754"/>
    <cellStyle name="Итог 2 3 17" xfId="55755"/>
    <cellStyle name="Итог 2 3 18" xfId="55756"/>
    <cellStyle name="Итог 2 3 2" xfId="55757"/>
    <cellStyle name="Итог 2 3 2 2" xfId="55758"/>
    <cellStyle name="Итог 2 3 2 3" xfId="55759"/>
    <cellStyle name="Итог 2 3 2 4" xfId="55760"/>
    <cellStyle name="Итог 2 3 2 5" xfId="55761"/>
    <cellStyle name="Итог 2 3 2 6" xfId="55762"/>
    <cellStyle name="Итог 2 3 2 7" xfId="55763"/>
    <cellStyle name="Итог 2 3 2 8" xfId="55764"/>
    <cellStyle name="Итог 2 3 2 9" xfId="55765"/>
    <cellStyle name="Итог 2 3 3" xfId="55766"/>
    <cellStyle name="Итог 2 3 4" xfId="55767"/>
    <cellStyle name="Итог 2 3 5" xfId="55768"/>
    <cellStyle name="Итог 2 3 6" xfId="55769"/>
    <cellStyle name="Итог 2 3 7" xfId="55770"/>
    <cellStyle name="Итог 2 3 8" xfId="55771"/>
    <cellStyle name="Итог 2 3 9" xfId="55772"/>
    <cellStyle name="Итог 2 4" xfId="55773"/>
    <cellStyle name="Итог 2 4 10" xfId="55774"/>
    <cellStyle name="Итог 2 4 11" xfId="55775"/>
    <cellStyle name="Итог 2 4 12" xfId="55776"/>
    <cellStyle name="Итог 2 4 13" xfId="55777"/>
    <cellStyle name="Итог 2 4 14" xfId="55778"/>
    <cellStyle name="Итог 2 4 15" xfId="55779"/>
    <cellStyle name="Итог 2 4 16" xfId="55780"/>
    <cellStyle name="Итог 2 4 17" xfId="55781"/>
    <cellStyle name="Итог 2 4 18" xfId="55782"/>
    <cellStyle name="Итог 2 4 2" xfId="55783"/>
    <cellStyle name="Итог 2 4 2 2" xfId="55784"/>
    <cellStyle name="Итог 2 4 2 3" xfId="55785"/>
    <cellStyle name="Итог 2 4 2 4" xfId="55786"/>
    <cellStyle name="Итог 2 4 2 5" xfId="55787"/>
    <cellStyle name="Итог 2 4 2 6" xfId="55788"/>
    <cellStyle name="Итог 2 4 2 7" xfId="55789"/>
    <cellStyle name="Итог 2 4 2 8" xfId="55790"/>
    <cellStyle name="Итог 2 4 2 9" xfId="55791"/>
    <cellStyle name="Итог 2 4 3" xfId="55792"/>
    <cellStyle name="Итог 2 4 4" xfId="55793"/>
    <cellStyle name="Итог 2 4 5" xfId="55794"/>
    <cellStyle name="Итог 2 4 6" xfId="55795"/>
    <cellStyle name="Итог 2 4 7" xfId="55796"/>
    <cellStyle name="Итог 2 4 8" xfId="55797"/>
    <cellStyle name="Итог 2 4 9" xfId="55798"/>
    <cellStyle name="Итог 2 5" xfId="55799"/>
    <cellStyle name="Итог 20" xfId="55800"/>
    <cellStyle name="Итог 21" xfId="55801"/>
    <cellStyle name="Итог 22" xfId="55802"/>
    <cellStyle name="Итог 23" xfId="55803"/>
    <cellStyle name="Итог 24" xfId="55804"/>
    <cellStyle name="Итог 3" xfId="55805"/>
    <cellStyle name="Итог 3 2" xfId="55806"/>
    <cellStyle name="Итог 3 2 2" xfId="55807"/>
    <cellStyle name="Итог 3 2 3" xfId="55808"/>
    <cellStyle name="Итог 3 2 4" xfId="55809"/>
    <cellStyle name="Итог 3 3" xfId="55810"/>
    <cellStyle name="Итог 3 4" xfId="55811"/>
    <cellStyle name="Итог 3 5" xfId="55812"/>
    <cellStyle name="Итог 4" xfId="55813"/>
    <cellStyle name="Итог 4 2" xfId="55814"/>
    <cellStyle name="Итог 4 3" xfId="55815"/>
    <cellStyle name="Итог 4 4" xfId="55816"/>
    <cellStyle name="Итог 5" xfId="55817"/>
    <cellStyle name="Итог 5 2" xfId="55818"/>
    <cellStyle name="Итог 6" xfId="55819"/>
    <cellStyle name="Итог 7" xfId="55820"/>
    <cellStyle name="Итог 8" xfId="55821"/>
    <cellStyle name="Итог 9" xfId="55822"/>
    <cellStyle name="Итого" xfId="55823"/>
    <cellStyle name="Итого 2" xfId="55824"/>
    <cellStyle name="Итого 2 10" xfId="55825"/>
    <cellStyle name="Итого 2 11" xfId="55826"/>
    <cellStyle name="Итого 2 12" xfId="55827"/>
    <cellStyle name="Итого 2 13" xfId="55828"/>
    <cellStyle name="Итого 2 14" xfId="55829"/>
    <cellStyle name="Итого 2 15" xfId="55830"/>
    <cellStyle name="Итого 2 16" xfId="55831"/>
    <cellStyle name="Итого 2 17" xfId="55832"/>
    <cellStyle name="Итого 2 18" xfId="55833"/>
    <cellStyle name="Итого 2 19" xfId="55834"/>
    <cellStyle name="Итого 2 2" xfId="55835"/>
    <cellStyle name="Итого 2 2 2" xfId="55836"/>
    <cellStyle name="Итого 2 2 3" xfId="55837"/>
    <cellStyle name="Итого 2 2 4" xfId="55838"/>
    <cellStyle name="Итого 2 2 5" xfId="55839"/>
    <cellStyle name="Итого 2 2 6" xfId="55840"/>
    <cellStyle name="Итого 2 2 7" xfId="55841"/>
    <cellStyle name="Итого 2 2 8" xfId="55842"/>
    <cellStyle name="Итого 2 2 9" xfId="55843"/>
    <cellStyle name="Итого 2 20" xfId="55844"/>
    <cellStyle name="Итого 2 3" xfId="55845"/>
    <cellStyle name="Итого 2 4" xfId="55846"/>
    <cellStyle name="Итого 2 5" xfId="55847"/>
    <cellStyle name="Итого 2 6" xfId="55848"/>
    <cellStyle name="Итого 2 7" xfId="55849"/>
    <cellStyle name="Итого 2 8" xfId="55850"/>
    <cellStyle name="Итого 2 9" xfId="55851"/>
    <cellStyle name="Итого 3" xfId="55852"/>
    <cellStyle name="Итого 3 10" xfId="55853"/>
    <cellStyle name="Итого 3 11" xfId="55854"/>
    <cellStyle name="Итого 3 12" xfId="55855"/>
    <cellStyle name="Итого 3 13" xfId="55856"/>
    <cellStyle name="Итого 3 14" xfId="55857"/>
    <cellStyle name="Итого 3 15" xfId="55858"/>
    <cellStyle name="Итого 3 16" xfId="55859"/>
    <cellStyle name="Итого 3 17" xfId="55860"/>
    <cellStyle name="Итого 3 18" xfId="55861"/>
    <cellStyle name="Итого 3 2" xfId="55862"/>
    <cellStyle name="Итого 3 2 2" xfId="55863"/>
    <cellStyle name="Итого 3 2 3" xfId="55864"/>
    <cellStyle name="Итого 3 2 4" xfId="55865"/>
    <cellStyle name="Итого 3 2 5" xfId="55866"/>
    <cellStyle name="Итого 3 2 6" xfId="55867"/>
    <cellStyle name="Итого 3 2 7" xfId="55868"/>
    <cellStyle name="Итого 3 2 8" xfId="55869"/>
    <cellStyle name="Итого 3 2 9" xfId="55870"/>
    <cellStyle name="Итого 3 3" xfId="55871"/>
    <cellStyle name="Итого 3 4" xfId="55872"/>
    <cellStyle name="Итого 3 5" xfId="55873"/>
    <cellStyle name="Итого 3 6" xfId="55874"/>
    <cellStyle name="Итого 3 7" xfId="55875"/>
    <cellStyle name="Итого 3 8" xfId="55876"/>
    <cellStyle name="Итого 3 9" xfId="55877"/>
    <cellStyle name="Итого 4" xfId="55878"/>
    <cellStyle name="Итого 4 10" xfId="55879"/>
    <cellStyle name="Итого 4 11" xfId="55880"/>
    <cellStyle name="Итого 4 12" xfId="55881"/>
    <cellStyle name="Итого 4 13" xfId="55882"/>
    <cellStyle name="Итого 4 14" xfId="55883"/>
    <cellStyle name="Итого 4 15" xfId="55884"/>
    <cellStyle name="Итого 4 16" xfId="55885"/>
    <cellStyle name="Итого 4 17" xfId="55886"/>
    <cellStyle name="Итого 4 18" xfId="55887"/>
    <cellStyle name="Итого 4 2" xfId="55888"/>
    <cellStyle name="Итого 4 2 2" xfId="55889"/>
    <cellStyle name="Итого 4 2 3" xfId="55890"/>
    <cellStyle name="Итого 4 2 4" xfId="55891"/>
    <cellStyle name="Итого 4 2 5" xfId="55892"/>
    <cellStyle name="Итого 4 2 6" xfId="55893"/>
    <cellStyle name="Итого 4 2 7" xfId="55894"/>
    <cellStyle name="Итого 4 2 8" xfId="55895"/>
    <cellStyle name="Итого 4 2 9" xfId="55896"/>
    <cellStyle name="Итого 4 3" xfId="55897"/>
    <cellStyle name="Итого 4 4" xfId="55898"/>
    <cellStyle name="Итого 4 5" xfId="55899"/>
    <cellStyle name="Итого 4 6" xfId="55900"/>
    <cellStyle name="Итого 4 7" xfId="55901"/>
    <cellStyle name="Итого 4 8" xfId="55902"/>
    <cellStyle name="Итого 4 9" xfId="55903"/>
    <cellStyle name="Итого 5" xfId="55904"/>
    <cellStyle name="Контрольная ячейка 10" xfId="55905"/>
    <cellStyle name="Контрольная ячейка 11" xfId="55906"/>
    <cellStyle name="Контрольная ячейка 12" xfId="55907"/>
    <cellStyle name="Контрольная ячейка 13" xfId="55908"/>
    <cellStyle name="Контрольная ячейка 14" xfId="55909"/>
    <cellStyle name="Контрольная ячейка 15" xfId="55910"/>
    <cellStyle name="Контрольная ячейка 16" xfId="55911"/>
    <cellStyle name="Контрольная ячейка 17" xfId="55912"/>
    <cellStyle name="Контрольная ячейка 18" xfId="55913"/>
    <cellStyle name="Контрольная ячейка 19" xfId="55914"/>
    <cellStyle name="Контрольная ячейка 2" xfId="55915"/>
    <cellStyle name="Контрольная ячейка 2 2" xfId="55916"/>
    <cellStyle name="Контрольная ячейка 20" xfId="55917"/>
    <cellStyle name="Контрольная ячейка 21" xfId="55918"/>
    <cellStyle name="Контрольная ячейка 22" xfId="55919"/>
    <cellStyle name="Контрольная ячейка 23" xfId="55920"/>
    <cellStyle name="Контрольная ячейка 24" xfId="55921"/>
    <cellStyle name="Контрольная ячейка 3" xfId="55922"/>
    <cellStyle name="Контрольная ячейка 3 2" xfId="55923"/>
    <cellStyle name="Контрольная ячейка 4" xfId="55924"/>
    <cellStyle name="Контрольная ячейка 4 2" xfId="55925"/>
    <cellStyle name="Контрольная ячейка 5" xfId="55926"/>
    <cellStyle name="Контрольная ячейка 5 2" xfId="55927"/>
    <cellStyle name="Контрольная ячейка 6" xfId="55928"/>
    <cellStyle name="Контрольная ячейка 7" xfId="55929"/>
    <cellStyle name="Контрольная ячейка 8" xfId="55930"/>
    <cellStyle name="Контрольная ячейка 9" xfId="55931"/>
    <cellStyle name="Коэф  и нормы, группа" xfId="55932"/>
    <cellStyle name="Название 10" xfId="55933"/>
    <cellStyle name="Название 11" xfId="55934"/>
    <cellStyle name="Название 12" xfId="55935"/>
    <cellStyle name="Название 13" xfId="55936"/>
    <cellStyle name="Название 14" xfId="55937"/>
    <cellStyle name="Название 15" xfId="55938"/>
    <cellStyle name="Название 16" xfId="55939"/>
    <cellStyle name="Название 17" xfId="55940"/>
    <cellStyle name="Название 18" xfId="55941"/>
    <cellStyle name="Название 19" xfId="55942"/>
    <cellStyle name="Название 2" xfId="55943"/>
    <cellStyle name="Название 2 2" xfId="55944"/>
    <cellStyle name="Название 20" xfId="55945"/>
    <cellStyle name="Название 21" xfId="55946"/>
    <cellStyle name="Название 22" xfId="55947"/>
    <cellStyle name="Название 23" xfId="55948"/>
    <cellStyle name="Название 3" xfId="55949"/>
    <cellStyle name="Название 3 2" xfId="55950"/>
    <cellStyle name="Название 4" xfId="55951"/>
    <cellStyle name="Название 4 2" xfId="55952"/>
    <cellStyle name="Название 5" xfId="55953"/>
    <cellStyle name="Название 5 2" xfId="55954"/>
    <cellStyle name="Название 6" xfId="55955"/>
    <cellStyle name="Название 7" xfId="55956"/>
    <cellStyle name="Название 8" xfId="55957"/>
    <cellStyle name="Название 9" xfId="55958"/>
    <cellStyle name="Нейтральный 10" xfId="55959"/>
    <cellStyle name="Нейтральный 11" xfId="55960"/>
    <cellStyle name="Нейтральный 12" xfId="55961"/>
    <cellStyle name="Нейтральный 13" xfId="55962"/>
    <cellStyle name="Нейтральный 14" xfId="55963"/>
    <cellStyle name="Нейтральный 15" xfId="55964"/>
    <cellStyle name="Нейтральный 16" xfId="55965"/>
    <cellStyle name="Нейтральный 17" xfId="55966"/>
    <cellStyle name="Нейтральный 18" xfId="55967"/>
    <cellStyle name="Нейтральный 19" xfId="55968"/>
    <cellStyle name="Нейтральный 2" xfId="55969"/>
    <cellStyle name="Нейтральный 2 2" xfId="55970"/>
    <cellStyle name="Нейтральный 2 3" xfId="55971"/>
    <cellStyle name="Нейтральный 20" xfId="55972"/>
    <cellStyle name="Нейтральный 21" xfId="55973"/>
    <cellStyle name="Нейтральный 22" xfId="55974"/>
    <cellStyle name="Нейтральный 23" xfId="55975"/>
    <cellStyle name="Нейтральный 24" xfId="55976"/>
    <cellStyle name="Нейтральный 3" xfId="55977"/>
    <cellStyle name="Нейтральный 3 2" xfId="55978"/>
    <cellStyle name="Нейтральный 4" xfId="55979"/>
    <cellStyle name="Нейтральный 4 2" xfId="55980"/>
    <cellStyle name="Нейтральный 5" xfId="55981"/>
    <cellStyle name="Нейтральный 5 2" xfId="55982"/>
    <cellStyle name="Нейтральный 6" xfId="55983"/>
    <cellStyle name="Нейтральный 7" xfId="55984"/>
    <cellStyle name="Нейтральный 8" xfId="55985"/>
    <cellStyle name="Нейтральный 9" xfId="55986"/>
    <cellStyle name="Обычный" xfId="0" builtinId="0"/>
    <cellStyle name="Обычный 10" xfId="55987"/>
    <cellStyle name="Обычный 10 10" xfId="55988"/>
    <cellStyle name="Обычный 10 11" xfId="55989"/>
    <cellStyle name="Обычный 10 2" xfId="55990"/>
    <cellStyle name="Обычный 10 2 2" xfId="55991"/>
    <cellStyle name="Обычный 10 2 2 2" xfId="55992"/>
    <cellStyle name="Обычный 10 2 2 2 2" xfId="55993"/>
    <cellStyle name="Обычный 10 2 2 2 3" xfId="55994"/>
    <cellStyle name="Обычный 10 2 2 2 4" xfId="55995"/>
    <cellStyle name="Обычный 10 2 2 3" xfId="55996"/>
    <cellStyle name="Обычный 10 2 2 4" xfId="55997"/>
    <cellStyle name="Обычный 10 2 2 5" xfId="55998"/>
    <cellStyle name="Обычный 10 2 3" xfId="55999"/>
    <cellStyle name="Обычный 10 2 3 2" xfId="56000"/>
    <cellStyle name="Обычный 10 2 3 2 2" xfId="56001"/>
    <cellStyle name="Обычный 10 2 3 2 3" xfId="56002"/>
    <cellStyle name="Обычный 10 2 3 2 4" xfId="56003"/>
    <cellStyle name="Обычный 10 2 3 3" xfId="56004"/>
    <cellStyle name="Обычный 10 2 3 4" xfId="56005"/>
    <cellStyle name="Обычный 10 2 3 5" xfId="56006"/>
    <cellStyle name="Обычный 10 2 4" xfId="56007"/>
    <cellStyle name="Обычный 10 2 4 2" xfId="56008"/>
    <cellStyle name="Обычный 10 2 4 3" xfId="56009"/>
    <cellStyle name="Обычный 10 2 4 4" xfId="56010"/>
    <cellStyle name="Обычный 10 2 5" xfId="56011"/>
    <cellStyle name="Обычный 10 2 6" xfId="56012"/>
    <cellStyle name="Обычный 10 2 7" xfId="56013"/>
    <cellStyle name="Обычный 10 2 8" xfId="56014"/>
    <cellStyle name="Обычный 10 3" xfId="56015"/>
    <cellStyle name="Обычный 10 3 2" xfId="56016"/>
    <cellStyle name="Обычный 10 3 2 2" xfId="56017"/>
    <cellStyle name="Обычный 10 3 2 2 2" xfId="56018"/>
    <cellStyle name="Обычный 10 3 2 2 3" xfId="56019"/>
    <cellStyle name="Обычный 10 3 2 2 4" xfId="56020"/>
    <cellStyle name="Обычный 10 3 2 3" xfId="56021"/>
    <cellStyle name="Обычный 10 3 2 4" xfId="56022"/>
    <cellStyle name="Обычный 10 3 2 5" xfId="56023"/>
    <cellStyle name="Обычный 10 3 3" xfId="56024"/>
    <cellStyle name="Обычный 10 3 3 2" xfId="56025"/>
    <cellStyle name="Обычный 10 3 3 2 2" xfId="56026"/>
    <cellStyle name="Обычный 10 3 3 2 3" xfId="56027"/>
    <cellStyle name="Обычный 10 3 3 2 4" xfId="56028"/>
    <cellStyle name="Обычный 10 3 3 3" xfId="56029"/>
    <cellStyle name="Обычный 10 3 3 4" xfId="56030"/>
    <cellStyle name="Обычный 10 3 3 5" xfId="56031"/>
    <cellStyle name="Обычный 10 3 4" xfId="56032"/>
    <cellStyle name="Обычный 10 3 4 2" xfId="56033"/>
    <cellStyle name="Обычный 10 3 4 3" xfId="56034"/>
    <cellStyle name="Обычный 10 3 4 4" xfId="56035"/>
    <cellStyle name="Обычный 10 3 5" xfId="56036"/>
    <cellStyle name="Обычный 10 3 6" xfId="56037"/>
    <cellStyle name="Обычный 10 3 7" xfId="56038"/>
    <cellStyle name="Обычный 10 3 8" xfId="56039"/>
    <cellStyle name="Обычный 10 3 9" xfId="56040"/>
    <cellStyle name="Обычный 10 4" xfId="56041"/>
    <cellStyle name="Обычный 10 4 2" xfId="56042"/>
    <cellStyle name="Обычный 10 4 2 2" xfId="56043"/>
    <cellStyle name="Обычный 10 4 2 3" xfId="56044"/>
    <cellStyle name="Обычный 10 4 2 4" xfId="56045"/>
    <cellStyle name="Обычный 10 4 3" xfId="56046"/>
    <cellStyle name="Обычный 10 4 4" xfId="56047"/>
    <cellStyle name="Обычный 10 4 5" xfId="56048"/>
    <cellStyle name="Обычный 10 5" xfId="56049"/>
    <cellStyle name="Обычный 10 5 2" xfId="56050"/>
    <cellStyle name="Обычный 10 5 2 2" xfId="56051"/>
    <cellStyle name="Обычный 10 5 2 3" xfId="56052"/>
    <cellStyle name="Обычный 10 5 2 4" xfId="56053"/>
    <cellStyle name="Обычный 10 5 3" xfId="56054"/>
    <cellStyle name="Обычный 10 5 4" xfId="56055"/>
    <cellStyle name="Обычный 10 5 5" xfId="56056"/>
    <cellStyle name="Обычный 10 6" xfId="56057"/>
    <cellStyle name="Обычный 10 6 2" xfId="56058"/>
    <cellStyle name="Обычный 10 6 3" xfId="56059"/>
    <cellStyle name="Обычный 10 6 4" xfId="56060"/>
    <cellStyle name="Обычный 10 7" xfId="56061"/>
    <cellStyle name="Обычный 10 7 2" xfId="56062"/>
    <cellStyle name="Обычный 10 7 2 2" xfId="56063"/>
    <cellStyle name="Обычный 10 7 2 3" xfId="56064"/>
    <cellStyle name="Обычный 10 7 2 4" xfId="56065"/>
    <cellStyle name="Обычный 10 7 3" xfId="56066"/>
    <cellStyle name="Обычный 10 7 4" xfId="56067"/>
    <cellStyle name="Обычный 10 7 5" xfId="56068"/>
    <cellStyle name="Обычный 10 8" xfId="56069"/>
    <cellStyle name="Обычный 10 9" xfId="56070"/>
    <cellStyle name="Обычный 107" xfId="56071"/>
    <cellStyle name="Обычный 11" xfId="56072"/>
    <cellStyle name="Обычный 11 10" xfId="56073"/>
    <cellStyle name="Обычный 11 11" xfId="56074"/>
    <cellStyle name="Обычный 11 2" xfId="56075"/>
    <cellStyle name="Обычный 11 2 2" xfId="56076"/>
    <cellStyle name="Обычный 11 2 2 2" xfId="56077"/>
    <cellStyle name="Обычный 11 2 2 2 2" xfId="56078"/>
    <cellStyle name="Обычный 11 2 2 2 2 2" xfId="56079"/>
    <cellStyle name="Обычный 11 2 2 2 2 3" xfId="56080"/>
    <cellStyle name="Обычный 11 2 2 2 2 4" xfId="56081"/>
    <cellStyle name="Обычный 11 2 2 2 3" xfId="56082"/>
    <cellStyle name="Обычный 11 2 2 2 4" xfId="56083"/>
    <cellStyle name="Обычный 11 2 2 2 5" xfId="56084"/>
    <cellStyle name="Обычный 11 2 2 3" xfId="56085"/>
    <cellStyle name="Обычный 11 2 2 3 2" xfId="56086"/>
    <cellStyle name="Обычный 11 2 2 3 2 2" xfId="56087"/>
    <cellStyle name="Обычный 11 2 2 3 2 3" xfId="56088"/>
    <cellStyle name="Обычный 11 2 2 3 2 4" xfId="56089"/>
    <cellStyle name="Обычный 11 2 2 3 3" xfId="56090"/>
    <cellStyle name="Обычный 11 2 2 3 4" xfId="56091"/>
    <cellStyle name="Обычный 11 2 2 3 5" xfId="56092"/>
    <cellStyle name="Обычный 11 2 2 4" xfId="56093"/>
    <cellStyle name="Обычный 11 2 2 4 2" xfId="56094"/>
    <cellStyle name="Обычный 11 2 2 4 3" xfId="56095"/>
    <cellStyle name="Обычный 11 2 2 4 4" xfId="56096"/>
    <cellStyle name="Обычный 11 2 2 5" xfId="56097"/>
    <cellStyle name="Обычный 11 2 2 6" xfId="56098"/>
    <cellStyle name="Обычный 11 2 2 7" xfId="56099"/>
    <cellStyle name="Обычный 11 2 3" xfId="56100"/>
    <cellStyle name="Обычный 11 2 3 2" xfId="56101"/>
    <cellStyle name="Обычный 11 2 3 2 2" xfId="56102"/>
    <cellStyle name="Обычный 11 2 3 2 3" xfId="56103"/>
    <cellStyle name="Обычный 11 2 3 2 4" xfId="56104"/>
    <cellStyle name="Обычный 11 2 3 3" xfId="56105"/>
    <cellStyle name="Обычный 11 2 3 4" xfId="56106"/>
    <cellStyle name="Обычный 11 2 3 5" xfId="56107"/>
    <cellStyle name="Обычный 11 2 4" xfId="56108"/>
    <cellStyle name="Обычный 11 2 4 2" xfId="56109"/>
    <cellStyle name="Обычный 11 2 4 2 2" xfId="56110"/>
    <cellStyle name="Обычный 11 2 4 2 3" xfId="56111"/>
    <cellStyle name="Обычный 11 2 4 2 4" xfId="56112"/>
    <cellStyle name="Обычный 11 2 4 3" xfId="56113"/>
    <cellStyle name="Обычный 11 2 4 4" xfId="56114"/>
    <cellStyle name="Обычный 11 2 4 5" xfId="56115"/>
    <cellStyle name="Обычный 11 2 5" xfId="56116"/>
    <cellStyle name="Обычный 11 2 5 2" xfId="56117"/>
    <cellStyle name="Обычный 11 2 5 3" xfId="56118"/>
    <cellStyle name="Обычный 11 2 5 4" xfId="56119"/>
    <cellStyle name="Обычный 11 2 6" xfId="56120"/>
    <cellStyle name="Обычный 11 2 7" xfId="56121"/>
    <cellStyle name="Обычный 11 2 8" xfId="56122"/>
    <cellStyle name="Обычный 11 2 9" xfId="56123"/>
    <cellStyle name="Обычный 11 3" xfId="56124"/>
    <cellStyle name="Обычный 11 3 2" xfId="56125"/>
    <cellStyle name="Обычный 11 3 2 2" xfId="56126"/>
    <cellStyle name="Обычный 11 3 2 3" xfId="56127"/>
    <cellStyle name="Обычный 11 3 2 4" xfId="56128"/>
    <cellStyle name="Обычный 11 3 3" xfId="56129"/>
    <cellStyle name="Обычный 11 3 4" xfId="56130"/>
    <cellStyle name="Обычный 11 3 5" xfId="56131"/>
    <cellStyle name="Обычный 11 4" xfId="56132"/>
    <cellStyle name="Обычный 11 4 2" xfId="56133"/>
    <cellStyle name="Обычный 11 4 2 2" xfId="56134"/>
    <cellStyle name="Обычный 11 4 2 3" xfId="56135"/>
    <cellStyle name="Обычный 11 4 2 4" xfId="56136"/>
    <cellStyle name="Обычный 11 4 3" xfId="56137"/>
    <cellStyle name="Обычный 11 4 4" xfId="56138"/>
    <cellStyle name="Обычный 11 4 5" xfId="56139"/>
    <cellStyle name="Обычный 11 5" xfId="56140"/>
    <cellStyle name="Обычный 11 5 2" xfId="56141"/>
    <cellStyle name="Обычный 11 5 2 2" xfId="56142"/>
    <cellStyle name="Обычный 11 5 3" xfId="56143"/>
    <cellStyle name="Обычный 11 5 4" xfId="56144"/>
    <cellStyle name="Обычный 11 6" xfId="56145"/>
    <cellStyle name="Обычный 11 6 2" xfId="56146"/>
    <cellStyle name="Обычный 11 7" xfId="56147"/>
    <cellStyle name="Обычный 11 8" xfId="56148"/>
    <cellStyle name="Обычный 11 9" xfId="56149"/>
    <cellStyle name="Обычный 12" xfId="56150"/>
    <cellStyle name="Обычный 12 10" xfId="56151"/>
    <cellStyle name="Обычный 12 2" xfId="56152"/>
    <cellStyle name="Обычный 12 2 2" xfId="56153"/>
    <cellStyle name="Обычный 12 2 2 2" xfId="56154"/>
    <cellStyle name="Обычный 12 2 2 2 2" xfId="56155"/>
    <cellStyle name="Обычный 12 2 2 3" xfId="56156"/>
    <cellStyle name="Обычный 12 2 2 4" xfId="56157"/>
    <cellStyle name="Обычный 12 2 3" xfId="56158"/>
    <cellStyle name="Обычный 12 2 3 2" xfId="56159"/>
    <cellStyle name="Обычный 12 2 3 2 2" xfId="56160"/>
    <cellStyle name="Обычный 12 2 3 3" xfId="56161"/>
    <cellStyle name="Обычный 12 2 4" xfId="56162"/>
    <cellStyle name="Обычный 12 2 4 2" xfId="56163"/>
    <cellStyle name="Обычный 12 2 5" xfId="56164"/>
    <cellStyle name="Обычный 12 2 6" xfId="56165"/>
    <cellStyle name="Обычный 12 2 7" xfId="56166"/>
    <cellStyle name="Обычный 12 2 8" xfId="56167"/>
    <cellStyle name="Обычный 12 2 9" xfId="56168"/>
    <cellStyle name="Обычный 12 3" xfId="56169"/>
    <cellStyle name="Обычный 12 4" xfId="56170"/>
    <cellStyle name="Обычный 12 4 2" xfId="56171"/>
    <cellStyle name="Обычный 12 4 2 2" xfId="56172"/>
    <cellStyle name="Обычный 12 4 3" xfId="56173"/>
    <cellStyle name="Обычный 12 4 4" xfId="56174"/>
    <cellStyle name="Обычный 12 5" xfId="56175"/>
    <cellStyle name="Обычный 12 5 2" xfId="56176"/>
    <cellStyle name="Обычный 12 5 2 2" xfId="56177"/>
    <cellStyle name="Обычный 12 5 3" xfId="56178"/>
    <cellStyle name="Обычный 12 6" xfId="56179"/>
    <cellStyle name="Обычный 12 6 2" xfId="56180"/>
    <cellStyle name="Обычный 12 7" xfId="56181"/>
    <cellStyle name="Обычный 12 8" xfId="56182"/>
    <cellStyle name="Обычный 12 9" xfId="56183"/>
    <cellStyle name="Обычный 13" xfId="56184"/>
    <cellStyle name="Обычный 13 2" xfId="56185"/>
    <cellStyle name="Обычный 13 2 2" xfId="56186"/>
    <cellStyle name="Обычный 13 2 2 2" xfId="56187"/>
    <cellStyle name="Обычный 13 2 2 2 2" xfId="56188"/>
    <cellStyle name="Обычный 13 2 2 3" xfId="56189"/>
    <cellStyle name="Обычный 13 2 2 4" xfId="56190"/>
    <cellStyle name="Обычный 13 2 3" xfId="56191"/>
    <cellStyle name="Обычный 13 2 3 2" xfId="56192"/>
    <cellStyle name="Обычный 13 2 3 2 2" xfId="56193"/>
    <cellStyle name="Обычный 13 2 3 3" xfId="56194"/>
    <cellStyle name="Обычный 13 2 4" xfId="56195"/>
    <cellStyle name="Обычный 13 2 4 2" xfId="56196"/>
    <cellStyle name="Обычный 13 2 5" xfId="56197"/>
    <cellStyle name="Обычный 13 2 6" xfId="56198"/>
    <cellStyle name="Обычный 13 2 7" xfId="56199"/>
    <cellStyle name="Обычный 13 2 8" xfId="56200"/>
    <cellStyle name="Обычный 13 2 9" xfId="56201"/>
    <cellStyle name="Обычный 13 3" xfId="56202"/>
    <cellStyle name="Обычный 13 4" xfId="56203"/>
    <cellStyle name="Обычный 14" xfId="56204"/>
    <cellStyle name="Обычный 14 2" xfId="56205"/>
    <cellStyle name="Обычный 14 2 2" xfId="56206"/>
    <cellStyle name="Обычный 14 2 2 2" xfId="56207"/>
    <cellStyle name="Обычный 14 2 2 2 2" xfId="56208"/>
    <cellStyle name="Обычный 15" xfId="56209"/>
    <cellStyle name="Обычный 15 2" xfId="56210"/>
    <cellStyle name="Обычный 15 2 2" xfId="56211"/>
    <cellStyle name="Обычный 15 2 2 2" xfId="56212"/>
    <cellStyle name="Обычный 15 2 3" xfId="56213"/>
    <cellStyle name="Обычный 15 2 4" xfId="56214"/>
    <cellStyle name="Обычный 15 3" xfId="56215"/>
    <cellStyle name="Обычный 15 3 2" xfId="56216"/>
    <cellStyle name="Обычный 15 3 2 2" xfId="56217"/>
    <cellStyle name="Обычный 15 3 3" xfId="56218"/>
    <cellStyle name="Обычный 15 4" xfId="56219"/>
    <cellStyle name="Обычный 15 4 2" xfId="56220"/>
    <cellStyle name="Обычный 15 5" xfId="56221"/>
    <cellStyle name="Обычный 15 6" xfId="56222"/>
    <cellStyle name="Обычный 15 7" xfId="56223"/>
    <cellStyle name="Обычный 15 8" xfId="56224"/>
    <cellStyle name="Обычный 16" xfId="56225"/>
    <cellStyle name="Обычный 16 2" xfId="56226"/>
    <cellStyle name="Обычный 16 2 2" xfId="56227"/>
    <cellStyle name="Обычный 16 2 2 2" xfId="56228"/>
    <cellStyle name="Обычный 16 3" xfId="56229"/>
    <cellStyle name="Обычный 17" xfId="56230"/>
    <cellStyle name="Обычный 17 2" xfId="56231"/>
    <cellStyle name="Обычный 18" xfId="56232"/>
    <cellStyle name="Обычный 18 2" xfId="56233"/>
    <cellStyle name="Обычный 19" xfId="56234"/>
    <cellStyle name="Обычный 19 4" xfId="56235"/>
    <cellStyle name="Обычный 2" xfId="1"/>
    <cellStyle name="Обычный 2 10" xfId="56236"/>
    <cellStyle name="Обычный 2 11" xfId="56237"/>
    <cellStyle name="Обычный 2 12" xfId="56238"/>
    <cellStyle name="Обычный 2 13" xfId="56239"/>
    <cellStyle name="Обычный 2 14" xfId="56240"/>
    <cellStyle name="Обычный 2 15" xfId="56241"/>
    <cellStyle name="Обычный 2 16" xfId="56242"/>
    <cellStyle name="Обычный 2 17" xfId="56243"/>
    <cellStyle name="Обычный 2 18" xfId="56244"/>
    <cellStyle name="Обычный 2 19" xfId="56245"/>
    <cellStyle name="Обычный 2 2" xfId="56246"/>
    <cellStyle name="Обычный 2 2 2" xfId="56247"/>
    <cellStyle name="Обычный 2 2 2 2" xfId="56248"/>
    <cellStyle name="Обычный 2 2 3" xfId="56249"/>
    <cellStyle name="Обычный 2 2 4" xfId="56250"/>
    <cellStyle name="Обычный 2 2 5" xfId="56251"/>
    <cellStyle name="Обычный 2 2 6" xfId="56252"/>
    <cellStyle name="Обычный 2 2 7" xfId="56253"/>
    <cellStyle name="Обычный 2 2 8" xfId="56254"/>
    <cellStyle name="Обычный 2 2 9" xfId="56255"/>
    <cellStyle name="Обычный 2 20" xfId="56256"/>
    <cellStyle name="Обычный 2 21" xfId="56257"/>
    <cellStyle name="Обычный 2 22" xfId="56258"/>
    <cellStyle name="Обычный 2 23" xfId="56259"/>
    <cellStyle name="Обычный 2 24" xfId="56260"/>
    <cellStyle name="Обычный 2 25" xfId="56261"/>
    <cellStyle name="Обычный 2 3" xfId="56262"/>
    <cellStyle name="Обычный 2 3 10" xfId="56263"/>
    <cellStyle name="Обычный 2 3 2" xfId="56264"/>
    <cellStyle name="Обычный 2 3 3" xfId="56265"/>
    <cellStyle name="Обычный 2 3 4" xfId="56266"/>
    <cellStyle name="Обычный 2 3 5" xfId="56267"/>
    <cellStyle name="Обычный 2 3 6" xfId="56268"/>
    <cellStyle name="Обычный 2 3 7" xfId="56269"/>
    <cellStyle name="Обычный 2 3 8" xfId="56270"/>
    <cellStyle name="Обычный 2 3 9" xfId="56271"/>
    <cellStyle name="Обычный 2 4" xfId="56272"/>
    <cellStyle name="Обычный 2 4 2" xfId="56273"/>
    <cellStyle name="Обычный 2 4 3" xfId="56274"/>
    <cellStyle name="Обычный 2 4 4" xfId="56275"/>
    <cellStyle name="Обычный 2 4 5" xfId="56276"/>
    <cellStyle name="Обычный 2 4 6" xfId="56277"/>
    <cellStyle name="Обычный 2 4 7" xfId="56278"/>
    <cellStyle name="Обычный 2 4 8" xfId="56279"/>
    <cellStyle name="Обычный 2 4 9" xfId="56280"/>
    <cellStyle name="Обычный 2 5" xfId="56281"/>
    <cellStyle name="Обычный 2 5 10" xfId="56282"/>
    <cellStyle name="Обычный 2 5 2" xfId="56283"/>
    <cellStyle name="Обычный 2 5 2 2" xfId="56284"/>
    <cellStyle name="Обычный 2 5 3" xfId="56285"/>
    <cellStyle name="Обычный 2 5 4" xfId="56286"/>
    <cellStyle name="Обычный 2 5 5" xfId="56287"/>
    <cellStyle name="Обычный 2 5 6" xfId="56288"/>
    <cellStyle name="Обычный 2 5 7" xfId="56289"/>
    <cellStyle name="Обычный 2 5 8" xfId="56290"/>
    <cellStyle name="Обычный 2 5 9" xfId="56291"/>
    <cellStyle name="Обычный 2 6" xfId="56292"/>
    <cellStyle name="Обычный 2 7" xfId="56293"/>
    <cellStyle name="Обычный 2 8" xfId="56294"/>
    <cellStyle name="Обычный 2 8 2" xfId="56295"/>
    <cellStyle name="Обычный 2 8 2 2" xfId="56296"/>
    <cellStyle name="Обычный 2 8 2 2 2" xfId="56297"/>
    <cellStyle name="Обычный 2 8 2 2 3" xfId="56298"/>
    <cellStyle name="Обычный 2 8 2 2 4" xfId="56299"/>
    <cellStyle name="Обычный 2 8 2 3" xfId="56300"/>
    <cellStyle name="Обычный 2 8 2 4" xfId="56301"/>
    <cellStyle name="Обычный 2 8 2 5" xfId="56302"/>
    <cellStyle name="Обычный 2 8 3" xfId="56303"/>
    <cellStyle name="Обычный 2 8 3 2" xfId="56304"/>
    <cellStyle name="Обычный 2 8 3 2 2" xfId="56305"/>
    <cellStyle name="Обычный 2 8 3 2 3" xfId="56306"/>
    <cellStyle name="Обычный 2 8 3 2 4" xfId="56307"/>
    <cellStyle name="Обычный 2 8 3 3" xfId="56308"/>
    <cellStyle name="Обычный 2 8 3 4" xfId="56309"/>
    <cellStyle name="Обычный 2 8 3 5" xfId="56310"/>
    <cellStyle name="Обычный 2 8 4" xfId="56311"/>
    <cellStyle name="Обычный 2 8 4 2" xfId="56312"/>
    <cellStyle name="Обычный 2 8 4 3" xfId="56313"/>
    <cellStyle name="Обычный 2 8 4 4" xfId="56314"/>
    <cellStyle name="Обычный 2 8 5" xfId="56315"/>
    <cellStyle name="Обычный 2 8 6" xfId="56316"/>
    <cellStyle name="Обычный 2 8 7" xfId="56317"/>
    <cellStyle name="Обычный 2 9" xfId="56318"/>
    <cellStyle name="Обычный 2_Калькуляции ДСМ" xfId="56319"/>
    <cellStyle name="Обычный 20" xfId="56320"/>
    <cellStyle name="Обычный 20 2" xfId="56321"/>
    <cellStyle name="Обычный 20 3" xfId="56322"/>
    <cellStyle name="Обычный 21" xfId="56323"/>
    <cellStyle name="Обычный 21 2" xfId="56324"/>
    <cellStyle name="Обычный 22" xfId="56325"/>
    <cellStyle name="Обычный 22 2" xfId="56326"/>
    <cellStyle name="Обычный 23" xfId="56327"/>
    <cellStyle name="Обычный 23 2" xfId="56328"/>
    <cellStyle name="Обычный 24" xfId="56329"/>
    <cellStyle name="Обычный 24 2" xfId="56330"/>
    <cellStyle name="Обычный 25" xfId="56331"/>
    <cellStyle name="Обычный 26" xfId="56332"/>
    <cellStyle name="Обычный 27" xfId="56333"/>
    <cellStyle name="Обычный 28" xfId="56334"/>
    <cellStyle name="Обычный 29" xfId="56335"/>
    <cellStyle name="Обычный 3" xfId="56336"/>
    <cellStyle name="Обычный 3 10" xfId="56337"/>
    <cellStyle name="Обычный 3 10 2" xfId="56338"/>
    <cellStyle name="Обычный 3 10 2 2" xfId="56339"/>
    <cellStyle name="Обычный 3 10 2 3" xfId="56340"/>
    <cellStyle name="Обычный 3 10 2 4" xfId="56341"/>
    <cellStyle name="Обычный 3 10 3" xfId="56342"/>
    <cellStyle name="Обычный 3 10 4" xfId="56343"/>
    <cellStyle name="Обычный 3 10 5" xfId="56344"/>
    <cellStyle name="Обычный 3 11" xfId="56345"/>
    <cellStyle name="Обычный 3 11 2" xfId="56346"/>
    <cellStyle name="Обычный 3 11 2 2" xfId="56347"/>
    <cellStyle name="Обычный 3 11 2 3" xfId="56348"/>
    <cellStyle name="Обычный 3 11 2 4" xfId="56349"/>
    <cellStyle name="Обычный 3 11 3" xfId="56350"/>
    <cellStyle name="Обычный 3 11 4" xfId="56351"/>
    <cellStyle name="Обычный 3 11 5" xfId="56352"/>
    <cellStyle name="Обычный 3 12" xfId="56353"/>
    <cellStyle name="Обычный 3 12 2" xfId="56354"/>
    <cellStyle name="Обычный 3 12 3" xfId="56355"/>
    <cellStyle name="Обычный 3 12 4" xfId="56356"/>
    <cellStyle name="Обычный 3 13" xfId="56357"/>
    <cellStyle name="Обычный 3 14" xfId="56358"/>
    <cellStyle name="Обычный 3 15" xfId="56359"/>
    <cellStyle name="Обычный 3 16" xfId="56360"/>
    <cellStyle name="Обычный 3 2" xfId="56361"/>
    <cellStyle name="Обычный 3 2 10" xfId="56362"/>
    <cellStyle name="Обычный 3 2 2" xfId="56363"/>
    <cellStyle name="Обычный 3 2 2 2" xfId="56364"/>
    <cellStyle name="Обычный 3 2 2 2 2" xfId="56365"/>
    <cellStyle name="Обычный 3 2 2 2 2 2" xfId="56366"/>
    <cellStyle name="Обычный 3 2 2 2 2 3" xfId="56367"/>
    <cellStyle name="Обычный 3 2 2 2 2 4" xfId="56368"/>
    <cellStyle name="Обычный 3 2 2 2 3" xfId="56369"/>
    <cellStyle name="Обычный 3 2 2 2 4" xfId="56370"/>
    <cellStyle name="Обычный 3 2 2 2 5" xfId="56371"/>
    <cellStyle name="Обычный 3 2 2 3" xfId="56372"/>
    <cellStyle name="Обычный 3 2 2 3 2" xfId="56373"/>
    <cellStyle name="Обычный 3 2 2 3 2 2" xfId="56374"/>
    <cellStyle name="Обычный 3 2 2 3 2 3" xfId="56375"/>
    <cellStyle name="Обычный 3 2 2 3 2 4" xfId="56376"/>
    <cellStyle name="Обычный 3 2 2 3 3" xfId="56377"/>
    <cellStyle name="Обычный 3 2 2 3 4" xfId="56378"/>
    <cellStyle name="Обычный 3 2 2 3 5" xfId="56379"/>
    <cellStyle name="Обычный 3 2 2 4" xfId="56380"/>
    <cellStyle name="Обычный 3 2 2 4 2" xfId="56381"/>
    <cellStyle name="Обычный 3 2 2 4 3" xfId="56382"/>
    <cellStyle name="Обычный 3 2 2 4 4" xfId="56383"/>
    <cellStyle name="Обычный 3 2 2 5" xfId="56384"/>
    <cellStyle name="Обычный 3 2 2 6" xfId="56385"/>
    <cellStyle name="Обычный 3 2 2 7" xfId="56386"/>
    <cellStyle name="Обычный 3 2 3" xfId="56387"/>
    <cellStyle name="Обычный 3 2 3 2" xfId="56388"/>
    <cellStyle name="Обычный 3 2 3 2 2" xfId="56389"/>
    <cellStyle name="Обычный 3 2 3 2 2 2" xfId="56390"/>
    <cellStyle name="Обычный 3 2 3 2 2 3" xfId="56391"/>
    <cellStyle name="Обычный 3 2 3 2 2 4" xfId="56392"/>
    <cellStyle name="Обычный 3 2 3 2 3" xfId="56393"/>
    <cellStyle name="Обычный 3 2 3 2 4" xfId="56394"/>
    <cellStyle name="Обычный 3 2 3 2 5" xfId="56395"/>
    <cellStyle name="Обычный 3 2 3 3" xfId="56396"/>
    <cellStyle name="Обычный 3 2 3 3 2" xfId="56397"/>
    <cellStyle name="Обычный 3 2 3 3 2 2" xfId="56398"/>
    <cellStyle name="Обычный 3 2 3 3 2 3" xfId="56399"/>
    <cellStyle name="Обычный 3 2 3 3 2 4" xfId="56400"/>
    <cellStyle name="Обычный 3 2 3 3 3" xfId="56401"/>
    <cellStyle name="Обычный 3 2 3 3 4" xfId="56402"/>
    <cellStyle name="Обычный 3 2 3 3 5" xfId="56403"/>
    <cellStyle name="Обычный 3 2 3 4" xfId="56404"/>
    <cellStyle name="Обычный 3 2 3 4 2" xfId="56405"/>
    <cellStyle name="Обычный 3 2 3 4 3" xfId="56406"/>
    <cellStyle name="Обычный 3 2 3 4 4" xfId="56407"/>
    <cellStyle name="Обычный 3 2 3 5" xfId="56408"/>
    <cellStyle name="Обычный 3 2 3 6" xfId="56409"/>
    <cellStyle name="Обычный 3 2 3 7" xfId="56410"/>
    <cellStyle name="Обычный 3 2 4" xfId="56411"/>
    <cellStyle name="Обычный 3 2 4 2" xfId="56412"/>
    <cellStyle name="Обычный 3 2 4 2 2" xfId="56413"/>
    <cellStyle name="Обычный 3 2 4 2 2 2" xfId="56414"/>
    <cellStyle name="Обычный 3 2 4 2 2 3" xfId="56415"/>
    <cellStyle name="Обычный 3 2 4 2 2 4" xfId="56416"/>
    <cellStyle name="Обычный 3 2 4 2 3" xfId="56417"/>
    <cellStyle name="Обычный 3 2 4 2 4" xfId="56418"/>
    <cellStyle name="Обычный 3 2 4 2 5" xfId="56419"/>
    <cellStyle name="Обычный 3 2 4 3" xfId="56420"/>
    <cellStyle name="Обычный 3 2 4 3 2" xfId="56421"/>
    <cellStyle name="Обычный 3 2 4 3 2 2" xfId="56422"/>
    <cellStyle name="Обычный 3 2 4 3 2 3" xfId="56423"/>
    <cellStyle name="Обычный 3 2 4 3 2 4" xfId="56424"/>
    <cellStyle name="Обычный 3 2 4 3 3" xfId="56425"/>
    <cellStyle name="Обычный 3 2 4 3 4" xfId="56426"/>
    <cellStyle name="Обычный 3 2 4 3 5" xfId="56427"/>
    <cellStyle name="Обычный 3 2 4 4" xfId="56428"/>
    <cellStyle name="Обычный 3 2 4 4 2" xfId="56429"/>
    <cellStyle name="Обычный 3 2 4 4 3" xfId="56430"/>
    <cellStyle name="Обычный 3 2 4 4 4" xfId="56431"/>
    <cellStyle name="Обычный 3 2 4 5" xfId="56432"/>
    <cellStyle name="Обычный 3 2 4 6" xfId="56433"/>
    <cellStyle name="Обычный 3 2 4 7" xfId="56434"/>
    <cellStyle name="Обычный 3 2 5" xfId="56435"/>
    <cellStyle name="Обычный 3 2 5 2" xfId="56436"/>
    <cellStyle name="Обычный 3 2 5 2 2" xfId="56437"/>
    <cellStyle name="Обычный 3 2 5 2 3" xfId="56438"/>
    <cellStyle name="Обычный 3 2 5 2 4" xfId="56439"/>
    <cellStyle name="Обычный 3 2 5 3" xfId="56440"/>
    <cellStyle name="Обычный 3 2 5 4" xfId="56441"/>
    <cellStyle name="Обычный 3 2 5 5" xfId="56442"/>
    <cellStyle name="Обычный 3 2 6" xfId="56443"/>
    <cellStyle name="Обычный 3 2 6 2" xfId="56444"/>
    <cellStyle name="Обычный 3 2 6 2 2" xfId="56445"/>
    <cellStyle name="Обычный 3 2 6 2 3" xfId="56446"/>
    <cellStyle name="Обычный 3 2 6 2 4" xfId="56447"/>
    <cellStyle name="Обычный 3 2 6 3" xfId="56448"/>
    <cellStyle name="Обычный 3 2 6 4" xfId="56449"/>
    <cellStyle name="Обычный 3 2 6 5" xfId="56450"/>
    <cellStyle name="Обычный 3 2 7" xfId="56451"/>
    <cellStyle name="Обычный 3 2 7 2" xfId="56452"/>
    <cellStyle name="Обычный 3 2 7 3" xfId="56453"/>
    <cellStyle name="Обычный 3 2 7 4" xfId="56454"/>
    <cellStyle name="Обычный 3 2 8" xfId="56455"/>
    <cellStyle name="Обычный 3 2 9" xfId="56456"/>
    <cellStyle name="Обычный 3 3" xfId="56457"/>
    <cellStyle name="Обычный 3 3 10" xfId="56458"/>
    <cellStyle name="Обычный 3 3 2" xfId="56459"/>
    <cellStyle name="Обычный 3 3 2 2" xfId="56460"/>
    <cellStyle name="Обычный 3 3 2 2 2" xfId="56461"/>
    <cellStyle name="Обычный 3 3 2 2 2 2" xfId="56462"/>
    <cellStyle name="Обычный 3 3 2 2 2 3" xfId="56463"/>
    <cellStyle name="Обычный 3 3 2 2 2 4" xfId="56464"/>
    <cellStyle name="Обычный 3 3 2 2 3" xfId="56465"/>
    <cellStyle name="Обычный 3 3 2 2 4" xfId="56466"/>
    <cellStyle name="Обычный 3 3 2 2 5" xfId="56467"/>
    <cellStyle name="Обычный 3 3 2 3" xfId="56468"/>
    <cellStyle name="Обычный 3 3 2 3 2" xfId="56469"/>
    <cellStyle name="Обычный 3 3 2 3 2 2" xfId="56470"/>
    <cellStyle name="Обычный 3 3 2 3 2 3" xfId="56471"/>
    <cellStyle name="Обычный 3 3 2 3 2 4" xfId="56472"/>
    <cellStyle name="Обычный 3 3 2 3 3" xfId="56473"/>
    <cellStyle name="Обычный 3 3 2 3 4" xfId="56474"/>
    <cellStyle name="Обычный 3 3 2 3 5" xfId="56475"/>
    <cellStyle name="Обычный 3 3 2 4" xfId="56476"/>
    <cellStyle name="Обычный 3 3 2 4 2" xfId="56477"/>
    <cellStyle name="Обычный 3 3 2 4 3" xfId="56478"/>
    <cellStyle name="Обычный 3 3 2 4 4" xfId="56479"/>
    <cellStyle name="Обычный 3 3 2 5" xfId="56480"/>
    <cellStyle name="Обычный 3 3 2 6" xfId="56481"/>
    <cellStyle name="Обычный 3 3 2 7" xfId="56482"/>
    <cellStyle name="Обычный 3 3 3" xfId="56483"/>
    <cellStyle name="Обычный 3 3 3 2" xfId="56484"/>
    <cellStyle name="Обычный 3 3 3 2 2" xfId="56485"/>
    <cellStyle name="Обычный 3 3 3 2 2 2" xfId="56486"/>
    <cellStyle name="Обычный 3 3 3 2 2 3" xfId="56487"/>
    <cellStyle name="Обычный 3 3 3 2 2 4" xfId="56488"/>
    <cellStyle name="Обычный 3 3 3 2 3" xfId="56489"/>
    <cellStyle name="Обычный 3 3 3 2 4" xfId="56490"/>
    <cellStyle name="Обычный 3 3 3 2 5" xfId="56491"/>
    <cellStyle name="Обычный 3 3 3 3" xfId="56492"/>
    <cellStyle name="Обычный 3 3 3 3 2" xfId="56493"/>
    <cellStyle name="Обычный 3 3 3 3 2 2" xfId="56494"/>
    <cellStyle name="Обычный 3 3 3 3 2 3" xfId="56495"/>
    <cellStyle name="Обычный 3 3 3 3 2 4" xfId="56496"/>
    <cellStyle name="Обычный 3 3 3 3 3" xfId="56497"/>
    <cellStyle name="Обычный 3 3 3 3 4" xfId="56498"/>
    <cellStyle name="Обычный 3 3 3 3 5" xfId="56499"/>
    <cellStyle name="Обычный 3 3 3 4" xfId="56500"/>
    <cellStyle name="Обычный 3 3 3 4 2" xfId="56501"/>
    <cellStyle name="Обычный 3 3 3 4 3" xfId="56502"/>
    <cellStyle name="Обычный 3 3 3 4 4" xfId="56503"/>
    <cellStyle name="Обычный 3 3 3 5" xfId="56504"/>
    <cellStyle name="Обычный 3 3 3 6" xfId="56505"/>
    <cellStyle name="Обычный 3 3 3 7" xfId="56506"/>
    <cellStyle name="Обычный 3 3 4" xfId="56507"/>
    <cellStyle name="Обычный 3 3 4 2" xfId="56508"/>
    <cellStyle name="Обычный 3 3 4 2 2" xfId="56509"/>
    <cellStyle name="Обычный 3 3 4 2 2 2" xfId="56510"/>
    <cellStyle name="Обычный 3 3 4 2 2 3" xfId="56511"/>
    <cellStyle name="Обычный 3 3 4 2 2 4" xfId="56512"/>
    <cellStyle name="Обычный 3 3 4 2 3" xfId="56513"/>
    <cellStyle name="Обычный 3 3 4 2 4" xfId="56514"/>
    <cellStyle name="Обычный 3 3 4 2 5" xfId="56515"/>
    <cellStyle name="Обычный 3 3 4 3" xfId="56516"/>
    <cellStyle name="Обычный 3 3 4 3 2" xfId="56517"/>
    <cellStyle name="Обычный 3 3 4 3 2 2" xfId="56518"/>
    <cellStyle name="Обычный 3 3 4 3 2 3" xfId="56519"/>
    <cellStyle name="Обычный 3 3 4 3 2 4" xfId="56520"/>
    <cellStyle name="Обычный 3 3 4 3 3" xfId="56521"/>
    <cellStyle name="Обычный 3 3 4 3 4" xfId="56522"/>
    <cellStyle name="Обычный 3 3 4 3 5" xfId="56523"/>
    <cellStyle name="Обычный 3 3 4 4" xfId="56524"/>
    <cellStyle name="Обычный 3 3 4 4 2" xfId="56525"/>
    <cellStyle name="Обычный 3 3 4 4 3" xfId="56526"/>
    <cellStyle name="Обычный 3 3 4 4 4" xfId="56527"/>
    <cellStyle name="Обычный 3 3 4 5" xfId="56528"/>
    <cellStyle name="Обычный 3 3 4 6" xfId="56529"/>
    <cellStyle name="Обычный 3 3 4 7" xfId="56530"/>
    <cellStyle name="Обычный 3 3 5" xfId="56531"/>
    <cellStyle name="Обычный 3 3 5 2" xfId="56532"/>
    <cellStyle name="Обычный 3 3 5 2 2" xfId="56533"/>
    <cellStyle name="Обычный 3 3 5 2 3" xfId="56534"/>
    <cellStyle name="Обычный 3 3 5 2 4" xfId="56535"/>
    <cellStyle name="Обычный 3 3 5 3" xfId="56536"/>
    <cellStyle name="Обычный 3 3 5 4" xfId="56537"/>
    <cellStyle name="Обычный 3 3 5 5" xfId="56538"/>
    <cellStyle name="Обычный 3 3 6" xfId="56539"/>
    <cellStyle name="Обычный 3 3 6 2" xfId="56540"/>
    <cellStyle name="Обычный 3 3 6 2 2" xfId="56541"/>
    <cellStyle name="Обычный 3 3 6 2 3" xfId="56542"/>
    <cellStyle name="Обычный 3 3 6 2 4" xfId="56543"/>
    <cellStyle name="Обычный 3 3 6 3" xfId="56544"/>
    <cellStyle name="Обычный 3 3 6 4" xfId="56545"/>
    <cellStyle name="Обычный 3 3 6 5" xfId="56546"/>
    <cellStyle name="Обычный 3 3 7" xfId="56547"/>
    <cellStyle name="Обычный 3 3 7 2" xfId="56548"/>
    <cellStyle name="Обычный 3 3 7 3" xfId="56549"/>
    <cellStyle name="Обычный 3 3 7 4" xfId="56550"/>
    <cellStyle name="Обычный 3 3 8" xfId="56551"/>
    <cellStyle name="Обычный 3 3 9" xfId="56552"/>
    <cellStyle name="Обычный 3 4" xfId="56553"/>
    <cellStyle name="Обычный 3 4 10" xfId="56554"/>
    <cellStyle name="Обычный 3 4 2" xfId="56555"/>
    <cellStyle name="Обычный 3 4 2 2" xfId="56556"/>
    <cellStyle name="Обычный 3 4 2 2 2" xfId="56557"/>
    <cellStyle name="Обычный 3 4 2 2 2 2" xfId="56558"/>
    <cellStyle name="Обычный 3 4 2 2 2 3" xfId="56559"/>
    <cellStyle name="Обычный 3 4 2 2 2 4" xfId="56560"/>
    <cellStyle name="Обычный 3 4 2 2 3" xfId="56561"/>
    <cellStyle name="Обычный 3 4 2 2 4" xfId="56562"/>
    <cellStyle name="Обычный 3 4 2 2 5" xfId="56563"/>
    <cellStyle name="Обычный 3 4 2 3" xfId="56564"/>
    <cellStyle name="Обычный 3 4 2 3 2" xfId="56565"/>
    <cellStyle name="Обычный 3 4 2 3 2 2" xfId="56566"/>
    <cellStyle name="Обычный 3 4 2 3 2 3" xfId="56567"/>
    <cellStyle name="Обычный 3 4 2 3 2 4" xfId="56568"/>
    <cellStyle name="Обычный 3 4 2 3 3" xfId="56569"/>
    <cellStyle name="Обычный 3 4 2 3 4" xfId="56570"/>
    <cellStyle name="Обычный 3 4 2 3 5" xfId="56571"/>
    <cellStyle name="Обычный 3 4 2 4" xfId="56572"/>
    <cellStyle name="Обычный 3 4 2 4 2" xfId="56573"/>
    <cellStyle name="Обычный 3 4 2 4 3" xfId="56574"/>
    <cellStyle name="Обычный 3 4 2 4 4" xfId="56575"/>
    <cellStyle name="Обычный 3 4 2 5" xfId="56576"/>
    <cellStyle name="Обычный 3 4 2 6" xfId="56577"/>
    <cellStyle name="Обычный 3 4 2 7" xfId="56578"/>
    <cellStyle name="Обычный 3 4 3" xfId="56579"/>
    <cellStyle name="Обычный 3 4 3 2" xfId="56580"/>
    <cellStyle name="Обычный 3 4 3 2 2" xfId="56581"/>
    <cellStyle name="Обычный 3 4 3 2 2 2" xfId="56582"/>
    <cellStyle name="Обычный 3 4 3 2 2 3" xfId="56583"/>
    <cellStyle name="Обычный 3 4 3 2 2 4" xfId="56584"/>
    <cellStyle name="Обычный 3 4 3 2 3" xfId="56585"/>
    <cellStyle name="Обычный 3 4 3 2 4" xfId="56586"/>
    <cellStyle name="Обычный 3 4 3 2 5" xfId="56587"/>
    <cellStyle name="Обычный 3 4 3 3" xfId="56588"/>
    <cellStyle name="Обычный 3 4 3 3 2" xfId="56589"/>
    <cellStyle name="Обычный 3 4 3 3 2 2" xfId="56590"/>
    <cellStyle name="Обычный 3 4 3 3 2 3" xfId="56591"/>
    <cellStyle name="Обычный 3 4 3 3 2 4" xfId="56592"/>
    <cellStyle name="Обычный 3 4 3 3 3" xfId="56593"/>
    <cellStyle name="Обычный 3 4 3 3 4" xfId="56594"/>
    <cellStyle name="Обычный 3 4 3 3 5" xfId="56595"/>
    <cellStyle name="Обычный 3 4 3 4" xfId="56596"/>
    <cellStyle name="Обычный 3 4 3 4 2" xfId="56597"/>
    <cellStyle name="Обычный 3 4 3 4 3" xfId="56598"/>
    <cellStyle name="Обычный 3 4 3 4 4" xfId="56599"/>
    <cellStyle name="Обычный 3 4 3 5" xfId="56600"/>
    <cellStyle name="Обычный 3 4 3 6" xfId="56601"/>
    <cellStyle name="Обычный 3 4 3 7" xfId="56602"/>
    <cellStyle name="Обычный 3 4 4" xfId="56603"/>
    <cellStyle name="Обычный 3 4 4 2" xfId="56604"/>
    <cellStyle name="Обычный 3 4 4 2 2" xfId="56605"/>
    <cellStyle name="Обычный 3 4 4 2 2 2" xfId="56606"/>
    <cellStyle name="Обычный 3 4 4 2 2 3" xfId="56607"/>
    <cellStyle name="Обычный 3 4 4 2 2 4" xfId="56608"/>
    <cellStyle name="Обычный 3 4 4 2 3" xfId="56609"/>
    <cellStyle name="Обычный 3 4 4 2 4" xfId="56610"/>
    <cellStyle name="Обычный 3 4 4 2 5" xfId="56611"/>
    <cellStyle name="Обычный 3 4 4 3" xfId="56612"/>
    <cellStyle name="Обычный 3 4 4 3 2" xfId="56613"/>
    <cellStyle name="Обычный 3 4 4 3 2 2" xfId="56614"/>
    <cellStyle name="Обычный 3 4 4 3 2 3" xfId="56615"/>
    <cellStyle name="Обычный 3 4 4 3 2 4" xfId="56616"/>
    <cellStyle name="Обычный 3 4 4 3 3" xfId="56617"/>
    <cellStyle name="Обычный 3 4 4 3 4" xfId="56618"/>
    <cellStyle name="Обычный 3 4 4 3 5" xfId="56619"/>
    <cellStyle name="Обычный 3 4 4 4" xfId="56620"/>
    <cellStyle name="Обычный 3 4 4 4 2" xfId="56621"/>
    <cellStyle name="Обычный 3 4 4 4 3" xfId="56622"/>
    <cellStyle name="Обычный 3 4 4 4 4" xfId="56623"/>
    <cellStyle name="Обычный 3 4 4 5" xfId="56624"/>
    <cellStyle name="Обычный 3 4 4 6" xfId="56625"/>
    <cellStyle name="Обычный 3 4 4 7" xfId="56626"/>
    <cellStyle name="Обычный 3 4 5" xfId="56627"/>
    <cellStyle name="Обычный 3 4 5 2" xfId="56628"/>
    <cellStyle name="Обычный 3 4 5 2 2" xfId="56629"/>
    <cellStyle name="Обычный 3 4 5 2 3" xfId="56630"/>
    <cellStyle name="Обычный 3 4 5 2 4" xfId="56631"/>
    <cellStyle name="Обычный 3 4 5 3" xfId="56632"/>
    <cellStyle name="Обычный 3 4 5 4" xfId="56633"/>
    <cellStyle name="Обычный 3 4 5 5" xfId="56634"/>
    <cellStyle name="Обычный 3 4 6" xfId="56635"/>
    <cellStyle name="Обычный 3 4 6 2" xfId="56636"/>
    <cellStyle name="Обычный 3 4 6 2 2" xfId="56637"/>
    <cellStyle name="Обычный 3 4 6 2 3" xfId="56638"/>
    <cellStyle name="Обычный 3 4 6 2 4" xfId="56639"/>
    <cellStyle name="Обычный 3 4 6 3" xfId="56640"/>
    <cellStyle name="Обычный 3 4 6 4" xfId="56641"/>
    <cellStyle name="Обычный 3 4 6 5" xfId="56642"/>
    <cellStyle name="Обычный 3 4 7" xfId="56643"/>
    <cellStyle name="Обычный 3 4 7 2" xfId="56644"/>
    <cellStyle name="Обычный 3 4 7 3" xfId="56645"/>
    <cellStyle name="Обычный 3 4 7 4" xfId="56646"/>
    <cellStyle name="Обычный 3 4 8" xfId="56647"/>
    <cellStyle name="Обычный 3 4 9" xfId="56648"/>
    <cellStyle name="Обычный 3 5" xfId="56649"/>
    <cellStyle name="Обычный 3 5 2" xfId="56650"/>
    <cellStyle name="Обычный 3 5 2 2" xfId="56651"/>
    <cellStyle name="Обычный 3 5 2 2 2" xfId="56652"/>
    <cellStyle name="Обычный 3 5 2 2 3" xfId="56653"/>
    <cellStyle name="Обычный 3 5 2 2 4" xfId="56654"/>
    <cellStyle name="Обычный 3 5 2 3" xfId="56655"/>
    <cellStyle name="Обычный 3 5 2 4" xfId="56656"/>
    <cellStyle name="Обычный 3 5 2 5" xfId="56657"/>
    <cellStyle name="Обычный 3 5 3" xfId="56658"/>
    <cellStyle name="Обычный 3 5 3 2" xfId="56659"/>
    <cellStyle name="Обычный 3 5 3 2 2" xfId="56660"/>
    <cellStyle name="Обычный 3 5 3 2 3" xfId="56661"/>
    <cellStyle name="Обычный 3 5 3 2 4" xfId="56662"/>
    <cellStyle name="Обычный 3 5 3 3" xfId="56663"/>
    <cellStyle name="Обычный 3 5 3 4" xfId="56664"/>
    <cellStyle name="Обычный 3 5 3 5" xfId="56665"/>
    <cellStyle name="Обычный 3 5 4" xfId="56666"/>
    <cellStyle name="Обычный 3 5 4 2" xfId="56667"/>
    <cellStyle name="Обычный 3 5 4 3" xfId="56668"/>
    <cellStyle name="Обычный 3 5 4 4" xfId="56669"/>
    <cellStyle name="Обычный 3 5 5" xfId="56670"/>
    <cellStyle name="Обычный 3 5 6" xfId="56671"/>
    <cellStyle name="Обычный 3 5 7" xfId="56672"/>
    <cellStyle name="Обычный 3 5 8" xfId="56673"/>
    <cellStyle name="Обычный 3 5 9" xfId="56674"/>
    <cellStyle name="Обычный 3 6" xfId="56675"/>
    <cellStyle name="Обычный 3 6 2" xfId="56676"/>
    <cellStyle name="Обычный 3 6 2 2" xfId="56677"/>
    <cellStyle name="Обычный 3 6 2 2 2" xfId="56678"/>
    <cellStyle name="Обычный 3 6 2 2 3" xfId="56679"/>
    <cellStyle name="Обычный 3 6 2 2 4" xfId="56680"/>
    <cellStyle name="Обычный 3 6 2 3" xfId="56681"/>
    <cellStyle name="Обычный 3 6 2 4" xfId="56682"/>
    <cellStyle name="Обычный 3 6 2 5" xfId="56683"/>
    <cellStyle name="Обычный 3 6 3" xfId="56684"/>
    <cellStyle name="Обычный 3 6 3 2" xfId="56685"/>
    <cellStyle name="Обычный 3 6 3 2 2" xfId="56686"/>
    <cellStyle name="Обычный 3 6 3 2 3" xfId="56687"/>
    <cellStyle name="Обычный 3 6 3 2 4" xfId="56688"/>
    <cellStyle name="Обычный 3 6 3 3" xfId="56689"/>
    <cellStyle name="Обычный 3 6 3 4" xfId="56690"/>
    <cellStyle name="Обычный 3 6 3 5" xfId="56691"/>
    <cellStyle name="Обычный 3 6 4" xfId="56692"/>
    <cellStyle name="Обычный 3 6 4 2" xfId="56693"/>
    <cellStyle name="Обычный 3 6 4 3" xfId="56694"/>
    <cellStyle name="Обычный 3 6 4 4" xfId="56695"/>
    <cellStyle name="Обычный 3 6 5" xfId="56696"/>
    <cellStyle name="Обычный 3 6 6" xfId="56697"/>
    <cellStyle name="Обычный 3 6 7" xfId="56698"/>
    <cellStyle name="Обычный 3 7" xfId="56699"/>
    <cellStyle name="Обычный 3 7 2" xfId="56700"/>
    <cellStyle name="Обычный 3 7 2 2" xfId="56701"/>
    <cellStyle name="Обычный 3 7 2 2 2" xfId="56702"/>
    <cellStyle name="Обычный 3 7 2 2 3" xfId="56703"/>
    <cellStyle name="Обычный 3 7 2 2 4" xfId="56704"/>
    <cellStyle name="Обычный 3 7 2 3" xfId="56705"/>
    <cellStyle name="Обычный 3 7 2 4" xfId="56706"/>
    <cellStyle name="Обычный 3 7 2 5" xfId="56707"/>
    <cellStyle name="Обычный 3 7 3" xfId="56708"/>
    <cellStyle name="Обычный 3 7 3 2" xfId="56709"/>
    <cellStyle name="Обычный 3 7 3 2 2" xfId="56710"/>
    <cellStyle name="Обычный 3 7 3 2 3" xfId="56711"/>
    <cellStyle name="Обычный 3 7 3 2 4" xfId="56712"/>
    <cellStyle name="Обычный 3 7 3 3" xfId="56713"/>
    <cellStyle name="Обычный 3 7 3 4" xfId="56714"/>
    <cellStyle name="Обычный 3 7 3 5" xfId="56715"/>
    <cellStyle name="Обычный 3 7 4" xfId="56716"/>
    <cellStyle name="Обычный 3 7 4 2" xfId="56717"/>
    <cellStyle name="Обычный 3 7 4 3" xfId="56718"/>
    <cellStyle name="Обычный 3 7 4 4" xfId="56719"/>
    <cellStyle name="Обычный 3 7 5" xfId="56720"/>
    <cellStyle name="Обычный 3 7 6" xfId="56721"/>
    <cellStyle name="Обычный 3 7 7" xfId="56722"/>
    <cellStyle name="Обычный 3 8" xfId="56723"/>
    <cellStyle name="Обычный 3 8 2" xfId="56724"/>
    <cellStyle name="Обычный 3 8 2 2" xfId="56725"/>
    <cellStyle name="Обычный 3 8 2 2 2" xfId="56726"/>
    <cellStyle name="Обычный 3 8 2 2 3" xfId="56727"/>
    <cellStyle name="Обычный 3 8 2 2 4" xfId="56728"/>
    <cellStyle name="Обычный 3 8 2 3" xfId="56729"/>
    <cellStyle name="Обычный 3 8 2 4" xfId="56730"/>
    <cellStyle name="Обычный 3 8 2 5" xfId="56731"/>
    <cellStyle name="Обычный 3 8 3" xfId="56732"/>
    <cellStyle name="Обычный 3 8 3 2" xfId="56733"/>
    <cellStyle name="Обычный 3 8 3 2 2" xfId="56734"/>
    <cellStyle name="Обычный 3 8 3 2 3" xfId="56735"/>
    <cellStyle name="Обычный 3 8 3 2 4" xfId="56736"/>
    <cellStyle name="Обычный 3 8 3 3" xfId="56737"/>
    <cellStyle name="Обычный 3 8 3 4" xfId="56738"/>
    <cellStyle name="Обычный 3 8 3 5" xfId="56739"/>
    <cellStyle name="Обычный 3 8 4" xfId="56740"/>
    <cellStyle name="Обычный 3 8 4 2" xfId="56741"/>
    <cellStyle name="Обычный 3 8 4 3" xfId="56742"/>
    <cellStyle name="Обычный 3 8 4 4" xfId="56743"/>
    <cellStyle name="Обычный 3 8 5" xfId="56744"/>
    <cellStyle name="Обычный 3 8 6" xfId="56745"/>
    <cellStyle name="Обычный 3 8 7" xfId="56746"/>
    <cellStyle name="Обычный 3 9" xfId="56747"/>
    <cellStyle name="Обычный 3 9 2" xfId="56748"/>
    <cellStyle name="Обычный 3 9 2 2" xfId="56749"/>
    <cellStyle name="Обычный 3 9 2 2 2" xfId="56750"/>
    <cellStyle name="Обычный 3 9 2 2 3" xfId="56751"/>
    <cellStyle name="Обычный 3 9 2 2 4" xfId="56752"/>
    <cellStyle name="Обычный 3 9 2 3" xfId="56753"/>
    <cellStyle name="Обычный 3 9 2 4" xfId="56754"/>
    <cellStyle name="Обычный 3 9 2 5" xfId="56755"/>
    <cellStyle name="Обычный 3 9 3" xfId="56756"/>
    <cellStyle name="Обычный 3 9 3 2" xfId="56757"/>
    <cellStyle name="Обычный 3 9 3 2 2" xfId="56758"/>
    <cellStyle name="Обычный 3 9 3 2 3" xfId="56759"/>
    <cellStyle name="Обычный 3 9 3 2 4" xfId="56760"/>
    <cellStyle name="Обычный 3 9 3 3" xfId="56761"/>
    <cellStyle name="Обычный 3 9 3 4" xfId="56762"/>
    <cellStyle name="Обычный 3 9 3 5" xfId="56763"/>
    <cellStyle name="Обычный 3 9 4" xfId="56764"/>
    <cellStyle name="Обычный 3 9 4 2" xfId="56765"/>
    <cellStyle name="Обычный 3 9 4 3" xfId="56766"/>
    <cellStyle name="Обычный 3 9 4 4" xfId="56767"/>
    <cellStyle name="Обычный 3 9 5" xfId="56768"/>
    <cellStyle name="Обычный 3 9 6" xfId="56769"/>
    <cellStyle name="Обычный 3 9 7" xfId="56770"/>
    <cellStyle name="Обычный 3_Книга2" xfId="56771"/>
    <cellStyle name="Обычный 30" xfId="56772"/>
    <cellStyle name="Обычный 30 2" xfId="56773"/>
    <cellStyle name="Обычный 31" xfId="56774"/>
    <cellStyle name="Обычный 32" xfId="56775"/>
    <cellStyle name="Обычный 33" xfId="56776"/>
    <cellStyle name="Обычный 34" xfId="56777"/>
    <cellStyle name="Обычный 35" xfId="56778"/>
    <cellStyle name="Обычный 36" xfId="56779"/>
    <cellStyle name="Обычный 37" xfId="56780"/>
    <cellStyle name="Обычный 38" xfId="56781"/>
    <cellStyle name="Обычный 39" xfId="56782"/>
    <cellStyle name="Обычный 4" xfId="56783"/>
    <cellStyle name="Обычный 4 10" xfId="56784"/>
    <cellStyle name="Обычный 4 10 10" xfId="56785"/>
    <cellStyle name="Обычный 4 10 11" xfId="56786"/>
    <cellStyle name="Обычный 4 10 12" xfId="56787"/>
    <cellStyle name="Обычный 4 10 13" xfId="56788"/>
    <cellStyle name="Обычный 4 10 2" xfId="56789"/>
    <cellStyle name="Обычный 4 10 2 10" xfId="56790"/>
    <cellStyle name="Обычный 4 10 2 11" xfId="56791"/>
    <cellStyle name="Обычный 4 10 2 12" xfId="56792"/>
    <cellStyle name="Обычный 4 10 2 2" xfId="56793"/>
    <cellStyle name="Обычный 4 10 2 2 2" xfId="56794"/>
    <cellStyle name="Обычный 4 10 2 2 2 2" xfId="56795"/>
    <cellStyle name="Обычный 4 10 2 2 2 2 2" xfId="56796"/>
    <cellStyle name="Обычный 4 10 2 2 2 3" xfId="56797"/>
    <cellStyle name="Обычный 4 10 2 2 2 4" xfId="56798"/>
    <cellStyle name="Обычный 4 10 2 2 3" xfId="56799"/>
    <cellStyle name="Обычный 4 10 2 2 3 2" xfId="56800"/>
    <cellStyle name="Обычный 4 10 2 2 3 2 2" xfId="56801"/>
    <cellStyle name="Обычный 4 10 2 2 3 3" xfId="56802"/>
    <cellStyle name="Обычный 4 10 2 2 4" xfId="56803"/>
    <cellStyle name="Обычный 4 10 2 2 4 2" xfId="56804"/>
    <cellStyle name="Обычный 4 10 2 2 5" xfId="56805"/>
    <cellStyle name="Обычный 4 10 2 2 6" xfId="56806"/>
    <cellStyle name="Обычный 4 10 2 2 7" xfId="56807"/>
    <cellStyle name="Обычный 4 10 2 2 8" xfId="56808"/>
    <cellStyle name="Обычный 4 10 2 2 9" xfId="56809"/>
    <cellStyle name="Обычный 4 10 2 3" xfId="56810"/>
    <cellStyle name="Обычный 4 10 2 3 2" xfId="56811"/>
    <cellStyle name="Обычный 4 10 2 3 2 2" xfId="56812"/>
    <cellStyle name="Обычный 4 10 2 3 2 2 2" xfId="56813"/>
    <cellStyle name="Обычный 4 10 2 3 2 3" xfId="56814"/>
    <cellStyle name="Обычный 4 10 2 3 2 4" xfId="56815"/>
    <cellStyle name="Обычный 4 10 2 3 3" xfId="56816"/>
    <cellStyle name="Обычный 4 10 2 3 3 2" xfId="56817"/>
    <cellStyle name="Обычный 4 10 2 3 3 2 2" xfId="56818"/>
    <cellStyle name="Обычный 4 10 2 3 3 3" xfId="56819"/>
    <cellStyle name="Обычный 4 10 2 3 4" xfId="56820"/>
    <cellStyle name="Обычный 4 10 2 3 4 2" xfId="56821"/>
    <cellStyle name="Обычный 4 10 2 3 5" xfId="56822"/>
    <cellStyle name="Обычный 4 10 2 3 6" xfId="56823"/>
    <cellStyle name="Обычный 4 10 2 3 7" xfId="56824"/>
    <cellStyle name="Обычный 4 10 2 3 8" xfId="56825"/>
    <cellStyle name="Обычный 4 10 2 3 9" xfId="56826"/>
    <cellStyle name="Обычный 4 10 2 4" xfId="56827"/>
    <cellStyle name="Обычный 4 10 2 4 2" xfId="56828"/>
    <cellStyle name="Обычный 4 10 2 4 2 2" xfId="56829"/>
    <cellStyle name="Обычный 4 10 2 4 2 2 2" xfId="56830"/>
    <cellStyle name="Обычный 4 10 2 4 2 3" xfId="56831"/>
    <cellStyle name="Обычный 4 10 2 4 2 4" xfId="56832"/>
    <cellStyle name="Обычный 4 10 2 4 3" xfId="56833"/>
    <cellStyle name="Обычный 4 10 2 4 3 2" xfId="56834"/>
    <cellStyle name="Обычный 4 10 2 4 3 2 2" xfId="56835"/>
    <cellStyle name="Обычный 4 10 2 4 3 3" xfId="56836"/>
    <cellStyle name="Обычный 4 10 2 4 4" xfId="56837"/>
    <cellStyle name="Обычный 4 10 2 4 4 2" xfId="56838"/>
    <cellStyle name="Обычный 4 10 2 4 5" xfId="56839"/>
    <cellStyle name="Обычный 4 10 2 4 6" xfId="56840"/>
    <cellStyle name="Обычный 4 10 2 4 7" xfId="56841"/>
    <cellStyle name="Обычный 4 10 2 4 8" xfId="56842"/>
    <cellStyle name="Обычный 4 10 2 4 9" xfId="56843"/>
    <cellStyle name="Обычный 4 10 2 5" xfId="56844"/>
    <cellStyle name="Обычный 4 10 2 5 2" xfId="56845"/>
    <cellStyle name="Обычный 4 10 2 5 2 2" xfId="56846"/>
    <cellStyle name="Обычный 4 10 2 5 3" xfId="56847"/>
    <cellStyle name="Обычный 4 10 2 5 4" xfId="56848"/>
    <cellStyle name="Обычный 4 10 2 6" xfId="56849"/>
    <cellStyle name="Обычный 4 10 2 6 2" xfId="56850"/>
    <cellStyle name="Обычный 4 10 2 6 2 2" xfId="56851"/>
    <cellStyle name="Обычный 4 10 2 6 3" xfId="56852"/>
    <cellStyle name="Обычный 4 10 2 7" xfId="56853"/>
    <cellStyle name="Обычный 4 10 2 7 2" xfId="56854"/>
    <cellStyle name="Обычный 4 10 2 8" xfId="56855"/>
    <cellStyle name="Обычный 4 10 2 9" xfId="56856"/>
    <cellStyle name="Обычный 4 10 3" xfId="56857"/>
    <cellStyle name="Обычный 4 10 3 2" xfId="56858"/>
    <cellStyle name="Обычный 4 10 3 2 2" xfId="56859"/>
    <cellStyle name="Обычный 4 10 3 2 2 2" xfId="56860"/>
    <cellStyle name="Обычный 4 10 3 2 3" xfId="56861"/>
    <cellStyle name="Обычный 4 10 3 2 4" xfId="56862"/>
    <cellStyle name="Обычный 4 10 3 3" xfId="56863"/>
    <cellStyle name="Обычный 4 10 3 3 2" xfId="56864"/>
    <cellStyle name="Обычный 4 10 3 3 2 2" xfId="56865"/>
    <cellStyle name="Обычный 4 10 3 3 3" xfId="56866"/>
    <cellStyle name="Обычный 4 10 3 4" xfId="56867"/>
    <cellStyle name="Обычный 4 10 3 4 2" xfId="56868"/>
    <cellStyle name="Обычный 4 10 3 5" xfId="56869"/>
    <cellStyle name="Обычный 4 10 3 6" xfId="56870"/>
    <cellStyle name="Обычный 4 10 3 7" xfId="56871"/>
    <cellStyle name="Обычный 4 10 3 8" xfId="56872"/>
    <cellStyle name="Обычный 4 10 3 9" xfId="56873"/>
    <cellStyle name="Обычный 4 10 4" xfId="56874"/>
    <cellStyle name="Обычный 4 10 4 2" xfId="56875"/>
    <cellStyle name="Обычный 4 10 4 2 2" xfId="56876"/>
    <cellStyle name="Обычный 4 10 4 2 2 2" xfId="56877"/>
    <cellStyle name="Обычный 4 10 4 2 3" xfId="56878"/>
    <cellStyle name="Обычный 4 10 4 2 4" xfId="56879"/>
    <cellStyle name="Обычный 4 10 4 3" xfId="56880"/>
    <cellStyle name="Обычный 4 10 4 3 2" xfId="56881"/>
    <cellStyle name="Обычный 4 10 4 3 2 2" xfId="56882"/>
    <cellStyle name="Обычный 4 10 4 3 3" xfId="56883"/>
    <cellStyle name="Обычный 4 10 4 4" xfId="56884"/>
    <cellStyle name="Обычный 4 10 4 4 2" xfId="56885"/>
    <cellStyle name="Обычный 4 10 4 5" xfId="56886"/>
    <cellStyle name="Обычный 4 10 4 6" xfId="56887"/>
    <cellStyle name="Обычный 4 10 4 7" xfId="56888"/>
    <cellStyle name="Обычный 4 10 4 8" xfId="56889"/>
    <cellStyle name="Обычный 4 10 4 9" xfId="56890"/>
    <cellStyle name="Обычный 4 10 5" xfId="56891"/>
    <cellStyle name="Обычный 4 10 5 2" xfId="56892"/>
    <cellStyle name="Обычный 4 10 5 2 2" xfId="56893"/>
    <cellStyle name="Обычный 4 10 5 2 2 2" xfId="56894"/>
    <cellStyle name="Обычный 4 10 5 2 3" xfId="56895"/>
    <cellStyle name="Обычный 4 10 5 2 4" xfId="56896"/>
    <cellStyle name="Обычный 4 10 5 3" xfId="56897"/>
    <cellStyle name="Обычный 4 10 5 3 2" xfId="56898"/>
    <cellStyle name="Обычный 4 10 5 3 2 2" xfId="56899"/>
    <cellStyle name="Обычный 4 10 5 3 3" xfId="56900"/>
    <cellStyle name="Обычный 4 10 5 4" xfId="56901"/>
    <cellStyle name="Обычный 4 10 5 4 2" xfId="56902"/>
    <cellStyle name="Обычный 4 10 5 5" xfId="56903"/>
    <cellStyle name="Обычный 4 10 5 6" xfId="56904"/>
    <cellStyle name="Обычный 4 10 5 7" xfId="56905"/>
    <cellStyle name="Обычный 4 10 5 8" xfId="56906"/>
    <cellStyle name="Обычный 4 10 5 9" xfId="56907"/>
    <cellStyle name="Обычный 4 10 6" xfId="56908"/>
    <cellStyle name="Обычный 4 10 6 2" xfId="56909"/>
    <cellStyle name="Обычный 4 10 6 2 2" xfId="56910"/>
    <cellStyle name="Обычный 4 10 6 3" xfId="56911"/>
    <cellStyle name="Обычный 4 10 6 4" xfId="56912"/>
    <cellStyle name="Обычный 4 10 7" xfId="56913"/>
    <cellStyle name="Обычный 4 10 7 2" xfId="56914"/>
    <cellStyle name="Обычный 4 10 7 2 2" xfId="56915"/>
    <cellStyle name="Обычный 4 10 7 3" xfId="56916"/>
    <cellStyle name="Обычный 4 10 8" xfId="56917"/>
    <cellStyle name="Обычный 4 10 8 2" xfId="56918"/>
    <cellStyle name="Обычный 4 10 9" xfId="56919"/>
    <cellStyle name="Обычный 4 11" xfId="56920"/>
    <cellStyle name="Обычный 4 11 10" xfId="56921"/>
    <cellStyle name="Обычный 4 11 11" xfId="56922"/>
    <cellStyle name="Обычный 4 11 12" xfId="56923"/>
    <cellStyle name="Обычный 4 11 13" xfId="56924"/>
    <cellStyle name="Обычный 4 11 2" xfId="56925"/>
    <cellStyle name="Обычный 4 11 2 10" xfId="56926"/>
    <cellStyle name="Обычный 4 11 2 11" xfId="56927"/>
    <cellStyle name="Обычный 4 11 2 12" xfId="56928"/>
    <cellStyle name="Обычный 4 11 2 2" xfId="56929"/>
    <cellStyle name="Обычный 4 11 2 2 2" xfId="56930"/>
    <cellStyle name="Обычный 4 11 2 2 2 2" xfId="56931"/>
    <cellStyle name="Обычный 4 11 2 2 2 2 2" xfId="56932"/>
    <cellStyle name="Обычный 4 11 2 2 2 3" xfId="56933"/>
    <cellStyle name="Обычный 4 11 2 2 2 4" xfId="56934"/>
    <cellStyle name="Обычный 4 11 2 2 3" xfId="56935"/>
    <cellStyle name="Обычный 4 11 2 2 3 2" xfId="56936"/>
    <cellStyle name="Обычный 4 11 2 2 3 2 2" xfId="56937"/>
    <cellStyle name="Обычный 4 11 2 2 3 3" xfId="56938"/>
    <cellStyle name="Обычный 4 11 2 2 4" xfId="56939"/>
    <cellStyle name="Обычный 4 11 2 2 4 2" xfId="56940"/>
    <cellStyle name="Обычный 4 11 2 2 5" xfId="56941"/>
    <cellStyle name="Обычный 4 11 2 2 6" xfId="56942"/>
    <cellStyle name="Обычный 4 11 2 2 7" xfId="56943"/>
    <cellStyle name="Обычный 4 11 2 2 8" xfId="56944"/>
    <cellStyle name="Обычный 4 11 2 2 9" xfId="56945"/>
    <cellStyle name="Обычный 4 11 2 3" xfId="56946"/>
    <cellStyle name="Обычный 4 11 2 3 2" xfId="56947"/>
    <cellStyle name="Обычный 4 11 2 3 2 2" xfId="56948"/>
    <cellStyle name="Обычный 4 11 2 3 2 2 2" xfId="56949"/>
    <cellStyle name="Обычный 4 11 2 3 2 3" xfId="56950"/>
    <cellStyle name="Обычный 4 11 2 3 2 4" xfId="56951"/>
    <cellStyle name="Обычный 4 11 2 3 3" xfId="56952"/>
    <cellStyle name="Обычный 4 11 2 3 3 2" xfId="56953"/>
    <cellStyle name="Обычный 4 11 2 3 3 2 2" xfId="56954"/>
    <cellStyle name="Обычный 4 11 2 3 3 3" xfId="56955"/>
    <cellStyle name="Обычный 4 11 2 3 4" xfId="56956"/>
    <cellStyle name="Обычный 4 11 2 3 4 2" xfId="56957"/>
    <cellStyle name="Обычный 4 11 2 3 5" xfId="56958"/>
    <cellStyle name="Обычный 4 11 2 3 6" xfId="56959"/>
    <cellStyle name="Обычный 4 11 2 3 7" xfId="56960"/>
    <cellStyle name="Обычный 4 11 2 3 8" xfId="56961"/>
    <cellStyle name="Обычный 4 11 2 3 9" xfId="56962"/>
    <cellStyle name="Обычный 4 11 2 4" xfId="56963"/>
    <cellStyle name="Обычный 4 11 2 4 2" xfId="56964"/>
    <cellStyle name="Обычный 4 11 2 4 2 2" xfId="56965"/>
    <cellStyle name="Обычный 4 11 2 4 2 2 2" xfId="56966"/>
    <cellStyle name="Обычный 4 11 2 4 2 3" xfId="56967"/>
    <cellStyle name="Обычный 4 11 2 4 2 4" xfId="56968"/>
    <cellStyle name="Обычный 4 11 2 4 3" xfId="56969"/>
    <cellStyle name="Обычный 4 11 2 4 3 2" xfId="56970"/>
    <cellStyle name="Обычный 4 11 2 4 3 2 2" xfId="56971"/>
    <cellStyle name="Обычный 4 11 2 4 3 3" xfId="56972"/>
    <cellStyle name="Обычный 4 11 2 4 4" xfId="56973"/>
    <cellStyle name="Обычный 4 11 2 4 4 2" xfId="56974"/>
    <cellStyle name="Обычный 4 11 2 4 5" xfId="56975"/>
    <cellStyle name="Обычный 4 11 2 4 6" xfId="56976"/>
    <cellStyle name="Обычный 4 11 2 4 7" xfId="56977"/>
    <cellStyle name="Обычный 4 11 2 4 8" xfId="56978"/>
    <cellStyle name="Обычный 4 11 2 4 9" xfId="56979"/>
    <cellStyle name="Обычный 4 11 2 5" xfId="56980"/>
    <cellStyle name="Обычный 4 11 2 5 2" xfId="56981"/>
    <cellStyle name="Обычный 4 11 2 5 2 2" xfId="56982"/>
    <cellStyle name="Обычный 4 11 2 5 3" xfId="56983"/>
    <cellStyle name="Обычный 4 11 2 5 4" xfId="56984"/>
    <cellStyle name="Обычный 4 11 2 6" xfId="56985"/>
    <cellStyle name="Обычный 4 11 2 6 2" xfId="56986"/>
    <cellStyle name="Обычный 4 11 2 6 2 2" xfId="56987"/>
    <cellStyle name="Обычный 4 11 2 6 3" xfId="56988"/>
    <cellStyle name="Обычный 4 11 2 7" xfId="56989"/>
    <cellStyle name="Обычный 4 11 2 7 2" xfId="56990"/>
    <cellStyle name="Обычный 4 11 2 8" xfId="56991"/>
    <cellStyle name="Обычный 4 11 2 9" xfId="56992"/>
    <cellStyle name="Обычный 4 11 3" xfId="56993"/>
    <cellStyle name="Обычный 4 11 3 2" xfId="56994"/>
    <cellStyle name="Обычный 4 11 3 2 2" xfId="56995"/>
    <cellStyle name="Обычный 4 11 3 2 2 2" xfId="56996"/>
    <cellStyle name="Обычный 4 11 3 2 3" xfId="56997"/>
    <cellStyle name="Обычный 4 11 3 2 4" xfId="56998"/>
    <cellStyle name="Обычный 4 11 3 3" xfId="56999"/>
    <cellStyle name="Обычный 4 11 3 3 2" xfId="57000"/>
    <cellStyle name="Обычный 4 11 3 3 2 2" xfId="57001"/>
    <cellStyle name="Обычный 4 11 3 3 3" xfId="57002"/>
    <cellStyle name="Обычный 4 11 3 4" xfId="57003"/>
    <cellStyle name="Обычный 4 11 3 4 2" xfId="57004"/>
    <cellStyle name="Обычный 4 11 3 5" xfId="57005"/>
    <cellStyle name="Обычный 4 11 3 6" xfId="57006"/>
    <cellStyle name="Обычный 4 11 3 7" xfId="57007"/>
    <cellStyle name="Обычный 4 11 3 8" xfId="57008"/>
    <cellStyle name="Обычный 4 11 3 9" xfId="57009"/>
    <cellStyle name="Обычный 4 11 4" xfId="57010"/>
    <cellStyle name="Обычный 4 11 4 2" xfId="57011"/>
    <cellStyle name="Обычный 4 11 4 2 2" xfId="57012"/>
    <cellStyle name="Обычный 4 11 4 2 2 2" xfId="57013"/>
    <cellStyle name="Обычный 4 11 4 2 3" xfId="57014"/>
    <cellStyle name="Обычный 4 11 4 2 4" xfId="57015"/>
    <cellStyle name="Обычный 4 11 4 3" xfId="57016"/>
    <cellStyle name="Обычный 4 11 4 3 2" xfId="57017"/>
    <cellStyle name="Обычный 4 11 4 3 2 2" xfId="57018"/>
    <cellStyle name="Обычный 4 11 4 3 3" xfId="57019"/>
    <cellStyle name="Обычный 4 11 4 4" xfId="57020"/>
    <cellStyle name="Обычный 4 11 4 4 2" xfId="57021"/>
    <cellStyle name="Обычный 4 11 4 5" xfId="57022"/>
    <cellStyle name="Обычный 4 11 4 6" xfId="57023"/>
    <cellStyle name="Обычный 4 11 4 7" xfId="57024"/>
    <cellStyle name="Обычный 4 11 4 8" xfId="57025"/>
    <cellStyle name="Обычный 4 11 4 9" xfId="57026"/>
    <cellStyle name="Обычный 4 11 5" xfId="57027"/>
    <cellStyle name="Обычный 4 11 5 2" xfId="57028"/>
    <cellStyle name="Обычный 4 11 5 2 2" xfId="57029"/>
    <cellStyle name="Обычный 4 11 5 2 2 2" xfId="57030"/>
    <cellStyle name="Обычный 4 11 5 2 3" xfId="57031"/>
    <cellStyle name="Обычный 4 11 5 2 4" xfId="57032"/>
    <cellStyle name="Обычный 4 11 5 3" xfId="57033"/>
    <cellStyle name="Обычный 4 11 5 3 2" xfId="57034"/>
    <cellStyle name="Обычный 4 11 5 3 2 2" xfId="57035"/>
    <cellStyle name="Обычный 4 11 5 3 3" xfId="57036"/>
    <cellStyle name="Обычный 4 11 5 4" xfId="57037"/>
    <cellStyle name="Обычный 4 11 5 4 2" xfId="57038"/>
    <cellStyle name="Обычный 4 11 5 5" xfId="57039"/>
    <cellStyle name="Обычный 4 11 5 6" xfId="57040"/>
    <cellStyle name="Обычный 4 11 5 7" xfId="57041"/>
    <cellStyle name="Обычный 4 11 5 8" xfId="57042"/>
    <cellStyle name="Обычный 4 11 5 9" xfId="57043"/>
    <cellStyle name="Обычный 4 11 6" xfId="57044"/>
    <cellStyle name="Обычный 4 11 6 2" xfId="57045"/>
    <cellStyle name="Обычный 4 11 6 2 2" xfId="57046"/>
    <cellStyle name="Обычный 4 11 6 3" xfId="57047"/>
    <cellStyle name="Обычный 4 11 6 4" xfId="57048"/>
    <cellStyle name="Обычный 4 11 7" xfId="57049"/>
    <cellStyle name="Обычный 4 11 7 2" xfId="57050"/>
    <cellStyle name="Обычный 4 11 7 2 2" xfId="57051"/>
    <cellStyle name="Обычный 4 11 7 3" xfId="57052"/>
    <cellStyle name="Обычный 4 11 8" xfId="57053"/>
    <cellStyle name="Обычный 4 11 8 2" xfId="57054"/>
    <cellStyle name="Обычный 4 11 9" xfId="57055"/>
    <cellStyle name="Обычный 4 12" xfId="57056"/>
    <cellStyle name="Обычный 4 12 10" xfId="57057"/>
    <cellStyle name="Обычный 4 12 11" xfId="57058"/>
    <cellStyle name="Обычный 4 12 12" xfId="57059"/>
    <cellStyle name="Обычный 4 12 13" xfId="57060"/>
    <cellStyle name="Обычный 4 12 2" xfId="57061"/>
    <cellStyle name="Обычный 4 12 2 10" xfId="57062"/>
    <cellStyle name="Обычный 4 12 2 11" xfId="57063"/>
    <cellStyle name="Обычный 4 12 2 12" xfId="57064"/>
    <cellStyle name="Обычный 4 12 2 2" xfId="57065"/>
    <cellStyle name="Обычный 4 12 2 2 2" xfId="57066"/>
    <cellStyle name="Обычный 4 12 2 2 2 2" xfId="57067"/>
    <cellStyle name="Обычный 4 12 2 2 2 2 2" xfId="57068"/>
    <cellStyle name="Обычный 4 12 2 2 2 3" xfId="57069"/>
    <cellStyle name="Обычный 4 12 2 2 2 4" xfId="57070"/>
    <cellStyle name="Обычный 4 12 2 2 3" xfId="57071"/>
    <cellStyle name="Обычный 4 12 2 2 3 2" xfId="57072"/>
    <cellStyle name="Обычный 4 12 2 2 3 2 2" xfId="57073"/>
    <cellStyle name="Обычный 4 12 2 2 3 3" xfId="57074"/>
    <cellStyle name="Обычный 4 12 2 2 4" xfId="57075"/>
    <cellStyle name="Обычный 4 12 2 2 4 2" xfId="57076"/>
    <cellStyle name="Обычный 4 12 2 2 5" xfId="57077"/>
    <cellStyle name="Обычный 4 12 2 2 6" xfId="57078"/>
    <cellStyle name="Обычный 4 12 2 2 7" xfId="57079"/>
    <cellStyle name="Обычный 4 12 2 2 8" xfId="57080"/>
    <cellStyle name="Обычный 4 12 2 2 9" xfId="57081"/>
    <cellStyle name="Обычный 4 12 2 3" xfId="57082"/>
    <cellStyle name="Обычный 4 12 2 3 2" xfId="57083"/>
    <cellStyle name="Обычный 4 12 2 3 2 2" xfId="57084"/>
    <cellStyle name="Обычный 4 12 2 3 2 2 2" xfId="57085"/>
    <cellStyle name="Обычный 4 12 2 3 2 3" xfId="57086"/>
    <cellStyle name="Обычный 4 12 2 3 2 4" xfId="57087"/>
    <cellStyle name="Обычный 4 12 2 3 3" xfId="57088"/>
    <cellStyle name="Обычный 4 12 2 3 3 2" xfId="57089"/>
    <cellStyle name="Обычный 4 12 2 3 3 2 2" xfId="57090"/>
    <cellStyle name="Обычный 4 12 2 3 3 3" xfId="57091"/>
    <cellStyle name="Обычный 4 12 2 3 4" xfId="57092"/>
    <cellStyle name="Обычный 4 12 2 3 4 2" xfId="57093"/>
    <cellStyle name="Обычный 4 12 2 3 5" xfId="57094"/>
    <cellStyle name="Обычный 4 12 2 3 6" xfId="57095"/>
    <cellStyle name="Обычный 4 12 2 3 7" xfId="57096"/>
    <cellStyle name="Обычный 4 12 2 3 8" xfId="57097"/>
    <cellStyle name="Обычный 4 12 2 3 9" xfId="57098"/>
    <cellStyle name="Обычный 4 12 2 4" xfId="57099"/>
    <cellStyle name="Обычный 4 12 2 4 2" xfId="57100"/>
    <cellStyle name="Обычный 4 12 2 4 2 2" xfId="57101"/>
    <cellStyle name="Обычный 4 12 2 4 2 2 2" xfId="57102"/>
    <cellStyle name="Обычный 4 12 2 4 2 3" xfId="57103"/>
    <cellStyle name="Обычный 4 12 2 4 2 4" xfId="57104"/>
    <cellStyle name="Обычный 4 12 2 4 3" xfId="57105"/>
    <cellStyle name="Обычный 4 12 2 4 3 2" xfId="57106"/>
    <cellStyle name="Обычный 4 12 2 4 3 2 2" xfId="57107"/>
    <cellStyle name="Обычный 4 12 2 4 3 3" xfId="57108"/>
    <cellStyle name="Обычный 4 12 2 4 4" xfId="57109"/>
    <cellStyle name="Обычный 4 12 2 4 4 2" xfId="57110"/>
    <cellStyle name="Обычный 4 12 2 4 5" xfId="57111"/>
    <cellStyle name="Обычный 4 12 2 4 6" xfId="57112"/>
    <cellStyle name="Обычный 4 12 2 4 7" xfId="57113"/>
    <cellStyle name="Обычный 4 12 2 4 8" xfId="57114"/>
    <cellStyle name="Обычный 4 12 2 4 9" xfId="57115"/>
    <cellStyle name="Обычный 4 12 2 5" xfId="57116"/>
    <cellStyle name="Обычный 4 12 2 5 2" xfId="57117"/>
    <cellStyle name="Обычный 4 12 2 5 2 2" xfId="57118"/>
    <cellStyle name="Обычный 4 12 2 5 3" xfId="57119"/>
    <cellStyle name="Обычный 4 12 2 5 4" xfId="57120"/>
    <cellStyle name="Обычный 4 12 2 6" xfId="57121"/>
    <cellStyle name="Обычный 4 12 2 6 2" xfId="57122"/>
    <cellStyle name="Обычный 4 12 2 6 2 2" xfId="57123"/>
    <cellStyle name="Обычный 4 12 2 6 3" xfId="57124"/>
    <cellStyle name="Обычный 4 12 2 7" xfId="57125"/>
    <cellStyle name="Обычный 4 12 2 7 2" xfId="57126"/>
    <cellStyle name="Обычный 4 12 2 8" xfId="57127"/>
    <cellStyle name="Обычный 4 12 2 9" xfId="57128"/>
    <cellStyle name="Обычный 4 12 3" xfId="57129"/>
    <cellStyle name="Обычный 4 12 3 2" xfId="57130"/>
    <cellStyle name="Обычный 4 12 3 2 2" xfId="57131"/>
    <cellStyle name="Обычный 4 12 3 2 2 2" xfId="57132"/>
    <cellStyle name="Обычный 4 12 3 2 3" xfId="57133"/>
    <cellStyle name="Обычный 4 12 3 2 4" xfId="57134"/>
    <cellStyle name="Обычный 4 12 3 3" xfId="57135"/>
    <cellStyle name="Обычный 4 12 3 3 2" xfId="57136"/>
    <cellStyle name="Обычный 4 12 3 3 2 2" xfId="57137"/>
    <cellStyle name="Обычный 4 12 3 3 3" xfId="57138"/>
    <cellStyle name="Обычный 4 12 3 4" xfId="57139"/>
    <cellStyle name="Обычный 4 12 3 4 2" xfId="57140"/>
    <cellStyle name="Обычный 4 12 3 5" xfId="57141"/>
    <cellStyle name="Обычный 4 12 3 6" xfId="57142"/>
    <cellStyle name="Обычный 4 12 3 7" xfId="57143"/>
    <cellStyle name="Обычный 4 12 3 8" xfId="57144"/>
    <cellStyle name="Обычный 4 12 3 9" xfId="57145"/>
    <cellStyle name="Обычный 4 12 4" xfId="57146"/>
    <cellStyle name="Обычный 4 12 4 2" xfId="57147"/>
    <cellStyle name="Обычный 4 12 4 2 2" xfId="57148"/>
    <cellStyle name="Обычный 4 12 4 2 2 2" xfId="57149"/>
    <cellStyle name="Обычный 4 12 4 2 3" xfId="57150"/>
    <cellStyle name="Обычный 4 12 4 2 4" xfId="57151"/>
    <cellStyle name="Обычный 4 12 4 3" xfId="57152"/>
    <cellStyle name="Обычный 4 12 4 3 2" xfId="57153"/>
    <cellStyle name="Обычный 4 12 4 3 2 2" xfId="57154"/>
    <cellStyle name="Обычный 4 12 4 3 3" xfId="57155"/>
    <cellStyle name="Обычный 4 12 4 4" xfId="57156"/>
    <cellStyle name="Обычный 4 12 4 4 2" xfId="57157"/>
    <cellStyle name="Обычный 4 12 4 5" xfId="57158"/>
    <cellStyle name="Обычный 4 12 4 6" xfId="57159"/>
    <cellStyle name="Обычный 4 12 4 7" xfId="57160"/>
    <cellStyle name="Обычный 4 12 4 8" xfId="57161"/>
    <cellStyle name="Обычный 4 12 4 9" xfId="57162"/>
    <cellStyle name="Обычный 4 12 5" xfId="57163"/>
    <cellStyle name="Обычный 4 12 5 2" xfId="57164"/>
    <cellStyle name="Обычный 4 12 5 2 2" xfId="57165"/>
    <cellStyle name="Обычный 4 12 5 2 2 2" xfId="57166"/>
    <cellStyle name="Обычный 4 12 5 2 3" xfId="57167"/>
    <cellStyle name="Обычный 4 12 5 2 4" xfId="57168"/>
    <cellStyle name="Обычный 4 12 5 3" xfId="57169"/>
    <cellStyle name="Обычный 4 12 5 3 2" xfId="57170"/>
    <cellStyle name="Обычный 4 12 5 3 2 2" xfId="57171"/>
    <cellStyle name="Обычный 4 12 5 3 3" xfId="57172"/>
    <cellStyle name="Обычный 4 12 5 4" xfId="57173"/>
    <cellStyle name="Обычный 4 12 5 4 2" xfId="57174"/>
    <cellStyle name="Обычный 4 12 5 5" xfId="57175"/>
    <cellStyle name="Обычный 4 12 5 6" xfId="57176"/>
    <cellStyle name="Обычный 4 12 5 7" xfId="57177"/>
    <cellStyle name="Обычный 4 12 5 8" xfId="57178"/>
    <cellStyle name="Обычный 4 12 5 9" xfId="57179"/>
    <cellStyle name="Обычный 4 12 6" xfId="57180"/>
    <cellStyle name="Обычный 4 12 6 2" xfId="57181"/>
    <cellStyle name="Обычный 4 12 6 2 2" xfId="57182"/>
    <cellStyle name="Обычный 4 12 6 3" xfId="57183"/>
    <cellStyle name="Обычный 4 12 6 4" xfId="57184"/>
    <cellStyle name="Обычный 4 12 7" xfId="57185"/>
    <cellStyle name="Обычный 4 12 7 2" xfId="57186"/>
    <cellStyle name="Обычный 4 12 7 2 2" xfId="57187"/>
    <cellStyle name="Обычный 4 12 7 3" xfId="57188"/>
    <cellStyle name="Обычный 4 12 8" xfId="57189"/>
    <cellStyle name="Обычный 4 12 8 2" xfId="57190"/>
    <cellStyle name="Обычный 4 12 9" xfId="57191"/>
    <cellStyle name="Обычный 4 13" xfId="57192"/>
    <cellStyle name="Обычный 4 13 10" xfId="57193"/>
    <cellStyle name="Обычный 4 13 11" xfId="57194"/>
    <cellStyle name="Обычный 4 13 12" xfId="57195"/>
    <cellStyle name="Обычный 4 13 2" xfId="57196"/>
    <cellStyle name="Обычный 4 13 2 2" xfId="57197"/>
    <cellStyle name="Обычный 4 13 2 2 2" xfId="57198"/>
    <cellStyle name="Обычный 4 13 2 2 2 2" xfId="57199"/>
    <cellStyle name="Обычный 4 13 2 2 3" xfId="57200"/>
    <cellStyle name="Обычный 4 13 2 2 4" xfId="57201"/>
    <cellStyle name="Обычный 4 13 2 3" xfId="57202"/>
    <cellStyle name="Обычный 4 13 2 3 2" xfId="57203"/>
    <cellStyle name="Обычный 4 13 2 3 2 2" xfId="57204"/>
    <cellStyle name="Обычный 4 13 2 3 3" xfId="57205"/>
    <cellStyle name="Обычный 4 13 2 4" xfId="57206"/>
    <cellStyle name="Обычный 4 13 2 4 2" xfId="57207"/>
    <cellStyle name="Обычный 4 13 2 5" xfId="57208"/>
    <cellStyle name="Обычный 4 13 2 6" xfId="57209"/>
    <cellStyle name="Обычный 4 13 2 7" xfId="57210"/>
    <cellStyle name="Обычный 4 13 2 8" xfId="57211"/>
    <cellStyle name="Обычный 4 13 2 9" xfId="57212"/>
    <cellStyle name="Обычный 4 13 3" xfId="57213"/>
    <cellStyle name="Обычный 4 13 3 2" xfId="57214"/>
    <cellStyle name="Обычный 4 13 3 2 2" xfId="57215"/>
    <cellStyle name="Обычный 4 13 3 2 2 2" xfId="57216"/>
    <cellStyle name="Обычный 4 13 3 2 3" xfId="57217"/>
    <cellStyle name="Обычный 4 13 3 2 4" xfId="57218"/>
    <cellStyle name="Обычный 4 13 3 3" xfId="57219"/>
    <cellStyle name="Обычный 4 13 3 3 2" xfId="57220"/>
    <cellStyle name="Обычный 4 13 3 3 2 2" xfId="57221"/>
    <cellStyle name="Обычный 4 13 3 3 3" xfId="57222"/>
    <cellStyle name="Обычный 4 13 3 4" xfId="57223"/>
    <cellStyle name="Обычный 4 13 3 4 2" xfId="57224"/>
    <cellStyle name="Обычный 4 13 3 5" xfId="57225"/>
    <cellStyle name="Обычный 4 13 3 6" xfId="57226"/>
    <cellStyle name="Обычный 4 13 3 7" xfId="57227"/>
    <cellStyle name="Обычный 4 13 3 8" xfId="57228"/>
    <cellStyle name="Обычный 4 13 3 9" xfId="57229"/>
    <cellStyle name="Обычный 4 13 4" xfId="57230"/>
    <cellStyle name="Обычный 4 13 4 2" xfId="57231"/>
    <cellStyle name="Обычный 4 13 4 2 2" xfId="57232"/>
    <cellStyle name="Обычный 4 13 4 2 2 2" xfId="57233"/>
    <cellStyle name="Обычный 4 13 4 2 3" xfId="57234"/>
    <cellStyle name="Обычный 4 13 4 2 4" xfId="57235"/>
    <cellStyle name="Обычный 4 13 4 3" xfId="57236"/>
    <cellStyle name="Обычный 4 13 4 3 2" xfId="57237"/>
    <cellStyle name="Обычный 4 13 4 3 2 2" xfId="57238"/>
    <cellStyle name="Обычный 4 13 4 3 3" xfId="57239"/>
    <cellStyle name="Обычный 4 13 4 4" xfId="57240"/>
    <cellStyle name="Обычный 4 13 4 4 2" xfId="57241"/>
    <cellStyle name="Обычный 4 13 4 5" xfId="57242"/>
    <cellStyle name="Обычный 4 13 4 6" xfId="57243"/>
    <cellStyle name="Обычный 4 13 4 7" xfId="57244"/>
    <cellStyle name="Обычный 4 13 4 8" xfId="57245"/>
    <cellStyle name="Обычный 4 13 4 9" xfId="57246"/>
    <cellStyle name="Обычный 4 13 5" xfId="57247"/>
    <cellStyle name="Обычный 4 13 5 2" xfId="57248"/>
    <cellStyle name="Обычный 4 13 5 2 2" xfId="57249"/>
    <cellStyle name="Обычный 4 13 5 3" xfId="57250"/>
    <cellStyle name="Обычный 4 13 5 4" xfId="57251"/>
    <cellStyle name="Обычный 4 13 6" xfId="57252"/>
    <cellStyle name="Обычный 4 13 6 2" xfId="57253"/>
    <cellStyle name="Обычный 4 13 6 2 2" xfId="57254"/>
    <cellStyle name="Обычный 4 13 6 3" xfId="57255"/>
    <cellStyle name="Обычный 4 13 7" xfId="57256"/>
    <cellStyle name="Обычный 4 13 7 2" xfId="57257"/>
    <cellStyle name="Обычный 4 13 8" xfId="57258"/>
    <cellStyle name="Обычный 4 13 9" xfId="57259"/>
    <cellStyle name="Обычный 4 14" xfId="57260"/>
    <cellStyle name="Обычный 4 14 2" xfId="57261"/>
    <cellStyle name="Обычный 4 14 2 2" xfId="57262"/>
    <cellStyle name="Обычный 4 14 2 2 2" xfId="57263"/>
    <cellStyle name="Обычный 4 14 2 3" xfId="57264"/>
    <cellStyle name="Обычный 4 14 2 4" xfId="57265"/>
    <cellStyle name="Обычный 4 14 3" xfId="57266"/>
    <cellStyle name="Обычный 4 14 3 2" xfId="57267"/>
    <cellStyle name="Обычный 4 14 3 2 2" xfId="57268"/>
    <cellStyle name="Обычный 4 14 3 3" xfId="57269"/>
    <cellStyle name="Обычный 4 14 4" xfId="57270"/>
    <cellStyle name="Обычный 4 14 4 2" xfId="57271"/>
    <cellStyle name="Обычный 4 14 5" xfId="57272"/>
    <cellStyle name="Обычный 4 14 6" xfId="57273"/>
    <cellStyle name="Обычный 4 14 7" xfId="57274"/>
    <cellStyle name="Обычный 4 14 8" xfId="57275"/>
    <cellStyle name="Обычный 4 14 9" xfId="57276"/>
    <cellStyle name="Обычный 4 15" xfId="57277"/>
    <cellStyle name="Обычный 4 15 2" xfId="57278"/>
    <cellStyle name="Обычный 4 15 2 2" xfId="57279"/>
    <cellStyle name="Обычный 4 15 2 2 2" xfId="57280"/>
    <cellStyle name="Обычный 4 15 2 3" xfId="57281"/>
    <cellStyle name="Обычный 4 15 2 4" xfId="57282"/>
    <cellStyle name="Обычный 4 15 3" xfId="57283"/>
    <cellStyle name="Обычный 4 15 3 2" xfId="57284"/>
    <cellStyle name="Обычный 4 15 3 2 2" xfId="57285"/>
    <cellStyle name="Обычный 4 15 3 3" xfId="57286"/>
    <cellStyle name="Обычный 4 15 4" xfId="57287"/>
    <cellStyle name="Обычный 4 15 4 2" xfId="57288"/>
    <cellStyle name="Обычный 4 15 5" xfId="57289"/>
    <cellStyle name="Обычный 4 15 6" xfId="57290"/>
    <cellStyle name="Обычный 4 15 7" xfId="57291"/>
    <cellStyle name="Обычный 4 15 8" xfId="57292"/>
    <cellStyle name="Обычный 4 15 9" xfId="57293"/>
    <cellStyle name="Обычный 4 16" xfId="57294"/>
    <cellStyle name="Обычный 4 16 2" xfId="57295"/>
    <cellStyle name="Обычный 4 16 2 2" xfId="57296"/>
    <cellStyle name="Обычный 4 16 2 2 2" xfId="57297"/>
    <cellStyle name="Обычный 4 16 2 3" xfId="57298"/>
    <cellStyle name="Обычный 4 16 2 4" xfId="57299"/>
    <cellStyle name="Обычный 4 16 3" xfId="57300"/>
    <cellStyle name="Обычный 4 16 3 2" xfId="57301"/>
    <cellStyle name="Обычный 4 16 3 2 2" xfId="57302"/>
    <cellStyle name="Обычный 4 16 3 3" xfId="57303"/>
    <cellStyle name="Обычный 4 16 4" xfId="57304"/>
    <cellStyle name="Обычный 4 16 4 2" xfId="57305"/>
    <cellStyle name="Обычный 4 16 5" xfId="57306"/>
    <cellStyle name="Обычный 4 16 6" xfId="57307"/>
    <cellStyle name="Обычный 4 16 7" xfId="57308"/>
    <cellStyle name="Обычный 4 16 8" xfId="57309"/>
    <cellStyle name="Обычный 4 16 9" xfId="57310"/>
    <cellStyle name="Обычный 4 17" xfId="57311"/>
    <cellStyle name="Обычный 4 17 2" xfId="57312"/>
    <cellStyle name="Обычный 4 17 2 2" xfId="57313"/>
    <cellStyle name="Обычный 4 17 3" xfId="57314"/>
    <cellStyle name="Обычный 4 17 4" xfId="57315"/>
    <cellStyle name="Обычный 4 18" xfId="57316"/>
    <cellStyle name="Обычный 4 18 2" xfId="57317"/>
    <cellStyle name="Обычный 4 18 2 2" xfId="57318"/>
    <cellStyle name="Обычный 4 18 3" xfId="57319"/>
    <cellStyle name="Обычный 4 19" xfId="57320"/>
    <cellStyle name="Обычный 4 19 2" xfId="57321"/>
    <cellStyle name="Обычный 4 2" xfId="57322"/>
    <cellStyle name="Обычный 4 2 10" xfId="57323"/>
    <cellStyle name="Обычный 4 2 10 2" xfId="57324"/>
    <cellStyle name="Обычный 4 2 11" xfId="57325"/>
    <cellStyle name="Обычный 4 2 12" xfId="57326"/>
    <cellStyle name="Обычный 4 2 13" xfId="57327"/>
    <cellStyle name="Обычный 4 2 14" xfId="57328"/>
    <cellStyle name="Обычный 4 2 15" xfId="57329"/>
    <cellStyle name="Обычный 4 2 2" xfId="57330"/>
    <cellStyle name="Обычный 4 2 2 10" xfId="57331"/>
    <cellStyle name="Обычный 4 2 2 11" xfId="57332"/>
    <cellStyle name="Обычный 4 2 2 12" xfId="57333"/>
    <cellStyle name="Обычный 4 2 2 13" xfId="57334"/>
    <cellStyle name="Обычный 4 2 2 2" xfId="57335"/>
    <cellStyle name="Обычный 4 2 2 2 10" xfId="57336"/>
    <cellStyle name="Обычный 4 2 2 2 11" xfId="57337"/>
    <cellStyle name="Обычный 4 2 2 2 12" xfId="57338"/>
    <cellStyle name="Обычный 4 2 2 2 2" xfId="57339"/>
    <cellStyle name="Обычный 4 2 2 2 2 2" xfId="57340"/>
    <cellStyle name="Обычный 4 2 2 2 2 2 2" xfId="57341"/>
    <cellStyle name="Обычный 4 2 2 2 2 2 2 2" xfId="57342"/>
    <cellStyle name="Обычный 4 2 2 2 2 2 3" xfId="57343"/>
    <cellStyle name="Обычный 4 2 2 2 2 2 4" xfId="57344"/>
    <cellStyle name="Обычный 4 2 2 2 2 3" xfId="57345"/>
    <cellStyle name="Обычный 4 2 2 2 2 3 2" xfId="57346"/>
    <cellStyle name="Обычный 4 2 2 2 2 3 2 2" xfId="57347"/>
    <cellStyle name="Обычный 4 2 2 2 2 3 3" xfId="57348"/>
    <cellStyle name="Обычный 4 2 2 2 2 4" xfId="57349"/>
    <cellStyle name="Обычный 4 2 2 2 2 4 2" xfId="57350"/>
    <cellStyle name="Обычный 4 2 2 2 2 5" xfId="57351"/>
    <cellStyle name="Обычный 4 2 2 2 2 6" xfId="57352"/>
    <cellStyle name="Обычный 4 2 2 2 2 7" xfId="57353"/>
    <cellStyle name="Обычный 4 2 2 2 2 8" xfId="57354"/>
    <cellStyle name="Обычный 4 2 2 2 2 9" xfId="57355"/>
    <cellStyle name="Обычный 4 2 2 2 3" xfId="57356"/>
    <cellStyle name="Обычный 4 2 2 2 3 2" xfId="57357"/>
    <cellStyle name="Обычный 4 2 2 2 3 2 2" xfId="57358"/>
    <cellStyle name="Обычный 4 2 2 2 3 2 2 2" xfId="57359"/>
    <cellStyle name="Обычный 4 2 2 2 3 2 3" xfId="57360"/>
    <cellStyle name="Обычный 4 2 2 2 3 2 4" xfId="57361"/>
    <cellStyle name="Обычный 4 2 2 2 3 3" xfId="57362"/>
    <cellStyle name="Обычный 4 2 2 2 3 3 2" xfId="57363"/>
    <cellStyle name="Обычный 4 2 2 2 3 3 2 2" xfId="57364"/>
    <cellStyle name="Обычный 4 2 2 2 3 3 3" xfId="57365"/>
    <cellStyle name="Обычный 4 2 2 2 3 4" xfId="57366"/>
    <cellStyle name="Обычный 4 2 2 2 3 4 2" xfId="57367"/>
    <cellStyle name="Обычный 4 2 2 2 3 5" xfId="57368"/>
    <cellStyle name="Обычный 4 2 2 2 3 6" xfId="57369"/>
    <cellStyle name="Обычный 4 2 2 2 3 7" xfId="57370"/>
    <cellStyle name="Обычный 4 2 2 2 3 8" xfId="57371"/>
    <cellStyle name="Обычный 4 2 2 2 3 9" xfId="57372"/>
    <cellStyle name="Обычный 4 2 2 2 4" xfId="57373"/>
    <cellStyle name="Обычный 4 2 2 2 4 2" xfId="57374"/>
    <cellStyle name="Обычный 4 2 2 2 4 2 2" xfId="57375"/>
    <cellStyle name="Обычный 4 2 2 2 4 2 2 2" xfId="57376"/>
    <cellStyle name="Обычный 4 2 2 2 4 2 3" xfId="57377"/>
    <cellStyle name="Обычный 4 2 2 2 4 2 4" xfId="57378"/>
    <cellStyle name="Обычный 4 2 2 2 4 3" xfId="57379"/>
    <cellStyle name="Обычный 4 2 2 2 4 3 2" xfId="57380"/>
    <cellStyle name="Обычный 4 2 2 2 4 3 2 2" xfId="57381"/>
    <cellStyle name="Обычный 4 2 2 2 4 3 3" xfId="57382"/>
    <cellStyle name="Обычный 4 2 2 2 4 4" xfId="57383"/>
    <cellStyle name="Обычный 4 2 2 2 4 4 2" xfId="57384"/>
    <cellStyle name="Обычный 4 2 2 2 4 5" xfId="57385"/>
    <cellStyle name="Обычный 4 2 2 2 4 6" xfId="57386"/>
    <cellStyle name="Обычный 4 2 2 2 4 7" xfId="57387"/>
    <cellStyle name="Обычный 4 2 2 2 4 8" xfId="57388"/>
    <cellStyle name="Обычный 4 2 2 2 4 9" xfId="57389"/>
    <cellStyle name="Обычный 4 2 2 2 5" xfId="57390"/>
    <cellStyle name="Обычный 4 2 2 2 5 2" xfId="57391"/>
    <cellStyle name="Обычный 4 2 2 2 5 2 2" xfId="57392"/>
    <cellStyle name="Обычный 4 2 2 2 5 3" xfId="57393"/>
    <cellStyle name="Обычный 4 2 2 2 5 4" xfId="57394"/>
    <cellStyle name="Обычный 4 2 2 2 6" xfId="57395"/>
    <cellStyle name="Обычный 4 2 2 2 6 2" xfId="57396"/>
    <cellStyle name="Обычный 4 2 2 2 6 2 2" xfId="57397"/>
    <cellStyle name="Обычный 4 2 2 2 6 3" xfId="57398"/>
    <cellStyle name="Обычный 4 2 2 2 7" xfId="57399"/>
    <cellStyle name="Обычный 4 2 2 2 7 2" xfId="57400"/>
    <cellStyle name="Обычный 4 2 2 2 8" xfId="57401"/>
    <cellStyle name="Обычный 4 2 2 2 9" xfId="57402"/>
    <cellStyle name="Обычный 4 2 2 3" xfId="57403"/>
    <cellStyle name="Обычный 4 2 2 3 2" xfId="57404"/>
    <cellStyle name="Обычный 4 2 2 3 2 2" xfId="57405"/>
    <cellStyle name="Обычный 4 2 2 3 2 2 2" xfId="57406"/>
    <cellStyle name="Обычный 4 2 2 3 2 3" xfId="57407"/>
    <cellStyle name="Обычный 4 2 2 3 2 4" xfId="57408"/>
    <cellStyle name="Обычный 4 2 2 3 3" xfId="57409"/>
    <cellStyle name="Обычный 4 2 2 3 3 2" xfId="57410"/>
    <cellStyle name="Обычный 4 2 2 3 3 2 2" xfId="57411"/>
    <cellStyle name="Обычный 4 2 2 3 3 3" xfId="57412"/>
    <cellStyle name="Обычный 4 2 2 3 4" xfId="57413"/>
    <cellStyle name="Обычный 4 2 2 3 4 2" xfId="57414"/>
    <cellStyle name="Обычный 4 2 2 3 5" xfId="57415"/>
    <cellStyle name="Обычный 4 2 2 3 6" xfId="57416"/>
    <cellStyle name="Обычный 4 2 2 3 7" xfId="57417"/>
    <cellStyle name="Обычный 4 2 2 3 8" xfId="57418"/>
    <cellStyle name="Обычный 4 2 2 3 9" xfId="57419"/>
    <cellStyle name="Обычный 4 2 2 4" xfId="57420"/>
    <cellStyle name="Обычный 4 2 2 4 2" xfId="57421"/>
    <cellStyle name="Обычный 4 2 2 4 2 2" xfId="57422"/>
    <cellStyle name="Обычный 4 2 2 4 2 2 2" xfId="57423"/>
    <cellStyle name="Обычный 4 2 2 4 2 3" xfId="57424"/>
    <cellStyle name="Обычный 4 2 2 4 2 4" xfId="57425"/>
    <cellStyle name="Обычный 4 2 2 4 3" xfId="57426"/>
    <cellStyle name="Обычный 4 2 2 4 3 2" xfId="57427"/>
    <cellStyle name="Обычный 4 2 2 4 3 2 2" xfId="57428"/>
    <cellStyle name="Обычный 4 2 2 4 3 3" xfId="57429"/>
    <cellStyle name="Обычный 4 2 2 4 4" xfId="57430"/>
    <cellStyle name="Обычный 4 2 2 4 4 2" xfId="57431"/>
    <cellStyle name="Обычный 4 2 2 4 5" xfId="57432"/>
    <cellStyle name="Обычный 4 2 2 4 6" xfId="57433"/>
    <cellStyle name="Обычный 4 2 2 4 7" xfId="57434"/>
    <cellStyle name="Обычный 4 2 2 4 8" xfId="57435"/>
    <cellStyle name="Обычный 4 2 2 4 9" xfId="57436"/>
    <cellStyle name="Обычный 4 2 2 5" xfId="57437"/>
    <cellStyle name="Обычный 4 2 2 5 2" xfId="57438"/>
    <cellStyle name="Обычный 4 2 2 5 2 2" xfId="57439"/>
    <cellStyle name="Обычный 4 2 2 5 2 2 2" xfId="57440"/>
    <cellStyle name="Обычный 4 2 2 5 2 3" xfId="57441"/>
    <cellStyle name="Обычный 4 2 2 5 2 4" xfId="57442"/>
    <cellStyle name="Обычный 4 2 2 5 3" xfId="57443"/>
    <cellStyle name="Обычный 4 2 2 5 3 2" xfId="57444"/>
    <cellStyle name="Обычный 4 2 2 5 3 2 2" xfId="57445"/>
    <cellStyle name="Обычный 4 2 2 5 3 3" xfId="57446"/>
    <cellStyle name="Обычный 4 2 2 5 4" xfId="57447"/>
    <cellStyle name="Обычный 4 2 2 5 4 2" xfId="57448"/>
    <cellStyle name="Обычный 4 2 2 5 5" xfId="57449"/>
    <cellStyle name="Обычный 4 2 2 5 6" xfId="57450"/>
    <cellStyle name="Обычный 4 2 2 5 7" xfId="57451"/>
    <cellStyle name="Обычный 4 2 2 5 8" xfId="57452"/>
    <cellStyle name="Обычный 4 2 2 5 9" xfId="57453"/>
    <cellStyle name="Обычный 4 2 2 6" xfId="57454"/>
    <cellStyle name="Обычный 4 2 2 6 2" xfId="57455"/>
    <cellStyle name="Обычный 4 2 2 6 2 2" xfId="57456"/>
    <cellStyle name="Обычный 4 2 2 6 3" xfId="57457"/>
    <cellStyle name="Обычный 4 2 2 6 4" xfId="57458"/>
    <cellStyle name="Обычный 4 2 2 7" xfId="57459"/>
    <cellStyle name="Обычный 4 2 2 7 2" xfId="57460"/>
    <cellStyle name="Обычный 4 2 2 7 2 2" xfId="57461"/>
    <cellStyle name="Обычный 4 2 2 7 3" xfId="57462"/>
    <cellStyle name="Обычный 4 2 2 8" xfId="57463"/>
    <cellStyle name="Обычный 4 2 2 8 2" xfId="57464"/>
    <cellStyle name="Обычный 4 2 2 9" xfId="57465"/>
    <cellStyle name="Обычный 4 2 3" xfId="57466"/>
    <cellStyle name="Обычный 4 2 3 10" xfId="57467"/>
    <cellStyle name="Обычный 4 2 3 11" xfId="57468"/>
    <cellStyle name="Обычный 4 2 3 12" xfId="57469"/>
    <cellStyle name="Обычный 4 2 3 13" xfId="57470"/>
    <cellStyle name="Обычный 4 2 3 2" xfId="57471"/>
    <cellStyle name="Обычный 4 2 3 2 10" xfId="57472"/>
    <cellStyle name="Обычный 4 2 3 2 11" xfId="57473"/>
    <cellStyle name="Обычный 4 2 3 2 12" xfId="57474"/>
    <cellStyle name="Обычный 4 2 3 2 2" xfId="57475"/>
    <cellStyle name="Обычный 4 2 3 2 2 2" xfId="57476"/>
    <cellStyle name="Обычный 4 2 3 2 2 2 2" xfId="57477"/>
    <cellStyle name="Обычный 4 2 3 2 2 2 2 2" xfId="57478"/>
    <cellStyle name="Обычный 4 2 3 2 2 2 3" xfId="57479"/>
    <cellStyle name="Обычный 4 2 3 2 2 2 4" xfId="57480"/>
    <cellStyle name="Обычный 4 2 3 2 2 3" xfId="57481"/>
    <cellStyle name="Обычный 4 2 3 2 2 3 2" xfId="57482"/>
    <cellStyle name="Обычный 4 2 3 2 2 3 2 2" xfId="57483"/>
    <cellStyle name="Обычный 4 2 3 2 2 3 3" xfId="57484"/>
    <cellStyle name="Обычный 4 2 3 2 2 4" xfId="57485"/>
    <cellStyle name="Обычный 4 2 3 2 2 4 2" xfId="57486"/>
    <cellStyle name="Обычный 4 2 3 2 2 5" xfId="57487"/>
    <cellStyle name="Обычный 4 2 3 2 2 6" xfId="57488"/>
    <cellStyle name="Обычный 4 2 3 2 2 7" xfId="57489"/>
    <cellStyle name="Обычный 4 2 3 2 2 8" xfId="57490"/>
    <cellStyle name="Обычный 4 2 3 2 2 9" xfId="57491"/>
    <cellStyle name="Обычный 4 2 3 2 3" xfId="57492"/>
    <cellStyle name="Обычный 4 2 3 2 3 2" xfId="57493"/>
    <cellStyle name="Обычный 4 2 3 2 3 2 2" xfId="57494"/>
    <cellStyle name="Обычный 4 2 3 2 3 2 2 2" xfId="57495"/>
    <cellStyle name="Обычный 4 2 3 2 3 2 3" xfId="57496"/>
    <cellStyle name="Обычный 4 2 3 2 3 2 4" xfId="57497"/>
    <cellStyle name="Обычный 4 2 3 2 3 3" xfId="57498"/>
    <cellStyle name="Обычный 4 2 3 2 3 3 2" xfId="57499"/>
    <cellStyle name="Обычный 4 2 3 2 3 3 2 2" xfId="57500"/>
    <cellStyle name="Обычный 4 2 3 2 3 3 3" xfId="57501"/>
    <cellStyle name="Обычный 4 2 3 2 3 4" xfId="57502"/>
    <cellStyle name="Обычный 4 2 3 2 3 4 2" xfId="57503"/>
    <cellStyle name="Обычный 4 2 3 2 3 5" xfId="57504"/>
    <cellStyle name="Обычный 4 2 3 2 3 6" xfId="57505"/>
    <cellStyle name="Обычный 4 2 3 2 3 7" xfId="57506"/>
    <cellStyle name="Обычный 4 2 3 2 3 8" xfId="57507"/>
    <cellStyle name="Обычный 4 2 3 2 3 9" xfId="57508"/>
    <cellStyle name="Обычный 4 2 3 2 4" xfId="57509"/>
    <cellStyle name="Обычный 4 2 3 2 4 2" xfId="57510"/>
    <cellStyle name="Обычный 4 2 3 2 4 2 2" xfId="57511"/>
    <cellStyle name="Обычный 4 2 3 2 4 2 2 2" xfId="57512"/>
    <cellStyle name="Обычный 4 2 3 2 4 2 3" xfId="57513"/>
    <cellStyle name="Обычный 4 2 3 2 4 2 4" xfId="57514"/>
    <cellStyle name="Обычный 4 2 3 2 4 3" xfId="57515"/>
    <cellStyle name="Обычный 4 2 3 2 4 3 2" xfId="57516"/>
    <cellStyle name="Обычный 4 2 3 2 4 3 2 2" xfId="57517"/>
    <cellStyle name="Обычный 4 2 3 2 4 3 3" xfId="57518"/>
    <cellStyle name="Обычный 4 2 3 2 4 4" xfId="57519"/>
    <cellStyle name="Обычный 4 2 3 2 4 4 2" xfId="57520"/>
    <cellStyle name="Обычный 4 2 3 2 4 5" xfId="57521"/>
    <cellStyle name="Обычный 4 2 3 2 4 6" xfId="57522"/>
    <cellStyle name="Обычный 4 2 3 2 4 7" xfId="57523"/>
    <cellStyle name="Обычный 4 2 3 2 4 8" xfId="57524"/>
    <cellStyle name="Обычный 4 2 3 2 4 9" xfId="57525"/>
    <cellStyle name="Обычный 4 2 3 2 5" xfId="57526"/>
    <cellStyle name="Обычный 4 2 3 2 5 2" xfId="57527"/>
    <cellStyle name="Обычный 4 2 3 2 5 2 2" xfId="57528"/>
    <cellStyle name="Обычный 4 2 3 2 5 3" xfId="57529"/>
    <cellStyle name="Обычный 4 2 3 2 5 4" xfId="57530"/>
    <cellStyle name="Обычный 4 2 3 2 6" xfId="57531"/>
    <cellStyle name="Обычный 4 2 3 2 6 2" xfId="57532"/>
    <cellStyle name="Обычный 4 2 3 2 6 2 2" xfId="57533"/>
    <cellStyle name="Обычный 4 2 3 2 6 3" xfId="57534"/>
    <cellStyle name="Обычный 4 2 3 2 7" xfId="57535"/>
    <cellStyle name="Обычный 4 2 3 2 7 2" xfId="57536"/>
    <cellStyle name="Обычный 4 2 3 2 8" xfId="57537"/>
    <cellStyle name="Обычный 4 2 3 2 9" xfId="57538"/>
    <cellStyle name="Обычный 4 2 3 3" xfId="57539"/>
    <cellStyle name="Обычный 4 2 3 3 2" xfId="57540"/>
    <cellStyle name="Обычный 4 2 3 3 2 2" xfId="57541"/>
    <cellStyle name="Обычный 4 2 3 3 2 2 2" xfId="57542"/>
    <cellStyle name="Обычный 4 2 3 3 2 3" xfId="57543"/>
    <cellStyle name="Обычный 4 2 3 3 2 4" xfId="57544"/>
    <cellStyle name="Обычный 4 2 3 3 3" xfId="57545"/>
    <cellStyle name="Обычный 4 2 3 3 3 2" xfId="57546"/>
    <cellStyle name="Обычный 4 2 3 3 3 2 2" xfId="57547"/>
    <cellStyle name="Обычный 4 2 3 3 3 3" xfId="57548"/>
    <cellStyle name="Обычный 4 2 3 3 4" xfId="57549"/>
    <cellStyle name="Обычный 4 2 3 3 4 2" xfId="57550"/>
    <cellStyle name="Обычный 4 2 3 3 5" xfId="57551"/>
    <cellStyle name="Обычный 4 2 3 3 6" xfId="57552"/>
    <cellStyle name="Обычный 4 2 3 3 7" xfId="57553"/>
    <cellStyle name="Обычный 4 2 3 3 8" xfId="57554"/>
    <cellStyle name="Обычный 4 2 3 3 9" xfId="57555"/>
    <cellStyle name="Обычный 4 2 3 4" xfId="57556"/>
    <cellStyle name="Обычный 4 2 3 4 2" xfId="57557"/>
    <cellStyle name="Обычный 4 2 3 4 2 2" xfId="57558"/>
    <cellStyle name="Обычный 4 2 3 4 2 2 2" xfId="57559"/>
    <cellStyle name="Обычный 4 2 3 4 2 3" xfId="57560"/>
    <cellStyle name="Обычный 4 2 3 4 2 4" xfId="57561"/>
    <cellStyle name="Обычный 4 2 3 4 3" xfId="57562"/>
    <cellStyle name="Обычный 4 2 3 4 3 2" xfId="57563"/>
    <cellStyle name="Обычный 4 2 3 4 3 2 2" xfId="57564"/>
    <cellStyle name="Обычный 4 2 3 4 3 3" xfId="57565"/>
    <cellStyle name="Обычный 4 2 3 4 4" xfId="57566"/>
    <cellStyle name="Обычный 4 2 3 4 4 2" xfId="57567"/>
    <cellStyle name="Обычный 4 2 3 4 5" xfId="57568"/>
    <cellStyle name="Обычный 4 2 3 4 6" xfId="57569"/>
    <cellStyle name="Обычный 4 2 3 4 7" xfId="57570"/>
    <cellStyle name="Обычный 4 2 3 4 8" xfId="57571"/>
    <cellStyle name="Обычный 4 2 3 4 9" xfId="57572"/>
    <cellStyle name="Обычный 4 2 3 5" xfId="57573"/>
    <cellStyle name="Обычный 4 2 3 5 2" xfId="57574"/>
    <cellStyle name="Обычный 4 2 3 5 2 2" xfId="57575"/>
    <cellStyle name="Обычный 4 2 3 5 2 2 2" xfId="57576"/>
    <cellStyle name="Обычный 4 2 3 5 2 3" xfId="57577"/>
    <cellStyle name="Обычный 4 2 3 5 2 4" xfId="57578"/>
    <cellStyle name="Обычный 4 2 3 5 3" xfId="57579"/>
    <cellStyle name="Обычный 4 2 3 5 3 2" xfId="57580"/>
    <cellStyle name="Обычный 4 2 3 5 3 2 2" xfId="57581"/>
    <cellStyle name="Обычный 4 2 3 5 3 3" xfId="57582"/>
    <cellStyle name="Обычный 4 2 3 5 4" xfId="57583"/>
    <cellStyle name="Обычный 4 2 3 5 4 2" xfId="57584"/>
    <cellStyle name="Обычный 4 2 3 5 5" xfId="57585"/>
    <cellStyle name="Обычный 4 2 3 5 6" xfId="57586"/>
    <cellStyle name="Обычный 4 2 3 5 7" xfId="57587"/>
    <cellStyle name="Обычный 4 2 3 5 8" xfId="57588"/>
    <cellStyle name="Обычный 4 2 3 5 9" xfId="57589"/>
    <cellStyle name="Обычный 4 2 3 6" xfId="57590"/>
    <cellStyle name="Обычный 4 2 3 6 2" xfId="57591"/>
    <cellStyle name="Обычный 4 2 3 6 2 2" xfId="57592"/>
    <cellStyle name="Обычный 4 2 3 6 3" xfId="57593"/>
    <cellStyle name="Обычный 4 2 3 6 4" xfId="57594"/>
    <cellStyle name="Обычный 4 2 3 7" xfId="57595"/>
    <cellStyle name="Обычный 4 2 3 7 2" xfId="57596"/>
    <cellStyle name="Обычный 4 2 3 7 2 2" xfId="57597"/>
    <cellStyle name="Обычный 4 2 3 7 3" xfId="57598"/>
    <cellStyle name="Обычный 4 2 3 8" xfId="57599"/>
    <cellStyle name="Обычный 4 2 3 8 2" xfId="57600"/>
    <cellStyle name="Обычный 4 2 3 9" xfId="57601"/>
    <cellStyle name="Обычный 4 2 4" xfId="57602"/>
    <cellStyle name="Обычный 4 2 4 10" xfId="57603"/>
    <cellStyle name="Обычный 4 2 4 11" xfId="57604"/>
    <cellStyle name="Обычный 4 2 4 12" xfId="57605"/>
    <cellStyle name="Обычный 4 2 4 2" xfId="57606"/>
    <cellStyle name="Обычный 4 2 4 2 2" xfId="57607"/>
    <cellStyle name="Обычный 4 2 4 2 2 2" xfId="57608"/>
    <cellStyle name="Обычный 4 2 4 2 2 2 2" xfId="57609"/>
    <cellStyle name="Обычный 4 2 4 2 2 3" xfId="57610"/>
    <cellStyle name="Обычный 4 2 4 2 2 4" xfId="57611"/>
    <cellStyle name="Обычный 4 2 4 2 3" xfId="57612"/>
    <cellStyle name="Обычный 4 2 4 2 3 2" xfId="57613"/>
    <cellStyle name="Обычный 4 2 4 2 3 2 2" xfId="57614"/>
    <cellStyle name="Обычный 4 2 4 2 3 3" xfId="57615"/>
    <cellStyle name="Обычный 4 2 4 2 4" xfId="57616"/>
    <cellStyle name="Обычный 4 2 4 2 4 2" xfId="57617"/>
    <cellStyle name="Обычный 4 2 4 2 5" xfId="57618"/>
    <cellStyle name="Обычный 4 2 4 2 6" xfId="57619"/>
    <cellStyle name="Обычный 4 2 4 2 7" xfId="57620"/>
    <cellStyle name="Обычный 4 2 4 2 8" xfId="57621"/>
    <cellStyle name="Обычный 4 2 4 2 9" xfId="57622"/>
    <cellStyle name="Обычный 4 2 4 3" xfId="57623"/>
    <cellStyle name="Обычный 4 2 4 3 2" xfId="57624"/>
    <cellStyle name="Обычный 4 2 4 3 2 2" xfId="57625"/>
    <cellStyle name="Обычный 4 2 4 3 2 2 2" xfId="57626"/>
    <cellStyle name="Обычный 4 2 4 3 2 3" xfId="57627"/>
    <cellStyle name="Обычный 4 2 4 3 2 4" xfId="57628"/>
    <cellStyle name="Обычный 4 2 4 3 3" xfId="57629"/>
    <cellStyle name="Обычный 4 2 4 3 3 2" xfId="57630"/>
    <cellStyle name="Обычный 4 2 4 3 3 2 2" xfId="57631"/>
    <cellStyle name="Обычный 4 2 4 3 3 3" xfId="57632"/>
    <cellStyle name="Обычный 4 2 4 3 4" xfId="57633"/>
    <cellStyle name="Обычный 4 2 4 3 4 2" xfId="57634"/>
    <cellStyle name="Обычный 4 2 4 3 5" xfId="57635"/>
    <cellStyle name="Обычный 4 2 4 3 6" xfId="57636"/>
    <cellStyle name="Обычный 4 2 4 3 7" xfId="57637"/>
    <cellStyle name="Обычный 4 2 4 3 8" xfId="57638"/>
    <cellStyle name="Обычный 4 2 4 3 9" xfId="57639"/>
    <cellStyle name="Обычный 4 2 4 4" xfId="57640"/>
    <cellStyle name="Обычный 4 2 4 4 2" xfId="57641"/>
    <cellStyle name="Обычный 4 2 4 4 2 2" xfId="57642"/>
    <cellStyle name="Обычный 4 2 4 4 2 2 2" xfId="57643"/>
    <cellStyle name="Обычный 4 2 4 4 2 3" xfId="57644"/>
    <cellStyle name="Обычный 4 2 4 4 2 4" xfId="57645"/>
    <cellStyle name="Обычный 4 2 4 4 3" xfId="57646"/>
    <cellStyle name="Обычный 4 2 4 4 3 2" xfId="57647"/>
    <cellStyle name="Обычный 4 2 4 4 3 2 2" xfId="57648"/>
    <cellStyle name="Обычный 4 2 4 4 3 3" xfId="57649"/>
    <cellStyle name="Обычный 4 2 4 4 4" xfId="57650"/>
    <cellStyle name="Обычный 4 2 4 4 4 2" xfId="57651"/>
    <cellStyle name="Обычный 4 2 4 4 5" xfId="57652"/>
    <cellStyle name="Обычный 4 2 4 4 6" xfId="57653"/>
    <cellStyle name="Обычный 4 2 4 4 7" xfId="57654"/>
    <cellStyle name="Обычный 4 2 4 4 8" xfId="57655"/>
    <cellStyle name="Обычный 4 2 4 4 9" xfId="57656"/>
    <cellStyle name="Обычный 4 2 4 5" xfId="57657"/>
    <cellStyle name="Обычный 4 2 4 5 2" xfId="57658"/>
    <cellStyle name="Обычный 4 2 4 5 2 2" xfId="57659"/>
    <cellStyle name="Обычный 4 2 4 5 3" xfId="57660"/>
    <cellStyle name="Обычный 4 2 4 5 4" xfId="57661"/>
    <cellStyle name="Обычный 4 2 4 6" xfId="57662"/>
    <cellStyle name="Обычный 4 2 4 6 2" xfId="57663"/>
    <cellStyle name="Обычный 4 2 4 6 2 2" xfId="57664"/>
    <cellStyle name="Обычный 4 2 4 6 3" xfId="57665"/>
    <cellStyle name="Обычный 4 2 4 7" xfId="57666"/>
    <cellStyle name="Обычный 4 2 4 7 2" xfId="57667"/>
    <cellStyle name="Обычный 4 2 4 8" xfId="57668"/>
    <cellStyle name="Обычный 4 2 4 9" xfId="57669"/>
    <cellStyle name="Обычный 4 2 5" xfId="57670"/>
    <cellStyle name="Обычный 4 2 5 2" xfId="57671"/>
    <cellStyle name="Обычный 4 2 5 2 2" xfId="57672"/>
    <cellStyle name="Обычный 4 2 5 2 2 2" xfId="57673"/>
    <cellStyle name="Обычный 4 2 5 2 3" xfId="57674"/>
    <cellStyle name="Обычный 4 2 5 2 4" xfId="57675"/>
    <cellStyle name="Обычный 4 2 5 3" xfId="57676"/>
    <cellStyle name="Обычный 4 2 5 3 2" xfId="57677"/>
    <cellStyle name="Обычный 4 2 5 3 2 2" xfId="57678"/>
    <cellStyle name="Обычный 4 2 5 3 3" xfId="57679"/>
    <cellStyle name="Обычный 4 2 5 4" xfId="57680"/>
    <cellStyle name="Обычный 4 2 5 4 2" xfId="57681"/>
    <cellStyle name="Обычный 4 2 5 5" xfId="57682"/>
    <cellStyle name="Обычный 4 2 5 6" xfId="57683"/>
    <cellStyle name="Обычный 4 2 5 7" xfId="57684"/>
    <cellStyle name="Обычный 4 2 5 8" xfId="57685"/>
    <cellStyle name="Обычный 4 2 5 9" xfId="57686"/>
    <cellStyle name="Обычный 4 2 6" xfId="57687"/>
    <cellStyle name="Обычный 4 2 6 2" xfId="57688"/>
    <cellStyle name="Обычный 4 2 6 2 2" xfId="57689"/>
    <cellStyle name="Обычный 4 2 6 2 2 2" xfId="57690"/>
    <cellStyle name="Обычный 4 2 6 2 3" xfId="57691"/>
    <cellStyle name="Обычный 4 2 6 2 4" xfId="57692"/>
    <cellStyle name="Обычный 4 2 6 3" xfId="57693"/>
    <cellStyle name="Обычный 4 2 6 3 2" xfId="57694"/>
    <cellStyle name="Обычный 4 2 6 3 2 2" xfId="57695"/>
    <cellStyle name="Обычный 4 2 6 3 3" xfId="57696"/>
    <cellStyle name="Обычный 4 2 6 4" xfId="57697"/>
    <cellStyle name="Обычный 4 2 6 4 2" xfId="57698"/>
    <cellStyle name="Обычный 4 2 6 5" xfId="57699"/>
    <cellStyle name="Обычный 4 2 6 6" xfId="57700"/>
    <cellStyle name="Обычный 4 2 6 7" xfId="57701"/>
    <cellStyle name="Обычный 4 2 6 8" xfId="57702"/>
    <cellStyle name="Обычный 4 2 6 9" xfId="57703"/>
    <cellStyle name="Обычный 4 2 7" xfId="57704"/>
    <cellStyle name="Обычный 4 2 7 2" xfId="57705"/>
    <cellStyle name="Обычный 4 2 7 2 2" xfId="57706"/>
    <cellStyle name="Обычный 4 2 7 2 2 2" xfId="57707"/>
    <cellStyle name="Обычный 4 2 7 2 3" xfId="57708"/>
    <cellStyle name="Обычный 4 2 7 2 4" xfId="57709"/>
    <cellStyle name="Обычный 4 2 7 3" xfId="57710"/>
    <cellStyle name="Обычный 4 2 7 3 2" xfId="57711"/>
    <cellStyle name="Обычный 4 2 7 3 2 2" xfId="57712"/>
    <cellStyle name="Обычный 4 2 7 3 3" xfId="57713"/>
    <cellStyle name="Обычный 4 2 7 4" xfId="57714"/>
    <cellStyle name="Обычный 4 2 7 4 2" xfId="57715"/>
    <cellStyle name="Обычный 4 2 7 5" xfId="57716"/>
    <cellStyle name="Обычный 4 2 7 6" xfId="57717"/>
    <cellStyle name="Обычный 4 2 7 7" xfId="57718"/>
    <cellStyle name="Обычный 4 2 7 8" xfId="57719"/>
    <cellStyle name="Обычный 4 2 7 9" xfId="57720"/>
    <cellStyle name="Обычный 4 2 8" xfId="57721"/>
    <cellStyle name="Обычный 4 2 8 2" xfId="57722"/>
    <cellStyle name="Обычный 4 2 8 2 2" xfId="57723"/>
    <cellStyle name="Обычный 4 2 8 3" xfId="57724"/>
    <cellStyle name="Обычный 4 2 8 4" xfId="57725"/>
    <cellStyle name="Обычный 4 2 9" xfId="57726"/>
    <cellStyle name="Обычный 4 2 9 2" xfId="57727"/>
    <cellStyle name="Обычный 4 2 9 2 2" xfId="57728"/>
    <cellStyle name="Обычный 4 2 9 3" xfId="57729"/>
    <cellStyle name="Обычный 4 2_март 2012" xfId="57730"/>
    <cellStyle name="Обычный 4 20" xfId="57731"/>
    <cellStyle name="Обычный 4 21" xfId="57732"/>
    <cellStyle name="Обычный 4 22" xfId="57733"/>
    <cellStyle name="Обычный 4 23" xfId="57734"/>
    <cellStyle name="Обычный 4 24" xfId="57735"/>
    <cellStyle name="Обычный 4 3" xfId="57736"/>
    <cellStyle name="Обычный 4 3 10" xfId="57737"/>
    <cellStyle name="Обычный 4 3 10 2" xfId="57738"/>
    <cellStyle name="Обычный 4 3 11" xfId="57739"/>
    <cellStyle name="Обычный 4 3 12" xfId="57740"/>
    <cellStyle name="Обычный 4 3 13" xfId="57741"/>
    <cellStyle name="Обычный 4 3 14" xfId="57742"/>
    <cellStyle name="Обычный 4 3 15" xfId="57743"/>
    <cellStyle name="Обычный 4 3 2" xfId="57744"/>
    <cellStyle name="Обычный 4 3 2 10" xfId="57745"/>
    <cellStyle name="Обычный 4 3 2 11" xfId="57746"/>
    <cellStyle name="Обычный 4 3 2 12" xfId="57747"/>
    <cellStyle name="Обычный 4 3 2 13" xfId="57748"/>
    <cellStyle name="Обычный 4 3 2 2" xfId="57749"/>
    <cellStyle name="Обычный 4 3 2 2 10" xfId="57750"/>
    <cellStyle name="Обычный 4 3 2 2 11" xfId="57751"/>
    <cellStyle name="Обычный 4 3 2 2 12" xfId="57752"/>
    <cellStyle name="Обычный 4 3 2 2 2" xfId="57753"/>
    <cellStyle name="Обычный 4 3 2 2 2 2" xfId="57754"/>
    <cellStyle name="Обычный 4 3 2 2 2 2 2" xfId="57755"/>
    <cellStyle name="Обычный 4 3 2 2 2 2 2 2" xfId="57756"/>
    <cellStyle name="Обычный 4 3 2 2 2 2 3" xfId="57757"/>
    <cellStyle name="Обычный 4 3 2 2 2 2 4" xfId="57758"/>
    <cellStyle name="Обычный 4 3 2 2 2 3" xfId="57759"/>
    <cellStyle name="Обычный 4 3 2 2 2 3 2" xfId="57760"/>
    <cellStyle name="Обычный 4 3 2 2 2 3 2 2" xfId="57761"/>
    <cellStyle name="Обычный 4 3 2 2 2 3 3" xfId="57762"/>
    <cellStyle name="Обычный 4 3 2 2 2 4" xfId="57763"/>
    <cellStyle name="Обычный 4 3 2 2 2 4 2" xfId="57764"/>
    <cellStyle name="Обычный 4 3 2 2 2 5" xfId="57765"/>
    <cellStyle name="Обычный 4 3 2 2 2 6" xfId="57766"/>
    <cellStyle name="Обычный 4 3 2 2 2 7" xfId="57767"/>
    <cellStyle name="Обычный 4 3 2 2 2 8" xfId="57768"/>
    <cellStyle name="Обычный 4 3 2 2 2 9" xfId="57769"/>
    <cellStyle name="Обычный 4 3 2 2 3" xfId="57770"/>
    <cellStyle name="Обычный 4 3 2 2 3 2" xfId="57771"/>
    <cellStyle name="Обычный 4 3 2 2 3 2 2" xfId="57772"/>
    <cellStyle name="Обычный 4 3 2 2 3 2 2 2" xfId="57773"/>
    <cellStyle name="Обычный 4 3 2 2 3 2 3" xfId="57774"/>
    <cellStyle name="Обычный 4 3 2 2 3 2 4" xfId="57775"/>
    <cellStyle name="Обычный 4 3 2 2 3 3" xfId="57776"/>
    <cellStyle name="Обычный 4 3 2 2 3 3 2" xfId="57777"/>
    <cellStyle name="Обычный 4 3 2 2 3 3 2 2" xfId="57778"/>
    <cellStyle name="Обычный 4 3 2 2 3 3 3" xfId="57779"/>
    <cellStyle name="Обычный 4 3 2 2 3 4" xfId="57780"/>
    <cellStyle name="Обычный 4 3 2 2 3 4 2" xfId="57781"/>
    <cellStyle name="Обычный 4 3 2 2 3 5" xfId="57782"/>
    <cellStyle name="Обычный 4 3 2 2 3 6" xfId="57783"/>
    <cellStyle name="Обычный 4 3 2 2 3 7" xfId="57784"/>
    <cellStyle name="Обычный 4 3 2 2 3 8" xfId="57785"/>
    <cellStyle name="Обычный 4 3 2 2 3 9" xfId="57786"/>
    <cellStyle name="Обычный 4 3 2 2 4" xfId="57787"/>
    <cellStyle name="Обычный 4 3 2 2 4 2" xfId="57788"/>
    <cellStyle name="Обычный 4 3 2 2 4 2 2" xfId="57789"/>
    <cellStyle name="Обычный 4 3 2 2 4 2 2 2" xfId="57790"/>
    <cellStyle name="Обычный 4 3 2 2 4 2 3" xfId="57791"/>
    <cellStyle name="Обычный 4 3 2 2 4 2 4" xfId="57792"/>
    <cellStyle name="Обычный 4 3 2 2 4 3" xfId="57793"/>
    <cellStyle name="Обычный 4 3 2 2 4 3 2" xfId="57794"/>
    <cellStyle name="Обычный 4 3 2 2 4 3 2 2" xfId="57795"/>
    <cellStyle name="Обычный 4 3 2 2 4 3 3" xfId="57796"/>
    <cellStyle name="Обычный 4 3 2 2 4 4" xfId="57797"/>
    <cellStyle name="Обычный 4 3 2 2 4 4 2" xfId="57798"/>
    <cellStyle name="Обычный 4 3 2 2 4 5" xfId="57799"/>
    <cellStyle name="Обычный 4 3 2 2 4 6" xfId="57800"/>
    <cellStyle name="Обычный 4 3 2 2 4 7" xfId="57801"/>
    <cellStyle name="Обычный 4 3 2 2 4 8" xfId="57802"/>
    <cellStyle name="Обычный 4 3 2 2 4 9" xfId="57803"/>
    <cellStyle name="Обычный 4 3 2 2 5" xfId="57804"/>
    <cellStyle name="Обычный 4 3 2 2 5 2" xfId="57805"/>
    <cellStyle name="Обычный 4 3 2 2 5 2 2" xfId="57806"/>
    <cellStyle name="Обычный 4 3 2 2 5 3" xfId="57807"/>
    <cellStyle name="Обычный 4 3 2 2 5 4" xfId="57808"/>
    <cellStyle name="Обычный 4 3 2 2 6" xfId="57809"/>
    <cellStyle name="Обычный 4 3 2 2 6 2" xfId="57810"/>
    <cellStyle name="Обычный 4 3 2 2 6 2 2" xfId="57811"/>
    <cellStyle name="Обычный 4 3 2 2 6 3" xfId="57812"/>
    <cellStyle name="Обычный 4 3 2 2 7" xfId="57813"/>
    <cellStyle name="Обычный 4 3 2 2 7 2" xfId="57814"/>
    <cellStyle name="Обычный 4 3 2 2 8" xfId="57815"/>
    <cellStyle name="Обычный 4 3 2 2 9" xfId="57816"/>
    <cellStyle name="Обычный 4 3 2 3" xfId="57817"/>
    <cellStyle name="Обычный 4 3 2 3 2" xfId="57818"/>
    <cellStyle name="Обычный 4 3 2 3 2 2" xfId="57819"/>
    <cellStyle name="Обычный 4 3 2 3 2 2 2" xfId="57820"/>
    <cellStyle name="Обычный 4 3 2 3 2 3" xfId="57821"/>
    <cellStyle name="Обычный 4 3 2 3 2 4" xfId="57822"/>
    <cellStyle name="Обычный 4 3 2 3 3" xfId="57823"/>
    <cellStyle name="Обычный 4 3 2 3 3 2" xfId="57824"/>
    <cellStyle name="Обычный 4 3 2 3 3 2 2" xfId="57825"/>
    <cellStyle name="Обычный 4 3 2 3 3 3" xfId="57826"/>
    <cellStyle name="Обычный 4 3 2 3 4" xfId="57827"/>
    <cellStyle name="Обычный 4 3 2 3 4 2" xfId="57828"/>
    <cellStyle name="Обычный 4 3 2 3 5" xfId="57829"/>
    <cellStyle name="Обычный 4 3 2 3 6" xfId="57830"/>
    <cellStyle name="Обычный 4 3 2 3 7" xfId="57831"/>
    <cellStyle name="Обычный 4 3 2 3 8" xfId="57832"/>
    <cellStyle name="Обычный 4 3 2 3 9" xfId="57833"/>
    <cellStyle name="Обычный 4 3 2 4" xfId="57834"/>
    <cellStyle name="Обычный 4 3 2 4 2" xfId="57835"/>
    <cellStyle name="Обычный 4 3 2 4 2 2" xfId="57836"/>
    <cellStyle name="Обычный 4 3 2 4 2 2 2" xfId="57837"/>
    <cellStyle name="Обычный 4 3 2 4 2 3" xfId="57838"/>
    <cellStyle name="Обычный 4 3 2 4 2 4" xfId="57839"/>
    <cellStyle name="Обычный 4 3 2 4 3" xfId="57840"/>
    <cellStyle name="Обычный 4 3 2 4 3 2" xfId="57841"/>
    <cellStyle name="Обычный 4 3 2 4 3 2 2" xfId="57842"/>
    <cellStyle name="Обычный 4 3 2 4 3 3" xfId="57843"/>
    <cellStyle name="Обычный 4 3 2 4 4" xfId="57844"/>
    <cellStyle name="Обычный 4 3 2 4 4 2" xfId="57845"/>
    <cellStyle name="Обычный 4 3 2 4 5" xfId="57846"/>
    <cellStyle name="Обычный 4 3 2 4 6" xfId="57847"/>
    <cellStyle name="Обычный 4 3 2 4 7" xfId="57848"/>
    <cellStyle name="Обычный 4 3 2 4 8" xfId="57849"/>
    <cellStyle name="Обычный 4 3 2 4 9" xfId="57850"/>
    <cellStyle name="Обычный 4 3 2 5" xfId="57851"/>
    <cellStyle name="Обычный 4 3 2 5 2" xfId="57852"/>
    <cellStyle name="Обычный 4 3 2 5 2 2" xfId="57853"/>
    <cellStyle name="Обычный 4 3 2 5 2 2 2" xfId="57854"/>
    <cellStyle name="Обычный 4 3 2 5 2 3" xfId="57855"/>
    <cellStyle name="Обычный 4 3 2 5 2 4" xfId="57856"/>
    <cellStyle name="Обычный 4 3 2 5 3" xfId="57857"/>
    <cellStyle name="Обычный 4 3 2 5 3 2" xfId="57858"/>
    <cellStyle name="Обычный 4 3 2 5 3 2 2" xfId="57859"/>
    <cellStyle name="Обычный 4 3 2 5 3 3" xfId="57860"/>
    <cellStyle name="Обычный 4 3 2 5 4" xfId="57861"/>
    <cellStyle name="Обычный 4 3 2 5 4 2" xfId="57862"/>
    <cellStyle name="Обычный 4 3 2 5 5" xfId="57863"/>
    <cellStyle name="Обычный 4 3 2 5 6" xfId="57864"/>
    <cellStyle name="Обычный 4 3 2 5 7" xfId="57865"/>
    <cellStyle name="Обычный 4 3 2 5 8" xfId="57866"/>
    <cellStyle name="Обычный 4 3 2 5 9" xfId="57867"/>
    <cellStyle name="Обычный 4 3 2 6" xfId="57868"/>
    <cellStyle name="Обычный 4 3 2 6 2" xfId="57869"/>
    <cellStyle name="Обычный 4 3 2 6 2 2" xfId="57870"/>
    <cellStyle name="Обычный 4 3 2 6 3" xfId="57871"/>
    <cellStyle name="Обычный 4 3 2 6 4" xfId="57872"/>
    <cellStyle name="Обычный 4 3 2 7" xfId="57873"/>
    <cellStyle name="Обычный 4 3 2 7 2" xfId="57874"/>
    <cellStyle name="Обычный 4 3 2 7 2 2" xfId="57875"/>
    <cellStyle name="Обычный 4 3 2 7 3" xfId="57876"/>
    <cellStyle name="Обычный 4 3 2 8" xfId="57877"/>
    <cellStyle name="Обычный 4 3 2 8 2" xfId="57878"/>
    <cellStyle name="Обычный 4 3 2 9" xfId="57879"/>
    <cellStyle name="Обычный 4 3 3" xfId="57880"/>
    <cellStyle name="Обычный 4 3 3 10" xfId="57881"/>
    <cellStyle name="Обычный 4 3 3 11" xfId="57882"/>
    <cellStyle name="Обычный 4 3 3 12" xfId="57883"/>
    <cellStyle name="Обычный 4 3 3 13" xfId="57884"/>
    <cellStyle name="Обычный 4 3 3 2" xfId="57885"/>
    <cellStyle name="Обычный 4 3 3 2 10" xfId="57886"/>
    <cellStyle name="Обычный 4 3 3 2 11" xfId="57887"/>
    <cellStyle name="Обычный 4 3 3 2 12" xfId="57888"/>
    <cellStyle name="Обычный 4 3 3 2 2" xfId="57889"/>
    <cellStyle name="Обычный 4 3 3 2 2 2" xfId="57890"/>
    <cellStyle name="Обычный 4 3 3 2 2 2 2" xfId="57891"/>
    <cellStyle name="Обычный 4 3 3 2 2 2 2 2" xfId="57892"/>
    <cellStyle name="Обычный 4 3 3 2 2 2 3" xfId="57893"/>
    <cellStyle name="Обычный 4 3 3 2 2 2 4" xfId="57894"/>
    <cellStyle name="Обычный 4 3 3 2 2 3" xfId="57895"/>
    <cellStyle name="Обычный 4 3 3 2 2 3 2" xfId="57896"/>
    <cellStyle name="Обычный 4 3 3 2 2 3 2 2" xfId="57897"/>
    <cellStyle name="Обычный 4 3 3 2 2 3 3" xfId="57898"/>
    <cellStyle name="Обычный 4 3 3 2 2 4" xfId="57899"/>
    <cellStyle name="Обычный 4 3 3 2 2 4 2" xfId="57900"/>
    <cellStyle name="Обычный 4 3 3 2 2 5" xfId="57901"/>
    <cellStyle name="Обычный 4 3 3 2 2 6" xfId="57902"/>
    <cellStyle name="Обычный 4 3 3 2 2 7" xfId="57903"/>
    <cellStyle name="Обычный 4 3 3 2 2 8" xfId="57904"/>
    <cellStyle name="Обычный 4 3 3 2 2 9" xfId="57905"/>
    <cellStyle name="Обычный 4 3 3 2 3" xfId="57906"/>
    <cellStyle name="Обычный 4 3 3 2 3 2" xfId="57907"/>
    <cellStyle name="Обычный 4 3 3 2 3 2 2" xfId="57908"/>
    <cellStyle name="Обычный 4 3 3 2 3 2 2 2" xfId="57909"/>
    <cellStyle name="Обычный 4 3 3 2 3 2 3" xfId="57910"/>
    <cellStyle name="Обычный 4 3 3 2 3 2 4" xfId="57911"/>
    <cellStyle name="Обычный 4 3 3 2 3 3" xfId="57912"/>
    <cellStyle name="Обычный 4 3 3 2 3 3 2" xfId="57913"/>
    <cellStyle name="Обычный 4 3 3 2 3 3 2 2" xfId="57914"/>
    <cellStyle name="Обычный 4 3 3 2 3 3 3" xfId="57915"/>
    <cellStyle name="Обычный 4 3 3 2 3 4" xfId="57916"/>
    <cellStyle name="Обычный 4 3 3 2 3 4 2" xfId="57917"/>
    <cellStyle name="Обычный 4 3 3 2 3 5" xfId="57918"/>
    <cellStyle name="Обычный 4 3 3 2 3 6" xfId="57919"/>
    <cellStyle name="Обычный 4 3 3 2 3 7" xfId="57920"/>
    <cellStyle name="Обычный 4 3 3 2 3 8" xfId="57921"/>
    <cellStyle name="Обычный 4 3 3 2 3 9" xfId="57922"/>
    <cellStyle name="Обычный 4 3 3 2 4" xfId="57923"/>
    <cellStyle name="Обычный 4 3 3 2 4 2" xfId="57924"/>
    <cellStyle name="Обычный 4 3 3 2 4 2 2" xfId="57925"/>
    <cellStyle name="Обычный 4 3 3 2 4 2 2 2" xfId="57926"/>
    <cellStyle name="Обычный 4 3 3 2 4 2 3" xfId="57927"/>
    <cellStyle name="Обычный 4 3 3 2 4 2 4" xfId="57928"/>
    <cellStyle name="Обычный 4 3 3 2 4 3" xfId="57929"/>
    <cellStyle name="Обычный 4 3 3 2 4 3 2" xfId="57930"/>
    <cellStyle name="Обычный 4 3 3 2 4 3 2 2" xfId="57931"/>
    <cellStyle name="Обычный 4 3 3 2 4 3 3" xfId="57932"/>
    <cellStyle name="Обычный 4 3 3 2 4 4" xfId="57933"/>
    <cellStyle name="Обычный 4 3 3 2 4 4 2" xfId="57934"/>
    <cellStyle name="Обычный 4 3 3 2 4 5" xfId="57935"/>
    <cellStyle name="Обычный 4 3 3 2 4 6" xfId="57936"/>
    <cellStyle name="Обычный 4 3 3 2 4 7" xfId="57937"/>
    <cellStyle name="Обычный 4 3 3 2 4 8" xfId="57938"/>
    <cellStyle name="Обычный 4 3 3 2 4 9" xfId="57939"/>
    <cellStyle name="Обычный 4 3 3 2 5" xfId="57940"/>
    <cellStyle name="Обычный 4 3 3 2 5 2" xfId="57941"/>
    <cellStyle name="Обычный 4 3 3 2 5 2 2" xfId="57942"/>
    <cellStyle name="Обычный 4 3 3 2 5 3" xfId="57943"/>
    <cellStyle name="Обычный 4 3 3 2 5 4" xfId="57944"/>
    <cellStyle name="Обычный 4 3 3 2 6" xfId="57945"/>
    <cellStyle name="Обычный 4 3 3 2 6 2" xfId="57946"/>
    <cellStyle name="Обычный 4 3 3 2 6 2 2" xfId="57947"/>
    <cellStyle name="Обычный 4 3 3 2 6 3" xfId="57948"/>
    <cellStyle name="Обычный 4 3 3 2 7" xfId="57949"/>
    <cellStyle name="Обычный 4 3 3 2 7 2" xfId="57950"/>
    <cellStyle name="Обычный 4 3 3 2 8" xfId="57951"/>
    <cellStyle name="Обычный 4 3 3 2 9" xfId="57952"/>
    <cellStyle name="Обычный 4 3 3 3" xfId="57953"/>
    <cellStyle name="Обычный 4 3 3 3 2" xfId="57954"/>
    <cellStyle name="Обычный 4 3 3 3 2 2" xfId="57955"/>
    <cellStyle name="Обычный 4 3 3 3 2 2 2" xfId="57956"/>
    <cellStyle name="Обычный 4 3 3 3 2 3" xfId="57957"/>
    <cellStyle name="Обычный 4 3 3 3 2 4" xfId="57958"/>
    <cellStyle name="Обычный 4 3 3 3 3" xfId="57959"/>
    <cellStyle name="Обычный 4 3 3 3 3 2" xfId="57960"/>
    <cellStyle name="Обычный 4 3 3 3 3 2 2" xfId="57961"/>
    <cellStyle name="Обычный 4 3 3 3 3 3" xfId="57962"/>
    <cellStyle name="Обычный 4 3 3 3 4" xfId="57963"/>
    <cellStyle name="Обычный 4 3 3 3 4 2" xfId="57964"/>
    <cellStyle name="Обычный 4 3 3 3 5" xfId="57965"/>
    <cellStyle name="Обычный 4 3 3 3 6" xfId="57966"/>
    <cellStyle name="Обычный 4 3 3 3 7" xfId="57967"/>
    <cellStyle name="Обычный 4 3 3 3 8" xfId="57968"/>
    <cellStyle name="Обычный 4 3 3 3 9" xfId="57969"/>
    <cellStyle name="Обычный 4 3 3 4" xfId="57970"/>
    <cellStyle name="Обычный 4 3 3 4 2" xfId="57971"/>
    <cellStyle name="Обычный 4 3 3 4 2 2" xfId="57972"/>
    <cellStyle name="Обычный 4 3 3 4 2 2 2" xfId="57973"/>
    <cellStyle name="Обычный 4 3 3 4 2 3" xfId="57974"/>
    <cellStyle name="Обычный 4 3 3 4 2 4" xfId="57975"/>
    <cellStyle name="Обычный 4 3 3 4 3" xfId="57976"/>
    <cellStyle name="Обычный 4 3 3 4 3 2" xfId="57977"/>
    <cellStyle name="Обычный 4 3 3 4 3 2 2" xfId="57978"/>
    <cellStyle name="Обычный 4 3 3 4 3 3" xfId="57979"/>
    <cellStyle name="Обычный 4 3 3 4 4" xfId="57980"/>
    <cellStyle name="Обычный 4 3 3 4 4 2" xfId="57981"/>
    <cellStyle name="Обычный 4 3 3 4 5" xfId="57982"/>
    <cellStyle name="Обычный 4 3 3 4 6" xfId="57983"/>
    <cellStyle name="Обычный 4 3 3 4 7" xfId="57984"/>
    <cellStyle name="Обычный 4 3 3 4 8" xfId="57985"/>
    <cellStyle name="Обычный 4 3 3 4 9" xfId="57986"/>
    <cellStyle name="Обычный 4 3 3 5" xfId="57987"/>
    <cellStyle name="Обычный 4 3 3 5 2" xfId="57988"/>
    <cellStyle name="Обычный 4 3 3 5 2 2" xfId="57989"/>
    <cellStyle name="Обычный 4 3 3 5 2 2 2" xfId="57990"/>
    <cellStyle name="Обычный 4 3 3 5 2 3" xfId="57991"/>
    <cellStyle name="Обычный 4 3 3 5 2 4" xfId="57992"/>
    <cellStyle name="Обычный 4 3 3 5 3" xfId="57993"/>
    <cellStyle name="Обычный 4 3 3 5 3 2" xfId="57994"/>
    <cellStyle name="Обычный 4 3 3 5 3 2 2" xfId="57995"/>
    <cellStyle name="Обычный 4 3 3 5 3 3" xfId="57996"/>
    <cellStyle name="Обычный 4 3 3 5 4" xfId="57997"/>
    <cellStyle name="Обычный 4 3 3 5 4 2" xfId="57998"/>
    <cellStyle name="Обычный 4 3 3 5 5" xfId="57999"/>
    <cellStyle name="Обычный 4 3 3 5 6" xfId="58000"/>
    <cellStyle name="Обычный 4 3 3 5 7" xfId="58001"/>
    <cellStyle name="Обычный 4 3 3 5 8" xfId="58002"/>
    <cellStyle name="Обычный 4 3 3 5 9" xfId="58003"/>
    <cellStyle name="Обычный 4 3 3 6" xfId="58004"/>
    <cellStyle name="Обычный 4 3 3 6 2" xfId="58005"/>
    <cellStyle name="Обычный 4 3 3 6 2 2" xfId="58006"/>
    <cellStyle name="Обычный 4 3 3 6 3" xfId="58007"/>
    <cellStyle name="Обычный 4 3 3 6 4" xfId="58008"/>
    <cellStyle name="Обычный 4 3 3 7" xfId="58009"/>
    <cellStyle name="Обычный 4 3 3 7 2" xfId="58010"/>
    <cellStyle name="Обычный 4 3 3 7 2 2" xfId="58011"/>
    <cellStyle name="Обычный 4 3 3 7 3" xfId="58012"/>
    <cellStyle name="Обычный 4 3 3 8" xfId="58013"/>
    <cellStyle name="Обычный 4 3 3 8 2" xfId="58014"/>
    <cellStyle name="Обычный 4 3 3 9" xfId="58015"/>
    <cellStyle name="Обычный 4 3 4" xfId="58016"/>
    <cellStyle name="Обычный 4 3 4 10" xfId="58017"/>
    <cellStyle name="Обычный 4 3 4 11" xfId="58018"/>
    <cellStyle name="Обычный 4 3 4 12" xfId="58019"/>
    <cellStyle name="Обычный 4 3 4 2" xfId="58020"/>
    <cellStyle name="Обычный 4 3 4 2 2" xfId="58021"/>
    <cellStyle name="Обычный 4 3 4 2 2 2" xfId="58022"/>
    <cellStyle name="Обычный 4 3 4 2 2 2 2" xfId="58023"/>
    <cellStyle name="Обычный 4 3 4 2 2 3" xfId="58024"/>
    <cellStyle name="Обычный 4 3 4 2 2 4" xfId="58025"/>
    <cellStyle name="Обычный 4 3 4 2 3" xfId="58026"/>
    <cellStyle name="Обычный 4 3 4 2 3 2" xfId="58027"/>
    <cellStyle name="Обычный 4 3 4 2 3 2 2" xfId="58028"/>
    <cellStyle name="Обычный 4 3 4 2 3 3" xfId="58029"/>
    <cellStyle name="Обычный 4 3 4 2 4" xfId="58030"/>
    <cellStyle name="Обычный 4 3 4 2 4 2" xfId="58031"/>
    <cellStyle name="Обычный 4 3 4 2 5" xfId="58032"/>
    <cellStyle name="Обычный 4 3 4 2 6" xfId="58033"/>
    <cellStyle name="Обычный 4 3 4 2 7" xfId="58034"/>
    <cellStyle name="Обычный 4 3 4 2 8" xfId="58035"/>
    <cellStyle name="Обычный 4 3 4 2 9" xfId="58036"/>
    <cellStyle name="Обычный 4 3 4 3" xfId="58037"/>
    <cellStyle name="Обычный 4 3 4 3 2" xfId="58038"/>
    <cellStyle name="Обычный 4 3 4 3 2 2" xfId="58039"/>
    <cellStyle name="Обычный 4 3 4 3 2 2 2" xfId="58040"/>
    <cellStyle name="Обычный 4 3 4 3 2 3" xfId="58041"/>
    <cellStyle name="Обычный 4 3 4 3 2 4" xfId="58042"/>
    <cellStyle name="Обычный 4 3 4 3 3" xfId="58043"/>
    <cellStyle name="Обычный 4 3 4 3 3 2" xfId="58044"/>
    <cellStyle name="Обычный 4 3 4 3 3 2 2" xfId="58045"/>
    <cellStyle name="Обычный 4 3 4 3 3 3" xfId="58046"/>
    <cellStyle name="Обычный 4 3 4 3 4" xfId="58047"/>
    <cellStyle name="Обычный 4 3 4 3 4 2" xfId="58048"/>
    <cellStyle name="Обычный 4 3 4 3 5" xfId="58049"/>
    <cellStyle name="Обычный 4 3 4 3 6" xfId="58050"/>
    <cellStyle name="Обычный 4 3 4 3 7" xfId="58051"/>
    <cellStyle name="Обычный 4 3 4 3 8" xfId="58052"/>
    <cellStyle name="Обычный 4 3 4 3 9" xfId="58053"/>
    <cellStyle name="Обычный 4 3 4 4" xfId="58054"/>
    <cellStyle name="Обычный 4 3 4 4 2" xfId="58055"/>
    <cellStyle name="Обычный 4 3 4 4 2 2" xfId="58056"/>
    <cellStyle name="Обычный 4 3 4 4 2 2 2" xfId="58057"/>
    <cellStyle name="Обычный 4 3 4 4 2 3" xfId="58058"/>
    <cellStyle name="Обычный 4 3 4 4 2 4" xfId="58059"/>
    <cellStyle name="Обычный 4 3 4 4 3" xfId="58060"/>
    <cellStyle name="Обычный 4 3 4 4 3 2" xfId="58061"/>
    <cellStyle name="Обычный 4 3 4 4 3 2 2" xfId="58062"/>
    <cellStyle name="Обычный 4 3 4 4 3 3" xfId="58063"/>
    <cellStyle name="Обычный 4 3 4 4 4" xfId="58064"/>
    <cellStyle name="Обычный 4 3 4 4 4 2" xfId="58065"/>
    <cellStyle name="Обычный 4 3 4 4 5" xfId="58066"/>
    <cellStyle name="Обычный 4 3 4 4 6" xfId="58067"/>
    <cellStyle name="Обычный 4 3 4 4 7" xfId="58068"/>
    <cellStyle name="Обычный 4 3 4 4 8" xfId="58069"/>
    <cellStyle name="Обычный 4 3 4 4 9" xfId="58070"/>
    <cellStyle name="Обычный 4 3 4 5" xfId="58071"/>
    <cellStyle name="Обычный 4 3 4 5 2" xfId="58072"/>
    <cellStyle name="Обычный 4 3 4 5 2 2" xfId="58073"/>
    <cellStyle name="Обычный 4 3 4 5 3" xfId="58074"/>
    <cellStyle name="Обычный 4 3 4 5 4" xfId="58075"/>
    <cellStyle name="Обычный 4 3 4 6" xfId="58076"/>
    <cellStyle name="Обычный 4 3 4 6 2" xfId="58077"/>
    <cellStyle name="Обычный 4 3 4 6 2 2" xfId="58078"/>
    <cellStyle name="Обычный 4 3 4 6 3" xfId="58079"/>
    <cellStyle name="Обычный 4 3 4 7" xfId="58080"/>
    <cellStyle name="Обычный 4 3 4 7 2" xfId="58081"/>
    <cellStyle name="Обычный 4 3 4 8" xfId="58082"/>
    <cellStyle name="Обычный 4 3 4 9" xfId="58083"/>
    <cellStyle name="Обычный 4 3 5" xfId="58084"/>
    <cellStyle name="Обычный 4 3 5 2" xfId="58085"/>
    <cellStyle name="Обычный 4 3 5 2 2" xfId="58086"/>
    <cellStyle name="Обычный 4 3 5 2 2 2" xfId="58087"/>
    <cellStyle name="Обычный 4 3 5 2 3" xfId="58088"/>
    <cellStyle name="Обычный 4 3 5 2 4" xfId="58089"/>
    <cellStyle name="Обычный 4 3 5 3" xfId="58090"/>
    <cellStyle name="Обычный 4 3 5 3 2" xfId="58091"/>
    <cellStyle name="Обычный 4 3 5 3 2 2" xfId="58092"/>
    <cellStyle name="Обычный 4 3 5 3 3" xfId="58093"/>
    <cellStyle name="Обычный 4 3 5 4" xfId="58094"/>
    <cellStyle name="Обычный 4 3 5 4 2" xfId="58095"/>
    <cellStyle name="Обычный 4 3 5 5" xfId="58096"/>
    <cellStyle name="Обычный 4 3 5 6" xfId="58097"/>
    <cellStyle name="Обычный 4 3 5 7" xfId="58098"/>
    <cellStyle name="Обычный 4 3 5 8" xfId="58099"/>
    <cellStyle name="Обычный 4 3 5 9" xfId="58100"/>
    <cellStyle name="Обычный 4 3 6" xfId="58101"/>
    <cellStyle name="Обычный 4 3 6 2" xfId="58102"/>
    <cellStyle name="Обычный 4 3 6 2 2" xfId="58103"/>
    <cellStyle name="Обычный 4 3 6 2 2 2" xfId="58104"/>
    <cellStyle name="Обычный 4 3 6 2 3" xfId="58105"/>
    <cellStyle name="Обычный 4 3 6 2 4" xfId="58106"/>
    <cellStyle name="Обычный 4 3 6 3" xfId="58107"/>
    <cellStyle name="Обычный 4 3 6 3 2" xfId="58108"/>
    <cellStyle name="Обычный 4 3 6 3 2 2" xfId="58109"/>
    <cellStyle name="Обычный 4 3 6 3 3" xfId="58110"/>
    <cellStyle name="Обычный 4 3 6 4" xfId="58111"/>
    <cellStyle name="Обычный 4 3 6 4 2" xfId="58112"/>
    <cellStyle name="Обычный 4 3 6 5" xfId="58113"/>
    <cellStyle name="Обычный 4 3 6 6" xfId="58114"/>
    <cellStyle name="Обычный 4 3 6 7" xfId="58115"/>
    <cellStyle name="Обычный 4 3 6 8" xfId="58116"/>
    <cellStyle name="Обычный 4 3 6 9" xfId="58117"/>
    <cellStyle name="Обычный 4 3 7" xfId="58118"/>
    <cellStyle name="Обычный 4 3 7 2" xfId="58119"/>
    <cellStyle name="Обычный 4 3 7 2 2" xfId="58120"/>
    <cellStyle name="Обычный 4 3 7 2 2 2" xfId="58121"/>
    <cellStyle name="Обычный 4 3 7 2 3" xfId="58122"/>
    <cellStyle name="Обычный 4 3 7 2 4" xfId="58123"/>
    <cellStyle name="Обычный 4 3 7 3" xfId="58124"/>
    <cellStyle name="Обычный 4 3 7 3 2" xfId="58125"/>
    <cellStyle name="Обычный 4 3 7 3 2 2" xfId="58126"/>
    <cellStyle name="Обычный 4 3 7 3 3" xfId="58127"/>
    <cellStyle name="Обычный 4 3 7 4" xfId="58128"/>
    <cellStyle name="Обычный 4 3 7 4 2" xfId="58129"/>
    <cellStyle name="Обычный 4 3 7 5" xfId="58130"/>
    <cellStyle name="Обычный 4 3 7 6" xfId="58131"/>
    <cellStyle name="Обычный 4 3 7 7" xfId="58132"/>
    <cellStyle name="Обычный 4 3 7 8" xfId="58133"/>
    <cellStyle name="Обычный 4 3 7 9" xfId="58134"/>
    <cellStyle name="Обычный 4 3 8" xfId="58135"/>
    <cellStyle name="Обычный 4 3 8 2" xfId="58136"/>
    <cellStyle name="Обычный 4 3 8 2 2" xfId="58137"/>
    <cellStyle name="Обычный 4 3 8 3" xfId="58138"/>
    <cellStyle name="Обычный 4 3 8 4" xfId="58139"/>
    <cellStyle name="Обычный 4 3 9" xfId="58140"/>
    <cellStyle name="Обычный 4 3 9 2" xfId="58141"/>
    <cellStyle name="Обычный 4 3 9 2 2" xfId="58142"/>
    <cellStyle name="Обычный 4 3 9 3" xfId="58143"/>
    <cellStyle name="Обычный 4 3_март 2012" xfId="58144"/>
    <cellStyle name="Обычный 4 4" xfId="58145"/>
    <cellStyle name="Обычный 4 4 10" xfId="58146"/>
    <cellStyle name="Обычный 4 4 10 2" xfId="58147"/>
    <cellStyle name="Обычный 4 4 11" xfId="58148"/>
    <cellStyle name="Обычный 4 4 12" xfId="58149"/>
    <cellStyle name="Обычный 4 4 13" xfId="58150"/>
    <cellStyle name="Обычный 4 4 14" xfId="58151"/>
    <cellStyle name="Обычный 4 4 15" xfId="58152"/>
    <cellStyle name="Обычный 4 4 2" xfId="58153"/>
    <cellStyle name="Обычный 4 4 2 10" xfId="58154"/>
    <cellStyle name="Обычный 4 4 2 11" xfId="58155"/>
    <cellStyle name="Обычный 4 4 2 12" xfId="58156"/>
    <cellStyle name="Обычный 4 4 2 13" xfId="58157"/>
    <cellStyle name="Обычный 4 4 2 2" xfId="58158"/>
    <cellStyle name="Обычный 4 4 2 2 10" xfId="58159"/>
    <cellStyle name="Обычный 4 4 2 2 11" xfId="58160"/>
    <cellStyle name="Обычный 4 4 2 2 12" xfId="58161"/>
    <cellStyle name="Обычный 4 4 2 2 2" xfId="58162"/>
    <cellStyle name="Обычный 4 4 2 2 2 2" xfId="58163"/>
    <cellStyle name="Обычный 4 4 2 2 2 2 2" xfId="58164"/>
    <cellStyle name="Обычный 4 4 2 2 2 2 2 2" xfId="58165"/>
    <cellStyle name="Обычный 4 4 2 2 2 2 3" xfId="58166"/>
    <cellStyle name="Обычный 4 4 2 2 2 2 4" xfId="58167"/>
    <cellStyle name="Обычный 4 4 2 2 2 3" xfId="58168"/>
    <cellStyle name="Обычный 4 4 2 2 2 3 2" xfId="58169"/>
    <cellStyle name="Обычный 4 4 2 2 2 3 2 2" xfId="58170"/>
    <cellStyle name="Обычный 4 4 2 2 2 3 3" xfId="58171"/>
    <cellStyle name="Обычный 4 4 2 2 2 4" xfId="58172"/>
    <cellStyle name="Обычный 4 4 2 2 2 4 2" xfId="58173"/>
    <cellStyle name="Обычный 4 4 2 2 2 5" xfId="58174"/>
    <cellStyle name="Обычный 4 4 2 2 2 6" xfId="58175"/>
    <cellStyle name="Обычный 4 4 2 2 2 7" xfId="58176"/>
    <cellStyle name="Обычный 4 4 2 2 2 8" xfId="58177"/>
    <cellStyle name="Обычный 4 4 2 2 2 9" xfId="58178"/>
    <cellStyle name="Обычный 4 4 2 2 3" xfId="58179"/>
    <cellStyle name="Обычный 4 4 2 2 3 2" xfId="58180"/>
    <cellStyle name="Обычный 4 4 2 2 3 2 2" xfId="58181"/>
    <cellStyle name="Обычный 4 4 2 2 3 2 2 2" xfId="58182"/>
    <cellStyle name="Обычный 4 4 2 2 3 2 3" xfId="58183"/>
    <cellStyle name="Обычный 4 4 2 2 3 2 4" xfId="58184"/>
    <cellStyle name="Обычный 4 4 2 2 3 3" xfId="58185"/>
    <cellStyle name="Обычный 4 4 2 2 3 3 2" xfId="58186"/>
    <cellStyle name="Обычный 4 4 2 2 3 3 2 2" xfId="58187"/>
    <cellStyle name="Обычный 4 4 2 2 3 3 3" xfId="58188"/>
    <cellStyle name="Обычный 4 4 2 2 3 4" xfId="58189"/>
    <cellStyle name="Обычный 4 4 2 2 3 4 2" xfId="58190"/>
    <cellStyle name="Обычный 4 4 2 2 3 5" xfId="58191"/>
    <cellStyle name="Обычный 4 4 2 2 3 6" xfId="58192"/>
    <cellStyle name="Обычный 4 4 2 2 3 7" xfId="58193"/>
    <cellStyle name="Обычный 4 4 2 2 3 8" xfId="58194"/>
    <cellStyle name="Обычный 4 4 2 2 3 9" xfId="58195"/>
    <cellStyle name="Обычный 4 4 2 2 4" xfId="58196"/>
    <cellStyle name="Обычный 4 4 2 2 4 2" xfId="58197"/>
    <cellStyle name="Обычный 4 4 2 2 4 2 2" xfId="58198"/>
    <cellStyle name="Обычный 4 4 2 2 4 2 2 2" xfId="58199"/>
    <cellStyle name="Обычный 4 4 2 2 4 2 3" xfId="58200"/>
    <cellStyle name="Обычный 4 4 2 2 4 2 4" xfId="58201"/>
    <cellStyle name="Обычный 4 4 2 2 4 3" xfId="58202"/>
    <cellStyle name="Обычный 4 4 2 2 4 3 2" xfId="58203"/>
    <cellStyle name="Обычный 4 4 2 2 4 3 2 2" xfId="58204"/>
    <cellStyle name="Обычный 4 4 2 2 4 3 3" xfId="58205"/>
    <cellStyle name="Обычный 4 4 2 2 4 4" xfId="58206"/>
    <cellStyle name="Обычный 4 4 2 2 4 4 2" xfId="58207"/>
    <cellStyle name="Обычный 4 4 2 2 4 5" xfId="58208"/>
    <cellStyle name="Обычный 4 4 2 2 4 6" xfId="58209"/>
    <cellStyle name="Обычный 4 4 2 2 4 7" xfId="58210"/>
    <cellStyle name="Обычный 4 4 2 2 4 8" xfId="58211"/>
    <cellStyle name="Обычный 4 4 2 2 4 9" xfId="58212"/>
    <cellStyle name="Обычный 4 4 2 2 5" xfId="58213"/>
    <cellStyle name="Обычный 4 4 2 2 5 2" xfId="58214"/>
    <cellStyle name="Обычный 4 4 2 2 5 2 2" xfId="58215"/>
    <cellStyle name="Обычный 4 4 2 2 5 3" xfId="58216"/>
    <cellStyle name="Обычный 4 4 2 2 5 4" xfId="58217"/>
    <cellStyle name="Обычный 4 4 2 2 6" xfId="58218"/>
    <cellStyle name="Обычный 4 4 2 2 6 2" xfId="58219"/>
    <cellStyle name="Обычный 4 4 2 2 6 2 2" xfId="58220"/>
    <cellStyle name="Обычный 4 4 2 2 6 3" xfId="58221"/>
    <cellStyle name="Обычный 4 4 2 2 7" xfId="58222"/>
    <cellStyle name="Обычный 4 4 2 2 7 2" xfId="58223"/>
    <cellStyle name="Обычный 4 4 2 2 8" xfId="58224"/>
    <cellStyle name="Обычный 4 4 2 2 9" xfId="58225"/>
    <cellStyle name="Обычный 4 4 2 3" xfId="58226"/>
    <cellStyle name="Обычный 4 4 2 3 2" xfId="58227"/>
    <cellStyle name="Обычный 4 4 2 3 2 2" xfId="58228"/>
    <cellStyle name="Обычный 4 4 2 3 2 2 2" xfId="58229"/>
    <cellStyle name="Обычный 4 4 2 3 2 3" xfId="58230"/>
    <cellStyle name="Обычный 4 4 2 3 2 4" xfId="58231"/>
    <cellStyle name="Обычный 4 4 2 3 3" xfId="58232"/>
    <cellStyle name="Обычный 4 4 2 3 3 2" xfId="58233"/>
    <cellStyle name="Обычный 4 4 2 3 3 2 2" xfId="58234"/>
    <cellStyle name="Обычный 4 4 2 3 3 3" xfId="58235"/>
    <cellStyle name="Обычный 4 4 2 3 4" xfId="58236"/>
    <cellStyle name="Обычный 4 4 2 3 4 2" xfId="58237"/>
    <cellStyle name="Обычный 4 4 2 3 5" xfId="58238"/>
    <cellStyle name="Обычный 4 4 2 3 6" xfId="58239"/>
    <cellStyle name="Обычный 4 4 2 3 7" xfId="58240"/>
    <cellStyle name="Обычный 4 4 2 3 8" xfId="58241"/>
    <cellStyle name="Обычный 4 4 2 3 9" xfId="58242"/>
    <cellStyle name="Обычный 4 4 2 4" xfId="58243"/>
    <cellStyle name="Обычный 4 4 2 4 2" xfId="58244"/>
    <cellStyle name="Обычный 4 4 2 4 2 2" xfId="58245"/>
    <cellStyle name="Обычный 4 4 2 4 2 2 2" xfId="58246"/>
    <cellStyle name="Обычный 4 4 2 4 2 3" xfId="58247"/>
    <cellStyle name="Обычный 4 4 2 4 2 4" xfId="58248"/>
    <cellStyle name="Обычный 4 4 2 4 3" xfId="58249"/>
    <cellStyle name="Обычный 4 4 2 4 3 2" xfId="58250"/>
    <cellStyle name="Обычный 4 4 2 4 3 2 2" xfId="58251"/>
    <cellStyle name="Обычный 4 4 2 4 3 3" xfId="58252"/>
    <cellStyle name="Обычный 4 4 2 4 4" xfId="58253"/>
    <cellStyle name="Обычный 4 4 2 4 4 2" xfId="58254"/>
    <cellStyle name="Обычный 4 4 2 4 5" xfId="58255"/>
    <cellStyle name="Обычный 4 4 2 4 6" xfId="58256"/>
    <cellStyle name="Обычный 4 4 2 4 7" xfId="58257"/>
    <cellStyle name="Обычный 4 4 2 4 8" xfId="58258"/>
    <cellStyle name="Обычный 4 4 2 4 9" xfId="58259"/>
    <cellStyle name="Обычный 4 4 2 5" xfId="58260"/>
    <cellStyle name="Обычный 4 4 2 5 2" xfId="58261"/>
    <cellStyle name="Обычный 4 4 2 5 2 2" xfId="58262"/>
    <cellStyle name="Обычный 4 4 2 5 2 2 2" xfId="58263"/>
    <cellStyle name="Обычный 4 4 2 5 2 3" xfId="58264"/>
    <cellStyle name="Обычный 4 4 2 5 2 4" xfId="58265"/>
    <cellStyle name="Обычный 4 4 2 5 3" xfId="58266"/>
    <cellStyle name="Обычный 4 4 2 5 3 2" xfId="58267"/>
    <cellStyle name="Обычный 4 4 2 5 3 2 2" xfId="58268"/>
    <cellStyle name="Обычный 4 4 2 5 3 3" xfId="58269"/>
    <cellStyle name="Обычный 4 4 2 5 4" xfId="58270"/>
    <cellStyle name="Обычный 4 4 2 5 4 2" xfId="58271"/>
    <cellStyle name="Обычный 4 4 2 5 5" xfId="58272"/>
    <cellStyle name="Обычный 4 4 2 5 6" xfId="58273"/>
    <cellStyle name="Обычный 4 4 2 5 7" xfId="58274"/>
    <cellStyle name="Обычный 4 4 2 5 8" xfId="58275"/>
    <cellStyle name="Обычный 4 4 2 5 9" xfId="58276"/>
    <cellStyle name="Обычный 4 4 2 6" xfId="58277"/>
    <cellStyle name="Обычный 4 4 2 6 2" xfId="58278"/>
    <cellStyle name="Обычный 4 4 2 6 2 2" xfId="58279"/>
    <cellStyle name="Обычный 4 4 2 6 3" xfId="58280"/>
    <cellStyle name="Обычный 4 4 2 6 4" xfId="58281"/>
    <cellStyle name="Обычный 4 4 2 7" xfId="58282"/>
    <cellStyle name="Обычный 4 4 2 7 2" xfId="58283"/>
    <cellStyle name="Обычный 4 4 2 7 2 2" xfId="58284"/>
    <cellStyle name="Обычный 4 4 2 7 3" xfId="58285"/>
    <cellStyle name="Обычный 4 4 2 8" xfId="58286"/>
    <cellStyle name="Обычный 4 4 2 8 2" xfId="58287"/>
    <cellStyle name="Обычный 4 4 2 9" xfId="58288"/>
    <cellStyle name="Обычный 4 4 3" xfId="58289"/>
    <cellStyle name="Обычный 4 4 3 10" xfId="58290"/>
    <cellStyle name="Обычный 4 4 3 11" xfId="58291"/>
    <cellStyle name="Обычный 4 4 3 12" xfId="58292"/>
    <cellStyle name="Обычный 4 4 3 13" xfId="58293"/>
    <cellStyle name="Обычный 4 4 3 2" xfId="58294"/>
    <cellStyle name="Обычный 4 4 3 2 10" xfId="58295"/>
    <cellStyle name="Обычный 4 4 3 2 11" xfId="58296"/>
    <cellStyle name="Обычный 4 4 3 2 12" xfId="58297"/>
    <cellStyle name="Обычный 4 4 3 2 2" xfId="58298"/>
    <cellStyle name="Обычный 4 4 3 2 2 2" xfId="58299"/>
    <cellStyle name="Обычный 4 4 3 2 2 2 2" xfId="58300"/>
    <cellStyle name="Обычный 4 4 3 2 2 2 2 2" xfId="58301"/>
    <cellStyle name="Обычный 4 4 3 2 2 2 3" xfId="58302"/>
    <cellStyle name="Обычный 4 4 3 2 2 2 4" xfId="58303"/>
    <cellStyle name="Обычный 4 4 3 2 2 3" xfId="58304"/>
    <cellStyle name="Обычный 4 4 3 2 2 3 2" xfId="58305"/>
    <cellStyle name="Обычный 4 4 3 2 2 3 2 2" xfId="58306"/>
    <cellStyle name="Обычный 4 4 3 2 2 3 3" xfId="58307"/>
    <cellStyle name="Обычный 4 4 3 2 2 4" xfId="58308"/>
    <cellStyle name="Обычный 4 4 3 2 2 4 2" xfId="58309"/>
    <cellStyle name="Обычный 4 4 3 2 2 5" xfId="58310"/>
    <cellStyle name="Обычный 4 4 3 2 2 6" xfId="58311"/>
    <cellStyle name="Обычный 4 4 3 2 2 7" xfId="58312"/>
    <cellStyle name="Обычный 4 4 3 2 2 8" xfId="58313"/>
    <cellStyle name="Обычный 4 4 3 2 2 9" xfId="58314"/>
    <cellStyle name="Обычный 4 4 3 2 3" xfId="58315"/>
    <cellStyle name="Обычный 4 4 3 2 3 2" xfId="58316"/>
    <cellStyle name="Обычный 4 4 3 2 3 2 2" xfId="58317"/>
    <cellStyle name="Обычный 4 4 3 2 3 2 2 2" xfId="58318"/>
    <cellStyle name="Обычный 4 4 3 2 3 2 3" xfId="58319"/>
    <cellStyle name="Обычный 4 4 3 2 3 2 4" xfId="58320"/>
    <cellStyle name="Обычный 4 4 3 2 3 3" xfId="58321"/>
    <cellStyle name="Обычный 4 4 3 2 3 3 2" xfId="58322"/>
    <cellStyle name="Обычный 4 4 3 2 3 3 2 2" xfId="58323"/>
    <cellStyle name="Обычный 4 4 3 2 3 3 3" xfId="58324"/>
    <cellStyle name="Обычный 4 4 3 2 3 4" xfId="58325"/>
    <cellStyle name="Обычный 4 4 3 2 3 4 2" xfId="58326"/>
    <cellStyle name="Обычный 4 4 3 2 3 5" xfId="58327"/>
    <cellStyle name="Обычный 4 4 3 2 3 6" xfId="58328"/>
    <cellStyle name="Обычный 4 4 3 2 3 7" xfId="58329"/>
    <cellStyle name="Обычный 4 4 3 2 3 8" xfId="58330"/>
    <cellStyle name="Обычный 4 4 3 2 3 9" xfId="58331"/>
    <cellStyle name="Обычный 4 4 3 2 4" xfId="58332"/>
    <cellStyle name="Обычный 4 4 3 2 4 2" xfId="58333"/>
    <cellStyle name="Обычный 4 4 3 2 4 2 2" xfId="58334"/>
    <cellStyle name="Обычный 4 4 3 2 4 2 2 2" xfId="58335"/>
    <cellStyle name="Обычный 4 4 3 2 4 2 3" xfId="58336"/>
    <cellStyle name="Обычный 4 4 3 2 4 2 4" xfId="58337"/>
    <cellStyle name="Обычный 4 4 3 2 4 3" xfId="58338"/>
    <cellStyle name="Обычный 4 4 3 2 4 3 2" xfId="58339"/>
    <cellStyle name="Обычный 4 4 3 2 4 3 2 2" xfId="58340"/>
    <cellStyle name="Обычный 4 4 3 2 4 3 3" xfId="58341"/>
    <cellStyle name="Обычный 4 4 3 2 4 4" xfId="58342"/>
    <cellStyle name="Обычный 4 4 3 2 4 4 2" xfId="58343"/>
    <cellStyle name="Обычный 4 4 3 2 4 5" xfId="58344"/>
    <cellStyle name="Обычный 4 4 3 2 4 6" xfId="58345"/>
    <cellStyle name="Обычный 4 4 3 2 4 7" xfId="58346"/>
    <cellStyle name="Обычный 4 4 3 2 4 8" xfId="58347"/>
    <cellStyle name="Обычный 4 4 3 2 4 9" xfId="58348"/>
    <cellStyle name="Обычный 4 4 3 2 5" xfId="58349"/>
    <cellStyle name="Обычный 4 4 3 2 5 2" xfId="58350"/>
    <cellStyle name="Обычный 4 4 3 2 5 2 2" xfId="58351"/>
    <cellStyle name="Обычный 4 4 3 2 5 3" xfId="58352"/>
    <cellStyle name="Обычный 4 4 3 2 5 4" xfId="58353"/>
    <cellStyle name="Обычный 4 4 3 2 6" xfId="58354"/>
    <cellStyle name="Обычный 4 4 3 2 6 2" xfId="58355"/>
    <cellStyle name="Обычный 4 4 3 2 6 2 2" xfId="58356"/>
    <cellStyle name="Обычный 4 4 3 2 6 3" xfId="58357"/>
    <cellStyle name="Обычный 4 4 3 2 7" xfId="58358"/>
    <cellStyle name="Обычный 4 4 3 2 7 2" xfId="58359"/>
    <cellStyle name="Обычный 4 4 3 2 8" xfId="58360"/>
    <cellStyle name="Обычный 4 4 3 2 9" xfId="58361"/>
    <cellStyle name="Обычный 4 4 3 3" xfId="58362"/>
    <cellStyle name="Обычный 4 4 3 3 2" xfId="58363"/>
    <cellStyle name="Обычный 4 4 3 3 2 2" xfId="58364"/>
    <cellStyle name="Обычный 4 4 3 3 2 2 2" xfId="58365"/>
    <cellStyle name="Обычный 4 4 3 3 2 3" xfId="58366"/>
    <cellStyle name="Обычный 4 4 3 3 2 4" xfId="58367"/>
    <cellStyle name="Обычный 4 4 3 3 3" xfId="58368"/>
    <cellStyle name="Обычный 4 4 3 3 3 2" xfId="58369"/>
    <cellStyle name="Обычный 4 4 3 3 3 2 2" xfId="58370"/>
    <cellStyle name="Обычный 4 4 3 3 3 3" xfId="58371"/>
    <cellStyle name="Обычный 4 4 3 3 4" xfId="58372"/>
    <cellStyle name="Обычный 4 4 3 3 4 2" xfId="58373"/>
    <cellStyle name="Обычный 4 4 3 3 5" xfId="58374"/>
    <cellStyle name="Обычный 4 4 3 3 6" xfId="58375"/>
    <cellStyle name="Обычный 4 4 3 3 7" xfId="58376"/>
    <cellStyle name="Обычный 4 4 3 3 8" xfId="58377"/>
    <cellStyle name="Обычный 4 4 3 3 9" xfId="58378"/>
    <cellStyle name="Обычный 4 4 3 4" xfId="58379"/>
    <cellStyle name="Обычный 4 4 3 4 2" xfId="58380"/>
    <cellStyle name="Обычный 4 4 3 4 2 2" xfId="58381"/>
    <cellStyle name="Обычный 4 4 3 4 2 2 2" xfId="58382"/>
    <cellStyle name="Обычный 4 4 3 4 2 3" xfId="58383"/>
    <cellStyle name="Обычный 4 4 3 4 2 4" xfId="58384"/>
    <cellStyle name="Обычный 4 4 3 4 3" xfId="58385"/>
    <cellStyle name="Обычный 4 4 3 4 3 2" xfId="58386"/>
    <cellStyle name="Обычный 4 4 3 4 3 2 2" xfId="58387"/>
    <cellStyle name="Обычный 4 4 3 4 3 3" xfId="58388"/>
    <cellStyle name="Обычный 4 4 3 4 4" xfId="58389"/>
    <cellStyle name="Обычный 4 4 3 4 4 2" xfId="58390"/>
    <cellStyle name="Обычный 4 4 3 4 5" xfId="58391"/>
    <cellStyle name="Обычный 4 4 3 4 6" xfId="58392"/>
    <cellStyle name="Обычный 4 4 3 4 7" xfId="58393"/>
    <cellStyle name="Обычный 4 4 3 4 8" xfId="58394"/>
    <cellStyle name="Обычный 4 4 3 4 9" xfId="58395"/>
    <cellStyle name="Обычный 4 4 3 5" xfId="58396"/>
    <cellStyle name="Обычный 4 4 3 5 2" xfId="58397"/>
    <cellStyle name="Обычный 4 4 3 5 2 2" xfId="58398"/>
    <cellStyle name="Обычный 4 4 3 5 2 2 2" xfId="58399"/>
    <cellStyle name="Обычный 4 4 3 5 2 3" xfId="58400"/>
    <cellStyle name="Обычный 4 4 3 5 2 4" xfId="58401"/>
    <cellStyle name="Обычный 4 4 3 5 3" xfId="58402"/>
    <cellStyle name="Обычный 4 4 3 5 3 2" xfId="58403"/>
    <cellStyle name="Обычный 4 4 3 5 3 2 2" xfId="58404"/>
    <cellStyle name="Обычный 4 4 3 5 3 3" xfId="58405"/>
    <cellStyle name="Обычный 4 4 3 5 4" xfId="58406"/>
    <cellStyle name="Обычный 4 4 3 5 4 2" xfId="58407"/>
    <cellStyle name="Обычный 4 4 3 5 5" xfId="58408"/>
    <cellStyle name="Обычный 4 4 3 5 6" xfId="58409"/>
    <cellStyle name="Обычный 4 4 3 5 7" xfId="58410"/>
    <cellStyle name="Обычный 4 4 3 5 8" xfId="58411"/>
    <cellStyle name="Обычный 4 4 3 5 9" xfId="58412"/>
    <cellStyle name="Обычный 4 4 3 6" xfId="58413"/>
    <cellStyle name="Обычный 4 4 3 6 2" xfId="58414"/>
    <cellStyle name="Обычный 4 4 3 6 2 2" xfId="58415"/>
    <cellStyle name="Обычный 4 4 3 6 3" xfId="58416"/>
    <cellStyle name="Обычный 4 4 3 6 4" xfId="58417"/>
    <cellStyle name="Обычный 4 4 3 7" xfId="58418"/>
    <cellStyle name="Обычный 4 4 3 7 2" xfId="58419"/>
    <cellStyle name="Обычный 4 4 3 7 2 2" xfId="58420"/>
    <cellStyle name="Обычный 4 4 3 7 3" xfId="58421"/>
    <cellStyle name="Обычный 4 4 3 8" xfId="58422"/>
    <cellStyle name="Обычный 4 4 3 8 2" xfId="58423"/>
    <cellStyle name="Обычный 4 4 3 9" xfId="58424"/>
    <cellStyle name="Обычный 4 4 4" xfId="58425"/>
    <cellStyle name="Обычный 4 4 4 10" xfId="58426"/>
    <cellStyle name="Обычный 4 4 4 11" xfId="58427"/>
    <cellStyle name="Обычный 4 4 4 12" xfId="58428"/>
    <cellStyle name="Обычный 4 4 4 2" xfId="58429"/>
    <cellStyle name="Обычный 4 4 4 2 2" xfId="58430"/>
    <cellStyle name="Обычный 4 4 4 2 2 2" xfId="58431"/>
    <cellStyle name="Обычный 4 4 4 2 2 2 2" xfId="58432"/>
    <cellStyle name="Обычный 4 4 4 2 2 3" xfId="58433"/>
    <cellStyle name="Обычный 4 4 4 2 2 4" xfId="58434"/>
    <cellStyle name="Обычный 4 4 4 2 3" xfId="58435"/>
    <cellStyle name="Обычный 4 4 4 2 3 2" xfId="58436"/>
    <cellStyle name="Обычный 4 4 4 2 3 2 2" xfId="58437"/>
    <cellStyle name="Обычный 4 4 4 2 3 3" xfId="58438"/>
    <cellStyle name="Обычный 4 4 4 2 4" xfId="58439"/>
    <cellStyle name="Обычный 4 4 4 2 4 2" xfId="58440"/>
    <cellStyle name="Обычный 4 4 4 2 5" xfId="58441"/>
    <cellStyle name="Обычный 4 4 4 2 6" xfId="58442"/>
    <cellStyle name="Обычный 4 4 4 2 7" xfId="58443"/>
    <cellStyle name="Обычный 4 4 4 2 8" xfId="58444"/>
    <cellStyle name="Обычный 4 4 4 2 9" xfId="58445"/>
    <cellStyle name="Обычный 4 4 4 3" xfId="58446"/>
    <cellStyle name="Обычный 4 4 4 3 2" xfId="58447"/>
    <cellStyle name="Обычный 4 4 4 3 2 2" xfId="58448"/>
    <cellStyle name="Обычный 4 4 4 3 2 2 2" xfId="58449"/>
    <cellStyle name="Обычный 4 4 4 3 2 3" xfId="58450"/>
    <cellStyle name="Обычный 4 4 4 3 2 4" xfId="58451"/>
    <cellStyle name="Обычный 4 4 4 3 3" xfId="58452"/>
    <cellStyle name="Обычный 4 4 4 3 3 2" xfId="58453"/>
    <cellStyle name="Обычный 4 4 4 3 3 2 2" xfId="58454"/>
    <cellStyle name="Обычный 4 4 4 3 3 3" xfId="58455"/>
    <cellStyle name="Обычный 4 4 4 3 4" xfId="58456"/>
    <cellStyle name="Обычный 4 4 4 3 4 2" xfId="58457"/>
    <cellStyle name="Обычный 4 4 4 3 5" xfId="58458"/>
    <cellStyle name="Обычный 4 4 4 3 6" xfId="58459"/>
    <cellStyle name="Обычный 4 4 4 3 7" xfId="58460"/>
    <cellStyle name="Обычный 4 4 4 3 8" xfId="58461"/>
    <cellStyle name="Обычный 4 4 4 3 9" xfId="58462"/>
    <cellStyle name="Обычный 4 4 4 4" xfId="58463"/>
    <cellStyle name="Обычный 4 4 4 4 2" xfId="58464"/>
    <cellStyle name="Обычный 4 4 4 4 2 2" xfId="58465"/>
    <cellStyle name="Обычный 4 4 4 4 2 2 2" xfId="58466"/>
    <cellStyle name="Обычный 4 4 4 4 2 3" xfId="58467"/>
    <cellStyle name="Обычный 4 4 4 4 2 4" xfId="58468"/>
    <cellStyle name="Обычный 4 4 4 4 3" xfId="58469"/>
    <cellStyle name="Обычный 4 4 4 4 3 2" xfId="58470"/>
    <cellStyle name="Обычный 4 4 4 4 3 2 2" xfId="58471"/>
    <cellStyle name="Обычный 4 4 4 4 3 3" xfId="58472"/>
    <cellStyle name="Обычный 4 4 4 4 4" xfId="58473"/>
    <cellStyle name="Обычный 4 4 4 4 4 2" xfId="58474"/>
    <cellStyle name="Обычный 4 4 4 4 5" xfId="58475"/>
    <cellStyle name="Обычный 4 4 4 4 6" xfId="58476"/>
    <cellStyle name="Обычный 4 4 4 4 7" xfId="58477"/>
    <cellStyle name="Обычный 4 4 4 4 8" xfId="58478"/>
    <cellStyle name="Обычный 4 4 4 4 9" xfId="58479"/>
    <cellStyle name="Обычный 4 4 4 5" xfId="58480"/>
    <cellStyle name="Обычный 4 4 4 5 2" xfId="58481"/>
    <cellStyle name="Обычный 4 4 4 5 2 2" xfId="58482"/>
    <cellStyle name="Обычный 4 4 4 5 3" xfId="58483"/>
    <cellStyle name="Обычный 4 4 4 5 4" xfId="58484"/>
    <cellStyle name="Обычный 4 4 4 6" xfId="58485"/>
    <cellStyle name="Обычный 4 4 4 6 2" xfId="58486"/>
    <cellStyle name="Обычный 4 4 4 6 2 2" xfId="58487"/>
    <cellStyle name="Обычный 4 4 4 6 3" xfId="58488"/>
    <cellStyle name="Обычный 4 4 4 7" xfId="58489"/>
    <cellStyle name="Обычный 4 4 4 7 2" xfId="58490"/>
    <cellStyle name="Обычный 4 4 4 8" xfId="58491"/>
    <cellStyle name="Обычный 4 4 4 9" xfId="58492"/>
    <cellStyle name="Обычный 4 4 5" xfId="58493"/>
    <cellStyle name="Обычный 4 4 5 2" xfId="58494"/>
    <cellStyle name="Обычный 4 4 5 2 2" xfId="58495"/>
    <cellStyle name="Обычный 4 4 5 2 2 2" xfId="58496"/>
    <cellStyle name="Обычный 4 4 5 2 3" xfId="58497"/>
    <cellStyle name="Обычный 4 4 5 2 4" xfId="58498"/>
    <cellStyle name="Обычный 4 4 5 3" xfId="58499"/>
    <cellStyle name="Обычный 4 4 5 3 2" xfId="58500"/>
    <cellStyle name="Обычный 4 4 5 3 2 2" xfId="58501"/>
    <cellStyle name="Обычный 4 4 5 3 3" xfId="58502"/>
    <cellStyle name="Обычный 4 4 5 4" xfId="58503"/>
    <cellStyle name="Обычный 4 4 5 4 2" xfId="58504"/>
    <cellStyle name="Обычный 4 4 5 5" xfId="58505"/>
    <cellStyle name="Обычный 4 4 5 6" xfId="58506"/>
    <cellStyle name="Обычный 4 4 5 7" xfId="58507"/>
    <cellStyle name="Обычный 4 4 5 8" xfId="58508"/>
    <cellStyle name="Обычный 4 4 5 9" xfId="58509"/>
    <cellStyle name="Обычный 4 4 6" xfId="58510"/>
    <cellStyle name="Обычный 4 4 6 2" xfId="58511"/>
    <cellStyle name="Обычный 4 4 6 2 2" xfId="58512"/>
    <cellStyle name="Обычный 4 4 6 2 2 2" xfId="58513"/>
    <cellStyle name="Обычный 4 4 6 2 3" xfId="58514"/>
    <cellStyle name="Обычный 4 4 6 2 4" xfId="58515"/>
    <cellStyle name="Обычный 4 4 6 3" xfId="58516"/>
    <cellStyle name="Обычный 4 4 6 3 2" xfId="58517"/>
    <cellStyle name="Обычный 4 4 6 3 2 2" xfId="58518"/>
    <cellStyle name="Обычный 4 4 6 3 3" xfId="58519"/>
    <cellStyle name="Обычный 4 4 6 4" xfId="58520"/>
    <cellStyle name="Обычный 4 4 6 4 2" xfId="58521"/>
    <cellStyle name="Обычный 4 4 6 5" xfId="58522"/>
    <cellStyle name="Обычный 4 4 6 6" xfId="58523"/>
    <cellStyle name="Обычный 4 4 6 7" xfId="58524"/>
    <cellStyle name="Обычный 4 4 6 8" xfId="58525"/>
    <cellStyle name="Обычный 4 4 6 9" xfId="58526"/>
    <cellStyle name="Обычный 4 4 7" xfId="58527"/>
    <cellStyle name="Обычный 4 4 7 2" xfId="58528"/>
    <cellStyle name="Обычный 4 4 7 2 2" xfId="58529"/>
    <cellStyle name="Обычный 4 4 7 2 2 2" xfId="58530"/>
    <cellStyle name="Обычный 4 4 7 2 3" xfId="58531"/>
    <cellStyle name="Обычный 4 4 7 2 4" xfId="58532"/>
    <cellStyle name="Обычный 4 4 7 3" xfId="58533"/>
    <cellStyle name="Обычный 4 4 7 3 2" xfId="58534"/>
    <cellStyle name="Обычный 4 4 7 3 2 2" xfId="58535"/>
    <cellStyle name="Обычный 4 4 7 3 3" xfId="58536"/>
    <cellStyle name="Обычный 4 4 7 4" xfId="58537"/>
    <cellStyle name="Обычный 4 4 7 4 2" xfId="58538"/>
    <cellStyle name="Обычный 4 4 7 5" xfId="58539"/>
    <cellStyle name="Обычный 4 4 7 6" xfId="58540"/>
    <cellStyle name="Обычный 4 4 7 7" xfId="58541"/>
    <cellStyle name="Обычный 4 4 7 8" xfId="58542"/>
    <cellStyle name="Обычный 4 4 7 9" xfId="58543"/>
    <cellStyle name="Обычный 4 4 8" xfId="58544"/>
    <cellStyle name="Обычный 4 4 8 2" xfId="58545"/>
    <cellStyle name="Обычный 4 4 8 2 2" xfId="58546"/>
    <cellStyle name="Обычный 4 4 8 3" xfId="58547"/>
    <cellStyle name="Обычный 4 4 8 4" xfId="58548"/>
    <cellStyle name="Обычный 4 4 9" xfId="58549"/>
    <cellStyle name="Обычный 4 4 9 2" xfId="58550"/>
    <cellStyle name="Обычный 4 4 9 2 2" xfId="58551"/>
    <cellStyle name="Обычный 4 4 9 3" xfId="58552"/>
    <cellStyle name="Обычный 4 4_март 2012" xfId="58553"/>
    <cellStyle name="Обычный 4 5" xfId="58554"/>
    <cellStyle name="Обычный 4 5 10" xfId="58555"/>
    <cellStyle name="Обычный 4 5 10 2" xfId="58556"/>
    <cellStyle name="Обычный 4 5 11" xfId="58557"/>
    <cellStyle name="Обычный 4 5 12" xfId="58558"/>
    <cellStyle name="Обычный 4 5 13" xfId="58559"/>
    <cellStyle name="Обычный 4 5 14" xfId="58560"/>
    <cellStyle name="Обычный 4 5 15" xfId="58561"/>
    <cellStyle name="Обычный 4 5 2" xfId="58562"/>
    <cellStyle name="Обычный 4 5 2 10" xfId="58563"/>
    <cellStyle name="Обычный 4 5 2 11" xfId="58564"/>
    <cellStyle name="Обычный 4 5 2 12" xfId="58565"/>
    <cellStyle name="Обычный 4 5 2 13" xfId="58566"/>
    <cellStyle name="Обычный 4 5 2 2" xfId="58567"/>
    <cellStyle name="Обычный 4 5 2 2 10" xfId="58568"/>
    <cellStyle name="Обычный 4 5 2 2 11" xfId="58569"/>
    <cellStyle name="Обычный 4 5 2 2 12" xfId="58570"/>
    <cellStyle name="Обычный 4 5 2 2 2" xfId="58571"/>
    <cellStyle name="Обычный 4 5 2 2 2 2" xfId="58572"/>
    <cellStyle name="Обычный 4 5 2 2 2 2 2" xfId="58573"/>
    <cellStyle name="Обычный 4 5 2 2 2 2 2 2" xfId="58574"/>
    <cellStyle name="Обычный 4 5 2 2 2 2 3" xfId="58575"/>
    <cellStyle name="Обычный 4 5 2 2 2 2 4" xfId="58576"/>
    <cellStyle name="Обычный 4 5 2 2 2 3" xfId="58577"/>
    <cellStyle name="Обычный 4 5 2 2 2 3 2" xfId="58578"/>
    <cellStyle name="Обычный 4 5 2 2 2 3 2 2" xfId="58579"/>
    <cellStyle name="Обычный 4 5 2 2 2 3 3" xfId="58580"/>
    <cellStyle name="Обычный 4 5 2 2 2 4" xfId="58581"/>
    <cellStyle name="Обычный 4 5 2 2 2 4 2" xfId="58582"/>
    <cellStyle name="Обычный 4 5 2 2 2 5" xfId="58583"/>
    <cellStyle name="Обычный 4 5 2 2 2 6" xfId="58584"/>
    <cellStyle name="Обычный 4 5 2 2 2 7" xfId="58585"/>
    <cellStyle name="Обычный 4 5 2 2 2 8" xfId="58586"/>
    <cellStyle name="Обычный 4 5 2 2 2 9" xfId="58587"/>
    <cellStyle name="Обычный 4 5 2 2 3" xfId="58588"/>
    <cellStyle name="Обычный 4 5 2 2 3 2" xfId="58589"/>
    <cellStyle name="Обычный 4 5 2 2 3 2 2" xfId="58590"/>
    <cellStyle name="Обычный 4 5 2 2 3 2 2 2" xfId="58591"/>
    <cellStyle name="Обычный 4 5 2 2 3 2 3" xfId="58592"/>
    <cellStyle name="Обычный 4 5 2 2 3 2 4" xfId="58593"/>
    <cellStyle name="Обычный 4 5 2 2 3 3" xfId="58594"/>
    <cellStyle name="Обычный 4 5 2 2 3 3 2" xfId="58595"/>
    <cellStyle name="Обычный 4 5 2 2 3 3 2 2" xfId="58596"/>
    <cellStyle name="Обычный 4 5 2 2 3 3 3" xfId="58597"/>
    <cellStyle name="Обычный 4 5 2 2 3 4" xfId="58598"/>
    <cellStyle name="Обычный 4 5 2 2 3 4 2" xfId="58599"/>
    <cellStyle name="Обычный 4 5 2 2 3 5" xfId="58600"/>
    <cellStyle name="Обычный 4 5 2 2 3 6" xfId="58601"/>
    <cellStyle name="Обычный 4 5 2 2 3 7" xfId="58602"/>
    <cellStyle name="Обычный 4 5 2 2 3 8" xfId="58603"/>
    <cellStyle name="Обычный 4 5 2 2 3 9" xfId="58604"/>
    <cellStyle name="Обычный 4 5 2 2 4" xfId="58605"/>
    <cellStyle name="Обычный 4 5 2 2 4 2" xfId="58606"/>
    <cellStyle name="Обычный 4 5 2 2 4 2 2" xfId="58607"/>
    <cellStyle name="Обычный 4 5 2 2 4 2 2 2" xfId="58608"/>
    <cellStyle name="Обычный 4 5 2 2 4 2 3" xfId="58609"/>
    <cellStyle name="Обычный 4 5 2 2 4 2 4" xfId="58610"/>
    <cellStyle name="Обычный 4 5 2 2 4 3" xfId="58611"/>
    <cellStyle name="Обычный 4 5 2 2 4 3 2" xfId="58612"/>
    <cellStyle name="Обычный 4 5 2 2 4 3 2 2" xfId="58613"/>
    <cellStyle name="Обычный 4 5 2 2 4 3 3" xfId="58614"/>
    <cellStyle name="Обычный 4 5 2 2 4 4" xfId="58615"/>
    <cellStyle name="Обычный 4 5 2 2 4 4 2" xfId="58616"/>
    <cellStyle name="Обычный 4 5 2 2 4 5" xfId="58617"/>
    <cellStyle name="Обычный 4 5 2 2 4 6" xfId="58618"/>
    <cellStyle name="Обычный 4 5 2 2 4 7" xfId="58619"/>
    <cellStyle name="Обычный 4 5 2 2 4 8" xfId="58620"/>
    <cellStyle name="Обычный 4 5 2 2 4 9" xfId="58621"/>
    <cellStyle name="Обычный 4 5 2 2 5" xfId="58622"/>
    <cellStyle name="Обычный 4 5 2 2 5 2" xfId="58623"/>
    <cellStyle name="Обычный 4 5 2 2 5 2 2" xfId="58624"/>
    <cellStyle name="Обычный 4 5 2 2 5 3" xfId="58625"/>
    <cellStyle name="Обычный 4 5 2 2 5 4" xfId="58626"/>
    <cellStyle name="Обычный 4 5 2 2 6" xfId="58627"/>
    <cellStyle name="Обычный 4 5 2 2 6 2" xfId="58628"/>
    <cellStyle name="Обычный 4 5 2 2 6 2 2" xfId="58629"/>
    <cellStyle name="Обычный 4 5 2 2 6 3" xfId="58630"/>
    <cellStyle name="Обычный 4 5 2 2 7" xfId="58631"/>
    <cellStyle name="Обычный 4 5 2 2 7 2" xfId="58632"/>
    <cellStyle name="Обычный 4 5 2 2 8" xfId="58633"/>
    <cellStyle name="Обычный 4 5 2 2 9" xfId="58634"/>
    <cellStyle name="Обычный 4 5 2 3" xfId="58635"/>
    <cellStyle name="Обычный 4 5 2 3 2" xfId="58636"/>
    <cellStyle name="Обычный 4 5 2 3 2 2" xfId="58637"/>
    <cellStyle name="Обычный 4 5 2 3 2 2 2" xfId="58638"/>
    <cellStyle name="Обычный 4 5 2 3 2 3" xfId="58639"/>
    <cellStyle name="Обычный 4 5 2 3 2 4" xfId="58640"/>
    <cellStyle name="Обычный 4 5 2 3 3" xfId="58641"/>
    <cellStyle name="Обычный 4 5 2 3 3 2" xfId="58642"/>
    <cellStyle name="Обычный 4 5 2 3 3 2 2" xfId="58643"/>
    <cellStyle name="Обычный 4 5 2 3 3 3" xfId="58644"/>
    <cellStyle name="Обычный 4 5 2 3 4" xfId="58645"/>
    <cellStyle name="Обычный 4 5 2 3 4 2" xfId="58646"/>
    <cellStyle name="Обычный 4 5 2 3 5" xfId="58647"/>
    <cellStyle name="Обычный 4 5 2 3 6" xfId="58648"/>
    <cellStyle name="Обычный 4 5 2 3 7" xfId="58649"/>
    <cellStyle name="Обычный 4 5 2 3 8" xfId="58650"/>
    <cellStyle name="Обычный 4 5 2 3 9" xfId="58651"/>
    <cellStyle name="Обычный 4 5 2 4" xfId="58652"/>
    <cellStyle name="Обычный 4 5 2 4 2" xfId="58653"/>
    <cellStyle name="Обычный 4 5 2 4 2 2" xfId="58654"/>
    <cellStyle name="Обычный 4 5 2 4 2 2 2" xfId="58655"/>
    <cellStyle name="Обычный 4 5 2 4 2 3" xfId="58656"/>
    <cellStyle name="Обычный 4 5 2 4 2 4" xfId="58657"/>
    <cellStyle name="Обычный 4 5 2 4 3" xfId="58658"/>
    <cellStyle name="Обычный 4 5 2 4 3 2" xfId="58659"/>
    <cellStyle name="Обычный 4 5 2 4 3 2 2" xfId="58660"/>
    <cellStyle name="Обычный 4 5 2 4 3 3" xfId="58661"/>
    <cellStyle name="Обычный 4 5 2 4 4" xfId="58662"/>
    <cellStyle name="Обычный 4 5 2 4 4 2" xfId="58663"/>
    <cellStyle name="Обычный 4 5 2 4 5" xfId="58664"/>
    <cellStyle name="Обычный 4 5 2 4 6" xfId="58665"/>
    <cellStyle name="Обычный 4 5 2 4 7" xfId="58666"/>
    <cellStyle name="Обычный 4 5 2 4 8" xfId="58667"/>
    <cellStyle name="Обычный 4 5 2 4 9" xfId="58668"/>
    <cellStyle name="Обычный 4 5 2 5" xfId="58669"/>
    <cellStyle name="Обычный 4 5 2 5 2" xfId="58670"/>
    <cellStyle name="Обычный 4 5 2 5 2 2" xfId="58671"/>
    <cellStyle name="Обычный 4 5 2 5 2 2 2" xfId="58672"/>
    <cellStyle name="Обычный 4 5 2 5 2 3" xfId="58673"/>
    <cellStyle name="Обычный 4 5 2 5 2 4" xfId="58674"/>
    <cellStyle name="Обычный 4 5 2 5 3" xfId="58675"/>
    <cellStyle name="Обычный 4 5 2 5 3 2" xfId="58676"/>
    <cellStyle name="Обычный 4 5 2 5 3 2 2" xfId="58677"/>
    <cellStyle name="Обычный 4 5 2 5 3 3" xfId="58678"/>
    <cellStyle name="Обычный 4 5 2 5 4" xfId="58679"/>
    <cellStyle name="Обычный 4 5 2 5 4 2" xfId="58680"/>
    <cellStyle name="Обычный 4 5 2 5 5" xfId="58681"/>
    <cellStyle name="Обычный 4 5 2 5 6" xfId="58682"/>
    <cellStyle name="Обычный 4 5 2 5 7" xfId="58683"/>
    <cellStyle name="Обычный 4 5 2 5 8" xfId="58684"/>
    <cellStyle name="Обычный 4 5 2 5 9" xfId="58685"/>
    <cellStyle name="Обычный 4 5 2 6" xfId="58686"/>
    <cellStyle name="Обычный 4 5 2 6 2" xfId="58687"/>
    <cellStyle name="Обычный 4 5 2 6 2 2" xfId="58688"/>
    <cellStyle name="Обычный 4 5 2 6 3" xfId="58689"/>
    <cellStyle name="Обычный 4 5 2 6 4" xfId="58690"/>
    <cellStyle name="Обычный 4 5 2 7" xfId="58691"/>
    <cellStyle name="Обычный 4 5 2 7 2" xfId="58692"/>
    <cellStyle name="Обычный 4 5 2 7 2 2" xfId="58693"/>
    <cellStyle name="Обычный 4 5 2 7 3" xfId="58694"/>
    <cellStyle name="Обычный 4 5 2 8" xfId="58695"/>
    <cellStyle name="Обычный 4 5 2 8 2" xfId="58696"/>
    <cellStyle name="Обычный 4 5 2 9" xfId="58697"/>
    <cellStyle name="Обычный 4 5 3" xfId="58698"/>
    <cellStyle name="Обычный 4 5 3 10" xfId="58699"/>
    <cellStyle name="Обычный 4 5 3 11" xfId="58700"/>
    <cellStyle name="Обычный 4 5 3 12" xfId="58701"/>
    <cellStyle name="Обычный 4 5 3 13" xfId="58702"/>
    <cellStyle name="Обычный 4 5 3 2" xfId="58703"/>
    <cellStyle name="Обычный 4 5 3 2 10" xfId="58704"/>
    <cellStyle name="Обычный 4 5 3 2 11" xfId="58705"/>
    <cellStyle name="Обычный 4 5 3 2 12" xfId="58706"/>
    <cellStyle name="Обычный 4 5 3 2 2" xfId="58707"/>
    <cellStyle name="Обычный 4 5 3 2 2 2" xfId="58708"/>
    <cellStyle name="Обычный 4 5 3 2 2 2 2" xfId="58709"/>
    <cellStyle name="Обычный 4 5 3 2 2 2 2 2" xfId="58710"/>
    <cellStyle name="Обычный 4 5 3 2 2 2 3" xfId="58711"/>
    <cellStyle name="Обычный 4 5 3 2 2 2 4" xfId="58712"/>
    <cellStyle name="Обычный 4 5 3 2 2 3" xfId="58713"/>
    <cellStyle name="Обычный 4 5 3 2 2 3 2" xfId="58714"/>
    <cellStyle name="Обычный 4 5 3 2 2 3 2 2" xfId="58715"/>
    <cellStyle name="Обычный 4 5 3 2 2 3 3" xfId="58716"/>
    <cellStyle name="Обычный 4 5 3 2 2 4" xfId="58717"/>
    <cellStyle name="Обычный 4 5 3 2 2 4 2" xfId="58718"/>
    <cellStyle name="Обычный 4 5 3 2 2 5" xfId="58719"/>
    <cellStyle name="Обычный 4 5 3 2 2 6" xfId="58720"/>
    <cellStyle name="Обычный 4 5 3 2 2 7" xfId="58721"/>
    <cellStyle name="Обычный 4 5 3 2 2 8" xfId="58722"/>
    <cellStyle name="Обычный 4 5 3 2 2 9" xfId="58723"/>
    <cellStyle name="Обычный 4 5 3 2 3" xfId="58724"/>
    <cellStyle name="Обычный 4 5 3 2 3 2" xfId="58725"/>
    <cellStyle name="Обычный 4 5 3 2 3 2 2" xfId="58726"/>
    <cellStyle name="Обычный 4 5 3 2 3 2 2 2" xfId="58727"/>
    <cellStyle name="Обычный 4 5 3 2 3 2 3" xfId="58728"/>
    <cellStyle name="Обычный 4 5 3 2 3 2 4" xfId="58729"/>
    <cellStyle name="Обычный 4 5 3 2 3 3" xfId="58730"/>
    <cellStyle name="Обычный 4 5 3 2 3 3 2" xfId="58731"/>
    <cellStyle name="Обычный 4 5 3 2 3 3 2 2" xfId="58732"/>
    <cellStyle name="Обычный 4 5 3 2 3 3 3" xfId="58733"/>
    <cellStyle name="Обычный 4 5 3 2 3 4" xfId="58734"/>
    <cellStyle name="Обычный 4 5 3 2 3 4 2" xfId="58735"/>
    <cellStyle name="Обычный 4 5 3 2 3 5" xfId="58736"/>
    <cellStyle name="Обычный 4 5 3 2 3 6" xfId="58737"/>
    <cellStyle name="Обычный 4 5 3 2 3 7" xfId="58738"/>
    <cellStyle name="Обычный 4 5 3 2 3 8" xfId="58739"/>
    <cellStyle name="Обычный 4 5 3 2 3 9" xfId="58740"/>
    <cellStyle name="Обычный 4 5 3 2 4" xfId="58741"/>
    <cellStyle name="Обычный 4 5 3 2 4 2" xfId="58742"/>
    <cellStyle name="Обычный 4 5 3 2 4 2 2" xfId="58743"/>
    <cellStyle name="Обычный 4 5 3 2 4 2 2 2" xfId="58744"/>
    <cellStyle name="Обычный 4 5 3 2 4 2 3" xfId="58745"/>
    <cellStyle name="Обычный 4 5 3 2 4 2 4" xfId="58746"/>
    <cellStyle name="Обычный 4 5 3 2 4 3" xfId="58747"/>
    <cellStyle name="Обычный 4 5 3 2 4 3 2" xfId="58748"/>
    <cellStyle name="Обычный 4 5 3 2 4 3 2 2" xfId="58749"/>
    <cellStyle name="Обычный 4 5 3 2 4 3 3" xfId="58750"/>
    <cellStyle name="Обычный 4 5 3 2 4 4" xfId="58751"/>
    <cellStyle name="Обычный 4 5 3 2 4 4 2" xfId="58752"/>
    <cellStyle name="Обычный 4 5 3 2 4 5" xfId="58753"/>
    <cellStyle name="Обычный 4 5 3 2 4 6" xfId="58754"/>
    <cellStyle name="Обычный 4 5 3 2 4 7" xfId="58755"/>
    <cellStyle name="Обычный 4 5 3 2 4 8" xfId="58756"/>
    <cellStyle name="Обычный 4 5 3 2 4 9" xfId="58757"/>
    <cellStyle name="Обычный 4 5 3 2 5" xfId="58758"/>
    <cellStyle name="Обычный 4 5 3 2 5 2" xfId="58759"/>
    <cellStyle name="Обычный 4 5 3 2 5 2 2" xfId="58760"/>
    <cellStyle name="Обычный 4 5 3 2 5 3" xfId="58761"/>
    <cellStyle name="Обычный 4 5 3 2 5 4" xfId="58762"/>
    <cellStyle name="Обычный 4 5 3 2 6" xfId="58763"/>
    <cellStyle name="Обычный 4 5 3 2 6 2" xfId="58764"/>
    <cellStyle name="Обычный 4 5 3 2 6 2 2" xfId="58765"/>
    <cellStyle name="Обычный 4 5 3 2 6 3" xfId="58766"/>
    <cellStyle name="Обычный 4 5 3 2 7" xfId="58767"/>
    <cellStyle name="Обычный 4 5 3 2 7 2" xfId="58768"/>
    <cellStyle name="Обычный 4 5 3 2 8" xfId="58769"/>
    <cellStyle name="Обычный 4 5 3 2 9" xfId="58770"/>
    <cellStyle name="Обычный 4 5 3 3" xfId="58771"/>
    <cellStyle name="Обычный 4 5 3 3 2" xfId="58772"/>
    <cellStyle name="Обычный 4 5 3 3 2 2" xfId="58773"/>
    <cellStyle name="Обычный 4 5 3 3 2 2 2" xfId="58774"/>
    <cellStyle name="Обычный 4 5 3 3 2 3" xfId="58775"/>
    <cellStyle name="Обычный 4 5 3 3 2 4" xfId="58776"/>
    <cellStyle name="Обычный 4 5 3 3 3" xfId="58777"/>
    <cellStyle name="Обычный 4 5 3 3 3 2" xfId="58778"/>
    <cellStyle name="Обычный 4 5 3 3 3 2 2" xfId="58779"/>
    <cellStyle name="Обычный 4 5 3 3 3 3" xfId="58780"/>
    <cellStyle name="Обычный 4 5 3 3 4" xfId="58781"/>
    <cellStyle name="Обычный 4 5 3 3 4 2" xfId="58782"/>
    <cellStyle name="Обычный 4 5 3 3 5" xfId="58783"/>
    <cellStyle name="Обычный 4 5 3 3 6" xfId="58784"/>
    <cellStyle name="Обычный 4 5 3 3 7" xfId="58785"/>
    <cellStyle name="Обычный 4 5 3 3 8" xfId="58786"/>
    <cellStyle name="Обычный 4 5 3 3 9" xfId="58787"/>
    <cellStyle name="Обычный 4 5 3 4" xfId="58788"/>
    <cellStyle name="Обычный 4 5 3 4 2" xfId="58789"/>
    <cellStyle name="Обычный 4 5 3 4 2 2" xfId="58790"/>
    <cellStyle name="Обычный 4 5 3 4 2 2 2" xfId="58791"/>
    <cellStyle name="Обычный 4 5 3 4 2 3" xfId="58792"/>
    <cellStyle name="Обычный 4 5 3 4 2 4" xfId="58793"/>
    <cellStyle name="Обычный 4 5 3 4 3" xfId="58794"/>
    <cellStyle name="Обычный 4 5 3 4 3 2" xfId="58795"/>
    <cellStyle name="Обычный 4 5 3 4 3 2 2" xfId="58796"/>
    <cellStyle name="Обычный 4 5 3 4 3 3" xfId="58797"/>
    <cellStyle name="Обычный 4 5 3 4 4" xfId="58798"/>
    <cellStyle name="Обычный 4 5 3 4 4 2" xfId="58799"/>
    <cellStyle name="Обычный 4 5 3 4 5" xfId="58800"/>
    <cellStyle name="Обычный 4 5 3 4 6" xfId="58801"/>
    <cellStyle name="Обычный 4 5 3 4 7" xfId="58802"/>
    <cellStyle name="Обычный 4 5 3 4 8" xfId="58803"/>
    <cellStyle name="Обычный 4 5 3 4 9" xfId="58804"/>
    <cellStyle name="Обычный 4 5 3 5" xfId="58805"/>
    <cellStyle name="Обычный 4 5 3 5 2" xfId="58806"/>
    <cellStyle name="Обычный 4 5 3 5 2 2" xfId="58807"/>
    <cellStyle name="Обычный 4 5 3 5 2 2 2" xfId="58808"/>
    <cellStyle name="Обычный 4 5 3 5 2 3" xfId="58809"/>
    <cellStyle name="Обычный 4 5 3 5 2 4" xfId="58810"/>
    <cellStyle name="Обычный 4 5 3 5 3" xfId="58811"/>
    <cellStyle name="Обычный 4 5 3 5 3 2" xfId="58812"/>
    <cellStyle name="Обычный 4 5 3 5 3 2 2" xfId="58813"/>
    <cellStyle name="Обычный 4 5 3 5 3 3" xfId="58814"/>
    <cellStyle name="Обычный 4 5 3 5 4" xfId="58815"/>
    <cellStyle name="Обычный 4 5 3 5 4 2" xfId="58816"/>
    <cellStyle name="Обычный 4 5 3 5 5" xfId="58817"/>
    <cellStyle name="Обычный 4 5 3 5 6" xfId="58818"/>
    <cellStyle name="Обычный 4 5 3 5 7" xfId="58819"/>
    <cellStyle name="Обычный 4 5 3 5 8" xfId="58820"/>
    <cellStyle name="Обычный 4 5 3 5 9" xfId="58821"/>
    <cellStyle name="Обычный 4 5 3 6" xfId="58822"/>
    <cellStyle name="Обычный 4 5 3 6 2" xfId="58823"/>
    <cellStyle name="Обычный 4 5 3 6 2 2" xfId="58824"/>
    <cellStyle name="Обычный 4 5 3 6 3" xfId="58825"/>
    <cellStyle name="Обычный 4 5 3 6 4" xfId="58826"/>
    <cellStyle name="Обычный 4 5 3 7" xfId="58827"/>
    <cellStyle name="Обычный 4 5 3 7 2" xfId="58828"/>
    <cellStyle name="Обычный 4 5 3 7 2 2" xfId="58829"/>
    <cellStyle name="Обычный 4 5 3 7 3" xfId="58830"/>
    <cellStyle name="Обычный 4 5 3 8" xfId="58831"/>
    <cellStyle name="Обычный 4 5 3 8 2" xfId="58832"/>
    <cellStyle name="Обычный 4 5 3 9" xfId="58833"/>
    <cellStyle name="Обычный 4 5 4" xfId="58834"/>
    <cellStyle name="Обычный 4 5 4 10" xfId="58835"/>
    <cellStyle name="Обычный 4 5 4 11" xfId="58836"/>
    <cellStyle name="Обычный 4 5 4 12" xfId="58837"/>
    <cellStyle name="Обычный 4 5 4 2" xfId="58838"/>
    <cellStyle name="Обычный 4 5 4 2 2" xfId="58839"/>
    <cellStyle name="Обычный 4 5 4 2 2 2" xfId="58840"/>
    <cellStyle name="Обычный 4 5 4 2 2 2 2" xfId="58841"/>
    <cellStyle name="Обычный 4 5 4 2 2 3" xfId="58842"/>
    <cellStyle name="Обычный 4 5 4 2 2 4" xfId="58843"/>
    <cellStyle name="Обычный 4 5 4 2 3" xfId="58844"/>
    <cellStyle name="Обычный 4 5 4 2 3 2" xfId="58845"/>
    <cellStyle name="Обычный 4 5 4 2 3 2 2" xfId="58846"/>
    <cellStyle name="Обычный 4 5 4 2 3 3" xfId="58847"/>
    <cellStyle name="Обычный 4 5 4 2 4" xfId="58848"/>
    <cellStyle name="Обычный 4 5 4 2 4 2" xfId="58849"/>
    <cellStyle name="Обычный 4 5 4 2 5" xfId="58850"/>
    <cellStyle name="Обычный 4 5 4 2 6" xfId="58851"/>
    <cellStyle name="Обычный 4 5 4 2 7" xfId="58852"/>
    <cellStyle name="Обычный 4 5 4 2 8" xfId="58853"/>
    <cellStyle name="Обычный 4 5 4 2 9" xfId="58854"/>
    <cellStyle name="Обычный 4 5 4 3" xfId="58855"/>
    <cellStyle name="Обычный 4 5 4 3 2" xfId="58856"/>
    <cellStyle name="Обычный 4 5 4 3 2 2" xfId="58857"/>
    <cellStyle name="Обычный 4 5 4 3 2 2 2" xfId="58858"/>
    <cellStyle name="Обычный 4 5 4 3 2 3" xfId="58859"/>
    <cellStyle name="Обычный 4 5 4 3 2 4" xfId="58860"/>
    <cellStyle name="Обычный 4 5 4 3 3" xfId="58861"/>
    <cellStyle name="Обычный 4 5 4 3 3 2" xfId="58862"/>
    <cellStyle name="Обычный 4 5 4 3 3 2 2" xfId="58863"/>
    <cellStyle name="Обычный 4 5 4 3 3 3" xfId="58864"/>
    <cellStyle name="Обычный 4 5 4 3 4" xfId="58865"/>
    <cellStyle name="Обычный 4 5 4 3 4 2" xfId="58866"/>
    <cellStyle name="Обычный 4 5 4 3 5" xfId="58867"/>
    <cellStyle name="Обычный 4 5 4 3 6" xfId="58868"/>
    <cellStyle name="Обычный 4 5 4 3 7" xfId="58869"/>
    <cellStyle name="Обычный 4 5 4 3 8" xfId="58870"/>
    <cellStyle name="Обычный 4 5 4 3 9" xfId="58871"/>
    <cellStyle name="Обычный 4 5 4 4" xfId="58872"/>
    <cellStyle name="Обычный 4 5 4 4 2" xfId="58873"/>
    <cellStyle name="Обычный 4 5 4 4 2 2" xfId="58874"/>
    <cellStyle name="Обычный 4 5 4 4 2 2 2" xfId="58875"/>
    <cellStyle name="Обычный 4 5 4 4 2 3" xfId="58876"/>
    <cellStyle name="Обычный 4 5 4 4 2 4" xfId="58877"/>
    <cellStyle name="Обычный 4 5 4 4 3" xfId="58878"/>
    <cellStyle name="Обычный 4 5 4 4 3 2" xfId="58879"/>
    <cellStyle name="Обычный 4 5 4 4 3 2 2" xfId="58880"/>
    <cellStyle name="Обычный 4 5 4 4 3 3" xfId="58881"/>
    <cellStyle name="Обычный 4 5 4 4 4" xfId="58882"/>
    <cellStyle name="Обычный 4 5 4 4 4 2" xfId="58883"/>
    <cellStyle name="Обычный 4 5 4 4 5" xfId="58884"/>
    <cellStyle name="Обычный 4 5 4 4 6" xfId="58885"/>
    <cellStyle name="Обычный 4 5 4 4 7" xfId="58886"/>
    <cellStyle name="Обычный 4 5 4 4 8" xfId="58887"/>
    <cellStyle name="Обычный 4 5 4 4 9" xfId="58888"/>
    <cellStyle name="Обычный 4 5 4 5" xfId="58889"/>
    <cellStyle name="Обычный 4 5 4 5 2" xfId="58890"/>
    <cellStyle name="Обычный 4 5 4 5 2 2" xfId="58891"/>
    <cellStyle name="Обычный 4 5 4 5 3" xfId="58892"/>
    <cellStyle name="Обычный 4 5 4 5 4" xfId="58893"/>
    <cellStyle name="Обычный 4 5 4 6" xfId="58894"/>
    <cellStyle name="Обычный 4 5 4 6 2" xfId="58895"/>
    <cellStyle name="Обычный 4 5 4 6 2 2" xfId="58896"/>
    <cellStyle name="Обычный 4 5 4 6 3" xfId="58897"/>
    <cellStyle name="Обычный 4 5 4 7" xfId="58898"/>
    <cellStyle name="Обычный 4 5 4 7 2" xfId="58899"/>
    <cellStyle name="Обычный 4 5 4 8" xfId="58900"/>
    <cellStyle name="Обычный 4 5 4 9" xfId="58901"/>
    <cellStyle name="Обычный 4 5 5" xfId="58902"/>
    <cellStyle name="Обычный 4 5 5 2" xfId="58903"/>
    <cellStyle name="Обычный 4 5 5 2 2" xfId="58904"/>
    <cellStyle name="Обычный 4 5 5 2 2 2" xfId="58905"/>
    <cellStyle name="Обычный 4 5 5 2 3" xfId="58906"/>
    <cellStyle name="Обычный 4 5 5 2 4" xfId="58907"/>
    <cellStyle name="Обычный 4 5 5 3" xfId="58908"/>
    <cellStyle name="Обычный 4 5 5 3 2" xfId="58909"/>
    <cellStyle name="Обычный 4 5 5 3 2 2" xfId="58910"/>
    <cellStyle name="Обычный 4 5 5 3 3" xfId="58911"/>
    <cellStyle name="Обычный 4 5 5 4" xfId="58912"/>
    <cellStyle name="Обычный 4 5 5 4 2" xfId="58913"/>
    <cellStyle name="Обычный 4 5 5 5" xfId="58914"/>
    <cellStyle name="Обычный 4 5 5 6" xfId="58915"/>
    <cellStyle name="Обычный 4 5 5 7" xfId="58916"/>
    <cellStyle name="Обычный 4 5 5 8" xfId="58917"/>
    <cellStyle name="Обычный 4 5 5 9" xfId="58918"/>
    <cellStyle name="Обычный 4 5 6" xfId="58919"/>
    <cellStyle name="Обычный 4 5 6 2" xfId="58920"/>
    <cellStyle name="Обычный 4 5 6 2 2" xfId="58921"/>
    <cellStyle name="Обычный 4 5 6 2 2 2" xfId="58922"/>
    <cellStyle name="Обычный 4 5 6 2 3" xfId="58923"/>
    <cellStyle name="Обычный 4 5 6 2 4" xfId="58924"/>
    <cellStyle name="Обычный 4 5 6 3" xfId="58925"/>
    <cellStyle name="Обычный 4 5 6 3 2" xfId="58926"/>
    <cellStyle name="Обычный 4 5 6 3 2 2" xfId="58927"/>
    <cellStyle name="Обычный 4 5 6 3 3" xfId="58928"/>
    <cellStyle name="Обычный 4 5 6 4" xfId="58929"/>
    <cellStyle name="Обычный 4 5 6 4 2" xfId="58930"/>
    <cellStyle name="Обычный 4 5 6 5" xfId="58931"/>
    <cellStyle name="Обычный 4 5 6 6" xfId="58932"/>
    <cellStyle name="Обычный 4 5 6 7" xfId="58933"/>
    <cellStyle name="Обычный 4 5 6 8" xfId="58934"/>
    <cellStyle name="Обычный 4 5 6 9" xfId="58935"/>
    <cellStyle name="Обычный 4 5 7" xfId="58936"/>
    <cellStyle name="Обычный 4 5 7 2" xfId="58937"/>
    <cellStyle name="Обычный 4 5 7 2 2" xfId="58938"/>
    <cellStyle name="Обычный 4 5 7 2 2 2" xfId="58939"/>
    <cellStyle name="Обычный 4 5 7 2 3" xfId="58940"/>
    <cellStyle name="Обычный 4 5 7 2 4" xfId="58941"/>
    <cellStyle name="Обычный 4 5 7 3" xfId="58942"/>
    <cellStyle name="Обычный 4 5 7 3 2" xfId="58943"/>
    <cellStyle name="Обычный 4 5 7 3 2 2" xfId="58944"/>
    <cellStyle name="Обычный 4 5 7 3 3" xfId="58945"/>
    <cellStyle name="Обычный 4 5 7 4" xfId="58946"/>
    <cellStyle name="Обычный 4 5 7 4 2" xfId="58947"/>
    <cellStyle name="Обычный 4 5 7 5" xfId="58948"/>
    <cellStyle name="Обычный 4 5 7 6" xfId="58949"/>
    <cellStyle name="Обычный 4 5 7 7" xfId="58950"/>
    <cellStyle name="Обычный 4 5 7 8" xfId="58951"/>
    <cellStyle name="Обычный 4 5 7 9" xfId="58952"/>
    <cellStyle name="Обычный 4 5 8" xfId="58953"/>
    <cellStyle name="Обычный 4 5 8 2" xfId="58954"/>
    <cellStyle name="Обычный 4 5 8 2 2" xfId="58955"/>
    <cellStyle name="Обычный 4 5 8 3" xfId="58956"/>
    <cellStyle name="Обычный 4 5 8 4" xfId="58957"/>
    <cellStyle name="Обычный 4 5 9" xfId="58958"/>
    <cellStyle name="Обычный 4 5 9 2" xfId="58959"/>
    <cellStyle name="Обычный 4 5 9 2 2" xfId="58960"/>
    <cellStyle name="Обычный 4 5 9 3" xfId="58961"/>
    <cellStyle name="Обычный 4 5_март 2012" xfId="58962"/>
    <cellStyle name="Обычный 4 6" xfId="58963"/>
    <cellStyle name="Обычный 4 6 10" xfId="58964"/>
    <cellStyle name="Обычный 4 6 10 2" xfId="58965"/>
    <cellStyle name="Обычный 4 6 11" xfId="58966"/>
    <cellStyle name="Обычный 4 6 12" xfId="58967"/>
    <cellStyle name="Обычный 4 6 13" xfId="58968"/>
    <cellStyle name="Обычный 4 6 14" xfId="58969"/>
    <cellStyle name="Обычный 4 6 15" xfId="58970"/>
    <cellStyle name="Обычный 4 6 2" xfId="58971"/>
    <cellStyle name="Обычный 4 6 2 10" xfId="58972"/>
    <cellStyle name="Обычный 4 6 2 11" xfId="58973"/>
    <cellStyle name="Обычный 4 6 2 12" xfId="58974"/>
    <cellStyle name="Обычный 4 6 2 13" xfId="58975"/>
    <cellStyle name="Обычный 4 6 2 2" xfId="58976"/>
    <cellStyle name="Обычный 4 6 2 2 10" xfId="58977"/>
    <cellStyle name="Обычный 4 6 2 2 11" xfId="58978"/>
    <cellStyle name="Обычный 4 6 2 2 12" xfId="58979"/>
    <cellStyle name="Обычный 4 6 2 2 2" xfId="58980"/>
    <cellStyle name="Обычный 4 6 2 2 2 2" xfId="58981"/>
    <cellStyle name="Обычный 4 6 2 2 2 2 2" xfId="58982"/>
    <cellStyle name="Обычный 4 6 2 2 2 2 2 2" xfId="58983"/>
    <cellStyle name="Обычный 4 6 2 2 2 2 3" xfId="58984"/>
    <cellStyle name="Обычный 4 6 2 2 2 2 4" xfId="58985"/>
    <cellStyle name="Обычный 4 6 2 2 2 3" xfId="58986"/>
    <cellStyle name="Обычный 4 6 2 2 2 3 2" xfId="58987"/>
    <cellStyle name="Обычный 4 6 2 2 2 3 2 2" xfId="58988"/>
    <cellStyle name="Обычный 4 6 2 2 2 3 3" xfId="58989"/>
    <cellStyle name="Обычный 4 6 2 2 2 4" xfId="58990"/>
    <cellStyle name="Обычный 4 6 2 2 2 4 2" xfId="58991"/>
    <cellStyle name="Обычный 4 6 2 2 2 5" xfId="58992"/>
    <cellStyle name="Обычный 4 6 2 2 2 6" xfId="58993"/>
    <cellStyle name="Обычный 4 6 2 2 2 7" xfId="58994"/>
    <cellStyle name="Обычный 4 6 2 2 2 8" xfId="58995"/>
    <cellStyle name="Обычный 4 6 2 2 2 9" xfId="58996"/>
    <cellStyle name="Обычный 4 6 2 2 3" xfId="58997"/>
    <cellStyle name="Обычный 4 6 2 2 3 2" xfId="58998"/>
    <cellStyle name="Обычный 4 6 2 2 3 2 2" xfId="58999"/>
    <cellStyle name="Обычный 4 6 2 2 3 2 2 2" xfId="59000"/>
    <cellStyle name="Обычный 4 6 2 2 3 2 3" xfId="59001"/>
    <cellStyle name="Обычный 4 6 2 2 3 2 4" xfId="59002"/>
    <cellStyle name="Обычный 4 6 2 2 3 3" xfId="59003"/>
    <cellStyle name="Обычный 4 6 2 2 3 3 2" xfId="59004"/>
    <cellStyle name="Обычный 4 6 2 2 3 3 2 2" xfId="59005"/>
    <cellStyle name="Обычный 4 6 2 2 3 3 3" xfId="59006"/>
    <cellStyle name="Обычный 4 6 2 2 3 4" xfId="59007"/>
    <cellStyle name="Обычный 4 6 2 2 3 4 2" xfId="59008"/>
    <cellStyle name="Обычный 4 6 2 2 3 5" xfId="59009"/>
    <cellStyle name="Обычный 4 6 2 2 3 6" xfId="59010"/>
    <cellStyle name="Обычный 4 6 2 2 3 7" xfId="59011"/>
    <cellStyle name="Обычный 4 6 2 2 3 8" xfId="59012"/>
    <cellStyle name="Обычный 4 6 2 2 3 9" xfId="59013"/>
    <cellStyle name="Обычный 4 6 2 2 4" xfId="59014"/>
    <cellStyle name="Обычный 4 6 2 2 4 2" xfId="59015"/>
    <cellStyle name="Обычный 4 6 2 2 4 2 2" xfId="59016"/>
    <cellStyle name="Обычный 4 6 2 2 4 2 2 2" xfId="59017"/>
    <cellStyle name="Обычный 4 6 2 2 4 2 3" xfId="59018"/>
    <cellStyle name="Обычный 4 6 2 2 4 2 4" xfId="59019"/>
    <cellStyle name="Обычный 4 6 2 2 4 3" xfId="59020"/>
    <cellStyle name="Обычный 4 6 2 2 4 3 2" xfId="59021"/>
    <cellStyle name="Обычный 4 6 2 2 4 3 2 2" xfId="59022"/>
    <cellStyle name="Обычный 4 6 2 2 4 3 3" xfId="59023"/>
    <cellStyle name="Обычный 4 6 2 2 4 4" xfId="59024"/>
    <cellStyle name="Обычный 4 6 2 2 4 4 2" xfId="59025"/>
    <cellStyle name="Обычный 4 6 2 2 4 5" xfId="59026"/>
    <cellStyle name="Обычный 4 6 2 2 4 6" xfId="59027"/>
    <cellStyle name="Обычный 4 6 2 2 4 7" xfId="59028"/>
    <cellStyle name="Обычный 4 6 2 2 4 8" xfId="59029"/>
    <cellStyle name="Обычный 4 6 2 2 4 9" xfId="59030"/>
    <cellStyle name="Обычный 4 6 2 2 5" xfId="59031"/>
    <cellStyle name="Обычный 4 6 2 2 5 2" xfId="59032"/>
    <cellStyle name="Обычный 4 6 2 2 5 2 2" xfId="59033"/>
    <cellStyle name="Обычный 4 6 2 2 5 3" xfId="59034"/>
    <cellStyle name="Обычный 4 6 2 2 5 4" xfId="59035"/>
    <cellStyle name="Обычный 4 6 2 2 6" xfId="59036"/>
    <cellStyle name="Обычный 4 6 2 2 6 2" xfId="59037"/>
    <cellStyle name="Обычный 4 6 2 2 6 2 2" xfId="59038"/>
    <cellStyle name="Обычный 4 6 2 2 6 3" xfId="59039"/>
    <cellStyle name="Обычный 4 6 2 2 7" xfId="59040"/>
    <cellStyle name="Обычный 4 6 2 2 7 2" xfId="59041"/>
    <cellStyle name="Обычный 4 6 2 2 8" xfId="59042"/>
    <cellStyle name="Обычный 4 6 2 2 9" xfId="59043"/>
    <cellStyle name="Обычный 4 6 2 3" xfId="59044"/>
    <cellStyle name="Обычный 4 6 2 3 2" xfId="59045"/>
    <cellStyle name="Обычный 4 6 2 3 2 2" xfId="59046"/>
    <cellStyle name="Обычный 4 6 2 3 2 2 2" xfId="59047"/>
    <cellStyle name="Обычный 4 6 2 3 2 3" xfId="59048"/>
    <cellStyle name="Обычный 4 6 2 3 2 4" xfId="59049"/>
    <cellStyle name="Обычный 4 6 2 3 3" xfId="59050"/>
    <cellStyle name="Обычный 4 6 2 3 3 2" xfId="59051"/>
    <cellStyle name="Обычный 4 6 2 3 3 2 2" xfId="59052"/>
    <cellStyle name="Обычный 4 6 2 3 3 3" xfId="59053"/>
    <cellStyle name="Обычный 4 6 2 3 4" xfId="59054"/>
    <cellStyle name="Обычный 4 6 2 3 4 2" xfId="59055"/>
    <cellStyle name="Обычный 4 6 2 3 5" xfId="59056"/>
    <cellStyle name="Обычный 4 6 2 3 6" xfId="59057"/>
    <cellStyle name="Обычный 4 6 2 3 7" xfId="59058"/>
    <cellStyle name="Обычный 4 6 2 3 8" xfId="59059"/>
    <cellStyle name="Обычный 4 6 2 3 9" xfId="59060"/>
    <cellStyle name="Обычный 4 6 2 4" xfId="59061"/>
    <cellStyle name="Обычный 4 6 2 4 2" xfId="59062"/>
    <cellStyle name="Обычный 4 6 2 4 2 2" xfId="59063"/>
    <cellStyle name="Обычный 4 6 2 4 2 2 2" xfId="59064"/>
    <cellStyle name="Обычный 4 6 2 4 2 3" xfId="59065"/>
    <cellStyle name="Обычный 4 6 2 4 2 4" xfId="59066"/>
    <cellStyle name="Обычный 4 6 2 4 3" xfId="59067"/>
    <cellStyle name="Обычный 4 6 2 4 3 2" xfId="59068"/>
    <cellStyle name="Обычный 4 6 2 4 3 2 2" xfId="59069"/>
    <cellStyle name="Обычный 4 6 2 4 3 3" xfId="59070"/>
    <cellStyle name="Обычный 4 6 2 4 4" xfId="59071"/>
    <cellStyle name="Обычный 4 6 2 4 4 2" xfId="59072"/>
    <cellStyle name="Обычный 4 6 2 4 5" xfId="59073"/>
    <cellStyle name="Обычный 4 6 2 4 6" xfId="59074"/>
    <cellStyle name="Обычный 4 6 2 4 7" xfId="59075"/>
    <cellStyle name="Обычный 4 6 2 4 8" xfId="59076"/>
    <cellStyle name="Обычный 4 6 2 4 9" xfId="59077"/>
    <cellStyle name="Обычный 4 6 2 5" xfId="59078"/>
    <cellStyle name="Обычный 4 6 2 5 2" xfId="59079"/>
    <cellStyle name="Обычный 4 6 2 5 2 2" xfId="59080"/>
    <cellStyle name="Обычный 4 6 2 5 2 2 2" xfId="59081"/>
    <cellStyle name="Обычный 4 6 2 5 2 3" xfId="59082"/>
    <cellStyle name="Обычный 4 6 2 5 2 4" xfId="59083"/>
    <cellStyle name="Обычный 4 6 2 5 3" xfId="59084"/>
    <cellStyle name="Обычный 4 6 2 5 3 2" xfId="59085"/>
    <cellStyle name="Обычный 4 6 2 5 3 2 2" xfId="59086"/>
    <cellStyle name="Обычный 4 6 2 5 3 3" xfId="59087"/>
    <cellStyle name="Обычный 4 6 2 5 4" xfId="59088"/>
    <cellStyle name="Обычный 4 6 2 5 4 2" xfId="59089"/>
    <cellStyle name="Обычный 4 6 2 5 5" xfId="59090"/>
    <cellStyle name="Обычный 4 6 2 5 6" xfId="59091"/>
    <cellStyle name="Обычный 4 6 2 5 7" xfId="59092"/>
    <cellStyle name="Обычный 4 6 2 5 8" xfId="59093"/>
    <cellStyle name="Обычный 4 6 2 5 9" xfId="59094"/>
    <cellStyle name="Обычный 4 6 2 6" xfId="59095"/>
    <cellStyle name="Обычный 4 6 2 6 2" xfId="59096"/>
    <cellStyle name="Обычный 4 6 2 6 2 2" xfId="59097"/>
    <cellStyle name="Обычный 4 6 2 6 3" xfId="59098"/>
    <cellStyle name="Обычный 4 6 2 6 4" xfId="59099"/>
    <cellStyle name="Обычный 4 6 2 7" xfId="59100"/>
    <cellStyle name="Обычный 4 6 2 7 2" xfId="59101"/>
    <cellStyle name="Обычный 4 6 2 7 2 2" xfId="59102"/>
    <cellStyle name="Обычный 4 6 2 7 3" xfId="59103"/>
    <cellStyle name="Обычный 4 6 2 8" xfId="59104"/>
    <cellStyle name="Обычный 4 6 2 8 2" xfId="59105"/>
    <cellStyle name="Обычный 4 6 2 9" xfId="59106"/>
    <cellStyle name="Обычный 4 6 3" xfId="59107"/>
    <cellStyle name="Обычный 4 6 3 10" xfId="59108"/>
    <cellStyle name="Обычный 4 6 3 11" xfId="59109"/>
    <cellStyle name="Обычный 4 6 3 12" xfId="59110"/>
    <cellStyle name="Обычный 4 6 3 13" xfId="59111"/>
    <cellStyle name="Обычный 4 6 3 2" xfId="59112"/>
    <cellStyle name="Обычный 4 6 3 2 10" xfId="59113"/>
    <cellStyle name="Обычный 4 6 3 2 11" xfId="59114"/>
    <cellStyle name="Обычный 4 6 3 2 12" xfId="59115"/>
    <cellStyle name="Обычный 4 6 3 2 2" xfId="59116"/>
    <cellStyle name="Обычный 4 6 3 2 2 2" xfId="59117"/>
    <cellStyle name="Обычный 4 6 3 2 2 2 2" xfId="59118"/>
    <cellStyle name="Обычный 4 6 3 2 2 2 2 2" xfId="59119"/>
    <cellStyle name="Обычный 4 6 3 2 2 2 3" xfId="59120"/>
    <cellStyle name="Обычный 4 6 3 2 2 2 4" xfId="59121"/>
    <cellStyle name="Обычный 4 6 3 2 2 3" xfId="59122"/>
    <cellStyle name="Обычный 4 6 3 2 2 3 2" xfId="59123"/>
    <cellStyle name="Обычный 4 6 3 2 2 3 2 2" xfId="59124"/>
    <cellStyle name="Обычный 4 6 3 2 2 3 3" xfId="59125"/>
    <cellStyle name="Обычный 4 6 3 2 2 4" xfId="59126"/>
    <cellStyle name="Обычный 4 6 3 2 2 4 2" xfId="59127"/>
    <cellStyle name="Обычный 4 6 3 2 2 5" xfId="59128"/>
    <cellStyle name="Обычный 4 6 3 2 2 6" xfId="59129"/>
    <cellStyle name="Обычный 4 6 3 2 2 7" xfId="59130"/>
    <cellStyle name="Обычный 4 6 3 2 2 8" xfId="59131"/>
    <cellStyle name="Обычный 4 6 3 2 2 9" xfId="59132"/>
    <cellStyle name="Обычный 4 6 3 2 3" xfId="59133"/>
    <cellStyle name="Обычный 4 6 3 2 3 2" xfId="59134"/>
    <cellStyle name="Обычный 4 6 3 2 3 2 2" xfId="59135"/>
    <cellStyle name="Обычный 4 6 3 2 3 2 2 2" xfId="59136"/>
    <cellStyle name="Обычный 4 6 3 2 3 2 3" xfId="59137"/>
    <cellStyle name="Обычный 4 6 3 2 3 2 4" xfId="59138"/>
    <cellStyle name="Обычный 4 6 3 2 3 3" xfId="59139"/>
    <cellStyle name="Обычный 4 6 3 2 3 3 2" xfId="59140"/>
    <cellStyle name="Обычный 4 6 3 2 3 3 2 2" xfId="59141"/>
    <cellStyle name="Обычный 4 6 3 2 3 3 3" xfId="59142"/>
    <cellStyle name="Обычный 4 6 3 2 3 4" xfId="59143"/>
    <cellStyle name="Обычный 4 6 3 2 3 4 2" xfId="59144"/>
    <cellStyle name="Обычный 4 6 3 2 3 5" xfId="59145"/>
    <cellStyle name="Обычный 4 6 3 2 3 6" xfId="59146"/>
    <cellStyle name="Обычный 4 6 3 2 3 7" xfId="59147"/>
    <cellStyle name="Обычный 4 6 3 2 3 8" xfId="59148"/>
    <cellStyle name="Обычный 4 6 3 2 3 9" xfId="59149"/>
    <cellStyle name="Обычный 4 6 3 2 4" xfId="59150"/>
    <cellStyle name="Обычный 4 6 3 2 4 2" xfId="59151"/>
    <cellStyle name="Обычный 4 6 3 2 4 2 2" xfId="59152"/>
    <cellStyle name="Обычный 4 6 3 2 4 2 2 2" xfId="59153"/>
    <cellStyle name="Обычный 4 6 3 2 4 2 3" xfId="59154"/>
    <cellStyle name="Обычный 4 6 3 2 4 2 4" xfId="59155"/>
    <cellStyle name="Обычный 4 6 3 2 4 3" xfId="59156"/>
    <cellStyle name="Обычный 4 6 3 2 4 3 2" xfId="59157"/>
    <cellStyle name="Обычный 4 6 3 2 4 3 2 2" xfId="59158"/>
    <cellStyle name="Обычный 4 6 3 2 4 3 3" xfId="59159"/>
    <cellStyle name="Обычный 4 6 3 2 4 4" xfId="59160"/>
    <cellStyle name="Обычный 4 6 3 2 4 4 2" xfId="59161"/>
    <cellStyle name="Обычный 4 6 3 2 4 5" xfId="59162"/>
    <cellStyle name="Обычный 4 6 3 2 4 6" xfId="59163"/>
    <cellStyle name="Обычный 4 6 3 2 4 7" xfId="59164"/>
    <cellStyle name="Обычный 4 6 3 2 4 8" xfId="59165"/>
    <cellStyle name="Обычный 4 6 3 2 4 9" xfId="59166"/>
    <cellStyle name="Обычный 4 6 3 2 5" xfId="59167"/>
    <cellStyle name="Обычный 4 6 3 2 5 2" xfId="59168"/>
    <cellStyle name="Обычный 4 6 3 2 5 2 2" xfId="59169"/>
    <cellStyle name="Обычный 4 6 3 2 5 3" xfId="59170"/>
    <cellStyle name="Обычный 4 6 3 2 5 4" xfId="59171"/>
    <cellStyle name="Обычный 4 6 3 2 6" xfId="59172"/>
    <cellStyle name="Обычный 4 6 3 2 6 2" xfId="59173"/>
    <cellStyle name="Обычный 4 6 3 2 6 2 2" xfId="59174"/>
    <cellStyle name="Обычный 4 6 3 2 6 3" xfId="59175"/>
    <cellStyle name="Обычный 4 6 3 2 7" xfId="59176"/>
    <cellStyle name="Обычный 4 6 3 2 7 2" xfId="59177"/>
    <cellStyle name="Обычный 4 6 3 2 8" xfId="59178"/>
    <cellStyle name="Обычный 4 6 3 2 9" xfId="59179"/>
    <cellStyle name="Обычный 4 6 3 3" xfId="59180"/>
    <cellStyle name="Обычный 4 6 3 3 2" xfId="59181"/>
    <cellStyle name="Обычный 4 6 3 3 2 2" xfId="59182"/>
    <cellStyle name="Обычный 4 6 3 3 2 2 2" xfId="59183"/>
    <cellStyle name="Обычный 4 6 3 3 2 3" xfId="59184"/>
    <cellStyle name="Обычный 4 6 3 3 2 4" xfId="59185"/>
    <cellStyle name="Обычный 4 6 3 3 3" xfId="59186"/>
    <cellStyle name="Обычный 4 6 3 3 3 2" xfId="59187"/>
    <cellStyle name="Обычный 4 6 3 3 3 2 2" xfId="59188"/>
    <cellStyle name="Обычный 4 6 3 3 3 3" xfId="59189"/>
    <cellStyle name="Обычный 4 6 3 3 4" xfId="59190"/>
    <cellStyle name="Обычный 4 6 3 3 4 2" xfId="59191"/>
    <cellStyle name="Обычный 4 6 3 3 5" xfId="59192"/>
    <cellStyle name="Обычный 4 6 3 3 6" xfId="59193"/>
    <cellStyle name="Обычный 4 6 3 3 7" xfId="59194"/>
    <cellStyle name="Обычный 4 6 3 3 8" xfId="59195"/>
    <cellStyle name="Обычный 4 6 3 3 9" xfId="59196"/>
    <cellStyle name="Обычный 4 6 3 4" xfId="59197"/>
    <cellStyle name="Обычный 4 6 3 4 2" xfId="59198"/>
    <cellStyle name="Обычный 4 6 3 4 2 2" xfId="59199"/>
    <cellStyle name="Обычный 4 6 3 4 2 2 2" xfId="59200"/>
    <cellStyle name="Обычный 4 6 3 4 2 3" xfId="59201"/>
    <cellStyle name="Обычный 4 6 3 4 2 4" xfId="59202"/>
    <cellStyle name="Обычный 4 6 3 4 3" xfId="59203"/>
    <cellStyle name="Обычный 4 6 3 4 3 2" xfId="59204"/>
    <cellStyle name="Обычный 4 6 3 4 3 2 2" xfId="59205"/>
    <cellStyle name="Обычный 4 6 3 4 3 3" xfId="59206"/>
    <cellStyle name="Обычный 4 6 3 4 4" xfId="59207"/>
    <cellStyle name="Обычный 4 6 3 4 4 2" xfId="59208"/>
    <cellStyle name="Обычный 4 6 3 4 5" xfId="59209"/>
    <cellStyle name="Обычный 4 6 3 4 6" xfId="59210"/>
    <cellStyle name="Обычный 4 6 3 4 7" xfId="59211"/>
    <cellStyle name="Обычный 4 6 3 4 8" xfId="59212"/>
    <cellStyle name="Обычный 4 6 3 4 9" xfId="59213"/>
    <cellStyle name="Обычный 4 6 3 5" xfId="59214"/>
    <cellStyle name="Обычный 4 6 3 5 2" xfId="59215"/>
    <cellStyle name="Обычный 4 6 3 5 2 2" xfId="59216"/>
    <cellStyle name="Обычный 4 6 3 5 2 2 2" xfId="59217"/>
    <cellStyle name="Обычный 4 6 3 5 2 3" xfId="59218"/>
    <cellStyle name="Обычный 4 6 3 5 2 4" xfId="59219"/>
    <cellStyle name="Обычный 4 6 3 5 3" xfId="59220"/>
    <cellStyle name="Обычный 4 6 3 5 3 2" xfId="59221"/>
    <cellStyle name="Обычный 4 6 3 5 3 2 2" xfId="59222"/>
    <cellStyle name="Обычный 4 6 3 5 3 3" xfId="59223"/>
    <cellStyle name="Обычный 4 6 3 5 4" xfId="59224"/>
    <cellStyle name="Обычный 4 6 3 5 4 2" xfId="59225"/>
    <cellStyle name="Обычный 4 6 3 5 5" xfId="59226"/>
    <cellStyle name="Обычный 4 6 3 5 6" xfId="59227"/>
    <cellStyle name="Обычный 4 6 3 5 7" xfId="59228"/>
    <cellStyle name="Обычный 4 6 3 5 8" xfId="59229"/>
    <cellStyle name="Обычный 4 6 3 5 9" xfId="59230"/>
    <cellStyle name="Обычный 4 6 3 6" xfId="59231"/>
    <cellStyle name="Обычный 4 6 3 6 2" xfId="59232"/>
    <cellStyle name="Обычный 4 6 3 6 2 2" xfId="59233"/>
    <cellStyle name="Обычный 4 6 3 6 3" xfId="59234"/>
    <cellStyle name="Обычный 4 6 3 6 4" xfId="59235"/>
    <cellStyle name="Обычный 4 6 3 7" xfId="59236"/>
    <cellStyle name="Обычный 4 6 3 7 2" xfId="59237"/>
    <cellStyle name="Обычный 4 6 3 7 2 2" xfId="59238"/>
    <cellStyle name="Обычный 4 6 3 7 3" xfId="59239"/>
    <cellStyle name="Обычный 4 6 3 8" xfId="59240"/>
    <cellStyle name="Обычный 4 6 3 8 2" xfId="59241"/>
    <cellStyle name="Обычный 4 6 3 9" xfId="59242"/>
    <cellStyle name="Обычный 4 6 4" xfId="59243"/>
    <cellStyle name="Обычный 4 6 4 10" xfId="59244"/>
    <cellStyle name="Обычный 4 6 4 11" xfId="59245"/>
    <cellStyle name="Обычный 4 6 4 12" xfId="59246"/>
    <cellStyle name="Обычный 4 6 4 2" xfId="59247"/>
    <cellStyle name="Обычный 4 6 4 2 2" xfId="59248"/>
    <cellStyle name="Обычный 4 6 4 2 2 2" xfId="59249"/>
    <cellStyle name="Обычный 4 6 4 2 2 2 2" xfId="59250"/>
    <cellStyle name="Обычный 4 6 4 2 2 3" xfId="59251"/>
    <cellStyle name="Обычный 4 6 4 2 2 4" xfId="59252"/>
    <cellStyle name="Обычный 4 6 4 2 3" xfId="59253"/>
    <cellStyle name="Обычный 4 6 4 2 3 2" xfId="59254"/>
    <cellStyle name="Обычный 4 6 4 2 3 2 2" xfId="59255"/>
    <cellStyle name="Обычный 4 6 4 2 3 3" xfId="59256"/>
    <cellStyle name="Обычный 4 6 4 2 4" xfId="59257"/>
    <cellStyle name="Обычный 4 6 4 2 4 2" xfId="59258"/>
    <cellStyle name="Обычный 4 6 4 2 5" xfId="59259"/>
    <cellStyle name="Обычный 4 6 4 2 6" xfId="59260"/>
    <cellStyle name="Обычный 4 6 4 2 7" xfId="59261"/>
    <cellStyle name="Обычный 4 6 4 2 8" xfId="59262"/>
    <cellStyle name="Обычный 4 6 4 2 9" xfId="59263"/>
    <cellStyle name="Обычный 4 6 4 3" xfId="59264"/>
    <cellStyle name="Обычный 4 6 4 3 2" xfId="59265"/>
    <cellStyle name="Обычный 4 6 4 3 2 2" xfId="59266"/>
    <cellStyle name="Обычный 4 6 4 3 2 2 2" xfId="59267"/>
    <cellStyle name="Обычный 4 6 4 3 2 3" xfId="59268"/>
    <cellStyle name="Обычный 4 6 4 3 2 4" xfId="59269"/>
    <cellStyle name="Обычный 4 6 4 3 3" xfId="59270"/>
    <cellStyle name="Обычный 4 6 4 3 3 2" xfId="59271"/>
    <cellStyle name="Обычный 4 6 4 3 3 2 2" xfId="59272"/>
    <cellStyle name="Обычный 4 6 4 3 3 3" xfId="59273"/>
    <cellStyle name="Обычный 4 6 4 3 4" xfId="59274"/>
    <cellStyle name="Обычный 4 6 4 3 4 2" xfId="59275"/>
    <cellStyle name="Обычный 4 6 4 3 5" xfId="59276"/>
    <cellStyle name="Обычный 4 6 4 3 6" xfId="59277"/>
    <cellStyle name="Обычный 4 6 4 3 7" xfId="59278"/>
    <cellStyle name="Обычный 4 6 4 3 8" xfId="59279"/>
    <cellStyle name="Обычный 4 6 4 3 9" xfId="59280"/>
    <cellStyle name="Обычный 4 6 4 4" xfId="59281"/>
    <cellStyle name="Обычный 4 6 4 4 2" xfId="59282"/>
    <cellStyle name="Обычный 4 6 4 4 2 2" xfId="59283"/>
    <cellStyle name="Обычный 4 6 4 4 2 2 2" xfId="59284"/>
    <cellStyle name="Обычный 4 6 4 4 2 3" xfId="59285"/>
    <cellStyle name="Обычный 4 6 4 4 2 4" xfId="59286"/>
    <cellStyle name="Обычный 4 6 4 4 3" xfId="59287"/>
    <cellStyle name="Обычный 4 6 4 4 3 2" xfId="59288"/>
    <cellStyle name="Обычный 4 6 4 4 3 2 2" xfId="59289"/>
    <cellStyle name="Обычный 4 6 4 4 3 3" xfId="59290"/>
    <cellStyle name="Обычный 4 6 4 4 4" xfId="59291"/>
    <cellStyle name="Обычный 4 6 4 4 4 2" xfId="59292"/>
    <cellStyle name="Обычный 4 6 4 4 5" xfId="59293"/>
    <cellStyle name="Обычный 4 6 4 4 6" xfId="59294"/>
    <cellStyle name="Обычный 4 6 4 4 7" xfId="59295"/>
    <cellStyle name="Обычный 4 6 4 4 8" xfId="59296"/>
    <cellStyle name="Обычный 4 6 4 4 9" xfId="59297"/>
    <cellStyle name="Обычный 4 6 4 5" xfId="59298"/>
    <cellStyle name="Обычный 4 6 4 5 2" xfId="59299"/>
    <cellStyle name="Обычный 4 6 4 5 2 2" xfId="59300"/>
    <cellStyle name="Обычный 4 6 4 5 3" xfId="59301"/>
    <cellStyle name="Обычный 4 6 4 5 4" xfId="59302"/>
    <cellStyle name="Обычный 4 6 4 6" xfId="59303"/>
    <cellStyle name="Обычный 4 6 4 6 2" xfId="59304"/>
    <cellStyle name="Обычный 4 6 4 6 2 2" xfId="59305"/>
    <cellStyle name="Обычный 4 6 4 6 3" xfId="59306"/>
    <cellStyle name="Обычный 4 6 4 7" xfId="59307"/>
    <cellStyle name="Обычный 4 6 4 7 2" xfId="59308"/>
    <cellStyle name="Обычный 4 6 4 8" xfId="59309"/>
    <cellStyle name="Обычный 4 6 4 9" xfId="59310"/>
    <cellStyle name="Обычный 4 6 5" xfId="59311"/>
    <cellStyle name="Обычный 4 6 5 2" xfId="59312"/>
    <cellStyle name="Обычный 4 6 5 2 2" xfId="59313"/>
    <cellStyle name="Обычный 4 6 5 2 2 2" xfId="59314"/>
    <cellStyle name="Обычный 4 6 5 2 3" xfId="59315"/>
    <cellStyle name="Обычный 4 6 5 2 4" xfId="59316"/>
    <cellStyle name="Обычный 4 6 5 3" xfId="59317"/>
    <cellStyle name="Обычный 4 6 5 3 2" xfId="59318"/>
    <cellStyle name="Обычный 4 6 5 3 2 2" xfId="59319"/>
    <cellStyle name="Обычный 4 6 5 3 3" xfId="59320"/>
    <cellStyle name="Обычный 4 6 5 4" xfId="59321"/>
    <cellStyle name="Обычный 4 6 5 4 2" xfId="59322"/>
    <cellStyle name="Обычный 4 6 5 5" xfId="59323"/>
    <cellStyle name="Обычный 4 6 5 6" xfId="59324"/>
    <cellStyle name="Обычный 4 6 5 7" xfId="59325"/>
    <cellStyle name="Обычный 4 6 5 8" xfId="59326"/>
    <cellStyle name="Обычный 4 6 5 9" xfId="59327"/>
    <cellStyle name="Обычный 4 6 6" xfId="59328"/>
    <cellStyle name="Обычный 4 6 6 2" xfId="59329"/>
    <cellStyle name="Обычный 4 6 6 2 2" xfId="59330"/>
    <cellStyle name="Обычный 4 6 6 2 2 2" xfId="59331"/>
    <cellStyle name="Обычный 4 6 6 2 3" xfId="59332"/>
    <cellStyle name="Обычный 4 6 6 2 4" xfId="59333"/>
    <cellStyle name="Обычный 4 6 6 3" xfId="59334"/>
    <cellStyle name="Обычный 4 6 6 3 2" xfId="59335"/>
    <cellStyle name="Обычный 4 6 6 3 2 2" xfId="59336"/>
    <cellStyle name="Обычный 4 6 6 3 3" xfId="59337"/>
    <cellStyle name="Обычный 4 6 6 4" xfId="59338"/>
    <cellStyle name="Обычный 4 6 6 4 2" xfId="59339"/>
    <cellStyle name="Обычный 4 6 6 5" xfId="59340"/>
    <cellStyle name="Обычный 4 6 6 6" xfId="59341"/>
    <cellStyle name="Обычный 4 6 6 7" xfId="59342"/>
    <cellStyle name="Обычный 4 6 6 8" xfId="59343"/>
    <cellStyle name="Обычный 4 6 6 9" xfId="59344"/>
    <cellStyle name="Обычный 4 6 7" xfId="59345"/>
    <cellStyle name="Обычный 4 6 7 2" xfId="59346"/>
    <cellStyle name="Обычный 4 6 7 2 2" xfId="59347"/>
    <cellStyle name="Обычный 4 6 7 2 2 2" xfId="59348"/>
    <cellStyle name="Обычный 4 6 7 2 3" xfId="59349"/>
    <cellStyle name="Обычный 4 6 7 2 4" xfId="59350"/>
    <cellStyle name="Обычный 4 6 7 3" xfId="59351"/>
    <cellStyle name="Обычный 4 6 7 3 2" xfId="59352"/>
    <cellStyle name="Обычный 4 6 7 3 2 2" xfId="59353"/>
    <cellStyle name="Обычный 4 6 7 3 3" xfId="59354"/>
    <cellStyle name="Обычный 4 6 7 4" xfId="59355"/>
    <cellStyle name="Обычный 4 6 7 4 2" xfId="59356"/>
    <cellStyle name="Обычный 4 6 7 5" xfId="59357"/>
    <cellStyle name="Обычный 4 6 7 6" xfId="59358"/>
    <cellStyle name="Обычный 4 6 7 7" xfId="59359"/>
    <cellStyle name="Обычный 4 6 7 8" xfId="59360"/>
    <cellStyle name="Обычный 4 6 7 9" xfId="59361"/>
    <cellStyle name="Обычный 4 6 8" xfId="59362"/>
    <cellStyle name="Обычный 4 6 8 2" xfId="59363"/>
    <cellStyle name="Обычный 4 6 8 2 2" xfId="59364"/>
    <cellStyle name="Обычный 4 6 8 3" xfId="59365"/>
    <cellStyle name="Обычный 4 6 8 4" xfId="59366"/>
    <cellStyle name="Обычный 4 6 9" xfId="59367"/>
    <cellStyle name="Обычный 4 6 9 2" xfId="59368"/>
    <cellStyle name="Обычный 4 6 9 2 2" xfId="59369"/>
    <cellStyle name="Обычный 4 6 9 3" xfId="59370"/>
    <cellStyle name="Обычный 4 6_март 2012" xfId="59371"/>
    <cellStyle name="Обычный 4 7" xfId="59372"/>
    <cellStyle name="Обычный 4 7 10" xfId="59373"/>
    <cellStyle name="Обычный 4 7 10 2" xfId="59374"/>
    <cellStyle name="Обычный 4 7 11" xfId="59375"/>
    <cellStyle name="Обычный 4 7 12" xfId="59376"/>
    <cellStyle name="Обычный 4 7 13" xfId="59377"/>
    <cellStyle name="Обычный 4 7 14" xfId="59378"/>
    <cellStyle name="Обычный 4 7 15" xfId="59379"/>
    <cellStyle name="Обычный 4 7 2" xfId="59380"/>
    <cellStyle name="Обычный 4 7 2 10" xfId="59381"/>
    <cellStyle name="Обычный 4 7 2 11" xfId="59382"/>
    <cellStyle name="Обычный 4 7 2 12" xfId="59383"/>
    <cellStyle name="Обычный 4 7 2 13" xfId="59384"/>
    <cellStyle name="Обычный 4 7 2 2" xfId="59385"/>
    <cellStyle name="Обычный 4 7 2 2 10" xfId="59386"/>
    <cellStyle name="Обычный 4 7 2 2 11" xfId="59387"/>
    <cellStyle name="Обычный 4 7 2 2 12" xfId="59388"/>
    <cellStyle name="Обычный 4 7 2 2 2" xfId="59389"/>
    <cellStyle name="Обычный 4 7 2 2 2 2" xfId="59390"/>
    <cellStyle name="Обычный 4 7 2 2 2 2 2" xfId="59391"/>
    <cellStyle name="Обычный 4 7 2 2 2 2 2 2" xfId="59392"/>
    <cellStyle name="Обычный 4 7 2 2 2 2 3" xfId="59393"/>
    <cellStyle name="Обычный 4 7 2 2 2 2 4" xfId="59394"/>
    <cellStyle name="Обычный 4 7 2 2 2 3" xfId="59395"/>
    <cellStyle name="Обычный 4 7 2 2 2 3 2" xfId="59396"/>
    <cellStyle name="Обычный 4 7 2 2 2 3 2 2" xfId="59397"/>
    <cellStyle name="Обычный 4 7 2 2 2 3 3" xfId="59398"/>
    <cellStyle name="Обычный 4 7 2 2 2 4" xfId="59399"/>
    <cellStyle name="Обычный 4 7 2 2 2 4 2" xfId="59400"/>
    <cellStyle name="Обычный 4 7 2 2 2 5" xfId="59401"/>
    <cellStyle name="Обычный 4 7 2 2 2 6" xfId="59402"/>
    <cellStyle name="Обычный 4 7 2 2 2 7" xfId="59403"/>
    <cellStyle name="Обычный 4 7 2 2 2 8" xfId="59404"/>
    <cellStyle name="Обычный 4 7 2 2 2 9" xfId="59405"/>
    <cellStyle name="Обычный 4 7 2 2 3" xfId="59406"/>
    <cellStyle name="Обычный 4 7 2 2 3 2" xfId="59407"/>
    <cellStyle name="Обычный 4 7 2 2 3 2 2" xfId="59408"/>
    <cellStyle name="Обычный 4 7 2 2 3 2 2 2" xfId="59409"/>
    <cellStyle name="Обычный 4 7 2 2 3 2 3" xfId="59410"/>
    <cellStyle name="Обычный 4 7 2 2 3 2 4" xfId="59411"/>
    <cellStyle name="Обычный 4 7 2 2 3 3" xfId="59412"/>
    <cellStyle name="Обычный 4 7 2 2 3 3 2" xfId="59413"/>
    <cellStyle name="Обычный 4 7 2 2 3 3 2 2" xfId="59414"/>
    <cellStyle name="Обычный 4 7 2 2 3 3 3" xfId="59415"/>
    <cellStyle name="Обычный 4 7 2 2 3 4" xfId="59416"/>
    <cellStyle name="Обычный 4 7 2 2 3 4 2" xfId="59417"/>
    <cellStyle name="Обычный 4 7 2 2 3 5" xfId="59418"/>
    <cellStyle name="Обычный 4 7 2 2 3 6" xfId="59419"/>
    <cellStyle name="Обычный 4 7 2 2 3 7" xfId="59420"/>
    <cellStyle name="Обычный 4 7 2 2 3 8" xfId="59421"/>
    <cellStyle name="Обычный 4 7 2 2 3 9" xfId="59422"/>
    <cellStyle name="Обычный 4 7 2 2 4" xfId="59423"/>
    <cellStyle name="Обычный 4 7 2 2 4 2" xfId="59424"/>
    <cellStyle name="Обычный 4 7 2 2 4 2 2" xfId="59425"/>
    <cellStyle name="Обычный 4 7 2 2 4 2 2 2" xfId="59426"/>
    <cellStyle name="Обычный 4 7 2 2 4 2 3" xfId="59427"/>
    <cellStyle name="Обычный 4 7 2 2 4 2 4" xfId="59428"/>
    <cellStyle name="Обычный 4 7 2 2 4 3" xfId="59429"/>
    <cellStyle name="Обычный 4 7 2 2 4 3 2" xfId="59430"/>
    <cellStyle name="Обычный 4 7 2 2 4 3 2 2" xfId="59431"/>
    <cellStyle name="Обычный 4 7 2 2 4 3 3" xfId="59432"/>
    <cellStyle name="Обычный 4 7 2 2 4 4" xfId="59433"/>
    <cellStyle name="Обычный 4 7 2 2 4 4 2" xfId="59434"/>
    <cellStyle name="Обычный 4 7 2 2 4 5" xfId="59435"/>
    <cellStyle name="Обычный 4 7 2 2 4 6" xfId="59436"/>
    <cellStyle name="Обычный 4 7 2 2 4 7" xfId="59437"/>
    <cellStyle name="Обычный 4 7 2 2 4 8" xfId="59438"/>
    <cellStyle name="Обычный 4 7 2 2 4 9" xfId="59439"/>
    <cellStyle name="Обычный 4 7 2 2 5" xfId="59440"/>
    <cellStyle name="Обычный 4 7 2 2 5 2" xfId="59441"/>
    <cellStyle name="Обычный 4 7 2 2 5 2 2" xfId="59442"/>
    <cellStyle name="Обычный 4 7 2 2 5 3" xfId="59443"/>
    <cellStyle name="Обычный 4 7 2 2 5 4" xfId="59444"/>
    <cellStyle name="Обычный 4 7 2 2 6" xfId="59445"/>
    <cellStyle name="Обычный 4 7 2 2 6 2" xfId="59446"/>
    <cellStyle name="Обычный 4 7 2 2 6 2 2" xfId="59447"/>
    <cellStyle name="Обычный 4 7 2 2 6 3" xfId="59448"/>
    <cellStyle name="Обычный 4 7 2 2 7" xfId="59449"/>
    <cellStyle name="Обычный 4 7 2 2 7 2" xfId="59450"/>
    <cellStyle name="Обычный 4 7 2 2 8" xfId="59451"/>
    <cellStyle name="Обычный 4 7 2 2 9" xfId="59452"/>
    <cellStyle name="Обычный 4 7 2 3" xfId="59453"/>
    <cellStyle name="Обычный 4 7 2 3 2" xfId="59454"/>
    <cellStyle name="Обычный 4 7 2 3 2 2" xfId="59455"/>
    <cellStyle name="Обычный 4 7 2 3 2 2 2" xfId="59456"/>
    <cellStyle name="Обычный 4 7 2 3 2 3" xfId="59457"/>
    <cellStyle name="Обычный 4 7 2 3 2 4" xfId="59458"/>
    <cellStyle name="Обычный 4 7 2 3 3" xfId="59459"/>
    <cellStyle name="Обычный 4 7 2 3 3 2" xfId="59460"/>
    <cellStyle name="Обычный 4 7 2 3 3 2 2" xfId="59461"/>
    <cellStyle name="Обычный 4 7 2 3 3 3" xfId="59462"/>
    <cellStyle name="Обычный 4 7 2 3 4" xfId="59463"/>
    <cellStyle name="Обычный 4 7 2 3 4 2" xfId="59464"/>
    <cellStyle name="Обычный 4 7 2 3 5" xfId="59465"/>
    <cellStyle name="Обычный 4 7 2 3 6" xfId="59466"/>
    <cellStyle name="Обычный 4 7 2 3 7" xfId="59467"/>
    <cellStyle name="Обычный 4 7 2 3 8" xfId="59468"/>
    <cellStyle name="Обычный 4 7 2 3 9" xfId="59469"/>
    <cellStyle name="Обычный 4 7 2 4" xfId="59470"/>
    <cellStyle name="Обычный 4 7 2 4 2" xfId="59471"/>
    <cellStyle name="Обычный 4 7 2 4 2 2" xfId="59472"/>
    <cellStyle name="Обычный 4 7 2 4 2 2 2" xfId="59473"/>
    <cellStyle name="Обычный 4 7 2 4 2 3" xfId="59474"/>
    <cellStyle name="Обычный 4 7 2 4 2 4" xfId="59475"/>
    <cellStyle name="Обычный 4 7 2 4 3" xfId="59476"/>
    <cellStyle name="Обычный 4 7 2 4 3 2" xfId="59477"/>
    <cellStyle name="Обычный 4 7 2 4 3 2 2" xfId="59478"/>
    <cellStyle name="Обычный 4 7 2 4 3 3" xfId="59479"/>
    <cellStyle name="Обычный 4 7 2 4 4" xfId="59480"/>
    <cellStyle name="Обычный 4 7 2 4 4 2" xfId="59481"/>
    <cellStyle name="Обычный 4 7 2 4 5" xfId="59482"/>
    <cellStyle name="Обычный 4 7 2 4 6" xfId="59483"/>
    <cellStyle name="Обычный 4 7 2 4 7" xfId="59484"/>
    <cellStyle name="Обычный 4 7 2 4 8" xfId="59485"/>
    <cellStyle name="Обычный 4 7 2 4 9" xfId="59486"/>
    <cellStyle name="Обычный 4 7 2 5" xfId="59487"/>
    <cellStyle name="Обычный 4 7 2 5 2" xfId="59488"/>
    <cellStyle name="Обычный 4 7 2 5 2 2" xfId="59489"/>
    <cellStyle name="Обычный 4 7 2 5 2 2 2" xfId="59490"/>
    <cellStyle name="Обычный 4 7 2 5 2 3" xfId="59491"/>
    <cellStyle name="Обычный 4 7 2 5 2 4" xfId="59492"/>
    <cellStyle name="Обычный 4 7 2 5 3" xfId="59493"/>
    <cellStyle name="Обычный 4 7 2 5 3 2" xfId="59494"/>
    <cellStyle name="Обычный 4 7 2 5 3 2 2" xfId="59495"/>
    <cellStyle name="Обычный 4 7 2 5 3 3" xfId="59496"/>
    <cellStyle name="Обычный 4 7 2 5 4" xfId="59497"/>
    <cellStyle name="Обычный 4 7 2 5 4 2" xfId="59498"/>
    <cellStyle name="Обычный 4 7 2 5 5" xfId="59499"/>
    <cellStyle name="Обычный 4 7 2 5 6" xfId="59500"/>
    <cellStyle name="Обычный 4 7 2 5 7" xfId="59501"/>
    <cellStyle name="Обычный 4 7 2 5 8" xfId="59502"/>
    <cellStyle name="Обычный 4 7 2 5 9" xfId="59503"/>
    <cellStyle name="Обычный 4 7 2 6" xfId="59504"/>
    <cellStyle name="Обычный 4 7 2 6 2" xfId="59505"/>
    <cellStyle name="Обычный 4 7 2 6 2 2" xfId="59506"/>
    <cellStyle name="Обычный 4 7 2 6 3" xfId="59507"/>
    <cellStyle name="Обычный 4 7 2 6 4" xfId="59508"/>
    <cellStyle name="Обычный 4 7 2 7" xfId="59509"/>
    <cellStyle name="Обычный 4 7 2 7 2" xfId="59510"/>
    <cellStyle name="Обычный 4 7 2 7 2 2" xfId="59511"/>
    <cellStyle name="Обычный 4 7 2 7 3" xfId="59512"/>
    <cellStyle name="Обычный 4 7 2 8" xfId="59513"/>
    <cellStyle name="Обычный 4 7 2 8 2" xfId="59514"/>
    <cellStyle name="Обычный 4 7 2 9" xfId="59515"/>
    <cellStyle name="Обычный 4 7 3" xfId="59516"/>
    <cellStyle name="Обычный 4 7 3 10" xfId="59517"/>
    <cellStyle name="Обычный 4 7 3 11" xfId="59518"/>
    <cellStyle name="Обычный 4 7 3 12" xfId="59519"/>
    <cellStyle name="Обычный 4 7 3 13" xfId="59520"/>
    <cellStyle name="Обычный 4 7 3 2" xfId="59521"/>
    <cellStyle name="Обычный 4 7 3 2 10" xfId="59522"/>
    <cellStyle name="Обычный 4 7 3 2 11" xfId="59523"/>
    <cellStyle name="Обычный 4 7 3 2 12" xfId="59524"/>
    <cellStyle name="Обычный 4 7 3 2 2" xfId="59525"/>
    <cellStyle name="Обычный 4 7 3 2 2 2" xfId="59526"/>
    <cellStyle name="Обычный 4 7 3 2 2 2 2" xfId="59527"/>
    <cellStyle name="Обычный 4 7 3 2 2 2 2 2" xfId="59528"/>
    <cellStyle name="Обычный 4 7 3 2 2 2 3" xfId="59529"/>
    <cellStyle name="Обычный 4 7 3 2 2 2 4" xfId="59530"/>
    <cellStyle name="Обычный 4 7 3 2 2 3" xfId="59531"/>
    <cellStyle name="Обычный 4 7 3 2 2 3 2" xfId="59532"/>
    <cellStyle name="Обычный 4 7 3 2 2 3 2 2" xfId="59533"/>
    <cellStyle name="Обычный 4 7 3 2 2 3 3" xfId="59534"/>
    <cellStyle name="Обычный 4 7 3 2 2 4" xfId="59535"/>
    <cellStyle name="Обычный 4 7 3 2 2 4 2" xfId="59536"/>
    <cellStyle name="Обычный 4 7 3 2 2 5" xfId="59537"/>
    <cellStyle name="Обычный 4 7 3 2 2 6" xfId="59538"/>
    <cellStyle name="Обычный 4 7 3 2 2 7" xfId="59539"/>
    <cellStyle name="Обычный 4 7 3 2 2 8" xfId="59540"/>
    <cellStyle name="Обычный 4 7 3 2 2 9" xfId="59541"/>
    <cellStyle name="Обычный 4 7 3 2 3" xfId="59542"/>
    <cellStyle name="Обычный 4 7 3 2 3 2" xfId="59543"/>
    <cellStyle name="Обычный 4 7 3 2 3 2 2" xfId="59544"/>
    <cellStyle name="Обычный 4 7 3 2 3 2 2 2" xfId="59545"/>
    <cellStyle name="Обычный 4 7 3 2 3 2 3" xfId="59546"/>
    <cellStyle name="Обычный 4 7 3 2 3 2 4" xfId="59547"/>
    <cellStyle name="Обычный 4 7 3 2 3 3" xfId="59548"/>
    <cellStyle name="Обычный 4 7 3 2 3 3 2" xfId="59549"/>
    <cellStyle name="Обычный 4 7 3 2 3 3 2 2" xfId="59550"/>
    <cellStyle name="Обычный 4 7 3 2 3 3 3" xfId="59551"/>
    <cellStyle name="Обычный 4 7 3 2 3 4" xfId="59552"/>
    <cellStyle name="Обычный 4 7 3 2 3 4 2" xfId="59553"/>
    <cellStyle name="Обычный 4 7 3 2 3 5" xfId="59554"/>
    <cellStyle name="Обычный 4 7 3 2 3 6" xfId="59555"/>
    <cellStyle name="Обычный 4 7 3 2 3 7" xfId="59556"/>
    <cellStyle name="Обычный 4 7 3 2 3 8" xfId="59557"/>
    <cellStyle name="Обычный 4 7 3 2 3 9" xfId="59558"/>
    <cellStyle name="Обычный 4 7 3 2 4" xfId="59559"/>
    <cellStyle name="Обычный 4 7 3 2 4 2" xfId="59560"/>
    <cellStyle name="Обычный 4 7 3 2 4 2 2" xfId="59561"/>
    <cellStyle name="Обычный 4 7 3 2 4 2 2 2" xfId="59562"/>
    <cellStyle name="Обычный 4 7 3 2 4 2 3" xfId="59563"/>
    <cellStyle name="Обычный 4 7 3 2 4 2 4" xfId="59564"/>
    <cellStyle name="Обычный 4 7 3 2 4 3" xfId="59565"/>
    <cellStyle name="Обычный 4 7 3 2 4 3 2" xfId="59566"/>
    <cellStyle name="Обычный 4 7 3 2 4 3 2 2" xfId="59567"/>
    <cellStyle name="Обычный 4 7 3 2 4 3 3" xfId="59568"/>
    <cellStyle name="Обычный 4 7 3 2 4 4" xfId="59569"/>
    <cellStyle name="Обычный 4 7 3 2 4 4 2" xfId="59570"/>
    <cellStyle name="Обычный 4 7 3 2 4 5" xfId="59571"/>
    <cellStyle name="Обычный 4 7 3 2 4 6" xfId="59572"/>
    <cellStyle name="Обычный 4 7 3 2 4 7" xfId="59573"/>
    <cellStyle name="Обычный 4 7 3 2 4 8" xfId="59574"/>
    <cellStyle name="Обычный 4 7 3 2 4 9" xfId="59575"/>
    <cellStyle name="Обычный 4 7 3 2 5" xfId="59576"/>
    <cellStyle name="Обычный 4 7 3 2 5 2" xfId="59577"/>
    <cellStyle name="Обычный 4 7 3 2 5 2 2" xfId="59578"/>
    <cellStyle name="Обычный 4 7 3 2 5 3" xfId="59579"/>
    <cellStyle name="Обычный 4 7 3 2 5 4" xfId="59580"/>
    <cellStyle name="Обычный 4 7 3 2 6" xfId="59581"/>
    <cellStyle name="Обычный 4 7 3 2 6 2" xfId="59582"/>
    <cellStyle name="Обычный 4 7 3 2 6 2 2" xfId="59583"/>
    <cellStyle name="Обычный 4 7 3 2 6 3" xfId="59584"/>
    <cellStyle name="Обычный 4 7 3 2 7" xfId="59585"/>
    <cellStyle name="Обычный 4 7 3 2 7 2" xfId="59586"/>
    <cellStyle name="Обычный 4 7 3 2 8" xfId="59587"/>
    <cellStyle name="Обычный 4 7 3 2 9" xfId="59588"/>
    <cellStyle name="Обычный 4 7 3 3" xfId="59589"/>
    <cellStyle name="Обычный 4 7 3 3 2" xfId="59590"/>
    <cellStyle name="Обычный 4 7 3 3 2 2" xfId="59591"/>
    <cellStyle name="Обычный 4 7 3 3 2 2 2" xfId="59592"/>
    <cellStyle name="Обычный 4 7 3 3 2 3" xfId="59593"/>
    <cellStyle name="Обычный 4 7 3 3 2 4" xfId="59594"/>
    <cellStyle name="Обычный 4 7 3 3 3" xfId="59595"/>
    <cellStyle name="Обычный 4 7 3 3 3 2" xfId="59596"/>
    <cellStyle name="Обычный 4 7 3 3 3 2 2" xfId="59597"/>
    <cellStyle name="Обычный 4 7 3 3 3 3" xfId="59598"/>
    <cellStyle name="Обычный 4 7 3 3 4" xfId="59599"/>
    <cellStyle name="Обычный 4 7 3 3 4 2" xfId="59600"/>
    <cellStyle name="Обычный 4 7 3 3 5" xfId="59601"/>
    <cellStyle name="Обычный 4 7 3 3 6" xfId="59602"/>
    <cellStyle name="Обычный 4 7 3 3 7" xfId="59603"/>
    <cellStyle name="Обычный 4 7 3 3 8" xfId="59604"/>
    <cellStyle name="Обычный 4 7 3 3 9" xfId="59605"/>
    <cellStyle name="Обычный 4 7 3 4" xfId="59606"/>
    <cellStyle name="Обычный 4 7 3 4 2" xfId="59607"/>
    <cellStyle name="Обычный 4 7 3 4 2 2" xfId="59608"/>
    <cellStyle name="Обычный 4 7 3 4 2 2 2" xfId="59609"/>
    <cellStyle name="Обычный 4 7 3 4 2 3" xfId="59610"/>
    <cellStyle name="Обычный 4 7 3 4 2 4" xfId="59611"/>
    <cellStyle name="Обычный 4 7 3 4 3" xfId="59612"/>
    <cellStyle name="Обычный 4 7 3 4 3 2" xfId="59613"/>
    <cellStyle name="Обычный 4 7 3 4 3 2 2" xfId="59614"/>
    <cellStyle name="Обычный 4 7 3 4 3 3" xfId="59615"/>
    <cellStyle name="Обычный 4 7 3 4 4" xfId="59616"/>
    <cellStyle name="Обычный 4 7 3 4 4 2" xfId="59617"/>
    <cellStyle name="Обычный 4 7 3 4 5" xfId="59618"/>
    <cellStyle name="Обычный 4 7 3 4 6" xfId="59619"/>
    <cellStyle name="Обычный 4 7 3 4 7" xfId="59620"/>
    <cellStyle name="Обычный 4 7 3 4 8" xfId="59621"/>
    <cellStyle name="Обычный 4 7 3 4 9" xfId="59622"/>
    <cellStyle name="Обычный 4 7 3 5" xfId="59623"/>
    <cellStyle name="Обычный 4 7 3 5 2" xfId="59624"/>
    <cellStyle name="Обычный 4 7 3 5 2 2" xfId="59625"/>
    <cellStyle name="Обычный 4 7 3 5 2 2 2" xfId="59626"/>
    <cellStyle name="Обычный 4 7 3 5 2 3" xfId="59627"/>
    <cellStyle name="Обычный 4 7 3 5 2 4" xfId="59628"/>
    <cellStyle name="Обычный 4 7 3 5 3" xfId="59629"/>
    <cellStyle name="Обычный 4 7 3 5 3 2" xfId="59630"/>
    <cellStyle name="Обычный 4 7 3 5 3 2 2" xfId="59631"/>
    <cellStyle name="Обычный 4 7 3 5 3 3" xfId="59632"/>
    <cellStyle name="Обычный 4 7 3 5 4" xfId="59633"/>
    <cellStyle name="Обычный 4 7 3 5 4 2" xfId="59634"/>
    <cellStyle name="Обычный 4 7 3 5 5" xfId="59635"/>
    <cellStyle name="Обычный 4 7 3 5 6" xfId="59636"/>
    <cellStyle name="Обычный 4 7 3 5 7" xfId="59637"/>
    <cellStyle name="Обычный 4 7 3 5 8" xfId="59638"/>
    <cellStyle name="Обычный 4 7 3 5 9" xfId="59639"/>
    <cellStyle name="Обычный 4 7 3 6" xfId="59640"/>
    <cellStyle name="Обычный 4 7 3 6 2" xfId="59641"/>
    <cellStyle name="Обычный 4 7 3 6 2 2" xfId="59642"/>
    <cellStyle name="Обычный 4 7 3 6 3" xfId="59643"/>
    <cellStyle name="Обычный 4 7 3 6 4" xfId="59644"/>
    <cellStyle name="Обычный 4 7 3 7" xfId="59645"/>
    <cellStyle name="Обычный 4 7 3 7 2" xfId="59646"/>
    <cellStyle name="Обычный 4 7 3 7 2 2" xfId="59647"/>
    <cellStyle name="Обычный 4 7 3 7 3" xfId="59648"/>
    <cellStyle name="Обычный 4 7 3 8" xfId="59649"/>
    <cellStyle name="Обычный 4 7 3 8 2" xfId="59650"/>
    <cellStyle name="Обычный 4 7 3 9" xfId="59651"/>
    <cellStyle name="Обычный 4 7 4" xfId="59652"/>
    <cellStyle name="Обычный 4 7 4 10" xfId="59653"/>
    <cellStyle name="Обычный 4 7 4 11" xfId="59654"/>
    <cellStyle name="Обычный 4 7 4 12" xfId="59655"/>
    <cellStyle name="Обычный 4 7 4 2" xfId="59656"/>
    <cellStyle name="Обычный 4 7 4 2 2" xfId="59657"/>
    <cellStyle name="Обычный 4 7 4 2 2 2" xfId="59658"/>
    <cellStyle name="Обычный 4 7 4 2 2 2 2" xfId="59659"/>
    <cellStyle name="Обычный 4 7 4 2 2 3" xfId="59660"/>
    <cellStyle name="Обычный 4 7 4 2 2 4" xfId="59661"/>
    <cellStyle name="Обычный 4 7 4 2 3" xfId="59662"/>
    <cellStyle name="Обычный 4 7 4 2 3 2" xfId="59663"/>
    <cellStyle name="Обычный 4 7 4 2 3 2 2" xfId="59664"/>
    <cellStyle name="Обычный 4 7 4 2 3 3" xfId="59665"/>
    <cellStyle name="Обычный 4 7 4 2 4" xfId="59666"/>
    <cellStyle name="Обычный 4 7 4 2 4 2" xfId="59667"/>
    <cellStyle name="Обычный 4 7 4 2 5" xfId="59668"/>
    <cellStyle name="Обычный 4 7 4 2 6" xfId="59669"/>
    <cellStyle name="Обычный 4 7 4 2 7" xfId="59670"/>
    <cellStyle name="Обычный 4 7 4 2 8" xfId="59671"/>
    <cellStyle name="Обычный 4 7 4 2 9" xfId="59672"/>
    <cellStyle name="Обычный 4 7 4 3" xfId="59673"/>
    <cellStyle name="Обычный 4 7 4 3 2" xfId="59674"/>
    <cellStyle name="Обычный 4 7 4 3 2 2" xfId="59675"/>
    <cellStyle name="Обычный 4 7 4 3 2 2 2" xfId="59676"/>
    <cellStyle name="Обычный 4 7 4 3 2 3" xfId="59677"/>
    <cellStyle name="Обычный 4 7 4 3 2 4" xfId="59678"/>
    <cellStyle name="Обычный 4 7 4 3 3" xfId="59679"/>
    <cellStyle name="Обычный 4 7 4 3 3 2" xfId="59680"/>
    <cellStyle name="Обычный 4 7 4 3 3 2 2" xfId="59681"/>
    <cellStyle name="Обычный 4 7 4 3 3 3" xfId="59682"/>
    <cellStyle name="Обычный 4 7 4 3 4" xfId="59683"/>
    <cellStyle name="Обычный 4 7 4 3 4 2" xfId="59684"/>
    <cellStyle name="Обычный 4 7 4 3 5" xfId="59685"/>
    <cellStyle name="Обычный 4 7 4 3 6" xfId="59686"/>
    <cellStyle name="Обычный 4 7 4 3 7" xfId="59687"/>
    <cellStyle name="Обычный 4 7 4 3 8" xfId="59688"/>
    <cellStyle name="Обычный 4 7 4 3 9" xfId="59689"/>
    <cellStyle name="Обычный 4 7 4 4" xfId="59690"/>
    <cellStyle name="Обычный 4 7 4 4 2" xfId="59691"/>
    <cellStyle name="Обычный 4 7 4 4 2 2" xfId="59692"/>
    <cellStyle name="Обычный 4 7 4 4 2 2 2" xfId="59693"/>
    <cellStyle name="Обычный 4 7 4 4 2 3" xfId="59694"/>
    <cellStyle name="Обычный 4 7 4 4 2 4" xfId="59695"/>
    <cellStyle name="Обычный 4 7 4 4 3" xfId="59696"/>
    <cellStyle name="Обычный 4 7 4 4 3 2" xfId="59697"/>
    <cellStyle name="Обычный 4 7 4 4 3 2 2" xfId="59698"/>
    <cellStyle name="Обычный 4 7 4 4 3 3" xfId="59699"/>
    <cellStyle name="Обычный 4 7 4 4 4" xfId="59700"/>
    <cellStyle name="Обычный 4 7 4 4 4 2" xfId="59701"/>
    <cellStyle name="Обычный 4 7 4 4 5" xfId="59702"/>
    <cellStyle name="Обычный 4 7 4 4 6" xfId="59703"/>
    <cellStyle name="Обычный 4 7 4 4 7" xfId="59704"/>
    <cellStyle name="Обычный 4 7 4 4 8" xfId="59705"/>
    <cellStyle name="Обычный 4 7 4 4 9" xfId="59706"/>
    <cellStyle name="Обычный 4 7 4 5" xfId="59707"/>
    <cellStyle name="Обычный 4 7 4 5 2" xfId="59708"/>
    <cellStyle name="Обычный 4 7 4 5 2 2" xfId="59709"/>
    <cellStyle name="Обычный 4 7 4 5 3" xfId="59710"/>
    <cellStyle name="Обычный 4 7 4 5 4" xfId="59711"/>
    <cellStyle name="Обычный 4 7 4 6" xfId="59712"/>
    <cellStyle name="Обычный 4 7 4 6 2" xfId="59713"/>
    <cellStyle name="Обычный 4 7 4 6 2 2" xfId="59714"/>
    <cellStyle name="Обычный 4 7 4 6 3" xfId="59715"/>
    <cellStyle name="Обычный 4 7 4 7" xfId="59716"/>
    <cellStyle name="Обычный 4 7 4 7 2" xfId="59717"/>
    <cellStyle name="Обычный 4 7 4 8" xfId="59718"/>
    <cellStyle name="Обычный 4 7 4 9" xfId="59719"/>
    <cellStyle name="Обычный 4 7 5" xfId="59720"/>
    <cellStyle name="Обычный 4 7 5 2" xfId="59721"/>
    <cellStyle name="Обычный 4 7 5 2 2" xfId="59722"/>
    <cellStyle name="Обычный 4 7 5 2 2 2" xfId="59723"/>
    <cellStyle name="Обычный 4 7 5 2 3" xfId="59724"/>
    <cellStyle name="Обычный 4 7 5 2 4" xfId="59725"/>
    <cellStyle name="Обычный 4 7 5 3" xfId="59726"/>
    <cellStyle name="Обычный 4 7 5 3 2" xfId="59727"/>
    <cellStyle name="Обычный 4 7 5 3 2 2" xfId="59728"/>
    <cellStyle name="Обычный 4 7 5 3 3" xfId="59729"/>
    <cellStyle name="Обычный 4 7 5 4" xfId="59730"/>
    <cellStyle name="Обычный 4 7 5 4 2" xfId="59731"/>
    <cellStyle name="Обычный 4 7 5 5" xfId="59732"/>
    <cellStyle name="Обычный 4 7 5 6" xfId="59733"/>
    <cellStyle name="Обычный 4 7 5 7" xfId="59734"/>
    <cellStyle name="Обычный 4 7 5 8" xfId="59735"/>
    <cellStyle name="Обычный 4 7 5 9" xfId="59736"/>
    <cellStyle name="Обычный 4 7 6" xfId="59737"/>
    <cellStyle name="Обычный 4 7 6 2" xfId="59738"/>
    <cellStyle name="Обычный 4 7 6 2 2" xfId="59739"/>
    <cellStyle name="Обычный 4 7 6 2 2 2" xfId="59740"/>
    <cellStyle name="Обычный 4 7 6 2 3" xfId="59741"/>
    <cellStyle name="Обычный 4 7 6 2 4" xfId="59742"/>
    <cellStyle name="Обычный 4 7 6 3" xfId="59743"/>
    <cellStyle name="Обычный 4 7 6 3 2" xfId="59744"/>
    <cellStyle name="Обычный 4 7 6 3 2 2" xfId="59745"/>
    <cellStyle name="Обычный 4 7 6 3 3" xfId="59746"/>
    <cellStyle name="Обычный 4 7 6 4" xfId="59747"/>
    <cellStyle name="Обычный 4 7 6 4 2" xfId="59748"/>
    <cellStyle name="Обычный 4 7 6 5" xfId="59749"/>
    <cellStyle name="Обычный 4 7 6 6" xfId="59750"/>
    <cellStyle name="Обычный 4 7 6 7" xfId="59751"/>
    <cellStyle name="Обычный 4 7 6 8" xfId="59752"/>
    <cellStyle name="Обычный 4 7 6 9" xfId="59753"/>
    <cellStyle name="Обычный 4 7 7" xfId="59754"/>
    <cellStyle name="Обычный 4 7 7 2" xfId="59755"/>
    <cellStyle name="Обычный 4 7 7 2 2" xfId="59756"/>
    <cellStyle name="Обычный 4 7 7 2 2 2" xfId="59757"/>
    <cellStyle name="Обычный 4 7 7 2 3" xfId="59758"/>
    <cellStyle name="Обычный 4 7 7 2 4" xfId="59759"/>
    <cellStyle name="Обычный 4 7 7 3" xfId="59760"/>
    <cellStyle name="Обычный 4 7 7 3 2" xfId="59761"/>
    <cellStyle name="Обычный 4 7 7 3 2 2" xfId="59762"/>
    <cellStyle name="Обычный 4 7 7 3 3" xfId="59763"/>
    <cellStyle name="Обычный 4 7 7 4" xfId="59764"/>
    <cellStyle name="Обычный 4 7 7 4 2" xfId="59765"/>
    <cellStyle name="Обычный 4 7 7 5" xfId="59766"/>
    <cellStyle name="Обычный 4 7 7 6" xfId="59767"/>
    <cellStyle name="Обычный 4 7 7 7" xfId="59768"/>
    <cellStyle name="Обычный 4 7 7 8" xfId="59769"/>
    <cellStyle name="Обычный 4 7 7 9" xfId="59770"/>
    <cellStyle name="Обычный 4 7 8" xfId="59771"/>
    <cellStyle name="Обычный 4 7 8 2" xfId="59772"/>
    <cellStyle name="Обычный 4 7 8 2 2" xfId="59773"/>
    <cellStyle name="Обычный 4 7 8 3" xfId="59774"/>
    <cellStyle name="Обычный 4 7 8 4" xfId="59775"/>
    <cellStyle name="Обычный 4 7 9" xfId="59776"/>
    <cellStyle name="Обычный 4 7 9 2" xfId="59777"/>
    <cellStyle name="Обычный 4 7 9 2 2" xfId="59778"/>
    <cellStyle name="Обычный 4 7 9 3" xfId="59779"/>
    <cellStyle name="Обычный 4 7_март 2012" xfId="59780"/>
    <cellStyle name="Обычный 4 8" xfId="59781"/>
    <cellStyle name="Обычный 4 8 10" xfId="59782"/>
    <cellStyle name="Обычный 4 8 10 2" xfId="59783"/>
    <cellStyle name="Обычный 4 8 11" xfId="59784"/>
    <cellStyle name="Обычный 4 8 12" xfId="59785"/>
    <cellStyle name="Обычный 4 8 13" xfId="59786"/>
    <cellStyle name="Обычный 4 8 14" xfId="59787"/>
    <cellStyle name="Обычный 4 8 15" xfId="59788"/>
    <cellStyle name="Обычный 4 8 2" xfId="59789"/>
    <cellStyle name="Обычный 4 8 2 10" xfId="59790"/>
    <cellStyle name="Обычный 4 8 2 11" xfId="59791"/>
    <cellStyle name="Обычный 4 8 2 12" xfId="59792"/>
    <cellStyle name="Обычный 4 8 2 13" xfId="59793"/>
    <cellStyle name="Обычный 4 8 2 2" xfId="59794"/>
    <cellStyle name="Обычный 4 8 2 2 10" xfId="59795"/>
    <cellStyle name="Обычный 4 8 2 2 11" xfId="59796"/>
    <cellStyle name="Обычный 4 8 2 2 12" xfId="59797"/>
    <cellStyle name="Обычный 4 8 2 2 2" xfId="59798"/>
    <cellStyle name="Обычный 4 8 2 2 2 2" xfId="59799"/>
    <cellStyle name="Обычный 4 8 2 2 2 2 2" xfId="59800"/>
    <cellStyle name="Обычный 4 8 2 2 2 2 2 2" xfId="59801"/>
    <cellStyle name="Обычный 4 8 2 2 2 2 3" xfId="59802"/>
    <cellStyle name="Обычный 4 8 2 2 2 2 4" xfId="59803"/>
    <cellStyle name="Обычный 4 8 2 2 2 3" xfId="59804"/>
    <cellStyle name="Обычный 4 8 2 2 2 3 2" xfId="59805"/>
    <cellStyle name="Обычный 4 8 2 2 2 3 2 2" xfId="59806"/>
    <cellStyle name="Обычный 4 8 2 2 2 3 3" xfId="59807"/>
    <cellStyle name="Обычный 4 8 2 2 2 4" xfId="59808"/>
    <cellStyle name="Обычный 4 8 2 2 2 4 2" xfId="59809"/>
    <cellStyle name="Обычный 4 8 2 2 2 5" xfId="59810"/>
    <cellStyle name="Обычный 4 8 2 2 2 6" xfId="59811"/>
    <cellStyle name="Обычный 4 8 2 2 2 7" xfId="59812"/>
    <cellStyle name="Обычный 4 8 2 2 2 8" xfId="59813"/>
    <cellStyle name="Обычный 4 8 2 2 2 9" xfId="59814"/>
    <cellStyle name="Обычный 4 8 2 2 3" xfId="59815"/>
    <cellStyle name="Обычный 4 8 2 2 3 2" xfId="59816"/>
    <cellStyle name="Обычный 4 8 2 2 3 2 2" xfId="59817"/>
    <cellStyle name="Обычный 4 8 2 2 3 2 2 2" xfId="59818"/>
    <cellStyle name="Обычный 4 8 2 2 3 2 3" xfId="59819"/>
    <cellStyle name="Обычный 4 8 2 2 3 2 4" xfId="59820"/>
    <cellStyle name="Обычный 4 8 2 2 3 3" xfId="59821"/>
    <cellStyle name="Обычный 4 8 2 2 3 3 2" xfId="59822"/>
    <cellStyle name="Обычный 4 8 2 2 3 3 2 2" xfId="59823"/>
    <cellStyle name="Обычный 4 8 2 2 3 3 3" xfId="59824"/>
    <cellStyle name="Обычный 4 8 2 2 3 4" xfId="59825"/>
    <cellStyle name="Обычный 4 8 2 2 3 4 2" xfId="59826"/>
    <cellStyle name="Обычный 4 8 2 2 3 5" xfId="59827"/>
    <cellStyle name="Обычный 4 8 2 2 3 6" xfId="59828"/>
    <cellStyle name="Обычный 4 8 2 2 3 7" xfId="59829"/>
    <cellStyle name="Обычный 4 8 2 2 3 8" xfId="59830"/>
    <cellStyle name="Обычный 4 8 2 2 3 9" xfId="59831"/>
    <cellStyle name="Обычный 4 8 2 2 4" xfId="59832"/>
    <cellStyle name="Обычный 4 8 2 2 4 2" xfId="59833"/>
    <cellStyle name="Обычный 4 8 2 2 4 2 2" xfId="59834"/>
    <cellStyle name="Обычный 4 8 2 2 4 2 2 2" xfId="59835"/>
    <cellStyle name="Обычный 4 8 2 2 4 2 3" xfId="59836"/>
    <cellStyle name="Обычный 4 8 2 2 4 2 4" xfId="59837"/>
    <cellStyle name="Обычный 4 8 2 2 4 3" xfId="59838"/>
    <cellStyle name="Обычный 4 8 2 2 4 3 2" xfId="59839"/>
    <cellStyle name="Обычный 4 8 2 2 4 3 2 2" xfId="59840"/>
    <cellStyle name="Обычный 4 8 2 2 4 3 3" xfId="59841"/>
    <cellStyle name="Обычный 4 8 2 2 4 4" xfId="59842"/>
    <cellStyle name="Обычный 4 8 2 2 4 4 2" xfId="59843"/>
    <cellStyle name="Обычный 4 8 2 2 4 5" xfId="59844"/>
    <cellStyle name="Обычный 4 8 2 2 4 6" xfId="59845"/>
    <cellStyle name="Обычный 4 8 2 2 4 7" xfId="59846"/>
    <cellStyle name="Обычный 4 8 2 2 4 8" xfId="59847"/>
    <cellStyle name="Обычный 4 8 2 2 4 9" xfId="59848"/>
    <cellStyle name="Обычный 4 8 2 2 5" xfId="59849"/>
    <cellStyle name="Обычный 4 8 2 2 5 2" xfId="59850"/>
    <cellStyle name="Обычный 4 8 2 2 5 2 2" xfId="59851"/>
    <cellStyle name="Обычный 4 8 2 2 5 3" xfId="59852"/>
    <cellStyle name="Обычный 4 8 2 2 5 4" xfId="59853"/>
    <cellStyle name="Обычный 4 8 2 2 6" xfId="59854"/>
    <cellStyle name="Обычный 4 8 2 2 6 2" xfId="59855"/>
    <cellStyle name="Обычный 4 8 2 2 6 2 2" xfId="59856"/>
    <cellStyle name="Обычный 4 8 2 2 6 3" xfId="59857"/>
    <cellStyle name="Обычный 4 8 2 2 7" xfId="59858"/>
    <cellStyle name="Обычный 4 8 2 2 7 2" xfId="59859"/>
    <cellStyle name="Обычный 4 8 2 2 8" xfId="59860"/>
    <cellStyle name="Обычный 4 8 2 2 9" xfId="59861"/>
    <cellStyle name="Обычный 4 8 2 3" xfId="59862"/>
    <cellStyle name="Обычный 4 8 2 3 2" xfId="59863"/>
    <cellStyle name="Обычный 4 8 2 3 2 2" xfId="59864"/>
    <cellStyle name="Обычный 4 8 2 3 2 2 2" xfId="59865"/>
    <cellStyle name="Обычный 4 8 2 3 2 3" xfId="59866"/>
    <cellStyle name="Обычный 4 8 2 3 2 4" xfId="59867"/>
    <cellStyle name="Обычный 4 8 2 3 3" xfId="59868"/>
    <cellStyle name="Обычный 4 8 2 3 3 2" xfId="59869"/>
    <cellStyle name="Обычный 4 8 2 3 3 2 2" xfId="59870"/>
    <cellStyle name="Обычный 4 8 2 3 3 3" xfId="59871"/>
    <cellStyle name="Обычный 4 8 2 3 4" xfId="59872"/>
    <cellStyle name="Обычный 4 8 2 3 4 2" xfId="59873"/>
    <cellStyle name="Обычный 4 8 2 3 5" xfId="59874"/>
    <cellStyle name="Обычный 4 8 2 3 6" xfId="59875"/>
    <cellStyle name="Обычный 4 8 2 3 7" xfId="59876"/>
    <cellStyle name="Обычный 4 8 2 3 8" xfId="59877"/>
    <cellStyle name="Обычный 4 8 2 3 9" xfId="59878"/>
    <cellStyle name="Обычный 4 8 2 4" xfId="59879"/>
    <cellStyle name="Обычный 4 8 2 4 2" xfId="59880"/>
    <cellStyle name="Обычный 4 8 2 4 2 2" xfId="59881"/>
    <cellStyle name="Обычный 4 8 2 4 2 2 2" xfId="59882"/>
    <cellStyle name="Обычный 4 8 2 4 2 3" xfId="59883"/>
    <cellStyle name="Обычный 4 8 2 4 2 4" xfId="59884"/>
    <cellStyle name="Обычный 4 8 2 4 3" xfId="59885"/>
    <cellStyle name="Обычный 4 8 2 4 3 2" xfId="59886"/>
    <cellStyle name="Обычный 4 8 2 4 3 2 2" xfId="59887"/>
    <cellStyle name="Обычный 4 8 2 4 3 3" xfId="59888"/>
    <cellStyle name="Обычный 4 8 2 4 4" xfId="59889"/>
    <cellStyle name="Обычный 4 8 2 4 4 2" xfId="59890"/>
    <cellStyle name="Обычный 4 8 2 4 5" xfId="59891"/>
    <cellStyle name="Обычный 4 8 2 4 6" xfId="59892"/>
    <cellStyle name="Обычный 4 8 2 4 7" xfId="59893"/>
    <cellStyle name="Обычный 4 8 2 4 8" xfId="59894"/>
    <cellStyle name="Обычный 4 8 2 4 9" xfId="59895"/>
    <cellStyle name="Обычный 4 8 2 5" xfId="59896"/>
    <cellStyle name="Обычный 4 8 2 5 2" xfId="59897"/>
    <cellStyle name="Обычный 4 8 2 5 2 2" xfId="59898"/>
    <cellStyle name="Обычный 4 8 2 5 2 2 2" xfId="59899"/>
    <cellStyle name="Обычный 4 8 2 5 2 3" xfId="59900"/>
    <cellStyle name="Обычный 4 8 2 5 2 4" xfId="59901"/>
    <cellStyle name="Обычный 4 8 2 5 3" xfId="59902"/>
    <cellStyle name="Обычный 4 8 2 5 3 2" xfId="59903"/>
    <cellStyle name="Обычный 4 8 2 5 3 2 2" xfId="59904"/>
    <cellStyle name="Обычный 4 8 2 5 3 3" xfId="59905"/>
    <cellStyle name="Обычный 4 8 2 5 4" xfId="59906"/>
    <cellStyle name="Обычный 4 8 2 5 4 2" xfId="59907"/>
    <cellStyle name="Обычный 4 8 2 5 5" xfId="59908"/>
    <cellStyle name="Обычный 4 8 2 5 6" xfId="59909"/>
    <cellStyle name="Обычный 4 8 2 5 7" xfId="59910"/>
    <cellStyle name="Обычный 4 8 2 5 8" xfId="59911"/>
    <cellStyle name="Обычный 4 8 2 5 9" xfId="59912"/>
    <cellStyle name="Обычный 4 8 2 6" xfId="59913"/>
    <cellStyle name="Обычный 4 8 2 6 2" xfId="59914"/>
    <cellStyle name="Обычный 4 8 2 6 2 2" xfId="59915"/>
    <cellStyle name="Обычный 4 8 2 6 3" xfId="59916"/>
    <cellStyle name="Обычный 4 8 2 6 4" xfId="59917"/>
    <cellStyle name="Обычный 4 8 2 7" xfId="59918"/>
    <cellStyle name="Обычный 4 8 2 7 2" xfId="59919"/>
    <cellStyle name="Обычный 4 8 2 7 2 2" xfId="59920"/>
    <cellStyle name="Обычный 4 8 2 7 3" xfId="59921"/>
    <cellStyle name="Обычный 4 8 2 8" xfId="59922"/>
    <cellStyle name="Обычный 4 8 2 8 2" xfId="59923"/>
    <cellStyle name="Обычный 4 8 2 9" xfId="59924"/>
    <cellStyle name="Обычный 4 8 3" xfId="59925"/>
    <cellStyle name="Обычный 4 8 3 10" xfId="59926"/>
    <cellStyle name="Обычный 4 8 3 11" xfId="59927"/>
    <cellStyle name="Обычный 4 8 3 12" xfId="59928"/>
    <cellStyle name="Обычный 4 8 3 13" xfId="59929"/>
    <cellStyle name="Обычный 4 8 3 2" xfId="59930"/>
    <cellStyle name="Обычный 4 8 3 2 10" xfId="59931"/>
    <cellStyle name="Обычный 4 8 3 2 11" xfId="59932"/>
    <cellStyle name="Обычный 4 8 3 2 12" xfId="59933"/>
    <cellStyle name="Обычный 4 8 3 2 2" xfId="59934"/>
    <cellStyle name="Обычный 4 8 3 2 2 2" xfId="59935"/>
    <cellStyle name="Обычный 4 8 3 2 2 2 2" xfId="59936"/>
    <cellStyle name="Обычный 4 8 3 2 2 2 2 2" xfId="59937"/>
    <cellStyle name="Обычный 4 8 3 2 2 2 3" xfId="59938"/>
    <cellStyle name="Обычный 4 8 3 2 2 2 4" xfId="59939"/>
    <cellStyle name="Обычный 4 8 3 2 2 3" xfId="59940"/>
    <cellStyle name="Обычный 4 8 3 2 2 3 2" xfId="59941"/>
    <cellStyle name="Обычный 4 8 3 2 2 3 2 2" xfId="59942"/>
    <cellStyle name="Обычный 4 8 3 2 2 3 3" xfId="59943"/>
    <cellStyle name="Обычный 4 8 3 2 2 4" xfId="59944"/>
    <cellStyle name="Обычный 4 8 3 2 2 4 2" xfId="59945"/>
    <cellStyle name="Обычный 4 8 3 2 2 5" xfId="59946"/>
    <cellStyle name="Обычный 4 8 3 2 2 6" xfId="59947"/>
    <cellStyle name="Обычный 4 8 3 2 2 7" xfId="59948"/>
    <cellStyle name="Обычный 4 8 3 2 2 8" xfId="59949"/>
    <cellStyle name="Обычный 4 8 3 2 2 9" xfId="59950"/>
    <cellStyle name="Обычный 4 8 3 2 3" xfId="59951"/>
    <cellStyle name="Обычный 4 8 3 2 3 2" xfId="59952"/>
    <cellStyle name="Обычный 4 8 3 2 3 2 2" xfId="59953"/>
    <cellStyle name="Обычный 4 8 3 2 3 2 2 2" xfId="59954"/>
    <cellStyle name="Обычный 4 8 3 2 3 2 3" xfId="59955"/>
    <cellStyle name="Обычный 4 8 3 2 3 2 4" xfId="59956"/>
    <cellStyle name="Обычный 4 8 3 2 3 3" xfId="59957"/>
    <cellStyle name="Обычный 4 8 3 2 3 3 2" xfId="59958"/>
    <cellStyle name="Обычный 4 8 3 2 3 3 2 2" xfId="59959"/>
    <cellStyle name="Обычный 4 8 3 2 3 3 3" xfId="59960"/>
    <cellStyle name="Обычный 4 8 3 2 3 4" xfId="59961"/>
    <cellStyle name="Обычный 4 8 3 2 3 4 2" xfId="59962"/>
    <cellStyle name="Обычный 4 8 3 2 3 5" xfId="59963"/>
    <cellStyle name="Обычный 4 8 3 2 3 6" xfId="59964"/>
    <cellStyle name="Обычный 4 8 3 2 3 7" xfId="59965"/>
    <cellStyle name="Обычный 4 8 3 2 3 8" xfId="59966"/>
    <cellStyle name="Обычный 4 8 3 2 3 9" xfId="59967"/>
    <cellStyle name="Обычный 4 8 3 2 4" xfId="59968"/>
    <cellStyle name="Обычный 4 8 3 2 4 2" xfId="59969"/>
    <cellStyle name="Обычный 4 8 3 2 4 2 2" xfId="59970"/>
    <cellStyle name="Обычный 4 8 3 2 4 2 2 2" xfId="59971"/>
    <cellStyle name="Обычный 4 8 3 2 4 2 3" xfId="59972"/>
    <cellStyle name="Обычный 4 8 3 2 4 2 4" xfId="59973"/>
    <cellStyle name="Обычный 4 8 3 2 4 3" xfId="59974"/>
    <cellStyle name="Обычный 4 8 3 2 4 3 2" xfId="59975"/>
    <cellStyle name="Обычный 4 8 3 2 4 3 2 2" xfId="59976"/>
    <cellStyle name="Обычный 4 8 3 2 4 3 3" xfId="59977"/>
    <cellStyle name="Обычный 4 8 3 2 4 4" xfId="59978"/>
    <cellStyle name="Обычный 4 8 3 2 4 4 2" xfId="59979"/>
    <cellStyle name="Обычный 4 8 3 2 4 5" xfId="59980"/>
    <cellStyle name="Обычный 4 8 3 2 4 6" xfId="59981"/>
    <cellStyle name="Обычный 4 8 3 2 4 7" xfId="59982"/>
    <cellStyle name="Обычный 4 8 3 2 4 8" xfId="59983"/>
    <cellStyle name="Обычный 4 8 3 2 4 9" xfId="59984"/>
    <cellStyle name="Обычный 4 8 3 2 5" xfId="59985"/>
    <cellStyle name="Обычный 4 8 3 2 5 2" xfId="59986"/>
    <cellStyle name="Обычный 4 8 3 2 5 2 2" xfId="59987"/>
    <cellStyle name="Обычный 4 8 3 2 5 3" xfId="59988"/>
    <cellStyle name="Обычный 4 8 3 2 5 4" xfId="59989"/>
    <cellStyle name="Обычный 4 8 3 2 6" xfId="59990"/>
    <cellStyle name="Обычный 4 8 3 2 6 2" xfId="59991"/>
    <cellStyle name="Обычный 4 8 3 2 6 2 2" xfId="59992"/>
    <cellStyle name="Обычный 4 8 3 2 6 3" xfId="59993"/>
    <cellStyle name="Обычный 4 8 3 2 7" xfId="59994"/>
    <cellStyle name="Обычный 4 8 3 2 7 2" xfId="59995"/>
    <cellStyle name="Обычный 4 8 3 2 8" xfId="59996"/>
    <cellStyle name="Обычный 4 8 3 2 9" xfId="59997"/>
    <cellStyle name="Обычный 4 8 3 3" xfId="59998"/>
    <cellStyle name="Обычный 4 8 3 3 2" xfId="59999"/>
    <cellStyle name="Обычный 4 8 3 3 2 2" xfId="60000"/>
    <cellStyle name="Обычный 4 8 3 3 2 2 2" xfId="60001"/>
    <cellStyle name="Обычный 4 8 3 3 2 3" xfId="60002"/>
    <cellStyle name="Обычный 4 8 3 3 2 4" xfId="60003"/>
    <cellStyle name="Обычный 4 8 3 3 3" xfId="60004"/>
    <cellStyle name="Обычный 4 8 3 3 3 2" xfId="60005"/>
    <cellStyle name="Обычный 4 8 3 3 3 2 2" xfId="60006"/>
    <cellStyle name="Обычный 4 8 3 3 3 3" xfId="60007"/>
    <cellStyle name="Обычный 4 8 3 3 4" xfId="60008"/>
    <cellStyle name="Обычный 4 8 3 3 4 2" xfId="60009"/>
    <cellStyle name="Обычный 4 8 3 3 5" xfId="60010"/>
    <cellStyle name="Обычный 4 8 3 3 6" xfId="60011"/>
    <cellStyle name="Обычный 4 8 3 3 7" xfId="60012"/>
    <cellStyle name="Обычный 4 8 3 3 8" xfId="60013"/>
    <cellStyle name="Обычный 4 8 3 3 9" xfId="60014"/>
    <cellStyle name="Обычный 4 8 3 4" xfId="60015"/>
    <cellStyle name="Обычный 4 8 3 4 2" xfId="60016"/>
    <cellStyle name="Обычный 4 8 3 4 2 2" xfId="60017"/>
    <cellStyle name="Обычный 4 8 3 4 2 2 2" xfId="60018"/>
    <cellStyle name="Обычный 4 8 3 4 2 3" xfId="60019"/>
    <cellStyle name="Обычный 4 8 3 4 2 4" xfId="60020"/>
    <cellStyle name="Обычный 4 8 3 4 3" xfId="60021"/>
    <cellStyle name="Обычный 4 8 3 4 3 2" xfId="60022"/>
    <cellStyle name="Обычный 4 8 3 4 3 2 2" xfId="60023"/>
    <cellStyle name="Обычный 4 8 3 4 3 3" xfId="60024"/>
    <cellStyle name="Обычный 4 8 3 4 4" xfId="60025"/>
    <cellStyle name="Обычный 4 8 3 4 4 2" xfId="60026"/>
    <cellStyle name="Обычный 4 8 3 4 5" xfId="60027"/>
    <cellStyle name="Обычный 4 8 3 4 6" xfId="60028"/>
    <cellStyle name="Обычный 4 8 3 4 7" xfId="60029"/>
    <cellStyle name="Обычный 4 8 3 4 8" xfId="60030"/>
    <cellStyle name="Обычный 4 8 3 4 9" xfId="60031"/>
    <cellStyle name="Обычный 4 8 3 5" xfId="60032"/>
    <cellStyle name="Обычный 4 8 3 5 2" xfId="60033"/>
    <cellStyle name="Обычный 4 8 3 5 2 2" xfId="60034"/>
    <cellStyle name="Обычный 4 8 3 5 2 2 2" xfId="60035"/>
    <cellStyle name="Обычный 4 8 3 5 2 3" xfId="60036"/>
    <cellStyle name="Обычный 4 8 3 5 2 4" xfId="60037"/>
    <cellStyle name="Обычный 4 8 3 5 3" xfId="60038"/>
    <cellStyle name="Обычный 4 8 3 5 3 2" xfId="60039"/>
    <cellStyle name="Обычный 4 8 3 5 3 2 2" xfId="60040"/>
    <cellStyle name="Обычный 4 8 3 5 3 3" xfId="60041"/>
    <cellStyle name="Обычный 4 8 3 5 4" xfId="60042"/>
    <cellStyle name="Обычный 4 8 3 5 4 2" xfId="60043"/>
    <cellStyle name="Обычный 4 8 3 5 5" xfId="60044"/>
    <cellStyle name="Обычный 4 8 3 5 6" xfId="60045"/>
    <cellStyle name="Обычный 4 8 3 5 7" xfId="60046"/>
    <cellStyle name="Обычный 4 8 3 5 8" xfId="60047"/>
    <cellStyle name="Обычный 4 8 3 5 9" xfId="60048"/>
    <cellStyle name="Обычный 4 8 3 6" xfId="60049"/>
    <cellStyle name="Обычный 4 8 3 6 2" xfId="60050"/>
    <cellStyle name="Обычный 4 8 3 6 2 2" xfId="60051"/>
    <cellStyle name="Обычный 4 8 3 6 3" xfId="60052"/>
    <cellStyle name="Обычный 4 8 3 6 4" xfId="60053"/>
    <cellStyle name="Обычный 4 8 3 7" xfId="60054"/>
    <cellStyle name="Обычный 4 8 3 7 2" xfId="60055"/>
    <cellStyle name="Обычный 4 8 3 7 2 2" xfId="60056"/>
    <cellStyle name="Обычный 4 8 3 7 3" xfId="60057"/>
    <cellStyle name="Обычный 4 8 3 8" xfId="60058"/>
    <cellStyle name="Обычный 4 8 3 8 2" xfId="60059"/>
    <cellStyle name="Обычный 4 8 3 9" xfId="60060"/>
    <cellStyle name="Обычный 4 8 4" xfId="60061"/>
    <cellStyle name="Обычный 4 8 4 10" xfId="60062"/>
    <cellStyle name="Обычный 4 8 4 11" xfId="60063"/>
    <cellStyle name="Обычный 4 8 4 12" xfId="60064"/>
    <cellStyle name="Обычный 4 8 4 2" xfId="60065"/>
    <cellStyle name="Обычный 4 8 4 2 2" xfId="60066"/>
    <cellStyle name="Обычный 4 8 4 2 2 2" xfId="60067"/>
    <cellStyle name="Обычный 4 8 4 2 2 2 2" xfId="60068"/>
    <cellStyle name="Обычный 4 8 4 2 2 3" xfId="60069"/>
    <cellStyle name="Обычный 4 8 4 2 2 4" xfId="60070"/>
    <cellStyle name="Обычный 4 8 4 2 3" xfId="60071"/>
    <cellStyle name="Обычный 4 8 4 2 3 2" xfId="60072"/>
    <cellStyle name="Обычный 4 8 4 2 3 2 2" xfId="60073"/>
    <cellStyle name="Обычный 4 8 4 2 3 3" xfId="60074"/>
    <cellStyle name="Обычный 4 8 4 2 4" xfId="60075"/>
    <cellStyle name="Обычный 4 8 4 2 4 2" xfId="60076"/>
    <cellStyle name="Обычный 4 8 4 2 5" xfId="60077"/>
    <cellStyle name="Обычный 4 8 4 2 6" xfId="60078"/>
    <cellStyle name="Обычный 4 8 4 2 7" xfId="60079"/>
    <cellStyle name="Обычный 4 8 4 2 8" xfId="60080"/>
    <cellStyle name="Обычный 4 8 4 2 9" xfId="60081"/>
    <cellStyle name="Обычный 4 8 4 3" xfId="60082"/>
    <cellStyle name="Обычный 4 8 4 3 2" xfId="60083"/>
    <cellStyle name="Обычный 4 8 4 3 2 2" xfId="60084"/>
    <cellStyle name="Обычный 4 8 4 3 2 2 2" xfId="60085"/>
    <cellStyle name="Обычный 4 8 4 3 2 3" xfId="60086"/>
    <cellStyle name="Обычный 4 8 4 3 2 4" xfId="60087"/>
    <cellStyle name="Обычный 4 8 4 3 3" xfId="60088"/>
    <cellStyle name="Обычный 4 8 4 3 3 2" xfId="60089"/>
    <cellStyle name="Обычный 4 8 4 3 3 2 2" xfId="60090"/>
    <cellStyle name="Обычный 4 8 4 3 3 3" xfId="60091"/>
    <cellStyle name="Обычный 4 8 4 3 4" xfId="60092"/>
    <cellStyle name="Обычный 4 8 4 3 4 2" xfId="60093"/>
    <cellStyle name="Обычный 4 8 4 3 5" xfId="60094"/>
    <cellStyle name="Обычный 4 8 4 3 6" xfId="60095"/>
    <cellStyle name="Обычный 4 8 4 3 7" xfId="60096"/>
    <cellStyle name="Обычный 4 8 4 3 8" xfId="60097"/>
    <cellStyle name="Обычный 4 8 4 3 9" xfId="60098"/>
    <cellStyle name="Обычный 4 8 4 4" xfId="60099"/>
    <cellStyle name="Обычный 4 8 4 4 2" xfId="60100"/>
    <cellStyle name="Обычный 4 8 4 4 2 2" xfId="60101"/>
    <cellStyle name="Обычный 4 8 4 4 2 2 2" xfId="60102"/>
    <cellStyle name="Обычный 4 8 4 4 2 3" xfId="60103"/>
    <cellStyle name="Обычный 4 8 4 4 2 4" xfId="60104"/>
    <cellStyle name="Обычный 4 8 4 4 3" xfId="60105"/>
    <cellStyle name="Обычный 4 8 4 4 3 2" xfId="60106"/>
    <cellStyle name="Обычный 4 8 4 4 3 2 2" xfId="60107"/>
    <cellStyle name="Обычный 4 8 4 4 3 3" xfId="60108"/>
    <cellStyle name="Обычный 4 8 4 4 4" xfId="60109"/>
    <cellStyle name="Обычный 4 8 4 4 4 2" xfId="60110"/>
    <cellStyle name="Обычный 4 8 4 4 5" xfId="60111"/>
    <cellStyle name="Обычный 4 8 4 4 6" xfId="60112"/>
    <cellStyle name="Обычный 4 8 4 4 7" xfId="60113"/>
    <cellStyle name="Обычный 4 8 4 4 8" xfId="60114"/>
    <cellStyle name="Обычный 4 8 4 4 9" xfId="60115"/>
    <cellStyle name="Обычный 4 8 4 5" xfId="60116"/>
    <cellStyle name="Обычный 4 8 4 5 2" xfId="60117"/>
    <cellStyle name="Обычный 4 8 4 5 2 2" xfId="60118"/>
    <cellStyle name="Обычный 4 8 4 5 3" xfId="60119"/>
    <cellStyle name="Обычный 4 8 4 5 4" xfId="60120"/>
    <cellStyle name="Обычный 4 8 4 6" xfId="60121"/>
    <cellStyle name="Обычный 4 8 4 6 2" xfId="60122"/>
    <cellStyle name="Обычный 4 8 4 6 2 2" xfId="60123"/>
    <cellStyle name="Обычный 4 8 4 6 3" xfId="60124"/>
    <cellStyle name="Обычный 4 8 4 7" xfId="60125"/>
    <cellStyle name="Обычный 4 8 4 7 2" xfId="60126"/>
    <cellStyle name="Обычный 4 8 4 8" xfId="60127"/>
    <cellStyle name="Обычный 4 8 4 9" xfId="60128"/>
    <cellStyle name="Обычный 4 8 5" xfId="60129"/>
    <cellStyle name="Обычный 4 8 5 2" xfId="60130"/>
    <cellStyle name="Обычный 4 8 5 2 2" xfId="60131"/>
    <cellStyle name="Обычный 4 8 5 2 2 2" xfId="60132"/>
    <cellStyle name="Обычный 4 8 5 2 3" xfId="60133"/>
    <cellStyle name="Обычный 4 8 5 2 4" xfId="60134"/>
    <cellStyle name="Обычный 4 8 5 3" xfId="60135"/>
    <cellStyle name="Обычный 4 8 5 3 2" xfId="60136"/>
    <cellStyle name="Обычный 4 8 5 3 2 2" xfId="60137"/>
    <cellStyle name="Обычный 4 8 5 3 3" xfId="60138"/>
    <cellStyle name="Обычный 4 8 5 4" xfId="60139"/>
    <cellStyle name="Обычный 4 8 5 4 2" xfId="60140"/>
    <cellStyle name="Обычный 4 8 5 5" xfId="60141"/>
    <cellStyle name="Обычный 4 8 5 6" xfId="60142"/>
    <cellStyle name="Обычный 4 8 5 7" xfId="60143"/>
    <cellStyle name="Обычный 4 8 5 8" xfId="60144"/>
    <cellStyle name="Обычный 4 8 5 9" xfId="60145"/>
    <cellStyle name="Обычный 4 8 6" xfId="60146"/>
    <cellStyle name="Обычный 4 8 6 2" xfId="60147"/>
    <cellStyle name="Обычный 4 8 6 2 2" xfId="60148"/>
    <cellStyle name="Обычный 4 8 6 2 2 2" xfId="60149"/>
    <cellStyle name="Обычный 4 8 6 2 3" xfId="60150"/>
    <cellStyle name="Обычный 4 8 6 2 4" xfId="60151"/>
    <cellStyle name="Обычный 4 8 6 3" xfId="60152"/>
    <cellStyle name="Обычный 4 8 6 3 2" xfId="60153"/>
    <cellStyle name="Обычный 4 8 6 3 2 2" xfId="60154"/>
    <cellStyle name="Обычный 4 8 6 3 3" xfId="60155"/>
    <cellStyle name="Обычный 4 8 6 4" xfId="60156"/>
    <cellStyle name="Обычный 4 8 6 4 2" xfId="60157"/>
    <cellStyle name="Обычный 4 8 6 5" xfId="60158"/>
    <cellStyle name="Обычный 4 8 6 6" xfId="60159"/>
    <cellStyle name="Обычный 4 8 6 7" xfId="60160"/>
    <cellStyle name="Обычный 4 8 6 8" xfId="60161"/>
    <cellStyle name="Обычный 4 8 6 9" xfId="60162"/>
    <cellStyle name="Обычный 4 8 7" xfId="60163"/>
    <cellStyle name="Обычный 4 8 7 2" xfId="60164"/>
    <cellStyle name="Обычный 4 8 7 2 2" xfId="60165"/>
    <cellStyle name="Обычный 4 8 7 2 2 2" xfId="60166"/>
    <cellStyle name="Обычный 4 8 7 2 3" xfId="60167"/>
    <cellStyle name="Обычный 4 8 7 2 4" xfId="60168"/>
    <cellStyle name="Обычный 4 8 7 3" xfId="60169"/>
    <cellStyle name="Обычный 4 8 7 3 2" xfId="60170"/>
    <cellStyle name="Обычный 4 8 7 3 2 2" xfId="60171"/>
    <cellStyle name="Обычный 4 8 7 3 3" xfId="60172"/>
    <cellStyle name="Обычный 4 8 7 4" xfId="60173"/>
    <cellStyle name="Обычный 4 8 7 4 2" xfId="60174"/>
    <cellStyle name="Обычный 4 8 7 5" xfId="60175"/>
    <cellStyle name="Обычный 4 8 7 6" xfId="60176"/>
    <cellStyle name="Обычный 4 8 7 7" xfId="60177"/>
    <cellStyle name="Обычный 4 8 7 8" xfId="60178"/>
    <cellStyle name="Обычный 4 8 7 9" xfId="60179"/>
    <cellStyle name="Обычный 4 8 8" xfId="60180"/>
    <cellStyle name="Обычный 4 8 8 2" xfId="60181"/>
    <cellStyle name="Обычный 4 8 8 2 2" xfId="60182"/>
    <cellStyle name="Обычный 4 8 8 3" xfId="60183"/>
    <cellStyle name="Обычный 4 8 8 4" xfId="60184"/>
    <cellStyle name="Обычный 4 8 9" xfId="60185"/>
    <cellStyle name="Обычный 4 8 9 2" xfId="60186"/>
    <cellStyle name="Обычный 4 8 9 2 2" xfId="60187"/>
    <cellStyle name="Обычный 4 8 9 3" xfId="60188"/>
    <cellStyle name="Обычный 4 8_март 2012" xfId="60189"/>
    <cellStyle name="Обычный 4 9" xfId="60190"/>
    <cellStyle name="Обычный 4 9 10" xfId="60191"/>
    <cellStyle name="Обычный 4 9 11" xfId="60192"/>
    <cellStyle name="Обычный 4 9 12" xfId="60193"/>
    <cellStyle name="Обычный 4 9 13" xfId="60194"/>
    <cellStyle name="Обычный 4 9 2" xfId="60195"/>
    <cellStyle name="Обычный 4 9 2 10" xfId="60196"/>
    <cellStyle name="Обычный 4 9 2 11" xfId="60197"/>
    <cellStyle name="Обычный 4 9 2 12" xfId="60198"/>
    <cellStyle name="Обычный 4 9 2 2" xfId="60199"/>
    <cellStyle name="Обычный 4 9 2 2 2" xfId="60200"/>
    <cellStyle name="Обычный 4 9 2 2 2 2" xfId="60201"/>
    <cellStyle name="Обычный 4 9 2 2 2 2 2" xfId="60202"/>
    <cellStyle name="Обычный 4 9 2 2 2 3" xfId="60203"/>
    <cellStyle name="Обычный 4 9 2 2 2 4" xfId="60204"/>
    <cellStyle name="Обычный 4 9 2 2 3" xfId="60205"/>
    <cellStyle name="Обычный 4 9 2 2 3 2" xfId="60206"/>
    <cellStyle name="Обычный 4 9 2 2 3 2 2" xfId="60207"/>
    <cellStyle name="Обычный 4 9 2 2 3 3" xfId="60208"/>
    <cellStyle name="Обычный 4 9 2 2 4" xfId="60209"/>
    <cellStyle name="Обычный 4 9 2 2 4 2" xfId="60210"/>
    <cellStyle name="Обычный 4 9 2 2 5" xfId="60211"/>
    <cellStyle name="Обычный 4 9 2 2 6" xfId="60212"/>
    <cellStyle name="Обычный 4 9 2 2 7" xfId="60213"/>
    <cellStyle name="Обычный 4 9 2 2 8" xfId="60214"/>
    <cellStyle name="Обычный 4 9 2 2 9" xfId="60215"/>
    <cellStyle name="Обычный 4 9 2 3" xfId="60216"/>
    <cellStyle name="Обычный 4 9 2 3 2" xfId="60217"/>
    <cellStyle name="Обычный 4 9 2 3 2 2" xfId="60218"/>
    <cellStyle name="Обычный 4 9 2 3 2 2 2" xfId="60219"/>
    <cellStyle name="Обычный 4 9 2 3 2 3" xfId="60220"/>
    <cellStyle name="Обычный 4 9 2 3 2 4" xfId="60221"/>
    <cellStyle name="Обычный 4 9 2 3 3" xfId="60222"/>
    <cellStyle name="Обычный 4 9 2 3 3 2" xfId="60223"/>
    <cellStyle name="Обычный 4 9 2 3 3 2 2" xfId="60224"/>
    <cellStyle name="Обычный 4 9 2 3 3 3" xfId="60225"/>
    <cellStyle name="Обычный 4 9 2 3 4" xfId="60226"/>
    <cellStyle name="Обычный 4 9 2 3 4 2" xfId="60227"/>
    <cellStyle name="Обычный 4 9 2 3 5" xfId="60228"/>
    <cellStyle name="Обычный 4 9 2 3 6" xfId="60229"/>
    <cellStyle name="Обычный 4 9 2 3 7" xfId="60230"/>
    <cellStyle name="Обычный 4 9 2 3 8" xfId="60231"/>
    <cellStyle name="Обычный 4 9 2 3 9" xfId="60232"/>
    <cellStyle name="Обычный 4 9 2 4" xfId="60233"/>
    <cellStyle name="Обычный 4 9 2 4 2" xfId="60234"/>
    <cellStyle name="Обычный 4 9 2 4 2 2" xfId="60235"/>
    <cellStyle name="Обычный 4 9 2 4 2 2 2" xfId="60236"/>
    <cellStyle name="Обычный 4 9 2 4 2 3" xfId="60237"/>
    <cellStyle name="Обычный 4 9 2 4 2 4" xfId="60238"/>
    <cellStyle name="Обычный 4 9 2 4 3" xfId="60239"/>
    <cellStyle name="Обычный 4 9 2 4 3 2" xfId="60240"/>
    <cellStyle name="Обычный 4 9 2 4 3 2 2" xfId="60241"/>
    <cellStyle name="Обычный 4 9 2 4 3 3" xfId="60242"/>
    <cellStyle name="Обычный 4 9 2 4 4" xfId="60243"/>
    <cellStyle name="Обычный 4 9 2 4 4 2" xfId="60244"/>
    <cellStyle name="Обычный 4 9 2 4 5" xfId="60245"/>
    <cellStyle name="Обычный 4 9 2 4 6" xfId="60246"/>
    <cellStyle name="Обычный 4 9 2 4 7" xfId="60247"/>
    <cellStyle name="Обычный 4 9 2 4 8" xfId="60248"/>
    <cellStyle name="Обычный 4 9 2 4 9" xfId="60249"/>
    <cellStyle name="Обычный 4 9 2 5" xfId="60250"/>
    <cellStyle name="Обычный 4 9 2 5 2" xfId="60251"/>
    <cellStyle name="Обычный 4 9 2 5 2 2" xfId="60252"/>
    <cellStyle name="Обычный 4 9 2 5 3" xfId="60253"/>
    <cellStyle name="Обычный 4 9 2 5 4" xfId="60254"/>
    <cellStyle name="Обычный 4 9 2 6" xfId="60255"/>
    <cellStyle name="Обычный 4 9 2 6 2" xfId="60256"/>
    <cellStyle name="Обычный 4 9 2 6 2 2" xfId="60257"/>
    <cellStyle name="Обычный 4 9 2 6 3" xfId="60258"/>
    <cellStyle name="Обычный 4 9 2 7" xfId="60259"/>
    <cellStyle name="Обычный 4 9 2 7 2" xfId="60260"/>
    <cellStyle name="Обычный 4 9 2 8" xfId="60261"/>
    <cellStyle name="Обычный 4 9 2 9" xfId="60262"/>
    <cellStyle name="Обычный 4 9 3" xfId="60263"/>
    <cellStyle name="Обычный 4 9 3 2" xfId="60264"/>
    <cellStyle name="Обычный 4 9 3 2 2" xfId="60265"/>
    <cellStyle name="Обычный 4 9 3 2 2 2" xfId="60266"/>
    <cellStyle name="Обычный 4 9 3 2 3" xfId="60267"/>
    <cellStyle name="Обычный 4 9 3 2 4" xfId="60268"/>
    <cellStyle name="Обычный 4 9 3 3" xfId="60269"/>
    <cellStyle name="Обычный 4 9 3 3 2" xfId="60270"/>
    <cellStyle name="Обычный 4 9 3 3 2 2" xfId="60271"/>
    <cellStyle name="Обычный 4 9 3 3 3" xfId="60272"/>
    <cellStyle name="Обычный 4 9 3 4" xfId="60273"/>
    <cellStyle name="Обычный 4 9 3 4 2" xfId="60274"/>
    <cellStyle name="Обычный 4 9 3 5" xfId="60275"/>
    <cellStyle name="Обычный 4 9 3 6" xfId="60276"/>
    <cellStyle name="Обычный 4 9 3 7" xfId="60277"/>
    <cellStyle name="Обычный 4 9 3 8" xfId="60278"/>
    <cellStyle name="Обычный 4 9 3 9" xfId="60279"/>
    <cellStyle name="Обычный 4 9 4" xfId="60280"/>
    <cellStyle name="Обычный 4 9 4 2" xfId="60281"/>
    <cellStyle name="Обычный 4 9 4 2 2" xfId="60282"/>
    <cellStyle name="Обычный 4 9 4 2 2 2" xfId="60283"/>
    <cellStyle name="Обычный 4 9 4 2 3" xfId="60284"/>
    <cellStyle name="Обычный 4 9 4 2 4" xfId="60285"/>
    <cellStyle name="Обычный 4 9 4 3" xfId="60286"/>
    <cellStyle name="Обычный 4 9 4 3 2" xfId="60287"/>
    <cellStyle name="Обычный 4 9 4 3 2 2" xfId="60288"/>
    <cellStyle name="Обычный 4 9 4 3 3" xfId="60289"/>
    <cellStyle name="Обычный 4 9 4 4" xfId="60290"/>
    <cellStyle name="Обычный 4 9 4 4 2" xfId="60291"/>
    <cellStyle name="Обычный 4 9 4 5" xfId="60292"/>
    <cellStyle name="Обычный 4 9 4 6" xfId="60293"/>
    <cellStyle name="Обычный 4 9 4 7" xfId="60294"/>
    <cellStyle name="Обычный 4 9 4 8" xfId="60295"/>
    <cellStyle name="Обычный 4 9 4 9" xfId="60296"/>
    <cellStyle name="Обычный 4 9 5" xfId="60297"/>
    <cellStyle name="Обычный 4 9 5 2" xfId="60298"/>
    <cellStyle name="Обычный 4 9 5 2 2" xfId="60299"/>
    <cellStyle name="Обычный 4 9 5 2 2 2" xfId="60300"/>
    <cellStyle name="Обычный 4 9 5 2 3" xfId="60301"/>
    <cellStyle name="Обычный 4 9 5 2 4" xfId="60302"/>
    <cellStyle name="Обычный 4 9 5 3" xfId="60303"/>
    <cellStyle name="Обычный 4 9 5 3 2" xfId="60304"/>
    <cellStyle name="Обычный 4 9 5 3 2 2" xfId="60305"/>
    <cellStyle name="Обычный 4 9 5 3 3" xfId="60306"/>
    <cellStyle name="Обычный 4 9 5 4" xfId="60307"/>
    <cellStyle name="Обычный 4 9 5 4 2" xfId="60308"/>
    <cellStyle name="Обычный 4 9 5 5" xfId="60309"/>
    <cellStyle name="Обычный 4 9 5 6" xfId="60310"/>
    <cellStyle name="Обычный 4 9 5 7" xfId="60311"/>
    <cellStyle name="Обычный 4 9 5 8" xfId="60312"/>
    <cellStyle name="Обычный 4 9 5 9" xfId="60313"/>
    <cellStyle name="Обычный 4 9 6" xfId="60314"/>
    <cellStyle name="Обычный 4 9 6 2" xfId="60315"/>
    <cellStyle name="Обычный 4 9 6 2 2" xfId="60316"/>
    <cellStyle name="Обычный 4 9 6 3" xfId="60317"/>
    <cellStyle name="Обычный 4 9 6 4" xfId="60318"/>
    <cellStyle name="Обычный 4 9 7" xfId="60319"/>
    <cellStyle name="Обычный 4 9 7 2" xfId="60320"/>
    <cellStyle name="Обычный 4 9 7 2 2" xfId="60321"/>
    <cellStyle name="Обычный 4 9 7 3" xfId="60322"/>
    <cellStyle name="Обычный 4 9 8" xfId="60323"/>
    <cellStyle name="Обычный 4 9 8 2" xfId="60324"/>
    <cellStyle name="Обычный 4 9 9" xfId="60325"/>
    <cellStyle name="Обычный 4 9_Тарифы на июнь 2012 от 22.05.2012 с НДС" xfId="60326"/>
    <cellStyle name="Обычный 4_Калькуляции ДСФ" xfId="60327"/>
    <cellStyle name="Обычный 40" xfId="60328"/>
    <cellStyle name="Обычный 41" xfId="60329"/>
    <cellStyle name="Обычный 42" xfId="60330"/>
    <cellStyle name="Обычный 43" xfId="60331"/>
    <cellStyle name="Обычный 44" xfId="60332"/>
    <cellStyle name="Обычный 45" xfId="60333"/>
    <cellStyle name="Обычный 46" xfId="60334"/>
    <cellStyle name="Обычный 47" xfId="60335"/>
    <cellStyle name="Обычный 48" xfId="60336"/>
    <cellStyle name="Обычный 49" xfId="60337"/>
    <cellStyle name="Обычный 5" xfId="60338"/>
    <cellStyle name="Обычный 5 2" xfId="60339"/>
    <cellStyle name="Обычный 5 2 2" xfId="60340"/>
    <cellStyle name="Обычный 5 3" xfId="60341"/>
    <cellStyle name="Обычный 5 3 2" xfId="60342"/>
    <cellStyle name="Обычный 5 4" xfId="60343"/>
    <cellStyle name="Обычный 5 5" xfId="60344"/>
    <cellStyle name="Обычный 5 6" xfId="60345"/>
    <cellStyle name="Обычный 5_март 2012" xfId="60346"/>
    <cellStyle name="Обычный 50" xfId="60347"/>
    <cellStyle name="Обычный 51" xfId="60348"/>
    <cellStyle name="Обычный 52" xfId="60349"/>
    <cellStyle name="Обычный 53" xfId="60350"/>
    <cellStyle name="Обычный 54" xfId="60351"/>
    <cellStyle name="Обычный 55" xfId="60352"/>
    <cellStyle name="Обычный 6" xfId="60353"/>
    <cellStyle name="Обычный 6 10" xfId="60354"/>
    <cellStyle name="Обычный 6 10 2" xfId="60355"/>
    <cellStyle name="Обычный 6 11" xfId="60356"/>
    <cellStyle name="Обычный 6 12" xfId="60357"/>
    <cellStyle name="Обычный 6 13" xfId="60358"/>
    <cellStyle name="Обычный 6 14" xfId="60359"/>
    <cellStyle name="Обычный 6 15" xfId="60360"/>
    <cellStyle name="Обычный 6 2" xfId="60361"/>
    <cellStyle name="Обычный 6 2 10" xfId="60362"/>
    <cellStyle name="Обычный 6 2 11" xfId="60363"/>
    <cellStyle name="Обычный 6 2 12" xfId="60364"/>
    <cellStyle name="Обычный 6 2 13" xfId="60365"/>
    <cellStyle name="Обычный 6 2 2" xfId="60366"/>
    <cellStyle name="Обычный 6 2 2 10" xfId="60367"/>
    <cellStyle name="Обычный 6 2 2 11" xfId="60368"/>
    <cellStyle name="Обычный 6 2 2 12" xfId="60369"/>
    <cellStyle name="Обычный 6 2 2 2" xfId="60370"/>
    <cellStyle name="Обычный 6 2 2 2 2" xfId="60371"/>
    <cellStyle name="Обычный 6 2 2 2 2 2" xfId="60372"/>
    <cellStyle name="Обычный 6 2 2 2 2 2 2" xfId="60373"/>
    <cellStyle name="Обычный 6 2 2 2 2 3" xfId="60374"/>
    <cellStyle name="Обычный 6 2 2 2 2 4" xfId="60375"/>
    <cellStyle name="Обычный 6 2 2 2 3" xfId="60376"/>
    <cellStyle name="Обычный 6 2 2 2 3 2" xfId="60377"/>
    <cellStyle name="Обычный 6 2 2 2 3 2 2" xfId="60378"/>
    <cellStyle name="Обычный 6 2 2 2 3 3" xfId="60379"/>
    <cellStyle name="Обычный 6 2 2 2 4" xfId="60380"/>
    <cellStyle name="Обычный 6 2 2 2 4 2" xfId="60381"/>
    <cellStyle name="Обычный 6 2 2 2 5" xfId="60382"/>
    <cellStyle name="Обычный 6 2 2 2 6" xfId="60383"/>
    <cellStyle name="Обычный 6 2 2 2 7" xfId="60384"/>
    <cellStyle name="Обычный 6 2 2 2 8" xfId="60385"/>
    <cellStyle name="Обычный 6 2 2 2 9" xfId="60386"/>
    <cellStyle name="Обычный 6 2 2 3" xfId="60387"/>
    <cellStyle name="Обычный 6 2 2 3 2" xfId="60388"/>
    <cellStyle name="Обычный 6 2 2 3 2 2" xfId="60389"/>
    <cellStyle name="Обычный 6 2 2 3 2 2 2" xfId="60390"/>
    <cellStyle name="Обычный 6 2 2 3 2 3" xfId="60391"/>
    <cellStyle name="Обычный 6 2 2 3 2 4" xfId="60392"/>
    <cellStyle name="Обычный 6 2 2 3 3" xfId="60393"/>
    <cellStyle name="Обычный 6 2 2 3 3 2" xfId="60394"/>
    <cellStyle name="Обычный 6 2 2 3 3 2 2" xfId="60395"/>
    <cellStyle name="Обычный 6 2 2 3 3 3" xfId="60396"/>
    <cellStyle name="Обычный 6 2 2 3 4" xfId="60397"/>
    <cellStyle name="Обычный 6 2 2 3 4 2" xfId="60398"/>
    <cellStyle name="Обычный 6 2 2 3 5" xfId="60399"/>
    <cellStyle name="Обычный 6 2 2 3 6" xfId="60400"/>
    <cellStyle name="Обычный 6 2 2 3 7" xfId="60401"/>
    <cellStyle name="Обычный 6 2 2 3 8" xfId="60402"/>
    <cellStyle name="Обычный 6 2 2 3 9" xfId="60403"/>
    <cellStyle name="Обычный 6 2 2 4" xfId="60404"/>
    <cellStyle name="Обычный 6 2 2 4 2" xfId="60405"/>
    <cellStyle name="Обычный 6 2 2 4 2 2" xfId="60406"/>
    <cellStyle name="Обычный 6 2 2 4 2 2 2" xfId="60407"/>
    <cellStyle name="Обычный 6 2 2 4 2 3" xfId="60408"/>
    <cellStyle name="Обычный 6 2 2 4 2 4" xfId="60409"/>
    <cellStyle name="Обычный 6 2 2 4 3" xfId="60410"/>
    <cellStyle name="Обычный 6 2 2 4 3 2" xfId="60411"/>
    <cellStyle name="Обычный 6 2 2 4 3 2 2" xfId="60412"/>
    <cellStyle name="Обычный 6 2 2 4 3 3" xfId="60413"/>
    <cellStyle name="Обычный 6 2 2 4 4" xfId="60414"/>
    <cellStyle name="Обычный 6 2 2 4 4 2" xfId="60415"/>
    <cellStyle name="Обычный 6 2 2 4 5" xfId="60416"/>
    <cellStyle name="Обычный 6 2 2 4 6" xfId="60417"/>
    <cellStyle name="Обычный 6 2 2 4 7" xfId="60418"/>
    <cellStyle name="Обычный 6 2 2 4 8" xfId="60419"/>
    <cellStyle name="Обычный 6 2 2 4 9" xfId="60420"/>
    <cellStyle name="Обычный 6 2 2 5" xfId="60421"/>
    <cellStyle name="Обычный 6 2 2 5 2" xfId="60422"/>
    <cellStyle name="Обычный 6 2 2 5 2 2" xfId="60423"/>
    <cellStyle name="Обычный 6 2 2 5 3" xfId="60424"/>
    <cellStyle name="Обычный 6 2 2 5 4" xfId="60425"/>
    <cellStyle name="Обычный 6 2 2 6" xfId="60426"/>
    <cellStyle name="Обычный 6 2 2 6 2" xfId="60427"/>
    <cellStyle name="Обычный 6 2 2 6 2 2" xfId="60428"/>
    <cellStyle name="Обычный 6 2 2 6 3" xfId="60429"/>
    <cellStyle name="Обычный 6 2 2 7" xfId="60430"/>
    <cellStyle name="Обычный 6 2 2 7 2" xfId="60431"/>
    <cellStyle name="Обычный 6 2 2 8" xfId="60432"/>
    <cellStyle name="Обычный 6 2 2 9" xfId="60433"/>
    <cellStyle name="Обычный 6 2 3" xfId="60434"/>
    <cellStyle name="Обычный 6 2 3 2" xfId="60435"/>
    <cellStyle name="Обычный 6 2 3 2 2" xfId="60436"/>
    <cellStyle name="Обычный 6 2 3 2 2 2" xfId="60437"/>
    <cellStyle name="Обычный 6 2 3 2 3" xfId="60438"/>
    <cellStyle name="Обычный 6 2 3 2 4" xfId="60439"/>
    <cellStyle name="Обычный 6 2 3 3" xfId="60440"/>
    <cellStyle name="Обычный 6 2 3 3 2" xfId="60441"/>
    <cellStyle name="Обычный 6 2 3 3 2 2" xfId="60442"/>
    <cellStyle name="Обычный 6 2 3 3 3" xfId="60443"/>
    <cellStyle name="Обычный 6 2 3 4" xfId="60444"/>
    <cellStyle name="Обычный 6 2 3 4 2" xfId="60445"/>
    <cellStyle name="Обычный 6 2 3 5" xfId="60446"/>
    <cellStyle name="Обычный 6 2 3 6" xfId="60447"/>
    <cellStyle name="Обычный 6 2 3 7" xfId="60448"/>
    <cellStyle name="Обычный 6 2 3 8" xfId="60449"/>
    <cellStyle name="Обычный 6 2 3 9" xfId="60450"/>
    <cellStyle name="Обычный 6 2 4" xfId="60451"/>
    <cellStyle name="Обычный 6 2 4 2" xfId="60452"/>
    <cellStyle name="Обычный 6 2 4 2 2" xfId="60453"/>
    <cellStyle name="Обычный 6 2 4 2 2 2" xfId="60454"/>
    <cellStyle name="Обычный 6 2 4 2 3" xfId="60455"/>
    <cellStyle name="Обычный 6 2 4 2 4" xfId="60456"/>
    <cellStyle name="Обычный 6 2 4 3" xfId="60457"/>
    <cellStyle name="Обычный 6 2 4 3 2" xfId="60458"/>
    <cellStyle name="Обычный 6 2 4 3 2 2" xfId="60459"/>
    <cellStyle name="Обычный 6 2 4 3 3" xfId="60460"/>
    <cellStyle name="Обычный 6 2 4 4" xfId="60461"/>
    <cellStyle name="Обычный 6 2 4 4 2" xfId="60462"/>
    <cellStyle name="Обычный 6 2 4 5" xfId="60463"/>
    <cellStyle name="Обычный 6 2 4 6" xfId="60464"/>
    <cellStyle name="Обычный 6 2 4 7" xfId="60465"/>
    <cellStyle name="Обычный 6 2 4 8" xfId="60466"/>
    <cellStyle name="Обычный 6 2 4 9" xfId="60467"/>
    <cellStyle name="Обычный 6 2 5" xfId="60468"/>
    <cellStyle name="Обычный 6 2 5 2" xfId="60469"/>
    <cellStyle name="Обычный 6 2 5 2 2" xfId="60470"/>
    <cellStyle name="Обычный 6 2 5 2 2 2" xfId="60471"/>
    <cellStyle name="Обычный 6 2 5 2 3" xfId="60472"/>
    <cellStyle name="Обычный 6 2 5 2 4" xfId="60473"/>
    <cellStyle name="Обычный 6 2 5 3" xfId="60474"/>
    <cellStyle name="Обычный 6 2 5 3 2" xfId="60475"/>
    <cellStyle name="Обычный 6 2 5 3 2 2" xfId="60476"/>
    <cellStyle name="Обычный 6 2 5 3 3" xfId="60477"/>
    <cellStyle name="Обычный 6 2 5 4" xfId="60478"/>
    <cellStyle name="Обычный 6 2 5 4 2" xfId="60479"/>
    <cellStyle name="Обычный 6 2 5 5" xfId="60480"/>
    <cellStyle name="Обычный 6 2 5 6" xfId="60481"/>
    <cellStyle name="Обычный 6 2 5 7" xfId="60482"/>
    <cellStyle name="Обычный 6 2 5 8" xfId="60483"/>
    <cellStyle name="Обычный 6 2 5 9" xfId="60484"/>
    <cellStyle name="Обычный 6 2 6" xfId="60485"/>
    <cellStyle name="Обычный 6 2 6 2" xfId="60486"/>
    <cellStyle name="Обычный 6 2 6 2 2" xfId="60487"/>
    <cellStyle name="Обычный 6 2 6 3" xfId="60488"/>
    <cellStyle name="Обычный 6 2 6 4" xfId="60489"/>
    <cellStyle name="Обычный 6 2 7" xfId="60490"/>
    <cellStyle name="Обычный 6 2 7 2" xfId="60491"/>
    <cellStyle name="Обычный 6 2 7 2 2" xfId="60492"/>
    <cellStyle name="Обычный 6 2 7 3" xfId="60493"/>
    <cellStyle name="Обычный 6 2 8" xfId="60494"/>
    <cellStyle name="Обычный 6 2 8 2" xfId="60495"/>
    <cellStyle name="Обычный 6 2 9" xfId="60496"/>
    <cellStyle name="Обычный 6 3" xfId="60497"/>
    <cellStyle name="Обычный 6 3 10" xfId="60498"/>
    <cellStyle name="Обычный 6 3 11" xfId="60499"/>
    <cellStyle name="Обычный 6 3 12" xfId="60500"/>
    <cellStyle name="Обычный 6 3 13" xfId="60501"/>
    <cellStyle name="Обычный 6 3 2" xfId="60502"/>
    <cellStyle name="Обычный 6 3 2 10" xfId="60503"/>
    <cellStyle name="Обычный 6 3 2 11" xfId="60504"/>
    <cellStyle name="Обычный 6 3 2 12" xfId="60505"/>
    <cellStyle name="Обычный 6 3 2 2" xfId="60506"/>
    <cellStyle name="Обычный 6 3 2 2 2" xfId="60507"/>
    <cellStyle name="Обычный 6 3 2 2 2 2" xfId="60508"/>
    <cellStyle name="Обычный 6 3 2 2 2 2 2" xfId="60509"/>
    <cellStyle name="Обычный 6 3 2 2 2 3" xfId="60510"/>
    <cellStyle name="Обычный 6 3 2 2 2 4" xfId="60511"/>
    <cellStyle name="Обычный 6 3 2 2 3" xfId="60512"/>
    <cellStyle name="Обычный 6 3 2 2 3 2" xfId="60513"/>
    <cellStyle name="Обычный 6 3 2 2 3 2 2" xfId="60514"/>
    <cellStyle name="Обычный 6 3 2 2 3 3" xfId="60515"/>
    <cellStyle name="Обычный 6 3 2 2 4" xfId="60516"/>
    <cellStyle name="Обычный 6 3 2 2 4 2" xfId="60517"/>
    <cellStyle name="Обычный 6 3 2 2 5" xfId="60518"/>
    <cellStyle name="Обычный 6 3 2 2 6" xfId="60519"/>
    <cellStyle name="Обычный 6 3 2 2 7" xfId="60520"/>
    <cellStyle name="Обычный 6 3 2 2 8" xfId="60521"/>
    <cellStyle name="Обычный 6 3 2 2 9" xfId="60522"/>
    <cellStyle name="Обычный 6 3 2 3" xfId="60523"/>
    <cellStyle name="Обычный 6 3 2 3 2" xfId="60524"/>
    <cellStyle name="Обычный 6 3 2 3 2 2" xfId="60525"/>
    <cellStyle name="Обычный 6 3 2 3 2 2 2" xfId="60526"/>
    <cellStyle name="Обычный 6 3 2 3 2 3" xfId="60527"/>
    <cellStyle name="Обычный 6 3 2 3 2 4" xfId="60528"/>
    <cellStyle name="Обычный 6 3 2 3 3" xfId="60529"/>
    <cellStyle name="Обычный 6 3 2 3 3 2" xfId="60530"/>
    <cellStyle name="Обычный 6 3 2 3 3 2 2" xfId="60531"/>
    <cellStyle name="Обычный 6 3 2 3 3 3" xfId="60532"/>
    <cellStyle name="Обычный 6 3 2 3 4" xfId="60533"/>
    <cellStyle name="Обычный 6 3 2 3 4 2" xfId="60534"/>
    <cellStyle name="Обычный 6 3 2 3 5" xfId="60535"/>
    <cellStyle name="Обычный 6 3 2 3 6" xfId="60536"/>
    <cellStyle name="Обычный 6 3 2 3 7" xfId="60537"/>
    <cellStyle name="Обычный 6 3 2 3 8" xfId="60538"/>
    <cellStyle name="Обычный 6 3 2 3 9" xfId="60539"/>
    <cellStyle name="Обычный 6 3 2 4" xfId="60540"/>
    <cellStyle name="Обычный 6 3 2 4 2" xfId="60541"/>
    <cellStyle name="Обычный 6 3 2 4 2 2" xfId="60542"/>
    <cellStyle name="Обычный 6 3 2 4 2 2 2" xfId="60543"/>
    <cellStyle name="Обычный 6 3 2 4 2 3" xfId="60544"/>
    <cellStyle name="Обычный 6 3 2 4 2 4" xfId="60545"/>
    <cellStyle name="Обычный 6 3 2 4 3" xfId="60546"/>
    <cellStyle name="Обычный 6 3 2 4 3 2" xfId="60547"/>
    <cellStyle name="Обычный 6 3 2 4 3 2 2" xfId="60548"/>
    <cellStyle name="Обычный 6 3 2 4 3 3" xfId="60549"/>
    <cellStyle name="Обычный 6 3 2 4 4" xfId="60550"/>
    <cellStyle name="Обычный 6 3 2 4 4 2" xfId="60551"/>
    <cellStyle name="Обычный 6 3 2 4 5" xfId="60552"/>
    <cellStyle name="Обычный 6 3 2 4 6" xfId="60553"/>
    <cellStyle name="Обычный 6 3 2 4 7" xfId="60554"/>
    <cellStyle name="Обычный 6 3 2 4 8" xfId="60555"/>
    <cellStyle name="Обычный 6 3 2 4 9" xfId="60556"/>
    <cellStyle name="Обычный 6 3 2 5" xfId="60557"/>
    <cellStyle name="Обычный 6 3 2 5 2" xfId="60558"/>
    <cellStyle name="Обычный 6 3 2 5 2 2" xfId="60559"/>
    <cellStyle name="Обычный 6 3 2 5 3" xfId="60560"/>
    <cellStyle name="Обычный 6 3 2 5 4" xfId="60561"/>
    <cellStyle name="Обычный 6 3 2 6" xfId="60562"/>
    <cellStyle name="Обычный 6 3 2 6 2" xfId="60563"/>
    <cellStyle name="Обычный 6 3 2 6 2 2" xfId="60564"/>
    <cellStyle name="Обычный 6 3 2 6 3" xfId="60565"/>
    <cellStyle name="Обычный 6 3 2 7" xfId="60566"/>
    <cellStyle name="Обычный 6 3 2 7 2" xfId="60567"/>
    <cellStyle name="Обычный 6 3 2 8" xfId="60568"/>
    <cellStyle name="Обычный 6 3 2 9" xfId="60569"/>
    <cellStyle name="Обычный 6 3 3" xfId="60570"/>
    <cellStyle name="Обычный 6 3 3 2" xfId="60571"/>
    <cellStyle name="Обычный 6 3 3 2 2" xfId="60572"/>
    <cellStyle name="Обычный 6 3 3 2 2 2" xfId="60573"/>
    <cellStyle name="Обычный 6 3 3 2 3" xfId="60574"/>
    <cellStyle name="Обычный 6 3 3 2 4" xfId="60575"/>
    <cellStyle name="Обычный 6 3 3 3" xfId="60576"/>
    <cellStyle name="Обычный 6 3 3 3 2" xfId="60577"/>
    <cellStyle name="Обычный 6 3 3 3 2 2" xfId="60578"/>
    <cellStyle name="Обычный 6 3 3 3 3" xfId="60579"/>
    <cellStyle name="Обычный 6 3 3 4" xfId="60580"/>
    <cellStyle name="Обычный 6 3 3 4 2" xfId="60581"/>
    <cellStyle name="Обычный 6 3 3 5" xfId="60582"/>
    <cellStyle name="Обычный 6 3 3 6" xfId="60583"/>
    <cellStyle name="Обычный 6 3 3 7" xfId="60584"/>
    <cellStyle name="Обычный 6 3 3 8" xfId="60585"/>
    <cellStyle name="Обычный 6 3 3 9" xfId="60586"/>
    <cellStyle name="Обычный 6 3 4" xfId="60587"/>
    <cellStyle name="Обычный 6 3 4 2" xfId="60588"/>
    <cellStyle name="Обычный 6 3 4 2 2" xfId="60589"/>
    <cellStyle name="Обычный 6 3 4 2 2 2" xfId="60590"/>
    <cellStyle name="Обычный 6 3 4 2 3" xfId="60591"/>
    <cellStyle name="Обычный 6 3 4 2 4" xfId="60592"/>
    <cellStyle name="Обычный 6 3 4 3" xfId="60593"/>
    <cellStyle name="Обычный 6 3 4 3 2" xfId="60594"/>
    <cellStyle name="Обычный 6 3 4 3 2 2" xfId="60595"/>
    <cellStyle name="Обычный 6 3 4 3 3" xfId="60596"/>
    <cellStyle name="Обычный 6 3 4 4" xfId="60597"/>
    <cellStyle name="Обычный 6 3 4 4 2" xfId="60598"/>
    <cellStyle name="Обычный 6 3 4 5" xfId="60599"/>
    <cellStyle name="Обычный 6 3 4 6" xfId="60600"/>
    <cellStyle name="Обычный 6 3 4 7" xfId="60601"/>
    <cellStyle name="Обычный 6 3 4 8" xfId="60602"/>
    <cellStyle name="Обычный 6 3 4 9" xfId="60603"/>
    <cellStyle name="Обычный 6 3 5" xfId="60604"/>
    <cellStyle name="Обычный 6 3 5 2" xfId="60605"/>
    <cellStyle name="Обычный 6 3 5 2 2" xfId="60606"/>
    <cellStyle name="Обычный 6 3 5 2 2 2" xfId="60607"/>
    <cellStyle name="Обычный 6 3 5 2 3" xfId="60608"/>
    <cellStyle name="Обычный 6 3 5 2 4" xfId="60609"/>
    <cellStyle name="Обычный 6 3 5 3" xfId="60610"/>
    <cellStyle name="Обычный 6 3 5 3 2" xfId="60611"/>
    <cellStyle name="Обычный 6 3 5 3 2 2" xfId="60612"/>
    <cellStyle name="Обычный 6 3 5 3 3" xfId="60613"/>
    <cellStyle name="Обычный 6 3 5 4" xfId="60614"/>
    <cellStyle name="Обычный 6 3 5 4 2" xfId="60615"/>
    <cellStyle name="Обычный 6 3 5 5" xfId="60616"/>
    <cellStyle name="Обычный 6 3 5 6" xfId="60617"/>
    <cellStyle name="Обычный 6 3 5 7" xfId="60618"/>
    <cellStyle name="Обычный 6 3 5 8" xfId="60619"/>
    <cellStyle name="Обычный 6 3 5 9" xfId="60620"/>
    <cellStyle name="Обычный 6 3 6" xfId="60621"/>
    <cellStyle name="Обычный 6 3 6 2" xfId="60622"/>
    <cellStyle name="Обычный 6 3 6 2 2" xfId="60623"/>
    <cellStyle name="Обычный 6 3 6 3" xfId="60624"/>
    <cellStyle name="Обычный 6 3 6 4" xfId="60625"/>
    <cellStyle name="Обычный 6 3 7" xfId="60626"/>
    <cellStyle name="Обычный 6 3 7 2" xfId="60627"/>
    <cellStyle name="Обычный 6 3 7 2 2" xfId="60628"/>
    <cellStyle name="Обычный 6 3 7 3" xfId="60629"/>
    <cellStyle name="Обычный 6 3 8" xfId="60630"/>
    <cellStyle name="Обычный 6 3 8 2" xfId="60631"/>
    <cellStyle name="Обычный 6 3 9" xfId="60632"/>
    <cellStyle name="Обычный 6 4" xfId="60633"/>
    <cellStyle name="Обычный 6 4 10" xfId="60634"/>
    <cellStyle name="Обычный 6 4 11" xfId="60635"/>
    <cellStyle name="Обычный 6 4 12" xfId="60636"/>
    <cellStyle name="Обычный 6 4 2" xfId="60637"/>
    <cellStyle name="Обычный 6 4 2 2" xfId="60638"/>
    <cellStyle name="Обычный 6 4 2 2 2" xfId="60639"/>
    <cellStyle name="Обычный 6 4 2 2 2 2" xfId="60640"/>
    <cellStyle name="Обычный 6 4 2 2 3" xfId="60641"/>
    <cellStyle name="Обычный 6 4 2 2 4" xfId="60642"/>
    <cellStyle name="Обычный 6 4 2 3" xfId="60643"/>
    <cellStyle name="Обычный 6 4 2 3 2" xfId="60644"/>
    <cellStyle name="Обычный 6 4 2 3 2 2" xfId="60645"/>
    <cellStyle name="Обычный 6 4 2 3 3" xfId="60646"/>
    <cellStyle name="Обычный 6 4 2 4" xfId="60647"/>
    <cellStyle name="Обычный 6 4 2 4 2" xfId="60648"/>
    <cellStyle name="Обычный 6 4 2 5" xfId="60649"/>
    <cellStyle name="Обычный 6 4 2 6" xfId="60650"/>
    <cellStyle name="Обычный 6 4 2 7" xfId="60651"/>
    <cellStyle name="Обычный 6 4 2 8" xfId="60652"/>
    <cellStyle name="Обычный 6 4 2 9" xfId="60653"/>
    <cellStyle name="Обычный 6 4 3" xfId="60654"/>
    <cellStyle name="Обычный 6 4 3 2" xfId="60655"/>
    <cellStyle name="Обычный 6 4 3 2 2" xfId="60656"/>
    <cellStyle name="Обычный 6 4 3 2 2 2" xfId="60657"/>
    <cellStyle name="Обычный 6 4 3 2 3" xfId="60658"/>
    <cellStyle name="Обычный 6 4 3 2 4" xfId="60659"/>
    <cellStyle name="Обычный 6 4 3 3" xfId="60660"/>
    <cellStyle name="Обычный 6 4 3 3 2" xfId="60661"/>
    <cellStyle name="Обычный 6 4 3 3 2 2" xfId="60662"/>
    <cellStyle name="Обычный 6 4 3 3 3" xfId="60663"/>
    <cellStyle name="Обычный 6 4 3 4" xfId="60664"/>
    <cellStyle name="Обычный 6 4 3 4 2" xfId="60665"/>
    <cellStyle name="Обычный 6 4 3 5" xfId="60666"/>
    <cellStyle name="Обычный 6 4 3 6" xfId="60667"/>
    <cellStyle name="Обычный 6 4 3 7" xfId="60668"/>
    <cellStyle name="Обычный 6 4 3 8" xfId="60669"/>
    <cellStyle name="Обычный 6 4 3 9" xfId="60670"/>
    <cellStyle name="Обычный 6 4 4" xfId="60671"/>
    <cellStyle name="Обычный 6 4 4 2" xfId="60672"/>
    <cellStyle name="Обычный 6 4 4 2 2" xfId="60673"/>
    <cellStyle name="Обычный 6 4 4 2 2 2" xfId="60674"/>
    <cellStyle name="Обычный 6 4 4 2 3" xfId="60675"/>
    <cellStyle name="Обычный 6 4 4 2 4" xfId="60676"/>
    <cellStyle name="Обычный 6 4 4 3" xfId="60677"/>
    <cellStyle name="Обычный 6 4 4 3 2" xfId="60678"/>
    <cellStyle name="Обычный 6 4 4 3 2 2" xfId="60679"/>
    <cellStyle name="Обычный 6 4 4 3 3" xfId="60680"/>
    <cellStyle name="Обычный 6 4 4 4" xfId="60681"/>
    <cellStyle name="Обычный 6 4 4 4 2" xfId="60682"/>
    <cellStyle name="Обычный 6 4 4 5" xfId="60683"/>
    <cellStyle name="Обычный 6 4 4 6" xfId="60684"/>
    <cellStyle name="Обычный 6 4 4 7" xfId="60685"/>
    <cellStyle name="Обычный 6 4 4 8" xfId="60686"/>
    <cellStyle name="Обычный 6 4 4 9" xfId="60687"/>
    <cellStyle name="Обычный 6 4 5" xfId="60688"/>
    <cellStyle name="Обычный 6 4 5 2" xfId="60689"/>
    <cellStyle name="Обычный 6 4 5 2 2" xfId="60690"/>
    <cellStyle name="Обычный 6 4 5 3" xfId="60691"/>
    <cellStyle name="Обычный 6 4 5 4" xfId="60692"/>
    <cellStyle name="Обычный 6 4 6" xfId="60693"/>
    <cellStyle name="Обычный 6 4 6 2" xfId="60694"/>
    <cellStyle name="Обычный 6 4 6 2 2" xfId="60695"/>
    <cellStyle name="Обычный 6 4 6 3" xfId="60696"/>
    <cellStyle name="Обычный 6 4 7" xfId="60697"/>
    <cellStyle name="Обычный 6 4 7 2" xfId="60698"/>
    <cellStyle name="Обычный 6 4 8" xfId="60699"/>
    <cellStyle name="Обычный 6 4 9" xfId="60700"/>
    <cellStyle name="Обычный 6 5" xfId="60701"/>
    <cellStyle name="Обычный 6 5 2" xfId="60702"/>
    <cellStyle name="Обычный 6 5 2 2" xfId="60703"/>
    <cellStyle name="Обычный 6 5 2 2 2" xfId="60704"/>
    <cellStyle name="Обычный 6 5 2 3" xfId="60705"/>
    <cellStyle name="Обычный 6 5 2 4" xfId="60706"/>
    <cellStyle name="Обычный 6 5 3" xfId="60707"/>
    <cellStyle name="Обычный 6 5 3 2" xfId="60708"/>
    <cellStyle name="Обычный 6 5 3 2 2" xfId="60709"/>
    <cellStyle name="Обычный 6 5 3 3" xfId="60710"/>
    <cellStyle name="Обычный 6 5 4" xfId="60711"/>
    <cellStyle name="Обычный 6 5 4 2" xfId="60712"/>
    <cellStyle name="Обычный 6 5 5" xfId="60713"/>
    <cellStyle name="Обычный 6 5 6" xfId="60714"/>
    <cellStyle name="Обычный 6 5 7" xfId="60715"/>
    <cellStyle name="Обычный 6 5 8" xfId="60716"/>
    <cellStyle name="Обычный 6 5 9" xfId="60717"/>
    <cellStyle name="Обычный 6 6" xfId="60718"/>
    <cellStyle name="Обычный 6 6 2" xfId="60719"/>
    <cellStyle name="Обычный 6 6 2 2" xfId="60720"/>
    <cellStyle name="Обычный 6 6 2 2 2" xfId="60721"/>
    <cellStyle name="Обычный 6 6 2 3" xfId="60722"/>
    <cellStyle name="Обычный 6 6 2 4" xfId="60723"/>
    <cellStyle name="Обычный 6 6 3" xfId="60724"/>
    <cellStyle name="Обычный 6 6 3 2" xfId="60725"/>
    <cellStyle name="Обычный 6 6 3 2 2" xfId="60726"/>
    <cellStyle name="Обычный 6 6 3 3" xfId="60727"/>
    <cellStyle name="Обычный 6 6 4" xfId="60728"/>
    <cellStyle name="Обычный 6 6 4 2" xfId="60729"/>
    <cellStyle name="Обычный 6 6 5" xfId="60730"/>
    <cellStyle name="Обычный 6 6 6" xfId="60731"/>
    <cellStyle name="Обычный 6 6 7" xfId="60732"/>
    <cellStyle name="Обычный 6 6 8" xfId="60733"/>
    <cellStyle name="Обычный 6 6 9" xfId="60734"/>
    <cellStyle name="Обычный 6 7" xfId="60735"/>
    <cellStyle name="Обычный 6 7 2" xfId="60736"/>
    <cellStyle name="Обычный 6 7 2 2" xfId="60737"/>
    <cellStyle name="Обычный 6 7 2 2 2" xfId="60738"/>
    <cellStyle name="Обычный 6 7 2 3" xfId="60739"/>
    <cellStyle name="Обычный 6 7 2 4" xfId="60740"/>
    <cellStyle name="Обычный 6 7 3" xfId="60741"/>
    <cellStyle name="Обычный 6 7 3 2" xfId="60742"/>
    <cellStyle name="Обычный 6 7 3 2 2" xfId="60743"/>
    <cellStyle name="Обычный 6 7 3 3" xfId="60744"/>
    <cellStyle name="Обычный 6 7 4" xfId="60745"/>
    <cellStyle name="Обычный 6 7 4 2" xfId="60746"/>
    <cellStyle name="Обычный 6 7 5" xfId="60747"/>
    <cellStyle name="Обычный 6 7 6" xfId="60748"/>
    <cellStyle name="Обычный 6 7 7" xfId="60749"/>
    <cellStyle name="Обычный 6 7 8" xfId="60750"/>
    <cellStyle name="Обычный 6 7 9" xfId="60751"/>
    <cellStyle name="Обычный 6 8" xfId="60752"/>
    <cellStyle name="Обычный 6 8 2" xfId="60753"/>
    <cellStyle name="Обычный 6 8 2 2" xfId="60754"/>
    <cellStyle name="Обычный 6 8 3" xfId="60755"/>
    <cellStyle name="Обычный 6 8 4" xfId="60756"/>
    <cellStyle name="Обычный 6 9" xfId="60757"/>
    <cellStyle name="Обычный 6 9 2" xfId="60758"/>
    <cellStyle name="Обычный 6 9 2 2" xfId="60759"/>
    <cellStyle name="Обычный 6 9 3" xfId="60760"/>
    <cellStyle name="Обычный 6_март 2012" xfId="60761"/>
    <cellStyle name="Обычный 7" xfId="60762"/>
    <cellStyle name="Обычный 7 10" xfId="60763"/>
    <cellStyle name="Обычный 7 10 2" xfId="60764"/>
    <cellStyle name="Обычный 7 11" xfId="60765"/>
    <cellStyle name="Обычный 7 12" xfId="60766"/>
    <cellStyle name="Обычный 7 13" xfId="60767"/>
    <cellStyle name="Обычный 7 14" xfId="60768"/>
    <cellStyle name="Обычный 7 15" xfId="60769"/>
    <cellStyle name="Обычный 7 2" xfId="60770"/>
    <cellStyle name="Обычный 7 2 10" xfId="60771"/>
    <cellStyle name="Обычный 7 2 11" xfId="60772"/>
    <cellStyle name="Обычный 7 2 12" xfId="60773"/>
    <cellStyle name="Обычный 7 2 13" xfId="60774"/>
    <cellStyle name="Обычный 7 2 2" xfId="60775"/>
    <cellStyle name="Обычный 7 2 2 10" xfId="60776"/>
    <cellStyle name="Обычный 7 2 2 11" xfId="60777"/>
    <cellStyle name="Обычный 7 2 2 12" xfId="60778"/>
    <cellStyle name="Обычный 7 2 2 2" xfId="60779"/>
    <cellStyle name="Обычный 7 2 2 2 2" xfId="60780"/>
    <cellStyle name="Обычный 7 2 2 2 2 2" xfId="60781"/>
    <cellStyle name="Обычный 7 2 2 2 2 2 2" xfId="60782"/>
    <cellStyle name="Обычный 7 2 2 2 2 3" xfId="60783"/>
    <cellStyle name="Обычный 7 2 2 2 2 4" xfId="60784"/>
    <cellStyle name="Обычный 7 2 2 2 3" xfId="60785"/>
    <cellStyle name="Обычный 7 2 2 2 3 2" xfId="60786"/>
    <cellStyle name="Обычный 7 2 2 2 3 2 2" xfId="60787"/>
    <cellStyle name="Обычный 7 2 2 2 3 3" xfId="60788"/>
    <cellStyle name="Обычный 7 2 2 2 4" xfId="60789"/>
    <cellStyle name="Обычный 7 2 2 2 4 2" xfId="60790"/>
    <cellStyle name="Обычный 7 2 2 2 5" xfId="60791"/>
    <cellStyle name="Обычный 7 2 2 2 6" xfId="60792"/>
    <cellStyle name="Обычный 7 2 2 2 7" xfId="60793"/>
    <cellStyle name="Обычный 7 2 2 2 8" xfId="60794"/>
    <cellStyle name="Обычный 7 2 2 2 9" xfId="60795"/>
    <cellStyle name="Обычный 7 2 2 3" xfId="60796"/>
    <cellStyle name="Обычный 7 2 2 3 2" xfId="60797"/>
    <cellStyle name="Обычный 7 2 2 3 2 2" xfId="60798"/>
    <cellStyle name="Обычный 7 2 2 3 2 2 2" xfId="60799"/>
    <cellStyle name="Обычный 7 2 2 3 2 3" xfId="60800"/>
    <cellStyle name="Обычный 7 2 2 3 2 4" xfId="60801"/>
    <cellStyle name="Обычный 7 2 2 3 3" xfId="60802"/>
    <cellStyle name="Обычный 7 2 2 3 3 2" xfId="60803"/>
    <cellStyle name="Обычный 7 2 2 3 3 2 2" xfId="60804"/>
    <cellStyle name="Обычный 7 2 2 3 3 3" xfId="60805"/>
    <cellStyle name="Обычный 7 2 2 3 4" xfId="60806"/>
    <cellStyle name="Обычный 7 2 2 3 4 2" xfId="60807"/>
    <cellStyle name="Обычный 7 2 2 3 5" xfId="60808"/>
    <cellStyle name="Обычный 7 2 2 3 6" xfId="60809"/>
    <cellStyle name="Обычный 7 2 2 3 7" xfId="60810"/>
    <cellStyle name="Обычный 7 2 2 3 8" xfId="60811"/>
    <cellStyle name="Обычный 7 2 2 3 9" xfId="60812"/>
    <cellStyle name="Обычный 7 2 2 4" xfId="60813"/>
    <cellStyle name="Обычный 7 2 2 4 2" xfId="60814"/>
    <cellStyle name="Обычный 7 2 2 4 2 2" xfId="60815"/>
    <cellStyle name="Обычный 7 2 2 4 2 2 2" xfId="60816"/>
    <cellStyle name="Обычный 7 2 2 4 2 3" xfId="60817"/>
    <cellStyle name="Обычный 7 2 2 4 2 4" xfId="60818"/>
    <cellStyle name="Обычный 7 2 2 4 3" xfId="60819"/>
    <cellStyle name="Обычный 7 2 2 4 3 2" xfId="60820"/>
    <cellStyle name="Обычный 7 2 2 4 3 2 2" xfId="60821"/>
    <cellStyle name="Обычный 7 2 2 4 3 3" xfId="60822"/>
    <cellStyle name="Обычный 7 2 2 4 4" xfId="60823"/>
    <cellStyle name="Обычный 7 2 2 4 4 2" xfId="60824"/>
    <cellStyle name="Обычный 7 2 2 4 5" xfId="60825"/>
    <cellStyle name="Обычный 7 2 2 4 6" xfId="60826"/>
    <cellStyle name="Обычный 7 2 2 4 7" xfId="60827"/>
    <cellStyle name="Обычный 7 2 2 4 8" xfId="60828"/>
    <cellStyle name="Обычный 7 2 2 4 9" xfId="60829"/>
    <cellStyle name="Обычный 7 2 2 5" xfId="60830"/>
    <cellStyle name="Обычный 7 2 2 5 2" xfId="60831"/>
    <cellStyle name="Обычный 7 2 2 5 2 2" xfId="60832"/>
    <cellStyle name="Обычный 7 2 2 5 3" xfId="60833"/>
    <cellStyle name="Обычный 7 2 2 5 4" xfId="60834"/>
    <cellStyle name="Обычный 7 2 2 6" xfId="60835"/>
    <cellStyle name="Обычный 7 2 2 6 2" xfId="60836"/>
    <cellStyle name="Обычный 7 2 2 6 2 2" xfId="60837"/>
    <cellStyle name="Обычный 7 2 2 6 3" xfId="60838"/>
    <cellStyle name="Обычный 7 2 2 7" xfId="60839"/>
    <cellStyle name="Обычный 7 2 2 7 2" xfId="60840"/>
    <cellStyle name="Обычный 7 2 2 8" xfId="60841"/>
    <cellStyle name="Обычный 7 2 2 9" xfId="60842"/>
    <cellStyle name="Обычный 7 2 3" xfId="60843"/>
    <cellStyle name="Обычный 7 2 3 2" xfId="60844"/>
    <cellStyle name="Обычный 7 2 3 2 2" xfId="60845"/>
    <cellStyle name="Обычный 7 2 3 2 2 2" xfId="60846"/>
    <cellStyle name="Обычный 7 2 3 2 3" xfId="60847"/>
    <cellStyle name="Обычный 7 2 3 2 4" xfId="60848"/>
    <cellStyle name="Обычный 7 2 3 3" xfId="60849"/>
    <cellStyle name="Обычный 7 2 3 3 2" xfId="60850"/>
    <cellStyle name="Обычный 7 2 3 3 2 2" xfId="60851"/>
    <cellStyle name="Обычный 7 2 3 3 3" xfId="60852"/>
    <cellStyle name="Обычный 7 2 3 4" xfId="60853"/>
    <cellStyle name="Обычный 7 2 3 4 2" xfId="60854"/>
    <cellStyle name="Обычный 7 2 3 5" xfId="60855"/>
    <cellStyle name="Обычный 7 2 3 6" xfId="60856"/>
    <cellStyle name="Обычный 7 2 3 7" xfId="60857"/>
    <cellStyle name="Обычный 7 2 3 8" xfId="60858"/>
    <cellStyle name="Обычный 7 2 3 9" xfId="60859"/>
    <cellStyle name="Обычный 7 2 4" xfId="60860"/>
    <cellStyle name="Обычный 7 2 4 2" xfId="60861"/>
    <cellStyle name="Обычный 7 2 4 2 2" xfId="60862"/>
    <cellStyle name="Обычный 7 2 4 2 2 2" xfId="60863"/>
    <cellStyle name="Обычный 7 2 4 2 3" xfId="60864"/>
    <cellStyle name="Обычный 7 2 4 2 4" xfId="60865"/>
    <cellStyle name="Обычный 7 2 4 3" xfId="60866"/>
    <cellStyle name="Обычный 7 2 4 3 2" xfId="60867"/>
    <cellStyle name="Обычный 7 2 4 3 2 2" xfId="60868"/>
    <cellStyle name="Обычный 7 2 4 3 3" xfId="60869"/>
    <cellStyle name="Обычный 7 2 4 4" xfId="60870"/>
    <cellStyle name="Обычный 7 2 4 4 2" xfId="60871"/>
    <cellStyle name="Обычный 7 2 4 5" xfId="60872"/>
    <cellStyle name="Обычный 7 2 4 6" xfId="60873"/>
    <cellStyle name="Обычный 7 2 4 7" xfId="60874"/>
    <cellStyle name="Обычный 7 2 4 8" xfId="60875"/>
    <cellStyle name="Обычный 7 2 4 9" xfId="60876"/>
    <cellStyle name="Обычный 7 2 5" xfId="60877"/>
    <cellStyle name="Обычный 7 2 5 2" xfId="60878"/>
    <cellStyle name="Обычный 7 2 5 2 2" xfId="60879"/>
    <cellStyle name="Обычный 7 2 5 2 2 2" xfId="60880"/>
    <cellStyle name="Обычный 7 2 5 2 3" xfId="60881"/>
    <cellStyle name="Обычный 7 2 5 2 4" xfId="60882"/>
    <cellStyle name="Обычный 7 2 5 3" xfId="60883"/>
    <cellStyle name="Обычный 7 2 5 3 2" xfId="60884"/>
    <cellStyle name="Обычный 7 2 5 3 2 2" xfId="60885"/>
    <cellStyle name="Обычный 7 2 5 3 3" xfId="60886"/>
    <cellStyle name="Обычный 7 2 5 4" xfId="60887"/>
    <cellStyle name="Обычный 7 2 5 4 2" xfId="60888"/>
    <cellStyle name="Обычный 7 2 5 5" xfId="60889"/>
    <cellStyle name="Обычный 7 2 5 6" xfId="60890"/>
    <cellStyle name="Обычный 7 2 5 7" xfId="60891"/>
    <cellStyle name="Обычный 7 2 5 8" xfId="60892"/>
    <cellStyle name="Обычный 7 2 5 9" xfId="60893"/>
    <cellStyle name="Обычный 7 2 6" xfId="60894"/>
    <cellStyle name="Обычный 7 2 6 2" xfId="60895"/>
    <cellStyle name="Обычный 7 2 6 2 2" xfId="60896"/>
    <cellStyle name="Обычный 7 2 6 3" xfId="60897"/>
    <cellStyle name="Обычный 7 2 6 4" xfId="60898"/>
    <cellStyle name="Обычный 7 2 7" xfId="60899"/>
    <cellStyle name="Обычный 7 2 7 2" xfId="60900"/>
    <cellStyle name="Обычный 7 2 7 2 2" xfId="60901"/>
    <cellStyle name="Обычный 7 2 7 3" xfId="60902"/>
    <cellStyle name="Обычный 7 2 8" xfId="60903"/>
    <cellStyle name="Обычный 7 2 8 2" xfId="60904"/>
    <cellStyle name="Обычный 7 2 9" xfId="60905"/>
    <cellStyle name="Обычный 7 3" xfId="60906"/>
    <cellStyle name="Обычный 7 3 10" xfId="60907"/>
    <cellStyle name="Обычный 7 3 11" xfId="60908"/>
    <cellStyle name="Обычный 7 3 12" xfId="60909"/>
    <cellStyle name="Обычный 7 3 13" xfId="60910"/>
    <cellStyle name="Обычный 7 3 2" xfId="60911"/>
    <cellStyle name="Обычный 7 3 2 10" xfId="60912"/>
    <cellStyle name="Обычный 7 3 2 11" xfId="60913"/>
    <cellStyle name="Обычный 7 3 2 12" xfId="60914"/>
    <cellStyle name="Обычный 7 3 2 2" xfId="60915"/>
    <cellStyle name="Обычный 7 3 2 2 2" xfId="60916"/>
    <cellStyle name="Обычный 7 3 2 2 2 2" xfId="60917"/>
    <cellStyle name="Обычный 7 3 2 2 2 2 2" xfId="60918"/>
    <cellStyle name="Обычный 7 3 2 2 2 3" xfId="60919"/>
    <cellStyle name="Обычный 7 3 2 2 2 4" xfId="60920"/>
    <cellStyle name="Обычный 7 3 2 2 3" xfId="60921"/>
    <cellStyle name="Обычный 7 3 2 2 3 2" xfId="60922"/>
    <cellStyle name="Обычный 7 3 2 2 3 2 2" xfId="60923"/>
    <cellStyle name="Обычный 7 3 2 2 3 3" xfId="60924"/>
    <cellStyle name="Обычный 7 3 2 2 4" xfId="60925"/>
    <cellStyle name="Обычный 7 3 2 2 4 2" xfId="60926"/>
    <cellStyle name="Обычный 7 3 2 2 5" xfId="60927"/>
    <cellStyle name="Обычный 7 3 2 2 6" xfId="60928"/>
    <cellStyle name="Обычный 7 3 2 2 7" xfId="60929"/>
    <cellStyle name="Обычный 7 3 2 2 8" xfId="60930"/>
    <cellStyle name="Обычный 7 3 2 2 9" xfId="60931"/>
    <cellStyle name="Обычный 7 3 2 3" xfId="60932"/>
    <cellStyle name="Обычный 7 3 2 3 2" xfId="60933"/>
    <cellStyle name="Обычный 7 3 2 3 2 2" xfId="60934"/>
    <cellStyle name="Обычный 7 3 2 3 2 2 2" xfId="60935"/>
    <cellStyle name="Обычный 7 3 2 3 2 3" xfId="60936"/>
    <cellStyle name="Обычный 7 3 2 3 2 4" xfId="60937"/>
    <cellStyle name="Обычный 7 3 2 3 3" xfId="60938"/>
    <cellStyle name="Обычный 7 3 2 3 3 2" xfId="60939"/>
    <cellStyle name="Обычный 7 3 2 3 3 2 2" xfId="60940"/>
    <cellStyle name="Обычный 7 3 2 3 3 3" xfId="60941"/>
    <cellStyle name="Обычный 7 3 2 3 4" xfId="60942"/>
    <cellStyle name="Обычный 7 3 2 3 4 2" xfId="60943"/>
    <cellStyle name="Обычный 7 3 2 3 5" xfId="60944"/>
    <cellStyle name="Обычный 7 3 2 3 6" xfId="60945"/>
    <cellStyle name="Обычный 7 3 2 3 7" xfId="60946"/>
    <cellStyle name="Обычный 7 3 2 3 8" xfId="60947"/>
    <cellStyle name="Обычный 7 3 2 3 9" xfId="60948"/>
    <cellStyle name="Обычный 7 3 2 4" xfId="60949"/>
    <cellStyle name="Обычный 7 3 2 4 2" xfId="60950"/>
    <cellStyle name="Обычный 7 3 2 4 2 2" xfId="60951"/>
    <cellStyle name="Обычный 7 3 2 4 2 2 2" xfId="60952"/>
    <cellStyle name="Обычный 7 3 2 4 2 3" xfId="60953"/>
    <cellStyle name="Обычный 7 3 2 4 2 4" xfId="60954"/>
    <cellStyle name="Обычный 7 3 2 4 3" xfId="60955"/>
    <cellStyle name="Обычный 7 3 2 4 3 2" xfId="60956"/>
    <cellStyle name="Обычный 7 3 2 4 3 2 2" xfId="60957"/>
    <cellStyle name="Обычный 7 3 2 4 3 3" xfId="60958"/>
    <cellStyle name="Обычный 7 3 2 4 4" xfId="60959"/>
    <cellStyle name="Обычный 7 3 2 4 4 2" xfId="60960"/>
    <cellStyle name="Обычный 7 3 2 4 5" xfId="60961"/>
    <cellStyle name="Обычный 7 3 2 4 6" xfId="60962"/>
    <cellStyle name="Обычный 7 3 2 4 7" xfId="60963"/>
    <cellStyle name="Обычный 7 3 2 4 8" xfId="60964"/>
    <cellStyle name="Обычный 7 3 2 4 9" xfId="60965"/>
    <cellStyle name="Обычный 7 3 2 5" xfId="60966"/>
    <cellStyle name="Обычный 7 3 2 5 2" xfId="60967"/>
    <cellStyle name="Обычный 7 3 2 5 2 2" xfId="60968"/>
    <cellStyle name="Обычный 7 3 2 5 3" xfId="60969"/>
    <cellStyle name="Обычный 7 3 2 5 4" xfId="60970"/>
    <cellStyle name="Обычный 7 3 2 6" xfId="60971"/>
    <cellStyle name="Обычный 7 3 2 6 2" xfId="60972"/>
    <cellStyle name="Обычный 7 3 2 6 2 2" xfId="60973"/>
    <cellStyle name="Обычный 7 3 2 6 3" xfId="60974"/>
    <cellStyle name="Обычный 7 3 2 7" xfId="60975"/>
    <cellStyle name="Обычный 7 3 2 7 2" xfId="60976"/>
    <cellStyle name="Обычный 7 3 2 8" xfId="60977"/>
    <cellStyle name="Обычный 7 3 2 9" xfId="60978"/>
    <cellStyle name="Обычный 7 3 3" xfId="60979"/>
    <cellStyle name="Обычный 7 3 3 2" xfId="60980"/>
    <cellStyle name="Обычный 7 3 3 2 2" xfId="60981"/>
    <cellStyle name="Обычный 7 3 3 2 2 2" xfId="60982"/>
    <cellStyle name="Обычный 7 3 3 2 3" xfId="60983"/>
    <cellStyle name="Обычный 7 3 3 2 4" xfId="60984"/>
    <cellStyle name="Обычный 7 3 3 3" xfId="60985"/>
    <cellStyle name="Обычный 7 3 3 3 2" xfId="60986"/>
    <cellStyle name="Обычный 7 3 3 3 2 2" xfId="60987"/>
    <cellStyle name="Обычный 7 3 3 3 3" xfId="60988"/>
    <cellStyle name="Обычный 7 3 3 4" xfId="60989"/>
    <cellStyle name="Обычный 7 3 3 4 2" xfId="60990"/>
    <cellStyle name="Обычный 7 3 3 5" xfId="60991"/>
    <cellStyle name="Обычный 7 3 3 6" xfId="60992"/>
    <cellStyle name="Обычный 7 3 3 7" xfId="60993"/>
    <cellStyle name="Обычный 7 3 3 8" xfId="60994"/>
    <cellStyle name="Обычный 7 3 3 9" xfId="60995"/>
    <cellStyle name="Обычный 7 3 4" xfId="60996"/>
    <cellStyle name="Обычный 7 3 4 2" xfId="60997"/>
    <cellStyle name="Обычный 7 3 4 2 2" xfId="60998"/>
    <cellStyle name="Обычный 7 3 4 2 2 2" xfId="60999"/>
    <cellStyle name="Обычный 7 3 4 2 3" xfId="61000"/>
    <cellStyle name="Обычный 7 3 4 2 4" xfId="61001"/>
    <cellStyle name="Обычный 7 3 4 3" xfId="61002"/>
    <cellStyle name="Обычный 7 3 4 3 2" xfId="61003"/>
    <cellStyle name="Обычный 7 3 4 3 2 2" xfId="61004"/>
    <cellStyle name="Обычный 7 3 4 3 3" xfId="61005"/>
    <cellStyle name="Обычный 7 3 4 4" xfId="61006"/>
    <cellStyle name="Обычный 7 3 4 4 2" xfId="61007"/>
    <cellStyle name="Обычный 7 3 4 5" xfId="61008"/>
    <cellStyle name="Обычный 7 3 4 6" xfId="61009"/>
    <cellStyle name="Обычный 7 3 4 7" xfId="61010"/>
    <cellStyle name="Обычный 7 3 4 8" xfId="61011"/>
    <cellStyle name="Обычный 7 3 4 9" xfId="61012"/>
    <cellStyle name="Обычный 7 3 5" xfId="61013"/>
    <cellStyle name="Обычный 7 3 5 2" xfId="61014"/>
    <cellStyle name="Обычный 7 3 5 2 2" xfId="61015"/>
    <cellStyle name="Обычный 7 3 5 2 2 2" xfId="61016"/>
    <cellStyle name="Обычный 7 3 5 2 3" xfId="61017"/>
    <cellStyle name="Обычный 7 3 5 2 4" xfId="61018"/>
    <cellStyle name="Обычный 7 3 5 3" xfId="61019"/>
    <cellStyle name="Обычный 7 3 5 3 2" xfId="61020"/>
    <cellStyle name="Обычный 7 3 5 3 2 2" xfId="61021"/>
    <cellStyle name="Обычный 7 3 5 3 3" xfId="61022"/>
    <cellStyle name="Обычный 7 3 5 4" xfId="61023"/>
    <cellStyle name="Обычный 7 3 5 4 2" xfId="61024"/>
    <cellStyle name="Обычный 7 3 5 5" xfId="61025"/>
    <cellStyle name="Обычный 7 3 5 6" xfId="61026"/>
    <cellStyle name="Обычный 7 3 5 7" xfId="61027"/>
    <cellStyle name="Обычный 7 3 5 8" xfId="61028"/>
    <cellStyle name="Обычный 7 3 5 9" xfId="61029"/>
    <cellStyle name="Обычный 7 3 6" xfId="61030"/>
    <cellStyle name="Обычный 7 3 6 2" xfId="61031"/>
    <cellStyle name="Обычный 7 3 6 2 2" xfId="61032"/>
    <cellStyle name="Обычный 7 3 6 3" xfId="61033"/>
    <cellStyle name="Обычный 7 3 6 4" xfId="61034"/>
    <cellStyle name="Обычный 7 3 7" xfId="61035"/>
    <cellStyle name="Обычный 7 3 7 2" xfId="61036"/>
    <cellStyle name="Обычный 7 3 7 2 2" xfId="61037"/>
    <cellStyle name="Обычный 7 3 7 3" xfId="61038"/>
    <cellStyle name="Обычный 7 3 8" xfId="61039"/>
    <cellStyle name="Обычный 7 3 8 2" xfId="61040"/>
    <cellStyle name="Обычный 7 3 9" xfId="61041"/>
    <cellStyle name="Обычный 7 4" xfId="61042"/>
    <cellStyle name="Обычный 7 4 10" xfId="61043"/>
    <cellStyle name="Обычный 7 4 11" xfId="61044"/>
    <cellStyle name="Обычный 7 4 12" xfId="61045"/>
    <cellStyle name="Обычный 7 4 2" xfId="61046"/>
    <cellStyle name="Обычный 7 4 2 2" xfId="61047"/>
    <cellStyle name="Обычный 7 4 2 2 2" xfId="61048"/>
    <cellStyle name="Обычный 7 4 2 2 2 2" xfId="61049"/>
    <cellStyle name="Обычный 7 4 2 2 3" xfId="61050"/>
    <cellStyle name="Обычный 7 4 2 2 4" xfId="61051"/>
    <cellStyle name="Обычный 7 4 2 3" xfId="61052"/>
    <cellStyle name="Обычный 7 4 2 3 2" xfId="61053"/>
    <cellStyle name="Обычный 7 4 2 3 2 2" xfId="61054"/>
    <cellStyle name="Обычный 7 4 2 3 3" xfId="61055"/>
    <cellStyle name="Обычный 7 4 2 4" xfId="61056"/>
    <cellStyle name="Обычный 7 4 2 4 2" xfId="61057"/>
    <cellStyle name="Обычный 7 4 2 5" xfId="61058"/>
    <cellStyle name="Обычный 7 4 2 6" xfId="61059"/>
    <cellStyle name="Обычный 7 4 2 7" xfId="61060"/>
    <cellStyle name="Обычный 7 4 2 8" xfId="61061"/>
    <cellStyle name="Обычный 7 4 2 9" xfId="61062"/>
    <cellStyle name="Обычный 7 4 3" xfId="61063"/>
    <cellStyle name="Обычный 7 4 3 2" xfId="61064"/>
    <cellStyle name="Обычный 7 4 3 2 2" xfId="61065"/>
    <cellStyle name="Обычный 7 4 3 2 2 2" xfId="61066"/>
    <cellStyle name="Обычный 7 4 3 2 3" xfId="61067"/>
    <cellStyle name="Обычный 7 4 3 2 4" xfId="61068"/>
    <cellStyle name="Обычный 7 4 3 3" xfId="61069"/>
    <cellStyle name="Обычный 7 4 3 3 2" xfId="61070"/>
    <cellStyle name="Обычный 7 4 3 3 2 2" xfId="61071"/>
    <cellStyle name="Обычный 7 4 3 3 3" xfId="61072"/>
    <cellStyle name="Обычный 7 4 3 4" xfId="61073"/>
    <cellStyle name="Обычный 7 4 3 4 2" xfId="61074"/>
    <cellStyle name="Обычный 7 4 3 5" xfId="61075"/>
    <cellStyle name="Обычный 7 4 3 6" xfId="61076"/>
    <cellStyle name="Обычный 7 4 3 7" xfId="61077"/>
    <cellStyle name="Обычный 7 4 3 8" xfId="61078"/>
    <cellStyle name="Обычный 7 4 3 9" xfId="61079"/>
    <cellStyle name="Обычный 7 4 4" xfId="61080"/>
    <cellStyle name="Обычный 7 4 4 2" xfId="61081"/>
    <cellStyle name="Обычный 7 4 4 2 2" xfId="61082"/>
    <cellStyle name="Обычный 7 4 4 2 2 2" xfId="61083"/>
    <cellStyle name="Обычный 7 4 4 2 3" xfId="61084"/>
    <cellStyle name="Обычный 7 4 4 2 4" xfId="61085"/>
    <cellStyle name="Обычный 7 4 4 3" xfId="61086"/>
    <cellStyle name="Обычный 7 4 4 3 2" xfId="61087"/>
    <cellStyle name="Обычный 7 4 4 3 2 2" xfId="61088"/>
    <cellStyle name="Обычный 7 4 4 3 3" xfId="61089"/>
    <cellStyle name="Обычный 7 4 4 4" xfId="61090"/>
    <cellStyle name="Обычный 7 4 4 4 2" xfId="61091"/>
    <cellStyle name="Обычный 7 4 4 5" xfId="61092"/>
    <cellStyle name="Обычный 7 4 4 6" xfId="61093"/>
    <cellStyle name="Обычный 7 4 4 7" xfId="61094"/>
    <cellStyle name="Обычный 7 4 4 8" xfId="61095"/>
    <cellStyle name="Обычный 7 4 4 9" xfId="61096"/>
    <cellStyle name="Обычный 7 4 5" xfId="61097"/>
    <cellStyle name="Обычный 7 4 5 2" xfId="61098"/>
    <cellStyle name="Обычный 7 4 5 2 2" xfId="61099"/>
    <cellStyle name="Обычный 7 4 5 3" xfId="61100"/>
    <cellStyle name="Обычный 7 4 5 4" xfId="61101"/>
    <cellStyle name="Обычный 7 4 6" xfId="61102"/>
    <cellStyle name="Обычный 7 4 6 2" xfId="61103"/>
    <cellStyle name="Обычный 7 4 6 2 2" xfId="61104"/>
    <cellStyle name="Обычный 7 4 6 3" xfId="61105"/>
    <cellStyle name="Обычный 7 4 7" xfId="61106"/>
    <cellStyle name="Обычный 7 4 7 2" xfId="61107"/>
    <cellStyle name="Обычный 7 4 8" xfId="61108"/>
    <cellStyle name="Обычный 7 4 9" xfId="61109"/>
    <cellStyle name="Обычный 7 5" xfId="61110"/>
    <cellStyle name="Обычный 7 5 2" xfId="61111"/>
    <cellStyle name="Обычный 7 5 2 2" xfId="61112"/>
    <cellStyle name="Обычный 7 5 2 2 2" xfId="61113"/>
    <cellStyle name="Обычный 7 5 2 2 3" xfId="61114"/>
    <cellStyle name="Обычный 7 5 2 2 4" xfId="61115"/>
    <cellStyle name="Обычный 7 5 2 3" xfId="61116"/>
    <cellStyle name="Обычный 7 5 2 4" xfId="61117"/>
    <cellStyle name="Обычный 7 5 2 5" xfId="61118"/>
    <cellStyle name="Обычный 7 5 3" xfId="61119"/>
    <cellStyle name="Обычный 7 5 3 2" xfId="61120"/>
    <cellStyle name="Обычный 7 5 3 2 2" xfId="61121"/>
    <cellStyle name="Обычный 7 5 3 2 3" xfId="61122"/>
    <cellStyle name="Обычный 7 5 3 2 4" xfId="61123"/>
    <cellStyle name="Обычный 7 5 3 3" xfId="61124"/>
    <cellStyle name="Обычный 7 5 3 4" xfId="61125"/>
    <cellStyle name="Обычный 7 5 3 5" xfId="61126"/>
    <cellStyle name="Обычный 7 5 4" xfId="61127"/>
    <cellStyle name="Обычный 7 5 4 2" xfId="61128"/>
    <cellStyle name="Обычный 7 5 4 3" xfId="61129"/>
    <cellStyle name="Обычный 7 5 4 4" xfId="61130"/>
    <cellStyle name="Обычный 7 5 5" xfId="61131"/>
    <cellStyle name="Обычный 7 5 6" xfId="61132"/>
    <cellStyle name="Обычный 7 5 7" xfId="61133"/>
    <cellStyle name="Обычный 7 5 8" xfId="61134"/>
    <cellStyle name="Обычный 7 5 9" xfId="61135"/>
    <cellStyle name="Обычный 7 6" xfId="61136"/>
    <cellStyle name="Обычный 7 6 2" xfId="61137"/>
    <cellStyle name="Обычный 7 6 2 2" xfId="61138"/>
    <cellStyle name="Обычный 7 6 2 2 2" xfId="61139"/>
    <cellStyle name="Обычный 7 6 2 3" xfId="61140"/>
    <cellStyle name="Обычный 7 6 2 4" xfId="61141"/>
    <cellStyle name="Обычный 7 6 3" xfId="61142"/>
    <cellStyle name="Обычный 7 6 3 2" xfId="61143"/>
    <cellStyle name="Обычный 7 6 3 2 2" xfId="61144"/>
    <cellStyle name="Обычный 7 6 3 3" xfId="61145"/>
    <cellStyle name="Обычный 7 6 4" xfId="61146"/>
    <cellStyle name="Обычный 7 6 4 2" xfId="61147"/>
    <cellStyle name="Обычный 7 6 5" xfId="61148"/>
    <cellStyle name="Обычный 7 6 6" xfId="61149"/>
    <cellStyle name="Обычный 7 6 7" xfId="61150"/>
    <cellStyle name="Обычный 7 6 8" xfId="61151"/>
    <cellStyle name="Обычный 7 6 9" xfId="61152"/>
    <cellStyle name="Обычный 7 7" xfId="61153"/>
    <cellStyle name="Обычный 7 7 2" xfId="61154"/>
    <cellStyle name="Обычный 7 7 2 2" xfId="61155"/>
    <cellStyle name="Обычный 7 7 2 2 2" xfId="61156"/>
    <cellStyle name="Обычный 7 7 2 3" xfId="61157"/>
    <cellStyle name="Обычный 7 7 2 4" xfId="61158"/>
    <cellStyle name="Обычный 7 7 3" xfId="61159"/>
    <cellStyle name="Обычный 7 7 3 2" xfId="61160"/>
    <cellStyle name="Обычный 7 7 3 2 2" xfId="61161"/>
    <cellStyle name="Обычный 7 7 3 3" xfId="61162"/>
    <cellStyle name="Обычный 7 7 4" xfId="61163"/>
    <cellStyle name="Обычный 7 7 4 2" xfId="61164"/>
    <cellStyle name="Обычный 7 7 5" xfId="61165"/>
    <cellStyle name="Обычный 7 7 6" xfId="61166"/>
    <cellStyle name="Обычный 7 7 7" xfId="61167"/>
    <cellStyle name="Обычный 7 7 8" xfId="61168"/>
    <cellStyle name="Обычный 7 7 9" xfId="61169"/>
    <cellStyle name="Обычный 7 8" xfId="61170"/>
    <cellStyle name="Обычный 7 8 2" xfId="61171"/>
    <cellStyle name="Обычный 7 8 2 2" xfId="61172"/>
    <cellStyle name="Обычный 7 8 3" xfId="61173"/>
    <cellStyle name="Обычный 7 8 4" xfId="61174"/>
    <cellStyle name="Обычный 7 9" xfId="61175"/>
    <cellStyle name="Обычный 7 9 2" xfId="61176"/>
    <cellStyle name="Обычный 7 9 2 2" xfId="61177"/>
    <cellStyle name="Обычный 7 9 3" xfId="61178"/>
    <cellStyle name="Обычный 7_март 2012" xfId="61179"/>
    <cellStyle name="Обычный 8" xfId="61180"/>
    <cellStyle name="Обычный 8 10" xfId="61181"/>
    <cellStyle name="Обычный 8 11" xfId="61182"/>
    <cellStyle name="Обычный 8 2" xfId="61183"/>
    <cellStyle name="Обычный 8 2 2" xfId="61184"/>
    <cellStyle name="Обычный 8 2 2 2" xfId="61185"/>
    <cellStyle name="Обычный 8 2 2 2 2" xfId="61186"/>
    <cellStyle name="Обычный 8 2 2 2 3" xfId="61187"/>
    <cellStyle name="Обычный 8 2 2 2 4" xfId="61188"/>
    <cellStyle name="Обычный 8 2 2 3" xfId="61189"/>
    <cellStyle name="Обычный 8 2 2 4" xfId="61190"/>
    <cellStyle name="Обычный 8 2 2 5" xfId="61191"/>
    <cellStyle name="Обычный 8 2 3" xfId="61192"/>
    <cellStyle name="Обычный 8 2 3 2" xfId="61193"/>
    <cellStyle name="Обычный 8 2 3 2 2" xfId="61194"/>
    <cellStyle name="Обычный 8 2 3 2 3" xfId="61195"/>
    <cellStyle name="Обычный 8 2 3 2 4" xfId="61196"/>
    <cellStyle name="Обычный 8 2 3 3" xfId="61197"/>
    <cellStyle name="Обычный 8 2 3 4" xfId="61198"/>
    <cellStyle name="Обычный 8 2 3 5" xfId="61199"/>
    <cellStyle name="Обычный 8 2 4" xfId="61200"/>
    <cellStyle name="Обычный 8 2 4 2" xfId="61201"/>
    <cellStyle name="Обычный 8 2 4 3" xfId="61202"/>
    <cellStyle name="Обычный 8 2 4 4" xfId="61203"/>
    <cellStyle name="Обычный 8 2 5" xfId="61204"/>
    <cellStyle name="Обычный 8 2 6" xfId="61205"/>
    <cellStyle name="Обычный 8 2 7" xfId="61206"/>
    <cellStyle name="Обычный 8 3" xfId="61207"/>
    <cellStyle name="Обычный 8 3 2" xfId="61208"/>
    <cellStyle name="Обычный 8 3 2 2" xfId="61209"/>
    <cellStyle name="Обычный 8 3 2 2 2" xfId="61210"/>
    <cellStyle name="Обычный 8 3 2 2 3" xfId="61211"/>
    <cellStyle name="Обычный 8 3 2 2 4" xfId="61212"/>
    <cellStyle name="Обычный 8 3 2 3" xfId="61213"/>
    <cellStyle name="Обычный 8 3 2 4" xfId="61214"/>
    <cellStyle name="Обычный 8 3 2 5" xfId="61215"/>
    <cellStyle name="Обычный 8 3 3" xfId="61216"/>
    <cellStyle name="Обычный 8 3 3 2" xfId="61217"/>
    <cellStyle name="Обычный 8 3 3 2 2" xfId="61218"/>
    <cellStyle name="Обычный 8 3 3 2 3" xfId="61219"/>
    <cellStyle name="Обычный 8 3 3 2 4" xfId="61220"/>
    <cellStyle name="Обычный 8 3 3 3" xfId="61221"/>
    <cellStyle name="Обычный 8 3 3 4" xfId="61222"/>
    <cellStyle name="Обычный 8 3 3 5" xfId="61223"/>
    <cellStyle name="Обычный 8 3 4" xfId="61224"/>
    <cellStyle name="Обычный 8 3 4 2" xfId="61225"/>
    <cellStyle name="Обычный 8 3 4 3" xfId="61226"/>
    <cellStyle name="Обычный 8 3 4 4" xfId="61227"/>
    <cellStyle name="Обычный 8 3 5" xfId="61228"/>
    <cellStyle name="Обычный 8 3 6" xfId="61229"/>
    <cellStyle name="Обычный 8 3 7" xfId="61230"/>
    <cellStyle name="Обычный 8 4" xfId="61231"/>
    <cellStyle name="Обычный 8 4 2" xfId="61232"/>
    <cellStyle name="Обычный 8 4 2 2" xfId="61233"/>
    <cellStyle name="Обычный 8 4 2 2 2" xfId="61234"/>
    <cellStyle name="Обычный 8 4 2 2 3" xfId="61235"/>
    <cellStyle name="Обычный 8 4 2 2 4" xfId="61236"/>
    <cellStyle name="Обычный 8 4 2 3" xfId="61237"/>
    <cellStyle name="Обычный 8 4 2 4" xfId="61238"/>
    <cellStyle name="Обычный 8 4 2 5" xfId="61239"/>
    <cellStyle name="Обычный 8 4 3" xfId="61240"/>
    <cellStyle name="Обычный 8 4 3 2" xfId="61241"/>
    <cellStyle name="Обычный 8 4 3 2 2" xfId="61242"/>
    <cellStyle name="Обычный 8 4 3 2 3" xfId="61243"/>
    <cellStyle name="Обычный 8 4 3 2 4" xfId="61244"/>
    <cellStyle name="Обычный 8 4 3 3" xfId="61245"/>
    <cellStyle name="Обычный 8 4 3 4" xfId="61246"/>
    <cellStyle name="Обычный 8 4 3 5" xfId="61247"/>
    <cellStyle name="Обычный 8 4 4" xfId="61248"/>
    <cellStyle name="Обычный 8 4 4 2" xfId="61249"/>
    <cellStyle name="Обычный 8 4 4 3" xfId="61250"/>
    <cellStyle name="Обычный 8 4 4 4" xfId="61251"/>
    <cellStyle name="Обычный 8 4 5" xfId="61252"/>
    <cellStyle name="Обычный 8 4 6" xfId="61253"/>
    <cellStyle name="Обычный 8 4 7" xfId="61254"/>
    <cellStyle name="Обычный 8 5" xfId="61255"/>
    <cellStyle name="Обычный 8 5 2" xfId="61256"/>
    <cellStyle name="Обычный 8 5 2 2" xfId="61257"/>
    <cellStyle name="Обычный 8 5 2 2 2" xfId="61258"/>
    <cellStyle name="Обычный 8 5 2 2 3" xfId="61259"/>
    <cellStyle name="Обычный 8 5 2 2 4" xfId="61260"/>
    <cellStyle name="Обычный 8 5 2 3" xfId="61261"/>
    <cellStyle name="Обычный 8 5 2 4" xfId="61262"/>
    <cellStyle name="Обычный 8 5 2 5" xfId="61263"/>
    <cellStyle name="Обычный 8 5 3" xfId="61264"/>
    <cellStyle name="Обычный 8 5 3 2" xfId="61265"/>
    <cellStyle name="Обычный 8 5 3 2 2" xfId="61266"/>
    <cellStyle name="Обычный 8 5 3 2 3" xfId="61267"/>
    <cellStyle name="Обычный 8 5 3 2 4" xfId="61268"/>
    <cellStyle name="Обычный 8 5 3 3" xfId="61269"/>
    <cellStyle name="Обычный 8 5 3 4" xfId="61270"/>
    <cellStyle name="Обычный 8 5 3 5" xfId="61271"/>
    <cellStyle name="Обычный 8 5 4" xfId="61272"/>
    <cellStyle name="Обычный 8 5 4 2" xfId="61273"/>
    <cellStyle name="Обычный 8 5 4 3" xfId="61274"/>
    <cellStyle name="Обычный 8 5 4 4" xfId="61275"/>
    <cellStyle name="Обычный 8 5 5" xfId="61276"/>
    <cellStyle name="Обычный 8 5 6" xfId="61277"/>
    <cellStyle name="Обычный 8 5 7" xfId="61278"/>
    <cellStyle name="Обычный 8 6" xfId="61279"/>
    <cellStyle name="Обычный 8 6 2" xfId="61280"/>
    <cellStyle name="Обычный 8 6 2 2" xfId="61281"/>
    <cellStyle name="Обычный 8 6 2 3" xfId="61282"/>
    <cellStyle name="Обычный 8 6 2 4" xfId="61283"/>
    <cellStyle name="Обычный 8 6 3" xfId="61284"/>
    <cellStyle name="Обычный 8 6 4" xfId="61285"/>
    <cellStyle name="Обычный 8 6 5" xfId="61286"/>
    <cellStyle name="Обычный 8 7" xfId="61287"/>
    <cellStyle name="Обычный 8 7 2" xfId="61288"/>
    <cellStyle name="Обычный 8 7 2 2" xfId="61289"/>
    <cellStyle name="Обычный 8 7 2 3" xfId="61290"/>
    <cellStyle name="Обычный 8 7 2 4" xfId="61291"/>
    <cellStyle name="Обычный 8 7 3" xfId="61292"/>
    <cellStyle name="Обычный 8 7 4" xfId="61293"/>
    <cellStyle name="Обычный 8 7 5" xfId="61294"/>
    <cellStyle name="Обычный 8 8" xfId="61295"/>
    <cellStyle name="Обычный 8 8 2" xfId="61296"/>
    <cellStyle name="Обычный 8 8 3" xfId="61297"/>
    <cellStyle name="Обычный 8 8 4" xfId="61298"/>
    <cellStyle name="Обычный 8 9" xfId="61299"/>
    <cellStyle name="Обычный 9" xfId="61300"/>
    <cellStyle name="Обычный 9 10" xfId="61301"/>
    <cellStyle name="Обычный 9 2" xfId="61302"/>
    <cellStyle name="Обычный 9 2 2" xfId="61303"/>
    <cellStyle name="Обычный 9 2 2 2" xfId="61304"/>
    <cellStyle name="Обычный 9 2 2 2 2" xfId="61305"/>
    <cellStyle name="Обычный 9 2 2 2 2 2" xfId="61306"/>
    <cellStyle name="Обычный 9 2 2 2 2 2 2" xfId="61307"/>
    <cellStyle name="Обычный 9 2 2 2 2 2 2 2" xfId="61308"/>
    <cellStyle name="Обычный 9 2 2 2 2 2 2 2 2" xfId="61309"/>
    <cellStyle name="Обычный 9 2 2 2 2 2 2 2 3" xfId="61310"/>
    <cellStyle name="Обычный 9 2 2 2 2 2 2 2 4" xfId="61311"/>
    <cellStyle name="Обычный 9 2 2 2 2 2 2 3" xfId="61312"/>
    <cellStyle name="Обычный 9 2 2 2 2 2 2 4" xfId="61313"/>
    <cellStyle name="Обычный 9 2 2 2 2 2 2 5" xfId="61314"/>
    <cellStyle name="Обычный 9 2 2 2 2 2 3" xfId="61315"/>
    <cellStyle name="Обычный 9 2 2 2 2 2 3 2" xfId="61316"/>
    <cellStyle name="Обычный 9 2 2 2 2 2 3 2 2" xfId="61317"/>
    <cellStyle name="Обычный 9 2 2 2 2 2 3 2 2 2" xfId="61318"/>
    <cellStyle name="Обычный 9 2 2 2 2 2 3 2 2 2 2" xfId="61319"/>
    <cellStyle name="Обычный 9 2 2 2 2 2 3 2 2 2 3" xfId="61320"/>
    <cellStyle name="Обычный 9 2 2 2 2 2 3 2 2 2 4" xfId="61321"/>
    <cellStyle name="Обычный 9 2 2 2 2 2 3 2 2 3" xfId="61322"/>
    <cellStyle name="Обычный 9 2 2 2 2 2 3 2 2 3 2" xfId="61323"/>
    <cellStyle name="Обычный 9 2 2 2 2 2 3 2 2 3 2 2" xfId="61324"/>
    <cellStyle name="Обычный 9 2 2 2 2 2 3 2 2 3 2 2 2" xfId="61325"/>
    <cellStyle name="Обычный 9 2 2 2 2 2 3 2 2 3 2 2 2 2" xfId="61326"/>
    <cellStyle name="Обычный 9 2 2 2 2 2 3 2 2 3 2 2 2 2 2" xfId="61327"/>
    <cellStyle name="Обычный 9 2 2 2 2 2 3 2 2 3 2 2 2 2 2 2" xfId="61328"/>
    <cellStyle name="Обычный 9 2 2 2 2 2 3 2 2 3 2 2 2 2 2 2 2" xfId="61329"/>
    <cellStyle name="Обычный 9 2 2 2 2 2 3 2 2 3 2 2 2 2 2 2 3" xfId="61330"/>
    <cellStyle name="Обычный 9 2 2 2 2 2 3 2 2 3 2 2 2 2 2 2 4" xfId="61331"/>
    <cellStyle name="Обычный 9 2 2 2 2 2 3 2 2 3 2 2 2 2 2 2 4 2" xfId="61332"/>
    <cellStyle name="Обычный 9 2 2 2 2 2 3 2 2 3 2 2 2 2 2 2 4 2 2" xfId="61333"/>
    <cellStyle name="Обычный 9 2 2 2 2 2 3 2 2 3 2 2 2 2 2 2 4 2 2 2" xfId="61334"/>
    <cellStyle name="Обычный 9 2 2 2 2 2 3 2 2 3 2 2 2 2 2 2 4 2 2 2 2" xfId="61335"/>
    <cellStyle name="Обычный 9 2 2 2 2 2 3 2 2 3 2 2 2 2 2 2 5" xfId="61336"/>
    <cellStyle name="Обычный 9 2 2 2 2 2 3 2 2 3 2 2 2 2 2 2 5 2" xfId="61337"/>
    <cellStyle name="Обычный 9 2 2 2 2 2 3 2 2 3 2 2 2 2 2 2 5 2 2" xfId="61338"/>
    <cellStyle name="Обычный 9 2 2 2 2 2 3 2 2 3 2 2 2 2 2 2 5 2 2 2" xfId="61339"/>
    <cellStyle name="Обычный 9 2 2 2 2 2 3 2 2 3 2 2 2 2 2 3" xfId="61340"/>
    <cellStyle name="Обычный 9 2 2 2 2 2 3 2 2 3 2 2 2 2 2 4" xfId="61341"/>
    <cellStyle name="Обычный 9 2 2 2 2 2 3 2 2 3 2 2 2 2 2 5" xfId="61342"/>
    <cellStyle name="Обычный 9 2 2 2 2 2 3 2 2 3 2 2 2 2 3" xfId="61343"/>
    <cellStyle name="Обычный 9 2 2 2 2 2 3 2 2 3 2 2 2 2 4" xfId="61344"/>
    <cellStyle name="Обычный 9 2 2 2 2 2 3 2 2 3 2 2 2 2 5" xfId="61345"/>
    <cellStyle name="Обычный 9 2 2 2 2 2 3 2 2 3 2 2 2 3" xfId="61346"/>
    <cellStyle name="Обычный 9 2 2 2 2 2 3 2 2 3 2 2 2 4" xfId="61347"/>
    <cellStyle name="Обычный 9 2 2 2 2 2 3 2 2 3 2 2 2 5" xfId="61348"/>
    <cellStyle name="Обычный 9 2 2 2 2 2 3 2 2 3 2 2 3" xfId="61349"/>
    <cellStyle name="Обычный 9 2 2 2 2 2 3 2 2 3 2 2 4" xfId="61350"/>
    <cellStyle name="Обычный 9 2 2 2 2 2 3 2 2 3 2 2 5" xfId="61351"/>
    <cellStyle name="Обычный 9 2 2 2 2 2 3 2 2 3 2 3" xfId="61352"/>
    <cellStyle name="Обычный 9 2 2 2 2 2 3 2 2 3 2 4" xfId="61353"/>
    <cellStyle name="Обычный 9 2 2 2 2 2 3 2 2 3 2 5" xfId="61354"/>
    <cellStyle name="Обычный 9 2 2 2 2 2 3 2 2 3 3" xfId="61355"/>
    <cellStyle name="Обычный 9 2 2 2 2 2 3 2 2 3 4" xfId="61356"/>
    <cellStyle name="Обычный 9 2 2 2 2 2 3 2 2 3 5" xfId="61357"/>
    <cellStyle name="Обычный 9 2 2 2 2 2 3 2 2 4" xfId="61358"/>
    <cellStyle name="Обычный 9 2 2 2 2 2 3 2 2 5" xfId="61359"/>
    <cellStyle name="Обычный 9 2 2 2 2 2 3 2 2 6" xfId="61360"/>
    <cellStyle name="Обычный 9 2 2 2 2 2 3 2 3" xfId="61361"/>
    <cellStyle name="Обычный 9 2 2 2 2 2 3 2 3 2" xfId="61362"/>
    <cellStyle name="Обычный 9 2 2 2 2 2 3 2 3 3" xfId="61363"/>
    <cellStyle name="Обычный 9 2 2 2 2 2 3 2 3 4" xfId="61364"/>
    <cellStyle name="Обычный 9 2 2 2 2 2 3 2 4" xfId="61365"/>
    <cellStyle name="Обычный 9 2 2 2 2 2 3 2 5" xfId="61366"/>
    <cellStyle name="Обычный 9 2 2 2 2 2 3 2 6" xfId="61367"/>
    <cellStyle name="Обычный 9 2 2 2 2 2 3 3" xfId="61368"/>
    <cellStyle name="Обычный 9 2 2 2 2 2 3 3 2" xfId="61369"/>
    <cellStyle name="Обычный 9 2 2 2 2 2 3 3 3" xfId="61370"/>
    <cellStyle name="Обычный 9 2 2 2 2 2 3 3 4" xfId="61371"/>
    <cellStyle name="Обычный 9 2 2 2 2 2 3 4" xfId="61372"/>
    <cellStyle name="Обычный 9 2 2 2 2 2 3 5" xfId="61373"/>
    <cellStyle name="Обычный 9 2 2 2 2 2 3 6" xfId="61374"/>
    <cellStyle name="Обычный 9 2 2 2 2 2 4" xfId="61375"/>
    <cellStyle name="Обычный 9 2 2 2 2 2 4 2" xfId="61376"/>
    <cellStyle name="Обычный 9 2 2 2 2 2 4 2 2" xfId="61377"/>
    <cellStyle name="Обычный 9 2 2 2 2 2 4 2 2 2" xfId="61378"/>
    <cellStyle name="Обычный 9 2 2 2 2 2 4 2 2 3" xfId="61379"/>
    <cellStyle name="Обычный 9 2 2 2 2 2 4 2 2 4" xfId="61380"/>
    <cellStyle name="Обычный 9 2 2 2 2 2 4 2 3" xfId="61381"/>
    <cellStyle name="Обычный 9 2 2 2 2 2 4 2 3 2" xfId="61382"/>
    <cellStyle name="Обычный 9 2 2 2 2 2 4 2 3 2 2" xfId="61383"/>
    <cellStyle name="Обычный 9 2 2 2 2 2 4 2 3 2 2 2" xfId="61384"/>
    <cellStyle name="Обычный 9 2 2 2 2 2 4 2 3 2 2 2 2" xfId="61385"/>
    <cellStyle name="Обычный 9 2 2 2 2 2 4 2 3 2 2 2 2 2" xfId="61386"/>
    <cellStyle name="Обычный 9 2 2 2 2 2 4 2 3 2 2 2 2 2 2" xfId="61387"/>
    <cellStyle name="Обычный 9 2 2 2 2 2 4 2 3 2 2 2 2 2 2 2" xfId="61388"/>
    <cellStyle name="Обычный 9 2 2 2 2 2 4 2 3 2 2 2 2 2 2 2 2" xfId="61389"/>
    <cellStyle name="Обычный 9 2 2 2 2 2 4 2 3 2 2 2 2 2 2 2 2 2" xfId="61390"/>
    <cellStyle name="Обычный 9 2 2 2 2 2 4 2 3 2 2 2 2 2 2 2 2 2 2" xfId="61391"/>
    <cellStyle name="Обычный 9 2 2 2 2 2 4 2 3 2 2 2 2 2 2 2 2 2 2 2" xfId="61392"/>
    <cellStyle name="Обычный 9 2 2 2 2 2 4 2 3 2 2 2 2 2 2 2 2 2 2 2 2" xfId="61393"/>
    <cellStyle name="Обычный 9 2 2 2 2 2 4 2 3 2 2 2 2 2 2 2 3" xfId="61394"/>
    <cellStyle name="Обычный 9 2 2 2 2 2 4 2 3 2 2 2 2 2 2 2 4" xfId="61395"/>
    <cellStyle name="Обычный 9 2 2 2 2 2 4 2 3 2 2 2 2 2 2 2 4 2" xfId="61396"/>
    <cellStyle name="Обычный 9 2 2 2 2 2 4 2 3 2 2 2 2 2 2 2 4 2 2" xfId="61397"/>
    <cellStyle name="Обычный 9 2 2 2 2 2 4 2 3 2 2 2 2 2 2 2 4 2 2 2" xfId="61398"/>
    <cellStyle name="Обычный 9 2 2 2 2 2 4 2 3 2 2 2 2 2 2 2 4 2 2 2 2" xfId="61399"/>
    <cellStyle name="Обычный 9 2 2 2 2 2 4 2 3 2 2 2 2 2 2 2 5" xfId="61400"/>
    <cellStyle name="Обычный 9 2 2 2 2 2 4 2 3 2 2 2 2 2 2 2 5 2" xfId="61401"/>
    <cellStyle name="Обычный 9 2 2 2 2 2 4 2 3 2 2 2 2 2 2 2 5 2 2" xfId="61402"/>
    <cellStyle name="Обычный 9 2 2 2 2 2 4 2 3 2 2 2 2 2 2 2 5 2 2 2" xfId="61403"/>
    <cellStyle name="Обычный 9 2 2 2 2 2 4 2 3 2 2 2 2 2 2 3" xfId="61404"/>
    <cellStyle name="Обычный 9 2 2 2 2 2 4 2 3 2 2 2 2 2 2 4" xfId="61405"/>
    <cellStyle name="Обычный 9 2 2 2 2 2 4 2 3 2 2 2 2 2 2 5" xfId="61406"/>
    <cellStyle name="Обычный 9 2 2 2 2 2 4 2 3 2 2 2 2 2 3" xfId="61407"/>
    <cellStyle name="Обычный 9 2 2 2 2 2 4 2 3 2 2 2 2 2 3 2" xfId="61408"/>
    <cellStyle name="Обычный 9 2 2 2 2 2 4 2 3 2 2 2 2 2 3 2 2" xfId="61409"/>
    <cellStyle name="Обычный 9 2 2 2 2 2 4 2 3 2 2 2 2 2 3 2 2 2" xfId="61410"/>
    <cellStyle name="Обычный 9 2 2 2 2 2 4 2 3 2 2 2 2 2 3 2 2 2 2" xfId="61411"/>
    <cellStyle name="Обычный 9 2 2 2 2 2 4 2 3 2 2 2 2 2 3 2 2 2 2 2" xfId="61412"/>
    <cellStyle name="Обычный 9 2 2 2 2 2 4 2 3 2 2 2 2 2 3 3" xfId="61413"/>
    <cellStyle name="Обычный 9 2 2 2 2 2 4 2 3 2 2 2 2 2 3 4" xfId="61414"/>
    <cellStyle name="Обычный 9 2 2 2 2 2 4 2 3 2 2 2 2 2 3 4 2" xfId="61415"/>
    <cellStyle name="Обычный 9 2 2 2 2 2 4 2 3 2 2 2 2 2 3 4 2 2" xfId="61416"/>
    <cellStyle name="Обычный 9 2 2 2 2 2 4 2 3 2 2 2 2 2 3 4 2 2 2" xfId="61417"/>
    <cellStyle name="Обычный 9 2 2 2 2 2 4 2 3 2 2 2 2 2 3 4 2 2 2 2" xfId="61418"/>
    <cellStyle name="Обычный 9 2 2 2 2 2 4 2 3 2 2 2 2 2 3 4 3" xfId="61419"/>
    <cellStyle name="Обычный 9 2 2 2 2 2 4 2 3 2 2 2 2 2 3 4 3 2" xfId="61420"/>
    <cellStyle name="Обычный 9 2 2 2 2 2 4 2 3 2 2 2 2 2 3 4 3 2 2" xfId="61421"/>
    <cellStyle name="Обычный 9 2 2 2 2 2 4 2 3 2 2 2 2 2 3 4 3 2 2 2" xfId="61422"/>
    <cellStyle name="Обычный 9 2 2 2 2 2 4 2 3 2 2 2 2 2 3 5" xfId="61423"/>
    <cellStyle name="Обычный 9 2 2 2 2 2 4 2 3 2 2 2 2 2 3 5 2" xfId="61424"/>
    <cellStyle name="Обычный 9 2 2 2 2 2 4 2 3 2 2 2 2 2 3 5 2 2" xfId="61425"/>
    <cellStyle name="Обычный 9 2 2 2 2 2 4 2 3 2 2 2 2 2 3 5 2 2 2" xfId="61426"/>
    <cellStyle name="Обычный 9 2 2 2 2 2 4 2 3 2 2 2 2 2 3 6" xfId="61427"/>
    <cellStyle name="Обычный 9 2 2 2 2 2 4 2 3 2 2 2 2 2 3 6 2" xfId="61428"/>
    <cellStyle name="Обычный 9 2 2 2 2 2 4 2 3 2 2 2 2 2 3 6 2 2" xfId="61429"/>
    <cellStyle name="Обычный 9 2 2 2 2 2 4 2 3 2 2 2 2 2 3 6 2 2 2" xfId="61430"/>
    <cellStyle name="Обычный 9 2 2 2 2 2 4 2 3 2 2 2 2 2 4" xfId="61431"/>
    <cellStyle name="Обычный 9 2 2 2 2 2 4 2 3 2 2 2 2 2 5" xfId="61432"/>
    <cellStyle name="Обычный 9 2 2 2 2 2 4 2 3 2 2 2 2 2 6" xfId="61433"/>
    <cellStyle name="Обычный 9 2 2 2 2 2 4 2 3 2 2 2 2 3" xfId="61434"/>
    <cellStyle name="Обычный 9 2 2 2 2 2 4 2 3 2 2 2 2 4" xfId="61435"/>
    <cellStyle name="Обычный 9 2 2 2 2 2 4 2 3 2 2 2 2 5" xfId="61436"/>
    <cellStyle name="Обычный 9 2 2 2 2 2 4 2 3 2 2 2 3" xfId="61437"/>
    <cellStyle name="Обычный 9 2 2 2 2 2 4 2 3 2 2 2 4" xfId="61438"/>
    <cellStyle name="Обычный 9 2 2 2 2 2 4 2 3 2 2 2 5" xfId="61439"/>
    <cellStyle name="Обычный 9 2 2 2 2 2 4 2 3 2 2 3" xfId="61440"/>
    <cellStyle name="Обычный 9 2 2 2 2 2 4 2 3 2 2 4" xfId="61441"/>
    <cellStyle name="Обычный 9 2 2 2 2 2 4 2 3 2 2 5" xfId="61442"/>
    <cellStyle name="Обычный 9 2 2 2 2 2 4 2 3 2 3" xfId="61443"/>
    <cellStyle name="Обычный 9 2 2 2 2 2 4 2 3 2 4" xfId="61444"/>
    <cellStyle name="Обычный 9 2 2 2 2 2 4 2 3 2 5" xfId="61445"/>
    <cellStyle name="Обычный 9 2 2 2 2 2 4 2 3 3" xfId="61446"/>
    <cellStyle name="Обычный 9 2 2 2 2 2 4 2 3 4" xfId="61447"/>
    <cellStyle name="Обычный 9 2 2 2 2 2 4 2 3 5" xfId="61448"/>
    <cellStyle name="Обычный 9 2 2 2 2 2 4 2 4" xfId="61449"/>
    <cellStyle name="Обычный 9 2 2 2 2 2 4 2 5" xfId="61450"/>
    <cellStyle name="Обычный 9 2 2 2 2 2 4 2 6" xfId="61451"/>
    <cellStyle name="Обычный 9 2 2 2 2 2 4 3" xfId="61452"/>
    <cellStyle name="Обычный 9 2 2 2 2 2 4 3 2" xfId="61453"/>
    <cellStyle name="Обычный 9 2 2 2 2 2 4 3 3" xfId="61454"/>
    <cellStyle name="Обычный 9 2 2 2 2 2 4 3 4" xfId="61455"/>
    <cellStyle name="Обычный 9 2 2 2 2 2 4 4" xfId="61456"/>
    <cellStyle name="Обычный 9 2 2 2 2 2 4 5" xfId="61457"/>
    <cellStyle name="Обычный 9 2 2 2 2 2 4 6" xfId="61458"/>
    <cellStyle name="Обычный 9 2 2 2 2 2 5" xfId="61459"/>
    <cellStyle name="Обычный 9 2 2 2 2 2 5 2" xfId="61460"/>
    <cellStyle name="Обычный 9 2 2 2 2 2 5 3" xfId="61461"/>
    <cellStyle name="Обычный 9 2 2 2 2 2 5 4" xfId="61462"/>
    <cellStyle name="Обычный 9 2 2 2 2 2 6" xfId="61463"/>
    <cellStyle name="Обычный 9 2 2 2 2 2 7" xfId="61464"/>
    <cellStyle name="Обычный 9 2 2 2 2 2 8" xfId="61465"/>
    <cellStyle name="Обычный 9 2 2 2 2 3" xfId="61466"/>
    <cellStyle name="Обычный 9 2 2 2 2 3 2" xfId="61467"/>
    <cellStyle name="Обычный 9 2 2 2 2 3 2 2" xfId="61468"/>
    <cellStyle name="Обычный 9 2 2 2 2 3 2 3" xfId="61469"/>
    <cellStyle name="Обычный 9 2 2 2 2 3 2 4" xfId="61470"/>
    <cellStyle name="Обычный 9 2 2 2 2 3 3" xfId="61471"/>
    <cellStyle name="Обычный 9 2 2 2 2 3 4" xfId="61472"/>
    <cellStyle name="Обычный 9 2 2 2 2 3 5" xfId="61473"/>
    <cellStyle name="Обычный 9 2 2 2 2 4" xfId="61474"/>
    <cellStyle name="Обычный 9 2 2 2 2 4 2" xfId="61475"/>
    <cellStyle name="Обычный 9 2 2 2 2 4 2 2" xfId="61476"/>
    <cellStyle name="Обычный 9 2 2 2 2 4 2 3" xfId="61477"/>
    <cellStyle name="Обычный 9 2 2 2 2 4 2 4" xfId="61478"/>
    <cellStyle name="Обычный 9 2 2 2 2 4 3" xfId="61479"/>
    <cellStyle name="Обычный 9 2 2 2 2 4 4" xfId="61480"/>
    <cellStyle name="Обычный 9 2 2 2 2 4 5" xfId="61481"/>
    <cellStyle name="Обычный 9 2 2 2 2 5" xfId="61482"/>
    <cellStyle name="Обычный 9 2 2 2 2 5 2" xfId="61483"/>
    <cellStyle name="Обычный 9 2 2 2 2 5 3" xfId="61484"/>
    <cellStyle name="Обычный 9 2 2 2 2 5 4" xfId="61485"/>
    <cellStyle name="Обычный 9 2 2 2 2 6" xfId="61486"/>
    <cellStyle name="Обычный 9 2 2 2 2 7" xfId="61487"/>
    <cellStyle name="Обычный 9 2 2 2 2 8" xfId="61488"/>
    <cellStyle name="Обычный 9 2 2 2 3" xfId="61489"/>
    <cellStyle name="Обычный 9 2 2 2 3 2" xfId="61490"/>
    <cellStyle name="Обычный 9 2 2 2 3 2 2" xfId="61491"/>
    <cellStyle name="Обычный 9 2 2 2 3 2 3" xfId="61492"/>
    <cellStyle name="Обычный 9 2 2 2 3 2 4" xfId="61493"/>
    <cellStyle name="Обычный 9 2 2 2 3 3" xfId="61494"/>
    <cellStyle name="Обычный 9 2 2 2 3 4" xfId="61495"/>
    <cellStyle name="Обычный 9 2 2 2 3 5" xfId="61496"/>
    <cellStyle name="Обычный 9 2 2 2 4" xfId="61497"/>
    <cellStyle name="Обычный 9 2 2 2 4 2" xfId="61498"/>
    <cellStyle name="Обычный 9 2 2 2 4 2 2" xfId="61499"/>
    <cellStyle name="Обычный 9 2 2 2 4 2 3" xfId="61500"/>
    <cellStyle name="Обычный 9 2 2 2 4 2 4" xfId="61501"/>
    <cellStyle name="Обычный 9 2 2 2 4 3" xfId="61502"/>
    <cellStyle name="Обычный 9 2 2 2 4 4" xfId="61503"/>
    <cellStyle name="Обычный 9 2 2 2 4 5" xfId="61504"/>
    <cellStyle name="Обычный 9 2 2 2 5" xfId="61505"/>
    <cellStyle name="Обычный 9 2 2 2 5 2" xfId="61506"/>
    <cellStyle name="Обычный 9 2 2 2 5 3" xfId="61507"/>
    <cellStyle name="Обычный 9 2 2 2 5 4" xfId="61508"/>
    <cellStyle name="Обычный 9 2 2 2 6" xfId="61509"/>
    <cellStyle name="Обычный 9 2 2 2 7" xfId="61510"/>
    <cellStyle name="Обычный 9 2 2 2 8" xfId="61511"/>
    <cellStyle name="Обычный 9 2 2 3" xfId="61512"/>
    <cellStyle name="Обычный 9 2 2 3 2" xfId="61513"/>
    <cellStyle name="Обычный 9 2 2 3 2 2" xfId="61514"/>
    <cellStyle name="Обычный 9 2 2 3 2 3" xfId="61515"/>
    <cellStyle name="Обычный 9 2 2 3 2 4" xfId="61516"/>
    <cellStyle name="Обычный 9 2 2 3 3" xfId="61517"/>
    <cellStyle name="Обычный 9 2 2 3 4" xfId="61518"/>
    <cellStyle name="Обычный 9 2 2 3 5" xfId="61519"/>
    <cellStyle name="Обычный 9 2 2 4" xfId="61520"/>
    <cellStyle name="Обычный 9 2 2 4 2" xfId="61521"/>
    <cellStyle name="Обычный 9 2 2 4 2 2" xfId="61522"/>
    <cellStyle name="Обычный 9 2 2 4 2 3" xfId="61523"/>
    <cellStyle name="Обычный 9 2 2 4 2 4" xfId="61524"/>
    <cellStyle name="Обычный 9 2 2 4 3" xfId="61525"/>
    <cellStyle name="Обычный 9 2 2 4 4" xfId="61526"/>
    <cellStyle name="Обычный 9 2 2 4 5" xfId="61527"/>
    <cellStyle name="Обычный 9 2 2 5" xfId="61528"/>
    <cellStyle name="Обычный 9 2 2 5 2" xfId="61529"/>
    <cellStyle name="Обычный 9 2 2 5 3" xfId="61530"/>
    <cellStyle name="Обычный 9 2 2 5 4" xfId="61531"/>
    <cellStyle name="Обычный 9 2 2 6" xfId="61532"/>
    <cellStyle name="Обычный 9 2 2 7" xfId="61533"/>
    <cellStyle name="Обычный 9 2 2 8" xfId="61534"/>
    <cellStyle name="Обычный 9 2 3" xfId="61535"/>
    <cellStyle name="Обычный 9 2 3 2" xfId="61536"/>
    <cellStyle name="Обычный 9 2 3 2 2" xfId="61537"/>
    <cellStyle name="Обычный 9 2 3 2 3" xfId="61538"/>
    <cellStyle name="Обычный 9 2 3 2 4" xfId="61539"/>
    <cellStyle name="Обычный 9 2 3 3" xfId="61540"/>
    <cellStyle name="Обычный 9 2 3 4" xfId="61541"/>
    <cellStyle name="Обычный 9 2 3 5" xfId="61542"/>
    <cellStyle name="Обычный 9 2 4" xfId="61543"/>
    <cellStyle name="Обычный 9 2 4 2" xfId="61544"/>
    <cellStyle name="Обычный 9 2 4 2 2" xfId="61545"/>
    <cellStyle name="Обычный 9 2 4 2 3" xfId="61546"/>
    <cellStyle name="Обычный 9 2 4 2 4" xfId="61547"/>
    <cellStyle name="Обычный 9 2 4 3" xfId="61548"/>
    <cellStyle name="Обычный 9 2 4 4" xfId="61549"/>
    <cellStyle name="Обычный 9 2 4 5" xfId="61550"/>
    <cellStyle name="Обычный 9 2 5" xfId="61551"/>
    <cellStyle name="Обычный 9 2 5 2" xfId="61552"/>
    <cellStyle name="Обычный 9 2 5 3" xfId="61553"/>
    <cellStyle name="Обычный 9 2 5 4" xfId="61554"/>
    <cellStyle name="Обычный 9 2 6" xfId="61555"/>
    <cellStyle name="Обычный 9 2 7" xfId="61556"/>
    <cellStyle name="Обычный 9 2 8" xfId="61557"/>
    <cellStyle name="Обычный 9 3" xfId="61558"/>
    <cellStyle name="Обычный 9 3 2" xfId="61559"/>
    <cellStyle name="Обычный 9 3 2 2" xfId="61560"/>
    <cellStyle name="Обычный 9 3 2 2 2" xfId="61561"/>
    <cellStyle name="Обычный 9 3 2 3" xfId="61562"/>
    <cellStyle name="Обычный 9 3 2 4" xfId="61563"/>
    <cellStyle name="Обычный 9 3 3" xfId="61564"/>
    <cellStyle name="Обычный 9 3 3 2" xfId="61565"/>
    <cellStyle name="Обычный 9 3 3 2 2" xfId="61566"/>
    <cellStyle name="Обычный 9 3 3 3" xfId="61567"/>
    <cellStyle name="Обычный 9 3 4" xfId="61568"/>
    <cellStyle name="Обычный 9 3 4 2" xfId="61569"/>
    <cellStyle name="Обычный 9 3 5" xfId="61570"/>
    <cellStyle name="Обычный 9 3 6" xfId="61571"/>
    <cellStyle name="Обычный 9 3 7" xfId="61572"/>
    <cellStyle name="Обычный 9 3 8" xfId="61573"/>
    <cellStyle name="Обычный 9 3 9" xfId="61574"/>
    <cellStyle name="Обычный 9 4" xfId="61575"/>
    <cellStyle name="Обычный 9 4 2" xfId="61576"/>
    <cellStyle name="Обычный 9 4 2 2" xfId="61577"/>
    <cellStyle name="Обычный 9 4 2 3" xfId="61578"/>
    <cellStyle name="Обычный 9 4 2 4" xfId="61579"/>
    <cellStyle name="Обычный 9 4 3" xfId="61580"/>
    <cellStyle name="Обычный 9 4 4" xfId="61581"/>
    <cellStyle name="Обычный 9 4 5" xfId="61582"/>
    <cellStyle name="Обычный 9 5" xfId="61583"/>
    <cellStyle name="Обычный 9 5 2" xfId="61584"/>
    <cellStyle name="Обычный 9 5 2 2" xfId="61585"/>
    <cellStyle name="Обычный 9 5 3" xfId="61586"/>
    <cellStyle name="Обычный 9 5 4" xfId="61587"/>
    <cellStyle name="Обычный 9 6" xfId="61588"/>
    <cellStyle name="Обычный 9 6 2" xfId="61589"/>
    <cellStyle name="Обычный 9 7" xfId="61590"/>
    <cellStyle name="Обычный 9 8" xfId="61591"/>
    <cellStyle name="Обычный 9 9" xfId="61592"/>
    <cellStyle name="Плохой 10" xfId="61593"/>
    <cellStyle name="Плохой 11" xfId="61594"/>
    <cellStyle name="Плохой 12" xfId="61595"/>
    <cellStyle name="Плохой 13" xfId="61596"/>
    <cellStyle name="Плохой 14" xfId="61597"/>
    <cellStyle name="Плохой 15" xfId="61598"/>
    <cellStyle name="Плохой 16" xfId="61599"/>
    <cellStyle name="Плохой 17" xfId="61600"/>
    <cellStyle name="Плохой 18" xfId="61601"/>
    <cellStyle name="Плохой 19" xfId="61602"/>
    <cellStyle name="Плохой 2" xfId="61603"/>
    <cellStyle name="Плохой 2 2" xfId="61604"/>
    <cellStyle name="Плохой 20" xfId="61605"/>
    <cellStyle name="Плохой 21" xfId="61606"/>
    <cellStyle name="Плохой 22" xfId="61607"/>
    <cellStyle name="Плохой 23" xfId="61608"/>
    <cellStyle name="Плохой 24" xfId="61609"/>
    <cellStyle name="Плохой 3" xfId="61610"/>
    <cellStyle name="Плохой 3 2" xfId="61611"/>
    <cellStyle name="Плохой 4" xfId="61612"/>
    <cellStyle name="Плохой 4 2" xfId="61613"/>
    <cellStyle name="Плохой 5" xfId="61614"/>
    <cellStyle name="Плохой 5 2" xfId="61615"/>
    <cellStyle name="Плохой 6" xfId="61616"/>
    <cellStyle name="Плохой 7" xfId="61617"/>
    <cellStyle name="Плохой 8" xfId="61618"/>
    <cellStyle name="Плохой 9" xfId="61619"/>
    <cellStyle name="Подзаголовок" xfId="61620"/>
    <cellStyle name="Подзаголовок 2" xfId="61621"/>
    <cellStyle name="Подзаголовок 3" xfId="61622"/>
    <cellStyle name="Пояснение 10" xfId="61623"/>
    <cellStyle name="Пояснение 11" xfId="61624"/>
    <cellStyle name="Пояснение 12" xfId="61625"/>
    <cellStyle name="Пояснение 13" xfId="61626"/>
    <cellStyle name="Пояснение 14" xfId="61627"/>
    <cellStyle name="Пояснение 15" xfId="61628"/>
    <cellStyle name="Пояснение 16" xfId="61629"/>
    <cellStyle name="Пояснение 17" xfId="61630"/>
    <cellStyle name="Пояснение 18" xfId="61631"/>
    <cellStyle name="Пояснение 19" xfId="61632"/>
    <cellStyle name="Пояснение 2" xfId="61633"/>
    <cellStyle name="Пояснение 2 2" xfId="61634"/>
    <cellStyle name="Пояснение 20" xfId="61635"/>
    <cellStyle name="Пояснение 21" xfId="61636"/>
    <cellStyle name="Пояснение 22" xfId="61637"/>
    <cellStyle name="Пояснение 23" xfId="61638"/>
    <cellStyle name="Пояснение 3" xfId="61639"/>
    <cellStyle name="Пояснение 3 2" xfId="61640"/>
    <cellStyle name="Пояснение 4" xfId="61641"/>
    <cellStyle name="Пояснение 4 2" xfId="61642"/>
    <cellStyle name="Пояснение 5" xfId="61643"/>
    <cellStyle name="Пояснение 5 2" xfId="61644"/>
    <cellStyle name="Пояснение 6" xfId="61645"/>
    <cellStyle name="Пояснение 7" xfId="61646"/>
    <cellStyle name="Пояснение 8" xfId="61647"/>
    <cellStyle name="Пояснение 9" xfId="61648"/>
    <cellStyle name="Примечание 10" xfId="61649"/>
    <cellStyle name="Примечание 11" xfId="61650"/>
    <cellStyle name="Примечание 12" xfId="61651"/>
    <cellStyle name="Примечание 13" xfId="61652"/>
    <cellStyle name="Примечание 14" xfId="61653"/>
    <cellStyle name="Примечание 15" xfId="61654"/>
    <cellStyle name="Примечание 16" xfId="61655"/>
    <cellStyle name="Примечание 17" xfId="61656"/>
    <cellStyle name="Примечание 18" xfId="61657"/>
    <cellStyle name="Примечание 19" xfId="61658"/>
    <cellStyle name="Примечание 2" xfId="61659"/>
    <cellStyle name="Примечание 2 2" xfId="61660"/>
    <cellStyle name="Примечание 2 2 10" xfId="61661"/>
    <cellStyle name="Примечание 2 2 11" xfId="61662"/>
    <cellStyle name="Примечание 2 2 12" xfId="61663"/>
    <cellStyle name="Примечание 2 2 13" xfId="61664"/>
    <cellStyle name="Примечание 2 2 14" xfId="61665"/>
    <cellStyle name="Примечание 2 2 15" xfId="61666"/>
    <cellStyle name="Примечание 2 2 16" xfId="61667"/>
    <cellStyle name="Примечание 2 2 17" xfId="61668"/>
    <cellStyle name="Примечание 2 2 18" xfId="61669"/>
    <cellStyle name="Примечание 2 2 19" xfId="61670"/>
    <cellStyle name="Примечание 2 2 2" xfId="61671"/>
    <cellStyle name="Примечание 2 2 2 2" xfId="61672"/>
    <cellStyle name="Примечание 2 2 2 3" xfId="61673"/>
    <cellStyle name="Примечание 2 2 2 4" xfId="61674"/>
    <cellStyle name="Примечание 2 2 2 5" xfId="61675"/>
    <cellStyle name="Примечание 2 2 2 6" xfId="61676"/>
    <cellStyle name="Примечание 2 2 2 7" xfId="61677"/>
    <cellStyle name="Примечание 2 2 2 8" xfId="61678"/>
    <cellStyle name="Примечание 2 2 2 9" xfId="61679"/>
    <cellStyle name="Примечание 2 2 3" xfId="61680"/>
    <cellStyle name="Примечание 2 2 4" xfId="61681"/>
    <cellStyle name="Примечание 2 2 5" xfId="61682"/>
    <cellStyle name="Примечание 2 2 6" xfId="61683"/>
    <cellStyle name="Примечание 2 2 7" xfId="61684"/>
    <cellStyle name="Примечание 2 2 8" xfId="61685"/>
    <cellStyle name="Примечание 2 2 9" xfId="61686"/>
    <cellStyle name="Примечание 2 3" xfId="61687"/>
    <cellStyle name="Примечание 2 3 10" xfId="61688"/>
    <cellStyle name="Примечание 2 3 11" xfId="61689"/>
    <cellStyle name="Примечание 2 3 12" xfId="61690"/>
    <cellStyle name="Примечание 2 3 13" xfId="61691"/>
    <cellStyle name="Примечание 2 3 14" xfId="61692"/>
    <cellStyle name="Примечание 2 3 15" xfId="61693"/>
    <cellStyle name="Примечание 2 3 16" xfId="61694"/>
    <cellStyle name="Примечание 2 3 17" xfId="61695"/>
    <cellStyle name="Примечание 2 3 18" xfId="61696"/>
    <cellStyle name="Примечание 2 3 2" xfId="61697"/>
    <cellStyle name="Примечание 2 3 2 2" xfId="61698"/>
    <cellStyle name="Примечание 2 3 2 3" xfId="61699"/>
    <cellStyle name="Примечание 2 3 2 4" xfId="61700"/>
    <cellStyle name="Примечание 2 3 2 5" xfId="61701"/>
    <cellStyle name="Примечание 2 3 2 6" xfId="61702"/>
    <cellStyle name="Примечание 2 3 2 7" xfId="61703"/>
    <cellStyle name="Примечание 2 3 2 8" xfId="61704"/>
    <cellStyle name="Примечание 2 3 2 9" xfId="61705"/>
    <cellStyle name="Примечание 2 3 3" xfId="61706"/>
    <cellStyle name="Примечание 2 3 4" xfId="61707"/>
    <cellStyle name="Примечание 2 3 5" xfId="61708"/>
    <cellStyle name="Примечание 2 3 6" xfId="61709"/>
    <cellStyle name="Примечание 2 3 7" xfId="61710"/>
    <cellStyle name="Примечание 2 3 8" xfId="61711"/>
    <cellStyle name="Примечание 2 3 9" xfId="61712"/>
    <cellStyle name="Примечание 2 4" xfId="61713"/>
    <cellStyle name="Примечание 2 4 10" xfId="61714"/>
    <cellStyle name="Примечание 2 4 11" xfId="61715"/>
    <cellStyle name="Примечание 2 4 12" xfId="61716"/>
    <cellStyle name="Примечание 2 4 13" xfId="61717"/>
    <cellStyle name="Примечание 2 4 14" xfId="61718"/>
    <cellStyle name="Примечание 2 4 15" xfId="61719"/>
    <cellStyle name="Примечание 2 4 16" xfId="61720"/>
    <cellStyle name="Примечание 2 4 17" xfId="61721"/>
    <cellStyle name="Примечание 2 4 18" xfId="61722"/>
    <cellStyle name="Примечание 2 4 19" xfId="61723"/>
    <cellStyle name="Примечание 2 4 2" xfId="61724"/>
    <cellStyle name="Примечание 2 4 2 2" xfId="61725"/>
    <cellStyle name="Примечание 2 4 2 3" xfId="61726"/>
    <cellStyle name="Примечание 2 4 2 4" xfId="61727"/>
    <cellStyle name="Примечание 2 4 2 5" xfId="61728"/>
    <cellStyle name="Примечание 2 4 2 6" xfId="61729"/>
    <cellStyle name="Примечание 2 4 2 7" xfId="61730"/>
    <cellStyle name="Примечание 2 4 2 8" xfId="61731"/>
    <cellStyle name="Примечание 2 4 2 9" xfId="61732"/>
    <cellStyle name="Примечание 2 4 3" xfId="61733"/>
    <cellStyle name="Примечание 2 4 4" xfId="61734"/>
    <cellStyle name="Примечание 2 4 5" xfId="61735"/>
    <cellStyle name="Примечание 2 4 6" xfId="61736"/>
    <cellStyle name="Примечание 2 4 7" xfId="61737"/>
    <cellStyle name="Примечание 2 4 8" xfId="61738"/>
    <cellStyle name="Примечание 2 4 9" xfId="61739"/>
    <cellStyle name="Примечание 2 5" xfId="61740"/>
    <cellStyle name="Примечание 2 6" xfId="61741"/>
    <cellStyle name="Примечание 2 7" xfId="61742"/>
    <cellStyle name="Примечание 20" xfId="61743"/>
    <cellStyle name="Примечание 21" xfId="61744"/>
    <cellStyle name="Примечание 22" xfId="61745"/>
    <cellStyle name="Примечание 23" xfId="61746"/>
    <cellStyle name="Примечание 24" xfId="61747"/>
    <cellStyle name="Примечание 25" xfId="61748"/>
    <cellStyle name="Примечание 3" xfId="61749"/>
    <cellStyle name="Примечание 3 2" xfId="61750"/>
    <cellStyle name="Примечание 3 2 2" xfId="61751"/>
    <cellStyle name="Примечание 3 2 2 2" xfId="61752"/>
    <cellStyle name="Примечание 3 2 2 3" xfId="61753"/>
    <cellStyle name="Примечание 3 2 2 4" xfId="61754"/>
    <cellStyle name="Примечание 3 2 3" xfId="61755"/>
    <cellStyle name="Примечание 3 2 4" xfId="61756"/>
    <cellStyle name="Примечание 3 2 5" xfId="61757"/>
    <cellStyle name="Примечание 3 3" xfId="61758"/>
    <cellStyle name="Примечание 3 3 2" xfId="61759"/>
    <cellStyle name="Примечание 3 3 3" xfId="61760"/>
    <cellStyle name="Примечание 3 3 4" xfId="61761"/>
    <cellStyle name="Примечание 3 4" xfId="61762"/>
    <cellStyle name="Примечание 3 5" xfId="61763"/>
    <cellStyle name="Примечание 3 6" xfId="61764"/>
    <cellStyle name="Примечание 4" xfId="61765"/>
    <cellStyle name="Примечание 4 2" xfId="61766"/>
    <cellStyle name="Примечание 4 3" xfId="61767"/>
    <cellStyle name="Примечание 4 4" xfId="61768"/>
    <cellStyle name="Примечание 5" xfId="61769"/>
    <cellStyle name="Примечание 5 2" xfId="61770"/>
    <cellStyle name="Примечание 6" xfId="61771"/>
    <cellStyle name="Примечание 7" xfId="61772"/>
    <cellStyle name="Примечание 8" xfId="61773"/>
    <cellStyle name="Примечание 9" xfId="61774"/>
    <cellStyle name="Процентный 10" xfId="61775"/>
    <cellStyle name="Процентный 11" xfId="61776"/>
    <cellStyle name="Процентный 2" xfId="61777"/>
    <cellStyle name="Процентный 2 2" xfId="61778"/>
    <cellStyle name="Процентный 2 3" xfId="61779"/>
    <cellStyle name="Процентный 2 4" xfId="61780"/>
    <cellStyle name="Процентный 2 5" xfId="61781"/>
    <cellStyle name="Процентный 2 6" xfId="61782"/>
    <cellStyle name="Процентный 3" xfId="61783"/>
    <cellStyle name="Процентный 3 2" xfId="61784"/>
    <cellStyle name="Процентный 3 3" xfId="61785"/>
    <cellStyle name="Процентный 4" xfId="61786"/>
    <cellStyle name="Процентный 4 2" xfId="61787"/>
    <cellStyle name="Процентный 4 3" xfId="61788"/>
    <cellStyle name="Процентный 4 4" xfId="61789"/>
    <cellStyle name="Процентный 5" xfId="61790"/>
    <cellStyle name="Процентный 5 10" xfId="61791"/>
    <cellStyle name="Процентный 5 2" xfId="61792"/>
    <cellStyle name="Процентный 5 2 2" xfId="61793"/>
    <cellStyle name="Процентный 5 2 2 2" xfId="61794"/>
    <cellStyle name="Процентный 5 2 2 2 2" xfId="61795"/>
    <cellStyle name="Процентный 5 2 2 2 3" xfId="61796"/>
    <cellStyle name="Процентный 5 2 2 2 4" xfId="61797"/>
    <cellStyle name="Процентный 5 2 2 3" xfId="61798"/>
    <cellStyle name="Процентный 5 2 2 4" xfId="61799"/>
    <cellStyle name="Процентный 5 2 2 5" xfId="61800"/>
    <cellStyle name="Процентный 5 2 3" xfId="61801"/>
    <cellStyle name="Процентный 5 2 3 2" xfId="61802"/>
    <cellStyle name="Процентный 5 2 3 2 2" xfId="61803"/>
    <cellStyle name="Процентный 5 2 3 2 3" xfId="61804"/>
    <cellStyle name="Процентный 5 2 3 2 4" xfId="61805"/>
    <cellStyle name="Процентный 5 2 3 3" xfId="61806"/>
    <cellStyle name="Процентный 5 2 3 4" xfId="61807"/>
    <cellStyle name="Процентный 5 2 3 5" xfId="61808"/>
    <cellStyle name="Процентный 5 2 4" xfId="61809"/>
    <cellStyle name="Процентный 5 2 4 2" xfId="61810"/>
    <cellStyle name="Процентный 5 2 4 3" xfId="61811"/>
    <cellStyle name="Процентный 5 2 4 4" xfId="61812"/>
    <cellStyle name="Процентный 5 2 5" xfId="61813"/>
    <cellStyle name="Процентный 5 2 6" xfId="61814"/>
    <cellStyle name="Процентный 5 2 7" xfId="61815"/>
    <cellStyle name="Процентный 5 2 8" xfId="61816"/>
    <cellStyle name="Процентный 5 2 9" xfId="61817"/>
    <cellStyle name="Процентный 5 3" xfId="61818"/>
    <cellStyle name="Процентный 5 3 2" xfId="61819"/>
    <cellStyle name="Процентный 5 3 2 2" xfId="61820"/>
    <cellStyle name="Процентный 5 3 2 2 2" xfId="61821"/>
    <cellStyle name="Процентный 5 3 2 2 3" xfId="61822"/>
    <cellStyle name="Процентный 5 3 2 2 4" xfId="61823"/>
    <cellStyle name="Процентный 5 3 2 3" xfId="61824"/>
    <cellStyle name="Процентный 5 3 2 4" xfId="61825"/>
    <cellStyle name="Процентный 5 3 2 5" xfId="61826"/>
    <cellStyle name="Процентный 5 3 3" xfId="61827"/>
    <cellStyle name="Процентный 5 3 3 2" xfId="61828"/>
    <cellStyle name="Процентный 5 3 3 2 2" xfId="61829"/>
    <cellStyle name="Процентный 5 3 3 2 3" xfId="61830"/>
    <cellStyle name="Процентный 5 3 3 2 4" xfId="61831"/>
    <cellStyle name="Процентный 5 3 3 3" xfId="61832"/>
    <cellStyle name="Процентный 5 3 3 4" xfId="61833"/>
    <cellStyle name="Процентный 5 3 3 5" xfId="61834"/>
    <cellStyle name="Процентный 5 3 4" xfId="61835"/>
    <cellStyle name="Процентный 5 3 4 2" xfId="61836"/>
    <cellStyle name="Процентный 5 3 4 3" xfId="61837"/>
    <cellStyle name="Процентный 5 3 4 4" xfId="61838"/>
    <cellStyle name="Процентный 5 3 5" xfId="61839"/>
    <cellStyle name="Процентный 5 3 6" xfId="61840"/>
    <cellStyle name="Процентный 5 3 7" xfId="61841"/>
    <cellStyle name="Процентный 5 4" xfId="61842"/>
    <cellStyle name="Процентный 5 4 2" xfId="61843"/>
    <cellStyle name="Процентный 5 4 2 2" xfId="61844"/>
    <cellStyle name="Процентный 5 4 2 2 2" xfId="61845"/>
    <cellStyle name="Процентный 5 4 2 2 3" xfId="61846"/>
    <cellStyle name="Процентный 5 4 2 2 4" xfId="61847"/>
    <cellStyle name="Процентный 5 4 2 3" xfId="61848"/>
    <cellStyle name="Процентный 5 4 2 4" xfId="61849"/>
    <cellStyle name="Процентный 5 4 2 5" xfId="61850"/>
    <cellStyle name="Процентный 5 4 3" xfId="61851"/>
    <cellStyle name="Процентный 5 4 3 2" xfId="61852"/>
    <cellStyle name="Процентный 5 4 3 2 2" xfId="61853"/>
    <cellStyle name="Процентный 5 4 3 2 3" xfId="61854"/>
    <cellStyle name="Процентный 5 4 3 2 4" xfId="61855"/>
    <cellStyle name="Процентный 5 4 3 3" xfId="61856"/>
    <cellStyle name="Процентный 5 4 3 4" xfId="61857"/>
    <cellStyle name="Процентный 5 4 3 5" xfId="61858"/>
    <cellStyle name="Процентный 5 4 4" xfId="61859"/>
    <cellStyle name="Процентный 5 4 4 2" xfId="61860"/>
    <cellStyle name="Процентный 5 4 4 3" xfId="61861"/>
    <cellStyle name="Процентный 5 4 4 4" xfId="61862"/>
    <cellStyle name="Процентный 5 4 5" xfId="61863"/>
    <cellStyle name="Процентный 5 4 6" xfId="61864"/>
    <cellStyle name="Процентный 5 4 7" xfId="61865"/>
    <cellStyle name="Процентный 5 5" xfId="61866"/>
    <cellStyle name="Процентный 5 5 2" xfId="61867"/>
    <cellStyle name="Процентный 5 5 2 2" xfId="61868"/>
    <cellStyle name="Процентный 5 5 2 3" xfId="61869"/>
    <cellStyle name="Процентный 5 5 2 4" xfId="61870"/>
    <cellStyle name="Процентный 5 5 3" xfId="61871"/>
    <cellStyle name="Процентный 5 5 4" xfId="61872"/>
    <cellStyle name="Процентный 5 5 5" xfId="61873"/>
    <cellStyle name="Процентный 5 6" xfId="61874"/>
    <cellStyle name="Процентный 5 6 2" xfId="61875"/>
    <cellStyle name="Процентный 5 6 2 2" xfId="61876"/>
    <cellStyle name="Процентный 5 6 2 3" xfId="61877"/>
    <cellStyle name="Процентный 5 6 2 4" xfId="61878"/>
    <cellStyle name="Процентный 5 6 3" xfId="61879"/>
    <cellStyle name="Процентный 5 6 4" xfId="61880"/>
    <cellStyle name="Процентный 5 6 5" xfId="61881"/>
    <cellStyle name="Процентный 5 7" xfId="61882"/>
    <cellStyle name="Процентный 5 7 2" xfId="61883"/>
    <cellStyle name="Процентный 5 7 3" xfId="61884"/>
    <cellStyle name="Процентный 5 7 4" xfId="61885"/>
    <cellStyle name="Процентный 5 8" xfId="61886"/>
    <cellStyle name="Процентный 5 9" xfId="61887"/>
    <cellStyle name="Процентный 6" xfId="61888"/>
    <cellStyle name="Процентный 6 2" xfId="61889"/>
    <cellStyle name="Процентный 6 2 2" xfId="61890"/>
    <cellStyle name="Процентный 6 2 2 2" xfId="61891"/>
    <cellStyle name="Процентный 6 2 2 2 2" xfId="61892"/>
    <cellStyle name="Процентный 6 2 2 2 2 2" xfId="61893"/>
    <cellStyle name="Процентный 6 2 2 2 2 2 2" xfId="61894"/>
    <cellStyle name="Процентный 6 2 2 2 2 2 2 2" xfId="61895"/>
    <cellStyle name="Процентный 6 2 2 2 2 2 2 2 2" xfId="61896"/>
    <cellStyle name="Процентный 6 2 2 2 2 2 2 2 3" xfId="61897"/>
    <cellStyle name="Процентный 6 2 2 2 2 2 2 2 4" xfId="61898"/>
    <cellStyle name="Процентный 6 2 2 2 2 2 2 3" xfId="61899"/>
    <cellStyle name="Процентный 6 2 2 2 2 2 2 4" xfId="61900"/>
    <cellStyle name="Процентный 6 2 2 2 2 2 2 5" xfId="61901"/>
    <cellStyle name="Процентный 6 2 2 2 2 2 3" xfId="61902"/>
    <cellStyle name="Процентный 6 2 2 2 2 2 3 2" xfId="61903"/>
    <cellStyle name="Процентный 6 2 2 2 2 2 3 2 2" xfId="61904"/>
    <cellStyle name="Процентный 6 2 2 2 2 2 3 2 2 2" xfId="61905"/>
    <cellStyle name="Процентный 6 2 2 2 2 2 3 2 2 2 2" xfId="61906"/>
    <cellStyle name="Процентный 6 2 2 2 2 2 3 2 2 2 3" xfId="61907"/>
    <cellStyle name="Процентный 6 2 2 2 2 2 3 2 2 2 4" xfId="61908"/>
    <cellStyle name="Процентный 6 2 2 2 2 2 3 2 2 3" xfId="61909"/>
    <cellStyle name="Процентный 6 2 2 2 2 2 3 2 2 3 2" xfId="61910"/>
    <cellStyle name="Процентный 6 2 2 2 2 2 3 2 2 3 2 2" xfId="61911"/>
    <cellStyle name="Процентный 6 2 2 2 2 2 3 2 2 3 2 2 2" xfId="61912"/>
    <cellStyle name="Процентный 6 2 2 2 2 2 3 2 2 3 2 2 2 2" xfId="61913"/>
    <cellStyle name="Процентный 6 2 2 2 2 2 3 2 2 3 2 2 2 2 2" xfId="61914"/>
    <cellStyle name="Процентный 6 2 2 2 2 2 3 2 2 3 2 2 2 2 2 2" xfId="61915"/>
    <cellStyle name="Процентный 6 2 2 2 2 2 3 2 2 3 2 2 2 2 2 2 2" xfId="61916"/>
    <cellStyle name="Процентный 6 2 2 2 2 2 3 2 2 3 2 2 2 2 2 2 3" xfId="61917"/>
    <cellStyle name="Процентный 6 2 2 2 2 2 3 2 2 3 2 2 2 2 2 2 4" xfId="61918"/>
    <cellStyle name="Процентный 6 2 2 2 2 2 3 2 2 3 2 2 2 2 2 3" xfId="61919"/>
    <cellStyle name="Процентный 6 2 2 2 2 2 3 2 2 3 2 2 2 2 2 4" xfId="61920"/>
    <cellStyle name="Процентный 6 2 2 2 2 2 3 2 2 3 2 2 2 2 2 5" xfId="61921"/>
    <cellStyle name="Процентный 6 2 2 2 2 2 3 2 2 3 2 2 2 2 3" xfId="61922"/>
    <cellStyle name="Процентный 6 2 2 2 2 2 3 2 2 3 2 2 2 2 4" xfId="61923"/>
    <cellStyle name="Процентный 6 2 2 2 2 2 3 2 2 3 2 2 2 2 5" xfId="61924"/>
    <cellStyle name="Процентный 6 2 2 2 2 2 3 2 2 3 2 2 2 3" xfId="61925"/>
    <cellStyle name="Процентный 6 2 2 2 2 2 3 2 2 3 2 2 2 4" xfId="61926"/>
    <cellStyle name="Процентный 6 2 2 2 2 2 3 2 2 3 2 2 2 5" xfId="61927"/>
    <cellStyle name="Процентный 6 2 2 2 2 2 3 2 2 3 2 2 3" xfId="61928"/>
    <cellStyle name="Процентный 6 2 2 2 2 2 3 2 2 3 2 2 4" xfId="61929"/>
    <cellStyle name="Процентный 6 2 2 2 2 2 3 2 2 3 2 2 5" xfId="61930"/>
    <cellStyle name="Процентный 6 2 2 2 2 2 3 2 2 3 2 3" xfId="61931"/>
    <cellStyle name="Процентный 6 2 2 2 2 2 3 2 2 3 2 4" xfId="61932"/>
    <cellStyle name="Процентный 6 2 2 2 2 2 3 2 2 3 2 5" xfId="61933"/>
    <cellStyle name="Процентный 6 2 2 2 2 2 3 2 2 3 3" xfId="61934"/>
    <cellStyle name="Процентный 6 2 2 2 2 2 3 2 2 3 4" xfId="61935"/>
    <cellStyle name="Процентный 6 2 2 2 2 2 3 2 2 3 5" xfId="61936"/>
    <cellStyle name="Процентный 6 2 2 2 2 2 3 2 2 4" xfId="61937"/>
    <cellStyle name="Процентный 6 2 2 2 2 2 3 2 2 5" xfId="61938"/>
    <cellStyle name="Процентный 6 2 2 2 2 2 3 2 2 6" xfId="61939"/>
    <cellStyle name="Процентный 6 2 2 2 2 2 3 2 3" xfId="61940"/>
    <cellStyle name="Процентный 6 2 2 2 2 2 3 2 3 2" xfId="61941"/>
    <cellStyle name="Процентный 6 2 2 2 2 2 3 2 3 3" xfId="61942"/>
    <cellStyle name="Процентный 6 2 2 2 2 2 3 2 3 4" xfId="61943"/>
    <cellStyle name="Процентный 6 2 2 2 2 2 3 2 4" xfId="61944"/>
    <cellStyle name="Процентный 6 2 2 2 2 2 3 2 5" xfId="61945"/>
    <cellStyle name="Процентный 6 2 2 2 2 2 3 2 6" xfId="61946"/>
    <cellStyle name="Процентный 6 2 2 2 2 2 3 3" xfId="61947"/>
    <cellStyle name="Процентный 6 2 2 2 2 2 3 3 2" xfId="61948"/>
    <cellStyle name="Процентный 6 2 2 2 2 2 3 3 3" xfId="61949"/>
    <cellStyle name="Процентный 6 2 2 2 2 2 3 3 4" xfId="61950"/>
    <cellStyle name="Процентный 6 2 2 2 2 2 3 4" xfId="61951"/>
    <cellStyle name="Процентный 6 2 2 2 2 2 3 5" xfId="61952"/>
    <cellStyle name="Процентный 6 2 2 2 2 2 3 6" xfId="61953"/>
    <cellStyle name="Процентный 6 2 2 2 2 2 4" xfId="61954"/>
    <cellStyle name="Процентный 6 2 2 2 2 2 4 2" xfId="61955"/>
    <cellStyle name="Процентный 6 2 2 2 2 2 4 2 2" xfId="61956"/>
    <cellStyle name="Процентный 6 2 2 2 2 2 4 2 2 2" xfId="61957"/>
    <cellStyle name="Процентный 6 2 2 2 2 2 4 2 2 3" xfId="61958"/>
    <cellStyle name="Процентный 6 2 2 2 2 2 4 2 2 4" xfId="61959"/>
    <cellStyle name="Процентный 6 2 2 2 2 2 4 2 3" xfId="61960"/>
    <cellStyle name="Процентный 6 2 2 2 2 2 4 2 3 2" xfId="61961"/>
    <cellStyle name="Процентный 6 2 2 2 2 2 4 2 3 2 2" xfId="61962"/>
    <cellStyle name="Процентный 6 2 2 2 2 2 4 2 3 2 2 2" xfId="61963"/>
    <cellStyle name="Процентный 6 2 2 2 2 2 4 2 3 2 2 2 2" xfId="61964"/>
    <cellStyle name="Процентный 6 2 2 2 2 2 4 2 3 2 2 2 2 2" xfId="61965"/>
    <cellStyle name="Процентный 6 2 2 2 2 2 4 2 3 2 2 2 2 2 2" xfId="61966"/>
    <cellStyle name="Процентный 6 2 2 2 2 2 4 2 3 2 2 2 2 2 2 2" xfId="61967"/>
    <cellStyle name="Процентный 6 2 2 2 2 2 4 2 3 2 2 2 2 2 2 2 2" xfId="61968"/>
    <cellStyle name="Процентный 6 2 2 2 2 2 4 2 3 2 2 2 2 2 2 2 2 2" xfId="61969"/>
    <cellStyle name="Процентный 6 2 2 2 2 2 4 2 3 2 2 2 2 2 2 2 2 2 2" xfId="61970"/>
    <cellStyle name="Процентный 6 2 2 2 2 2 4 2 3 2 2 2 2 2 2 2 2 2 2 2" xfId="61971"/>
    <cellStyle name="Процентный 6 2 2 2 2 2 4 2 3 2 2 2 2 2 2 2 2 2 2 2 2" xfId="61972"/>
    <cellStyle name="Процентный 6 2 2 2 2 2 4 2 3 2 2 2 2 2 2 2 3" xfId="61973"/>
    <cellStyle name="Процентный 6 2 2 2 2 2 4 2 3 2 2 2 2 2 2 2 4" xfId="61974"/>
    <cellStyle name="Процентный 6 2 2 2 2 2 4 2 3 2 2 2 2 2 2 3" xfId="61975"/>
    <cellStyle name="Процентный 6 2 2 2 2 2 4 2 3 2 2 2 2 2 2 4" xfId="61976"/>
    <cellStyle name="Процентный 6 2 2 2 2 2 4 2 3 2 2 2 2 2 2 5" xfId="61977"/>
    <cellStyle name="Процентный 6 2 2 2 2 2 4 2 3 2 2 2 2 2 3" xfId="61978"/>
    <cellStyle name="Процентный 6 2 2 2 2 2 4 2 3 2 2 2 2 2 3 2" xfId="61979"/>
    <cellStyle name="Процентный 6 2 2 2 2 2 4 2 3 2 2 2 2 2 3 3" xfId="61980"/>
    <cellStyle name="Процентный 6 2 2 2 2 2 4 2 3 2 2 2 2 2 3 4" xfId="61981"/>
    <cellStyle name="Процентный 6 2 2 2 2 2 4 2 3 2 2 2 2 2 3 4 2" xfId="61982"/>
    <cellStyle name="Процентный 6 2 2 2 2 2 4 2 3 2 2 2 2 2 3 4 2 2" xfId="61983"/>
    <cellStyle name="Процентный 6 2 2 2 2 2 4 2 3 2 2 2 2 2 3 4 2 2 2" xfId="61984"/>
    <cellStyle name="Процентный 6 2 2 2 2 2 4 2 3 2 2 2 2 2 3 4 2 2 2 2" xfId="61985"/>
    <cellStyle name="Процентный 6 2 2 2 2 2 4 2 3 2 2 2 2 2 3 5" xfId="61986"/>
    <cellStyle name="Процентный 6 2 2 2 2 2 4 2 3 2 2 2 2 2 3 5 2" xfId="61987"/>
    <cellStyle name="Процентный 6 2 2 2 2 2 4 2 3 2 2 2 2 2 3 5 2 2" xfId="61988"/>
    <cellStyle name="Процентный 6 2 2 2 2 2 4 2 3 2 2 2 2 2 3 5 2 2 2" xfId="61989"/>
    <cellStyle name="Процентный 6 2 2 2 2 2 4 2 3 2 2 2 2 2 4" xfId="61990"/>
    <cellStyle name="Процентный 6 2 2 2 2 2 4 2 3 2 2 2 2 2 5" xfId="61991"/>
    <cellStyle name="Процентный 6 2 2 2 2 2 4 2 3 2 2 2 2 2 6" xfId="61992"/>
    <cellStyle name="Процентный 6 2 2 2 2 2 4 2 3 2 2 2 2 3" xfId="61993"/>
    <cellStyle name="Процентный 6 2 2 2 2 2 4 2 3 2 2 2 2 4" xfId="61994"/>
    <cellStyle name="Процентный 6 2 2 2 2 2 4 2 3 2 2 2 2 5" xfId="61995"/>
    <cellStyle name="Процентный 6 2 2 2 2 2 4 2 3 2 2 2 3" xfId="61996"/>
    <cellStyle name="Процентный 6 2 2 2 2 2 4 2 3 2 2 2 4" xfId="61997"/>
    <cellStyle name="Процентный 6 2 2 2 2 2 4 2 3 2 2 2 5" xfId="61998"/>
    <cellStyle name="Процентный 6 2 2 2 2 2 4 2 3 2 2 3" xfId="61999"/>
    <cellStyle name="Процентный 6 2 2 2 2 2 4 2 3 2 2 4" xfId="62000"/>
    <cellStyle name="Процентный 6 2 2 2 2 2 4 2 3 2 2 5" xfId="62001"/>
    <cellStyle name="Процентный 6 2 2 2 2 2 4 2 3 2 3" xfId="62002"/>
    <cellStyle name="Процентный 6 2 2 2 2 2 4 2 3 2 4" xfId="62003"/>
    <cellStyle name="Процентный 6 2 2 2 2 2 4 2 3 2 5" xfId="62004"/>
    <cellStyle name="Процентный 6 2 2 2 2 2 4 2 3 3" xfId="62005"/>
    <cellStyle name="Процентный 6 2 2 2 2 2 4 2 3 4" xfId="62006"/>
    <cellStyle name="Процентный 6 2 2 2 2 2 4 2 3 5" xfId="62007"/>
    <cellStyle name="Процентный 6 2 2 2 2 2 4 2 4" xfId="62008"/>
    <cellStyle name="Процентный 6 2 2 2 2 2 4 2 5" xfId="62009"/>
    <cellStyle name="Процентный 6 2 2 2 2 2 4 2 6" xfId="62010"/>
    <cellStyle name="Процентный 6 2 2 2 2 2 4 3" xfId="62011"/>
    <cellStyle name="Процентный 6 2 2 2 2 2 4 3 2" xfId="62012"/>
    <cellStyle name="Процентный 6 2 2 2 2 2 4 3 3" xfId="62013"/>
    <cellStyle name="Процентный 6 2 2 2 2 2 4 3 4" xfId="62014"/>
    <cellStyle name="Процентный 6 2 2 2 2 2 4 4" xfId="62015"/>
    <cellStyle name="Процентный 6 2 2 2 2 2 4 5" xfId="62016"/>
    <cellStyle name="Процентный 6 2 2 2 2 2 4 6" xfId="62017"/>
    <cellStyle name="Процентный 6 2 2 2 2 2 5" xfId="62018"/>
    <cellStyle name="Процентный 6 2 2 2 2 2 5 2" xfId="62019"/>
    <cellStyle name="Процентный 6 2 2 2 2 2 5 3" xfId="62020"/>
    <cellStyle name="Процентный 6 2 2 2 2 2 5 4" xfId="62021"/>
    <cellStyle name="Процентный 6 2 2 2 2 2 6" xfId="62022"/>
    <cellStyle name="Процентный 6 2 2 2 2 2 7" xfId="62023"/>
    <cellStyle name="Процентный 6 2 2 2 2 2 8" xfId="62024"/>
    <cellStyle name="Процентный 6 2 2 2 2 3" xfId="62025"/>
    <cellStyle name="Процентный 6 2 2 2 2 3 2" xfId="62026"/>
    <cellStyle name="Процентный 6 2 2 2 2 3 2 2" xfId="62027"/>
    <cellStyle name="Процентный 6 2 2 2 2 3 2 3" xfId="62028"/>
    <cellStyle name="Процентный 6 2 2 2 2 3 2 4" xfId="62029"/>
    <cellStyle name="Процентный 6 2 2 2 2 3 3" xfId="62030"/>
    <cellStyle name="Процентный 6 2 2 2 2 3 4" xfId="62031"/>
    <cellStyle name="Процентный 6 2 2 2 2 3 5" xfId="62032"/>
    <cellStyle name="Процентный 6 2 2 2 2 4" xfId="62033"/>
    <cellStyle name="Процентный 6 2 2 2 2 4 2" xfId="62034"/>
    <cellStyle name="Процентный 6 2 2 2 2 4 2 2" xfId="62035"/>
    <cellStyle name="Процентный 6 2 2 2 2 4 2 3" xfId="62036"/>
    <cellStyle name="Процентный 6 2 2 2 2 4 2 4" xfId="62037"/>
    <cellStyle name="Процентный 6 2 2 2 2 4 3" xfId="62038"/>
    <cellStyle name="Процентный 6 2 2 2 2 4 4" xfId="62039"/>
    <cellStyle name="Процентный 6 2 2 2 2 4 5" xfId="62040"/>
    <cellStyle name="Процентный 6 2 2 2 2 5" xfId="62041"/>
    <cellStyle name="Процентный 6 2 2 2 2 5 2" xfId="62042"/>
    <cellStyle name="Процентный 6 2 2 2 2 5 3" xfId="62043"/>
    <cellStyle name="Процентный 6 2 2 2 2 5 4" xfId="62044"/>
    <cellStyle name="Процентный 6 2 2 2 2 6" xfId="62045"/>
    <cellStyle name="Процентный 6 2 2 2 2 7" xfId="62046"/>
    <cellStyle name="Процентный 6 2 2 2 2 8" xfId="62047"/>
    <cellStyle name="Процентный 6 2 2 2 3" xfId="62048"/>
    <cellStyle name="Процентный 6 2 2 2 3 2" xfId="62049"/>
    <cellStyle name="Процентный 6 2 2 2 3 2 2" xfId="62050"/>
    <cellStyle name="Процентный 6 2 2 2 3 2 3" xfId="62051"/>
    <cellStyle name="Процентный 6 2 2 2 3 2 4" xfId="62052"/>
    <cellStyle name="Процентный 6 2 2 2 3 3" xfId="62053"/>
    <cellStyle name="Процентный 6 2 2 2 3 4" xfId="62054"/>
    <cellStyle name="Процентный 6 2 2 2 3 5" xfId="62055"/>
    <cellStyle name="Процентный 6 2 2 2 4" xfId="62056"/>
    <cellStyle name="Процентный 6 2 2 2 4 2" xfId="62057"/>
    <cellStyle name="Процентный 6 2 2 2 4 2 2" xfId="62058"/>
    <cellStyle name="Процентный 6 2 2 2 4 2 3" xfId="62059"/>
    <cellStyle name="Процентный 6 2 2 2 4 2 4" xfId="62060"/>
    <cellStyle name="Процентный 6 2 2 2 4 3" xfId="62061"/>
    <cellStyle name="Процентный 6 2 2 2 4 4" xfId="62062"/>
    <cellStyle name="Процентный 6 2 2 2 4 5" xfId="62063"/>
    <cellStyle name="Процентный 6 2 2 2 5" xfId="62064"/>
    <cellStyle name="Процентный 6 2 2 2 5 2" xfId="62065"/>
    <cellStyle name="Процентный 6 2 2 2 5 3" xfId="62066"/>
    <cellStyle name="Процентный 6 2 2 2 5 4" xfId="62067"/>
    <cellStyle name="Процентный 6 2 2 2 6" xfId="62068"/>
    <cellStyle name="Процентный 6 2 2 2 7" xfId="62069"/>
    <cellStyle name="Процентный 6 2 2 2 8" xfId="62070"/>
    <cellStyle name="Процентный 6 2 2 3" xfId="62071"/>
    <cellStyle name="Процентный 6 2 2 3 2" xfId="62072"/>
    <cellStyle name="Процентный 6 2 2 3 2 2" xfId="62073"/>
    <cellStyle name="Процентный 6 2 2 3 2 3" xfId="62074"/>
    <cellStyle name="Процентный 6 2 2 3 2 4" xfId="62075"/>
    <cellStyle name="Процентный 6 2 2 3 3" xfId="62076"/>
    <cellStyle name="Процентный 6 2 2 3 4" xfId="62077"/>
    <cellStyle name="Процентный 6 2 2 3 5" xfId="62078"/>
    <cellStyle name="Процентный 6 2 2 4" xfId="62079"/>
    <cellStyle name="Процентный 6 2 2 4 2" xfId="62080"/>
    <cellStyle name="Процентный 6 2 2 4 2 2" xfId="62081"/>
    <cellStyle name="Процентный 6 2 2 4 2 3" xfId="62082"/>
    <cellStyle name="Процентный 6 2 2 4 2 4" xfId="62083"/>
    <cellStyle name="Процентный 6 2 2 4 3" xfId="62084"/>
    <cellStyle name="Процентный 6 2 2 4 4" xfId="62085"/>
    <cellStyle name="Процентный 6 2 2 4 5" xfId="62086"/>
    <cellStyle name="Процентный 6 2 2 5" xfId="62087"/>
    <cellStyle name="Процентный 6 2 2 5 2" xfId="62088"/>
    <cellStyle name="Процентный 6 2 2 5 3" xfId="62089"/>
    <cellStyle name="Процентный 6 2 2 5 4" xfId="62090"/>
    <cellStyle name="Процентный 6 2 2 6" xfId="62091"/>
    <cellStyle name="Процентный 6 2 2 7" xfId="62092"/>
    <cellStyle name="Процентный 6 2 2 8" xfId="62093"/>
    <cellStyle name="Процентный 6 2 3" xfId="62094"/>
    <cellStyle name="Процентный 6 2 3 2" xfId="62095"/>
    <cellStyle name="Процентный 6 2 3 2 2" xfId="62096"/>
    <cellStyle name="Процентный 6 2 3 2 3" xfId="62097"/>
    <cellStyle name="Процентный 6 2 3 2 4" xfId="62098"/>
    <cellStyle name="Процентный 6 2 3 3" xfId="62099"/>
    <cellStyle name="Процентный 6 2 3 4" xfId="62100"/>
    <cellStyle name="Процентный 6 2 3 5" xfId="62101"/>
    <cellStyle name="Процентный 6 2 4" xfId="62102"/>
    <cellStyle name="Процентный 6 2 4 2" xfId="62103"/>
    <cellStyle name="Процентный 6 2 4 2 2" xfId="62104"/>
    <cellStyle name="Процентный 6 2 4 2 3" xfId="62105"/>
    <cellStyle name="Процентный 6 2 4 2 4" xfId="62106"/>
    <cellStyle name="Процентный 6 2 4 3" xfId="62107"/>
    <cellStyle name="Процентный 6 2 4 4" xfId="62108"/>
    <cellStyle name="Процентный 6 2 4 5" xfId="62109"/>
    <cellStyle name="Процентный 6 2 5" xfId="62110"/>
    <cellStyle name="Процентный 6 2 5 2" xfId="62111"/>
    <cellStyle name="Процентный 6 2 5 3" xfId="62112"/>
    <cellStyle name="Процентный 6 2 5 4" xfId="62113"/>
    <cellStyle name="Процентный 6 2 6" xfId="62114"/>
    <cellStyle name="Процентный 6 2 7" xfId="62115"/>
    <cellStyle name="Процентный 6 2 8" xfId="62116"/>
    <cellStyle name="Процентный 6 3" xfId="62117"/>
    <cellStyle name="Процентный 6 3 2" xfId="62118"/>
    <cellStyle name="Процентный 6 3 2 2" xfId="62119"/>
    <cellStyle name="Процентный 6 3 2 3" xfId="62120"/>
    <cellStyle name="Процентный 6 3 2 4" xfId="62121"/>
    <cellStyle name="Процентный 6 3 3" xfId="62122"/>
    <cellStyle name="Процентный 6 3 4" xfId="62123"/>
    <cellStyle name="Процентный 6 3 5" xfId="62124"/>
    <cellStyle name="Процентный 6 4" xfId="62125"/>
    <cellStyle name="Процентный 6 4 2" xfId="62126"/>
    <cellStyle name="Процентный 6 4 2 2" xfId="62127"/>
    <cellStyle name="Процентный 6 4 2 3" xfId="62128"/>
    <cellStyle name="Процентный 6 4 2 4" xfId="62129"/>
    <cellStyle name="Процентный 6 4 3" xfId="62130"/>
    <cellStyle name="Процентный 6 4 4" xfId="62131"/>
    <cellStyle name="Процентный 6 4 5" xfId="62132"/>
    <cellStyle name="Процентный 6 5" xfId="62133"/>
    <cellStyle name="Процентный 6 5 2" xfId="62134"/>
    <cellStyle name="Процентный 6 5 3" xfId="62135"/>
    <cellStyle name="Процентный 6 5 4" xfId="62136"/>
    <cellStyle name="Процентный 6 6" xfId="62137"/>
    <cellStyle name="Процентный 6 7" xfId="62138"/>
    <cellStyle name="Процентный 6 8" xfId="62139"/>
    <cellStyle name="Процентный 7" xfId="62140"/>
    <cellStyle name="Процентный 7 2" xfId="62141"/>
    <cellStyle name="Процентный 7 2 2" xfId="62142"/>
    <cellStyle name="Процентный 7 2 2 2" xfId="62143"/>
    <cellStyle name="Процентный 7 2 2 2 2" xfId="62144"/>
    <cellStyle name="Процентный 7 2 2 2 3" xfId="62145"/>
    <cellStyle name="Процентный 7 2 2 2 4" xfId="62146"/>
    <cellStyle name="Процентный 7 2 2 3" xfId="62147"/>
    <cellStyle name="Процентный 7 2 2 4" xfId="62148"/>
    <cellStyle name="Процентный 7 2 2 5" xfId="62149"/>
    <cellStyle name="Процентный 7 2 3" xfId="62150"/>
    <cellStyle name="Процентный 7 2 3 2" xfId="62151"/>
    <cellStyle name="Процентный 7 2 3 2 2" xfId="62152"/>
    <cellStyle name="Процентный 7 2 3 2 3" xfId="62153"/>
    <cellStyle name="Процентный 7 2 3 2 4" xfId="62154"/>
    <cellStyle name="Процентный 7 2 3 3" xfId="62155"/>
    <cellStyle name="Процентный 7 2 3 4" xfId="62156"/>
    <cellStyle name="Процентный 7 2 3 5" xfId="62157"/>
    <cellStyle name="Процентный 7 2 4" xfId="62158"/>
    <cellStyle name="Процентный 7 2 4 2" xfId="62159"/>
    <cellStyle name="Процентный 7 2 4 3" xfId="62160"/>
    <cellStyle name="Процентный 7 2 4 4" xfId="62161"/>
    <cellStyle name="Процентный 7 2 5" xfId="62162"/>
    <cellStyle name="Процентный 7 2 6" xfId="62163"/>
    <cellStyle name="Процентный 7 2 7" xfId="62164"/>
    <cellStyle name="Процентный 7 3" xfId="62165"/>
    <cellStyle name="Процентный 7 3 2" xfId="62166"/>
    <cellStyle name="Процентный 7 3 2 2" xfId="62167"/>
    <cellStyle name="Процентный 7 3 2 3" xfId="62168"/>
    <cellStyle name="Процентный 7 3 2 4" xfId="62169"/>
    <cellStyle name="Процентный 7 3 3" xfId="62170"/>
    <cellStyle name="Процентный 7 3 4" xfId="62171"/>
    <cellStyle name="Процентный 7 3 5" xfId="62172"/>
    <cellStyle name="Процентный 7 4" xfId="62173"/>
    <cellStyle name="Процентный 7 4 2" xfId="62174"/>
    <cellStyle name="Процентный 7 4 2 2" xfId="62175"/>
    <cellStyle name="Процентный 7 4 2 3" xfId="62176"/>
    <cellStyle name="Процентный 7 4 2 4" xfId="62177"/>
    <cellStyle name="Процентный 7 4 3" xfId="62178"/>
    <cellStyle name="Процентный 7 4 4" xfId="62179"/>
    <cellStyle name="Процентный 7 4 5" xfId="62180"/>
    <cellStyle name="Процентный 7 5" xfId="62181"/>
    <cellStyle name="Процентный 7 5 2" xfId="62182"/>
    <cellStyle name="Процентный 7 5 3" xfId="62183"/>
    <cellStyle name="Процентный 7 5 4" xfId="62184"/>
    <cellStyle name="Процентный 7 6" xfId="62185"/>
    <cellStyle name="Процентный 7 7" xfId="62186"/>
    <cellStyle name="Процентный 7 8" xfId="62187"/>
    <cellStyle name="Процентный 8" xfId="62188"/>
    <cellStyle name="Процентный 8 2" xfId="62189"/>
    <cellStyle name="Процентный 8 2 2" xfId="62190"/>
    <cellStyle name="Процентный 8 2 3" xfId="62191"/>
    <cellStyle name="Процентный 8 2 4" xfId="62192"/>
    <cellStyle name="Процентный 8 3" xfId="62193"/>
    <cellStyle name="Процентный 8 4" xfId="62194"/>
    <cellStyle name="Процентный 8 5" xfId="62195"/>
    <cellStyle name="Процентный 9" xfId="62196"/>
    <cellStyle name="Проценты" xfId="62197"/>
    <cellStyle name="Связанная ячейка 10" xfId="62198"/>
    <cellStyle name="Связанная ячейка 11" xfId="62199"/>
    <cellStyle name="Связанная ячейка 12" xfId="62200"/>
    <cellStyle name="Связанная ячейка 13" xfId="62201"/>
    <cellStyle name="Связанная ячейка 14" xfId="62202"/>
    <cellStyle name="Связанная ячейка 15" xfId="62203"/>
    <cellStyle name="Связанная ячейка 16" xfId="62204"/>
    <cellStyle name="Связанная ячейка 17" xfId="62205"/>
    <cellStyle name="Связанная ячейка 18" xfId="62206"/>
    <cellStyle name="Связанная ячейка 19" xfId="62207"/>
    <cellStyle name="Связанная ячейка 2" xfId="62208"/>
    <cellStyle name="Связанная ячейка 2 2" xfId="62209"/>
    <cellStyle name="Связанная ячейка 20" xfId="62210"/>
    <cellStyle name="Связанная ячейка 21" xfId="62211"/>
    <cellStyle name="Связанная ячейка 22" xfId="62212"/>
    <cellStyle name="Связанная ячейка 23" xfId="62213"/>
    <cellStyle name="Связанная ячейка 24" xfId="62214"/>
    <cellStyle name="Связанная ячейка 3" xfId="62215"/>
    <cellStyle name="Связанная ячейка 3 2" xfId="62216"/>
    <cellStyle name="Связанная ячейка 4" xfId="62217"/>
    <cellStyle name="Связанная ячейка 4 2" xfId="62218"/>
    <cellStyle name="Связанная ячейка 5" xfId="62219"/>
    <cellStyle name="Связанная ячейка 5 2" xfId="62220"/>
    <cellStyle name="Связанная ячейка 6" xfId="62221"/>
    <cellStyle name="Связанная ячейка 7" xfId="62222"/>
    <cellStyle name="Связанная ячейка 8" xfId="62223"/>
    <cellStyle name="Связанная ячейка 9" xfId="62224"/>
    <cellStyle name="Стиль 1" xfId="62225"/>
    <cellStyle name="Стиль 1 10" xfId="62226"/>
    <cellStyle name="Стиль 1 11" xfId="62227"/>
    <cellStyle name="Стиль 1 12" xfId="62228"/>
    <cellStyle name="Стиль 1 13" xfId="62229"/>
    <cellStyle name="Стиль 1 2" xfId="62230"/>
    <cellStyle name="Стиль 1 2 2" xfId="62231"/>
    <cellStyle name="Стиль 1 2 3" xfId="62232"/>
    <cellStyle name="Стиль 1 2 4" xfId="62233"/>
    <cellStyle name="Стиль 1 2 5" xfId="62234"/>
    <cellStyle name="Стиль 1 3" xfId="62235"/>
    <cellStyle name="Стиль 1 3 2" xfId="62236"/>
    <cellStyle name="Стиль 1 3 3" xfId="62237"/>
    <cellStyle name="Стиль 1 3 4" xfId="62238"/>
    <cellStyle name="Стиль 1 4" xfId="62239"/>
    <cellStyle name="Стиль 1 4 2" xfId="62240"/>
    <cellStyle name="Стиль 1 4 3" xfId="62241"/>
    <cellStyle name="Стиль 1 4 4" xfId="62242"/>
    <cellStyle name="Стиль 1 4 5" xfId="62243"/>
    <cellStyle name="Стиль 1 4 6" xfId="62244"/>
    <cellStyle name="Стиль 1 4 7" xfId="62245"/>
    <cellStyle name="Стиль 1 4 8" xfId="62246"/>
    <cellStyle name="Стиль 1 4 9" xfId="62247"/>
    <cellStyle name="Стиль 1 5" xfId="62248"/>
    <cellStyle name="Стиль 1 5 2" xfId="62249"/>
    <cellStyle name="Стиль 1 5 3" xfId="62250"/>
    <cellStyle name="Стиль 1 5 4" xfId="62251"/>
    <cellStyle name="Стиль 1 5 5" xfId="62252"/>
    <cellStyle name="Стиль 1 5 6" xfId="62253"/>
    <cellStyle name="Стиль 1 5 7" xfId="62254"/>
    <cellStyle name="Стиль 1 5 8" xfId="62255"/>
    <cellStyle name="Стиль 1 5 9" xfId="62256"/>
    <cellStyle name="Стиль 1 6" xfId="62257"/>
    <cellStyle name="Стиль 1 7" xfId="62258"/>
    <cellStyle name="Стиль 1 8" xfId="62259"/>
    <cellStyle name="Стиль 1 9" xfId="62260"/>
    <cellStyle name="Стиль 1_трудовичьи формы на 2008 год" xfId="62261"/>
    <cellStyle name="Стиль 2" xfId="62262"/>
    <cellStyle name="ТЕКСТ" xfId="62263"/>
    <cellStyle name="Текст предупреждения 10" xfId="62264"/>
    <cellStyle name="Текст предупреждения 11" xfId="62265"/>
    <cellStyle name="Текст предупреждения 12" xfId="62266"/>
    <cellStyle name="Текст предупреждения 13" xfId="62267"/>
    <cellStyle name="Текст предупреждения 14" xfId="62268"/>
    <cellStyle name="Текст предупреждения 15" xfId="62269"/>
    <cellStyle name="Текст предупреждения 16" xfId="62270"/>
    <cellStyle name="Текст предупреждения 17" xfId="62271"/>
    <cellStyle name="Текст предупреждения 18" xfId="62272"/>
    <cellStyle name="Текст предупреждения 19" xfId="62273"/>
    <cellStyle name="Текст предупреждения 2" xfId="62274"/>
    <cellStyle name="Текст предупреждения 2 2" xfId="62275"/>
    <cellStyle name="Текст предупреждения 20" xfId="62276"/>
    <cellStyle name="Текст предупреждения 21" xfId="62277"/>
    <cellStyle name="Текст предупреждения 22" xfId="62278"/>
    <cellStyle name="Текст предупреждения 23" xfId="62279"/>
    <cellStyle name="Текст предупреждения 24" xfId="62280"/>
    <cellStyle name="Текст предупреждения 3" xfId="62281"/>
    <cellStyle name="Текст предупреждения 3 2" xfId="62282"/>
    <cellStyle name="Текст предупреждения 4" xfId="62283"/>
    <cellStyle name="Текст предупреждения 4 2" xfId="62284"/>
    <cellStyle name="Текст предупреждения 5" xfId="62285"/>
    <cellStyle name="Текст предупреждения 5 2" xfId="62286"/>
    <cellStyle name="Текст предупреждения 6" xfId="62287"/>
    <cellStyle name="Текст предупреждения 7" xfId="62288"/>
    <cellStyle name="Текст предупреждения 8" xfId="62289"/>
    <cellStyle name="Текст предупреждения 9" xfId="62290"/>
    <cellStyle name="тонны" xfId="62291"/>
    <cellStyle name="тонны 10" xfId="62292"/>
    <cellStyle name="тонны 11" xfId="62293"/>
    <cellStyle name="тонны 12" xfId="62294"/>
    <cellStyle name="тонны 13" xfId="62295"/>
    <cellStyle name="тонны 2" xfId="62296"/>
    <cellStyle name="тонны 3" xfId="62297"/>
    <cellStyle name="тонны 4" xfId="62298"/>
    <cellStyle name="тонны 5" xfId="62299"/>
    <cellStyle name="тонны 6" xfId="62300"/>
    <cellStyle name="тонны 7" xfId="62301"/>
    <cellStyle name="тонны 8" xfId="62302"/>
    <cellStyle name="тонны 9" xfId="62303"/>
    <cellStyle name="Тысячи [0]_BHF_3" xfId="62304"/>
    <cellStyle name="Тысячи [а]" xfId="62305"/>
    <cellStyle name="Тысячи_BHF_3" xfId="62306"/>
    <cellStyle name="Финансовый [0] 2" xfId="62307"/>
    <cellStyle name="Финансовый 10" xfId="62308"/>
    <cellStyle name="Финансовый 10 2" xfId="62309"/>
    <cellStyle name="Финансовый 11" xfId="62310"/>
    <cellStyle name="Финансовый 12" xfId="62311"/>
    <cellStyle name="Финансовый 13" xfId="62312"/>
    <cellStyle name="Финансовый 14" xfId="62313"/>
    <cellStyle name="Финансовый 15" xfId="62314"/>
    <cellStyle name="Финансовый 16" xfId="62315"/>
    <cellStyle name="Финансовый 17" xfId="62316"/>
    <cellStyle name="Финансовый 18" xfId="62317"/>
    <cellStyle name="Финансовый 19" xfId="62318"/>
    <cellStyle name="Финансовый 2" xfId="62319"/>
    <cellStyle name="Финансовый 2 2" xfId="62320"/>
    <cellStyle name="Финансовый 2 2 2" xfId="62321"/>
    <cellStyle name="Финансовый 2 2 3" xfId="62322"/>
    <cellStyle name="Финансовый 2 3" xfId="62323"/>
    <cellStyle name="Финансовый 2 4" xfId="62324"/>
    <cellStyle name="Финансовый 2 5" xfId="62325"/>
    <cellStyle name="Финансовый 2 6" xfId="62326"/>
    <cellStyle name="Финансовый 2 7" xfId="62327"/>
    <cellStyle name="Финансовый 2_Калькуляции ДСМ" xfId="62328"/>
    <cellStyle name="Финансовый 20" xfId="62329"/>
    <cellStyle name="Финансовый 21" xfId="62330"/>
    <cellStyle name="Финансовый 22" xfId="62331"/>
    <cellStyle name="Финансовый 23" xfId="62332"/>
    <cellStyle name="Финансовый 24" xfId="62333"/>
    <cellStyle name="Финансовый 25" xfId="62334"/>
    <cellStyle name="Финансовый 26" xfId="62335"/>
    <cellStyle name="Финансовый 27" xfId="62336"/>
    <cellStyle name="Финансовый 28" xfId="62337"/>
    <cellStyle name="Финансовый 29" xfId="62338"/>
    <cellStyle name="Финансовый 3" xfId="62339"/>
    <cellStyle name="Финансовый 3 2" xfId="62340"/>
    <cellStyle name="Финансовый 3 2 2" xfId="62341"/>
    <cellStyle name="Финансовый 3 3" xfId="62342"/>
    <cellStyle name="Финансовый 3 4" xfId="62343"/>
    <cellStyle name="Финансовый 3 5" xfId="62344"/>
    <cellStyle name="Финансовый 3 6" xfId="62345"/>
    <cellStyle name="Финансовый 3 7" xfId="62346"/>
    <cellStyle name="Финансовый 30" xfId="62347"/>
    <cellStyle name="Финансовый 4" xfId="62348"/>
    <cellStyle name="Финансовый 4 2" xfId="62349"/>
    <cellStyle name="Финансовый 4 2 2" xfId="62350"/>
    <cellStyle name="Финансовый 4 2 2 2" xfId="62351"/>
    <cellStyle name="Финансовый 4 2 2 2 2" xfId="62352"/>
    <cellStyle name="Финансовый 4 2 2 2 2 2" xfId="62353"/>
    <cellStyle name="Финансовый 4 2 2 2 2 2 2" xfId="62354"/>
    <cellStyle name="Финансовый 4 2 2 2 2 2 2 2" xfId="62355"/>
    <cellStyle name="Финансовый 4 2 2 2 2 2 2 3" xfId="62356"/>
    <cellStyle name="Финансовый 4 2 2 2 2 2 2 4" xfId="62357"/>
    <cellStyle name="Финансовый 4 2 2 2 2 2 3" xfId="62358"/>
    <cellStyle name="Финансовый 4 2 2 2 2 2 4" xfId="62359"/>
    <cellStyle name="Финансовый 4 2 2 2 2 2 5" xfId="62360"/>
    <cellStyle name="Финансовый 4 2 2 2 2 3" xfId="62361"/>
    <cellStyle name="Финансовый 4 2 2 2 2 4" xfId="62362"/>
    <cellStyle name="Финансовый 4 2 2 2 2 5" xfId="62363"/>
    <cellStyle name="Финансовый 4 2 2 2 3" xfId="62364"/>
    <cellStyle name="Финансовый 4 2 2 2 4" xfId="62365"/>
    <cellStyle name="Финансовый 4 2 2 2 5" xfId="62366"/>
    <cellStyle name="Финансовый 4 2 2 3" xfId="62367"/>
    <cellStyle name="Финансовый 4 2 2 4" xfId="62368"/>
    <cellStyle name="Финансовый 4 2 2 5" xfId="62369"/>
    <cellStyle name="Финансовый 4 2 3" xfId="62370"/>
    <cellStyle name="Финансовый 4 2 4" xfId="62371"/>
    <cellStyle name="Финансовый 4 2 5" xfId="62372"/>
    <cellStyle name="Финансовый 4 3" xfId="62373"/>
    <cellStyle name="Финансовый 4 4" xfId="62374"/>
    <cellStyle name="Финансовый 4 5" xfId="62375"/>
    <cellStyle name="Финансовый 4 6" xfId="62376"/>
    <cellStyle name="Финансовый 5" xfId="62377"/>
    <cellStyle name="Финансовый 5 2" xfId="62378"/>
    <cellStyle name="Финансовый 5 3" xfId="62379"/>
    <cellStyle name="Финансовый 6" xfId="62380"/>
    <cellStyle name="Финансовый 7" xfId="62381"/>
    <cellStyle name="Финансовый 79" xfId="62382"/>
    <cellStyle name="Финансовый 8" xfId="62383"/>
    <cellStyle name="Финансовый 80" xfId="62384"/>
    <cellStyle name="Финансовый 81" xfId="62385"/>
    <cellStyle name="Финансовый 82" xfId="62386"/>
    <cellStyle name="Финансовый 83" xfId="62387"/>
    <cellStyle name="Финансовый 84" xfId="62388"/>
    <cellStyle name="Финансовый 9" xfId="62389"/>
    <cellStyle name="Хороший 10" xfId="62390"/>
    <cellStyle name="Хороший 11" xfId="62391"/>
    <cellStyle name="Хороший 12" xfId="62392"/>
    <cellStyle name="Хороший 13" xfId="62393"/>
    <cellStyle name="Хороший 14" xfId="62394"/>
    <cellStyle name="Хороший 15" xfId="62395"/>
    <cellStyle name="Хороший 16" xfId="62396"/>
    <cellStyle name="Хороший 17" xfId="62397"/>
    <cellStyle name="Хороший 18" xfId="62398"/>
    <cellStyle name="Хороший 19" xfId="62399"/>
    <cellStyle name="Хороший 2" xfId="62400"/>
    <cellStyle name="Хороший 2 2" xfId="62401"/>
    <cellStyle name="Хороший 2 3" xfId="62402"/>
    <cellStyle name="Хороший 2 4" xfId="62403"/>
    <cellStyle name="Хороший 20" xfId="62404"/>
    <cellStyle name="Хороший 21" xfId="62405"/>
    <cellStyle name="Хороший 22" xfId="62406"/>
    <cellStyle name="Хороший 23" xfId="62407"/>
    <cellStyle name="Хороший 24" xfId="62408"/>
    <cellStyle name="Хороший 3" xfId="62409"/>
    <cellStyle name="Хороший 3 2" xfId="62410"/>
    <cellStyle name="Хороший 4" xfId="62411"/>
    <cellStyle name="Хороший 4 2" xfId="62412"/>
    <cellStyle name="Хороший 5" xfId="62413"/>
    <cellStyle name="Хороший 5 2" xfId="62414"/>
    <cellStyle name="Хороший 6" xfId="62415"/>
    <cellStyle name="Хороший 7" xfId="62416"/>
    <cellStyle name="Хороший 8" xfId="62417"/>
    <cellStyle name="Хороший 9" xfId="62418"/>
    <cellStyle name="표준_Market shares model_15-02-02 v21-1" xfId="62419"/>
    <cellStyle name="標準_050825 Tariff Model" xfId="624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povVV/Documents/&#1056;&#1072;&#1073;&#1086;&#1090;&#1072;/&#1057;&#1087;&#1088;&#1072;&#1074;&#1086;&#1095;&#1085;&#1072;&#1103;%20&#1080;&#1085;&#1092;&#1086;&#1088;&#1084;&#1072;&#1094;&#1080;&#1103;/&#1057;&#1087;&#1088;&#1072;&#1074;&#1086;&#1095;&#1085;&#1080;&#1082;&#1080;/&#1057;&#1087;&#1088;&#1072;&#1074;&#1086;&#1095;&#1085;&#1080;&#1082;%20&#1062;&#1054;-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Справочник ЦО-12"/>
      <sheetName val="Справочник ИХ"/>
      <sheetName val="Грузы"/>
      <sheetName val="База ИХ"/>
      <sheetName val="Лист3"/>
    </sheetNames>
    <sheetDataSet>
      <sheetData sheetId="0" refreshError="1"/>
      <sheetData sheetId="1" refreshError="1"/>
      <sheetData sheetId="2">
        <row r="2">
          <cell r="D2" t="str">
            <v>Наименование позиций ЕТСНГ</v>
          </cell>
          <cell r="F2" t="str">
            <v>Тарифный класс груза</v>
          </cell>
        </row>
        <row r="4">
          <cell r="B4">
            <v>1</v>
          </cell>
          <cell r="C4">
            <v>2</v>
          </cell>
          <cell r="D4">
            <v>3</v>
          </cell>
          <cell r="E4">
            <v>4</v>
          </cell>
          <cell r="F4">
            <v>5</v>
          </cell>
        </row>
        <row r="5">
          <cell r="B5" t="str">
            <v>-00</v>
          </cell>
          <cell r="C5" t="str">
            <v>-00</v>
          </cell>
          <cell r="D5" t="str">
            <v>В ремонт</v>
          </cell>
          <cell r="E5" t="str">
            <v>В ремонт</v>
          </cell>
          <cell r="F5">
            <v>2</v>
          </cell>
        </row>
        <row r="6">
          <cell r="B6" t="str">
            <v>000</v>
          </cell>
          <cell r="C6" t="str">
            <v>000</v>
          </cell>
          <cell r="D6" t="str">
            <v>В ремонт</v>
          </cell>
          <cell r="E6" t="str">
            <v>В ремонт</v>
          </cell>
          <cell r="F6">
            <v>2</v>
          </cell>
        </row>
        <row r="7">
          <cell r="B7" t="str">
            <v>010</v>
          </cell>
          <cell r="C7" t="str">
            <v>010</v>
          </cell>
          <cell r="D7" t="str">
            <v xml:space="preserve">ЗЕРНОВЫЕ И ЗЕРНОБОБОВЫЕ КУЛЬТУРЫ </v>
          </cell>
          <cell r="E7" t="str">
            <v xml:space="preserve">ЗЕРНОВЫЕ И ЗЕРНОБОБОВЫЕ КУЛЬТУРЫ </v>
          </cell>
        </row>
        <row r="8">
          <cell r="B8" t="str">
            <v>011</v>
          </cell>
          <cell r="C8" t="str">
            <v>010</v>
          </cell>
          <cell r="D8" t="str">
            <v xml:space="preserve">Пшеница </v>
          </cell>
          <cell r="E8" t="str">
            <v xml:space="preserve">ЗЕРНОВЫЕ И ЗЕРНОБОБОВЫЕ КУЛЬТУРЫ </v>
          </cell>
          <cell r="F8">
            <v>2</v>
          </cell>
        </row>
        <row r="9">
          <cell r="B9" t="str">
            <v>012</v>
          </cell>
          <cell r="C9" t="str">
            <v>010</v>
          </cell>
          <cell r="D9" t="str">
            <v xml:space="preserve">Рожь </v>
          </cell>
          <cell r="E9" t="str">
            <v xml:space="preserve">ЗЕРНОВЫЕ И ЗЕРНОБОБОВЫЕ КУЛЬТУРЫ </v>
          </cell>
          <cell r="F9">
            <v>2</v>
          </cell>
        </row>
        <row r="10">
          <cell r="B10" t="str">
            <v>013</v>
          </cell>
          <cell r="C10" t="str">
            <v>010</v>
          </cell>
          <cell r="D10" t="str">
            <v xml:space="preserve">Овес </v>
          </cell>
          <cell r="E10" t="str">
            <v xml:space="preserve">ЗЕРНОВЫЕ И ЗЕРНОБОБОВЫЕ КУЛЬТУРЫ </v>
          </cell>
          <cell r="F10">
            <v>2</v>
          </cell>
        </row>
        <row r="11">
          <cell r="B11" t="str">
            <v>014</v>
          </cell>
          <cell r="C11" t="str">
            <v>010</v>
          </cell>
          <cell r="D11" t="str">
            <v xml:space="preserve">Ячмень </v>
          </cell>
          <cell r="E11" t="str">
            <v xml:space="preserve">ЗЕРНОВЫЕ И ЗЕРНОБОБОВЫЕ КУЛЬТУРЫ </v>
          </cell>
          <cell r="F11">
            <v>2</v>
          </cell>
        </row>
        <row r="12">
          <cell r="B12" t="str">
            <v>015</v>
          </cell>
          <cell r="C12" t="str">
            <v>010</v>
          </cell>
          <cell r="D12" t="str">
            <v xml:space="preserve">Зерно кукурузы </v>
          </cell>
          <cell r="E12" t="str">
            <v xml:space="preserve">ЗЕРНОВЫЕ И ЗЕРНОБОБОВЫЕ КУЛЬТУРЫ </v>
          </cell>
          <cell r="F12">
            <v>2</v>
          </cell>
        </row>
        <row r="13">
          <cell r="B13" t="str">
            <v>016</v>
          </cell>
          <cell r="C13" t="str">
            <v>010</v>
          </cell>
          <cell r="D13" t="str">
            <v xml:space="preserve">Початки кукурузы </v>
          </cell>
          <cell r="E13" t="str">
            <v xml:space="preserve">ЗЕРНОВЫЕ И ЗЕРНОБОБОВЫЕ КУЛЬТУРЫ </v>
          </cell>
          <cell r="F13">
            <v>2</v>
          </cell>
        </row>
        <row r="14">
          <cell r="B14" t="str">
            <v>017</v>
          </cell>
          <cell r="C14" t="str">
            <v>010</v>
          </cell>
          <cell r="D14" t="str">
            <v xml:space="preserve">Рис </v>
          </cell>
          <cell r="E14" t="str">
            <v xml:space="preserve">ЗЕРНОВЫЕ И ЗЕРНОБОБОВЫЕ КУЛЬТУРЫ </v>
          </cell>
          <cell r="F14">
            <v>2</v>
          </cell>
        </row>
        <row r="15">
          <cell r="B15" t="str">
            <v>018</v>
          </cell>
          <cell r="C15" t="str">
            <v>010</v>
          </cell>
          <cell r="D15" t="str">
            <v xml:space="preserve">Прочие зерновые </v>
          </cell>
          <cell r="E15" t="str">
            <v xml:space="preserve">ЗЕРНОВЫЕ И ЗЕРНОБОБОВЫЕ КУЛЬТУРЫ </v>
          </cell>
          <cell r="F15">
            <v>2</v>
          </cell>
        </row>
        <row r="16">
          <cell r="B16" t="str">
            <v>020</v>
          </cell>
          <cell r="C16" t="str">
            <v>020</v>
          </cell>
          <cell r="D16" t="str">
            <v xml:space="preserve">СЕМЕНА </v>
          </cell>
          <cell r="E16" t="str">
            <v xml:space="preserve">СЕМЕНА </v>
          </cell>
        </row>
        <row r="17">
          <cell r="B17" t="str">
            <v>021</v>
          </cell>
          <cell r="C17" t="str">
            <v>020</v>
          </cell>
          <cell r="D17" t="str">
            <v xml:space="preserve">Семена технических культур, кроме семян хлопчатника </v>
          </cell>
          <cell r="E17" t="str">
            <v xml:space="preserve">СЕМЕНА </v>
          </cell>
          <cell r="F17">
            <v>2</v>
          </cell>
        </row>
        <row r="18">
          <cell r="B18" t="str">
            <v>022</v>
          </cell>
          <cell r="C18" t="str">
            <v>020</v>
          </cell>
          <cell r="D18" t="str">
            <v xml:space="preserve">Семена хлопчатника </v>
          </cell>
          <cell r="E18" t="str">
            <v xml:space="preserve">СЕМЕНА </v>
          </cell>
          <cell r="F18">
            <v>2</v>
          </cell>
        </row>
        <row r="19">
          <cell r="B19" t="str">
            <v>023</v>
          </cell>
          <cell r="C19" t="str">
            <v>020</v>
          </cell>
          <cell r="D19" t="str">
            <v xml:space="preserve">Семена свеклы сахарной </v>
          </cell>
          <cell r="E19" t="str">
            <v xml:space="preserve">СЕМЕНА </v>
          </cell>
          <cell r="F19">
            <v>2</v>
          </cell>
        </row>
        <row r="20">
          <cell r="B20" t="str">
            <v>024</v>
          </cell>
          <cell r="C20" t="str">
            <v>020</v>
          </cell>
          <cell r="D20" t="str">
            <v xml:space="preserve">Семена прочие </v>
          </cell>
          <cell r="E20" t="str">
            <v xml:space="preserve">СЕМЕНА </v>
          </cell>
          <cell r="F20">
            <v>2</v>
          </cell>
        </row>
        <row r="21">
          <cell r="B21" t="str">
            <v>030</v>
          </cell>
          <cell r="C21" t="str">
            <v>030</v>
          </cell>
          <cell r="D21" t="str">
            <v xml:space="preserve">ХЛОПЧАТНИК  </v>
          </cell>
          <cell r="E21" t="str">
            <v xml:space="preserve">ХЛОПЧАТНИК  </v>
          </cell>
        </row>
        <row r="22">
          <cell r="B22" t="str">
            <v>031</v>
          </cell>
          <cell r="C22" t="str">
            <v>030</v>
          </cell>
          <cell r="D22" t="str">
            <v xml:space="preserve">Хлопок-сырец </v>
          </cell>
          <cell r="E22" t="str">
            <v xml:space="preserve">ХЛОПЧАТНИК  </v>
          </cell>
          <cell r="F22">
            <v>2</v>
          </cell>
        </row>
        <row r="23">
          <cell r="B23" t="str">
            <v>040</v>
          </cell>
          <cell r="C23" t="str">
            <v>040</v>
          </cell>
          <cell r="D23" t="str">
            <v>ОВОЩИ, КАРТОФЕЛЬ, БАХЧЕВЫЕ КУЛЬТУРЫ СВЕЖИЕ, СВЕКЛА САХАРНАЯ</v>
          </cell>
          <cell r="E23" t="str">
            <v>ОВОЩИ, КАРТОФЕЛЬ, БАХЧЕВЫЕ КУЛЬТУРЫ СВЕЖИЕ, СВЕКЛА САХАРНАЯ</v>
          </cell>
        </row>
        <row r="24">
          <cell r="B24" t="str">
            <v>041</v>
          </cell>
          <cell r="C24" t="str">
            <v>040</v>
          </cell>
          <cell r="D24" t="str">
            <v xml:space="preserve">Овощи свежие </v>
          </cell>
          <cell r="E24" t="str">
            <v>ОВОЩИ, КАРТОФЕЛЬ, БАХЧЕВЫЕ КУЛЬТУРЫ СВЕЖИЕ, СВЕКЛА САХАРНАЯ</v>
          </cell>
          <cell r="F24">
            <v>2</v>
          </cell>
        </row>
        <row r="25">
          <cell r="B25" t="str">
            <v>042</v>
          </cell>
          <cell r="C25" t="str">
            <v>040</v>
          </cell>
          <cell r="D25" t="str">
            <v xml:space="preserve">Бахчевые культуры </v>
          </cell>
          <cell r="E25" t="str">
            <v>ОВОЩИ, КАРТОФЕЛЬ, БАХЧЕВЫЕ КУЛЬТУРЫ СВЕЖИЕ, СВЕКЛА САХАРНАЯ</v>
          </cell>
          <cell r="F25">
            <v>2</v>
          </cell>
        </row>
        <row r="26">
          <cell r="B26" t="str">
            <v>043</v>
          </cell>
          <cell r="C26" t="str">
            <v>040</v>
          </cell>
          <cell r="D26" t="str">
            <v xml:space="preserve">Картофель свежий </v>
          </cell>
          <cell r="E26" t="str">
            <v>ОВОЩИ, КАРТОФЕЛЬ, БАХЧЕВЫЕ КУЛЬТУРЫ СВЕЖИЕ, СВЕКЛА САХАРНАЯ</v>
          </cell>
          <cell r="F26">
            <v>2</v>
          </cell>
        </row>
        <row r="27">
          <cell r="B27" t="str">
            <v>044</v>
          </cell>
          <cell r="C27" t="str">
            <v>040</v>
          </cell>
          <cell r="D27" t="str">
            <v>Свекла сахарная</v>
          </cell>
          <cell r="E27" t="str">
            <v>ОВОЩИ, КАРТОФЕЛЬ, БАХЧЕВЫЕ КУЛЬТУРЫ СВЕЖИЕ, СВЕКЛА САХАРНАЯ</v>
          </cell>
          <cell r="F27">
            <v>2</v>
          </cell>
        </row>
        <row r="28">
          <cell r="B28" t="str">
            <v>050</v>
          </cell>
          <cell r="C28" t="str">
            <v>050</v>
          </cell>
          <cell r="D28" t="str">
            <v xml:space="preserve">ФРУКТЫ И ЯГОДЫ СВЕЖИЕ. ОРЕХИ  </v>
          </cell>
          <cell r="E28" t="str">
            <v xml:space="preserve">ФРУКТЫ И ЯГОДЫ СВЕЖИЕ. ОРЕХИ  </v>
          </cell>
        </row>
        <row r="29">
          <cell r="B29" t="str">
            <v>051</v>
          </cell>
          <cell r="C29" t="str">
            <v>050</v>
          </cell>
          <cell r="D29" t="str">
            <v xml:space="preserve">Фрукты и ягоды свежие, кроме яблок и цитрусовых </v>
          </cell>
          <cell r="E29" t="str">
            <v xml:space="preserve">ФРУКТЫ И ЯГОДЫ СВЕЖИЕ. ОРЕХИ  </v>
          </cell>
          <cell r="F29">
            <v>2</v>
          </cell>
        </row>
        <row r="30">
          <cell r="B30" t="str">
            <v>052</v>
          </cell>
          <cell r="C30" t="str">
            <v>050</v>
          </cell>
          <cell r="D30" t="str">
            <v xml:space="preserve">Яблоки </v>
          </cell>
          <cell r="E30" t="str">
            <v xml:space="preserve">ФРУКТЫ И ЯГОДЫ СВЕЖИЕ. ОРЕХИ  </v>
          </cell>
          <cell r="F30">
            <v>2</v>
          </cell>
        </row>
        <row r="31">
          <cell r="B31" t="str">
            <v>053</v>
          </cell>
          <cell r="C31" t="str">
            <v>050</v>
          </cell>
          <cell r="D31" t="str">
            <v xml:space="preserve">Цитрусовые </v>
          </cell>
          <cell r="E31" t="str">
            <v xml:space="preserve">ФРУКТЫ И ЯГОДЫ СВЕЖИЕ. ОРЕХИ  </v>
          </cell>
          <cell r="F31">
            <v>2</v>
          </cell>
        </row>
        <row r="32">
          <cell r="B32" t="str">
            <v>054</v>
          </cell>
          <cell r="C32" t="str">
            <v>050</v>
          </cell>
          <cell r="D32" t="str">
            <v xml:space="preserve">Орехи </v>
          </cell>
          <cell r="E32" t="str">
            <v xml:space="preserve">ФРУКТЫ И ЯГОДЫ СВЕЖИЕ. ОРЕХИ  </v>
          </cell>
          <cell r="F32">
            <v>2</v>
          </cell>
        </row>
        <row r="33">
          <cell r="B33" t="str">
            <v>060</v>
          </cell>
          <cell r="C33" t="str">
            <v>060</v>
          </cell>
          <cell r="D33" t="str">
            <v xml:space="preserve">ЖИВОТНЫЕ, ПТИЦЫ, ПЧЕЛЫ </v>
          </cell>
          <cell r="E33" t="str">
            <v xml:space="preserve">ЖИВОТНЫЕ, ПТИЦЫ, ПЧЕЛЫ </v>
          </cell>
        </row>
        <row r="34">
          <cell r="B34" t="str">
            <v>061</v>
          </cell>
          <cell r="C34" t="str">
            <v>060</v>
          </cell>
          <cell r="D34" t="str">
            <v xml:space="preserve">Крупный и мелкий рогатый скот </v>
          </cell>
          <cell r="E34" t="str">
            <v xml:space="preserve">ЖИВОТНЫЕ, ПТИЦЫ, ПЧЕЛЫ </v>
          </cell>
          <cell r="F34">
            <v>2</v>
          </cell>
        </row>
        <row r="35">
          <cell r="B35" t="str">
            <v>062</v>
          </cell>
          <cell r="C35" t="str">
            <v>060</v>
          </cell>
          <cell r="D35" t="str">
            <v xml:space="preserve">Свиньи и поросята </v>
          </cell>
          <cell r="E35" t="str">
            <v xml:space="preserve">ЖИВОТНЫЕ, ПТИЦЫ, ПЧЕЛЫ </v>
          </cell>
          <cell r="F35">
            <v>2</v>
          </cell>
        </row>
        <row r="36">
          <cell r="B36" t="str">
            <v>063</v>
          </cell>
          <cell r="C36" t="str">
            <v>060</v>
          </cell>
          <cell r="D36" t="str">
            <v xml:space="preserve">Животные прочие, птицы живые и пчелы </v>
          </cell>
          <cell r="E36" t="str">
            <v xml:space="preserve">ЖИВОТНЫЕ, ПТИЦЫ, ПЧЕЛЫ </v>
          </cell>
          <cell r="F36">
            <v>2</v>
          </cell>
        </row>
        <row r="37">
          <cell r="B37" t="str">
            <v>070</v>
          </cell>
          <cell r="C37" t="str">
            <v>070</v>
          </cell>
          <cell r="D37" t="str">
            <v>ПРОЧАЯ ПРОДУКЦИЯ СЕЛЬСКОГО ХОЗЯЙСТВА</v>
          </cell>
          <cell r="E37" t="str">
            <v>ПРОЧАЯ ПРОДУКЦИЯ СЕЛЬСКОГО ХОЗЯЙСТВА</v>
          </cell>
        </row>
        <row r="38">
          <cell r="B38" t="str">
            <v>071</v>
          </cell>
          <cell r="C38" t="str">
            <v>070</v>
          </cell>
          <cell r="D38" t="str">
            <v xml:space="preserve">Сено, солома и корма растительные </v>
          </cell>
          <cell r="E38" t="str">
            <v>ПРОЧАЯ ПРОДУКЦИЯ СЕЛЬСКОГО ХОЗЯЙСТВА</v>
          </cell>
          <cell r="F38">
            <v>2</v>
          </cell>
        </row>
        <row r="39">
          <cell r="B39" t="str">
            <v>072</v>
          </cell>
          <cell r="C39" t="str">
            <v>070</v>
          </cell>
          <cell r="D39" t="str">
            <v xml:space="preserve">Сырье табака и махорки </v>
          </cell>
          <cell r="E39" t="str">
            <v>ПРОЧАЯ ПРОДУКЦИЯ СЕЛЬСКОГО ХОЗЯЙСТВА</v>
          </cell>
          <cell r="F39">
            <v>3</v>
          </cell>
        </row>
        <row r="40">
          <cell r="B40" t="str">
            <v>073</v>
          </cell>
          <cell r="C40" t="str">
            <v>070</v>
          </cell>
          <cell r="D40" t="str">
            <v xml:space="preserve">Культуры прядильные, кроме хлопчатника </v>
          </cell>
          <cell r="E40" t="str">
            <v>ПРОЧАЯ ПРОДУКЦИЯ СЕЛЬСКОГО ХОЗЯЙСТВА</v>
          </cell>
          <cell r="F40">
            <v>2</v>
          </cell>
        </row>
        <row r="41">
          <cell r="B41" t="str">
            <v>074</v>
          </cell>
          <cell r="C41" t="str">
            <v>070</v>
          </cell>
          <cell r="D41" t="str">
            <v xml:space="preserve">Сырье лекарственное растительное </v>
          </cell>
          <cell r="E41" t="str">
            <v>ПРОЧАЯ ПРОДУКЦИЯ СЕЛЬСКОГО ХОЗЯЙСТВА</v>
          </cell>
          <cell r="F41">
            <v>2</v>
          </cell>
        </row>
        <row r="42">
          <cell r="B42" t="str">
            <v>075</v>
          </cell>
          <cell r="C42" t="str">
            <v>070</v>
          </cell>
          <cell r="D42" t="str">
            <v xml:space="preserve">Рассада овощная, цветочная, ягодная. Цветы живые и свежесрезанные </v>
          </cell>
          <cell r="E42" t="str">
            <v>ПРОЧАЯ ПРОДУКЦИЯ СЕЛЬСКОГО ХОЗЯЙСТВА</v>
          </cell>
          <cell r="F42">
            <v>2</v>
          </cell>
        </row>
        <row r="43">
          <cell r="B43" t="str">
            <v>076</v>
          </cell>
          <cell r="C43" t="str">
            <v>070</v>
          </cell>
          <cell r="D43" t="str">
            <v xml:space="preserve">Шерсть, волос, пух, перо </v>
          </cell>
          <cell r="E43" t="str">
            <v>ПРОЧАЯ ПРОДУКЦИЯ СЕЛЬСКОГО ХОЗЯЙСТВА</v>
          </cell>
          <cell r="F43">
            <v>3</v>
          </cell>
        </row>
        <row r="44">
          <cell r="B44" t="str">
            <v>077</v>
          </cell>
          <cell r="C44" t="str">
            <v>070</v>
          </cell>
          <cell r="D44" t="str">
            <v xml:space="preserve">Кожи, шкуры и пушнина невыделанные </v>
          </cell>
          <cell r="E44" t="str">
            <v>ПРОЧАЯ ПРОДУКЦИЯ СЕЛЬСКОГО ХОЗЯЙСТВА</v>
          </cell>
          <cell r="F44">
            <v>3</v>
          </cell>
        </row>
        <row r="45">
          <cell r="B45" t="str">
            <v>078</v>
          </cell>
          <cell r="C45" t="str">
            <v>070</v>
          </cell>
          <cell r="D45" t="str">
            <v xml:space="preserve">Удобрения органические </v>
          </cell>
          <cell r="E45" t="str">
            <v>ПРОЧАЯ ПРОДУКЦИЯ СЕЛЬСКОГО ХОЗЯЙСТВА</v>
          </cell>
          <cell r="F45">
            <v>2</v>
          </cell>
        </row>
        <row r="46">
          <cell r="B46" t="str">
            <v>080</v>
          </cell>
          <cell r="C46" t="str">
            <v>080</v>
          </cell>
          <cell r="D46" t="str">
            <v>ЛЕСОМАТЕРИАЛЫ КРУГЛЫЕ</v>
          </cell>
          <cell r="E46" t="str">
            <v>ЛЕСОМАТЕРИАЛЫ КРУГЛЫЕ</v>
          </cell>
        </row>
        <row r="47">
          <cell r="B47" t="str">
            <v>081</v>
          </cell>
          <cell r="C47" t="str">
            <v>080</v>
          </cell>
          <cell r="D47" t="str">
            <v xml:space="preserve">Лесоматериалы круглые, кроме крепежных </v>
          </cell>
          <cell r="E47" t="str">
            <v>ЛЕСОМАТЕРИАЛЫ КРУГЛЫЕ</v>
          </cell>
          <cell r="F47">
            <v>1</v>
          </cell>
        </row>
        <row r="48">
          <cell r="B48" t="str">
            <v>082</v>
          </cell>
          <cell r="C48" t="str">
            <v>080</v>
          </cell>
          <cell r="D48" t="str">
            <v xml:space="preserve">Лесоматериалы крепежные </v>
          </cell>
          <cell r="E48" t="str">
            <v>ЛЕСОМАТЕРИАЛЫ КРУГЛЫЕ</v>
          </cell>
          <cell r="F48">
            <v>1</v>
          </cell>
        </row>
        <row r="49">
          <cell r="B49" t="str">
            <v>090</v>
          </cell>
          <cell r="C49" t="str">
            <v>090</v>
          </cell>
          <cell r="D49" t="str">
            <v xml:space="preserve">ПРОДУКЦИЯ ЛЕСОПИЛЬНОГО И ФАНЕРНОГО ПРОИЗВОДСТВА </v>
          </cell>
          <cell r="E49" t="str">
            <v xml:space="preserve">ПРОДУКЦИЯ ЛЕСОПИЛЬНОГО И ФАНЕРНОГО ПРОИЗВОДСТВА </v>
          </cell>
        </row>
        <row r="50">
          <cell r="B50" t="str">
            <v>091</v>
          </cell>
          <cell r="C50" t="str">
            <v>090</v>
          </cell>
          <cell r="D50" t="str">
            <v xml:space="preserve">Пиломатериалы </v>
          </cell>
          <cell r="E50" t="str">
            <v xml:space="preserve">ПРОДУКЦИЯ ЛЕСОПИЛЬНОГО И ФАНЕРНОГО ПРОИЗВОДСТВА </v>
          </cell>
          <cell r="F50">
            <v>1</v>
          </cell>
        </row>
        <row r="51">
          <cell r="B51" t="str">
            <v>092</v>
          </cell>
          <cell r="C51" t="str">
            <v>090</v>
          </cell>
          <cell r="D51" t="str">
            <v xml:space="preserve">Продукция шпалопиления (без пропитки) </v>
          </cell>
          <cell r="E51" t="str">
            <v xml:space="preserve">ПРОДУКЦИЯ ЛЕСОПИЛЬНОГО И ФАНЕРНОГО ПРОИЗВОДСТВА </v>
          </cell>
          <cell r="F51">
            <v>3</v>
          </cell>
        </row>
        <row r="52">
          <cell r="B52" t="str">
            <v>093</v>
          </cell>
          <cell r="C52" t="str">
            <v>090</v>
          </cell>
          <cell r="D52" t="str">
            <v xml:space="preserve">Продукция шпалопиления (с пропиткой) </v>
          </cell>
          <cell r="E52" t="str">
            <v xml:space="preserve">ПРОДУКЦИЯ ЛЕСОПИЛЬНОГО И ФАНЕРНОГО ПРОИЗВОДСТВА </v>
          </cell>
          <cell r="F52">
            <v>3</v>
          </cell>
        </row>
        <row r="53">
          <cell r="B53" t="str">
            <v>094</v>
          </cell>
          <cell r="C53" t="str">
            <v>090</v>
          </cell>
          <cell r="D53" t="str">
            <v>Фанера</v>
          </cell>
          <cell r="E53" t="str">
            <v xml:space="preserve">ПРОДУКЦИЯ ЛЕСОПИЛЬНОГО И ФАНЕРНОГО ПРОИЗВОДСТВА </v>
          </cell>
          <cell r="F53">
            <v>3</v>
          </cell>
        </row>
        <row r="54">
          <cell r="B54" t="str">
            <v>095</v>
          </cell>
          <cell r="C54" t="str">
            <v>090</v>
          </cell>
          <cell r="D54" t="str">
            <v>Шпон</v>
          </cell>
          <cell r="E54" t="str">
            <v xml:space="preserve">ПРОДУКЦИЯ ЛЕСОПИЛЬНОГО И ФАНЕРНОГО ПРОИЗВОДСТВА </v>
          </cell>
          <cell r="F54">
            <v>2</v>
          </cell>
        </row>
        <row r="55">
          <cell r="B55" t="str">
            <v>100</v>
          </cell>
          <cell r="C55" t="str">
            <v>100</v>
          </cell>
          <cell r="D55" t="str">
            <v xml:space="preserve">ДРОВА, ДРЕВЕСИНА ТОПЛИВНАЯ ДЛЯ ТЕХНОЛОГИЧЕСКИХ НУЖД, ДРЕВЕСИНА ИЗМЕЛЬЧЕННАЯ </v>
          </cell>
          <cell r="E55" t="str">
            <v xml:space="preserve">ДРОВА, ДРЕВЕСИНА ТОПЛИВНАЯ ДЛЯ ТЕХНОЛОГИЧЕСКИХ НУЖД, ДРЕВЕСИНА ИЗМЕЛЬЧЕННАЯ </v>
          </cell>
        </row>
        <row r="56">
          <cell r="B56" t="str">
            <v>101</v>
          </cell>
          <cell r="C56" t="str">
            <v>100</v>
          </cell>
          <cell r="D56" t="str">
            <v xml:space="preserve">Дрова </v>
          </cell>
          <cell r="E56" t="str">
            <v xml:space="preserve">ДРОВА, ДРЕВЕСИНА ТОПЛИВНАЯ ДЛЯ ТЕХНОЛОГИЧЕСКИХ НУЖД, ДРЕВЕСИНА ИЗМЕЛЬЧЕННАЯ </v>
          </cell>
          <cell r="F56">
            <v>1</v>
          </cell>
        </row>
        <row r="57">
          <cell r="B57" t="str">
            <v>102</v>
          </cell>
          <cell r="C57" t="str">
            <v>100</v>
          </cell>
          <cell r="D57" t="str">
            <v xml:space="preserve">Древесина топливная для технологических нужд </v>
          </cell>
          <cell r="E57" t="str">
            <v xml:space="preserve">ДРОВА, ДРЕВЕСИНА ТОПЛИВНАЯ ДЛЯ ТЕХНОЛОГИЧЕСКИХ НУЖД, ДРЕВЕСИНА ИЗМЕЛЬЧЕННАЯ </v>
          </cell>
          <cell r="F57">
            <v>1</v>
          </cell>
        </row>
        <row r="58">
          <cell r="B58" t="str">
            <v>103</v>
          </cell>
          <cell r="C58" t="str">
            <v>100</v>
          </cell>
          <cell r="D58" t="str">
            <v xml:space="preserve">Древесина измельченная </v>
          </cell>
          <cell r="E58" t="str">
            <v xml:space="preserve">ДРОВА, ДРЕВЕСИНА ТОПЛИВНАЯ ДЛЯ ТЕХНОЛОГИЧЕСКИХ НУЖД, ДРЕВЕСИНА ИЗМЕЛЬЧЕННАЯ </v>
          </cell>
          <cell r="F58">
            <v>1</v>
          </cell>
        </row>
        <row r="59">
          <cell r="B59" t="str">
            <v>110</v>
          </cell>
          <cell r="C59" t="str">
            <v>110</v>
          </cell>
          <cell r="D59" t="str">
            <v xml:space="preserve">ПРОЧАЯ ПРОДУКЦИЯ ЛЕСНОЙ ПРОМЫШЛЕННОСТИ. САЖЕНЦЫ </v>
          </cell>
          <cell r="E59" t="str">
            <v xml:space="preserve">ПРОЧАЯ ПРОДУКЦИЯ ЛЕСНОЙ ПРОМЫШЛЕННОСТИ. САЖЕНЦЫ </v>
          </cell>
        </row>
        <row r="60">
          <cell r="B60" t="str">
            <v>111</v>
          </cell>
          <cell r="C60" t="str">
            <v>110</v>
          </cell>
          <cell r="D60" t="str">
            <v>Прочая продукция лесной промышленности</v>
          </cell>
          <cell r="E60" t="str">
            <v xml:space="preserve">ПРОЧАЯ ПРОДУКЦИЯ ЛЕСНОЙ ПРОМЫШЛЕННОСТИ. САЖЕНЦЫ </v>
          </cell>
          <cell r="F60">
            <v>2</v>
          </cell>
        </row>
        <row r="61">
          <cell r="B61" t="str">
            <v>112</v>
          </cell>
          <cell r="C61" t="str">
            <v>110</v>
          </cell>
          <cell r="D61" t="str">
            <v xml:space="preserve">Саженцы деревьев и кустарников. Деревья срезанные </v>
          </cell>
          <cell r="E61" t="str">
            <v xml:space="preserve">ПРОЧАЯ ПРОДУКЦИЯ ЛЕСНОЙ ПРОМЫШЛЕННОСТИ. САЖЕНЦЫ </v>
          </cell>
          <cell r="F61">
            <v>2</v>
          </cell>
        </row>
        <row r="62">
          <cell r="B62" t="str">
            <v>120</v>
          </cell>
          <cell r="C62" t="str">
            <v>120</v>
          </cell>
          <cell r="D62" t="str">
            <v xml:space="preserve">ИЗДЕЛИЯ И ДЕТАЛИ ИЗ ДРЕВЕСИНЫ  </v>
          </cell>
          <cell r="E62" t="str">
            <v xml:space="preserve">ИЗДЕЛИЯ И ДЕТАЛИ ИЗ ДРЕВЕСИНЫ  </v>
          </cell>
        </row>
        <row r="63">
          <cell r="B63" t="str">
            <v>121</v>
          </cell>
          <cell r="C63" t="str">
            <v>120</v>
          </cell>
          <cell r="D63" t="str">
            <v xml:space="preserve">Дома, постройки деревянные, их детали и узлы </v>
          </cell>
          <cell r="E63" t="str">
            <v xml:space="preserve">ИЗДЕЛИЯ И ДЕТАЛИ ИЗ ДРЕВЕСИНЫ  </v>
          </cell>
          <cell r="F63">
            <v>3</v>
          </cell>
        </row>
        <row r="64">
          <cell r="B64" t="str">
            <v>122</v>
          </cell>
          <cell r="C64" t="str">
            <v>120</v>
          </cell>
          <cell r="D64" t="str">
            <v xml:space="preserve">Плиты древесностружечные и древесноволокнистые </v>
          </cell>
          <cell r="E64" t="str">
            <v xml:space="preserve">ИЗДЕЛИЯ И ДЕТАЛИ ИЗ ДРЕВЕСИНЫ  </v>
          </cell>
          <cell r="F64">
            <v>3</v>
          </cell>
        </row>
        <row r="65">
          <cell r="B65" t="str">
            <v>123</v>
          </cell>
          <cell r="C65" t="str">
            <v>120</v>
          </cell>
          <cell r="D65" t="str">
            <v xml:space="preserve">Тара деревянная новая </v>
          </cell>
          <cell r="E65" t="str">
            <v xml:space="preserve">ИЗДЕЛИЯ И ДЕТАЛИ ИЗ ДРЕВЕСИНЫ  </v>
          </cell>
          <cell r="F65">
            <v>3</v>
          </cell>
        </row>
        <row r="66">
          <cell r="B66" t="str">
            <v>124</v>
          </cell>
          <cell r="C66" t="str">
            <v>120</v>
          </cell>
          <cell r="D66" t="str">
            <v xml:space="preserve">Тара деревянная возвратная </v>
          </cell>
          <cell r="E66" t="str">
            <v xml:space="preserve">ИЗДЕЛИЯ И ДЕТАЛИ ИЗ ДРЕВЕСИНЫ  </v>
          </cell>
          <cell r="F66">
            <v>3</v>
          </cell>
        </row>
        <row r="67">
          <cell r="B67" t="str">
            <v>125</v>
          </cell>
          <cell r="C67" t="str">
            <v>120</v>
          </cell>
          <cell r="D67" t="str">
            <v xml:space="preserve">Изделия деревянные, кроме мебели, паркета и тары деревянной. Плиты асбодревесные </v>
          </cell>
          <cell r="E67" t="str">
            <v xml:space="preserve">ИЗДЕЛИЯ И ДЕТАЛИ ИЗ ДРЕВЕСИНЫ  </v>
          </cell>
          <cell r="F67">
            <v>3</v>
          </cell>
        </row>
        <row r="68">
          <cell r="B68" t="str">
            <v>126</v>
          </cell>
          <cell r="C68" t="str">
            <v>120</v>
          </cell>
          <cell r="D68" t="str">
            <v xml:space="preserve">Спички </v>
          </cell>
          <cell r="E68" t="str">
            <v xml:space="preserve">ИЗДЕЛИЯ И ДЕТАЛИ ИЗ ДРЕВЕСИНЫ  </v>
          </cell>
          <cell r="F68">
            <v>2</v>
          </cell>
        </row>
        <row r="69">
          <cell r="B69" t="str">
            <v>127</v>
          </cell>
          <cell r="C69" t="str">
            <v>120</v>
          </cell>
          <cell r="D69" t="str">
            <v xml:space="preserve">Мебель, кроме металлической и плетеной </v>
          </cell>
          <cell r="E69" t="str">
            <v xml:space="preserve">ИЗДЕЛИЯ И ДЕТАЛИ ИЗ ДРЕВЕСИНЫ  </v>
          </cell>
          <cell r="F69">
            <v>3</v>
          </cell>
        </row>
        <row r="70">
          <cell r="B70" t="str">
            <v>130</v>
          </cell>
          <cell r="C70" t="str">
            <v>130</v>
          </cell>
          <cell r="D70" t="str">
            <v>ПРОДУКЦИЯ ЦЕЛЛЮЛОЗНО-БУМАЖНОЙ ПРОМЫШЛЕННОСТИ</v>
          </cell>
          <cell r="E70" t="str">
            <v>ПРОДУКЦИЯ ЦЕЛЛЮЛОЗНО-БУМАЖНОЙ ПРОМЫШЛЕННОСТИ</v>
          </cell>
        </row>
        <row r="71">
          <cell r="B71" t="str">
            <v>131</v>
          </cell>
          <cell r="C71" t="str">
            <v>130</v>
          </cell>
          <cell r="D71" t="str">
            <v xml:space="preserve">Целлюлоза и масса древесная </v>
          </cell>
          <cell r="E71" t="str">
            <v>ПРОДУКЦИЯ ЦЕЛЛЮЛОЗНО-БУМАЖНОЙ ПРОМЫШЛЕННОСТИ</v>
          </cell>
          <cell r="F71">
            <v>3</v>
          </cell>
        </row>
        <row r="72">
          <cell r="B72" t="str">
            <v>132</v>
          </cell>
          <cell r="C72" t="str">
            <v>130</v>
          </cell>
          <cell r="D72" t="str">
            <v xml:space="preserve">Бумага и картон </v>
          </cell>
          <cell r="E72" t="str">
            <v>ПРОДУКЦИЯ ЦЕЛЛЮЛОЗНО-БУМАЖНОЙ ПРОМЫШЛЕННОСТИ</v>
          </cell>
          <cell r="F72">
            <v>3</v>
          </cell>
        </row>
        <row r="73">
          <cell r="B73" t="str">
            <v>133</v>
          </cell>
          <cell r="C73" t="str">
            <v>130</v>
          </cell>
          <cell r="D73" t="str">
            <v xml:space="preserve">Изделия из бумаги и картона </v>
          </cell>
          <cell r="E73" t="str">
            <v>ПРОДУКЦИЯ ЦЕЛЛЮЛОЗНО-БУМАЖНОЙ ПРОМЫШЛЕННОСТИ</v>
          </cell>
          <cell r="F73">
            <v>3</v>
          </cell>
        </row>
        <row r="74">
          <cell r="B74" t="str">
            <v>140</v>
          </cell>
          <cell r="C74" t="str">
            <v>140</v>
          </cell>
          <cell r="D74" t="str">
            <v xml:space="preserve">РУДА ЖЕЛЕЗНАЯ И МАРГАНЦЕВАЯ </v>
          </cell>
          <cell r="E74" t="str">
            <v xml:space="preserve">РУДА ЖЕЛЕЗНАЯ И МАРГАНЦЕВАЯ </v>
          </cell>
        </row>
        <row r="75">
          <cell r="B75" t="str">
            <v>141</v>
          </cell>
          <cell r="C75" t="str">
            <v>140</v>
          </cell>
          <cell r="D75" t="str">
            <v xml:space="preserve">Руды и концентраты железные </v>
          </cell>
          <cell r="E75" t="str">
            <v xml:space="preserve">РУДА ЖЕЛЕЗНАЯ И МАРГАНЦЕВАЯ </v>
          </cell>
          <cell r="F75">
            <v>1</v>
          </cell>
        </row>
        <row r="76">
          <cell r="B76" t="str">
            <v>142</v>
          </cell>
          <cell r="C76" t="str">
            <v>140</v>
          </cell>
          <cell r="D76" t="str">
            <v xml:space="preserve">Руды и концентраты марганцевые </v>
          </cell>
          <cell r="E76" t="str">
            <v xml:space="preserve">РУДА ЖЕЛЕЗНАЯ И МАРГАНЦЕВАЯ </v>
          </cell>
          <cell r="F76">
            <v>1</v>
          </cell>
        </row>
        <row r="77">
          <cell r="B77" t="str">
            <v>150</v>
          </cell>
          <cell r="C77" t="str">
            <v>150</v>
          </cell>
          <cell r="D77" t="str">
            <v xml:space="preserve">СЫРЬЕ ЦВЕТНЫХ МЕТАЛЛОВ, СЫРЬЕ СЕРНОЕ </v>
          </cell>
          <cell r="E77" t="str">
            <v xml:space="preserve">СЫРЬЕ ЦВЕТНЫХ МЕТАЛЛОВ, СЫРЬЕ СЕРНОЕ </v>
          </cell>
        </row>
        <row r="78">
          <cell r="B78" t="str">
            <v>151</v>
          </cell>
          <cell r="C78" t="str">
            <v>150</v>
          </cell>
          <cell r="D78" t="str">
            <v xml:space="preserve">Руды и концентраты цветных металлов </v>
          </cell>
          <cell r="E78" t="str">
            <v xml:space="preserve">СЫРЬЕ ЦВЕТНЫХ МЕТАЛЛОВ, СЫРЬЕ СЕРНОЕ </v>
          </cell>
          <cell r="F78">
            <v>1</v>
          </cell>
        </row>
        <row r="79">
          <cell r="B79" t="str">
            <v>152</v>
          </cell>
          <cell r="C79" t="str">
            <v>150</v>
          </cell>
          <cell r="D79" t="str">
            <v xml:space="preserve">Колчедан серный </v>
          </cell>
          <cell r="E79" t="str">
            <v xml:space="preserve">СЫРЬЕ ЦВЕТНЫХ МЕТАЛЛОВ, СЫРЬЕ СЕРНОЕ </v>
          </cell>
          <cell r="F79">
            <v>1</v>
          </cell>
        </row>
        <row r="80">
          <cell r="B80" t="str">
            <v>153</v>
          </cell>
          <cell r="C80" t="str">
            <v>150</v>
          </cell>
          <cell r="D80" t="str">
            <v xml:space="preserve">Сырье серное, кроме серного колчедана </v>
          </cell>
          <cell r="E80" t="str">
            <v xml:space="preserve">СЫРЬЕ ЦВЕТНЫХ МЕТАЛЛОВ, СЫРЬЕ СЕРНОЕ </v>
          </cell>
          <cell r="F80">
            <v>1</v>
          </cell>
        </row>
        <row r="81">
          <cell r="B81" t="str">
            <v>160</v>
          </cell>
          <cell r="C81" t="str">
            <v>160</v>
          </cell>
          <cell r="D81" t="str">
            <v xml:space="preserve">ТОПЛИВО МИНЕРАЛЬНОЕ (УГОЛЬ КАМЕННЫЙ, УГОЛЬ БУРЫЙ) </v>
          </cell>
          <cell r="E81" t="str">
            <v xml:space="preserve">ТОПЛИВО МИНЕРАЛЬНОЕ (УГОЛЬ КАМЕННЫЙ, УГОЛЬ БУРЫЙ) </v>
          </cell>
        </row>
        <row r="82">
          <cell r="B82" t="str">
            <v>161</v>
          </cell>
          <cell r="C82" t="str">
            <v>160</v>
          </cell>
          <cell r="D82" t="str">
            <v>Уголь каменный</v>
          </cell>
          <cell r="E82" t="str">
            <v xml:space="preserve">ТОПЛИВО МИНЕРАЛЬНОЕ (УГОЛЬ КАМЕННЫЙ, УГОЛЬ БУРЫЙ) </v>
          </cell>
          <cell r="F82">
            <v>1</v>
          </cell>
        </row>
        <row r="83">
          <cell r="B83" t="str">
            <v>170</v>
          </cell>
          <cell r="C83" t="str">
            <v>170</v>
          </cell>
          <cell r="D83" t="str">
            <v>КОКС</v>
          </cell>
          <cell r="E83" t="str">
            <v>КОКС</v>
          </cell>
        </row>
        <row r="84">
          <cell r="B84" t="str">
            <v>171</v>
          </cell>
          <cell r="C84" t="str">
            <v>170</v>
          </cell>
          <cell r="D84" t="str">
            <v xml:space="preserve">Кокс каменноугольный </v>
          </cell>
          <cell r="E84" t="str">
            <v>КОКС</v>
          </cell>
          <cell r="F84">
            <v>1</v>
          </cell>
        </row>
        <row r="85">
          <cell r="B85" t="str">
            <v>180</v>
          </cell>
          <cell r="C85" t="str">
            <v>180</v>
          </cell>
          <cell r="D85" t="str">
            <v xml:space="preserve">ТОРФ И ТОРФЯНАЯ ПРОДУКЦИЯ </v>
          </cell>
          <cell r="E85" t="str">
            <v xml:space="preserve">ТОРФ И ТОРФЯНАЯ ПРОДУКЦИЯ </v>
          </cell>
        </row>
        <row r="86">
          <cell r="B86" t="str">
            <v>181</v>
          </cell>
          <cell r="C86" t="str">
            <v>180</v>
          </cell>
          <cell r="D86" t="str">
            <v xml:space="preserve">Торф топливный </v>
          </cell>
          <cell r="E86" t="str">
            <v xml:space="preserve">ТОРФ И ТОРФЯНАЯ ПРОДУКЦИЯ </v>
          </cell>
          <cell r="F86">
            <v>1</v>
          </cell>
        </row>
        <row r="87">
          <cell r="B87" t="str">
            <v>182</v>
          </cell>
          <cell r="C87" t="str">
            <v>180</v>
          </cell>
          <cell r="D87" t="str">
            <v xml:space="preserve">Торф для сельского хозяйства </v>
          </cell>
          <cell r="E87" t="str">
            <v xml:space="preserve">ТОРФ И ТОРФЯНАЯ ПРОДУКЦИЯ </v>
          </cell>
          <cell r="F87">
            <v>1</v>
          </cell>
        </row>
        <row r="88">
          <cell r="B88" t="str">
            <v>190</v>
          </cell>
          <cell r="C88" t="str">
            <v>190</v>
          </cell>
          <cell r="D88" t="str">
            <v xml:space="preserve">СЛАНЦЫ ГОРЮЧИЕ </v>
          </cell>
          <cell r="E88" t="str">
            <v xml:space="preserve">СЛАНЦЫ ГОРЮЧИЕ </v>
          </cell>
        </row>
        <row r="89">
          <cell r="B89" t="str">
            <v>191</v>
          </cell>
          <cell r="C89" t="str">
            <v>190</v>
          </cell>
          <cell r="D89" t="str">
            <v xml:space="preserve">Сланцы горючие </v>
          </cell>
          <cell r="E89" t="str">
            <v xml:space="preserve">СЛАНЦЫ ГОРЮЧИЕ </v>
          </cell>
          <cell r="F89">
            <v>1</v>
          </cell>
        </row>
        <row r="90">
          <cell r="B90" t="str">
            <v>200</v>
          </cell>
          <cell r="C90" t="str">
            <v>200</v>
          </cell>
          <cell r="D90" t="str">
            <v xml:space="preserve">НЕФТЬ И НЕФТЕПРОДУКТЫ </v>
          </cell>
          <cell r="E90" t="str">
            <v xml:space="preserve">НЕФТЬ И НЕФТЕПРОДУКТЫ </v>
          </cell>
        </row>
        <row r="91">
          <cell r="B91" t="str">
            <v>201</v>
          </cell>
          <cell r="C91" t="str">
            <v>200</v>
          </cell>
          <cell r="D91" t="str">
            <v xml:space="preserve">Нефть сырая </v>
          </cell>
          <cell r="E91" t="str">
            <v xml:space="preserve">НЕФТЬ И НЕФТЕПРОДУКТЫ </v>
          </cell>
          <cell r="F91">
            <v>2</v>
          </cell>
        </row>
        <row r="92">
          <cell r="B92" t="str">
            <v>210</v>
          </cell>
          <cell r="C92" t="str">
            <v>210</v>
          </cell>
          <cell r="D92" t="str">
            <v xml:space="preserve">НЕФТЕПРОДУКТЫ СВЕТЛЫЕ </v>
          </cell>
          <cell r="E92" t="str">
            <v xml:space="preserve">НЕФТЕПРОДУКТЫ СВЕТЛЫЕ </v>
          </cell>
        </row>
        <row r="93">
          <cell r="B93" t="str">
            <v>211</v>
          </cell>
          <cell r="C93" t="str">
            <v>210</v>
          </cell>
          <cell r="D93" t="str">
            <v xml:space="preserve">Бензин </v>
          </cell>
          <cell r="E93" t="str">
            <v xml:space="preserve">НЕФТЕПРОДУКТЫ СВЕТЛЫЕ </v>
          </cell>
          <cell r="F93">
            <v>2</v>
          </cell>
        </row>
        <row r="94">
          <cell r="B94" t="str">
            <v>212</v>
          </cell>
          <cell r="C94" t="str">
            <v>210</v>
          </cell>
          <cell r="D94" t="str">
            <v xml:space="preserve">Керосин </v>
          </cell>
          <cell r="E94" t="str">
            <v xml:space="preserve">НЕФТЕПРОДУКТЫ СВЕТЛЫЕ </v>
          </cell>
          <cell r="F94">
            <v>2</v>
          </cell>
        </row>
        <row r="95">
          <cell r="B95" t="str">
            <v>213</v>
          </cell>
          <cell r="C95" t="str">
            <v>210</v>
          </cell>
          <cell r="D95" t="str">
            <v xml:space="preserve">Масла и смазки минеральные (нефтяные) </v>
          </cell>
          <cell r="E95" t="str">
            <v xml:space="preserve">НЕФТЕПРОДУКТЫ СВЕТЛЫЕ </v>
          </cell>
          <cell r="F95">
            <v>2</v>
          </cell>
        </row>
        <row r="96">
          <cell r="B96" t="str">
            <v>214</v>
          </cell>
          <cell r="C96" t="str">
            <v>210</v>
          </cell>
          <cell r="D96" t="str">
            <v xml:space="preserve">Топливо дизельное </v>
          </cell>
          <cell r="E96" t="str">
            <v xml:space="preserve">НЕФТЕПРОДУКТЫ СВЕТЛЫЕ </v>
          </cell>
          <cell r="F96">
            <v>2</v>
          </cell>
        </row>
        <row r="97">
          <cell r="B97" t="str">
            <v>215</v>
          </cell>
          <cell r="C97" t="str">
            <v>210</v>
          </cell>
          <cell r="D97" t="str">
            <v xml:space="preserve">Прочие нефтепродукты светлые </v>
          </cell>
          <cell r="E97" t="str">
            <v xml:space="preserve">НЕФТЕПРОДУКТЫ СВЕТЛЫЕ </v>
          </cell>
          <cell r="F97">
            <v>2</v>
          </cell>
        </row>
        <row r="98">
          <cell r="B98" t="str">
            <v>220</v>
          </cell>
          <cell r="C98" t="str">
            <v>220</v>
          </cell>
          <cell r="D98" t="str">
            <v xml:space="preserve">НЕФТЕПРОДУКТЫ ТЕМНЫЕ, ГАЗЫ ЭНЕРГЕТИЧЕСКИЕ </v>
          </cell>
          <cell r="E98" t="str">
            <v xml:space="preserve">НЕФТЕПРОДУКТЫ ТЕМНЫЕ, ГАЗЫ ЭНЕРГЕТИЧЕСКИЕ </v>
          </cell>
        </row>
        <row r="99">
          <cell r="B99" t="str">
            <v>221</v>
          </cell>
          <cell r="C99" t="str">
            <v>220</v>
          </cell>
          <cell r="D99" t="str">
            <v xml:space="preserve">Мазут нефтяной и каменноугольный </v>
          </cell>
          <cell r="E99" t="str">
            <v xml:space="preserve">НЕФТЕПРОДУКТЫ ТЕМНЫЕ, ГАЗЫ ЭНЕРГЕТИЧЕСКИЕ </v>
          </cell>
          <cell r="F99">
            <v>2</v>
          </cell>
        </row>
        <row r="100">
          <cell r="B100" t="str">
            <v>222</v>
          </cell>
          <cell r="C100" t="str">
            <v>220</v>
          </cell>
          <cell r="D100" t="str">
            <v xml:space="preserve">Битум и гудрон нефтяные и каменноугольные </v>
          </cell>
          <cell r="E100" t="str">
            <v xml:space="preserve">НЕФТЕПРОДУКТЫ ТЕМНЫЕ, ГАЗЫ ЭНЕРГЕТИЧЕСКИЕ </v>
          </cell>
          <cell r="F100">
            <v>2</v>
          </cell>
        </row>
        <row r="101">
          <cell r="B101" t="str">
            <v>223</v>
          </cell>
          <cell r="C101" t="str">
            <v>220</v>
          </cell>
          <cell r="D101" t="str">
            <v xml:space="preserve">Асфальт, битум и гудрон природные </v>
          </cell>
          <cell r="E101" t="str">
            <v xml:space="preserve">НЕФТЕПРОДУКТЫ ТЕМНЫЕ, ГАЗЫ ЭНЕРГЕТИЧЕСКИЕ </v>
          </cell>
          <cell r="F101">
            <v>2</v>
          </cell>
        </row>
        <row r="102">
          <cell r="B102" t="str">
            <v>224</v>
          </cell>
          <cell r="C102" t="str">
            <v>220</v>
          </cell>
          <cell r="D102" t="str">
            <v xml:space="preserve">Озокерит природный и продукция восковая </v>
          </cell>
          <cell r="E102" t="str">
            <v xml:space="preserve">НЕФТЕПРОДУКТЫ ТЕМНЫЕ, ГАЗЫ ЭНЕРГЕТИЧЕСКИЕ </v>
          </cell>
          <cell r="F102">
            <v>2</v>
          </cell>
        </row>
        <row r="103">
          <cell r="B103" t="str">
            <v>225</v>
          </cell>
          <cell r="C103" t="str">
            <v>220</v>
          </cell>
          <cell r="D103" t="str">
            <v xml:space="preserve">Прочие нефтепродукты темные </v>
          </cell>
          <cell r="E103" t="str">
            <v xml:space="preserve">НЕФТЕПРОДУКТЫ ТЕМНЫЕ, ГАЗЫ ЭНЕРГЕТИЧЕСКИЕ </v>
          </cell>
          <cell r="F103">
            <v>2</v>
          </cell>
        </row>
        <row r="104">
          <cell r="B104" t="str">
            <v>226</v>
          </cell>
          <cell r="C104" t="str">
            <v>220</v>
          </cell>
          <cell r="D104" t="str">
            <v xml:space="preserve">Газы энергетические (углеводородные сжиженные) </v>
          </cell>
          <cell r="E104" t="str">
            <v xml:space="preserve">НЕФТЕПРОДУКТЫ ТЕМНЫЕ, ГАЗЫ ЭНЕРГЕТИЧЕСКИЕ </v>
          </cell>
          <cell r="F104">
            <v>1</v>
          </cell>
        </row>
        <row r="105">
          <cell r="B105" t="str">
            <v>230</v>
          </cell>
          <cell r="C105" t="str">
            <v>230</v>
          </cell>
          <cell r="D105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E105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</row>
        <row r="106">
          <cell r="B106" t="str">
            <v>231</v>
          </cell>
          <cell r="C106" t="str">
            <v>230</v>
          </cell>
          <cell r="D106" t="str">
            <v>Земля, песок, глина строительные</v>
          </cell>
          <cell r="E106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06">
            <v>1</v>
          </cell>
        </row>
        <row r="107">
          <cell r="B107" t="str">
            <v>232</v>
          </cell>
          <cell r="C107" t="str">
            <v>230</v>
          </cell>
          <cell r="D107" t="str">
            <v xml:space="preserve">Камни природные строительные и поделочные. Туф </v>
          </cell>
          <cell r="E107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07">
            <v>1</v>
          </cell>
        </row>
        <row r="108">
          <cell r="B108" t="str">
            <v>233</v>
          </cell>
          <cell r="C108" t="str">
            <v>230</v>
          </cell>
          <cell r="D108" t="str">
            <v xml:space="preserve">Гипс, известь, мел </v>
          </cell>
          <cell r="E108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08">
            <v>1</v>
          </cell>
        </row>
        <row r="109">
          <cell r="B109" t="str">
            <v>234</v>
          </cell>
          <cell r="C109" t="str">
            <v>230</v>
          </cell>
          <cell r="D109" t="str">
            <v xml:space="preserve">Заполнители пористые </v>
          </cell>
          <cell r="E109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09">
            <v>1</v>
          </cell>
        </row>
        <row r="110">
          <cell r="B110" t="str">
            <v>235</v>
          </cell>
          <cell r="C110" t="str">
            <v>230</v>
          </cell>
          <cell r="D110" t="str">
            <v>Зола, шлаки, кроме гранулированных и металлургических для переплавки</v>
          </cell>
          <cell r="E110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10">
            <v>1</v>
          </cell>
        </row>
        <row r="111">
          <cell r="B111" t="str">
            <v>236</v>
          </cell>
          <cell r="C111" t="str">
            <v>230</v>
          </cell>
          <cell r="D111" t="str">
            <v xml:space="preserve">Балласт для железных дорог </v>
          </cell>
          <cell r="E111" t="str">
            <v xml:space="preserve">МАТЕРИАЛЫ МИНЕРАЛЬНО-СТРОИТЕЛЬНЫЕ ПРИРОДНЫЕ. ЗОЛА. ШЛАКИ, КРОМЕ ГРАНУЛИРОВАННЫХ И МЕТАЛЛУРГИЧЕСКИХ ДЛЯ ПЕРЕПЛАВКИ </v>
          </cell>
          <cell r="F111">
            <v>1</v>
          </cell>
        </row>
        <row r="112">
          <cell r="B112" t="str">
            <v>240</v>
          </cell>
          <cell r="C112" t="str">
            <v>240</v>
          </cell>
          <cell r="D112" t="str">
            <v xml:space="preserve">СЫРЬЕ МИНЕРАЛЬНОЕ ПРОМЫШЛЕННОЕ. MAТEPИАЛЫ ФОРМОВОЧНЫЕ АБРАЗИВНЫЕ </v>
          </cell>
          <cell r="E112" t="str">
            <v xml:space="preserve">СЫРЬЕ МИНЕРАЛЬНОЕ ПРОМЫШЛЕННОЕ. MAТEPИАЛЫ ФОРМОВОЧНЫЕ АБРАЗИВНЫЕ </v>
          </cell>
        </row>
        <row r="113">
          <cell r="B113" t="str">
            <v>241</v>
          </cell>
          <cell r="C113" t="str">
            <v>240</v>
          </cell>
          <cell r="D113" t="str">
            <v xml:space="preserve">Земля, песок, глина и камни природные - сырье промышленное </v>
          </cell>
          <cell r="E113" t="str">
            <v xml:space="preserve">СЫРЬЕ МИНЕРАЛЬНОЕ ПРОМЫШЛЕННОЕ. MAТEPИАЛЫ ФОРМОВОЧНЫЕ АБРАЗИВНЫЕ </v>
          </cell>
          <cell r="F113">
            <v>1</v>
          </cell>
        </row>
        <row r="114">
          <cell r="B114" t="str">
            <v>242</v>
          </cell>
          <cell r="C114" t="str">
            <v>240</v>
          </cell>
          <cell r="D114" t="str">
            <v xml:space="preserve">Руды неметаллические, кроме серного сырья </v>
          </cell>
          <cell r="E114" t="str">
            <v xml:space="preserve">СЫРЬЕ МИНЕРАЛЬНОЕ ПРОМЫШЛЕННОЕ. MAТEPИАЛЫ ФОРМОВОЧНЫЕ АБРАЗИВНЫЕ </v>
          </cell>
          <cell r="F114">
            <v>1</v>
          </cell>
        </row>
        <row r="115">
          <cell r="B115" t="str">
            <v>243</v>
          </cell>
          <cell r="C115" t="str">
            <v>240</v>
          </cell>
          <cell r="D115" t="str">
            <v xml:space="preserve">Материалы абразивные </v>
          </cell>
          <cell r="E115" t="str">
            <v xml:space="preserve">СЫРЬЕ МИНЕРАЛЬНОЕ ПРОМЫШЛЕННОЕ. MAТEPИАЛЫ ФОРМОВОЧНЫЕ АБРАЗИВНЫЕ </v>
          </cell>
          <cell r="F115">
            <v>2</v>
          </cell>
        </row>
        <row r="116">
          <cell r="B116" t="str">
            <v>244</v>
          </cell>
          <cell r="C116" t="str">
            <v>240</v>
          </cell>
          <cell r="D116" t="str">
            <v xml:space="preserve">Пемза </v>
          </cell>
          <cell r="E116" t="str">
            <v xml:space="preserve">СЫРЬЕ МИНЕРАЛЬНОЕ ПРОМЫШЛЕННОЕ. MAТEPИАЛЫ ФОРМОВОЧНЫЕ АБРАЗИВНЫЕ </v>
          </cell>
          <cell r="F116">
            <v>2</v>
          </cell>
        </row>
        <row r="117">
          <cell r="B117" t="str">
            <v>245</v>
          </cell>
          <cell r="C117" t="str">
            <v>240</v>
          </cell>
          <cell r="D117" t="str">
            <v xml:space="preserve">Клинкер цементный </v>
          </cell>
          <cell r="E117" t="str">
            <v xml:space="preserve">СЫРЬЕ МИНЕРАЛЬНОЕ ПРОМЫШЛЕННОЕ. MAТEPИАЛЫ ФОРМОВОЧНЫЕ АБРАЗИВНЫЕ </v>
          </cell>
          <cell r="F117">
            <v>1</v>
          </cell>
        </row>
        <row r="118">
          <cell r="B118" t="str">
            <v>246</v>
          </cell>
          <cell r="C118" t="str">
            <v>240</v>
          </cell>
          <cell r="D118" t="str">
            <v xml:space="preserve">Силикат натрия растворимый (силикат-глыба) </v>
          </cell>
          <cell r="E118" t="str">
            <v xml:space="preserve">СЫРЬЕ МИНЕРАЛЬНОЕ ПРОМЫШЛЕННОЕ. MAТEPИАЛЫ ФОРМОВОЧНЫЕ АБРАЗИВНЫЕ </v>
          </cell>
          <cell r="F118">
            <v>1</v>
          </cell>
        </row>
        <row r="119">
          <cell r="B119" t="str">
            <v>250</v>
          </cell>
          <cell r="C119" t="str">
            <v>250</v>
          </cell>
          <cell r="D119" t="str">
            <v xml:space="preserve">МАТЕРИАЛЫ СТЕНОВЫЕ КРОВЕЛЬНЫЕ </v>
          </cell>
          <cell r="E119" t="str">
            <v xml:space="preserve">МАТЕРИАЛЫ СТЕНОВЫЕ КРОВЕЛЬНЫЕ </v>
          </cell>
        </row>
        <row r="120">
          <cell r="B120" t="str">
            <v>251</v>
          </cell>
          <cell r="C120" t="str">
            <v>250</v>
          </cell>
          <cell r="D120" t="str">
            <v xml:space="preserve">Материалы стеновые </v>
          </cell>
          <cell r="E120" t="str">
            <v xml:space="preserve">МАТЕРИАЛЫ СТЕНОВЫЕ КРОВЕЛЬНЫЕ </v>
          </cell>
          <cell r="F120">
            <v>2</v>
          </cell>
        </row>
        <row r="121">
          <cell r="B121" t="str">
            <v>252</v>
          </cell>
          <cell r="C121" t="str">
            <v>250</v>
          </cell>
          <cell r="D121" t="str">
            <v xml:space="preserve">Материалы отделочные, полимерные, кровельные, гидроизоляционные и герметизирующие </v>
          </cell>
          <cell r="E121" t="str">
            <v xml:space="preserve">МАТЕРИАЛЫ СТЕНОВЫЕ КРОВЕЛЬНЫЕ </v>
          </cell>
          <cell r="F121">
            <v>3</v>
          </cell>
        </row>
        <row r="122">
          <cell r="B122" t="str">
            <v>253</v>
          </cell>
          <cell r="C122" t="str">
            <v>250</v>
          </cell>
          <cell r="D122" t="str">
            <v xml:space="preserve">Кирпич строительный </v>
          </cell>
          <cell r="E122" t="str">
            <v xml:space="preserve">МАТЕРИАЛЫ СТЕНОВЫЕ КРОВЕЛЬНЫЕ </v>
          </cell>
          <cell r="F122">
            <v>1</v>
          </cell>
        </row>
        <row r="123">
          <cell r="B123" t="str">
            <v>254</v>
          </cell>
          <cell r="C123" t="str">
            <v>250</v>
          </cell>
          <cell r="D123" t="str">
            <v xml:space="preserve">Конструкции (сборные), детали и изделия железобетонные </v>
          </cell>
          <cell r="E123" t="str">
            <v xml:space="preserve">МАТЕРИАЛЫ СТЕНОВЫЕ КРОВЕЛЬНЫЕ </v>
          </cell>
          <cell r="F123">
            <v>2</v>
          </cell>
        </row>
        <row r="124">
          <cell r="B124" t="str">
            <v>255</v>
          </cell>
          <cell r="C124" t="str">
            <v>250</v>
          </cell>
          <cell r="D124" t="str">
            <v xml:space="preserve">Черепица и шифер </v>
          </cell>
          <cell r="E124" t="str">
            <v xml:space="preserve">МАТЕРИАЛЫ СТЕНОВЫЕ КРОВЕЛЬНЫЕ </v>
          </cell>
          <cell r="F124">
            <v>3</v>
          </cell>
        </row>
        <row r="125">
          <cell r="B125" t="str">
            <v>256</v>
          </cell>
          <cell r="C125" t="str">
            <v>250</v>
          </cell>
          <cell r="D125" t="str">
            <v xml:space="preserve">Дома сборно-разборные безфундаментные </v>
          </cell>
          <cell r="E125" t="str">
            <v xml:space="preserve">МАТЕРИАЛЫ СТЕНОВЫЕ КРОВЕЛЬНЫЕ </v>
          </cell>
          <cell r="F125">
            <v>3</v>
          </cell>
        </row>
        <row r="126">
          <cell r="B126" t="str">
            <v>260</v>
          </cell>
          <cell r="C126" t="str">
            <v>260</v>
          </cell>
          <cell r="D126" t="str">
            <v>МАТЕРИАЛЫ, ИЗДЕЛИЯ СТРОИТЕЛЬНЫЕ ПРОМЫШЛЕННОГО ПРОИЗВОДСТВА, КРОМЕ СТЕНОВЫХ И КРОВЕЛЬНЫХ</v>
          </cell>
          <cell r="E126" t="str">
            <v>МАТЕРИАЛЫ, ИЗДЕЛИЯ СТРОИТЕЛЬНЫЕ ПРОМЫШЛЕННОГО ПРОИЗВОДСТВА, КРОМЕ СТЕНОВЫХ И КРОВЕЛЬНЫХ</v>
          </cell>
        </row>
        <row r="127">
          <cell r="B127" t="str">
            <v>261</v>
          </cell>
          <cell r="C127" t="str">
            <v>260</v>
          </cell>
          <cell r="D127" t="str">
            <v xml:space="preserve">Материалы, изделия тепло- и звукоизоляционные, кроме асбестовых технических </v>
          </cell>
          <cell r="E127" t="str">
            <v>МАТЕРИАЛЫ, ИЗДЕЛИЯ СТРОИТЕЛЬНЫЕ ПРОМЫШЛЕННОГО ПРОИЗВОДСТВА, КРОМЕ СТЕНОВЫХ И КРОВЕЛЬНЫХ</v>
          </cell>
          <cell r="F127">
            <v>3</v>
          </cell>
        </row>
        <row r="128">
          <cell r="B128" t="str">
            <v>262</v>
          </cell>
          <cell r="C128" t="str">
            <v>260</v>
          </cell>
          <cell r="D128" t="str">
            <v xml:space="preserve">Изделия асбестовые технические </v>
          </cell>
          <cell r="E128" t="str">
            <v>МАТЕРИАЛЫ, ИЗДЕЛИЯ СТРОИТЕЛЬНЫЕ ПРОМЫШЛЕННОГО ПРОИЗВОДСТВА, КРОМЕ СТЕНОВЫХ И КРОВЕЛЬНЫХ</v>
          </cell>
          <cell r="F128">
            <v>3</v>
          </cell>
        </row>
        <row r="129">
          <cell r="B129" t="str">
            <v>263</v>
          </cell>
          <cell r="C129" t="str">
            <v>260</v>
          </cell>
          <cell r="D129" t="str">
            <v xml:space="preserve">Материалы и изделия асфальтовые строительные </v>
          </cell>
          <cell r="E129" t="str">
            <v>МАТЕРИАЛЫ, ИЗДЕЛИЯ СТРОИТЕЛЬНЫЕ ПРОМЫШЛЕННОГО ПРОИЗВОДСТВА, КРОМЕ СТЕНОВЫХ И КРОВЕЛЬНЫХ</v>
          </cell>
          <cell r="F129">
            <v>3</v>
          </cell>
        </row>
        <row r="130">
          <cell r="B130" t="str">
            <v>264</v>
          </cell>
          <cell r="C130" t="str">
            <v>260</v>
          </cell>
          <cell r="D130" t="str">
            <v xml:space="preserve">Прочие материалы и изделия минерально-строительные </v>
          </cell>
          <cell r="E130" t="str">
            <v>МАТЕРИАЛЫ, ИЗДЕЛИЯ СТРОИТЕЛЬНЫЕ ПРОМЫШЛЕННОГО ПРОИЗВОДСТВА, КРОМЕ СТЕНОВЫХ И КРОВЕЛЬНЫХ</v>
          </cell>
          <cell r="F130">
            <v>1</v>
          </cell>
        </row>
        <row r="131">
          <cell r="B131" t="str">
            <v>265</v>
          </cell>
          <cell r="C131" t="str">
            <v>260</v>
          </cell>
          <cell r="D131" t="str">
            <v xml:space="preserve">Трубы керамические </v>
          </cell>
          <cell r="E131" t="str">
            <v>МАТЕРИАЛЫ, ИЗДЕЛИЯ СТРОИТЕЛЬНЫЕ ПРОМЫШЛЕННОГО ПРОИЗВОДСТВА, КРОМЕ СТЕНОВЫХ И КРОВЕЛЬНЫХ</v>
          </cell>
          <cell r="F131">
            <v>3</v>
          </cell>
        </row>
        <row r="132">
          <cell r="B132" t="str">
            <v>266</v>
          </cell>
          <cell r="C132" t="str">
            <v>260</v>
          </cell>
          <cell r="D132" t="str">
            <v xml:space="preserve">Материалы и инструменты абразивные </v>
          </cell>
          <cell r="E132" t="str">
            <v>МАТЕРИАЛЫ, ИЗДЕЛИЯ СТРОИТЕЛЬНЫЕ ПРОМЫШЛЕННОГО ПРОИЗВОДСТВА, КРОМЕ СТЕНОВЫХ И КРОВЕЛЬНЫХ</v>
          </cell>
          <cell r="F132">
            <v>3</v>
          </cell>
        </row>
        <row r="133">
          <cell r="B133" t="str">
            <v>267</v>
          </cell>
          <cell r="C133" t="str">
            <v>260</v>
          </cell>
          <cell r="D133" t="str">
            <v xml:space="preserve">Стекло техническое и строительное </v>
          </cell>
          <cell r="E133" t="str">
            <v>МАТЕРИАЛЫ, ИЗДЕЛИЯ СТРОИТЕЛЬНЫЕ ПРОМЫШЛЕННОГО ПРОИЗВОДСТВА, КРОМЕ СТЕНОВЫХ И КРОВЕЛЬНЫХ</v>
          </cell>
          <cell r="F133">
            <v>3</v>
          </cell>
        </row>
        <row r="134">
          <cell r="B134" t="str">
            <v>268</v>
          </cell>
          <cell r="C134" t="str">
            <v>260</v>
          </cell>
          <cell r="D134" t="str">
            <v xml:space="preserve">Изделия санитарные керамические </v>
          </cell>
          <cell r="E134" t="str">
            <v>МАТЕРИАЛЫ, ИЗДЕЛИЯ СТРОИТЕЛЬНЫЕ ПРОМЫШЛЕННОГО ПРОИЗВОДСТВА, КРОМЕ СТЕНОВЫХ И КРОВЕЛЬНЫХ</v>
          </cell>
          <cell r="F134">
            <v>3</v>
          </cell>
        </row>
        <row r="135">
          <cell r="B135" t="str">
            <v>270</v>
          </cell>
          <cell r="C135" t="str">
            <v>270</v>
          </cell>
          <cell r="D135" t="str">
            <v xml:space="preserve">ШЛАКИ ГРАНУЛИРОВАННЫЕ </v>
          </cell>
          <cell r="E135" t="str">
            <v xml:space="preserve">ШЛАКИ ГРАНУЛИРОВАННЫЕ </v>
          </cell>
        </row>
        <row r="136">
          <cell r="B136" t="str">
            <v>271</v>
          </cell>
          <cell r="C136" t="str">
            <v>270</v>
          </cell>
          <cell r="D136" t="str">
            <v>Шлаки гранулированные</v>
          </cell>
          <cell r="E136" t="str">
            <v xml:space="preserve">ШЛАКИ ГРАНУЛИРОВАННЫЕ </v>
          </cell>
          <cell r="F136">
            <v>1</v>
          </cell>
        </row>
        <row r="137">
          <cell r="B137" t="str">
            <v>280</v>
          </cell>
          <cell r="C137" t="str">
            <v>280</v>
          </cell>
          <cell r="D137" t="str">
            <v xml:space="preserve">ЦЕМЕНТ </v>
          </cell>
          <cell r="E137" t="str">
            <v xml:space="preserve">ЦЕМЕНТ </v>
          </cell>
        </row>
        <row r="138">
          <cell r="B138" t="str">
            <v>281</v>
          </cell>
          <cell r="C138" t="str">
            <v>280</v>
          </cell>
          <cell r="D138" t="str">
            <v xml:space="preserve">Цемент </v>
          </cell>
          <cell r="E138" t="str">
            <v xml:space="preserve">ЦЕМЕНТ </v>
          </cell>
          <cell r="F138">
            <v>1</v>
          </cell>
        </row>
        <row r="139">
          <cell r="B139" t="str">
            <v>290</v>
          </cell>
          <cell r="C139" t="str">
            <v>290</v>
          </cell>
          <cell r="D139" t="str">
            <v xml:space="preserve">ФЛЮСЫ </v>
          </cell>
          <cell r="E139" t="str">
            <v xml:space="preserve">ФЛЮСЫ </v>
          </cell>
        </row>
        <row r="140">
          <cell r="B140" t="str">
            <v>291</v>
          </cell>
          <cell r="C140" t="str">
            <v>290</v>
          </cell>
          <cell r="D140" t="str">
            <v>Известняк для флюсования. Доломит сырой</v>
          </cell>
          <cell r="E140" t="str">
            <v xml:space="preserve">ФЛЮСЫ </v>
          </cell>
          <cell r="F140">
            <v>1</v>
          </cell>
        </row>
        <row r="141">
          <cell r="B141" t="str">
            <v>292</v>
          </cell>
          <cell r="C141" t="str">
            <v>290</v>
          </cell>
          <cell r="D141" t="str">
            <v xml:space="preserve">Гипс, известь и мел для флюсования </v>
          </cell>
          <cell r="E141" t="str">
            <v xml:space="preserve">ФЛЮСЫ </v>
          </cell>
          <cell r="F141">
            <v>1</v>
          </cell>
        </row>
        <row r="142">
          <cell r="B142" t="str">
            <v>300</v>
          </cell>
          <cell r="C142" t="str">
            <v>300</v>
          </cell>
          <cell r="D142" t="str">
            <v xml:space="preserve">ОГНЕУПОРЫ, АСБЕСТ, СЛЮДА </v>
          </cell>
          <cell r="E142" t="str">
            <v xml:space="preserve">ОГНЕУПОРЫ, АСБЕСТ, СЛЮДА </v>
          </cell>
        </row>
        <row r="143">
          <cell r="B143" t="str">
            <v>301</v>
          </cell>
          <cell r="C143">
            <v>301</v>
          </cell>
          <cell r="D143" t="str">
            <v>Сырье огнеупорное и кислотоупорное</v>
          </cell>
          <cell r="E143" t="str">
            <v>Сырье огнеупорное и кислотоупорное, асбест и слюда</v>
          </cell>
          <cell r="F143">
            <v>1</v>
          </cell>
        </row>
        <row r="144">
          <cell r="B144" t="str">
            <v>302</v>
          </cell>
          <cell r="C144" t="str">
            <v>300</v>
          </cell>
          <cell r="D144" t="str">
            <v xml:space="preserve">Кирпич огнеупорный </v>
          </cell>
          <cell r="E144" t="str">
            <v>Материалы и изделия огнеупорные и кислотоупорные</v>
          </cell>
          <cell r="F144">
            <v>2</v>
          </cell>
        </row>
        <row r="145">
          <cell r="B145" t="str">
            <v>303</v>
          </cell>
          <cell r="C145" t="str">
            <v>300</v>
          </cell>
          <cell r="D145" t="str">
            <v xml:space="preserve">Материалы и изделия огнеупорные и кислотоупорные, кроме кирпича огнеупорного </v>
          </cell>
          <cell r="E145" t="str">
            <v>Материалы и изделия огнеупорные и кислотоупорные</v>
          </cell>
          <cell r="F145">
            <v>2</v>
          </cell>
        </row>
        <row r="146">
          <cell r="B146" t="str">
            <v>304</v>
          </cell>
          <cell r="C146">
            <v>301</v>
          </cell>
          <cell r="D146" t="str">
            <v xml:space="preserve">Асбест и слюда </v>
          </cell>
          <cell r="E146" t="str">
            <v>Сырье огнеупорное и кислотоупорное, асбест и слюда</v>
          </cell>
          <cell r="F146">
            <v>1</v>
          </cell>
        </row>
        <row r="147">
          <cell r="B147" t="str">
            <v>310</v>
          </cell>
          <cell r="C147" t="str">
            <v>310</v>
          </cell>
          <cell r="D147" t="str">
            <v xml:space="preserve">МЕТАЛЛЫ ЧЕРНЫЕ </v>
          </cell>
          <cell r="E147" t="str">
            <v xml:space="preserve">МЕТАЛЛЫ ЧЕРНЫЕ </v>
          </cell>
        </row>
        <row r="148">
          <cell r="B148" t="str">
            <v>311</v>
          </cell>
          <cell r="C148" t="str">
            <v>310</v>
          </cell>
          <cell r="D148" t="str">
            <v xml:space="preserve">Чугун </v>
          </cell>
          <cell r="E148" t="str">
            <v xml:space="preserve">МЕТАЛЛЫ ЧЕРНЫЕ </v>
          </cell>
          <cell r="F148">
            <v>2</v>
          </cell>
        </row>
        <row r="149">
          <cell r="B149" t="str">
            <v>312</v>
          </cell>
          <cell r="C149" t="str">
            <v>310</v>
          </cell>
          <cell r="D149" t="str">
            <v xml:space="preserve">Сталь в слитках </v>
          </cell>
          <cell r="E149" t="str">
            <v xml:space="preserve">МЕТАЛЛЫ ЧЕРНЫЕ </v>
          </cell>
          <cell r="F149">
            <v>3</v>
          </cell>
        </row>
        <row r="150">
          <cell r="B150" t="str">
            <v>313</v>
          </cell>
          <cell r="C150" t="str">
            <v>310</v>
          </cell>
          <cell r="D150" t="str">
            <v xml:space="preserve">Ферросплавы </v>
          </cell>
          <cell r="E150" t="str">
            <v xml:space="preserve">МЕТАЛЛЫ ЧЕРНЫЕ </v>
          </cell>
          <cell r="F150">
            <v>3</v>
          </cell>
        </row>
        <row r="151">
          <cell r="B151" t="str">
            <v>314</v>
          </cell>
          <cell r="C151" t="str">
            <v>310</v>
          </cell>
          <cell r="D151" t="str">
            <v xml:space="preserve">Заготовки стальные </v>
          </cell>
          <cell r="E151" t="str">
            <v xml:space="preserve">МЕТАЛЛЫ ЧЕРНЫЕ </v>
          </cell>
          <cell r="F151">
            <v>3</v>
          </cell>
        </row>
        <row r="152">
          <cell r="B152" t="str">
            <v>315</v>
          </cell>
          <cell r="C152" t="str">
            <v>310</v>
          </cell>
          <cell r="D152" t="str">
            <v xml:space="preserve">Прочие черные металлы </v>
          </cell>
          <cell r="E152" t="str">
            <v xml:space="preserve">МЕТАЛЛЫ ЧЕРНЫЕ </v>
          </cell>
          <cell r="F152">
            <v>3</v>
          </cell>
        </row>
        <row r="153">
          <cell r="B153" t="str">
            <v>316</v>
          </cell>
          <cell r="C153" t="str">
            <v>310</v>
          </cell>
          <cell r="D153" t="str">
            <v xml:space="preserve">Лом черных металлов </v>
          </cell>
          <cell r="E153" t="str">
            <v xml:space="preserve">МЕТАЛЛЫ ЧЕРНЫЕ </v>
          </cell>
          <cell r="F153">
            <v>3</v>
          </cell>
        </row>
        <row r="154">
          <cell r="B154" t="str">
            <v>320</v>
          </cell>
          <cell r="C154" t="str">
            <v>320</v>
          </cell>
          <cell r="D154" t="str">
            <v xml:space="preserve">ПРОКАТ ЧЕРНЫХ МЕТАЛЛОВ </v>
          </cell>
          <cell r="E154" t="str">
            <v xml:space="preserve">ПРОКАТ ЧЕРНЫХ МЕТАЛЛОВ </v>
          </cell>
        </row>
        <row r="155">
          <cell r="B155" t="str">
            <v>321</v>
          </cell>
          <cell r="C155" t="str">
            <v>320</v>
          </cell>
          <cell r="D155" t="str">
            <v xml:space="preserve">Рельсы </v>
          </cell>
          <cell r="E155" t="str">
            <v xml:space="preserve">ПРОКАТ ЧЕРНЫХ МЕТАЛЛОВ </v>
          </cell>
          <cell r="F155">
            <v>3</v>
          </cell>
        </row>
        <row r="156">
          <cell r="B156" t="str">
            <v>322</v>
          </cell>
          <cell r="C156" t="str">
            <v>320</v>
          </cell>
          <cell r="D156" t="str">
            <v xml:space="preserve">Балки и швеллеры </v>
          </cell>
          <cell r="E156" t="str">
            <v xml:space="preserve">ПРОКАТ ЧЕРНЫХ МЕТАЛЛОВ </v>
          </cell>
          <cell r="F156">
            <v>3</v>
          </cell>
        </row>
        <row r="157">
          <cell r="B157" t="str">
            <v>323</v>
          </cell>
          <cell r="C157" t="str">
            <v>320</v>
          </cell>
          <cell r="D157" t="str">
            <v xml:space="preserve">Трубы из черных металлов </v>
          </cell>
          <cell r="E157" t="str">
            <v xml:space="preserve">ПРОКАТ ЧЕРНЫХ МЕТАЛЛОВ </v>
          </cell>
          <cell r="F157">
            <v>3</v>
          </cell>
        </row>
        <row r="158">
          <cell r="B158" t="str">
            <v>324</v>
          </cell>
          <cell r="C158" t="str">
            <v>320</v>
          </cell>
          <cell r="D158" t="str">
            <v>Прочие виды проката черных металлов</v>
          </cell>
          <cell r="E158" t="str">
            <v xml:space="preserve">ПРОКАТ ЧЕРНЫХ МЕТАЛЛОВ </v>
          </cell>
          <cell r="F158">
            <v>3</v>
          </cell>
        </row>
        <row r="159">
          <cell r="B159" t="str">
            <v>330</v>
          </cell>
          <cell r="C159" t="str">
            <v>330</v>
          </cell>
          <cell r="D159" t="str">
            <v xml:space="preserve">МЕТАЛЛЫ ЦВЕТНЫЕ </v>
          </cell>
          <cell r="E159" t="str">
            <v xml:space="preserve">МЕТАЛЛЫ ЦВЕТНЫЕ </v>
          </cell>
        </row>
        <row r="160">
          <cell r="B160" t="str">
            <v>331</v>
          </cell>
          <cell r="C160" t="str">
            <v>330</v>
          </cell>
          <cell r="D160" t="str">
            <v xml:space="preserve">Металлы цветные и их сплавы </v>
          </cell>
          <cell r="E160" t="str">
            <v xml:space="preserve">МЕТАЛЛЫ ЦВЕТНЫЕ </v>
          </cell>
          <cell r="F160">
            <v>3</v>
          </cell>
        </row>
        <row r="161">
          <cell r="B161" t="str">
            <v>332</v>
          </cell>
          <cell r="C161" t="str">
            <v>330</v>
          </cell>
          <cell r="D161" t="str">
            <v xml:space="preserve">Прокат цветных металлов </v>
          </cell>
          <cell r="E161" t="str">
            <v xml:space="preserve">МЕТАЛЛЫ ЦВЕТНЫЕ </v>
          </cell>
          <cell r="F161">
            <v>3</v>
          </cell>
        </row>
        <row r="162">
          <cell r="B162" t="str">
            <v>333</v>
          </cell>
          <cell r="C162" t="str">
            <v>330</v>
          </cell>
          <cell r="D162" t="str">
            <v xml:space="preserve">Лом и отходы цветных металлов </v>
          </cell>
          <cell r="E162" t="str">
            <v xml:space="preserve">МЕТАЛЛЫ ЦВЕТНЫЕ </v>
          </cell>
          <cell r="F162">
            <v>3</v>
          </cell>
        </row>
        <row r="163">
          <cell r="B163" t="str">
            <v>340</v>
          </cell>
          <cell r="C163" t="str">
            <v>340</v>
          </cell>
          <cell r="D163" t="str">
            <v xml:space="preserve">ШЛАКИ МЕТАЛЛУРГИЧЕСКИЕ ДЛЯ ПЕРЕПЛАВКИ </v>
          </cell>
          <cell r="E163" t="str">
            <v xml:space="preserve">ШЛАКИ МЕТАЛЛУРГИЧЕСКИЕ ДЛЯ ПЕРЕПЛАВКИ </v>
          </cell>
        </row>
        <row r="164">
          <cell r="B164" t="str">
            <v>341</v>
          </cell>
          <cell r="C164" t="str">
            <v>340</v>
          </cell>
          <cell r="D164" t="str">
            <v xml:space="preserve">Шлаки металлургические для переплавки </v>
          </cell>
          <cell r="E164" t="str">
            <v xml:space="preserve">ШЛАКИ МЕТАЛЛУРГИЧЕСКИЕ ДЛЯ ПЕРЕПЛАВКИ </v>
          </cell>
          <cell r="F164">
            <v>1</v>
          </cell>
        </row>
        <row r="165">
          <cell r="B165" t="str">
            <v>350</v>
          </cell>
          <cell r="C165" t="str">
            <v>350</v>
          </cell>
          <cell r="D165" t="str">
            <v xml:space="preserve">МАШИНЫ И ОБОРУДОВАНИЕ, КРОМЕ МАШИН СЕЛЬСКОХОЗЯЙСТВЕННЫХ </v>
          </cell>
          <cell r="E165" t="str">
            <v xml:space="preserve">МАШИНЫ И ОБОРУДОВАНИЕ, КРОМЕ МАШИН СЕЛЬСКОХОЗЯЙСТВЕННЫХ </v>
          </cell>
        </row>
        <row r="166">
          <cell r="B166" t="str">
            <v>351</v>
          </cell>
          <cell r="C166" t="str">
            <v>350</v>
          </cell>
          <cell r="D166" t="str">
            <v xml:space="preserve">Машины, оборудование и их части, кроме машин сельскохозяйственных </v>
          </cell>
          <cell r="E166" t="str">
            <v xml:space="preserve">МАШИНЫ И ОБОРУДОВАНИЕ, КРОМЕ МАШИН СЕЛЬСКОХОЗЯЙСТВЕННЫХ </v>
          </cell>
          <cell r="F166">
            <v>3</v>
          </cell>
        </row>
        <row r="167">
          <cell r="B167" t="str">
            <v>360</v>
          </cell>
          <cell r="C167" t="str">
            <v>360</v>
          </cell>
          <cell r="D167" t="str">
            <v xml:space="preserve">МАШИНЫ СЕЛЬСКОХОЗЯЙСТВЕННЫЕ, ТРАКТОРЫ И ИХ ЧАСТИ </v>
          </cell>
          <cell r="E167" t="str">
            <v xml:space="preserve">МАШИНЫ СЕЛЬСКОХОЗЯЙСТВЕННЫЕ, ТРАКТОРЫ И ИХ ЧАСТИ </v>
          </cell>
        </row>
        <row r="168">
          <cell r="B168" t="str">
            <v>361</v>
          </cell>
          <cell r="C168" t="str">
            <v>360</v>
          </cell>
          <cell r="D168" t="str">
            <v xml:space="preserve">Машины сельскохозяйственные и их части </v>
          </cell>
          <cell r="E168" t="str">
            <v xml:space="preserve">МАШИНЫ СЕЛЬСКОХОЗЯЙСТВЕННЫЕ, ТРАКТОРЫ И ИХ ЧАСТИ </v>
          </cell>
          <cell r="F168">
            <v>2</v>
          </cell>
        </row>
        <row r="169">
          <cell r="B169" t="str">
            <v>362</v>
          </cell>
          <cell r="C169" t="str">
            <v>360</v>
          </cell>
          <cell r="D169" t="str">
            <v xml:space="preserve">Тракторы и их части </v>
          </cell>
          <cell r="E169" t="str">
            <v xml:space="preserve">МАШИНЫ СЕЛЬСКОХОЗЯЙСТВЕННЫЕ, ТРАКТОРЫ И ИХ ЧАСТИ </v>
          </cell>
          <cell r="F169">
            <v>2</v>
          </cell>
        </row>
        <row r="170">
          <cell r="B170" t="str">
            <v>370</v>
          </cell>
          <cell r="C170" t="str">
            <v>370</v>
          </cell>
          <cell r="D170" t="str">
            <v xml:space="preserve">КОНСТРУКЦИИ МЕТАЛЛИЧЕСКИЕ </v>
          </cell>
          <cell r="E170" t="str">
            <v xml:space="preserve">КОНСТРУКЦИИ МЕТАЛЛИЧЕСКИЕ </v>
          </cell>
        </row>
        <row r="171">
          <cell r="B171" t="str">
            <v>371</v>
          </cell>
          <cell r="C171" t="str">
            <v>370</v>
          </cell>
          <cell r="D171" t="str">
            <v xml:space="preserve">Конструкции металлические </v>
          </cell>
          <cell r="E171" t="str">
            <v xml:space="preserve">КОНСТРУКЦИИ МЕТАЛЛИЧЕСКИЕ </v>
          </cell>
          <cell r="F171">
            <v>3</v>
          </cell>
        </row>
        <row r="172">
          <cell r="B172" t="str">
            <v>380</v>
          </cell>
          <cell r="C172" t="str">
            <v>380</v>
          </cell>
          <cell r="D172" t="str">
            <v xml:space="preserve">АВТОМОБИЛИ И ИХ ЧАСТИ </v>
          </cell>
          <cell r="E172" t="str">
            <v xml:space="preserve">АВТОМОБИЛИ И ИХ ЧАСТИ </v>
          </cell>
        </row>
        <row r="173">
          <cell r="B173" t="str">
            <v>381</v>
          </cell>
          <cell r="C173" t="str">
            <v>380</v>
          </cell>
          <cell r="D173" t="str">
            <v xml:space="preserve">Автомобили и их части </v>
          </cell>
          <cell r="E173" t="str">
            <v xml:space="preserve">АВТОМОБИЛИ И ИХ ЧАСТИ </v>
          </cell>
          <cell r="F173">
            <v>3</v>
          </cell>
        </row>
        <row r="174">
          <cell r="B174" t="str">
            <v>390</v>
          </cell>
          <cell r="C174" t="str">
            <v>390</v>
          </cell>
          <cell r="D174" t="str">
            <v>СРЕДСТВА ТРАНСПОРТИРОВАНИЯ, КРОМЕ АВТОМОБИЛЕЙ</v>
          </cell>
          <cell r="E174" t="str">
            <v>СРЕДСТВА ТРАНСПОРТИРОВАНИЯ, КРОМЕ АВТОМОБИЛЕЙ</v>
          </cell>
        </row>
        <row r="175">
          <cell r="B175" t="str">
            <v>391</v>
          </cell>
          <cell r="C175" t="str">
            <v>390</v>
          </cell>
          <cell r="D175" t="str">
            <v xml:space="preserve">Средства транспортирования и их части, кроме автомобилей </v>
          </cell>
          <cell r="E175" t="str">
            <v>СРЕДСТВА ТРАНСПОРТИРОВАНИЯ, КРОМЕ АВТОМОБИЛЕЙ</v>
          </cell>
          <cell r="F175">
            <v>3</v>
          </cell>
        </row>
        <row r="176">
          <cell r="B176" t="str">
            <v>400</v>
          </cell>
          <cell r="C176" t="str">
            <v>400</v>
          </cell>
          <cell r="D176" t="str">
            <v>АППАРАТЫ, ПРИБОРЫ И ПРЕДМЕТЫ ЭЛЕКТРО- И РАДИОТЕХНИКИ</v>
          </cell>
          <cell r="E176" t="str">
            <v>АППАРАТЫ, ПРИБОРЫ И ПРЕДМЕТЫ ЭЛЕКТРО- И РАДИОТЕХНИКИ</v>
          </cell>
        </row>
        <row r="177">
          <cell r="B177" t="str">
            <v>401</v>
          </cell>
          <cell r="C177" t="str">
            <v>400</v>
          </cell>
          <cell r="D177" t="str">
            <v xml:space="preserve">Аппараты и приборы, кроме электробытовых весов </v>
          </cell>
          <cell r="E177" t="str">
            <v>АППАРАТЫ, ПРИБОРЫ И ПРЕДМЕТЫ ЭЛЕКТРО- И РАДИОТЕХНИКИ</v>
          </cell>
          <cell r="F177">
            <v>3</v>
          </cell>
        </row>
        <row r="178">
          <cell r="B178" t="str">
            <v>402</v>
          </cell>
          <cell r="C178" t="str">
            <v>400</v>
          </cell>
          <cell r="D178" t="str">
            <v xml:space="preserve">Продукция радиопромышленности </v>
          </cell>
          <cell r="E178" t="str">
            <v>АППАРАТЫ, ПРИБОРЫ И ПРЕДМЕТЫ ЭЛЕКТРО- И РАДИОТЕХНИКИ</v>
          </cell>
          <cell r="F178">
            <v>3</v>
          </cell>
        </row>
        <row r="179">
          <cell r="B179" t="str">
            <v>403</v>
          </cell>
          <cell r="C179" t="str">
            <v>400</v>
          </cell>
          <cell r="D179" t="str">
            <v xml:space="preserve">Лампы накаливания и фонари электрические </v>
          </cell>
          <cell r="E179" t="str">
            <v>АППАРАТЫ, ПРИБОРЫ И ПРЕДМЕТЫ ЭЛЕКТРО- И РАДИОТЕХНИКИ</v>
          </cell>
          <cell r="F179">
            <v>3</v>
          </cell>
        </row>
        <row r="180">
          <cell r="B180" t="str">
            <v>404</v>
          </cell>
          <cell r="C180" t="str">
            <v>400</v>
          </cell>
          <cell r="D180" t="str">
            <v xml:space="preserve">Машины, изделия и приборы электробытовые </v>
          </cell>
          <cell r="E180" t="str">
            <v>АППАРАТЫ, ПРИБОРЫ И ПРЕДМЕТЫ ЭЛЕКТРО- И РАДИОТЕХНИКИ</v>
          </cell>
          <cell r="F180">
            <v>3</v>
          </cell>
        </row>
        <row r="181">
          <cell r="B181" t="str">
            <v>405</v>
          </cell>
          <cell r="C181" t="str">
            <v>400</v>
          </cell>
          <cell r="D181" t="str">
            <v xml:space="preserve">Весы всякие, кроме аналитических, части весов </v>
          </cell>
          <cell r="E181" t="str">
            <v>АППАРАТЫ, ПРИБОРЫ И ПРЕДМЕТЫ ЭЛЕКТРО- И РАДИОТЕХНИКИ</v>
          </cell>
          <cell r="F181">
            <v>3</v>
          </cell>
        </row>
        <row r="182">
          <cell r="B182" t="str">
            <v>410</v>
          </cell>
          <cell r="C182" t="str">
            <v>410</v>
          </cell>
          <cell r="D182" t="str">
            <v xml:space="preserve">ИЗДЕЛИЯ МЕТАЛЛИЧЕСКИЕ </v>
          </cell>
          <cell r="E182" t="str">
            <v xml:space="preserve">ИЗДЕЛИЯ МЕТАЛЛИЧЕСКИЕ </v>
          </cell>
        </row>
        <row r="183">
          <cell r="B183" t="str">
            <v>411</v>
          </cell>
          <cell r="C183" t="str">
            <v>410</v>
          </cell>
          <cell r="D183" t="str">
            <v xml:space="preserve">Изделия из черных металлов производственного назначения </v>
          </cell>
          <cell r="E183" t="str">
            <v xml:space="preserve">ИЗДЕЛИЯ МЕТАЛЛИЧЕСКИЕ </v>
          </cell>
          <cell r="F183">
            <v>3</v>
          </cell>
        </row>
        <row r="184">
          <cell r="B184" t="str">
            <v>412</v>
          </cell>
          <cell r="C184" t="str">
            <v>410</v>
          </cell>
          <cell r="D184" t="str">
            <v xml:space="preserve">Емкости и тара металлические </v>
          </cell>
          <cell r="E184" t="str">
            <v xml:space="preserve">ИЗДЕЛИЯ МЕТАЛЛИЧЕСКИЕ </v>
          </cell>
          <cell r="F184">
            <v>3</v>
          </cell>
        </row>
        <row r="185">
          <cell r="B185" t="str">
            <v>413</v>
          </cell>
          <cell r="C185" t="str">
            <v>410</v>
          </cell>
          <cell r="D185" t="str">
            <v xml:space="preserve">Мебель металлическая </v>
          </cell>
          <cell r="E185" t="str">
            <v xml:space="preserve">ИЗДЕЛИЯ МЕТАЛЛИЧЕСКИЕ </v>
          </cell>
          <cell r="F185">
            <v>3</v>
          </cell>
        </row>
        <row r="186">
          <cell r="B186" t="str">
            <v>414</v>
          </cell>
          <cell r="C186" t="str">
            <v>410</v>
          </cell>
          <cell r="D186" t="str">
            <v xml:space="preserve">Части железнодорожного подвижного состава и верхнего строения пути, кроме рельсов </v>
          </cell>
          <cell r="E186" t="str">
            <v xml:space="preserve">ИЗДЕЛИЯ МЕТАЛЛИЧЕСКИЕ </v>
          </cell>
          <cell r="F186">
            <v>3</v>
          </cell>
        </row>
        <row r="187">
          <cell r="B187" t="str">
            <v>415</v>
          </cell>
          <cell r="C187" t="str">
            <v>410</v>
          </cell>
          <cell r="D187" t="str">
            <v xml:space="preserve">Прочие изделия металлические </v>
          </cell>
          <cell r="E187" t="str">
            <v xml:space="preserve">ИЗДЕЛИЯ МЕТАЛЛИЧЕСКИЕ </v>
          </cell>
          <cell r="F187">
            <v>3</v>
          </cell>
        </row>
        <row r="188">
          <cell r="B188" t="str">
            <v>416</v>
          </cell>
          <cell r="C188" t="str">
            <v>410</v>
          </cell>
          <cell r="D188" t="str">
            <v xml:space="preserve">Изделия из цветных металлов производственного назначения </v>
          </cell>
          <cell r="E188" t="str">
            <v xml:space="preserve">ИЗДЕЛИЯ МЕТАЛЛИЧЕСКИЕ </v>
          </cell>
          <cell r="F188">
            <v>3</v>
          </cell>
        </row>
        <row r="189">
          <cell r="B189" t="str">
            <v>417</v>
          </cell>
          <cell r="C189" t="str">
            <v>410</v>
          </cell>
          <cell r="D189" t="str">
            <v xml:space="preserve">Изделия кабельные </v>
          </cell>
          <cell r="E189" t="str">
            <v xml:space="preserve">ИЗДЕЛИЯ МЕТАЛЛИЧЕСКИЕ </v>
          </cell>
          <cell r="F189">
            <v>3</v>
          </cell>
        </row>
        <row r="190">
          <cell r="B190" t="str">
            <v>418</v>
          </cell>
          <cell r="C190" t="str">
            <v>410</v>
          </cell>
          <cell r="D190" t="str">
            <v xml:space="preserve">Посуда алюминиевая </v>
          </cell>
          <cell r="E190" t="str">
            <v xml:space="preserve">ИЗДЕЛИЯ МЕТАЛЛИЧЕСКИЕ </v>
          </cell>
          <cell r="F190">
            <v>3</v>
          </cell>
        </row>
        <row r="191">
          <cell r="B191" t="str">
            <v>420</v>
          </cell>
          <cell r="C191" t="str">
            <v>420</v>
          </cell>
          <cell r="D191" t="str">
            <v xml:space="preserve">РЕЛЬСОВЫЙ ПОДВИЖНОЙ СОСТАВ, КРАНЫ ГPУЗOПOДЪЕМНЫЕ, ПЕРЕВОЗИМЫЕ НА СВОИХ ОСЯХ </v>
          </cell>
          <cell r="E191" t="str">
            <v xml:space="preserve">РЕЛЬСОВЫЙ ПОДВИЖНОЙ СОСТАВ, КРАНЫ ГPУЗOПOДЪЕМНЫЕ, ПЕРЕВОЗИМЫЕ НА СВОИХ ОСЯХ </v>
          </cell>
        </row>
        <row r="192">
          <cell r="B192" t="str">
            <v>421</v>
          </cell>
          <cell r="C192" t="str">
            <v>420</v>
          </cell>
          <cell r="D192" t="str">
            <v xml:space="preserve">Вагоны всякие и тендеры локомотивов </v>
          </cell>
          <cell r="E192" t="str">
            <v xml:space="preserve">РЕЛЬСОВЫЙ ПОДВИЖНОЙ СОСТАВ, КРАНЫ ГPУЗOПOДЪЕМНЫЕ, ПЕРЕВОЗИМЫЕ НА СВОИХ ОСЯХ </v>
          </cell>
          <cell r="F192">
            <v>2</v>
          </cell>
        </row>
        <row r="193">
          <cell r="B193" t="str">
            <v>422</v>
          </cell>
          <cell r="C193" t="str">
            <v>420</v>
          </cell>
          <cell r="D193" t="str">
            <v xml:space="preserve">Локомотивы </v>
          </cell>
          <cell r="E193" t="str">
            <v xml:space="preserve">РЕЛЬСОВЫЙ ПОДВИЖНОЙ СОСТАВ, КРАНЫ ГPУЗOПOДЪЕМНЫЕ, ПЕРЕВОЗИМЫЕ НА СВОИХ ОСЯХ </v>
          </cell>
          <cell r="F193">
            <v>2</v>
          </cell>
        </row>
        <row r="194">
          <cell r="B194" t="str">
            <v>423</v>
          </cell>
          <cell r="C194" t="str">
            <v>420</v>
          </cell>
          <cell r="D194" t="str">
            <v xml:space="preserve">Краны грузоподъемные, электростанции, энергопоезда и прочее оборудование на железнодорожном ходу </v>
          </cell>
          <cell r="E194" t="str">
            <v xml:space="preserve">РЕЛЬСОВЫЙ ПОДВИЖНОЙ СОСТАВ, КРАНЫ ГPУЗOПOДЪЕМНЫЕ, ПЕРЕВОЗИМЫЕ НА СВОИХ ОСЯХ </v>
          </cell>
          <cell r="F194">
            <v>2</v>
          </cell>
        </row>
        <row r="195">
          <cell r="B195" t="str">
            <v>430</v>
          </cell>
          <cell r="C195" t="str">
            <v>430</v>
          </cell>
          <cell r="D195" t="str">
            <v xml:space="preserve">УДОБРЕНИЯ МИНЕРАЛЬНЫЕ, СЫРЬЕ ГОРНО-ХИМИЧЕСКОЕ ДЛЯ ПРОИЗВОДСТВА УДОБРЕНИЙ </v>
          </cell>
          <cell r="E195" t="str">
            <v xml:space="preserve">УДОБРЕНИЯ МИНЕРАЛЬНЫЕ, СЫРЬЕ ГОРНО-ХИМИЧЕСКОЕ ДЛЯ ПРОИЗВОДСТВА УДОБРЕНИЙ </v>
          </cell>
        </row>
        <row r="196">
          <cell r="B196" t="str">
            <v>431</v>
          </cell>
          <cell r="C196">
            <v>431</v>
          </cell>
          <cell r="D196" t="str">
            <v xml:space="preserve">Сырье горно-химическое для производства удобрений </v>
          </cell>
          <cell r="E196" t="str">
            <v xml:space="preserve">Сырье горно-химическое для производства удобрений </v>
          </cell>
          <cell r="F196">
            <v>1</v>
          </cell>
        </row>
        <row r="197">
          <cell r="B197" t="str">
            <v>432</v>
          </cell>
          <cell r="C197">
            <v>430</v>
          </cell>
          <cell r="D197" t="str">
            <v xml:space="preserve">Аммиак водный (вода аммиачная) </v>
          </cell>
          <cell r="E197" t="str">
            <v>Удобрения минеральные</v>
          </cell>
          <cell r="F197">
            <v>2</v>
          </cell>
        </row>
        <row r="198">
          <cell r="B198" t="str">
            <v>433</v>
          </cell>
          <cell r="C198">
            <v>430</v>
          </cell>
          <cell r="D198" t="str">
            <v xml:space="preserve">Удобрения азотные </v>
          </cell>
          <cell r="E198" t="str">
            <v>Удобрения минеральные</v>
          </cell>
          <cell r="F198">
            <v>2</v>
          </cell>
        </row>
        <row r="199">
          <cell r="B199" t="str">
            <v>434</v>
          </cell>
          <cell r="C199">
            <v>430</v>
          </cell>
          <cell r="D199" t="str">
            <v xml:space="preserve">Удобрения калийные </v>
          </cell>
          <cell r="E199" t="str">
            <v>Удобрения минеральные</v>
          </cell>
          <cell r="F199">
            <v>2</v>
          </cell>
        </row>
        <row r="200">
          <cell r="B200" t="str">
            <v>435</v>
          </cell>
          <cell r="C200">
            <v>430</v>
          </cell>
          <cell r="D200" t="str">
            <v xml:space="preserve">Удобрения фосфорные (фосфатные) </v>
          </cell>
          <cell r="E200" t="str">
            <v>Удобрения минеральные</v>
          </cell>
          <cell r="F200">
            <v>2</v>
          </cell>
        </row>
        <row r="201">
          <cell r="B201" t="str">
            <v>436</v>
          </cell>
          <cell r="C201">
            <v>430</v>
          </cell>
          <cell r="D201" t="str">
            <v xml:space="preserve">Удобрения минеральные прочие </v>
          </cell>
          <cell r="E201" t="str">
            <v>Удобрения минеральные</v>
          </cell>
          <cell r="F201">
            <v>2</v>
          </cell>
        </row>
        <row r="202">
          <cell r="B202" t="str">
            <v>440</v>
          </cell>
          <cell r="C202" t="str">
            <v>440</v>
          </cell>
          <cell r="D202" t="str">
            <v xml:space="preserve">ПРОДУКЦИЯ ХИМИКО-ФАРМАЦЕВТИЧЕСКОЙ И ПАРФЮМЕРНО-КОСМЕТИЧЕСКОЙ ПРОМЫШЛЕННОСТИ. МЫЛО </v>
          </cell>
          <cell r="E202" t="str">
            <v xml:space="preserve">ПРОДУКЦИЯ ХИМИКО-ФАРМАЦЕВТИЧЕСКОЙ И ПАРФЮМЕРНО-КОСМЕТИЧЕСКОЙ ПРОМЫШЛЕННОСТИ. МЫЛО </v>
          </cell>
        </row>
        <row r="203">
          <cell r="B203" t="str">
            <v>441</v>
          </cell>
          <cell r="C203" t="str">
            <v>440</v>
          </cell>
          <cell r="D203" t="str">
            <v xml:space="preserve">Медикаменты, химико-фармацевтическая продукция </v>
          </cell>
          <cell r="E203" t="str">
            <v xml:space="preserve">ПРОДУКЦИЯ ХИМИКО-ФАРМАЦЕВТИЧЕСКОЙ И ПАРФЮМЕРНО-КОСМЕТИЧЕСКОЙ ПРОМЫШЛЕННОСТИ. МЫЛО </v>
          </cell>
          <cell r="F203">
            <v>2</v>
          </cell>
        </row>
        <row r="204">
          <cell r="B204" t="str">
            <v>442</v>
          </cell>
          <cell r="C204" t="str">
            <v>440</v>
          </cell>
          <cell r="D204" t="str">
            <v xml:space="preserve">Продукция парфюмерно-косметической и эфирно-масличной промышленности </v>
          </cell>
          <cell r="E204" t="str">
            <v xml:space="preserve">ПРОДУКЦИЯ ХИМИКО-ФАРМАЦЕВТИЧЕСКОЙ И ПАРФЮМЕРНО-КОСМЕТИЧЕСКОЙ ПРОМЫШЛЕННОСТИ. МЫЛО </v>
          </cell>
          <cell r="F204">
            <v>3</v>
          </cell>
        </row>
        <row r="205">
          <cell r="B205" t="str">
            <v>443</v>
          </cell>
          <cell r="C205" t="str">
            <v>440</v>
          </cell>
          <cell r="D205" t="str">
            <v xml:space="preserve">Мыло </v>
          </cell>
          <cell r="E205" t="str">
            <v xml:space="preserve">ПРОДУКЦИЯ ХИМИКО-ФАРМАЦЕВТИЧЕСКОЙ И ПАРФЮМЕРНО-КОСМЕТИЧЕСКОЙ ПРОМЫШЛЕННОСТИ. МЫЛО </v>
          </cell>
          <cell r="F205">
            <v>2</v>
          </cell>
        </row>
        <row r="206">
          <cell r="B206" t="str">
            <v>450</v>
          </cell>
          <cell r="C206" t="str">
            <v>450</v>
          </cell>
          <cell r="D206" t="str">
            <v xml:space="preserve">КАУЧУКИ, РЕЗИНА, ИЗДЕЛИЯ РЕЗИНО-ТЕХНИЧЕСКИЕ, УГЛЕРОД ТЕХНИЧЕСКИЙ (САЖА) </v>
          </cell>
          <cell r="E206" t="str">
            <v xml:space="preserve">КАУЧУКИ, РЕЗИНА, ИЗДЕЛИЯ РЕЗИНО-ТЕХНИЧЕСКИЕ, УГЛЕРОД ТЕХНИЧЕСКИЙ (САЖА) </v>
          </cell>
        </row>
        <row r="207">
          <cell r="B207" t="str">
            <v>451</v>
          </cell>
          <cell r="C207" t="str">
            <v>450</v>
          </cell>
          <cell r="D207" t="str">
            <v xml:space="preserve">Каучуки и латексы </v>
          </cell>
          <cell r="E207" t="str">
            <v xml:space="preserve">КАУЧУКИ, РЕЗИНА, ИЗДЕЛИЯ РЕЗИНО-ТЕХНИЧЕСКИЕ, УГЛЕРОД ТЕХНИЧЕСКИЙ (САЖА) </v>
          </cell>
          <cell r="F207">
            <v>3</v>
          </cell>
        </row>
        <row r="208">
          <cell r="B208" t="str">
            <v>452</v>
          </cell>
          <cell r="C208" t="str">
            <v>450</v>
          </cell>
          <cell r="D208" t="str">
            <v xml:space="preserve">Резина, изделия резино-технические и эбонитовые </v>
          </cell>
          <cell r="E208" t="str">
            <v xml:space="preserve">КАУЧУКИ, РЕЗИНА, ИЗДЕЛИЯ РЕЗИНО-ТЕХНИЧЕСКИЕ, УГЛЕРОД ТЕХНИЧЕСКИЙ (САЖА) </v>
          </cell>
          <cell r="F208">
            <v>3</v>
          </cell>
        </row>
        <row r="209">
          <cell r="B209" t="str">
            <v>453</v>
          </cell>
          <cell r="C209" t="str">
            <v>450</v>
          </cell>
          <cell r="D209" t="str">
            <v xml:space="preserve">Изделия резино-технические, бывшие в употреблении, восстановленные </v>
          </cell>
          <cell r="E209" t="str">
            <v xml:space="preserve">КАУЧУКИ, РЕЗИНА, ИЗДЕЛИЯ РЕЗИНО-ТЕХНИЧЕСКИЕ, УГЛЕРОД ТЕХНИЧЕСКИЙ (САЖА) </v>
          </cell>
          <cell r="F209">
            <v>3</v>
          </cell>
        </row>
        <row r="210">
          <cell r="B210" t="str">
            <v>454</v>
          </cell>
          <cell r="C210" t="str">
            <v>450</v>
          </cell>
          <cell r="D210" t="str">
            <v xml:space="preserve">Углерод технический (сажа) </v>
          </cell>
          <cell r="E210" t="str">
            <v xml:space="preserve">КАУЧУКИ, РЕЗИНА, ИЗДЕЛИЯ РЕЗИНО-ТЕХНИЧЕСКИЕ, УГЛЕРОД ТЕХНИЧЕСКИЙ (САЖА) </v>
          </cell>
          <cell r="F210">
            <v>3</v>
          </cell>
        </row>
        <row r="211">
          <cell r="B211" t="str">
            <v>460</v>
          </cell>
          <cell r="C211" t="str">
            <v>460</v>
          </cell>
          <cell r="D211" t="str">
            <v xml:space="preserve">СМОЛЫ ПРИРОДНЫЕ И СИНТЕТИЧЕСКИЕ. ВОЛОКНА СИНТЕТИЧЕСКИЕ, ПЛАСТМАССЫ И ИЗДЕЛИЯ ИЗ НИХ. КЛЕЙ. КРАСКИ </v>
          </cell>
          <cell r="E211" t="str">
            <v xml:space="preserve">СМОЛЫ ПРИРОДНЫЕ И СИНТЕТИЧЕСКИЕ. ВОЛОКНА СИНТЕТИЧЕСКИЕ, ПЛАСТМАССЫ И ИЗДЕЛИЯ ИЗ НИХ. КЛЕЙ. КРАСКИ </v>
          </cell>
          <cell r="F211">
            <v>3</v>
          </cell>
        </row>
        <row r="212">
          <cell r="B212" t="str">
            <v>461</v>
          </cell>
          <cell r="C212" t="str">
            <v>460</v>
          </cell>
          <cell r="D212" t="str">
            <v xml:space="preserve">Смолы синтетические и пластические массы </v>
          </cell>
          <cell r="E212" t="str">
            <v xml:space="preserve">СМОЛЫ ПРИРОДНЫЕ И СИНТЕТИЧЕСКИЕ. ВОЛОКНА СИНТЕТИЧЕСКИЕ, ПЛАСТМАССЫ И ИЗДЕЛИЯ ИЗ НИХ. КЛЕЙ. КРАСКИ </v>
          </cell>
          <cell r="F212">
            <v>3</v>
          </cell>
        </row>
        <row r="213">
          <cell r="B213" t="str">
            <v>462</v>
          </cell>
          <cell r="C213" t="str">
            <v>460</v>
          </cell>
          <cell r="D213" t="str">
            <v xml:space="preserve">Изделия из пластических масс и синтетических смол </v>
          </cell>
          <cell r="E213" t="str">
            <v xml:space="preserve">СМОЛЫ ПРИРОДНЫЕ И СИНТЕТИЧЕСКИЕ. ВОЛОКНА СИНТЕТИЧЕСКИЕ, ПЛАСТМАССЫ И ИЗДЕЛИЯ ИЗ НИХ. КЛЕЙ. КРАСКИ </v>
          </cell>
          <cell r="F213">
            <v>3</v>
          </cell>
        </row>
        <row r="214">
          <cell r="B214" t="str">
            <v>463</v>
          </cell>
          <cell r="C214" t="str">
            <v>460</v>
          </cell>
          <cell r="D214" t="str">
            <v xml:space="preserve">Волокна искусственные и синтетические </v>
          </cell>
          <cell r="E214" t="str">
            <v xml:space="preserve">СМОЛЫ ПРИРОДНЫЕ И СИНТЕТИЧЕСКИЕ. ВОЛОКНА СИНТЕТИЧЕСКИЕ, ПЛАСТМАССЫ И ИЗДЕЛИЯ ИЗ НИХ. КЛЕЙ. КРАСКИ </v>
          </cell>
          <cell r="F214">
            <v>3</v>
          </cell>
        </row>
        <row r="215">
          <cell r="B215" t="str">
            <v>464</v>
          </cell>
          <cell r="C215" t="str">
            <v>460</v>
          </cell>
          <cell r="D215" t="str">
            <v xml:space="preserve">Клей </v>
          </cell>
          <cell r="E215" t="str">
            <v xml:space="preserve">СМОЛЫ ПРИРОДНЫЕ И СИНТЕТИЧЕСКИЕ. ВОЛОКНА СИНТЕТИЧЕСКИЕ, ПЛАСТМАССЫ И ИЗДЕЛИЯ ИЗ НИХ. КЛЕЙ. КРАСКИ </v>
          </cell>
          <cell r="F215">
            <v>3</v>
          </cell>
        </row>
        <row r="216">
          <cell r="B216" t="str">
            <v>465</v>
          </cell>
          <cell r="C216" t="str">
            <v>460</v>
          </cell>
          <cell r="D216" t="str">
            <v xml:space="preserve">Смолы природные </v>
          </cell>
          <cell r="E216" t="str">
            <v xml:space="preserve">СМОЛЫ ПРИРОДНЫЕ И СИНТЕТИЧЕСКИЕ. ВОЛОКНА СИНТЕТИЧЕСКИЕ, ПЛАСТМАССЫ И ИЗДЕЛИЯ ИЗ НИХ. КЛЕЙ. КРАСКИ </v>
          </cell>
          <cell r="F216">
            <v>3</v>
          </cell>
        </row>
        <row r="217">
          <cell r="B217" t="str">
            <v>466</v>
          </cell>
          <cell r="C217" t="str">
            <v>460</v>
          </cell>
          <cell r="D217" t="str">
            <v xml:space="preserve">Материалы лакокрасочные. Красители синтетические. Грунтовки и шпаклевки малярные, мастики </v>
          </cell>
          <cell r="E217" t="str">
            <v xml:space="preserve">СМОЛЫ ПРИРОДНЫЕ И СИНТЕТИЧЕСКИЕ. ВОЛОКНА СИНТЕТИЧЕСКИЕ, ПЛАСТМАССЫ И ИЗДЕЛИЯ ИЗ НИХ. КЛЕЙ. КРАСКИ </v>
          </cell>
          <cell r="F217">
            <v>3</v>
          </cell>
        </row>
        <row r="218">
          <cell r="B218" t="str">
            <v>467</v>
          </cell>
          <cell r="C218" t="str">
            <v>460</v>
          </cell>
          <cell r="D218" t="str">
            <v xml:space="preserve">Продукты промежуточные для красителей и органического синтеза </v>
          </cell>
          <cell r="E218" t="str">
            <v xml:space="preserve">СМОЛЫ ПРИРОДНЫЕ И СИНТЕТИЧЕСКИЕ. ВОЛОКНА СИНТЕТИЧЕСКИЕ, ПЛАСТМАССЫ И ИЗДЕЛИЯ ИЗ НИХ. КЛЕЙ. КРАСКИ </v>
          </cell>
          <cell r="F218">
            <v>3</v>
          </cell>
        </row>
        <row r="219">
          <cell r="B219" t="str">
            <v>470</v>
          </cell>
          <cell r="C219" t="str">
            <v>470</v>
          </cell>
          <cell r="D219" t="str">
            <v xml:space="preserve">ПРОДУКЦИЯ КОКСОХИМИЧЕСКОЙ И ЛЕСОХИМИЧЕСКОЙ ПРОМЫШЛЕННОСТИ </v>
          </cell>
          <cell r="E219" t="str">
            <v xml:space="preserve">ПРОДУКЦИЯ КОКСОХИМИЧЕСКОЙ И ЛЕСОХИМИЧЕСКОЙ ПРОМЫШЛЕННОСТИ </v>
          </cell>
        </row>
        <row r="220">
          <cell r="B220" t="str">
            <v>471</v>
          </cell>
          <cell r="C220" t="str">
            <v>470</v>
          </cell>
          <cell r="D220" t="str">
            <v xml:space="preserve">Смолы, кроме природных, нефтяных и синтетических. Деготь </v>
          </cell>
          <cell r="E220" t="str">
            <v xml:space="preserve">ПРОДУКЦИЯ КОКСОХИМИЧЕСКОЙ И ЛЕСОХИМИЧЕСКОЙ ПРОМЫШЛЕННОСТИ </v>
          </cell>
          <cell r="F220">
            <v>3</v>
          </cell>
        </row>
        <row r="221">
          <cell r="B221" t="str">
            <v>472</v>
          </cell>
          <cell r="C221" t="str">
            <v>470</v>
          </cell>
          <cell r="D221" t="str">
            <v xml:space="preserve">Масла, кроме нефтяных. Скипидар и составы пропиточные </v>
          </cell>
          <cell r="E221" t="str">
            <v xml:space="preserve">ПРОДУКЦИЯ КОКСОХИМИЧЕСКОЙ И ЛЕСОХИМИЧЕСКОЙ ПРОМЫШЛЕННОСТИ </v>
          </cell>
          <cell r="F221">
            <v>3</v>
          </cell>
        </row>
        <row r="222">
          <cell r="B222" t="str">
            <v>473</v>
          </cell>
          <cell r="C222" t="str">
            <v>470</v>
          </cell>
          <cell r="D222" t="str">
            <v xml:space="preserve">Электроды графитированные и угольные </v>
          </cell>
          <cell r="E222" t="str">
            <v xml:space="preserve">ПРОДУКЦИЯ КОКСОХИМИЧЕСКОЙ И ЛЕСОХИМИЧЕСКОЙ ПРОМЫШЛЕННОСТИ </v>
          </cell>
          <cell r="F222">
            <v>3</v>
          </cell>
        </row>
        <row r="223">
          <cell r="B223" t="str">
            <v>474</v>
          </cell>
          <cell r="C223" t="str">
            <v>470</v>
          </cell>
          <cell r="D223" t="str">
            <v xml:space="preserve">Уголь древесный </v>
          </cell>
          <cell r="E223" t="str">
            <v xml:space="preserve">ПРОДУКЦИЯ КОКСОХИМИЧЕСКОЙ И ЛЕСОХИМИЧЕСКОЙ ПРОМЫШЛЕННОСТИ </v>
          </cell>
          <cell r="F223">
            <v>2</v>
          </cell>
        </row>
        <row r="224">
          <cell r="B224" t="str">
            <v>475</v>
          </cell>
          <cell r="C224" t="str">
            <v>470</v>
          </cell>
          <cell r="D224" t="str">
            <v xml:space="preserve">Прочая продукция коксохимической и лесохимической промышленности </v>
          </cell>
          <cell r="E224" t="str">
            <v xml:space="preserve">ПРОДУКЦИЯ КОКСОХИМИЧЕСКОЙ И ЛЕСОХИМИЧЕСКОЙ ПРОМЫШЛЕННОСТИ </v>
          </cell>
          <cell r="F224">
            <v>3</v>
          </cell>
        </row>
        <row r="225">
          <cell r="B225" t="str">
            <v>480</v>
          </cell>
          <cell r="C225" t="str">
            <v>480</v>
          </cell>
          <cell r="D225" t="str">
            <v xml:space="preserve">ПРОДУКЦИЯ НЕОРГАНИЧЕСКОЙ ХИМИИ </v>
          </cell>
          <cell r="E225" t="str">
            <v xml:space="preserve">ПРОДУКЦИЯ НЕОРГАНИЧЕСКОЙ ХИМИИ </v>
          </cell>
        </row>
        <row r="226">
          <cell r="B226" t="str">
            <v>481</v>
          </cell>
          <cell r="C226" t="str">
            <v>480</v>
          </cell>
          <cell r="D226" t="str">
            <v xml:space="preserve">Кислоты, оксиды, пероксиды и ангидриды </v>
          </cell>
          <cell r="E226" t="str">
            <v xml:space="preserve">ПРОДУКЦИЯ НЕОРГАНИЧЕСКОЙ ХИМИИ </v>
          </cell>
          <cell r="F226">
            <v>3</v>
          </cell>
        </row>
        <row r="227">
          <cell r="B227" t="str">
            <v>482</v>
          </cell>
          <cell r="C227" t="str">
            <v>480</v>
          </cell>
          <cell r="D227" t="str">
            <v xml:space="preserve">Основания и содопродукты </v>
          </cell>
          <cell r="E227" t="str">
            <v xml:space="preserve">ПРОДУКЦИЯ НЕОРГАНИЧЕСКОЙ ХИМИИ </v>
          </cell>
          <cell r="F227">
            <v>2</v>
          </cell>
        </row>
        <row r="228">
          <cell r="B228" t="str">
            <v>483</v>
          </cell>
          <cell r="C228" t="str">
            <v>480</v>
          </cell>
          <cell r="D228" t="str">
            <v xml:space="preserve">Соли кислородных кислот </v>
          </cell>
          <cell r="E228" t="str">
            <v xml:space="preserve">ПРОДУКЦИЯ НЕОРГАНИЧЕСКОЙ ХИМИИ </v>
          </cell>
          <cell r="F228">
            <v>3</v>
          </cell>
        </row>
        <row r="229">
          <cell r="B229" t="str">
            <v>484</v>
          </cell>
          <cell r="C229" t="str">
            <v>480</v>
          </cell>
          <cell r="D229" t="str">
            <v xml:space="preserve">Соли кислородных кислот </v>
          </cell>
          <cell r="E229" t="str">
            <v xml:space="preserve">ПРОДУКЦИЯ НЕОРГАНИЧЕСКОЙ ХИМИИ </v>
          </cell>
          <cell r="F229">
            <v>3</v>
          </cell>
        </row>
        <row r="230">
          <cell r="B230" t="str">
            <v>485</v>
          </cell>
          <cell r="C230" t="str">
            <v>480</v>
          </cell>
          <cell r="D230" t="str">
            <v xml:space="preserve">Соли бескислородных кислот </v>
          </cell>
          <cell r="E230" t="str">
            <v xml:space="preserve">ПРОДУКЦИЯ НЕОРГАНИЧЕСКОЙ ХИМИИ </v>
          </cell>
          <cell r="F230">
            <v>3</v>
          </cell>
        </row>
        <row r="231">
          <cell r="B231" t="str">
            <v>486</v>
          </cell>
          <cell r="C231" t="str">
            <v>480</v>
          </cell>
          <cell r="D231" t="str">
            <v xml:space="preserve">Сорбенты и катализаторы, коагулянты </v>
          </cell>
          <cell r="E231" t="str">
            <v xml:space="preserve">ПРОДУКЦИЯ НЕОРГАНИЧЕСКОЙ ХИМИИ </v>
          </cell>
          <cell r="F231">
            <v>3</v>
          </cell>
        </row>
        <row r="232">
          <cell r="B232" t="str">
            <v>487</v>
          </cell>
          <cell r="C232" t="str">
            <v>480</v>
          </cell>
          <cell r="D232" t="str">
            <v xml:space="preserve">Металлы щелочные, щелочноземельные и неметаллы </v>
          </cell>
          <cell r="E232" t="str">
            <v xml:space="preserve">ПРОДУКЦИЯ НЕОРГАНИЧЕСКОЙ ХИМИИ </v>
          </cell>
          <cell r="F232">
            <v>3</v>
          </cell>
        </row>
        <row r="233">
          <cell r="B233" t="str">
            <v>488</v>
          </cell>
          <cell r="C233" t="str">
            <v>480</v>
          </cell>
          <cell r="D233" t="str">
            <v xml:space="preserve">Газы, кроме энергетических </v>
          </cell>
          <cell r="E233" t="str">
            <v xml:space="preserve">ПРОДУКЦИЯ НЕОРГАНИЧЕСКОЙ ХИМИИ </v>
          </cell>
          <cell r="F233">
            <v>3</v>
          </cell>
        </row>
        <row r="234">
          <cell r="B234" t="str">
            <v>489</v>
          </cell>
          <cell r="C234" t="str">
            <v>480</v>
          </cell>
          <cell r="D234" t="str">
            <v xml:space="preserve">Прочие неорганические соединения </v>
          </cell>
          <cell r="E234" t="str">
            <v xml:space="preserve">ПРОДУКЦИЯ НЕОРГАНИЧЕСКОЙ ХИМИИ </v>
          </cell>
          <cell r="F234">
            <v>3</v>
          </cell>
        </row>
        <row r="235">
          <cell r="B235" t="str">
            <v>500</v>
          </cell>
          <cell r="C235" t="str">
            <v>500</v>
          </cell>
          <cell r="D235" t="str">
            <v xml:space="preserve">ПРОДУКЦИЯ МУКОМОЛЬНО-КРУПЯНОЙ ПРОМЫШЛЕННОСТИ </v>
          </cell>
          <cell r="E235" t="str">
            <v xml:space="preserve">ПРОДУКЦИЯ МУКОМОЛЬНО-КРУПЯНОЙ ПРОМЫШЛЕННОСТИ </v>
          </cell>
        </row>
        <row r="236">
          <cell r="B236" t="str">
            <v>501</v>
          </cell>
          <cell r="C236" t="str">
            <v>500</v>
          </cell>
          <cell r="D236" t="str">
            <v xml:space="preserve">Мука пшеничная </v>
          </cell>
          <cell r="E236" t="str">
            <v xml:space="preserve">ПРОДУКЦИЯ МУКОМОЛЬНО-КРУПЯНОЙ ПРОМЫШЛЕННОСТИ </v>
          </cell>
          <cell r="F236">
            <v>2</v>
          </cell>
        </row>
        <row r="237">
          <cell r="B237" t="str">
            <v>502</v>
          </cell>
          <cell r="C237" t="str">
            <v>500</v>
          </cell>
          <cell r="D237" t="str">
            <v xml:space="preserve">Мука ржаная </v>
          </cell>
          <cell r="E237" t="str">
            <v xml:space="preserve">ПРОДУКЦИЯ МУКОМОЛЬНО-КРУПЯНОЙ ПРОМЫШЛЕННОСТИ </v>
          </cell>
          <cell r="F237">
            <v>2</v>
          </cell>
        </row>
        <row r="238">
          <cell r="B238" t="str">
            <v>503</v>
          </cell>
          <cell r="C238" t="str">
            <v>500</v>
          </cell>
          <cell r="D238" t="str">
            <v xml:space="preserve">Крупа </v>
          </cell>
          <cell r="E238" t="str">
            <v xml:space="preserve">ПРОДУКЦИЯ МУКОМОЛЬНО-КРУПЯНОЙ ПРОМЫШЛЕННОСТИ </v>
          </cell>
          <cell r="F238">
            <v>2</v>
          </cell>
        </row>
        <row r="239">
          <cell r="B239" t="str">
            <v>504</v>
          </cell>
          <cell r="C239" t="str">
            <v>500</v>
          </cell>
          <cell r="D239" t="str">
            <v xml:space="preserve">Прочие продукты перемола </v>
          </cell>
          <cell r="E239" t="str">
            <v xml:space="preserve">ПРОДУКЦИЯ МУКОМОЛЬНО-КРУПЯНОЙ ПРОМЫШЛЕННОСТИ </v>
          </cell>
          <cell r="F239">
            <v>2</v>
          </cell>
        </row>
        <row r="240">
          <cell r="B240" t="str">
            <v>505</v>
          </cell>
          <cell r="C240" t="str">
            <v>500</v>
          </cell>
          <cell r="D240" t="str">
            <v xml:space="preserve">Отруби и отходы мукомольного производства </v>
          </cell>
          <cell r="E240" t="str">
            <v xml:space="preserve">ПРОДУКЦИЯ МУКОМОЛЬНО-КРУПЯНОЙ ПРОМЫШЛЕННОСТИ </v>
          </cell>
          <cell r="F240">
            <v>2</v>
          </cell>
        </row>
        <row r="241">
          <cell r="B241" t="str">
            <v>510</v>
          </cell>
          <cell r="C241" t="str">
            <v>510</v>
          </cell>
          <cell r="D241" t="str">
            <v xml:space="preserve">ПРОДУКЦИЯ ПИЩЕВОЙ ПРОМЫШЛЕННОСТИ </v>
          </cell>
          <cell r="E241" t="str">
            <v xml:space="preserve">ПРОДУКЦИЯ ПИЩЕВОЙ ПРОМЫШЛЕННОСТИ </v>
          </cell>
        </row>
        <row r="242">
          <cell r="B242" t="str">
            <v>511</v>
          </cell>
          <cell r="C242" t="str">
            <v>510</v>
          </cell>
          <cell r="D242" t="str">
            <v xml:space="preserve">Хлеб и изделия хлебобулочные </v>
          </cell>
          <cell r="E242" t="str">
            <v xml:space="preserve">ПРОДУКЦИЯ ПИЩЕВОЙ ПРОМЫШЛЕННОСТИ </v>
          </cell>
          <cell r="F242">
            <v>2</v>
          </cell>
        </row>
        <row r="243">
          <cell r="B243" t="str">
            <v>512</v>
          </cell>
          <cell r="C243" t="str">
            <v>510</v>
          </cell>
          <cell r="D243" t="str">
            <v xml:space="preserve">Изделия макаронные </v>
          </cell>
          <cell r="E243" t="str">
            <v xml:space="preserve">ПРОДУКЦИЯ ПИЩЕВОЙ ПРОМЫШЛЕННОСТИ </v>
          </cell>
          <cell r="F243">
            <v>2</v>
          </cell>
        </row>
        <row r="244">
          <cell r="B244" t="str">
            <v>513</v>
          </cell>
          <cell r="C244" t="str">
            <v>510</v>
          </cell>
          <cell r="D244" t="str">
            <v xml:space="preserve">Изделия кондитерские мучные </v>
          </cell>
          <cell r="E244" t="str">
            <v xml:space="preserve">ПРОДУКЦИЯ ПИЩЕВОЙ ПРОМЫШЛЕННОСТИ </v>
          </cell>
          <cell r="F244">
            <v>2</v>
          </cell>
        </row>
        <row r="245">
          <cell r="B245" t="str">
            <v>514</v>
          </cell>
          <cell r="C245" t="str">
            <v>510</v>
          </cell>
          <cell r="D245" t="str">
            <v xml:space="preserve">Изделия кондитерские сахаристые, кроме мучных. Мед </v>
          </cell>
          <cell r="E245" t="str">
            <v xml:space="preserve">ПРОДУКЦИЯ ПИЩЕВОЙ ПРОМЫШЛЕННОСТИ </v>
          </cell>
          <cell r="F245">
            <v>2</v>
          </cell>
        </row>
        <row r="246">
          <cell r="B246" t="str">
            <v>515</v>
          </cell>
          <cell r="C246">
            <v>511</v>
          </cell>
          <cell r="D246" t="str">
            <v xml:space="preserve">Продукция крахмало-паточной промышленности </v>
          </cell>
          <cell r="E246" t="str">
            <v>Продукция крахмало-паточной промышленности, изделия табачно-махорочные</v>
          </cell>
          <cell r="F246">
            <v>3</v>
          </cell>
        </row>
        <row r="247">
          <cell r="B247" t="str">
            <v>516</v>
          </cell>
          <cell r="C247">
            <v>510</v>
          </cell>
          <cell r="D247" t="str">
            <v xml:space="preserve">Концентраты пищевые, пряности, напитки сухие </v>
          </cell>
          <cell r="E247" t="str">
            <v xml:space="preserve">ПРОДУКЦИЯ ПИЩЕВОЙ ПРОМЫШЛЕННОСТИ </v>
          </cell>
          <cell r="F247">
            <v>2</v>
          </cell>
        </row>
        <row r="248">
          <cell r="B248" t="str">
            <v>517</v>
          </cell>
          <cell r="C248">
            <v>511</v>
          </cell>
          <cell r="D248" t="str">
            <v xml:space="preserve">Изделия табачно-махорочные </v>
          </cell>
          <cell r="E248" t="str">
            <v>Продукция крахмало-паточной промышленности, изделия табачно-махорочные</v>
          </cell>
          <cell r="F248">
            <v>3</v>
          </cell>
        </row>
        <row r="249">
          <cell r="B249" t="str">
            <v>520</v>
          </cell>
          <cell r="C249" t="str">
            <v>520</v>
          </cell>
          <cell r="D249" t="str">
            <v xml:space="preserve">ПРОДУКЦИЯ САХАРНОЙ ПРОМЫШЛЕННОСТИ </v>
          </cell>
          <cell r="E249" t="str">
            <v xml:space="preserve">ПРОДУКЦИЯ САХАРНОЙ ПРОМЫШЛЕННОСТИ </v>
          </cell>
        </row>
        <row r="250">
          <cell r="B250" t="str">
            <v>521</v>
          </cell>
          <cell r="C250" t="str">
            <v>520</v>
          </cell>
          <cell r="D250" t="str">
            <v xml:space="preserve">Сахар </v>
          </cell>
          <cell r="E250" t="str">
            <v xml:space="preserve">ПРОДУКЦИЯ САХАРНОЙ ПРОМЫШЛЕННОСТИ </v>
          </cell>
          <cell r="F250">
            <v>2</v>
          </cell>
        </row>
        <row r="251">
          <cell r="B251" t="str">
            <v>530</v>
          </cell>
          <cell r="C251" t="str">
            <v>530</v>
          </cell>
          <cell r="D251" t="str">
            <v xml:space="preserve">СОЛЬ </v>
          </cell>
          <cell r="E251" t="str">
            <v xml:space="preserve">СОЛЬ </v>
          </cell>
        </row>
        <row r="252">
          <cell r="B252" t="str">
            <v>531</v>
          </cell>
          <cell r="C252" t="str">
            <v>530</v>
          </cell>
          <cell r="D252" t="str">
            <v xml:space="preserve">Соль поваренная </v>
          </cell>
          <cell r="E252" t="str">
            <v xml:space="preserve">СОЛЬ </v>
          </cell>
          <cell r="F252">
            <v>2</v>
          </cell>
        </row>
        <row r="253">
          <cell r="B253" t="str">
            <v>540</v>
          </cell>
          <cell r="C253" t="str">
            <v>540</v>
          </cell>
          <cell r="D253" t="str">
            <v xml:space="preserve">ПРОДУКЦИЯ КОМБИКОРМОВОЙ ПРОМЫШЛЕННОСТИ </v>
          </cell>
          <cell r="E253" t="str">
            <v>Продукция комбикормовой промышленности, кроме жмыхов и шротов</v>
          </cell>
        </row>
        <row r="254">
          <cell r="B254" t="str">
            <v>541</v>
          </cell>
          <cell r="C254" t="str">
            <v>540</v>
          </cell>
          <cell r="D254" t="str">
            <v xml:space="preserve">Комбикорма </v>
          </cell>
          <cell r="E254" t="str">
            <v>Продукция комбикормовой промышленности, кроме жмыхов и шротов</v>
          </cell>
          <cell r="F254">
            <v>2</v>
          </cell>
        </row>
        <row r="255">
          <cell r="B255" t="str">
            <v>542</v>
          </cell>
          <cell r="C255" t="str">
            <v>540</v>
          </cell>
          <cell r="D255" t="str">
            <v xml:space="preserve">Жмыхи и шроты. Мука кормовая. Отходы пищевой промышленности </v>
          </cell>
          <cell r="E255" t="str">
            <v>Продукция комбикормовой промышленности, кроме жмыхов и шротов</v>
          </cell>
          <cell r="F255">
            <v>2</v>
          </cell>
        </row>
        <row r="256">
          <cell r="B256" t="str">
            <v>550</v>
          </cell>
          <cell r="C256" t="str">
            <v>550</v>
          </cell>
          <cell r="D256" t="str">
            <v xml:space="preserve">ПРОДУКЦИЯ МОЛОЧНОЙ И МАСЛОСЫРОДЕЛЬНОЙ ПРОМЫШЛЕННОСТИ. ЯЙЦА </v>
          </cell>
          <cell r="E256" t="str">
            <v xml:space="preserve">ПРОДУКЦИЯ МОЛОЧНОЙ И МАСЛОСЫРОДЕЛЬНОЙ ПРОМЫШЛЕННОСТИ. ЯЙЦА </v>
          </cell>
        </row>
        <row r="257">
          <cell r="B257" t="str">
            <v>551</v>
          </cell>
          <cell r="C257" t="str">
            <v>550</v>
          </cell>
          <cell r="D257" t="str">
            <v xml:space="preserve">Молоко </v>
          </cell>
          <cell r="E257" t="str">
            <v xml:space="preserve">ПРОДУКЦИЯ МОЛОЧНОЙ И МАСЛОСЫРОДЕЛЬНОЙ ПРОМЫШЛЕННОСТИ. ЯЙЦА </v>
          </cell>
          <cell r="F257">
            <v>2</v>
          </cell>
        </row>
        <row r="258">
          <cell r="B258" t="str">
            <v>552</v>
          </cell>
          <cell r="C258" t="str">
            <v>550</v>
          </cell>
          <cell r="D258" t="str">
            <v xml:space="preserve">Молочные продукты </v>
          </cell>
          <cell r="E258" t="str">
            <v xml:space="preserve">ПРОДУКЦИЯ МОЛОЧНОЙ И МАСЛОСЫРОДЕЛЬНОЙ ПРОМЫШЛЕННОСТИ. ЯЙЦА </v>
          </cell>
          <cell r="F258">
            <v>2</v>
          </cell>
        </row>
        <row r="259">
          <cell r="B259" t="str">
            <v>553</v>
          </cell>
          <cell r="C259" t="str">
            <v>550</v>
          </cell>
          <cell r="D259" t="str">
            <v xml:space="preserve">Масло животное. Сыр </v>
          </cell>
          <cell r="E259" t="str">
            <v xml:space="preserve">ПРОДУКЦИЯ МОЛОЧНОЙ И МАСЛОСЫРОДЕЛЬНОЙ ПРОМЫШЛЕННОСТИ. ЯЙЦА </v>
          </cell>
          <cell r="F259">
            <v>2</v>
          </cell>
        </row>
        <row r="260">
          <cell r="B260" t="str">
            <v>554</v>
          </cell>
          <cell r="C260" t="str">
            <v>550</v>
          </cell>
          <cell r="D260" t="str">
            <v xml:space="preserve">Продукция маргариновая и саломас </v>
          </cell>
          <cell r="E260" t="str">
            <v xml:space="preserve">ПРОДУКЦИЯ МОЛОЧНОЙ И МАСЛОСЫРОДЕЛЬНОЙ ПРОМЫШЛЕННОСТИ. ЯЙЦА </v>
          </cell>
          <cell r="F260">
            <v>2</v>
          </cell>
        </row>
        <row r="261">
          <cell r="B261" t="str">
            <v>555</v>
          </cell>
          <cell r="C261" t="str">
            <v>550</v>
          </cell>
          <cell r="D261" t="str">
            <v xml:space="preserve">Яйца </v>
          </cell>
          <cell r="E261" t="str">
            <v xml:space="preserve">ПРОДУКЦИЯ МОЛОЧНОЙ И МАСЛОСЫРОДЕЛЬНОЙ ПРОМЫШЛЕННОСТИ. ЯЙЦА </v>
          </cell>
          <cell r="F261">
            <v>2</v>
          </cell>
        </row>
        <row r="262">
          <cell r="B262" t="str">
            <v>556</v>
          </cell>
          <cell r="C262" t="str">
            <v>550</v>
          </cell>
          <cell r="D262" t="str">
            <v xml:space="preserve">Масло растительное и его фракции </v>
          </cell>
          <cell r="E262" t="str">
            <v xml:space="preserve">ПРОДУКЦИЯ МОЛОЧНОЙ И МАСЛОСЫРОДЕЛЬНОЙ ПРОМЫШЛЕННОСТИ. ЯЙЦА </v>
          </cell>
          <cell r="F262">
            <v>2</v>
          </cell>
        </row>
        <row r="263">
          <cell r="B263" t="str">
            <v>560</v>
          </cell>
          <cell r="C263" t="str">
            <v>560</v>
          </cell>
          <cell r="D263" t="str">
            <v xml:space="preserve">ПРОДУКЦИЯ МЯСНОЙ ПРОМЫШЛЕННОСТИ </v>
          </cell>
          <cell r="E263" t="str">
            <v xml:space="preserve">ПРОДУКЦИЯ МЯСНОЙ ПРОМЫШЛЕННОСТИ </v>
          </cell>
        </row>
        <row r="264">
          <cell r="B264" t="str">
            <v>561</v>
          </cell>
          <cell r="C264" t="str">
            <v>560</v>
          </cell>
          <cell r="D264" t="str">
            <v xml:space="preserve">Мясо и субпродукты </v>
          </cell>
          <cell r="E264" t="str">
            <v xml:space="preserve">ПРОДУКЦИЯ МЯСНОЙ ПРОМЫШЛЕННОСТИ </v>
          </cell>
          <cell r="F264">
            <v>2</v>
          </cell>
        </row>
        <row r="265">
          <cell r="B265" t="str">
            <v>562</v>
          </cell>
          <cell r="C265" t="str">
            <v>560</v>
          </cell>
          <cell r="D265" t="str">
            <v xml:space="preserve">Изделия колбасные, копчености и полуфабрикаты мясные </v>
          </cell>
          <cell r="E265" t="str">
            <v xml:space="preserve">ПРОДУКЦИЯ МЯСНОЙ ПРОМЫШЛЕННОСТИ </v>
          </cell>
          <cell r="F265">
            <v>2</v>
          </cell>
        </row>
        <row r="266">
          <cell r="B266" t="str">
            <v>563</v>
          </cell>
          <cell r="C266" t="str">
            <v>560</v>
          </cell>
          <cell r="D266" t="str">
            <v xml:space="preserve">Жиры и сало животных и птиц </v>
          </cell>
          <cell r="E266" t="str">
            <v xml:space="preserve">ПРОДУКЦИЯ МЯСНОЙ ПРОМЫШЛЕННОСТИ </v>
          </cell>
          <cell r="F266">
            <v>2</v>
          </cell>
        </row>
        <row r="267">
          <cell r="B267" t="str">
            <v>564</v>
          </cell>
          <cell r="C267" t="str">
            <v>560</v>
          </cell>
          <cell r="D267" t="str">
            <v xml:space="preserve">Отходы мясной промышленности </v>
          </cell>
          <cell r="E267" t="str">
            <v xml:space="preserve">ПРОДУКЦИЯ МЯСНОЙ ПРОМЫШЛЕННОСТИ </v>
          </cell>
          <cell r="F267">
            <v>3</v>
          </cell>
        </row>
        <row r="268">
          <cell r="B268" t="str">
            <v>570</v>
          </cell>
          <cell r="C268" t="str">
            <v>570</v>
          </cell>
          <cell r="D268" t="str">
            <v xml:space="preserve">РЫБА И РЫБОПРОДУКТЫ </v>
          </cell>
          <cell r="E268" t="str">
            <v xml:space="preserve">РЫБА И РЫБОПРОДУКТЫ </v>
          </cell>
        </row>
        <row r="269">
          <cell r="B269" t="str">
            <v>571</v>
          </cell>
          <cell r="C269" t="str">
            <v>570</v>
          </cell>
          <cell r="D269" t="str">
            <v xml:space="preserve">Рыба живая, мальки, рыбки для аквариумов </v>
          </cell>
          <cell r="E269" t="str">
            <v xml:space="preserve">РЫБА И РЫБОПРОДУКТЫ </v>
          </cell>
          <cell r="F269">
            <v>2</v>
          </cell>
        </row>
        <row r="270">
          <cell r="B270" t="str">
            <v>572</v>
          </cell>
          <cell r="C270" t="str">
            <v>570</v>
          </cell>
          <cell r="D270" t="str">
            <v xml:space="preserve">Рыба свежая, охлажденная и свежемороженая. Отходы рыбные. Ракообразные и моллюски </v>
          </cell>
          <cell r="E270" t="str">
            <v xml:space="preserve">РЫБА И РЫБОПРОДУКТЫ </v>
          </cell>
          <cell r="F270">
            <v>2</v>
          </cell>
        </row>
        <row r="271">
          <cell r="B271" t="str">
            <v>573</v>
          </cell>
          <cell r="C271" t="str">
            <v>570</v>
          </cell>
          <cell r="D271" t="str">
            <v xml:space="preserve">Рыбопродукты соленые, копченые, сушеные </v>
          </cell>
          <cell r="E271" t="str">
            <v xml:space="preserve">РЫБА И РЫБОПРОДУКТЫ </v>
          </cell>
          <cell r="F271">
            <v>2</v>
          </cell>
        </row>
        <row r="272">
          <cell r="B272" t="str">
            <v>574</v>
          </cell>
          <cell r="C272" t="str">
            <v>570</v>
          </cell>
          <cell r="D272" t="str">
            <v xml:space="preserve">Жир рыбий, китовый и морского зверя </v>
          </cell>
          <cell r="E272" t="str">
            <v xml:space="preserve">РЫБА И РЫБОПРОДУКТЫ </v>
          </cell>
          <cell r="F272">
            <v>3</v>
          </cell>
        </row>
        <row r="273">
          <cell r="B273" t="str">
            <v>580</v>
          </cell>
          <cell r="C273" t="str">
            <v>580</v>
          </cell>
          <cell r="D273" t="str">
            <v xml:space="preserve">ПРОДУКЦИЯ ПЛОДООВОЩНОЙ ПРОМЫШЛЕННОСТИ </v>
          </cell>
          <cell r="E273" t="str">
            <v xml:space="preserve">ПРОДУКЦИЯ ПЛОДООВОЩНОЙ ПРОМЫШЛЕННОСТИ </v>
          </cell>
        </row>
        <row r="274">
          <cell r="B274" t="str">
            <v>581</v>
          </cell>
          <cell r="C274" t="str">
            <v>580</v>
          </cell>
          <cell r="D274" t="str">
            <v xml:space="preserve">Консервы всякие. Фрукты, ягоды, овощи и грибы моченые, соленые, квашеные, маринованные и сульфитированные </v>
          </cell>
          <cell r="E274" t="str">
            <v xml:space="preserve">ПРОДУКЦИЯ ПЛОДООВОЩНОЙ ПРОМЫШЛЕННОСТИ </v>
          </cell>
          <cell r="F274">
            <v>2</v>
          </cell>
        </row>
        <row r="275">
          <cell r="B275" t="str">
            <v>582</v>
          </cell>
          <cell r="C275" t="str">
            <v>580</v>
          </cell>
          <cell r="D275" t="str">
            <v xml:space="preserve">Фрукты и ягоды сушеные </v>
          </cell>
          <cell r="E275" t="str">
            <v xml:space="preserve">ПРОДУКЦИЯ ПЛОДООВОЩНОЙ ПРОМЫШЛЕННОСТИ </v>
          </cell>
          <cell r="F275">
            <v>2</v>
          </cell>
        </row>
        <row r="276">
          <cell r="B276" t="str">
            <v>583</v>
          </cell>
          <cell r="C276" t="str">
            <v>580</v>
          </cell>
          <cell r="D276" t="str">
            <v xml:space="preserve">Овощи, картофель и грибы сушеные </v>
          </cell>
          <cell r="E276" t="str">
            <v xml:space="preserve">ПРОДУКЦИЯ ПЛОДООВОЩНОЙ ПРОМЫШЛЕННОСТИ </v>
          </cell>
          <cell r="F276">
            <v>2</v>
          </cell>
        </row>
        <row r="277">
          <cell r="B277" t="str">
            <v>584</v>
          </cell>
          <cell r="C277" t="str">
            <v>580</v>
          </cell>
          <cell r="D277" t="str">
            <v xml:space="preserve">Соки </v>
          </cell>
          <cell r="E277" t="str">
            <v xml:space="preserve">ПРОДУКЦИЯ ПЛОДООВОЩНОЙ ПРОМЫШЛЕННОСТИ </v>
          </cell>
          <cell r="F277">
            <v>2</v>
          </cell>
        </row>
        <row r="278">
          <cell r="B278" t="str">
            <v>590</v>
          </cell>
          <cell r="C278" t="str">
            <v>590</v>
          </cell>
          <cell r="D278" t="str">
            <v xml:space="preserve">СПИРТ, НАПИТКИ АЛКОГОЛЬНЫЕ И БЕЗАЛКОГОЛЬНЫЕ </v>
          </cell>
          <cell r="E278" t="str">
            <v xml:space="preserve">СПИРТ, НАПИТКИ АЛКОГОЛЬНЫЕ И БЕЗАЛКОГОЛЬНЫЕ </v>
          </cell>
        </row>
        <row r="279">
          <cell r="B279" t="str">
            <v>591</v>
          </cell>
          <cell r="C279" t="str">
            <v>590</v>
          </cell>
          <cell r="D279" t="str">
            <v xml:space="preserve">Вино </v>
          </cell>
          <cell r="E279" t="str">
            <v xml:space="preserve">СПИРТ, НАПИТКИ АЛКОГОЛЬНЫЕ И БЕЗАЛКОГОЛЬНЫЕ </v>
          </cell>
          <cell r="F279">
            <v>3</v>
          </cell>
        </row>
        <row r="280">
          <cell r="B280" t="str">
            <v>592</v>
          </cell>
          <cell r="C280" t="str">
            <v>590</v>
          </cell>
          <cell r="D280" t="str">
            <v xml:space="preserve">Пиво </v>
          </cell>
          <cell r="E280" t="str">
            <v xml:space="preserve">СПИРТ, НАПИТКИ АЛКОГОЛЬНЫЕ И БЕЗАЛКОГОЛЬНЫЕ </v>
          </cell>
          <cell r="F280">
            <v>3</v>
          </cell>
        </row>
        <row r="281">
          <cell r="B281" t="str">
            <v>593</v>
          </cell>
          <cell r="C281" t="str">
            <v>590</v>
          </cell>
          <cell r="D281" t="str">
            <v xml:space="preserve">Водка и изделия ликеро-водочные </v>
          </cell>
          <cell r="E281" t="str">
            <v xml:space="preserve">СПИРТ, НАПИТКИ АЛКОГОЛЬНЫЕ И БЕЗАЛКОГОЛЬНЫЕ </v>
          </cell>
          <cell r="F281">
            <v>3</v>
          </cell>
        </row>
        <row r="282">
          <cell r="B282" t="str">
            <v>594</v>
          </cell>
          <cell r="C282" t="str">
            <v>590</v>
          </cell>
          <cell r="D282" t="str">
            <v xml:space="preserve">Спирт </v>
          </cell>
          <cell r="E282" t="str">
            <v xml:space="preserve">СПИРТ, НАПИТКИ АЛКОГОЛЬНЫЕ И БЕЗАЛКОГОЛЬНЫЕ </v>
          </cell>
          <cell r="F282">
            <v>3</v>
          </cell>
        </row>
        <row r="283">
          <cell r="B283" t="str">
            <v>595</v>
          </cell>
          <cell r="C283" t="str">
            <v>590</v>
          </cell>
          <cell r="D283" t="str">
            <v xml:space="preserve">Напитки безалкогольные и воды минеральные </v>
          </cell>
          <cell r="E283" t="str">
            <v xml:space="preserve">СПИРТ, НАПИТКИ АЛКОГОЛЬНЫЕ И БЕЗАЛКОГОЛЬНЫЕ </v>
          </cell>
          <cell r="F283">
            <v>2</v>
          </cell>
        </row>
        <row r="284">
          <cell r="B284" t="str">
            <v>600</v>
          </cell>
          <cell r="C284" t="str">
            <v>600</v>
          </cell>
          <cell r="D284" t="str">
            <v xml:space="preserve">БАРДА, ВОДА И ЛЕД </v>
          </cell>
          <cell r="E284" t="str">
            <v xml:space="preserve">БАРДА, ВОДА И ЛЕД </v>
          </cell>
        </row>
        <row r="285">
          <cell r="B285" t="str">
            <v>601</v>
          </cell>
          <cell r="C285" t="str">
            <v>600</v>
          </cell>
          <cell r="D285" t="str">
            <v xml:space="preserve">Барда </v>
          </cell>
          <cell r="E285" t="str">
            <v xml:space="preserve">БАРДА, ВОДА И ЛЕД </v>
          </cell>
          <cell r="F285">
            <v>3</v>
          </cell>
        </row>
        <row r="286">
          <cell r="B286" t="str">
            <v>602</v>
          </cell>
          <cell r="C286" t="str">
            <v>600</v>
          </cell>
          <cell r="D286" t="str">
            <v>Вода и лед</v>
          </cell>
          <cell r="E286" t="str">
            <v xml:space="preserve">БАРДА, ВОДА И ЛЕД </v>
          </cell>
          <cell r="F286">
            <v>3</v>
          </cell>
        </row>
        <row r="287">
          <cell r="B287" t="str">
            <v>610</v>
          </cell>
          <cell r="C287" t="str">
            <v>610</v>
          </cell>
          <cell r="D287" t="str">
            <v xml:space="preserve">ВОЛОКНО ХЛОПКОВОЕ </v>
          </cell>
          <cell r="E287" t="str">
            <v xml:space="preserve">ВОЛОКНО ХЛОПКОВОЕ </v>
          </cell>
        </row>
        <row r="288">
          <cell r="B288" t="str">
            <v>611</v>
          </cell>
          <cell r="C288" t="str">
            <v>610</v>
          </cell>
          <cell r="D288" t="str">
            <v xml:space="preserve">Волокно хлопковое </v>
          </cell>
          <cell r="E288" t="str">
            <v xml:space="preserve">ВОЛОКНО ХЛОПКОВОЕ </v>
          </cell>
          <cell r="F288">
            <v>3</v>
          </cell>
        </row>
        <row r="289">
          <cell r="B289" t="str">
            <v>620</v>
          </cell>
          <cell r="C289" t="str">
            <v>620</v>
          </cell>
          <cell r="D289" t="str">
            <v xml:space="preserve">ПРОДУКЦИЯ ПЕРЕРАБОТКИ РАСТИТЕЛЬНЫХ ВОЛОКОН, ШЕРСТИ И ВОЛОСА </v>
          </cell>
          <cell r="E289" t="str">
            <v xml:space="preserve">ПРОДУКЦИЯ ПЕРЕРАБОТКИ РАСТИТЕЛЬНЫХ ВОЛОКОН, ШЕРСТИ И ВОЛОСА </v>
          </cell>
        </row>
        <row r="290">
          <cell r="B290" t="str">
            <v>621</v>
          </cell>
          <cell r="C290" t="str">
            <v>620</v>
          </cell>
          <cell r="D290" t="str">
            <v xml:space="preserve">Волокна лубяные </v>
          </cell>
          <cell r="E290" t="str">
            <v xml:space="preserve">ПРОДУКЦИЯ ПЕРЕРАБОТКИ РАСТИТЕЛЬНЫХ ВОЛОКОН, ШЕРСТИ И ВОЛОСА </v>
          </cell>
          <cell r="F290">
            <v>3</v>
          </cell>
        </row>
        <row r="291">
          <cell r="B291" t="str">
            <v>622</v>
          </cell>
          <cell r="C291" t="str">
            <v>620</v>
          </cell>
          <cell r="D291" t="str">
            <v xml:space="preserve">Пряжа и нитки всякие, шелк-сырец </v>
          </cell>
          <cell r="E291" t="str">
            <v xml:space="preserve">ПРОДУКЦИЯ ПЕРЕРАБОТКИ РАСТИТЕЛЬНЫХ ВОЛОКОН, ШЕРСТИ И ВОЛОСА </v>
          </cell>
          <cell r="F291">
            <v>3</v>
          </cell>
        </row>
        <row r="292">
          <cell r="B292" t="str">
            <v>623</v>
          </cell>
          <cell r="C292" t="str">
            <v>620</v>
          </cell>
          <cell r="D292" t="str">
            <v xml:space="preserve">Изделия крученые, кроме пряжи и ниток </v>
          </cell>
          <cell r="E292" t="str">
            <v xml:space="preserve">ПРОДУКЦИЯ ПЕРЕРАБОТКИ РАСТИТЕЛЬНЫХ ВОЛОКОН, ШЕРСТИ И ВОЛОСА </v>
          </cell>
          <cell r="F292">
            <v>3</v>
          </cell>
        </row>
        <row r="293">
          <cell r="B293" t="str">
            <v>624</v>
          </cell>
          <cell r="C293" t="str">
            <v>620</v>
          </cell>
          <cell r="D293" t="str">
            <v xml:space="preserve">Вата хлопчатобумажная </v>
          </cell>
          <cell r="E293" t="str">
            <v xml:space="preserve">ПРОДУКЦИЯ ПЕРЕРАБОТКИ РАСТИТЕЛЬНЫХ ВОЛОКОН, ШЕРСТИ И ВОЛОСА </v>
          </cell>
          <cell r="F293">
            <v>3</v>
          </cell>
        </row>
        <row r="294">
          <cell r="B294" t="str">
            <v>625</v>
          </cell>
          <cell r="C294" t="str">
            <v>620</v>
          </cell>
          <cell r="D294" t="str">
            <v xml:space="preserve">Вата льняная, шелковая и шерстяная </v>
          </cell>
          <cell r="E294" t="str">
            <v xml:space="preserve">ПРОДУКЦИЯ ПЕРЕРАБОТКИ РАСТИТЕЛЬНЫХ ВОЛОКОН, ШЕРСТИ И ВОЛОСА </v>
          </cell>
          <cell r="F294">
            <v>3</v>
          </cell>
        </row>
        <row r="295">
          <cell r="B295" t="str">
            <v>626</v>
          </cell>
          <cell r="C295" t="str">
            <v>620</v>
          </cell>
          <cell r="D295" t="str">
            <v xml:space="preserve">Войлок и изделия войлочные </v>
          </cell>
          <cell r="E295" t="str">
            <v xml:space="preserve">ПРОДУКЦИЯ ПЕРЕРАБОТКИ РАСТИТЕЛЬНЫХ ВОЛОКОН, ШЕРСТИ И ВОЛОСА </v>
          </cell>
          <cell r="F295">
            <v>3</v>
          </cell>
        </row>
        <row r="296">
          <cell r="B296" t="str">
            <v>630</v>
          </cell>
          <cell r="C296" t="str">
            <v>630</v>
          </cell>
          <cell r="D296" t="str">
            <v xml:space="preserve">ТКАНИ, ИЗДЕЛИЯ ШВЕЙНОЙ И ТРИКОТАЖНОЙ ПРОМЫШЛЕННОСТИ </v>
          </cell>
          <cell r="E296" t="str">
            <v xml:space="preserve">ТКАНИ, ИЗДЕЛИЯ ШВЕЙНОЙ И ТРИКОТАЖНОЙ ПРОМЫШЛЕННОСТИ </v>
          </cell>
        </row>
        <row r="297">
          <cell r="B297" t="str">
            <v>631</v>
          </cell>
          <cell r="C297" t="str">
            <v>630</v>
          </cell>
          <cell r="D297" t="str">
            <v xml:space="preserve">Ткани </v>
          </cell>
          <cell r="E297" t="str">
            <v xml:space="preserve">ТКАНИ, ИЗДЕЛИЯ ШВЕЙНОЙ И ТРИКОТАЖНОЙ ПРОМЫШЛЕННОСТИ </v>
          </cell>
          <cell r="F297">
            <v>3</v>
          </cell>
        </row>
        <row r="298">
          <cell r="B298" t="str">
            <v>632</v>
          </cell>
          <cell r="C298" t="str">
            <v>630</v>
          </cell>
          <cell r="D298" t="str">
            <v xml:space="preserve">Прочие изделия швейной и текстильной промышленности </v>
          </cell>
          <cell r="E298" t="str">
            <v xml:space="preserve">ТКАНИ, ИЗДЕЛИЯ ШВЕЙНОЙ И ТРИКОТАЖНОЙ ПРОМЫШЛЕННОСТИ </v>
          </cell>
          <cell r="F298">
            <v>3</v>
          </cell>
        </row>
        <row r="299">
          <cell r="B299" t="str">
            <v>633</v>
          </cell>
          <cell r="C299" t="str">
            <v>630</v>
          </cell>
          <cell r="D299" t="str">
            <v xml:space="preserve">Изделия трикотажные </v>
          </cell>
          <cell r="E299" t="str">
            <v xml:space="preserve">ТКАНИ, ИЗДЕЛИЯ ШВЕЙНОЙ И ТРИКОТАЖНОЙ ПРОМЫШЛЕННОСТИ </v>
          </cell>
          <cell r="F299">
            <v>3</v>
          </cell>
        </row>
        <row r="300">
          <cell r="B300" t="str">
            <v>634</v>
          </cell>
          <cell r="C300" t="str">
            <v>630</v>
          </cell>
          <cell r="D300" t="str">
            <v xml:space="preserve">Изделия швейные </v>
          </cell>
          <cell r="E300" t="str">
            <v xml:space="preserve">ТКАНИ, ИЗДЕЛИЯ ШВЕЙНОЙ И ТРИКОТАЖНОЙ ПРОМЫШЛЕННОСТИ </v>
          </cell>
          <cell r="F300">
            <v>3</v>
          </cell>
        </row>
        <row r="301">
          <cell r="B301" t="str">
            <v>635</v>
          </cell>
          <cell r="C301" t="str">
            <v>630</v>
          </cell>
          <cell r="D301" t="str">
            <v xml:space="preserve">Ковры и изделия ковровые </v>
          </cell>
          <cell r="E301" t="str">
            <v xml:space="preserve">ТКАНИ, ИЗДЕЛИЯ ШВЕЙНОЙ И ТРИКОТАЖНОЙ ПРОМЫШЛЕННОСТИ </v>
          </cell>
          <cell r="F301">
            <v>3</v>
          </cell>
        </row>
        <row r="302">
          <cell r="B302" t="str">
            <v>640</v>
          </cell>
          <cell r="C302" t="str">
            <v>640</v>
          </cell>
          <cell r="D302" t="str">
            <v xml:space="preserve">ГАЛАНТЕРЕЯ И ИЗДЕЛИЯ ЮВЕЛИРНЫЕ   </v>
          </cell>
          <cell r="E302" t="str">
            <v xml:space="preserve">ГАЛАНТЕРЕЯ И ИЗДЕЛИЯ ЮВЕЛИРНЫЕ   </v>
          </cell>
        </row>
        <row r="303">
          <cell r="B303" t="str">
            <v>641</v>
          </cell>
          <cell r="C303" t="str">
            <v>640</v>
          </cell>
          <cell r="D303" t="str">
            <v xml:space="preserve">Галантерея и изделия ювелирные </v>
          </cell>
          <cell r="E303" t="str">
            <v xml:space="preserve">ГАЛАНТЕРЕЯ И ИЗДЕЛИЯ ЮВЕЛИРНЫЕ   </v>
          </cell>
          <cell r="F303">
            <v>3</v>
          </cell>
        </row>
        <row r="304">
          <cell r="B304" t="str">
            <v>650</v>
          </cell>
          <cell r="C304" t="str">
            <v>650</v>
          </cell>
          <cell r="D304" t="str">
            <v xml:space="preserve">ПРОДУКЦИЯ КОЖЕВЕННОЙ, МEXOВOЙ И ОБУВНОЙ ПРОМЫШЛЕННОСТИ (ВКЛЮЧАЯ ОБУВЬ РЕЗИНОВУЮ) </v>
          </cell>
          <cell r="E304" t="str">
            <v xml:space="preserve">ПРОДУКЦИЯ КОЖЕВЕННОЙ, МEXOВOЙ И ОБУВНОЙ ПРОМЫШЛЕННОСТИ (ВКЛЮЧАЯ ОБУВЬ РЕЗИНОВУЮ) </v>
          </cell>
        </row>
        <row r="305">
          <cell r="B305" t="str">
            <v>651</v>
          </cell>
          <cell r="C305" t="str">
            <v>650</v>
          </cell>
          <cell r="D305" t="str">
            <v xml:space="preserve">Меха, кожи и шкуры выделанные </v>
          </cell>
          <cell r="E305" t="str">
            <v xml:space="preserve">ПРОДУКЦИЯ КОЖЕВЕННОЙ, МEXOВOЙ И ОБУВНОЙ ПРОМЫШЛЕННОСТИ (ВКЛЮЧАЯ ОБУВЬ РЕЗИНОВУЮ) </v>
          </cell>
          <cell r="F305">
            <v>3</v>
          </cell>
        </row>
        <row r="306">
          <cell r="B306" t="str">
            <v>652</v>
          </cell>
          <cell r="C306" t="str">
            <v>650</v>
          </cell>
          <cell r="D306" t="str">
            <v xml:space="preserve">Кожа искусственная </v>
          </cell>
          <cell r="E306" t="str">
            <v xml:space="preserve">ПРОДУКЦИЯ КОЖЕВЕННОЙ, МEXOВOЙ И ОБУВНОЙ ПРОМЫШЛЕННОСТИ (ВКЛЮЧАЯ ОБУВЬ РЕЗИНОВУЮ) </v>
          </cell>
          <cell r="F306">
            <v>3</v>
          </cell>
        </row>
        <row r="307">
          <cell r="B307" t="str">
            <v>653</v>
          </cell>
          <cell r="C307" t="str">
            <v>650</v>
          </cell>
          <cell r="D307" t="str">
            <v xml:space="preserve">Изделия из кожи, волоса, щетины, кроме галантерейных </v>
          </cell>
          <cell r="E307" t="str">
            <v xml:space="preserve">ПРОДУКЦИЯ КОЖЕВЕННОЙ, МEXOВOЙ И ОБУВНОЙ ПРОМЫШЛЕННОСТИ (ВКЛЮЧАЯ ОБУВЬ РЕЗИНОВУЮ) </v>
          </cell>
          <cell r="F307">
            <v>3</v>
          </cell>
        </row>
        <row r="308">
          <cell r="B308" t="str">
            <v>654</v>
          </cell>
          <cell r="C308" t="str">
            <v>650</v>
          </cell>
          <cell r="D308" t="str">
            <v xml:space="preserve">Обувь </v>
          </cell>
          <cell r="E308" t="str">
            <v xml:space="preserve">ПРОДУКЦИЯ КОЖЕВЕННОЙ, МEXOВOЙ И ОБУВНОЙ ПРОМЫШЛЕННОСТИ (ВКЛЮЧАЯ ОБУВЬ РЕЗИНОВУЮ) </v>
          </cell>
          <cell r="F308">
            <v>3</v>
          </cell>
        </row>
        <row r="309">
          <cell r="B309" t="str">
            <v>660</v>
          </cell>
          <cell r="C309" t="str">
            <v>660</v>
          </cell>
          <cell r="D309" t="str">
            <v>ИЗДЕЛИЯ ИЗ СТЕКЛА, ФАРФОРА И ФАЯНСА, КРОМЕ САНТЕХОБОРУДОВАНИЯ ИЗ ПОЛУФАРФОРА И ФАЯНСА</v>
          </cell>
          <cell r="E309" t="str">
            <v>ИЗДЕЛИЯ ИЗ СТЕКЛА, ФАРФОРА И ФАЯНСА, КРОМЕ САНТЕХОБОРУДОВАНИЯ ИЗ ПОЛУФАРФОРА И ФАЯНСА</v>
          </cell>
        </row>
        <row r="310">
          <cell r="B310" t="str">
            <v>661</v>
          </cell>
          <cell r="C310" t="str">
            <v>660</v>
          </cell>
          <cell r="D310" t="str">
            <v xml:space="preserve">Посуда и другие изделия стеклянные, фарфоровые, фаянсовые и из керамики </v>
          </cell>
          <cell r="E310" t="str">
            <v>ИЗДЕЛИЯ ИЗ СТЕКЛА, ФАРФОРА И ФАЯНСА, КРОМЕ САНТЕХОБОРУДОВАНИЯ ИЗ ПОЛУФАРФОРА И ФАЯНСА</v>
          </cell>
          <cell r="F310">
            <v>3</v>
          </cell>
        </row>
        <row r="311">
          <cell r="B311" t="str">
            <v>662</v>
          </cell>
          <cell r="C311" t="str">
            <v>660</v>
          </cell>
          <cell r="D311" t="str">
            <v xml:space="preserve">Тара стеклянная </v>
          </cell>
          <cell r="E311" t="str">
            <v>ИЗДЕЛИЯ ИЗ СТЕКЛА, ФАРФОРА И ФАЯНСА, КРОМЕ САНТЕХОБОРУДОВАНИЯ ИЗ ПОЛУФАРФОРА И ФАЯНСА</v>
          </cell>
          <cell r="F311">
            <v>2</v>
          </cell>
        </row>
        <row r="312">
          <cell r="B312" t="str">
            <v>670</v>
          </cell>
          <cell r="C312" t="str">
            <v>670</v>
          </cell>
          <cell r="D312" t="str">
            <v>ПРОДУКЦИЯ ПОЛИГРАФИЧЕСКОЙ ПРОМЫШЛЕННОСТИ</v>
          </cell>
          <cell r="E312" t="str">
            <v>ПРОДУКЦИЯ ПОЛИГРАФИЧЕСКОЙ ПРОМЫШЛЕННОСТИ</v>
          </cell>
        </row>
        <row r="313">
          <cell r="B313" t="str">
            <v>671</v>
          </cell>
          <cell r="C313" t="str">
            <v>670</v>
          </cell>
          <cell r="D313" t="str">
            <v xml:space="preserve">Книги, брошюры, газеты, журналы и прочая продукция печатная </v>
          </cell>
          <cell r="E313" t="str">
            <v>ПРОДУКЦИЯ ПОЛИГРАФИЧЕСКОЙ ПРОМЫШЛЕННОСТИ</v>
          </cell>
          <cell r="F313">
            <v>2</v>
          </cell>
        </row>
        <row r="314">
          <cell r="B314" t="str">
            <v>680</v>
          </cell>
          <cell r="C314" t="str">
            <v>680</v>
          </cell>
          <cell r="D314" t="str">
            <v xml:space="preserve">ПРОЧАЯ ПРОДУКЦИЯ ЛЕГКОЙ ПРОМЫШЛЕННОСТИ </v>
          </cell>
          <cell r="E314" t="str">
            <v xml:space="preserve">ПРОЧАЯ ПРОДУКЦИЯ ЛЕГКОЙ ПРОМЫШЛЕННОСТИ </v>
          </cell>
        </row>
        <row r="315">
          <cell r="B315" t="str">
            <v>681</v>
          </cell>
          <cell r="C315" t="str">
            <v>680</v>
          </cell>
          <cell r="D315" t="str">
            <v xml:space="preserve">Инструменты музыкальные </v>
          </cell>
          <cell r="E315" t="str">
            <v xml:space="preserve">ПРОЧАЯ ПРОДУКЦИЯ ЛЕГКОЙ ПРОМЫШЛЕННОСТИ </v>
          </cell>
          <cell r="F315">
            <v>3</v>
          </cell>
        </row>
        <row r="316">
          <cell r="B316" t="str">
            <v>682</v>
          </cell>
          <cell r="C316" t="str">
            <v>680</v>
          </cell>
          <cell r="D316" t="str">
            <v xml:space="preserve">Инвентарь спортивный, охотничий и театральный </v>
          </cell>
          <cell r="E316" t="str">
            <v xml:space="preserve">ПРОЧАЯ ПРОДУКЦИЯ ЛЕГКОЙ ПРОМЫШЛЕННОСТИ </v>
          </cell>
          <cell r="F316">
            <v>3</v>
          </cell>
        </row>
        <row r="317">
          <cell r="B317" t="str">
            <v>683</v>
          </cell>
          <cell r="C317" t="str">
            <v>680</v>
          </cell>
          <cell r="D317" t="str">
            <v xml:space="preserve">Игры и игрушки, наглядные учебные пособия, кроме печатных </v>
          </cell>
          <cell r="E317" t="str">
            <v xml:space="preserve">ПРОЧАЯ ПРОДУКЦИЯ ЛЕГКОЙ ПРОМЫШЛЕННОСТИ </v>
          </cell>
          <cell r="F317">
            <v>3</v>
          </cell>
        </row>
        <row r="318">
          <cell r="B318" t="str">
            <v>684</v>
          </cell>
          <cell r="C318" t="str">
            <v>680</v>
          </cell>
          <cell r="D318" t="str">
            <v xml:space="preserve">Принадлежности школьно-письменные и канцелярские </v>
          </cell>
          <cell r="E318" t="str">
            <v xml:space="preserve">ПРОЧАЯ ПРОДУКЦИЯ ЛЕГКОЙ ПРОМЫШЛЕННОСТИ </v>
          </cell>
          <cell r="F318">
            <v>2</v>
          </cell>
        </row>
        <row r="319">
          <cell r="B319" t="str">
            <v>685</v>
          </cell>
          <cell r="C319" t="str">
            <v>680</v>
          </cell>
          <cell r="D319" t="str">
            <v xml:space="preserve">Изделия из камыша, лозы, лыка, мочала (в т.ч. мебель плетеная) </v>
          </cell>
          <cell r="E319" t="str">
            <v xml:space="preserve">ПРОЧАЯ ПРОДУКЦИЯ ЛЕГКОЙ ПРОМЫШЛЕННОСТИ </v>
          </cell>
          <cell r="F319">
            <v>3</v>
          </cell>
        </row>
        <row r="320">
          <cell r="B320" t="str">
            <v>690</v>
          </cell>
          <cell r="C320" t="str">
            <v>690</v>
          </cell>
          <cell r="D320" t="str">
            <v xml:space="preserve">ОСТАЛЬНЫЕ ГРУЗЫ </v>
          </cell>
          <cell r="E320" t="str">
            <v xml:space="preserve">ОСТАЛЬНЫЕ ГРУЗЫ </v>
          </cell>
        </row>
        <row r="321">
          <cell r="B321" t="str">
            <v>691</v>
          </cell>
          <cell r="C321" t="str">
            <v>690</v>
          </cell>
          <cell r="D321" t="str">
            <v xml:space="preserve">Грузы для личных, семейных, домашних и иных нужд, не связанных с осуществлением предпринимательской деятельности </v>
          </cell>
          <cell r="E321" t="str">
            <v xml:space="preserve">ОСТАЛЬНЫЕ ГРУЗЫ </v>
          </cell>
          <cell r="F321">
            <v>2</v>
          </cell>
        </row>
        <row r="322">
          <cell r="B322" t="str">
            <v>692</v>
          </cell>
          <cell r="C322" t="str">
            <v>690</v>
          </cell>
          <cell r="D322" t="str">
            <v xml:space="preserve">Утильсырье </v>
          </cell>
          <cell r="E322" t="str">
            <v xml:space="preserve">ОСТАЛЬНЫЕ ГРУЗЫ </v>
          </cell>
          <cell r="F322">
            <v>3</v>
          </cell>
        </row>
        <row r="323">
          <cell r="B323" t="str">
            <v>693</v>
          </cell>
          <cell r="C323" t="str">
            <v>690</v>
          </cell>
          <cell r="D323" t="str">
            <v xml:space="preserve">Грузы, не входящие ни в одну из указанных выше групп и позиций ЕТСНГ, а также грузы, для которых не установлено отдельных тарифов </v>
          </cell>
          <cell r="E323" t="str">
            <v xml:space="preserve">ОСТАЛЬНЫЕ ГРУЗЫ </v>
          </cell>
          <cell r="F323">
            <v>3</v>
          </cell>
        </row>
        <row r="324">
          <cell r="B324" t="str">
            <v>694</v>
          </cell>
          <cell r="C324" t="str">
            <v>690</v>
          </cell>
          <cell r="D324" t="str">
            <v>Твердые коммунальные отходы</v>
          </cell>
          <cell r="E324" t="str">
            <v xml:space="preserve">ОСТАЛЬНЫЕ ГРУЗЫ </v>
          </cell>
          <cell r="F324">
            <v>2</v>
          </cell>
        </row>
        <row r="325">
          <cell r="B325" t="str">
            <v>710</v>
          </cell>
          <cell r="C325" t="str">
            <v>710</v>
          </cell>
          <cell r="D325" t="str">
            <v xml:space="preserve">УГЛЕВОДОРОДЫ И ИХ ПРОИЗВОДНЫЕ </v>
          </cell>
          <cell r="E325" t="str">
            <v xml:space="preserve">УГЛЕВОДОРОДЫ И ИХ ПРОИЗВОДНЫЕ </v>
          </cell>
        </row>
        <row r="326">
          <cell r="B326" t="str">
            <v>711</v>
          </cell>
          <cell r="C326" t="str">
            <v>710</v>
          </cell>
          <cell r="D326" t="str">
            <v xml:space="preserve">Углеводороды </v>
          </cell>
          <cell r="E326" t="str">
            <v xml:space="preserve">УГЛЕВОДОРОДЫ И ИХ ПРОИЗВОДНЫЕ </v>
          </cell>
          <cell r="F326">
            <v>3</v>
          </cell>
        </row>
        <row r="327">
          <cell r="B327" t="str">
            <v>712</v>
          </cell>
          <cell r="C327" t="str">
            <v>710</v>
          </cell>
          <cell r="D327" t="str">
            <v xml:space="preserve">Галогенопроизводные углеводородов </v>
          </cell>
          <cell r="E327" t="str">
            <v xml:space="preserve">УГЛЕВОДОРОДЫ И ИХ ПРОИЗВОДНЫЕ </v>
          </cell>
          <cell r="F327">
            <v>3</v>
          </cell>
        </row>
        <row r="328">
          <cell r="B328" t="str">
            <v>713</v>
          </cell>
          <cell r="C328" t="str">
            <v>710</v>
          </cell>
          <cell r="D328" t="str">
            <v xml:space="preserve">Производные углеводородов прочие </v>
          </cell>
          <cell r="E328" t="str">
            <v xml:space="preserve">УГЛЕВОДОРОДЫ И ИХ ПРОИЗВОДНЫЕ </v>
          </cell>
          <cell r="F328">
            <v>3</v>
          </cell>
        </row>
        <row r="329">
          <cell r="B329" t="str">
            <v>720</v>
          </cell>
          <cell r="C329" t="str">
            <v>720</v>
          </cell>
          <cell r="D329" t="str">
            <v>КИСЛОРОДСОДЕРЖАЩИЕ ОРГАНИЧЕСКИЕ COЕДИНЕНИЯ</v>
          </cell>
          <cell r="E329" t="str">
            <v>КИСЛОРОДСОДЕРЖАЩИЕ ОРГАНИЧЕСКИЕ COЕДИНЕНИЯ</v>
          </cell>
        </row>
        <row r="330">
          <cell r="B330" t="str">
            <v>721</v>
          </cell>
          <cell r="C330" t="str">
            <v>720</v>
          </cell>
          <cell r="D330" t="str">
            <v xml:space="preserve">Спирты и их производные </v>
          </cell>
          <cell r="E330" t="str">
            <v>КИСЛОРОДСОДЕРЖАЩИЕ ОРГАНИЧЕСКИЕ COЕДИНЕНИЯ</v>
          </cell>
          <cell r="F330">
            <v>3</v>
          </cell>
        </row>
        <row r="331">
          <cell r="B331" t="str">
            <v>722</v>
          </cell>
          <cell r="C331" t="str">
            <v>720</v>
          </cell>
          <cell r="D331" t="str">
            <v xml:space="preserve">Фенолы, фенолоспирты и их производные </v>
          </cell>
          <cell r="E331" t="str">
            <v>КИСЛОРОДСОДЕРЖАЩИЕ ОРГАНИЧЕСКИЕ COЕДИНЕНИЯ</v>
          </cell>
          <cell r="F331">
            <v>3</v>
          </cell>
        </row>
        <row r="332">
          <cell r="B332" t="str">
            <v>723</v>
          </cell>
          <cell r="C332" t="str">
            <v>720</v>
          </cell>
          <cell r="D332" t="str">
            <v xml:space="preserve">Альдегиды, кетоны и ангидриды </v>
          </cell>
          <cell r="E332" t="str">
            <v>КИСЛОРОДСОДЕРЖАЩИЕ ОРГАНИЧЕСКИЕ COЕДИНЕНИЯ</v>
          </cell>
          <cell r="F332">
            <v>3</v>
          </cell>
        </row>
        <row r="333">
          <cell r="B333" t="str">
            <v>724</v>
          </cell>
          <cell r="C333" t="str">
            <v>720</v>
          </cell>
          <cell r="D333" t="str">
            <v xml:space="preserve">Кислоты органические и их соли </v>
          </cell>
          <cell r="E333" t="str">
            <v>КИСЛОРОДСОДЕРЖАЩИЕ ОРГАНИЧЕСКИЕ COЕДИНЕНИЯ</v>
          </cell>
          <cell r="F333">
            <v>3</v>
          </cell>
        </row>
        <row r="334">
          <cell r="B334" t="str">
            <v>725</v>
          </cell>
          <cell r="C334" t="str">
            <v>720</v>
          </cell>
          <cell r="D334" t="str">
            <v xml:space="preserve">Эфиры и ацетали </v>
          </cell>
          <cell r="E334" t="str">
            <v>КИСЛОРОДСОДЕРЖАЩИЕ ОРГАНИЧЕСКИЕ COЕДИНЕНИЯ</v>
          </cell>
          <cell r="F334">
            <v>3</v>
          </cell>
        </row>
        <row r="335">
          <cell r="B335" t="str">
            <v>726</v>
          </cell>
          <cell r="C335" t="str">
            <v>720</v>
          </cell>
          <cell r="D335" t="str">
            <v xml:space="preserve">Оксиды, пероксиды </v>
          </cell>
          <cell r="E335" t="str">
            <v>КИСЛОРОДСОДЕРЖАЩИЕ ОРГАНИЧЕСКИЕ COЕДИНЕНИЯ</v>
          </cell>
          <cell r="F335">
            <v>3</v>
          </cell>
        </row>
        <row r="336">
          <cell r="B336" t="str">
            <v>730</v>
          </cell>
          <cell r="C336" t="str">
            <v>730</v>
          </cell>
          <cell r="D336" t="str">
            <v xml:space="preserve">АЗОТСОДЕРЖАЩИЕ ОРГАНИЧЕСКИЕ СОЕДИНЕНИЯ </v>
          </cell>
          <cell r="E336" t="str">
            <v xml:space="preserve">АЗОТСОДЕРЖАЩИЕ ОРГАНИЧЕСКИЕ СОЕДИНЕНИЯ </v>
          </cell>
        </row>
        <row r="337">
          <cell r="B337" t="str">
            <v>731</v>
          </cell>
          <cell r="C337" t="str">
            <v>730</v>
          </cell>
          <cell r="D337" t="str">
            <v xml:space="preserve">Амины, амиды и их производные </v>
          </cell>
          <cell r="E337" t="str">
            <v xml:space="preserve">АЗОТСОДЕРЖАЩИЕ ОРГАНИЧЕСКИЕ СОЕДИНЕНИЯ </v>
          </cell>
          <cell r="F337">
            <v>3</v>
          </cell>
        </row>
        <row r="338">
          <cell r="B338" t="str">
            <v>732</v>
          </cell>
          <cell r="C338" t="str">
            <v>730</v>
          </cell>
          <cell r="D338" t="str">
            <v xml:space="preserve">Нитросоединения </v>
          </cell>
          <cell r="E338" t="str">
            <v xml:space="preserve">АЗОТСОДЕРЖАЩИЕ ОРГАНИЧЕСКИЕ СОЕДИНЕНИЯ </v>
          </cell>
          <cell r="F338">
            <v>3</v>
          </cell>
        </row>
        <row r="339">
          <cell r="B339" t="str">
            <v>740</v>
          </cell>
          <cell r="C339" t="str">
            <v>740</v>
          </cell>
          <cell r="D339" t="str">
            <v xml:space="preserve">КРЕМНИЙСОДЕРЖАЩИЕ И ПРОЧИЕ ОРГАНИЧЕСКИЕ СОЕДИНЕНИЯ </v>
          </cell>
          <cell r="E339" t="str">
            <v xml:space="preserve">КРЕМНИЙСОДЕРЖАЩИЕ И ПРОЧИЕ ОРГАНИЧЕСКИЕ СОЕДИНЕНИЯ </v>
          </cell>
        </row>
        <row r="340">
          <cell r="B340" t="str">
            <v>741</v>
          </cell>
          <cell r="C340" t="str">
            <v>740</v>
          </cell>
          <cell r="D340" t="str">
            <v xml:space="preserve">Хлорсиланы </v>
          </cell>
          <cell r="E340" t="str">
            <v xml:space="preserve">КРЕМНИЙСОДЕРЖАЩИЕ И ПРОЧИЕ ОРГАНИЧЕСКИЕ СОЕДИНЕНИЯ </v>
          </cell>
          <cell r="F340">
            <v>3</v>
          </cell>
        </row>
        <row r="341">
          <cell r="B341" t="str">
            <v>742</v>
          </cell>
          <cell r="C341" t="str">
            <v>740</v>
          </cell>
          <cell r="D341" t="str">
            <v xml:space="preserve">Прочие органические соединения </v>
          </cell>
          <cell r="E341" t="str">
            <v xml:space="preserve">КРЕМНИЙСОДЕРЖАЩИЕ И ПРОЧИЕ ОРГАНИЧЕСКИЕ СОЕДИНЕНИЯ </v>
          </cell>
          <cell r="F341">
            <v>3</v>
          </cell>
        </row>
        <row r="342">
          <cell r="B342" t="str">
            <v>750</v>
          </cell>
          <cell r="C342" t="str">
            <v>750</v>
          </cell>
          <cell r="D342" t="str">
            <v xml:space="preserve">ХИМИКАТЫ РАЗЛИЧНОГО НАЗНАЧЕНИЯ </v>
          </cell>
          <cell r="E342" t="str">
            <v xml:space="preserve">ХИМИКАТЫ РАЗЛИЧНОГО НАЗНАЧЕНИЯ </v>
          </cell>
        </row>
        <row r="343">
          <cell r="B343" t="str">
            <v>751</v>
          </cell>
          <cell r="C343" t="str">
            <v>750</v>
          </cell>
          <cell r="D343" t="str">
            <v xml:space="preserve">Пестициды </v>
          </cell>
          <cell r="E343" t="str">
            <v xml:space="preserve">ХИМИКАТЫ РАЗЛИЧНОГО НАЗНАЧЕНИЯ </v>
          </cell>
          <cell r="F343">
            <v>3</v>
          </cell>
        </row>
        <row r="344">
          <cell r="B344" t="str">
            <v>752</v>
          </cell>
          <cell r="C344" t="str">
            <v>750</v>
          </cell>
          <cell r="D344" t="str">
            <v xml:space="preserve">Пластификаторы и пенообразователи </v>
          </cell>
          <cell r="E344" t="str">
            <v xml:space="preserve">ХИМИКАТЫ РАЗЛИЧНОГО НАЗНАЧЕНИЯ </v>
          </cell>
          <cell r="F344">
            <v>3</v>
          </cell>
        </row>
        <row r="345">
          <cell r="B345" t="str">
            <v>753</v>
          </cell>
          <cell r="C345" t="str">
            <v>750</v>
          </cell>
          <cell r="D345" t="str">
            <v xml:space="preserve">Поверхностно-активные, текстильно- вспомогательные вещества и отделочные препараты </v>
          </cell>
          <cell r="E345" t="str">
            <v xml:space="preserve">ХИМИКАТЫ РАЗЛИЧНОГО НАЗНАЧЕНИЯ </v>
          </cell>
          <cell r="F345">
            <v>3</v>
          </cell>
        </row>
        <row r="346">
          <cell r="B346" t="str">
            <v>754</v>
          </cell>
          <cell r="C346" t="str">
            <v>750</v>
          </cell>
          <cell r="D346" t="str">
            <v xml:space="preserve">Растворители. Флотореагенты. Ускорители и агенты вулканизации </v>
          </cell>
          <cell r="E346" t="str">
            <v xml:space="preserve">ХИМИКАТЫ РАЗЛИЧНОГО НАЗНАЧЕНИЯ </v>
          </cell>
          <cell r="F346">
            <v>3</v>
          </cell>
        </row>
        <row r="347">
          <cell r="B347" t="str">
            <v>755</v>
          </cell>
          <cell r="C347" t="str">
            <v>750</v>
          </cell>
          <cell r="D347" t="str">
            <v>Химикаты для производства и обработки кинофотоматериалов и светочувствительных материалов</v>
          </cell>
          <cell r="E347" t="str">
            <v xml:space="preserve">ХИМИКАТЫ РАЗЛИЧНОГО НАЗНАЧЕНИЯ </v>
          </cell>
          <cell r="F347">
            <v>3</v>
          </cell>
        </row>
        <row r="348">
          <cell r="B348" t="str">
            <v>756</v>
          </cell>
          <cell r="C348" t="str">
            <v>750</v>
          </cell>
          <cell r="D348" t="str">
            <v xml:space="preserve">Синтетические моющие средства </v>
          </cell>
          <cell r="E348" t="str">
            <v xml:space="preserve">ХИМИКАТЫ РАЗЛИЧНОГО НАЗНАЧЕНИЯ </v>
          </cell>
          <cell r="F348">
            <v>3</v>
          </cell>
        </row>
        <row r="349">
          <cell r="B349" t="str">
            <v>757</v>
          </cell>
          <cell r="C349" t="str">
            <v>750</v>
          </cell>
          <cell r="D349" t="str">
            <v xml:space="preserve">Химикаты прочие </v>
          </cell>
          <cell r="E349" t="str">
            <v xml:space="preserve">ХИМИКАТЫ РАЗЛИЧНОГО НАЗНАЧЕНИЯ </v>
          </cell>
          <cell r="F349">
            <v>3</v>
          </cell>
        </row>
        <row r="350">
          <cell r="B350" t="str">
            <v>758</v>
          </cell>
          <cell r="C350" t="str">
            <v>750</v>
          </cell>
          <cell r="D350" t="str">
            <v xml:space="preserve">Отходы химического производства </v>
          </cell>
          <cell r="E350" t="str">
            <v xml:space="preserve">ХИМИКАТЫ РАЗЛИЧНОГО НАЗНАЧЕНИЯ </v>
          </cell>
          <cell r="F350">
            <v>3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russotrans.ru/ref/cargo/etsng/72507" TargetMode="External"/><Relationship Id="rId299" Type="http://schemas.openxmlformats.org/officeDocument/2006/relationships/hyperlink" Target="http://www.russotrans.ru/ref/cargo/etsng/74129" TargetMode="External"/><Relationship Id="rId21" Type="http://schemas.openxmlformats.org/officeDocument/2006/relationships/hyperlink" Target="http://www.russotrans.ru/ref/cargo/etsng/72209" TargetMode="External"/><Relationship Id="rId63" Type="http://schemas.openxmlformats.org/officeDocument/2006/relationships/hyperlink" Target="http://www.russotrans.ru/ref/cargo/etsng/72328" TargetMode="External"/><Relationship Id="rId159" Type="http://schemas.openxmlformats.org/officeDocument/2006/relationships/hyperlink" Target="http://www.russotrans.ru/ref/cargo/etsng/72550" TargetMode="External"/><Relationship Id="rId324" Type="http://schemas.openxmlformats.org/officeDocument/2006/relationships/hyperlink" Target="http://www.russotrans.ru/ref/cargo/etsng/74223" TargetMode="External"/><Relationship Id="rId366" Type="http://schemas.openxmlformats.org/officeDocument/2006/relationships/hyperlink" Target="http://www.russotrans.ru/ref/cargo/etsng/75201" TargetMode="External"/><Relationship Id="rId531" Type="http://schemas.openxmlformats.org/officeDocument/2006/relationships/hyperlink" Target="http://www.russotrans.ru/ref/cargo/etsng/75745" TargetMode="External"/><Relationship Id="rId573" Type="http://schemas.openxmlformats.org/officeDocument/2006/relationships/hyperlink" Target="http://www.russotrans.ru/ref/cargo/etsng/75814" TargetMode="External"/><Relationship Id="rId170" Type="http://schemas.openxmlformats.org/officeDocument/2006/relationships/hyperlink" Target="http://www.russotrans.ru/ref/cargo/etsng/72561" TargetMode="External"/><Relationship Id="rId226" Type="http://schemas.openxmlformats.org/officeDocument/2006/relationships/hyperlink" Target="http://www.russotrans.ru/ref/cargo/etsng/73126" TargetMode="External"/><Relationship Id="rId433" Type="http://schemas.openxmlformats.org/officeDocument/2006/relationships/hyperlink" Target="http://www.russotrans.ru/ref/cargo/etsng/75340" TargetMode="External"/><Relationship Id="rId268" Type="http://schemas.openxmlformats.org/officeDocument/2006/relationships/hyperlink" Target="http://www.russotrans.ru/ref/cargo/etsng/73213" TargetMode="External"/><Relationship Id="rId475" Type="http://schemas.openxmlformats.org/officeDocument/2006/relationships/hyperlink" Target="http://www.russotrans.ru/ref/cargo/etsng/755" TargetMode="External"/><Relationship Id="rId32" Type="http://schemas.openxmlformats.org/officeDocument/2006/relationships/hyperlink" Target="http://www.russotrans.ru/ref/cargo/etsng/72221" TargetMode="External"/><Relationship Id="rId74" Type="http://schemas.openxmlformats.org/officeDocument/2006/relationships/hyperlink" Target="http://www.russotrans.ru/ref/cargo/etsng/72407" TargetMode="External"/><Relationship Id="rId128" Type="http://schemas.openxmlformats.org/officeDocument/2006/relationships/hyperlink" Target="http://www.russotrans.ru/ref/cargo/etsng/72518" TargetMode="External"/><Relationship Id="rId335" Type="http://schemas.openxmlformats.org/officeDocument/2006/relationships/hyperlink" Target="http://www.russotrans.ru/ref/cargo/etsng/74236" TargetMode="External"/><Relationship Id="rId377" Type="http://schemas.openxmlformats.org/officeDocument/2006/relationships/hyperlink" Target="http://www.russotrans.ru/ref/cargo/etsng/75212" TargetMode="External"/><Relationship Id="rId500" Type="http://schemas.openxmlformats.org/officeDocument/2006/relationships/hyperlink" Target="http://www.russotrans.ru/ref/cargo/etsng/75714" TargetMode="External"/><Relationship Id="rId542" Type="http://schemas.openxmlformats.org/officeDocument/2006/relationships/hyperlink" Target="http://www.russotrans.ru/ref/cargo/etsng/75756" TargetMode="External"/><Relationship Id="rId5" Type="http://schemas.openxmlformats.org/officeDocument/2006/relationships/hyperlink" Target="http://www.russotrans.ru/ref/cargo/etsng/72160" TargetMode="External"/><Relationship Id="rId181" Type="http://schemas.openxmlformats.org/officeDocument/2006/relationships/hyperlink" Target="http://www.russotrans.ru/ref/cargo/etsng/72601" TargetMode="External"/><Relationship Id="rId237" Type="http://schemas.openxmlformats.org/officeDocument/2006/relationships/hyperlink" Target="http://www.russotrans.ru/ref/cargo/etsng/73137" TargetMode="External"/><Relationship Id="rId402" Type="http://schemas.openxmlformats.org/officeDocument/2006/relationships/hyperlink" Target="http://www.russotrans.ru/ref/cargo/etsng/75309" TargetMode="External"/><Relationship Id="rId279" Type="http://schemas.openxmlformats.org/officeDocument/2006/relationships/hyperlink" Target="http://www.russotrans.ru/ref/cargo/etsng/74105" TargetMode="External"/><Relationship Id="rId444" Type="http://schemas.openxmlformats.org/officeDocument/2006/relationships/hyperlink" Target="http://www.russotrans.ru/ref/cargo/etsng/75351" TargetMode="External"/><Relationship Id="rId486" Type="http://schemas.openxmlformats.org/officeDocument/2006/relationships/hyperlink" Target="http://www.russotrans.ru/ref/cargo/etsng/757" TargetMode="External"/><Relationship Id="rId43" Type="http://schemas.openxmlformats.org/officeDocument/2006/relationships/hyperlink" Target="http://www.russotrans.ru/ref/cargo/etsng/72306" TargetMode="External"/><Relationship Id="rId139" Type="http://schemas.openxmlformats.org/officeDocument/2006/relationships/hyperlink" Target="http://www.russotrans.ru/ref/cargo/etsng/72529" TargetMode="External"/><Relationship Id="rId290" Type="http://schemas.openxmlformats.org/officeDocument/2006/relationships/hyperlink" Target="http://www.russotrans.ru/ref/cargo/etsng/74118" TargetMode="External"/><Relationship Id="rId304" Type="http://schemas.openxmlformats.org/officeDocument/2006/relationships/hyperlink" Target="http://www.russotrans.ru/ref/cargo/etsng/74135" TargetMode="External"/><Relationship Id="rId346" Type="http://schemas.openxmlformats.org/officeDocument/2006/relationships/hyperlink" Target="http://www.russotrans.ru/ref/cargo/etsng/74248" TargetMode="External"/><Relationship Id="rId388" Type="http://schemas.openxmlformats.org/officeDocument/2006/relationships/hyperlink" Target="http://www.russotrans.ru/ref/cargo/etsng/75224" TargetMode="External"/><Relationship Id="rId511" Type="http://schemas.openxmlformats.org/officeDocument/2006/relationships/hyperlink" Target="http://www.russotrans.ru/ref/cargo/etsng/75725" TargetMode="External"/><Relationship Id="rId553" Type="http://schemas.openxmlformats.org/officeDocument/2006/relationships/hyperlink" Target="http://www.russotrans.ru/ref/cargo/etsng/75767" TargetMode="External"/><Relationship Id="rId85" Type="http://schemas.openxmlformats.org/officeDocument/2006/relationships/hyperlink" Target="http://www.russotrans.ru/ref/cargo/etsng/72418" TargetMode="External"/><Relationship Id="rId150" Type="http://schemas.openxmlformats.org/officeDocument/2006/relationships/hyperlink" Target="http://www.russotrans.ru/ref/cargo/etsng/72541" TargetMode="External"/><Relationship Id="rId192" Type="http://schemas.openxmlformats.org/officeDocument/2006/relationships/hyperlink" Target="http://www.russotrans.ru/ref/cargo/etsng/72612" TargetMode="External"/><Relationship Id="rId206" Type="http://schemas.openxmlformats.org/officeDocument/2006/relationships/hyperlink" Target="http://www.russotrans.ru/ref/cargo/etsng/73105" TargetMode="External"/><Relationship Id="rId413" Type="http://schemas.openxmlformats.org/officeDocument/2006/relationships/hyperlink" Target="http://www.russotrans.ru/ref/cargo/etsng/75320" TargetMode="External"/><Relationship Id="rId248" Type="http://schemas.openxmlformats.org/officeDocument/2006/relationships/hyperlink" Target="http://www.russotrans.ru/ref/cargo/etsng/73149" TargetMode="External"/><Relationship Id="rId455" Type="http://schemas.openxmlformats.org/officeDocument/2006/relationships/hyperlink" Target="http://www.russotrans.ru/ref/cargo/etsng/75411" TargetMode="External"/><Relationship Id="rId497" Type="http://schemas.openxmlformats.org/officeDocument/2006/relationships/hyperlink" Target="http://www.russotrans.ru/ref/cargo/etsng/75711" TargetMode="External"/><Relationship Id="rId12" Type="http://schemas.openxmlformats.org/officeDocument/2006/relationships/hyperlink" Target="http://www.russotrans.ru/ref/cargo/etsng/72168" TargetMode="External"/><Relationship Id="rId108" Type="http://schemas.openxmlformats.org/officeDocument/2006/relationships/hyperlink" Target="http://www.russotrans.ru/ref/cargo/etsng/72443" TargetMode="External"/><Relationship Id="rId315" Type="http://schemas.openxmlformats.org/officeDocument/2006/relationships/hyperlink" Target="http://www.russotrans.ru/ref/cargo/etsng/74212" TargetMode="External"/><Relationship Id="rId357" Type="http://schemas.openxmlformats.org/officeDocument/2006/relationships/hyperlink" Target="http://www.russotrans.ru/ref/cargo/etsng/75108" TargetMode="External"/><Relationship Id="rId522" Type="http://schemas.openxmlformats.org/officeDocument/2006/relationships/hyperlink" Target="http://www.russotrans.ru/ref/cargo/etsng/75736" TargetMode="External"/><Relationship Id="rId54" Type="http://schemas.openxmlformats.org/officeDocument/2006/relationships/hyperlink" Target="http://www.russotrans.ru/ref/cargo/etsng/72319" TargetMode="External"/><Relationship Id="rId96" Type="http://schemas.openxmlformats.org/officeDocument/2006/relationships/hyperlink" Target="http://www.russotrans.ru/ref/cargo/etsng/72429" TargetMode="External"/><Relationship Id="rId161" Type="http://schemas.openxmlformats.org/officeDocument/2006/relationships/hyperlink" Target="http://www.russotrans.ru/ref/cargo/etsng/72552" TargetMode="External"/><Relationship Id="rId217" Type="http://schemas.openxmlformats.org/officeDocument/2006/relationships/hyperlink" Target="http://www.russotrans.ru/ref/cargo/etsng/73117" TargetMode="External"/><Relationship Id="rId399" Type="http://schemas.openxmlformats.org/officeDocument/2006/relationships/hyperlink" Target="http://www.russotrans.ru/ref/cargo/etsng/75306" TargetMode="External"/><Relationship Id="rId564" Type="http://schemas.openxmlformats.org/officeDocument/2006/relationships/hyperlink" Target="http://www.russotrans.ru/ref/cargo/etsng/75805" TargetMode="External"/><Relationship Id="rId259" Type="http://schemas.openxmlformats.org/officeDocument/2006/relationships/hyperlink" Target="http://www.russotrans.ru/ref/cargo/etsng/73204" TargetMode="External"/><Relationship Id="rId424" Type="http://schemas.openxmlformats.org/officeDocument/2006/relationships/hyperlink" Target="http://www.russotrans.ru/ref/cargo/etsng/75331" TargetMode="External"/><Relationship Id="rId466" Type="http://schemas.openxmlformats.org/officeDocument/2006/relationships/hyperlink" Target="http://www.russotrans.ru/ref/cargo/etsng/75424" TargetMode="External"/><Relationship Id="rId23" Type="http://schemas.openxmlformats.org/officeDocument/2006/relationships/hyperlink" Target="http://www.russotrans.ru/ref/cargo/etsng/72212" TargetMode="External"/><Relationship Id="rId119" Type="http://schemas.openxmlformats.org/officeDocument/2006/relationships/hyperlink" Target="http://www.russotrans.ru/ref/cargo/etsng/72509" TargetMode="External"/><Relationship Id="rId270" Type="http://schemas.openxmlformats.org/officeDocument/2006/relationships/hyperlink" Target="http://www.russotrans.ru/ref/cargo/etsng/73215" TargetMode="External"/><Relationship Id="rId326" Type="http://schemas.openxmlformats.org/officeDocument/2006/relationships/hyperlink" Target="http://www.russotrans.ru/ref/cargo/etsng/74225" TargetMode="External"/><Relationship Id="rId533" Type="http://schemas.openxmlformats.org/officeDocument/2006/relationships/hyperlink" Target="http://www.russotrans.ru/ref/cargo/etsng/75747" TargetMode="External"/><Relationship Id="rId65" Type="http://schemas.openxmlformats.org/officeDocument/2006/relationships/hyperlink" Target="http://www.russotrans.ru/ref/cargo/etsng/72330" TargetMode="External"/><Relationship Id="rId130" Type="http://schemas.openxmlformats.org/officeDocument/2006/relationships/hyperlink" Target="http://www.russotrans.ru/ref/cargo/etsng/72520" TargetMode="External"/><Relationship Id="rId368" Type="http://schemas.openxmlformats.org/officeDocument/2006/relationships/hyperlink" Target="http://www.russotrans.ru/ref/cargo/etsng/75203" TargetMode="External"/><Relationship Id="rId575" Type="http://schemas.openxmlformats.org/officeDocument/2006/relationships/hyperlink" Target="http://www.russotrans.ru/ref/cargo/etsng/75816" TargetMode="External"/><Relationship Id="rId172" Type="http://schemas.openxmlformats.org/officeDocument/2006/relationships/hyperlink" Target="http://www.russotrans.ru/ref/cargo/etsng/72563" TargetMode="External"/><Relationship Id="rId228" Type="http://schemas.openxmlformats.org/officeDocument/2006/relationships/hyperlink" Target="http://www.russotrans.ru/ref/cargo/etsng/73128" TargetMode="External"/><Relationship Id="rId435" Type="http://schemas.openxmlformats.org/officeDocument/2006/relationships/hyperlink" Target="http://www.russotrans.ru/ref/cargo/etsng/75342" TargetMode="External"/><Relationship Id="rId477" Type="http://schemas.openxmlformats.org/officeDocument/2006/relationships/hyperlink" Target="http://www.russotrans.ru/ref/cargo/etsng/756" TargetMode="External"/><Relationship Id="rId281" Type="http://schemas.openxmlformats.org/officeDocument/2006/relationships/hyperlink" Target="http://www.russotrans.ru/ref/cargo/etsng/74107" TargetMode="External"/><Relationship Id="rId337" Type="http://schemas.openxmlformats.org/officeDocument/2006/relationships/hyperlink" Target="http://www.russotrans.ru/ref/cargo/etsng/74239" TargetMode="External"/><Relationship Id="rId502" Type="http://schemas.openxmlformats.org/officeDocument/2006/relationships/hyperlink" Target="http://www.russotrans.ru/ref/cargo/etsng/75716" TargetMode="External"/><Relationship Id="rId34" Type="http://schemas.openxmlformats.org/officeDocument/2006/relationships/hyperlink" Target="http://www.russotrans.ru/ref/cargo/etsng/72223" TargetMode="External"/><Relationship Id="rId76" Type="http://schemas.openxmlformats.org/officeDocument/2006/relationships/hyperlink" Target="http://www.russotrans.ru/ref/cargo/etsng/72409" TargetMode="External"/><Relationship Id="rId141" Type="http://schemas.openxmlformats.org/officeDocument/2006/relationships/hyperlink" Target="http://www.russotrans.ru/ref/cargo/etsng/72531" TargetMode="External"/><Relationship Id="rId379" Type="http://schemas.openxmlformats.org/officeDocument/2006/relationships/hyperlink" Target="http://www.russotrans.ru/ref/cargo/etsng/75214" TargetMode="External"/><Relationship Id="rId544" Type="http://schemas.openxmlformats.org/officeDocument/2006/relationships/hyperlink" Target="http://www.russotrans.ru/ref/cargo/etsng/75758" TargetMode="External"/><Relationship Id="rId7" Type="http://schemas.openxmlformats.org/officeDocument/2006/relationships/hyperlink" Target="http://www.russotrans.ru/ref/cargo/etsng/72162" TargetMode="External"/><Relationship Id="rId183" Type="http://schemas.openxmlformats.org/officeDocument/2006/relationships/hyperlink" Target="http://www.russotrans.ru/ref/cargo/etsng/72603" TargetMode="External"/><Relationship Id="rId239" Type="http://schemas.openxmlformats.org/officeDocument/2006/relationships/hyperlink" Target="http://www.russotrans.ru/ref/cargo/etsng/73139" TargetMode="External"/><Relationship Id="rId390" Type="http://schemas.openxmlformats.org/officeDocument/2006/relationships/hyperlink" Target="http://www.russotrans.ru/ref/cargo/etsng/75226" TargetMode="External"/><Relationship Id="rId404" Type="http://schemas.openxmlformats.org/officeDocument/2006/relationships/hyperlink" Target="http://www.russotrans.ru/ref/cargo/etsng/75311" TargetMode="External"/><Relationship Id="rId446" Type="http://schemas.openxmlformats.org/officeDocument/2006/relationships/hyperlink" Target="http://www.russotrans.ru/ref/cargo/etsng/75401" TargetMode="External"/><Relationship Id="rId250" Type="http://schemas.openxmlformats.org/officeDocument/2006/relationships/hyperlink" Target="http://www.russotrans.ru/ref/cargo/etsng/73151" TargetMode="External"/><Relationship Id="rId292" Type="http://schemas.openxmlformats.org/officeDocument/2006/relationships/hyperlink" Target="http://www.russotrans.ru/ref/cargo/etsng/74120" TargetMode="External"/><Relationship Id="rId306" Type="http://schemas.openxmlformats.org/officeDocument/2006/relationships/hyperlink" Target="http://www.russotrans.ru/ref/cargo/etsng/74201" TargetMode="External"/><Relationship Id="rId488" Type="http://schemas.openxmlformats.org/officeDocument/2006/relationships/hyperlink" Target="http://www.russotrans.ru/ref/cargo/etsng/75702" TargetMode="External"/><Relationship Id="rId45" Type="http://schemas.openxmlformats.org/officeDocument/2006/relationships/hyperlink" Target="http://www.russotrans.ru/ref/cargo/etsng/72308" TargetMode="External"/><Relationship Id="rId87" Type="http://schemas.openxmlformats.org/officeDocument/2006/relationships/hyperlink" Target="http://www.russotrans.ru/ref/cargo/etsng/72420" TargetMode="External"/><Relationship Id="rId110" Type="http://schemas.openxmlformats.org/officeDocument/2006/relationships/hyperlink" Target="http://www.russotrans.ru/ref/cargo/etsng/725" TargetMode="External"/><Relationship Id="rId348" Type="http://schemas.openxmlformats.org/officeDocument/2006/relationships/hyperlink" Target="http://www.russotrans.ru/ref/cargo/etsng/750" TargetMode="External"/><Relationship Id="rId513" Type="http://schemas.openxmlformats.org/officeDocument/2006/relationships/hyperlink" Target="http://www.russotrans.ru/ref/cargo/etsng/75727" TargetMode="External"/><Relationship Id="rId555" Type="http://schemas.openxmlformats.org/officeDocument/2006/relationships/hyperlink" Target="http://www.russotrans.ru/ref/cargo/etsng/75769" TargetMode="External"/><Relationship Id="rId152" Type="http://schemas.openxmlformats.org/officeDocument/2006/relationships/hyperlink" Target="http://www.russotrans.ru/ref/cargo/etsng/72543" TargetMode="External"/><Relationship Id="rId194" Type="http://schemas.openxmlformats.org/officeDocument/2006/relationships/hyperlink" Target="http://www.russotrans.ru/ref/cargo/etsng/72614" TargetMode="External"/><Relationship Id="rId208" Type="http://schemas.openxmlformats.org/officeDocument/2006/relationships/hyperlink" Target="http://www.russotrans.ru/ref/cargo/etsng/73107" TargetMode="External"/><Relationship Id="rId415" Type="http://schemas.openxmlformats.org/officeDocument/2006/relationships/hyperlink" Target="http://www.russotrans.ru/ref/cargo/etsng/75322" TargetMode="External"/><Relationship Id="rId457" Type="http://schemas.openxmlformats.org/officeDocument/2006/relationships/hyperlink" Target="http://www.russotrans.ru/ref/cargo/etsng/75413" TargetMode="External"/><Relationship Id="rId261" Type="http://schemas.openxmlformats.org/officeDocument/2006/relationships/hyperlink" Target="http://www.russotrans.ru/ref/cargo/etsng/73206" TargetMode="External"/><Relationship Id="rId499" Type="http://schemas.openxmlformats.org/officeDocument/2006/relationships/hyperlink" Target="http://www.russotrans.ru/ref/cargo/etsng/75713" TargetMode="External"/><Relationship Id="rId14" Type="http://schemas.openxmlformats.org/officeDocument/2006/relationships/hyperlink" Target="http://www.russotrans.ru/ref/cargo/etsng/72202" TargetMode="External"/><Relationship Id="rId56" Type="http://schemas.openxmlformats.org/officeDocument/2006/relationships/hyperlink" Target="http://www.russotrans.ru/ref/cargo/etsng/72321" TargetMode="External"/><Relationship Id="rId317" Type="http://schemas.openxmlformats.org/officeDocument/2006/relationships/hyperlink" Target="http://www.russotrans.ru/ref/cargo/etsng/74215" TargetMode="External"/><Relationship Id="rId359" Type="http://schemas.openxmlformats.org/officeDocument/2006/relationships/hyperlink" Target="http://www.russotrans.ru/ref/cargo/etsng/75110" TargetMode="External"/><Relationship Id="rId524" Type="http://schemas.openxmlformats.org/officeDocument/2006/relationships/hyperlink" Target="http://www.russotrans.ru/ref/cargo/etsng/75738" TargetMode="External"/><Relationship Id="rId566" Type="http://schemas.openxmlformats.org/officeDocument/2006/relationships/hyperlink" Target="http://www.russotrans.ru/ref/cargo/etsng/75807" TargetMode="External"/><Relationship Id="rId98" Type="http://schemas.openxmlformats.org/officeDocument/2006/relationships/hyperlink" Target="http://www.russotrans.ru/ref/cargo/etsng/72431" TargetMode="External"/><Relationship Id="rId121" Type="http://schemas.openxmlformats.org/officeDocument/2006/relationships/hyperlink" Target="http://www.russotrans.ru/ref/cargo/etsng/72511" TargetMode="External"/><Relationship Id="rId163" Type="http://schemas.openxmlformats.org/officeDocument/2006/relationships/hyperlink" Target="http://www.russotrans.ru/ref/cargo/etsng/72554" TargetMode="External"/><Relationship Id="rId219" Type="http://schemas.openxmlformats.org/officeDocument/2006/relationships/hyperlink" Target="http://www.russotrans.ru/ref/cargo/etsng/73119" TargetMode="External"/><Relationship Id="rId370" Type="http://schemas.openxmlformats.org/officeDocument/2006/relationships/hyperlink" Target="http://www.russotrans.ru/ref/cargo/etsng/75205" TargetMode="External"/><Relationship Id="rId426" Type="http://schemas.openxmlformats.org/officeDocument/2006/relationships/hyperlink" Target="http://www.russotrans.ru/ref/cargo/etsng/75333" TargetMode="External"/><Relationship Id="rId230" Type="http://schemas.openxmlformats.org/officeDocument/2006/relationships/hyperlink" Target="http://www.russotrans.ru/ref/cargo/etsng/73130" TargetMode="External"/><Relationship Id="rId468" Type="http://schemas.openxmlformats.org/officeDocument/2006/relationships/hyperlink" Target="http://www.russotrans.ru/ref/cargo/etsng/75426" TargetMode="External"/><Relationship Id="rId25" Type="http://schemas.openxmlformats.org/officeDocument/2006/relationships/hyperlink" Target="http://www.russotrans.ru/ref/cargo/etsng/72214" TargetMode="External"/><Relationship Id="rId67" Type="http://schemas.openxmlformats.org/officeDocument/2006/relationships/hyperlink" Target="http://www.russotrans.ru/ref/cargo/etsng/724" TargetMode="External"/><Relationship Id="rId272" Type="http://schemas.openxmlformats.org/officeDocument/2006/relationships/hyperlink" Target="http://www.russotrans.ru/ref/cargo/etsng/73217" TargetMode="External"/><Relationship Id="rId328" Type="http://schemas.openxmlformats.org/officeDocument/2006/relationships/hyperlink" Target="http://www.russotrans.ru/ref/cargo/etsng/74227" TargetMode="External"/><Relationship Id="rId535" Type="http://schemas.openxmlformats.org/officeDocument/2006/relationships/hyperlink" Target="http://www.russotrans.ru/ref/cargo/etsng/75749" TargetMode="External"/><Relationship Id="rId577" Type="http://schemas.openxmlformats.org/officeDocument/2006/relationships/printerSettings" Target="../printerSettings/printerSettings1.bin"/><Relationship Id="rId132" Type="http://schemas.openxmlformats.org/officeDocument/2006/relationships/hyperlink" Target="http://www.russotrans.ru/ref/cargo/etsng/72522" TargetMode="External"/><Relationship Id="rId174" Type="http://schemas.openxmlformats.org/officeDocument/2006/relationships/hyperlink" Target="http://www.russotrans.ru/ref/cargo/etsng/72565" TargetMode="External"/><Relationship Id="rId381" Type="http://schemas.openxmlformats.org/officeDocument/2006/relationships/hyperlink" Target="http://www.russotrans.ru/ref/cargo/etsng/75216" TargetMode="External"/><Relationship Id="rId241" Type="http://schemas.openxmlformats.org/officeDocument/2006/relationships/hyperlink" Target="http://www.russotrans.ru/ref/cargo/etsng/73141" TargetMode="External"/><Relationship Id="rId437" Type="http://schemas.openxmlformats.org/officeDocument/2006/relationships/hyperlink" Target="http://www.russotrans.ru/ref/cargo/etsng/75344" TargetMode="External"/><Relationship Id="rId479" Type="http://schemas.openxmlformats.org/officeDocument/2006/relationships/hyperlink" Target="http://www.russotrans.ru/ref/cargo/etsng/75602" TargetMode="External"/><Relationship Id="rId36" Type="http://schemas.openxmlformats.org/officeDocument/2006/relationships/hyperlink" Target="http://www.russotrans.ru/ref/cargo/etsng/72225" TargetMode="External"/><Relationship Id="rId283" Type="http://schemas.openxmlformats.org/officeDocument/2006/relationships/hyperlink" Target="http://www.russotrans.ru/ref/cargo/etsng/74110" TargetMode="External"/><Relationship Id="rId339" Type="http://schemas.openxmlformats.org/officeDocument/2006/relationships/hyperlink" Target="http://www.russotrans.ru/ref/cargo/etsng/74241" TargetMode="External"/><Relationship Id="rId490" Type="http://schemas.openxmlformats.org/officeDocument/2006/relationships/hyperlink" Target="http://www.russotrans.ru/ref/cargo/etsng/75704" TargetMode="External"/><Relationship Id="rId504" Type="http://schemas.openxmlformats.org/officeDocument/2006/relationships/hyperlink" Target="http://www.russotrans.ru/ref/cargo/etsng/75718" TargetMode="External"/><Relationship Id="rId546" Type="http://schemas.openxmlformats.org/officeDocument/2006/relationships/hyperlink" Target="http://www.russotrans.ru/ref/cargo/etsng/75760" TargetMode="External"/><Relationship Id="rId78" Type="http://schemas.openxmlformats.org/officeDocument/2006/relationships/hyperlink" Target="http://www.russotrans.ru/ref/cargo/etsng/72411" TargetMode="External"/><Relationship Id="rId101" Type="http://schemas.openxmlformats.org/officeDocument/2006/relationships/hyperlink" Target="http://www.russotrans.ru/ref/cargo/etsng/72434" TargetMode="External"/><Relationship Id="rId143" Type="http://schemas.openxmlformats.org/officeDocument/2006/relationships/hyperlink" Target="http://www.russotrans.ru/ref/cargo/etsng/72533" TargetMode="External"/><Relationship Id="rId185" Type="http://schemas.openxmlformats.org/officeDocument/2006/relationships/hyperlink" Target="http://www.russotrans.ru/ref/cargo/etsng/72605" TargetMode="External"/><Relationship Id="rId350" Type="http://schemas.openxmlformats.org/officeDocument/2006/relationships/hyperlink" Target="http://www.russotrans.ru/ref/cargo/etsng/75101" TargetMode="External"/><Relationship Id="rId406" Type="http://schemas.openxmlformats.org/officeDocument/2006/relationships/hyperlink" Target="http://www.russotrans.ru/ref/cargo/etsng/75313" TargetMode="External"/><Relationship Id="rId9" Type="http://schemas.openxmlformats.org/officeDocument/2006/relationships/hyperlink" Target="http://www.russotrans.ru/ref/cargo/etsng/72164" TargetMode="External"/><Relationship Id="rId210" Type="http://schemas.openxmlformats.org/officeDocument/2006/relationships/hyperlink" Target="http://www.russotrans.ru/ref/cargo/etsng/73109" TargetMode="External"/><Relationship Id="rId392" Type="http://schemas.openxmlformats.org/officeDocument/2006/relationships/hyperlink" Target="http://www.russotrans.ru/ref/cargo/etsng/75228" TargetMode="External"/><Relationship Id="rId448" Type="http://schemas.openxmlformats.org/officeDocument/2006/relationships/hyperlink" Target="http://www.russotrans.ru/ref/cargo/etsng/75403" TargetMode="External"/><Relationship Id="rId252" Type="http://schemas.openxmlformats.org/officeDocument/2006/relationships/hyperlink" Target="http://www.russotrans.ru/ref/cargo/etsng/73153" TargetMode="External"/><Relationship Id="rId294" Type="http://schemas.openxmlformats.org/officeDocument/2006/relationships/hyperlink" Target="http://www.russotrans.ru/ref/cargo/etsng/74122" TargetMode="External"/><Relationship Id="rId308" Type="http://schemas.openxmlformats.org/officeDocument/2006/relationships/hyperlink" Target="http://www.russotrans.ru/ref/cargo/etsng/74203" TargetMode="External"/><Relationship Id="rId515" Type="http://schemas.openxmlformats.org/officeDocument/2006/relationships/hyperlink" Target="http://www.russotrans.ru/ref/cargo/etsng/75729" TargetMode="External"/><Relationship Id="rId47" Type="http://schemas.openxmlformats.org/officeDocument/2006/relationships/hyperlink" Target="http://www.russotrans.ru/ref/cargo/etsng/72310" TargetMode="External"/><Relationship Id="rId68" Type="http://schemas.openxmlformats.org/officeDocument/2006/relationships/hyperlink" Target="http://www.russotrans.ru/ref/cargo/etsng/72401" TargetMode="External"/><Relationship Id="rId89" Type="http://schemas.openxmlformats.org/officeDocument/2006/relationships/hyperlink" Target="http://www.russotrans.ru/ref/cargo/etsng/72422" TargetMode="External"/><Relationship Id="rId112" Type="http://schemas.openxmlformats.org/officeDocument/2006/relationships/hyperlink" Target="http://www.russotrans.ru/ref/cargo/etsng/72502" TargetMode="External"/><Relationship Id="rId133" Type="http://schemas.openxmlformats.org/officeDocument/2006/relationships/hyperlink" Target="http://www.russotrans.ru/ref/cargo/etsng/72523" TargetMode="External"/><Relationship Id="rId154" Type="http://schemas.openxmlformats.org/officeDocument/2006/relationships/hyperlink" Target="http://www.russotrans.ru/ref/cargo/etsng/72545" TargetMode="External"/><Relationship Id="rId175" Type="http://schemas.openxmlformats.org/officeDocument/2006/relationships/hyperlink" Target="http://www.russotrans.ru/ref/cargo/etsng/72566" TargetMode="External"/><Relationship Id="rId340" Type="http://schemas.openxmlformats.org/officeDocument/2006/relationships/hyperlink" Target="http://www.russotrans.ru/ref/cargo/etsng/74242" TargetMode="External"/><Relationship Id="rId361" Type="http://schemas.openxmlformats.org/officeDocument/2006/relationships/hyperlink" Target="http://www.russotrans.ru/ref/cargo/etsng/75112" TargetMode="External"/><Relationship Id="rId557" Type="http://schemas.openxmlformats.org/officeDocument/2006/relationships/hyperlink" Target="http://www.russotrans.ru/ref/cargo/etsng/75771" TargetMode="External"/><Relationship Id="rId196" Type="http://schemas.openxmlformats.org/officeDocument/2006/relationships/hyperlink" Target="http://www.russotrans.ru/ref/cargo/etsng/72616" TargetMode="External"/><Relationship Id="rId200" Type="http://schemas.openxmlformats.org/officeDocument/2006/relationships/hyperlink" Target="http://www.russotrans.ru/ref/cargo/etsng/730" TargetMode="External"/><Relationship Id="rId382" Type="http://schemas.openxmlformats.org/officeDocument/2006/relationships/hyperlink" Target="http://www.russotrans.ru/ref/cargo/etsng/75217" TargetMode="External"/><Relationship Id="rId417" Type="http://schemas.openxmlformats.org/officeDocument/2006/relationships/hyperlink" Target="http://www.russotrans.ru/ref/cargo/etsng/75324" TargetMode="External"/><Relationship Id="rId438" Type="http://schemas.openxmlformats.org/officeDocument/2006/relationships/hyperlink" Target="http://www.russotrans.ru/ref/cargo/etsng/75345" TargetMode="External"/><Relationship Id="rId459" Type="http://schemas.openxmlformats.org/officeDocument/2006/relationships/hyperlink" Target="http://www.russotrans.ru/ref/cargo/etsng/75417" TargetMode="External"/><Relationship Id="rId16" Type="http://schemas.openxmlformats.org/officeDocument/2006/relationships/hyperlink" Target="http://www.russotrans.ru/ref/cargo/etsng/72204" TargetMode="External"/><Relationship Id="rId221" Type="http://schemas.openxmlformats.org/officeDocument/2006/relationships/hyperlink" Target="http://www.russotrans.ru/ref/cargo/etsng/73121" TargetMode="External"/><Relationship Id="rId242" Type="http://schemas.openxmlformats.org/officeDocument/2006/relationships/hyperlink" Target="http://www.russotrans.ru/ref/cargo/etsng/73143" TargetMode="External"/><Relationship Id="rId263" Type="http://schemas.openxmlformats.org/officeDocument/2006/relationships/hyperlink" Target="http://www.russotrans.ru/ref/cargo/etsng/73208" TargetMode="External"/><Relationship Id="rId284" Type="http://schemas.openxmlformats.org/officeDocument/2006/relationships/hyperlink" Target="http://www.russotrans.ru/ref/cargo/etsng/74111" TargetMode="External"/><Relationship Id="rId319" Type="http://schemas.openxmlformats.org/officeDocument/2006/relationships/hyperlink" Target="http://www.russotrans.ru/ref/cargo/etsng/74218" TargetMode="External"/><Relationship Id="rId470" Type="http://schemas.openxmlformats.org/officeDocument/2006/relationships/hyperlink" Target="http://www.russotrans.ru/ref/cargo/etsng/75428" TargetMode="External"/><Relationship Id="rId491" Type="http://schemas.openxmlformats.org/officeDocument/2006/relationships/hyperlink" Target="http://www.russotrans.ru/ref/cargo/etsng/75705" TargetMode="External"/><Relationship Id="rId505" Type="http://schemas.openxmlformats.org/officeDocument/2006/relationships/hyperlink" Target="http://www.russotrans.ru/ref/cargo/etsng/75719" TargetMode="External"/><Relationship Id="rId526" Type="http://schemas.openxmlformats.org/officeDocument/2006/relationships/hyperlink" Target="http://www.russotrans.ru/ref/cargo/etsng/75740" TargetMode="External"/><Relationship Id="rId37" Type="http://schemas.openxmlformats.org/officeDocument/2006/relationships/hyperlink" Target="http://www.russotrans.ru/ref/cargo/etsng/723" TargetMode="External"/><Relationship Id="rId58" Type="http://schemas.openxmlformats.org/officeDocument/2006/relationships/hyperlink" Target="http://www.russotrans.ru/ref/cargo/etsng/72323" TargetMode="External"/><Relationship Id="rId79" Type="http://schemas.openxmlformats.org/officeDocument/2006/relationships/hyperlink" Target="http://www.russotrans.ru/ref/cargo/etsng/72412" TargetMode="External"/><Relationship Id="rId102" Type="http://schemas.openxmlformats.org/officeDocument/2006/relationships/hyperlink" Target="http://www.russotrans.ru/ref/cargo/etsng/72436" TargetMode="External"/><Relationship Id="rId123" Type="http://schemas.openxmlformats.org/officeDocument/2006/relationships/hyperlink" Target="http://www.russotrans.ru/ref/cargo/etsng/72513" TargetMode="External"/><Relationship Id="rId144" Type="http://schemas.openxmlformats.org/officeDocument/2006/relationships/hyperlink" Target="http://www.russotrans.ru/ref/cargo/etsng/72534" TargetMode="External"/><Relationship Id="rId330" Type="http://schemas.openxmlformats.org/officeDocument/2006/relationships/hyperlink" Target="http://www.russotrans.ru/ref/cargo/etsng/74231" TargetMode="External"/><Relationship Id="rId547" Type="http://schemas.openxmlformats.org/officeDocument/2006/relationships/hyperlink" Target="http://www.russotrans.ru/ref/cargo/etsng/75761" TargetMode="External"/><Relationship Id="rId568" Type="http://schemas.openxmlformats.org/officeDocument/2006/relationships/hyperlink" Target="http://www.russotrans.ru/ref/cargo/etsng/75809" TargetMode="External"/><Relationship Id="rId90" Type="http://schemas.openxmlformats.org/officeDocument/2006/relationships/hyperlink" Target="http://www.russotrans.ru/ref/cargo/etsng/72423" TargetMode="External"/><Relationship Id="rId165" Type="http://schemas.openxmlformats.org/officeDocument/2006/relationships/hyperlink" Target="http://www.russotrans.ru/ref/cargo/etsng/72556" TargetMode="External"/><Relationship Id="rId186" Type="http://schemas.openxmlformats.org/officeDocument/2006/relationships/hyperlink" Target="http://www.russotrans.ru/ref/cargo/etsng/72606" TargetMode="External"/><Relationship Id="rId351" Type="http://schemas.openxmlformats.org/officeDocument/2006/relationships/hyperlink" Target="http://www.russotrans.ru/ref/cargo/etsng/75102" TargetMode="External"/><Relationship Id="rId372" Type="http://schemas.openxmlformats.org/officeDocument/2006/relationships/hyperlink" Target="http://www.russotrans.ru/ref/cargo/etsng/75207" TargetMode="External"/><Relationship Id="rId393" Type="http://schemas.openxmlformats.org/officeDocument/2006/relationships/hyperlink" Target="http://www.russotrans.ru/ref/cargo/etsng/75229" TargetMode="External"/><Relationship Id="rId407" Type="http://schemas.openxmlformats.org/officeDocument/2006/relationships/hyperlink" Target="http://www.russotrans.ru/ref/cargo/etsng/75314" TargetMode="External"/><Relationship Id="rId428" Type="http://schemas.openxmlformats.org/officeDocument/2006/relationships/hyperlink" Target="http://www.russotrans.ru/ref/cargo/etsng/75335" TargetMode="External"/><Relationship Id="rId449" Type="http://schemas.openxmlformats.org/officeDocument/2006/relationships/hyperlink" Target="http://www.russotrans.ru/ref/cargo/etsng/75404" TargetMode="External"/><Relationship Id="rId211" Type="http://schemas.openxmlformats.org/officeDocument/2006/relationships/hyperlink" Target="http://www.russotrans.ru/ref/cargo/etsng/73110" TargetMode="External"/><Relationship Id="rId232" Type="http://schemas.openxmlformats.org/officeDocument/2006/relationships/hyperlink" Target="http://www.russotrans.ru/ref/cargo/etsng/73132" TargetMode="External"/><Relationship Id="rId253" Type="http://schemas.openxmlformats.org/officeDocument/2006/relationships/hyperlink" Target="http://www.russotrans.ru/ref/cargo/etsng/73154" TargetMode="External"/><Relationship Id="rId274" Type="http://schemas.openxmlformats.org/officeDocument/2006/relationships/hyperlink" Target="http://www.russotrans.ru/ref/cargo/etsng/73219" TargetMode="External"/><Relationship Id="rId295" Type="http://schemas.openxmlformats.org/officeDocument/2006/relationships/hyperlink" Target="http://www.russotrans.ru/ref/cargo/etsng/74124" TargetMode="External"/><Relationship Id="rId309" Type="http://schemas.openxmlformats.org/officeDocument/2006/relationships/hyperlink" Target="http://www.russotrans.ru/ref/cargo/etsng/74204" TargetMode="External"/><Relationship Id="rId460" Type="http://schemas.openxmlformats.org/officeDocument/2006/relationships/hyperlink" Target="http://www.russotrans.ru/ref/cargo/etsng/75418" TargetMode="External"/><Relationship Id="rId481" Type="http://schemas.openxmlformats.org/officeDocument/2006/relationships/hyperlink" Target="http://www.russotrans.ru/ref/cargo/etsng/75604" TargetMode="External"/><Relationship Id="rId516" Type="http://schemas.openxmlformats.org/officeDocument/2006/relationships/hyperlink" Target="http://www.russotrans.ru/ref/cargo/etsng/75730" TargetMode="External"/><Relationship Id="rId27" Type="http://schemas.openxmlformats.org/officeDocument/2006/relationships/hyperlink" Target="http://www.russotrans.ru/ref/cargo/etsng/72216" TargetMode="External"/><Relationship Id="rId48" Type="http://schemas.openxmlformats.org/officeDocument/2006/relationships/hyperlink" Target="http://www.russotrans.ru/ref/cargo/etsng/72312" TargetMode="External"/><Relationship Id="rId69" Type="http://schemas.openxmlformats.org/officeDocument/2006/relationships/hyperlink" Target="http://www.russotrans.ru/ref/cargo/etsng/72402" TargetMode="External"/><Relationship Id="rId113" Type="http://schemas.openxmlformats.org/officeDocument/2006/relationships/hyperlink" Target="http://www.russotrans.ru/ref/cargo/etsng/72503" TargetMode="External"/><Relationship Id="rId134" Type="http://schemas.openxmlformats.org/officeDocument/2006/relationships/hyperlink" Target="http://www.russotrans.ru/ref/cargo/etsng/72524" TargetMode="External"/><Relationship Id="rId320" Type="http://schemas.openxmlformats.org/officeDocument/2006/relationships/hyperlink" Target="http://www.russotrans.ru/ref/cargo/etsng/74219" TargetMode="External"/><Relationship Id="rId537" Type="http://schemas.openxmlformats.org/officeDocument/2006/relationships/hyperlink" Target="http://www.russotrans.ru/ref/cargo/etsng/75751" TargetMode="External"/><Relationship Id="rId558" Type="http://schemas.openxmlformats.org/officeDocument/2006/relationships/hyperlink" Target="http://www.russotrans.ru/ref/cargo/etsng/75772" TargetMode="External"/><Relationship Id="rId80" Type="http://schemas.openxmlformats.org/officeDocument/2006/relationships/hyperlink" Target="http://www.russotrans.ru/ref/cargo/etsng/72413" TargetMode="External"/><Relationship Id="rId155" Type="http://schemas.openxmlformats.org/officeDocument/2006/relationships/hyperlink" Target="http://www.russotrans.ru/ref/cargo/etsng/72546" TargetMode="External"/><Relationship Id="rId176" Type="http://schemas.openxmlformats.org/officeDocument/2006/relationships/hyperlink" Target="http://www.russotrans.ru/ref/cargo/etsng/72567" TargetMode="External"/><Relationship Id="rId197" Type="http://schemas.openxmlformats.org/officeDocument/2006/relationships/hyperlink" Target="http://www.russotrans.ru/ref/cargo/etsng/72617" TargetMode="External"/><Relationship Id="rId341" Type="http://schemas.openxmlformats.org/officeDocument/2006/relationships/hyperlink" Target="http://www.russotrans.ru/ref/cargo/etsng/74243" TargetMode="External"/><Relationship Id="rId362" Type="http://schemas.openxmlformats.org/officeDocument/2006/relationships/hyperlink" Target="http://www.russotrans.ru/ref/cargo/etsng/75113" TargetMode="External"/><Relationship Id="rId383" Type="http://schemas.openxmlformats.org/officeDocument/2006/relationships/hyperlink" Target="http://www.russotrans.ru/ref/cargo/etsng/75218" TargetMode="External"/><Relationship Id="rId418" Type="http://schemas.openxmlformats.org/officeDocument/2006/relationships/hyperlink" Target="http://www.russotrans.ru/ref/cargo/etsng/75325" TargetMode="External"/><Relationship Id="rId439" Type="http://schemas.openxmlformats.org/officeDocument/2006/relationships/hyperlink" Target="http://www.russotrans.ru/ref/cargo/etsng/75346" TargetMode="External"/><Relationship Id="rId201" Type="http://schemas.openxmlformats.org/officeDocument/2006/relationships/hyperlink" Target="http://www.russotrans.ru/ref/cargo/etsng/731" TargetMode="External"/><Relationship Id="rId222" Type="http://schemas.openxmlformats.org/officeDocument/2006/relationships/hyperlink" Target="http://www.russotrans.ru/ref/cargo/etsng/73122" TargetMode="External"/><Relationship Id="rId243" Type="http://schemas.openxmlformats.org/officeDocument/2006/relationships/hyperlink" Target="http://www.russotrans.ru/ref/cargo/etsng/73144" TargetMode="External"/><Relationship Id="rId264" Type="http://schemas.openxmlformats.org/officeDocument/2006/relationships/hyperlink" Target="http://www.russotrans.ru/ref/cargo/etsng/73209" TargetMode="External"/><Relationship Id="rId285" Type="http://schemas.openxmlformats.org/officeDocument/2006/relationships/hyperlink" Target="http://www.russotrans.ru/ref/cargo/etsng/74112" TargetMode="External"/><Relationship Id="rId450" Type="http://schemas.openxmlformats.org/officeDocument/2006/relationships/hyperlink" Target="http://www.russotrans.ru/ref/cargo/etsng/75405" TargetMode="External"/><Relationship Id="rId471" Type="http://schemas.openxmlformats.org/officeDocument/2006/relationships/hyperlink" Target="http://www.russotrans.ru/ref/cargo/etsng/75429" TargetMode="External"/><Relationship Id="rId506" Type="http://schemas.openxmlformats.org/officeDocument/2006/relationships/hyperlink" Target="http://www.russotrans.ru/ref/cargo/etsng/75720" TargetMode="External"/><Relationship Id="rId17" Type="http://schemas.openxmlformats.org/officeDocument/2006/relationships/hyperlink" Target="http://www.russotrans.ru/ref/cargo/etsng/72205" TargetMode="External"/><Relationship Id="rId38" Type="http://schemas.openxmlformats.org/officeDocument/2006/relationships/hyperlink" Target="http://www.russotrans.ru/ref/cargo/etsng/72301" TargetMode="External"/><Relationship Id="rId59" Type="http://schemas.openxmlformats.org/officeDocument/2006/relationships/hyperlink" Target="http://www.russotrans.ru/ref/cargo/etsng/72324" TargetMode="External"/><Relationship Id="rId103" Type="http://schemas.openxmlformats.org/officeDocument/2006/relationships/hyperlink" Target="http://www.russotrans.ru/ref/cargo/etsng/72437" TargetMode="External"/><Relationship Id="rId124" Type="http://schemas.openxmlformats.org/officeDocument/2006/relationships/hyperlink" Target="http://www.russotrans.ru/ref/cargo/etsng/72514" TargetMode="External"/><Relationship Id="rId310" Type="http://schemas.openxmlformats.org/officeDocument/2006/relationships/hyperlink" Target="http://www.russotrans.ru/ref/cargo/etsng/74205" TargetMode="External"/><Relationship Id="rId492" Type="http://schemas.openxmlformats.org/officeDocument/2006/relationships/hyperlink" Target="http://www.russotrans.ru/ref/cargo/etsng/75706" TargetMode="External"/><Relationship Id="rId527" Type="http://schemas.openxmlformats.org/officeDocument/2006/relationships/hyperlink" Target="http://www.russotrans.ru/ref/cargo/etsng/75741" TargetMode="External"/><Relationship Id="rId548" Type="http://schemas.openxmlformats.org/officeDocument/2006/relationships/hyperlink" Target="http://www.russotrans.ru/ref/cargo/etsng/75762" TargetMode="External"/><Relationship Id="rId569" Type="http://schemas.openxmlformats.org/officeDocument/2006/relationships/hyperlink" Target="http://www.russotrans.ru/ref/cargo/etsng/75810" TargetMode="External"/><Relationship Id="rId70" Type="http://schemas.openxmlformats.org/officeDocument/2006/relationships/hyperlink" Target="http://www.russotrans.ru/ref/cargo/etsng/72403" TargetMode="External"/><Relationship Id="rId91" Type="http://schemas.openxmlformats.org/officeDocument/2006/relationships/hyperlink" Target="http://www.russotrans.ru/ref/cargo/etsng/72424" TargetMode="External"/><Relationship Id="rId145" Type="http://schemas.openxmlformats.org/officeDocument/2006/relationships/hyperlink" Target="http://www.russotrans.ru/ref/cargo/etsng/72536" TargetMode="External"/><Relationship Id="rId166" Type="http://schemas.openxmlformats.org/officeDocument/2006/relationships/hyperlink" Target="http://www.russotrans.ru/ref/cargo/etsng/72557" TargetMode="External"/><Relationship Id="rId187" Type="http://schemas.openxmlformats.org/officeDocument/2006/relationships/hyperlink" Target="http://www.russotrans.ru/ref/cargo/etsng/72607" TargetMode="External"/><Relationship Id="rId331" Type="http://schemas.openxmlformats.org/officeDocument/2006/relationships/hyperlink" Target="http://www.russotrans.ru/ref/cargo/etsng/74232" TargetMode="External"/><Relationship Id="rId352" Type="http://schemas.openxmlformats.org/officeDocument/2006/relationships/hyperlink" Target="http://www.russotrans.ru/ref/cargo/etsng/75103" TargetMode="External"/><Relationship Id="rId373" Type="http://schemas.openxmlformats.org/officeDocument/2006/relationships/hyperlink" Target="http://www.russotrans.ru/ref/cargo/etsng/75208" TargetMode="External"/><Relationship Id="rId394" Type="http://schemas.openxmlformats.org/officeDocument/2006/relationships/hyperlink" Target="http://www.russotrans.ru/ref/cargo/etsng/753" TargetMode="External"/><Relationship Id="rId408" Type="http://schemas.openxmlformats.org/officeDocument/2006/relationships/hyperlink" Target="http://www.russotrans.ru/ref/cargo/etsng/75315" TargetMode="External"/><Relationship Id="rId429" Type="http://schemas.openxmlformats.org/officeDocument/2006/relationships/hyperlink" Target="http://www.russotrans.ru/ref/cargo/etsng/75336" TargetMode="External"/><Relationship Id="rId1" Type="http://schemas.openxmlformats.org/officeDocument/2006/relationships/hyperlink" Target="http://www.russotrans.ru/ref/cargo/etsng/72156" TargetMode="External"/><Relationship Id="rId212" Type="http://schemas.openxmlformats.org/officeDocument/2006/relationships/hyperlink" Target="http://www.russotrans.ru/ref/cargo/etsng/73111" TargetMode="External"/><Relationship Id="rId233" Type="http://schemas.openxmlformats.org/officeDocument/2006/relationships/hyperlink" Target="http://www.russotrans.ru/ref/cargo/etsng/73133" TargetMode="External"/><Relationship Id="rId254" Type="http://schemas.openxmlformats.org/officeDocument/2006/relationships/hyperlink" Target="http://www.russotrans.ru/ref/cargo/etsng/73155" TargetMode="External"/><Relationship Id="rId440" Type="http://schemas.openxmlformats.org/officeDocument/2006/relationships/hyperlink" Target="http://www.russotrans.ru/ref/cargo/etsng/75347" TargetMode="External"/><Relationship Id="rId28" Type="http://schemas.openxmlformats.org/officeDocument/2006/relationships/hyperlink" Target="http://www.russotrans.ru/ref/cargo/etsng/72217" TargetMode="External"/><Relationship Id="rId49" Type="http://schemas.openxmlformats.org/officeDocument/2006/relationships/hyperlink" Target="http://www.russotrans.ru/ref/cargo/etsng/72313" TargetMode="External"/><Relationship Id="rId114" Type="http://schemas.openxmlformats.org/officeDocument/2006/relationships/hyperlink" Target="http://www.russotrans.ru/ref/cargo/etsng/72504" TargetMode="External"/><Relationship Id="rId275" Type="http://schemas.openxmlformats.org/officeDocument/2006/relationships/hyperlink" Target="http://www.russotrans.ru/ref/cargo/etsng/740" TargetMode="External"/><Relationship Id="rId296" Type="http://schemas.openxmlformats.org/officeDocument/2006/relationships/hyperlink" Target="http://www.russotrans.ru/ref/cargo/etsng/74125" TargetMode="External"/><Relationship Id="rId300" Type="http://schemas.openxmlformats.org/officeDocument/2006/relationships/hyperlink" Target="http://www.russotrans.ru/ref/cargo/etsng/74130" TargetMode="External"/><Relationship Id="rId461" Type="http://schemas.openxmlformats.org/officeDocument/2006/relationships/hyperlink" Target="http://www.russotrans.ru/ref/cargo/etsng/75419" TargetMode="External"/><Relationship Id="rId482" Type="http://schemas.openxmlformats.org/officeDocument/2006/relationships/hyperlink" Target="http://www.russotrans.ru/ref/cargo/etsng/75605" TargetMode="External"/><Relationship Id="rId517" Type="http://schemas.openxmlformats.org/officeDocument/2006/relationships/hyperlink" Target="http://www.russotrans.ru/ref/cargo/etsng/75731" TargetMode="External"/><Relationship Id="rId538" Type="http://schemas.openxmlformats.org/officeDocument/2006/relationships/hyperlink" Target="http://www.russotrans.ru/ref/cargo/etsng/75752" TargetMode="External"/><Relationship Id="rId559" Type="http://schemas.openxmlformats.org/officeDocument/2006/relationships/hyperlink" Target="http://www.russotrans.ru/ref/cargo/etsng/758" TargetMode="External"/><Relationship Id="rId60" Type="http://schemas.openxmlformats.org/officeDocument/2006/relationships/hyperlink" Target="http://www.russotrans.ru/ref/cargo/etsng/72325" TargetMode="External"/><Relationship Id="rId81" Type="http://schemas.openxmlformats.org/officeDocument/2006/relationships/hyperlink" Target="http://www.russotrans.ru/ref/cargo/etsng/72414" TargetMode="External"/><Relationship Id="rId135" Type="http://schemas.openxmlformats.org/officeDocument/2006/relationships/hyperlink" Target="http://www.russotrans.ru/ref/cargo/etsng/72525" TargetMode="External"/><Relationship Id="rId156" Type="http://schemas.openxmlformats.org/officeDocument/2006/relationships/hyperlink" Target="http://www.russotrans.ru/ref/cargo/etsng/72547" TargetMode="External"/><Relationship Id="rId177" Type="http://schemas.openxmlformats.org/officeDocument/2006/relationships/hyperlink" Target="http://www.russotrans.ru/ref/cargo/etsng/72568" TargetMode="External"/><Relationship Id="rId198" Type="http://schemas.openxmlformats.org/officeDocument/2006/relationships/hyperlink" Target="http://www.russotrans.ru/ref/cargo/etsng/72618" TargetMode="External"/><Relationship Id="rId321" Type="http://schemas.openxmlformats.org/officeDocument/2006/relationships/hyperlink" Target="http://www.russotrans.ru/ref/cargo/etsng/74220" TargetMode="External"/><Relationship Id="rId342" Type="http://schemas.openxmlformats.org/officeDocument/2006/relationships/hyperlink" Target="http://www.russotrans.ru/ref/cargo/etsng/74244" TargetMode="External"/><Relationship Id="rId363" Type="http://schemas.openxmlformats.org/officeDocument/2006/relationships/hyperlink" Target="http://www.russotrans.ru/ref/cargo/etsng/75114" TargetMode="External"/><Relationship Id="rId384" Type="http://schemas.openxmlformats.org/officeDocument/2006/relationships/hyperlink" Target="http://www.russotrans.ru/ref/cargo/etsng/75219" TargetMode="External"/><Relationship Id="rId419" Type="http://schemas.openxmlformats.org/officeDocument/2006/relationships/hyperlink" Target="http://www.russotrans.ru/ref/cargo/etsng/75326" TargetMode="External"/><Relationship Id="rId570" Type="http://schemas.openxmlformats.org/officeDocument/2006/relationships/hyperlink" Target="http://www.russotrans.ru/ref/cargo/etsng/75811" TargetMode="External"/><Relationship Id="rId202" Type="http://schemas.openxmlformats.org/officeDocument/2006/relationships/hyperlink" Target="http://www.russotrans.ru/ref/cargo/etsng/73101" TargetMode="External"/><Relationship Id="rId223" Type="http://schemas.openxmlformats.org/officeDocument/2006/relationships/hyperlink" Target="http://www.russotrans.ru/ref/cargo/etsng/73123" TargetMode="External"/><Relationship Id="rId244" Type="http://schemas.openxmlformats.org/officeDocument/2006/relationships/hyperlink" Target="http://www.russotrans.ru/ref/cargo/etsng/73145" TargetMode="External"/><Relationship Id="rId430" Type="http://schemas.openxmlformats.org/officeDocument/2006/relationships/hyperlink" Target="http://www.russotrans.ru/ref/cargo/etsng/75337" TargetMode="External"/><Relationship Id="rId18" Type="http://schemas.openxmlformats.org/officeDocument/2006/relationships/hyperlink" Target="http://www.russotrans.ru/ref/cargo/etsng/72206" TargetMode="External"/><Relationship Id="rId39" Type="http://schemas.openxmlformats.org/officeDocument/2006/relationships/hyperlink" Target="http://www.russotrans.ru/ref/cargo/etsng/72302" TargetMode="External"/><Relationship Id="rId265" Type="http://schemas.openxmlformats.org/officeDocument/2006/relationships/hyperlink" Target="http://www.russotrans.ru/ref/cargo/etsng/73210" TargetMode="External"/><Relationship Id="rId286" Type="http://schemas.openxmlformats.org/officeDocument/2006/relationships/hyperlink" Target="http://www.russotrans.ru/ref/cargo/etsng/74114" TargetMode="External"/><Relationship Id="rId451" Type="http://schemas.openxmlformats.org/officeDocument/2006/relationships/hyperlink" Target="http://www.russotrans.ru/ref/cargo/etsng/75407" TargetMode="External"/><Relationship Id="rId472" Type="http://schemas.openxmlformats.org/officeDocument/2006/relationships/hyperlink" Target="http://www.russotrans.ru/ref/cargo/etsng/75430" TargetMode="External"/><Relationship Id="rId493" Type="http://schemas.openxmlformats.org/officeDocument/2006/relationships/hyperlink" Target="http://www.russotrans.ru/ref/cargo/etsng/75707" TargetMode="External"/><Relationship Id="rId507" Type="http://schemas.openxmlformats.org/officeDocument/2006/relationships/hyperlink" Target="http://www.russotrans.ru/ref/cargo/etsng/75721" TargetMode="External"/><Relationship Id="rId528" Type="http://schemas.openxmlformats.org/officeDocument/2006/relationships/hyperlink" Target="http://www.russotrans.ru/ref/cargo/etsng/75742" TargetMode="External"/><Relationship Id="rId549" Type="http://schemas.openxmlformats.org/officeDocument/2006/relationships/hyperlink" Target="http://www.russotrans.ru/ref/cargo/etsng/75763" TargetMode="External"/><Relationship Id="rId50" Type="http://schemas.openxmlformats.org/officeDocument/2006/relationships/hyperlink" Target="http://www.russotrans.ru/ref/cargo/etsng/72314" TargetMode="External"/><Relationship Id="rId104" Type="http://schemas.openxmlformats.org/officeDocument/2006/relationships/hyperlink" Target="http://www.russotrans.ru/ref/cargo/etsng/72438" TargetMode="External"/><Relationship Id="rId125" Type="http://schemas.openxmlformats.org/officeDocument/2006/relationships/hyperlink" Target="http://www.russotrans.ru/ref/cargo/etsng/72515" TargetMode="External"/><Relationship Id="rId146" Type="http://schemas.openxmlformats.org/officeDocument/2006/relationships/hyperlink" Target="http://www.russotrans.ru/ref/cargo/etsng/72537" TargetMode="External"/><Relationship Id="rId167" Type="http://schemas.openxmlformats.org/officeDocument/2006/relationships/hyperlink" Target="http://www.russotrans.ru/ref/cargo/etsng/72558" TargetMode="External"/><Relationship Id="rId188" Type="http://schemas.openxmlformats.org/officeDocument/2006/relationships/hyperlink" Target="http://www.russotrans.ru/ref/cargo/etsng/72608" TargetMode="External"/><Relationship Id="rId311" Type="http://schemas.openxmlformats.org/officeDocument/2006/relationships/hyperlink" Target="http://www.russotrans.ru/ref/cargo/etsng/74206" TargetMode="External"/><Relationship Id="rId332" Type="http://schemas.openxmlformats.org/officeDocument/2006/relationships/hyperlink" Target="http://www.russotrans.ru/ref/cargo/etsng/74233" TargetMode="External"/><Relationship Id="rId353" Type="http://schemas.openxmlformats.org/officeDocument/2006/relationships/hyperlink" Target="http://www.russotrans.ru/ref/cargo/etsng/75104" TargetMode="External"/><Relationship Id="rId374" Type="http://schemas.openxmlformats.org/officeDocument/2006/relationships/hyperlink" Target="http://www.russotrans.ru/ref/cargo/etsng/75209" TargetMode="External"/><Relationship Id="rId395" Type="http://schemas.openxmlformats.org/officeDocument/2006/relationships/hyperlink" Target="http://www.russotrans.ru/ref/cargo/etsng/75301" TargetMode="External"/><Relationship Id="rId409" Type="http://schemas.openxmlformats.org/officeDocument/2006/relationships/hyperlink" Target="http://www.russotrans.ru/ref/cargo/etsng/75316" TargetMode="External"/><Relationship Id="rId560" Type="http://schemas.openxmlformats.org/officeDocument/2006/relationships/hyperlink" Target="http://www.russotrans.ru/ref/cargo/etsng/75801" TargetMode="External"/><Relationship Id="rId71" Type="http://schemas.openxmlformats.org/officeDocument/2006/relationships/hyperlink" Target="http://www.russotrans.ru/ref/cargo/etsng/72404" TargetMode="External"/><Relationship Id="rId92" Type="http://schemas.openxmlformats.org/officeDocument/2006/relationships/hyperlink" Target="http://www.russotrans.ru/ref/cargo/etsng/72425" TargetMode="External"/><Relationship Id="rId213" Type="http://schemas.openxmlformats.org/officeDocument/2006/relationships/hyperlink" Target="http://www.russotrans.ru/ref/cargo/etsng/73112" TargetMode="External"/><Relationship Id="rId234" Type="http://schemas.openxmlformats.org/officeDocument/2006/relationships/hyperlink" Target="http://www.russotrans.ru/ref/cargo/etsng/73134" TargetMode="External"/><Relationship Id="rId420" Type="http://schemas.openxmlformats.org/officeDocument/2006/relationships/hyperlink" Target="http://www.russotrans.ru/ref/cargo/etsng/75327" TargetMode="External"/><Relationship Id="rId2" Type="http://schemas.openxmlformats.org/officeDocument/2006/relationships/hyperlink" Target="http://www.russotrans.ru/ref/cargo/etsng/72157" TargetMode="External"/><Relationship Id="rId29" Type="http://schemas.openxmlformats.org/officeDocument/2006/relationships/hyperlink" Target="http://www.russotrans.ru/ref/cargo/etsng/72218" TargetMode="External"/><Relationship Id="rId255" Type="http://schemas.openxmlformats.org/officeDocument/2006/relationships/hyperlink" Target="http://www.russotrans.ru/ref/cargo/etsng/732" TargetMode="External"/><Relationship Id="rId276" Type="http://schemas.openxmlformats.org/officeDocument/2006/relationships/hyperlink" Target="http://www.russotrans.ru/ref/cargo/etsng/741" TargetMode="External"/><Relationship Id="rId297" Type="http://schemas.openxmlformats.org/officeDocument/2006/relationships/hyperlink" Target="http://www.russotrans.ru/ref/cargo/etsng/74126" TargetMode="External"/><Relationship Id="rId441" Type="http://schemas.openxmlformats.org/officeDocument/2006/relationships/hyperlink" Target="http://www.russotrans.ru/ref/cargo/etsng/75348" TargetMode="External"/><Relationship Id="rId462" Type="http://schemas.openxmlformats.org/officeDocument/2006/relationships/hyperlink" Target="http://www.russotrans.ru/ref/cargo/etsng/75420" TargetMode="External"/><Relationship Id="rId483" Type="http://schemas.openxmlformats.org/officeDocument/2006/relationships/hyperlink" Target="http://www.russotrans.ru/ref/cargo/etsng/75606" TargetMode="External"/><Relationship Id="rId518" Type="http://schemas.openxmlformats.org/officeDocument/2006/relationships/hyperlink" Target="http://www.russotrans.ru/ref/cargo/etsng/75732" TargetMode="External"/><Relationship Id="rId539" Type="http://schemas.openxmlformats.org/officeDocument/2006/relationships/hyperlink" Target="http://www.russotrans.ru/ref/cargo/etsng/75753" TargetMode="External"/><Relationship Id="rId40" Type="http://schemas.openxmlformats.org/officeDocument/2006/relationships/hyperlink" Target="http://www.russotrans.ru/ref/cargo/etsng/72303" TargetMode="External"/><Relationship Id="rId115" Type="http://schemas.openxmlformats.org/officeDocument/2006/relationships/hyperlink" Target="http://www.russotrans.ru/ref/cargo/etsng/72505" TargetMode="External"/><Relationship Id="rId136" Type="http://schemas.openxmlformats.org/officeDocument/2006/relationships/hyperlink" Target="http://www.russotrans.ru/ref/cargo/etsng/72526" TargetMode="External"/><Relationship Id="rId157" Type="http://schemas.openxmlformats.org/officeDocument/2006/relationships/hyperlink" Target="http://www.russotrans.ru/ref/cargo/etsng/72548" TargetMode="External"/><Relationship Id="rId178" Type="http://schemas.openxmlformats.org/officeDocument/2006/relationships/hyperlink" Target="http://www.russotrans.ru/ref/cargo/etsng/72569" TargetMode="External"/><Relationship Id="rId301" Type="http://schemas.openxmlformats.org/officeDocument/2006/relationships/hyperlink" Target="http://www.russotrans.ru/ref/cargo/etsng/74132" TargetMode="External"/><Relationship Id="rId322" Type="http://schemas.openxmlformats.org/officeDocument/2006/relationships/hyperlink" Target="http://www.russotrans.ru/ref/cargo/etsng/74221" TargetMode="External"/><Relationship Id="rId343" Type="http://schemas.openxmlformats.org/officeDocument/2006/relationships/hyperlink" Target="http://www.russotrans.ru/ref/cargo/etsng/74245" TargetMode="External"/><Relationship Id="rId364" Type="http://schemas.openxmlformats.org/officeDocument/2006/relationships/hyperlink" Target="http://www.russotrans.ru/ref/cargo/etsng/75115" TargetMode="External"/><Relationship Id="rId550" Type="http://schemas.openxmlformats.org/officeDocument/2006/relationships/hyperlink" Target="http://www.russotrans.ru/ref/cargo/etsng/75764" TargetMode="External"/><Relationship Id="rId61" Type="http://schemas.openxmlformats.org/officeDocument/2006/relationships/hyperlink" Target="http://www.russotrans.ru/ref/cargo/etsng/72326" TargetMode="External"/><Relationship Id="rId82" Type="http://schemas.openxmlformats.org/officeDocument/2006/relationships/hyperlink" Target="http://www.russotrans.ru/ref/cargo/etsng/72415" TargetMode="External"/><Relationship Id="rId199" Type="http://schemas.openxmlformats.org/officeDocument/2006/relationships/hyperlink" Target="http://www.russotrans.ru/ref/cargo/etsng/72619" TargetMode="External"/><Relationship Id="rId203" Type="http://schemas.openxmlformats.org/officeDocument/2006/relationships/hyperlink" Target="http://www.russotrans.ru/ref/cargo/etsng/73102" TargetMode="External"/><Relationship Id="rId385" Type="http://schemas.openxmlformats.org/officeDocument/2006/relationships/hyperlink" Target="http://www.russotrans.ru/ref/cargo/etsng/75220" TargetMode="External"/><Relationship Id="rId571" Type="http://schemas.openxmlformats.org/officeDocument/2006/relationships/hyperlink" Target="http://www.russotrans.ru/ref/cargo/etsng/75812" TargetMode="External"/><Relationship Id="rId19" Type="http://schemas.openxmlformats.org/officeDocument/2006/relationships/hyperlink" Target="http://www.russotrans.ru/ref/cargo/etsng/72207" TargetMode="External"/><Relationship Id="rId224" Type="http://schemas.openxmlformats.org/officeDocument/2006/relationships/hyperlink" Target="http://www.russotrans.ru/ref/cargo/etsng/73124" TargetMode="External"/><Relationship Id="rId245" Type="http://schemas.openxmlformats.org/officeDocument/2006/relationships/hyperlink" Target="http://www.russotrans.ru/ref/cargo/etsng/73146" TargetMode="External"/><Relationship Id="rId266" Type="http://schemas.openxmlformats.org/officeDocument/2006/relationships/hyperlink" Target="http://www.russotrans.ru/ref/cargo/etsng/73211" TargetMode="External"/><Relationship Id="rId287" Type="http://schemas.openxmlformats.org/officeDocument/2006/relationships/hyperlink" Target="http://www.russotrans.ru/ref/cargo/etsng/74115" TargetMode="External"/><Relationship Id="rId410" Type="http://schemas.openxmlformats.org/officeDocument/2006/relationships/hyperlink" Target="http://www.russotrans.ru/ref/cargo/etsng/75317" TargetMode="External"/><Relationship Id="rId431" Type="http://schemas.openxmlformats.org/officeDocument/2006/relationships/hyperlink" Target="http://www.russotrans.ru/ref/cargo/etsng/75338" TargetMode="External"/><Relationship Id="rId452" Type="http://schemas.openxmlformats.org/officeDocument/2006/relationships/hyperlink" Target="http://www.russotrans.ru/ref/cargo/etsng/75408" TargetMode="External"/><Relationship Id="rId473" Type="http://schemas.openxmlformats.org/officeDocument/2006/relationships/hyperlink" Target="http://www.russotrans.ru/ref/cargo/etsng/75431" TargetMode="External"/><Relationship Id="rId494" Type="http://schemas.openxmlformats.org/officeDocument/2006/relationships/hyperlink" Target="http://www.russotrans.ru/ref/cargo/etsng/75708" TargetMode="External"/><Relationship Id="rId508" Type="http://schemas.openxmlformats.org/officeDocument/2006/relationships/hyperlink" Target="http://www.russotrans.ru/ref/cargo/etsng/75722" TargetMode="External"/><Relationship Id="rId529" Type="http://schemas.openxmlformats.org/officeDocument/2006/relationships/hyperlink" Target="http://www.russotrans.ru/ref/cargo/etsng/75743" TargetMode="External"/><Relationship Id="rId30" Type="http://schemas.openxmlformats.org/officeDocument/2006/relationships/hyperlink" Target="http://www.russotrans.ru/ref/cargo/etsng/72219" TargetMode="External"/><Relationship Id="rId105" Type="http://schemas.openxmlformats.org/officeDocument/2006/relationships/hyperlink" Target="http://www.russotrans.ru/ref/cargo/etsng/72439" TargetMode="External"/><Relationship Id="rId126" Type="http://schemas.openxmlformats.org/officeDocument/2006/relationships/hyperlink" Target="http://www.russotrans.ru/ref/cargo/etsng/72516" TargetMode="External"/><Relationship Id="rId147" Type="http://schemas.openxmlformats.org/officeDocument/2006/relationships/hyperlink" Target="http://www.russotrans.ru/ref/cargo/etsng/72538" TargetMode="External"/><Relationship Id="rId168" Type="http://schemas.openxmlformats.org/officeDocument/2006/relationships/hyperlink" Target="http://www.russotrans.ru/ref/cargo/etsng/72559" TargetMode="External"/><Relationship Id="rId312" Type="http://schemas.openxmlformats.org/officeDocument/2006/relationships/hyperlink" Target="http://www.russotrans.ru/ref/cargo/etsng/74208" TargetMode="External"/><Relationship Id="rId333" Type="http://schemas.openxmlformats.org/officeDocument/2006/relationships/hyperlink" Target="http://www.russotrans.ru/ref/cargo/etsng/74234" TargetMode="External"/><Relationship Id="rId354" Type="http://schemas.openxmlformats.org/officeDocument/2006/relationships/hyperlink" Target="http://www.russotrans.ru/ref/cargo/etsng/75105" TargetMode="External"/><Relationship Id="rId540" Type="http://schemas.openxmlformats.org/officeDocument/2006/relationships/hyperlink" Target="http://www.russotrans.ru/ref/cargo/etsng/75754" TargetMode="External"/><Relationship Id="rId51" Type="http://schemas.openxmlformats.org/officeDocument/2006/relationships/hyperlink" Target="http://www.russotrans.ru/ref/cargo/etsng/72316" TargetMode="External"/><Relationship Id="rId72" Type="http://schemas.openxmlformats.org/officeDocument/2006/relationships/hyperlink" Target="http://www.russotrans.ru/ref/cargo/etsng/72405" TargetMode="External"/><Relationship Id="rId93" Type="http://schemas.openxmlformats.org/officeDocument/2006/relationships/hyperlink" Target="http://www.russotrans.ru/ref/cargo/etsng/72426" TargetMode="External"/><Relationship Id="rId189" Type="http://schemas.openxmlformats.org/officeDocument/2006/relationships/hyperlink" Target="http://www.russotrans.ru/ref/cargo/etsng/72609" TargetMode="External"/><Relationship Id="rId375" Type="http://schemas.openxmlformats.org/officeDocument/2006/relationships/hyperlink" Target="http://www.russotrans.ru/ref/cargo/etsng/75210" TargetMode="External"/><Relationship Id="rId396" Type="http://schemas.openxmlformats.org/officeDocument/2006/relationships/hyperlink" Target="http://www.russotrans.ru/ref/cargo/etsng/75303" TargetMode="External"/><Relationship Id="rId561" Type="http://schemas.openxmlformats.org/officeDocument/2006/relationships/hyperlink" Target="http://www.russotrans.ru/ref/cargo/etsng/75802" TargetMode="External"/><Relationship Id="rId3" Type="http://schemas.openxmlformats.org/officeDocument/2006/relationships/hyperlink" Target="http://www.russotrans.ru/ref/cargo/etsng/72158" TargetMode="External"/><Relationship Id="rId214" Type="http://schemas.openxmlformats.org/officeDocument/2006/relationships/hyperlink" Target="http://www.russotrans.ru/ref/cargo/etsng/73113" TargetMode="External"/><Relationship Id="rId235" Type="http://schemas.openxmlformats.org/officeDocument/2006/relationships/hyperlink" Target="http://www.russotrans.ru/ref/cargo/etsng/73135" TargetMode="External"/><Relationship Id="rId256" Type="http://schemas.openxmlformats.org/officeDocument/2006/relationships/hyperlink" Target="http://www.russotrans.ru/ref/cargo/etsng/73201" TargetMode="External"/><Relationship Id="rId277" Type="http://schemas.openxmlformats.org/officeDocument/2006/relationships/hyperlink" Target="http://www.russotrans.ru/ref/cargo/etsng/74102" TargetMode="External"/><Relationship Id="rId298" Type="http://schemas.openxmlformats.org/officeDocument/2006/relationships/hyperlink" Target="http://www.russotrans.ru/ref/cargo/etsng/74128" TargetMode="External"/><Relationship Id="rId400" Type="http://schemas.openxmlformats.org/officeDocument/2006/relationships/hyperlink" Target="http://www.russotrans.ru/ref/cargo/etsng/75307" TargetMode="External"/><Relationship Id="rId421" Type="http://schemas.openxmlformats.org/officeDocument/2006/relationships/hyperlink" Target="http://www.russotrans.ru/ref/cargo/etsng/75328" TargetMode="External"/><Relationship Id="rId442" Type="http://schemas.openxmlformats.org/officeDocument/2006/relationships/hyperlink" Target="http://www.russotrans.ru/ref/cargo/etsng/75349" TargetMode="External"/><Relationship Id="rId463" Type="http://schemas.openxmlformats.org/officeDocument/2006/relationships/hyperlink" Target="http://www.russotrans.ru/ref/cargo/etsng/75421" TargetMode="External"/><Relationship Id="rId484" Type="http://schemas.openxmlformats.org/officeDocument/2006/relationships/hyperlink" Target="http://www.russotrans.ru/ref/cargo/etsng/75607" TargetMode="External"/><Relationship Id="rId519" Type="http://schemas.openxmlformats.org/officeDocument/2006/relationships/hyperlink" Target="http://www.russotrans.ru/ref/cargo/etsng/75733" TargetMode="External"/><Relationship Id="rId116" Type="http://schemas.openxmlformats.org/officeDocument/2006/relationships/hyperlink" Target="http://www.russotrans.ru/ref/cargo/etsng/72506" TargetMode="External"/><Relationship Id="rId137" Type="http://schemas.openxmlformats.org/officeDocument/2006/relationships/hyperlink" Target="http://www.russotrans.ru/ref/cargo/etsng/72527" TargetMode="External"/><Relationship Id="rId158" Type="http://schemas.openxmlformats.org/officeDocument/2006/relationships/hyperlink" Target="http://www.russotrans.ru/ref/cargo/etsng/72549" TargetMode="External"/><Relationship Id="rId302" Type="http://schemas.openxmlformats.org/officeDocument/2006/relationships/hyperlink" Target="http://www.russotrans.ru/ref/cargo/etsng/74133" TargetMode="External"/><Relationship Id="rId323" Type="http://schemas.openxmlformats.org/officeDocument/2006/relationships/hyperlink" Target="http://www.russotrans.ru/ref/cargo/etsng/74222" TargetMode="External"/><Relationship Id="rId344" Type="http://schemas.openxmlformats.org/officeDocument/2006/relationships/hyperlink" Target="http://www.russotrans.ru/ref/cargo/etsng/74246" TargetMode="External"/><Relationship Id="rId530" Type="http://schemas.openxmlformats.org/officeDocument/2006/relationships/hyperlink" Target="http://www.russotrans.ru/ref/cargo/etsng/75744" TargetMode="External"/><Relationship Id="rId20" Type="http://schemas.openxmlformats.org/officeDocument/2006/relationships/hyperlink" Target="http://www.russotrans.ru/ref/cargo/etsng/72208" TargetMode="External"/><Relationship Id="rId41" Type="http://schemas.openxmlformats.org/officeDocument/2006/relationships/hyperlink" Target="http://www.russotrans.ru/ref/cargo/etsng/72304" TargetMode="External"/><Relationship Id="rId62" Type="http://schemas.openxmlformats.org/officeDocument/2006/relationships/hyperlink" Target="http://www.russotrans.ru/ref/cargo/etsng/72327" TargetMode="External"/><Relationship Id="rId83" Type="http://schemas.openxmlformats.org/officeDocument/2006/relationships/hyperlink" Target="http://www.russotrans.ru/ref/cargo/etsng/72416" TargetMode="External"/><Relationship Id="rId179" Type="http://schemas.openxmlformats.org/officeDocument/2006/relationships/hyperlink" Target="http://www.russotrans.ru/ref/cargo/etsng/72570" TargetMode="External"/><Relationship Id="rId365" Type="http://schemas.openxmlformats.org/officeDocument/2006/relationships/hyperlink" Target="http://www.russotrans.ru/ref/cargo/etsng/752" TargetMode="External"/><Relationship Id="rId386" Type="http://schemas.openxmlformats.org/officeDocument/2006/relationships/hyperlink" Target="http://www.russotrans.ru/ref/cargo/etsng/75222" TargetMode="External"/><Relationship Id="rId551" Type="http://schemas.openxmlformats.org/officeDocument/2006/relationships/hyperlink" Target="http://www.russotrans.ru/ref/cargo/etsng/75765" TargetMode="External"/><Relationship Id="rId572" Type="http://schemas.openxmlformats.org/officeDocument/2006/relationships/hyperlink" Target="http://www.russotrans.ru/ref/cargo/etsng/75813" TargetMode="External"/><Relationship Id="rId190" Type="http://schemas.openxmlformats.org/officeDocument/2006/relationships/hyperlink" Target="http://www.russotrans.ru/ref/cargo/etsng/72610" TargetMode="External"/><Relationship Id="rId204" Type="http://schemas.openxmlformats.org/officeDocument/2006/relationships/hyperlink" Target="http://www.russotrans.ru/ref/cargo/etsng/73103" TargetMode="External"/><Relationship Id="rId225" Type="http://schemas.openxmlformats.org/officeDocument/2006/relationships/hyperlink" Target="http://www.russotrans.ru/ref/cargo/etsng/73125" TargetMode="External"/><Relationship Id="rId246" Type="http://schemas.openxmlformats.org/officeDocument/2006/relationships/hyperlink" Target="http://www.russotrans.ru/ref/cargo/etsng/73147" TargetMode="External"/><Relationship Id="rId267" Type="http://schemas.openxmlformats.org/officeDocument/2006/relationships/hyperlink" Target="http://www.russotrans.ru/ref/cargo/etsng/73212" TargetMode="External"/><Relationship Id="rId288" Type="http://schemas.openxmlformats.org/officeDocument/2006/relationships/hyperlink" Target="http://www.russotrans.ru/ref/cargo/etsng/74116" TargetMode="External"/><Relationship Id="rId411" Type="http://schemas.openxmlformats.org/officeDocument/2006/relationships/hyperlink" Target="http://www.russotrans.ru/ref/cargo/etsng/75318" TargetMode="External"/><Relationship Id="rId432" Type="http://schemas.openxmlformats.org/officeDocument/2006/relationships/hyperlink" Target="http://www.russotrans.ru/ref/cargo/etsng/75339" TargetMode="External"/><Relationship Id="rId453" Type="http://schemas.openxmlformats.org/officeDocument/2006/relationships/hyperlink" Target="http://www.russotrans.ru/ref/cargo/etsng/75409" TargetMode="External"/><Relationship Id="rId474" Type="http://schemas.openxmlformats.org/officeDocument/2006/relationships/hyperlink" Target="http://www.russotrans.ru/ref/cargo/etsng/75432" TargetMode="External"/><Relationship Id="rId509" Type="http://schemas.openxmlformats.org/officeDocument/2006/relationships/hyperlink" Target="http://www.russotrans.ru/ref/cargo/etsng/75723" TargetMode="External"/><Relationship Id="rId106" Type="http://schemas.openxmlformats.org/officeDocument/2006/relationships/hyperlink" Target="http://www.russotrans.ru/ref/cargo/etsng/72440" TargetMode="External"/><Relationship Id="rId127" Type="http://schemas.openxmlformats.org/officeDocument/2006/relationships/hyperlink" Target="http://www.russotrans.ru/ref/cargo/etsng/72517" TargetMode="External"/><Relationship Id="rId313" Type="http://schemas.openxmlformats.org/officeDocument/2006/relationships/hyperlink" Target="http://www.russotrans.ru/ref/cargo/etsng/74209" TargetMode="External"/><Relationship Id="rId495" Type="http://schemas.openxmlformats.org/officeDocument/2006/relationships/hyperlink" Target="http://www.russotrans.ru/ref/cargo/etsng/75709" TargetMode="External"/><Relationship Id="rId10" Type="http://schemas.openxmlformats.org/officeDocument/2006/relationships/hyperlink" Target="http://www.russotrans.ru/ref/cargo/etsng/72166" TargetMode="External"/><Relationship Id="rId31" Type="http://schemas.openxmlformats.org/officeDocument/2006/relationships/hyperlink" Target="http://www.russotrans.ru/ref/cargo/etsng/72220" TargetMode="External"/><Relationship Id="rId52" Type="http://schemas.openxmlformats.org/officeDocument/2006/relationships/hyperlink" Target="http://www.russotrans.ru/ref/cargo/etsng/72317" TargetMode="External"/><Relationship Id="rId73" Type="http://schemas.openxmlformats.org/officeDocument/2006/relationships/hyperlink" Target="http://www.russotrans.ru/ref/cargo/etsng/72406" TargetMode="External"/><Relationship Id="rId94" Type="http://schemas.openxmlformats.org/officeDocument/2006/relationships/hyperlink" Target="http://www.russotrans.ru/ref/cargo/etsng/72427" TargetMode="External"/><Relationship Id="rId148" Type="http://schemas.openxmlformats.org/officeDocument/2006/relationships/hyperlink" Target="http://www.russotrans.ru/ref/cargo/etsng/72539" TargetMode="External"/><Relationship Id="rId169" Type="http://schemas.openxmlformats.org/officeDocument/2006/relationships/hyperlink" Target="http://www.russotrans.ru/ref/cargo/etsng/72560" TargetMode="External"/><Relationship Id="rId334" Type="http://schemas.openxmlformats.org/officeDocument/2006/relationships/hyperlink" Target="http://www.russotrans.ru/ref/cargo/etsng/74235" TargetMode="External"/><Relationship Id="rId355" Type="http://schemas.openxmlformats.org/officeDocument/2006/relationships/hyperlink" Target="http://www.russotrans.ru/ref/cargo/etsng/75106" TargetMode="External"/><Relationship Id="rId376" Type="http://schemas.openxmlformats.org/officeDocument/2006/relationships/hyperlink" Target="http://www.russotrans.ru/ref/cargo/etsng/75211" TargetMode="External"/><Relationship Id="rId397" Type="http://schemas.openxmlformats.org/officeDocument/2006/relationships/hyperlink" Target="http://www.russotrans.ru/ref/cargo/etsng/75304" TargetMode="External"/><Relationship Id="rId520" Type="http://schemas.openxmlformats.org/officeDocument/2006/relationships/hyperlink" Target="http://www.russotrans.ru/ref/cargo/etsng/75734" TargetMode="External"/><Relationship Id="rId541" Type="http://schemas.openxmlformats.org/officeDocument/2006/relationships/hyperlink" Target="http://www.russotrans.ru/ref/cargo/etsng/75755" TargetMode="External"/><Relationship Id="rId562" Type="http://schemas.openxmlformats.org/officeDocument/2006/relationships/hyperlink" Target="http://www.russotrans.ru/ref/cargo/etsng/75803" TargetMode="External"/><Relationship Id="rId4" Type="http://schemas.openxmlformats.org/officeDocument/2006/relationships/hyperlink" Target="http://www.russotrans.ru/ref/cargo/etsng/72159" TargetMode="External"/><Relationship Id="rId180" Type="http://schemas.openxmlformats.org/officeDocument/2006/relationships/hyperlink" Target="http://www.russotrans.ru/ref/cargo/etsng/726" TargetMode="External"/><Relationship Id="rId215" Type="http://schemas.openxmlformats.org/officeDocument/2006/relationships/hyperlink" Target="http://www.russotrans.ru/ref/cargo/etsng/73115" TargetMode="External"/><Relationship Id="rId236" Type="http://schemas.openxmlformats.org/officeDocument/2006/relationships/hyperlink" Target="http://www.russotrans.ru/ref/cargo/etsng/73136" TargetMode="External"/><Relationship Id="rId257" Type="http://schemas.openxmlformats.org/officeDocument/2006/relationships/hyperlink" Target="http://www.russotrans.ru/ref/cargo/etsng/73202" TargetMode="External"/><Relationship Id="rId278" Type="http://schemas.openxmlformats.org/officeDocument/2006/relationships/hyperlink" Target="http://www.russotrans.ru/ref/cargo/etsng/74103" TargetMode="External"/><Relationship Id="rId401" Type="http://schemas.openxmlformats.org/officeDocument/2006/relationships/hyperlink" Target="http://www.russotrans.ru/ref/cargo/etsng/75308" TargetMode="External"/><Relationship Id="rId422" Type="http://schemas.openxmlformats.org/officeDocument/2006/relationships/hyperlink" Target="http://www.russotrans.ru/ref/cargo/etsng/75329" TargetMode="External"/><Relationship Id="rId443" Type="http://schemas.openxmlformats.org/officeDocument/2006/relationships/hyperlink" Target="http://www.russotrans.ru/ref/cargo/etsng/75350" TargetMode="External"/><Relationship Id="rId464" Type="http://schemas.openxmlformats.org/officeDocument/2006/relationships/hyperlink" Target="http://www.russotrans.ru/ref/cargo/etsng/75422" TargetMode="External"/><Relationship Id="rId303" Type="http://schemas.openxmlformats.org/officeDocument/2006/relationships/hyperlink" Target="http://www.russotrans.ru/ref/cargo/etsng/74134" TargetMode="External"/><Relationship Id="rId485" Type="http://schemas.openxmlformats.org/officeDocument/2006/relationships/hyperlink" Target="http://www.russotrans.ru/ref/cargo/etsng/75608" TargetMode="External"/><Relationship Id="rId42" Type="http://schemas.openxmlformats.org/officeDocument/2006/relationships/hyperlink" Target="http://www.russotrans.ru/ref/cargo/etsng/72305" TargetMode="External"/><Relationship Id="rId84" Type="http://schemas.openxmlformats.org/officeDocument/2006/relationships/hyperlink" Target="http://www.russotrans.ru/ref/cargo/etsng/72417" TargetMode="External"/><Relationship Id="rId138" Type="http://schemas.openxmlformats.org/officeDocument/2006/relationships/hyperlink" Target="http://www.russotrans.ru/ref/cargo/etsng/72528" TargetMode="External"/><Relationship Id="rId345" Type="http://schemas.openxmlformats.org/officeDocument/2006/relationships/hyperlink" Target="http://www.russotrans.ru/ref/cargo/etsng/74247" TargetMode="External"/><Relationship Id="rId387" Type="http://schemas.openxmlformats.org/officeDocument/2006/relationships/hyperlink" Target="http://www.russotrans.ru/ref/cargo/etsng/75223" TargetMode="External"/><Relationship Id="rId510" Type="http://schemas.openxmlformats.org/officeDocument/2006/relationships/hyperlink" Target="http://www.russotrans.ru/ref/cargo/etsng/75724" TargetMode="External"/><Relationship Id="rId552" Type="http://schemas.openxmlformats.org/officeDocument/2006/relationships/hyperlink" Target="http://www.russotrans.ru/ref/cargo/etsng/75766" TargetMode="External"/><Relationship Id="rId191" Type="http://schemas.openxmlformats.org/officeDocument/2006/relationships/hyperlink" Target="http://www.russotrans.ru/ref/cargo/etsng/72611" TargetMode="External"/><Relationship Id="rId205" Type="http://schemas.openxmlformats.org/officeDocument/2006/relationships/hyperlink" Target="http://www.russotrans.ru/ref/cargo/etsng/73104" TargetMode="External"/><Relationship Id="rId247" Type="http://schemas.openxmlformats.org/officeDocument/2006/relationships/hyperlink" Target="http://www.russotrans.ru/ref/cargo/etsng/73148" TargetMode="External"/><Relationship Id="rId412" Type="http://schemas.openxmlformats.org/officeDocument/2006/relationships/hyperlink" Target="http://www.russotrans.ru/ref/cargo/etsng/75319" TargetMode="External"/><Relationship Id="rId107" Type="http://schemas.openxmlformats.org/officeDocument/2006/relationships/hyperlink" Target="http://www.russotrans.ru/ref/cargo/etsng/72441" TargetMode="External"/><Relationship Id="rId289" Type="http://schemas.openxmlformats.org/officeDocument/2006/relationships/hyperlink" Target="http://www.russotrans.ru/ref/cargo/etsng/74117" TargetMode="External"/><Relationship Id="rId454" Type="http://schemas.openxmlformats.org/officeDocument/2006/relationships/hyperlink" Target="http://www.russotrans.ru/ref/cargo/etsng/75410" TargetMode="External"/><Relationship Id="rId496" Type="http://schemas.openxmlformats.org/officeDocument/2006/relationships/hyperlink" Target="http://www.russotrans.ru/ref/cargo/etsng/75710" TargetMode="External"/><Relationship Id="rId11" Type="http://schemas.openxmlformats.org/officeDocument/2006/relationships/hyperlink" Target="http://www.russotrans.ru/ref/cargo/etsng/72167" TargetMode="External"/><Relationship Id="rId53" Type="http://schemas.openxmlformats.org/officeDocument/2006/relationships/hyperlink" Target="http://www.russotrans.ru/ref/cargo/etsng/72318" TargetMode="External"/><Relationship Id="rId149" Type="http://schemas.openxmlformats.org/officeDocument/2006/relationships/hyperlink" Target="http://www.russotrans.ru/ref/cargo/etsng/72540" TargetMode="External"/><Relationship Id="rId314" Type="http://schemas.openxmlformats.org/officeDocument/2006/relationships/hyperlink" Target="http://www.russotrans.ru/ref/cargo/etsng/74211" TargetMode="External"/><Relationship Id="rId356" Type="http://schemas.openxmlformats.org/officeDocument/2006/relationships/hyperlink" Target="http://www.russotrans.ru/ref/cargo/etsng/75107" TargetMode="External"/><Relationship Id="rId398" Type="http://schemas.openxmlformats.org/officeDocument/2006/relationships/hyperlink" Target="http://www.russotrans.ru/ref/cargo/etsng/75305" TargetMode="External"/><Relationship Id="rId521" Type="http://schemas.openxmlformats.org/officeDocument/2006/relationships/hyperlink" Target="http://www.russotrans.ru/ref/cargo/etsng/75735" TargetMode="External"/><Relationship Id="rId563" Type="http://schemas.openxmlformats.org/officeDocument/2006/relationships/hyperlink" Target="http://www.russotrans.ru/ref/cargo/etsng/75804" TargetMode="External"/><Relationship Id="rId95" Type="http://schemas.openxmlformats.org/officeDocument/2006/relationships/hyperlink" Target="http://www.russotrans.ru/ref/cargo/etsng/72428" TargetMode="External"/><Relationship Id="rId160" Type="http://schemas.openxmlformats.org/officeDocument/2006/relationships/hyperlink" Target="http://www.russotrans.ru/ref/cargo/etsng/72551" TargetMode="External"/><Relationship Id="rId216" Type="http://schemas.openxmlformats.org/officeDocument/2006/relationships/hyperlink" Target="http://www.russotrans.ru/ref/cargo/etsng/73116" TargetMode="External"/><Relationship Id="rId423" Type="http://schemas.openxmlformats.org/officeDocument/2006/relationships/hyperlink" Target="http://www.russotrans.ru/ref/cargo/etsng/75330" TargetMode="External"/><Relationship Id="rId258" Type="http://schemas.openxmlformats.org/officeDocument/2006/relationships/hyperlink" Target="http://www.russotrans.ru/ref/cargo/etsng/73203" TargetMode="External"/><Relationship Id="rId465" Type="http://schemas.openxmlformats.org/officeDocument/2006/relationships/hyperlink" Target="http://www.russotrans.ru/ref/cargo/etsng/75423" TargetMode="External"/><Relationship Id="rId22" Type="http://schemas.openxmlformats.org/officeDocument/2006/relationships/hyperlink" Target="http://www.russotrans.ru/ref/cargo/etsng/72210" TargetMode="External"/><Relationship Id="rId64" Type="http://schemas.openxmlformats.org/officeDocument/2006/relationships/hyperlink" Target="http://www.russotrans.ru/ref/cargo/etsng/72329" TargetMode="External"/><Relationship Id="rId118" Type="http://schemas.openxmlformats.org/officeDocument/2006/relationships/hyperlink" Target="http://www.russotrans.ru/ref/cargo/etsng/72508" TargetMode="External"/><Relationship Id="rId325" Type="http://schemas.openxmlformats.org/officeDocument/2006/relationships/hyperlink" Target="http://www.russotrans.ru/ref/cargo/etsng/74224" TargetMode="External"/><Relationship Id="rId367" Type="http://schemas.openxmlformats.org/officeDocument/2006/relationships/hyperlink" Target="http://www.russotrans.ru/ref/cargo/etsng/75202" TargetMode="External"/><Relationship Id="rId532" Type="http://schemas.openxmlformats.org/officeDocument/2006/relationships/hyperlink" Target="http://www.russotrans.ru/ref/cargo/etsng/75746" TargetMode="External"/><Relationship Id="rId574" Type="http://schemas.openxmlformats.org/officeDocument/2006/relationships/hyperlink" Target="http://www.russotrans.ru/ref/cargo/etsng/75815" TargetMode="External"/><Relationship Id="rId171" Type="http://schemas.openxmlformats.org/officeDocument/2006/relationships/hyperlink" Target="http://www.russotrans.ru/ref/cargo/etsng/72562" TargetMode="External"/><Relationship Id="rId227" Type="http://schemas.openxmlformats.org/officeDocument/2006/relationships/hyperlink" Target="http://www.russotrans.ru/ref/cargo/etsng/73127" TargetMode="External"/><Relationship Id="rId269" Type="http://schemas.openxmlformats.org/officeDocument/2006/relationships/hyperlink" Target="http://www.russotrans.ru/ref/cargo/etsng/73214" TargetMode="External"/><Relationship Id="rId434" Type="http://schemas.openxmlformats.org/officeDocument/2006/relationships/hyperlink" Target="http://www.russotrans.ru/ref/cargo/etsng/75341" TargetMode="External"/><Relationship Id="rId476" Type="http://schemas.openxmlformats.org/officeDocument/2006/relationships/hyperlink" Target="http://www.russotrans.ru/ref/cargo/etsng/75503" TargetMode="External"/><Relationship Id="rId33" Type="http://schemas.openxmlformats.org/officeDocument/2006/relationships/hyperlink" Target="http://www.russotrans.ru/ref/cargo/etsng/72222" TargetMode="External"/><Relationship Id="rId129" Type="http://schemas.openxmlformats.org/officeDocument/2006/relationships/hyperlink" Target="http://www.russotrans.ru/ref/cargo/etsng/72519" TargetMode="External"/><Relationship Id="rId280" Type="http://schemas.openxmlformats.org/officeDocument/2006/relationships/hyperlink" Target="http://www.russotrans.ru/ref/cargo/etsng/74106" TargetMode="External"/><Relationship Id="rId336" Type="http://schemas.openxmlformats.org/officeDocument/2006/relationships/hyperlink" Target="http://www.russotrans.ru/ref/cargo/etsng/74238" TargetMode="External"/><Relationship Id="rId501" Type="http://schemas.openxmlformats.org/officeDocument/2006/relationships/hyperlink" Target="http://www.russotrans.ru/ref/cargo/etsng/75715" TargetMode="External"/><Relationship Id="rId543" Type="http://schemas.openxmlformats.org/officeDocument/2006/relationships/hyperlink" Target="http://www.russotrans.ru/ref/cargo/etsng/75757" TargetMode="External"/><Relationship Id="rId75" Type="http://schemas.openxmlformats.org/officeDocument/2006/relationships/hyperlink" Target="http://www.russotrans.ru/ref/cargo/etsng/72408" TargetMode="External"/><Relationship Id="rId140" Type="http://schemas.openxmlformats.org/officeDocument/2006/relationships/hyperlink" Target="http://www.russotrans.ru/ref/cargo/etsng/72530" TargetMode="External"/><Relationship Id="rId182" Type="http://schemas.openxmlformats.org/officeDocument/2006/relationships/hyperlink" Target="http://www.russotrans.ru/ref/cargo/etsng/72602" TargetMode="External"/><Relationship Id="rId378" Type="http://schemas.openxmlformats.org/officeDocument/2006/relationships/hyperlink" Target="http://www.russotrans.ru/ref/cargo/etsng/75213" TargetMode="External"/><Relationship Id="rId403" Type="http://schemas.openxmlformats.org/officeDocument/2006/relationships/hyperlink" Target="http://www.russotrans.ru/ref/cargo/etsng/75310" TargetMode="External"/><Relationship Id="rId6" Type="http://schemas.openxmlformats.org/officeDocument/2006/relationships/hyperlink" Target="http://www.russotrans.ru/ref/cargo/etsng/72161" TargetMode="External"/><Relationship Id="rId238" Type="http://schemas.openxmlformats.org/officeDocument/2006/relationships/hyperlink" Target="http://www.russotrans.ru/ref/cargo/etsng/73138" TargetMode="External"/><Relationship Id="rId445" Type="http://schemas.openxmlformats.org/officeDocument/2006/relationships/hyperlink" Target="http://www.russotrans.ru/ref/cargo/etsng/754" TargetMode="External"/><Relationship Id="rId487" Type="http://schemas.openxmlformats.org/officeDocument/2006/relationships/hyperlink" Target="http://www.russotrans.ru/ref/cargo/etsng/75701" TargetMode="External"/><Relationship Id="rId291" Type="http://schemas.openxmlformats.org/officeDocument/2006/relationships/hyperlink" Target="http://www.russotrans.ru/ref/cargo/etsng/74119" TargetMode="External"/><Relationship Id="rId305" Type="http://schemas.openxmlformats.org/officeDocument/2006/relationships/hyperlink" Target="http://www.russotrans.ru/ref/cargo/etsng/742" TargetMode="External"/><Relationship Id="rId347" Type="http://schemas.openxmlformats.org/officeDocument/2006/relationships/hyperlink" Target="http://www.russotrans.ru/ref/cargo/etsng/74249" TargetMode="External"/><Relationship Id="rId512" Type="http://schemas.openxmlformats.org/officeDocument/2006/relationships/hyperlink" Target="http://www.russotrans.ru/ref/cargo/etsng/75726" TargetMode="External"/><Relationship Id="rId44" Type="http://schemas.openxmlformats.org/officeDocument/2006/relationships/hyperlink" Target="http://www.russotrans.ru/ref/cargo/etsng/72307" TargetMode="External"/><Relationship Id="rId86" Type="http://schemas.openxmlformats.org/officeDocument/2006/relationships/hyperlink" Target="http://www.russotrans.ru/ref/cargo/etsng/72419" TargetMode="External"/><Relationship Id="rId151" Type="http://schemas.openxmlformats.org/officeDocument/2006/relationships/hyperlink" Target="http://www.russotrans.ru/ref/cargo/etsng/72542" TargetMode="External"/><Relationship Id="rId389" Type="http://schemas.openxmlformats.org/officeDocument/2006/relationships/hyperlink" Target="http://www.russotrans.ru/ref/cargo/etsng/75225" TargetMode="External"/><Relationship Id="rId554" Type="http://schemas.openxmlformats.org/officeDocument/2006/relationships/hyperlink" Target="http://www.russotrans.ru/ref/cargo/etsng/75768" TargetMode="External"/><Relationship Id="rId193" Type="http://schemas.openxmlformats.org/officeDocument/2006/relationships/hyperlink" Target="http://www.russotrans.ru/ref/cargo/etsng/72613" TargetMode="External"/><Relationship Id="rId207" Type="http://schemas.openxmlformats.org/officeDocument/2006/relationships/hyperlink" Target="http://www.russotrans.ru/ref/cargo/etsng/73106" TargetMode="External"/><Relationship Id="rId249" Type="http://schemas.openxmlformats.org/officeDocument/2006/relationships/hyperlink" Target="http://www.russotrans.ru/ref/cargo/etsng/73150" TargetMode="External"/><Relationship Id="rId414" Type="http://schemas.openxmlformats.org/officeDocument/2006/relationships/hyperlink" Target="http://www.russotrans.ru/ref/cargo/etsng/75321" TargetMode="External"/><Relationship Id="rId456" Type="http://schemas.openxmlformats.org/officeDocument/2006/relationships/hyperlink" Target="http://www.russotrans.ru/ref/cargo/etsng/75412" TargetMode="External"/><Relationship Id="rId498" Type="http://schemas.openxmlformats.org/officeDocument/2006/relationships/hyperlink" Target="http://www.russotrans.ru/ref/cargo/etsng/75712" TargetMode="External"/><Relationship Id="rId13" Type="http://schemas.openxmlformats.org/officeDocument/2006/relationships/hyperlink" Target="http://www.russotrans.ru/ref/cargo/etsng/72201" TargetMode="External"/><Relationship Id="rId109" Type="http://schemas.openxmlformats.org/officeDocument/2006/relationships/hyperlink" Target="http://www.russotrans.ru/ref/cargo/etsng/72444" TargetMode="External"/><Relationship Id="rId260" Type="http://schemas.openxmlformats.org/officeDocument/2006/relationships/hyperlink" Target="http://www.russotrans.ru/ref/cargo/etsng/73205" TargetMode="External"/><Relationship Id="rId316" Type="http://schemas.openxmlformats.org/officeDocument/2006/relationships/hyperlink" Target="http://www.russotrans.ru/ref/cargo/etsng/74213" TargetMode="External"/><Relationship Id="rId523" Type="http://schemas.openxmlformats.org/officeDocument/2006/relationships/hyperlink" Target="http://www.russotrans.ru/ref/cargo/etsng/75737" TargetMode="External"/><Relationship Id="rId55" Type="http://schemas.openxmlformats.org/officeDocument/2006/relationships/hyperlink" Target="http://www.russotrans.ru/ref/cargo/etsng/72320" TargetMode="External"/><Relationship Id="rId97" Type="http://schemas.openxmlformats.org/officeDocument/2006/relationships/hyperlink" Target="http://www.russotrans.ru/ref/cargo/etsng/72430" TargetMode="External"/><Relationship Id="rId120" Type="http://schemas.openxmlformats.org/officeDocument/2006/relationships/hyperlink" Target="http://www.russotrans.ru/ref/cargo/etsng/72510" TargetMode="External"/><Relationship Id="rId358" Type="http://schemas.openxmlformats.org/officeDocument/2006/relationships/hyperlink" Target="http://www.russotrans.ru/ref/cargo/etsng/75109" TargetMode="External"/><Relationship Id="rId565" Type="http://schemas.openxmlformats.org/officeDocument/2006/relationships/hyperlink" Target="http://www.russotrans.ru/ref/cargo/etsng/75806" TargetMode="External"/><Relationship Id="rId162" Type="http://schemas.openxmlformats.org/officeDocument/2006/relationships/hyperlink" Target="http://www.russotrans.ru/ref/cargo/etsng/72553" TargetMode="External"/><Relationship Id="rId218" Type="http://schemas.openxmlformats.org/officeDocument/2006/relationships/hyperlink" Target="http://www.russotrans.ru/ref/cargo/etsng/73118" TargetMode="External"/><Relationship Id="rId425" Type="http://schemas.openxmlformats.org/officeDocument/2006/relationships/hyperlink" Target="http://www.russotrans.ru/ref/cargo/etsng/75332" TargetMode="External"/><Relationship Id="rId467" Type="http://schemas.openxmlformats.org/officeDocument/2006/relationships/hyperlink" Target="http://www.russotrans.ru/ref/cargo/etsng/75425" TargetMode="External"/><Relationship Id="rId271" Type="http://schemas.openxmlformats.org/officeDocument/2006/relationships/hyperlink" Target="http://www.russotrans.ru/ref/cargo/etsng/73216" TargetMode="External"/><Relationship Id="rId24" Type="http://schemas.openxmlformats.org/officeDocument/2006/relationships/hyperlink" Target="http://www.russotrans.ru/ref/cargo/etsng/72213" TargetMode="External"/><Relationship Id="rId66" Type="http://schemas.openxmlformats.org/officeDocument/2006/relationships/hyperlink" Target="http://www.russotrans.ru/ref/cargo/etsng/72331" TargetMode="External"/><Relationship Id="rId131" Type="http://schemas.openxmlformats.org/officeDocument/2006/relationships/hyperlink" Target="http://www.russotrans.ru/ref/cargo/etsng/72521" TargetMode="External"/><Relationship Id="rId327" Type="http://schemas.openxmlformats.org/officeDocument/2006/relationships/hyperlink" Target="http://www.russotrans.ru/ref/cargo/etsng/74226" TargetMode="External"/><Relationship Id="rId369" Type="http://schemas.openxmlformats.org/officeDocument/2006/relationships/hyperlink" Target="http://www.russotrans.ru/ref/cargo/etsng/75204" TargetMode="External"/><Relationship Id="rId534" Type="http://schemas.openxmlformats.org/officeDocument/2006/relationships/hyperlink" Target="http://www.russotrans.ru/ref/cargo/etsng/75748" TargetMode="External"/><Relationship Id="rId576" Type="http://schemas.openxmlformats.org/officeDocument/2006/relationships/hyperlink" Target="http://www.russotrans.ru/ref/cargo/etsng/75817" TargetMode="External"/><Relationship Id="rId173" Type="http://schemas.openxmlformats.org/officeDocument/2006/relationships/hyperlink" Target="http://www.russotrans.ru/ref/cargo/etsng/72564" TargetMode="External"/><Relationship Id="rId229" Type="http://schemas.openxmlformats.org/officeDocument/2006/relationships/hyperlink" Target="http://www.russotrans.ru/ref/cargo/etsng/73129" TargetMode="External"/><Relationship Id="rId380" Type="http://schemas.openxmlformats.org/officeDocument/2006/relationships/hyperlink" Target="http://www.russotrans.ru/ref/cargo/etsng/75215" TargetMode="External"/><Relationship Id="rId436" Type="http://schemas.openxmlformats.org/officeDocument/2006/relationships/hyperlink" Target="http://www.russotrans.ru/ref/cargo/etsng/75343" TargetMode="External"/><Relationship Id="rId240" Type="http://schemas.openxmlformats.org/officeDocument/2006/relationships/hyperlink" Target="http://www.russotrans.ru/ref/cargo/etsng/73140" TargetMode="External"/><Relationship Id="rId478" Type="http://schemas.openxmlformats.org/officeDocument/2006/relationships/hyperlink" Target="http://www.russotrans.ru/ref/cargo/etsng/75601" TargetMode="External"/><Relationship Id="rId35" Type="http://schemas.openxmlformats.org/officeDocument/2006/relationships/hyperlink" Target="http://www.russotrans.ru/ref/cargo/etsng/72224" TargetMode="External"/><Relationship Id="rId77" Type="http://schemas.openxmlformats.org/officeDocument/2006/relationships/hyperlink" Target="http://www.russotrans.ru/ref/cargo/etsng/72410" TargetMode="External"/><Relationship Id="rId100" Type="http://schemas.openxmlformats.org/officeDocument/2006/relationships/hyperlink" Target="http://www.russotrans.ru/ref/cargo/etsng/72433" TargetMode="External"/><Relationship Id="rId282" Type="http://schemas.openxmlformats.org/officeDocument/2006/relationships/hyperlink" Target="http://www.russotrans.ru/ref/cargo/etsng/74108" TargetMode="External"/><Relationship Id="rId338" Type="http://schemas.openxmlformats.org/officeDocument/2006/relationships/hyperlink" Target="http://www.russotrans.ru/ref/cargo/etsng/74240" TargetMode="External"/><Relationship Id="rId503" Type="http://schemas.openxmlformats.org/officeDocument/2006/relationships/hyperlink" Target="http://www.russotrans.ru/ref/cargo/etsng/75717" TargetMode="External"/><Relationship Id="rId545" Type="http://schemas.openxmlformats.org/officeDocument/2006/relationships/hyperlink" Target="http://www.russotrans.ru/ref/cargo/etsng/75759" TargetMode="External"/><Relationship Id="rId8" Type="http://schemas.openxmlformats.org/officeDocument/2006/relationships/hyperlink" Target="http://www.russotrans.ru/ref/cargo/etsng/72163" TargetMode="External"/><Relationship Id="rId142" Type="http://schemas.openxmlformats.org/officeDocument/2006/relationships/hyperlink" Target="http://www.russotrans.ru/ref/cargo/etsng/72532" TargetMode="External"/><Relationship Id="rId184" Type="http://schemas.openxmlformats.org/officeDocument/2006/relationships/hyperlink" Target="http://www.russotrans.ru/ref/cargo/etsng/72604" TargetMode="External"/><Relationship Id="rId391" Type="http://schemas.openxmlformats.org/officeDocument/2006/relationships/hyperlink" Target="http://www.russotrans.ru/ref/cargo/etsng/75227" TargetMode="External"/><Relationship Id="rId405" Type="http://schemas.openxmlformats.org/officeDocument/2006/relationships/hyperlink" Target="http://www.russotrans.ru/ref/cargo/etsng/75312" TargetMode="External"/><Relationship Id="rId447" Type="http://schemas.openxmlformats.org/officeDocument/2006/relationships/hyperlink" Target="http://www.russotrans.ru/ref/cargo/etsng/75402" TargetMode="External"/><Relationship Id="rId251" Type="http://schemas.openxmlformats.org/officeDocument/2006/relationships/hyperlink" Target="http://www.russotrans.ru/ref/cargo/etsng/73152" TargetMode="External"/><Relationship Id="rId489" Type="http://schemas.openxmlformats.org/officeDocument/2006/relationships/hyperlink" Target="http://www.russotrans.ru/ref/cargo/etsng/75703" TargetMode="External"/><Relationship Id="rId46" Type="http://schemas.openxmlformats.org/officeDocument/2006/relationships/hyperlink" Target="http://www.russotrans.ru/ref/cargo/etsng/72309" TargetMode="External"/><Relationship Id="rId293" Type="http://schemas.openxmlformats.org/officeDocument/2006/relationships/hyperlink" Target="http://www.russotrans.ru/ref/cargo/etsng/74121" TargetMode="External"/><Relationship Id="rId307" Type="http://schemas.openxmlformats.org/officeDocument/2006/relationships/hyperlink" Target="http://www.russotrans.ru/ref/cargo/etsng/74202" TargetMode="External"/><Relationship Id="rId349" Type="http://schemas.openxmlformats.org/officeDocument/2006/relationships/hyperlink" Target="http://www.russotrans.ru/ref/cargo/etsng/751" TargetMode="External"/><Relationship Id="rId514" Type="http://schemas.openxmlformats.org/officeDocument/2006/relationships/hyperlink" Target="http://www.russotrans.ru/ref/cargo/etsng/75728" TargetMode="External"/><Relationship Id="rId556" Type="http://schemas.openxmlformats.org/officeDocument/2006/relationships/hyperlink" Target="http://www.russotrans.ru/ref/cargo/etsng/75770" TargetMode="External"/><Relationship Id="rId88" Type="http://schemas.openxmlformats.org/officeDocument/2006/relationships/hyperlink" Target="http://www.russotrans.ru/ref/cargo/etsng/72421" TargetMode="External"/><Relationship Id="rId111" Type="http://schemas.openxmlformats.org/officeDocument/2006/relationships/hyperlink" Target="http://www.russotrans.ru/ref/cargo/etsng/72501" TargetMode="External"/><Relationship Id="rId153" Type="http://schemas.openxmlformats.org/officeDocument/2006/relationships/hyperlink" Target="http://www.russotrans.ru/ref/cargo/etsng/72544" TargetMode="External"/><Relationship Id="rId195" Type="http://schemas.openxmlformats.org/officeDocument/2006/relationships/hyperlink" Target="http://www.russotrans.ru/ref/cargo/etsng/72615" TargetMode="External"/><Relationship Id="rId209" Type="http://schemas.openxmlformats.org/officeDocument/2006/relationships/hyperlink" Target="http://www.russotrans.ru/ref/cargo/etsng/73108" TargetMode="External"/><Relationship Id="rId360" Type="http://schemas.openxmlformats.org/officeDocument/2006/relationships/hyperlink" Target="http://www.russotrans.ru/ref/cargo/etsng/75111" TargetMode="External"/><Relationship Id="rId416" Type="http://schemas.openxmlformats.org/officeDocument/2006/relationships/hyperlink" Target="http://www.russotrans.ru/ref/cargo/etsng/75323" TargetMode="External"/><Relationship Id="rId220" Type="http://schemas.openxmlformats.org/officeDocument/2006/relationships/hyperlink" Target="http://www.russotrans.ru/ref/cargo/etsng/73120" TargetMode="External"/><Relationship Id="rId458" Type="http://schemas.openxmlformats.org/officeDocument/2006/relationships/hyperlink" Target="http://www.russotrans.ru/ref/cargo/etsng/75414" TargetMode="External"/><Relationship Id="rId15" Type="http://schemas.openxmlformats.org/officeDocument/2006/relationships/hyperlink" Target="http://www.russotrans.ru/ref/cargo/etsng/72203" TargetMode="External"/><Relationship Id="rId57" Type="http://schemas.openxmlformats.org/officeDocument/2006/relationships/hyperlink" Target="http://www.russotrans.ru/ref/cargo/etsng/72322" TargetMode="External"/><Relationship Id="rId262" Type="http://schemas.openxmlformats.org/officeDocument/2006/relationships/hyperlink" Target="http://www.russotrans.ru/ref/cargo/etsng/73207" TargetMode="External"/><Relationship Id="rId318" Type="http://schemas.openxmlformats.org/officeDocument/2006/relationships/hyperlink" Target="http://www.russotrans.ru/ref/cargo/etsng/74217" TargetMode="External"/><Relationship Id="rId525" Type="http://schemas.openxmlformats.org/officeDocument/2006/relationships/hyperlink" Target="http://www.russotrans.ru/ref/cargo/etsng/75739" TargetMode="External"/><Relationship Id="rId567" Type="http://schemas.openxmlformats.org/officeDocument/2006/relationships/hyperlink" Target="http://www.russotrans.ru/ref/cargo/etsng/75808" TargetMode="External"/><Relationship Id="rId99" Type="http://schemas.openxmlformats.org/officeDocument/2006/relationships/hyperlink" Target="http://www.russotrans.ru/ref/cargo/etsng/72432" TargetMode="External"/><Relationship Id="rId122" Type="http://schemas.openxmlformats.org/officeDocument/2006/relationships/hyperlink" Target="http://www.russotrans.ru/ref/cargo/etsng/72512" TargetMode="External"/><Relationship Id="rId164" Type="http://schemas.openxmlformats.org/officeDocument/2006/relationships/hyperlink" Target="http://www.russotrans.ru/ref/cargo/etsng/72555" TargetMode="External"/><Relationship Id="rId371" Type="http://schemas.openxmlformats.org/officeDocument/2006/relationships/hyperlink" Target="http://www.russotrans.ru/ref/cargo/etsng/75206" TargetMode="External"/><Relationship Id="rId427" Type="http://schemas.openxmlformats.org/officeDocument/2006/relationships/hyperlink" Target="http://www.russotrans.ru/ref/cargo/etsng/75334" TargetMode="External"/><Relationship Id="rId469" Type="http://schemas.openxmlformats.org/officeDocument/2006/relationships/hyperlink" Target="http://www.russotrans.ru/ref/cargo/etsng/75427" TargetMode="External"/><Relationship Id="rId26" Type="http://schemas.openxmlformats.org/officeDocument/2006/relationships/hyperlink" Target="http://www.russotrans.ru/ref/cargo/etsng/72215" TargetMode="External"/><Relationship Id="rId231" Type="http://schemas.openxmlformats.org/officeDocument/2006/relationships/hyperlink" Target="http://www.russotrans.ru/ref/cargo/etsng/73131" TargetMode="External"/><Relationship Id="rId273" Type="http://schemas.openxmlformats.org/officeDocument/2006/relationships/hyperlink" Target="http://www.russotrans.ru/ref/cargo/etsng/73218" TargetMode="External"/><Relationship Id="rId329" Type="http://schemas.openxmlformats.org/officeDocument/2006/relationships/hyperlink" Target="http://www.russotrans.ru/ref/cargo/etsng/74230" TargetMode="External"/><Relationship Id="rId480" Type="http://schemas.openxmlformats.org/officeDocument/2006/relationships/hyperlink" Target="http://www.russotrans.ru/ref/cargo/etsng/75603" TargetMode="External"/><Relationship Id="rId536" Type="http://schemas.openxmlformats.org/officeDocument/2006/relationships/hyperlink" Target="http://www.russotrans.ru/ref/cargo/etsng/75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topLeftCell="A7" workbookViewId="0">
      <selection activeCell="C32" sqref="C32"/>
    </sheetView>
  </sheetViews>
  <sheetFormatPr defaultRowHeight="14.6"/>
  <cols>
    <col min="1" max="1" width="12.3046875" style="6" bestFit="1" customWidth="1"/>
    <col min="2" max="2" width="32.3046875" bestFit="1" customWidth="1"/>
    <col min="3" max="3" width="21.3828125" bestFit="1" customWidth="1"/>
  </cols>
  <sheetData>
    <row r="1" spans="1:4" s="2" customFormat="1">
      <c r="A1" s="2" t="s">
        <v>2</v>
      </c>
      <c r="B1" s="2" t="s">
        <v>3</v>
      </c>
      <c r="C1" s="2" t="s">
        <v>4</v>
      </c>
      <c r="D1" s="2" t="s">
        <v>5</v>
      </c>
    </row>
    <row r="2" spans="1:4">
      <c r="A2" s="3" t="s">
        <v>6</v>
      </c>
      <c r="B2" t="s">
        <v>7</v>
      </c>
      <c r="C2" t="s">
        <v>8</v>
      </c>
      <c r="D2">
        <f>VLOOKUP(A2,[1]Грузы!B:F,5,0)</f>
        <v>2</v>
      </c>
    </row>
    <row r="3" spans="1:4">
      <c r="A3" s="3" t="s">
        <v>9</v>
      </c>
      <c r="B3" t="s">
        <v>10</v>
      </c>
      <c r="C3" t="s">
        <v>8</v>
      </c>
      <c r="D3">
        <f>VLOOKUP(A3,[1]Грузы!B:F,5,0)</f>
        <v>2</v>
      </c>
    </row>
    <row r="4" spans="1:4">
      <c r="A4" s="3" t="s">
        <v>11</v>
      </c>
      <c r="B4" t="s">
        <v>12</v>
      </c>
      <c r="C4" t="s">
        <v>8</v>
      </c>
      <c r="D4">
        <f>VLOOKUP(A4,[1]Грузы!B:F,5,0)</f>
        <v>2</v>
      </c>
    </row>
    <row r="5" spans="1:4">
      <c r="A5" s="3" t="s">
        <v>13</v>
      </c>
      <c r="B5" t="s">
        <v>14</v>
      </c>
      <c r="C5" t="s">
        <v>8</v>
      </c>
      <c r="D5">
        <f>VLOOKUP(A5,[1]Грузы!B:F,5,0)</f>
        <v>2</v>
      </c>
    </row>
    <row r="6" spans="1:4">
      <c r="A6" s="3" t="s">
        <v>15</v>
      </c>
      <c r="B6" t="s">
        <v>16</v>
      </c>
      <c r="C6" t="s">
        <v>8</v>
      </c>
      <c r="D6">
        <f>VLOOKUP(A6,[1]Грузы!B:F,5,0)</f>
        <v>2</v>
      </c>
    </row>
    <row r="7" spans="1:4">
      <c r="A7" s="3" t="s">
        <v>17</v>
      </c>
      <c r="B7" t="s">
        <v>18</v>
      </c>
      <c r="C7" t="s">
        <v>8</v>
      </c>
      <c r="D7">
        <f>VLOOKUP(A7,[1]Грузы!B:F,5,0)</f>
        <v>2</v>
      </c>
    </row>
    <row r="8" spans="1:4">
      <c r="A8" s="3" t="s">
        <v>19</v>
      </c>
      <c r="B8" t="s">
        <v>20</v>
      </c>
      <c r="C8" t="s">
        <v>8</v>
      </c>
      <c r="D8">
        <f>VLOOKUP(A8,[1]Грузы!B:F,5,0)</f>
        <v>2</v>
      </c>
    </row>
    <row r="9" spans="1:4">
      <c r="A9" s="3" t="s">
        <v>21</v>
      </c>
      <c r="B9" t="s">
        <v>22</v>
      </c>
      <c r="C9" t="s">
        <v>8</v>
      </c>
      <c r="D9">
        <f>VLOOKUP(A9,[1]Грузы!B:F,5,0)</f>
        <v>2</v>
      </c>
    </row>
    <row r="10" spans="1:4">
      <c r="A10" s="3" t="s">
        <v>23</v>
      </c>
      <c r="B10" t="s">
        <v>24</v>
      </c>
      <c r="C10" t="s">
        <v>8</v>
      </c>
      <c r="D10">
        <f>VLOOKUP(A10,[1]Грузы!B:F,5,0)</f>
        <v>2</v>
      </c>
    </row>
    <row r="11" spans="1:4">
      <c r="A11" s="3" t="s">
        <v>25</v>
      </c>
      <c r="B11" t="s">
        <v>26</v>
      </c>
      <c r="C11" t="s">
        <v>0</v>
      </c>
      <c r="D11">
        <f>VLOOKUP(A11,[1]Грузы!B:F,5,0)</f>
        <v>2</v>
      </c>
    </row>
    <row r="12" spans="1:4">
      <c r="A12" s="3" t="s">
        <v>27</v>
      </c>
      <c r="B12" t="s">
        <v>28</v>
      </c>
      <c r="C12" t="s">
        <v>0</v>
      </c>
      <c r="D12">
        <f>VLOOKUP(A12,[1]Грузы!B:F,5,0)</f>
        <v>2</v>
      </c>
    </row>
    <row r="13" spans="1:4">
      <c r="A13" s="3" t="s">
        <v>29</v>
      </c>
      <c r="B13" t="s">
        <v>30</v>
      </c>
      <c r="C13" t="s">
        <v>8</v>
      </c>
      <c r="D13">
        <f>VLOOKUP(A13,[1]Грузы!B:F,5,0)</f>
        <v>2</v>
      </c>
    </row>
    <row r="14" spans="1:4">
      <c r="A14" s="3" t="s">
        <v>31</v>
      </c>
      <c r="B14" t="s">
        <v>32</v>
      </c>
      <c r="C14" t="s">
        <v>0</v>
      </c>
      <c r="D14">
        <f>VLOOKUP(A14,[1]Грузы!B:F,5,0)</f>
        <v>2</v>
      </c>
    </row>
    <row r="15" spans="1:4">
      <c r="A15" s="3" t="s">
        <v>33</v>
      </c>
      <c r="B15" t="s">
        <v>34</v>
      </c>
      <c r="C15" t="s">
        <v>0</v>
      </c>
      <c r="D15">
        <f>VLOOKUP(A15,[1]Грузы!B:F,5,0)</f>
        <v>2</v>
      </c>
    </row>
    <row r="16" spans="1:4">
      <c r="A16" s="3" t="s">
        <v>35</v>
      </c>
      <c r="B16" t="s">
        <v>36</v>
      </c>
      <c r="C16" t="s">
        <v>0</v>
      </c>
      <c r="D16">
        <f>VLOOKUP(A16,[1]Грузы!B:F,5,0)</f>
        <v>2</v>
      </c>
    </row>
    <row r="17" spans="1:4">
      <c r="A17" s="3" t="s">
        <v>37</v>
      </c>
      <c r="B17" t="s">
        <v>38</v>
      </c>
      <c r="C17" t="s">
        <v>0</v>
      </c>
      <c r="D17">
        <f>VLOOKUP(A17,[1]Грузы!B:F,5,0)</f>
        <v>2</v>
      </c>
    </row>
    <row r="18" spans="1:4">
      <c r="A18" s="3" t="s">
        <v>39</v>
      </c>
      <c r="B18" t="s">
        <v>40</v>
      </c>
      <c r="C18" t="s">
        <v>0</v>
      </c>
      <c r="D18">
        <f>VLOOKUP(A18,[1]Грузы!B:F,5,0)</f>
        <v>2</v>
      </c>
    </row>
    <row r="19" spans="1:4">
      <c r="A19" s="3" t="s">
        <v>41</v>
      </c>
      <c r="B19" t="s">
        <v>42</v>
      </c>
      <c r="C19" t="s">
        <v>0</v>
      </c>
      <c r="D19">
        <f>VLOOKUP(A19,[1]Грузы!B:F,5,0)</f>
        <v>2</v>
      </c>
    </row>
    <row r="20" spans="1:4">
      <c r="A20" s="3" t="s">
        <v>43</v>
      </c>
      <c r="B20" t="s">
        <v>44</v>
      </c>
      <c r="C20" t="s">
        <v>0</v>
      </c>
      <c r="D20">
        <f>VLOOKUP(A20,[1]Грузы!B:F,5,0)</f>
        <v>2</v>
      </c>
    </row>
    <row r="21" spans="1:4">
      <c r="A21" s="3" t="s">
        <v>45</v>
      </c>
      <c r="B21" t="s">
        <v>46</v>
      </c>
      <c r="C21" t="s">
        <v>0</v>
      </c>
      <c r="D21">
        <f>VLOOKUP(A21,[1]Грузы!B:F,5,0)</f>
        <v>2</v>
      </c>
    </row>
    <row r="22" spans="1:4">
      <c r="A22" s="3" t="s">
        <v>47</v>
      </c>
      <c r="B22" t="s">
        <v>48</v>
      </c>
      <c r="C22" t="s">
        <v>0</v>
      </c>
      <c r="D22">
        <f>VLOOKUP(A22,[1]Грузы!B:F,5,0)</f>
        <v>2</v>
      </c>
    </row>
    <row r="23" spans="1:4">
      <c r="A23" s="3" t="s">
        <v>49</v>
      </c>
      <c r="B23" t="s">
        <v>50</v>
      </c>
      <c r="C23" t="s">
        <v>0</v>
      </c>
      <c r="D23">
        <f>VLOOKUP(A23,[1]Грузы!B:F,5,0)</f>
        <v>2</v>
      </c>
    </row>
    <row r="24" spans="1:4">
      <c r="A24" s="3" t="s">
        <v>51</v>
      </c>
      <c r="B24" t="s">
        <v>52</v>
      </c>
      <c r="C24" t="s">
        <v>0</v>
      </c>
      <c r="D24">
        <f>VLOOKUP(A24,[1]Грузы!B:F,5,0)</f>
        <v>2</v>
      </c>
    </row>
    <row r="25" spans="1:4">
      <c r="A25" s="3" t="s">
        <v>53</v>
      </c>
      <c r="B25" t="s">
        <v>54</v>
      </c>
      <c r="C25" t="s">
        <v>0</v>
      </c>
      <c r="D25">
        <f>VLOOKUP(A25,[1]Грузы!B:F,5,0)</f>
        <v>2</v>
      </c>
    </row>
    <row r="26" spans="1:4">
      <c r="A26" s="3" t="s">
        <v>55</v>
      </c>
      <c r="B26" t="s">
        <v>56</v>
      </c>
      <c r="C26" t="s">
        <v>0</v>
      </c>
      <c r="D26">
        <f>VLOOKUP(A26,[1]Грузы!B:F,5,0)</f>
        <v>2</v>
      </c>
    </row>
    <row r="27" spans="1:4">
      <c r="A27" s="3" t="s">
        <v>57</v>
      </c>
      <c r="B27" t="s">
        <v>58</v>
      </c>
      <c r="C27" t="s">
        <v>0</v>
      </c>
      <c r="D27">
        <f>VLOOKUP(A27,[1]Грузы!B:F,5,0)</f>
        <v>3</v>
      </c>
    </row>
    <row r="28" spans="1:4">
      <c r="A28" s="3" t="s">
        <v>59</v>
      </c>
      <c r="B28" t="s">
        <v>60</v>
      </c>
      <c r="C28" t="s">
        <v>0</v>
      </c>
      <c r="D28">
        <f>VLOOKUP(A28,[1]Грузы!B:F,5,0)</f>
        <v>2</v>
      </c>
    </row>
    <row r="29" spans="1:4">
      <c r="A29" s="3" t="s">
        <v>61</v>
      </c>
      <c r="B29" t="s">
        <v>62</v>
      </c>
      <c r="C29" t="s">
        <v>0</v>
      </c>
      <c r="D29">
        <f>VLOOKUP(A29,[1]Грузы!B:F,5,0)</f>
        <v>2</v>
      </c>
    </row>
    <row r="30" spans="1:4">
      <c r="A30" s="3" t="s">
        <v>63</v>
      </c>
      <c r="B30" t="s">
        <v>64</v>
      </c>
      <c r="C30" t="s">
        <v>0</v>
      </c>
      <c r="D30">
        <f>VLOOKUP(A30,[1]Грузы!B:F,5,0)</f>
        <v>2</v>
      </c>
    </row>
    <row r="31" spans="1:4">
      <c r="A31" s="3" t="s">
        <v>65</v>
      </c>
      <c r="B31" t="s">
        <v>66</v>
      </c>
      <c r="C31" t="s">
        <v>0</v>
      </c>
      <c r="D31">
        <f>VLOOKUP(A31,[1]Грузы!B:F,5,0)</f>
        <v>3</v>
      </c>
    </row>
    <row r="32" spans="1:4">
      <c r="A32" s="3" t="s">
        <v>67</v>
      </c>
      <c r="B32" t="s">
        <v>68</v>
      </c>
      <c r="C32" t="s">
        <v>0</v>
      </c>
      <c r="D32">
        <f>VLOOKUP(A32,[1]Грузы!B:F,5,0)</f>
        <v>3</v>
      </c>
    </row>
    <row r="33" spans="1:4">
      <c r="A33" s="3" t="s">
        <v>69</v>
      </c>
      <c r="B33" t="s">
        <v>70</v>
      </c>
      <c r="C33" t="s">
        <v>0</v>
      </c>
      <c r="D33">
        <f>VLOOKUP(A33,[1]Грузы!B:F,5,0)</f>
        <v>2</v>
      </c>
    </row>
    <row r="34" spans="1:4">
      <c r="A34" s="3" t="s">
        <v>71</v>
      </c>
      <c r="B34" t="s">
        <v>72</v>
      </c>
      <c r="C34" t="s">
        <v>73</v>
      </c>
      <c r="D34">
        <f>VLOOKUP(A34,[1]Грузы!B:F,5,0)</f>
        <v>1</v>
      </c>
    </row>
    <row r="35" spans="1:4">
      <c r="A35" s="3" t="s">
        <v>74</v>
      </c>
      <c r="B35" t="s">
        <v>75</v>
      </c>
      <c r="C35" t="s">
        <v>73</v>
      </c>
      <c r="D35">
        <f>VLOOKUP(A35,[1]Грузы!B:F,5,0)</f>
        <v>1</v>
      </c>
    </row>
    <row r="36" spans="1:4">
      <c r="A36" s="3" t="s">
        <v>76</v>
      </c>
      <c r="B36" t="s">
        <v>77</v>
      </c>
      <c r="C36" t="s">
        <v>73</v>
      </c>
      <c r="D36">
        <f>VLOOKUP(A36,[1]Грузы!B:F,5,0)</f>
        <v>1</v>
      </c>
    </row>
    <row r="37" spans="1:4">
      <c r="A37" s="3" t="s">
        <v>78</v>
      </c>
      <c r="B37" t="s">
        <v>79</v>
      </c>
      <c r="C37" t="s">
        <v>73</v>
      </c>
      <c r="D37">
        <f>VLOOKUP(A37,[1]Грузы!B:F,5,0)</f>
        <v>3</v>
      </c>
    </row>
    <row r="38" spans="1:4">
      <c r="A38" s="3" t="s">
        <v>80</v>
      </c>
      <c r="B38" t="s">
        <v>81</v>
      </c>
      <c r="C38" t="s">
        <v>73</v>
      </c>
      <c r="D38">
        <f>VLOOKUP(A38,[1]Грузы!B:F,5,0)</f>
        <v>3</v>
      </c>
    </row>
    <row r="39" spans="1:4">
      <c r="A39" s="3" t="s">
        <v>82</v>
      </c>
      <c r="B39" t="s">
        <v>83</v>
      </c>
      <c r="C39" t="s">
        <v>73</v>
      </c>
      <c r="D39">
        <f>VLOOKUP(A39,[1]Грузы!B:F,5,0)</f>
        <v>3</v>
      </c>
    </row>
    <row r="40" spans="1:4">
      <c r="A40" s="3" t="s">
        <v>84</v>
      </c>
      <c r="B40" t="s">
        <v>85</v>
      </c>
      <c r="C40" t="s">
        <v>73</v>
      </c>
      <c r="D40">
        <f>VLOOKUP(A40,[1]Грузы!B:F,5,0)</f>
        <v>1</v>
      </c>
    </row>
    <row r="41" spans="1:4">
      <c r="A41" s="3" t="s">
        <v>86</v>
      </c>
      <c r="B41" t="s">
        <v>87</v>
      </c>
      <c r="C41" t="s">
        <v>73</v>
      </c>
      <c r="D41">
        <f>VLOOKUP(A41,[1]Грузы!B:F,5,0)</f>
        <v>1</v>
      </c>
    </row>
    <row r="42" spans="1:4">
      <c r="A42" s="3" t="s">
        <v>88</v>
      </c>
      <c r="B42" t="s">
        <v>89</v>
      </c>
      <c r="C42" t="s">
        <v>73</v>
      </c>
      <c r="D42">
        <f>VLOOKUP(A42,[1]Грузы!B:F,5,0)</f>
        <v>1</v>
      </c>
    </row>
    <row r="43" spans="1:4">
      <c r="A43" s="3" t="s">
        <v>90</v>
      </c>
      <c r="B43" t="s">
        <v>91</v>
      </c>
      <c r="C43" t="s">
        <v>0</v>
      </c>
      <c r="D43">
        <f>VLOOKUP(A43,[1]Грузы!B:F,5,0)</f>
        <v>2</v>
      </c>
    </row>
    <row r="44" spans="1:4">
      <c r="A44" s="3" t="s">
        <v>92</v>
      </c>
      <c r="B44" t="s">
        <v>93</v>
      </c>
      <c r="C44" t="s">
        <v>0</v>
      </c>
      <c r="D44">
        <f>VLOOKUP(A44,[1]Грузы!B:F,5,0)</f>
        <v>2</v>
      </c>
    </row>
    <row r="45" spans="1:4">
      <c r="A45" s="3" t="s">
        <v>94</v>
      </c>
      <c r="B45" t="s">
        <v>95</v>
      </c>
      <c r="C45" t="s">
        <v>73</v>
      </c>
      <c r="D45">
        <f>VLOOKUP(A45,[1]Грузы!B:F,5,0)</f>
        <v>3</v>
      </c>
    </row>
    <row r="46" spans="1:4">
      <c r="A46" s="3" t="s">
        <v>96</v>
      </c>
      <c r="B46" t="s">
        <v>97</v>
      </c>
      <c r="C46" t="s">
        <v>73</v>
      </c>
      <c r="D46">
        <f>VLOOKUP(A46,[1]Грузы!B:F,5,0)</f>
        <v>3</v>
      </c>
    </row>
    <row r="47" spans="1:4">
      <c r="A47" s="3" t="s">
        <v>98</v>
      </c>
      <c r="B47" t="s">
        <v>99</v>
      </c>
      <c r="C47" t="s">
        <v>0</v>
      </c>
      <c r="D47">
        <f>VLOOKUP(A47,[1]Грузы!B:F,5,0)</f>
        <v>3</v>
      </c>
    </row>
    <row r="48" spans="1:4">
      <c r="A48" s="3" t="s">
        <v>100</v>
      </c>
      <c r="B48" t="s">
        <v>101</v>
      </c>
      <c r="C48" t="s">
        <v>0</v>
      </c>
      <c r="D48">
        <f>VLOOKUP(A48,[1]Грузы!B:F,5,0)</f>
        <v>3</v>
      </c>
    </row>
    <row r="49" spans="1:4">
      <c r="A49" s="3" t="s">
        <v>102</v>
      </c>
      <c r="B49" t="s">
        <v>103</v>
      </c>
      <c r="C49" t="s">
        <v>0</v>
      </c>
      <c r="D49">
        <f>VLOOKUP(A49,[1]Грузы!B:F,5,0)</f>
        <v>3</v>
      </c>
    </row>
    <row r="50" spans="1:4">
      <c r="A50" s="3" t="s">
        <v>104</v>
      </c>
      <c r="B50" t="s">
        <v>105</v>
      </c>
      <c r="C50" t="s">
        <v>0</v>
      </c>
      <c r="D50">
        <f>VLOOKUP(A50,[1]Грузы!B:F,5,0)</f>
        <v>2</v>
      </c>
    </row>
    <row r="51" spans="1:4">
      <c r="A51" s="3" t="s">
        <v>106</v>
      </c>
      <c r="B51" t="s">
        <v>107</v>
      </c>
      <c r="C51" t="s">
        <v>0</v>
      </c>
      <c r="D51">
        <f>VLOOKUP(A51,[1]Грузы!B:F,5,0)</f>
        <v>3</v>
      </c>
    </row>
    <row r="52" spans="1:4">
      <c r="A52" s="3" t="s">
        <v>108</v>
      </c>
      <c r="B52" t="s">
        <v>109</v>
      </c>
      <c r="C52" t="s">
        <v>0</v>
      </c>
      <c r="D52">
        <f>VLOOKUP(A52,[1]Грузы!B:F,5,0)</f>
        <v>3</v>
      </c>
    </row>
    <row r="53" spans="1:4">
      <c r="A53" s="3" t="s">
        <v>110</v>
      </c>
      <c r="B53" t="s">
        <v>111</v>
      </c>
      <c r="C53" t="s">
        <v>0</v>
      </c>
      <c r="D53">
        <f>VLOOKUP(A53,[1]Грузы!B:F,5,0)</f>
        <v>3</v>
      </c>
    </row>
    <row r="54" spans="1:4">
      <c r="A54" s="3" t="s">
        <v>112</v>
      </c>
      <c r="B54" t="s">
        <v>113</v>
      </c>
      <c r="C54" t="s">
        <v>0</v>
      </c>
      <c r="D54">
        <f>VLOOKUP(A54,[1]Грузы!B:F,5,0)</f>
        <v>3</v>
      </c>
    </row>
    <row r="55" spans="1:4">
      <c r="A55" s="3" t="s">
        <v>114</v>
      </c>
      <c r="B55" t="s">
        <v>115</v>
      </c>
      <c r="C55" t="s">
        <v>116</v>
      </c>
      <c r="D55">
        <f>VLOOKUP(A55,[1]Грузы!B:F,5,0)</f>
        <v>1</v>
      </c>
    </row>
    <row r="56" spans="1:4">
      <c r="A56" s="3" t="s">
        <v>117</v>
      </c>
      <c r="B56" t="s">
        <v>118</v>
      </c>
      <c r="C56" t="s">
        <v>116</v>
      </c>
      <c r="D56">
        <f>VLOOKUP(A56,[1]Грузы!B:F,5,0)</f>
        <v>1</v>
      </c>
    </row>
    <row r="57" spans="1:4">
      <c r="A57" s="3" t="s">
        <v>119</v>
      </c>
      <c r="B57" t="s">
        <v>120</v>
      </c>
      <c r="C57" t="s">
        <v>116</v>
      </c>
      <c r="D57">
        <f>VLOOKUP(A57,[1]Грузы!B:F,5,0)</f>
        <v>1</v>
      </c>
    </row>
    <row r="58" spans="1:4">
      <c r="A58" s="3" t="s">
        <v>121</v>
      </c>
      <c r="B58" t="s">
        <v>122</v>
      </c>
      <c r="C58" t="s">
        <v>116</v>
      </c>
      <c r="D58">
        <f>VLOOKUP(A58,[1]Грузы!B:F,5,0)</f>
        <v>1</v>
      </c>
    </row>
    <row r="59" spans="1:4">
      <c r="A59" s="3" t="s">
        <v>123</v>
      </c>
      <c r="B59" t="s">
        <v>124</v>
      </c>
      <c r="C59" t="s">
        <v>116</v>
      </c>
      <c r="D59">
        <f>VLOOKUP(A59,[1]Грузы!B:F,5,0)</f>
        <v>1</v>
      </c>
    </row>
    <row r="60" spans="1:4">
      <c r="A60" s="3" t="s">
        <v>125</v>
      </c>
      <c r="B60" t="s">
        <v>126</v>
      </c>
      <c r="C60" t="s">
        <v>127</v>
      </c>
      <c r="D60">
        <f>VLOOKUP(A60,[1]Грузы!B:F,5,0)</f>
        <v>1</v>
      </c>
    </row>
    <row r="61" spans="1:4">
      <c r="A61" s="3" t="s">
        <v>128</v>
      </c>
      <c r="B61" t="s">
        <v>129</v>
      </c>
      <c r="C61" t="s">
        <v>130</v>
      </c>
      <c r="D61">
        <f>VLOOKUP(A61,[1]Грузы!B:F,5,0)</f>
        <v>1</v>
      </c>
    </row>
    <row r="62" spans="1:4">
      <c r="A62" s="3" t="s">
        <v>131</v>
      </c>
      <c r="B62" t="s">
        <v>132</v>
      </c>
      <c r="C62" t="s">
        <v>0</v>
      </c>
      <c r="D62">
        <f>VLOOKUP(A62,[1]Грузы!B:F,5,0)</f>
        <v>1</v>
      </c>
    </row>
    <row r="63" spans="1:4">
      <c r="A63" s="3" t="s">
        <v>133</v>
      </c>
      <c r="B63" t="s">
        <v>134</v>
      </c>
      <c r="C63" t="s">
        <v>0</v>
      </c>
      <c r="D63">
        <f>VLOOKUP(A63,[1]Грузы!B:F,5,0)</f>
        <v>1</v>
      </c>
    </row>
    <row r="64" spans="1:4">
      <c r="A64" s="3" t="s">
        <v>135</v>
      </c>
      <c r="B64" t="s">
        <v>136</v>
      </c>
      <c r="C64" t="s">
        <v>0</v>
      </c>
      <c r="D64">
        <f>VLOOKUP(A64,[1]Грузы!B:F,5,0)</f>
        <v>1</v>
      </c>
    </row>
    <row r="65" spans="1:4">
      <c r="A65" s="3" t="s">
        <v>137</v>
      </c>
      <c r="B65" t="s">
        <v>138</v>
      </c>
      <c r="C65" t="s">
        <v>139</v>
      </c>
      <c r="D65">
        <f>VLOOKUP(A65,[1]Грузы!B:F,5,0)</f>
        <v>2</v>
      </c>
    </row>
    <row r="66" spans="1:4">
      <c r="A66" s="3" t="s">
        <v>140</v>
      </c>
      <c r="B66" t="s">
        <v>141</v>
      </c>
      <c r="C66" t="s">
        <v>139</v>
      </c>
      <c r="D66">
        <f>VLOOKUP(A66,[1]Грузы!B:F,5,0)</f>
        <v>2</v>
      </c>
    </row>
    <row r="67" spans="1:4">
      <c r="A67" s="3" t="s">
        <v>142</v>
      </c>
      <c r="B67" t="s">
        <v>143</v>
      </c>
      <c r="C67" t="s">
        <v>139</v>
      </c>
      <c r="D67">
        <f>VLOOKUP(A67,[1]Грузы!B:F,5,0)</f>
        <v>2</v>
      </c>
    </row>
    <row r="68" spans="1:4">
      <c r="A68" s="3" t="s">
        <v>144</v>
      </c>
      <c r="B68" t="s">
        <v>145</v>
      </c>
      <c r="C68" t="s">
        <v>139</v>
      </c>
      <c r="D68">
        <f>VLOOKUP(A68,[1]Грузы!B:F,5,0)</f>
        <v>2</v>
      </c>
    </row>
    <row r="69" spans="1:4">
      <c r="A69" s="3" t="s">
        <v>146</v>
      </c>
      <c r="B69" t="s">
        <v>147</v>
      </c>
      <c r="C69" t="s">
        <v>139</v>
      </c>
      <c r="D69">
        <f>VLOOKUP(A69,[1]Грузы!B:F,5,0)</f>
        <v>2</v>
      </c>
    </row>
    <row r="70" spans="1:4">
      <c r="A70" s="3" t="s">
        <v>148</v>
      </c>
      <c r="B70" t="s">
        <v>149</v>
      </c>
      <c r="C70" t="s">
        <v>139</v>
      </c>
      <c r="D70">
        <f>VLOOKUP(A70,[1]Грузы!B:F,5,0)</f>
        <v>2</v>
      </c>
    </row>
    <row r="71" spans="1:4">
      <c r="A71" s="3" t="s">
        <v>150</v>
      </c>
      <c r="B71" t="s">
        <v>151</v>
      </c>
      <c r="C71" t="s">
        <v>139</v>
      </c>
      <c r="D71">
        <f>VLOOKUP(A71,[1]Грузы!B:F,5,0)</f>
        <v>2</v>
      </c>
    </row>
    <row r="72" spans="1:4">
      <c r="A72" s="3" t="s">
        <v>152</v>
      </c>
      <c r="B72" t="s">
        <v>153</v>
      </c>
      <c r="C72" t="s">
        <v>139</v>
      </c>
      <c r="D72">
        <f>VLOOKUP(A72,[1]Грузы!B:F,5,0)</f>
        <v>2</v>
      </c>
    </row>
    <row r="73" spans="1:4">
      <c r="A73" s="3" t="s">
        <v>154</v>
      </c>
      <c r="B73" t="s">
        <v>155</v>
      </c>
      <c r="C73" t="s">
        <v>139</v>
      </c>
      <c r="D73">
        <f>VLOOKUP(A73,[1]Грузы!B:F,5,0)</f>
        <v>2</v>
      </c>
    </row>
    <row r="74" spans="1:4">
      <c r="A74" s="3" t="s">
        <v>156</v>
      </c>
      <c r="B74" t="s">
        <v>157</v>
      </c>
      <c r="C74" t="s">
        <v>139</v>
      </c>
      <c r="D74">
        <f>VLOOKUP(A74,[1]Грузы!B:F,5,0)</f>
        <v>2</v>
      </c>
    </row>
    <row r="75" spans="1:4">
      <c r="A75" s="3" t="s">
        <v>158</v>
      </c>
      <c r="B75" t="s">
        <v>159</v>
      </c>
      <c r="C75" t="s">
        <v>139</v>
      </c>
      <c r="D75">
        <f>VLOOKUP(A75,[1]Грузы!B:F,5,0)</f>
        <v>2</v>
      </c>
    </row>
    <row r="76" spans="1:4">
      <c r="A76" s="3" t="s">
        <v>160</v>
      </c>
      <c r="B76" t="s">
        <v>161</v>
      </c>
      <c r="C76" t="s">
        <v>139</v>
      </c>
      <c r="D76">
        <f>VLOOKUP(A76,[1]Грузы!B:F,5,0)</f>
        <v>1</v>
      </c>
    </row>
    <row r="77" spans="1:4">
      <c r="A77" s="3" t="s">
        <v>162</v>
      </c>
      <c r="B77" t="s">
        <v>163</v>
      </c>
      <c r="C77" t="s">
        <v>164</v>
      </c>
      <c r="D77" s="4">
        <f>VLOOKUP(A77,[1]Грузы!B:F,5,0)</f>
        <v>1</v>
      </c>
    </row>
    <row r="78" spans="1:4">
      <c r="A78" s="3" t="s">
        <v>165</v>
      </c>
      <c r="B78" t="s">
        <v>166</v>
      </c>
      <c r="C78" t="s">
        <v>164</v>
      </c>
      <c r="D78" s="4">
        <f>VLOOKUP(A78,[1]Грузы!B:F,5,0)</f>
        <v>1</v>
      </c>
    </row>
    <row r="79" spans="1:4">
      <c r="A79" s="3" t="s">
        <v>167</v>
      </c>
      <c r="B79" t="s">
        <v>168</v>
      </c>
      <c r="C79" t="s">
        <v>164</v>
      </c>
      <c r="D79" s="4">
        <f>VLOOKUP(A79,[1]Грузы!B:F,5,0)</f>
        <v>1</v>
      </c>
    </row>
    <row r="80" spans="1:4">
      <c r="A80" s="3" t="s">
        <v>169</v>
      </c>
      <c r="B80" t="s">
        <v>170</v>
      </c>
      <c r="C80" t="s">
        <v>164</v>
      </c>
      <c r="D80" s="4">
        <f>VLOOKUP(A80,[1]Грузы!B:F,5,0)</f>
        <v>1</v>
      </c>
    </row>
    <row r="81" spans="1:4">
      <c r="A81" s="3" t="s">
        <v>171</v>
      </c>
      <c r="B81" t="s">
        <v>172</v>
      </c>
      <c r="C81" t="s">
        <v>164</v>
      </c>
      <c r="D81" s="4">
        <f>VLOOKUP(A81,[1]Грузы!B:F,5,0)</f>
        <v>1</v>
      </c>
    </row>
    <row r="82" spans="1:4">
      <c r="A82" s="3" t="s">
        <v>173</v>
      </c>
      <c r="B82" t="s">
        <v>174</v>
      </c>
      <c r="C82" t="s">
        <v>164</v>
      </c>
      <c r="D82" s="4">
        <f>VLOOKUP(A82,[1]Грузы!B:F,5,0)</f>
        <v>1</v>
      </c>
    </row>
    <row r="83" spans="1:4">
      <c r="A83" s="3" t="s">
        <v>175</v>
      </c>
      <c r="B83" t="s">
        <v>176</v>
      </c>
      <c r="C83" t="s">
        <v>164</v>
      </c>
      <c r="D83" s="4">
        <f>VLOOKUP(A83,[1]Грузы!B:F,5,0)</f>
        <v>1</v>
      </c>
    </row>
    <row r="84" spans="1:4">
      <c r="A84" s="3" t="s">
        <v>177</v>
      </c>
      <c r="B84" t="s">
        <v>178</v>
      </c>
      <c r="C84" t="s">
        <v>164</v>
      </c>
      <c r="D84" s="4">
        <f>VLOOKUP(A84,[1]Грузы!B:F,5,0)</f>
        <v>1</v>
      </c>
    </row>
    <row r="85" spans="1:4">
      <c r="A85" s="3" t="s">
        <v>179</v>
      </c>
      <c r="B85" t="s">
        <v>180</v>
      </c>
      <c r="C85" t="s">
        <v>164</v>
      </c>
      <c r="D85" s="4">
        <f>VLOOKUP(A85,[1]Грузы!B:F,5,0)</f>
        <v>2</v>
      </c>
    </row>
    <row r="86" spans="1:4">
      <c r="A86" s="3" t="s">
        <v>181</v>
      </c>
      <c r="B86" t="s">
        <v>182</v>
      </c>
      <c r="C86" t="s">
        <v>164</v>
      </c>
      <c r="D86" s="4">
        <f>VLOOKUP(A86,[1]Грузы!B:F,5,0)</f>
        <v>2</v>
      </c>
    </row>
    <row r="87" spans="1:4">
      <c r="A87" s="3" t="s">
        <v>183</v>
      </c>
      <c r="B87" t="s">
        <v>184</v>
      </c>
      <c r="C87" t="s">
        <v>164</v>
      </c>
      <c r="D87" s="4">
        <f>VLOOKUP(A87,[1]Грузы!B:F,5,0)</f>
        <v>1</v>
      </c>
    </row>
    <row r="88" spans="1:4">
      <c r="A88" s="3" t="s">
        <v>185</v>
      </c>
      <c r="B88" t="s">
        <v>186</v>
      </c>
      <c r="C88" t="s">
        <v>164</v>
      </c>
      <c r="D88" s="4">
        <f>VLOOKUP(A88,[1]Грузы!B:F,5,0)</f>
        <v>1</v>
      </c>
    </row>
    <row r="89" spans="1:4">
      <c r="A89" s="3" t="s">
        <v>187</v>
      </c>
      <c r="B89" t="s">
        <v>188</v>
      </c>
      <c r="C89" t="s">
        <v>164</v>
      </c>
      <c r="D89" s="4">
        <f>VLOOKUP(A89,[1]Грузы!B:F,5,0)</f>
        <v>2</v>
      </c>
    </row>
    <row r="90" spans="1:4">
      <c r="A90" s="3" t="s">
        <v>189</v>
      </c>
      <c r="B90" t="s">
        <v>190</v>
      </c>
      <c r="C90" t="s">
        <v>164</v>
      </c>
      <c r="D90" s="4">
        <f>VLOOKUP(A90,[1]Грузы!B:F,5,0)</f>
        <v>3</v>
      </c>
    </row>
    <row r="91" spans="1:4">
      <c r="A91" s="3" t="s">
        <v>191</v>
      </c>
      <c r="B91" t="s">
        <v>192</v>
      </c>
      <c r="C91" t="s">
        <v>164</v>
      </c>
      <c r="D91" s="4">
        <f>VLOOKUP(A91,[1]Грузы!B:F,5,0)</f>
        <v>1</v>
      </c>
    </row>
    <row r="92" spans="1:4">
      <c r="A92" s="3" t="s">
        <v>193</v>
      </c>
      <c r="B92" t="s">
        <v>194</v>
      </c>
      <c r="C92" t="s">
        <v>164</v>
      </c>
      <c r="D92" s="4">
        <f>VLOOKUP(A92,[1]Грузы!B:F,5,0)</f>
        <v>2</v>
      </c>
    </row>
    <row r="93" spans="1:4">
      <c r="A93" s="3" t="s">
        <v>195</v>
      </c>
      <c r="B93" t="s">
        <v>196</v>
      </c>
      <c r="C93" t="s">
        <v>164</v>
      </c>
      <c r="D93" s="4">
        <f>VLOOKUP(A93,[1]Грузы!B:F,5,0)</f>
        <v>3</v>
      </c>
    </row>
    <row r="94" spans="1:4">
      <c r="A94" s="3" t="s">
        <v>197</v>
      </c>
      <c r="B94" t="s">
        <v>198</v>
      </c>
      <c r="C94" t="s">
        <v>0</v>
      </c>
      <c r="D94">
        <f>VLOOKUP(A94,[1]Грузы!B:F,5,0)</f>
        <v>3</v>
      </c>
    </row>
    <row r="95" spans="1:4">
      <c r="A95" s="3" t="s">
        <v>199</v>
      </c>
      <c r="B95" t="s">
        <v>200</v>
      </c>
      <c r="C95" t="s">
        <v>164</v>
      </c>
      <c r="D95" s="4">
        <f>VLOOKUP(A95,[1]Грузы!B:F,5,0)</f>
        <v>3</v>
      </c>
    </row>
    <row r="96" spans="1:4">
      <c r="A96" s="3" t="s">
        <v>201</v>
      </c>
      <c r="B96" t="s">
        <v>202</v>
      </c>
      <c r="C96" t="s">
        <v>164</v>
      </c>
      <c r="D96" s="4">
        <f>VLOOKUP(A96,[1]Грузы!B:F,5,0)</f>
        <v>3</v>
      </c>
    </row>
    <row r="97" spans="1:4">
      <c r="A97" s="3" t="s">
        <v>203</v>
      </c>
      <c r="B97" t="s">
        <v>204</v>
      </c>
      <c r="C97" t="s">
        <v>164</v>
      </c>
      <c r="D97" s="4">
        <f>VLOOKUP(A97,[1]Грузы!B:F,5,0)</f>
        <v>3</v>
      </c>
    </row>
    <row r="98" spans="1:4">
      <c r="A98" s="3" t="s">
        <v>205</v>
      </c>
      <c r="B98" t="s">
        <v>206</v>
      </c>
      <c r="C98" t="s">
        <v>164</v>
      </c>
      <c r="D98" s="4">
        <f>VLOOKUP(A98,[1]Грузы!B:F,5,0)</f>
        <v>1</v>
      </c>
    </row>
    <row r="99" spans="1:4">
      <c r="A99" s="3" t="s">
        <v>207</v>
      </c>
      <c r="B99" t="s">
        <v>208</v>
      </c>
      <c r="C99" t="s">
        <v>164</v>
      </c>
      <c r="D99" s="4">
        <f>VLOOKUP(A99,[1]Грузы!B:F,5,0)</f>
        <v>3</v>
      </c>
    </row>
    <row r="100" spans="1:4">
      <c r="A100" s="3" t="s">
        <v>209</v>
      </c>
      <c r="B100" t="s">
        <v>210</v>
      </c>
      <c r="C100" t="s">
        <v>164</v>
      </c>
      <c r="D100" s="4">
        <f>VLOOKUP(A100,[1]Грузы!B:F,5,0)</f>
        <v>3</v>
      </c>
    </row>
    <row r="101" spans="1:4">
      <c r="A101" s="3" t="s">
        <v>211</v>
      </c>
      <c r="B101" t="s">
        <v>212</v>
      </c>
      <c r="C101" t="s">
        <v>0</v>
      </c>
      <c r="D101">
        <f>VLOOKUP(A101,[1]Грузы!B:F,5,0)</f>
        <v>3</v>
      </c>
    </row>
    <row r="102" spans="1:4">
      <c r="A102" s="3" t="s">
        <v>213</v>
      </c>
      <c r="B102" t="s">
        <v>214</v>
      </c>
      <c r="C102" t="s">
        <v>0</v>
      </c>
      <c r="D102">
        <f>VLOOKUP(A102,[1]Грузы!B:F,5,0)</f>
        <v>3</v>
      </c>
    </row>
    <row r="103" spans="1:4">
      <c r="A103" s="3" t="s">
        <v>215</v>
      </c>
      <c r="B103" t="s">
        <v>216</v>
      </c>
      <c r="C103" t="s">
        <v>164</v>
      </c>
      <c r="D103" s="4">
        <f>VLOOKUP(A103,[1]Грузы!B:F,5,0)</f>
        <v>1</v>
      </c>
    </row>
    <row r="104" spans="1:4">
      <c r="A104" s="3" t="s">
        <v>217</v>
      </c>
      <c r="B104" t="s">
        <v>218</v>
      </c>
      <c r="C104" t="s">
        <v>164</v>
      </c>
      <c r="D104" s="4">
        <f>VLOOKUP(A104,[1]Грузы!B:F,5,0)</f>
        <v>1</v>
      </c>
    </row>
    <row r="105" spans="1:4">
      <c r="A105" s="3" t="s">
        <v>219</v>
      </c>
      <c r="B105" t="s">
        <v>220</v>
      </c>
      <c r="C105" t="s">
        <v>0</v>
      </c>
      <c r="D105">
        <f>VLOOKUP(A105,[1]Грузы!B:F,5,0)</f>
        <v>1</v>
      </c>
    </row>
    <row r="106" spans="1:4">
      <c r="A106" s="3" t="s">
        <v>221</v>
      </c>
      <c r="B106" t="s">
        <v>222</v>
      </c>
      <c r="C106" t="s">
        <v>0</v>
      </c>
      <c r="D106">
        <f>VLOOKUP(A106,[1]Грузы!B:F,5,0)</f>
        <v>1</v>
      </c>
    </row>
    <row r="107" spans="1:4">
      <c r="A107" s="3" t="s">
        <v>223</v>
      </c>
      <c r="B107" t="s">
        <v>224</v>
      </c>
      <c r="C107" t="s">
        <v>164</v>
      </c>
      <c r="D107" s="4">
        <f>VLOOKUP(A107,[1]Грузы!B:F,5,0)</f>
        <v>1</v>
      </c>
    </row>
    <row r="108" spans="1:4">
      <c r="A108" s="3" t="s">
        <v>225</v>
      </c>
      <c r="B108" t="s">
        <v>226</v>
      </c>
      <c r="C108" t="s">
        <v>164</v>
      </c>
      <c r="D108" s="4">
        <f>VLOOKUP(A108,[1]Грузы!B:F,5,0)</f>
        <v>2</v>
      </c>
    </row>
    <row r="109" spans="1:4">
      <c r="A109" s="3" t="s">
        <v>227</v>
      </c>
      <c r="B109" t="s">
        <v>228</v>
      </c>
      <c r="C109" t="s">
        <v>164</v>
      </c>
      <c r="D109" s="4">
        <f>VLOOKUP(A109,[1]Грузы!B:F,5,0)</f>
        <v>2</v>
      </c>
    </row>
    <row r="110" spans="1:4">
      <c r="A110" s="3" t="s">
        <v>229</v>
      </c>
      <c r="B110" t="s">
        <v>230</v>
      </c>
      <c r="C110" t="s">
        <v>164</v>
      </c>
      <c r="D110" s="4">
        <f>VLOOKUP(A110,[1]Грузы!B:F,5,0)</f>
        <v>1</v>
      </c>
    </row>
    <row r="111" spans="1:4">
      <c r="A111" s="3" t="s">
        <v>231</v>
      </c>
      <c r="B111" t="s">
        <v>232</v>
      </c>
      <c r="C111" t="s">
        <v>233</v>
      </c>
      <c r="D111">
        <f>VLOOKUP(A111,[1]Грузы!B:F,5,0)</f>
        <v>2</v>
      </c>
    </row>
    <row r="112" spans="1:4">
      <c r="A112" s="3" t="s">
        <v>234</v>
      </c>
      <c r="B112" t="s">
        <v>235</v>
      </c>
      <c r="C112" t="s">
        <v>233</v>
      </c>
      <c r="D112">
        <f>VLOOKUP(A112,[1]Грузы!B:F,5,0)</f>
        <v>3</v>
      </c>
    </row>
    <row r="113" spans="1:4">
      <c r="A113" s="3" t="s">
        <v>236</v>
      </c>
      <c r="B113" t="s">
        <v>237</v>
      </c>
      <c r="C113" t="s">
        <v>233</v>
      </c>
      <c r="D113">
        <f>VLOOKUP(A113,[1]Грузы!B:F,5,0)</f>
        <v>3</v>
      </c>
    </row>
    <row r="114" spans="1:4">
      <c r="A114" s="3" t="s">
        <v>238</v>
      </c>
      <c r="B114" t="s">
        <v>239</v>
      </c>
      <c r="C114" t="s">
        <v>233</v>
      </c>
      <c r="D114">
        <f>VLOOKUP(A114,[1]Грузы!B:F,5,0)</f>
        <v>3</v>
      </c>
    </row>
    <row r="115" spans="1:4">
      <c r="A115" s="3" t="s">
        <v>240</v>
      </c>
      <c r="B115" t="s">
        <v>241</v>
      </c>
      <c r="C115" t="s">
        <v>233</v>
      </c>
      <c r="D115">
        <f>VLOOKUP(A115,[1]Грузы!B:F,5,0)</f>
        <v>3</v>
      </c>
    </row>
    <row r="116" spans="1:4">
      <c r="A116" s="3" t="s">
        <v>242</v>
      </c>
      <c r="B116" t="s">
        <v>243</v>
      </c>
      <c r="C116" t="s">
        <v>0</v>
      </c>
      <c r="D116">
        <f>VLOOKUP(A116,[1]Грузы!B:F,5,0)</f>
        <v>3</v>
      </c>
    </row>
    <row r="117" spans="1:4">
      <c r="A117" s="3" t="s">
        <v>244</v>
      </c>
      <c r="B117" t="s">
        <v>245</v>
      </c>
      <c r="C117" t="s">
        <v>233</v>
      </c>
      <c r="D117">
        <f>VLOOKUP(A117,[1]Грузы!B:F,5,0)</f>
        <v>3</v>
      </c>
    </row>
    <row r="118" spans="1:4">
      <c r="A118" s="3" t="s">
        <v>246</v>
      </c>
      <c r="B118" t="s">
        <v>247</v>
      </c>
      <c r="C118" t="s">
        <v>233</v>
      </c>
      <c r="D118">
        <f>VLOOKUP(A118,[1]Грузы!B:F,5,0)</f>
        <v>3</v>
      </c>
    </row>
    <row r="119" spans="1:4">
      <c r="A119" s="3" t="s">
        <v>248</v>
      </c>
      <c r="B119" t="s">
        <v>249</v>
      </c>
      <c r="C119" t="s">
        <v>233</v>
      </c>
      <c r="D119">
        <f>VLOOKUP(A119,[1]Грузы!B:F,5,0)</f>
        <v>3</v>
      </c>
    </row>
    <row r="120" spans="1:4">
      <c r="A120" s="3" t="s">
        <v>250</v>
      </c>
      <c r="B120" t="s">
        <v>251</v>
      </c>
      <c r="C120" t="s">
        <v>233</v>
      </c>
      <c r="D120">
        <f>VLOOKUP(A120,[1]Грузы!B:F,5,0)</f>
        <v>3</v>
      </c>
    </row>
    <row r="121" spans="1:4">
      <c r="A121" s="3" t="s">
        <v>252</v>
      </c>
      <c r="B121" t="s">
        <v>253</v>
      </c>
      <c r="C121" t="s">
        <v>0</v>
      </c>
      <c r="D121">
        <f>VLOOKUP(A121,[1]Грузы!B:F,5,0)</f>
        <v>3</v>
      </c>
    </row>
    <row r="122" spans="1:4">
      <c r="A122" s="3" t="s">
        <v>254</v>
      </c>
      <c r="B122" t="s">
        <v>255</v>
      </c>
      <c r="C122" t="s">
        <v>0</v>
      </c>
      <c r="D122">
        <f>VLOOKUP(A122,[1]Грузы!B:F,5,0)</f>
        <v>3</v>
      </c>
    </row>
    <row r="123" spans="1:4">
      <c r="A123" s="3" t="s">
        <v>256</v>
      </c>
      <c r="B123" t="s">
        <v>257</v>
      </c>
      <c r="C123" t="s">
        <v>0</v>
      </c>
      <c r="D123">
        <f>VLOOKUP(A123,[1]Грузы!B:F,5,0)</f>
        <v>3</v>
      </c>
    </row>
    <row r="124" spans="1:4">
      <c r="A124" s="3" t="s">
        <v>258</v>
      </c>
      <c r="B124" t="s">
        <v>259</v>
      </c>
      <c r="C124" t="s">
        <v>164</v>
      </c>
      <c r="D124" s="4">
        <f>VLOOKUP(A124,[1]Грузы!B:F,5,0)</f>
        <v>1</v>
      </c>
    </row>
    <row r="125" spans="1:4">
      <c r="A125" s="3" t="s">
        <v>260</v>
      </c>
      <c r="B125" t="s">
        <v>261</v>
      </c>
      <c r="C125" t="s">
        <v>0</v>
      </c>
      <c r="D125">
        <f>VLOOKUP(A125,[1]Грузы!B:F,5,0)</f>
        <v>3</v>
      </c>
    </row>
    <row r="126" spans="1:4">
      <c r="A126" s="3" t="s">
        <v>262</v>
      </c>
      <c r="B126" t="s">
        <v>263</v>
      </c>
      <c r="C126" t="s">
        <v>0</v>
      </c>
      <c r="D126">
        <f>VLOOKUP(A126,[1]Грузы!B:F,5,0)</f>
        <v>2</v>
      </c>
    </row>
    <row r="127" spans="1:4">
      <c r="A127" s="3" t="s">
        <v>264</v>
      </c>
      <c r="B127" t="s">
        <v>265</v>
      </c>
      <c r="C127" t="s">
        <v>0</v>
      </c>
      <c r="D127">
        <f>VLOOKUP(A127,[1]Грузы!B:F,5,0)</f>
        <v>2</v>
      </c>
    </row>
    <row r="128" spans="1:4">
      <c r="A128" s="3" t="s">
        <v>266</v>
      </c>
      <c r="B128" t="s">
        <v>267</v>
      </c>
      <c r="C128" t="s">
        <v>0</v>
      </c>
      <c r="D128">
        <f>VLOOKUP(A128,[1]Грузы!B:F,5,0)</f>
        <v>3</v>
      </c>
    </row>
    <row r="129" spans="1:4">
      <c r="A129" s="3" t="s">
        <v>268</v>
      </c>
      <c r="B129" t="s">
        <v>269</v>
      </c>
      <c r="C129" t="s">
        <v>0</v>
      </c>
      <c r="D129">
        <f>VLOOKUP(A129,[1]Грузы!B:F,5,0)</f>
        <v>3</v>
      </c>
    </row>
    <row r="130" spans="1:4">
      <c r="A130" s="3" t="s">
        <v>270</v>
      </c>
      <c r="B130" t="s">
        <v>271</v>
      </c>
      <c r="C130" t="s">
        <v>0</v>
      </c>
      <c r="D130">
        <f>VLOOKUP(A130,[1]Грузы!B:F,5,0)</f>
        <v>3</v>
      </c>
    </row>
    <row r="131" spans="1:4">
      <c r="A131" s="3" t="s">
        <v>272</v>
      </c>
      <c r="B131" t="s">
        <v>273</v>
      </c>
      <c r="C131" t="s">
        <v>0</v>
      </c>
      <c r="D131">
        <f>VLOOKUP(A131,[1]Грузы!B:F,5,0)</f>
        <v>3</v>
      </c>
    </row>
    <row r="132" spans="1:4">
      <c r="A132" s="3" t="s">
        <v>274</v>
      </c>
      <c r="B132" t="s">
        <v>275</v>
      </c>
      <c r="C132" t="s">
        <v>0</v>
      </c>
      <c r="D132">
        <f>VLOOKUP(A132,[1]Грузы!B:F,5,0)</f>
        <v>3</v>
      </c>
    </row>
    <row r="133" spans="1:4">
      <c r="A133" s="3" t="s">
        <v>276</v>
      </c>
      <c r="B133" t="s">
        <v>277</v>
      </c>
      <c r="C133" t="s">
        <v>0</v>
      </c>
      <c r="D133">
        <f>VLOOKUP(A133,[1]Грузы!B:F,5,0)</f>
        <v>3</v>
      </c>
    </row>
    <row r="134" spans="1:4">
      <c r="A134" s="3" t="s">
        <v>278</v>
      </c>
      <c r="B134" t="s">
        <v>279</v>
      </c>
      <c r="C134" t="s">
        <v>0</v>
      </c>
      <c r="D134">
        <f>VLOOKUP(A134,[1]Грузы!B:F,5,0)</f>
        <v>3</v>
      </c>
    </row>
    <row r="135" spans="1:4">
      <c r="A135" s="3" t="s">
        <v>280</v>
      </c>
      <c r="B135" t="s">
        <v>281</v>
      </c>
      <c r="C135" t="s">
        <v>0</v>
      </c>
      <c r="D135">
        <f>VLOOKUP(A135,[1]Грузы!B:F,5,0)</f>
        <v>3</v>
      </c>
    </row>
    <row r="136" spans="1:4">
      <c r="A136" s="3" t="s">
        <v>282</v>
      </c>
      <c r="B136" t="s">
        <v>283</v>
      </c>
      <c r="C136" t="s">
        <v>0</v>
      </c>
      <c r="D136">
        <f>VLOOKUP(A136,[1]Грузы!B:F,5,0)</f>
        <v>3</v>
      </c>
    </row>
    <row r="137" spans="1:4">
      <c r="A137" s="3" t="s">
        <v>284</v>
      </c>
      <c r="B137" t="s">
        <v>285</v>
      </c>
      <c r="C137" t="s">
        <v>0</v>
      </c>
      <c r="D137">
        <f>VLOOKUP(A137,[1]Грузы!B:F,5,0)</f>
        <v>3</v>
      </c>
    </row>
    <row r="138" spans="1:4">
      <c r="A138" s="3" t="s">
        <v>286</v>
      </c>
      <c r="B138" t="s">
        <v>287</v>
      </c>
      <c r="C138" t="s">
        <v>0</v>
      </c>
      <c r="D138">
        <f>VLOOKUP(A138,[1]Грузы!B:F,5,0)</f>
        <v>3</v>
      </c>
    </row>
    <row r="139" spans="1:4">
      <c r="A139" s="3" t="s">
        <v>288</v>
      </c>
      <c r="B139" t="s">
        <v>289</v>
      </c>
      <c r="C139" t="s">
        <v>0</v>
      </c>
      <c r="D139">
        <f>VLOOKUP(A139,[1]Грузы!B:F,5,0)</f>
        <v>3</v>
      </c>
    </row>
    <row r="140" spans="1:4">
      <c r="A140" s="3" t="s">
        <v>290</v>
      </c>
      <c r="B140" t="s">
        <v>291</v>
      </c>
      <c r="C140" t="s">
        <v>0</v>
      </c>
      <c r="D140">
        <f>VLOOKUP(A140,[1]Грузы!B:F,5,0)</f>
        <v>3</v>
      </c>
    </row>
    <row r="141" spans="1:4">
      <c r="A141" s="3" t="s">
        <v>292</v>
      </c>
      <c r="B141" t="s">
        <v>293</v>
      </c>
      <c r="C141" t="s">
        <v>0</v>
      </c>
      <c r="D141">
        <f>VLOOKUP(A141,[1]Грузы!B:F,5,0)</f>
        <v>3</v>
      </c>
    </row>
    <row r="142" spans="1:4">
      <c r="A142" s="3" t="s">
        <v>294</v>
      </c>
      <c r="B142" t="s">
        <v>295</v>
      </c>
      <c r="C142" t="s">
        <v>0</v>
      </c>
      <c r="D142">
        <f>VLOOKUP(A142,[1]Грузы!B:F,5,0)</f>
        <v>3</v>
      </c>
    </row>
    <row r="143" spans="1:4">
      <c r="A143" s="3" t="s">
        <v>296</v>
      </c>
      <c r="B143" t="s">
        <v>297</v>
      </c>
      <c r="C143" t="s">
        <v>0</v>
      </c>
      <c r="D143">
        <f>VLOOKUP(A143,[1]Грузы!B:F,5,0)</f>
        <v>3</v>
      </c>
    </row>
    <row r="144" spans="1:4">
      <c r="A144" s="5" t="s">
        <v>298</v>
      </c>
      <c r="B144" t="s">
        <v>299</v>
      </c>
      <c r="C144" t="s">
        <v>0</v>
      </c>
      <c r="D144">
        <f>VLOOKUP(A144,[1]Грузы!B:F,5,0)</f>
        <v>2</v>
      </c>
    </row>
    <row r="145" spans="1:4">
      <c r="A145" s="5" t="s">
        <v>300</v>
      </c>
      <c r="B145" t="s">
        <v>301</v>
      </c>
      <c r="C145" t="s">
        <v>0</v>
      </c>
      <c r="D145">
        <f>VLOOKUP(A145,[1]Грузы!B:F,5,0)</f>
        <v>2</v>
      </c>
    </row>
    <row r="146" spans="1:4">
      <c r="A146" s="5" t="s">
        <v>302</v>
      </c>
      <c r="B146" t="s">
        <v>303</v>
      </c>
      <c r="C146" t="s">
        <v>0</v>
      </c>
      <c r="D146">
        <f>VLOOKUP(A146,[1]Грузы!B:F,5,0)</f>
        <v>2</v>
      </c>
    </row>
    <row r="147" spans="1:4">
      <c r="A147" s="3" t="s">
        <v>304</v>
      </c>
      <c r="B147" t="s">
        <v>305</v>
      </c>
      <c r="C147" t="s">
        <v>306</v>
      </c>
      <c r="D147">
        <f>VLOOKUP(A147,[1]Грузы!B:F,5,0)</f>
        <v>1</v>
      </c>
    </row>
    <row r="148" spans="1:4">
      <c r="A148" s="3" t="s">
        <v>307</v>
      </c>
      <c r="B148" t="s">
        <v>308</v>
      </c>
      <c r="C148" t="s">
        <v>306</v>
      </c>
      <c r="D148">
        <f>VLOOKUP(A148,[1]Грузы!B:F,5,0)</f>
        <v>2</v>
      </c>
    </row>
    <row r="149" spans="1:4">
      <c r="A149" s="3" t="s">
        <v>309</v>
      </c>
      <c r="B149" t="s">
        <v>310</v>
      </c>
      <c r="C149" t="s">
        <v>306</v>
      </c>
      <c r="D149">
        <f>VLOOKUP(A149,[1]Грузы!B:F,5,0)</f>
        <v>2</v>
      </c>
    </row>
    <row r="150" spans="1:4">
      <c r="A150" s="3" t="s">
        <v>311</v>
      </c>
      <c r="B150" t="s">
        <v>312</v>
      </c>
      <c r="C150" t="s">
        <v>306</v>
      </c>
      <c r="D150">
        <f>VLOOKUP(A150,[1]Грузы!B:F,5,0)</f>
        <v>2</v>
      </c>
    </row>
    <row r="151" spans="1:4">
      <c r="A151" s="3" t="s">
        <v>313</v>
      </c>
      <c r="B151" t="s">
        <v>314</v>
      </c>
      <c r="C151" t="s">
        <v>306</v>
      </c>
      <c r="D151">
        <f>VLOOKUP(A151,[1]Грузы!B:F,5,0)</f>
        <v>2</v>
      </c>
    </row>
    <row r="152" spans="1:4">
      <c r="A152" s="3" t="s">
        <v>315</v>
      </c>
      <c r="B152" t="s">
        <v>316</v>
      </c>
      <c r="C152" t="s">
        <v>306</v>
      </c>
      <c r="D152">
        <f>VLOOKUP(A152,[1]Грузы!B:F,5,0)</f>
        <v>2</v>
      </c>
    </row>
    <row r="153" spans="1:4">
      <c r="A153" s="3" t="s">
        <v>317</v>
      </c>
      <c r="B153" t="s">
        <v>318</v>
      </c>
      <c r="C153" t="s">
        <v>0</v>
      </c>
      <c r="D153">
        <f>VLOOKUP(A153,[1]Грузы!B:F,5,0)</f>
        <v>2</v>
      </c>
    </row>
    <row r="154" spans="1:4">
      <c r="A154" s="3" t="s">
        <v>319</v>
      </c>
      <c r="B154" t="s">
        <v>320</v>
      </c>
      <c r="C154" t="s">
        <v>0</v>
      </c>
      <c r="D154">
        <f>VLOOKUP(A154,[1]Грузы!B:F,5,0)</f>
        <v>3</v>
      </c>
    </row>
    <row r="155" spans="1:4">
      <c r="A155" s="3" t="s">
        <v>321</v>
      </c>
      <c r="B155" t="s">
        <v>322</v>
      </c>
      <c r="C155" t="s">
        <v>0</v>
      </c>
      <c r="D155">
        <f>VLOOKUP(A155,[1]Грузы!B:F,5,0)</f>
        <v>2</v>
      </c>
    </row>
    <row r="156" spans="1:4">
      <c r="A156" s="3" t="s">
        <v>323</v>
      </c>
      <c r="B156" t="s">
        <v>324</v>
      </c>
      <c r="C156" t="s">
        <v>0</v>
      </c>
      <c r="D156">
        <f>VLOOKUP(A156,[1]Грузы!B:F,5,0)</f>
        <v>3</v>
      </c>
    </row>
    <row r="157" spans="1:4">
      <c r="A157" s="3" t="s">
        <v>325</v>
      </c>
      <c r="B157" t="s">
        <v>326</v>
      </c>
      <c r="C157" t="s">
        <v>0</v>
      </c>
      <c r="D157">
        <f>VLOOKUP(A157,[1]Грузы!B:F,5,0)</f>
        <v>3</v>
      </c>
    </row>
    <row r="158" spans="1:4">
      <c r="A158" s="3" t="s">
        <v>327</v>
      </c>
      <c r="B158" t="s">
        <v>328</v>
      </c>
      <c r="C158" t="s">
        <v>0</v>
      </c>
      <c r="D158">
        <f>VLOOKUP(A158,[1]Грузы!B:F,5,0)</f>
        <v>3</v>
      </c>
    </row>
    <row r="159" spans="1:4">
      <c r="A159" s="3" t="s">
        <v>329</v>
      </c>
      <c r="B159" t="s">
        <v>330</v>
      </c>
      <c r="C159" t="s">
        <v>0</v>
      </c>
      <c r="D159">
        <f>VLOOKUP(A159,[1]Грузы!B:F,5,0)</f>
        <v>3</v>
      </c>
    </row>
    <row r="160" spans="1:4">
      <c r="A160" s="5" t="s">
        <v>331</v>
      </c>
      <c r="B160" t="s">
        <v>332</v>
      </c>
      <c r="C160" t="s">
        <v>0</v>
      </c>
      <c r="D160">
        <f>VLOOKUP(A160,[1]Грузы!B:F,5,0)</f>
        <v>3</v>
      </c>
    </row>
    <row r="161" spans="1:4">
      <c r="A161" s="3" t="s">
        <v>333</v>
      </c>
      <c r="B161" t="s">
        <v>334</v>
      </c>
      <c r="C161" t="s">
        <v>0</v>
      </c>
      <c r="D161">
        <f>VLOOKUP(A161,[1]Грузы!B:F,5,0)</f>
        <v>3</v>
      </c>
    </row>
    <row r="162" spans="1:4">
      <c r="A162" s="3" t="s">
        <v>335</v>
      </c>
      <c r="B162" t="s">
        <v>336</v>
      </c>
      <c r="C162" t="s">
        <v>0</v>
      </c>
      <c r="D162">
        <f>VLOOKUP(A162,[1]Грузы!B:F,5,0)</f>
        <v>3</v>
      </c>
    </row>
    <row r="163" spans="1:4">
      <c r="A163" s="3" t="s">
        <v>337</v>
      </c>
      <c r="B163" t="s">
        <v>338</v>
      </c>
      <c r="C163" t="s">
        <v>0</v>
      </c>
      <c r="D163">
        <f>VLOOKUP(A163,[1]Грузы!B:F,5,0)</f>
        <v>3</v>
      </c>
    </row>
    <row r="164" spans="1:4">
      <c r="A164" s="3" t="s">
        <v>339</v>
      </c>
      <c r="B164" t="s">
        <v>340</v>
      </c>
      <c r="C164" t="s">
        <v>0</v>
      </c>
      <c r="D164">
        <f>VLOOKUP(A164,[1]Грузы!B:F,5,0)</f>
        <v>3</v>
      </c>
    </row>
    <row r="165" spans="1:4">
      <c r="A165" s="3" t="s">
        <v>341</v>
      </c>
      <c r="B165" t="s">
        <v>342</v>
      </c>
      <c r="C165" t="s">
        <v>0</v>
      </c>
      <c r="D165">
        <f>VLOOKUP(A165,[1]Грузы!B:F,5,0)</f>
        <v>3</v>
      </c>
    </row>
    <row r="166" spans="1:4">
      <c r="A166" s="3" t="s">
        <v>343</v>
      </c>
      <c r="B166" t="s">
        <v>344</v>
      </c>
      <c r="C166" t="s">
        <v>0</v>
      </c>
      <c r="D166">
        <f>VLOOKUP(A166,[1]Грузы!B:F,5,0)</f>
        <v>3</v>
      </c>
    </row>
    <row r="167" spans="1:4">
      <c r="A167" s="3" t="s">
        <v>345</v>
      </c>
      <c r="B167" t="s">
        <v>346</v>
      </c>
      <c r="C167" t="s">
        <v>0</v>
      </c>
      <c r="D167">
        <f>VLOOKUP(A167,[1]Грузы!B:F,5,0)</f>
        <v>3</v>
      </c>
    </row>
    <row r="168" spans="1:4">
      <c r="A168" s="3" t="s">
        <v>347</v>
      </c>
      <c r="B168" t="s">
        <v>348</v>
      </c>
      <c r="C168" t="s">
        <v>0</v>
      </c>
      <c r="D168">
        <f>VLOOKUP(A168,[1]Грузы!B:F,5,0)</f>
        <v>3</v>
      </c>
    </row>
    <row r="169" spans="1:4">
      <c r="A169" s="3" t="s">
        <v>349</v>
      </c>
      <c r="B169" t="s">
        <v>350</v>
      </c>
      <c r="C169" t="s">
        <v>0</v>
      </c>
      <c r="D169">
        <f>VLOOKUP(A169,[1]Грузы!B:F,5,0)</f>
        <v>3</v>
      </c>
    </row>
    <row r="170" spans="1:4">
      <c r="A170" s="3" t="s">
        <v>351</v>
      </c>
      <c r="B170" t="s">
        <v>352</v>
      </c>
      <c r="C170" t="s">
        <v>0</v>
      </c>
      <c r="D170">
        <f>VLOOKUP(A170,[1]Грузы!B:F,5,0)</f>
        <v>3</v>
      </c>
    </row>
    <row r="171" spans="1:4">
      <c r="A171" s="3" t="s">
        <v>353</v>
      </c>
      <c r="B171" t="s">
        <v>354</v>
      </c>
      <c r="C171" t="s">
        <v>0</v>
      </c>
      <c r="D171">
        <f>VLOOKUP(A171,[1]Грузы!B:F,5,0)</f>
        <v>2</v>
      </c>
    </row>
    <row r="172" spans="1:4">
      <c r="A172" s="3" t="s">
        <v>355</v>
      </c>
      <c r="B172" t="s">
        <v>356</v>
      </c>
      <c r="C172" t="s">
        <v>0</v>
      </c>
      <c r="D172">
        <f>VLOOKUP(A172,[1]Грузы!B:F,5,0)</f>
        <v>3</v>
      </c>
    </row>
    <row r="173" spans="1:4">
      <c r="A173" s="3" t="s">
        <v>357</v>
      </c>
      <c r="B173" t="s">
        <v>358</v>
      </c>
      <c r="C173" t="s">
        <v>0</v>
      </c>
      <c r="D173">
        <f>VLOOKUP(A173,[1]Грузы!B:F,5,0)</f>
        <v>3</v>
      </c>
    </row>
    <row r="174" spans="1:4">
      <c r="A174" s="3" t="s">
        <v>359</v>
      </c>
      <c r="B174" t="s">
        <v>360</v>
      </c>
      <c r="C174" t="s">
        <v>0</v>
      </c>
      <c r="D174">
        <f>VLOOKUP(A174,[1]Грузы!B:F,5,0)</f>
        <v>2</v>
      </c>
    </row>
    <row r="175" spans="1:4">
      <c r="A175" s="3" t="s">
        <v>361</v>
      </c>
      <c r="B175" t="s">
        <v>362</v>
      </c>
      <c r="C175" t="s">
        <v>0</v>
      </c>
      <c r="D175">
        <f>VLOOKUP(A175,[1]Грузы!B:F,5,0)</f>
        <v>3</v>
      </c>
    </row>
    <row r="176" spans="1:4">
      <c r="A176" s="3" t="s">
        <v>363</v>
      </c>
      <c r="B176" t="s">
        <v>362</v>
      </c>
      <c r="C176" t="s">
        <v>0</v>
      </c>
      <c r="D176">
        <f>VLOOKUP(A176,[1]Грузы!B:F,5,0)</f>
        <v>3</v>
      </c>
    </row>
    <row r="177" spans="1:4">
      <c r="A177" s="3" t="s">
        <v>364</v>
      </c>
      <c r="B177" t="s">
        <v>365</v>
      </c>
      <c r="C177" t="s">
        <v>0</v>
      </c>
      <c r="D177">
        <f>VLOOKUP(A177,[1]Грузы!B:F,5,0)</f>
        <v>3</v>
      </c>
    </row>
    <row r="178" spans="1:4">
      <c r="A178" s="3" t="s">
        <v>366</v>
      </c>
      <c r="B178" t="s">
        <v>367</v>
      </c>
      <c r="C178" t="s">
        <v>0</v>
      </c>
      <c r="D178">
        <f>VLOOKUP(A178,[1]Грузы!B:F,5,0)</f>
        <v>3</v>
      </c>
    </row>
    <row r="179" spans="1:4">
      <c r="A179" s="3" t="s">
        <v>368</v>
      </c>
      <c r="B179" t="s">
        <v>369</v>
      </c>
      <c r="C179" t="s">
        <v>0</v>
      </c>
      <c r="D179">
        <f>VLOOKUP(A179,[1]Грузы!B:F,5,0)</f>
        <v>3</v>
      </c>
    </row>
    <row r="180" spans="1:4">
      <c r="A180" s="3" t="s">
        <v>370</v>
      </c>
      <c r="B180" t="s">
        <v>371</v>
      </c>
      <c r="C180" t="s">
        <v>0</v>
      </c>
      <c r="D180">
        <f>VLOOKUP(A180,[1]Грузы!B:F,5,0)</f>
        <v>3</v>
      </c>
    </row>
    <row r="181" spans="1:4">
      <c r="A181" s="3" t="s">
        <v>372</v>
      </c>
      <c r="B181" t="s">
        <v>373</v>
      </c>
      <c r="C181" t="s">
        <v>0</v>
      </c>
      <c r="D181">
        <f>VLOOKUP(A181,[1]Грузы!B:F,5,0)</f>
        <v>3</v>
      </c>
    </row>
    <row r="182" spans="1:4">
      <c r="A182" s="3" t="s">
        <v>374</v>
      </c>
      <c r="B182" t="s">
        <v>375</v>
      </c>
      <c r="C182" t="s">
        <v>8</v>
      </c>
      <c r="D182">
        <f>VLOOKUP(A182,[1]Грузы!B:F,5,0)</f>
        <v>2</v>
      </c>
    </row>
    <row r="183" spans="1:4">
      <c r="A183" s="3" t="s">
        <v>376</v>
      </c>
      <c r="B183" t="s">
        <v>377</v>
      </c>
      <c r="C183" t="s">
        <v>8</v>
      </c>
      <c r="D183">
        <f>VLOOKUP(A183,[1]Грузы!B:F,5,0)</f>
        <v>2</v>
      </c>
    </row>
    <row r="184" spans="1:4">
      <c r="A184" s="3" t="s">
        <v>378</v>
      </c>
      <c r="B184" t="s">
        <v>379</v>
      </c>
      <c r="C184" t="s">
        <v>8</v>
      </c>
      <c r="D184">
        <f>VLOOKUP(A184,[1]Грузы!B:F,5,0)</f>
        <v>2</v>
      </c>
    </row>
    <row r="185" spans="1:4">
      <c r="A185" s="3" t="s">
        <v>380</v>
      </c>
      <c r="B185" t="s">
        <v>381</v>
      </c>
      <c r="C185" t="s">
        <v>8</v>
      </c>
      <c r="D185">
        <f>VLOOKUP(A185,[1]Грузы!B:F,5,0)</f>
        <v>2</v>
      </c>
    </row>
    <row r="186" spans="1:4">
      <c r="A186" s="3" t="s">
        <v>382</v>
      </c>
      <c r="B186" t="s">
        <v>383</v>
      </c>
      <c r="C186" t="s">
        <v>8</v>
      </c>
      <c r="D186">
        <f>VLOOKUP(A186,[1]Грузы!B:F,5,0)</f>
        <v>2</v>
      </c>
    </row>
    <row r="187" spans="1:4">
      <c r="A187" s="3" t="s">
        <v>384</v>
      </c>
      <c r="B187" t="s">
        <v>385</v>
      </c>
      <c r="C187" t="s">
        <v>0</v>
      </c>
      <c r="D187">
        <f>VLOOKUP(A187,[1]Грузы!B:F,5,0)</f>
        <v>2</v>
      </c>
    </row>
    <row r="188" spans="1:4">
      <c r="A188" s="3" t="s">
        <v>386</v>
      </c>
      <c r="B188" t="s">
        <v>387</v>
      </c>
      <c r="C188" t="s">
        <v>0</v>
      </c>
      <c r="D188">
        <f>VLOOKUP(A188,[1]Грузы!B:F,5,0)</f>
        <v>2</v>
      </c>
    </row>
    <row r="189" spans="1:4">
      <c r="A189" s="3" t="s">
        <v>388</v>
      </c>
      <c r="B189" t="s">
        <v>389</v>
      </c>
      <c r="C189" t="s">
        <v>0</v>
      </c>
      <c r="D189">
        <f>VLOOKUP(A189,[1]Грузы!B:F,5,0)</f>
        <v>2</v>
      </c>
    </row>
    <row r="190" spans="1:4">
      <c r="A190" s="3" t="s">
        <v>390</v>
      </c>
      <c r="B190" t="s">
        <v>391</v>
      </c>
      <c r="C190" t="s">
        <v>0</v>
      </c>
      <c r="D190">
        <f>VLOOKUP(A190,[1]Грузы!B:F,5,0)</f>
        <v>2</v>
      </c>
    </row>
    <row r="191" spans="1:4">
      <c r="A191" s="3" t="s">
        <v>392</v>
      </c>
      <c r="B191" t="s">
        <v>393</v>
      </c>
      <c r="C191" t="s">
        <v>0</v>
      </c>
      <c r="D191">
        <f>VLOOKUP(A191,[1]Грузы!B:F,5,0)</f>
        <v>3</v>
      </c>
    </row>
    <row r="192" spans="1:4">
      <c r="A192" s="3" t="s">
        <v>394</v>
      </c>
      <c r="B192" t="s">
        <v>395</v>
      </c>
      <c r="C192" t="s">
        <v>0</v>
      </c>
      <c r="D192">
        <f>VLOOKUP(A192,[1]Грузы!B:F,5,0)</f>
        <v>2</v>
      </c>
    </row>
    <row r="193" spans="1:4">
      <c r="A193" s="3" t="s">
        <v>396</v>
      </c>
      <c r="B193" t="s">
        <v>397</v>
      </c>
      <c r="C193" t="s">
        <v>0</v>
      </c>
      <c r="D193">
        <f>VLOOKUP(A193,[1]Грузы!B:F,5,0)</f>
        <v>3</v>
      </c>
    </row>
    <row r="194" spans="1:4">
      <c r="A194" s="3" t="s">
        <v>398</v>
      </c>
      <c r="B194" t="s">
        <v>399</v>
      </c>
      <c r="C194" t="s">
        <v>0</v>
      </c>
      <c r="D194">
        <f>VLOOKUP(A194,[1]Грузы!B:F,5,0)</f>
        <v>2</v>
      </c>
    </row>
    <row r="195" spans="1:4">
      <c r="A195" s="3" t="s">
        <v>400</v>
      </c>
      <c r="B195" t="s">
        <v>401</v>
      </c>
      <c r="C195" t="s">
        <v>0</v>
      </c>
      <c r="D195">
        <f>VLOOKUP(A195,[1]Грузы!B:F,5,0)</f>
        <v>2</v>
      </c>
    </row>
    <row r="196" spans="1:4">
      <c r="A196" s="3" t="s">
        <v>402</v>
      </c>
      <c r="B196" t="s">
        <v>403</v>
      </c>
      <c r="C196" t="s">
        <v>0</v>
      </c>
      <c r="D196">
        <f>VLOOKUP(A196,[1]Грузы!B:F,5,0)</f>
        <v>2</v>
      </c>
    </row>
    <row r="197" spans="1:4">
      <c r="A197" s="3" t="s">
        <v>404</v>
      </c>
      <c r="B197" t="s">
        <v>405</v>
      </c>
      <c r="C197" t="s">
        <v>0</v>
      </c>
      <c r="D197">
        <f>VLOOKUP(A197,[1]Грузы!B:F,5,0)</f>
        <v>2</v>
      </c>
    </row>
    <row r="198" spans="1:4">
      <c r="A198" s="3" t="s">
        <v>406</v>
      </c>
      <c r="B198" t="s">
        <v>407</v>
      </c>
      <c r="C198" t="s">
        <v>0</v>
      </c>
      <c r="D198">
        <f>VLOOKUP(A198,[1]Грузы!B:F,5,0)</f>
        <v>2</v>
      </c>
    </row>
    <row r="199" spans="1:4">
      <c r="A199" s="3" t="s">
        <v>408</v>
      </c>
      <c r="B199" t="s">
        <v>409</v>
      </c>
      <c r="C199" t="s">
        <v>0</v>
      </c>
      <c r="D199">
        <f>VLOOKUP(A199,[1]Грузы!B:F,5,0)</f>
        <v>2</v>
      </c>
    </row>
    <row r="200" spans="1:4">
      <c r="A200" s="3" t="s">
        <v>410</v>
      </c>
      <c r="B200" t="s">
        <v>411</v>
      </c>
      <c r="C200" t="s">
        <v>0</v>
      </c>
      <c r="D200">
        <f>VLOOKUP(A200,[1]Грузы!B:F,5,0)</f>
        <v>2</v>
      </c>
    </row>
    <row r="201" spans="1:4">
      <c r="A201" s="3" t="s">
        <v>412</v>
      </c>
      <c r="B201" t="s">
        <v>413</v>
      </c>
      <c r="C201" t="s">
        <v>0</v>
      </c>
      <c r="D201">
        <f>VLOOKUP(A201,[1]Грузы!B:F,5,0)</f>
        <v>2</v>
      </c>
    </row>
    <row r="202" spans="1:4">
      <c r="A202" s="3" t="s">
        <v>414</v>
      </c>
      <c r="B202" t="s">
        <v>415</v>
      </c>
      <c r="C202" t="s">
        <v>0</v>
      </c>
      <c r="D202">
        <f>VLOOKUP(A202,[1]Грузы!B:F,5,0)</f>
        <v>2</v>
      </c>
    </row>
    <row r="203" spans="1:4">
      <c r="A203" s="3" t="s">
        <v>416</v>
      </c>
      <c r="B203" t="s">
        <v>417</v>
      </c>
      <c r="C203" t="s">
        <v>0</v>
      </c>
      <c r="D203">
        <f>VLOOKUP(A203,[1]Грузы!B:F,5,0)</f>
        <v>2</v>
      </c>
    </row>
    <row r="204" spans="1:4">
      <c r="A204" s="3" t="s">
        <v>418</v>
      </c>
      <c r="B204" t="s">
        <v>419</v>
      </c>
      <c r="C204" t="s">
        <v>0</v>
      </c>
      <c r="D204">
        <f>VLOOKUP(A204,[1]Грузы!B:F,5,0)</f>
        <v>2</v>
      </c>
    </row>
    <row r="205" spans="1:4">
      <c r="A205" s="3" t="s">
        <v>420</v>
      </c>
      <c r="B205" t="s">
        <v>421</v>
      </c>
      <c r="C205" t="s">
        <v>0</v>
      </c>
      <c r="D205">
        <f>VLOOKUP(A205,[1]Грузы!B:F,5,0)</f>
        <v>2</v>
      </c>
    </row>
    <row r="206" spans="1:4">
      <c r="A206" s="3" t="s">
        <v>422</v>
      </c>
      <c r="B206" t="s">
        <v>423</v>
      </c>
      <c r="C206" t="s">
        <v>0</v>
      </c>
      <c r="D206">
        <f>VLOOKUP(A206,[1]Грузы!B:F,5,0)</f>
        <v>2</v>
      </c>
    </row>
    <row r="207" spans="1:4">
      <c r="A207" s="3" t="s">
        <v>424</v>
      </c>
      <c r="B207" t="s">
        <v>425</v>
      </c>
      <c r="C207" t="s">
        <v>0</v>
      </c>
      <c r="D207">
        <f>VLOOKUP(A207,[1]Грузы!B:F,5,0)</f>
        <v>3</v>
      </c>
    </row>
    <row r="208" spans="1:4">
      <c r="A208" s="3" t="s">
        <v>426</v>
      </c>
      <c r="B208" t="s">
        <v>427</v>
      </c>
      <c r="C208" t="s">
        <v>0</v>
      </c>
      <c r="D208">
        <f>VLOOKUP(A208,[1]Грузы!B:F,5,0)</f>
        <v>2</v>
      </c>
    </row>
    <row r="209" spans="1:4">
      <c r="A209" s="3" t="s">
        <v>428</v>
      </c>
      <c r="B209" t="s">
        <v>429</v>
      </c>
      <c r="C209" t="s">
        <v>0</v>
      </c>
      <c r="D209">
        <f>VLOOKUP(A209,[1]Грузы!B:F,5,0)</f>
        <v>2</v>
      </c>
    </row>
    <row r="210" spans="1:4">
      <c r="A210" s="3" t="s">
        <v>430</v>
      </c>
      <c r="B210" t="s">
        <v>431</v>
      </c>
      <c r="C210" t="s">
        <v>0</v>
      </c>
      <c r="D210">
        <f>VLOOKUP(A210,[1]Грузы!B:F,5,0)</f>
        <v>2</v>
      </c>
    </row>
    <row r="211" spans="1:4">
      <c r="A211" s="3" t="s">
        <v>432</v>
      </c>
      <c r="B211" t="s">
        <v>433</v>
      </c>
      <c r="C211" t="s">
        <v>0</v>
      </c>
      <c r="D211">
        <f>VLOOKUP(A211,[1]Грузы!B:F,5,0)</f>
        <v>3</v>
      </c>
    </row>
    <row r="212" spans="1:4">
      <c r="A212" s="3" t="s">
        <v>434</v>
      </c>
      <c r="B212" t="s">
        <v>435</v>
      </c>
      <c r="C212" t="s">
        <v>0</v>
      </c>
      <c r="D212">
        <f>VLOOKUP(A212,[1]Грузы!B:F,5,0)</f>
        <v>2</v>
      </c>
    </row>
    <row r="213" spans="1:4">
      <c r="A213" s="3" t="s">
        <v>436</v>
      </c>
      <c r="B213" t="s">
        <v>437</v>
      </c>
      <c r="C213" t="s">
        <v>0</v>
      </c>
      <c r="D213">
        <f>VLOOKUP(A213,[1]Грузы!B:F,5,0)</f>
        <v>2</v>
      </c>
    </row>
    <row r="214" spans="1:4">
      <c r="A214" s="3" t="s">
        <v>438</v>
      </c>
      <c r="B214" t="s">
        <v>439</v>
      </c>
      <c r="C214" t="s">
        <v>0</v>
      </c>
      <c r="D214">
        <f>VLOOKUP(A214,[1]Грузы!B:F,5,0)</f>
        <v>2</v>
      </c>
    </row>
    <row r="215" spans="1:4">
      <c r="A215" s="3" t="s">
        <v>440</v>
      </c>
      <c r="B215" t="s">
        <v>441</v>
      </c>
      <c r="C215" t="s">
        <v>0</v>
      </c>
      <c r="D215">
        <f>VLOOKUP(A215,[1]Грузы!B:F,5,0)</f>
        <v>2</v>
      </c>
    </row>
    <row r="216" spans="1:4">
      <c r="A216" s="3" t="s">
        <v>442</v>
      </c>
      <c r="B216" t="s">
        <v>443</v>
      </c>
      <c r="C216" t="s">
        <v>0</v>
      </c>
      <c r="D216">
        <f>VLOOKUP(A216,[1]Грузы!B:F,5,0)</f>
        <v>3</v>
      </c>
    </row>
    <row r="217" spans="1:4">
      <c r="A217" s="3" t="s">
        <v>444</v>
      </c>
      <c r="B217" t="s">
        <v>445</v>
      </c>
      <c r="C217" t="s">
        <v>0</v>
      </c>
      <c r="D217">
        <f>VLOOKUP(A217,[1]Грузы!B:F,5,0)</f>
        <v>3</v>
      </c>
    </row>
    <row r="218" spans="1:4">
      <c r="A218" s="3" t="s">
        <v>446</v>
      </c>
      <c r="B218" t="s">
        <v>447</v>
      </c>
      <c r="C218" t="s">
        <v>0</v>
      </c>
      <c r="D218">
        <f>VLOOKUP(A218,[1]Грузы!B:F,5,0)</f>
        <v>3</v>
      </c>
    </row>
    <row r="219" spans="1:4">
      <c r="A219" s="3" t="s">
        <v>448</v>
      </c>
      <c r="B219" t="s">
        <v>449</v>
      </c>
      <c r="C219" t="s">
        <v>0</v>
      </c>
      <c r="D219">
        <f>VLOOKUP(A219,[1]Грузы!B:F,5,0)</f>
        <v>3</v>
      </c>
    </row>
    <row r="220" spans="1:4">
      <c r="A220" s="3" t="s">
        <v>450</v>
      </c>
      <c r="B220" t="s">
        <v>451</v>
      </c>
      <c r="C220" t="s">
        <v>0</v>
      </c>
      <c r="D220">
        <f>VLOOKUP(A220,[1]Грузы!B:F,5,0)</f>
        <v>2</v>
      </c>
    </row>
    <row r="221" spans="1:4">
      <c r="A221" s="3" t="s">
        <v>452</v>
      </c>
      <c r="B221" t="s">
        <v>453</v>
      </c>
      <c r="C221" t="s">
        <v>0</v>
      </c>
      <c r="D221">
        <f>VLOOKUP(A221,[1]Грузы!B:F,5,0)</f>
        <v>3</v>
      </c>
    </row>
    <row r="222" spans="1:4">
      <c r="A222" s="3" t="s">
        <v>454</v>
      </c>
      <c r="B222" t="s">
        <v>455</v>
      </c>
      <c r="C222" t="s">
        <v>0</v>
      </c>
      <c r="D222">
        <f>VLOOKUP(A222,[1]Грузы!B:F,5,0)</f>
        <v>3</v>
      </c>
    </row>
    <row r="223" spans="1:4">
      <c r="A223" s="3" t="s">
        <v>456</v>
      </c>
      <c r="B223" t="s">
        <v>457</v>
      </c>
      <c r="C223" t="s">
        <v>0</v>
      </c>
      <c r="D223">
        <f>VLOOKUP(A223,[1]Грузы!B:F,5,0)</f>
        <v>3</v>
      </c>
    </row>
    <row r="224" spans="1:4">
      <c r="A224" s="3" t="s">
        <v>458</v>
      </c>
      <c r="B224" t="s">
        <v>459</v>
      </c>
      <c r="C224" t="s">
        <v>0</v>
      </c>
      <c r="D224">
        <f>VLOOKUP(A224,[1]Грузы!B:F,5,0)</f>
        <v>3</v>
      </c>
    </row>
    <row r="225" spans="1:4">
      <c r="A225" s="3" t="s">
        <v>460</v>
      </c>
      <c r="B225" t="s">
        <v>461</v>
      </c>
      <c r="C225" t="s">
        <v>0</v>
      </c>
      <c r="D225">
        <f>VLOOKUP(A225,[1]Грузы!B:F,5,0)</f>
        <v>3</v>
      </c>
    </row>
    <row r="226" spans="1:4">
      <c r="A226" s="3" t="s">
        <v>462</v>
      </c>
      <c r="B226" t="s">
        <v>463</v>
      </c>
      <c r="C226" t="s">
        <v>0</v>
      </c>
      <c r="D226">
        <f>VLOOKUP(A226,[1]Грузы!B:F,5,0)</f>
        <v>3</v>
      </c>
    </row>
    <row r="227" spans="1:4">
      <c r="A227" s="3" t="s">
        <v>464</v>
      </c>
      <c r="B227" t="s">
        <v>465</v>
      </c>
      <c r="C227" t="s">
        <v>0</v>
      </c>
      <c r="D227">
        <f>VLOOKUP(A227,[1]Грузы!B:F,5,0)</f>
        <v>3</v>
      </c>
    </row>
    <row r="228" spans="1:4">
      <c r="A228" s="3" t="s">
        <v>466</v>
      </c>
      <c r="B228" t="s">
        <v>467</v>
      </c>
      <c r="C228" t="s">
        <v>0</v>
      </c>
      <c r="D228">
        <f>VLOOKUP(A228,[1]Грузы!B:F,5,0)</f>
        <v>3</v>
      </c>
    </row>
    <row r="229" spans="1:4">
      <c r="A229" s="3" t="s">
        <v>468</v>
      </c>
      <c r="B229" t="s">
        <v>469</v>
      </c>
      <c r="C229" t="s">
        <v>0</v>
      </c>
      <c r="D229">
        <f>VLOOKUP(A229,[1]Грузы!B:F,5,0)</f>
        <v>3</v>
      </c>
    </row>
    <row r="230" spans="1:4">
      <c r="A230" s="3" t="s">
        <v>470</v>
      </c>
      <c r="B230" t="s">
        <v>471</v>
      </c>
      <c r="C230" t="s">
        <v>0</v>
      </c>
      <c r="D230">
        <f>VLOOKUP(A230,[1]Грузы!B:F,5,0)</f>
        <v>3</v>
      </c>
    </row>
    <row r="231" spans="1:4">
      <c r="A231" s="3" t="s">
        <v>472</v>
      </c>
      <c r="B231" t="s">
        <v>473</v>
      </c>
      <c r="C231" t="s">
        <v>0</v>
      </c>
      <c r="D231">
        <f>VLOOKUP(A231,[1]Грузы!B:F,5,0)</f>
        <v>3</v>
      </c>
    </row>
    <row r="232" spans="1:4">
      <c r="A232" s="3" t="s">
        <v>474</v>
      </c>
      <c r="B232" t="s">
        <v>475</v>
      </c>
      <c r="C232" t="s">
        <v>0</v>
      </c>
      <c r="D232">
        <f>VLOOKUP(A232,[1]Грузы!B:F,5,0)</f>
        <v>3</v>
      </c>
    </row>
    <row r="233" spans="1:4">
      <c r="A233" s="3" t="s">
        <v>476</v>
      </c>
      <c r="B233" t="s">
        <v>477</v>
      </c>
      <c r="C233" t="s">
        <v>0</v>
      </c>
      <c r="D233">
        <f>VLOOKUP(A233,[1]Грузы!B:F,5,0)</f>
        <v>3</v>
      </c>
    </row>
    <row r="234" spans="1:4">
      <c r="A234" s="3" t="s">
        <v>478</v>
      </c>
      <c r="B234" t="s">
        <v>479</v>
      </c>
      <c r="C234" t="s">
        <v>0</v>
      </c>
      <c r="D234">
        <f>VLOOKUP(A234,[1]Грузы!B:F,5,0)</f>
        <v>3</v>
      </c>
    </row>
    <row r="235" spans="1:4">
      <c r="A235" s="3" t="s">
        <v>480</v>
      </c>
      <c r="B235" t="s">
        <v>481</v>
      </c>
      <c r="C235" t="s">
        <v>0</v>
      </c>
      <c r="D235">
        <f>VLOOKUP(A235,[1]Грузы!B:F,5,0)</f>
        <v>3</v>
      </c>
    </row>
    <row r="236" spans="1:4">
      <c r="A236" s="3" t="s">
        <v>482</v>
      </c>
      <c r="B236" t="s">
        <v>483</v>
      </c>
      <c r="C236" t="s">
        <v>0</v>
      </c>
      <c r="D236">
        <f>VLOOKUP(A236,[1]Грузы!B:F,5,0)</f>
        <v>3</v>
      </c>
    </row>
    <row r="237" spans="1:4">
      <c r="A237" s="3" t="s">
        <v>484</v>
      </c>
      <c r="B237" t="s">
        <v>485</v>
      </c>
      <c r="C237" t="s">
        <v>0</v>
      </c>
      <c r="D237">
        <f>VLOOKUP(A237,[1]Грузы!B:F,5,0)</f>
        <v>3</v>
      </c>
    </row>
    <row r="238" spans="1:4">
      <c r="A238" s="3" t="s">
        <v>486</v>
      </c>
      <c r="B238" t="s">
        <v>487</v>
      </c>
      <c r="C238" t="s">
        <v>0</v>
      </c>
      <c r="D238">
        <f>VLOOKUP(A238,[1]Грузы!B:F,5,0)</f>
        <v>3</v>
      </c>
    </row>
    <row r="239" spans="1:4">
      <c r="A239" s="3" t="s">
        <v>488</v>
      </c>
      <c r="B239" t="s">
        <v>489</v>
      </c>
      <c r="C239" t="s">
        <v>0</v>
      </c>
      <c r="D239">
        <f>VLOOKUP(A239,[1]Грузы!B:F,5,0)</f>
        <v>3</v>
      </c>
    </row>
    <row r="240" spans="1:4">
      <c r="A240" s="3" t="s">
        <v>490</v>
      </c>
      <c r="B240" t="s">
        <v>491</v>
      </c>
      <c r="C240" t="s">
        <v>0</v>
      </c>
      <c r="D240">
        <f>VLOOKUP(A240,[1]Грузы!B:F,5,0)</f>
        <v>3</v>
      </c>
    </row>
    <row r="241" spans="1:4">
      <c r="A241" s="3" t="s">
        <v>492</v>
      </c>
      <c r="B241" t="s">
        <v>493</v>
      </c>
      <c r="C241" t="s">
        <v>0</v>
      </c>
      <c r="D241">
        <f>VLOOKUP(A241,[1]Грузы!B:F,5,0)</f>
        <v>2</v>
      </c>
    </row>
    <row r="242" spans="1:4">
      <c r="A242" s="3" t="s">
        <v>494</v>
      </c>
      <c r="B242" t="s">
        <v>495</v>
      </c>
      <c r="C242" t="s">
        <v>0</v>
      </c>
      <c r="D242">
        <f>VLOOKUP(A242,[1]Грузы!B:F,5,0)</f>
        <v>2</v>
      </c>
    </row>
    <row r="243" spans="1:4">
      <c r="A243" s="3" t="s">
        <v>496</v>
      </c>
      <c r="B243" t="s">
        <v>497</v>
      </c>
      <c r="C243" t="s">
        <v>0</v>
      </c>
      <c r="D243">
        <f>VLOOKUP(A243,[1]Грузы!B:F,5,0)</f>
        <v>3</v>
      </c>
    </row>
    <row r="244" spans="1:4">
      <c r="A244" s="3" t="s">
        <v>498</v>
      </c>
      <c r="B244" t="s">
        <v>499</v>
      </c>
      <c r="C244" t="s">
        <v>0</v>
      </c>
      <c r="D244">
        <f>VLOOKUP(A244,[1]Грузы!B:F,5,0)</f>
        <v>3</v>
      </c>
    </row>
    <row r="245" spans="1:4">
      <c r="A245" s="3" t="s">
        <v>500</v>
      </c>
      <c r="B245" t="s">
        <v>501</v>
      </c>
      <c r="C245" t="s">
        <v>0</v>
      </c>
      <c r="D245">
        <f>VLOOKUP(A245,[1]Грузы!B:F,5,0)</f>
        <v>3</v>
      </c>
    </row>
    <row r="246" spans="1:4">
      <c r="A246" s="3" t="s">
        <v>502</v>
      </c>
      <c r="B246" t="s">
        <v>503</v>
      </c>
      <c r="C246" t="s">
        <v>0</v>
      </c>
      <c r="D246">
        <f>VLOOKUP(A246,[1]Грузы!B:F,5,0)</f>
        <v>2</v>
      </c>
    </row>
    <row r="247" spans="1:4">
      <c r="A247" s="3" t="s">
        <v>504</v>
      </c>
      <c r="B247" t="s">
        <v>505</v>
      </c>
      <c r="C247" t="s">
        <v>0</v>
      </c>
      <c r="D247">
        <f>VLOOKUP(A247,[1]Грузы!B:F,5,0)</f>
        <v>3</v>
      </c>
    </row>
    <row r="248" spans="1:4">
      <c r="A248" s="3" t="s">
        <v>506</v>
      </c>
      <c r="B248" t="s">
        <v>507</v>
      </c>
      <c r="C248" t="s">
        <v>0</v>
      </c>
      <c r="D248">
        <f>VLOOKUP(A248,[1]Грузы!B:F,5,0)</f>
        <v>2</v>
      </c>
    </row>
    <row r="249" spans="1:4">
      <c r="A249" s="3" t="s">
        <v>508</v>
      </c>
      <c r="B249" t="s">
        <v>509</v>
      </c>
      <c r="C249" t="s">
        <v>0</v>
      </c>
      <c r="D249">
        <f>VLOOKUP(A249,[1]Грузы!B:F,5,0)</f>
        <v>3</v>
      </c>
    </row>
    <row r="250" spans="1:4">
      <c r="A250" s="3" t="s">
        <v>510</v>
      </c>
      <c r="B250" t="s">
        <v>511</v>
      </c>
      <c r="C250" t="s">
        <v>0</v>
      </c>
      <c r="D250">
        <f>VLOOKUP(A250,[1]Грузы!B:F,5,0)</f>
        <v>3</v>
      </c>
    </row>
    <row r="251" spans="1:4">
      <c r="A251" s="5" t="s">
        <v>512</v>
      </c>
      <c r="B251" t="s">
        <v>513</v>
      </c>
      <c r="C251" t="s">
        <v>0</v>
      </c>
      <c r="D251">
        <f>VLOOKUP(A251,[1]Грузы!B:F,5,0)</f>
        <v>2</v>
      </c>
    </row>
    <row r="252" spans="1:4">
      <c r="A252" s="3" t="s">
        <v>514</v>
      </c>
      <c r="B252" t="s">
        <v>515</v>
      </c>
      <c r="C252" t="s">
        <v>0</v>
      </c>
      <c r="D252">
        <f>VLOOKUP(A252,[1]Грузы!B:F,5,0)</f>
        <v>3</v>
      </c>
    </row>
    <row r="253" spans="1:4">
      <c r="A253" s="3" t="s">
        <v>516</v>
      </c>
      <c r="B253" t="s">
        <v>517</v>
      </c>
      <c r="C253" t="s">
        <v>0</v>
      </c>
      <c r="D253">
        <f>VLOOKUP(A253,[1]Грузы!B:F,5,0)</f>
        <v>3</v>
      </c>
    </row>
    <row r="254" spans="1:4">
      <c r="A254" s="3" t="s">
        <v>518</v>
      </c>
      <c r="B254" t="s">
        <v>519</v>
      </c>
      <c r="C254" t="s">
        <v>0</v>
      </c>
      <c r="D254">
        <f>VLOOKUP(A254,[1]Грузы!B:F,5,0)</f>
        <v>3</v>
      </c>
    </row>
    <row r="255" spans="1:4">
      <c r="A255" s="3" t="s">
        <v>520</v>
      </c>
      <c r="B255" t="s">
        <v>521</v>
      </c>
      <c r="C255" t="s">
        <v>0</v>
      </c>
      <c r="D255">
        <f>VLOOKUP(A255,[1]Грузы!B:F,5,0)</f>
        <v>3</v>
      </c>
    </row>
    <row r="256" spans="1:4">
      <c r="A256" s="3" t="s">
        <v>522</v>
      </c>
      <c r="B256" t="s">
        <v>523</v>
      </c>
      <c r="C256" t="s">
        <v>0</v>
      </c>
      <c r="D256">
        <f>VLOOKUP(A256,[1]Грузы!B:F,5,0)</f>
        <v>3</v>
      </c>
    </row>
    <row r="257" spans="1:4">
      <c r="A257" s="3" t="s">
        <v>524</v>
      </c>
      <c r="B257" t="s">
        <v>525</v>
      </c>
      <c r="C257" t="s">
        <v>0</v>
      </c>
      <c r="D257">
        <f>VLOOKUP(A257,[1]Грузы!B:F,5,0)</f>
        <v>3</v>
      </c>
    </row>
    <row r="258" spans="1:4">
      <c r="A258" s="3" t="s">
        <v>526</v>
      </c>
      <c r="B258" t="s">
        <v>527</v>
      </c>
      <c r="C258" t="s">
        <v>0</v>
      </c>
      <c r="D258">
        <f>VLOOKUP(A258,[1]Грузы!B:F,5,0)</f>
        <v>3</v>
      </c>
    </row>
    <row r="259" spans="1:4">
      <c r="A259" s="3" t="s">
        <v>528</v>
      </c>
      <c r="B259" t="s">
        <v>529</v>
      </c>
      <c r="C259" t="s">
        <v>0</v>
      </c>
      <c r="D259">
        <f>VLOOKUP(A259,[1]Грузы!B:F,5,0)</f>
        <v>3</v>
      </c>
    </row>
    <row r="260" spans="1:4">
      <c r="A260" s="3" t="s">
        <v>530</v>
      </c>
      <c r="B260" t="s">
        <v>531</v>
      </c>
      <c r="C260" t="s">
        <v>0</v>
      </c>
      <c r="D260">
        <f>VLOOKUP(A260,[1]Грузы!B:F,5,0)</f>
        <v>3</v>
      </c>
    </row>
    <row r="261" spans="1:4">
      <c r="A261" s="3" t="s">
        <v>532</v>
      </c>
      <c r="B261" t="s">
        <v>533</v>
      </c>
      <c r="C261" t="s">
        <v>0</v>
      </c>
      <c r="D261">
        <f>VLOOKUP(A261,[1]Грузы!B:F,5,0)</f>
        <v>3</v>
      </c>
    </row>
    <row r="262" spans="1:4">
      <c r="A262" s="3" t="s">
        <v>534</v>
      </c>
      <c r="B262" t="s">
        <v>535</v>
      </c>
      <c r="C262" t="s">
        <v>0</v>
      </c>
      <c r="D262">
        <f>VLOOKUP(A262,[1]Грузы!B:F,5,0)</f>
        <v>3</v>
      </c>
    </row>
    <row r="263" spans="1:4">
      <c r="A263" s="3" t="s">
        <v>536</v>
      </c>
      <c r="B263" t="s">
        <v>537</v>
      </c>
      <c r="C263" t="s">
        <v>0</v>
      </c>
      <c r="D263">
        <f>VLOOKUP(A263,[1]Грузы!B:F,5,0)</f>
        <v>3</v>
      </c>
    </row>
    <row r="264" spans="1:4">
      <c r="A264" s="3" t="s">
        <v>538</v>
      </c>
      <c r="B264" t="s">
        <v>539</v>
      </c>
      <c r="C264" t="s">
        <v>0</v>
      </c>
      <c r="D264">
        <f>VLOOKUP(A264,[1]Грузы!B:F,5,0)</f>
        <v>3</v>
      </c>
    </row>
    <row r="265" spans="1:4">
      <c r="A265" s="3" t="s">
        <v>540</v>
      </c>
      <c r="B265" t="s">
        <v>541</v>
      </c>
      <c r="C265" t="s">
        <v>0</v>
      </c>
      <c r="D265">
        <f>VLOOKUP(A265,[1]Грузы!B:F,5,0)</f>
        <v>3</v>
      </c>
    </row>
    <row r="266" spans="1:4">
      <c r="A266" s="3" t="s">
        <v>542</v>
      </c>
      <c r="B266" t="s">
        <v>543</v>
      </c>
      <c r="C266" t="s">
        <v>0</v>
      </c>
      <c r="D266">
        <f>VLOOKUP(A266,[1]Грузы!B:F,5,0)</f>
        <v>3</v>
      </c>
    </row>
    <row r="267" spans="1:4">
      <c r="A267" s="3" t="s">
        <v>544</v>
      </c>
      <c r="B267" t="s">
        <v>545</v>
      </c>
      <c r="C267" t="s">
        <v>0</v>
      </c>
      <c r="D267">
        <f>VLOOKUP(A267,[1]Грузы!B:F,5,0)</f>
        <v>3</v>
      </c>
    </row>
    <row r="268" spans="1:4">
      <c r="A268" s="3" t="s">
        <v>546</v>
      </c>
      <c r="B268" t="s">
        <v>547</v>
      </c>
      <c r="C268" t="s">
        <v>0</v>
      </c>
      <c r="D268">
        <f>VLOOKUP(A268,[1]Грузы!B:F,5,0)</f>
        <v>3</v>
      </c>
    </row>
    <row r="269" spans="1:4">
      <c r="A269" s="3" t="s">
        <v>548</v>
      </c>
      <c r="B269" t="s">
        <v>549</v>
      </c>
      <c r="C269" t="s">
        <v>0</v>
      </c>
      <c r="D269">
        <f>VLOOKUP(A269,[1]Грузы!B:F,5,0)</f>
        <v>3</v>
      </c>
    </row>
    <row r="270" spans="1:4">
      <c r="A270" s="3" t="s">
        <v>550</v>
      </c>
      <c r="B270" t="s">
        <v>551</v>
      </c>
      <c r="C270" t="s">
        <v>0</v>
      </c>
      <c r="D270">
        <f>VLOOKUP(A270,[1]Грузы!B:F,5,0)</f>
        <v>3</v>
      </c>
    </row>
    <row r="271" spans="1:4">
      <c r="A271" s="3" t="s">
        <v>552</v>
      </c>
      <c r="B271" t="s">
        <v>553</v>
      </c>
      <c r="C271" t="s">
        <v>0</v>
      </c>
      <c r="D271">
        <f>VLOOKUP(A271,[1]Грузы!B:F,5,0)</f>
        <v>3</v>
      </c>
    </row>
    <row r="272" spans="1:4">
      <c r="A272" s="3" t="s">
        <v>554</v>
      </c>
      <c r="B272" t="s">
        <v>555</v>
      </c>
      <c r="C272" t="s">
        <v>0</v>
      </c>
      <c r="D272">
        <f>VLOOKUP(A272,[1]Грузы!B:F,5,0)</f>
        <v>3</v>
      </c>
    </row>
  </sheetData>
  <autoFilter ref="A1:D27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36"/>
  <sheetViews>
    <sheetView zoomScaleNormal="100" workbookViewId="0">
      <selection activeCell="D28" sqref="D28"/>
    </sheetView>
  </sheetViews>
  <sheetFormatPr defaultRowHeight="15.9"/>
  <cols>
    <col min="1" max="1" width="12.15234375" style="23" bestFit="1" customWidth="1"/>
    <col min="2" max="2" width="12.15234375" style="23" customWidth="1"/>
    <col min="3" max="3" width="42.3046875" style="14" customWidth="1"/>
    <col min="4" max="4" width="26.15234375" style="14" customWidth="1"/>
    <col min="5" max="5" width="10.53515625" style="14" bestFit="1" customWidth="1"/>
    <col min="6" max="6" width="42.3046875" style="14" customWidth="1"/>
    <col min="7" max="7" width="26.3828125" style="14" customWidth="1"/>
    <col min="8" max="8" width="9.15234375" style="14"/>
    <col min="9" max="9" width="28.3046875" style="14" customWidth="1"/>
    <col min="10" max="259" width="9.15234375" style="14"/>
    <col min="260" max="260" width="12.15234375" style="14" bestFit="1" customWidth="1"/>
    <col min="261" max="261" width="100.15234375" style="14" customWidth="1"/>
    <col min="262" max="262" width="113.3046875" style="14" customWidth="1"/>
    <col min="263" max="264" width="9.15234375" style="14"/>
    <col min="265" max="265" width="28.3046875" style="14" customWidth="1"/>
    <col min="266" max="515" width="9.15234375" style="14"/>
    <col min="516" max="516" width="12.15234375" style="14" bestFit="1" customWidth="1"/>
    <col min="517" max="517" width="100.15234375" style="14" customWidth="1"/>
    <col min="518" max="518" width="113.3046875" style="14" customWidth="1"/>
    <col min="519" max="520" width="9.15234375" style="14"/>
    <col min="521" max="521" width="28.3046875" style="14" customWidth="1"/>
    <col min="522" max="771" width="9.15234375" style="14"/>
    <col min="772" max="772" width="12.15234375" style="14" bestFit="1" customWidth="1"/>
    <col min="773" max="773" width="100.15234375" style="14" customWidth="1"/>
    <col min="774" max="774" width="113.3046875" style="14" customWidth="1"/>
    <col min="775" max="776" width="9.15234375" style="14"/>
    <col min="777" max="777" width="28.3046875" style="14" customWidth="1"/>
    <col min="778" max="1027" width="9.15234375" style="14"/>
    <col min="1028" max="1028" width="12.15234375" style="14" bestFit="1" customWidth="1"/>
    <col min="1029" max="1029" width="100.15234375" style="14" customWidth="1"/>
    <col min="1030" max="1030" width="113.3046875" style="14" customWidth="1"/>
    <col min="1031" max="1032" width="9.15234375" style="14"/>
    <col min="1033" max="1033" width="28.3046875" style="14" customWidth="1"/>
    <col min="1034" max="1283" width="9.15234375" style="14"/>
    <col min="1284" max="1284" width="12.15234375" style="14" bestFit="1" customWidth="1"/>
    <col min="1285" max="1285" width="100.15234375" style="14" customWidth="1"/>
    <col min="1286" max="1286" width="113.3046875" style="14" customWidth="1"/>
    <col min="1287" max="1288" width="9.15234375" style="14"/>
    <col min="1289" max="1289" width="28.3046875" style="14" customWidth="1"/>
    <col min="1290" max="1539" width="9.15234375" style="14"/>
    <col min="1540" max="1540" width="12.15234375" style="14" bestFit="1" customWidth="1"/>
    <col min="1541" max="1541" width="100.15234375" style="14" customWidth="1"/>
    <col min="1542" max="1542" width="113.3046875" style="14" customWidth="1"/>
    <col min="1543" max="1544" width="9.15234375" style="14"/>
    <col min="1545" max="1545" width="28.3046875" style="14" customWidth="1"/>
    <col min="1546" max="1795" width="9.15234375" style="14"/>
    <col min="1796" max="1796" width="12.15234375" style="14" bestFit="1" customWidth="1"/>
    <col min="1797" max="1797" width="100.15234375" style="14" customWidth="1"/>
    <col min="1798" max="1798" width="113.3046875" style="14" customWidth="1"/>
    <col min="1799" max="1800" width="9.15234375" style="14"/>
    <col min="1801" max="1801" width="28.3046875" style="14" customWidth="1"/>
    <col min="1802" max="2051" width="9.15234375" style="14"/>
    <col min="2052" max="2052" width="12.15234375" style="14" bestFit="1" customWidth="1"/>
    <col min="2053" max="2053" width="100.15234375" style="14" customWidth="1"/>
    <col min="2054" max="2054" width="113.3046875" style="14" customWidth="1"/>
    <col min="2055" max="2056" width="9.15234375" style="14"/>
    <col min="2057" max="2057" width="28.3046875" style="14" customWidth="1"/>
    <col min="2058" max="2307" width="9.15234375" style="14"/>
    <col min="2308" max="2308" width="12.15234375" style="14" bestFit="1" customWidth="1"/>
    <col min="2309" max="2309" width="100.15234375" style="14" customWidth="1"/>
    <col min="2310" max="2310" width="113.3046875" style="14" customWidth="1"/>
    <col min="2311" max="2312" width="9.15234375" style="14"/>
    <col min="2313" max="2313" width="28.3046875" style="14" customWidth="1"/>
    <col min="2314" max="2563" width="9.15234375" style="14"/>
    <col min="2564" max="2564" width="12.15234375" style="14" bestFit="1" customWidth="1"/>
    <col min="2565" max="2565" width="100.15234375" style="14" customWidth="1"/>
    <col min="2566" max="2566" width="113.3046875" style="14" customWidth="1"/>
    <col min="2567" max="2568" width="9.15234375" style="14"/>
    <col min="2569" max="2569" width="28.3046875" style="14" customWidth="1"/>
    <col min="2570" max="2819" width="9.15234375" style="14"/>
    <col min="2820" max="2820" width="12.15234375" style="14" bestFit="1" customWidth="1"/>
    <col min="2821" max="2821" width="100.15234375" style="14" customWidth="1"/>
    <col min="2822" max="2822" width="113.3046875" style="14" customWidth="1"/>
    <col min="2823" max="2824" width="9.15234375" style="14"/>
    <col min="2825" max="2825" width="28.3046875" style="14" customWidth="1"/>
    <col min="2826" max="3075" width="9.15234375" style="14"/>
    <col min="3076" max="3076" width="12.15234375" style="14" bestFit="1" customWidth="1"/>
    <col min="3077" max="3077" width="100.15234375" style="14" customWidth="1"/>
    <col min="3078" max="3078" width="113.3046875" style="14" customWidth="1"/>
    <col min="3079" max="3080" width="9.15234375" style="14"/>
    <col min="3081" max="3081" width="28.3046875" style="14" customWidth="1"/>
    <col min="3082" max="3331" width="9.15234375" style="14"/>
    <col min="3332" max="3332" width="12.15234375" style="14" bestFit="1" customWidth="1"/>
    <col min="3333" max="3333" width="100.15234375" style="14" customWidth="1"/>
    <col min="3334" max="3334" width="113.3046875" style="14" customWidth="1"/>
    <col min="3335" max="3336" width="9.15234375" style="14"/>
    <col min="3337" max="3337" width="28.3046875" style="14" customWidth="1"/>
    <col min="3338" max="3587" width="9.15234375" style="14"/>
    <col min="3588" max="3588" width="12.15234375" style="14" bestFit="1" customWidth="1"/>
    <col min="3589" max="3589" width="100.15234375" style="14" customWidth="1"/>
    <col min="3590" max="3590" width="113.3046875" style="14" customWidth="1"/>
    <col min="3591" max="3592" width="9.15234375" style="14"/>
    <col min="3593" max="3593" width="28.3046875" style="14" customWidth="1"/>
    <col min="3594" max="3843" width="9.15234375" style="14"/>
    <col min="3844" max="3844" width="12.15234375" style="14" bestFit="1" customWidth="1"/>
    <col min="3845" max="3845" width="100.15234375" style="14" customWidth="1"/>
    <col min="3846" max="3846" width="113.3046875" style="14" customWidth="1"/>
    <col min="3847" max="3848" width="9.15234375" style="14"/>
    <col min="3849" max="3849" width="28.3046875" style="14" customWidth="1"/>
    <col min="3850" max="4099" width="9.15234375" style="14"/>
    <col min="4100" max="4100" width="12.15234375" style="14" bestFit="1" customWidth="1"/>
    <col min="4101" max="4101" width="100.15234375" style="14" customWidth="1"/>
    <col min="4102" max="4102" width="113.3046875" style="14" customWidth="1"/>
    <col min="4103" max="4104" width="9.15234375" style="14"/>
    <col min="4105" max="4105" width="28.3046875" style="14" customWidth="1"/>
    <col min="4106" max="4355" width="9.15234375" style="14"/>
    <col min="4356" max="4356" width="12.15234375" style="14" bestFit="1" customWidth="1"/>
    <col min="4357" max="4357" width="100.15234375" style="14" customWidth="1"/>
    <col min="4358" max="4358" width="113.3046875" style="14" customWidth="1"/>
    <col min="4359" max="4360" width="9.15234375" style="14"/>
    <col min="4361" max="4361" width="28.3046875" style="14" customWidth="1"/>
    <col min="4362" max="4611" width="9.15234375" style="14"/>
    <col min="4612" max="4612" width="12.15234375" style="14" bestFit="1" customWidth="1"/>
    <col min="4613" max="4613" width="100.15234375" style="14" customWidth="1"/>
    <col min="4614" max="4614" width="113.3046875" style="14" customWidth="1"/>
    <col min="4615" max="4616" width="9.15234375" style="14"/>
    <col min="4617" max="4617" width="28.3046875" style="14" customWidth="1"/>
    <col min="4618" max="4867" width="9.15234375" style="14"/>
    <col min="4868" max="4868" width="12.15234375" style="14" bestFit="1" customWidth="1"/>
    <col min="4869" max="4869" width="100.15234375" style="14" customWidth="1"/>
    <col min="4870" max="4870" width="113.3046875" style="14" customWidth="1"/>
    <col min="4871" max="4872" width="9.15234375" style="14"/>
    <col min="4873" max="4873" width="28.3046875" style="14" customWidth="1"/>
    <col min="4874" max="5123" width="9.15234375" style="14"/>
    <col min="5124" max="5124" width="12.15234375" style="14" bestFit="1" customWidth="1"/>
    <col min="5125" max="5125" width="100.15234375" style="14" customWidth="1"/>
    <col min="5126" max="5126" width="113.3046875" style="14" customWidth="1"/>
    <col min="5127" max="5128" width="9.15234375" style="14"/>
    <col min="5129" max="5129" width="28.3046875" style="14" customWidth="1"/>
    <col min="5130" max="5379" width="9.15234375" style="14"/>
    <col min="5380" max="5380" width="12.15234375" style="14" bestFit="1" customWidth="1"/>
    <col min="5381" max="5381" width="100.15234375" style="14" customWidth="1"/>
    <col min="5382" max="5382" width="113.3046875" style="14" customWidth="1"/>
    <col min="5383" max="5384" width="9.15234375" style="14"/>
    <col min="5385" max="5385" width="28.3046875" style="14" customWidth="1"/>
    <col min="5386" max="5635" width="9.15234375" style="14"/>
    <col min="5636" max="5636" width="12.15234375" style="14" bestFit="1" customWidth="1"/>
    <col min="5637" max="5637" width="100.15234375" style="14" customWidth="1"/>
    <col min="5638" max="5638" width="113.3046875" style="14" customWidth="1"/>
    <col min="5639" max="5640" width="9.15234375" style="14"/>
    <col min="5641" max="5641" width="28.3046875" style="14" customWidth="1"/>
    <col min="5642" max="5891" width="9.15234375" style="14"/>
    <col min="5892" max="5892" width="12.15234375" style="14" bestFit="1" customWidth="1"/>
    <col min="5893" max="5893" width="100.15234375" style="14" customWidth="1"/>
    <col min="5894" max="5894" width="113.3046875" style="14" customWidth="1"/>
    <col min="5895" max="5896" width="9.15234375" style="14"/>
    <col min="5897" max="5897" width="28.3046875" style="14" customWidth="1"/>
    <col min="5898" max="6147" width="9.15234375" style="14"/>
    <col min="6148" max="6148" width="12.15234375" style="14" bestFit="1" customWidth="1"/>
    <col min="6149" max="6149" width="100.15234375" style="14" customWidth="1"/>
    <col min="6150" max="6150" width="113.3046875" style="14" customWidth="1"/>
    <col min="6151" max="6152" width="9.15234375" style="14"/>
    <col min="6153" max="6153" width="28.3046875" style="14" customWidth="1"/>
    <col min="6154" max="6403" width="9.15234375" style="14"/>
    <col min="6404" max="6404" width="12.15234375" style="14" bestFit="1" customWidth="1"/>
    <col min="6405" max="6405" width="100.15234375" style="14" customWidth="1"/>
    <col min="6406" max="6406" width="113.3046875" style="14" customWidth="1"/>
    <col min="6407" max="6408" width="9.15234375" style="14"/>
    <col min="6409" max="6409" width="28.3046875" style="14" customWidth="1"/>
    <col min="6410" max="6659" width="9.15234375" style="14"/>
    <col min="6660" max="6660" width="12.15234375" style="14" bestFit="1" customWidth="1"/>
    <col min="6661" max="6661" width="100.15234375" style="14" customWidth="1"/>
    <col min="6662" max="6662" width="113.3046875" style="14" customWidth="1"/>
    <col min="6663" max="6664" width="9.15234375" style="14"/>
    <col min="6665" max="6665" width="28.3046875" style="14" customWidth="1"/>
    <col min="6666" max="6915" width="9.15234375" style="14"/>
    <col min="6916" max="6916" width="12.15234375" style="14" bestFit="1" customWidth="1"/>
    <col min="6917" max="6917" width="100.15234375" style="14" customWidth="1"/>
    <col min="6918" max="6918" width="113.3046875" style="14" customWidth="1"/>
    <col min="6919" max="6920" width="9.15234375" style="14"/>
    <col min="6921" max="6921" width="28.3046875" style="14" customWidth="1"/>
    <col min="6922" max="7171" width="9.15234375" style="14"/>
    <col min="7172" max="7172" width="12.15234375" style="14" bestFit="1" customWidth="1"/>
    <col min="7173" max="7173" width="100.15234375" style="14" customWidth="1"/>
    <col min="7174" max="7174" width="113.3046875" style="14" customWidth="1"/>
    <col min="7175" max="7176" width="9.15234375" style="14"/>
    <col min="7177" max="7177" width="28.3046875" style="14" customWidth="1"/>
    <col min="7178" max="7427" width="9.15234375" style="14"/>
    <col min="7428" max="7428" width="12.15234375" style="14" bestFit="1" customWidth="1"/>
    <col min="7429" max="7429" width="100.15234375" style="14" customWidth="1"/>
    <col min="7430" max="7430" width="113.3046875" style="14" customWidth="1"/>
    <col min="7431" max="7432" width="9.15234375" style="14"/>
    <col min="7433" max="7433" width="28.3046875" style="14" customWidth="1"/>
    <col min="7434" max="7683" width="9.15234375" style="14"/>
    <col min="7684" max="7684" width="12.15234375" style="14" bestFit="1" customWidth="1"/>
    <col min="7685" max="7685" width="100.15234375" style="14" customWidth="1"/>
    <col min="7686" max="7686" width="113.3046875" style="14" customWidth="1"/>
    <col min="7687" max="7688" width="9.15234375" style="14"/>
    <col min="7689" max="7689" width="28.3046875" style="14" customWidth="1"/>
    <col min="7690" max="7939" width="9.15234375" style="14"/>
    <col min="7940" max="7940" width="12.15234375" style="14" bestFit="1" customWidth="1"/>
    <col min="7941" max="7941" width="100.15234375" style="14" customWidth="1"/>
    <col min="7942" max="7942" width="113.3046875" style="14" customWidth="1"/>
    <col min="7943" max="7944" width="9.15234375" style="14"/>
    <col min="7945" max="7945" width="28.3046875" style="14" customWidth="1"/>
    <col min="7946" max="8195" width="9.15234375" style="14"/>
    <col min="8196" max="8196" width="12.15234375" style="14" bestFit="1" customWidth="1"/>
    <col min="8197" max="8197" width="100.15234375" style="14" customWidth="1"/>
    <col min="8198" max="8198" width="113.3046875" style="14" customWidth="1"/>
    <col min="8199" max="8200" width="9.15234375" style="14"/>
    <col min="8201" max="8201" width="28.3046875" style="14" customWidth="1"/>
    <col min="8202" max="8451" width="9.15234375" style="14"/>
    <col min="8452" max="8452" width="12.15234375" style="14" bestFit="1" customWidth="1"/>
    <col min="8453" max="8453" width="100.15234375" style="14" customWidth="1"/>
    <col min="8454" max="8454" width="113.3046875" style="14" customWidth="1"/>
    <col min="8455" max="8456" width="9.15234375" style="14"/>
    <col min="8457" max="8457" width="28.3046875" style="14" customWidth="1"/>
    <col min="8458" max="8707" width="9.15234375" style="14"/>
    <col min="8708" max="8708" width="12.15234375" style="14" bestFit="1" customWidth="1"/>
    <col min="8709" max="8709" width="100.15234375" style="14" customWidth="1"/>
    <col min="8710" max="8710" width="113.3046875" style="14" customWidth="1"/>
    <col min="8711" max="8712" width="9.15234375" style="14"/>
    <col min="8713" max="8713" width="28.3046875" style="14" customWidth="1"/>
    <col min="8714" max="8963" width="9.15234375" style="14"/>
    <col min="8964" max="8964" width="12.15234375" style="14" bestFit="1" customWidth="1"/>
    <col min="8965" max="8965" width="100.15234375" style="14" customWidth="1"/>
    <col min="8966" max="8966" width="113.3046875" style="14" customWidth="1"/>
    <col min="8967" max="8968" width="9.15234375" style="14"/>
    <col min="8969" max="8969" width="28.3046875" style="14" customWidth="1"/>
    <col min="8970" max="9219" width="9.15234375" style="14"/>
    <col min="9220" max="9220" width="12.15234375" style="14" bestFit="1" customWidth="1"/>
    <col min="9221" max="9221" width="100.15234375" style="14" customWidth="1"/>
    <col min="9222" max="9222" width="113.3046875" style="14" customWidth="1"/>
    <col min="9223" max="9224" width="9.15234375" style="14"/>
    <col min="9225" max="9225" width="28.3046875" style="14" customWidth="1"/>
    <col min="9226" max="9475" width="9.15234375" style="14"/>
    <col min="9476" max="9476" width="12.15234375" style="14" bestFit="1" customWidth="1"/>
    <col min="9477" max="9477" width="100.15234375" style="14" customWidth="1"/>
    <col min="9478" max="9478" width="113.3046875" style="14" customWidth="1"/>
    <col min="9479" max="9480" width="9.15234375" style="14"/>
    <col min="9481" max="9481" width="28.3046875" style="14" customWidth="1"/>
    <col min="9482" max="9731" width="9.15234375" style="14"/>
    <col min="9732" max="9732" width="12.15234375" style="14" bestFit="1" customWidth="1"/>
    <col min="9733" max="9733" width="100.15234375" style="14" customWidth="1"/>
    <col min="9734" max="9734" width="113.3046875" style="14" customWidth="1"/>
    <col min="9735" max="9736" width="9.15234375" style="14"/>
    <col min="9737" max="9737" width="28.3046875" style="14" customWidth="1"/>
    <col min="9738" max="9987" width="9.15234375" style="14"/>
    <col min="9988" max="9988" width="12.15234375" style="14" bestFit="1" customWidth="1"/>
    <col min="9989" max="9989" width="100.15234375" style="14" customWidth="1"/>
    <col min="9990" max="9990" width="113.3046875" style="14" customWidth="1"/>
    <col min="9991" max="9992" width="9.15234375" style="14"/>
    <col min="9993" max="9993" width="28.3046875" style="14" customWidth="1"/>
    <col min="9994" max="10243" width="9.15234375" style="14"/>
    <col min="10244" max="10244" width="12.15234375" style="14" bestFit="1" customWidth="1"/>
    <col min="10245" max="10245" width="100.15234375" style="14" customWidth="1"/>
    <col min="10246" max="10246" width="113.3046875" style="14" customWidth="1"/>
    <col min="10247" max="10248" width="9.15234375" style="14"/>
    <col min="10249" max="10249" width="28.3046875" style="14" customWidth="1"/>
    <col min="10250" max="10499" width="9.15234375" style="14"/>
    <col min="10500" max="10500" width="12.15234375" style="14" bestFit="1" customWidth="1"/>
    <col min="10501" max="10501" width="100.15234375" style="14" customWidth="1"/>
    <col min="10502" max="10502" width="113.3046875" style="14" customWidth="1"/>
    <col min="10503" max="10504" width="9.15234375" style="14"/>
    <col min="10505" max="10505" width="28.3046875" style="14" customWidth="1"/>
    <col min="10506" max="10755" width="9.15234375" style="14"/>
    <col min="10756" max="10756" width="12.15234375" style="14" bestFit="1" customWidth="1"/>
    <col min="10757" max="10757" width="100.15234375" style="14" customWidth="1"/>
    <col min="10758" max="10758" width="113.3046875" style="14" customWidth="1"/>
    <col min="10759" max="10760" width="9.15234375" style="14"/>
    <col min="10761" max="10761" width="28.3046875" style="14" customWidth="1"/>
    <col min="10762" max="11011" width="9.15234375" style="14"/>
    <col min="11012" max="11012" width="12.15234375" style="14" bestFit="1" customWidth="1"/>
    <col min="11013" max="11013" width="100.15234375" style="14" customWidth="1"/>
    <col min="11014" max="11014" width="113.3046875" style="14" customWidth="1"/>
    <col min="11015" max="11016" width="9.15234375" style="14"/>
    <col min="11017" max="11017" width="28.3046875" style="14" customWidth="1"/>
    <col min="11018" max="11267" width="9.15234375" style="14"/>
    <col min="11268" max="11268" width="12.15234375" style="14" bestFit="1" customWidth="1"/>
    <col min="11269" max="11269" width="100.15234375" style="14" customWidth="1"/>
    <col min="11270" max="11270" width="113.3046875" style="14" customWidth="1"/>
    <col min="11271" max="11272" width="9.15234375" style="14"/>
    <col min="11273" max="11273" width="28.3046875" style="14" customWidth="1"/>
    <col min="11274" max="11523" width="9.15234375" style="14"/>
    <col min="11524" max="11524" width="12.15234375" style="14" bestFit="1" customWidth="1"/>
    <col min="11525" max="11525" width="100.15234375" style="14" customWidth="1"/>
    <col min="11526" max="11526" width="113.3046875" style="14" customWidth="1"/>
    <col min="11527" max="11528" width="9.15234375" style="14"/>
    <col min="11529" max="11529" width="28.3046875" style="14" customWidth="1"/>
    <col min="11530" max="11779" width="9.15234375" style="14"/>
    <col min="11780" max="11780" width="12.15234375" style="14" bestFit="1" customWidth="1"/>
    <col min="11781" max="11781" width="100.15234375" style="14" customWidth="1"/>
    <col min="11782" max="11782" width="113.3046875" style="14" customWidth="1"/>
    <col min="11783" max="11784" width="9.15234375" style="14"/>
    <col min="11785" max="11785" width="28.3046875" style="14" customWidth="1"/>
    <col min="11786" max="12035" width="9.15234375" style="14"/>
    <col min="12036" max="12036" width="12.15234375" style="14" bestFit="1" customWidth="1"/>
    <col min="12037" max="12037" width="100.15234375" style="14" customWidth="1"/>
    <col min="12038" max="12038" width="113.3046875" style="14" customWidth="1"/>
    <col min="12039" max="12040" width="9.15234375" style="14"/>
    <col min="12041" max="12041" width="28.3046875" style="14" customWidth="1"/>
    <col min="12042" max="12291" width="9.15234375" style="14"/>
    <col min="12292" max="12292" width="12.15234375" style="14" bestFit="1" customWidth="1"/>
    <col min="12293" max="12293" width="100.15234375" style="14" customWidth="1"/>
    <col min="12294" max="12294" width="113.3046875" style="14" customWidth="1"/>
    <col min="12295" max="12296" width="9.15234375" style="14"/>
    <col min="12297" max="12297" width="28.3046875" style="14" customWidth="1"/>
    <col min="12298" max="12547" width="9.15234375" style="14"/>
    <col min="12548" max="12548" width="12.15234375" style="14" bestFit="1" customWidth="1"/>
    <col min="12549" max="12549" width="100.15234375" style="14" customWidth="1"/>
    <col min="12550" max="12550" width="113.3046875" style="14" customWidth="1"/>
    <col min="12551" max="12552" width="9.15234375" style="14"/>
    <col min="12553" max="12553" width="28.3046875" style="14" customWidth="1"/>
    <col min="12554" max="12803" width="9.15234375" style="14"/>
    <col min="12804" max="12804" width="12.15234375" style="14" bestFit="1" customWidth="1"/>
    <col min="12805" max="12805" width="100.15234375" style="14" customWidth="1"/>
    <col min="12806" max="12806" width="113.3046875" style="14" customWidth="1"/>
    <col min="12807" max="12808" width="9.15234375" style="14"/>
    <col min="12809" max="12809" width="28.3046875" style="14" customWidth="1"/>
    <col min="12810" max="13059" width="9.15234375" style="14"/>
    <col min="13060" max="13060" width="12.15234375" style="14" bestFit="1" customWidth="1"/>
    <col min="13061" max="13061" width="100.15234375" style="14" customWidth="1"/>
    <col min="13062" max="13062" width="113.3046875" style="14" customWidth="1"/>
    <col min="13063" max="13064" width="9.15234375" style="14"/>
    <col min="13065" max="13065" width="28.3046875" style="14" customWidth="1"/>
    <col min="13066" max="13315" width="9.15234375" style="14"/>
    <col min="13316" max="13316" width="12.15234375" style="14" bestFit="1" customWidth="1"/>
    <col min="13317" max="13317" width="100.15234375" style="14" customWidth="1"/>
    <col min="13318" max="13318" width="113.3046875" style="14" customWidth="1"/>
    <col min="13319" max="13320" width="9.15234375" style="14"/>
    <col min="13321" max="13321" width="28.3046875" style="14" customWidth="1"/>
    <col min="13322" max="13571" width="9.15234375" style="14"/>
    <col min="13572" max="13572" width="12.15234375" style="14" bestFit="1" customWidth="1"/>
    <col min="13573" max="13573" width="100.15234375" style="14" customWidth="1"/>
    <col min="13574" max="13574" width="113.3046875" style="14" customWidth="1"/>
    <col min="13575" max="13576" width="9.15234375" style="14"/>
    <col min="13577" max="13577" width="28.3046875" style="14" customWidth="1"/>
    <col min="13578" max="13827" width="9.15234375" style="14"/>
    <col min="13828" max="13828" width="12.15234375" style="14" bestFit="1" customWidth="1"/>
    <col min="13829" max="13829" width="100.15234375" style="14" customWidth="1"/>
    <col min="13830" max="13830" width="113.3046875" style="14" customWidth="1"/>
    <col min="13831" max="13832" width="9.15234375" style="14"/>
    <col min="13833" max="13833" width="28.3046875" style="14" customWidth="1"/>
    <col min="13834" max="14083" width="9.15234375" style="14"/>
    <col min="14084" max="14084" width="12.15234375" style="14" bestFit="1" customWidth="1"/>
    <col min="14085" max="14085" width="100.15234375" style="14" customWidth="1"/>
    <col min="14086" max="14086" width="113.3046875" style="14" customWidth="1"/>
    <col min="14087" max="14088" width="9.15234375" style="14"/>
    <col min="14089" max="14089" width="28.3046875" style="14" customWidth="1"/>
    <col min="14090" max="14339" width="9.15234375" style="14"/>
    <col min="14340" max="14340" width="12.15234375" style="14" bestFit="1" customWidth="1"/>
    <col min="14341" max="14341" width="100.15234375" style="14" customWidth="1"/>
    <col min="14342" max="14342" width="113.3046875" style="14" customWidth="1"/>
    <col min="14343" max="14344" width="9.15234375" style="14"/>
    <col min="14345" max="14345" width="28.3046875" style="14" customWidth="1"/>
    <col min="14346" max="14595" width="9.15234375" style="14"/>
    <col min="14596" max="14596" width="12.15234375" style="14" bestFit="1" customWidth="1"/>
    <col min="14597" max="14597" width="100.15234375" style="14" customWidth="1"/>
    <col min="14598" max="14598" width="113.3046875" style="14" customWidth="1"/>
    <col min="14599" max="14600" width="9.15234375" style="14"/>
    <col min="14601" max="14601" width="28.3046875" style="14" customWidth="1"/>
    <col min="14602" max="14851" width="9.15234375" style="14"/>
    <col min="14852" max="14852" width="12.15234375" style="14" bestFit="1" customWidth="1"/>
    <col min="14853" max="14853" width="100.15234375" style="14" customWidth="1"/>
    <col min="14854" max="14854" width="113.3046875" style="14" customWidth="1"/>
    <col min="14855" max="14856" width="9.15234375" style="14"/>
    <col min="14857" max="14857" width="28.3046875" style="14" customWidth="1"/>
    <col min="14858" max="15107" width="9.15234375" style="14"/>
    <col min="15108" max="15108" width="12.15234375" style="14" bestFit="1" customWidth="1"/>
    <col min="15109" max="15109" width="100.15234375" style="14" customWidth="1"/>
    <col min="15110" max="15110" width="113.3046875" style="14" customWidth="1"/>
    <col min="15111" max="15112" width="9.15234375" style="14"/>
    <col min="15113" max="15113" width="28.3046875" style="14" customWidth="1"/>
    <col min="15114" max="15363" width="9.15234375" style="14"/>
    <col min="15364" max="15364" width="12.15234375" style="14" bestFit="1" customWidth="1"/>
    <col min="15365" max="15365" width="100.15234375" style="14" customWidth="1"/>
    <col min="15366" max="15366" width="113.3046875" style="14" customWidth="1"/>
    <col min="15367" max="15368" width="9.15234375" style="14"/>
    <col min="15369" max="15369" width="28.3046875" style="14" customWidth="1"/>
    <col min="15370" max="15619" width="9.15234375" style="14"/>
    <col min="15620" max="15620" width="12.15234375" style="14" bestFit="1" customWidth="1"/>
    <col min="15621" max="15621" width="100.15234375" style="14" customWidth="1"/>
    <col min="15622" max="15622" width="113.3046875" style="14" customWidth="1"/>
    <col min="15623" max="15624" width="9.15234375" style="14"/>
    <col min="15625" max="15625" width="28.3046875" style="14" customWidth="1"/>
    <col min="15626" max="15875" width="9.15234375" style="14"/>
    <col min="15876" max="15876" width="12.15234375" style="14" bestFit="1" customWidth="1"/>
    <col min="15877" max="15877" width="100.15234375" style="14" customWidth="1"/>
    <col min="15878" max="15878" width="113.3046875" style="14" customWidth="1"/>
    <col min="15879" max="15880" width="9.15234375" style="14"/>
    <col min="15881" max="15881" width="28.3046875" style="14" customWidth="1"/>
    <col min="15882" max="16131" width="9.15234375" style="14"/>
    <col min="16132" max="16132" width="12.15234375" style="14" bestFit="1" customWidth="1"/>
    <col min="16133" max="16133" width="100.15234375" style="14" customWidth="1"/>
    <col min="16134" max="16134" width="113.3046875" style="14" customWidth="1"/>
    <col min="16135" max="16136" width="9.15234375" style="14"/>
    <col min="16137" max="16137" width="28.3046875" style="14" customWidth="1"/>
    <col min="16138" max="16384" width="9.15234375" style="14"/>
  </cols>
  <sheetData>
    <row r="1" spans="1:7" s="10" customFormat="1" ht="31.75">
      <c r="A1" s="7" t="s">
        <v>556</v>
      </c>
      <c r="B1" s="7" t="s">
        <v>557</v>
      </c>
      <c r="C1" s="8" t="s">
        <v>558</v>
      </c>
      <c r="D1" s="2" t="s">
        <v>4</v>
      </c>
      <c r="E1" s="2" t="s">
        <v>5</v>
      </c>
      <c r="F1" s="9" t="s">
        <v>559</v>
      </c>
      <c r="G1" s="9" t="s">
        <v>560</v>
      </c>
    </row>
    <row r="2" spans="1:7" s="10" customFormat="1">
      <c r="A2" s="7"/>
      <c r="B2" s="7"/>
      <c r="C2" s="11" t="s">
        <v>561</v>
      </c>
      <c r="D2" s="11"/>
      <c r="E2" s="11" t="s">
        <v>562</v>
      </c>
      <c r="F2" s="9"/>
    </row>
    <row r="3" spans="1:7" s="15" customFormat="1" ht="30" customHeight="1">
      <c r="A3" s="7" t="s">
        <v>563</v>
      </c>
      <c r="B3" s="12" t="str">
        <f>LEFT(A3,3)</f>
        <v>010</v>
      </c>
      <c r="C3" s="11" t="s">
        <v>564</v>
      </c>
      <c r="D3" s="13" t="str">
        <f>IF(RIGHT(A3,3)="000",C3,VLOOKUP(B3,'Справочник ИХ'!A:C,3,0))</f>
        <v xml:space="preserve">Зерновые и зернобобовые культуры </v>
      </c>
      <c r="E3" s="13" t="str">
        <f>IF(RIGHT(A3,3)="000","х",VLOOKUP(B3,'Справочник ИХ'!A:D,4,0))</f>
        <v>х</v>
      </c>
      <c r="F3" s="14" t="s">
        <v>564</v>
      </c>
    </row>
    <row r="4" spans="1:7" s="18" customFormat="1">
      <c r="A4" s="16" t="s">
        <v>565</v>
      </c>
      <c r="B4" s="12" t="str">
        <f t="shared" ref="B4:B67" si="0">LEFT(A4,3)</f>
        <v>011</v>
      </c>
      <c r="C4" s="17" t="s">
        <v>566</v>
      </c>
      <c r="D4" s="13" t="str">
        <f>IF(RIGHT(A4,3)="000",C4,VLOOKUP(B4,'Справочник ИХ'!A:C,3,0))</f>
        <v>Хлебные грузы</v>
      </c>
      <c r="E4" s="13">
        <f>IF(RIGHT(A4,3)="000","х",VLOOKUP(B4,'Справочник ИХ'!A:D,4,0))</f>
        <v>2</v>
      </c>
      <c r="F4" s="14" t="s">
        <v>564</v>
      </c>
    </row>
    <row r="5" spans="1:7" s="18" customFormat="1">
      <c r="A5" s="16" t="s">
        <v>567</v>
      </c>
      <c r="B5" s="12" t="str">
        <f t="shared" si="0"/>
        <v>012</v>
      </c>
      <c r="C5" s="17" t="s">
        <v>568</v>
      </c>
      <c r="D5" s="13" t="str">
        <f>IF(RIGHT(A5,3)="000",C5,VLOOKUP(B5,'Справочник ИХ'!A:C,3,0))</f>
        <v>Хлебные грузы</v>
      </c>
      <c r="E5" s="13">
        <f>IF(RIGHT(A5,3)="000","х",VLOOKUP(B5,'Справочник ИХ'!A:D,4,0))</f>
        <v>2</v>
      </c>
      <c r="F5" s="14" t="s">
        <v>564</v>
      </c>
    </row>
    <row r="6" spans="1:7" s="18" customFormat="1">
      <c r="A6" s="16" t="s">
        <v>569</v>
      </c>
      <c r="B6" s="12" t="str">
        <f t="shared" si="0"/>
        <v>013</v>
      </c>
      <c r="C6" s="17" t="s">
        <v>570</v>
      </c>
      <c r="D6" s="13" t="str">
        <f>IF(RIGHT(A6,3)="000",C6,VLOOKUP(B6,'Справочник ИХ'!A:C,3,0))</f>
        <v>Хлебные грузы</v>
      </c>
      <c r="E6" s="13">
        <f>IF(RIGHT(A6,3)="000","х",VLOOKUP(B6,'Справочник ИХ'!A:D,4,0))</f>
        <v>2</v>
      </c>
      <c r="F6" s="14" t="s">
        <v>564</v>
      </c>
    </row>
    <row r="7" spans="1:7" s="18" customFormat="1">
      <c r="A7" s="16" t="s">
        <v>571</v>
      </c>
      <c r="B7" s="12" t="str">
        <f t="shared" si="0"/>
        <v>014</v>
      </c>
      <c r="C7" s="17" t="s">
        <v>572</v>
      </c>
      <c r="D7" s="13" t="str">
        <f>IF(RIGHT(A7,3)="000",C7,VLOOKUP(B7,'Справочник ИХ'!A:C,3,0))</f>
        <v>Хлебные грузы</v>
      </c>
      <c r="E7" s="13">
        <f>IF(RIGHT(A7,3)="000","х",VLOOKUP(B7,'Справочник ИХ'!A:D,4,0))</f>
        <v>2</v>
      </c>
      <c r="F7" s="14" t="s">
        <v>564</v>
      </c>
    </row>
    <row r="8" spans="1:7" s="18" customFormat="1">
      <c r="A8" s="16" t="s">
        <v>573</v>
      </c>
      <c r="B8" s="12" t="str">
        <f t="shared" si="0"/>
        <v>015</v>
      </c>
      <c r="C8" s="17" t="s">
        <v>574</v>
      </c>
      <c r="D8" s="13" t="str">
        <f>IF(RIGHT(A8,3)="000",C8,VLOOKUP(B8,'Справочник ИХ'!A:C,3,0))</f>
        <v>Хлебные грузы</v>
      </c>
      <c r="E8" s="13">
        <f>IF(RIGHT(A8,3)="000","х",VLOOKUP(B8,'Справочник ИХ'!A:D,4,0))</f>
        <v>2</v>
      </c>
      <c r="F8" s="14" t="s">
        <v>564</v>
      </c>
    </row>
    <row r="9" spans="1:7" s="18" customFormat="1">
      <c r="A9" s="16" t="s">
        <v>575</v>
      </c>
      <c r="B9" s="12" t="str">
        <f t="shared" si="0"/>
        <v>016</v>
      </c>
      <c r="C9" s="17" t="s">
        <v>576</v>
      </c>
      <c r="D9" s="13" t="str">
        <f>IF(RIGHT(A9,3)="000",C9,VLOOKUP(B9,'Справочник ИХ'!A:C,3,0))</f>
        <v>Хлебные грузы</v>
      </c>
      <c r="E9" s="13">
        <f>IF(RIGHT(A9,3)="000","х",VLOOKUP(B9,'Справочник ИХ'!A:D,4,0))</f>
        <v>2</v>
      </c>
      <c r="F9" s="14" t="s">
        <v>564</v>
      </c>
    </row>
    <row r="10" spans="1:7" s="18" customFormat="1">
      <c r="A10" s="16" t="s">
        <v>577</v>
      </c>
      <c r="B10" s="12" t="str">
        <f t="shared" si="0"/>
        <v>017</v>
      </c>
      <c r="C10" s="17" t="s">
        <v>578</v>
      </c>
      <c r="D10" s="13" t="str">
        <f>IF(RIGHT(A10,3)="000",C10,VLOOKUP(B10,'Справочник ИХ'!A:C,3,0))</f>
        <v>Хлебные грузы</v>
      </c>
      <c r="E10" s="13">
        <f>IF(RIGHT(A10,3)="000","х",VLOOKUP(B10,'Справочник ИХ'!A:D,4,0))</f>
        <v>2</v>
      </c>
      <c r="F10" s="14" t="s">
        <v>564</v>
      </c>
    </row>
    <row r="11" spans="1:7">
      <c r="A11" s="19" t="s">
        <v>579</v>
      </c>
      <c r="B11" s="12" t="str">
        <f t="shared" si="0"/>
        <v>017</v>
      </c>
      <c r="C11" s="1" t="s">
        <v>580</v>
      </c>
      <c r="D11" s="13" t="str">
        <f>IF(RIGHT(A11,3)="000",C11,VLOOKUP(B11,'Справочник ИХ'!A:C,3,0))</f>
        <v>Хлебные грузы</v>
      </c>
      <c r="E11" s="13">
        <f>IF(RIGHT(A11,3)="000","х",VLOOKUP(B11,'Справочник ИХ'!A:D,4,0))</f>
        <v>2</v>
      </c>
      <c r="F11" s="14" t="s">
        <v>564</v>
      </c>
    </row>
    <row r="12" spans="1:7">
      <c r="A12" s="19" t="s">
        <v>581</v>
      </c>
      <c r="B12" s="12" t="str">
        <f t="shared" si="0"/>
        <v>017</v>
      </c>
      <c r="C12" s="1" t="s">
        <v>582</v>
      </c>
      <c r="D12" s="13" t="str">
        <f>IF(RIGHT(A12,3)="000",C12,VLOOKUP(B12,'Справочник ИХ'!A:C,3,0))</f>
        <v>Хлебные грузы</v>
      </c>
      <c r="E12" s="13">
        <f>IF(RIGHT(A12,3)="000","х",VLOOKUP(B12,'Справочник ИХ'!A:D,4,0))</f>
        <v>2</v>
      </c>
      <c r="F12" s="14" t="s">
        <v>564</v>
      </c>
    </row>
    <row r="13" spans="1:7">
      <c r="A13" s="19" t="s">
        <v>583</v>
      </c>
      <c r="B13" s="12" t="str">
        <f t="shared" si="0"/>
        <v>017</v>
      </c>
      <c r="C13" s="1" t="s">
        <v>584</v>
      </c>
      <c r="D13" s="13" t="str">
        <f>IF(RIGHT(A13,3)="000",C13,VLOOKUP(B13,'Справочник ИХ'!A:C,3,0))</f>
        <v>Хлебные грузы</v>
      </c>
      <c r="E13" s="13">
        <f>IF(RIGHT(A13,3)="000","х",VLOOKUP(B13,'Справочник ИХ'!A:D,4,0))</f>
        <v>2</v>
      </c>
      <c r="F13" s="14" t="s">
        <v>564</v>
      </c>
    </row>
    <row r="14" spans="1:7" s="18" customFormat="1">
      <c r="A14" s="16" t="s">
        <v>585</v>
      </c>
      <c r="B14" s="12" t="str">
        <f t="shared" si="0"/>
        <v>018</v>
      </c>
      <c r="C14" s="17" t="s">
        <v>586</v>
      </c>
      <c r="D14" s="13" t="str">
        <f>IF(RIGHT(A14,3)="000",C14,VLOOKUP(B14,'Справочник ИХ'!A:C,3,0))</f>
        <v>Хлебные грузы</v>
      </c>
      <c r="E14" s="13">
        <f>IF(RIGHT(A14,3)="000","х",VLOOKUP(B14,'Справочник ИХ'!A:D,4,0))</f>
        <v>2</v>
      </c>
      <c r="F14" s="14" t="s">
        <v>564</v>
      </c>
    </row>
    <row r="15" spans="1:7">
      <c r="A15" s="19" t="s">
        <v>587</v>
      </c>
      <c r="B15" s="12" t="str">
        <f t="shared" si="0"/>
        <v>018</v>
      </c>
      <c r="C15" s="1" t="s">
        <v>588</v>
      </c>
      <c r="D15" s="13" t="str">
        <f>IF(RIGHT(A15,3)="000",C15,VLOOKUP(B15,'Справочник ИХ'!A:C,3,0))</f>
        <v>Хлебные грузы</v>
      </c>
      <c r="E15" s="13">
        <f>IF(RIGHT(A15,3)="000","х",VLOOKUP(B15,'Справочник ИХ'!A:D,4,0))</f>
        <v>2</v>
      </c>
      <c r="F15" s="14" t="s">
        <v>564</v>
      </c>
    </row>
    <row r="16" spans="1:7">
      <c r="A16" s="19" t="s">
        <v>589</v>
      </c>
      <c r="B16" s="12" t="str">
        <f t="shared" si="0"/>
        <v>018</v>
      </c>
      <c r="C16" s="1" t="s">
        <v>590</v>
      </c>
      <c r="D16" s="13" t="str">
        <f>IF(RIGHT(A16,3)="000",C16,VLOOKUP(B16,'Справочник ИХ'!A:C,3,0))</f>
        <v>Хлебные грузы</v>
      </c>
      <c r="E16" s="13">
        <f>IF(RIGHT(A16,3)="000","х",VLOOKUP(B16,'Справочник ИХ'!A:D,4,0))</f>
        <v>2</v>
      </c>
      <c r="F16" s="14" t="s">
        <v>564</v>
      </c>
    </row>
    <row r="17" spans="1:6">
      <c r="A17" s="19" t="s">
        <v>591</v>
      </c>
      <c r="B17" s="12" t="str">
        <f t="shared" si="0"/>
        <v>018</v>
      </c>
      <c r="C17" s="1" t="s">
        <v>592</v>
      </c>
      <c r="D17" s="13" t="str">
        <f>IF(RIGHT(A17,3)="000",C17,VLOOKUP(B17,'Справочник ИХ'!A:C,3,0))</f>
        <v>Хлебные грузы</v>
      </c>
      <c r="E17" s="13">
        <f>IF(RIGHT(A17,3)="000","х",VLOOKUP(B17,'Справочник ИХ'!A:D,4,0))</f>
        <v>2</v>
      </c>
      <c r="F17" s="14" t="s">
        <v>564</v>
      </c>
    </row>
    <row r="18" spans="1:6">
      <c r="A18" s="19" t="s">
        <v>593</v>
      </c>
      <c r="B18" s="12" t="str">
        <f t="shared" si="0"/>
        <v>018</v>
      </c>
      <c r="C18" s="1" t="s">
        <v>594</v>
      </c>
      <c r="D18" s="13" t="str">
        <f>IF(RIGHT(A18,3)="000",C18,VLOOKUP(B18,'Справочник ИХ'!A:C,3,0))</f>
        <v>Хлебные грузы</v>
      </c>
      <c r="E18" s="13">
        <f>IF(RIGHT(A18,3)="000","х",VLOOKUP(B18,'Справочник ИХ'!A:D,4,0))</f>
        <v>2</v>
      </c>
      <c r="F18" s="14" t="s">
        <v>564</v>
      </c>
    </row>
    <row r="19" spans="1:6">
      <c r="A19" s="19" t="s">
        <v>595</v>
      </c>
      <c r="B19" s="12" t="str">
        <f t="shared" si="0"/>
        <v>018</v>
      </c>
      <c r="C19" s="1" t="s">
        <v>596</v>
      </c>
      <c r="D19" s="13" t="str">
        <f>IF(RIGHT(A19,3)="000",C19,VLOOKUP(B19,'Справочник ИХ'!A:C,3,0))</f>
        <v>Хлебные грузы</v>
      </c>
      <c r="E19" s="13">
        <f>IF(RIGHT(A19,3)="000","х",VLOOKUP(B19,'Справочник ИХ'!A:D,4,0))</f>
        <v>2</v>
      </c>
      <c r="F19" s="14" t="s">
        <v>564</v>
      </c>
    </row>
    <row r="20" spans="1:6">
      <c r="A20" s="19" t="s">
        <v>597</v>
      </c>
      <c r="B20" s="12" t="str">
        <f t="shared" si="0"/>
        <v>018</v>
      </c>
      <c r="C20" s="1" t="s">
        <v>598</v>
      </c>
      <c r="D20" s="13" t="str">
        <f>IF(RIGHT(A20,3)="000",C20,VLOOKUP(B20,'Справочник ИХ'!A:C,3,0))</f>
        <v>Хлебные грузы</v>
      </c>
      <c r="E20" s="13">
        <f>IF(RIGHT(A20,3)="000","х",VLOOKUP(B20,'Справочник ИХ'!A:D,4,0))</f>
        <v>2</v>
      </c>
      <c r="F20" s="14" t="s">
        <v>564</v>
      </c>
    </row>
    <row r="21" spans="1:6">
      <c r="A21" s="19" t="s">
        <v>599</v>
      </c>
      <c r="B21" s="12" t="str">
        <f t="shared" si="0"/>
        <v>018</v>
      </c>
      <c r="C21" s="1" t="s">
        <v>600</v>
      </c>
      <c r="D21" s="13" t="str">
        <f>IF(RIGHT(A21,3)="000",C21,VLOOKUP(B21,'Справочник ИХ'!A:C,3,0))</f>
        <v>Хлебные грузы</v>
      </c>
      <c r="E21" s="13">
        <f>IF(RIGHT(A21,3)="000","х",VLOOKUP(B21,'Справочник ИХ'!A:D,4,0))</f>
        <v>2</v>
      </c>
      <c r="F21" s="14" t="s">
        <v>564</v>
      </c>
    </row>
    <row r="22" spans="1:6">
      <c r="A22" s="19" t="s">
        <v>601</v>
      </c>
      <c r="B22" s="12" t="str">
        <f t="shared" si="0"/>
        <v>018</v>
      </c>
      <c r="C22" s="1" t="s">
        <v>602</v>
      </c>
      <c r="D22" s="13" t="str">
        <f>IF(RIGHT(A22,3)="000",C22,VLOOKUP(B22,'Справочник ИХ'!A:C,3,0))</f>
        <v>Хлебные грузы</v>
      </c>
      <c r="E22" s="13">
        <f>IF(RIGHT(A22,3)="000","х",VLOOKUP(B22,'Справочник ИХ'!A:D,4,0))</f>
        <v>2</v>
      </c>
      <c r="F22" s="14" t="s">
        <v>564</v>
      </c>
    </row>
    <row r="23" spans="1:6">
      <c r="A23" s="19" t="s">
        <v>603</v>
      </c>
      <c r="B23" s="12" t="str">
        <f t="shared" si="0"/>
        <v>018</v>
      </c>
      <c r="C23" s="1" t="s">
        <v>604</v>
      </c>
      <c r="D23" s="13" t="str">
        <f>IF(RIGHT(A23,3)="000",C23,VLOOKUP(B23,'Справочник ИХ'!A:C,3,0))</f>
        <v>Хлебные грузы</v>
      </c>
      <c r="E23" s="13">
        <f>IF(RIGHT(A23,3)="000","х",VLOOKUP(B23,'Справочник ИХ'!A:D,4,0))</f>
        <v>2</v>
      </c>
      <c r="F23" s="14" t="s">
        <v>564</v>
      </c>
    </row>
    <row r="24" spans="1:6">
      <c r="A24" s="19" t="s">
        <v>605</v>
      </c>
      <c r="B24" s="12" t="str">
        <f t="shared" si="0"/>
        <v>018</v>
      </c>
      <c r="C24" s="1" t="s">
        <v>606</v>
      </c>
      <c r="D24" s="13" t="str">
        <f>IF(RIGHT(A24,3)="000",C24,VLOOKUP(B24,'Справочник ИХ'!A:C,3,0))</f>
        <v>Хлебные грузы</v>
      </c>
      <c r="E24" s="13">
        <f>IF(RIGHT(A24,3)="000","х",VLOOKUP(B24,'Справочник ИХ'!A:D,4,0))</f>
        <v>2</v>
      </c>
      <c r="F24" s="14" t="s">
        <v>564</v>
      </c>
    </row>
    <row r="25" spans="1:6">
      <c r="A25" s="19" t="s">
        <v>607</v>
      </c>
      <c r="B25" s="12" t="str">
        <f t="shared" si="0"/>
        <v>018</v>
      </c>
      <c r="C25" s="1" t="s">
        <v>608</v>
      </c>
      <c r="D25" s="13" t="str">
        <f>IF(RIGHT(A25,3)="000",C25,VLOOKUP(B25,'Справочник ИХ'!A:C,3,0))</f>
        <v>Хлебные грузы</v>
      </c>
      <c r="E25" s="13">
        <f>IF(RIGHT(A25,3)="000","х",VLOOKUP(B25,'Справочник ИХ'!A:D,4,0))</f>
        <v>2</v>
      </c>
      <c r="F25" s="14" t="s">
        <v>564</v>
      </c>
    </row>
    <row r="26" spans="1:6">
      <c r="A26" s="19" t="s">
        <v>609</v>
      </c>
      <c r="B26" s="12" t="str">
        <f t="shared" si="0"/>
        <v>018</v>
      </c>
      <c r="C26" s="1" t="s">
        <v>610</v>
      </c>
      <c r="D26" s="13" t="str">
        <f>IF(RIGHT(A26,3)="000",C26,VLOOKUP(B26,'Справочник ИХ'!A:C,3,0))</f>
        <v>Хлебные грузы</v>
      </c>
      <c r="E26" s="13">
        <f>IF(RIGHT(A26,3)="000","х",VLOOKUP(B26,'Справочник ИХ'!A:D,4,0))</f>
        <v>2</v>
      </c>
      <c r="F26" s="14" t="s">
        <v>564</v>
      </c>
    </row>
    <row r="27" spans="1:6">
      <c r="A27" s="19" t="s">
        <v>611</v>
      </c>
      <c r="B27" s="12" t="str">
        <f t="shared" si="0"/>
        <v>018</v>
      </c>
      <c r="C27" s="1" t="s">
        <v>612</v>
      </c>
      <c r="D27" s="13" t="str">
        <f>IF(RIGHT(A27,3)="000",C27,VLOOKUP(B27,'Справочник ИХ'!A:C,3,0))</f>
        <v>Хлебные грузы</v>
      </c>
      <c r="E27" s="13">
        <f>IF(RIGHT(A27,3)="000","х",VLOOKUP(B27,'Справочник ИХ'!A:D,4,0))</f>
        <v>2</v>
      </c>
      <c r="F27" s="14" t="s">
        <v>564</v>
      </c>
    </row>
    <row r="28" spans="1:6">
      <c r="A28" s="19" t="s">
        <v>613</v>
      </c>
      <c r="B28" s="12" t="str">
        <f t="shared" si="0"/>
        <v>018</v>
      </c>
      <c r="C28" s="1" t="s">
        <v>614</v>
      </c>
      <c r="D28" s="13" t="str">
        <f>IF(RIGHT(A28,3)="000",C28,VLOOKUP(B28,'Справочник ИХ'!A:C,3,0))</f>
        <v>Хлебные грузы</v>
      </c>
      <c r="E28" s="13">
        <f>IF(RIGHT(A28,3)="000","х",VLOOKUP(B28,'Справочник ИХ'!A:D,4,0))</f>
        <v>2</v>
      </c>
      <c r="F28" s="14" t="s">
        <v>564</v>
      </c>
    </row>
    <row r="29" spans="1:6">
      <c r="A29" s="19" t="s">
        <v>615</v>
      </c>
      <c r="B29" s="12" t="str">
        <f t="shared" si="0"/>
        <v>018</v>
      </c>
      <c r="C29" s="1" t="s">
        <v>616</v>
      </c>
      <c r="D29" s="13" t="str">
        <f>IF(RIGHT(A29,3)="000",C29,VLOOKUP(B29,'Справочник ИХ'!A:C,3,0))</f>
        <v>Хлебные грузы</v>
      </c>
      <c r="E29" s="13">
        <f>IF(RIGHT(A29,3)="000","х",VLOOKUP(B29,'Справочник ИХ'!A:D,4,0))</f>
        <v>2</v>
      </c>
      <c r="F29" s="14" t="s">
        <v>564</v>
      </c>
    </row>
    <row r="30" spans="1:6" s="15" customFormat="1">
      <c r="A30" s="7" t="s">
        <v>617</v>
      </c>
      <c r="B30" s="12" t="str">
        <f t="shared" si="0"/>
        <v>020</v>
      </c>
      <c r="C30" s="11" t="s">
        <v>618</v>
      </c>
      <c r="D30" s="13" t="str">
        <f>IF(RIGHT(A30,3)="000",C30,VLOOKUP(B30,'Справочник ИХ'!A:C,3,0))</f>
        <v xml:space="preserve">Семена </v>
      </c>
      <c r="E30" s="13" t="str">
        <f>IF(RIGHT(A30,3)="000","х",VLOOKUP(B30,'Справочник ИХ'!A:D,4,0))</f>
        <v>х</v>
      </c>
      <c r="F30" s="14" t="s">
        <v>618</v>
      </c>
    </row>
    <row r="31" spans="1:6" s="18" customFormat="1" ht="31.75">
      <c r="A31" s="16" t="s">
        <v>619</v>
      </c>
      <c r="B31" s="12" t="str">
        <f t="shared" si="0"/>
        <v>021</v>
      </c>
      <c r="C31" s="17" t="s">
        <v>620</v>
      </c>
      <c r="D31" s="13" t="str">
        <f>IF(RIGHT(A31,3)="000",C31,VLOOKUP(B31,'Справочник ИХ'!A:C,3,0))</f>
        <v>Хлебные грузы</v>
      </c>
      <c r="E31" s="13">
        <f>IF(RIGHT(A31,3)="000","х",VLOOKUP(B31,'Справочник ИХ'!A:D,4,0))</f>
        <v>2</v>
      </c>
      <c r="F31" s="14" t="s">
        <v>618</v>
      </c>
    </row>
    <row r="32" spans="1:6">
      <c r="A32" s="19" t="s">
        <v>621</v>
      </c>
      <c r="B32" s="12" t="str">
        <f t="shared" si="0"/>
        <v>021</v>
      </c>
      <c r="C32" s="1" t="s">
        <v>1</v>
      </c>
      <c r="D32" s="13" t="str">
        <f>IF(RIGHT(A32,3)="000",C32,VLOOKUP(B32,'Справочник ИХ'!A:C,3,0))</f>
        <v>Хлебные грузы</v>
      </c>
      <c r="E32" s="13">
        <f>IF(RIGHT(A32,3)="000","х",VLOOKUP(B32,'Справочник ИХ'!A:D,4,0))</f>
        <v>2</v>
      </c>
      <c r="F32" s="14" t="s">
        <v>618</v>
      </c>
    </row>
    <row r="33" spans="1:6">
      <c r="A33" s="19" t="s">
        <v>622</v>
      </c>
      <c r="B33" s="12" t="str">
        <f t="shared" si="0"/>
        <v>021</v>
      </c>
      <c r="C33" s="1" t="s">
        <v>623</v>
      </c>
      <c r="D33" s="13" t="str">
        <f>IF(RIGHT(A33,3)="000",C33,VLOOKUP(B33,'Справочник ИХ'!A:C,3,0))</f>
        <v>Хлебные грузы</v>
      </c>
      <c r="E33" s="13">
        <f>IF(RIGHT(A33,3)="000","х",VLOOKUP(B33,'Справочник ИХ'!A:D,4,0))</f>
        <v>2</v>
      </c>
      <c r="F33" s="14" t="s">
        <v>618</v>
      </c>
    </row>
    <row r="34" spans="1:6">
      <c r="A34" s="19" t="s">
        <v>624</v>
      </c>
      <c r="B34" s="12" t="str">
        <f t="shared" si="0"/>
        <v>021</v>
      </c>
      <c r="C34" s="1" t="s">
        <v>625</v>
      </c>
      <c r="D34" s="13" t="str">
        <f>IF(RIGHT(A34,3)="000",C34,VLOOKUP(B34,'Справочник ИХ'!A:C,3,0))</f>
        <v>Хлебные грузы</v>
      </c>
      <c r="E34" s="13">
        <f>IF(RIGHT(A34,3)="000","х",VLOOKUP(B34,'Справочник ИХ'!A:D,4,0))</f>
        <v>2</v>
      </c>
      <c r="F34" s="14" t="s">
        <v>618</v>
      </c>
    </row>
    <row r="35" spans="1:6">
      <c r="A35" s="19" t="s">
        <v>626</v>
      </c>
      <c r="B35" s="12" t="str">
        <f t="shared" si="0"/>
        <v>021</v>
      </c>
      <c r="C35" s="1" t="s">
        <v>627</v>
      </c>
      <c r="D35" s="13" t="str">
        <f>IF(RIGHT(A35,3)="000",C35,VLOOKUP(B35,'Справочник ИХ'!A:C,3,0))</f>
        <v>Хлебные грузы</v>
      </c>
      <c r="E35" s="13">
        <f>IF(RIGHT(A35,3)="000","х",VLOOKUP(B35,'Справочник ИХ'!A:D,4,0))</f>
        <v>2</v>
      </c>
      <c r="F35" s="14" t="s">
        <v>618</v>
      </c>
    </row>
    <row r="36" spans="1:6">
      <c r="A36" s="19" t="s">
        <v>628</v>
      </c>
      <c r="B36" s="12" t="str">
        <f t="shared" si="0"/>
        <v>021</v>
      </c>
      <c r="C36" s="1" t="s">
        <v>629</v>
      </c>
      <c r="D36" s="13" t="str">
        <f>IF(RIGHT(A36,3)="000",C36,VLOOKUP(B36,'Справочник ИХ'!A:C,3,0))</f>
        <v>Хлебные грузы</v>
      </c>
      <c r="E36" s="13">
        <f>IF(RIGHT(A36,3)="000","х",VLOOKUP(B36,'Справочник ИХ'!A:D,4,0))</f>
        <v>2</v>
      </c>
      <c r="F36" s="14" t="s">
        <v>618</v>
      </c>
    </row>
    <row r="37" spans="1:6">
      <c r="A37" s="19" t="s">
        <v>630</v>
      </c>
      <c r="B37" s="12" t="str">
        <f t="shared" si="0"/>
        <v>021</v>
      </c>
      <c r="C37" s="1" t="s">
        <v>631</v>
      </c>
      <c r="D37" s="13" t="str">
        <f>IF(RIGHT(A37,3)="000",C37,VLOOKUP(B37,'Справочник ИХ'!A:C,3,0))</f>
        <v>Хлебные грузы</v>
      </c>
      <c r="E37" s="13">
        <f>IF(RIGHT(A37,3)="000","х",VLOOKUP(B37,'Справочник ИХ'!A:D,4,0))</f>
        <v>2</v>
      </c>
      <c r="F37" s="14" t="s">
        <v>618</v>
      </c>
    </row>
    <row r="38" spans="1:6">
      <c r="A38" s="19" t="s">
        <v>632</v>
      </c>
      <c r="B38" s="12" t="str">
        <f t="shared" si="0"/>
        <v>021</v>
      </c>
      <c r="C38" s="1" t="s">
        <v>633</v>
      </c>
      <c r="D38" s="13" t="str">
        <f>IF(RIGHT(A38,3)="000",C38,VLOOKUP(B38,'Справочник ИХ'!A:C,3,0))</f>
        <v>Хлебные грузы</v>
      </c>
      <c r="E38" s="13">
        <f>IF(RIGHT(A38,3)="000","х",VLOOKUP(B38,'Справочник ИХ'!A:D,4,0))</f>
        <v>2</v>
      </c>
      <c r="F38" s="14" t="s">
        <v>618</v>
      </c>
    </row>
    <row r="39" spans="1:6" ht="31.75">
      <c r="A39" s="19" t="s">
        <v>634</v>
      </c>
      <c r="B39" s="12" t="str">
        <f t="shared" si="0"/>
        <v>021</v>
      </c>
      <c r="C39" s="1" t="s">
        <v>635</v>
      </c>
      <c r="D39" s="13" t="str">
        <f>IF(RIGHT(A39,3)="000",C39,VLOOKUP(B39,'Справочник ИХ'!A:C,3,0))</f>
        <v>Хлебные грузы</v>
      </c>
      <c r="E39" s="13">
        <f>IF(RIGHT(A39,3)="000","х",VLOOKUP(B39,'Справочник ИХ'!A:D,4,0))</f>
        <v>2</v>
      </c>
      <c r="F39" s="14" t="s">
        <v>618</v>
      </c>
    </row>
    <row r="40" spans="1:6">
      <c r="A40" s="19" t="s">
        <v>636</v>
      </c>
      <c r="B40" s="12" t="str">
        <f t="shared" si="0"/>
        <v>021</v>
      </c>
      <c r="C40" s="1" t="s">
        <v>637</v>
      </c>
      <c r="D40" s="13" t="str">
        <f>IF(RIGHT(A40,3)="000",C40,VLOOKUP(B40,'Справочник ИХ'!A:C,3,0))</f>
        <v>Хлебные грузы</v>
      </c>
      <c r="E40" s="13">
        <f>IF(RIGHT(A40,3)="000","х",VLOOKUP(B40,'Справочник ИХ'!A:D,4,0))</f>
        <v>2</v>
      </c>
      <c r="F40" s="14" t="s">
        <v>618</v>
      </c>
    </row>
    <row r="41" spans="1:6">
      <c r="A41" s="19" t="s">
        <v>638</v>
      </c>
      <c r="B41" s="12" t="str">
        <f t="shared" si="0"/>
        <v>021</v>
      </c>
      <c r="C41" s="1" t="s">
        <v>639</v>
      </c>
      <c r="D41" s="13" t="str">
        <f>IF(RIGHT(A41,3)="000",C41,VLOOKUP(B41,'Справочник ИХ'!A:C,3,0))</f>
        <v>Хлебные грузы</v>
      </c>
      <c r="E41" s="13">
        <f>IF(RIGHT(A41,3)="000","х",VLOOKUP(B41,'Справочник ИХ'!A:D,4,0))</f>
        <v>2</v>
      </c>
      <c r="F41" s="14" t="s">
        <v>618</v>
      </c>
    </row>
    <row r="42" spans="1:6">
      <c r="A42" s="19" t="s">
        <v>640</v>
      </c>
      <c r="B42" s="12" t="str">
        <f t="shared" si="0"/>
        <v>021</v>
      </c>
      <c r="C42" s="1" t="s">
        <v>641</v>
      </c>
      <c r="D42" s="13" t="str">
        <f>IF(RIGHT(A42,3)="000",C42,VLOOKUP(B42,'Справочник ИХ'!A:C,3,0))</f>
        <v>Хлебные грузы</v>
      </c>
      <c r="E42" s="13">
        <f>IF(RIGHT(A42,3)="000","х",VLOOKUP(B42,'Справочник ИХ'!A:D,4,0))</f>
        <v>2</v>
      </c>
      <c r="F42" s="14" t="s">
        <v>618</v>
      </c>
    </row>
    <row r="43" spans="1:6">
      <c r="A43" s="19" t="s">
        <v>642</v>
      </c>
      <c r="B43" s="12" t="str">
        <f t="shared" si="0"/>
        <v>021</v>
      </c>
      <c r="C43" s="1" t="s">
        <v>643</v>
      </c>
      <c r="D43" s="13" t="str">
        <f>IF(RIGHT(A43,3)="000",C43,VLOOKUP(B43,'Справочник ИХ'!A:C,3,0))</f>
        <v>Хлебные грузы</v>
      </c>
      <c r="E43" s="13">
        <f>IF(RIGHT(A43,3)="000","х",VLOOKUP(B43,'Справочник ИХ'!A:D,4,0))</f>
        <v>2</v>
      </c>
      <c r="F43" s="14" t="s">
        <v>618</v>
      </c>
    </row>
    <row r="44" spans="1:6">
      <c r="A44" s="19" t="s">
        <v>644</v>
      </c>
      <c r="B44" s="12" t="str">
        <f t="shared" si="0"/>
        <v>021</v>
      </c>
      <c r="C44" s="1" t="s">
        <v>645</v>
      </c>
      <c r="D44" s="13" t="str">
        <f>IF(RIGHT(A44,3)="000",C44,VLOOKUP(B44,'Справочник ИХ'!A:C,3,0))</f>
        <v>Хлебные грузы</v>
      </c>
      <c r="E44" s="13">
        <f>IF(RIGHT(A44,3)="000","х",VLOOKUP(B44,'Справочник ИХ'!A:D,4,0))</f>
        <v>2</v>
      </c>
      <c r="F44" s="14" t="s">
        <v>618</v>
      </c>
    </row>
    <row r="45" spans="1:6" s="18" customFormat="1">
      <c r="A45" s="16" t="s">
        <v>646</v>
      </c>
      <c r="B45" s="12" t="str">
        <f t="shared" si="0"/>
        <v>022</v>
      </c>
      <c r="C45" s="17" t="s">
        <v>647</v>
      </c>
      <c r="D45" s="13" t="str">
        <f>IF(RIGHT(A45,3)="000",C45,VLOOKUP(B45,'Справочник ИХ'!A:C,3,0))</f>
        <v>Остальные грузы</v>
      </c>
      <c r="E45" s="13">
        <f>IF(RIGHT(A45,3)="000","х",VLOOKUP(B45,'Справочник ИХ'!A:D,4,0))</f>
        <v>2</v>
      </c>
      <c r="F45" s="14" t="s">
        <v>618</v>
      </c>
    </row>
    <row r="46" spans="1:6" s="18" customFormat="1">
      <c r="A46" s="16" t="s">
        <v>648</v>
      </c>
      <c r="B46" s="12" t="str">
        <f t="shared" si="0"/>
        <v>023</v>
      </c>
      <c r="C46" s="17" t="s">
        <v>649</v>
      </c>
      <c r="D46" s="13" t="str">
        <f>IF(RIGHT(A46,3)="000",C46,VLOOKUP(B46,'Справочник ИХ'!A:C,3,0))</f>
        <v>Остальные грузы</v>
      </c>
      <c r="E46" s="13">
        <f>IF(RIGHT(A46,3)="000","х",VLOOKUP(B46,'Справочник ИХ'!A:D,4,0))</f>
        <v>2</v>
      </c>
      <c r="F46" s="14" t="s">
        <v>618</v>
      </c>
    </row>
    <row r="47" spans="1:6" s="18" customFormat="1">
      <c r="A47" s="16" t="s">
        <v>650</v>
      </c>
      <c r="B47" s="12" t="str">
        <f t="shared" si="0"/>
        <v>024</v>
      </c>
      <c r="C47" s="17" t="s">
        <v>651</v>
      </c>
      <c r="D47" s="13" t="str">
        <f>IF(RIGHT(A47,3)="000",C47,VLOOKUP(B47,'Справочник ИХ'!A:C,3,0))</f>
        <v>Хлебные грузы</v>
      </c>
      <c r="E47" s="13">
        <f>IF(RIGHT(A47,3)="000","х",VLOOKUP(B47,'Справочник ИХ'!A:D,4,0))</f>
        <v>2</v>
      </c>
      <c r="F47" s="14" t="s">
        <v>618</v>
      </c>
    </row>
    <row r="48" spans="1:6">
      <c r="A48" s="19" t="s">
        <v>652</v>
      </c>
      <c r="B48" s="12" t="str">
        <f t="shared" si="0"/>
        <v>024</v>
      </c>
      <c r="C48" s="1" t="s">
        <v>653</v>
      </c>
      <c r="D48" s="13" t="str">
        <f>IF(RIGHT(A48,3)="000",C48,VLOOKUP(B48,'Справочник ИХ'!A:C,3,0))</f>
        <v>Хлебные грузы</v>
      </c>
      <c r="E48" s="13">
        <f>IF(RIGHT(A48,3)="000","х",VLOOKUP(B48,'Справочник ИХ'!A:D,4,0))</f>
        <v>2</v>
      </c>
      <c r="F48" s="14" t="s">
        <v>618</v>
      </c>
    </row>
    <row r="49" spans="1:6">
      <c r="A49" s="19" t="s">
        <v>654</v>
      </c>
      <c r="B49" s="12" t="str">
        <f t="shared" si="0"/>
        <v>024</v>
      </c>
      <c r="C49" s="1" t="s">
        <v>655</v>
      </c>
      <c r="D49" s="13" t="str">
        <f>IF(RIGHT(A49,3)="000",C49,VLOOKUP(B49,'Справочник ИХ'!A:C,3,0))</f>
        <v>Хлебные грузы</v>
      </c>
      <c r="E49" s="13">
        <f>IF(RIGHT(A49,3)="000","х",VLOOKUP(B49,'Справочник ИХ'!A:D,4,0))</f>
        <v>2</v>
      </c>
      <c r="F49" s="14" t="s">
        <v>618</v>
      </c>
    </row>
    <row r="50" spans="1:6" ht="31.75">
      <c r="A50" s="19" t="s">
        <v>656</v>
      </c>
      <c r="B50" s="12" t="str">
        <f t="shared" si="0"/>
        <v>024</v>
      </c>
      <c r="C50" s="1" t="s">
        <v>657</v>
      </c>
      <c r="D50" s="13" t="str">
        <f>IF(RIGHT(A50,3)="000",C50,VLOOKUP(B50,'Справочник ИХ'!A:C,3,0))</f>
        <v>Хлебные грузы</v>
      </c>
      <c r="E50" s="13">
        <f>IF(RIGHT(A50,3)="000","х",VLOOKUP(B50,'Справочник ИХ'!A:D,4,0))</f>
        <v>2</v>
      </c>
      <c r="F50" s="14" t="s">
        <v>618</v>
      </c>
    </row>
    <row r="51" spans="1:6">
      <c r="A51" s="19" t="s">
        <v>658</v>
      </c>
      <c r="B51" s="12" t="str">
        <f t="shared" si="0"/>
        <v>024</v>
      </c>
      <c r="C51" s="1" t="s">
        <v>659</v>
      </c>
      <c r="D51" s="13" t="str">
        <f>IF(RIGHT(A51,3)="000",C51,VLOOKUP(B51,'Справочник ИХ'!A:C,3,0))</f>
        <v>Хлебные грузы</v>
      </c>
      <c r="E51" s="13">
        <f>IF(RIGHT(A51,3)="000","х",VLOOKUP(B51,'Справочник ИХ'!A:D,4,0))</f>
        <v>2</v>
      </c>
      <c r="F51" s="14" t="s">
        <v>618</v>
      </c>
    </row>
    <row r="52" spans="1:6">
      <c r="A52" s="19" t="s">
        <v>660</v>
      </c>
      <c r="B52" s="12" t="str">
        <f t="shared" si="0"/>
        <v>024</v>
      </c>
      <c r="C52" s="1" t="s">
        <v>661</v>
      </c>
      <c r="D52" s="13" t="str">
        <f>IF(RIGHT(A52,3)="000",C52,VLOOKUP(B52,'Справочник ИХ'!A:C,3,0))</f>
        <v>Хлебные грузы</v>
      </c>
      <c r="E52" s="13">
        <f>IF(RIGHT(A52,3)="000","х",VLOOKUP(B52,'Справочник ИХ'!A:D,4,0))</f>
        <v>2</v>
      </c>
      <c r="F52" s="14" t="s">
        <v>618</v>
      </c>
    </row>
    <row r="53" spans="1:6">
      <c r="A53" s="19" t="s">
        <v>662</v>
      </c>
      <c r="B53" s="12" t="str">
        <f t="shared" si="0"/>
        <v>024</v>
      </c>
      <c r="C53" s="1" t="s">
        <v>663</v>
      </c>
      <c r="D53" s="13" t="str">
        <f>IF(RIGHT(A53,3)="000",C53,VLOOKUP(B53,'Справочник ИХ'!A:C,3,0))</f>
        <v>Хлебные грузы</v>
      </c>
      <c r="E53" s="13">
        <f>IF(RIGHT(A53,3)="000","х",VLOOKUP(B53,'Справочник ИХ'!A:D,4,0))</f>
        <v>2</v>
      </c>
      <c r="F53" s="14" t="s">
        <v>618</v>
      </c>
    </row>
    <row r="54" spans="1:6">
      <c r="A54" s="19" t="s">
        <v>664</v>
      </c>
      <c r="B54" s="12" t="str">
        <f t="shared" si="0"/>
        <v>024</v>
      </c>
      <c r="C54" s="1" t="s">
        <v>665</v>
      </c>
      <c r="D54" s="13" t="str">
        <f>IF(RIGHT(A54,3)="000",C54,VLOOKUP(B54,'Справочник ИХ'!A:C,3,0))</f>
        <v>Хлебные грузы</v>
      </c>
      <c r="E54" s="13">
        <f>IF(RIGHT(A54,3)="000","х",VLOOKUP(B54,'Справочник ИХ'!A:D,4,0))</f>
        <v>2</v>
      </c>
      <c r="F54" s="14" t="s">
        <v>618</v>
      </c>
    </row>
    <row r="55" spans="1:6">
      <c r="A55" s="19" t="s">
        <v>666</v>
      </c>
      <c r="B55" s="12" t="str">
        <f t="shared" si="0"/>
        <v>024</v>
      </c>
      <c r="C55" s="1" t="s">
        <v>667</v>
      </c>
      <c r="D55" s="13" t="str">
        <f>IF(RIGHT(A55,3)="000",C55,VLOOKUP(B55,'Справочник ИХ'!A:C,3,0))</f>
        <v>Хлебные грузы</v>
      </c>
      <c r="E55" s="13">
        <f>IF(RIGHT(A55,3)="000","х",VLOOKUP(B55,'Справочник ИХ'!A:D,4,0))</f>
        <v>2</v>
      </c>
      <c r="F55" s="14" t="s">
        <v>618</v>
      </c>
    </row>
    <row r="56" spans="1:6">
      <c r="A56" s="19" t="s">
        <v>668</v>
      </c>
      <c r="B56" s="12" t="str">
        <f t="shared" si="0"/>
        <v>024</v>
      </c>
      <c r="C56" s="1" t="s">
        <v>669</v>
      </c>
      <c r="D56" s="13" t="str">
        <f>IF(RIGHT(A56,3)="000",C56,VLOOKUP(B56,'Справочник ИХ'!A:C,3,0))</f>
        <v>Хлебные грузы</v>
      </c>
      <c r="E56" s="13">
        <f>IF(RIGHT(A56,3)="000","х",VLOOKUP(B56,'Справочник ИХ'!A:D,4,0))</f>
        <v>2</v>
      </c>
      <c r="F56" s="14" t="s">
        <v>618</v>
      </c>
    </row>
    <row r="57" spans="1:6">
      <c r="A57" s="19" t="s">
        <v>670</v>
      </c>
      <c r="B57" s="12" t="str">
        <f t="shared" si="0"/>
        <v>024</v>
      </c>
      <c r="C57" s="1" t="s">
        <v>671</v>
      </c>
      <c r="D57" s="13" t="str">
        <f>IF(RIGHT(A57,3)="000",C57,VLOOKUP(B57,'Справочник ИХ'!A:C,3,0))</f>
        <v>Хлебные грузы</v>
      </c>
      <c r="E57" s="13">
        <f>IF(RIGHT(A57,3)="000","х",VLOOKUP(B57,'Справочник ИХ'!A:D,4,0))</f>
        <v>2</v>
      </c>
      <c r="F57" s="14" t="s">
        <v>618</v>
      </c>
    </row>
    <row r="58" spans="1:6">
      <c r="A58" s="19" t="s">
        <v>672</v>
      </c>
      <c r="B58" s="12" t="str">
        <f t="shared" si="0"/>
        <v>024</v>
      </c>
      <c r="C58" s="1" t="s">
        <v>673</v>
      </c>
      <c r="D58" s="13" t="str">
        <f>IF(RIGHT(A58,3)="000",C58,VLOOKUP(B58,'Справочник ИХ'!A:C,3,0))</f>
        <v>Хлебные грузы</v>
      </c>
      <c r="E58" s="13">
        <f>IF(RIGHT(A58,3)="000","х",VLOOKUP(B58,'Справочник ИХ'!A:D,4,0))</f>
        <v>2</v>
      </c>
      <c r="F58" s="14" t="s">
        <v>618</v>
      </c>
    </row>
    <row r="59" spans="1:6">
      <c r="A59" s="19" t="s">
        <v>674</v>
      </c>
      <c r="B59" s="12" t="str">
        <f t="shared" si="0"/>
        <v>024</v>
      </c>
      <c r="C59" s="1" t="s">
        <v>675</v>
      </c>
      <c r="D59" s="13" t="str">
        <f>IF(RIGHT(A59,3)="000",C59,VLOOKUP(B59,'Справочник ИХ'!A:C,3,0))</f>
        <v>Хлебные грузы</v>
      </c>
      <c r="E59" s="13">
        <f>IF(RIGHT(A59,3)="000","х",VLOOKUP(B59,'Справочник ИХ'!A:D,4,0))</f>
        <v>2</v>
      </c>
      <c r="F59" s="14" t="s">
        <v>618</v>
      </c>
    </row>
    <row r="60" spans="1:6">
      <c r="A60" s="19" t="s">
        <v>676</v>
      </c>
      <c r="B60" s="12" t="str">
        <f t="shared" si="0"/>
        <v>024</v>
      </c>
      <c r="C60" s="1" t="s">
        <v>677</v>
      </c>
      <c r="D60" s="13" t="str">
        <f>IF(RIGHT(A60,3)="000",C60,VLOOKUP(B60,'Справочник ИХ'!A:C,3,0))</f>
        <v>Хлебные грузы</v>
      </c>
      <c r="E60" s="13">
        <f>IF(RIGHT(A60,3)="000","х",VLOOKUP(B60,'Справочник ИХ'!A:D,4,0))</f>
        <v>2</v>
      </c>
      <c r="F60" s="14" t="s">
        <v>618</v>
      </c>
    </row>
    <row r="61" spans="1:6">
      <c r="A61" s="19" t="s">
        <v>678</v>
      </c>
      <c r="B61" s="12" t="str">
        <f t="shared" si="0"/>
        <v>024</v>
      </c>
      <c r="C61" s="1" t="s">
        <v>679</v>
      </c>
      <c r="D61" s="13" t="str">
        <f>IF(RIGHT(A61,3)="000",C61,VLOOKUP(B61,'Справочник ИХ'!A:C,3,0))</f>
        <v>Хлебные грузы</v>
      </c>
      <c r="E61" s="13">
        <f>IF(RIGHT(A61,3)="000","х",VLOOKUP(B61,'Справочник ИХ'!A:D,4,0))</f>
        <v>2</v>
      </c>
      <c r="F61" s="14" t="s">
        <v>618</v>
      </c>
    </row>
    <row r="62" spans="1:6" s="15" customFormat="1">
      <c r="A62" s="7" t="s">
        <v>680</v>
      </c>
      <c r="B62" s="12" t="str">
        <f t="shared" si="0"/>
        <v>030</v>
      </c>
      <c r="C62" s="11" t="s">
        <v>681</v>
      </c>
      <c r="D62" s="13" t="str">
        <f>IF(RIGHT(A62,3)="000",C62,VLOOKUP(B62,'Справочник ИХ'!A:C,3,0))</f>
        <v xml:space="preserve">Хлопчатник </v>
      </c>
      <c r="E62" s="13" t="str">
        <f>IF(RIGHT(A62,3)="000","х",VLOOKUP(B62,'Справочник ИХ'!A:D,4,0))</f>
        <v>х</v>
      </c>
      <c r="F62" s="14" t="s">
        <v>681</v>
      </c>
    </row>
    <row r="63" spans="1:6" s="18" customFormat="1">
      <c r="A63" s="16" t="s">
        <v>682</v>
      </c>
      <c r="B63" s="12" t="str">
        <f t="shared" si="0"/>
        <v>031</v>
      </c>
      <c r="C63" s="17" t="s">
        <v>683</v>
      </c>
      <c r="D63" s="13" t="str">
        <f>IF(RIGHT(A63,3)="000",C63,VLOOKUP(B63,'Справочник ИХ'!A:C,3,0))</f>
        <v>Остальные грузы</v>
      </c>
      <c r="E63" s="13">
        <f>IF(RIGHT(A63,3)="000","х",VLOOKUP(B63,'Справочник ИХ'!A:D,4,0))</f>
        <v>2</v>
      </c>
      <c r="F63" s="14" t="s">
        <v>681</v>
      </c>
    </row>
    <row r="64" spans="1:6">
      <c r="A64" s="19" t="s">
        <v>684</v>
      </c>
      <c r="B64" s="12" t="str">
        <f t="shared" si="0"/>
        <v>031</v>
      </c>
      <c r="C64" s="1" t="s">
        <v>683</v>
      </c>
      <c r="D64" s="13" t="str">
        <f>IF(RIGHT(A64,3)="000",C64,VLOOKUP(B64,'Справочник ИХ'!A:C,3,0))</f>
        <v>Остальные грузы</v>
      </c>
      <c r="E64" s="13">
        <f>IF(RIGHT(A64,3)="000","х",VLOOKUP(B64,'Справочник ИХ'!A:D,4,0))</f>
        <v>2</v>
      </c>
      <c r="F64" s="14" t="s">
        <v>681</v>
      </c>
    </row>
    <row r="65" spans="1:6" s="15" customFormat="1" ht="47.6">
      <c r="A65" s="7" t="s">
        <v>685</v>
      </c>
      <c r="B65" s="12" t="str">
        <f t="shared" si="0"/>
        <v>040</v>
      </c>
      <c r="C65" s="11" t="s">
        <v>686</v>
      </c>
      <c r="D65" s="13" t="str">
        <f>IF(RIGHT(A65,3)="000",C65,VLOOKUP(B65,'Справочник ИХ'!A:C,3,0))</f>
        <v xml:space="preserve">Овощи, картофель, бахчевые культуры свежие, свекла сахарная </v>
      </c>
      <c r="E65" s="13" t="str">
        <f>IF(RIGHT(A65,3)="000","х",VLOOKUP(B65,'Справочник ИХ'!A:D,4,0))</f>
        <v>х</v>
      </c>
      <c r="F65" s="14" t="s">
        <v>686</v>
      </c>
    </row>
    <row r="66" spans="1:6" s="18" customFormat="1" ht="31.75">
      <c r="A66" s="16" t="s">
        <v>687</v>
      </c>
      <c r="B66" s="12" t="str">
        <f t="shared" si="0"/>
        <v>041</v>
      </c>
      <c r="C66" s="17" t="s">
        <v>688</v>
      </c>
      <c r="D66" s="13" t="str">
        <f>IF(RIGHT(A66,3)="000",C66,VLOOKUP(B66,'Справочник ИХ'!A:C,3,0))</f>
        <v>Остальные грузы</v>
      </c>
      <c r="E66" s="13">
        <f>IF(RIGHT(A66,3)="000","х",VLOOKUP(B66,'Справочник ИХ'!A:D,4,0))</f>
        <v>2</v>
      </c>
      <c r="F66" s="14" t="s">
        <v>686</v>
      </c>
    </row>
    <row r="67" spans="1:6" ht="31.75">
      <c r="A67" s="19" t="s">
        <v>689</v>
      </c>
      <c r="B67" s="12" t="str">
        <f t="shared" si="0"/>
        <v>041</v>
      </c>
      <c r="C67" s="1" t="s">
        <v>690</v>
      </c>
      <c r="D67" s="13" t="str">
        <f>IF(RIGHT(A67,3)="000",C67,VLOOKUP(B67,'Справочник ИХ'!A:C,3,0))</f>
        <v>Остальные грузы</v>
      </c>
      <c r="E67" s="13">
        <f>IF(RIGHT(A67,3)="000","х",VLOOKUP(B67,'Справочник ИХ'!A:D,4,0))</f>
        <v>2</v>
      </c>
      <c r="F67" s="14" t="s">
        <v>686</v>
      </c>
    </row>
    <row r="68" spans="1:6" ht="31.75">
      <c r="A68" s="19" t="s">
        <v>691</v>
      </c>
      <c r="B68" s="12" t="str">
        <f t="shared" ref="B68:B131" si="1">LEFT(A68,3)</f>
        <v>041</v>
      </c>
      <c r="C68" s="1" t="s">
        <v>692</v>
      </c>
      <c r="D68" s="13" t="str">
        <f>IF(RIGHT(A68,3)="000",C68,VLOOKUP(B68,'Справочник ИХ'!A:C,3,0))</f>
        <v>Остальные грузы</v>
      </c>
      <c r="E68" s="13">
        <f>IF(RIGHT(A68,3)="000","х",VLOOKUP(B68,'Справочник ИХ'!A:D,4,0))</f>
        <v>2</v>
      </c>
      <c r="F68" s="14" t="s">
        <v>686</v>
      </c>
    </row>
    <row r="69" spans="1:6" ht="31.75">
      <c r="A69" s="19" t="s">
        <v>693</v>
      </c>
      <c r="B69" s="12" t="str">
        <f t="shared" si="1"/>
        <v>041</v>
      </c>
      <c r="C69" s="1" t="s">
        <v>694</v>
      </c>
      <c r="D69" s="13" t="str">
        <f>IF(RIGHT(A69,3)="000",C69,VLOOKUP(B69,'Справочник ИХ'!A:C,3,0))</f>
        <v>Остальные грузы</v>
      </c>
      <c r="E69" s="13">
        <f>IF(RIGHT(A69,3)="000","х",VLOOKUP(B69,'Справочник ИХ'!A:D,4,0))</f>
        <v>2</v>
      </c>
      <c r="F69" s="14" t="s">
        <v>686</v>
      </c>
    </row>
    <row r="70" spans="1:6" ht="31.75">
      <c r="A70" s="19" t="s">
        <v>695</v>
      </c>
      <c r="B70" s="12" t="str">
        <f t="shared" si="1"/>
        <v>041</v>
      </c>
      <c r="C70" s="1" t="s">
        <v>696</v>
      </c>
      <c r="D70" s="13" t="str">
        <f>IF(RIGHT(A70,3)="000",C70,VLOOKUP(B70,'Справочник ИХ'!A:C,3,0))</f>
        <v>Остальные грузы</v>
      </c>
      <c r="E70" s="13">
        <f>IF(RIGHT(A70,3)="000","х",VLOOKUP(B70,'Справочник ИХ'!A:D,4,0))</f>
        <v>2</v>
      </c>
      <c r="F70" s="14" t="s">
        <v>686</v>
      </c>
    </row>
    <row r="71" spans="1:6" ht="31.75">
      <c r="A71" s="19" t="s">
        <v>697</v>
      </c>
      <c r="B71" s="12" t="str">
        <f t="shared" si="1"/>
        <v>041</v>
      </c>
      <c r="C71" s="1" t="s">
        <v>698</v>
      </c>
      <c r="D71" s="13" t="str">
        <f>IF(RIGHT(A71,3)="000",C71,VLOOKUP(B71,'Справочник ИХ'!A:C,3,0))</f>
        <v>Остальные грузы</v>
      </c>
      <c r="E71" s="13">
        <f>IF(RIGHT(A71,3)="000","х",VLOOKUP(B71,'Справочник ИХ'!A:D,4,0))</f>
        <v>2</v>
      </c>
      <c r="F71" s="14" t="s">
        <v>686</v>
      </c>
    </row>
    <row r="72" spans="1:6" ht="31.75">
      <c r="A72" s="19" t="s">
        <v>699</v>
      </c>
      <c r="B72" s="12" t="str">
        <f t="shared" si="1"/>
        <v>041</v>
      </c>
      <c r="C72" s="1" t="s">
        <v>700</v>
      </c>
      <c r="D72" s="13" t="str">
        <f>IF(RIGHT(A72,3)="000",C72,VLOOKUP(B72,'Справочник ИХ'!A:C,3,0))</f>
        <v>Остальные грузы</v>
      </c>
      <c r="E72" s="13">
        <f>IF(RIGHT(A72,3)="000","х",VLOOKUP(B72,'Справочник ИХ'!A:D,4,0))</f>
        <v>2</v>
      </c>
      <c r="F72" s="14" t="s">
        <v>686</v>
      </c>
    </row>
    <row r="73" spans="1:6" ht="31.75">
      <c r="A73" s="19" t="s">
        <v>701</v>
      </c>
      <c r="B73" s="12" t="str">
        <f t="shared" si="1"/>
        <v>041</v>
      </c>
      <c r="C73" s="1" t="s">
        <v>702</v>
      </c>
      <c r="D73" s="13" t="str">
        <f>IF(RIGHT(A73,3)="000",C73,VLOOKUP(B73,'Справочник ИХ'!A:C,3,0))</f>
        <v>Остальные грузы</v>
      </c>
      <c r="E73" s="13">
        <f>IF(RIGHT(A73,3)="000","х",VLOOKUP(B73,'Справочник ИХ'!A:D,4,0))</f>
        <v>2</v>
      </c>
      <c r="F73" s="14" t="s">
        <v>686</v>
      </c>
    </row>
    <row r="74" spans="1:6" ht="31.75">
      <c r="A74" s="19" t="s">
        <v>703</v>
      </c>
      <c r="B74" s="12" t="str">
        <f t="shared" si="1"/>
        <v>041</v>
      </c>
      <c r="C74" s="1" t="s">
        <v>704</v>
      </c>
      <c r="D74" s="13" t="str">
        <f>IF(RIGHT(A74,3)="000",C74,VLOOKUP(B74,'Справочник ИХ'!A:C,3,0))</f>
        <v>Остальные грузы</v>
      </c>
      <c r="E74" s="13">
        <f>IF(RIGHT(A74,3)="000","х",VLOOKUP(B74,'Справочник ИХ'!A:D,4,0))</f>
        <v>2</v>
      </c>
      <c r="F74" s="14" t="s">
        <v>686</v>
      </c>
    </row>
    <row r="75" spans="1:6" ht="31.75">
      <c r="A75" s="19" t="s">
        <v>705</v>
      </c>
      <c r="B75" s="12" t="str">
        <f t="shared" si="1"/>
        <v>041</v>
      </c>
      <c r="C75" s="1" t="s">
        <v>706</v>
      </c>
      <c r="D75" s="13" t="str">
        <f>IF(RIGHT(A75,3)="000",C75,VLOOKUP(B75,'Справочник ИХ'!A:C,3,0))</f>
        <v>Остальные грузы</v>
      </c>
      <c r="E75" s="13">
        <f>IF(RIGHT(A75,3)="000","х",VLOOKUP(B75,'Справочник ИХ'!A:D,4,0))</f>
        <v>2</v>
      </c>
      <c r="F75" s="14" t="s">
        <v>686</v>
      </c>
    </row>
    <row r="76" spans="1:6" ht="31.75">
      <c r="A76" s="19" t="s">
        <v>707</v>
      </c>
      <c r="B76" s="12" t="str">
        <f t="shared" si="1"/>
        <v>041</v>
      </c>
      <c r="C76" s="1" t="s">
        <v>708</v>
      </c>
      <c r="D76" s="13" t="str">
        <f>IF(RIGHT(A76,3)="000",C76,VLOOKUP(B76,'Справочник ИХ'!A:C,3,0))</f>
        <v>Остальные грузы</v>
      </c>
      <c r="E76" s="13">
        <f>IF(RIGHT(A76,3)="000","х",VLOOKUP(B76,'Справочник ИХ'!A:D,4,0))</f>
        <v>2</v>
      </c>
      <c r="F76" s="14" t="s">
        <v>686</v>
      </c>
    </row>
    <row r="77" spans="1:6" ht="31.75">
      <c r="A77" s="19" t="s">
        <v>709</v>
      </c>
      <c r="B77" s="12" t="str">
        <f t="shared" si="1"/>
        <v>041</v>
      </c>
      <c r="C77" s="1" t="s">
        <v>710</v>
      </c>
      <c r="D77" s="13" t="str">
        <f>IF(RIGHT(A77,3)="000",C77,VLOOKUP(B77,'Справочник ИХ'!A:C,3,0))</f>
        <v>Остальные грузы</v>
      </c>
      <c r="E77" s="13">
        <f>IF(RIGHT(A77,3)="000","х",VLOOKUP(B77,'Справочник ИХ'!A:D,4,0))</f>
        <v>2</v>
      </c>
      <c r="F77" s="14" t="s">
        <v>686</v>
      </c>
    </row>
    <row r="78" spans="1:6" ht="31.75">
      <c r="A78" s="19" t="s">
        <v>711</v>
      </c>
      <c r="B78" s="12" t="str">
        <f t="shared" si="1"/>
        <v>041</v>
      </c>
      <c r="C78" s="1" t="s">
        <v>712</v>
      </c>
      <c r="D78" s="13" t="str">
        <f>IF(RIGHT(A78,3)="000",C78,VLOOKUP(B78,'Справочник ИХ'!A:C,3,0))</f>
        <v>Остальные грузы</v>
      </c>
      <c r="E78" s="13">
        <f>IF(RIGHT(A78,3)="000","х",VLOOKUP(B78,'Справочник ИХ'!A:D,4,0))</f>
        <v>2</v>
      </c>
      <c r="F78" s="14" t="s">
        <v>686</v>
      </c>
    </row>
    <row r="79" spans="1:6" ht="31.75">
      <c r="A79" s="19" t="s">
        <v>713</v>
      </c>
      <c r="B79" s="12" t="str">
        <f t="shared" si="1"/>
        <v>041</v>
      </c>
      <c r="C79" s="1" t="s">
        <v>714</v>
      </c>
      <c r="D79" s="13" t="str">
        <f>IF(RIGHT(A79,3)="000",C79,VLOOKUP(B79,'Справочник ИХ'!A:C,3,0))</f>
        <v>Остальные грузы</v>
      </c>
      <c r="E79" s="13">
        <f>IF(RIGHT(A79,3)="000","х",VLOOKUP(B79,'Справочник ИХ'!A:D,4,0))</f>
        <v>2</v>
      </c>
      <c r="F79" s="14" t="s">
        <v>686</v>
      </c>
    </row>
    <row r="80" spans="1:6" ht="31.75">
      <c r="A80" s="19" t="s">
        <v>715</v>
      </c>
      <c r="B80" s="12" t="str">
        <f t="shared" si="1"/>
        <v>041</v>
      </c>
      <c r="C80" s="1" t="s">
        <v>716</v>
      </c>
      <c r="D80" s="13" t="str">
        <f>IF(RIGHT(A80,3)="000",C80,VLOOKUP(B80,'Справочник ИХ'!A:C,3,0))</f>
        <v>Остальные грузы</v>
      </c>
      <c r="E80" s="13">
        <f>IF(RIGHT(A80,3)="000","х",VLOOKUP(B80,'Справочник ИХ'!A:D,4,0))</f>
        <v>2</v>
      </c>
      <c r="F80" s="14" t="s">
        <v>686</v>
      </c>
    </row>
    <row r="81" spans="1:6" ht="31.75">
      <c r="A81" s="19" t="s">
        <v>717</v>
      </c>
      <c r="B81" s="12" t="str">
        <f t="shared" si="1"/>
        <v>041</v>
      </c>
      <c r="C81" s="1" t="s">
        <v>718</v>
      </c>
      <c r="D81" s="13" t="str">
        <f>IF(RIGHT(A81,3)="000",C81,VLOOKUP(B81,'Справочник ИХ'!A:C,3,0))</f>
        <v>Остальные грузы</v>
      </c>
      <c r="E81" s="13">
        <f>IF(RIGHT(A81,3)="000","х",VLOOKUP(B81,'Справочник ИХ'!A:D,4,0))</f>
        <v>2</v>
      </c>
      <c r="F81" s="14" t="s">
        <v>686</v>
      </c>
    </row>
    <row r="82" spans="1:6" ht="31.75">
      <c r="A82" s="19" t="s">
        <v>719</v>
      </c>
      <c r="B82" s="12" t="str">
        <f t="shared" si="1"/>
        <v>041</v>
      </c>
      <c r="C82" s="1" t="s">
        <v>720</v>
      </c>
      <c r="D82" s="13" t="str">
        <f>IF(RIGHT(A82,3)="000",C82,VLOOKUP(B82,'Справочник ИХ'!A:C,3,0))</f>
        <v>Остальные грузы</v>
      </c>
      <c r="E82" s="13">
        <f>IF(RIGHT(A82,3)="000","х",VLOOKUP(B82,'Справочник ИХ'!A:D,4,0))</f>
        <v>2</v>
      </c>
      <c r="F82" s="14" t="s">
        <v>686</v>
      </c>
    </row>
    <row r="83" spans="1:6" ht="31.75">
      <c r="A83" s="19" t="s">
        <v>721</v>
      </c>
      <c r="B83" s="12" t="str">
        <f t="shared" si="1"/>
        <v>041</v>
      </c>
      <c r="C83" s="1" t="s">
        <v>722</v>
      </c>
      <c r="D83" s="13" t="str">
        <f>IF(RIGHT(A83,3)="000",C83,VLOOKUP(B83,'Справочник ИХ'!A:C,3,0))</f>
        <v>Остальные грузы</v>
      </c>
      <c r="E83" s="13">
        <f>IF(RIGHT(A83,3)="000","х",VLOOKUP(B83,'Справочник ИХ'!A:D,4,0))</f>
        <v>2</v>
      </c>
      <c r="F83" s="14" t="s">
        <v>686</v>
      </c>
    </row>
    <row r="84" spans="1:6" ht="31.75">
      <c r="A84" s="19" t="s">
        <v>723</v>
      </c>
      <c r="B84" s="12" t="str">
        <f t="shared" si="1"/>
        <v>041</v>
      </c>
      <c r="C84" s="1" t="s">
        <v>724</v>
      </c>
      <c r="D84" s="13" t="str">
        <f>IF(RIGHT(A84,3)="000",C84,VLOOKUP(B84,'Справочник ИХ'!A:C,3,0))</f>
        <v>Остальные грузы</v>
      </c>
      <c r="E84" s="13">
        <f>IF(RIGHT(A84,3)="000","х",VLOOKUP(B84,'Справочник ИХ'!A:D,4,0))</f>
        <v>2</v>
      </c>
      <c r="F84" s="14" t="s">
        <v>686</v>
      </c>
    </row>
    <row r="85" spans="1:6" ht="31.75">
      <c r="A85" s="19" t="s">
        <v>725</v>
      </c>
      <c r="B85" s="12" t="str">
        <f t="shared" si="1"/>
        <v>041</v>
      </c>
      <c r="C85" s="1" t="s">
        <v>726</v>
      </c>
      <c r="D85" s="13" t="str">
        <f>IF(RIGHT(A85,3)="000",C85,VLOOKUP(B85,'Справочник ИХ'!A:C,3,0))</f>
        <v>Остальные грузы</v>
      </c>
      <c r="E85" s="13">
        <f>IF(RIGHT(A85,3)="000","х",VLOOKUP(B85,'Справочник ИХ'!A:D,4,0))</f>
        <v>2</v>
      </c>
      <c r="F85" s="14" t="s">
        <v>686</v>
      </c>
    </row>
    <row r="86" spans="1:6" ht="31.75">
      <c r="A86" s="19" t="s">
        <v>727</v>
      </c>
      <c r="B86" s="12" t="str">
        <f t="shared" si="1"/>
        <v>041</v>
      </c>
      <c r="C86" s="1" t="s">
        <v>728</v>
      </c>
      <c r="D86" s="13" t="str">
        <f>IF(RIGHT(A86,3)="000",C86,VLOOKUP(B86,'Справочник ИХ'!A:C,3,0))</f>
        <v>Остальные грузы</v>
      </c>
      <c r="E86" s="13">
        <f>IF(RIGHT(A86,3)="000","х",VLOOKUP(B86,'Справочник ИХ'!A:D,4,0))</f>
        <v>2</v>
      </c>
      <c r="F86" s="14" t="s">
        <v>686</v>
      </c>
    </row>
    <row r="87" spans="1:6" ht="31.75">
      <c r="A87" s="19" t="s">
        <v>729</v>
      </c>
      <c r="B87" s="12" t="str">
        <f t="shared" si="1"/>
        <v>041</v>
      </c>
      <c r="C87" s="1" t="s">
        <v>730</v>
      </c>
      <c r="D87" s="13" t="str">
        <f>IF(RIGHT(A87,3)="000",C87,VLOOKUP(B87,'Справочник ИХ'!A:C,3,0))</f>
        <v>Остальные грузы</v>
      </c>
      <c r="E87" s="13">
        <f>IF(RIGHT(A87,3)="000","х",VLOOKUP(B87,'Справочник ИХ'!A:D,4,0))</f>
        <v>2</v>
      </c>
      <c r="F87" s="14" t="s">
        <v>686</v>
      </c>
    </row>
    <row r="88" spans="1:6" ht="31.75">
      <c r="A88" s="19" t="s">
        <v>731</v>
      </c>
      <c r="B88" s="12" t="str">
        <f t="shared" si="1"/>
        <v>041</v>
      </c>
      <c r="C88" s="1" t="s">
        <v>732</v>
      </c>
      <c r="D88" s="13" t="str">
        <f>IF(RIGHT(A88,3)="000",C88,VLOOKUP(B88,'Справочник ИХ'!A:C,3,0))</f>
        <v>Остальные грузы</v>
      </c>
      <c r="E88" s="13">
        <f>IF(RIGHT(A88,3)="000","х",VLOOKUP(B88,'Справочник ИХ'!A:D,4,0))</f>
        <v>2</v>
      </c>
      <c r="F88" s="14" t="s">
        <v>686</v>
      </c>
    </row>
    <row r="89" spans="1:6" ht="31.75">
      <c r="A89" s="19" t="s">
        <v>733</v>
      </c>
      <c r="B89" s="12" t="str">
        <f t="shared" si="1"/>
        <v>041</v>
      </c>
      <c r="C89" s="1" t="s">
        <v>734</v>
      </c>
      <c r="D89" s="13" t="str">
        <f>IF(RIGHT(A89,3)="000",C89,VLOOKUP(B89,'Справочник ИХ'!A:C,3,0))</f>
        <v>Остальные грузы</v>
      </c>
      <c r="E89" s="13">
        <f>IF(RIGHT(A89,3)="000","х",VLOOKUP(B89,'Справочник ИХ'!A:D,4,0))</f>
        <v>2</v>
      </c>
      <c r="F89" s="14" t="s">
        <v>686</v>
      </c>
    </row>
    <row r="90" spans="1:6" ht="31.75">
      <c r="A90" s="19" t="s">
        <v>735</v>
      </c>
      <c r="B90" s="12" t="str">
        <f t="shared" si="1"/>
        <v>041</v>
      </c>
      <c r="C90" s="1" t="s">
        <v>736</v>
      </c>
      <c r="D90" s="13" t="str">
        <f>IF(RIGHT(A90,3)="000",C90,VLOOKUP(B90,'Справочник ИХ'!A:C,3,0))</f>
        <v>Остальные грузы</v>
      </c>
      <c r="E90" s="13">
        <f>IF(RIGHT(A90,3)="000","х",VLOOKUP(B90,'Справочник ИХ'!A:D,4,0))</f>
        <v>2</v>
      </c>
      <c r="F90" s="14" t="s">
        <v>686</v>
      </c>
    </row>
    <row r="91" spans="1:6" ht="31.75">
      <c r="A91" s="19" t="s">
        <v>737</v>
      </c>
      <c r="B91" s="12" t="str">
        <f t="shared" si="1"/>
        <v>041</v>
      </c>
      <c r="C91" s="1" t="s">
        <v>738</v>
      </c>
      <c r="D91" s="13" t="str">
        <f>IF(RIGHT(A91,3)="000",C91,VLOOKUP(B91,'Справочник ИХ'!A:C,3,0))</f>
        <v>Остальные грузы</v>
      </c>
      <c r="E91" s="13">
        <f>IF(RIGHT(A91,3)="000","х",VLOOKUP(B91,'Справочник ИХ'!A:D,4,0))</f>
        <v>2</v>
      </c>
      <c r="F91" s="14" t="s">
        <v>686</v>
      </c>
    </row>
    <row r="92" spans="1:6" ht="31.75">
      <c r="A92" s="19" t="s">
        <v>739</v>
      </c>
      <c r="B92" s="12" t="str">
        <f t="shared" si="1"/>
        <v>041</v>
      </c>
      <c r="C92" s="1" t="s">
        <v>740</v>
      </c>
      <c r="D92" s="13" t="str">
        <f>IF(RIGHT(A92,3)="000",C92,VLOOKUP(B92,'Справочник ИХ'!A:C,3,0))</f>
        <v>Остальные грузы</v>
      </c>
      <c r="E92" s="13">
        <f>IF(RIGHT(A92,3)="000","х",VLOOKUP(B92,'Справочник ИХ'!A:D,4,0))</f>
        <v>2</v>
      </c>
      <c r="F92" s="14" t="s">
        <v>686</v>
      </c>
    </row>
    <row r="93" spans="1:6" ht="31.75">
      <c r="A93" s="19" t="s">
        <v>741</v>
      </c>
      <c r="B93" s="12" t="str">
        <f t="shared" si="1"/>
        <v>041</v>
      </c>
      <c r="C93" s="1" t="s">
        <v>742</v>
      </c>
      <c r="D93" s="13" t="str">
        <f>IF(RIGHT(A93,3)="000",C93,VLOOKUP(B93,'Справочник ИХ'!A:C,3,0))</f>
        <v>Остальные грузы</v>
      </c>
      <c r="E93" s="13">
        <f>IF(RIGHT(A93,3)="000","х",VLOOKUP(B93,'Справочник ИХ'!A:D,4,0))</f>
        <v>2</v>
      </c>
      <c r="F93" s="14" t="s">
        <v>686</v>
      </c>
    </row>
    <row r="94" spans="1:6" ht="31.75">
      <c r="A94" s="19" t="s">
        <v>743</v>
      </c>
      <c r="B94" s="12" t="str">
        <f t="shared" si="1"/>
        <v>041</v>
      </c>
      <c r="C94" s="1" t="s">
        <v>744</v>
      </c>
      <c r="D94" s="13" t="str">
        <f>IF(RIGHT(A94,3)="000",C94,VLOOKUP(B94,'Справочник ИХ'!A:C,3,0))</f>
        <v>Остальные грузы</v>
      </c>
      <c r="E94" s="13">
        <f>IF(RIGHT(A94,3)="000","х",VLOOKUP(B94,'Справочник ИХ'!A:D,4,0))</f>
        <v>2</v>
      </c>
      <c r="F94" s="14" t="s">
        <v>686</v>
      </c>
    </row>
    <row r="95" spans="1:6" ht="31.75">
      <c r="A95" s="19" t="s">
        <v>745</v>
      </c>
      <c r="B95" s="12" t="str">
        <f t="shared" si="1"/>
        <v>041</v>
      </c>
      <c r="C95" s="1" t="s">
        <v>746</v>
      </c>
      <c r="D95" s="13" t="str">
        <f>IF(RIGHT(A95,3)="000",C95,VLOOKUP(B95,'Справочник ИХ'!A:C,3,0))</f>
        <v>Остальные грузы</v>
      </c>
      <c r="E95" s="13">
        <f>IF(RIGHT(A95,3)="000","х",VLOOKUP(B95,'Справочник ИХ'!A:D,4,0))</f>
        <v>2</v>
      </c>
      <c r="F95" s="14" t="s">
        <v>686</v>
      </c>
    </row>
    <row r="96" spans="1:6" ht="31.75">
      <c r="A96" s="19" t="s">
        <v>747</v>
      </c>
      <c r="B96" s="12" t="str">
        <f t="shared" si="1"/>
        <v>041</v>
      </c>
      <c r="C96" s="1" t="s">
        <v>748</v>
      </c>
      <c r="D96" s="13" t="str">
        <f>IF(RIGHT(A96,3)="000",C96,VLOOKUP(B96,'Справочник ИХ'!A:C,3,0))</f>
        <v>Остальные грузы</v>
      </c>
      <c r="E96" s="13">
        <f>IF(RIGHT(A96,3)="000","х",VLOOKUP(B96,'Справочник ИХ'!A:D,4,0))</f>
        <v>2</v>
      </c>
      <c r="F96" s="14" t="s">
        <v>686</v>
      </c>
    </row>
    <row r="97" spans="1:6" ht="31.75">
      <c r="A97" s="19" t="s">
        <v>749</v>
      </c>
      <c r="B97" s="12" t="str">
        <f t="shared" si="1"/>
        <v>041</v>
      </c>
      <c r="C97" s="1" t="s">
        <v>750</v>
      </c>
      <c r="D97" s="13" t="str">
        <f>IF(RIGHT(A97,3)="000",C97,VLOOKUP(B97,'Справочник ИХ'!A:C,3,0))</f>
        <v>Остальные грузы</v>
      </c>
      <c r="E97" s="13">
        <f>IF(RIGHT(A97,3)="000","х",VLOOKUP(B97,'Справочник ИХ'!A:D,4,0))</f>
        <v>2</v>
      </c>
      <c r="F97" s="14" t="s">
        <v>686</v>
      </c>
    </row>
    <row r="98" spans="1:6" ht="31.75">
      <c r="A98" s="19" t="s">
        <v>751</v>
      </c>
      <c r="B98" s="12" t="str">
        <f t="shared" si="1"/>
        <v>041</v>
      </c>
      <c r="C98" s="1" t="s">
        <v>752</v>
      </c>
      <c r="D98" s="13" t="str">
        <f>IF(RIGHT(A98,3)="000",C98,VLOOKUP(B98,'Справочник ИХ'!A:C,3,0))</f>
        <v>Остальные грузы</v>
      </c>
      <c r="E98" s="13">
        <f>IF(RIGHT(A98,3)="000","х",VLOOKUP(B98,'Справочник ИХ'!A:D,4,0))</f>
        <v>2</v>
      </c>
      <c r="F98" s="14" t="s">
        <v>686</v>
      </c>
    </row>
    <row r="99" spans="1:6" ht="31.75">
      <c r="A99" s="19" t="s">
        <v>753</v>
      </c>
      <c r="B99" s="12" t="str">
        <f t="shared" si="1"/>
        <v>041</v>
      </c>
      <c r="C99" s="1" t="s">
        <v>754</v>
      </c>
      <c r="D99" s="13" t="str">
        <f>IF(RIGHT(A99,3)="000",C99,VLOOKUP(B99,'Справочник ИХ'!A:C,3,0))</f>
        <v>Остальные грузы</v>
      </c>
      <c r="E99" s="13">
        <f>IF(RIGHT(A99,3)="000","х",VLOOKUP(B99,'Справочник ИХ'!A:D,4,0))</f>
        <v>2</v>
      </c>
      <c r="F99" s="14" t="s">
        <v>686</v>
      </c>
    </row>
    <row r="100" spans="1:6" ht="31.75">
      <c r="A100" s="19" t="s">
        <v>755</v>
      </c>
      <c r="B100" s="12" t="str">
        <f t="shared" si="1"/>
        <v>041</v>
      </c>
      <c r="C100" s="1" t="s">
        <v>756</v>
      </c>
      <c r="D100" s="13" t="str">
        <f>IF(RIGHT(A100,3)="000",C100,VLOOKUP(B100,'Справочник ИХ'!A:C,3,0))</f>
        <v>Остальные грузы</v>
      </c>
      <c r="E100" s="13">
        <f>IF(RIGHT(A100,3)="000","х",VLOOKUP(B100,'Справочник ИХ'!A:D,4,0))</f>
        <v>2</v>
      </c>
      <c r="F100" s="14" t="s">
        <v>686</v>
      </c>
    </row>
    <row r="101" spans="1:6" ht="31.75">
      <c r="A101" s="19" t="s">
        <v>757</v>
      </c>
      <c r="B101" s="12" t="str">
        <f t="shared" si="1"/>
        <v>041</v>
      </c>
      <c r="C101" s="1" t="s">
        <v>758</v>
      </c>
      <c r="D101" s="13" t="str">
        <f>IF(RIGHT(A101,3)="000",C101,VLOOKUP(B101,'Справочник ИХ'!A:C,3,0))</f>
        <v>Остальные грузы</v>
      </c>
      <c r="E101" s="13">
        <f>IF(RIGHT(A101,3)="000","х",VLOOKUP(B101,'Справочник ИХ'!A:D,4,0))</f>
        <v>2</v>
      </c>
      <c r="F101" s="14" t="s">
        <v>686</v>
      </c>
    </row>
    <row r="102" spans="1:6" ht="31.75">
      <c r="A102" s="19" t="s">
        <v>759</v>
      </c>
      <c r="B102" s="12" t="str">
        <f t="shared" si="1"/>
        <v>041</v>
      </c>
      <c r="C102" s="1" t="s">
        <v>760</v>
      </c>
      <c r="D102" s="13" t="str">
        <f>IF(RIGHT(A102,3)="000",C102,VLOOKUP(B102,'Справочник ИХ'!A:C,3,0))</f>
        <v>Остальные грузы</v>
      </c>
      <c r="E102" s="13">
        <f>IF(RIGHT(A102,3)="000","х",VLOOKUP(B102,'Справочник ИХ'!A:D,4,0))</f>
        <v>2</v>
      </c>
      <c r="F102" s="14" t="s">
        <v>686</v>
      </c>
    </row>
    <row r="103" spans="1:6" s="18" customFormat="1" ht="31.75">
      <c r="A103" s="16" t="s">
        <v>761</v>
      </c>
      <c r="B103" s="12" t="str">
        <f t="shared" si="1"/>
        <v>042</v>
      </c>
      <c r="C103" s="17" t="s">
        <v>762</v>
      </c>
      <c r="D103" s="13" t="str">
        <f>IF(RIGHT(A103,3)="000",C103,VLOOKUP(B103,'Справочник ИХ'!A:C,3,0))</f>
        <v>Остальные грузы</v>
      </c>
      <c r="E103" s="13">
        <f>IF(RIGHT(A103,3)="000","х",VLOOKUP(B103,'Справочник ИХ'!A:D,4,0))</f>
        <v>2</v>
      </c>
      <c r="F103" s="14" t="s">
        <v>686</v>
      </c>
    </row>
    <row r="104" spans="1:6" ht="31.75">
      <c r="A104" s="19" t="s">
        <v>763</v>
      </c>
      <c r="B104" s="12" t="str">
        <f t="shared" si="1"/>
        <v>042</v>
      </c>
      <c r="C104" s="1" t="s">
        <v>764</v>
      </c>
      <c r="D104" s="13" t="str">
        <f>IF(RIGHT(A104,3)="000",C104,VLOOKUP(B104,'Справочник ИХ'!A:C,3,0))</f>
        <v>Остальные грузы</v>
      </c>
      <c r="E104" s="13">
        <f>IF(RIGHT(A104,3)="000","х",VLOOKUP(B104,'Справочник ИХ'!A:D,4,0))</f>
        <v>2</v>
      </c>
      <c r="F104" s="14" t="s">
        <v>686</v>
      </c>
    </row>
    <row r="105" spans="1:6" ht="31.75">
      <c r="A105" s="19" t="s">
        <v>765</v>
      </c>
      <c r="B105" s="12" t="str">
        <f t="shared" si="1"/>
        <v>042</v>
      </c>
      <c r="C105" s="1" t="s">
        <v>766</v>
      </c>
      <c r="D105" s="13" t="str">
        <f>IF(RIGHT(A105,3)="000",C105,VLOOKUP(B105,'Справочник ИХ'!A:C,3,0))</f>
        <v>Остальные грузы</v>
      </c>
      <c r="E105" s="13">
        <f>IF(RIGHT(A105,3)="000","х",VLOOKUP(B105,'Справочник ИХ'!A:D,4,0))</f>
        <v>2</v>
      </c>
      <c r="F105" s="14" t="s">
        <v>686</v>
      </c>
    </row>
    <row r="106" spans="1:6" ht="31.75">
      <c r="A106" s="19" t="s">
        <v>767</v>
      </c>
      <c r="B106" s="12" t="str">
        <f t="shared" si="1"/>
        <v>042</v>
      </c>
      <c r="C106" s="1" t="s">
        <v>768</v>
      </c>
      <c r="D106" s="13" t="str">
        <f>IF(RIGHT(A106,3)="000",C106,VLOOKUP(B106,'Справочник ИХ'!A:C,3,0))</f>
        <v>Остальные грузы</v>
      </c>
      <c r="E106" s="13">
        <f>IF(RIGHT(A106,3)="000","х",VLOOKUP(B106,'Справочник ИХ'!A:D,4,0))</f>
        <v>2</v>
      </c>
      <c r="F106" s="14" t="s">
        <v>686</v>
      </c>
    </row>
    <row r="107" spans="1:6" s="18" customFormat="1" ht="31.75">
      <c r="A107" s="16" t="s">
        <v>769</v>
      </c>
      <c r="B107" s="12" t="str">
        <f t="shared" si="1"/>
        <v>043</v>
      </c>
      <c r="C107" s="17" t="s">
        <v>770</v>
      </c>
      <c r="D107" s="13" t="str">
        <f>IF(RIGHT(A107,3)="000",C107,VLOOKUP(B107,'Справочник ИХ'!A:C,3,0))</f>
        <v>Остальные грузы</v>
      </c>
      <c r="E107" s="13">
        <f>IF(RIGHT(A107,3)="000","х",VLOOKUP(B107,'Справочник ИХ'!A:D,4,0))</f>
        <v>2</v>
      </c>
      <c r="F107" s="14" t="s">
        <v>686</v>
      </c>
    </row>
    <row r="108" spans="1:6" ht="31.75">
      <c r="A108" s="19" t="s">
        <v>771</v>
      </c>
      <c r="B108" s="12" t="str">
        <f t="shared" si="1"/>
        <v>043</v>
      </c>
      <c r="C108" s="1" t="s">
        <v>772</v>
      </c>
      <c r="D108" s="13" t="str">
        <f>IF(RIGHT(A108,3)="000",C108,VLOOKUP(B108,'Справочник ИХ'!A:C,3,0))</f>
        <v>Остальные грузы</v>
      </c>
      <c r="E108" s="13">
        <f>IF(RIGHT(A108,3)="000","х",VLOOKUP(B108,'Справочник ИХ'!A:D,4,0))</f>
        <v>2</v>
      </c>
      <c r="F108" s="14" t="s">
        <v>686</v>
      </c>
    </row>
    <row r="109" spans="1:6" ht="31.75">
      <c r="A109" s="19" t="s">
        <v>773</v>
      </c>
      <c r="B109" s="12" t="str">
        <f t="shared" si="1"/>
        <v>043</v>
      </c>
      <c r="C109" s="1" t="s">
        <v>774</v>
      </c>
      <c r="D109" s="13" t="str">
        <f>IF(RIGHT(A109,3)="000",C109,VLOOKUP(B109,'Справочник ИХ'!A:C,3,0))</f>
        <v>Остальные грузы</v>
      </c>
      <c r="E109" s="13">
        <f>IF(RIGHT(A109,3)="000","х",VLOOKUP(B109,'Справочник ИХ'!A:D,4,0))</f>
        <v>2</v>
      </c>
      <c r="F109" s="14" t="s">
        <v>686</v>
      </c>
    </row>
    <row r="110" spans="1:6" s="18" customFormat="1" ht="31.75">
      <c r="A110" s="16" t="s">
        <v>775</v>
      </c>
      <c r="B110" s="12" t="str">
        <f t="shared" si="1"/>
        <v>044</v>
      </c>
      <c r="C110" s="17" t="s">
        <v>776</v>
      </c>
      <c r="D110" s="13" t="str">
        <f>IF(RIGHT(A110,3)="000",C110,VLOOKUP(B110,'Справочник ИХ'!A:C,3,0))</f>
        <v>Остальные грузы</v>
      </c>
      <c r="E110" s="13">
        <f>IF(RIGHT(A110,3)="000","х",VLOOKUP(B110,'Справочник ИХ'!A:D,4,0))</f>
        <v>2</v>
      </c>
      <c r="F110" s="14" t="s">
        <v>686</v>
      </c>
    </row>
    <row r="111" spans="1:6" s="15" customFormat="1" ht="31.75">
      <c r="A111" s="7" t="s">
        <v>777</v>
      </c>
      <c r="B111" s="12" t="str">
        <f t="shared" si="1"/>
        <v>050</v>
      </c>
      <c r="C111" s="11" t="s">
        <v>778</v>
      </c>
      <c r="D111" s="13" t="str">
        <f>IF(RIGHT(A111,3)="000",C111,VLOOKUP(B111,'Справочник ИХ'!A:C,3,0))</f>
        <v xml:space="preserve">Фрукты и ягоды свежие. Орехи </v>
      </c>
      <c r="E111" s="13" t="str">
        <f>IF(RIGHT(A111,3)="000","х",VLOOKUP(B111,'Справочник ИХ'!A:D,4,0))</f>
        <v>х</v>
      </c>
      <c r="F111" s="14" t="s">
        <v>778</v>
      </c>
    </row>
    <row r="112" spans="1:6" s="18" customFormat="1" ht="31.75">
      <c r="A112" s="16" t="s">
        <v>779</v>
      </c>
      <c r="B112" s="12" t="str">
        <f t="shared" si="1"/>
        <v>051</v>
      </c>
      <c r="C112" s="17" t="s">
        <v>780</v>
      </c>
      <c r="D112" s="13" t="str">
        <f>IF(RIGHT(A112,3)="000",C112,VLOOKUP(B112,'Справочник ИХ'!A:C,3,0))</f>
        <v>Остальные грузы</v>
      </c>
      <c r="E112" s="13">
        <f>IF(RIGHT(A112,3)="000","х",VLOOKUP(B112,'Справочник ИХ'!A:D,4,0))</f>
        <v>2</v>
      </c>
      <c r="F112" s="14" t="s">
        <v>778</v>
      </c>
    </row>
    <row r="113" spans="1:6">
      <c r="A113" s="19" t="s">
        <v>781</v>
      </c>
      <c r="B113" s="12" t="str">
        <f t="shared" si="1"/>
        <v>051</v>
      </c>
      <c r="C113" s="1" t="s">
        <v>782</v>
      </c>
      <c r="D113" s="13" t="str">
        <f>IF(RIGHT(A113,3)="000",C113,VLOOKUP(B113,'Справочник ИХ'!A:C,3,0))</f>
        <v>Остальные грузы</v>
      </c>
      <c r="E113" s="13">
        <f>IF(RIGHT(A113,3)="000","х",VLOOKUP(B113,'Справочник ИХ'!A:D,4,0))</f>
        <v>2</v>
      </c>
      <c r="F113" s="14" t="s">
        <v>778</v>
      </c>
    </row>
    <row r="114" spans="1:6">
      <c r="A114" s="19" t="s">
        <v>783</v>
      </c>
      <c r="B114" s="12" t="str">
        <f t="shared" si="1"/>
        <v>051</v>
      </c>
      <c r="C114" s="1" t="s">
        <v>784</v>
      </c>
      <c r="D114" s="13" t="str">
        <f>IF(RIGHT(A114,3)="000",C114,VLOOKUP(B114,'Справочник ИХ'!A:C,3,0))</f>
        <v>Остальные грузы</v>
      </c>
      <c r="E114" s="13">
        <f>IF(RIGHT(A114,3)="000","х",VLOOKUP(B114,'Справочник ИХ'!A:D,4,0))</f>
        <v>2</v>
      </c>
      <c r="F114" s="14" t="s">
        <v>778</v>
      </c>
    </row>
    <row r="115" spans="1:6">
      <c r="A115" s="19" t="s">
        <v>785</v>
      </c>
      <c r="B115" s="12" t="str">
        <f t="shared" si="1"/>
        <v>051</v>
      </c>
      <c r="C115" s="1" t="s">
        <v>786</v>
      </c>
      <c r="D115" s="13" t="str">
        <f>IF(RIGHT(A115,3)="000",C115,VLOOKUP(B115,'Справочник ИХ'!A:C,3,0))</f>
        <v>Остальные грузы</v>
      </c>
      <c r="E115" s="13">
        <f>IF(RIGHT(A115,3)="000","х",VLOOKUP(B115,'Справочник ИХ'!A:D,4,0))</f>
        <v>2</v>
      </c>
      <c r="F115" s="14" t="s">
        <v>778</v>
      </c>
    </row>
    <row r="116" spans="1:6">
      <c r="A116" s="19" t="s">
        <v>787</v>
      </c>
      <c r="B116" s="12" t="str">
        <f t="shared" si="1"/>
        <v>051</v>
      </c>
      <c r="C116" s="1" t="s">
        <v>788</v>
      </c>
      <c r="D116" s="13" t="str">
        <f>IF(RIGHT(A116,3)="000",C116,VLOOKUP(B116,'Справочник ИХ'!A:C,3,0))</f>
        <v>Остальные грузы</v>
      </c>
      <c r="E116" s="13">
        <f>IF(RIGHT(A116,3)="000","х",VLOOKUP(B116,'Справочник ИХ'!A:D,4,0))</f>
        <v>2</v>
      </c>
      <c r="F116" s="14" t="s">
        <v>778</v>
      </c>
    </row>
    <row r="117" spans="1:6">
      <c r="A117" s="19" t="s">
        <v>789</v>
      </c>
      <c r="B117" s="12" t="str">
        <f t="shared" si="1"/>
        <v>051</v>
      </c>
      <c r="C117" s="1" t="s">
        <v>790</v>
      </c>
      <c r="D117" s="13" t="str">
        <f>IF(RIGHT(A117,3)="000",C117,VLOOKUP(B117,'Справочник ИХ'!A:C,3,0))</f>
        <v>Остальные грузы</v>
      </c>
      <c r="E117" s="13">
        <f>IF(RIGHT(A117,3)="000","х",VLOOKUP(B117,'Справочник ИХ'!A:D,4,0))</f>
        <v>2</v>
      </c>
      <c r="F117" s="14" t="s">
        <v>778</v>
      </c>
    </row>
    <row r="118" spans="1:6">
      <c r="A118" s="19" t="s">
        <v>791</v>
      </c>
      <c r="B118" s="12" t="str">
        <f t="shared" si="1"/>
        <v>051</v>
      </c>
      <c r="C118" s="1" t="s">
        <v>792</v>
      </c>
      <c r="D118" s="13" t="str">
        <f>IF(RIGHT(A118,3)="000",C118,VLOOKUP(B118,'Справочник ИХ'!A:C,3,0))</f>
        <v>Остальные грузы</v>
      </c>
      <c r="E118" s="13">
        <f>IF(RIGHT(A118,3)="000","х",VLOOKUP(B118,'Справочник ИХ'!A:D,4,0))</f>
        <v>2</v>
      </c>
      <c r="F118" s="14" t="s">
        <v>778</v>
      </c>
    </row>
    <row r="119" spans="1:6">
      <c r="A119" s="19" t="s">
        <v>793</v>
      </c>
      <c r="B119" s="12" t="str">
        <f t="shared" si="1"/>
        <v>051</v>
      </c>
      <c r="C119" s="1" t="s">
        <v>794</v>
      </c>
      <c r="D119" s="13" t="str">
        <f>IF(RIGHT(A119,3)="000",C119,VLOOKUP(B119,'Справочник ИХ'!A:C,3,0))</f>
        <v>Остальные грузы</v>
      </c>
      <c r="E119" s="13">
        <f>IF(RIGHT(A119,3)="000","х",VLOOKUP(B119,'Справочник ИХ'!A:D,4,0))</f>
        <v>2</v>
      </c>
      <c r="F119" s="14" t="s">
        <v>778</v>
      </c>
    </row>
    <row r="120" spans="1:6">
      <c r="A120" s="19" t="s">
        <v>795</v>
      </c>
      <c r="B120" s="12" t="str">
        <f t="shared" si="1"/>
        <v>051</v>
      </c>
      <c r="C120" s="1" t="s">
        <v>796</v>
      </c>
      <c r="D120" s="13" t="str">
        <f>IF(RIGHT(A120,3)="000",C120,VLOOKUP(B120,'Справочник ИХ'!A:C,3,0))</f>
        <v>Остальные грузы</v>
      </c>
      <c r="E120" s="13">
        <f>IF(RIGHT(A120,3)="000","х",VLOOKUP(B120,'Справочник ИХ'!A:D,4,0))</f>
        <v>2</v>
      </c>
      <c r="F120" s="14" t="s">
        <v>778</v>
      </c>
    </row>
    <row r="121" spans="1:6">
      <c r="A121" s="19" t="s">
        <v>797</v>
      </c>
      <c r="B121" s="12" t="str">
        <f t="shared" si="1"/>
        <v>051</v>
      </c>
      <c r="C121" s="1" t="s">
        <v>798</v>
      </c>
      <c r="D121" s="13" t="str">
        <f>IF(RIGHT(A121,3)="000",C121,VLOOKUP(B121,'Справочник ИХ'!A:C,3,0))</f>
        <v>Остальные грузы</v>
      </c>
      <c r="E121" s="13">
        <f>IF(RIGHT(A121,3)="000","х",VLOOKUP(B121,'Справочник ИХ'!A:D,4,0))</f>
        <v>2</v>
      </c>
      <c r="F121" s="14" t="s">
        <v>778</v>
      </c>
    </row>
    <row r="122" spans="1:6">
      <c r="A122" s="19" t="s">
        <v>799</v>
      </c>
      <c r="B122" s="12" t="str">
        <f t="shared" si="1"/>
        <v>051</v>
      </c>
      <c r="C122" s="1" t="s">
        <v>800</v>
      </c>
      <c r="D122" s="13" t="str">
        <f>IF(RIGHT(A122,3)="000",C122,VLOOKUP(B122,'Справочник ИХ'!A:C,3,0))</f>
        <v>Остальные грузы</v>
      </c>
      <c r="E122" s="13">
        <f>IF(RIGHT(A122,3)="000","х",VLOOKUP(B122,'Справочник ИХ'!A:D,4,0))</f>
        <v>2</v>
      </c>
      <c r="F122" s="14" t="s">
        <v>778</v>
      </c>
    </row>
    <row r="123" spans="1:6">
      <c r="A123" s="19" t="s">
        <v>801</v>
      </c>
      <c r="B123" s="12" t="str">
        <f t="shared" si="1"/>
        <v>051</v>
      </c>
      <c r="C123" s="1" t="s">
        <v>802</v>
      </c>
      <c r="D123" s="13" t="str">
        <f>IF(RIGHT(A123,3)="000",C123,VLOOKUP(B123,'Справочник ИХ'!A:C,3,0))</f>
        <v>Остальные грузы</v>
      </c>
      <c r="E123" s="13">
        <f>IF(RIGHT(A123,3)="000","х",VLOOKUP(B123,'Справочник ИХ'!A:D,4,0))</f>
        <v>2</v>
      </c>
      <c r="F123" s="14" t="s">
        <v>778</v>
      </c>
    </row>
    <row r="124" spans="1:6">
      <c r="A124" s="19" t="s">
        <v>803</v>
      </c>
      <c r="B124" s="12" t="str">
        <f t="shared" si="1"/>
        <v>051</v>
      </c>
      <c r="C124" s="1" t="s">
        <v>804</v>
      </c>
      <c r="D124" s="13" t="str">
        <f>IF(RIGHT(A124,3)="000",C124,VLOOKUP(B124,'Справочник ИХ'!A:C,3,0))</f>
        <v>Остальные грузы</v>
      </c>
      <c r="E124" s="13">
        <f>IF(RIGHT(A124,3)="000","х",VLOOKUP(B124,'Справочник ИХ'!A:D,4,0))</f>
        <v>2</v>
      </c>
      <c r="F124" s="14" t="s">
        <v>778</v>
      </c>
    </row>
    <row r="125" spans="1:6">
      <c r="A125" s="19" t="s">
        <v>805</v>
      </c>
      <c r="B125" s="12" t="str">
        <f t="shared" si="1"/>
        <v>051</v>
      </c>
      <c r="C125" s="1" t="s">
        <v>806</v>
      </c>
      <c r="D125" s="13" t="str">
        <f>IF(RIGHT(A125,3)="000",C125,VLOOKUP(B125,'Справочник ИХ'!A:C,3,0))</f>
        <v>Остальные грузы</v>
      </c>
      <c r="E125" s="13">
        <f>IF(RIGHT(A125,3)="000","х",VLOOKUP(B125,'Справочник ИХ'!A:D,4,0))</f>
        <v>2</v>
      </c>
      <c r="F125" s="14" t="s">
        <v>778</v>
      </c>
    </row>
    <row r="126" spans="1:6">
      <c r="A126" s="19" t="s">
        <v>807</v>
      </c>
      <c r="B126" s="12" t="str">
        <f t="shared" si="1"/>
        <v>051</v>
      </c>
      <c r="C126" s="1" t="s">
        <v>808</v>
      </c>
      <c r="D126" s="13" t="str">
        <f>IF(RIGHT(A126,3)="000",C126,VLOOKUP(B126,'Справочник ИХ'!A:C,3,0))</f>
        <v>Остальные грузы</v>
      </c>
      <c r="E126" s="13">
        <f>IF(RIGHT(A126,3)="000","х",VLOOKUP(B126,'Справочник ИХ'!A:D,4,0))</f>
        <v>2</v>
      </c>
      <c r="F126" s="14" t="s">
        <v>778</v>
      </c>
    </row>
    <row r="127" spans="1:6">
      <c r="A127" s="19" t="s">
        <v>809</v>
      </c>
      <c r="B127" s="12" t="str">
        <f t="shared" si="1"/>
        <v>051</v>
      </c>
      <c r="C127" s="1" t="s">
        <v>810</v>
      </c>
      <c r="D127" s="13" t="str">
        <f>IF(RIGHT(A127,3)="000",C127,VLOOKUP(B127,'Справочник ИХ'!A:C,3,0))</f>
        <v>Остальные грузы</v>
      </c>
      <c r="E127" s="13">
        <f>IF(RIGHT(A127,3)="000","х",VLOOKUP(B127,'Справочник ИХ'!A:D,4,0))</f>
        <v>2</v>
      </c>
      <c r="F127" s="14" t="s">
        <v>778</v>
      </c>
    </row>
    <row r="128" spans="1:6">
      <c r="A128" s="19" t="s">
        <v>811</v>
      </c>
      <c r="B128" s="12" t="str">
        <f t="shared" si="1"/>
        <v>051</v>
      </c>
      <c r="C128" s="1" t="s">
        <v>812</v>
      </c>
      <c r="D128" s="13" t="str">
        <f>IF(RIGHT(A128,3)="000",C128,VLOOKUP(B128,'Справочник ИХ'!A:C,3,0))</f>
        <v>Остальные грузы</v>
      </c>
      <c r="E128" s="13">
        <f>IF(RIGHT(A128,3)="000","х",VLOOKUP(B128,'Справочник ИХ'!A:D,4,0))</f>
        <v>2</v>
      </c>
      <c r="F128" s="14" t="s">
        <v>778</v>
      </c>
    </row>
    <row r="129" spans="1:6">
      <c r="A129" s="19" t="s">
        <v>813</v>
      </c>
      <c r="B129" s="12" t="str">
        <f t="shared" si="1"/>
        <v>051</v>
      </c>
      <c r="C129" s="1" t="s">
        <v>814</v>
      </c>
      <c r="D129" s="13" t="str">
        <f>IF(RIGHT(A129,3)="000",C129,VLOOKUP(B129,'Справочник ИХ'!A:C,3,0))</f>
        <v>Остальные грузы</v>
      </c>
      <c r="E129" s="13">
        <f>IF(RIGHT(A129,3)="000","х",VLOOKUP(B129,'Справочник ИХ'!A:D,4,0))</f>
        <v>2</v>
      </c>
      <c r="F129" s="14" t="s">
        <v>778</v>
      </c>
    </row>
    <row r="130" spans="1:6">
      <c r="A130" s="19" t="s">
        <v>815</v>
      </c>
      <c r="B130" s="12" t="str">
        <f t="shared" si="1"/>
        <v>051</v>
      </c>
      <c r="C130" s="1" t="s">
        <v>816</v>
      </c>
      <c r="D130" s="13" t="str">
        <f>IF(RIGHT(A130,3)="000",C130,VLOOKUP(B130,'Справочник ИХ'!A:C,3,0))</f>
        <v>Остальные грузы</v>
      </c>
      <c r="E130" s="13">
        <f>IF(RIGHT(A130,3)="000","х",VLOOKUP(B130,'Справочник ИХ'!A:D,4,0))</f>
        <v>2</v>
      </c>
      <c r="F130" s="14" t="s">
        <v>778</v>
      </c>
    </row>
    <row r="131" spans="1:6">
      <c r="A131" s="19" t="s">
        <v>817</v>
      </c>
      <c r="B131" s="12" t="str">
        <f t="shared" si="1"/>
        <v>051</v>
      </c>
      <c r="C131" s="1" t="s">
        <v>818</v>
      </c>
      <c r="D131" s="13" t="str">
        <f>IF(RIGHT(A131,3)="000",C131,VLOOKUP(B131,'Справочник ИХ'!A:C,3,0))</f>
        <v>Остальные грузы</v>
      </c>
      <c r="E131" s="13">
        <f>IF(RIGHT(A131,3)="000","х",VLOOKUP(B131,'Справочник ИХ'!A:D,4,0))</f>
        <v>2</v>
      </c>
      <c r="F131" s="14" t="s">
        <v>778</v>
      </c>
    </row>
    <row r="132" spans="1:6">
      <c r="A132" s="19" t="s">
        <v>819</v>
      </c>
      <c r="B132" s="12" t="str">
        <f t="shared" ref="B132:B195" si="2">LEFT(A132,3)</f>
        <v>051</v>
      </c>
      <c r="C132" s="1" t="s">
        <v>820</v>
      </c>
      <c r="D132" s="13" t="str">
        <f>IF(RIGHT(A132,3)="000",C132,VLOOKUP(B132,'Справочник ИХ'!A:C,3,0))</f>
        <v>Остальные грузы</v>
      </c>
      <c r="E132" s="13">
        <f>IF(RIGHT(A132,3)="000","х",VLOOKUP(B132,'Справочник ИХ'!A:D,4,0))</f>
        <v>2</v>
      </c>
      <c r="F132" s="14" t="s">
        <v>778</v>
      </c>
    </row>
    <row r="133" spans="1:6">
      <c r="A133" s="19" t="s">
        <v>821</v>
      </c>
      <c r="B133" s="12" t="str">
        <f t="shared" si="2"/>
        <v>051</v>
      </c>
      <c r="C133" s="1" t="s">
        <v>822</v>
      </c>
      <c r="D133" s="13" t="str">
        <f>IF(RIGHT(A133,3)="000",C133,VLOOKUP(B133,'Справочник ИХ'!A:C,3,0))</f>
        <v>Остальные грузы</v>
      </c>
      <c r="E133" s="13">
        <f>IF(RIGHT(A133,3)="000","х",VLOOKUP(B133,'Справочник ИХ'!A:D,4,0))</f>
        <v>2</v>
      </c>
      <c r="F133" s="14" t="s">
        <v>778</v>
      </c>
    </row>
    <row r="134" spans="1:6">
      <c r="A134" s="19" t="s">
        <v>823</v>
      </c>
      <c r="B134" s="12" t="str">
        <f t="shared" si="2"/>
        <v>051</v>
      </c>
      <c r="C134" s="1" t="s">
        <v>824</v>
      </c>
      <c r="D134" s="13" t="str">
        <f>IF(RIGHT(A134,3)="000",C134,VLOOKUP(B134,'Справочник ИХ'!A:C,3,0))</f>
        <v>Остальные грузы</v>
      </c>
      <c r="E134" s="13">
        <f>IF(RIGHT(A134,3)="000","х",VLOOKUP(B134,'Справочник ИХ'!A:D,4,0))</f>
        <v>2</v>
      </c>
      <c r="F134" s="14" t="s">
        <v>778</v>
      </c>
    </row>
    <row r="135" spans="1:6">
      <c r="A135" s="19" t="s">
        <v>825</v>
      </c>
      <c r="B135" s="12" t="str">
        <f t="shared" si="2"/>
        <v>051</v>
      </c>
      <c r="C135" s="1" t="s">
        <v>826</v>
      </c>
      <c r="D135" s="13" t="str">
        <f>IF(RIGHT(A135,3)="000",C135,VLOOKUP(B135,'Справочник ИХ'!A:C,3,0))</f>
        <v>Остальные грузы</v>
      </c>
      <c r="E135" s="13">
        <f>IF(RIGHT(A135,3)="000","х",VLOOKUP(B135,'Справочник ИХ'!A:D,4,0))</f>
        <v>2</v>
      </c>
      <c r="F135" s="14" t="s">
        <v>778</v>
      </c>
    </row>
    <row r="136" spans="1:6">
      <c r="A136" s="19" t="s">
        <v>827</v>
      </c>
      <c r="B136" s="12" t="str">
        <f t="shared" si="2"/>
        <v>051</v>
      </c>
      <c r="C136" s="1" t="s">
        <v>828</v>
      </c>
      <c r="D136" s="13" t="str">
        <f>IF(RIGHT(A136,3)="000",C136,VLOOKUP(B136,'Справочник ИХ'!A:C,3,0))</f>
        <v>Остальные грузы</v>
      </c>
      <c r="E136" s="13">
        <f>IF(RIGHT(A136,3)="000","х",VLOOKUP(B136,'Справочник ИХ'!A:D,4,0))</f>
        <v>2</v>
      </c>
      <c r="F136" s="14" t="s">
        <v>778</v>
      </c>
    </row>
    <row r="137" spans="1:6">
      <c r="A137" s="19" t="s">
        <v>829</v>
      </c>
      <c r="B137" s="12" t="str">
        <f t="shared" si="2"/>
        <v>051</v>
      </c>
      <c r="C137" s="1" t="s">
        <v>830</v>
      </c>
      <c r="D137" s="13" t="str">
        <f>IF(RIGHT(A137,3)="000",C137,VLOOKUP(B137,'Справочник ИХ'!A:C,3,0))</f>
        <v>Остальные грузы</v>
      </c>
      <c r="E137" s="13">
        <f>IF(RIGHT(A137,3)="000","х",VLOOKUP(B137,'Справочник ИХ'!A:D,4,0))</f>
        <v>2</v>
      </c>
      <c r="F137" s="14" t="s">
        <v>778</v>
      </c>
    </row>
    <row r="138" spans="1:6">
      <c r="A138" s="19" t="s">
        <v>831</v>
      </c>
      <c r="B138" s="12" t="str">
        <f t="shared" si="2"/>
        <v>051</v>
      </c>
      <c r="C138" s="1" t="s">
        <v>832</v>
      </c>
      <c r="D138" s="13" t="str">
        <f>IF(RIGHT(A138,3)="000",C138,VLOOKUP(B138,'Справочник ИХ'!A:C,3,0))</f>
        <v>Остальные грузы</v>
      </c>
      <c r="E138" s="13">
        <f>IF(RIGHT(A138,3)="000","х",VLOOKUP(B138,'Справочник ИХ'!A:D,4,0))</f>
        <v>2</v>
      </c>
      <c r="F138" s="14" t="s">
        <v>778</v>
      </c>
    </row>
    <row r="139" spans="1:6">
      <c r="A139" s="19" t="s">
        <v>833</v>
      </c>
      <c r="B139" s="12" t="str">
        <f t="shared" si="2"/>
        <v>051</v>
      </c>
      <c r="C139" s="1" t="s">
        <v>834</v>
      </c>
      <c r="D139" s="13" t="str">
        <f>IF(RIGHT(A139,3)="000",C139,VLOOKUP(B139,'Справочник ИХ'!A:C,3,0))</f>
        <v>Остальные грузы</v>
      </c>
      <c r="E139" s="13">
        <f>IF(RIGHT(A139,3)="000","х",VLOOKUP(B139,'Справочник ИХ'!A:D,4,0))</f>
        <v>2</v>
      </c>
      <c r="F139" s="14" t="s">
        <v>778</v>
      </c>
    </row>
    <row r="140" spans="1:6">
      <c r="A140" s="19" t="s">
        <v>835</v>
      </c>
      <c r="B140" s="12" t="str">
        <f t="shared" si="2"/>
        <v>051</v>
      </c>
      <c r="C140" s="1" t="s">
        <v>836</v>
      </c>
      <c r="D140" s="13" t="str">
        <f>IF(RIGHT(A140,3)="000",C140,VLOOKUP(B140,'Справочник ИХ'!A:C,3,0))</f>
        <v>Остальные грузы</v>
      </c>
      <c r="E140" s="13">
        <f>IF(RIGHT(A140,3)="000","х",VLOOKUP(B140,'Справочник ИХ'!A:D,4,0))</f>
        <v>2</v>
      </c>
      <c r="F140" s="14" t="s">
        <v>778</v>
      </c>
    </row>
    <row r="141" spans="1:6">
      <c r="A141" s="19" t="s">
        <v>837</v>
      </c>
      <c r="B141" s="12" t="str">
        <f t="shared" si="2"/>
        <v>051</v>
      </c>
      <c r="C141" s="1" t="s">
        <v>838</v>
      </c>
      <c r="D141" s="13" t="str">
        <f>IF(RIGHT(A141,3)="000",C141,VLOOKUP(B141,'Справочник ИХ'!A:C,3,0))</f>
        <v>Остальные грузы</v>
      </c>
      <c r="E141" s="13">
        <f>IF(RIGHT(A141,3)="000","х",VLOOKUP(B141,'Справочник ИХ'!A:D,4,0))</f>
        <v>2</v>
      </c>
      <c r="F141" s="14" t="s">
        <v>778</v>
      </c>
    </row>
    <row r="142" spans="1:6" ht="31.75">
      <c r="A142" s="19" t="s">
        <v>839</v>
      </c>
      <c r="B142" s="12" t="str">
        <f t="shared" si="2"/>
        <v>051</v>
      </c>
      <c r="C142" s="1" t="s">
        <v>840</v>
      </c>
      <c r="D142" s="13" t="str">
        <f>IF(RIGHT(A142,3)="000",C142,VLOOKUP(B142,'Справочник ИХ'!A:C,3,0))</f>
        <v>Остальные грузы</v>
      </c>
      <c r="E142" s="13">
        <f>IF(RIGHT(A142,3)="000","х",VLOOKUP(B142,'Справочник ИХ'!A:D,4,0))</f>
        <v>2</v>
      </c>
      <c r="F142" s="14" t="s">
        <v>778</v>
      </c>
    </row>
    <row r="143" spans="1:6" ht="31.75">
      <c r="A143" s="19" t="s">
        <v>841</v>
      </c>
      <c r="B143" s="12" t="str">
        <f t="shared" si="2"/>
        <v>051</v>
      </c>
      <c r="C143" s="1" t="s">
        <v>842</v>
      </c>
      <c r="D143" s="13" t="str">
        <f>IF(RIGHT(A143,3)="000",C143,VLOOKUP(B143,'Справочник ИХ'!A:C,3,0))</f>
        <v>Остальные грузы</v>
      </c>
      <c r="E143" s="13">
        <f>IF(RIGHT(A143,3)="000","х",VLOOKUP(B143,'Справочник ИХ'!A:D,4,0))</f>
        <v>2</v>
      </c>
      <c r="F143" s="14" t="s">
        <v>778</v>
      </c>
    </row>
    <row r="144" spans="1:6">
      <c r="A144" s="19" t="s">
        <v>843</v>
      </c>
      <c r="B144" s="12" t="str">
        <f t="shared" si="2"/>
        <v>051</v>
      </c>
      <c r="C144" s="1" t="s">
        <v>844</v>
      </c>
      <c r="D144" s="13" t="str">
        <f>IF(RIGHT(A144,3)="000",C144,VLOOKUP(B144,'Справочник ИХ'!A:C,3,0))</f>
        <v>Остальные грузы</v>
      </c>
      <c r="E144" s="13">
        <f>IF(RIGHT(A144,3)="000","х",VLOOKUP(B144,'Справочник ИХ'!A:D,4,0))</f>
        <v>2</v>
      </c>
      <c r="F144" s="14" t="s">
        <v>778</v>
      </c>
    </row>
    <row r="145" spans="1:6">
      <c r="A145" s="19" t="s">
        <v>845</v>
      </c>
      <c r="B145" s="12" t="str">
        <f t="shared" si="2"/>
        <v>051</v>
      </c>
      <c r="C145" s="1" t="s">
        <v>846</v>
      </c>
      <c r="D145" s="13" t="str">
        <f>IF(RIGHT(A145,3)="000",C145,VLOOKUP(B145,'Справочник ИХ'!A:C,3,0))</f>
        <v>Остальные грузы</v>
      </c>
      <c r="E145" s="13">
        <f>IF(RIGHT(A145,3)="000","х",VLOOKUP(B145,'Справочник ИХ'!A:D,4,0))</f>
        <v>2</v>
      </c>
      <c r="F145" s="14" t="s">
        <v>778</v>
      </c>
    </row>
    <row r="146" spans="1:6">
      <c r="A146" s="19" t="s">
        <v>847</v>
      </c>
      <c r="B146" s="12" t="str">
        <f t="shared" si="2"/>
        <v>051</v>
      </c>
      <c r="C146" s="1" t="s">
        <v>848</v>
      </c>
      <c r="D146" s="13" t="str">
        <f>IF(RIGHT(A146,3)="000",C146,VLOOKUP(B146,'Справочник ИХ'!A:C,3,0))</f>
        <v>Остальные грузы</v>
      </c>
      <c r="E146" s="13">
        <f>IF(RIGHT(A146,3)="000","х",VLOOKUP(B146,'Справочник ИХ'!A:D,4,0))</f>
        <v>2</v>
      </c>
      <c r="F146" s="14" t="s">
        <v>778</v>
      </c>
    </row>
    <row r="147" spans="1:6">
      <c r="A147" s="19" t="s">
        <v>849</v>
      </c>
      <c r="B147" s="12" t="str">
        <f t="shared" si="2"/>
        <v>051</v>
      </c>
      <c r="C147" s="1" t="s">
        <v>850</v>
      </c>
      <c r="D147" s="13" t="str">
        <f>IF(RIGHT(A147,3)="000",C147,VLOOKUP(B147,'Справочник ИХ'!A:C,3,0))</f>
        <v>Остальные грузы</v>
      </c>
      <c r="E147" s="13">
        <f>IF(RIGHT(A147,3)="000","х",VLOOKUP(B147,'Справочник ИХ'!A:D,4,0))</f>
        <v>2</v>
      </c>
      <c r="F147" s="14" t="s">
        <v>778</v>
      </c>
    </row>
    <row r="148" spans="1:6">
      <c r="A148" s="19" t="s">
        <v>851</v>
      </c>
      <c r="B148" s="12" t="str">
        <f t="shared" si="2"/>
        <v>051</v>
      </c>
      <c r="C148" s="1" t="s">
        <v>852</v>
      </c>
      <c r="D148" s="13" t="str">
        <f>IF(RIGHT(A148,3)="000",C148,VLOOKUP(B148,'Справочник ИХ'!A:C,3,0))</f>
        <v>Остальные грузы</v>
      </c>
      <c r="E148" s="13">
        <f>IF(RIGHT(A148,3)="000","х",VLOOKUP(B148,'Справочник ИХ'!A:D,4,0))</f>
        <v>2</v>
      </c>
      <c r="F148" s="14" t="s">
        <v>778</v>
      </c>
    </row>
    <row r="149" spans="1:6" ht="31.75">
      <c r="A149" s="19" t="s">
        <v>853</v>
      </c>
      <c r="B149" s="12" t="str">
        <f t="shared" si="2"/>
        <v>051</v>
      </c>
      <c r="C149" s="1" t="s">
        <v>854</v>
      </c>
      <c r="D149" s="13" t="str">
        <f>IF(RIGHT(A149,3)="000",C149,VLOOKUP(B149,'Справочник ИХ'!A:C,3,0))</f>
        <v>Остальные грузы</v>
      </c>
      <c r="E149" s="13">
        <f>IF(RIGHT(A149,3)="000","х",VLOOKUP(B149,'Справочник ИХ'!A:D,4,0))</f>
        <v>2</v>
      </c>
      <c r="F149" s="14" t="s">
        <v>778</v>
      </c>
    </row>
    <row r="150" spans="1:6" ht="31.75">
      <c r="A150" s="19" t="s">
        <v>855</v>
      </c>
      <c r="B150" s="12" t="str">
        <f t="shared" si="2"/>
        <v>051</v>
      </c>
      <c r="C150" s="1" t="s">
        <v>856</v>
      </c>
      <c r="D150" s="13" t="str">
        <f>IF(RIGHT(A150,3)="000",C150,VLOOKUP(B150,'Справочник ИХ'!A:C,3,0))</f>
        <v>Остальные грузы</v>
      </c>
      <c r="E150" s="13">
        <f>IF(RIGHT(A150,3)="000","х",VLOOKUP(B150,'Справочник ИХ'!A:D,4,0))</f>
        <v>2</v>
      </c>
      <c r="F150" s="14" t="s">
        <v>778</v>
      </c>
    </row>
    <row r="151" spans="1:6" s="18" customFormat="1">
      <c r="A151" s="16" t="s">
        <v>857</v>
      </c>
      <c r="B151" s="12" t="str">
        <f t="shared" si="2"/>
        <v>052</v>
      </c>
      <c r="C151" s="17" t="s">
        <v>858</v>
      </c>
      <c r="D151" s="13" t="str">
        <f>IF(RIGHT(A151,3)="000",C151,VLOOKUP(B151,'Справочник ИХ'!A:C,3,0))</f>
        <v>Остальные грузы</v>
      </c>
      <c r="E151" s="13">
        <f>IF(RIGHT(A151,3)="000","х",VLOOKUP(B151,'Справочник ИХ'!A:D,4,0))</f>
        <v>2</v>
      </c>
      <c r="F151" s="14" t="s">
        <v>778</v>
      </c>
    </row>
    <row r="152" spans="1:6">
      <c r="A152" s="19" t="s">
        <v>859</v>
      </c>
      <c r="B152" s="12" t="str">
        <f t="shared" si="2"/>
        <v>052</v>
      </c>
      <c r="C152" s="1" t="s">
        <v>860</v>
      </c>
      <c r="D152" s="13" t="str">
        <f>IF(RIGHT(A152,3)="000",C152,VLOOKUP(B152,'Справочник ИХ'!A:C,3,0))</f>
        <v>Остальные грузы</v>
      </c>
      <c r="E152" s="13">
        <f>IF(RIGHT(A152,3)="000","х",VLOOKUP(B152,'Справочник ИХ'!A:D,4,0))</f>
        <v>2</v>
      </c>
      <c r="F152" s="14" t="s">
        <v>778</v>
      </c>
    </row>
    <row r="153" spans="1:6">
      <c r="A153" s="19" t="s">
        <v>861</v>
      </c>
      <c r="B153" s="12" t="str">
        <f t="shared" si="2"/>
        <v>052</v>
      </c>
      <c r="C153" s="1" t="s">
        <v>862</v>
      </c>
      <c r="D153" s="13" t="str">
        <f>IF(RIGHT(A153,3)="000",C153,VLOOKUP(B153,'Справочник ИХ'!A:C,3,0))</f>
        <v>Остальные грузы</v>
      </c>
      <c r="E153" s="13">
        <f>IF(RIGHT(A153,3)="000","х",VLOOKUP(B153,'Справочник ИХ'!A:D,4,0))</f>
        <v>2</v>
      </c>
      <c r="F153" s="14" t="s">
        <v>778</v>
      </c>
    </row>
    <row r="154" spans="1:6" s="18" customFormat="1">
      <c r="A154" s="16" t="s">
        <v>863</v>
      </c>
      <c r="B154" s="12" t="str">
        <f t="shared" si="2"/>
        <v>053</v>
      </c>
      <c r="C154" s="17" t="s">
        <v>864</v>
      </c>
      <c r="D154" s="13" t="str">
        <f>IF(RIGHT(A154,3)="000",C154,VLOOKUP(B154,'Справочник ИХ'!A:C,3,0))</f>
        <v>Остальные грузы</v>
      </c>
      <c r="E154" s="13">
        <f>IF(RIGHT(A154,3)="000","х",VLOOKUP(B154,'Справочник ИХ'!A:D,4,0))</f>
        <v>2</v>
      </c>
      <c r="F154" s="14" t="s">
        <v>778</v>
      </c>
    </row>
    <row r="155" spans="1:6">
      <c r="A155" s="19" t="s">
        <v>865</v>
      </c>
      <c r="B155" s="12" t="str">
        <f t="shared" si="2"/>
        <v>053</v>
      </c>
      <c r="C155" s="1" t="s">
        <v>866</v>
      </c>
      <c r="D155" s="13" t="str">
        <f>IF(RIGHT(A155,3)="000",C155,VLOOKUP(B155,'Справочник ИХ'!A:C,3,0))</f>
        <v>Остальные грузы</v>
      </c>
      <c r="E155" s="13">
        <f>IF(RIGHT(A155,3)="000","х",VLOOKUP(B155,'Справочник ИХ'!A:D,4,0))</f>
        <v>2</v>
      </c>
      <c r="F155" s="14" t="s">
        <v>778</v>
      </c>
    </row>
    <row r="156" spans="1:6">
      <c r="A156" s="19" t="s">
        <v>867</v>
      </c>
      <c r="B156" s="12" t="str">
        <f t="shared" si="2"/>
        <v>053</v>
      </c>
      <c r="C156" s="1" t="s">
        <v>868</v>
      </c>
      <c r="D156" s="13" t="str">
        <f>IF(RIGHT(A156,3)="000",C156,VLOOKUP(B156,'Справочник ИХ'!A:C,3,0))</f>
        <v>Остальные грузы</v>
      </c>
      <c r="E156" s="13">
        <f>IF(RIGHT(A156,3)="000","х",VLOOKUP(B156,'Справочник ИХ'!A:D,4,0))</f>
        <v>2</v>
      </c>
      <c r="F156" s="14" t="s">
        <v>778</v>
      </c>
    </row>
    <row r="157" spans="1:6">
      <c r="A157" s="19" t="s">
        <v>869</v>
      </c>
      <c r="B157" s="12" t="str">
        <f t="shared" si="2"/>
        <v>053</v>
      </c>
      <c r="C157" s="1" t="s">
        <v>870</v>
      </c>
      <c r="D157" s="13" t="str">
        <f>IF(RIGHT(A157,3)="000",C157,VLOOKUP(B157,'Справочник ИХ'!A:C,3,0))</f>
        <v>Остальные грузы</v>
      </c>
      <c r="E157" s="13">
        <f>IF(RIGHT(A157,3)="000","х",VLOOKUP(B157,'Справочник ИХ'!A:D,4,0))</f>
        <v>2</v>
      </c>
      <c r="F157" s="14" t="s">
        <v>778</v>
      </c>
    </row>
    <row r="158" spans="1:6">
      <c r="A158" s="19" t="s">
        <v>871</v>
      </c>
      <c r="B158" s="12" t="str">
        <f t="shared" si="2"/>
        <v>053</v>
      </c>
      <c r="C158" s="1" t="s">
        <v>872</v>
      </c>
      <c r="D158" s="13" t="str">
        <f>IF(RIGHT(A158,3)="000",C158,VLOOKUP(B158,'Справочник ИХ'!A:C,3,0))</f>
        <v>Остальные грузы</v>
      </c>
      <c r="E158" s="13">
        <f>IF(RIGHT(A158,3)="000","х",VLOOKUP(B158,'Справочник ИХ'!A:D,4,0))</f>
        <v>2</v>
      </c>
      <c r="F158" s="14" t="s">
        <v>778</v>
      </c>
    </row>
    <row r="159" spans="1:6">
      <c r="A159" s="19" t="s">
        <v>873</v>
      </c>
      <c r="B159" s="12" t="str">
        <f t="shared" si="2"/>
        <v>053</v>
      </c>
      <c r="C159" s="1" t="s">
        <v>874</v>
      </c>
      <c r="D159" s="13" t="str">
        <f>IF(RIGHT(A159,3)="000",C159,VLOOKUP(B159,'Справочник ИХ'!A:C,3,0))</f>
        <v>Остальные грузы</v>
      </c>
      <c r="E159" s="13">
        <f>IF(RIGHT(A159,3)="000","х",VLOOKUP(B159,'Справочник ИХ'!A:D,4,0))</f>
        <v>2</v>
      </c>
      <c r="F159" s="14" t="s">
        <v>778</v>
      </c>
    </row>
    <row r="160" spans="1:6">
      <c r="A160" s="19" t="s">
        <v>875</v>
      </c>
      <c r="B160" s="12" t="str">
        <f t="shared" si="2"/>
        <v>053</v>
      </c>
      <c r="C160" s="1" t="s">
        <v>876</v>
      </c>
      <c r="D160" s="13" t="str">
        <f>IF(RIGHT(A160,3)="000",C160,VLOOKUP(B160,'Справочник ИХ'!A:C,3,0))</f>
        <v>Остальные грузы</v>
      </c>
      <c r="E160" s="13">
        <f>IF(RIGHT(A160,3)="000","х",VLOOKUP(B160,'Справочник ИХ'!A:D,4,0))</f>
        <v>2</v>
      </c>
      <c r="F160" s="14" t="s">
        <v>778</v>
      </c>
    </row>
    <row r="161" spans="1:6" s="18" customFormat="1">
      <c r="A161" s="16" t="s">
        <v>877</v>
      </c>
      <c r="B161" s="12" t="str">
        <f t="shared" si="2"/>
        <v>054</v>
      </c>
      <c r="C161" s="17" t="s">
        <v>878</v>
      </c>
      <c r="D161" s="13" t="str">
        <f>IF(RIGHT(A161,3)="000",C161,VLOOKUP(B161,'Справочник ИХ'!A:C,3,0))</f>
        <v>Остальные грузы</v>
      </c>
      <c r="E161" s="13">
        <f>IF(RIGHT(A161,3)="000","х",VLOOKUP(B161,'Справочник ИХ'!A:D,4,0))</f>
        <v>2</v>
      </c>
      <c r="F161" s="14" t="s">
        <v>778</v>
      </c>
    </row>
    <row r="162" spans="1:6">
      <c r="A162" s="19" t="s">
        <v>879</v>
      </c>
      <c r="B162" s="12" t="str">
        <f t="shared" si="2"/>
        <v>054</v>
      </c>
      <c r="C162" s="1" t="s">
        <v>880</v>
      </c>
      <c r="D162" s="13" t="str">
        <f>IF(RIGHT(A162,3)="000",C162,VLOOKUP(B162,'Справочник ИХ'!A:C,3,0))</f>
        <v>Остальные грузы</v>
      </c>
      <c r="E162" s="13">
        <f>IF(RIGHT(A162,3)="000","х",VLOOKUP(B162,'Справочник ИХ'!A:D,4,0))</f>
        <v>2</v>
      </c>
      <c r="F162" s="14" t="s">
        <v>778</v>
      </c>
    </row>
    <row r="163" spans="1:6">
      <c r="A163" s="19" t="s">
        <v>881</v>
      </c>
      <c r="B163" s="12" t="str">
        <f t="shared" si="2"/>
        <v>054</v>
      </c>
      <c r="C163" s="1" t="s">
        <v>882</v>
      </c>
      <c r="D163" s="13" t="str">
        <f>IF(RIGHT(A163,3)="000",C163,VLOOKUP(B163,'Справочник ИХ'!A:C,3,0))</f>
        <v>Остальные грузы</v>
      </c>
      <c r="E163" s="13">
        <f>IF(RIGHT(A163,3)="000","х",VLOOKUP(B163,'Справочник ИХ'!A:D,4,0))</f>
        <v>2</v>
      </c>
      <c r="F163" s="14" t="s">
        <v>778</v>
      </c>
    </row>
    <row r="164" spans="1:6">
      <c r="A164" s="19" t="s">
        <v>883</v>
      </c>
      <c r="B164" s="12" t="str">
        <f t="shared" si="2"/>
        <v>054</v>
      </c>
      <c r="C164" s="1" t="s">
        <v>884</v>
      </c>
      <c r="D164" s="13" t="str">
        <f>IF(RIGHT(A164,3)="000",C164,VLOOKUP(B164,'Справочник ИХ'!A:C,3,0))</f>
        <v>Остальные грузы</v>
      </c>
      <c r="E164" s="13">
        <f>IF(RIGHT(A164,3)="000","х",VLOOKUP(B164,'Справочник ИХ'!A:D,4,0))</f>
        <v>2</v>
      </c>
      <c r="F164" s="14" t="s">
        <v>778</v>
      </c>
    </row>
    <row r="165" spans="1:6">
      <c r="A165" s="19" t="s">
        <v>885</v>
      </c>
      <c r="B165" s="12" t="str">
        <f t="shared" si="2"/>
        <v>054</v>
      </c>
      <c r="C165" s="1" t="s">
        <v>886</v>
      </c>
      <c r="D165" s="13" t="str">
        <f>IF(RIGHT(A165,3)="000",C165,VLOOKUP(B165,'Справочник ИХ'!A:C,3,0))</f>
        <v>Остальные грузы</v>
      </c>
      <c r="E165" s="13">
        <f>IF(RIGHT(A165,3)="000","х",VLOOKUP(B165,'Справочник ИХ'!A:D,4,0))</f>
        <v>2</v>
      </c>
      <c r="F165" s="14" t="s">
        <v>778</v>
      </c>
    </row>
    <row r="166" spans="1:6">
      <c r="A166" s="19" t="s">
        <v>887</v>
      </c>
      <c r="B166" s="12" t="str">
        <f t="shared" si="2"/>
        <v>054</v>
      </c>
      <c r="C166" s="1" t="s">
        <v>888</v>
      </c>
      <c r="D166" s="13" t="str">
        <f>IF(RIGHT(A166,3)="000",C166,VLOOKUP(B166,'Справочник ИХ'!A:C,3,0))</f>
        <v>Остальные грузы</v>
      </c>
      <c r="E166" s="13">
        <f>IF(RIGHT(A166,3)="000","х",VLOOKUP(B166,'Справочник ИХ'!A:D,4,0))</f>
        <v>2</v>
      </c>
      <c r="F166" s="14" t="s">
        <v>778</v>
      </c>
    </row>
    <row r="167" spans="1:6">
      <c r="A167" s="19" t="s">
        <v>889</v>
      </c>
      <c r="B167" s="12" t="str">
        <f t="shared" si="2"/>
        <v>054</v>
      </c>
      <c r="C167" s="1" t="s">
        <v>890</v>
      </c>
      <c r="D167" s="13" t="str">
        <f>IF(RIGHT(A167,3)="000",C167,VLOOKUP(B167,'Справочник ИХ'!A:C,3,0))</f>
        <v>Остальные грузы</v>
      </c>
      <c r="E167" s="13">
        <f>IF(RIGHT(A167,3)="000","х",VLOOKUP(B167,'Справочник ИХ'!A:D,4,0))</f>
        <v>2</v>
      </c>
      <c r="F167" s="14" t="s">
        <v>778</v>
      </c>
    </row>
    <row r="168" spans="1:6">
      <c r="A168" s="19" t="s">
        <v>891</v>
      </c>
      <c r="B168" s="12" t="str">
        <f t="shared" si="2"/>
        <v>054</v>
      </c>
      <c r="C168" s="1" t="s">
        <v>892</v>
      </c>
      <c r="D168" s="13" t="str">
        <f>IF(RIGHT(A168,3)="000",C168,VLOOKUP(B168,'Справочник ИХ'!A:C,3,0))</f>
        <v>Остальные грузы</v>
      </c>
      <c r="E168" s="13">
        <f>IF(RIGHT(A168,3)="000","х",VLOOKUP(B168,'Справочник ИХ'!A:D,4,0))</f>
        <v>2</v>
      </c>
      <c r="F168" s="14" t="s">
        <v>778</v>
      </c>
    </row>
    <row r="169" spans="1:6">
      <c r="A169" s="19" t="s">
        <v>893</v>
      </c>
      <c r="B169" s="12" t="str">
        <f t="shared" si="2"/>
        <v>054</v>
      </c>
      <c r="C169" s="1" t="s">
        <v>894</v>
      </c>
      <c r="D169" s="13" t="str">
        <f>IF(RIGHT(A169,3)="000",C169,VLOOKUP(B169,'Справочник ИХ'!A:C,3,0))</f>
        <v>Остальные грузы</v>
      </c>
      <c r="E169" s="13">
        <f>IF(RIGHT(A169,3)="000","х",VLOOKUP(B169,'Справочник ИХ'!A:D,4,0))</f>
        <v>2</v>
      </c>
      <c r="F169" s="14" t="s">
        <v>778</v>
      </c>
    </row>
    <row r="170" spans="1:6">
      <c r="A170" s="19" t="s">
        <v>895</v>
      </c>
      <c r="B170" s="12" t="str">
        <f t="shared" si="2"/>
        <v>054</v>
      </c>
      <c r="C170" s="1" t="s">
        <v>896</v>
      </c>
      <c r="D170" s="13" t="str">
        <f>IF(RIGHT(A170,3)="000",C170,VLOOKUP(B170,'Справочник ИХ'!A:C,3,0))</f>
        <v>Остальные грузы</v>
      </c>
      <c r="E170" s="13">
        <f>IF(RIGHT(A170,3)="000","х",VLOOKUP(B170,'Справочник ИХ'!A:D,4,0))</f>
        <v>2</v>
      </c>
      <c r="F170" s="14" t="s">
        <v>778</v>
      </c>
    </row>
    <row r="171" spans="1:6">
      <c r="A171" s="19" t="s">
        <v>897</v>
      </c>
      <c r="B171" s="12" t="str">
        <f t="shared" si="2"/>
        <v>054</v>
      </c>
      <c r="C171" s="1" t="s">
        <v>898</v>
      </c>
      <c r="D171" s="13" t="str">
        <f>IF(RIGHT(A171,3)="000",C171,VLOOKUP(B171,'Справочник ИХ'!A:C,3,0))</f>
        <v>Остальные грузы</v>
      </c>
      <c r="E171" s="13">
        <f>IF(RIGHT(A171,3)="000","х",VLOOKUP(B171,'Справочник ИХ'!A:D,4,0))</f>
        <v>2</v>
      </c>
      <c r="F171" s="14" t="s">
        <v>778</v>
      </c>
    </row>
    <row r="172" spans="1:6" s="15" customFormat="1">
      <c r="A172" s="7" t="s">
        <v>899</v>
      </c>
      <c r="B172" s="12" t="str">
        <f t="shared" si="2"/>
        <v>060</v>
      </c>
      <c r="C172" s="11" t="s">
        <v>900</v>
      </c>
      <c r="D172" s="13" t="str">
        <f>IF(RIGHT(A172,3)="000",C172,VLOOKUP(B172,'Справочник ИХ'!A:C,3,0))</f>
        <v xml:space="preserve">Животные, птицы, пчелы </v>
      </c>
      <c r="E172" s="13" t="str">
        <f>IF(RIGHT(A172,3)="000","х",VLOOKUP(B172,'Справочник ИХ'!A:D,4,0))</f>
        <v>х</v>
      </c>
      <c r="F172" s="14" t="s">
        <v>900</v>
      </c>
    </row>
    <row r="173" spans="1:6" s="18" customFormat="1">
      <c r="A173" s="16" t="s">
        <v>901</v>
      </c>
      <c r="B173" s="12" t="str">
        <f t="shared" si="2"/>
        <v>061</v>
      </c>
      <c r="C173" s="17" t="s">
        <v>902</v>
      </c>
      <c r="D173" s="13" t="str">
        <f>IF(RIGHT(A173,3)="000",C173,VLOOKUP(B173,'Справочник ИХ'!A:C,3,0))</f>
        <v>Остальные грузы</v>
      </c>
      <c r="E173" s="13">
        <f>IF(RIGHT(A173,3)="000","х",VLOOKUP(B173,'Справочник ИХ'!A:D,4,0))</f>
        <v>2</v>
      </c>
      <c r="F173" s="14" t="s">
        <v>900</v>
      </c>
    </row>
    <row r="174" spans="1:6">
      <c r="A174" s="19" t="s">
        <v>903</v>
      </c>
      <c r="B174" s="12" t="str">
        <f t="shared" si="2"/>
        <v>061</v>
      </c>
      <c r="C174" s="1" t="s">
        <v>904</v>
      </c>
      <c r="D174" s="13" t="str">
        <f>IF(RIGHT(A174,3)="000",C174,VLOOKUP(B174,'Справочник ИХ'!A:C,3,0))</f>
        <v>Остальные грузы</v>
      </c>
      <c r="E174" s="13">
        <f>IF(RIGHT(A174,3)="000","х",VLOOKUP(B174,'Справочник ИХ'!A:D,4,0))</f>
        <v>2</v>
      </c>
      <c r="F174" s="14" t="s">
        <v>900</v>
      </c>
    </row>
    <row r="175" spans="1:6">
      <c r="A175" s="19" t="s">
        <v>905</v>
      </c>
      <c r="B175" s="12" t="str">
        <f t="shared" si="2"/>
        <v>061</v>
      </c>
      <c r="C175" s="1" t="s">
        <v>906</v>
      </c>
      <c r="D175" s="13" t="str">
        <f>IF(RIGHT(A175,3)="000",C175,VLOOKUP(B175,'Справочник ИХ'!A:C,3,0))</f>
        <v>Остальные грузы</v>
      </c>
      <c r="E175" s="13">
        <f>IF(RIGHT(A175,3)="000","х",VLOOKUP(B175,'Справочник ИХ'!A:D,4,0))</f>
        <v>2</v>
      </c>
      <c r="F175" s="14" t="s">
        <v>900</v>
      </c>
    </row>
    <row r="176" spans="1:6">
      <c r="A176" s="19" t="s">
        <v>907</v>
      </c>
      <c r="B176" s="12" t="str">
        <f t="shared" si="2"/>
        <v>061</v>
      </c>
      <c r="C176" s="1" t="s">
        <v>908</v>
      </c>
      <c r="D176" s="13" t="str">
        <f>IF(RIGHT(A176,3)="000",C176,VLOOKUP(B176,'Справочник ИХ'!A:C,3,0))</f>
        <v>Остальные грузы</v>
      </c>
      <c r="E176" s="13">
        <f>IF(RIGHT(A176,3)="000","х",VLOOKUP(B176,'Справочник ИХ'!A:D,4,0))</f>
        <v>2</v>
      </c>
      <c r="F176" s="14" t="s">
        <v>900</v>
      </c>
    </row>
    <row r="177" spans="1:6">
      <c r="A177" s="19" t="s">
        <v>909</v>
      </c>
      <c r="B177" s="12" t="str">
        <f t="shared" si="2"/>
        <v>061</v>
      </c>
      <c r="C177" s="1" t="s">
        <v>910</v>
      </c>
      <c r="D177" s="13" t="str">
        <f>IF(RIGHT(A177,3)="000",C177,VLOOKUP(B177,'Справочник ИХ'!A:C,3,0))</f>
        <v>Остальные грузы</v>
      </c>
      <c r="E177" s="13">
        <f>IF(RIGHT(A177,3)="000","х",VLOOKUP(B177,'Справочник ИХ'!A:D,4,0))</f>
        <v>2</v>
      </c>
      <c r="F177" s="14" t="s">
        <v>900</v>
      </c>
    </row>
    <row r="178" spans="1:6">
      <c r="A178" s="19" t="s">
        <v>911</v>
      </c>
      <c r="B178" s="12" t="str">
        <f t="shared" si="2"/>
        <v>061</v>
      </c>
      <c r="C178" s="1" t="s">
        <v>912</v>
      </c>
      <c r="D178" s="13" t="str">
        <f>IF(RIGHT(A178,3)="000",C178,VLOOKUP(B178,'Справочник ИХ'!A:C,3,0))</f>
        <v>Остальные грузы</v>
      </c>
      <c r="E178" s="13">
        <f>IF(RIGHT(A178,3)="000","х",VLOOKUP(B178,'Справочник ИХ'!A:D,4,0))</f>
        <v>2</v>
      </c>
      <c r="F178" s="14" t="s">
        <v>900</v>
      </c>
    </row>
    <row r="179" spans="1:6">
      <c r="A179" s="19" t="s">
        <v>913</v>
      </c>
      <c r="B179" s="12" t="str">
        <f t="shared" si="2"/>
        <v>061</v>
      </c>
      <c r="C179" s="1" t="s">
        <v>914</v>
      </c>
      <c r="D179" s="13" t="str">
        <f>IF(RIGHT(A179,3)="000",C179,VLOOKUP(B179,'Справочник ИХ'!A:C,3,0))</f>
        <v>Остальные грузы</v>
      </c>
      <c r="E179" s="13">
        <f>IF(RIGHT(A179,3)="000","х",VLOOKUP(B179,'Справочник ИХ'!A:D,4,0))</f>
        <v>2</v>
      </c>
      <c r="F179" s="14" t="s">
        <v>900</v>
      </c>
    </row>
    <row r="180" spans="1:6">
      <c r="A180" s="19" t="s">
        <v>915</v>
      </c>
      <c r="B180" s="12" t="str">
        <f t="shared" si="2"/>
        <v>061</v>
      </c>
      <c r="C180" s="1" t="s">
        <v>916</v>
      </c>
      <c r="D180" s="13" t="str">
        <f>IF(RIGHT(A180,3)="000",C180,VLOOKUP(B180,'Справочник ИХ'!A:C,3,0))</f>
        <v>Остальные грузы</v>
      </c>
      <c r="E180" s="13">
        <f>IF(RIGHT(A180,3)="000","х",VLOOKUP(B180,'Справочник ИХ'!A:D,4,0))</f>
        <v>2</v>
      </c>
      <c r="F180" s="14" t="s">
        <v>900</v>
      </c>
    </row>
    <row r="181" spans="1:6">
      <c r="A181" s="19" t="s">
        <v>917</v>
      </c>
      <c r="B181" s="12" t="str">
        <f t="shared" si="2"/>
        <v>061</v>
      </c>
      <c r="C181" s="1" t="s">
        <v>918</v>
      </c>
      <c r="D181" s="13" t="str">
        <f>IF(RIGHT(A181,3)="000",C181,VLOOKUP(B181,'Справочник ИХ'!A:C,3,0))</f>
        <v>Остальные грузы</v>
      </c>
      <c r="E181" s="13">
        <f>IF(RIGHT(A181,3)="000","х",VLOOKUP(B181,'Справочник ИХ'!A:D,4,0))</f>
        <v>2</v>
      </c>
      <c r="F181" s="14" t="s">
        <v>900</v>
      </c>
    </row>
    <row r="182" spans="1:6" ht="31.75">
      <c r="A182" s="19" t="s">
        <v>919</v>
      </c>
      <c r="B182" s="12" t="str">
        <f t="shared" si="2"/>
        <v>061</v>
      </c>
      <c r="C182" s="1" t="s">
        <v>920</v>
      </c>
      <c r="D182" s="13" t="str">
        <f>IF(RIGHT(A182,3)="000",C182,VLOOKUP(B182,'Справочник ИХ'!A:C,3,0))</f>
        <v>Остальные грузы</v>
      </c>
      <c r="E182" s="13">
        <f>IF(RIGHT(A182,3)="000","х",VLOOKUP(B182,'Справочник ИХ'!A:D,4,0))</f>
        <v>2</v>
      </c>
      <c r="F182" s="14" t="s">
        <v>900</v>
      </c>
    </row>
    <row r="183" spans="1:6">
      <c r="A183" s="19" t="s">
        <v>921</v>
      </c>
      <c r="B183" s="12" t="str">
        <f t="shared" si="2"/>
        <v>061</v>
      </c>
      <c r="C183" s="1" t="s">
        <v>922</v>
      </c>
      <c r="D183" s="13" t="str">
        <f>IF(RIGHT(A183,3)="000",C183,VLOOKUP(B183,'Справочник ИХ'!A:C,3,0))</f>
        <v>Остальные грузы</v>
      </c>
      <c r="E183" s="13">
        <f>IF(RIGHT(A183,3)="000","х",VLOOKUP(B183,'Справочник ИХ'!A:D,4,0))</f>
        <v>2</v>
      </c>
      <c r="F183" s="14" t="s">
        <v>900</v>
      </c>
    </row>
    <row r="184" spans="1:6" ht="31.75">
      <c r="A184" s="19" t="s">
        <v>923</v>
      </c>
      <c r="B184" s="12" t="str">
        <f t="shared" si="2"/>
        <v>061</v>
      </c>
      <c r="C184" s="1" t="s">
        <v>924</v>
      </c>
      <c r="D184" s="13" t="str">
        <f>IF(RIGHT(A184,3)="000",C184,VLOOKUP(B184,'Справочник ИХ'!A:C,3,0))</f>
        <v>Остальные грузы</v>
      </c>
      <c r="E184" s="13">
        <f>IF(RIGHT(A184,3)="000","х",VLOOKUP(B184,'Справочник ИХ'!A:D,4,0))</f>
        <v>2</v>
      </c>
      <c r="F184" s="14" t="s">
        <v>900</v>
      </c>
    </row>
    <row r="185" spans="1:6">
      <c r="A185" s="19" t="s">
        <v>925</v>
      </c>
      <c r="B185" s="12" t="str">
        <f t="shared" si="2"/>
        <v>061</v>
      </c>
      <c r="C185" s="1" t="s">
        <v>926</v>
      </c>
      <c r="D185" s="13" t="str">
        <f>IF(RIGHT(A185,3)="000",C185,VLOOKUP(B185,'Справочник ИХ'!A:C,3,0))</f>
        <v>Остальные грузы</v>
      </c>
      <c r="E185" s="13">
        <f>IF(RIGHT(A185,3)="000","х",VLOOKUP(B185,'Справочник ИХ'!A:D,4,0))</f>
        <v>2</v>
      </c>
      <c r="F185" s="14" t="s">
        <v>900</v>
      </c>
    </row>
    <row r="186" spans="1:6">
      <c r="A186" s="19" t="s">
        <v>927</v>
      </c>
      <c r="B186" s="12" t="str">
        <f t="shared" si="2"/>
        <v>061</v>
      </c>
      <c r="C186" s="1" t="s">
        <v>928</v>
      </c>
      <c r="D186" s="13" t="str">
        <f>IF(RIGHT(A186,3)="000",C186,VLOOKUP(B186,'Справочник ИХ'!A:C,3,0))</f>
        <v>Остальные грузы</v>
      </c>
      <c r="E186" s="13">
        <f>IF(RIGHT(A186,3)="000","х",VLOOKUP(B186,'Справочник ИХ'!A:D,4,0))</f>
        <v>2</v>
      </c>
      <c r="F186" s="14" t="s">
        <v>900</v>
      </c>
    </row>
    <row r="187" spans="1:6" s="18" customFormat="1">
      <c r="A187" s="16" t="s">
        <v>929</v>
      </c>
      <c r="B187" s="12" t="str">
        <f t="shared" si="2"/>
        <v>062</v>
      </c>
      <c r="C187" s="17" t="s">
        <v>930</v>
      </c>
      <c r="D187" s="13" t="str">
        <f>IF(RIGHT(A187,3)="000",C187,VLOOKUP(B187,'Справочник ИХ'!A:C,3,0))</f>
        <v>Остальные грузы</v>
      </c>
      <c r="E187" s="13">
        <f>IF(RIGHT(A187,3)="000","х",VLOOKUP(B187,'Справочник ИХ'!A:D,4,0))</f>
        <v>2</v>
      </c>
      <c r="F187" s="14" t="s">
        <v>900</v>
      </c>
    </row>
    <row r="188" spans="1:6">
      <c r="A188" s="19" t="s">
        <v>931</v>
      </c>
      <c r="B188" s="12" t="str">
        <f t="shared" si="2"/>
        <v>062</v>
      </c>
      <c r="C188" s="1" t="s">
        <v>932</v>
      </c>
      <c r="D188" s="13" t="str">
        <f>IF(RIGHT(A188,3)="000",C188,VLOOKUP(B188,'Справочник ИХ'!A:C,3,0))</f>
        <v>Остальные грузы</v>
      </c>
      <c r="E188" s="13">
        <f>IF(RIGHT(A188,3)="000","х",VLOOKUP(B188,'Справочник ИХ'!A:D,4,0))</f>
        <v>2</v>
      </c>
      <c r="F188" s="14" t="s">
        <v>900</v>
      </c>
    </row>
    <row r="189" spans="1:6">
      <c r="A189" s="19" t="s">
        <v>933</v>
      </c>
      <c r="B189" s="12" t="str">
        <f t="shared" si="2"/>
        <v>062</v>
      </c>
      <c r="C189" s="1" t="s">
        <v>934</v>
      </c>
      <c r="D189" s="13" t="str">
        <f>IF(RIGHT(A189,3)="000",C189,VLOOKUP(B189,'Справочник ИХ'!A:C,3,0))</f>
        <v>Остальные грузы</v>
      </c>
      <c r="E189" s="13">
        <f>IF(RIGHT(A189,3)="000","х",VLOOKUP(B189,'Справочник ИХ'!A:D,4,0))</f>
        <v>2</v>
      </c>
      <c r="F189" s="14" t="s">
        <v>900</v>
      </c>
    </row>
    <row r="190" spans="1:6">
      <c r="A190" s="19" t="s">
        <v>935</v>
      </c>
      <c r="B190" s="12" t="str">
        <f t="shared" si="2"/>
        <v>062</v>
      </c>
      <c r="C190" s="1" t="s">
        <v>936</v>
      </c>
      <c r="D190" s="13" t="str">
        <f>IF(RIGHT(A190,3)="000",C190,VLOOKUP(B190,'Справочник ИХ'!A:C,3,0))</f>
        <v>Остальные грузы</v>
      </c>
      <c r="E190" s="13">
        <f>IF(RIGHT(A190,3)="000","х",VLOOKUP(B190,'Справочник ИХ'!A:D,4,0))</f>
        <v>2</v>
      </c>
      <c r="F190" s="14" t="s">
        <v>900</v>
      </c>
    </row>
    <row r="191" spans="1:6" s="18" customFormat="1" ht="31.75">
      <c r="A191" s="16" t="s">
        <v>937</v>
      </c>
      <c r="B191" s="12" t="str">
        <f t="shared" si="2"/>
        <v>063</v>
      </c>
      <c r="C191" s="17" t="s">
        <v>938</v>
      </c>
      <c r="D191" s="13" t="str">
        <f>IF(RIGHT(A191,3)="000",C191,VLOOKUP(B191,'Справочник ИХ'!A:C,3,0))</f>
        <v>Остальные грузы</v>
      </c>
      <c r="E191" s="13">
        <f>IF(RIGHT(A191,3)="000","х",VLOOKUP(B191,'Справочник ИХ'!A:D,4,0))</f>
        <v>2</v>
      </c>
      <c r="F191" s="14" t="s">
        <v>900</v>
      </c>
    </row>
    <row r="192" spans="1:6">
      <c r="A192" s="19" t="s">
        <v>939</v>
      </c>
      <c r="B192" s="12" t="str">
        <f t="shared" si="2"/>
        <v>063</v>
      </c>
      <c r="C192" s="1" t="s">
        <v>940</v>
      </c>
      <c r="D192" s="13" t="str">
        <f>IF(RIGHT(A192,3)="000",C192,VLOOKUP(B192,'Справочник ИХ'!A:C,3,0))</f>
        <v>Остальные грузы</v>
      </c>
      <c r="E192" s="13">
        <f>IF(RIGHT(A192,3)="000","х",VLOOKUP(B192,'Справочник ИХ'!A:D,4,0))</f>
        <v>2</v>
      </c>
      <c r="F192" s="14" t="s">
        <v>900</v>
      </c>
    </row>
    <row r="193" spans="1:6">
      <c r="A193" s="19" t="s">
        <v>941</v>
      </c>
      <c r="B193" s="12" t="str">
        <f t="shared" si="2"/>
        <v>063</v>
      </c>
      <c r="C193" s="1" t="s">
        <v>942</v>
      </c>
      <c r="D193" s="13" t="str">
        <f>IF(RIGHT(A193,3)="000",C193,VLOOKUP(B193,'Справочник ИХ'!A:C,3,0))</f>
        <v>Остальные грузы</v>
      </c>
      <c r="E193" s="13">
        <f>IF(RIGHT(A193,3)="000","х",VLOOKUP(B193,'Справочник ИХ'!A:D,4,0))</f>
        <v>2</v>
      </c>
      <c r="F193" s="14" t="s">
        <v>900</v>
      </c>
    </row>
    <row r="194" spans="1:6">
      <c r="A194" s="19" t="s">
        <v>943</v>
      </c>
      <c r="B194" s="12" t="str">
        <f t="shared" si="2"/>
        <v>063</v>
      </c>
      <c r="C194" s="1" t="s">
        <v>944</v>
      </c>
      <c r="D194" s="13" t="str">
        <f>IF(RIGHT(A194,3)="000",C194,VLOOKUP(B194,'Справочник ИХ'!A:C,3,0))</f>
        <v>Остальные грузы</v>
      </c>
      <c r="E194" s="13">
        <f>IF(RIGHT(A194,3)="000","х",VLOOKUP(B194,'Справочник ИХ'!A:D,4,0))</f>
        <v>2</v>
      </c>
      <c r="F194" s="14" t="s">
        <v>900</v>
      </c>
    </row>
    <row r="195" spans="1:6" ht="31.75">
      <c r="A195" s="19" t="s">
        <v>945</v>
      </c>
      <c r="B195" s="12" t="str">
        <f t="shared" si="2"/>
        <v>063</v>
      </c>
      <c r="C195" s="1" t="s">
        <v>946</v>
      </c>
      <c r="D195" s="13" t="str">
        <f>IF(RIGHT(A195,3)="000",C195,VLOOKUP(B195,'Справочник ИХ'!A:C,3,0))</f>
        <v>Остальные грузы</v>
      </c>
      <c r="E195" s="13">
        <f>IF(RIGHT(A195,3)="000","х",VLOOKUP(B195,'Справочник ИХ'!A:D,4,0))</f>
        <v>2</v>
      </c>
      <c r="F195" s="14" t="s">
        <v>900</v>
      </c>
    </row>
    <row r="196" spans="1:6" ht="31.75">
      <c r="A196" s="19" t="s">
        <v>947</v>
      </c>
      <c r="B196" s="12" t="str">
        <f t="shared" ref="B196:B259" si="3">LEFT(A196,3)</f>
        <v>063</v>
      </c>
      <c r="C196" s="1" t="s">
        <v>948</v>
      </c>
      <c r="D196" s="13" t="str">
        <f>IF(RIGHT(A196,3)="000",C196,VLOOKUP(B196,'Справочник ИХ'!A:C,3,0))</f>
        <v>Остальные грузы</v>
      </c>
      <c r="E196" s="13">
        <f>IF(RIGHT(A196,3)="000","х",VLOOKUP(B196,'Справочник ИХ'!A:D,4,0))</f>
        <v>2</v>
      </c>
      <c r="F196" s="14" t="s">
        <v>900</v>
      </c>
    </row>
    <row r="197" spans="1:6">
      <c r="A197" s="19" t="s">
        <v>949</v>
      </c>
      <c r="B197" s="12" t="str">
        <f t="shared" si="3"/>
        <v>063</v>
      </c>
      <c r="C197" s="1" t="s">
        <v>950</v>
      </c>
      <c r="D197" s="13" t="str">
        <f>IF(RIGHT(A197,3)="000",C197,VLOOKUP(B197,'Справочник ИХ'!A:C,3,0))</f>
        <v>Остальные грузы</v>
      </c>
      <c r="E197" s="13">
        <f>IF(RIGHT(A197,3)="000","х",VLOOKUP(B197,'Справочник ИХ'!A:D,4,0))</f>
        <v>2</v>
      </c>
      <c r="F197" s="14" t="s">
        <v>900</v>
      </c>
    </row>
    <row r="198" spans="1:6">
      <c r="A198" s="19" t="s">
        <v>951</v>
      </c>
      <c r="B198" s="12" t="str">
        <f t="shared" si="3"/>
        <v>063</v>
      </c>
      <c r="C198" s="1" t="s">
        <v>952</v>
      </c>
      <c r="D198" s="13" t="str">
        <f>IF(RIGHT(A198,3)="000",C198,VLOOKUP(B198,'Справочник ИХ'!A:C,3,0))</f>
        <v>Остальные грузы</v>
      </c>
      <c r="E198" s="13">
        <f>IF(RIGHT(A198,3)="000","х",VLOOKUP(B198,'Справочник ИХ'!A:D,4,0))</f>
        <v>2</v>
      </c>
      <c r="F198" s="14" t="s">
        <v>900</v>
      </c>
    </row>
    <row r="199" spans="1:6">
      <c r="A199" s="19" t="s">
        <v>953</v>
      </c>
      <c r="B199" s="12" t="str">
        <f t="shared" si="3"/>
        <v>063</v>
      </c>
      <c r="C199" s="1" t="s">
        <v>954</v>
      </c>
      <c r="D199" s="13" t="str">
        <f>IF(RIGHT(A199,3)="000",C199,VLOOKUP(B199,'Справочник ИХ'!A:C,3,0))</f>
        <v>Остальные грузы</v>
      </c>
      <c r="E199" s="13">
        <f>IF(RIGHT(A199,3)="000","х",VLOOKUP(B199,'Справочник ИХ'!A:D,4,0))</f>
        <v>2</v>
      </c>
      <c r="F199" s="14" t="s">
        <v>900</v>
      </c>
    </row>
    <row r="200" spans="1:6">
      <c r="A200" s="19" t="s">
        <v>955</v>
      </c>
      <c r="B200" s="12" t="str">
        <f t="shared" si="3"/>
        <v>063</v>
      </c>
      <c r="C200" s="1" t="s">
        <v>956</v>
      </c>
      <c r="D200" s="13" t="str">
        <f>IF(RIGHT(A200,3)="000",C200,VLOOKUP(B200,'Справочник ИХ'!A:C,3,0))</f>
        <v>Остальные грузы</v>
      </c>
      <c r="E200" s="13">
        <f>IF(RIGHT(A200,3)="000","х",VLOOKUP(B200,'Справочник ИХ'!A:D,4,0))</f>
        <v>2</v>
      </c>
      <c r="F200" s="14" t="s">
        <v>900</v>
      </c>
    </row>
    <row r="201" spans="1:6">
      <c r="A201" s="19" t="s">
        <v>957</v>
      </c>
      <c r="B201" s="12" t="str">
        <f t="shared" si="3"/>
        <v>063</v>
      </c>
      <c r="C201" s="1" t="s">
        <v>958</v>
      </c>
      <c r="D201" s="13" t="str">
        <f>IF(RIGHT(A201,3)="000",C201,VLOOKUP(B201,'Справочник ИХ'!A:C,3,0))</f>
        <v>Остальные грузы</v>
      </c>
      <c r="E201" s="13">
        <f>IF(RIGHT(A201,3)="000","х",VLOOKUP(B201,'Справочник ИХ'!A:D,4,0))</f>
        <v>2</v>
      </c>
      <c r="F201" s="14" t="s">
        <v>900</v>
      </c>
    </row>
    <row r="202" spans="1:6">
      <c r="A202" s="19" t="s">
        <v>959</v>
      </c>
      <c r="B202" s="12" t="str">
        <f t="shared" si="3"/>
        <v>063</v>
      </c>
      <c r="C202" s="1" t="s">
        <v>960</v>
      </c>
      <c r="D202" s="13" t="str">
        <f>IF(RIGHT(A202,3)="000",C202,VLOOKUP(B202,'Справочник ИХ'!A:C,3,0))</f>
        <v>Остальные грузы</v>
      </c>
      <c r="E202" s="13">
        <f>IF(RIGHT(A202,3)="000","х",VLOOKUP(B202,'Справочник ИХ'!A:D,4,0))</f>
        <v>2</v>
      </c>
      <c r="F202" s="14" t="s">
        <v>900</v>
      </c>
    </row>
    <row r="203" spans="1:6">
      <c r="A203" s="19" t="s">
        <v>961</v>
      </c>
      <c r="B203" s="12" t="str">
        <f t="shared" si="3"/>
        <v>063</v>
      </c>
      <c r="C203" s="1" t="s">
        <v>962</v>
      </c>
      <c r="D203" s="13" t="str">
        <f>IF(RIGHT(A203,3)="000",C203,VLOOKUP(B203,'Справочник ИХ'!A:C,3,0))</f>
        <v>Остальные грузы</v>
      </c>
      <c r="E203" s="13">
        <f>IF(RIGHT(A203,3)="000","х",VLOOKUP(B203,'Справочник ИХ'!A:D,4,0))</f>
        <v>2</v>
      </c>
      <c r="F203" s="14" t="s">
        <v>900</v>
      </c>
    </row>
    <row r="204" spans="1:6">
      <c r="A204" s="19" t="s">
        <v>963</v>
      </c>
      <c r="B204" s="12" t="str">
        <f t="shared" si="3"/>
        <v>063</v>
      </c>
      <c r="C204" s="1" t="s">
        <v>964</v>
      </c>
      <c r="D204" s="13" t="str">
        <f>IF(RIGHT(A204,3)="000",C204,VLOOKUP(B204,'Справочник ИХ'!A:C,3,0))</f>
        <v>Остальные грузы</v>
      </c>
      <c r="E204" s="13">
        <f>IF(RIGHT(A204,3)="000","х",VLOOKUP(B204,'Справочник ИХ'!A:D,4,0))</f>
        <v>2</v>
      </c>
      <c r="F204" s="14" t="s">
        <v>900</v>
      </c>
    </row>
    <row r="205" spans="1:6">
      <c r="A205" s="19" t="s">
        <v>965</v>
      </c>
      <c r="B205" s="12" t="str">
        <f t="shared" si="3"/>
        <v>063</v>
      </c>
      <c r="C205" s="1" t="s">
        <v>966</v>
      </c>
      <c r="D205" s="13" t="str">
        <f>IF(RIGHT(A205,3)="000",C205,VLOOKUP(B205,'Справочник ИХ'!A:C,3,0))</f>
        <v>Остальные грузы</v>
      </c>
      <c r="E205" s="13">
        <f>IF(RIGHT(A205,3)="000","х",VLOOKUP(B205,'Справочник ИХ'!A:D,4,0))</f>
        <v>2</v>
      </c>
      <c r="F205" s="14" t="s">
        <v>900</v>
      </c>
    </row>
    <row r="206" spans="1:6">
      <c r="A206" s="19" t="s">
        <v>967</v>
      </c>
      <c r="B206" s="12" t="str">
        <f t="shared" si="3"/>
        <v>063</v>
      </c>
      <c r="C206" s="1" t="s">
        <v>968</v>
      </c>
      <c r="D206" s="13" t="str">
        <f>IF(RIGHT(A206,3)="000",C206,VLOOKUP(B206,'Справочник ИХ'!A:C,3,0))</f>
        <v>Остальные грузы</v>
      </c>
      <c r="E206" s="13">
        <f>IF(RIGHT(A206,3)="000","х",VLOOKUP(B206,'Справочник ИХ'!A:D,4,0))</f>
        <v>2</v>
      </c>
      <c r="F206" s="14" t="s">
        <v>900</v>
      </c>
    </row>
    <row r="207" spans="1:6">
      <c r="A207" s="19" t="s">
        <v>969</v>
      </c>
      <c r="B207" s="12" t="str">
        <f t="shared" si="3"/>
        <v>063</v>
      </c>
      <c r="C207" s="1" t="s">
        <v>970</v>
      </c>
      <c r="D207" s="13" t="str">
        <f>IF(RIGHT(A207,3)="000",C207,VLOOKUP(B207,'Справочник ИХ'!A:C,3,0))</f>
        <v>Остальные грузы</v>
      </c>
      <c r="E207" s="13">
        <f>IF(RIGHT(A207,3)="000","х",VLOOKUP(B207,'Справочник ИХ'!A:D,4,0))</f>
        <v>2</v>
      </c>
      <c r="F207" s="14" t="s">
        <v>900</v>
      </c>
    </row>
    <row r="208" spans="1:6">
      <c r="A208" s="19" t="s">
        <v>971</v>
      </c>
      <c r="B208" s="12" t="str">
        <f t="shared" si="3"/>
        <v>063</v>
      </c>
      <c r="C208" s="1" t="s">
        <v>972</v>
      </c>
      <c r="D208" s="13" t="str">
        <f>IF(RIGHT(A208,3)="000",C208,VLOOKUP(B208,'Справочник ИХ'!A:C,3,0))</f>
        <v>Остальные грузы</v>
      </c>
      <c r="E208" s="13">
        <f>IF(RIGHT(A208,3)="000","х",VLOOKUP(B208,'Справочник ИХ'!A:D,4,0))</f>
        <v>2</v>
      </c>
      <c r="F208" s="14" t="s">
        <v>900</v>
      </c>
    </row>
    <row r="209" spans="1:6" s="15" customFormat="1" ht="31.75">
      <c r="A209" s="7" t="s">
        <v>973</v>
      </c>
      <c r="B209" s="12" t="str">
        <f t="shared" si="3"/>
        <v>070</v>
      </c>
      <c r="C209" s="11" t="s">
        <v>974</v>
      </c>
      <c r="D209" s="13" t="str">
        <f>IF(RIGHT(A209,3)="000",C209,VLOOKUP(B209,'Справочник ИХ'!A:C,3,0))</f>
        <v xml:space="preserve">Прочая продукция сельского хозяйства </v>
      </c>
      <c r="E209" s="13" t="str">
        <f>IF(RIGHT(A209,3)="000","х",VLOOKUP(B209,'Справочник ИХ'!A:D,4,0))</f>
        <v>х</v>
      </c>
      <c r="F209" s="14" t="s">
        <v>974</v>
      </c>
    </row>
    <row r="210" spans="1:6" s="18" customFormat="1">
      <c r="A210" s="16" t="s">
        <v>975</v>
      </c>
      <c r="B210" s="12" t="str">
        <f t="shared" si="3"/>
        <v>071</v>
      </c>
      <c r="C210" s="17" t="s">
        <v>976</v>
      </c>
      <c r="D210" s="13" t="str">
        <f>IF(RIGHT(A210,3)="000",C210,VLOOKUP(B210,'Справочник ИХ'!A:C,3,0))</f>
        <v>Остальные грузы</v>
      </c>
      <c r="E210" s="13">
        <f>IF(RIGHT(A210,3)="000","х",VLOOKUP(B210,'Справочник ИХ'!A:D,4,0))</f>
        <v>2</v>
      </c>
      <c r="F210" s="14" t="s">
        <v>974</v>
      </c>
    </row>
    <row r="211" spans="1:6">
      <c r="A211" s="19" t="s">
        <v>977</v>
      </c>
      <c r="B211" s="12" t="str">
        <f t="shared" si="3"/>
        <v>071</v>
      </c>
      <c r="C211" s="1" t="s">
        <v>978</v>
      </c>
      <c r="D211" s="13" t="str">
        <f>IF(RIGHT(A211,3)="000",C211,VLOOKUP(B211,'Справочник ИХ'!A:C,3,0))</f>
        <v>Остальные грузы</v>
      </c>
      <c r="E211" s="13">
        <f>IF(RIGHT(A211,3)="000","х",VLOOKUP(B211,'Справочник ИХ'!A:D,4,0))</f>
        <v>2</v>
      </c>
      <c r="F211" s="14" t="s">
        <v>974</v>
      </c>
    </row>
    <row r="212" spans="1:6" ht="31.75">
      <c r="A212" s="19" t="s">
        <v>979</v>
      </c>
      <c r="B212" s="12" t="str">
        <f t="shared" si="3"/>
        <v>071</v>
      </c>
      <c r="C212" s="1" t="s">
        <v>980</v>
      </c>
      <c r="D212" s="13" t="str">
        <f>IF(RIGHT(A212,3)="000",C212,VLOOKUP(B212,'Справочник ИХ'!A:C,3,0))</f>
        <v>Остальные грузы</v>
      </c>
      <c r="E212" s="13">
        <f>IF(RIGHT(A212,3)="000","х",VLOOKUP(B212,'Справочник ИХ'!A:D,4,0))</f>
        <v>2</v>
      </c>
      <c r="F212" s="14" t="s">
        <v>974</v>
      </c>
    </row>
    <row r="213" spans="1:6">
      <c r="A213" s="19" t="s">
        <v>981</v>
      </c>
      <c r="B213" s="12" t="str">
        <f t="shared" si="3"/>
        <v>071</v>
      </c>
      <c r="C213" s="1" t="s">
        <v>982</v>
      </c>
      <c r="D213" s="13" t="str">
        <f>IF(RIGHT(A213,3)="000",C213,VLOOKUP(B213,'Справочник ИХ'!A:C,3,0))</f>
        <v>Остальные грузы</v>
      </c>
      <c r="E213" s="13">
        <f>IF(RIGHT(A213,3)="000","х",VLOOKUP(B213,'Справочник ИХ'!A:D,4,0))</f>
        <v>2</v>
      </c>
      <c r="F213" s="14" t="s">
        <v>974</v>
      </c>
    </row>
    <row r="214" spans="1:6">
      <c r="A214" s="19" t="s">
        <v>983</v>
      </c>
      <c r="B214" s="12" t="str">
        <f t="shared" si="3"/>
        <v>071</v>
      </c>
      <c r="C214" s="1" t="s">
        <v>984</v>
      </c>
      <c r="D214" s="13" t="str">
        <f>IF(RIGHT(A214,3)="000",C214,VLOOKUP(B214,'Справочник ИХ'!A:C,3,0))</f>
        <v>Остальные грузы</v>
      </c>
      <c r="E214" s="13">
        <f>IF(RIGHT(A214,3)="000","х",VLOOKUP(B214,'Справочник ИХ'!A:D,4,0))</f>
        <v>2</v>
      </c>
      <c r="F214" s="14" t="s">
        <v>974</v>
      </c>
    </row>
    <row r="215" spans="1:6">
      <c r="A215" s="19" t="s">
        <v>985</v>
      </c>
      <c r="B215" s="12" t="str">
        <f t="shared" si="3"/>
        <v>071</v>
      </c>
      <c r="C215" s="1" t="s">
        <v>986</v>
      </c>
      <c r="D215" s="13" t="str">
        <f>IF(RIGHT(A215,3)="000",C215,VLOOKUP(B215,'Справочник ИХ'!A:C,3,0))</f>
        <v>Остальные грузы</v>
      </c>
      <c r="E215" s="13">
        <f>IF(RIGHT(A215,3)="000","х",VLOOKUP(B215,'Справочник ИХ'!A:D,4,0))</f>
        <v>2</v>
      </c>
      <c r="F215" s="14" t="s">
        <v>974</v>
      </c>
    </row>
    <row r="216" spans="1:6">
      <c r="A216" s="19" t="s">
        <v>987</v>
      </c>
      <c r="B216" s="12" t="str">
        <f t="shared" si="3"/>
        <v>071</v>
      </c>
      <c r="C216" s="1" t="s">
        <v>988</v>
      </c>
      <c r="D216" s="13" t="str">
        <f>IF(RIGHT(A216,3)="000",C216,VLOOKUP(B216,'Справочник ИХ'!A:C,3,0))</f>
        <v>Остальные грузы</v>
      </c>
      <c r="E216" s="13">
        <f>IF(RIGHT(A216,3)="000","х",VLOOKUP(B216,'Справочник ИХ'!A:D,4,0))</f>
        <v>2</v>
      </c>
      <c r="F216" s="14" t="s">
        <v>974</v>
      </c>
    </row>
    <row r="217" spans="1:6">
      <c r="A217" s="19" t="s">
        <v>989</v>
      </c>
      <c r="B217" s="12" t="str">
        <f t="shared" si="3"/>
        <v>071</v>
      </c>
      <c r="C217" s="1" t="s">
        <v>990</v>
      </c>
      <c r="D217" s="13" t="str">
        <f>IF(RIGHT(A217,3)="000",C217,VLOOKUP(B217,'Справочник ИХ'!A:C,3,0))</f>
        <v>Остальные грузы</v>
      </c>
      <c r="E217" s="13">
        <f>IF(RIGHT(A217,3)="000","х",VLOOKUP(B217,'Справочник ИХ'!A:D,4,0))</f>
        <v>2</v>
      </c>
      <c r="F217" s="14" t="s">
        <v>974</v>
      </c>
    </row>
    <row r="218" spans="1:6">
      <c r="A218" s="19" t="s">
        <v>991</v>
      </c>
      <c r="B218" s="12" t="str">
        <f t="shared" si="3"/>
        <v>071</v>
      </c>
      <c r="C218" s="1" t="s">
        <v>992</v>
      </c>
      <c r="D218" s="13" t="str">
        <f>IF(RIGHT(A218,3)="000",C218,VLOOKUP(B218,'Справочник ИХ'!A:C,3,0))</f>
        <v>Остальные грузы</v>
      </c>
      <c r="E218" s="13">
        <f>IF(RIGHT(A218,3)="000","х",VLOOKUP(B218,'Справочник ИХ'!A:D,4,0))</f>
        <v>2</v>
      </c>
      <c r="F218" s="14" t="s">
        <v>974</v>
      </c>
    </row>
    <row r="219" spans="1:6">
      <c r="A219" s="19" t="s">
        <v>993</v>
      </c>
      <c r="B219" s="12" t="str">
        <f t="shared" si="3"/>
        <v>071</v>
      </c>
      <c r="C219" s="1" t="s">
        <v>994</v>
      </c>
      <c r="D219" s="13" t="str">
        <f>IF(RIGHT(A219,3)="000",C219,VLOOKUP(B219,'Справочник ИХ'!A:C,3,0))</f>
        <v>Остальные грузы</v>
      </c>
      <c r="E219" s="13">
        <f>IF(RIGHT(A219,3)="000","х",VLOOKUP(B219,'Справочник ИХ'!A:D,4,0))</f>
        <v>2</v>
      </c>
      <c r="F219" s="14" t="s">
        <v>974</v>
      </c>
    </row>
    <row r="220" spans="1:6">
      <c r="A220" s="19" t="s">
        <v>995</v>
      </c>
      <c r="B220" s="12" t="str">
        <f t="shared" si="3"/>
        <v>071</v>
      </c>
      <c r="C220" s="1" t="s">
        <v>996</v>
      </c>
      <c r="D220" s="13" t="str">
        <f>IF(RIGHT(A220,3)="000",C220,VLOOKUP(B220,'Справочник ИХ'!A:C,3,0))</f>
        <v>Остальные грузы</v>
      </c>
      <c r="E220" s="13">
        <f>IF(RIGHT(A220,3)="000","х",VLOOKUP(B220,'Справочник ИХ'!A:D,4,0))</f>
        <v>2</v>
      </c>
      <c r="F220" s="14" t="s">
        <v>974</v>
      </c>
    </row>
    <row r="221" spans="1:6">
      <c r="A221" s="19" t="s">
        <v>997</v>
      </c>
      <c r="B221" s="12" t="str">
        <f t="shared" si="3"/>
        <v>071</v>
      </c>
      <c r="C221" s="1" t="s">
        <v>998</v>
      </c>
      <c r="D221" s="13" t="str">
        <f>IF(RIGHT(A221,3)="000",C221,VLOOKUP(B221,'Справочник ИХ'!A:C,3,0))</f>
        <v>Остальные грузы</v>
      </c>
      <c r="E221" s="13">
        <f>IF(RIGHT(A221,3)="000","х",VLOOKUP(B221,'Справочник ИХ'!A:D,4,0))</f>
        <v>2</v>
      </c>
      <c r="F221" s="14" t="s">
        <v>974</v>
      </c>
    </row>
    <row r="222" spans="1:6">
      <c r="A222" s="19" t="s">
        <v>999</v>
      </c>
      <c r="B222" s="12" t="str">
        <f t="shared" si="3"/>
        <v>071</v>
      </c>
      <c r="C222" s="1" t="s">
        <v>1000</v>
      </c>
      <c r="D222" s="13" t="str">
        <f>IF(RIGHT(A222,3)="000",C222,VLOOKUP(B222,'Справочник ИХ'!A:C,3,0))</f>
        <v>Остальные грузы</v>
      </c>
      <c r="E222" s="13">
        <f>IF(RIGHT(A222,3)="000","х",VLOOKUP(B222,'Справочник ИХ'!A:D,4,0))</f>
        <v>2</v>
      </c>
      <c r="F222" s="14" t="s">
        <v>974</v>
      </c>
    </row>
    <row r="223" spans="1:6" s="18" customFormat="1">
      <c r="A223" s="16" t="s">
        <v>1001</v>
      </c>
      <c r="B223" s="12" t="str">
        <f t="shared" si="3"/>
        <v>072</v>
      </c>
      <c r="C223" s="17" t="s">
        <v>1002</v>
      </c>
      <c r="D223" s="13" t="str">
        <f>IF(RIGHT(A223,3)="000",C223,VLOOKUP(B223,'Справочник ИХ'!A:C,3,0))</f>
        <v>Остальные грузы</v>
      </c>
      <c r="E223" s="13">
        <f>IF(RIGHT(A223,3)="000","х",VLOOKUP(B223,'Справочник ИХ'!A:D,4,0))</f>
        <v>3</v>
      </c>
      <c r="F223" s="14" t="s">
        <v>974</v>
      </c>
    </row>
    <row r="224" spans="1:6">
      <c r="A224" s="19" t="s">
        <v>1003</v>
      </c>
      <c r="B224" s="12" t="str">
        <f t="shared" si="3"/>
        <v>072</v>
      </c>
      <c r="C224" s="1" t="s">
        <v>1004</v>
      </c>
      <c r="D224" s="13" t="str">
        <f>IF(RIGHT(A224,3)="000",C224,VLOOKUP(B224,'Справочник ИХ'!A:C,3,0))</f>
        <v>Остальные грузы</v>
      </c>
      <c r="E224" s="13">
        <f>IF(RIGHT(A224,3)="000","х",VLOOKUP(B224,'Справочник ИХ'!A:D,4,0))</f>
        <v>3</v>
      </c>
      <c r="F224" s="14" t="s">
        <v>974</v>
      </c>
    </row>
    <row r="225" spans="1:6" ht="31.75">
      <c r="A225" s="19" t="s">
        <v>1005</v>
      </c>
      <c r="B225" s="12" t="str">
        <f t="shared" si="3"/>
        <v>072</v>
      </c>
      <c r="C225" s="1" t="s">
        <v>1006</v>
      </c>
      <c r="D225" s="13" t="str">
        <f>IF(RIGHT(A225,3)="000",C225,VLOOKUP(B225,'Справочник ИХ'!A:C,3,0))</f>
        <v>Остальные грузы</v>
      </c>
      <c r="E225" s="13">
        <f>IF(RIGHT(A225,3)="000","х",VLOOKUP(B225,'Справочник ИХ'!A:D,4,0))</f>
        <v>3</v>
      </c>
      <c r="F225" s="14" t="s">
        <v>974</v>
      </c>
    </row>
    <row r="226" spans="1:6">
      <c r="A226" s="19" t="s">
        <v>1007</v>
      </c>
      <c r="B226" s="12" t="str">
        <f t="shared" si="3"/>
        <v>072</v>
      </c>
      <c r="C226" s="1" t="s">
        <v>1008</v>
      </c>
      <c r="D226" s="13" t="str">
        <f>IF(RIGHT(A226,3)="000",C226,VLOOKUP(B226,'Справочник ИХ'!A:C,3,0))</f>
        <v>Остальные грузы</v>
      </c>
      <c r="E226" s="13">
        <f>IF(RIGHT(A226,3)="000","х",VLOOKUP(B226,'Справочник ИХ'!A:D,4,0))</f>
        <v>3</v>
      </c>
      <c r="F226" s="14" t="s">
        <v>974</v>
      </c>
    </row>
    <row r="227" spans="1:6">
      <c r="A227" s="19" t="s">
        <v>1009</v>
      </c>
      <c r="B227" s="12" t="str">
        <f t="shared" si="3"/>
        <v>072</v>
      </c>
      <c r="C227" s="1" t="s">
        <v>1010</v>
      </c>
      <c r="D227" s="13" t="str">
        <f>IF(RIGHT(A227,3)="000",C227,VLOOKUP(B227,'Справочник ИХ'!A:C,3,0))</f>
        <v>Остальные грузы</v>
      </c>
      <c r="E227" s="13">
        <f>IF(RIGHT(A227,3)="000","х",VLOOKUP(B227,'Справочник ИХ'!A:D,4,0))</f>
        <v>3</v>
      </c>
      <c r="F227" s="14" t="s">
        <v>974</v>
      </c>
    </row>
    <row r="228" spans="1:6" s="18" customFormat="1" ht="31.75">
      <c r="A228" s="16" t="s">
        <v>1011</v>
      </c>
      <c r="B228" s="12" t="str">
        <f t="shared" si="3"/>
        <v>073</v>
      </c>
      <c r="C228" s="17" t="s">
        <v>1012</v>
      </c>
      <c r="D228" s="13" t="str">
        <f>IF(RIGHT(A228,3)="000",C228,VLOOKUP(B228,'Справочник ИХ'!A:C,3,0))</f>
        <v>Остальные грузы</v>
      </c>
      <c r="E228" s="13">
        <f>IF(RIGHT(A228,3)="000","х",VLOOKUP(B228,'Справочник ИХ'!A:D,4,0))</f>
        <v>2</v>
      </c>
      <c r="F228" s="14" t="s">
        <v>974</v>
      </c>
    </row>
    <row r="229" spans="1:6">
      <c r="A229" s="19" t="s">
        <v>1013</v>
      </c>
      <c r="B229" s="12" t="str">
        <f t="shared" si="3"/>
        <v>073</v>
      </c>
      <c r="C229" s="1" t="s">
        <v>1014</v>
      </c>
      <c r="D229" s="13" t="str">
        <f>IF(RIGHT(A229,3)="000",C229,VLOOKUP(B229,'Справочник ИХ'!A:C,3,0))</f>
        <v>Остальные грузы</v>
      </c>
      <c r="E229" s="13">
        <f>IF(RIGHT(A229,3)="000","х",VLOOKUP(B229,'Справочник ИХ'!A:D,4,0))</f>
        <v>2</v>
      </c>
      <c r="F229" s="14" t="s">
        <v>974</v>
      </c>
    </row>
    <row r="230" spans="1:6">
      <c r="A230" s="19" t="s">
        <v>1015</v>
      </c>
      <c r="B230" s="12" t="str">
        <f t="shared" si="3"/>
        <v>073</v>
      </c>
      <c r="C230" s="1" t="s">
        <v>1016</v>
      </c>
      <c r="D230" s="13" t="str">
        <f>IF(RIGHT(A230,3)="000",C230,VLOOKUP(B230,'Справочник ИХ'!A:C,3,0))</f>
        <v>Остальные грузы</v>
      </c>
      <c r="E230" s="13">
        <f>IF(RIGHT(A230,3)="000","х",VLOOKUP(B230,'Справочник ИХ'!A:D,4,0))</f>
        <v>2</v>
      </c>
      <c r="F230" s="14" t="s">
        <v>974</v>
      </c>
    </row>
    <row r="231" spans="1:6">
      <c r="A231" s="19" t="s">
        <v>1017</v>
      </c>
      <c r="B231" s="12" t="str">
        <f t="shared" si="3"/>
        <v>073</v>
      </c>
      <c r="C231" s="1" t="s">
        <v>1018</v>
      </c>
      <c r="D231" s="13" t="str">
        <f>IF(RIGHT(A231,3)="000",C231,VLOOKUP(B231,'Справочник ИХ'!A:C,3,0))</f>
        <v>Остальные грузы</v>
      </c>
      <c r="E231" s="13">
        <f>IF(RIGHT(A231,3)="000","х",VLOOKUP(B231,'Справочник ИХ'!A:D,4,0))</f>
        <v>2</v>
      </c>
      <c r="F231" s="14" t="s">
        <v>974</v>
      </c>
    </row>
    <row r="232" spans="1:6">
      <c r="A232" s="19" t="s">
        <v>1019</v>
      </c>
      <c r="B232" s="12" t="str">
        <f t="shared" si="3"/>
        <v>073</v>
      </c>
      <c r="C232" s="1" t="s">
        <v>1020</v>
      </c>
      <c r="D232" s="13" t="str">
        <f>IF(RIGHT(A232,3)="000",C232,VLOOKUP(B232,'Справочник ИХ'!A:C,3,0))</f>
        <v>Остальные грузы</v>
      </c>
      <c r="E232" s="13">
        <f>IF(RIGHT(A232,3)="000","х",VLOOKUP(B232,'Справочник ИХ'!A:D,4,0))</f>
        <v>2</v>
      </c>
      <c r="F232" s="14" t="s">
        <v>974</v>
      </c>
    </row>
    <row r="233" spans="1:6">
      <c r="A233" s="19" t="s">
        <v>1021</v>
      </c>
      <c r="B233" s="12" t="str">
        <f t="shared" si="3"/>
        <v>073</v>
      </c>
      <c r="C233" s="1" t="s">
        <v>1022</v>
      </c>
      <c r="D233" s="13" t="str">
        <f>IF(RIGHT(A233,3)="000",C233,VLOOKUP(B233,'Справочник ИХ'!A:C,3,0))</f>
        <v>Остальные грузы</v>
      </c>
      <c r="E233" s="13">
        <f>IF(RIGHT(A233,3)="000","х",VLOOKUP(B233,'Справочник ИХ'!A:D,4,0))</f>
        <v>2</v>
      </c>
      <c r="F233" s="14" t="s">
        <v>974</v>
      </c>
    </row>
    <row r="234" spans="1:6">
      <c r="A234" s="19" t="s">
        <v>1023</v>
      </c>
      <c r="B234" s="12" t="str">
        <f t="shared" si="3"/>
        <v>073</v>
      </c>
      <c r="C234" s="1" t="s">
        <v>1024</v>
      </c>
      <c r="D234" s="13" t="str">
        <f>IF(RIGHT(A234,3)="000",C234,VLOOKUP(B234,'Справочник ИХ'!A:C,3,0))</f>
        <v>Остальные грузы</v>
      </c>
      <c r="E234" s="13">
        <f>IF(RIGHT(A234,3)="000","х",VLOOKUP(B234,'Справочник ИХ'!A:D,4,0))</f>
        <v>2</v>
      </c>
      <c r="F234" s="14" t="s">
        <v>974</v>
      </c>
    </row>
    <row r="235" spans="1:6">
      <c r="A235" s="19" t="s">
        <v>1025</v>
      </c>
      <c r="B235" s="12" t="str">
        <f t="shared" si="3"/>
        <v>073</v>
      </c>
      <c r="C235" s="1" t="s">
        <v>1026</v>
      </c>
      <c r="D235" s="13" t="str">
        <f>IF(RIGHT(A235,3)="000",C235,VLOOKUP(B235,'Справочник ИХ'!A:C,3,0))</f>
        <v>Остальные грузы</v>
      </c>
      <c r="E235" s="13">
        <f>IF(RIGHT(A235,3)="000","х",VLOOKUP(B235,'Справочник ИХ'!A:D,4,0))</f>
        <v>2</v>
      </c>
      <c r="F235" s="14" t="s">
        <v>974</v>
      </c>
    </row>
    <row r="236" spans="1:6" ht="31.75">
      <c r="A236" s="19" t="s">
        <v>1027</v>
      </c>
      <c r="B236" s="12" t="str">
        <f t="shared" si="3"/>
        <v>073</v>
      </c>
      <c r="C236" s="1" t="s">
        <v>1028</v>
      </c>
      <c r="D236" s="13" t="str">
        <f>IF(RIGHT(A236,3)="000",C236,VLOOKUP(B236,'Справочник ИХ'!A:C,3,0))</f>
        <v>Остальные грузы</v>
      </c>
      <c r="E236" s="13">
        <f>IF(RIGHT(A236,3)="000","х",VLOOKUP(B236,'Справочник ИХ'!A:D,4,0))</f>
        <v>2</v>
      </c>
      <c r="F236" s="14" t="s">
        <v>974</v>
      </c>
    </row>
    <row r="237" spans="1:6" s="18" customFormat="1">
      <c r="A237" s="16" t="s">
        <v>1029</v>
      </c>
      <c r="B237" s="12" t="str">
        <f t="shared" si="3"/>
        <v>074</v>
      </c>
      <c r="C237" s="17" t="s">
        <v>1030</v>
      </c>
      <c r="D237" s="13" t="str">
        <f>IF(RIGHT(A237,3)="000",C237,VLOOKUP(B237,'Справочник ИХ'!A:C,3,0))</f>
        <v>Остальные грузы</v>
      </c>
      <c r="E237" s="13">
        <f>IF(RIGHT(A237,3)="000","х",VLOOKUP(B237,'Справочник ИХ'!A:D,4,0))</f>
        <v>2</v>
      </c>
      <c r="F237" s="14" t="s">
        <v>974</v>
      </c>
    </row>
    <row r="238" spans="1:6">
      <c r="A238" s="19" t="s">
        <v>1031</v>
      </c>
      <c r="B238" s="12" t="str">
        <f t="shared" si="3"/>
        <v>074</v>
      </c>
      <c r="C238" s="1" t="s">
        <v>1032</v>
      </c>
      <c r="D238" s="13" t="str">
        <f>IF(RIGHT(A238,3)="000",C238,VLOOKUP(B238,'Справочник ИХ'!A:C,3,0))</f>
        <v>Остальные грузы</v>
      </c>
      <c r="E238" s="13">
        <f>IF(RIGHT(A238,3)="000","х",VLOOKUP(B238,'Справочник ИХ'!A:D,4,0))</f>
        <v>2</v>
      </c>
      <c r="F238" s="14" t="s">
        <v>974</v>
      </c>
    </row>
    <row r="239" spans="1:6">
      <c r="A239" s="19" t="s">
        <v>1033</v>
      </c>
      <c r="B239" s="12" t="str">
        <f t="shared" si="3"/>
        <v>074</v>
      </c>
      <c r="C239" s="1" t="s">
        <v>1034</v>
      </c>
      <c r="D239" s="13" t="str">
        <f>IF(RIGHT(A239,3)="000",C239,VLOOKUP(B239,'Справочник ИХ'!A:C,3,0))</f>
        <v>Остальные грузы</v>
      </c>
      <c r="E239" s="13">
        <f>IF(RIGHT(A239,3)="000","х",VLOOKUP(B239,'Справочник ИХ'!A:D,4,0))</f>
        <v>2</v>
      </c>
      <c r="F239" s="14" t="s">
        <v>974</v>
      </c>
    </row>
    <row r="240" spans="1:6">
      <c r="A240" s="19" t="s">
        <v>1035</v>
      </c>
      <c r="B240" s="12" t="str">
        <f t="shared" si="3"/>
        <v>074</v>
      </c>
      <c r="C240" s="1" t="s">
        <v>1036</v>
      </c>
      <c r="D240" s="13" t="str">
        <f>IF(RIGHT(A240,3)="000",C240,VLOOKUP(B240,'Справочник ИХ'!A:C,3,0))</f>
        <v>Остальные грузы</v>
      </c>
      <c r="E240" s="13">
        <f>IF(RIGHT(A240,3)="000","х",VLOOKUP(B240,'Справочник ИХ'!A:D,4,0))</f>
        <v>2</v>
      </c>
      <c r="F240" s="14" t="s">
        <v>974</v>
      </c>
    </row>
    <row r="241" spans="1:6">
      <c r="A241" s="19" t="s">
        <v>1037</v>
      </c>
      <c r="B241" s="12" t="str">
        <f t="shared" si="3"/>
        <v>074</v>
      </c>
      <c r="C241" s="1" t="s">
        <v>1038</v>
      </c>
      <c r="D241" s="13" t="str">
        <f>IF(RIGHT(A241,3)="000",C241,VLOOKUP(B241,'Справочник ИХ'!A:C,3,0))</f>
        <v>Остальные грузы</v>
      </c>
      <c r="E241" s="13">
        <f>IF(RIGHT(A241,3)="000","х",VLOOKUP(B241,'Справочник ИХ'!A:D,4,0))</f>
        <v>2</v>
      </c>
      <c r="F241" s="14" t="s">
        <v>974</v>
      </c>
    </row>
    <row r="242" spans="1:6">
      <c r="A242" s="19" t="s">
        <v>1039</v>
      </c>
      <c r="B242" s="12" t="str">
        <f t="shared" si="3"/>
        <v>074</v>
      </c>
      <c r="C242" s="1" t="s">
        <v>1040</v>
      </c>
      <c r="D242" s="13" t="str">
        <f>IF(RIGHT(A242,3)="000",C242,VLOOKUP(B242,'Справочник ИХ'!A:C,3,0))</f>
        <v>Остальные грузы</v>
      </c>
      <c r="E242" s="13">
        <f>IF(RIGHT(A242,3)="000","х",VLOOKUP(B242,'Справочник ИХ'!A:D,4,0))</f>
        <v>2</v>
      </c>
      <c r="F242" s="14" t="s">
        <v>974</v>
      </c>
    </row>
    <row r="243" spans="1:6">
      <c r="A243" s="19" t="s">
        <v>1041</v>
      </c>
      <c r="B243" s="12" t="str">
        <f t="shared" si="3"/>
        <v>074</v>
      </c>
      <c r="C243" s="1" t="s">
        <v>1042</v>
      </c>
      <c r="D243" s="13" t="str">
        <f>IF(RIGHT(A243,3)="000",C243,VLOOKUP(B243,'Справочник ИХ'!A:C,3,0))</f>
        <v>Остальные грузы</v>
      </c>
      <c r="E243" s="13">
        <f>IF(RIGHT(A243,3)="000","х",VLOOKUP(B243,'Справочник ИХ'!A:D,4,0))</f>
        <v>2</v>
      </c>
      <c r="F243" s="14" t="s">
        <v>974</v>
      </c>
    </row>
    <row r="244" spans="1:6" ht="47.6">
      <c r="A244" s="19" t="s">
        <v>1043</v>
      </c>
      <c r="B244" s="12" t="str">
        <f t="shared" si="3"/>
        <v>074</v>
      </c>
      <c r="C244" s="1" t="s">
        <v>1044</v>
      </c>
      <c r="D244" s="13" t="str">
        <f>IF(RIGHT(A244,3)="000",C244,VLOOKUP(B244,'Справочник ИХ'!A:C,3,0))</f>
        <v>Остальные грузы</v>
      </c>
      <c r="E244" s="13">
        <f>IF(RIGHT(A244,3)="000","х",VLOOKUP(B244,'Справочник ИХ'!A:D,4,0))</f>
        <v>2</v>
      </c>
      <c r="F244" s="14" t="s">
        <v>974</v>
      </c>
    </row>
    <row r="245" spans="1:6">
      <c r="A245" s="19" t="s">
        <v>1045</v>
      </c>
      <c r="B245" s="12" t="str">
        <f t="shared" si="3"/>
        <v>074</v>
      </c>
      <c r="C245" s="1" t="s">
        <v>1046</v>
      </c>
      <c r="D245" s="13" t="str">
        <f>IF(RIGHT(A245,3)="000",C245,VLOOKUP(B245,'Справочник ИХ'!A:C,3,0))</f>
        <v>Остальные грузы</v>
      </c>
      <c r="E245" s="13">
        <f>IF(RIGHT(A245,3)="000","х",VLOOKUP(B245,'Справочник ИХ'!A:D,4,0))</f>
        <v>2</v>
      </c>
      <c r="F245" s="14" t="s">
        <v>974</v>
      </c>
    </row>
    <row r="246" spans="1:6" ht="31.75">
      <c r="A246" s="19" t="s">
        <v>1047</v>
      </c>
      <c r="B246" s="12" t="str">
        <f t="shared" si="3"/>
        <v>074</v>
      </c>
      <c r="C246" s="1" t="s">
        <v>1048</v>
      </c>
      <c r="D246" s="13" t="str">
        <f>IF(RIGHT(A246,3)="000",C246,VLOOKUP(B246,'Справочник ИХ'!A:C,3,0))</f>
        <v>Остальные грузы</v>
      </c>
      <c r="E246" s="13">
        <f>IF(RIGHT(A246,3)="000","х",VLOOKUP(B246,'Справочник ИХ'!A:D,4,0))</f>
        <v>2</v>
      </c>
      <c r="F246" s="14" t="s">
        <v>974</v>
      </c>
    </row>
    <row r="247" spans="1:6" ht="31.75">
      <c r="A247" s="19" t="s">
        <v>1049</v>
      </c>
      <c r="B247" s="12" t="str">
        <f t="shared" si="3"/>
        <v>074</v>
      </c>
      <c r="C247" s="1" t="s">
        <v>1050</v>
      </c>
      <c r="D247" s="13" t="str">
        <f>IF(RIGHT(A247,3)="000",C247,VLOOKUP(B247,'Справочник ИХ'!A:C,3,0))</f>
        <v>Остальные грузы</v>
      </c>
      <c r="E247" s="13">
        <f>IF(RIGHT(A247,3)="000","х",VLOOKUP(B247,'Справочник ИХ'!A:D,4,0))</f>
        <v>2</v>
      </c>
      <c r="F247" s="14" t="s">
        <v>974</v>
      </c>
    </row>
    <row r="248" spans="1:6">
      <c r="A248" s="19" t="s">
        <v>1051</v>
      </c>
      <c r="B248" s="12" t="str">
        <f t="shared" si="3"/>
        <v>074</v>
      </c>
      <c r="C248" s="1" t="s">
        <v>1052</v>
      </c>
      <c r="D248" s="13" t="str">
        <f>IF(RIGHT(A248,3)="000",C248,VLOOKUP(B248,'Справочник ИХ'!A:C,3,0))</f>
        <v>Остальные грузы</v>
      </c>
      <c r="E248" s="13">
        <f>IF(RIGHT(A248,3)="000","х",VLOOKUP(B248,'Справочник ИХ'!A:D,4,0))</f>
        <v>2</v>
      </c>
      <c r="F248" s="14" t="s">
        <v>974</v>
      </c>
    </row>
    <row r="249" spans="1:6">
      <c r="A249" s="19" t="s">
        <v>1053</v>
      </c>
      <c r="B249" s="12" t="str">
        <f t="shared" si="3"/>
        <v>074</v>
      </c>
      <c r="C249" s="1" t="s">
        <v>1054</v>
      </c>
      <c r="D249" s="13" t="str">
        <f>IF(RIGHT(A249,3)="000",C249,VLOOKUP(B249,'Справочник ИХ'!A:C,3,0))</f>
        <v>Остальные грузы</v>
      </c>
      <c r="E249" s="13">
        <f>IF(RIGHT(A249,3)="000","х",VLOOKUP(B249,'Справочник ИХ'!A:D,4,0))</f>
        <v>2</v>
      </c>
      <c r="F249" s="14" t="s">
        <v>974</v>
      </c>
    </row>
    <row r="250" spans="1:6">
      <c r="A250" s="19" t="s">
        <v>1055</v>
      </c>
      <c r="B250" s="12" t="str">
        <f t="shared" si="3"/>
        <v>074</v>
      </c>
      <c r="C250" s="1" t="s">
        <v>1056</v>
      </c>
      <c r="D250" s="13" t="str">
        <f>IF(RIGHT(A250,3)="000",C250,VLOOKUP(B250,'Справочник ИХ'!A:C,3,0))</f>
        <v>Остальные грузы</v>
      </c>
      <c r="E250" s="13">
        <f>IF(RIGHT(A250,3)="000","х",VLOOKUP(B250,'Справочник ИХ'!A:D,4,0))</f>
        <v>2</v>
      </c>
      <c r="F250" s="14" t="s">
        <v>974</v>
      </c>
    </row>
    <row r="251" spans="1:6">
      <c r="A251" s="19" t="s">
        <v>1057</v>
      </c>
      <c r="B251" s="12" t="str">
        <f t="shared" si="3"/>
        <v>074</v>
      </c>
      <c r="C251" s="1" t="s">
        <v>1058</v>
      </c>
      <c r="D251" s="13" t="str">
        <f>IF(RIGHT(A251,3)="000",C251,VLOOKUP(B251,'Справочник ИХ'!A:C,3,0))</f>
        <v>Остальные грузы</v>
      </c>
      <c r="E251" s="13">
        <f>IF(RIGHT(A251,3)="000","х",VLOOKUP(B251,'Справочник ИХ'!A:D,4,0))</f>
        <v>2</v>
      </c>
      <c r="F251" s="14" t="s">
        <v>974</v>
      </c>
    </row>
    <row r="252" spans="1:6" ht="31.75">
      <c r="A252" s="19" t="s">
        <v>1059</v>
      </c>
      <c r="B252" s="12" t="str">
        <f t="shared" si="3"/>
        <v>074</v>
      </c>
      <c r="C252" s="1" t="s">
        <v>1060</v>
      </c>
      <c r="D252" s="13" t="str">
        <f>IF(RIGHT(A252,3)="000",C252,VLOOKUP(B252,'Справочник ИХ'!A:C,3,0))</f>
        <v>Остальные грузы</v>
      </c>
      <c r="E252" s="13">
        <f>IF(RIGHT(A252,3)="000","х",VLOOKUP(B252,'Справочник ИХ'!A:D,4,0))</f>
        <v>2</v>
      </c>
      <c r="F252" s="14" t="s">
        <v>974</v>
      </c>
    </row>
    <row r="253" spans="1:6" ht="31.75">
      <c r="A253" s="19" t="s">
        <v>1061</v>
      </c>
      <c r="B253" s="12" t="str">
        <f t="shared" si="3"/>
        <v>074</v>
      </c>
      <c r="C253" s="1" t="s">
        <v>1062</v>
      </c>
      <c r="D253" s="13" t="str">
        <f>IF(RIGHT(A253,3)="000",C253,VLOOKUP(B253,'Справочник ИХ'!A:C,3,0))</f>
        <v>Остальные грузы</v>
      </c>
      <c r="E253" s="13">
        <f>IF(RIGHT(A253,3)="000","х",VLOOKUP(B253,'Справочник ИХ'!A:D,4,0))</f>
        <v>2</v>
      </c>
      <c r="F253" s="14" t="s">
        <v>974</v>
      </c>
    </row>
    <row r="254" spans="1:6">
      <c r="A254" s="19" t="s">
        <v>1063</v>
      </c>
      <c r="B254" s="12" t="str">
        <f t="shared" si="3"/>
        <v>074</v>
      </c>
      <c r="C254" s="1" t="s">
        <v>1064</v>
      </c>
      <c r="D254" s="13" t="str">
        <f>IF(RIGHT(A254,3)="000",C254,VLOOKUP(B254,'Справочник ИХ'!A:C,3,0))</f>
        <v>Остальные грузы</v>
      </c>
      <c r="E254" s="13">
        <f>IF(RIGHT(A254,3)="000","х",VLOOKUP(B254,'Справочник ИХ'!A:D,4,0))</f>
        <v>2</v>
      </c>
      <c r="F254" s="14" t="s">
        <v>974</v>
      </c>
    </row>
    <row r="255" spans="1:6">
      <c r="A255" s="19" t="s">
        <v>1065</v>
      </c>
      <c r="B255" s="12" t="str">
        <f t="shared" si="3"/>
        <v>074</v>
      </c>
      <c r="C255" s="1" t="s">
        <v>1066</v>
      </c>
      <c r="D255" s="13" t="str">
        <f>IF(RIGHT(A255,3)="000",C255,VLOOKUP(B255,'Справочник ИХ'!A:C,3,0))</f>
        <v>Остальные грузы</v>
      </c>
      <c r="E255" s="13">
        <f>IF(RIGHT(A255,3)="000","х",VLOOKUP(B255,'Справочник ИХ'!A:D,4,0))</f>
        <v>2</v>
      </c>
      <c r="F255" s="14" t="s">
        <v>974</v>
      </c>
    </row>
    <row r="256" spans="1:6">
      <c r="A256" s="19" t="s">
        <v>1067</v>
      </c>
      <c r="B256" s="12" t="str">
        <f t="shared" si="3"/>
        <v>074</v>
      </c>
      <c r="C256" s="1" t="s">
        <v>1068</v>
      </c>
      <c r="D256" s="13" t="str">
        <f>IF(RIGHT(A256,3)="000",C256,VLOOKUP(B256,'Справочник ИХ'!A:C,3,0))</f>
        <v>Остальные грузы</v>
      </c>
      <c r="E256" s="13">
        <f>IF(RIGHT(A256,3)="000","х",VLOOKUP(B256,'Справочник ИХ'!A:D,4,0))</f>
        <v>2</v>
      </c>
      <c r="F256" s="14" t="s">
        <v>974</v>
      </c>
    </row>
    <row r="257" spans="1:6">
      <c r="A257" s="19" t="s">
        <v>1069</v>
      </c>
      <c r="B257" s="12" t="str">
        <f t="shared" si="3"/>
        <v>074</v>
      </c>
      <c r="C257" s="1" t="s">
        <v>1070</v>
      </c>
      <c r="D257" s="13" t="str">
        <f>IF(RIGHT(A257,3)="000",C257,VLOOKUP(B257,'Справочник ИХ'!A:C,3,0))</f>
        <v>Остальные грузы</v>
      </c>
      <c r="E257" s="13">
        <f>IF(RIGHT(A257,3)="000","х",VLOOKUP(B257,'Справочник ИХ'!A:D,4,0))</f>
        <v>2</v>
      </c>
      <c r="F257" s="14" t="s">
        <v>974</v>
      </c>
    </row>
    <row r="258" spans="1:6">
      <c r="A258" s="19" t="s">
        <v>1071</v>
      </c>
      <c r="B258" s="12" t="str">
        <f t="shared" si="3"/>
        <v>074</v>
      </c>
      <c r="C258" s="1" t="s">
        <v>1072</v>
      </c>
      <c r="D258" s="13" t="str">
        <f>IF(RIGHT(A258,3)="000",C258,VLOOKUP(B258,'Справочник ИХ'!A:C,3,0))</f>
        <v>Остальные грузы</v>
      </c>
      <c r="E258" s="13">
        <f>IF(RIGHT(A258,3)="000","х",VLOOKUP(B258,'Справочник ИХ'!A:D,4,0))</f>
        <v>2</v>
      </c>
      <c r="F258" s="14" t="s">
        <v>974</v>
      </c>
    </row>
    <row r="259" spans="1:6">
      <c r="A259" s="19" t="s">
        <v>1073</v>
      </c>
      <c r="B259" s="12" t="str">
        <f t="shared" si="3"/>
        <v>074</v>
      </c>
      <c r="C259" s="1" t="s">
        <v>1074</v>
      </c>
      <c r="D259" s="13" t="str">
        <f>IF(RIGHT(A259,3)="000",C259,VLOOKUP(B259,'Справочник ИХ'!A:C,3,0))</f>
        <v>Остальные грузы</v>
      </c>
      <c r="E259" s="13">
        <f>IF(RIGHT(A259,3)="000","х",VLOOKUP(B259,'Справочник ИХ'!A:D,4,0))</f>
        <v>2</v>
      </c>
      <c r="F259" s="14" t="s">
        <v>974</v>
      </c>
    </row>
    <row r="260" spans="1:6" ht="31.75">
      <c r="A260" s="19" t="s">
        <v>1075</v>
      </c>
      <c r="B260" s="12" t="str">
        <f t="shared" ref="B260:B323" si="4">LEFT(A260,3)</f>
        <v>074</v>
      </c>
      <c r="C260" s="1" t="s">
        <v>1076</v>
      </c>
      <c r="D260" s="13" t="str">
        <f>IF(RIGHT(A260,3)="000",C260,VLOOKUP(B260,'Справочник ИХ'!A:C,3,0))</f>
        <v>Остальные грузы</v>
      </c>
      <c r="E260" s="13">
        <f>IF(RIGHT(A260,3)="000","х",VLOOKUP(B260,'Справочник ИХ'!A:D,4,0))</f>
        <v>2</v>
      </c>
      <c r="F260" s="14" t="s">
        <v>974</v>
      </c>
    </row>
    <row r="261" spans="1:6" ht="31.75">
      <c r="A261" s="19" t="s">
        <v>1077</v>
      </c>
      <c r="B261" s="12" t="str">
        <f t="shared" si="4"/>
        <v>074</v>
      </c>
      <c r="C261" s="1" t="s">
        <v>1078</v>
      </c>
      <c r="D261" s="13" t="str">
        <f>IF(RIGHT(A261,3)="000",C261,VLOOKUP(B261,'Справочник ИХ'!A:C,3,0))</f>
        <v>Остальные грузы</v>
      </c>
      <c r="E261" s="13">
        <f>IF(RIGHT(A261,3)="000","х",VLOOKUP(B261,'Справочник ИХ'!A:D,4,0))</f>
        <v>2</v>
      </c>
      <c r="F261" s="14" t="s">
        <v>974</v>
      </c>
    </row>
    <row r="262" spans="1:6">
      <c r="A262" s="19" t="s">
        <v>1079</v>
      </c>
      <c r="B262" s="12" t="str">
        <f t="shared" si="4"/>
        <v>074</v>
      </c>
      <c r="C262" s="1" t="s">
        <v>1080</v>
      </c>
      <c r="D262" s="13" t="str">
        <f>IF(RIGHT(A262,3)="000",C262,VLOOKUP(B262,'Справочник ИХ'!A:C,3,0))</f>
        <v>Остальные грузы</v>
      </c>
      <c r="E262" s="13">
        <f>IF(RIGHT(A262,3)="000","х",VLOOKUP(B262,'Справочник ИХ'!A:D,4,0))</f>
        <v>2</v>
      </c>
      <c r="F262" s="14" t="s">
        <v>974</v>
      </c>
    </row>
    <row r="263" spans="1:6" s="18" customFormat="1" ht="31.75">
      <c r="A263" s="16" t="s">
        <v>1081</v>
      </c>
      <c r="B263" s="12" t="str">
        <f t="shared" si="4"/>
        <v>075</v>
      </c>
      <c r="C263" s="17" t="s">
        <v>1082</v>
      </c>
      <c r="D263" s="13" t="str">
        <f>IF(RIGHT(A263,3)="000",C263,VLOOKUP(B263,'Справочник ИХ'!A:C,3,0))</f>
        <v>Остальные грузы</v>
      </c>
      <c r="E263" s="13">
        <f>IF(RIGHT(A263,3)="000","х",VLOOKUP(B263,'Справочник ИХ'!A:D,4,0))</f>
        <v>2</v>
      </c>
      <c r="F263" s="14" t="s">
        <v>974</v>
      </c>
    </row>
    <row r="264" spans="1:6">
      <c r="A264" s="19" t="s">
        <v>1083</v>
      </c>
      <c r="B264" s="12" t="str">
        <f t="shared" si="4"/>
        <v>075</v>
      </c>
      <c r="C264" s="1" t="s">
        <v>1084</v>
      </c>
      <c r="D264" s="13" t="str">
        <f>IF(RIGHT(A264,3)="000",C264,VLOOKUP(B264,'Справочник ИХ'!A:C,3,0))</f>
        <v>Остальные грузы</v>
      </c>
      <c r="E264" s="13">
        <f>IF(RIGHT(A264,3)="000","х",VLOOKUP(B264,'Справочник ИХ'!A:D,4,0))</f>
        <v>2</v>
      </c>
      <c r="F264" s="14" t="s">
        <v>974</v>
      </c>
    </row>
    <row r="265" spans="1:6">
      <c r="A265" s="19" t="s">
        <v>1085</v>
      </c>
      <c r="B265" s="12" t="str">
        <f t="shared" si="4"/>
        <v>075</v>
      </c>
      <c r="C265" s="1" t="s">
        <v>1086</v>
      </c>
      <c r="D265" s="13" t="str">
        <f>IF(RIGHT(A265,3)="000",C265,VLOOKUP(B265,'Справочник ИХ'!A:C,3,0))</f>
        <v>Остальные грузы</v>
      </c>
      <c r="E265" s="13">
        <f>IF(RIGHT(A265,3)="000","х",VLOOKUP(B265,'Справочник ИХ'!A:D,4,0))</f>
        <v>2</v>
      </c>
      <c r="F265" s="14" t="s">
        <v>974</v>
      </c>
    </row>
    <row r="266" spans="1:6">
      <c r="A266" s="19" t="s">
        <v>1087</v>
      </c>
      <c r="B266" s="12" t="str">
        <f t="shared" si="4"/>
        <v>075</v>
      </c>
      <c r="C266" s="1" t="s">
        <v>1088</v>
      </c>
      <c r="D266" s="13" t="str">
        <f>IF(RIGHT(A266,3)="000",C266,VLOOKUP(B266,'Справочник ИХ'!A:C,3,0))</f>
        <v>Остальные грузы</v>
      </c>
      <c r="E266" s="13">
        <f>IF(RIGHT(A266,3)="000","х",VLOOKUP(B266,'Справочник ИХ'!A:D,4,0))</f>
        <v>2</v>
      </c>
      <c r="F266" s="14" t="s">
        <v>974</v>
      </c>
    </row>
    <row r="267" spans="1:6">
      <c r="A267" s="19" t="s">
        <v>1089</v>
      </c>
      <c r="B267" s="12" t="str">
        <f t="shared" si="4"/>
        <v>075</v>
      </c>
      <c r="C267" s="1" t="s">
        <v>1090</v>
      </c>
      <c r="D267" s="13" t="str">
        <f>IF(RIGHT(A267,3)="000",C267,VLOOKUP(B267,'Справочник ИХ'!A:C,3,0))</f>
        <v>Остальные грузы</v>
      </c>
      <c r="E267" s="13">
        <f>IF(RIGHT(A267,3)="000","х",VLOOKUP(B267,'Справочник ИХ'!A:D,4,0))</f>
        <v>2</v>
      </c>
      <c r="F267" s="14" t="s">
        <v>974</v>
      </c>
    </row>
    <row r="268" spans="1:6">
      <c r="A268" s="19" t="s">
        <v>1091</v>
      </c>
      <c r="B268" s="12" t="str">
        <f t="shared" si="4"/>
        <v>075</v>
      </c>
      <c r="C268" s="1" t="s">
        <v>1092</v>
      </c>
      <c r="D268" s="13" t="str">
        <f>IF(RIGHT(A268,3)="000",C268,VLOOKUP(B268,'Справочник ИХ'!A:C,3,0))</f>
        <v>Остальные грузы</v>
      </c>
      <c r="E268" s="13">
        <f>IF(RIGHT(A268,3)="000","х",VLOOKUP(B268,'Справочник ИХ'!A:D,4,0))</f>
        <v>2</v>
      </c>
      <c r="F268" s="14" t="s">
        <v>974</v>
      </c>
    </row>
    <row r="269" spans="1:6">
      <c r="A269" s="19" t="s">
        <v>1093</v>
      </c>
      <c r="B269" s="12" t="str">
        <f t="shared" si="4"/>
        <v>075</v>
      </c>
      <c r="C269" s="1" t="s">
        <v>1094</v>
      </c>
      <c r="D269" s="13" t="str">
        <f>IF(RIGHT(A269,3)="000",C269,VLOOKUP(B269,'Справочник ИХ'!A:C,3,0))</f>
        <v>Остальные грузы</v>
      </c>
      <c r="E269" s="13">
        <f>IF(RIGHT(A269,3)="000","х",VLOOKUP(B269,'Справочник ИХ'!A:D,4,0))</f>
        <v>2</v>
      </c>
      <c r="F269" s="14" t="s">
        <v>974</v>
      </c>
    </row>
    <row r="270" spans="1:6">
      <c r="A270" s="19" t="s">
        <v>1095</v>
      </c>
      <c r="B270" s="12" t="str">
        <f t="shared" si="4"/>
        <v>075</v>
      </c>
      <c r="C270" s="1" t="s">
        <v>1096</v>
      </c>
      <c r="D270" s="13" t="str">
        <f>IF(RIGHT(A270,3)="000",C270,VLOOKUP(B270,'Справочник ИХ'!A:C,3,0))</f>
        <v>Остальные грузы</v>
      </c>
      <c r="E270" s="13">
        <f>IF(RIGHT(A270,3)="000","х",VLOOKUP(B270,'Справочник ИХ'!A:D,4,0))</f>
        <v>2</v>
      </c>
      <c r="F270" s="14" t="s">
        <v>974</v>
      </c>
    </row>
    <row r="271" spans="1:6" s="18" customFormat="1">
      <c r="A271" s="16" t="s">
        <v>1097</v>
      </c>
      <c r="B271" s="12" t="str">
        <f t="shared" si="4"/>
        <v>076</v>
      </c>
      <c r="C271" s="17" t="s">
        <v>1098</v>
      </c>
      <c r="D271" s="13" t="str">
        <f>IF(RIGHT(A271,3)="000",C271,VLOOKUP(B271,'Справочник ИХ'!A:C,3,0))</f>
        <v>Остальные грузы</v>
      </c>
      <c r="E271" s="13">
        <f>IF(RIGHT(A271,3)="000","х",VLOOKUP(B271,'Справочник ИХ'!A:D,4,0))</f>
        <v>3</v>
      </c>
      <c r="F271" s="14" t="s">
        <v>974</v>
      </c>
    </row>
    <row r="272" spans="1:6">
      <c r="A272" s="19" t="s">
        <v>1099</v>
      </c>
      <c r="B272" s="12" t="str">
        <f t="shared" si="4"/>
        <v>076</v>
      </c>
      <c r="C272" s="1" t="s">
        <v>1100</v>
      </c>
      <c r="D272" s="13" t="str">
        <f>IF(RIGHT(A272,3)="000",C272,VLOOKUP(B272,'Справочник ИХ'!A:C,3,0))</f>
        <v>Остальные грузы</v>
      </c>
      <c r="E272" s="13">
        <f>IF(RIGHT(A272,3)="000","х",VLOOKUP(B272,'Справочник ИХ'!A:D,4,0))</f>
        <v>3</v>
      </c>
      <c r="F272" s="14" t="s">
        <v>974</v>
      </c>
    </row>
    <row r="273" spans="1:6">
      <c r="A273" s="19" t="s">
        <v>1101</v>
      </c>
      <c r="B273" s="12" t="str">
        <f t="shared" si="4"/>
        <v>076</v>
      </c>
      <c r="C273" s="1" t="s">
        <v>1102</v>
      </c>
      <c r="D273" s="13" t="str">
        <f>IF(RIGHT(A273,3)="000",C273,VLOOKUP(B273,'Справочник ИХ'!A:C,3,0))</f>
        <v>Остальные грузы</v>
      </c>
      <c r="E273" s="13">
        <f>IF(RIGHT(A273,3)="000","х",VLOOKUP(B273,'Справочник ИХ'!A:D,4,0))</f>
        <v>3</v>
      </c>
      <c r="F273" s="14" t="s">
        <v>974</v>
      </c>
    </row>
    <row r="274" spans="1:6">
      <c r="A274" s="19" t="s">
        <v>1103</v>
      </c>
      <c r="B274" s="12" t="str">
        <f t="shared" si="4"/>
        <v>076</v>
      </c>
      <c r="C274" s="1" t="s">
        <v>1104</v>
      </c>
      <c r="D274" s="13" t="str">
        <f>IF(RIGHT(A274,3)="000",C274,VLOOKUP(B274,'Справочник ИХ'!A:C,3,0))</f>
        <v>Остальные грузы</v>
      </c>
      <c r="E274" s="13">
        <f>IF(RIGHT(A274,3)="000","х",VLOOKUP(B274,'Справочник ИХ'!A:D,4,0))</f>
        <v>3</v>
      </c>
      <c r="F274" s="14" t="s">
        <v>974</v>
      </c>
    </row>
    <row r="275" spans="1:6">
      <c r="A275" s="19" t="s">
        <v>1105</v>
      </c>
      <c r="B275" s="12" t="str">
        <f t="shared" si="4"/>
        <v>076</v>
      </c>
      <c r="C275" s="1" t="s">
        <v>1106</v>
      </c>
      <c r="D275" s="13" t="str">
        <f>IF(RIGHT(A275,3)="000",C275,VLOOKUP(B275,'Справочник ИХ'!A:C,3,0))</f>
        <v>Остальные грузы</v>
      </c>
      <c r="E275" s="13">
        <f>IF(RIGHT(A275,3)="000","х",VLOOKUP(B275,'Справочник ИХ'!A:D,4,0))</f>
        <v>3</v>
      </c>
      <c r="F275" s="14" t="s">
        <v>974</v>
      </c>
    </row>
    <row r="276" spans="1:6">
      <c r="A276" s="19" t="s">
        <v>1107</v>
      </c>
      <c r="B276" s="12" t="str">
        <f t="shared" si="4"/>
        <v>076</v>
      </c>
      <c r="C276" s="1" t="s">
        <v>1108</v>
      </c>
      <c r="D276" s="13" t="str">
        <f>IF(RIGHT(A276,3)="000",C276,VLOOKUP(B276,'Справочник ИХ'!A:C,3,0))</f>
        <v>Остальные грузы</v>
      </c>
      <c r="E276" s="13">
        <f>IF(RIGHT(A276,3)="000","х",VLOOKUP(B276,'Справочник ИХ'!A:D,4,0))</f>
        <v>3</v>
      </c>
      <c r="F276" s="14" t="s">
        <v>974</v>
      </c>
    </row>
    <row r="277" spans="1:6">
      <c r="A277" s="19" t="s">
        <v>1109</v>
      </c>
      <c r="B277" s="12" t="str">
        <f t="shared" si="4"/>
        <v>076</v>
      </c>
      <c r="C277" s="1" t="s">
        <v>1110</v>
      </c>
      <c r="D277" s="13" t="str">
        <f>IF(RIGHT(A277,3)="000",C277,VLOOKUP(B277,'Справочник ИХ'!A:C,3,0))</f>
        <v>Остальные грузы</v>
      </c>
      <c r="E277" s="13">
        <f>IF(RIGHT(A277,3)="000","х",VLOOKUP(B277,'Справочник ИХ'!A:D,4,0))</f>
        <v>3</v>
      </c>
      <c r="F277" s="14" t="s">
        <v>974</v>
      </c>
    </row>
    <row r="278" spans="1:6">
      <c r="A278" s="19" t="s">
        <v>1111</v>
      </c>
      <c r="B278" s="12" t="str">
        <f t="shared" si="4"/>
        <v>076</v>
      </c>
      <c r="C278" s="1" t="s">
        <v>1112</v>
      </c>
      <c r="D278" s="13" t="str">
        <f>IF(RIGHT(A278,3)="000",C278,VLOOKUP(B278,'Справочник ИХ'!A:C,3,0))</f>
        <v>Остальные грузы</v>
      </c>
      <c r="E278" s="13">
        <f>IF(RIGHT(A278,3)="000","х",VLOOKUP(B278,'Справочник ИХ'!A:D,4,0))</f>
        <v>3</v>
      </c>
      <c r="F278" s="14" t="s">
        <v>974</v>
      </c>
    </row>
    <row r="279" spans="1:6">
      <c r="A279" s="19" t="s">
        <v>1113</v>
      </c>
      <c r="B279" s="12" t="str">
        <f t="shared" si="4"/>
        <v>076</v>
      </c>
      <c r="C279" s="1" t="s">
        <v>1114</v>
      </c>
      <c r="D279" s="13" t="str">
        <f>IF(RIGHT(A279,3)="000",C279,VLOOKUP(B279,'Справочник ИХ'!A:C,3,0))</f>
        <v>Остальные грузы</v>
      </c>
      <c r="E279" s="13">
        <f>IF(RIGHT(A279,3)="000","х",VLOOKUP(B279,'Справочник ИХ'!A:D,4,0))</f>
        <v>3</v>
      </c>
      <c r="F279" s="14" t="s">
        <v>974</v>
      </c>
    </row>
    <row r="280" spans="1:6">
      <c r="A280" s="19" t="s">
        <v>1115</v>
      </c>
      <c r="B280" s="12" t="str">
        <f t="shared" si="4"/>
        <v>076</v>
      </c>
      <c r="C280" s="1" t="s">
        <v>1116</v>
      </c>
      <c r="D280" s="13" t="str">
        <f>IF(RIGHT(A280,3)="000",C280,VLOOKUP(B280,'Справочник ИХ'!A:C,3,0))</f>
        <v>Остальные грузы</v>
      </c>
      <c r="E280" s="13">
        <f>IF(RIGHT(A280,3)="000","х",VLOOKUP(B280,'Справочник ИХ'!A:D,4,0))</f>
        <v>3</v>
      </c>
      <c r="F280" s="14" t="s">
        <v>974</v>
      </c>
    </row>
    <row r="281" spans="1:6">
      <c r="A281" s="19" t="s">
        <v>1117</v>
      </c>
      <c r="B281" s="12" t="str">
        <f t="shared" si="4"/>
        <v>076</v>
      </c>
      <c r="C281" s="1" t="s">
        <v>1118</v>
      </c>
      <c r="D281" s="13" t="str">
        <f>IF(RIGHT(A281,3)="000",C281,VLOOKUP(B281,'Справочник ИХ'!A:C,3,0))</f>
        <v>Остальные грузы</v>
      </c>
      <c r="E281" s="13">
        <f>IF(RIGHT(A281,3)="000","х",VLOOKUP(B281,'Справочник ИХ'!A:D,4,0))</f>
        <v>3</v>
      </c>
      <c r="F281" s="14" t="s">
        <v>974</v>
      </c>
    </row>
    <row r="282" spans="1:6" s="18" customFormat="1">
      <c r="A282" s="16" t="s">
        <v>1119</v>
      </c>
      <c r="B282" s="12" t="str">
        <f t="shared" si="4"/>
        <v>077</v>
      </c>
      <c r="C282" s="17" t="s">
        <v>1120</v>
      </c>
      <c r="D282" s="13" t="str">
        <f>IF(RIGHT(A282,3)="000",C282,VLOOKUP(B282,'Справочник ИХ'!A:C,3,0))</f>
        <v>Остальные грузы</v>
      </c>
      <c r="E282" s="13">
        <f>IF(RIGHT(A282,3)="000","х",VLOOKUP(B282,'Справочник ИХ'!A:D,4,0))</f>
        <v>3</v>
      </c>
      <c r="F282" s="14" t="s">
        <v>974</v>
      </c>
    </row>
    <row r="283" spans="1:6">
      <c r="A283" s="19" t="s">
        <v>1121</v>
      </c>
      <c r="B283" s="12" t="str">
        <f t="shared" si="4"/>
        <v>077</v>
      </c>
      <c r="C283" s="1" t="s">
        <v>1122</v>
      </c>
      <c r="D283" s="13" t="str">
        <f>IF(RIGHT(A283,3)="000",C283,VLOOKUP(B283,'Справочник ИХ'!A:C,3,0))</f>
        <v>Остальные грузы</v>
      </c>
      <c r="E283" s="13">
        <f>IF(RIGHT(A283,3)="000","х",VLOOKUP(B283,'Справочник ИХ'!A:D,4,0))</f>
        <v>3</v>
      </c>
      <c r="F283" s="14" t="s">
        <v>974</v>
      </c>
    </row>
    <row r="284" spans="1:6">
      <c r="A284" s="19" t="s">
        <v>1123</v>
      </c>
      <c r="B284" s="12" t="str">
        <f t="shared" si="4"/>
        <v>077</v>
      </c>
      <c r="C284" s="1" t="s">
        <v>1124</v>
      </c>
      <c r="D284" s="13" t="str">
        <f>IF(RIGHT(A284,3)="000",C284,VLOOKUP(B284,'Справочник ИХ'!A:C,3,0))</f>
        <v>Остальные грузы</v>
      </c>
      <c r="E284" s="13">
        <f>IF(RIGHT(A284,3)="000","х",VLOOKUP(B284,'Справочник ИХ'!A:D,4,0))</f>
        <v>3</v>
      </c>
      <c r="F284" s="14" t="s">
        <v>974</v>
      </c>
    </row>
    <row r="285" spans="1:6">
      <c r="A285" s="19" t="s">
        <v>1125</v>
      </c>
      <c r="B285" s="12" t="str">
        <f t="shared" si="4"/>
        <v>077</v>
      </c>
      <c r="C285" s="1" t="s">
        <v>1126</v>
      </c>
      <c r="D285" s="13" t="str">
        <f>IF(RIGHT(A285,3)="000",C285,VLOOKUP(B285,'Справочник ИХ'!A:C,3,0))</f>
        <v>Остальные грузы</v>
      </c>
      <c r="E285" s="13">
        <f>IF(RIGHT(A285,3)="000","х",VLOOKUP(B285,'Справочник ИХ'!A:D,4,0))</f>
        <v>3</v>
      </c>
      <c r="F285" s="14" t="s">
        <v>974</v>
      </c>
    </row>
    <row r="286" spans="1:6">
      <c r="A286" s="19" t="s">
        <v>1127</v>
      </c>
      <c r="B286" s="12" t="str">
        <f t="shared" si="4"/>
        <v>077</v>
      </c>
      <c r="C286" s="1" t="s">
        <v>1128</v>
      </c>
      <c r="D286" s="13" t="str">
        <f>IF(RIGHT(A286,3)="000",C286,VLOOKUP(B286,'Справочник ИХ'!A:C,3,0))</f>
        <v>Остальные грузы</v>
      </c>
      <c r="E286" s="13">
        <f>IF(RIGHT(A286,3)="000","х",VLOOKUP(B286,'Справочник ИХ'!A:D,4,0))</f>
        <v>3</v>
      </c>
      <c r="F286" s="14" t="s">
        <v>974</v>
      </c>
    </row>
    <row r="287" spans="1:6" ht="47.6">
      <c r="A287" s="19" t="s">
        <v>1129</v>
      </c>
      <c r="B287" s="12" t="str">
        <f t="shared" si="4"/>
        <v>077</v>
      </c>
      <c r="C287" s="1" t="s">
        <v>1130</v>
      </c>
      <c r="D287" s="13" t="str">
        <f>IF(RIGHT(A287,3)="000",C287,VLOOKUP(B287,'Справочник ИХ'!A:C,3,0))</f>
        <v>Остальные грузы</v>
      </c>
      <c r="E287" s="13">
        <f>IF(RIGHT(A287,3)="000","х",VLOOKUP(B287,'Справочник ИХ'!A:D,4,0))</f>
        <v>3</v>
      </c>
      <c r="F287" s="14" t="s">
        <v>974</v>
      </c>
    </row>
    <row r="288" spans="1:6" ht="31.75">
      <c r="A288" s="19" t="s">
        <v>1131</v>
      </c>
      <c r="B288" s="12" t="str">
        <f t="shared" si="4"/>
        <v>077</v>
      </c>
      <c r="C288" s="1" t="s">
        <v>1132</v>
      </c>
      <c r="D288" s="13" t="str">
        <f>IF(RIGHT(A288,3)="000",C288,VLOOKUP(B288,'Справочник ИХ'!A:C,3,0))</f>
        <v>Остальные грузы</v>
      </c>
      <c r="E288" s="13">
        <f>IF(RIGHT(A288,3)="000","х",VLOOKUP(B288,'Справочник ИХ'!A:D,4,0))</f>
        <v>3</v>
      </c>
      <c r="F288" s="14" t="s">
        <v>974</v>
      </c>
    </row>
    <row r="289" spans="1:6">
      <c r="A289" s="19" t="s">
        <v>1133</v>
      </c>
      <c r="B289" s="12" t="str">
        <f t="shared" si="4"/>
        <v>077</v>
      </c>
      <c r="C289" s="1" t="s">
        <v>1134</v>
      </c>
      <c r="D289" s="13" t="str">
        <f>IF(RIGHT(A289,3)="000",C289,VLOOKUP(B289,'Справочник ИХ'!A:C,3,0))</f>
        <v>Остальные грузы</v>
      </c>
      <c r="E289" s="13">
        <f>IF(RIGHT(A289,3)="000","х",VLOOKUP(B289,'Справочник ИХ'!A:D,4,0))</f>
        <v>3</v>
      </c>
      <c r="F289" s="14" t="s">
        <v>974</v>
      </c>
    </row>
    <row r="290" spans="1:6">
      <c r="A290" s="19" t="s">
        <v>1135</v>
      </c>
      <c r="B290" s="12" t="str">
        <f t="shared" si="4"/>
        <v>077</v>
      </c>
      <c r="C290" s="1" t="s">
        <v>1136</v>
      </c>
      <c r="D290" s="13" t="str">
        <f>IF(RIGHT(A290,3)="000",C290,VLOOKUP(B290,'Справочник ИХ'!A:C,3,0))</f>
        <v>Остальные грузы</v>
      </c>
      <c r="E290" s="13">
        <f>IF(RIGHT(A290,3)="000","х",VLOOKUP(B290,'Справочник ИХ'!A:D,4,0))</f>
        <v>3</v>
      </c>
      <c r="F290" s="14" t="s">
        <v>974</v>
      </c>
    </row>
    <row r="291" spans="1:6">
      <c r="A291" s="19" t="s">
        <v>1137</v>
      </c>
      <c r="B291" s="12" t="str">
        <f t="shared" si="4"/>
        <v>077</v>
      </c>
      <c r="C291" s="1" t="s">
        <v>1138</v>
      </c>
      <c r="D291" s="13" t="str">
        <f>IF(RIGHT(A291,3)="000",C291,VLOOKUP(B291,'Справочник ИХ'!A:C,3,0))</f>
        <v>Остальные грузы</v>
      </c>
      <c r="E291" s="13">
        <f>IF(RIGHT(A291,3)="000","х",VLOOKUP(B291,'Справочник ИХ'!A:D,4,0))</f>
        <v>3</v>
      </c>
      <c r="F291" s="14" t="s">
        <v>974</v>
      </c>
    </row>
    <row r="292" spans="1:6">
      <c r="A292" s="19" t="s">
        <v>1139</v>
      </c>
      <c r="B292" s="12" t="str">
        <f t="shared" si="4"/>
        <v>077</v>
      </c>
      <c r="C292" s="1" t="s">
        <v>1140</v>
      </c>
      <c r="D292" s="13" t="str">
        <f>IF(RIGHT(A292,3)="000",C292,VLOOKUP(B292,'Справочник ИХ'!A:C,3,0))</f>
        <v>Остальные грузы</v>
      </c>
      <c r="E292" s="13">
        <f>IF(RIGHT(A292,3)="000","х",VLOOKUP(B292,'Справочник ИХ'!A:D,4,0))</f>
        <v>3</v>
      </c>
      <c r="F292" s="14" t="s">
        <v>974</v>
      </c>
    </row>
    <row r="293" spans="1:6" ht="31.75">
      <c r="A293" s="19" t="s">
        <v>1141</v>
      </c>
      <c r="B293" s="12" t="str">
        <f t="shared" si="4"/>
        <v>077</v>
      </c>
      <c r="C293" s="1" t="s">
        <v>1142</v>
      </c>
      <c r="D293" s="13" t="str">
        <f>IF(RIGHT(A293,3)="000",C293,VLOOKUP(B293,'Справочник ИХ'!A:C,3,0))</f>
        <v>Остальные грузы</v>
      </c>
      <c r="E293" s="13">
        <f>IF(RIGHT(A293,3)="000","х",VLOOKUP(B293,'Справочник ИХ'!A:D,4,0))</f>
        <v>3</v>
      </c>
      <c r="F293" s="14" t="s">
        <v>974</v>
      </c>
    </row>
    <row r="294" spans="1:6" ht="31.75">
      <c r="A294" s="19" t="s">
        <v>1143</v>
      </c>
      <c r="B294" s="12" t="str">
        <f t="shared" si="4"/>
        <v>077</v>
      </c>
      <c r="C294" s="1" t="s">
        <v>1144</v>
      </c>
      <c r="D294" s="13" t="str">
        <f>IF(RIGHT(A294,3)="000",C294,VLOOKUP(B294,'Справочник ИХ'!A:C,3,0))</f>
        <v>Остальные грузы</v>
      </c>
      <c r="E294" s="13">
        <f>IF(RIGHT(A294,3)="000","х",VLOOKUP(B294,'Справочник ИХ'!A:D,4,0))</f>
        <v>3</v>
      </c>
      <c r="F294" s="14" t="s">
        <v>974</v>
      </c>
    </row>
    <row r="295" spans="1:6">
      <c r="A295" s="19" t="s">
        <v>1145</v>
      </c>
      <c r="B295" s="12" t="str">
        <f t="shared" si="4"/>
        <v>077</v>
      </c>
      <c r="C295" s="1" t="s">
        <v>1146</v>
      </c>
      <c r="D295" s="13" t="str">
        <f>IF(RIGHT(A295,3)="000",C295,VLOOKUP(B295,'Справочник ИХ'!A:C,3,0))</f>
        <v>Остальные грузы</v>
      </c>
      <c r="E295" s="13">
        <f>IF(RIGHT(A295,3)="000","х",VLOOKUP(B295,'Справочник ИХ'!A:D,4,0))</f>
        <v>3</v>
      </c>
      <c r="F295" s="14" t="s">
        <v>974</v>
      </c>
    </row>
    <row r="296" spans="1:6" ht="31.75">
      <c r="A296" s="19" t="s">
        <v>1147</v>
      </c>
      <c r="B296" s="12" t="str">
        <f t="shared" si="4"/>
        <v>077</v>
      </c>
      <c r="C296" s="1" t="s">
        <v>1148</v>
      </c>
      <c r="D296" s="13" t="str">
        <f>IF(RIGHT(A296,3)="000",C296,VLOOKUP(B296,'Справочник ИХ'!A:C,3,0))</f>
        <v>Остальные грузы</v>
      </c>
      <c r="E296" s="13">
        <f>IF(RIGHT(A296,3)="000","х",VLOOKUP(B296,'Справочник ИХ'!A:D,4,0))</f>
        <v>3</v>
      </c>
      <c r="F296" s="14" t="s">
        <v>974</v>
      </c>
    </row>
    <row r="297" spans="1:6">
      <c r="A297" s="19" t="s">
        <v>1149</v>
      </c>
      <c r="B297" s="12" t="str">
        <f t="shared" si="4"/>
        <v>077</v>
      </c>
      <c r="C297" s="1" t="s">
        <v>1150</v>
      </c>
      <c r="D297" s="13" t="str">
        <f>IF(RIGHT(A297,3)="000",C297,VLOOKUP(B297,'Справочник ИХ'!A:C,3,0))</f>
        <v>Остальные грузы</v>
      </c>
      <c r="E297" s="13">
        <f>IF(RIGHT(A297,3)="000","х",VLOOKUP(B297,'Справочник ИХ'!A:D,4,0))</f>
        <v>3</v>
      </c>
      <c r="F297" s="14" t="s">
        <v>974</v>
      </c>
    </row>
    <row r="298" spans="1:6">
      <c r="A298" s="19" t="s">
        <v>1151</v>
      </c>
      <c r="B298" s="12" t="str">
        <f t="shared" si="4"/>
        <v>077</v>
      </c>
      <c r="C298" s="1" t="s">
        <v>1152</v>
      </c>
      <c r="D298" s="13" t="str">
        <f>IF(RIGHT(A298,3)="000",C298,VLOOKUP(B298,'Справочник ИХ'!A:C,3,0))</f>
        <v>Остальные грузы</v>
      </c>
      <c r="E298" s="13">
        <f>IF(RIGHT(A298,3)="000","х",VLOOKUP(B298,'Справочник ИХ'!A:D,4,0))</f>
        <v>3</v>
      </c>
      <c r="F298" s="14" t="s">
        <v>974</v>
      </c>
    </row>
    <row r="299" spans="1:6" s="18" customFormat="1">
      <c r="A299" s="16" t="s">
        <v>1153</v>
      </c>
      <c r="B299" s="12" t="str">
        <f t="shared" si="4"/>
        <v>078</v>
      </c>
      <c r="C299" s="17" t="s">
        <v>1154</v>
      </c>
      <c r="D299" s="13" t="str">
        <f>IF(RIGHT(A299,3)="000",C299,VLOOKUP(B299,'Справочник ИХ'!A:C,3,0))</f>
        <v>Остальные грузы</v>
      </c>
      <c r="E299" s="13">
        <f>IF(RIGHT(A299,3)="000","х",VLOOKUP(B299,'Справочник ИХ'!A:D,4,0))</f>
        <v>2</v>
      </c>
      <c r="F299" s="14" t="s">
        <v>974</v>
      </c>
    </row>
    <row r="300" spans="1:6" ht="31.75">
      <c r="A300" s="19" t="s">
        <v>1155</v>
      </c>
      <c r="B300" s="12" t="str">
        <f t="shared" si="4"/>
        <v>078</v>
      </c>
      <c r="C300" s="1" t="s">
        <v>1156</v>
      </c>
      <c r="D300" s="13" t="str">
        <f>IF(RIGHT(A300,3)="000",C300,VLOOKUP(B300,'Справочник ИХ'!A:C,3,0))</f>
        <v>Остальные грузы</v>
      </c>
      <c r="E300" s="13">
        <f>IF(RIGHT(A300,3)="000","х",VLOOKUP(B300,'Справочник ИХ'!A:D,4,0))</f>
        <v>2</v>
      </c>
      <c r="F300" s="14" t="s">
        <v>974</v>
      </c>
    </row>
    <row r="301" spans="1:6">
      <c r="A301" s="19" t="s">
        <v>1157</v>
      </c>
      <c r="B301" s="12" t="str">
        <f t="shared" si="4"/>
        <v>078</v>
      </c>
      <c r="C301" s="1" t="s">
        <v>1158</v>
      </c>
      <c r="D301" s="13" t="str">
        <f>IF(RIGHT(A301,3)="000",C301,VLOOKUP(B301,'Справочник ИХ'!A:C,3,0))</f>
        <v>Остальные грузы</v>
      </c>
      <c r="E301" s="13">
        <f>IF(RIGHT(A301,3)="000","х",VLOOKUP(B301,'Справочник ИХ'!A:D,4,0))</f>
        <v>2</v>
      </c>
      <c r="F301" s="14" t="s">
        <v>974</v>
      </c>
    </row>
    <row r="302" spans="1:6">
      <c r="A302" s="19" t="s">
        <v>1159</v>
      </c>
      <c r="B302" s="12" t="str">
        <f t="shared" si="4"/>
        <v>078</v>
      </c>
      <c r="C302" s="1" t="s">
        <v>1160</v>
      </c>
      <c r="D302" s="13" t="str">
        <f>IF(RIGHT(A302,3)="000",C302,VLOOKUP(B302,'Справочник ИХ'!A:C,3,0))</f>
        <v>Остальные грузы</v>
      </c>
      <c r="E302" s="13">
        <f>IF(RIGHT(A302,3)="000","х",VLOOKUP(B302,'Справочник ИХ'!A:D,4,0))</f>
        <v>2</v>
      </c>
      <c r="F302" s="14" t="s">
        <v>974</v>
      </c>
    </row>
    <row r="303" spans="1:6">
      <c r="A303" s="19" t="s">
        <v>1161</v>
      </c>
      <c r="B303" s="12" t="str">
        <f t="shared" si="4"/>
        <v>078</v>
      </c>
      <c r="C303" s="1" t="s">
        <v>1162</v>
      </c>
      <c r="D303" s="13" t="str">
        <f>IF(RIGHT(A303,3)="000",C303,VLOOKUP(B303,'Справочник ИХ'!A:C,3,0))</f>
        <v>Остальные грузы</v>
      </c>
      <c r="E303" s="13">
        <f>IF(RIGHT(A303,3)="000","х",VLOOKUP(B303,'Справочник ИХ'!A:D,4,0))</f>
        <v>2</v>
      </c>
      <c r="F303" s="14" t="s">
        <v>974</v>
      </c>
    </row>
    <row r="304" spans="1:6" ht="31.75">
      <c r="A304" s="19" t="s">
        <v>1163</v>
      </c>
      <c r="B304" s="12" t="str">
        <f t="shared" si="4"/>
        <v>078</v>
      </c>
      <c r="C304" s="1" t="s">
        <v>1164</v>
      </c>
      <c r="D304" s="13" t="str">
        <f>IF(RIGHT(A304,3)="000",C304,VLOOKUP(B304,'Справочник ИХ'!A:C,3,0))</f>
        <v>Остальные грузы</v>
      </c>
      <c r="E304" s="13">
        <f>IF(RIGHT(A304,3)="000","х",VLOOKUP(B304,'Справочник ИХ'!A:D,4,0))</f>
        <v>2</v>
      </c>
      <c r="F304" s="14" t="s">
        <v>974</v>
      </c>
    </row>
    <row r="305" spans="1:6" ht="31.75">
      <c r="A305" s="19" t="s">
        <v>1165</v>
      </c>
      <c r="B305" s="12" t="str">
        <f t="shared" si="4"/>
        <v>078</v>
      </c>
      <c r="C305" s="1" t="s">
        <v>1166</v>
      </c>
      <c r="D305" s="13" t="str">
        <f>IF(RIGHT(A305,3)="000",C305,VLOOKUP(B305,'Справочник ИХ'!A:C,3,0))</f>
        <v>Остальные грузы</v>
      </c>
      <c r="E305" s="13">
        <f>IF(RIGHT(A305,3)="000","х",VLOOKUP(B305,'Справочник ИХ'!A:D,4,0))</f>
        <v>2</v>
      </c>
      <c r="F305" s="14" t="s">
        <v>974</v>
      </c>
    </row>
    <row r="306" spans="1:6" s="15" customFormat="1" ht="79.3">
      <c r="A306" s="7"/>
      <c r="B306" s="12" t="str">
        <f t="shared" si="4"/>
        <v/>
      </c>
      <c r="C306" s="11" t="s">
        <v>1167</v>
      </c>
      <c r="D306" s="1" t="str">
        <f>C306</f>
        <v xml:space="preserve">Раздел 2. Продукция лесной, деревообрабатывающей и целлюлозно-бумажной промышленности </v>
      </c>
      <c r="E306" s="13" t="s">
        <v>562</v>
      </c>
      <c r="F306" s="14" t="s">
        <v>974</v>
      </c>
    </row>
    <row r="307" spans="1:6" s="15" customFormat="1">
      <c r="A307" s="7" t="s">
        <v>1168</v>
      </c>
      <c r="B307" s="12" t="str">
        <f t="shared" si="4"/>
        <v>080</v>
      </c>
      <c r="C307" s="11" t="s">
        <v>1169</v>
      </c>
      <c r="D307" s="13" t="str">
        <f>IF(RIGHT(A307,3)="000",C307,VLOOKUP(B307,'Справочник ИХ'!A:C,3,0))</f>
        <v xml:space="preserve">Лесоматериалы круглые </v>
      </c>
      <c r="E307" s="13" t="str">
        <f>IF(RIGHT(A307,3)="000","х",VLOOKUP(B307,'Справочник ИХ'!A:D,4,0))</f>
        <v>х</v>
      </c>
      <c r="F307" s="14" t="s">
        <v>1169</v>
      </c>
    </row>
    <row r="308" spans="1:6" s="18" customFormat="1" ht="31.75">
      <c r="A308" s="16" t="s">
        <v>1170</v>
      </c>
      <c r="B308" s="12" t="str">
        <f t="shared" si="4"/>
        <v>081</v>
      </c>
      <c r="C308" s="17" t="s">
        <v>1171</v>
      </c>
      <c r="D308" s="13" t="str">
        <f>IF(RIGHT(A308,3)="000",C308,VLOOKUP(B308,'Справочник ИХ'!A:C,3,0))</f>
        <v>Лесные грузы</v>
      </c>
      <c r="E308" s="13">
        <f>IF(RIGHT(A308,3)="000","х",VLOOKUP(B308,'Справочник ИХ'!A:D,4,0))</f>
        <v>1</v>
      </c>
      <c r="F308" s="14" t="s">
        <v>1169</v>
      </c>
    </row>
    <row r="309" spans="1:6">
      <c r="A309" s="19" t="s">
        <v>1172</v>
      </c>
      <c r="B309" s="12" t="str">
        <f t="shared" si="4"/>
        <v>081</v>
      </c>
      <c r="C309" s="1" t="s">
        <v>1173</v>
      </c>
      <c r="D309" s="13" t="str">
        <f>IF(RIGHT(A309,3)="000",C309,VLOOKUP(B309,'Справочник ИХ'!A:C,3,0))</f>
        <v>Лесные грузы</v>
      </c>
      <c r="E309" s="13">
        <f>IF(RIGHT(A309,3)="000","х",VLOOKUP(B309,'Справочник ИХ'!A:D,4,0))</f>
        <v>1</v>
      </c>
      <c r="F309" s="14" t="s">
        <v>1169</v>
      </c>
    </row>
    <row r="310" spans="1:6" ht="31.75">
      <c r="A310" s="19" t="s">
        <v>1174</v>
      </c>
      <c r="B310" s="12" t="str">
        <f t="shared" si="4"/>
        <v>081</v>
      </c>
      <c r="C310" s="1" t="s">
        <v>1175</v>
      </c>
      <c r="D310" s="13" t="str">
        <f>IF(RIGHT(A310,3)="000",C310,VLOOKUP(B310,'Справочник ИХ'!A:C,3,0))</f>
        <v>Лесные грузы</v>
      </c>
      <c r="E310" s="13">
        <f>IF(RIGHT(A310,3)="000","х",VLOOKUP(B310,'Справочник ИХ'!A:D,4,0))</f>
        <v>1</v>
      </c>
      <c r="F310" s="14" t="s">
        <v>1169</v>
      </c>
    </row>
    <row r="311" spans="1:6" ht="31.75">
      <c r="A311" s="19" t="s">
        <v>1176</v>
      </c>
      <c r="B311" s="12" t="str">
        <f t="shared" si="4"/>
        <v>081</v>
      </c>
      <c r="C311" s="1" t="s">
        <v>1177</v>
      </c>
      <c r="D311" s="13" t="str">
        <f>IF(RIGHT(A311,3)="000",C311,VLOOKUP(B311,'Справочник ИХ'!A:C,3,0))</f>
        <v>Лесные грузы</v>
      </c>
      <c r="E311" s="13">
        <f>IF(RIGHT(A311,3)="000","х",VLOOKUP(B311,'Справочник ИХ'!A:D,4,0))</f>
        <v>1</v>
      </c>
      <c r="F311" s="14" t="s">
        <v>1169</v>
      </c>
    </row>
    <row r="312" spans="1:6">
      <c r="A312" s="19" t="s">
        <v>1178</v>
      </c>
      <c r="B312" s="12" t="str">
        <f t="shared" si="4"/>
        <v>081</v>
      </c>
      <c r="C312" s="1" t="s">
        <v>1179</v>
      </c>
      <c r="D312" s="13" t="str">
        <f>IF(RIGHT(A312,3)="000",C312,VLOOKUP(B312,'Справочник ИХ'!A:C,3,0))</f>
        <v>Лесные грузы</v>
      </c>
      <c r="E312" s="13">
        <f>IF(RIGHT(A312,3)="000","х",VLOOKUP(B312,'Справочник ИХ'!A:D,4,0))</f>
        <v>1</v>
      </c>
      <c r="F312" s="14" t="s">
        <v>1169</v>
      </c>
    </row>
    <row r="313" spans="1:6">
      <c r="A313" s="19" t="s">
        <v>1180</v>
      </c>
      <c r="B313" s="12" t="str">
        <f t="shared" si="4"/>
        <v>081</v>
      </c>
      <c r="C313" s="1" t="s">
        <v>1181</v>
      </c>
      <c r="D313" s="13" t="str">
        <f>IF(RIGHT(A313,3)="000",C313,VLOOKUP(B313,'Справочник ИХ'!A:C,3,0))</f>
        <v>Лесные грузы</v>
      </c>
      <c r="E313" s="13">
        <f>IF(RIGHT(A313,3)="000","х",VLOOKUP(B313,'Справочник ИХ'!A:D,4,0))</f>
        <v>1</v>
      </c>
      <c r="F313" s="14" t="s">
        <v>1169</v>
      </c>
    </row>
    <row r="314" spans="1:6">
      <c r="A314" s="19" t="s">
        <v>1182</v>
      </c>
      <c r="B314" s="12" t="str">
        <f t="shared" si="4"/>
        <v>081</v>
      </c>
      <c r="C314" s="1" t="s">
        <v>1183</v>
      </c>
      <c r="D314" s="13" t="str">
        <f>IF(RIGHT(A314,3)="000",C314,VLOOKUP(B314,'Справочник ИХ'!A:C,3,0))</f>
        <v>Лесные грузы</v>
      </c>
      <c r="E314" s="13">
        <f>IF(RIGHT(A314,3)="000","х",VLOOKUP(B314,'Справочник ИХ'!A:D,4,0))</f>
        <v>1</v>
      </c>
      <c r="F314" s="14" t="s">
        <v>1169</v>
      </c>
    </row>
    <row r="315" spans="1:6">
      <c r="A315" s="19" t="s">
        <v>1184</v>
      </c>
      <c r="B315" s="12" t="str">
        <f t="shared" si="4"/>
        <v>081</v>
      </c>
      <c r="C315" s="1" t="s">
        <v>1185</v>
      </c>
      <c r="D315" s="13" t="str">
        <f>IF(RIGHT(A315,3)="000",C315,VLOOKUP(B315,'Справочник ИХ'!A:C,3,0))</f>
        <v>Лесные грузы</v>
      </c>
      <c r="E315" s="13">
        <f>IF(RIGHT(A315,3)="000","х",VLOOKUP(B315,'Справочник ИХ'!A:D,4,0))</f>
        <v>1</v>
      </c>
      <c r="F315" s="14" t="s">
        <v>1169</v>
      </c>
    </row>
    <row r="316" spans="1:6">
      <c r="A316" s="19" t="s">
        <v>1186</v>
      </c>
      <c r="B316" s="12" t="str">
        <f t="shared" si="4"/>
        <v>081</v>
      </c>
      <c r="C316" s="1" t="s">
        <v>1187</v>
      </c>
      <c r="D316" s="13" t="str">
        <f>IF(RIGHT(A316,3)="000",C316,VLOOKUP(B316,'Справочник ИХ'!A:C,3,0))</f>
        <v>Лесные грузы</v>
      </c>
      <c r="E316" s="13">
        <f>IF(RIGHT(A316,3)="000","х",VLOOKUP(B316,'Справочник ИХ'!A:D,4,0))</f>
        <v>1</v>
      </c>
      <c r="F316" s="14" t="s">
        <v>1169</v>
      </c>
    </row>
    <row r="317" spans="1:6" ht="31.75">
      <c r="A317" s="19" t="s">
        <v>1188</v>
      </c>
      <c r="B317" s="12" t="str">
        <f t="shared" si="4"/>
        <v>081</v>
      </c>
      <c r="C317" s="1" t="s">
        <v>1189</v>
      </c>
      <c r="D317" s="13" t="str">
        <f>IF(RIGHT(A317,3)="000",C317,VLOOKUP(B317,'Справочник ИХ'!A:C,3,0))</f>
        <v>Лесные грузы</v>
      </c>
      <c r="E317" s="13">
        <f>IF(RIGHT(A317,3)="000","х",VLOOKUP(B317,'Справочник ИХ'!A:D,4,0))</f>
        <v>1</v>
      </c>
      <c r="F317" s="14" t="s">
        <v>1169</v>
      </c>
    </row>
    <row r="318" spans="1:6" ht="31.75">
      <c r="A318" s="19" t="s">
        <v>1190</v>
      </c>
      <c r="B318" s="12" t="str">
        <f t="shared" si="4"/>
        <v>081</v>
      </c>
      <c r="C318" s="1" t="s">
        <v>1191</v>
      </c>
      <c r="D318" s="13" t="str">
        <f>IF(RIGHT(A318,3)="000",C318,VLOOKUP(B318,'Справочник ИХ'!A:C,3,0))</f>
        <v>Лесные грузы</v>
      </c>
      <c r="E318" s="13">
        <f>IF(RIGHT(A318,3)="000","х",VLOOKUP(B318,'Справочник ИХ'!A:D,4,0))</f>
        <v>1</v>
      </c>
      <c r="F318" s="14" t="s">
        <v>1169</v>
      </c>
    </row>
    <row r="319" spans="1:6">
      <c r="A319" s="19" t="s">
        <v>1192</v>
      </c>
      <c r="B319" s="12" t="str">
        <f t="shared" si="4"/>
        <v>081</v>
      </c>
      <c r="C319" s="1" t="s">
        <v>1193</v>
      </c>
      <c r="D319" s="13" t="str">
        <f>IF(RIGHT(A319,3)="000",C319,VLOOKUP(B319,'Справочник ИХ'!A:C,3,0))</f>
        <v>Лесные грузы</v>
      </c>
      <c r="E319" s="13">
        <f>IF(RIGHT(A319,3)="000","х",VLOOKUP(B319,'Справочник ИХ'!A:D,4,0))</f>
        <v>1</v>
      </c>
      <c r="F319" s="14" t="s">
        <v>1169</v>
      </c>
    </row>
    <row r="320" spans="1:6" ht="31.75">
      <c r="A320" s="19" t="s">
        <v>1194</v>
      </c>
      <c r="B320" s="12" t="str">
        <f t="shared" si="4"/>
        <v>081</v>
      </c>
      <c r="C320" s="1" t="s">
        <v>1195</v>
      </c>
      <c r="D320" s="13" t="str">
        <f>IF(RIGHT(A320,3)="000",C320,VLOOKUP(B320,'Справочник ИХ'!A:C,3,0))</f>
        <v>Лесные грузы</v>
      </c>
      <c r="E320" s="13">
        <f>IF(RIGHT(A320,3)="000","х",VLOOKUP(B320,'Справочник ИХ'!A:D,4,0))</f>
        <v>1</v>
      </c>
      <c r="F320" s="14" t="s">
        <v>1169</v>
      </c>
    </row>
    <row r="321" spans="1:6" ht="31.75">
      <c r="A321" s="19" t="s">
        <v>1196</v>
      </c>
      <c r="B321" s="12" t="str">
        <f t="shared" si="4"/>
        <v>081</v>
      </c>
      <c r="C321" s="1" t="s">
        <v>1197</v>
      </c>
      <c r="D321" s="13" t="str">
        <f>IF(RIGHT(A321,3)="000",C321,VLOOKUP(B321,'Справочник ИХ'!A:C,3,0))</f>
        <v>Лесные грузы</v>
      </c>
      <c r="E321" s="13">
        <f>IF(RIGHT(A321,3)="000","х",VLOOKUP(B321,'Справочник ИХ'!A:D,4,0))</f>
        <v>1</v>
      </c>
      <c r="F321" s="14" t="s">
        <v>1169</v>
      </c>
    </row>
    <row r="322" spans="1:6">
      <c r="A322" s="19" t="s">
        <v>1198</v>
      </c>
      <c r="B322" s="12" t="str">
        <f t="shared" si="4"/>
        <v>081</v>
      </c>
      <c r="C322" s="1" t="s">
        <v>1199</v>
      </c>
      <c r="D322" s="13" t="str">
        <f>IF(RIGHT(A322,3)="000",C322,VLOOKUP(B322,'Справочник ИХ'!A:C,3,0))</f>
        <v>Лесные грузы</v>
      </c>
      <c r="E322" s="13">
        <f>IF(RIGHT(A322,3)="000","х",VLOOKUP(B322,'Справочник ИХ'!A:D,4,0))</f>
        <v>1</v>
      </c>
      <c r="F322" s="14" t="s">
        <v>1169</v>
      </c>
    </row>
    <row r="323" spans="1:6">
      <c r="A323" s="19" t="s">
        <v>1200</v>
      </c>
      <c r="B323" s="12" t="str">
        <f t="shared" si="4"/>
        <v>081</v>
      </c>
      <c r="C323" s="1" t="s">
        <v>1201</v>
      </c>
      <c r="D323" s="13" t="str">
        <f>IF(RIGHT(A323,3)="000",C323,VLOOKUP(B323,'Справочник ИХ'!A:C,3,0))</f>
        <v>Лесные грузы</v>
      </c>
      <c r="E323" s="13">
        <f>IF(RIGHT(A323,3)="000","х",VLOOKUP(B323,'Справочник ИХ'!A:D,4,0))</f>
        <v>1</v>
      </c>
      <c r="F323" s="14" t="s">
        <v>1169</v>
      </c>
    </row>
    <row r="324" spans="1:6">
      <c r="A324" s="19" t="s">
        <v>1202</v>
      </c>
      <c r="B324" s="12" t="str">
        <f t="shared" ref="B324:B387" si="5">LEFT(A324,3)</f>
        <v>081</v>
      </c>
      <c r="C324" s="1" t="s">
        <v>1203</v>
      </c>
      <c r="D324" s="13" t="str">
        <f>IF(RIGHT(A324,3)="000",C324,VLOOKUP(B324,'Справочник ИХ'!A:C,3,0))</f>
        <v>Лесные грузы</v>
      </c>
      <c r="E324" s="13">
        <f>IF(RIGHT(A324,3)="000","х",VLOOKUP(B324,'Справочник ИХ'!A:D,4,0))</f>
        <v>1</v>
      </c>
      <c r="F324" s="14" t="s">
        <v>1169</v>
      </c>
    </row>
    <row r="325" spans="1:6">
      <c r="A325" s="19" t="s">
        <v>1204</v>
      </c>
      <c r="B325" s="12" t="str">
        <f t="shared" si="5"/>
        <v>081</v>
      </c>
      <c r="C325" s="1" t="s">
        <v>1205</v>
      </c>
      <c r="D325" s="13" t="str">
        <f>IF(RIGHT(A325,3)="000",C325,VLOOKUP(B325,'Справочник ИХ'!A:C,3,0))</f>
        <v>Лесные грузы</v>
      </c>
      <c r="E325" s="13">
        <f>IF(RIGHT(A325,3)="000","х",VLOOKUP(B325,'Справочник ИХ'!A:D,4,0))</f>
        <v>1</v>
      </c>
      <c r="F325" s="14" t="s">
        <v>1169</v>
      </c>
    </row>
    <row r="326" spans="1:6">
      <c r="A326" s="19" t="s">
        <v>1206</v>
      </c>
      <c r="B326" s="12" t="str">
        <f t="shared" si="5"/>
        <v>081</v>
      </c>
      <c r="C326" s="1" t="s">
        <v>1207</v>
      </c>
      <c r="D326" s="13" t="str">
        <f>IF(RIGHT(A326,3)="000",C326,VLOOKUP(B326,'Справочник ИХ'!A:C,3,0))</f>
        <v>Лесные грузы</v>
      </c>
      <c r="E326" s="13">
        <f>IF(RIGHT(A326,3)="000","х",VLOOKUP(B326,'Справочник ИХ'!A:D,4,0))</f>
        <v>1</v>
      </c>
      <c r="F326" s="14" t="s">
        <v>1169</v>
      </c>
    </row>
    <row r="327" spans="1:6" ht="31.75">
      <c r="A327" s="19" t="s">
        <v>1208</v>
      </c>
      <c r="B327" s="12" t="str">
        <f t="shared" si="5"/>
        <v>081</v>
      </c>
      <c r="C327" s="1" t="s">
        <v>1209</v>
      </c>
      <c r="D327" s="13" t="str">
        <f>IF(RIGHT(A327,3)="000",C327,VLOOKUP(B327,'Справочник ИХ'!A:C,3,0))</f>
        <v>Лесные грузы</v>
      </c>
      <c r="E327" s="13">
        <f>IF(RIGHT(A327,3)="000","х",VLOOKUP(B327,'Справочник ИХ'!A:D,4,0))</f>
        <v>1</v>
      </c>
      <c r="F327" s="14" t="s">
        <v>1169</v>
      </c>
    </row>
    <row r="328" spans="1:6">
      <c r="A328" s="19" t="s">
        <v>1210</v>
      </c>
      <c r="B328" s="12" t="str">
        <f t="shared" si="5"/>
        <v>081</v>
      </c>
      <c r="C328" s="1" t="s">
        <v>1211</v>
      </c>
      <c r="D328" s="13" t="str">
        <f>IF(RIGHT(A328,3)="000",C328,VLOOKUP(B328,'Справочник ИХ'!A:C,3,0))</f>
        <v>Лесные грузы</v>
      </c>
      <c r="E328" s="13">
        <f>IF(RIGHT(A328,3)="000","х",VLOOKUP(B328,'Справочник ИХ'!A:D,4,0))</f>
        <v>1</v>
      </c>
      <c r="F328" s="14" t="s">
        <v>1169</v>
      </c>
    </row>
    <row r="329" spans="1:6">
      <c r="A329" s="19" t="s">
        <v>1212</v>
      </c>
      <c r="B329" s="12" t="str">
        <f t="shared" si="5"/>
        <v>081</v>
      </c>
      <c r="C329" s="1" t="s">
        <v>1213</v>
      </c>
      <c r="D329" s="13" t="str">
        <f>IF(RIGHT(A329,3)="000",C329,VLOOKUP(B329,'Справочник ИХ'!A:C,3,0))</f>
        <v>Лесные грузы</v>
      </c>
      <c r="E329" s="13">
        <f>IF(RIGHT(A329,3)="000","х",VLOOKUP(B329,'Справочник ИХ'!A:D,4,0))</f>
        <v>1</v>
      </c>
      <c r="F329" s="14" t="s">
        <v>1169</v>
      </c>
    </row>
    <row r="330" spans="1:6">
      <c r="A330" s="19" t="s">
        <v>1214</v>
      </c>
      <c r="B330" s="12" t="str">
        <f t="shared" si="5"/>
        <v>081</v>
      </c>
      <c r="C330" s="1" t="s">
        <v>1215</v>
      </c>
      <c r="D330" s="13" t="str">
        <f>IF(RIGHT(A330,3)="000",C330,VLOOKUP(B330,'Справочник ИХ'!A:C,3,0))</f>
        <v>Лесные грузы</v>
      </c>
      <c r="E330" s="13">
        <f>IF(RIGHT(A330,3)="000","х",VLOOKUP(B330,'Справочник ИХ'!A:D,4,0))</f>
        <v>1</v>
      </c>
      <c r="F330" s="14" t="s">
        <v>1169</v>
      </c>
    </row>
    <row r="331" spans="1:6">
      <c r="A331" s="19" t="s">
        <v>1216</v>
      </c>
      <c r="B331" s="12" t="str">
        <f t="shared" si="5"/>
        <v>081</v>
      </c>
      <c r="C331" s="1" t="s">
        <v>1217</v>
      </c>
      <c r="D331" s="13" t="str">
        <f>IF(RIGHT(A331,3)="000",C331,VLOOKUP(B331,'Справочник ИХ'!A:C,3,0))</f>
        <v>Лесные грузы</v>
      </c>
      <c r="E331" s="13">
        <f>IF(RIGHT(A331,3)="000","х",VLOOKUP(B331,'Справочник ИХ'!A:D,4,0))</f>
        <v>1</v>
      </c>
      <c r="F331" s="14" t="s">
        <v>1169</v>
      </c>
    </row>
    <row r="332" spans="1:6" s="18" customFormat="1">
      <c r="A332" s="16" t="s">
        <v>1218</v>
      </c>
      <c r="B332" s="12" t="str">
        <f t="shared" si="5"/>
        <v>082</v>
      </c>
      <c r="C332" s="17" t="s">
        <v>1219</v>
      </c>
      <c r="D332" s="13" t="str">
        <f>IF(RIGHT(A332,3)="000",C332,VLOOKUP(B332,'Справочник ИХ'!A:C,3,0))</f>
        <v>Лесные грузы</v>
      </c>
      <c r="E332" s="13">
        <f>IF(RIGHT(A332,3)="000","х",VLOOKUP(B332,'Справочник ИХ'!A:D,4,0))</f>
        <v>1</v>
      </c>
      <c r="F332" s="14" t="s">
        <v>1169</v>
      </c>
    </row>
    <row r="333" spans="1:6">
      <c r="A333" s="19" t="s">
        <v>1220</v>
      </c>
      <c r="B333" s="12" t="str">
        <f t="shared" si="5"/>
        <v>082</v>
      </c>
      <c r="C333" s="1" t="s">
        <v>1221</v>
      </c>
      <c r="D333" s="13" t="str">
        <f>IF(RIGHT(A333,3)="000",C333,VLOOKUP(B333,'Справочник ИХ'!A:C,3,0))</f>
        <v>Лесные грузы</v>
      </c>
      <c r="E333" s="13">
        <f>IF(RIGHT(A333,3)="000","х",VLOOKUP(B333,'Справочник ИХ'!A:D,4,0))</f>
        <v>1</v>
      </c>
      <c r="F333" s="14" t="s">
        <v>1169</v>
      </c>
    </row>
    <row r="334" spans="1:6">
      <c r="A334" s="19" t="s">
        <v>1222</v>
      </c>
      <c r="B334" s="12" t="str">
        <f t="shared" si="5"/>
        <v>082</v>
      </c>
      <c r="C334" s="1" t="s">
        <v>1223</v>
      </c>
      <c r="D334" s="13" t="str">
        <f>IF(RIGHT(A334,3)="000",C334,VLOOKUP(B334,'Справочник ИХ'!A:C,3,0))</f>
        <v>Лесные грузы</v>
      </c>
      <c r="E334" s="13">
        <f>IF(RIGHT(A334,3)="000","х",VLOOKUP(B334,'Справочник ИХ'!A:D,4,0))</f>
        <v>1</v>
      </c>
      <c r="F334" s="14" t="s">
        <v>1169</v>
      </c>
    </row>
    <row r="335" spans="1:6" s="15" customFormat="1" ht="31.75">
      <c r="A335" s="7" t="s">
        <v>1224</v>
      </c>
      <c r="B335" s="12" t="str">
        <f t="shared" si="5"/>
        <v>090</v>
      </c>
      <c r="C335" s="11" t="s">
        <v>1225</v>
      </c>
      <c r="D335" s="13" t="str">
        <f>IF(RIGHT(A335,3)="000",C335,VLOOKUP(B335,'Справочник ИХ'!A:C,3,0))</f>
        <v xml:space="preserve">Продукция лесопильного и фанерного производства </v>
      </c>
      <c r="E335" s="13" t="str">
        <f>IF(RIGHT(A335,3)="000","х",VLOOKUP(B335,'Справочник ИХ'!A:D,4,0))</f>
        <v>х</v>
      </c>
      <c r="F335" s="14" t="s">
        <v>1225</v>
      </c>
    </row>
    <row r="336" spans="1:6" s="18" customFormat="1" ht="31.75">
      <c r="A336" s="16" t="s">
        <v>1226</v>
      </c>
      <c r="B336" s="12" t="str">
        <f t="shared" si="5"/>
        <v>091</v>
      </c>
      <c r="C336" s="17" t="s">
        <v>1227</v>
      </c>
      <c r="D336" s="13" t="str">
        <f>IF(RIGHT(A336,3)="000",C336,VLOOKUP(B336,'Справочник ИХ'!A:C,3,0))</f>
        <v>Лесные грузы</v>
      </c>
      <c r="E336" s="13">
        <f>IF(RIGHT(A336,3)="000","х",VLOOKUP(B336,'Справочник ИХ'!A:D,4,0))</f>
        <v>1</v>
      </c>
      <c r="F336" s="14" t="s">
        <v>1225</v>
      </c>
    </row>
    <row r="337" spans="1:6" ht="31.75">
      <c r="A337" s="19" t="s">
        <v>1228</v>
      </c>
      <c r="B337" s="12" t="str">
        <f t="shared" si="5"/>
        <v>091</v>
      </c>
      <c r="C337" s="1" t="s">
        <v>1229</v>
      </c>
      <c r="D337" s="13" t="str">
        <f>IF(RIGHT(A337,3)="000",C337,VLOOKUP(B337,'Справочник ИХ'!A:C,3,0))</f>
        <v>Лесные грузы</v>
      </c>
      <c r="E337" s="13">
        <f>IF(RIGHT(A337,3)="000","х",VLOOKUP(B337,'Справочник ИХ'!A:D,4,0))</f>
        <v>1</v>
      </c>
      <c r="F337" s="14" t="s">
        <v>1225</v>
      </c>
    </row>
    <row r="338" spans="1:6" ht="31.75">
      <c r="A338" s="19" t="s">
        <v>1230</v>
      </c>
      <c r="B338" s="12" t="str">
        <f t="shared" si="5"/>
        <v>091</v>
      </c>
      <c r="C338" s="1" t="s">
        <v>1231</v>
      </c>
      <c r="D338" s="13" t="str">
        <f>IF(RIGHT(A338,3)="000",C338,VLOOKUP(B338,'Справочник ИХ'!A:C,3,0))</f>
        <v>Лесные грузы</v>
      </c>
      <c r="E338" s="13">
        <f>IF(RIGHT(A338,3)="000","х",VLOOKUP(B338,'Справочник ИХ'!A:D,4,0))</f>
        <v>1</v>
      </c>
      <c r="F338" s="14" t="s">
        <v>1225</v>
      </c>
    </row>
    <row r="339" spans="1:6" ht="31.75">
      <c r="A339" s="19" t="s">
        <v>1232</v>
      </c>
      <c r="B339" s="12" t="str">
        <f t="shared" si="5"/>
        <v>091</v>
      </c>
      <c r="C339" s="1" t="s">
        <v>1233</v>
      </c>
      <c r="D339" s="13" t="str">
        <f>IF(RIGHT(A339,3)="000",C339,VLOOKUP(B339,'Справочник ИХ'!A:C,3,0))</f>
        <v>Лесные грузы</v>
      </c>
      <c r="E339" s="13">
        <f>IF(RIGHT(A339,3)="000","х",VLOOKUP(B339,'Справочник ИХ'!A:D,4,0))</f>
        <v>1</v>
      </c>
      <c r="F339" s="14" t="s">
        <v>1225</v>
      </c>
    </row>
    <row r="340" spans="1:6" ht="31.75">
      <c r="A340" s="19" t="s">
        <v>1234</v>
      </c>
      <c r="B340" s="12" t="str">
        <f t="shared" si="5"/>
        <v>091</v>
      </c>
      <c r="C340" s="1" t="s">
        <v>1235</v>
      </c>
      <c r="D340" s="13" t="str">
        <f>IF(RIGHT(A340,3)="000",C340,VLOOKUP(B340,'Справочник ИХ'!A:C,3,0))</f>
        <v>Лесные грузы</v>
      </c>
      <c r="E340" s="13">
        <f>IF(RIGHT(A340,3)="000","х",VLOOKUP(B340,'Справочник ИХ'!A:D,4,0))</f>
        <v>1</v>
      </c>
      <c r="F340" s="14" t="s">
        <v>1225</v>
      </c>
    </row>
    <row r="341" spans="1:6" ht="31.75">
      <c r="A341" s="19" t="s">
        <v>1236</v>
      </c>
      <c r="B341" s="12" t="str">
        <f t="shared" si="5"/>
        <v>091</v>
      </c>
      <c r="C341" s="1" t="s">
        <v>1237</v>
      </c>
      <c r="D341" s="13" t="str">
        <f>IF(RIGHT(A341,3)="000",C341,VLOOKUP(B341,'Справочник ИХ'!A:C,3,0))</f>
        <v>Лесные грузы</v>
      </c>
      <c r="E341" s="13">
        <f>IF(RIGHT(A341,3)="000","х",VLOOKUP(B341,'Справочник ИХ'!A:D,4,0))</f>
        <v>1</v>
      </c>
      <c r="F341" s="14" t="s">
        <v>1225</v>
      </c>
    </row>
    <row r="342" spans="1:6" ht="31.75">
      <c r="A342" s="19" t="s">
        <v>1238</v>
      </c>
      <c r="B342" s="12" t="str">
        <f t="shared" si="5"/>
        <v>091</v>
      </c>
      <c r="C342" s="1" t="s">
        <v>1239</v>
      </c>
      <c r="D342" s="13" t="str">
        <f>IF(RIGHT(A342,3)="000",C342,VLOOKUP(B342,'Справочник ИХ'!A:C,3,0))</f>
        <v>Лесные грузы</v>
      </c>
      <c r="E342" s="13">
        <f>IF(RIGHT(A342,3)="000","х",VLOOKUP(B342,'Справочник ИХ'!A:D,4,0))</f>
        <v>1</v>
      </c>
      <c r="F342" s="14" t="s">
        <v>1225</v>
      </c>
    </row>
    <row r="343" spans="1:6" ht="31.75">
      <c r="A343" s="19" t="s">
        <v>1240</v>
      </c>
      <c r="B343" s="12" t="str">
        <f t="shared" si="5"/>
        <v>091</v>
      </c>
      <c r="C343" s="1" t="s">
        <v>1241</v>
      </c>
      <c r="D343" s="13" t="str">
        <f>IF(RIGHT(A343,3)="000",C343,VLOOKUP(B343,'Справочник ИХ'!A:C,3,0))</f>
        <v>Лесные грузы</v>
      </c>
      <c r="E343" s="13">
        <f>IF(RIGHT(A343,3)="000","х",VLOOKUP(B343,'Справочник ИХ'!A:D,4,0))</f>
        <v>1</v>
      </c>
      <c r="F343" s="14" t="s">
        <v>1225</v>
      </c>
    </row>
    <row r="344" spans="1:6" ht="31.75">
      <c r="A344" s="19" t="s">
        <v>1242</v>
      </c>
      <c r="B344" s="12" t="str">
        <f t="shared" si="5"/>
        <v>091</v>
      </c>
      <c r="C344" s="1" t="s">
        <v>1243</v>
      </c>
      <c r="D344" s="13" t="str">
        <f>IF(RIGHT(A344,3)="000",C344,VLOOKUP(B344,'Справочник ИХ'!A:C,3,0))</f>
        <v>Лесные грузы</v>
      </c>
      <c r="E344" s="13">
        <f>IF(RIGHT(A344,3)="000","х",VLOOKUP(B344,'Справочник ИХ'!A:D,4,0))</f>
        <v>1</v>
      </c>
      <c r="F344" s="14" t="s">
        <v>1225</v>
      </c>
    </row>
    <row r="345" spans="1:6" ht="31.75">
      <c r="A345" s="19" t="s">
        <v>1244</v>
      </c>
      <c r="B345" s="12" t="str">
        <f t="shared" si="5"/>
        <v>091</v>
      </c>
      <c r="C345" s="1" t="s">
        <v>1245</v>
      </c>
      <c r="D345" s="13" t="str">
        <f>IF(RIGHT(A345,3)="000",C345,VLOOKUP(B345,'Справочник ИХ'!A:C,3,0))</f>
        <v>Лесные грузы</v>
      </c>
      <c r="E345" s="13">
        <f>IF(RIGHT(A345,3)="000","х",VLOOKUP(B345,'Справочник ИХ'!A:D,4,0))</f>
        <v>1</v>
      </c>
      <c r="F345" s="14" t="s">
        <v>1225</v>
      </c>
    </row>
    <row r="346" spans="1:6" ht="31.75">
      <c r="A346" s="19" t="s">
        <v>1246</v>
      </c>
      <c r="B346" s="12" t="str">
        <f t="shared" si="5"/>
        <v>091</v>
      </c>
      <c r="C346" s="1" t="s">
        <v>1247</v>
      </c>
      <c r="D346" s="13" t="str">
        <f>IF(RIGHT(A346,3)="000",C346,VLOOKUP(B346,'Справочник ИХ'!A:C,3,0))</f>
        <v>Лесные грузы</v>
      </c>
      <c r="E346" s="13">
        <f>IF(RIGHT(A346,3)="000","х",VLOOKUP(B346,'Справочник ИХ'!A:D,4,0))</f>
        <v>1</v>
      </c>
      <c r="F346" s="14" t="s">
        <v>1225</v>
      </c>
    </row>
    <row r="347" spans="1:6" ht="31.75">
      <c r="A347" s="19" t="s">
        <v>1248</v>
      </c>
      <c r="B347" s="12" t="str">
        <f t="shared" si="5"/>
        <v>091</v>
      </c>
      <c r="C347" s="1" t="s">
        <v>1249</v>
      </c>
      <c r="D347" s="13" t="str">
        <f>IF(RIGHT(A347,3)="000",C347,VLOOKUP(B347,'Справочник ИХ'!A:C,3,0))</f>
        <v>Лесные грузы</v>
      </c>
      <c r="E347" s="13">
        <f>IF(RIGHT(A347,3)="000","х",VLOOKUP(B347,'Справочник ИХ'!A:D,4,0))</f>
        <v>1</v>
      </c>
      <c r="F347" s="14" t="s">
        <v>1225</v>
      </c>
    </row>
    <row r="348" spans="1:6" ht="31.75">
      <c r="A348" s="19" t="s">
        <v>1250</v>
      </c>
      <c r="B348" s="12" t="str">
        <f t="shared" si="5"/>
        <v>091</v>
      </c>
      <c r="C348" s="1" t="s">
        <v>1251</v>
      </c>
      <c r="D348" s="13" t="str">
        <f>IF(RIGHT(A348,3)="000",C348,VLOOKUP(B348,'Справочник ИХ'!A:C,3,0))</f>
        <v>Лесные грузы</v>
      </c>
      <c r="E348" s="13">
        <f>IF(RIGHT(A348,3)="000","х",VLOOKUP(B348,'Справочник ИХ'!A:D,4,0))</f>
        <v>1</v>
      </c>
      <c r="F348" s="14" t="s">
        <v>1225</v>
      </c>
    </row>
    <row r="349" spans="1:6" ht="31.75">
      <c r="A349" s="19" t="s">
        <v>1252</v>
      </c>
      <c r="B349" s="12" t="str">
        <f t="shared" si="5"/>
        <v>091</v>
      </c>
      <c r="C349" s="1" t="s">
        <v>1253</v>
      </c>
      <c r="D349" s="13" t="str">
        <f>IF(RIGHT(A349,3)="000",C349,VLOOKUP(B349,'Справочник ИХ'!A:C,3,0))</f>
        <v>Лесные грузы</v>
      </c>
      <c r="E349" s="13">
        <f>IF(RIGHT(A349,3)="000","х",VLOOKUP(B349,'Справочник ИХ'!A:D,4,0))</f>
        <v>1</v>
      </c>
      <c r="F349" s="14" t="s">
        <v>1225</v>
      </c>
    </row>
    <row r="350" spans="1:6" ht="31.75">
      <c r="A350" s="19" t="s">
        <v>1254</v>
      </c>
      <c r="B350" s="12" t="str">
        <f t="shared" si="5"/>
        <v>091</v>
      </c>
      <c r="C350" s="1" t="s">
        <v>1255</v>
      </c>
      <c r="D350" s="13" t="str">
        <f>IF(RIGHT(A350,3)="000",C350,VLOOKUP(B350,'Справочник ИХ'!A:C,3,0))</f>
        <v>Лесные грузы</v>
      </c>
      <c r="E350" s="13">
        <f>IF(RIGHT(A350,3)="000","х",VLOOKUP(B350,'Справочник ИХ'!A:D,4,0))</f>
        <v>1</v>
      </c>
      <c r="F350" s="14" t="s">
        <v>1225</v>
      </c>
    </row>
    <row r="351" spans="1:6" s="18" customFormat="1" ht="31.75">
      <c r="A351" s="16" t="s">
        <v>1256</v>
      </c>
      <c r="B351" s="12" t="str">
        <f t="shared" si="5"/>
        <v>092</v>
      </c>
      <c r="C351" s="17" t="s">
        <v>1257</v>
      </c>
      <c r="D351" s="13" t="str">
        <f>IF(RIGHT(A351,3)="000",C351,VLOOKUP(B351,'Справочник ИХ'!A:C,3,0))</f>
        <v>Лесные грузы</v>
      </c>
      <c r="E351" s="13">
        <f>IF(RIGHT(A351,3)="000","х",VLOOKUP(B351,'Справочник ИХ'!A:D,4,0))</f>
        <v>3</v>
      </c>
      <c r="F351" s="14" t="s">
        <v>1225</v>
      </c>
    </row>
    <row r="352" spans="1:6" ht="31.75">
      <c r="A352" s="19" t="s">
        <v>1258</v>
      </c>
      <c r="B352" s="12" t="str">
        <f t="shared" si="5"/>
        <v>092</v>
      </c>
      <c r="C352" s="1" t="s">
        <v>1259</v>
      </c>
      <c r="D352" s="13" t="str">
        <f>IF(RIGHT(A352,3)="000",C352,VLOOKUP(B352,'Справочник ИХ'!A:C,3,0))</f>
        <v>Лесные грузы</v>
      </c>
      <c r="E352" s="13">
        <f>IF(RIGHT(A352,3)="000","х",VLOOKUP(B352,'Справочник ИХ'!A:D,4,0))</f>
        <v>3</v>
      </c>
      <c r="F352" s="14" t="s">
        <v>1225</v>
      </c>
    </row>
    <row r="353" spans="1:6" ht="31.75">
      <c r="A353" s="19" t="s">
        <v>1260</v>
      </c>
      <c r="B353" s="12" t="str">
        <f t="shared" si="5"/>
        <v>092</v>
      </c>
      <c r="C353" s="1" t="s">
        <v>1261</v>
      </c>
      <c r="D353" s="13" t="str">
        <f>IF(RIGHT(A353,3)="000",C353,VLOOKUP(B353,'Справочник ИХ'!A:C,3,0))</f>
        <v>Лесные грузы</v>
      </c>
      <c r="E353" s="13">
        <f>IF(RIGHT(A353,3)="000","х",VLOOKUP(B353,'Справочник ИХ'!A:D,4,0))</f>
        <v>3</v>
      </c>
      <c r="F353" s="14" t="s">
        <v>1225</v>
      </c>
    </row>
    <row r="354" spans="1:6" ht="31.75">
      <c r="A354" s="19" t="s">
        <v>1262</v>
      </c>
      <c r="B354" s="12" t="str">
        <f t="shared" si="5"/>
        <v>092</v>
      </c>
      <c r="C354" s="1" t="s">
        <v>1263</v>
      </c>
      <c r="D354" s="13" t="str">
        <f>IF(RIGHT(A354,3)="000",C354,VLOOKUP(B354,'Справочник ИХ'!A:C,3,0))</f>
        <v>Лесные грузы</v>
      </c>
      <c r="E354" s="13">
        <f>IF(RIGHT(A354,3)="000","х",VLOOKUP(B354,'Справочник ИХ'!A:D,4,0))</f>
        <v>3</v>
      </c>
      <c r="F354" s="14" t="s">
        <v>1225</v>
      </c>
    </row>
    <row r="355" spans="1:6" ht="31.75">
      <c r="A355" s="19" t="s">
        <v>1264</v>
      </c>
      <c r="B355" s="12" t="str">
        <f t="shared" si="5"/>
        <v>092</v>
      </c>
      <c r="C355" s="1" t="s">
        <v>1265</v>
      </c>
      <c r="D355" s="13" t="str">
        <f>IF(RIGHT(A355,3)="000",C355,VLOOKUP(B355,'Справочник ИХ'!A:C,3,0))</f>
        <v>Лесные грузы</v>
      </c>
      <c r="E355" s="13">
        <f>IF(RIGHT(A355,3)="000","х",VLOOKUP(B355,'Справочник ИХ'!A:D,4,0))</f>
        <v>3</v>
      </c>
      <c r="F355" s="14" t="s">
        <v>1225</v>
      </c>
    </row>
    <row r="356" spans="1:6" ht="31.75">
      <c r="A356" s="19" t="s">
        <v>1266</v>
      </c>
      <c r="B356" s="12" t="str">
        <f t="shared" si="5"/>
        <v>092</v>
      </c>
      <c r="C356" s="1" t="s">
        <v>1267</v>
      </c>
      <c r="D356" s="13" t="str">
        <f>IF(RIGHT(A356,3)="000",C356,VLOOKUP(B356,'Справочник ИХ'!A:C,3,0))</f>
        <v>Лесные грузы</v>
      </c>
      <c r="E356" s="13">
        <f>IF(RIGHT(A356,3)="000","х",VLOOKUP(B356,'Справочник ИХ'!A:D,4,0))</f>
        <v>3</v>
      </c>
      <c r="F356" s="14" t="s">
        <v>1225</v>
      </c>
    </row>
    <row r="357" spans="1:6" s="18" customFormat="1" ht="31.75">
      <c r="A357" s="16" t="s">
        <v>1268</v>
      </c>
      <c r="B357" s="12" t="str">
        <f t="shared" si="5"/>
        <v>093</v>
      </c>
      <c r="C357" s="17" t="s">
        <v>1269</v>
      </c>
      <c r="D357" s="13" t="str">
        <f>IF(RIGHT(A357,3)="000",C357,VLOOKUP(B357,'Справочник ИХ'!A:C,3,0))</f>
        <v>Лесные грузы</v>
      </c>
      <c r="E357" s="13">
        <f>IF(RIGHT(A357,3)="000","х",VLOOKUP(B357,'Справочник ИХ'!A:D,4,0))</f>
        <v>3</v>
      </c>
      <c r="F357" s="14" t="s">
        <v>1225</v>
      </c>
    </row>
    <row r="358" spans="1:6" ht="31.75">
      <c r="A358" s="19" t="s">
        <v>1270</v>
      </c>
      <c r="B358" s="12" t="str">
        <f t="shared" si="5"/>
        <v>093</v>
      </c>
      <c r="C358" s="1" t="s">
        <v>1271</v>
      </c>
      <c r="D358" s="13" t="str">
        <f>IF(RIGHT(A358,3)="000",C358,VLOOKUP(B358,'Справочник ИХ'!A:C,3,0))</f>
        <v>Лесные грузы</v>
      </c>
      <c r="E358" s="13">
        <f>IF(RIGHT(A358,3)="000","х",VLOOKUP(B358,'Справочник ИХ'!A:D,4,0))</f>
        <v>3</v>
      </c>
      <c r="F358" s="14" t="s">
        <v>1225</v>
      </c>
    </row>
    <row r="359" spans="1:6" ht="31.75">
      <c r="A359" s="19" t="s">
        <v>1272</v>
      </c>
      <c r="B359" s="12" t="str">
        <f t="shared" si="5"/>
        <v>093</v>
      </c>
      <c r="C359" s="1" t="s">
        <v>1273</v>
      </c>
      <c r="D359" s="13" t="str">
        <f>IF(RIGHT(A359,3)="000",C359,VLOOKUP(B359,'Справочник ИХ'!A:C,3,0))</f>
        <v>Лесные грузы</v>
      </c>
      <c r="E359" s="13">
        <f>IF(RIGHT(A359,3)="000","х",VLOOKUP(B359,'Справочник ИХ'!A:D,4,0))</f>
        <v>3</v>
      </c>
      <c r="F359" s="14" t="s">
        <v>1225</v>
      </c>
    </row>
    <row r="360" spans="1:6" ht="31.75">
      <c r="A360" s="19" t="s">
        <v>1274</v>
      </c>
      <c r="B360" s="12" t="str">
        <f t="shared" si="5"/>
        <v>093</v>
      </c>
      <c r="C360" s="1" t="s">
        <v>1275</v>
      </c>
      <c r="D360" s="13" t="str">
        <f>IF(RIGHT(A360,3)="000",C360,VLOOKUP(B360,'Справочник ИХ'!A:C,3,0))</f>
        <v>Лесные грузы</v>
      </c>
      <c r="E360" s="13">
        <f>IF(RIGHT(A360,3)="000","х",VLOOKUP(B360,'Справочник ИХ'!A:D,4,0))</f>
        <v>3</v>
      </c>
      <c r="F360" s="14" t="s">
        <v>1225</v>
      </c>
    </row>
    <row r="361" spans="1:6" ht="31.75">
      <c r="A361" s="19" t="s">
        <v>1276</v>
      </c>
      <c r="B361" s="12" t="str">
        <f t="shared" si="5"/>
        <v>093</v>
      </c>
      <c r="C361" s="1" t="s">
        <v>1277</v>
      </c>
      <c r="D361" s="13" t="str">
        <f>IF(RIGHT(A361,3)="000",C361,VLOOKUP(B361,'Справочник ИХ'!A:C,3,0))</f>
        <v>Лесные грузы</v>
      </c>
      <c r="E361" s="13">
        <f>IF(RIGHT(A361,3)="000","х",VLOOKUP(B361,'Справочник ИХ'!A:D,4,0))</f>
        <v>3</v>
      </c>
      <c r="F361" s="14" t="s">
        <v>1225</v>
      </c>
    </row>
    <row r="362" spans="1:6" s="18" customFormat="1" ht="31.75">
      <c r="A362" s="16" t="s">
        <v>1278</v>
      </c>
      <c r="B362" s="12" t="str">
        <f t="shared" si="5"/>
        <v>094</v>
      </c>
      <c r="C362" s="17" t="s">
        <v>1279</v>
      </c>
      <c r="D362" s="13" t="str">
        <f>IF(RIGHT(A362,3)="000",C362,VLOOKUP(B362,'Справочник ИХ'!A:C,3,0))</f>
        <v>Лесные грузы</v>
      </c>
      <c r="E362" s="13">
        <f>IF(RIGHT(A362,3)="000","х",VLOOKUP(B362,'Справочник ИХ'!A:D,4,0))</f>
        <v>3</v>
      </c>
      <c r="F362" s="14" t="s">
        <v>1225</v>
      </c>
    </row>
    <row r="363" spans="1:6" ht="31.75">
      <c r="A363" s="19" t="s">
        <v>1280</v>
      </c>
      <c r="B363" s="12" t="str">
        <f t="shared" si="5"/>
        <v>094</v>
      </c>
      <c r="C363" s="1" t="s">
        <v>1281</v>
      </c>
      <c r="D363" s="13" t="str">
        <f>IF(RIGHT(A363,3)="000",C363,VLOOKUP(B363,'Справочник ИХ'!A:C,3,0))</f>
        <v>Лесные грузы</v>
      </c>
      <c r="E363" s="13">
        <f>IF(RIGHT(A363,3)="000","х",VLOOKUP(B363,'Справочник ИХ'!A:D,4,0))</f>
        <v>3</v>
      </c>
      <c r="F363" s="14" t="s">
        <v>1225</v>
      </c>
    </row>
    <row r="364" spans="1:6" ht="31.75">
      <c r="A364" s="19" t="s">
        <v>1282</v>
      </c>
      <c r="B364" s="12" t="str">
        <f t="shared" si="5"/>
        <v>094</v>
      </c>
      <c r="C364" s="1" t="s">
        <v>1283</v>
      </c>
      <c r="D364" s="13" t="str">
        <f>IF(RIGHT(A364,3)="000",C364,VLOOKUP(B364,'Справочник ИХ'!A:C,3,0))</f>
        <v>Лесные грузы</v>
      </c>
      <c r="E364" s="13">
        <f>IF(RIGHT(A364,3)="000","х",VLOOKUP(B364,'Справочник ИХ'!A:D,4,0))</f>
        <v>3</v>
      </c>
      <c r="F364" s="14" t="s">
        <v>1225</v>
      </c>
    </row>
    <row r="365" spans="1:6" ht="31.75">
      <c r="A365" s="19" t="s">
        <v>1284</v>
      </c>
      <c r="B365" s="12" t="str">
        <f t="shared" si="5"/>
        <v>094</v>
      </c>
      <c r="C365" s="1" t="s">
        <v>1285</v>
      </c>
      <c r="D365" s="13" t="str">
        <f>IF(RIGHT(A365,3)="000",C365,VLOOKUP(B365,'Справочник ИХ'!A:C,3,0))</f>
        <v>Лесные грузы</v>
      </c>
      <c r="E365" s="13">
        <f>IF(RIGHT(A365,3)="000","х",VLOOKUP(B365,'Справочник ИХ'!A:D,4,0))</f>
        <v>3</v>
      </c>
      <c r="F365" s="14" t="s">
        <v>1225</v>
      </c>
    </row>
    <row r="366" spans="1:6" ht="31.75">
      <c r="A366" s="19" t="s">
        <v>1286</v>
      </c>
      <c r="B366" s="12" t="str">
        <f t="shared" si="5"/>
        <v>094</v>
      </c>
      <c r="C366" s="1" t="s">
        <v>1287</v>
      </c>
      <c r="D366" s="13" t="str">
        <f>IF(RIGHT(A366,3)="000",C366,VLOOKUP(B366,'Справочник ИХ'!A:C,3,0))</f>
        <v>Лесные грузы</v>
      </c>
      <c r="E366" s="13">
        <f>IF(RIGHT(A366,3)="000","х",VLOOKUP(B366,'Справочник ИХ'!A:D,4,0))</f>
        <v>3</v>
      </c>
      <c r="F366" s="14" t="s">
        <v>1225</v>
      </c>
    </row>
    <row r="367" spans="1:6" ht="31.75">
      <c r="A367" s="19" t="s">
        <v>1288</v>
      </c>
      <c r="B367" s="12" t="str">
        <f t="shared" si="5"/>
        <v>094</v>
      </c>
      <c r="C367" s="1" t="s">
        <v>1289</v>
      </c>
      <c r="D367" s="13" t="str">
        <f>IF(RIGHT(A367,3)="000",C367,VLOOKUP(B367,'Справочник ИХ'!A:C,3,0))</f>
        <v>Лесные грузы</v>
      </c>
      <c r="E367" s="13">
        <f>IF(RIGHT(A367,3)="000","х",VLOOKUP(B367,'Справочник ИХ'!A:D,4,0))</f>
        <v>3</v>
      </c>
      <c r="F367" s="14" t="s">
        <v>1225</v>
      </c>
    </row>
    <row r="368" spans="1:6" ht="31.75">
      <c r="A368" s="19" t="s">
        <v>1290</v>
      </c>
      <c r="B368" s="12" t="str">
        <f t="shared" si="5"/>
        <v>094</v>
      </c>
      <c r="C368" s="1" t="s">
        <v>1291</v>
      </c>
      <c r="D368" s="13" t="str">
        <f>IF(RIGHT(A368,3)="000",C368,VLOOKUP(B368,'Справочник ИХ'!A:C,3,0))</f>
        <v>Лесные грузы</v>
      </c>
      <c r="E368" s="13">
        <f>IF(RIGHT(A368,3)="000","х",VLOOKUP(B368,'Справочник ИХ'!A:D,4,0))</f>
        <v>3</v>
      </c>
      <c r="F368" s="14" t="s">
        <v>1225</v>
      </c>
    </row>
    <row r="369" spans="1:6" ht="31.75">
      <c r="A369" s="19" t="s">
        <v>1292</v>
      </c>
      <c r="B369" s="12" t="str">
        <f t="shared" si="5"/>
        <v>094</v>
      </c>
      <c r="C369" s="1" t="s">
        <v>1293</v>
      </c>
      <c r="D369" s="13" t="str">
        <f>IF(RIGHT(A369,3)="000",C369,VLOOKUP(B369,'Справочник ИХ'!A:C,3,0))</f>
        <v>Лесные грузы</v>
      </c>
      <c r="E369" s="13">
        <f>IF(RIGHT(A369,3)="000","х",VLOOKUP(B369,'Справочник ИХ'!A:D,4,0))</f>
        <v>3</v>
      </c>
      <c r="F369" s="14" t="s">
        <v>1225</v>
      </c>
    </row>
    <row r="370" spans="1:6" ht="31.75">
      <c r="A370" s="19" t="s">
        <v>1294</v>
      </c>
      <c r="B370" s="12" t="str">
        <f t="shared" si="5"/>
        <v>094</v>
      </c>
      <c r="C370" s="1" t="s">
        <v>1295</v>
      </c>
      <c r="D370" s="13" t="str">
        <f>IF(RIGHT(A370,3)="000",C370,VLOOKUP(B370,'Справочник ИХ'!A:C,3,0))</f>
        <v>Лесные грузы</v>
      </c>
      <c r="E370" s="13">
        <f>IF(RIGHT(A370,3)="000","х",VLOOKUP(B370,'Справочник ИХ'!A:D,4,0))</f>
        <v>3</v>
      </c>
      <c r="F370" s="14" t="s">
        <v>1225</v>
      </c>
    </row>
    <row r="371" spans="1:6" ht="31.75">
      <c r="A371" s="19" t="s">
        <v>1296</v>
      </c>
      <c r="B371" s="12" t="str">
        <f t="shared" si="5"/>
        <v>094</v>
      </c>
      <c r="C371" s="1" t="s">
        <v>1297</v>
      </c>
      <c r="D371" s="13" t="str">
        <f>IF(RIGHT(A371,3)="000",C371,VLOOKUP(B371,'Справочник ИХ'!A:C,3,0))</f>
        <v>Лесные грузы</v>
      </c>
      <c r="E371" s="13">
        <f>IF(RIGHT(A371,3)="000","х",VLOOKUP(B371,'Справочник ИХ'!A:D,4,0))</f>
        <v>3</v>
      </c>
      <c r="F371" s="14" t="s">
        <v>1225</v>
      </c>
    </row>
    <row r="372" spans="1:6" ht="31.75">
      <c r="A372" s="19" t="s">
        <v>1298</v>
      </c>
      <c r="B372" s="12" t="str">
        <f t="shared" si="5"/>
        <v>094</v>
      </c>
      <c r="C372" s="1" t="s">
        <v>1299</v>
      </c>
      <c r="D372" s="13" t="str">
        <f>IF(RIGHT(A372,3)="000",C372,VLOOKUP(B372,'Справочник ИХ'!A:C,3,0))</f>
        <v>Лесные грузы</v>
      </c>
      <c r="E372" s="13">
        <f>IF(RIGHT(A372,3)="000","х",VLOOKUP(B372,'Справочник ИХ'!A:D,4,0))</f>
        <v>3</v>
      </c>
      <c r="F372" s="14" t="s">
        <v>1225</v>
      </c>
    </row>
    <row r="373" spans="1:6" s="15" customFormat="1" ht="63.45">
      <c r="A373" s="7">
        <v>10000</v>
      </c>
      <c r="B373" s="12" t="str">
        <f t="shared" si="5"/>
        <v>100</v>
      </c>
      <c r="C373" s="11" t="s">
        <v>1300</v>
      </c>
      <c r="D373" s="13" t="str">
        <f>IF(RIGHT(A373,3)="000",C373,VLOOKUP(B373,'Справочник ИХ'!A:C,3,0))</f>
        <v xml:space="preserve">Дрова, древесина дровяная для технологических нужд, древесина измельченная </v>
      </c>
      <c r="E373" s="13" t="str">
        <f>IF(RIGHT(A373,3)="000","х",VLOOKUP(B373,'Справочник ИХ'!A:D,4,0))</f>
        <v>х</v>
      </c>
      <c r="F373" s="14" t="s">
        <v>1300</v>
      </c>
    </row>
    <row r="374" spans="1:6" s="18" customFormat="1" ht="47.6">
      <c r="A374" s="16">
        <v>10100</v>
      </c>
      <c r="B374" s="12" t="str">
        <f t="shared" si="5"/>
        <v>101</v>
      </c>
      <c r="C374" s="17" t="s">
        <v>1301</v>
      </c>
      <c r="D374" s="13" t="str">
        <f>IF(RIGHT(A374,3)="000",C374,VLOOKUP(B374,'Справочник ИХ'!A:C,3,0))</f>
        <v>Лесные грузы</v>
      </c>
      <c r="E374" s="13">
        <f>IF(RIGHT(A374,3)="000","х",VLOOKUP(B374,'Справочник ИХ'!A:D,4,0))</f>
        <v>1</v>
      </c>
      <c r="F374" s="14" t="s">
        <v>1300</v>
      </c>
    </row>
    <row r="375" spans="1:6" ht="47.6">
      <c r="A375" s="19">
        <v>10101</v>
      </c>
      <c r="B375" s="12" t="str">
        <f t="shared" si="5"/>
        <v>101</v>
      </c>
      <c r="C375" s="1" t="s">
        <v>1302</v>
      </c>
      <c r="D375" s="13" t="str">
        <f>IF(RIGHT(A375,3)="000",C375,VLOOKUP(B375,'Справочник ИХ'!A:C,3,0))</f>
        <v>Лесные грузы</v>
      </c>
      <c r="E375" s="13">
        <f>IF(RIGHT(A375,3)="000","х",VLOOKUP(B375,'Справочник ИХ'!A:D,4,0))</f>
        <v>1</v>
      </c>
      <c r="F375" s="14" t="s">
        <v>1300</v>
      </c>
    </row>
    <row r="376" spans="1:6" ht="47.6">
      <c r="A376" s="19">
        <v>10102</v>
      </c>
      <c r="B376" s="12" t="str">
        <f t="shared" si="5"/>
        <v>101</v>
      </c>
      <c r="C376" s="1" t="s">
        <v>1303</v>
      </c>
      <c r="D376" s="13" t="str">
        <f>IF(RIGHT(A376,3)="000",C376,VLOOKUP(B376,'Справочник ИХ'!A:C,3,0))</f>
        <v>Лесные грузы</v>
      </c>
      <c r="E376" s="13">
        <f>IF(RIGHT(A376,3)="000","х",VLOOKUP(B376,'Справочник ИХ'!A:D,4,0))</f>
        <v>1</v>
      </c>
      <c r="F376" s="14" t="s">
        <v>1300</v>
      </c>
    </row>
    <row r="377" spans="1:6" ht="47.6">
      <c r="A377" s="19">
        <v>10103</v>
      </c>
      <c r="B377" s="12" t="str">
        <f t="shared" si="5"/>
        <v>101</v>
      </c>
      <c r="C377" s="1" t="s">
        <v>1304</v>
      </c>
      <c r="D377" s="13" t="str">
        <f>IF(RIGHT(A377,3)="000",C377,VLOOKUP(B377,'Справочник ИХ'!A:C,3,0))</f>
        <v>Лесные грузы</v>
      </c>
      <c r="E377" s="13">
        <f>IF(RIGHT(A377,3)="000","х",VLOOKUP(B377,'Справочник ИХ'!A:D,4,0))</f>
        <v>1</v>
      </c>
      <c r="F377" s="14" t="s">
        <v>1300</v>
      </c>
    </row>
    <row r="378" spans="1:6" ht="47.6">
      <c r="A378" s="19">
        <v>10104</v>
      </c>
      <c r="B378" s="12" t="str">
        <f t="shared" si="5"/>
        <v>101</v>
      </c>
      <c r="C378" s="1" t="s">
        <v>1305</v>
      </c>
      <c r="D378" s="13" t="str">
        <f>IF(RIGHT(A378,3)="000",C378,VLOOKUP(B378,'Справочник ИХ'!A:C,3,0))</f>
        <v>Лесные грузы</v>
      </c>
      <c r="E378" s="13">
        <f>IF(RIGHT(A378,3)="000","х",VLOOKUP(B378,'Справочник ИХ'!A:D,4,0))</f>
        <v>1</v>
      </c>
      <c r="F378" s="14" t="s">
        <v>1300</v>
      </c>
    </row>
    <row r="379" spans="1:6" s="18" customFormat="1" ht="47.6">
      <c r="A379" s="16">
        <v>10200</v>
      </c>
      <c r="B379" s="12" t="str">
        <f t="shared" si="5"/>
        <v>102</v>
      </c>
      <c r="C379" s="17" t="s">
        <v>1306</v>
      </c>
      <c r="D379" s="13" t="str">
        <f>IF(RIGHT(A379,3)="000",C379,VLOOKUP(B379,'Справочник ИХ'!A:C,3,0))</f>
        <v>Лесные грузы</v>
      </c>
      <c r="E379" s="13">
        <f>IF(RIGHT(A379,3)="000","х",VLOOKUP(B379,'Справочник ИХ'!A:D,4,0))</f>
        <v>1</v>
      </c>
      <c r="F379" s="14" t="s">
        <v>1300</v>
      </c>
    </row>
    <row r="380" spans="1:6" ht="47.6">
      <c r="A380" s="19">
        <v>10201</v>
      </c>
      <c r="B380" s="12" t="str">
        <f t="shared" si="5"/>
        <v>102</v>
      </c>
      <c r="C380" s="1" t="s">
        <v>1307</v>
      </c>
      <c r="D380" s="13" t="str">
        <f>IF(RIGHT(A380,3)="000",C380,VLOOKUP(B380,'Справочник ИХ'!A:C,3,0))</f>
        <v>Лесные грузы</v>
      </c>
      <c r="E380" s="13">
        <f>IF(RIGHT(A380,3)="000","х",VLOOKUP(B380,'Справочник ИХ'!A:D,4,0))</f>
        <v>1</v>
      </c>
      <c r="F380" s="14" t="s">
        <v>1300</v>
      </c>
    </row>
    <row r="381" spans="1:6" ht="47.6">
      <c r="A381" s="19">
        <v>10202</v>
      </c>
      <c r="B381" s="12" t="str">
        <f t="shared" si="5"/>
        <v>102</v>
      </c>
      <c r="C381" s="1" t="s">
        <v>1308</v>
      </c>
      <c r="D381" s="13" t="str">
        <f>IF(RIGHT(A381,3)="000",C381,VLOOKUP(B381,'Справочник ИХ'!A:C,3,0))</f>
        <v>Лесные грузы</v>
      </c>
      <c r="E381" s="13">
        <f>IF(RIGHT(A381,3)="000","х",VLOOKUP(B381,'Справочник ИХ'!A:D,4,0))</f>
        <v>1</v>
      </c>
      <c r="F381" s="14" t="s">
        <v>1300</v>
      </c>
    </row>
    <row r="382" spans="1:6" s="18" customFormat="1" ht="47.6">
      <c r="A382" s="16">
        <v>10300</v>
      </c>
      <c r="B382" s="12" t="str">
        <f t="shared" si="5"/>
        <v>103</v>
      </c>
      <c r="C382" s="17" t="s">
        <v>1309</v>
      </c>
      <c r="D382" s="13" t="str">
        <f>IF(RIGHT(A382,3)="000",C382,VLOOKUP(B382,'Справочник ИХ'!A:C,3,0))</f>
        <v>Лесные грузы</v>
      </c>
      <c r="E382" s="13">
        <f>IF(RIGHT(A382,3)="000","х",VLOOKUP(B382,'Справочник ИХ'!A:D,4,0))</f>
        <v>1</v>
      </c>
      <c r="F382" s="14" t="s">
        <v>1300</v>
      </c>
    </row>
    <row r="383" spans="1:6" ht="47.6">
      <c r="A383" s="19">
        <v>10301</v>
      </c>
      <c r="B383" s="12" t="str">
        <f t="shared" si="5"/>
        <v>103</v>
      </c>
      <c r="C383" s="1" t="s">
        <v>1310</v>
      </c>
      <c r="D383" s="13" t="str">
        <f>IF(RIGHT(A383,3)="000",C383,VLOOKUP(B383,'Справочник ИХ'!A:C,3,0))</f>
        <v>Лесные грузы</v>
      </c>
      <c r="E383" s="13">
        <f>IF(RIGHT(A383,3)="000","х",VLOOKUP(B383,'Справочник ИХ'!A:D,4,0))</f>
        <v>1</v>
      </c>
      <c r="F383" s="14" t="s">
        <v>1300</v>
      </c>
    </row>
    <row r="384" spans="1:6" ht="47.6">
      <c r="A384" s="19">
        <v>10302</v>
      </c>
      <c r="B384" s="12" t="str">
        <f t="shared" si="5"/>
        <v>103</v>
      </c>
      <c r="C384" s="1" t="s">
        <v>1311</v>
      </c>
      <c r="D384" s="13" t="str">
        <f>IF(RIGHT(A384,3)="000",C384,VLOOKUP(B384,'Справочник ИХ'!A:C,3,0))</f>
        <v>Лесные грузы</v>
      </c>
      <c r="E384" s="13">
        <f>IF(RIGHT(A384,3)="000","х",VLOOKUP(B384,'Справочник ИХ'!A:D,4,0))</f>
        <v>1</v>
      </c>
      <c r="F384" s="14" t="s">
        <v>1300</v>
      </c>
    </row>
    <row r="385" spans="1:6" ht="47.6">
      <c r="A385" s="19">
        <v>10303</v>
      </c>
      <c r="B385" s="12" t="str">
        <f t="shared" si="5"/>
        <v>103</v>
      </c>
      <c r="C385" s="1" t="s">
        <v>1312</v>
      </c>
      <c r="D385" s="13" t="str">
        <f>IF(RIGHT(A385,3)="000",C385,VLOOKUP(B385,'Справочник ИХ'!A:C,3,0))</f>
        <v>Лесные грузы</v>
      </c>
      <c r="E385" s="13">
        <f>IF(RIGHT(A385,3)="000","х",VLOOKUP(B385,'Справочник ИХ'!A:D,4,0))</f>
        <v>1</v>
      </c>
      <c r="F385" s="14" t="s">
        <v>1300</v>
      </c>
    </row>
    <row r="386" spans="1:6" ht="47.6">
      <c r="A386" s="19">
        <v>10304</v>
      </c>
      <c r="B386" s="12" t="str">
        <f t="shared" si="5"/>
        <v>103</v>
      </c>
      <c r="C386" s="1" t="s">
        <v>1313</v>
      </c>
      <c r="D386" s="13" t="str">
        <f>IF(RIGHT(A386,3)="000",C386,VLOOKUP(B386,'Справочник ИХ'!A:C,3,0))</f>
        <v>Лесные грузы</v>
      </c>
      <c r="E386" s="13">
        <f>IF(RIGHT(A386,3)="000","х",VLOOKUP(B386,'Справочник ИХ'!A:D,4,0))</f>
        <v>1</v>
      </c>
      <c r="F386" s="14" t="s">
        <v>1300</v>
      </c>
    </row>
    <row r="387" spans="1:6" ht="47.6">
      <c r="A387" s="19">
        <v>10305</v>
      </c>
      <c r="B387" s="12" t="str">
        <f t="shared" si="5"/>
        <v>103</v>
      </c>
      <c r="C387" s="1" t="s">
        <v>1314</v>
      </c>
      <c r="D387" s="13" t="str">
        <f>IF(RIGHT(A387,3)="000",C387,VLOOKUP(B387,'Справочник ИХ'!A:C,3,0))</f>
        <v>Лесные грузы</v>
      </c>
      <c r="E387" s="13">
        <f>IF(RIGHT(A387,3)="000","х",VLOOKUP(B387,'Справочник ИХ'!A:D,4,0))</f>
        <v>1</v>
      </c>
      <c r="F387" s="14" t="s">
        <v>1300</v>
      </c>
    </row>
    <row r="388" spans="1:6" ht="47.6">
      <c r="A388" s="19">
        <v>10306</v>
      </c>
      <c r="B388" s="12" t="str">
        <f t="shared" ref="B388:B451" si="6">LEFT(A388,3)</f>
        <v>103</v>
      </c>
      <c r="C388" s="1" t="s">
        <v>1315</v>
      </c>
      <c r="D388" s="13" t="str">
        <f>IF(RIGHT(A388,3)="000",C388,VLOOKUP(B388,'Справочник ИХ'!A:C,3,0))</f>
        <v>Лесные грузы</v>
      </c>
      <c r="E388" s="13">
        <f>IF(RIGHT(A388,3)="000","х",VLOOKUP(B388,'Справочник ИХ'!A:D,4,0))</f>
        <v>1</v>
      </c>
      <c r="F388" s="14" t="s">
        <v>1300</v>
      </c>
    </row>
    <row r="389" spans="1:6" ht="47.6">
      <c r="A389" s="19">
        <v>10307</v>
      </c>
      <c r="B389" s="12" t="str">
        <f t="shared" si="6"/>
        <v>103</v>
      </c>
      <c r="C389" s="1" t="s">
        <v>1316</v>
      </c>
      <c r="D389" s="13" t="str">
        <f>IF(RIGHT(A389,3)="000",C389,VLOOKUP(B389,'Справочник ИХ'!A:C,3,0))</f>
        <v>Лесные грузы</v>
      </c>
      <c r="E389" s="13">
        <f>IF(RIGHT(A389,3)="000","х",VLOOKUP(B389,'Справочник ИХ'!A:D,4,0))</f>
        <v>1</v>
      </c>
      <c r="F389" s="14" t="s">
        <v>1300</v>
      </c>
    </row>
    <row r="390" spans="1:6" s="15" customFormat="1" ht="47.6">
      <c r="A390" s="7">
        <v>11000</v>
      </c>
      <c r="B390" s="12" t="str">
        <f t="shared" si="6"/>
        <v>110</v>
      </c>
      <c r="C390" s="11" t="s">
        <v>1317</v>
      </c>
      <c r="D390" s="13" t="str">
        <f>IF(RIGHT(A390,3)="000",C390,VLOOKUP(B390,'Справочник ИХ'!A:C,3,0))</f>
        <v xml:space="preserve">Прочая продукция лесной промышленности. Саженцы </v>
      </c>
      <c r="E390" s="13" t="str">
        <f>IF(RIGHT(A390,3)="000","х",VLOOKUP(B390,'Справочник ИХ'!A:D,4,0))</f>
        <v>х</v>
      </c>
      <c r="F390" s="14" t="s">
        <v>1317</v>
      </c>
    </row>
    <row r="391" spans="1:6" s="18" customFormat="1" ht="31.75">
      <c r="A391" s="16">
        <v>11100</v>
      </c>
      <c r="B391" s="12" t="str">
        <f t="shared" si="6"/>
        <v>111</v>
      </c>
      <c r="C391" s="17" t="s">
        <v>1318</v>
      </c>
      <c r="D391" s="13" t="str">
        <f>IF(RIGHT(A391,3)="000",C391,VLOOKUP(B391,'Справочник ИХ'!A:C,3,0))</f>
        <v>Остальные грузы</v>
      </c>
      <c r="E391" s="13">
        <f>IF(RIGHT(A391,3)="000","х",VLOOKUP(B391,'Справочник ИХ'!A:D,4,0))</f>
        <v>2</v>
      </c>
      <c r="F391" s="14" t="s">
        <v>1317</v>
      </c>
    </row>
    <row r="392" spans="1:6" ht="31.75">
      <c r="A392" s="19">
        <v>11101</v>
      </c>
      <c r="B392" s="12" t="str">
        <f t="shared" si="6"/>
        <v>111</v>
      </c>
      <c r="C392" s="1" t="s">
        <v>1319</v>
      </c>
      <c r="D392" s="13" t="str">
        <f>IF(RIGHT(A392,3)="000",C392,VLOOKUP(B392,'Справочник ИХ'!A:C,3,0))</f>
        <v>Остальные грузы</v>
      </c>
      <c r="E392" s="13">
        <f>IF(RIGHT(A392,3)="000","х",VLOOKUP(B392,'Справочник ИХ'!A:D,4,0))</f>
        <v>2</v>
      </c>
      <c r="F392" s="14" t="s">
        <v>1317</v>
      </c>
    </row>
    <row r="393" spans="1:6" ht="31.75">
      <c r="A393" s="19">
        <v>11102</v>
      </c>
      <c r="B393" s="12" t="str">
        <f t="shared" si="6"/>
        <v>111</v>
      </c>
      <c r="C393" s="1" t="s">
        <v>1320</v>
      </c>
      <c r="D393" s="13" t="str">
        <f>IF(RIGHT(A393,3)="000",C393,VLOOKUP(B393,'Справочник ИХ'!A:C,3,0))</f>
        <v>Остальные грузы</v>
      </c>
      <c r="E393" s="13">
        <f>IF(RIGHT(A393,3)="000","х",VLOOKUP(B393,'Справочник ИХ'!A:D,4,0))</f>
        <v>2</v>
      </c>
      <c r="F393" s="14" t="s">
        <v>1317</v>
      </c>
    </row>
    <row r="394" spans="1:6" ht="31.75">
      <c r="A394" s="19">
        <v>11103</v>
      </c>
      <c r="B394" s="12" t="str">
        <f t="shared" si="6"/>
        <v>111</v>
      </c>
      <c r="C394" s="1" t="s">
        <v>1321</v>
      </c>
      <c r="D394" s="13" t="str">
        <f>IF(RIGHT(A394,3)="000",C394,VLOOKUP(B394,'Справочник ИХ'!A:C,3,0))</f>
        <v>Остальные грузы</v>
      </c>
      <c r="E394" s="13">
        <f>IF(RIGHT(A394,3)="000","х",VLOOKUP(B394,'Справочник ИХ'!A:D,4,0))</f>
        <v>2</v>
      </c>
      <c r="F394" s="14" t="s">
        <v>1317</v>
      </c>
    </row>
    <row r="395" spans="1:6" ht="31.75">
      <c r="A395" s="19">
        <v>11104</v>
      </c>
      <c r="B395" s="12" t="str">
        <f t="shared" si="6"/>
        <v>111</v>
      </c>
      <c r="C395" s="1" t="s">
        <v>1322</v>
      </c>
      <c r="D395" s="13" t="str">
        <f>IF(RIGHT(A395,3)="000",C395,VLOOKUP(B395,'Справочник ИХ'!A:C,3,0))</f>
        <v>Остальные грузы</v>
      </c>
      <c r="E395" s="13">
        <f>IF(RIGHT(A395,3)="000","х",VLOOKUP(B395,'Справочник ИХ'!A:D,4,0))</f>
        <v>2</v>
      </c>
      <c r="F395" s="14" t="s">
        <v>1317</v>
      </c>
    </row>
    <row r="396" spans="1:6" ht="31.75">
      <c r="A396" s="19">
        <v>11105</v>
      </c>
      <c r="B396" s="12" t="str">
        <f t="shared" si="6"/>
        <v>111</v>
      </c>
      <c r="C396" s="1" t="s">
        <v>1323</v>
      </c>
      <c r="D396" s="13" t="str">
        <f>IF(RIGHT(A396,3)="000",C396,VLOOKUP(B396,'Справочник ИХ'!A:C,3,0))</f>
        <v>Остальные грузы</v>
      </c>
      <c r="E396" s="13">
        <f>IF(RIGHT(A396,3)="000","х",VLOOKUP(B396,'Справочник ИХ'!A:D,4,0))</f>
        <v>2</v>
      </c>
      <c r="F396" s="14" t="s">
        <v>1317</v>
      </c>
    </row>
    <row r="397" spans="1:6" ht="31.75">
      <c r="A397" s="19">
        <v>11106</v>
      </c>
      <c r="B397" s="12" t="str">
        <f t="shared" si="6"/>
        <v>111</v>
      </c>
      <c r="C397" s="1" t="s">
        <v>1324</v>
      </c>
      <c r="D397" s="13" t="str">
        <f>IF(RIGHT(A397,3)="000",C397,VLOOKUP(B397,'Справочник ИХ'!A:C,3,0))</f>
        <v>Остальные грузы</v>
      </c>
      <c r="E397" s="13">
        <f>IF(RIGHT(A397,3)="000","х",VLOOKUP(B397,'Справочник ИХ'!A:D,4,0))</f>
        <v>2</v>
      </c>
      <c r="F397" s="14" t="s">
        <v>1317</v>
      </c>
    </row>
    <row r="398" spans="1:6" ht="31.75">
      <c r="A398" s="19">
        <v>11107</v>
      </c>
      <c r="B398" s="12" t="str">
        <f t="shared" si="6"/>
        <v>111</v>
      </c>
      <c r="C398" s="1" t="s">
        <v>1325</v>
      </c>
      <c r="D398" s="13" t="str">
        <f>IF(RIGHT(A398,3)="000",C398,VLOOKUP(B398,'Справочник ИХ'!A:C,3,0))</f>
        <v>Остальные грузы</v>
      </c>
      <c r="E398" s="13">
        <f>IF(RIGHT(A398,3)="000","х",VLOOKUP(B398,'Справочник ИХ'!A:D,4,0))</f>
        <v>2</v>
      </c>
      <c r="F398" s="14" t="s">
        <v>1317</v>
      </c>
    </row>
    <row r="399" spans="1:6" ht="31.75">
      <c r="A399" s="19">
        <v>11108</v>
      </c>
      <c r="B399" s="12" t="str">
        <f t="shared" si="6"/>
        <v>111</v>
      </c>
      <c r="C399" s="1" t="s">
        <v>1326</v>
      </c>
      <c r="D399" s="13" t="str">
        <f>IF(RIGHT(A399,3)="000",C399,VLOOKUP(B399,'Справочник ИХ'!A:C,3,0))</f>
        <v>Остальные грузы</v>
      </c>
      <c r="E399" s="13">
        <f>IF(RIGHT(A399,3)="000","х",VLOOKUP(B399,'Справочник ИХ'!A:D,4,0))</f>
        <v>2</v>
      </c>
      <c r="F399" s="14" t="s">
        <v>1317</v>
      </c>
    </row>
    <row r="400" spans="1:6" ht="31.75">
      <c r="A400" s="19">
        <v>11109</v>
      </c>
      <c r="B400" s="12" t="str">
        <f t="shared" si="6"/>
        <v>111</v>
      </c>
      <c r="C400" s="1" t="s">
        <v>1327</v>
      </c>
      <c r="D400" s="13" t="str">
        <f>IF(RIGHT(A400,3)="000",C400,VLOOKUP(B400,'Справочник ИХ'!A:C,3,0))</f>
        <v>Остальные грузы</v>
      </c>
      <c r="E400" s="13">
        <f>IF(RIGHT(A400,3)="000","х",VLOOKUP(B400,'Справочник ИХ'!A:D,4,0))</f>
        <v>2</v>
      </c>
      <c r="F400" s="14" t="s">
        <v>1317</v>
      </c>
    </row>
    <row r="401" spans="1:6" ht="31.75">
      <c r="A401" s="19">
        <v>11110</v>
      </c>
      <c r="B401" s="12" t="str">
        <f t="shared" si="6"/>
        <v>111</v>
      </c>
      <c r="C401" s="1" t="s">
        <v>1328</v>
      </c>
      <c r="D401" s="13" t="str">
        <f>IF(RIGHT(A401,3)="000",C401,VLOOKUP(B401,'Справочник ИХ'!A:C,3,0))</f>
        <v>Остальные грузы</v>
      </c>
      <c r="E401" s="13">
        <f>IF(RIGHT(A401,3)="000","х",VLOOKUP(B401,'Справочник ИХ'!A:D,4,0))</f>
        <v>2</v>
      </c>
      <c r="F401" s="14" t="s">
        <v>1317</v>
      </c>
    </row>
    <row r="402" spans="1:6" ht="31.75">
      <c r="A402" s="19">
        <v>11111</v>
      </c>
      <c r="B402" s="12" t="str">
        <f t="shared" si="6"/>
        <v>111</v>
      </c>
      <c r="C402" s="1" t="s">
        <v>1329</v>
      </c>
      <c r="D402" s="13" t="str">
        <f>IF(RIGHT(A402,3)="000",C402,VLOOKUP(B402,'Справочник ИХ'!A:C,3,0))</f>
        <v>Остальные грузы</v>
      </c>
      <c r="E402" s="13">
        <f>IF(RIGHT(A402,3)="000","х",VLOOKUP(B402,'Справочник ИХ'!A:D,4,0))</f>
        <v>2</v>
      </c>
      <c r="F402" s="14" t="s">
        <v>1317</v>
      </c>
    </row>
    <row r="403" spans="1:6" ht="31.75">
      <c r="A403" s="19">
        <v>11112</v>
      </c>
      <c r="B403" s="12" t="str">
        <f t="shared" si="6"/>
        <v>111</v>
      </c>
      <c r="C403" s="1" t="s">
        <v>1330</v>
      </c>
      <c r="D403" s="13" t="str">
        <f>IF(RIGHT(A403,3)="000",C403,VLOOKUP(B403,'Справочник ИХ'!A:C,3,0))</f>
        <v>Остальные грузы</v>
      </c>
      <c r="E403" s="13">
        <f>IF(RIGHT(A403,3)="000","х",VLOOKUP(B403,'Справочник ИХ'!A:D,4,0))</f>
        <v>2</v>
      </c>
      <c r="F403" s="14" t="s">
        <v>1317</v>
      </c>
    </row>
    <row r="404" spans="1:6" ht="31.75">
      <c r="A404" s="19">
        <v>11113</v>
      </c>
      <c r="B404" s="12" t="str">
        <f t="shared" si="6"/>
        <v>111</v>
      </c>
      <c r="C404" s="1" t="s">
        <v>1331</v>
      </c>
      <c r="D404" s="13" t="str">
        <f>IF(RIGHT(A404,3)="000",C404,VLOOKUP(B404,'Справочник ИХ'!A:C,3,0))</f>
        <v>Остальные грузы</v>
      </c>
      <c r="E404" s="13">
        <f>IF(RIGHT(A404,3)="000","х",VLOOKUP(B404,'Справочник ИХ'!A:D,4,0))</f>
        <v>2</v>
      </c>
      <c r="F404" s="14" t="s">
        <v>1317</v>
      </c>
    </row>
    <row r="405" spans="1:6" ht="31.75">
      <c r="A405" s="19">
        <v>11114</v>
      </c>
      <c r="B405" s="12" t="str">
        <f t="shared" si="6"/>
        <v>111</v>
      </c>
      <c r="C405" s="1" t="s">
        <v>1332</v>
      </c>
      <c r="D405" s="13" t="str">
        <f>IF(RIGHT(A405,3)="000",C405,VLOOKUP(B405,'Справочник ИХ'!A:C,3,0))</f>
        <v>Остальные грузы</v>
      </c>
      <c r="E405" s="13">
        <f>IF(RIGHT(A405,3)="000","х",VLOOKUP(B405,'Справочник ИХ'!A:D,4,0))</f>
        <v>2</v>
      </c>
      <c r="F405" s="14" t="s">
        <v>1317</v>
      </c>
    </row>
    <row r="406" spans="1:6" ht="31.75">
      <c r="A406" s="19">
        <v>11115</v>
      </c>
      <c r="B406" s="12" t="str">
        <f t="shared" si="6"/>
        <v>111</v>
      </c>
      <c r="C406" s="1" t="s">
        <v>1333</v>
      </c>
      <c r="D406" s="13" t="str">
        <f>IF(RIGHT(A406,3)="000",C406,VLOOKUP(B406,'Справочник ИХ'!A:C,3,0))</f>
        <v>Остальные грузы</v>
      </c>
      <c r="E406" s="13">
        <f>IF(RIGHT(A406,3)="000","х",VLOOKUP(B406,'Справочник ИХ'!A:D,4,0))</f>
        <v>2</v>
      </c>
      <c r="F406" s="14" t="s">
        <v>1317</v>
      </c>
    </row>
    <row r="407" spans="1:6" ht="31.75">
      <c r="A407" s="19">
        <v>11116</v>
      </c>
      <c r="B407" s="12" t="str">
        <f t="shared" si="6"/>
        <v>111</v>
      </c>
      <c r="C407" s="1" t="s">
        <v>1334</v>
      </c>
      <c r="D407" s="13" t="str">
        <f>IF(RIGHT(A407,3)="000",C407,VLOOKUP(B407,'Справочник ИХ'!A:C,3,0))</f>
        <v>Остальные грузы</v>
      </c>
      <c r="E407" s="13">
        <f>IF(RIGHT(A407,3)="000","х",VLOOKUP(B407,'Справочник ИХ'!A:D,4,0))</f>
        <v>2</v>
      </c>
      <c r="F407" s="14" t="s">
        <v>1317</v>
      </c>
    </row>
    <row r="408" spans="1:6" s="18" customFormat="1" ht="31.75">
      <c r="A408" s="16">
        <v>11200</v>
      </c>
      <c r="B408" s="12" t="str">
        <f t="shared" si="6"/>
        <v>112</v>
      </c>
      <c r="C408" s="17" t="s">
        <v>1335</v>
      </c>
      <c r="D408" s="13" t="str">
        <f>IF(RIGHT(A408,3)="000",C408,VLOOKUP(B408,'Справочник ИХ'!A:C,3,0))</f>
        <v>Остальные грузы</v>
      </c>
      <c r="E408" s="13">
        <f>IF(RIGHT(A408,3)="000","х",VLOOKUP(B408,'Справочник ИХ'!A:D,4,0))</f>
        <v>2</v>
      </c>
      <c r="F408" s="14" t="s">
        <v>1317</v>
      </c>
    </row>
    <row r="409" spans="1:6" ht="31.75">
      <c r="A409" s="19">
        <v>11201</v>
      </c>
      <c r="B409" s="12" t="str">
        <f t="shared" si="6"/>
        <v>112</v>
      </c>
      <c r="C409" s="1" t="s">
        <v>1336</v>
      </c>
      <c r="D409" s="13" t="str">
        <f>IF(RIGHT(A409,3)="000",C409,VLOOKUP(B409,'Справочник ИХ'!A:C,3,0))</f>
        <v>Остальные грузы</v>
      </c>
      <c r="E409" s="13">
        <f>IF(RIGHT(A409,3)="000","х",VLOOKUP(B409,'Справочник ИХ'!A:D,4,0))</f>
        <v>2</v>
      </c>
      <c r="F409" s="14" t="s">
        <v>1317</v>
      </c>
    </row>
    <row r="410" spans="1:6" ht="31.75">
      <c r="A410" s="19">
        <v>11202</v>
      </c>
      <c r="B410" s="12" t="str">
        <f t="shared" si="6"/>
        <v>112</v>
      </c>
      <c r="C410" s="1" t="s">
        <v>1337</v>
      </c>
      <c r="D410" s="13" t="str">
        <f>IF(RIGHT(A410,3)="000",C410,VLOOKUP(B410,'Справочник ИХ'!A:C,3,0))</f>
        <v>Остальные грузы</v>
      </c>
      <c r="E410" s="13">
        <f>IF(RIGHT(A410,3)="000","х",VLOOKUP(B410,'Справочник ИХ'!A:D,4,0))</f>
        <v>2</v>
      </c>
      <c r="F410" s="14" t="s">
        <v>1317</v>
      </c>
    </row>
    <row r="411" spans="1:6" ht="31.75">
      <c r="A411" s="19">
        <v>11203</v>
      </c>
      <c r="B411" s="12" t="str">
        <f t="shared" si="6"/>
        <v>112</v>
      </c>
      <c r="C411" s="1" t="s">
        <v>1338</v>
      </c>
      <c r="D411" s="13" t="str">
        <f>IF(RIGHT(A411,3)="000",C411,VLOOKUP(B411,'Справочник ИХ'!A:C,3,0))</f>
        <v>Остальные грузы</v>
      </c>
      <c r="E411" s="13">
        <f>IF(RIGHT(A411,3)="000","х",VLOOKUP(B411,'Справочник ИХ'!A:D,4,0))</f>
        <v>2</v>
      </c>
      <c r="F411" s="14" t="s">
        <v>1317</v>
      </c>
    </row>
    <row r="412" spans="1:6" ht="31.75">
      <c r="A412" s="19">
        <v>11204</v>
      </c>
      <c r="B412" s="12" t="str">
        <f t="shared" si="6"/>
        <v>112</v>
      </c>
      <c r="C412" s="1" t="s">
        <v>1339</v>
      </c>
      <c r="D412" s="13" t="str">
        <f>IF(RIGHT(A412,3)="000",C412,VLOOKUP(B412,'Справочник ИХ'!A:C,3,0))</f>
        <v>Остальные грузы</v>
      </c>
      <c r="E412" s="13">
        <f>IF(RIGHT(A412,3)="000","х",VLOOKUP(B412,'Справочник ИХ'!A:D,4,0))</f>
        <v>2</v>
      </c>
      <c r="F412" s="14" t="s">
        <v>1317</v>
      </c>
    </row>
    <row r="413" spans="1:6" ht="31.75">
      <c r="A413" s="19">
        <v>11205</v>
      </c>
      <c r="B413" s="12" t="str">
        <f t="shared" si="6"/>
        <v>112</v>
      </c>
      <c r="C413" s="1" t="s">
        <v>1340</v>
      </c>
      <c r="D413" s="13" t="str">
        <f>IF(RIGHT(A413,3)="000",C413,VLOOKUP(B413,'Справочник ИХ'!A:C,3,0))</f>
        <v>Остальные грузы</v>
      </c>
      <c r="E413" s="13">
        <f>IF(RIGHT(A413,3)="000","х",VLOOKUP(B413,'Справочник ИХ'!A:D,4,0))</f>
        <v>2</v>
      </c>
      <c r="F413" s="14" t="s">
        <v>1317</v>
      </c>
    </row>
    <row r="414" spans="1:6" s="15" customFormat="1" ht="31.75">
      <c r="A414" s="7">
        <v>12000</v>
      </c>
      <c r="B414" s="12" t="str">
        <f t="shared" si="6"/>
        <v>120</v>
      </c>
      <c r="C414" s="11" t="s">
        <v>1341</v>
      </c>
      <c r="D414" s="13" t="str">
        <f>IF(RIGHT(A414,3)="000",C414,VLOOKUP(B414,'Справочник ИХ'!A:C,3,0))</f>
        <v xml:space="preserve">Материалы, изделия и детали из дерева </v>
      </c>
      <c r="E414" s="13" t="str">
        <f>IF(RIGHT(A414,3)="000","х",VLOOKUP(B414,'Справочник ИХ'!A:D,4,0))</f>
        <v>х</v>
      </c>
      <c r="F414" s="14" t="s">
        <v>1341</v>
      </c>
    </row>
    <row r="415" spans="1:6" s="18" customFormat="1" ht="31.75">
      <c r="A415" s="16">
        <v>12100</v>
      </c>
      <c r="B415" s="12" t="str">
        <f t="shared" si="6"/>
        <v>121</v>
      </c>
      <c r="C415" s="17" t="s">
        <v>1342</v>
      </c>
      <c r="D415" s="13" t="str">
        <f>IF(RIGHT(A415,3)="000",C415,VLOOKUP(B415,'Справочник ИХ'!A:C,3,0))</f>
        <v>Лесные грузы</v>
      </c>
      <c r="E415" s="13">
        <f>IF(RIGHT(A415,3)="000","х",VLOOKUP(B415,'Справочник ИХ'!A:D,4,0))</f>
        <v>3</v>
      </c>
      <c r="F415" s="14" t="s">
        <v>1341</v>
      </c>
    </row>
    <row r="416" spans="1:6">
      <c r="A416" s="19">
        <v>12101</v>
      </c>
      <c r="B416" s="12" t="str">
        <f t="shared" si="6"/>
        <v>121</v>
      </c>
      <c r="C416" s="1" t="s">
        <v>1343</v>
      </c>
      <c r="D416" s="13" t="str">
        <f>IF(RIGHT(A416,3)="000",C416,VLOOKUP(B416,'Справочник ИХ'!A:C,3,0))</f>
        <v>Лесные грузы</v>
      </c>
      <c r="E416" s="13">
        <f>IF(RIGHT(A416,3)="000","х",VLOOKUP(B416,'Справочник ИХ'!A:D,4,0))</f>
        <v>3</v>
      </c>
      <c r="F416" s="14" t="s">
        <v>1341</v>
      </c>
    </row>
    <row r="417" spans="1:6">
      <c r="A417" s="19">
        <v>12102</v>
      </c>
      <c r="B417" s="12" t="str">
        <f t="shared" si="6"/>
        <v>121</v>
      </c>
      <c r="C417" s="1" t="s">
        <v>1344</v>
      </c>
      <c r="D417" s="13" t="str">
        <f>IF(RIGHT(A417,3)="000",C417,VLOOKUP(B417,'Справочник ИХ'!A:C,3,0))</f>
        <v>Лесные грузы</v>
      </c>
      <c r="E417" s="13">
        <f>IF(RIGHT(A417,3)="000","х",VLOOKUP(B417,'Справочник ИХ'!A:D,4,0))</f>
        <v>3</v>
      </c>
      <c r="F417" s="14" t="s">
        <v>1341</v>
      </c>
    </row>
    <row r="418" spans="1:6">
      <c r="A418" s="19">
        <v>12103</v>
      </c>
      <c r="B418" s="12" t="str">
        <f t="shared" si="6"/>
        <v>121</v>
      </c>
      <c r="C418" s="1" t="s">
        <v>1345</v>
      </c>
      <c r="D418" s="13" t="str">
        <f>IF(RIGHT(A418,3)="000",C418,VLOOKUP(B418,'Справочник ИХ'!A:C,3,0))</f>
        <v>Лесные грузы</v>
      </c>
      <c r="E418" s="13">
        <f>IF(RIGHT(A418,3)="000","х",VLOOKUP(B418,'Справочник ИХ'!A:D,4,0))</f>
        <v>3</v>
      </c>
      <c r="F418" s="14" t="s">
        <v>1341</v>
      </c>
    </row>
    <row r="419" spans="1:6" ht="31.75">
      <c r="A419" s="19">
        <v>12104</v>
      </c>
      <c r="B419" s="12" t="str">
        <f t="shared" si="6"/>
        <v>121</v>
      </c>
      <c r="C419" s="1" t="s">
        <v>1346</v>
      </c>
      <c r="D419" s="13" t="str">
        <f>IF(RIGHT(A419,3)="000",C419,VLOOKUP(B419,'Справочник ИХ'!A:C,3,0))</f>
        <v>Лесные грузы</v>
      </c>
      <c r="E419" s="13">
        <f>IF(RIGHT(A419,3)="000","х",VLOOKUP(B419,'Справочник ИХ'!A:D,4,0))</f>
        <v>3</v>
      </c>
      <c r="F419" s="14" t="s">
        <v>1341</v>
      </c>
    </row>
    <row r="420" spans="1:6">
      <c r="A420" s="19">
        <v>12105</v>
      </c>
      <c r="B420" s="12" t="str">
        <f t="shared" si="6"/>
        <v>121</v>
      </c>
      <c r="C420" s="1" t="s">
        <v>1347</v>
      </c>
      <c r="D420" s="13" t="str">
        <f>IF(RIGHT(A420,3)="000",C420,VLOOKUP(B420,'Справочник ИХ'!A:C,3,0))</f>
        <v>Лесные грузы</v>
      </c>
      <c r="E420" s="13">
        <f>IF(RIGHT(A420,3)="000","х",VLOOKUP(B420,'Справочник ИХ'!A:D,4,0))</f>
        <v>3</v>
      </c>
      <c r="F420" s="14" t="s">
        <v>1341</v>
      </c>
    </row>
    <row r="421" spans="1:6">
      <c r="A421" s="19">
        <v>12106</v>
      </c>
      <c r="B421" s="12" t="str">
        <f t="shared" si="6"/>
        <v>121</v>
      </c>
      <c r="C421" s="1" t="s">
        <v>1348</v>
      </c>
      <c r="D421" s="13" t="str">
        <f>IF(RIGHT(A421,3)="000",C421,VLOOKUP(B421,'Справочник ИХ'!A:C,3,0))</f>
        <v>Лесные грузы</v>
      </c>
      <c r="E421" s="13">
        <f>IF(RIGHT(A421,3)="000","х",VLOOKUP(B421,'Справочник ИХ'!A:D,4,0))</f>
        <v>3</v>
      </c>
      <c r="F421" s="14" t="s">
        <v>1341</v>
      </c>
    </row>
    <row r="422" spans="1:6" ht="47.6">
      <c r="A422" s="19">
        <v>12107</v>
      </c>
      <c r="B422" s="12" t="str">
        <f t="shared" si="6"/>
        <v>121</v>
      </c>
      <c r="C422" s="1" t="s">
        <v>1349</v>
      </c>
      <c r="D422" s="13" t="str">
        <f>IF(RIGHT(A422,3)="000",C422,VLOOKUP(B422,'Справочник ИХ'!A:C,3,0))</f>
        <v>Лесные грузы</v>
      </c>
      <c r="E422" s="13">
        <f>IF(RIGHT(A422,3)="000","х",VLOOKUP(B422,'Справочник ИХ'!A:D,4,0))</f>
        <v>3</v>
      </c>
      <c r="F422" s="14" t="s">
        <v>1341</v>
      </c>
    </row>
    <row r="423" spans="1:6">
      <c r="A423" s="19">
        <v>12108</v>
      </c>
      <c r="B423" s="12" t="str">
        <f t="shared" si="6"/>
        <v>121</v>
      </c>
      <c r="C423" s="1" t="s">
        <v>1350</v>
      </c>
      <c r="D423" s="13" t="str">
        <f>IF(RIGHT(A423,3)="000",C423,VLOOKUP(B423,'Справочник ИХ'!A:C,3,0))</f>
        <v>Лесные грузы</v>
      </c>
      <c r="E423" s="13">
        <f>IF(RIGHT(A423,3)="000","х",VLOOKUP(B423,'Справочник ИХ'!A:D,4,0))</f>
        <v>3</v>
      </c>
      <c r="F423" s="14" t="s">
        <v>1341</v>
      </c>
    </row>
    <row r="424" spans="1:6">
      <c r="A424" s="19">
        <v>12109</v>
      </c>
      <c r="B424" s="12" t="str">
        <f t="shared" si="6"/>
        <v>121</v>
      </c>
      <c r="C424" s="1" t="s">
        <v>1351</v>
      </c>
      <c r="D424" s="13" t="str">
        <f>IF(RIGHT(A424,3)="000",C424,VLOOKUP(B424,'Справочник ИХ'!A:C,3,0))</f>
        <v>Лесные грузы</v>
      </c>
      <c r="E424" s="13">
        <f>IF(RIGHT(A424,3)="000","х",VLOOKUP(B424,'Справочник ИХ'!A:D,4,0))</f>
        <v>3</v>
      </c>
      <c r="F424" s="14" t="s">
        <v>1341</v>
      </c>
    </row>
    <row r="425" spans="1:6">
      <c r="A425" s="19">
        <v>12111</v>
      </c>
      <c r="B425" s="12" t="str">
        <f t="shared" si="6"/>
        <v>121</v>
      </c>
      <c r="C425" s="1" t="s">
        <v>1352</v>
      </c>
      <c r="D425" s="13" t="str">
        <f>IF(RIGHT(A425,3)="000",C425,VLOOKUP(B425,'Справочник ИХ'!A:C,3,0))</f>
        <v>Лесные грузы</v>
      </c>
      <c r="E425" s="13">
        <f>IF(RIGHT(A425,3)="000","х",VLOOKUP(B425,'Справочник ИХ'!A:D,4,0))</f>
        <v>3</v>
      </c>
      <c r="F425" s="14" t="s">
        <v>1341</v>
      </c>
    </row>
    <row r="426" spans="1:6">
      <c r="A426" s="19">
        <v>12112</v>
      </c>
      <c r="B426" s="12" t="str">
        <f t="shared" si="6"/>
        <v>121</v>
      </c>
      <c r="C426" s="1" t="s">
        <v>1353</v>
      </c>
      <c r="D426" s="13" t="str">
        <f>IF(RIGHT(A426,3)="000",C426,VLOOKUP(B426,'Справочник ИХ'!A:C,3,0))</f>
        <v>Лесные грузы</v>
      </c>
      <c r="E426" s="13">
        <f>IF(RIGHT(A426,3)="000","х",VLOOKUP(B426,'Справочник ИХ'!A:D,4,0))</f>
        <v>3</v>
      </c>
      <c r="F426" s="14" t="s">
        <v>1341</v>
      </c>
    </row>
    <row r="427" spans="1:6">
      <c r="A427" s="19">
        <v>12113</v>
      </c>
      <c r="B427" s="12" t="str">
        <f t="shared" si="6"/>
        <v>121</v>
      </c>
      <c r="C427" s="1" t="s">
        <v>1354</v>
      </c>
      <c r="D427" s="13" t="str">
        <f>IF(RIGHT(A427,3)="000",C427,VLOOKUP(B427,'Справочник ИХ'!A:C,3,0))</f>
        <v>Лесные грузы</v>
      </c>
      <c r="E427" s="13">
        <f>IF(RIGHT(A427,3)="000","х",VLOOKUP(B427,'Справочник ИХ'!A:D,4,0))</f>
        <v>3</v>
      </c>
      <c r="F427" s="14" t="s">
        <v>1341</v>
      </c>
    </row>
    <row r="428" spans="1:6" ht="31.75">
      <c r="A428" s="19">
        <v>12114</v>
      </c>
      <c r="B428" s="12" t="str">
        <f t="shared" si="6"/>
        <v>121</v>
      </c>
      <c r="C428" s="1" t="s">
        <v>1355</v>
      </c>
      <c r="D428" s="13" t="str">
        <f>IF(RIGHT(A428,3)="000",C428,VLOOKUP(B428,'Справочник ИХ'!A:C,3,0))</f>
        <v>Лесные грузы</v>
      </c>
      <c r="E428" s="13">
        <f>IF(RIGHT(A428,3)="000","х",VLOOKUP(B428,'Справочник ИХ'!A:D,4,0))</f>
        <v>3</v>
      </c>
      <c r="F428" s="14" t="s">
        <v>1341</v>
      </c>
    </row>
    <row r="429" spans="1:6">
      <c r="A429" s="19">
        <v>12115</v>
      </c>
      <c r="B429" s="12" t="str">
        <f t="shared" si="6"/>
        <v>121</v>
      </c>
      <c r="C429" s="1" t="s">
        <v>1356</v>
      </c>
      <c r="D429" s="13" t="str">
        <f>IF(RIGHT(A429,3)="000",C429,VLOOKUP(B429,'Справочник ИХ'!A:C,3,0))</f>
        <v>Лесные грузы</v>
      </c>
      <c r="E429" s="13">
        <f>IF(RIGHT(A429,3)="000","х",VLOOKUP(B429,'Справочник ИХ'!A:D,4,0))</f>
        <v>3</v>
      </c>
      <c r="F429" s="14" t="s">
        <v>1341</v>
      </c>
    </row>
    <row r="430" spans="1:6">
      <c r="A430" s="19">
        <v>12116</v>
      </c>
      <c r="B430" s="12" t="str">
        <f t="shared" si="6"/>
        <v>121</v>
      </c>
      <c r="C430" s="1" t="s">
        <v>1357</v>
      </c>
      <c r="D430" s="13" t="str">
        <f>IF(RIGHT(A430,3)="000",C430,VLOOKUP(B430,'Справочник ИХ'!A:C,3,0))</f>
        <v>Лесные грузы</v>
      </c>
      <c r="E430" s="13">
        <f>IF(RIGHT(A430,3)="000","х",VLOOKUP(B430,'Справочник ИХ'!A:D,4,0))</f>
        <v>3</v>
      </c>
      <c r="F430" s="14" t="s">
        <v>1341</v>
      </c>
    </row>
    <row r="431" spans="1:6">
      <c r="A431" s="19">
        <v>12117</v>
      </c>
      <c r="B431" s="12" t="str">
        <f t="shared" si="6"/>
        <v>121</v>
      </c>
      <c r="C431" s="1" t="s">
        <v>1358</v>
      </c>
      <c r="D431" s="13" t="str">
        <f>IF(RIGHT(A431,3)="000",C431,VLOOKUP(B431,'Справочник ИХ'!A:C,3,0))</f>
        <v>Лесные грузы</v>
      </c>
      <c r="E431" s="13">
        <f>IF(RIGHT(A431,3)="000","х",VLOOKUP(B431,'Справочник ИХ'!A:D,4,0))</f>
        <v>3</v>
      </c>
      <c r="F431" s="14" t="s">
        <v>1341</v>
      </c>
    </row>
    <row r="432" spans="1:6" s="18" customFormat="1" ht="31.75">
      <c r="A432" s="16">
        <v>12200</v>
      </c>
      <c r="B432" s="12" t="str">
        <f t="shared" si="6"/>
        <v>122</v>
      </c>
      <c r="C432" s="17" t="s">
        <v>1359</v>
      </c>
      <c r="D432" s="13" t="str">
        <f>IF(RIGHT(A432,3)="000",C432,VLOOKUP(B432,'Справочник ИХ'!A:C,3,0))</f>
        <v>Лесные грузы</v>
      </c>
      <c r="E432" s="13">
        <f>IF(RIGHT(A432,3)="000","х",VLOOKUP(B432,'Справочник ИХ'!A:D,4,0))</f>
        <v>3</v>
      </c>
      <c r="F432" s="14" t="s">
        <v>1341</v>
      </c>
    </row>
    <row r="433" spans="1:6">
      <c r="A433" s="19">
        <v>12201</v>
      </c>
      <c r="B433" s="12" t="str">
        <f t="shared" si="6"/>
        <v>122</v>
      </c>
      <c r="C433" s="1" t="s">
        <v>1360</v>
      </c>
      <c r="D433" s="13" t="str">
        <f>IF(RIGHT(A433,3)="000",C433,VLOOKUP(B433,'Справочник ИХ'!A:C,3,0))</f>
        <v>Лесные грузы</v>
      </c>
      <c r="E433" s="13">
        <f>IF(RIGHT(A433,3)="000","х",VLOOKUP(B433,'Справочник ИХ'!A:D,4,0))</f>
        <v>3</v>
      </c>
      <c r="F433" s="14" t="s">
        <v>1341</v>
      </c>
    </row>
    <row r="434" spans="1:6">
      <c r="A434" s="19">
        <v>12202</v>
      </c>
      <c r="B434" s="12" t="str">
        <f t="shared" si="6"/>
        <v>122</v>
      </c>
      <c r="C434" s="1" t="s">
        <v>1361</v>
      </c>
      <c r="D434" s="13" t="str">
        <f>IF(RIGHT(A434,3)="000",C434,VLOOKUP(B434,'Справочник ИХ'!A:C,3,0))</f>
        <v>Лесные грузы</v>
      </c>
      <c r="E434" s="13">
        <f>IF(RIGHT(A434,3)="000","х",VLOOKUP(B434,'Справочник ИХ'!A:D,4,0))</f>
        <v>3</v>
      </c>
      <c r="F434" s="14" t="s">
        <v>1341</v>
      </c>
    </row>
    <row r="435" spans="1:6" ht="31.75">
      <c r="A435" s="19">
        <v>12203</v>
      </c>
      <c r="B435" s="12" t="str">
        <f t="shared" si="6"/>
        <v>122</v>
      </c>
      <c r="C435" s="1" t="s">
        <v>1362</v>
      </c>
      <c r="D435" s="13" t="str">
        <f>IF(RIGHT(A435,3)="000",C435,VLOOKUP(B435,'Справочник ИХ'!A:C,3,0))</f>
        <v>Лесные грузы</v>
      </c>
      <c r="E435" s="13">
        <f>IF(RIGHT(A435,3)="000","х",VLOOKUP(B435,'Справочник ИХ'!A:D,4,0))</f>
        <v>3</v>
      </c>
      <c r="F435" s="14" t="s">
        <v>1341</v>
      </c>
    </row>
    <row r="436" spans="1:6" s="18" customFormat="1">
      <c r="A436" s="16">
        <v>12300</v>
      </c>
      <c r="B436" s="12" t="str">
        <f t="shared" si="6"/>
        <v>123</v>
      </c>
      <c r="C436" s="17" t="s">
        <v>1363</v>
      </c>
      <c r="D436" s="13" t="str">
        <f>IF(RIGHT(A436,3)="000",C436,VLOOKUP(B436,'Справочник ИХ'!A:C,3,0))</f>
        <v>Остальные грузы</v>
      </c>
      <c r="E436" s="13">
        <f>IF(RIGHT(A436,3)="000","х",VLOOKUP(B436,'Справочник ИХ'!A:D,4,0))</f>
        <v>3</v>
      </c>
      <c r="F436" s="14" t="s">
        <v>1341</v>
      </c>
    </row>
    <row r="437" spans="1:6" ht="31.75">
      <c r="A437" s="19">
        <v>12301</v>
      </c>
      <c r="B437" s="12" t="str">
        <f t="shared" si="6"/>
        <v>123</v>
      </c>
      <c r="C437" s="1" t="s">
        <v>1364</v>
      </c>
      <c r="D437" s="13" t="str">
        <f>IF(RIGHT(A437,3)="000",C437,VLOOKUP(B437,'Справочник ИХ'!A:C,3,0))</f>
        <v>Остальные грузы</v>
      </c>
      <c r="E437" s="13">
        <f>IF(RIGHT(A437,3)="000","х",VLOOKUP(B437,'Справочник ИХ'!A:D,4,0))</f>
        <v>3</v>
      </c>
      <c r="F437" s="14" t="s">
        <v>1341</v>
      </c>
    </row>
    <row r="438" spans="1:6" ht="31.75">
      <c r="A438" s="19">
        <v>12302</v>
      </c>
      <c r="B438" s="12" t="str">
        <f t="shared" si="6"/>
        <v>123</v>
      </c>
      <c r="C438" s="1" t="s">
        <v>1365</v>
      </c>
      <c r="D438" s="13" t="str">
        <f>IF(RIGHT(A438,3)="000",C438,VLOOKUP(B438,'Справочник ИХ'!A:C,3,0))</f>
        <v>Остальные грузы</v>
      </c>
      <c r="E438" s="13">
        <f>IF(RIGHT(A438,3)="000","х",VLOOKUP(B438,'Справочник ИХ'!A:D,4,0))</f>
        <v>3</v>
      </c>
      <c r="F438" s="14" t="s">
        <v>1341</v>
      </c>
    </row>
    <row r="439" spans="1:6">
      <c r="A439" s="19">
        <v>12303</v>
      </c>
      <c r="B439" s="12" t="str">
        <f t="shared" si="6"/>
        <v>123</v>
      </c>
      <c r="C439" s="1" t="s">
        <v>1366</v>
      </c>
      <c r="D439" s="13" t="str">
        <f>IF(RIGHT(A439,3)="000",C439,VLOOKUP(B439,'Справочник ИХ'!A:C,3,0))</f>
        <v>Остальные грузы</v>
      </c>
      <c r="E439" s="13">
        <f>IF(RIGHT(A439,3)="000","х",VLOOKUP(B439,'Справочник ИХ'!A:D,4,0))</f>
        <v>3</v>
      </c>
      <c r="F439" s="14" t="s">
        <v>1341</v>
      </c>
    </row>
    <row r="440" spans="1:6" ht="31.75">
      <c r="A440" s="19">
        <v>12304</v>
      </c>
      <c r="B440" s="12" t="str">
        <f t="shared" si="6"/>
        <v>123</v>
      </c>
      <c r="C440" s="1" t="s">
        <v>1367</v>
      </c>
      <c r="D440" s="13" t="str">
        <f>IF(RIGHT(A440,3)="000",C440,VLOOKUP(B440,'Справочник ИХ'!A:C,3,0))</f>
        <v>Остальные грузы</v>
      </c>
      <c r="E440" s="13">
        <f>IF(RIGHT(A440,3)="000","х",VLOOKUP(B440,'Справочник ИХ'!A:D,4,0))</f>
        <v>3</v>
      </c>
      <c r="F440" s="14" t="s">
        <v>1341</v>
      </c>
    </row>
    <row r="441" spans="1:6">
      <c r="A441" s="19">
        <v>12305</v>
      </c>
      <c r="B441" s="12" t="str">
        <f t="shared" si="6"/>
        <v>123</v>
      </c>
      <c r="C441" s="1" t="s">
        <v>1368</v>
      </c>
      <c r="D441" s="13" t="str">
        <f>IF(RIGHT(A441,3)="000",C441,VLOOKUP(B441,'Справочник ИХ'!A:C,3,0))</f>
        <v>Остальные грузы</v>
      </c>
      <c r="E441" s="13">
        <f>IF(RIGHT(A441,3)="000","х",VLOOKUP(B441,'Справочник ИХ'!A:D,4,0))</f>
        <v>3</v>
      </c>
      <c r="F441" s="14" t="s">
        <v>1341</v>
      </c>
    </row>
    <row r="442" spans="1:6">
      <c r="A442" s="19">
        <v>12306</v>
      </c>
      <c r="B442" s="12" t="str">
        <f t="shared" si="6"/>
        <v>123</v>
      </c>
      <c r="C442" s="1" t="s">
        <v>1369</v>
      </c>
      <c r="D442" s="13" t="str">
        <f>IF(RIGHT(A442,3)="000",C442,VLOOKUP(B442,'Справочник ИХ'!A:C,3,0))</f>
        <v>Остальные грузы</v>
      </c>
      <c r="E442" s="13">
        <f>IF(RIGHT(A442,3)="000","х",VLOOKUP(B442,'Справочник ИХ'!A:D,4,0))</f>
        <v>3</v>
      </c>
      <c r="F442" s="14" t="s">
        <v>1341</v>
      </c>
    </row>
    <row r="443" spans="1:6" s="18" customFormat="1">
      <c r="A443" s="16">
        <v>12400</v>
      </c>
      <c r="B443" s="12" t="str">
        <f t="shared" si="6"/>
        <v>124</v>
      </c>
      <c r="C443" s="17" t="s">
        <v>1370</v>
      </c>
      <c r="D443" s="13" t="str">
        <f>IF(RIGHT(A443,3)="000",C443,VLOOKUP(B443,'Справочник ИХ'!A:C,3,0))</f>
        <v>Остальные грузы</v>
      </c>
      <c r="E443" s="13">
        <f>IF(RIGHT(A443,3)="000","х",VLOOKUP(B443,'Справочник ИХ'!A:D,4,0))</f>
        <v>3</v>
      </c>
      <c r="F443" s="14" t="s">
        <v>1341</v>
      </c>
    </row>
    <row r="444" spans="1:6" ht="47.6">
      <c r="A444" s="19">
        <v>12401</v>
      </c>
      <c r="B444" s="12" t="str">
        <f t="shared" si="6"/>
        <v>124</v>
      </c>
      <c r="C444" s="1" t="s">
        <v>1371</v>
      </c>
      <c r="D444" s="13" t="str">
        <f>IF(RIGHT(A444,3)="000",C444,VLOOKUP(B444,'Справочник ИХ'!A:C,3,0))</f>
        <v>Остальные грузы</v>
      </c>
      <c r="E444" s="13">
        <f>IF(RIGHT(A444,3)="000","х",VLOOKUP(B444,'Справочник ИХ'!A:D,4,0))</f>
        <v>3</v>
      </c>
      <c r="F444" s="14" t="s">
        <v>1341</v>
      </c>
    </row>
    <row r="445" spans="1:6">
      <c r="A445" s="19">
        <v>12402</v>
      </c>
      <c r="B445" s="12" t="str">
        <f t="shared" si="6"/>
        <v>124</v>
      </c>
      <c r="C445" s="1" t="s">
        <v>1372</v>
      </c>
      <c r="D445" s="13" t="str">
        <f>IF(RIGHT(A445,3)="000",C445,VLOOKUP(B445,'Справочник ИХ'!A:C,3,0))</f>
        <v>Остальные грузы</v>
      </c>
      <c r="E445" s="13">
        <f>IF(RIGHT(A445,3)="000","х",VLOOKUP(B445,'Справочник ИХ'!A:D,4,0))</f>
        <v>3</v>
      </c>
      <c r="F445" s="14" t="s">
        <v>1341</v>
      </c>
    </row>
    <row r="446" spans="1:6" ht="31.75">
      <c r="A446" s="19">
        <v>12403</v>
      </c>
      <c r="B446" s="12" t="str">
        <f t="shared" si="6"/>
        <v>124</v>
      </c>
      <c r="C446" s="1" t="s">
        <v>1373</v>
      </c>
      <c r="D446" s="13" t="str">
        <f>IF(RIGHT(A446,3)="000",C446,VLOOKUP(B446,'Справочник ИХ'!A:C,3,0))</f>
        <v>Остальные грузы</v>
      </c>
      <c r="E446" s="13">
        <f>IF(RIGHT(A446,3)="000","х",VLOOKUP(B446,'Справочник ИХ'!A:D,4,0))</f>
        <v>3</v>
      </c>
      <c r="F446" s="14" t="s">
        <v>1341</v>
      </c>
    </row>
    <row r="447" spans="1:6">
      <c r="A447" s="19">
        <v>12404</v>
      </c>
      <c r="B447" s="12" t="str">
        <f t="shared" si="6"/>
        <v>124</v>
      </c>
      <c r="C447" s="1" t="s">
        <v>1374</v>
      </c>
      <c r="D447" s="13" t="str">
        <f>IF(RIGHT(A447,3)="000",C447,VLOOKUP(B447,'Справочник ИХ'!A:C,3,0))</f>
        <v>Остальные грузы</v>
      </c>
      <c r="E447" s="13">
        <f>IF(RIGHT(A447,3)="000","х",VLOOKUP(B447,'Справочник ИХ'!A:D,4,0))</f>
        <v>3</v>
      </c>
      <c r="F447" s="14" t="s">
        <v>1341</v>
      </c>
    </row>
    <row r="448" spans="1:6" s="18" customFormat="1" ht="47.6">
      <c r="A448" s="16">
        <v>12500</v>
      </c>
      <c r="B448" s="12" t="str">
        <f t="shared" si="6"/>
        <v>125</v>
      </c>
      <c r="C448" s="17" t="s">
        <v>1375</v>
      </c>
      <c r="D448" s="13" t="str">
        <f>IF(RIGHT(A448,3)="000",C448,VLOOKUP(B448,'Справочник ИХ'!A:C,3,0))</f>
        <v>Остальные грузы</v>
      </c>
      <c r="E448" s="13">
        <f>IF(RIGHT(A448,3)="000","х",VLOOKUP(B448,'Справочник ИХ'!A:D,4,0))</f>
        <v>3</v>
      </c>
      <c r="F448" s="14" t="s">
        <v>1341</v>
      </c>
    </row>
    <row r="449" spans="1:6">
      <c r="A449" s="19">
        <v>12501</v>
      </c>
      <c r="B449" s="12" t="str">
        <f t="shared" si="6"/>
        <v>125</v>
      </c>
      <c r="C449" s="1" t="s">
        <v>1376</v>
      </c>
      <c r="D449" s="13" t="str">
        <f>IF(RIGHT(A449,3)="000",C449,VLOOKUP(B449,'Справочник ИХ'!A:C,3,0))</f>
        <v>Остальные грузы</v>
      </c>
      <c r="E449" s="13">
        <f>IF(RIGHT(A449,3)="000","х",VLOOKUP(B449,'Справочник ИХ'!A:D,4,0))</f>
        <v>3</v>
      </c>
      <c r="F449" s="14" t="s">
        <v>1341</v>
      </c>
    </row>
    <row r="450" spans="1:6" ht="31.75">
      <c r="A450" s="19">
        <v>12502</v>
      </c>
      <c r="B450" s="12" t="str">
        <f t="shared" si="6"/>
        <v>125</v>
      </c>
      <c r="C450" s="1" t="s">
        <v>1377</v>
      </c>
      <c r="D450" s="13" t="str">
        <f>IF(RIGHT(A450,3)="000",C450,VLOOKUP(B450,'Справочник ИХ'!A:C,3,0))</f>
        <v>Остальные грузы</v>
      </c>
      <c r="E450" s="13">
        <f>IF(RIGHT(A450,3)="000","х",VLOOKUP(B450,'Справочник ИХ'!A:D,4,0))</f>
        <v>3</v>
      </c>
      <c r="F450" s="14" t="s">
        <v>1341</v>
      </c>
    </row>
    <row r="451" spans="1:6" ht="31.75">
      <c r="A451" s="19">
        <v>12503</v>
      </c>
      <c r="B451" s="12" t="str">
        <f t="shared" si="6"/>
        <v>125</v>
      </c>
      <c r="C451" s="1" t="s">
        <v>1378</v>
      </c>
      <c r="D451" s="13" t="str">
        <f>IF(RIGHT(A451,3)="000",C451,VLOOKUP(B451,'Справочник ИХ'!A:C,3,0))</f>
        <v>Остальные грузы</v>
      </c>
      <c r="E451" s="13">
        <f>IF(RIGHT(A451,3)="000","х",VLOOKUP(B451,'Справочник ИХ'!A:D,4,0))</f>
        <v>3</v>
      </c>
      <c r="F451" s="14" t="s">
        <v>1341</v>
      </c>
    </row>
    <row r="452" spans="1:6">
      <c r="A452" s="19">
        <v>12504</v>
      </c>
      <c r="B452" s="12" t="str">
        <f t="shared" ref="B452:B515" si="7">LEFT(A452,3)</f>
        <v>125</v>
      </c>
      <c r="C452" s="1" t="s">
        <v>1379</v>
      </c>
      <c r="D452" s="13" t="str">
        <f>IF(RIGHT(A452,3)="000",C452,VLOOKUP(B452,'Справочник ИХ'!A:C,3,0))</f>
        <v>Остальные грузы</v>
      </c>
      <c r="E452" s="13">
        <f>IF(RIGHT(A452,3)="000","х",VLOOKUP(B452,'Справочник ИХ'!A:D,4,0))</f>
        <v>3</v>
      </c>
      <c r="F452" s="14" t="s">
        <v>1341</v>
      </c>
    </row>
    <row r="453" spans="1:6">
      <c r="A453" s="19">
        <v>12505</v>
      </c>
      <c r="B453" s="12" t="str">
        <f t="shared" si="7"/>
        <v>125</v>
      </c>
      <c r="C453" s="1" t="s">
        <v>1380</v>
      </c>
      <c r="D453" s="13" t="str">
        <f>IF(RIGHT(A453,3)="000",C453,VLOOKUP(B453,'Справочник ИХ'!A:C,3,0))</f>
        <v>Остальные грузы</v>
      </c>
      <c r="E453" s="13">
        <f>IF(RIGHT(A453,3)="000","х",VLOOKUP(B453,'Справочник ИХ'!A:D,4,0))</f>
        <v>3</v>
      </c>
      <c r="F453" s="14" t="s">
        <v>1341</v>
      </c>
    </row>
    <row r="454" spans="1:6" ht="31.75">
      <c r="A454" s="19">
        <v>12506</v>
      </c>
      <c r="B454" s="12" t="str">
        <f t="shared" si="7"/>
        <v>125</v>
      </c>
      <c r="C454" s="1" t="s">
        <v>1381</v>
      </c>
      <c r="D454" s="13" t="str">
        <f>IF(RIGHT(A454,3)="000",C454,VLOOKUP(B454,'Справочник ИХ'!A:C,3,0))</f>
        <v>Остальные грузы</v>
      </c>
      <c r="E454" s="13">
        <f>IF(RIGHT(A454,3)="000","х",VLOOKUP(B454,'Справочник ИХ'!A:D,4,0))</f>
        <v>3</v>
      </c>
      <c r="F454" s="14" t="s">
        <v>1341</v>
      </c>
    </row>
    <row r="455" spans="1:6">
      <c r="A455" s="19">
        <v>12507</v>
      </c>
      <c r="B455" s="12" t="str">
        <f t="shared" si="7"/>
        <v>125</v>
      </c>
      <c r="C455" s="1" t="s">
        <v>1382</v>
      </c>
      <c r="D455" s="13" t="str">
        <f>IF(RIGHT(A455,3)="000",C455,VLOOKUP(B455,'Справочник ИХ'!A:C,3,0))</f>
        <v>Остальные грузы</v>
      </c>
      <c r="E455" s="13">
        <f>IF(RIGHT(A455,3)="000","х",VLOOKUP(B455,'Справочник ИХ'!A:D,4,0))</f>
        <v>3</v>
      </c>
      <c r="F455" s="14" t="s">
        <v>1341</v>
      </c>
    </row>
    <row r="456" spans="1:6">
      <c r="A456" s="19">
        <v>12508</v>
      </c>
      <c r="B456" s="12" t="str">
        <f t="shared" si="7"/>
        <v>125</v>
      </c>
      <c r="C456" s="1" t="s">
        <v>1383</v>
      </c>
      <c r="D456" s="13" t="str">
        <f>IF(RIGHT(A456,3)="000",C456,VLOOKUP(B456,'Справочник ИХ'!A:C,3,0))</f>
        <v>Остальные грузы</v>
      </c>
      <c r="E456" s="13">
        <f>IF(RIGHT(A456,3)="000","х",VLOOKUP(B456,'Справочник ИХ'!A:D,4,0))</f>
        <v>3</v>
      </c>
      <c r="F456" s="14" t="s">
        <v>1341</v>
      </c>
    </row>
    <row r="457" spans="1:6">
      <c r="A457" s="19">
        <v>12509</v>
      </c>
      <c r="B457" s="12" t="str">
        <f t="shared" si="7"/>
        <v>125</v>
      </c>
      <c r="C457" s="1" t="s">
        <v>1384</v>
      </c>
      <c r="D457" s="13" t="str">
        <f>IF(RIGHT(A457,3)="000",C457,VLOOKUP(B457,'Справочник ИХ'!A:C,3,0))</f>
        <v>Остальные грузы</v>
      </c>
      <c r="E457" s="13">
        <f>IF(RIGHT(A457,3)="000","х",VLOOKUP(B457,'Справочник ИХ'!A:D,4,0))</f>
        <v>3</v>
      </c>
      <c r="F457" s="14" t="s">
        <v>1341</v>
      </c>
    </row>
    <row r="458" spans="1:6">
      <c r="A458" s="19">
        <v>12510</v>
      </c>
      <c r="B458" s="12" t="str">
        <f t="shared" si="7"/>
        <v>125</v>
      </c>
      <c r="C458" s="1" t="s">
        <v>1385</v>
      </c>
      <c r="D458" s="13" t="str">
        <f>IF(RIGHT(A458,3)="000",C458,VLOOKUP(B458,'Справочник ИХ'!A:C,3,0))</f>
        <v>Остальные грузы</v>
      </c>
      <c r="E458" s="13">
        <f>IF(RIGHT(A458,3)="000","х",VLOOKUP(B458,'Справочник ИХ'!A:D,4,0))</f>
        <v>3</v>
      </c>
      <c r="F458" s="14" t="s">
        <v>1341</v>
      </c>
    </row>
    <row r="459" spans="1:6" ht="31.75">
      <c r="A459" s="19">
        <v>12511</v>
      </c>
      <c r="B459" s="12" t="str">
        <f t="shared" si="7"/>
        <v>125</v>
      </c>
      <c r="C459" s="1" t="s">
        <v>1386</v>
      </c>
      <c r="D459" s="13" t="str">
        <f>IF(RIGHT(A459,3)="000",C459,VLOOKUP(B459,'Справочник ИХ'!A:C,3,0))</f>
        <v>Остальные грузы</v>
      </c>
      <c r="E459" s="13">
        <f>IF(RIGHT(A459,3)="000","х",VLOOKUP(B459,'Справочник ИХ'!A:D,4,0))</f>
        <v>3</v>
      </c>
      <c r="F459" s="14" t="s">
        <v>1341</v>
      </c>
    </row>
    <row r="460" spans="1:6" ht="31.75">
      <c r="A460" s="19">
        <v>12512</v>
      </c>
      <c r="B460" s="12" t="str">
        <f t="shared" si="7"/>
        <v>125</v>
      </c>
      <c r="C460" s="1" t="s">
        <v>1387</v>
      </c>
      <c r="D460" s="13" t="str">
        <f>IF(RIGHT(A460,3)="000",C460,VLOOKUP(B460,'Справочник ИХ'!A:C,3,0))</f>
        <v>Остальные грузы</v>
      </c>
      <c r="E460" s="13">
        <f>IF(RIGHT(A460,3)="000","х",VLOOKUP(B460,'Справочник ИХ'!A:D,4,0))</f>
        <v>3</v>
      </c>
      <c r="F460" s="14" t="s">
        <v>1341</v>
      </c>
    </row>
    <row r="461" spans="1:6" ht="31.75">
      <c r="A461" s="19">
        <v>12513</v>
      </c>
      <c r="B461" s="12" t="str">
        <f t="shared" si="7"/>
        <v>125</v>
      </c>
      <c r="C461" s="1" t="s">
        <v>1388</v>
      </c>
      <c r="D461" s="13" t="str">
        <f>IF(RIGHT(A461,3)="000",C461,VLOOKUP(B461,'Справочник ИХ'!A:C,3,0))</f>
        <v>Остальные грузы</v>
      </c>
      <c r="E461" s="13">
        <f>IF(RIGHT(A461,3)="000","х",VLOOKUP(B461,'Справочник ИХ'!A:D,4,0))</f>
        <v>3</v>
      </c>
      <c r="F461" s="14" t="s">
        <v>1341</v>
      </c>
    </row>
    <row r="462" spans="1:6" ht="31.75">
      <c r="A462" s="19">
        <v>12514</v>
      </c>
      <c r="B462" s="12" t="str">
        <f t="shared" si="7"/>
        <v>125</v>
      </c>
      <c r="C462" s="1" t="s">
        <v>1389</v>
      </c>
      <c r="D462" s="13" t="str">
        <f>IF(RIGHT(A462,3)="000",C462,VLOOKUP(B462,'Справочник ИХ'!A:C,3,0))</f>
        <v>Остальные грузы</v>
      </c>
      <c r="E462" s="13">
        <f>IF(RIGHT(A462,3)="000","х",VLOOKUP(B462,'Справочник ИХ'!A:D,4,0))</f>
        <v>3</v>
      </c>
      <c r="F462" s="14" t="s">
        <v>1341</v>
      </c>
    </row>
    <row r="463" spans="1:6" ht="31.75">
      <c r="A463" s="19">
        <v>12515</v>
      </c>
      <c r="B463" s="12" t="str">
        <f t="shared" si="7"/>
        <v>125</v>
      </c>
      <c r="C463" s="1" t="s">
        <v>1390</v>
      </c>
      <c r="D463" s="13" t="str">
        <f>IF(RIGHT(A463,3)="000",C463,VLOOKUP(B463,'Справочник ИХ'!A:C,3,0))</f>
        <v>Остальные грузы</v>
      </c>
      <c r="E463" s="13">
        <f>IF(RIGHT(A463,3)="000","х",VLOOKUP(B463,'Справочник ИХ'!A:D,4,0))</f>
        <v>3</v>
      </c>
      <c r="F463" s="14" t="s">
        <v>1341</v>
      </c>
    </row>
    <row r="464" spans="1:6">
      <c r="A464" s="19">
        <v>12516</v>
      </c>
      <c r="B464" s="12" t="str">
        <f t="shared" si="7"/>
        <v>125</v>
      </c>
      <c r="C464" s="1" t="s">
        <v>1391</v>
      </c>
      <c r="D464" s="13" t="str">
        <f>IF(RIGHT(A464,3)="000",C464,VLOOKUP(B464,'Справочник ИХ'!A:C,3,0))</f>
        <v>Остальные грузы</v>
      </c>
      <c r="E464" s="13">
        <f>IF(RIGHT(A464,3)="000","х",VLOOKUP(B464,'Справочник ИХ'!A:D,4,0))</f>
        <v>3</v>
      </c>
      <c r="F464" s="14" t="s">
        <v>1341</v>
      </c>
    </row>
    <row r="465" spans="1:6">
      <c r="A465" s="19">
        <v>12517</v>
      </c>
      <c r="B465" s="12" t="str">
        <f t="shared" si="7"/>
        <v>125</v>
      </c>
      <c r="C465" s="1" t="s">
        <v>1392</v>
      </c>
      <c r="D465" s="13" t="str">
        <f>IF(RIGHT(A465,3)="000",C465,VLOOKUP(B465,'Справочник ИХ'!A:C,3,0))</f>
        <v>Остальные грузы</v>
      </c>
      <c r="E465" s="13">
        <f>IF(RIGHT(A465,3)="000","х",VLOOKUP(B465,'Справочник ИХ'!A:D,4,0))</f>
        <v>3</v>
      </c>
      <c r="F465" s="14" t="s">
        <v>1341</v>
      </c>
    </row>
    <row r="466" spans="1:6">
      <c r="A466" s="19">
        <v>12518</v>
      </c>
      <c r="B466" s="12" t="str">
        <f t="shared" si="7"/>
        <v>125</v>
      </c>
      <c r="C466" s="1" t="s">
        <v>1393</v>
      </c>
      <c r="D466" s="13" t="str">
        <f>IF(RIGHT(A466,3)="000",C466,VLOOKUP(B466,'Справочник ИХ'!A:C,3,0))</f>
        <v>Остальные грузы</v>
      </c>
      <c r="E466" s="13">
        <f>IF(RIGHT(A466,3)="000","х",VLOOKUP(B466,'Справочник ИХ'!A:D,4,0))</f>
        <v>3</v>
      </c>
      <c r="F466" s="14" t="s">
        <v>1341</v>
      </c>
    </row>
    <row r="467" spans="1:6">
      <c r="A467" s="19">
        <v>12519</v>
      </c>
      <c r="B467" s="12" t="str">
        <f t="shared" si="7"/>
        <v>125</v>
      </c>
      <c r="C467" s="1" t="s">
        <v>1394</v>
      </c>
      <c r="D467" s="13" t="str">
        <f>IF(RIGHT(A467,3)="000",C467,VLOOKUP(B467,'Справочник ИХ'!A:C,3,0))</f>
        <v>Остальные грузы</v>
      </c>
      <c r="E467" s="13">
        <f>IF(RIGHT(A467,3)="000","х",VLOOKUP(B467,'Справочник ИХ'!A:D,4,0))</f>
        <v>3</v>
      </c>
      <c r="F467" s="14" t="s">
        <v>1341</v>
      </c>
    </row>
    <row r="468" spans="1:6">
      <c r="A468" s="19">
        <v>12520</v>
      </c>
      <c r="B468" s="12" t="str">
        <f t="shared" si="7"/>
        <v>125</v>
      </c>
      <c r="C468" s="1" t="s">
        <v>1395</v>
      </c>
      <c r="D468" s="13" t="str">
        <f>IF(RIGHT(A468,3)="000",C468,VLOOKUP(B468,'Справочник ИХ'!A:C,3,0))</f>
        <v>Остальные грузы</v>
      </c>
      <c r="E468" s="13">
        <f>IF(RIGHT(A468,3)="000","х",VLOOKUP(B468,'Справочник ИХ'!A:D,4,0))</f>
        <v>3</v>
      </c>
      <c r="F468" s="14" t="s">
        <v>1341</v>
      </c>
    </row>
    <row r="469" spans="1:6">
      <c r="A469" s="19">
        <v>12521</v>
      </c>
      <c r="B469" s="12" t="str">
        <f t="shared" si="7"/>
        <v>125</v>
      </c>
      <c r="C469" s="1" t="s">
        <v>1396</v>
      </c>
      <c r="D469" s="13" t="str">
        <f>IF(RIGHT(A469,3)="000",C469,VLOOKUP(B469,'Справочник ИХ'!A:C,3,0))</f>
        <v>Остальные грузы</v>
      </c>
      <c r="E469" s="13">
        <f>IF(RIGHT(A469,3)="000","х",VLOOKUP(B469,'Справочник ИХ'!A:D,4,0))</f>
        <v>3</v>
      </c>
      <c r="F469" s="14" t="s">
        <v>1341</v>
      </c>
    </row>
    <row r="470" spans="1:6">
      <c r="A470" s="19">
        <v>12522</v>
      </c>
      <c r="B470" s="12" t="str">
        <f t="shared" si="7"/>
        <v>125</v>
      </c>
      <c r="C470" s="1" t="s">
        <v>1397</v>
      </c>
      <c r="D470" s="13" t="str">
        <f>IF(RIGHT(A470,3)="000",C470,VLOOKUP(B470,'Справочник ИХ'!A:C,3,0))</f>
        <v>Остальные грузы</v>
      </c>
      <c r="E470" s="13">
        <f>IF(RIGHT(A470,3)="000","х",VLOOKUP(B470,'Справочник ИХ'!A:D,4,0))</f>
        <v>3</v>
      </c>
      <c r="F470" s="14" t="s">
        <v>1341</v>
      </c>
    </row>
    <row r="471" spans="1:6" ht="31.75">
      <c r="A471" s="19">
        <v>12523</v>
      </c>
      <c r="B471" s="12" t="str">
        <f t="shared" si="7"/>
        <v>125</v>
      </c>
      <c r="C471" s="1" t="s">
        <v>1398</v>
      </c>
      <c r="D471" s="13" t="str">
        <f>IF(RIGHT(A471,3)="000",C471,VLOOKUP(B471,'Справочник ИХ'!A:C,3,0))</f>
        <v>Остальные грузы</v>
      </c>
      <c r="E471" s="13">
        <f>IF(RIGHT(A471,3)="000","х",VLOOKUP(B471,'Справочник ИХ'!A:D,4,0))</f>
        <v>3</v>
      </c>
      <c r="F471" s="14" t="s">
        <v>1341</v>
      </c>
    </row>
    <row r="472" spans="1:6">
      <c r="A472" s="19">
        <v>12524</v>
      </c>
      <c r="B472" s="12" t="str">
        <f t="shared" si="7"/>
        <v>125</v>
      </c>
      <c r="C472" s="1" t="s">
        <v>1399</v>
      </c>
      <c r="D472" s="13" t="str">
        <f>IF(RIGHT(A472,3)="000",C472,VLOOKUP(B472,'Справочник ИХ'!A:C,3,0))</f>
        <v>Остальные грузы</v>
      </c>
      <c r="E472" s="13">
        <f>IF(RIGHT(A472,3)="000","х",VLOOKUP(B472,'Справочник ИХ'!A:D,4,0))</f>
        <v>3</v>
      </c>
      <c r="F472" s="14" t="s">
        <v>1341</v>
      </c>
    </row>
    <row r="473" spans="1:6">
      <c r="A473" s="19">
        <v>12525</v>
      </c>
      <c r="B473" s="12" t="str">
        <f t="shared" si="7"/>
        <v>125</v>
      </c>
      <c r="C473" s="1" t="s">
        <v>1400</v>
      </c>
      <c r="D473" s="13" t="str">
        <f>IF(RIGHT(A473,3)="000",C473,VLOOKUP(B473,'Справочник ИХ'!A:C,3,0))</f>
        <v>Остальные грузы</v>
      </c>
      <c r="E473" s="13">
        <f>IF(RIGHT(A473,3)="000","х",VLOOKUP(B473,'Справочник ИХ'!A:D,4,0))</f>
        <v>3</v>
      </c>
      <c r="F473" s="14" t="s">
        <v>1341</v>
      </c>
    </row>
    <row r="474" spans="1:6">
      <c r="A474" s="19">
        <v>12526</v>
      </c>
      <c r="B474" s="12" t="str">
        <f t="shared" si="7"/>
        <v>125</v>
      </c>
      <c r="C474" s="1" t="s">
        <v>1401</v>
      </c>
      <c r="D474" s="13" t="str">
        <f>IF(RIGHT(A474,3)="000",C474,VLOOKUP(B474,'Справочник ИХ'!A:C,3,0))</f>
        <v>Остальные грузы</v>
      </c>
      <c r="E474" s="13">
        <f>IF(RIGHT(A474,3)="000","х",VLOOKUP(B474,'Справочник ИХ'!A:D,4,0))</f>
        <v>3</v>
      </c>
      <c r="F474" s="14" t="s">
        <v>1341</v>
      </c>
    </row>
    <row r="475" spans="1:6">
      <c r="A475" s="19">
        <v>12527</v>
      </c>
      <c r="B475" s="12" t="str">
        <f t="shared" si="7"/>
        <v>125</v>
      </c>
      <c r="C475" s="1" t="s">
        <v>1402</v>
      </c>
      <c r="D475" s="13" t="str">
        <f>IF(RIGHT(A475,3)="000",C475,VLOOKUP(B475,'Справочник ИХ'!A:C,3,0))</f>
        <v>Остальные грузы</v>
      </c>
      <c r="E475" s="13">
        <f>IF(RIGHT(A475,3)="000","х",VLOOKUP(B475,'Справочник ИХ'!A:D,4,0))</f>
        <v>3</v>
      </c>
      <c r="F475" s="14" t="s">
        <v>1341</v>
      </c>
    </row>
    <row r="476" spans="1:6">
      <c r="A476" s="19">
        <v>12528</v>
      </c>
      <c r="B476" s="12" t="str">
        <f t="shared" si="7"/>
        <v>125</v>
      </c>
      <c r="C476" s="1" t="s">
        <v>1403</v>
      </c>
      <c r="D476" s="13" t="str">
        <f>IF(RIGHT(A476,3)="000",C476,VLOOKUP(B476,'Справочник ИХ'!A:C,3,0))</f>
        <v>Остальные грузы</v>
      </c>
      <c r="E476" s="13">
        <f>IF(RIGHT(A476,3)="000","х",VLOOKUP(B476,'Справочник ИХ'!A:D,4,0))</f>
        <v>3</v>
      </c>
      <c r="F476" s="14" t="s">
        <v>1341</v>
      </c>
    </row>
    <row r="477" spans="1:6">
      <c r="A477" s="19">
        <v>12529</v>
      </c>
      <c r="B477" s="12" t="str">
        <f t="shared" si="7"/>
        <v>125</v>
      </c>
      <c r="C477" s="1" t="s">
        <v>1404</v>
      </c>
      <c r="D477" s="13" t="str">
        <f>IF(RIGHT(A477,3)="000",C477,VLOOKUP(B477,'Справочник ИХ'!A:C,3,0))</f>
        <v>Остальные грузы</v>
      </c>
      <c r="E477" s="13">
        <f>IF(RIGHT(A477,3)="000","х",VLOOKUP(B477,'Справочник ИХ'!A:D,4,0))</f>
        <v>3</v>
      </c>
      <c r="F477" s="14" t="s">
        <v>1341</v>
      </c>
    </row>
    <row r="478" spans="1:6">
      <c r="A478" s="19">
        <v>12530</v>
      </c>
      <c r="B478" s="12" t="str">
        <f t="shared" si="7"/>
        <v>125</v>
      </c>
      <c r="C478" s="1" t="s">
        <v>1405</v>
      </c>
      <c r="D478" s="13" t="str">
        <f>IF(RIGHT(A478,3)="000",C478,VLOOKUP(B478,'Справочник ИХ'!A:C,3,0))</f>
        <v>Остальные грузы</v>
      </c>
      <c r="E478" s="13">
        <f>IF(RIGHT(A478,3)="000","х",VLOOKUP(B478,'Справочник ИХ'!A:D,4,0))</f>
        <v>3</v>
      </c>
      <c r="F478" s="14" t="s">
        <v>1341</v>
      </c>
    </row>
    <row r="479" spans="1:6">
      <c r="A479" s="19">
        <v>12531</v>
      </c>
      <c r="B479" s="12" t="str">
        <f t="shared" si="7"/>
        <v>125</v>
      </c>
      <c r="C479" s="1" t="s">
        <v>1406</v>
      </c>
      <c r="D479" s="13" t="str">
        <f>IF(RIGHT(A479,3)="000",C479,VLOOKUP(B479,'Справочник ИХ'!A:C,3,0))</f>
        <v>Остальные грузы</v>
      </c>
      <c r="E479" s="13">
        <f>IF(RIGHT(A479,3)="000","х",VLOOKUP(B479,'Справочник ИХ'!A:D,4,0))</f>
        <v>3</v>
      </c>
      <c r="F479" s="14" t="s">
        <v>1341</v>
      </c>
    </row>
    <row r="480" spans="1:6">
      <c r="A480" s="19">
        <v>12532</v>
      </c>
      <c r="B480" s="12" t="str">
        <f t="shared" si="7"/>
        <v>125</v>
      </c>
      <c r="C480" s="1" t="s">
        <v>1407</v>
      </c>
      <c r="D480" s="13" t="str">
        <f>IF(RIGHT(A480,3)="000",C480,VLOOKUP(B480,'Справочник ИХ'!A:C,3,0))</f>
        <v>Остальные грузы</v>
      </c>
      <c r="E480" s="13">
        <f>IF(RIGHT(A480,3)="000","х",VLOOKUP(B480,'Справочник ИХ'!A:D,4,0))</f>
        <v>3</v>
      </c>
      <c r="F480" s="14" t="s">
        <v>1341</v>
      </c>
    </row>
    <row r="481" spans="1:6">
      <c r="A481" s="19">
        <v>12533</v>
      </c>
      <c r="B481" s="12" t="str">
        <f t="shared" si="7"/>
        <v>125</v>
      </c>
      <c r="C481" s="1" t="s">
        <v>1408</v>
      </c>
      <c r="D481" s="13" t="str">
        <f>IF(RIGHT(A481,3)="000",C481,VLOOKUP(B481,'Справочник ИХ'!A:C,3,0))</f>
        <v>Остальные грузы</v>
      </c>
      <c r="E481" s="13">
        <f>IF(RIGHT(A481,3)="000","х",VLOOKUP(B481,'Справочник ИХ'!A:D,4,0))</f>
        <v>3</v>
      </c>
      <c r="F481" s="14" t="s">
        <v>1341</v>
      </c>
    </row>
    <row r="482" spans="1:6" ht="31.75">
      <c r="A482" s="19">
        <v>12534</v>
      </c>
      <c r="B482" s="12" t="str">
        <f t="shared" si="7"/>
        <v>125</v>
      </c>
      <c r="C482" s="1" t="s">
        <v>1409</v>
      </c>
      <c r="D482" s="13" t="str">
        <f>IF(RIGHT(A482,3)="000",C482,VLOOKUP(B482,'Справочник ИХ'!A:C,3,0))</f>
        <v>Остальные грузы</v>
      </c>
      <c r="E482" s="13">
        <f>IF(RIGHT(A482,3)="000","х",VLOOKUP(B482,'Справочник ИХ'!A:D,4,0))</f>
        <v>3</v>
      </c>
      <c r="F482" s="14" t="s">
        <v>1341</v>
      </c>
    </row>
    <row r="483" spans="1:6" ht="31.75">
      <c r="A483" s="19">
        <v>12535</v>
      </c>
      <c r="B483" s="12" t="str">
        <f t="shared" si="7"/>
        <v>125</v>
      </c>
      <c r="C483" s="1" t="s">
        <v>1410</v>
      </c>
      <c r="D483" s="13" t="str">
        <f>IF(RIGHT(A483,3)="000",C483,VLOOKUP(B483,'Справочник ИХ'!A:C,3,0))</f>
        <v>Остальные грузы</v>
      </c>
      <c r="E483" s="13">
        <f>IF(RIGHT(A483,3)="000","х",VLOOKUP(B483,'Справочник ИХ'!A:D,4,0))</f>
        <v>3</v>
      </c>
      <c r="F483" s="14" t="s">
        <v>1341</v>
      </c>
    </row>
    <row r="484" spans="1:6">
      <c r="A484" s="19">
        <v>12536</v>
      </c>
      <c r="B484" s="12" t="str">
        <f t="shared" si="7"/>
        <v>125</v>
      </c>
      <c r="C484" s="1" t="s">
        <v>1411</v>
      </c>
      <c r="D484" s="13" t="str">
        <f>IF(RIGHT(A484,3)="000",C484,VLOOKUP(B484,'Справочник ИХ'!A:C,3,0))</f>
        <v>Остальные грузы</v>
      </c>
      <c r="E484" s="13">
        <f>IF(RIGHT(A484,3)="000","х",VLOOKUP(B484,'Справочник ИХ'!A:D,4,0))</f>
        <v>3</v>
      </c>
      <c r="F484" s="14" t="s">
        <v>1341</v>
      </c>
    </row>
    <row r="485" spans="1:6">
      <c r="A485" s="19">
        <v>12537</v>
      </c>
      <c r="B485" s="12" t="str">
        <f t="shared" si="7"/>
        <v>125</v>
      </c>
      <c r="C485" s="1" t="s">
        <v>1412</v>
      </c>
      <c r="D485" s="13" t="str">
        <f>IF(RIGHT(A485,3)="000",C485,VLOOKUP(B485,'Справочник ИХ'!A:C,3,0))</f>
        <v>Остальные грузы</v>
      </c>
      <c r="E485" s="13">
        <f>IF(RIGHT(A485,3)="000","х",VLOOKUP(B485,'Справочник ИХ'!A:D,4,0))</f>
        <v>3</v>
      </c>
      <c r="F485" s="14" t="s">
        <v>1341</v>
      </c>
    </row>
    <row r="486" spans="1:6">
      <c r="A486" s="19">
        <v>12538</v>
      </c>
      <c r="B486" s="12" t="str">
        <f t="shared" si="7"/>
        <v>125</v>
      </c>
      <c r="C486" s="1" t="s">
        <v>1413</v>
      </c>
      <c r="D486" s="13" t="str">
        <f>IF(RIGHT(A486,3)="000",C486,VLOOKUP(B486,'Справочник ИХ'!A:C,3,0))</f>
        <v>Остальные грузы</v>
      </c>
      <c r="E486" s="13">
        <f>IF(RIGHT(A486,3)="000","х",VLOOKUP(B486,'Справочник ИХ'!A:D,4,0))</f>
        <v>3</v>
      </c>
      <c r="F486" s="14" t="s">
        <v>1341</v>
      </c>
    </row>
    <row r="487" spans="1:6">
      <c r="A487" s="19">
        <v>12539</v>
      </c>
      <c r="B487" s="12" t="str">
        <f t="shared" si="7"/>
        <v>125</v>
      </c>
      <c r="C487" s="1" t="s">
        <v>1414</v>
      </c>
      <c r="D487" s="13" t="str">
        <f>IF(RIGHT(A487,3)="000",C487,VLOOKUP(B487,'Справочник ИХ'!A:C,3,0))</f>
        <v>Остальные грузы</v>
      </c>
      <c r="E487" s="13">
        <f>IF(RIGHT(A487,3)="000","х",VLOOKUP(B487,'Справочник ИХ'!A:D,4,0))</f>
        <v>3</v>
      </c>
      <c r="F487" s="14" t="s">
        <v>1341</v>
      </c>
    </row>
    <row r="488" spans="1:6">
      <c r="A488" s="19">
        <v>12540</v>
      </c>
      <c r="B488" s="12" t="str">
        <f t="shared" si="7"/>
        <v>125</v>
      </c>
      <c r="C488" s="1" t="s">
        <v>1415</v>
      </c>
      <c r="D488" s="13" t="str">
        <f>IF(RIGHT(A488,3)="000",C488,VLOOKUP(B488,'Справочник ИХ'!A:C,3,0))</f>
        <v>Остальные грузы</v>
      </c>
      <c r="E488" s="13">
        <f>IF(RIGHT(A488,3)="000","х",VLOOKUP(B488,'Справочник ИХ'!A:D,4,0))</f>
        <v>3</v>
      </c>
      <c r="F488" s="14" t="s">
        <v>1341</v>
      </c>
    </row>
    <row r="489" spans="1:6">
      <c r="A489" s="19">
        <v>12541</v>
      </c>
      <c r="B489" s="12" t="str">
        <f t="shared" si="7"/>
        <v>125</v>
      </c>
      <c r="C489" s="1" t="s">
        <v>1416</v>
      </c>
      <c r="D489" s="13" t="str">
        <f>IF(RIGHT(A489,3)="000",C489,VLOOKUP(B489,'Справочник ИХ'!A:C,3,0))</f>
        <v>Остальные грузы</v>
      </c>
      <c r="E489" s="13">
        <f>IF(RIGHT(A489,3)="000","х",VLOOKUP(B489,'Справочник ИХ'!A:D,4,0))</f>
        <v>3</v>
      </c>
      <c r="F489" s="14" t="s">
        <v>1341</v>
      </c>
    </row>
    <row r="490" spans="1:6">
      <c r="A490" s="19">
        <v>12542</v>
      </c>
      <c r="B490" s="12" t="str">
        <f t="shared" si="7"/>
        <v>125</v>
      </c>
      <c r="C490" s="1" t="s">
        <v>1417</v>
      </c>
      <c r="D490" s="13" t="str">
        <f>IF(RIGHT(A490,3)="000",C490,VLOOKUP(B490,'Справочник ИХ'!A:C,3,0))</f>
        <v>Остальные грузы</v>
      </c>
      <c r="E490" s="13">
        <f>IF(RIGHT(A490,3)="000","х",VLOOKUP(B490,'Справочник ИХ'!A:D,4,0))</f>
        <v>3</v>
      </c>
      <c r="F490" s="14" t="s">
        <v>1341</v>
      </c>
    </row>
    <row r="491" spans="1:6">
      <c r="A491" s="19">
        <v>12543</v>
      </c>
      <c r="B491" s="12" t="str">
        <f t="shared" si="7"/>
        <v>125</v>
      </c>
      <c r="C491" s="1" t="s">
        <v>1418</v>
      </c>
      <c r="D491" s="13" t="str">
        <f>IF(RIGHT(A491,3)="000",C491,VLOOKUP(B491,'Справочник ИХ'!A:C,3,0))</f>
        <v>Остальные грузы</v>
      </c>
      <c r="E491" s="13">
        <f>IF(RIGHT(A491,3)="000","х",VLOOKUP(B491,'Справочник ИХ'!A:D,4,0))</f>
        <v>3</v>
      </c>
      <c r="F491" s="14" t="s">
        <v>1341</v>
      </c>
    </row>
    <row r="492" spans="1:6">
      <c r="A492" s="19">
        <v>12544</v>
      </c>
      <c r="B492" s="12" t="str">
        <f t="shared" si="7"/>
        <v>125</v>
      </c>
      <c r="C492" s="1" t="s">
        <v>1419</v>
      </c>
      <c r="D492" s="13" t="str">
        <f>IF(RIGHT(A492,3)="000",C492,VLOOKUP(B492,'Справочник ИХ'!A:C,3,0))</f>
        <v>Остальные грузы</v>
      </c>
      <c r="E492" s="13">
        <f>IF(RIGHT(A492,3)="000","х",VLOOKUP(B492,'Справочник ИХ'!A:D,4,0))</f>
        <v>3</v>
      </c>
      <c r="F492" s="14" t="s">
        <v>1341</v>
      </c>
    </row>
    <row r="493" spans="1:6">
      <c r="A493" s="19">
        <v>12545</v>
      </c>
      <c r="B493" s="12" t="str">
        <f t="shared" si="7"/>
        <v>125</v>
      </c>
      <c r="C493" s="1" t="s">
        <v>1420</v>
      </c>
      <c r="D493" s="13" t="str">
        <f>IF(RIGHT(A493,3)="000",C493,VLOOKUP(B493,'Справочник ИХ'!A:C,3,0))</f>
        <v>Остальные грузы</v>
      </c>
      <c r="E493" s="13">
        <f>IF(RIGHT(A493,3)="000","х",VLOOKUP(B493,'Справочник ИХ'!A:D,4,0))</f>
        <v>3</v>
      </c>
      <c r="F493" s="14" t="s">
        <v>1341</v>
      </c>
    </row>
    <row r="494" spans="1:6">
      <c r="A494" s="19">
        <v>12546</v>
      </c>
      <c r="B494" s="12" t="str">
        <f t="shared" si="7"/>
        <v>125</v>
      </c>
      <c r="C494" s="1" t="s">
        <v>1421</v>
      </c>
      <c r="D494" s="13" t="str">
        <f>IF(RIGHT(A494,3)="000",C494,VLOOKUP(B494,'Справочник ИХ'!A:C,3,0))</f>
        <v>Остальные грузы</v>
      </c>
      <c r="E494" s="13">
        <f>IF(RIGHT(A494,3)="000","х",VLOOKUP(B494,'Справочник ИХ'!A:D,4,0))</f>
        <v>3</v>
      </c>
      <c r="F494" s="14" t="s">
        <v>1341</v>
      </c>
    </row>
    <row r="495" spans="1:6" s="18" customFormat="1">
      <c r="A495" s="16">
        <v>12600</v>
      </c>
      <c r="B495" s="12" t="str">
        <f t="shared" si="7"/>
        <v>126</v>
      </c>
      <c r="C495" s="17" t="s">
        <v>1422</v>
      </c>
      <c r="D495" s="13" t="str">
        <f>IF(RIGHT(A495,3)="000",C495,VLOOKUP(B495,'Справочник ИХ'!A:C,3,0))</f>
        <v>Остальные грузы</v>
      </c>
      <c r="E495" s="13">
        <f>IF(RIGHT(A495,3)="000","х",VLOOKUP(B495,'Справочник ИХ'!A:D,4,0))</f>
        <v>2</v>
      </c>
      <c r="F495" s="14" t="s">
        <v>1341</v>
      </c>
    </row>
    <row r="496" spans="1:6">
      <c r="A496" s="19">
        <v>12601</v>
      </c>
      <c r="B496" s="12" t="str">
        <f t="shared" si="7"/>
        <v>126</v>
      </c>
      <c r="C496" s="1" t="s">
        <v>1423</v>
      </c>
      <c r="D496" s="13" t="str">
        <f>IF(RIGHT(A496,3)="000",C496,VLOOKUP(B496,'Справочник ИХ'!A:C,3,0))</f>
        <v>Остальные грузы</v>
      </c>
      <c r="E496" s="13">
        <f>IF(RIGHT(A496,3)="000","х",VLOOKUP(B496,'Справочник ИХ'!A:D,4,0))</f>
        <v>2</v>
      </c>
      <c r="F496" s="14" t="s">
        <v>1341</v>
      </c>
    </row>
    <row r="497" spans="1:6" s="18" customFormat="1" ht="31.75">
      <c r="A497" s="16">
        <v>12700</v>
      </c>
      <c r="B497" s="12" t="str">
        <f t="shared" si="7"/>
        <v>127</v>
      </c>
      <c r="C497" s="17" t="s">
        <v>1424</v>
      </c>
      <c r="D497" s="13" t="str">
        <f>IF(RIGHT(A497,3)="000",C497,VLOOKUP(B497,'Справочник ИХ'!A:C,3,0))</f>
        <v>Остальные грузы</v>
      </c>
      <c r="E497" s="13">
        <f>IF(RIGHT(A497,3)="000","х",VLOOKUP(B497,'Справочник ИХ'!A:D,4,0))</f>
        <v>3</v>
      </c>
      <c r="F497" s="14" t="s">
        <v>1341</v>
      </c>
    </row>
    <row r="498" spans="1:6">
      <c r="A498" s="19">
        <v>12701</v>
      </c>
      <c r="B498" s="12" t="str">
        <f t="shared" si="7"/>
        <v>127</v>
      </c>
      <c r="C498" s="1" t="s">
        <v>1425</v>
      </c>
      <c r="D498" s="13" t="str">
        <f>IF(RIGHT(A498,3)="000",C498,VLOOKUP(B498,'Справочник ИХ'!A:C,3,0))</f>
        <v>Остальные грузы</v>
      </c>
      <c r="E498" s="13">
        <f>IF(RIGHT(A498,3)="000","х",VLOOKUP(B498,'Справочник ИХ'!A:D,4,0))</f>
        <v>3</v>
      </c>
      <c r="F498" s="14" t="s">
        <v>1341</v>
      </c>
    </row>
    <row r="499" spans="1:6">
      <c r="A499" s="19">
        <v>12702</v>
      </c>
      <c r="B499" s="12" t="str">
        <f t="shared" si="7"/>
        <v>127</v>
      </c>
      <c r="C499" s="1" t="s">
        <v>1426</v>
      </c>
      <c r="D499" s="13" t="str">
        <f>IF(RIGHT(A499,3)="000",C499,VLOOKUP(B499,'Справочник ИХ'!A:C,3,0))</f>
        <v>Остальные грузы</v>
      </c>
      <c r="E499" s="13">
        <f>IF(RIGHT(A499,3)="000","х",VLOOKUP(B499,'Справочник ИХ'!A:D,4,0))</f>
        <v>3</v>
      </c>
      <c r="F499" s="14" t="s">
        <v>1341</v>
      </c>
    </row>
    <row r="500" spans="1:6">
      <c r="A500" s="19">
        <v>12703</v>
      </c>
      <c r="B500" s="12" t="str">
        <f t="shared" si="7"/>
        <v>127</v>
      </c>
      <c r="C500" s="1" t="s">
        <v>1427</v>
      </c>
      <c r="D500" s="13" t="str">
        <f>IF(RIGHT(A500,3)="000",C500,VLOOKUP(B500,'Справочник ИХ'!A:C,3,0))</f>
        <v>Остальные грузы</v>
      </c>
      <c r="E500" s="13">
        <f>IF(RIGHT(A500,3)="000","х",VLOOKUP(B500,'Справочник ИХ'!A:D,4,0))</f>
        <v>3</v>
      </c>
      <c r="F500" s="14" t="s">
        <v>1341</v>
      </c>
    </row>
    <row r="501" spans="1:6">
      <c r="A501" s="19">
        <v>12704</v>
      </c>
      <c r="B501" s="12" t="str">
        <f t="shared" si="7"/>
        <v>127</v>
      </c>
      <c r="C501" s="1" t="s">
        <v>1428</v>
      </c>
      <c r="D501" s="13" t="str">
        <f>IF(RIGHT(A501,3)="000",C501,VLOOKUP(B501,'Справочник ИХ'!A:C,3,0))</f>
        <v>Остальные грузы</v>
      </c>
      <c r="E501" s="13">
        <f>IF(RIGHT(A501,3)="000","х",VLOOKUP(B501,'Справочник ИХ'!A:D,4,0))</f>
        <v>3</v>
      </c>
      <c r="F501" s="14" t="s">
        <v>1341</v>
      </c>
    </row>
    <row r="502" spans="1:6">
      <c r="A502" s="19">
        <v>12705</v>
      </c>
      <c r="B502" s="12" t="str">
        <f t="shared" si="7"/>
        <v>127</v>
      </c>
      <c r="C502" s="1" t="s">
        <v>1429</v>
      </c>
      <c r="D502" s="13" t="str">
        <f>IF(RIGHT(A502,3)="000",C502,VLOOKUP(B502,'Справочник ИХ'!A:C,3,0))</f>
        <v>Остальные грузы</v>
      </c>
      <c r="E502" s="13">
        <f>IF(RIGHT(A502,3)="000","х",VLOOKUP(B502,'Справочник ИХ'!A:D,4,0))</f>
        <v>3</v>
      </c>
      <c r="F502" s="14" t="s">
        <v>1341</v>
      </c>
    </row>
    <row r="503" spans="1:6">
      <c r="A503" s="19">
        <v>12706</v>
      </c>
      <c r="B503" s="12" t="str">
        <f t="shared" si="7"/>
        <v>127</v>
      </c>
      <c r="C503" s="1" t="s">
        <v>1430</v>
      </c>
      <c r="D503" s="13" t="str">
        <f>IF(RIGHT(A503,3)="000",C503,VLOOKUP(B503,'Справочник ИХ'!A:C,3,0))</f>
        <v>Остальные грузы</v>
      </c>
      <c r="E503" s="13">
        <f>IF(RIGHT(A503,3)="000","х",VLOOKUP(B503,'Справочник ИХ'!A:D,4,0))</f>
        <v>3</v>
      </c>
      <c r="F503" s="14" t="s">
        <v>1341</v>
      </c>
    </row>
    <row r="504" spans="1:6" ht="31.75">
      <c r="A504" s="19">
        <v>12707</v>
      </c>
      <c r="B504" s="12" t="str">
        <f t="shared" si="7"/>
        <v>127</v>
      </c>
      <c r="C504" s="1" t="s">
        <v>1431</v>
      </c>
      <c r="D504" s="13" t="str">
        <f>IF(RIGHT(A504,3)="000",C504,VLOOKUP(B504,'Справочник ИХ'!A:C,3,0))</f>
        <v>Остальные грузы</v>
      </c>
      <c r="E504" s="13">
        <f>IF(RIGHT(A504,3)="000","х",VLOOKUP(B504,'Справочник ИХ'!A:D,4,0))</f>
        <v>3</v>
      </c>
      <c r="F504" s="14" t="s">
        <v>1341</v>
      </c>
    </row>
    <row r="505" spans="1:6">
      <c r="A505" s="19">
        <v>12708</v>
      </c>
      <c r="B505" s="12" t="str">
        <f t="shared" si="7"/>
        <v>127</v>
      </c>
      <c r="C505" s="1" t="s">
        <v>1432</v>
      </c>
      <c r="D505" s="13" t="str">
        <f>IF(RIGHT(A505,3)="000",C505,VLOOKUP(B505,'Справочник ИХ'!A:C,3,0))</f>
        <v>Остальные грузы</v>
      </c>
      <c r="E505" s="13">
        <f>IF(RIGHT(A505,3)="000","х",VLOOKUP(B505,'Справочник ИХ'!A:D,4,0))</f>
        <v>3</v>
      </c>
      <c r="F505" s="14" t="s">
        <v>1341</v>
      </c>
    </row>
    <row r="506" spans="1:6">
      <c r="A506" s="19">
        <v>12709</v>
      </c>
      <c r="B506" s="12" t="str">
        <f t="shared" si="7"/>
        <v>127</v>
      </c>
      <c r="C506" s="1" t="s">
        <v>1433</v>
      </c>
      <c r="D506" s="13" t="str">
        <f>IF(RIGHT(A506,3)="000",C506,VLOOKUP(B506,'Справочник ИХ'!A:C,3,0))</f>
        <v>Остальные грузы</v>
      </c>
      <c r="E506" s="13">
        <f>IF(RIGHT(A506,3)="000","х",VLOOKUP(B506,'Справочник ИХ'!A:D,4,0))</f>
        <v>3</v>
      </c>
      <c r="F506" s="14" t="s">
        <v>1341</v>
      </c>
    </row>
    <row r="507" spans="1:6">
      <c r="A507" s="19">
        <v>12710</v>
      </c>
      <c r="B507" s="12" t="str">
        <f t="shared" si="7"/>
        <v>127</v>
      </c>
      <c r="C507" s="1" t="s">
        <v>1434</v>
      </c>
      <c r="D507" s="13" t="str">
        <f>IF(RIGHT(A507,3)="000",C507,VLOOKUP(B507,'Справочник ИХ'!A:C,3,0))</f>
        <v>Остальные грузы</v>
      </c>
      <c r="E507" s="13">
        <f>IF(RIGHT(A507,3)="000","х",VLOOKUP(B507,'Справочник ИХ'!A:D,4,0))</f>
        <v>3</v>
      </c>
      <c r="F507" s="14" t="s">
        <v>1341</v>
      </c>
    </row>
    <row r="508" spans="1:6">
      <c r="A508" s="19">
        <v>12715</v>
      </c>
      <c r="B508" s="12" t="str">
        <f t="shared" si="7"/>
        <v>127</v>
      </c>
      <c r="C508" s="1" t="s">
        <v>1435</v>
      </c>
      <c r="D508" s="13" t="str">
        <f>IF(RIGHT(A508,3)="000",C508,VLOOKUP(B508,'Справочник ИХ'!A:C,3,0))</f>
        <v>Остальные грузы</v>
      </c>
      <c r="E508" s="13">
        <f>IF(RIGHT(A508,3)="000","х",VLOOKUP(B508,'Справочник ИХ'!A:D,4,0))</f>
        <v>3</v>
      </c>
      <c r="F508" s="14" t="s">
        <v>1341</v>
      </c>
    </row>
    <row r="509" spans="1:6" ht="31.75">
      <c r="A509" s="19">
        <v>12711</v>
      </c>
      <c r="B509" s="12" t="str">
        <f t="shared" si="7"/>
        <v>127</v>
      </c>
      <c r="C509" s="1" t="s">
        <v>1436</v>
      </c>
      <c r="D509" s="13" t="str">
        <f>IF(RIGHT(A509,3)="000",C509,VLOOKUP(B509,'Справочник ИХ'!A:C,3,0))</f>
        <v>Остальные грузы</v>
      </c>
      <c r="E509" s="13">
        <f>IF(RIGHT(A509,3)="000","х",VLOOKUP(B509,'Справочник ИХ'!A:D,4,0))</f>
        <v>3</v>
      </c>
      <c r="F509" s="14" t="s">
        <v>1341</v>
      </c>
    </row>
    <row r="510" spans="1:6">
      <c r="A510" s="19">
        <v>12712</v>
      </c>
      <c r="B510" s="12" t="str">
        <f t="shared" si="7"/>
        <v>127</v>
      </c>
      <c r="C510" s="1" t="s">
        <v>1437</v>
      </c>
      <c r="D510" s="13" t="str">
        <f>IF(RIGHT(A510,3)="000",C510,VLOOKUP(B510,'Справочник ИХ'!A:C,3,0))</f>
        <v>Остальные грузы</v>
      </c>
      <c r="E510" s="13">
        <f>IF(RIGHT(A510,3)="000","х",VLOOKUP(B510,'Справочник ИХ'!A:D,4,0))</f>
        <v>3</v>
      </c>
      <c r="F510" s="14" t="s">
        <v>1341</v>
      </c>
    </row>
    <row r="511" spans="1:6">
      <c r="A511" s="19">
        <v>12713</v>
      </c>
      <c r="B511" s="12" t="str">
        <f t="shared" si="7"/>
        <v>127</v>
      </c>
      <c r="C511" s="1" t="s">
        <v>1438</v>
      </c>
      <c r="D511" s="13" t="str">
        <f>IF(RIGHT(A511,3)="000",C511,VLOOKUP(B511,'Справочник ИХ'!A:C,3,0))</f>
        <v>Остальные грузы</v>
      </c>
      <c r="E511" s="13">
        <f>IF(RIGHT(A511,3)="000","х",VLOOKUP(B511,'Справочник ИХ'!A:D,4,0))</f>
        <v>3</v>
      </c>
      <c r="F511" s="14" t="s">
        <v>1341</v>
      </c>
    </row>
    <row r="512" spans="1:6">
      <c r="A512" s="19">
        <v>12714</v>
      </c>
      <c r="B512" s="12" t="str">
        <f t="shared" si="7"/>
        <v>127</v>
      </c>
      <c r="C512" s="1" t="s">
        <v>1439</v>
      </c>
      <c r="D512" s="13" t="str">
        <f>IF(RIGHT(A512,3)="000",C512,VLOOKUP(B512,'Справочник ИХ'!A:C,3,0))</f>
        <v>Остальные грузы</v>
      </c>
      <c r="E512" s="13">
        <f>IF(RIGHT(A512,3)="000","х",VLOOKUP(B512,'Справочник ИХ'!A:D,4,0))</f>
        <v>3</v>
      </c>
      <c r="F512" s="14" t="s">
        <v>1341</v>
      </c>
    </row>
    <row r="513" spans="1:6">
      <c r="A513" s="19">
        <v>12716</v>
      </c>
      <c r="B513" s="12" t="str">
        <f t="shared" si="7"/>
        <v>127</v>
      </c>
      <c r="C513" s="1" t="s">
        <v>1440</v>
      </c>
      <c r="D513" s="13" t="str">
        <f>IF(RIGHT(A513,3)="000",C513,VLOOKUP(B513,'Справочник ИХ'!A:C,3,0))</f>
        <v>Остальные грузы</v>
      </c>
      <c r="E513" s="13">
        <f>IF(RIGHT(A513,3)="000","х",VLOOKUP(B513,'Справочник ИХ'!A:D,4,0))</f>
        <v>3</v>
      </c>
      <c r="F513" s="14" t="s">
        <v>1341</v>
      </c>
    </row>
    <row r="514" spans="1:6">
      <c r="A514" s="19">
        <v>12717</v>
      </c>
      <c r="B514" s="12" t="str">
        <f t="shared" si="7"/>
        <v>127</v>
      </c>
      <c r="C514" s="1" t="s">
        <v>1441</v>
      </c>
      <c r="D514" s="13" t="str">
        <f>IF(RIGHT(A514,3)="000",C514,VLOOKUP(B514,'Справочник ИХ'!A:C,3,0))</f>
        <v>Остальные грузы</v>
      </c>
      <c r="E514" s="13">
        <f>IF(RIGHT(A514,3)="000","х",VLOOKUP(B514,'Справочник ИХ'!A:D,4,0))</f>
        <v>3</v>
      </c>
      <c r="F514" s="14" t="s">
        <v>1341</v>
      </c>
    </row>
    <row r="515" spans="1:6">
      <c r="A515" s="19">
        <v>12718</v>
      </c>
      <c r="B515" s="12" t="str">
        <f t="shared" si="7"/>
        <v>127</v>
      </c>
      <c r="C515" s="1" t="s">
        <v>1442</v>
      </c>
      <c r="D515" s="13" t="str">
        <f>IF(RIGHT(A515,3)="000",C515,VLOOKUP(B515,'Справочник ИХ'!A:C,3,0))</f>
        <v>Остальные грузы</v>
      </c>
      <c r="E515" s="13">
        <f>IF(RIGHT(A515,3)="000","х",VLOOKUP(B515,'Справочник ИХ'!A:D,4,0))</f>
        <v>3</v>
      </c>
      <c r="F515" s="14" t="s">
        <v>1341</v>
      </c>
    </row>
    <row r="516" spans="1:6">
      <c r="A516" s="19">
        <v>12719</v>
      </c>
      <c r="B516" s="12" t="str">
        <f t="shared" ref="B516:B579" si="8">LEFT(A516,3)</f>
        <v>127</v>
      </c>
      <c r="C516" s="1" t="s">
        <v>1443</v>
      </c>
      <c r="D516" s="13" t="str">
        <f>IF(RIGHT(A516,3)="000",C516,VLOOKUP(B516,'Справочник ИХ'!A:C,3,0))</f>
        <v>Остальные грузы</v>
      </c>
      <c r="E516" s="13">
        <f>IF(RIGHT(A516,3)="000","х",VLOOKUP(B516,'Справочник ИХ'!A:D,4,0))</f>
        <v>3</v>
      </c>
      <c r="F516" s="14" t="s">
        <v>1341</v>
      </c>
    </row>
    <row r="517" spans="1:6" ht="47.6">
      <c r="A517" s="19">
        <v>12720</v>
      </c>
      <c r="B517" s="12" t="str">
        <f t="shared" si="8"/>
        <v>127</v>
      </c>
      <c r="C517" s="1" t="s">
        <v>1444</v>
      </c>
      <c r="D517" s="13" t="str">
        <f>IF(RIGHT(A517,3)="000",C517,VLOOKUP(B517,'Справочник ИХ'!A:C,3,0))</f>
        <v>Остальные грузы</v>
      </c>
      <c r="E517" s="13">
        <f>IF(RIGHT(A517,3)="000","х",VLOOKUP(B517,'Справочник ИХ'!A:D,4,0))</f>
        <v>3</v>
      </c>
      <c r="F517" s="14" t="s">
        <v>1341</v>
      </c>
    </row>
    <row r="518" spans="1:6">
      <c r="A518" s="19">
        <v>12721</v>
      </c>
      <c r="B518" s="12" t="str">
        <f t="shared" si="8"/>
        <v>127</v>
      </c>
      <c r="C518" s="1" t="s">
        <v>1445</v>
      </c>
      <c r="D518" s="13" t="str">
        <f>IF(RIGHT(A518,3)="000",C518,VLOOKUP(B518,'Справочник ИХ'!A:C,3,0))</f>
        <v>Остальные грузы</v>
      </c>
      <c r="E518" s="13">
        <f>IF(RIGHT(A518,3)="000","х",VLOOKUP(B518,'Справочник ИХ'!A:D,4,0))</f>
        <v>3</v>
      </c>
      <c r="F518" s="14" t="s">
        <v>1341</v>
      </c>
    </row>
    <row r="519" spans="1:6" ht="31.75">
      <c r="A519" s="19">
        <v>12722</v>
      </c>
      <c r="B519" s="12" t="str">
        <f t="shared" si="8"/>
        <v>127</v>
      </c>
      <c r="C519" s="1" t="s">
        <v>1446</v>
      </c>
      <c r="D519" s="13" t="str">
        <f>IF(RIGHT(A519,3)="000",C519,VLOOKUP(B519,'Справочник ИХ'!A:C,3,0))</f>
        <v>Остальные грузы</v>
      </c>
      <c r="E519" s="13">
        <f>IF(RIGHT(A519,3)="000","х",VLOOKUP(B519,'Справочник ИХ'!A:D,4,0))</f>
        <v>3</v>
      </c>
      <c r="F519" s="14" t="s">
        <v>1341</v>
      </c>
    </row>
    <row r="520" spans="1:6">
      <c r="A520" s="19">
        <v>12723</v>
      </c>
      <c r="B520" s="12" t="str">
        <f t="shared" si="8"/>
        <v>127</v>
      </c>
      <c r="C520" s="1" t="s">
        <v>1447</v>
      </c>
      <c r="D520" s="13" t="str">
        <f>IF(RIGHT(A520,3)="000",C520,VLOOKUP(B520,'Справочник ИХ'!A:C,3,0))</f>
        <v>Остальные грузы</v>
      </c>
      <c r="E520" s="13">
        <f>IF(RIGHT(A520,3)="000","х",VLOOKUP(B520,'Справочник ИХ'!A:D,4,0))</f>
        <v>3</v>
      </c>
      <c r="F520" s="14" t="s">
        <v>1341</v>
      </c>
    </row>
    <row r="521" spans="1:6">
      <c r="A521" s="19">
        <v>12724</v>
      </c>
      <c r="B521" s="12" t="str">
        <f t="shared" si="8"/>
        <v>127</v>
      </c>
      <c r="C521" s="1" t="s">
        <v>1448</v>
      </c>
      <c r="D521" s="13" t="str">
        <f>IF(RIGHT(A521,3)="000",C521,VLOOKUP(B521,'Справочник ИХ'!A:C,3,0))</f>
        <v>Остальные грузы</v>
      </c>
      <c r="E521" s="13">
        <f>IF(RIGHT(A521,3)="000","х",VLOOKUP(B521,'Справочник ИХ'!A:D,4,0))</f>
        <v>3</v>
      </c>
      <c r="F521" s="14" t="s">
        <v>1341</v>
      </c>
    </row>
    <row r="522" spans="1:6">
      <c r="A522" s="19">
        <v>12725</v>
      </c>
      <c r="B522" s="12" t="str">
        <f t="shared" si="8"/>
        <v>127</v>
      </c>
      <c r="C522" s="1" t="s">
        <v>1449</v>
      </c>
      <c r="D522" s="13" t="str">
        <f>IF(RIGHT(A522,3)="000",C522,VLOOKUP(B522,'Справочник ИХ'!A:C,3,0))</f>
        <v>Остальные грузы</v>
      </c>
      <c r="E522" s="13">
        <f>IF(RIGHT(A522,3)="000","х",VLOOKUP(B522,'Справочник ИХ'!A:D,4,0))</f>
        <v>3</v>
      </c>
      <c r="F522" s="14" t="s">
        <v>1341</v>
      </c>
    </row>
    <row r="523" spans="1:6">
      <c r="A523" s="19">
        <v>12726</v>
      </c>
      <c r="B523" s="12" t="str">
        <f t="shared" si="8"/>
        <v>127</v>
      </c>
      <c r="C523" s="1" t="s">
        <v>1450</v>
      </c>
      <c r="D523" s="13" t="str">
        <f>IF(RIGHT(A523,3)="000",C523,VLOOKUP(B523,'Справочник ИХ'!A:C,3,0))</f>
        <v>Остальные грузы</v>
      </c>
      <c r="E523" s="13">
        <f>IF(RIGHT(A523,3)="000","х",VLOOKUP(B523,'Справочник ИХ'!A:D,4,0))</f>
        <v>3</v>
      </c>
      <c r="F523" s="14" t="s">
        <v>1341</v>
      </c>
    </row>
    <row r="524" spans="1:6">
      <c r="A524" s="19">
        <v>12727</v>
      </c>
      <c r="B524" s="12" t="str">
        <f t="shared" si="8"/>
        <v>127</v>
      </c>
      <c r="C524" s="1" t="s">
        <v>1451</v>
      </c>
      <c r="D524" s="13" t="str">
        <f>IF(RIGHT(A524,3)="000",C524,VLOOKUP(B524,'Справочник ИХ'!A:C,3,0))</f>
        <v>Остальные грузы</v>
      </c>
      <c r="E524" s="13">
        <f>IF(RIGHT(A524,3)="000","х",VLOOKUP(B524,'Справочник ИХ'!A:D,4,0))</f>
        <v>3</v>
      </c>
      <c r="F524" s="14" t="s">
        <v>1341</v>
      </c>
    </row>
    <row r="525" spans="1:6">
      <c r="A525" s="19">
        <v>12728</v>
      </c>
      <c r="B525" s="12" t="str">
        <f t="shared" si="8"/>
        <v>127</v>
      </c>
      <c r="C525" s="1" t="s">
        <v>1452</v>
      </c>
      <c r="D525" s="13" t="str">
        <f>IF(RIGHT(A525,3)="000",C525,VLOOKUP(B525,'Справочник ИХ'!A:C,3,0))</f>
        <v>Остальные грузы</v>
      </c>
      <c r="E525" s="13">
        <f>IF(RIGHT(A525,3)="000","х",VLOOKUP(B525,'Справочник ИХ'!A:D,4,0))</f>
        <v>3</v>
      </c>
      <c r="F525" s="14" t="s">
        <v>1341</v>
      </c>
    </row>
    <row r="526" spans="1:6">
      <c r="A526" s="19">
        <v>12729</v>
      </c>
      <c r="B526" s="12" t="str">
        <f t="shared" si="8"/>
        <v>127</v>
      </c>
      <c r="C526" s="1" t="s">
        <v>1453</v>
      </c>
      <c r="D526" s="13" t="str">
        <f>IF(RIGHT(A526,3)="000",C526,VLOOKUP(B526,'Справочник ИХ'!A:C,3,0))</f>
        <v>Остальные грузы</v>
      </c>
      <c r="E526" s="13">
        <f>IF(RIGHT(A526,3)="000","х",VLOOKUP(B526,'Справочник ИХ'!A:D,4,0))</f>
        <v>3</v>
      </c>
      <c r="F526" s="14" t="s">
        <v>1341</v>
      </c>
    </row>
    <row r="527" spans="1:6">
      <c r="A527" s="19">
        <v>12730</v>
      </c>
      <c r="B527" s="12" t="str">
        <f t="shared" si="8"/>
        <v>127</v>
      </c>
      <c r="C527" s="1" t="s">
        <v>1454</v>
      </c>
      <c r="D527" s="13" t="str">
        <f>IF(RIGHT(A527,3)="000",C527,VLOOKUP(B527,'Справочник ИХ'!A:C,3,0))</f>
        <v>Остальные грузы</v>
      </c>
      <c r="E527" s="13">
        <f>IF(RIGHT(A527,3)="000","х",VLOOKUP(B527,'Справочник ИХ'!A:D,4,0))</f>
        <v>3</v>
      </c>
      <c r="F527" s="14" t="s">
        <v>1341</v>
      </c>
    </row>
    <row r="528" spans="1:6">
      <c r="A528" s="19">
        <v>12731</v>
      </c>
      <c r="B528" s="12" t="str">
        <f t="shared" si="8"/>
        <v>127</v>
      </c>
      <c r="C528" s="1" t="s">
        <v>1455</v>
      </c>
      <c r="D528" s="13" t="str">
        <f>IF(RIGHT(A528,3)="000",C528,VLOOKUP(B528,'Справочник ИХ'!A:C,3,0))</f>
        <v>Остальные грузы</v>
      </c>
      <c r="E528" s="13">
        <f>IF(RIGHT(A528,3)="000","х",VLOOKUP(B528,'Справочник ИХ'!A:D,4,0))</f>
        <v>3</v>
      </c>
      <c r="F528" s="14" t="s">
        <v>1341</v>
      </c>
    </row>
    <row r="529" spans="1:6">
      <c r="A529" s="19">
        <v>12732</v>
      </c>
      <c r="B529" s="12" t="str">
        <f t="shared" si="8"/>
        <v>127</v>
      </c>
      <c r="C529" s="1" t="s">
        <v>1456</v>
      </c>
      <c r="D529" s="13" t="str">
        <f>IF(RIGHT(A529,3)="000",C529,VLOOKUP(B529,'Справочник ИХ'!A:C,3,0))</f>
        <v>Остальные грузы</v>
      </c>
      <c r="E529" s="13">
        <f>IF(RIGHT(A529,3)="000","х",VLOOKUP(B529,'Справочник ИХ'!A:D,4,0))</f>
        <v>3</v>
      </c>
      <c r="F529" s="14" t="s">
        <v>1341</v>
      </c>
    </row>
    <row r="530" spans="1:6">
      <c r="A530" s="19">
        <v>12733</v>
      </c>
      <c r="B530" s="12" t="str">
        <f t="shared" si="8"/>
        <v>127</v>
      </c>
      <c r="C530" s="1" t="s">
        <v>1457</v>
      </c>
      <c r="D530" s="13" t="str">
        <f>IF(RIGHT(A530,3)="000",C530,VLOOKUP(B530,'Справочник ИХ'!A:C,3,0))</f>
        <v>Остальные грузы</v>
      </c>
      <c r="E530" s="13">
        <f>IF(RIGHT(A530,3)="000","х",VLOOKUP(B530,'Справочник ИХ'!A:D,4,0))</f>
        <v>3</v>
      </c>
      <c r="F530" s="14" t="s">
        <v>1341</v>
      </c>
    </row>
    <row r="531" spans="1:6">
      <c r="A531" s="19">
        <v>12734</v>
      </c>
      <c r="B531" s="12" t="str">
        <f t="shared" si="8"/>
        <v>127</v>
      </c>
      <c r="C531" s="1" t="s">
        <v>1458</v>
      </c>
      <c r="D531" s="13" t="str">
        <f>IF(RIGHT(A531,3)="000",C531,VLOOKUP(B531,'Справочник ИХ'!A:C,3,0))</f>
        <v>Остальные грузы</v>
      </c>
      <c r="E531" s="13">
        <f>IF(RIGHT(A531,3)="000","х",VLOOKUP(B531,'Справочник ИХ'!A:D,4,0))</f>
        <v>3</v>
      </c>
      <c r="F531" s="14" t="s">
        <v>1341</v>
      </c>
    </row>
    <row r="532" spans="1:6">
      <c r="A532" s="19">
        <v>12735</v>
      </c>
      <c r="B532" s="12" t="str">
        <f t="shared" si="8"/>
        <v>127</v>
      </c>
      <c r="C532" s="1" t="s">
        <v>1459</v>
      </c>
      <c r="D532" s="13" t="str">
        <f>IF(RIGHT(A532,3)="000",C532,VLOOKUP(B532,'Справочник ИХ'!A:C,3,0))</f>
        <v>Остальные грузы</v>
      </c>
      <c r="E532" s="13">
        <f>IF(RIGHT(A532,3)="000","х",VLOOKUP(B532,'Справочник ИХ'!A:D,4,0))</f>
        <v>3</v>
      </c>
      <c r="F532" s="14" t="s">
        <v>1341</v>
      </c>
    </row>
    <row r="533" spans="1:6">
      <c r="A533" s="19">
        <v>12736</v>
      </c>
      <c r="B533" s="12" t="str">
        <f t="shared" si="8"/>
        <v>127</v>
      </c>
      <c r="C533" s="1" t="s">
        <v>1460</v>
      </c>
      <c r="D533" s="13" t="str">
        <f>IF(RIGHT(A533,3)="000",C533,VLOOKUP(B533,'Справочник ИХ'!A:C,3,0))</f>
        <v>Остальные грузы</v>
      </c>
      <c r="E533" s="13">
        <f>IF(RIGHT(A533,3)="000","х",VLOOKUP(B533,'Справочник ИХ'!A:D,4,0))</f>
        <v>3</v>
      </c>
      <c r="F533" s="14" t="s">
        <v>1341</v>
      </c>
    </row>
    <row r="534" spans="1:6">
      <c r="A534" s="19">
        <v>12737</v>
      </c>
      <c r="B534" s="12" t="str">
        <f t="shared" si="8"/>
        <v>127</v>
      </c>
      <c r="C534" s="1" t="s">
        <v>1461</v>
      </c>
      <c r="D534" s="13" t="str">
        <f>IF(RIGHT(A534,3)="000",C534,VLOOKUP(B534,'Справочник ИХ'!A:C,3,0))</f>
        <v>Остальные грузы</v>
      </c>
      <c r="E534" s="13">
        <f>IF(RIGHT(A534,3)="000","х",VLOOKUP(B534,'Справочник ИХ'!A:D,4,0))</f>
        <v>3</v>
      </c>
      <c r="F534" s="14" t="s">
        <v>1341</v>
      </c>
    </row>
    <row r="535" spans="1:6" s="15" customFormat="1" ht="47.6">
      <c r="A535" s="7">
        <v>13000</v>
      </c>
      <c r="B535" s="12" t="str">
        <f t="shared" si="8"/>
        <v>130</v>
      </c>
      <c r="C535" s="11" t="s">
        <v>1462</v>
      </c>
      <c r="D535" s="13" t="str">
        <f>IF(RIGHT(A535,3)="000",C535,VLOOKUP(B535,'Справочник ИХ'!A:C,3,0))</f>
        <v xml:space="preserve">Продукция целлюлозно-бумажной промышленности </v>
      </c>
      <c r="E535" s="13" t="str">
        <f>IF(RIGHT(A535,3)="000","х",VLOOKUP(B535,'Справочник ИХ'!A:D,4,0))</f>
        <v>х</v>
      </c>
      <c r="F535" s="14" t="s">
        <v>1462</v>
      </c>
    </row>
    <row r="536" spans="1:6" s="18" customFormat="1" ht="31.75">
      <c r="A536" s="16">
        <v>13100</v>
      </c>
      <c r="B536" s="12" t="str">
        <f t="shared" si="8"/>
        <v>131</v>
      </c>
      <c r="C536" s="17" t="s">
        <v>1463</v>
      </c>
      <c r="D536" s="13" t="str">
        <f>IF(RIGHT(A536,3)="000",C536,VLOOKUP(B536,'Справочник ИХ'!A:C,3,0))</f>
        <v>Остальные грузы</v>
      </c>
      <c r="E536" s="13">
        <f>IF(RIGHT(A536,3)="000","х",VLOOKUP(B536,'Справочник ИХ'!A:D,4,0))</f>
        <v>3</v>
      </c>
      <c r="F536" s="14" t="s">
        <v>1462</v>
      </c>
    </row>
    <row r="537" spans="1:6" ht="31.75">
      <c r="A537" s="19">
        <v>13101</v>
      </c>
      <c r="B537" s="12" t="str">
        <f t="shared" si="8"/>
        <v>131</v>
      </c>
      <c r="C537" s="1" t="s">
        <v>1464</v>
      </c>
      <c r="D537" s="13" t="str">
        <f>IF(RIGHT(A537,3)="000",C537,VLOOKUP(B537,'Справочник ИХ'!A:C,3,0))</f>
        <v>Остальные грузы</v>
      </c>
      <c r="E537" s="13">
        <f>IF(RIGHT(A537,3)="000","х",VLOOKUP(B537,'Справочник ИХ'!A:D,4,0))</f>
        <v>3</v>
      </c>
      <c r="F537" s="14" t="s">
        <v>1462</v>
      </c>
    </row>
    <row r="538" spans="1:6" ht="31.75">
      <c r="A538" s="19">
        <v>13102</v>
      </c>
      <c r="B538" s="12" t="str">
        <f t="shared" si="8"/>
        <v>131</v>
      </c>
      <c r="C538" s="1" t="s">
        <v>1465</v>
      </c>
      <c r="D538" s="13" t="str">
        <f>IF(RIGHT(A538,3)="000",C538,VLOOKUP(B538,'Справочник ИХ'!A:C,3,0))</f>
        <v>Остальные грузы</v>
      </c>
      <c r="E538" s="13">
        <f>IF(RIGHT(A538,3)="000","х",VLOOKUP(B538,'Справочник ИХ'!A:D,4,0))</f>
        <v>3</v>
      </c>
      <c r="F538" s="14" t="s">
        <v>1462</v>
      </c>
    </row>
    <row r="539" spans="1:6" ht="31.75">
      <c r="A539" s="19">
        <v>13103</v>
      </c>
      <c r="B539" s="12" t="str">
        <f t="shared" si="8"/>
        <v>131</v>
      </c>
      <c r="C539" s="1" t="s">
        <v>1466</v>
      </c>
      <c r="D539" s="13" t="str">
        <f>IF(RIGHT(A539,3)="000",C539,VLOOKUP(B539,'Справочник ИХ'!A:C,3,0))</f>
        <v>Остальные грузы</v>
      </c>
      <c r="E539" s="13">
        <f>IF(RIGHT(A539,3)="000","х",VLOOKUP(B539,'Справочник ИХ'!A:D,4,0))</f>
        <v>3</v>
      </c>
      <c r="F539" s="14" t="s">
        <v>1462</v>
      </c>
    </row>
    <row r="540" spans="1:6" ht="31.75">
      <c r="A540" s="19">
        <v>13104</v>
      </c>
      <c r="B540" s="12" t="str">
        <f t="shared" si="8"/>
        <v>131</v>
      </c>
      <c r="C540" s="1" t="s">
        <v>1467</v>
      </c>
      <c r="D540" s="13" t="str">
        <f>IF(RIGHT(A540,3)="000",C540,VLOOKUP(B540,'Справочник ИХ'!A:C,3,0))</f>
        <v>Остальные грузы</v>
      </c>
      <c r="E540" s="13">
        <f>IF(RIGHT(A540,3)="000","х",VLOOKUP(B540,'Справочник ИХ'!A:D,4,0))</f>
        <v>3</v>
      </c>
      <c r="F540" s="14" t="s">
        <v>1462</v>
      </c>
    </row>
    <row r="541" spans="1:6" ht="31.75">
      <c r="A541" s="19">
        <v>13105</v>
      </c>
      <c r="B541" s="12" t="str">
        <f t="shared" si="8"/>
        <v>131</v>
      </c>
      <c r="C541" s="1" t="s">
        <v>1468</v>
      </c>
      <c r="D541" s="13" t="str">
        <f>IF(RIGHT(A541,3)="000",C541,VLOOKUP(B541,'Справочник ИХ'!A:C,3,0))</f>
        <v>Остальные грузы</v>
      </c>
      <c r="E541" s="13">
        <f>IF(RIGHT(A541,3)="000","х",VLOOKUP(B541,'Справочник ИХ'!A:D,4,0))</f>
        <v>3</v>
      </c>
      <c r="F541" s="14" t="s">
        <v>1462</v>
      </c>
    </row>
    <row r="542" spans="1:6" ht="31.75">
      <c r="A542" s="19">
        <v>13106</v>
      </c>
      <c r="B542" s="12" t="str">
        <f t="shared" si="8"/>
        <v>131</v>
      </c>
      <c r="C542" s="1" t="s">
        <v>1469</v>
      </c>
      <c r="D542" s="13" t="str">
        <f>IF(RIGHT(A542,3)="000",C542,VLOOKUP(B542,'Справочник ИХ'!A:C,3,0))</f>
        <v>Остальные грузы</v>
      </c>
      <c r="E542" s="13">
        <f>IF(RIGHT(A542,3)="000","х",VLOOKUP(B542,'Справочник ИХ'!A:D,4,0))</f>
        <v>3</v>
      </c>
      <c r="F542" s="14" t="s">
        <v>1462</v>
      </c>
    </row>
    <row r="543" spans="1:6" ht="31.75">
      <c r="A543" s="19">
        <v>13107</v>
      </c>
      <c r="B543" s="12" t="str">
        <f t="shared" si="8"/>
        <v>131</v>
      </c>
      <c r="C543" s="1" t="s">
        <v>1470</v>
      </c>
      <c r="D543" s="13" t="str">
        <f>IF(RIGHT(A543,3)="000",C543,VLOOKUP(B543,'Справочник ИХ'!A:C,3,0))</f>
        <v>Остальные грузы</v>
      </c>
      <c r="E543" s="13">
        <f>IF(RIGHT(A543,3)="000","х",VLOOKUP(B543,'Справочник ИХ'!A:D,4,0))</f>
        <v>3</v>
      </c>
      <c r="F543" s="14" t="s">
        <v>1462</v>
      </c>
    </row>
    <row r="544" spans="1:6" ht="31.75">
      <c r="A544" s="19">
        <v>13108</v>
      </c>
      <c r="B544" s="12" t="str">
        <f t="shared" si="8"/>
        <v>131</v>
      </c>
      <c r="C544" s="1" t="s">
        <v>1471</v>
      </c>
      <c r="D544" s="13" t="str">
        <f>IF(RIGHT(A544,3)="000",C544,VLOOKUP(B544,'Справочник ИХ'!A:C,3,0))</f>
        <v>Остальные грузы</v>
      </c>
      <c r="E544" s="13">
        <f>IF(RIGHT(A544,3)="000","х",VLOOKUP(B544,'Справочник ИХ'!A:D,4,0))</f>
        <v>3</v>
      </c>
      <c r="F544" s="14" t="s">
        <v>1462</v>
      </c>
    </row>
    <row r="545" spans="1:6" ht="31.75">
      <c r="A545" s="19">
        <v>13109</v>
      </c>
      <c r="B545" s="12" t="str">
        <f t="shared" si="8"/>
        <v>131</v>
      </c>
      <c r="C545" s="1" t="s">
        <v>1472</v>
      </c>
      <c r="D545" s="13" t="str">
        <f>IF(RIGHT(A545,3)="000",C545,VLOOKUP(B545,'Справочник ИХ'!A:C,3,0))</f>
        <v>Остальные грузы</v>
      </c>
      <c r="E545" s="13">
        <f>IF(RIGHT(A545,3)="000","х",VLOOKUP(B545,'Справочник ИХ'!A:D,4,0))</f>
        <v>3</v>
      </c>
      <c r="F545" s="14" t="s">
        <v>1462</v>
      </c>
    </row>
    <row r="546" spans="1:6" ht="31.75">
      <c r="A546" s="19">
        <v>13110</v>
      </c>
      <c r="B546" s="12" t="str">
        <f t="shared" si="8"/>
        <v>131</v>
      </c>
      <c r="C546" s="1" t="s">
        <v>1473</v>
      </c>
      <c r="D546" s="13" t="str">
        <f>IF(RIGHT(A546,3)="000",C546,VLOOKUP(B546,'Справочник ИХ'!A:C,3,0))</f>
        <v>Остальные грузы</v>
      </c>
      <c r="E546" s="13">
        <f>IF(RIGHT(A546,3)="000","х",VLOOKUP(B546,'Справочник ИХ'!A:D,4,0))</f>
        <v>3</v>
      </c>
      <c r="F546" s="14" t="s">
        <v>1462</v>
      </c>
    </row>
    <row r="547" spans="1:6" s="18" customFormat="1" ht="31.75">
      <c r="A547" s="16">
        <v>13200</v>
      </c>
      <c r="B547" s="12" t="str">
        <f t="shared" si="8"/>
        <v>132</v>
      </c>
      <c r="C547" s="17" t="s">
        <v>1474</v>
      </c>
      <c r="D547" s="13" t="str">
        <f>IF(RIGHT(A547,3)="000",C547,VLOOKUP(B547,'Справочник ИХ'!A:C,3,0))</f>
        <v>Остальные грузы</v>
      </c>
      <c r="E547" s="13">
        <f>IF(RIGHT(A547,3)="000","х",VLOOKUP(B547,'Справочник ИХ'!A:D,4,0))</f>
        <v>3</v>
      </c>
      <c r="F547" s="14" t="s">
        <v>1462</v>
      </c>
    </row>
    <row r="548" spans="1:6" ht="31.75">
      <c r="A548" s="19">
        <v>13201</v>
      </c>
      <c r="B548" s="12" t="str">
        <f t="shared" si="8"/>
        <v>132</v>
      </c>
      <c r="C548" s="1" t="s">
        <v>1475</v>
      </c>
      <c r="D548" s="13" t="str">
        <f>IF(RIGHT(A548,3)="000",C548,VLOOKUP(B548,'Справочник ИХ'!A:C,3,0))</f>
        <v>Остальные грузы</v>
      </c>
      <c r="E548" s="13">
        <f>IF(RIGHT(A548,3)="000","х",VLOOKUP(B548,'Справочник ИХ'!A:D,4,0))</f>
        <v>3</v>
      </c>
      <c r="F548" s="14" t="s">
        <v>1462</v>
      </c>
    </row>
    <row r="549" spans="1:6" ht="31.75">
      <c r="A549" s="19">
        <v>13202</v>
      </c>
      <c r="B549" s="12" t="str">
        <f t="shared" si="8"/>
        <v>132</v>
      </c>
      <c r="C549" s="1" t="s">
        <v>1476</v>
      </c>
      <c r="D549" s="13" t="str">
        <f>IF(RIGHT(A549,3)="000",C549,VLOOKUP(B549,'Справочник ИХ'!A:C,3,0))</f>
        <v>Остальные грузы</v>
      </c>
      <c r="E549" s="13">
        <f>IF(RIGHT(A549,3)="000","х",VLOOKUP(B549,'Справочник ИХ'!A:D,4,0))</f>
        <v>3</v>
      </c>
      <c r="F549" s="14" t="s">
        <v>1462</v>
      </c>
    </row>
    <row r="550" spans="1:6" ht="31.75">
      <c r="A550" s="19">
        <v>13203</v>
      </c>
      <c r="B550" s="12" t="str">
        <f t="shared" si="8"/>
        <v>132</v>
      </c>
      <c r="C550" s="1" t="s">
        <v>1477</v>
      </c>
      <c r="D550" s="13" t="str">
        <f>IF(RIGHT(A550,3)="000",C550,VLOOKUP(B550,'Справочник ИХ'!A:C,3,0))</f>
        <v>Остальные грузы</v>
      </c>
      <c r="E550" s="13">
        <f>IF(RIGHT(A550,3)="000","х",VLOOKUP(B550,'Справочник ИХ'!A:D,4,0))</f>
        <v>3</v>
      </c>
      <c r="F550" s="14" t="s">
        <v>1462</v>
      </c>
    </row>
    <row r="551" spans="1:6" ht="31.75">
      <c r="A551" s="19">
        <v>13204</v>
      </c>
      <c r="B551" s="12" t="str">
        <f t="shared" si="8"/>
        <v>132</v>
      </c>
      <c r="C551" s="1" t="s">
        <v>1478</v>
      </c>
      <c r="D551" s="13" t="str">
        <f>IF(RIGHT(A551,3)="000",C551,VLOOKUP(B551,'Справочник ИХ'!A:C,3,0))</f>
        <v>Остальные грузы</v>
      </c>
      <c r="E551" s="13">
        <f>IF(RIGHT(A551,3)="000","х",VLOOKUP(B551,'Справочник ИХ'!A:D,4,0))</f>
        <v>3</v>
      </c>
      <c r="F551" s="14" t="s">
        <v>1462</v>
      </c>
    </row>
    <row r="552" spans="1:6" ht="31.75">
      <c r="A552" s="19">
        <v>13205</v>
      </c>
      <c r="B552" s="12" t="str">
        <f t="shared" si="8"/>
        <v>132</v>
      </c>
      <c r="C552" s="1" t="s">
        <v>1479</v>
      </c>
      <c r="D552" s="13" t="str">
        <f>IF(RIGHT(A552,3)="000",C552,VLOOKUP(B552,'Справочник ИХ'!A:C,3,0))</f>
        <v>Остальные грузы</v>
      </c>
      <c r="E552" s="13">
        <f>IF(RIGHT(A552,3)="000","х",VLOOKUP(B552,'Справочник ИХ'!A:D,4,0))</f>
        <v>3</v>
      </c>
      <c r="F552" s="14" t="s">
        <v>1462</v>
      </c>
    </row>
    <row r="553" spans="1:6" ht="31.75">
      <c r="A553" s="19">
        <v>13206</v>
      </c>
      <c r="B553" s="12" t="str">
        <f t="shared" si="8"/>
        <v>132</v>
      </c>
      <c r="C553" s="1" t="s">
        <v>1480</v>
      </c>
      <c r="D553" s="13" t="str">
        <f>IF(RIGHT(A553,3)="000",C553,VLOOKUP(B553,'Справочник ИХ'!A:C,3,0))</f>
        <v>Остальные грузы</v>
      </c>
      <c r="E553" s="13">
        <f>IF(RIGHT(A553,3)="000","х",VLOOKUP(B553,'Справочник ИХ'!A:D,4,0))</f>
        <v>3</v>
      </c>
      <c r="F553" s="14" t="s">
        <v>1462</v>
      </c>
    </row>
    <row r="554" spans="1:6" ht="31.75">
      <c r="A554" s="19">
        <v>13207</v>
      </c>
      <c r="B554" s="12" t="str">
        <f t="shared" si="8"/>
        <v>132</v>
      </c>
      <c r="C554" s="1" t="s">
        <v>1481</v>
      </c>
      <c r="D554" s="13" t="str">
        <f>IF(RIGHT(A554,3)="000",C554,VLOOKUP(B554,'Справочник ИХ'!A:C,3,0))</f>
        <v>Остальные грузы</v>
      </c>
      <c r="E554" s="13">
        <f>IF(RIGHT(A554,3)="000","х",VLOOKUP(B554,'Справочник ИХ'!A:D,4,0))</f>
        <v>3</v>
      </c>
      <c r="F554" s="14" t="s">
        <v>1462</v>
      </c>
    </row>
    <row r="555" spans="1:6" ht="31.75">
      <c r="A555" s="19">
        <v>13208</v>
      </c>
      <c r="B555" s="12" t="str">
        <f t="shared" si="8"/>
        <v>132</v>
      </c>
      <c r="C555" s="1" t="s">
        <v>1482</v>
      </c>
      <c r="D555" s="13" t="str">
        <f>IF(RIGHT(A555,3)="000",C555,VLOOKUP(B555,'Справочник ИХ'!A:C,3,0))</f>
        <v>Остальные грузы</v>
      </c>
      <c r="E555" s="13">
        <f>IF(RIGHT(A555,3)="000","х",VLOOKUP(B555,'Справочник ИХ'!A:D,4,0))</f>
        <v>3</v>
      </c>
      <c r="F555" s="14" t="s">
        <v>1462</v>
      </c>
    </row>
    <row r="556" spans="1:6" ht="31.75">
      <c r="A556" s="19">
        <v>13209</v>
      </c>
      <c r="B556" s="12" t="str">
        <f t="shared" si="8"/>
        <v>132</v>
      </c>
      <c r="C556" s="1" t="s">
        <v>1483</v>
      </c>
      <c r="D556" s="13" t="str">
        <f>IF(RIGHT(A556,3)="000",C556,VLOOKUP(B556,'Справочник ИХ'!A:C,3,0))</f>
        <v>Остальные грузы</v>
      </c>
      <c r="E556" s="13">
        <f>IF(RIGHT(A556,3)="000","х",VLOOKUP(B556,'Справочник ИХ'!A:D,4,0))</f>
        <v>3</v>
      </c>
      <c r="F556" s="14" t="s">
        <v>1462</v>
      </c>
    </row>
    <row r="557" spans="1:6" ht="31.75">
      <c r="A557" s="19">
        <v>13210</v>
      </c>
      <c r="B557" s="12" t="str">
        <f t="shared" si="8"/>
        <v>132</v>
      </c>
      <c r="C557" s="1" t="s">
        <v>1484</v>
      </c>
      <c r="D557" s="13" t="str">
        <f>IF(RIGHT(A557,3)="000",C557,VLOOKUP(B557,'Справочник ИХ'!A:C,3,0))</f>
        <v>Остальные грузы</v>
      </c>
      <c r="E557" s="13">
        <f>IF(RIGHT(A557,3)="000","х",VLOOKUP(B557,'Справочник ИХ'!A:D,4,0))</f>
        <v>3</v>
      </c>
      <c r="F557" s="14" t="s">
        <v>1462</v>
      </c>
    </row>
    <row r="558" spans="1:6" ht="31.75">
      <c r="A558" s="19">
        <v>13211</v>
      </c>
      <c r="B558" s="12" t="str">
        <f t="shared" si="8"/>
        <v>132</v>
      </c>
      <c r="C558" s="1" t="s">
        <v>1485</v>
      </c>
      <c r="D558" s="13" t="str">
        <f>IF(RIGHT(A558,3)="000",C558,VLOOKUP(B558,'Справочник ИХ'!A:C,3,0))</f>
        <v>Остальные грузы</v>
      </c>
      <c r="E558" s="13">
        <f>IF(RIGHT(A558,3)="000","х",VLOOKUP(B558,'Справочник ИХ'!A:D,4,0))</f>
        <v>3</v>
      </c>
      <c r="F558" s="14" t="s">
        <v>1462</v>
      </c>
    </row>
    <row r="559" spans="1:6" ht="31.75">
      <c r="A559" s="19">
        <v>13212</v>
      </c>
      <c r="B559" s="12" t="str">
        <f t="shared" si="8"/>
        <v>132</v>
      </c>
      <c r="C559" s="1" t="s">
        <v>1486</v>
      </c>
      <c r="D559" s="13" t="str">
        <f>IF(RIGHT(A559,3)="000",C559,VLOOKUP(B559,'Справочник ИХ'!A:C,3,0))</f>
        <v>Остальные грузы</v>
      </c>
      <c r="E559" s="13">
        <f>IF(RIGHT(A559,3)="000","х",VLOOKUP(B559,'Справочник ИХ'!A:D,4,0))</f>
        <v>3</v>
      </c>
      <c r="F559" s="14" t="s">
        <v>1462</v>
      </c>
    </row>
    <row r="560" spans="1:6" ht="31.75">
      <c r="A560" s="19">
        <v>13213</v>
      </c>
      <c r="B560" s="12" t="str">
        <f t="shared" si="8"/>
        <v>132</v>
      </c>
      <c r="C560" s="1" t="s">
        <v>1487</v>
      </c>
      <c r="D560" s="13" t="str">
        <f>IF(RIGHT(A560,3)="000",C560,VLOOKUP(B560,'Справочник ИХ'!A:C,3,0))</f>
        <v>Остальные грузы</v>
      </c>
      <c r="E560" s="13">
        <f>IF(RIGHT(A560,3)="000","х",VLOOKUP(B560,'Справочник ИХ'!A:D,4,0))</f>
        <v>3</v>
      </c>
      <c r="F560" s="14" t="s">
        <v>1462</v>
      </c>
    </row>
    <row r="561" spans="1:6" ht="31.75">
      <c r="A561" s="19">
        <v>13214</v>
      </c>
      <c r="B561" s="12" t="str">
        <f t="shared" si="8"/>
        <v>132</v>
      </c>
      <c r="C561" s="1" t="s">
        <v>1488</v>
      </c>
      <c r="D561" s="13" t="str">
        <f>IF(RIGHT(A561,3)="000",C561,VLOOKUP(B561,'Справочник ИХ'!A:C,3,0))</f>
        <v>Остальные грузы</v>
      </c>
      <c r="E561" s="13">
        <f>IF(RIGHT(A561,3)="000","х",VLOOKUP(B561,'Справочник ИХ'!A:D,4,0))</f>
        <v>3</v>
      </c>
      <c r="F561" s="14" t="s">
        <v>1462</v>
      </c>
    </row>
    <row r="562" spans="1:6" ht="31.75">
      <c r="A562" s="19">
        <v>13215</v>
      </c>
      <c r="B562" s="12" t="str">
        <f t="shared" si="8"/>
        <v>132</v>
      </c>
      <c r="C562" s="1" t="s">
        <v>1489</v>
      </c>
      <c r="D562" s="13" t="str">
        <f>IF(RIGHT(A562,3)="000",C562,VLOOKUP(B562,'Справочник ИХ'!A:C,3,0))</f>
        <v>Остальные грузы</v>
      </c>
      <c r="E562" s="13">
        <f>IF(RIGHT(A562,3)="000","х",VLOOKUP(B562,'Справочник ИХ'!A:D,4,0))</f>
        <v>3</v>
      </c>
      <c r="F562" s="14" t="s">
        <v>1462</v>
      </c>
    </row>
    <row r="563" spans="1:6" ht="31.75">
      <c r="A563" s="19">
        <v>13216</v>
      </c>
      <c r="B563" s="12" t="str">
        <f t="shared" si="8"/>
        <v>132</v>
      </c>
      <c r="C563" s="1" t="s">
        <v>1490</v>
      </c>
      <c r="D563" s="13" t="str">
        <f>IF(RIGHT(A563,3)="000",C563,VLOOKUP(B563,'Справочник ИХ'!A:C,3,0))</f>
        <v>Остальные грузы</v>
      </c>
      <c r="E563" s="13">
        <f>IF(RIGHT(A563,3)="000","х",VLOOKUP(B563,'Справочник ИХ'!A:D,4,0))</f>
        <v>3</v>
      </c>
      <c r="F563" s="14" t="s">
        <v>1462</v>
      </c>
    </row>
    <row r="564" spans="1:6" ht="31.75">
      <c r="A564" s="19">
        <v>13217</v>
      </c>
      <c r="B564" s="12" t="str">
        <f t="shared" si="8"/>
        <v>132</v>
      </c>
      <c r="C564" s="1" t="s">
        <v>1491</v>
      </c>
      <c r="D564" s="13" t="str">
        <f>IF(RIGHT(A564,3)="000",C564,VLOOKUP(B564,'Справочник ИХ'!A:C,3,0))</f>
        <v>Остальные грузы</v>
      </c>
      <c r="E564" s="13">
        <f>IF(RIGHT(A564,3)="000","х",VLOOKUP(B564,'Справочник ИХ'!A:D,4,0))</f>
        <v>3</v>
      </c>
      <c r="F564" s="14" t="s">
        <v>1462</v>
      </c>
    </row>
    <row r="565" spans="1:6" ht="31.75">
      <c r="A565" s="19">
        <v>13218</v>
      </c>
      <c r="B565" s="12" t="str">
        <f t="shared" si="8"/>
        <v>132</v>
      </c>
      <c r="C565" s="1" t="s">
        <v>1492</v>
      </c>
      <c r="D565" s="13" t="str">
        <f>IF(RIGHT(A565,3)="000",C565,VLOOKUP(B565,'Справочник ИХ'!A:C,3,0))</f>
        <v>Остальные грузы</v>
      </c>
      <c r="E565" s="13">
        <f>IF(RIGHT(A565,3)="000","х",VLOOKUP(B565,'Справочник ИХ'!A:D,4,0))</f>
        <v>3</v>
      </c>
      <c r="F565" s="14" t="s">
        <v>1462</v>
      </c>
    </row>
    <row r="566" spans="1:6" ht="31.75">
      <c r="A566" s="19">
        <v>13219</v>
      </c>
      <c r="B566" s="12" t="str">
        <f t="shared" si="8"/>
        <v>132</v>
      </c>
      <c r="C566" s="1" t="s">
        <v>1493</v>
      </c>
      <c r="D566" s="13" t="str">
        <f>IF(RIGHT(A566,3)="000",C566,VLOOKUP(B566,'Справочник ИХ'!A:C,3,0))</f>
        <v>Остальные грузы</v>
      </c>
      <c r="E566" s="13">
        <f>IF(RIGHT(A566,3)="000","х",VLOOKUP(B566,'Справочник ИХ'!A:D,4,0))</f>
        <v>3</v>
      </c>
      <c r="F566" s="14" t="s">
        <v>1462</v>
      </c>
    </row>
    <row r="567" spans="1:6" ht="31.75">
      <c r="A567" s="19">
        <v>13220</v>
      </c>
      <c r="B567" s="12" t="str">
        <f t="shared" si="8"/>
        <v>132</v>
      </c>
      <c r="C567" s="1" t="s">
        <v>1494</v>
      </c>
      <c r="D567" s="13" t="str">
        <f>IF(RIGHT(A567,3)="000",C567,VLOOKUP(B567,'Справочник ИХ'!A:C,3,0))</f>
        <v>Остальные грузы</v>
      </c>
      <c r="E567" s="13">
        <f>IF(RIGHT(A567,3)="000","х",VLOOKUP(B567,'Справочник ИХ'!A:D,4,0))</f>
        <v>3</v>
      </c>
      <c r="F567" s="14" t="s">
        <v>1462</v>
      </c>
    </row>
    <row r="568" spans="1:6" ht="31.75">
      <c r="A568" s="19">
        <v>13221</v>
      </c>
      <c r="B568" s="12" t="str">
        <f t="shared" si="8"/>
        <v>132</v>
      </c>
      <c r="C568" s="1" t="s">
        <v>1495</v>
      </c>
      <c r="D568" s="13" t="str">
        <f>IF(RIGHT(A568,3)="000",C568,VLOOKUP(B568,'Справочник ИХ'!A:C,3,0))</f>
        <v>Остальные грузы</v>
      </c>
      <c r="E568" s="13">
        <f>IF(RIGHT(A568,3)="000","х",VLOOKUP(B568,'Справочник ИХ'!A:D,4,0))</f>
        <v>3</v>
      </c>
      <c r="F568" s="14" t="s">
        <v>1462</v>
      </c>
    </row>
    <row r="569" spans="1:6" ht="31.75">
      <c r="A569" s="19">
        <v>13222</v>
      </c>
      <c r="B569" s="12" t="str">
        <f t="shared" si="8"/>
        <v>132</v>
      </c>
      <c r="C569" s="1" t="s">
        <v>1496</v>
      </c>
      <c r="D569" s="13" t="str">
        <f>IF(RIGHT(A569,3)="000",C569,VLOOKUP(B569,'Справочник ИХ'!A:C,3,0))</f>
        <v>Остальные грузы</v>
      </c>
      <c r="E569" s="13">
        <f>IF(RIGHT(A569,3)="000","х",VLOOKUP(B569,'Справочник ИХ'!A:D,4,0))</f>
        <v>3</v>
      </c>
      <c r="F569" s="14" t="s">
        <v>1462</v>
      </c>
    </row>
    <row r="570" spans="1:6" ht="31.75">
      <c r="A570" s="19">
        <v>13223</v>
      </c>
      <c r="B570" s="12" t="str">
        <f t="shared" si="8"/>
        <v>132</v>
      </c>
      <c r="C570" s="1" t="s">
        <v>1497</v>
      </c>
      <c r="D570" s="13" t="str">
        <f>IF(RIGHT(A570,3)="000",C570,VLOOKUP(B570,'Справочник ИХ'!A:C,3,0))</f>
        <v>Остальные грузы</v>
      </c>
      <c r="E570" s="13">
        <f>IF(RIGHT(A570,3)="000","х",VLOOKUP(B570,'Справочник ИХ'!A:D,4,0))</f>
        <v>3</v>
      </c>
      <c r="F570" s="14" t="s">
        <v>1462</v>
      </c>
    </row>
    <row r="571" spans="1:6" ht="31.75">
      <c r="A571" s="19">
        <v>13224</v>
      </c>
      <c r="B571" s="12" t="str">
        <f t="shared" si="8"/>
        <v>132</v>
      </c>
      <c r="C571" s="1" t="s">
        <v>1498</v>
      </c>
      <c r="D571" s="13" t="str">
        <f>IF(RIGHT(A571,3)="000",C571,VLOOKUP(B571,'Справочник ИХ'!A:C,3,0))</f>
        <v>Остальные грузы</v>
      </c>
      <c r="E571" s="13">
        <f>IF(RIGHT(A571,3)="000","х",VLOOKUP(B571,'Справочник ИХ'!A:D,4,0))</f>
        <v>3</v>
      </c>
      <c r="F571" s="14" t="s">
        <v>1462</v>
      </c>
    </row>
    <row r="572" spans="1:6" ht="31.75">
      <c r="A572" s="19">
        <v>13225</v>
      </c>
      <c r="B572" s="12" t="str">
        <f t="shared" si="8"/>
        <v>132</v>
      </c>
      <c r="C572" s="1" t="s">
        <v>1499</v>
      </c>
      <c r="D572" s="13" t="str">
        <f>IF(RIGHT(A572,3)="000",C572,VLOOKUP(B572,'Справочник ИХ'!A:C,3,0))</f>
        <v>Остальные грузы</v>
      </c>
      <c r="E572" s="13">
        <f>IF(RIGHT(A572,3)="000","х",VLOOKUP(B572,'Справочник ИХ'!A:D,4,0))</f>
        <v>3</v>
      </c>
      <c r="F572" s="14" t="s">
        <v>1462</v>
      </c>
    </row>
    <row r="573" spans="1:6" ht="31.75">
      <c r="A573" s="19">
        <v>13226</v>
      </c>
      <c r="B573" s="12" t="str">
        <f t="shared" si="8"/>
        <v>132</v>
      </c>
      <c r="C573" s="1" t="s">
        <v>1500</v>
      </c>
      <c r="D573" s="13" t="str">
        <f>IF(RIGHT(A573,3)="000",C573,VLOOKUP(B573,'Справочник ИХ'!A:C,3,0))</f>
        <v>Остальные грузы</v>
      </c>
      <c r="E573" s="13">
        <f>IF(RIGHT(A573,3)="000","х",VLOOKUP(B573,'Справочник ИХ'!A:D,4,0))</f>
        <v>3</v>
      </c>
      <c r="F573" s="14" t="s">
        <v>1462</v>
      </c>
    </row>
    <row r="574" spans="1:6" ht="31.75">
      <c r="A574" s="19">
        <v>13227</v>
      </c>
      <c r="B574" s="12" t="str">
        <f t="shared" si="8"/>
        <v>132</v>
      </c>
      <c r="C574" s="1" t="s">
        <v>1501</v>
      </c>
      <c r="D574" s="13" t="str">
        <f>IF(RIGHT(A574,3)="000",C574,VLOOKUP(B574,'Справочник ИХ'!A:C,3,0))</f>
        <v>Остальные грузы</v>
      </c>
      <c r="E574" s="13">
        <f>IF(RIGHT(A574,3)="000","х",VLOOKUP(B574,'Справочник ИХ'!A:D,4,0))</f>
        <v>3</v>
      </c>
      <c r="F574" s="14" t="s">
        <v>1462</v>
      </c>
    </row>
    <row r="575" spans="1:6" ht="31.75">
      <c r="A575" s="19">
        <v>13228</v>
      </c>
      <c r="B575" s="12" t="str">
        <f t="shared" si="8"/>
        <v>132</v>
      </c>
      <c r="C575" s="1" t="s">
        <v>1502</v>
      </c>
      <c r="D575" s="13" t="str">
        <f>IF(RIGHT(A575,3)="000",C575,VLOOKUP(B575,'Справочник ИХ'!A:C,3,0))</f>
        <v>Остальные грузы</v>
      </c>
      <c r="E575" s="13">
        <f>IF(RIGHT(A575,3)="000","х",VLOOKUP(B575,'Справочник ИХ'!A:D,4,0))</f>
        <v>3</v>
      </c>
      <c r="F575" s="14" t="s">
        <v>1462</v>
      </c>
    </row>
    <row r="576" spans="1:6" ht="31.75">
      <c r="A576" s="19">
        <v>13230</v>
      </c>
      <c r="B576" s="12" t="str">
        <f t="shared" si="8"/>
        <v>132</v>
      </c>
      <c r="C576" s="1" t="s">
        <v>1503</v>
      </c>
      <c r="D576" s="13" t="str">
        <f>IF(RIGHT(A576,3)="000",C576,VLOOKUP(B576,'Справочник ИХ'!A:C,3,0))</f>
        <v>Остальные грузы</v>
      </c>
      <c r="E576" s="13">
        <f>IF(RIGHT(A576,3)="000","х",VLOOKUP(B576,'Справочник ИХ'!A:D,4,0))</f>
        <v>3</v>
      </c>
      <c r="F576" s="14" t="s">
        <v>1462</v>
      </c>
    </row>
    <row r="577" spans="1:6" ht="31.75">
      <c r="A577" s="19">
        <v>13231</v>
      </c>
      <c r="B577" s="12" t="str">
        <f t="shared" si="8"/>
        <v>132</v>
      </c>
      <c r="C577" s="1" t="s">
        <v>1504</v>
      </c>
      <c r="D577" s="13" t="str">
        <f>IF(RIGHT(A577,3)="000",C577,VLOOKUP(B577,'Справочник ИХ'!A:C,3,0))</f>
        <v>Остальные грузы</v>
      </c>
      <c r="E577" s="13">
        <f>IF(RIGHT(A577,3)="000","х",VLOOKUP(B577,'Справочник ИХ'!A:D,4,0))</f>
        <v>3</v>
      </c>
      <c r="F577" s="14" t="s">
        <v>1462</v>
      </c>
    </row>
    <row r="578" spans="1:6" ht="31.75">
      <c r="A578" s="19">
        <v>13232</v>
      </c>
      <c r="B578" s="12" t="str">
        <f t="shared" si="8"/>
        <v>132</v>
      </c>
      <c r="C578" s="1" t="s">
        <v>1505</v>
      </c>
      <c r="D578" s="13" t="str">
        <f>IF(RIGHT(A578,3)="000",C578,VLOOKUP(B578,'Справочник ИХ'!A:C,3,0))</f>
        <v>Остальные грузы</v>
      </c>
      <c r="E578" s="13">
        <f>IF(RIGHT(A578,3)="000","х",VLOOKUP(B578,'Справочник ИХ'!A:D,4,0))</f>
        <v>3</v>
      </c>
      <c r="F578" s="14" t="s">
        <v>1462</v>
      </c>
    </row>
    <row r="579" spans="1:6" ht="31.75">
      <c r="A579" s="19">
        <v>13233</v>
      </c>
      <c r="B579" s="12" t="str">
        <f t="shared" si="8"/>
        <v>132</v>
      </c>
      <c r="C579" s="1" t="s">
        <v>1506</v>
      </c>
      <c r="D579" s="13" t="str">
        <f>IF(RIGHT(A579,3)="000",C579,VLOOKUP(B579,'Справочник ИХ'!A:C,3,0))</f>
        <v>Остальные грузы</v>
      </c>
      <c r="E579" s="13">
        <f>IF(RIGHT(A579,3)="000","х",VLOOKUP(B579,'Справочник ИХ'!A:D,4,0))</f>
        <v>3</v>
      </c>
      <c r="F579" s="14" t="s">
        <v>1462</v>
      </c>
    </row>
    <row r="580" spans="1:6" ht="31.75">
      <c r="A580" s="19">
        <v>13234</v>
      </c>
      <c r="B580" s="12" t="str">
        <f t="shared" ref="B580:B643" si="9">LEFT(A580,3)</f>
        <v>132</v>
      </c>
      <c r="C580" s="1" t="s">
        <v>1507</v>
      </c>
      <c r="D580" s="13" t="str">
        <f>IF(RIGHT(A580,3)="000",C580,VLOOKUP(B580,'Справочник ИХ'!A:C,3,0))</f>
        <v>Остальные грузы</v>
      </c>
      <c r="E580" s="13">
        <f>IF(RIGHT(A580,3)="000","х",VLOOKUP(B580,'Справочник ИХ'!A:D,4,0))</f>
        <v>3</v>
      </c>
      <c r="F580" s="14" t="s">
        <v>1462</v>
      </c>
    </row>
    <row r="581" spans="1:6" ht="31.75">
      <c r="A581" s="19">
        <v>13235</v>
      </c>
      <c r="B581" s="12" t="str">
        <f t="shared" si="9"/>
        <v>132</v>
      </c>
      <c r="C581" s="1" t="s">
        <v>1508</v>
      </c>
      <c r="D581" s="13" t="str">
        <f>IF(RIGHT(A581,3)="000",C581,VLOOKUP(B581,'Справочник ИХ'!A:C,3,0))</f>
        <v>Остальные грузы</v>
      </c>
      <c r="E581" s="13">
        <f>IF(RIGHT(A581,3)="000","х",VLOOKUP(B581,'Справочник ИХ'!A:D,4,0))</f>
        <v>3</v>
      </c>
      <c r="F581" s="14" t="s">
        <v>1462</v>
      </c>
    </row>
    <row r="582" spans="1:6" ht="31.75">
      <c r="A582" s="19">
        <v>13236</v>
      </c>
      <c r="B582" s="12" t="str">
        <f t="shared" si="9"/>
        <v>132</v>
      </c>
      <c r="C582" s="1" t="s">
        <v>1509</v>
      </c>
      <c r="D582" s="13" t="str">
        <f>IF(RIGHT(A582,3)="000",C582,VLOOKUP(B582,'Справочник ИХ'!A:C,3,0))</f>
        <v>Остальные грузы</v>
      </c>
      <c r="E582" s="13">
        <f>IF(RIGHT(A582,3)="000","х",VLOOKUP(B582,'Справочник ИХ'!A:D,4,0))</f>
        <v>3</v>
      </c>
      <c r="F582" s="14" t="s">
        <v>1462</v>
      </c>
    </row>
    <row r="583" spans="1:6" ht="31.75">
      <c r="A583" s="19">
        <v>13237</v>
      </c>
      <c r="B583" s="12" t="str">
        <f t="shared" si="9"/>
        <v>132</v>
      </c>
      <c r="C583" s="1" t="s">
        <v>1510</v>
      </c>
      <c r="D583" s="13" t="str">
        <f>IF(RIGHT(A583,3)="000",C583,VLOOKUP(B583,'Справочник ИХ'!A:C,3,0))</f>
        <v>Остальные грузы</v>
      </c>
      <c r="E583" s="13">
        <f>IF(RIGHT(A583,3)="000","х",VLOOKUP(B583,'Справочник ИХ'!A:D,4,0))</f>
        <v>3</v>
      </c>
      <c r="F583" s="14" t="s">
        <v>1462</v>
      </c>
    </row>
    <row r="584" spans="1:6" ht="31.75">
      <c r="A584" s="19">
        <v>13238</v>
      </c>
      <c r="B584" s="12" t="str">
        <f t="shared" si="9"/>
        <v>132</v>
      </c>
      <c r="C584" s="1" t="s">
        <v>1511</v>
      </c>
      <c r="D584" s="13" t="str">
        <f>IF(RIGHT(A584,3)="000",C584,VLOOKUP(B584,'Справочник ИХ'!A:C,3,0))</f>
        <v>Остальные грузы</v>
      </c>
      <c r="E584" s="13">
        <f>IF(RIGHT(A584,3)="000","х",VLOOKUP(B584,'Справочник ИХ'!A:D,4,0))</f>
        <v>3</v>
      </c>
      <c r="F584" s="14" t="s">
        <v>1462</v>
      </c>
    </row>
    <row r="585" spans="1:6" ht="31.75">
      <c r="A585" s="19">
        <v>13239</v>
      </c>
      <c r="B585" s="12" t="str">
        <f t="shared" si="9"/>
        <v>132</v>
      </c>
      <c r="C585" s="1" t="s">
        <v>1512</v>
      </c>
      <c r="D585" s="13" t="str">
        <f>IF(RIGHT(A585,3)="000",C585,VLOOKUP(B585,'Справочник ИХ'!A:C,3,0))</f>
        <v>Остальные грузы</v>
      </c>
      <c r="E585" s="13">
        <f>IF(RIGHT(A585,3)="000","х",VLOOKUP(B585,'Справочник ИХ'!A:D,4,0))</f>
        <v>3</v>
      </c>
      <c r="F585" s="14" t="s">
        <v>1462</v>
      </c>
    </row>
    <row r="586" spans="1:6" ht="31.75">
      <c r="A586" s="19">
        <v>13240</v>
      </c>
      <c r="B586" s="12" t="str">
        <f t="shared" si="9"/>
        <v>132</v>
      </c>
      <c r="C586" s="1" t="s">
        <v>1513</v>
      </c>
      <c r="D586" s="13" t="str">
        <f>IF(RIGHT(A586,3)="000",C586,VLOOKUP(B586,'Справочник ИХ'!A:C,3,0))</f>
        <v>Остальные грузы</v>
      </c>
      <c r="E586" s="13">
        <f>IF(RIGHT(A586,3)="000","х",VLOOKUP(B586,'Справочник ИХ'!A:D,4,0))</f>
        <v>3</v>
      </c>
      <c r="F586" s="14" t="s">
        <v>1462</v>
      </c>
    </row>
    <row r="587" spans="1:6" ht="31.75">
      <c r="A587" s="19">
        <v>13241</v>
      </c>
      <c r="B587" s="12" t="str">
        <f t="shared" si="9"/>
        <v>132</v>
      </c>
      <c r="C587" s="1" t="s">
        <v>1514</v>
      </c>
      <c r="D587" s="13" t="str">
        <f>IF(RIGHT(A587,3)="000",C587,VLOOKUP(B587,'Справочник ИХ'!A:C,3,0))</f>
        <v>Остальные грузы</v>
      </c>
      <c r="E587" s="13">
        <f>IF(RIGHT(A587,3)="000","х",VLOOKUP(B587,'Справочник ИХ'!A:D,4,0))</f>
        <v>3</v>
      </c>
      <c r="F587" s="14" t="s">
        <v>1462</v>
      </c>
    </row>
    <row r="588" spans="1:6" ht="31.75">
      <c r="A588" s="19">
        <v>13242</v>
      </c>
      <c r="B588" s="12" t="str">
        <f t="shared" si="9"/>
        <v>132</v>
      </c>
      <c r="C588" s="1" t="s">
        <v>1515</v>
      </c>
      <c r="D588" s="13" t="str">
        <f>IF(RIGHT(A588,3)="000",C588,VLOOKUP(B588,'Справочник ИХ'!A:C,3,0))</f>
        <v>Остальные грузы</v>
      </c>
      <c r="E588" s="13">
        <f>IF(RIGHT(A588,3)="000","х",VLOOKUP(B588,'Справочник ИХ'!A:D,4,0))</f>
        <v>3</v>
      </c>
      <c r="F588" s="14" t="s">
        <v>1462</v>
      </c>
    </row>
    <row r="589" spans="1:6" ht="31.75">
      <c r="A589" s="19">
        <v>13243</v>
      </c>
      <c r="B589" s="12" t="str">
        <f t="shared" si="9"/>
        <v>132</v>
      </c>
      <c r="C589" s="1" t="s">
        <v>1516</v>
      </c>
      <c r="D589" s="13" t="str">
        <f>IF(RIGHT(A589,3)="000",C589,VLOOKUP(B589,'Справочник ИХ'!A:C,3,0))</f>
        <v>Остальные грузы</v>
      </c>
      <c r="E589" s="13">
        <f>IF(RIGHT(A589,3)="000","х",VLOOKUP(B589,'Справочник ИХ'!A:D,4,0))</f>
        <v>3</v>
      </c>
      <c r="F589" s="14" t="s">
        <v>1462</v>
      </c>
    </row>
    <row r="590" spans="1:6" ht="31.75">
      <c r="A590" s="19">
        <v>13244</v>
      </c>
      <c r="B590" s="12" t="str">
        <f t="shared" si="9"/>
        <v>132</v>
      </c>
      <c r="C590" s="1" t="s">
        <v>1517</v>
      </c>
      <c r="D590" s="13" t="str">
        <f>IF(RIGHT(A590,3)="000",C590,VLOOKUP(B590,'Справочник ИХ'!A:C,3,0))</f>
        <v>Остальные грузы</v>
      </c>
      <c r="E590" s="13">
        <f>IF(RIGHT(A590,3)="000","х",VLOOKUP(B590,'Справочник ИХ'!A:D,4,0))</f>
        <v>3</v>
      </c>
      <c r="F590" s="14" t="s">
        <v>1462</v>
      </c>
    </row>
    <row r="591" spans="1:6" s="18" customFormat="1" ht="31.75">
      <c r="A591" s="16">
        <v>13300</v>
      </c>
      <c r="B591" s="12" t="str">
        <f t="shared" si="9"/>
        <v>133</v>
      </c>
      <c r="C591" s="17" t="s">
        <v>1518</v>
      </c>
      <c r="D591" s="13" t="str">
        <f>IF(RIGHT(A591,3)="000",C591,VLOOKUP(B591,'Справочник ИХ'!A:C,3,0))</f>
        <v>Остальные грузы</v>
      </c>
      <c r="E591" s="13">
        <f>IF(RIGHT(A591,3)="000","х",VLOOKUP(B591,'Справочник ИХ'!A:D,4,0))</f>
        <v>3</v>
      </c>
      <c r="F591" s="14" t="s">
        <v>1462</v>
      </c>
    </row>
    <row r="592" spans="1:6" ht="31.75">
      <c r="A592" s="19">
        <v>13301</v>
      </c>
      <c r="B592" s="12" t="str">
        <f t="shared" si="9"/>
        <v>133</v>
      </c>
      <c r="C592" s="1" t="s">
        <v>1519</v>
      </c>
      <c r="D592" s="13" t="str">
        <f>IF(RIGHT(A592,3)="000",C592,VLOOKUP(B592,'Справочник ИХ'!A:C,3,0))</f>
        <v>Остальные грузы</v>
      </c>
      <c r="E592" s="13">
        <f>IF(RIGHT(A592,3)="000","х",VLOOKUP(B592,'Справочник ИХ'!A:D,4,0))</f>
        <v>3</v>
      </c>
      <c r="F592" s="14" t="s">
        <v>1462</v>
      </c>
    </row>
    <row r="593" spans="1:6" ht="31.75">
      <c r="A593" s="19">
        <v>13302</v>
      </c>
      <c r="B593" s="12" t="str">
        <f t="shared" si="9"/>
        <v>133</v>
      </c>
      <c r="C593" s="1" t="s">
        <v>1520</v>
      </c>
      <c r="D593" s="13" t="str">
        <f>IF(RIGHT(A593,3)="000",C593,VLOOKUP(B593,'Справочник ИХ'!A:C,3,0))</f>
        <v>Остальные грузы</v>
      </c>
      <c r="E593" s="13">
        <f>IF(RIGHT(A593,3)="000","х",VLOOKUP(B593,'Справочник ИХ'!A:D,4,0))</f>
        <v>3</v>
      </c>
      <c r="F593" s="14" t="s">
        <v>1462</v>
      </c>
    </row>
    <row r="594" spans="1:6" ht="47.6">
      <c r="A594" s="19">
        <v>13303</v>
      </c>
      <c r="B594" s="12" t="str">
        <f t="shared" si="9"/>
        <v>133</v>
      </c>
      <c r="C594" s="1" t="s">
        <v>1521</v>
      </c>
      <c r="D594" s="13" t="str">
        <f>IF(RIGHT(A594,3)="000",C594,VLOOKUP(B594,'Справочник ИХ'!A:C,3,0))</f>
        <v>Остальные грузы</v>
      </c>
      <c r="E594" s="13">
        <f>IF(RIGHT(A594,3)="000","х",VLOOKUP(B594,'Справочник ИХ'!A:D,4,0))</f>
        <v>3</v>
      </c>
      <c r="F594" s="14" t="s">
        <v>1462</v>
      </c>
    </row>
    <row r="595" spans="1:6" ht="31.75">
      <c r="A595" s="19">
        <v>13304</v>
      </c>
      <c r="B595" s="12" t="str">
        <f t="shared" si="9"/>
        <v>133</v>
      </c>
      <c r="C595" s="1" t="s">
        <v>1522</v>
      </c>
      <c r="D595" s="13" t="str">
        <f>IF(RIGHT(A595,3)="000",C595,VLOOKUP(B595,'Справочник ИХ'!A:C,3,0))</f>
        <v>Остальные грузы</v>
      </c>
      <c r="E595" s="13">
        <f>IF(RIGHT(A595,3)="000","х",VLOOKUP(B595,'Справочник ИХ'!A:D,4,0))</f>
        <v>3</v>
      </c>
      <c r="F595" s="14" t="s">
        <v>1462</v>
      </c>
    </row>
    <row r="596" spans="1:6" ht="31.75">
      <c r="A596" s="19">
        <v>13305</v>
      </c>
      <c r="B596" s="12" t="str">
        <f t="shared" si="9"/>
        <v>133</v>
      </c>
      <c r="C596" s="1" t="s">
        <v>1523</v>
      </c>
      <c r="D596" s="13" t="str">
        <f>IF(RIGHT(A596,3)="000",C596,VLOOKUP(B596,'Справочник ИХ'!A:C,3,0))</f>
        <v>Остальные грузы</v>
      </c>
      <c r="E596" s="13">
        <f>IF(RIGHT(A596,3)="000","х",VLOOKUP(B596,'Справочник ИХ'!A:D,4,0))</f>
        <v>3</v>
      </c>
      <c r="F596" s="14" t="s">
        <v>1462</v>
      </c>
    </row>
    <row r="597" spans="1:6" ht="31.75">
      <c r="A597" s="19">
        <v>13306</v>
      </c>
      <c r="B597" s="12" t="str">
        <f t="shared" si="9"/>
        <v>133</v>
      </c>
      <c r="C597" s="1" t="s">
        <v>1524</v>
      </c>
      <c r="D597" s="13" t="str">
        <f>IF(RIGHT(A597,3)="000",C597,VLOOKUP(B597,'Справочник ИХ'!A:C,3,0))</f>
        <v>Остальные грузы</v>
      </c>
      <c r="E597" s="13">
        <f>IF(RIGHT(A597,3)="000","х",VLOOKUP(B597,'Справочник ИХ'!A:D,4,0))</f>
        <v>3</v>
      </c>
      <c r="F597" s="14" t="s">
        <v>1462</v>
      </c>
    </row>
    <row r="598" spans="1:6" ht="31.75">
      <c r="A598" s="19">
        <v>13307</v>
      </c>
      <c r="B598" s="12" t="str">
        <f t="shared" si="9"/>
        <v>133</v>
      </c>
      <c r="C598" s="1" t="s">
        <v>1525</v>
      </c>
      <c r="D598" s="13" t="str">
        <f>IF(RIGHT(A598,3)="000",C598,VLOOKUP(B598,'Справочник ИХ'!A:C,3,0))</f>
        <v>Остальные грузы</v>
      </c>
      <c r="E598" s="13">
        <f>IF(RIGHT(A598,3)="000","х",VLOOKUP(B598,'Справочник ИХ'!A:D,4,0))</f>
        <v>3</v>
      </c>
      <c r="F598" s="14" t="s">
        <v>1462</v>
      </c>
    </row>
    <row r="599" spans="1:6" ht="31.75">
      <c r="A599" s="19">
        <v>13308</v>
      </c>
      <c r="B599" s="12" t="str">
        <f t="shared" si="9"/>
        <v>133</v>
      </c>
      <c r="C599" s="1" t="s">
        <v>1526</v>
      </c>
      <c r="D599" s="13" t="str">
        <f>IF(RIGHT(A599,3)="000",C599,VLOOKUP(B599,'Справочник ИХ'!A:C,3,0))</f>
        <v>Остальные грузы</v>
      </c>
      <c r="E599" s="13">
        <f>IF(RIGHT(A599,3)="000","х",VLOOKUP(B599,'Справочник ИХ'!A:D,4,0))</f>
        <v>3</v>
      </c>
      <c r="F599" s="14" t="s">
        <v>1462</v>
      </c>
    </row>
    <row r="600" spans="1:6" ht="31.75">
      <c r="A600" s="19">
        <v>13309</v>
      </c>
      <c r="B600" s="12" t="str">
        <f t="shared" si="9"/>
        <v>133</v>
      </c>
      <c r="C600" s="1" t="s">
        <v>1527</v>
      </c>
      <c r="D600" s="13" t="str">
        <f>IF(RIGHT(A600,3)="000",C600,VLOOKUP(B600,'Справочник ИХ'!A:C,3,0))</f>
        <v>Остальные грузы</v>
      </c>
      <c r="E600" s="13">
        <f>IF(RIGHT(A600,3)="000","х",VLOOKUP(B600,'Справочник ИХ'!A:D,4,0))</f>
        <v>3</v>
      </c>
      <c r="F600" s="14" t="s">
        <v>1462</v>
      </c>
    </row>
    <row r="601" spans="1:6" ht="31.75">
      <c r="A601" s="19">
        <v>13310</v>
      </c>
      <c r="B601" s="12" t="str">
        <f t="shared" si="9"/>
        <v>133</v>
      </c>
      <c r="C601" s="1" t="s">
        <v>1528</v>
      </c>
      <c r="D601" s="13" t="str">
        <f>IF(RIGHT(A601,3)="000",C601,VLOOKUP(B601,'Справочник ИХ'!A:C,3,0))</f>
        <v>Остальные грузы</v>
      </c>
      <c r="E601" s="13">
        <f>IF(RIGHT(A601,3)="000","х",VLOOKUP(B601,'Справочник ИХ'!A:D,4,0))</f>
        <v>3</v>
      </c>
      <c r="F601" s="14" t="s">
        <v>1462</v>
      </c>
    </row>
    <row r="602" spans="1:6" ht="31.75">
      <c r="A602" s="19">
        <v>13311</v>
      </c>
      <c r="B602" s="12" t="str">
        <f t="shared" si="9"/>
        <v>133</v>
      </c>
      <c r="C602" s="1" t="s">
        <v>1529</v>
      </c>
      <c r="D602" s="13" t="str">
        <f>IF(RIGHT(A602,3)="000",C602,VLOOKUP(B602,'Справочник ИХ'!A:C,3,0))</f>
        <v>Остальные грузы</v>
      </c>
      <c r="E602" s="13">
        <f>IF(RIGHT(A602,3)="000","х",VLOOKUP(B602,'Справочник ИХ'!A:D,4,0))</f>
        <v>3</v>
      </c>
      <c r="F602" s="14" t="s">
        <v>1462</v>
      </c>
    </row>
    <row r="603" spans="1:6" ht="31.75">
      <c r="A603" s="19">
        <v>13312</v>
      </c>
      <c r="B603" s="12" t="str">
        <f t="shared" si="9"/>
        <v>133</v>
      </c>
      <c r="C603" s="1" t="s">
        <v>1530</v>
      </c>
      <c r="D603" s="13" t="str">
        <f>IF(RIGHT(A603,3)="000",C603,VLOOKUP(B603,'Справочник ИХ'!A:C,3,0))</f>
        <v>Остальные грузы</v>
      </c>
      <c r="E603" s="13">
        <f>IF(RIGHT(A603,3)="000","х",VLOOKUP(B603,'Справочник ИХ'!A:D,4,0))</f>
        <v>3</v>
      </c>
      <c r="F603" s="14" t="s">
        <v>1462</v>
      </c>
    </row>
    <row r="604" spans="1:6" ht="31.75">
      <c r="A604" s="19">
        <v>13313</v>
      </c>
      <c r="B604" s="12" t="str">
        <f t="shared" si="9"/>
        <v>133</v>
      </c>
      <c r="C604" s="1" t="s">
        <v>1531</v>
      </c>
      <c r="D604" s="13" t="str">
        <f>IF(RIGHT(A604,3)="000",C604,VLOOKUP(B604,'Справочник ИХ'!A:C,3,0))</f>
        <v>Остальные грузы</v>
      </c>
      <c r="E604" s="13">
        <f>IF(RIGHT(A604,3)="000","х",VLOOKUP(B604,'Справочник ИХ'!A:D,4,0))</f>
        <v>3</v>
      </c>
      <c r="F604" s="14" t="s">
        <v>1462</v>
      </c>
    </row>
    <row r="605" spans="1:6" ht="31.75">
      <c r="A605" s="19">
        <v>13314</v>
      </c>
      <c r="B605" s="12" t="str">
        <f t="shared" si="9"/>
        <v>133</v>
      </c>
      <c r="C605" s="1" t="s">
        <v>1532</v>
      </c>
      <c r="D605" s="13" t="str">
        <f>IF(RIGHT(A605,3)="000",C605,VLOOKUP(B605,'Справочник ИХ'!A:C,3,0))</f>
        <v>Остальные грузы</v>
      </c>
      <c r="E605" s="13">
        <f>IF(RIGHT(A605,3)="000","х",VLOOKUP(B605,'Справочник ИХ'!A:D,4,0))</f>
        <v>3</v>
      </c>
      <c r="F605" s="14" t="s">
        <v>1462</v>
      </c>
    </row>
    <row r="606" spans="1:6" ht="31.75">
      <c r="A606" s="19">
        <v>13315</v>
      </c>
      <c r="B606" s="12" t="str">
        <f t="shared" si="9"/>
        <v>133</v>
      </c>
      <c r="C606" s="1" t="s">
        <v>1533</v>
      </c>
      <c r="D606" s="13" t="str">
        <f>IF(RIGHT(A606,3)="000",C606,VLOOKUP(B606,'Справочник ИХ'!A:C,3,0))</f>
        <v>Остальные грузы</v>
      </c>
      <c r="E606" s="13">
        <f>IF(RIGHT(A606,3)="000","х",VLOOKUP(B606,'Справочник ИХ'!A:D,4,0))</f>
        <v>3</v>
      </c>
      <c r="F606" s="14" t="s">
        <v>1462</v>
      </c>
    </row>
    <row r="607" spans="1:6" ht="31.75">
      <c r="A607" s="19">
        <v>13316</v>
      </c>
      <c r="B607" s="12" t="str">
        <f t="shared" si="9"/>
        <v>133</v>
      </c>
      <c r="C607" s="1" t="s">
        <v>1534</v>
      </c>
      <c r="D607" s="13" t="str">
        <f>IF(RIGHT(A607,3)="000",C607,VLOOKUP(B607,'Справочник ИХ'!A:C,3,0))</f>
        <v>Остальные грузы</v>
      </c>
      <c r="E607" s="13">
        <f>IF(RIGHT(A607,3)="000","х",VLOOKUP(B607,'Справочник ИХ'!A:D,4,0))</f>
        <v>3</v>
      </c>
      <c r="F607" s="14" t="s">
        <v>1462</v>
      </c>
    </row>
    <row r="608" spans="1:6" ht="31.75">
      <c r="A608" s="19">
        <v>13317</v>
      </c>
      <c r="B608" s="12" t="str">
        <f t="shared" si="9"/>
        <v>133</v>
      </c>
      <c r="C608" s="1" t="s">
        <v>1535</v>
      </c>
      <c r="D608" s="13" t="str">
        <f>IF(RIGHT(A608,3)="000",C608,VLOOKUP(B608,'Справочник ИХ'!A:C,3,0))</f>
        <v>Остальные грузы</v>
      </c>
      <c r="E608" s="13">
        <f>IF(RIGHT(A608,3)="000","х",VLOOKUP(B608,'Справочник ИХ'!A:D,4,0))</f>
        <v>3</v>
      </c>
      <c r="F608" s="14" t="s">
        <v>1462</v>
      </c>
    </row>
    <row r="609" spans="1:6" ht="31.75">
      <c r="A609" s="19">
        <v>13318</v>
      </c>
      <c r="B609" s="12" t="str">
        <f t="shared" si="9"/>
        <v>133</v>
      </c>
      <c r="C609" s="1" t="s">
        <v>1536</v>
      </c>
      <c r="D609" s="13" t="str">
        <f>IF(RIGHT(A609,3)="000",C609,VLOOKUP(B609,'Справочник ИХ'!A:C,3,0))</f>
        <v>Остальные грузы</v>
      </c>
      <c r="E609" s="13">
        <f>IF(RIGHT(A609,3)="000","х",VLOOKUP(B609,'Справочник ИХ'!A:D,4,0))</f>
        <v>3</v>
      </c>
      <c r="F609" s="14" t="s">
        <v>1462</v>
      </c>
    </row>
    <row r="610" spans="1:6" ht="31.75">
      <c r="A610" s="19">
        <v>13319</v>
      </c>
      <c r="B610" s="12" t="str">
        <f t="shared" si="9"/>
        <v>133</v>
      </c>
      <c r="C610" s="1" t="s">
        <v>1537</v>
      </c>
      <c r="D610" s="13" t="str">
        <f>IF(RIGHT(A610,3)="000",C610,VLOOKUP(B610,'Справочник ИХ'!A:C,3,0))</f>
        <v>Остальные грузы</v>
      </c>
      <c r="E610" s="13">
        <f>IF(RIGHT(A610,3)="000","х",VLOOKUP(B610,'Справочник ИХ'!A:D,4,0))</f>
        <v>3</v>
      </c>
      <c r="F610" s="14" t="s">
        <v>1462</v>
      </c>
    </row>
    <row r="611" spans="1:6" ht="31.75">
      <c r="A611" s="19">
        <v>13320</v>
      </c>
      <c r="B611" s="12" t="str">
        <f t="shared" si="9"/>
        <v>133</v>
      </c>
      <c r="C611" s="1" t="s">
        <v>1538</v>
      </c>
      <c r="D611" s="13" t="str">
        <f>IF(RIGHT(A611,3)="000",C611,VLOOKUP(B611,'Справочник ИХ'!A:C,3,0))</f>
        <v>Остальные грузы</v>
      </c>
      <c r="E611" s="13">
        <f>IF(RIGHT(A611,3)="000","х",VLOOKUP(B611,'Справочник ИХ'!A:D,4,0))</f>
        <v>3</v>
      </c>
      <c r="F611" s="14" t="s">
        <v>1462</v>
      </c>
    </row>
    <row r="612" spans="1:6" ht="31.75">
      <c r="A612" s="19"/>
      <c r="B612" s="12" t="str">
        <f t="shared" si="9"/>
        <v/>
      </c>
      <c r="C612" s="11" t="s">
        <v>1539</v>
      </c>
      <c r="D612" s="1" t="str">
        <f>C612</f>
        <v xml:space="preserve">Раздел 3. Руды металлические </v>
      </c>
      <c r="E612" s="13" t="s">
        <v>562</v>
      </c>
      <c r="F612" s="14" t="s">
        <v>1462</v>
      </c>
    </row>
    <row r="613" spans="1:6" s="15" customFormat="1" ht="31.75">
      <c r="A613" s="7">
        <v>14000</v>
      </c>
      <c r="B613" s="12" t="str">
        <f t="shared" si="9"/>
        <v>140</v>
      </c>
      <c r="C613" s="11" t="s">
        <v>1540</v>
      </c>
      <c r="D613" s="13" t="str">
        <f>IF(RIGHT(A613,3)="000",C613,VLOOKUP(B613,'Справочник ИХ'!A:C,3,0))</f>
        <v xml:space="preserve">Руда железная и марганцевая </v>
      </c>
      <c r="E613" s="13" t="str">
        <f>IF(RIGHT(A613,3)="000","х",VLOOKUP(B613,'Справочник ИХ'!A:D,4,0))</f>
        <v>х</v>
      </c>
      <c r="F613" s="14" t="s">
        <v>1540</v>
      </c>
    </row>
    <row r="614" spans="1:6" s="18" customFormat="1">
      <c r="A614" s="16">
        <v>14100</v>
      </c>
      <c r="B614" s="12" t="str">
        <f t="shared" si="9"/>
        <v>141</v>
      </c>
      <c r="C614" s="17" t="s">
        <v>1541</v>
      </c>
      <c r="D614" s="13" t="str">
        <f>IF(RIGHT(A614,3)="000",C614,VLOOKUP(B614,'Справочник ИХ'!A:C,3,0))</f>
        <v>Руды  всякие</v>
      </c>
      <c r="E614" s="13">
        <f>IF(RIGHT(A614,3)="000","х",VLOOKUP(B614,'Справочник ИХ'!A:D,4,0))</f>
        <v>1</v>
      </c>
      <c r="F614" s="14" t="s">
        <v>1540</v>
      </c>
    </row>
    <row r="615" spans="1:6">
      <c r="A615" s="19">
        <v>14101</v>
      </c>
      <c r="B615" s="12" t="str">
        <f t="shared" si="9"/>
        <v>141</v>
      </c>
      <c r="C615" s="1" t="s">
        <v>1542</v>
      </c>
      <c r="D615" s="13" t="str">
        <f>IF(RIGHT(A615,3)="000",C615,VLOOKUP(B615,'Справочник ИХ'!A:C,3,0))</f>
        <v>Руды  всякие</v>
      </c>
      <c r="E615" s="13">
        <f>IF(RIGHT(A615,3)="000","х",VLOOKUP(B615,'Справочник ИХ'!A:D,4,0))</f>
        <v>1</v>
      </c>
      <c r="F615" s="14" t="s">
        <v>1540</v>
      </c>
    </row>
    <row r="616" spans="1:6">
      <c r="A616" s="19">
        <v>14102</v>
      </c>
      <c r="B616" s="12" t="str">
        <f t="shared" si="9"/>
        <v>141</v>
      </c>
      <c r="C616" s="1" t="s">
        <v>1543</v>
      </c>
      <c r="D616" s="13" t="str">
        <f>IF(RIGHT(A616,3)="000",C616,VLOOKUP(B616,'Справочник ИХ'!A:C,3,0))</f>
        <v>Руды  всякие</v>
      </c>
      <c r="E616" s="13">
        <f>IF(RIGHT(A616,3)="000","х",VLOOKUP(B616,'Справочник ИХ'!A:D,4,0))</f>
        <v>1</v>
      </c>
      <c r="F616" s="14" t="s">
        <v>1540</v>
      </c>
    </row>
    <row r="617" spans="1:6">
      <c r="A617" s="19">
        <v>14103</v>
      </c>
      <c r="B617" s="12" t="str">
        <f t="shared" si="9"/>
        <v>141</v>
      </c>
      <c r="C617" s="1" t="s">
        <v>1544</v>
      </c>
      <c r="D617" s="13" t="str">
        <f>IF(RIGHT(A617,3)="000",C617,VLOOKUP(B617,'Справочник ИХ'!A:C,3,0))</f>
        <v>Руды  всякие</v>
      </c>
      <c r="E617" s="13">
        <f>IF(RIGHT(A617,3)="000","х",VLOOKUP(B617,'Справочник ИХ'!A:D,4,0))</f>
        <v>1</v>
      </c>
      <c r="F617" s="14" t="s">
        <v>1540</v>
      </c>
    </row>
    <row r="618" spans="1:6">
      <c r="A618" s="19">
        <v>14104</v>
      </c>
      <c r="B618" s="12" t="str">
        <f t="shared" si="9"/>
        <v>141</v>
      </c>
      <c r="C618" s="1" t="s">
        <v>1545</v>
      </c>
      <c r="D618" s="13" t="str">
        <f>IF(RIGHT(A618,3)="000",C618,VLOOKUP(B618,'Справочник ИХ'!A:C,3,0))</f>
        <v>Руды  всякие</v>
      </c>
      <c r="E618" s="13">
        <f>IF(RIGHT(A618,3)="000","х",VLOOKUP(B618,'Справочник ИХ'!A:D,4,0))</f>
        <v>1</v>
      </c>
      <c r="F618" s="14" t="s">
        <v>1540</v>
      </c>
    </row>
    <row r="619" spans="1:6">
      <c r="A619" s="19">
        <v>14105</v>
      </c>
      <c r="B619" s="12" t="str">
        <f t="shared" si="9"/>
        <v>141</v>
      </c>
      <c r="C619" s="1" t="s">
        <v>1546</v>
      </c>
      <c r="D619" s="13" t="str">
        <f>IF(RIGHT(A619,3)="000",C619,VLOOKUP(B619,'Справочник ИХ'!A:C,3,0))</f>
        <v>Руды  всякие</v>
      </c>
      <c r="E619" s="13">
        <f>IF(RIGHT(A619,3)="000","х",VLOOKUP(B619,'Справочник ИХ'!A:D,4,0))</f>
        <v>1</v>
      </c>
      <c r="F619" s="14" t="s">
        <v>1540</v>
      </c>
    </row>
    <row r="620" spans="1:6">
      <c r="A620" s="19">
        <v>14106</v>
      </c>
      <c r="B620" s="12" t="str">
        <f t="shared" si="9"/>
        <v>141</v>
      </c>
      <c r="C620" s="1" t="s">
        <v>1547</v>
      </c>
      <c r="D620" s="13" t="str">
        <f>IF(RIGHT(A620,3)="000",C620,VLOOKUP(B620,'Справочник ИХ'!A:C,3,0))</f>
        <v>Руды  всякие</v>
      </c>
      <c r="E620" s="13">
        <f>IF(RIGHT(A620,3)="000","х",VLOOKUP(B620,'Справочник ИХ'!A:D,4,0))</f>
        <v>1</v>
      </c>
      <c r="F620" s="14" t="s">
        <v>1540</v>
      </c>
    </row>
    <row r="621" spans="1:6">
      <c r="A621" s="19">
        <v>14107</v>
      </c>
      <c r="B621" s="12" t="str">
        <f t="shared" si="9"/>
        <v>141</v>
      </c>
      <c r="C621" s="1" t="s">
        <v>1548</v>
      </c>
      <c r="D621" s="13" t="str">
        <f>IF(RIGHT(A621,3)="000",C621,VLOOKUP(B621,'Справочник ИХ'!A:C,3,0))</f>
        <v>Руды  всякие</v>
      </c>
      <c r="E621" s="13">
        <f>IF(RIGHT(A621,3)="000","х",VLOOKUP(B621,'Справочник ИХ'!A:D,4,0))</f>
        <v>1</v>
      </c>
      <c r="F621" s="14" t="s">
        <v>1540</v>
      </c>
    </row>
    <row r="622" spans="1:6" ht="31.75">
      <c r="A622" s="19">
        <v>14108</v>
      </c>
      <c r="B622" s="12" t="str">
        <f t="shared" si="9"/>
        <v>141</v>
      </c>
      <c r="C622" s="1" t="s">
        <v>1549</v>
      </c>
      <c r="D622" s="13" t="str">
        <f>IF(RIGHT(A622,3)="000",C622,VLOOKUP(B622,'Справочник ИХ'!A:C,3,0))</f>
        <v>Руды  всякие</v>
      </c>
      <c r="E622" s="13">
        <f>IF(RIGHT(A622,3)="000","х",VLOOKUP(B622,'Справочник ИХ'!A:D,4,0))</f>
        <v>1</v>
      </c>
      <c r="F622" s="14" t="s">
        <v>1540</v>
      </c>
    </row>
    <row r="623" spans="1:6">
      <c r="A623" s="19">
        <v>14109</v>
      </c>
      <c r="B623" s="12" t="str">
        <f t="shared" si="9"/>
        <v>141</v>
      </c>
      <c r="C623" s="1" t="s">
        <v>1550</v>
      </c>
      <c r="D623" s="13" t="str">
        <f>IF(RIGHT(A623,3)="000",C623,VLOOKUP(B623,'Справочник ИХ'!A:C,3,0))</f>
        <v>Руды  всякие</v>
      </c>
      <c r="E623" s="13">
        <f>IF(RIGHT(A623,3)="000","х",VLOOKUP(B623,'Справочник ИХ'!A:D,4,0))</f>
        <v>1</v>
      </c>
      <c r="F623" s="14" t="s">
        <v>1540</v>
      </c>
    </row>
    <row r="624" spans="1:6">
      <c r="A624" s="19">
        <v>14110</v>
      </c>
      <c r="B624" s="12" t="str">
        <f t="shared" si="9"/>
        <v>141</v>
      </c>
      <c r="C624" s="1" t="s">
        <v>1551</v>
      </c>
      <c r="D624" s="13" t="str">
        <f>IF(RIGHT(A624,3)="000",C624,VLOOKUP(B624,'Справочник ИХ'!A:C,3,0))</f>
        <v>Руды  всякие</v>
      </c>
      <c r="E624" s="13">
        <f>IF(RIGHT(A624,3)="000","х",VLOOKUP(B624,'Справочник ИХ'!A:D,4,0))</f>
        <v>1</v>
      </c>
      <c r="F624" s="14" t="s">
        <v>1540</v>
      </c>
    </row>
    <row r="625" spans="1:6">
      <c r="A625" s="19">
        <v>14111</v>
      </c>
      <c r="B625" s="12" t="str">
        <f t="shared" si="9"/>
        <v>141</v>
      </c>
      <c r="C625" s="1" t="s">
        <v>1552</v>
      </c>
      <c r="D625" s="13" t="str">
        <f>IF(RIGHT(A625,3)="000",C625,VLOOKUP(B625,'Справочник ИХ'!A:C,3,0))</f>
        <v>Руды  всякие</v>
      </c>
      <c r="E625" s="13">
        <f>IF(RIGHT(A625,3)="000","х",VLOOKUP(B625,'Справочник ИХ'!A:D,4,0))</f>
        <v>1</v>
      </c>
      <c r="F625" s="14" t="s">
        <v>1540</v>
      </c>
    </row>
    <row r="626" spans="1:6">
      <c r="A626" s="19">
        <v>14112</v>
      </c>
      <c r="B626" s="12" t="str">
        <f t="shared" si="9"/>
        <v>141</v>
      </c>
      <c r="C626" s="1" t="s">
        <v>1553</v>
      </c>
      <c r="D626" s="13" t="str">
        <f>IF(RIGHT(A626,3)="000",C626,VLOOKUP(B626,'Справочник ИХ'!A:C,3,0))</f>
        <v>Руды  всякие</v>
      </c>
      <c r="E626" s="13">
        <f>IF(RIGHT(A626,3)="000","х",VLOOKUP(B626,'Справочник ИХ'!A:D,4,0))</f>
        <v>1</v>
      </c>
      <c r="F626" s="14" t="s">
        <v>1540</v>
      </c>
    </row>
    <row r="627" spans="1:6">
      <c r="A627" s="19">
        <v>14113</v>
      </c>
      <c r="B627" s="12" t="str">
        <f t="shared" si="9"/>
        <v>141</v>
      </c>
      <c r="C627" s="1" t="s">
        <v>1554</v>
      </c>
      <c r="D627" s="13" t="str">
        <f>IF(RIGHT(A627,3)="000",C627,VLOOKUP(B627,'Справочник ИХ'!A:C,3,0))</f>
        <v>Руды  всякие</v>
      </c>
      <c r="E627" s="13">
        <f>IF(RIGHT(A627,3)="000","х",VLOOKUP(B627,'Справочник ИХ'!A:D,4,0))</f>
        <v>1</v>
      </c>
      <c r="F627" s="14" t="s">
        <v>1540</v>
      </c>
    </row>
    <row r="628" spans="1:6">
      <c r="A628" s="19">
        <v>14114</v>
      </c>
      <c r="B628" s="12" t="str">
        <f t="shared" si="9"/>
        <v>141</v>
      </c>
      <c r="C628" s="1" t="s">
        <v>1555</v>
      </c>
      <c r="D628" s="13" t="str">
        <f>IF(RIGHT(A628,3)="000",C628,VLOOKUP(B628,'Справочник ИХ'!A:C,3,0))</f>
        <v>Руды  всякие</v>
      </c>
      <c r="E628" s="13">
        <f>IF(RIGHT(A628,3)="000","х",VLOOKUP(B628,'Справочник ИХ'!A:D,4,0))</f>
        <v>1</v>
      </c>
      <c r="F628" s="14" t="s">
        <v>1540</v>
      </c>
    </row>
    <row r="629" spans="1:6">
      <c r="A629" s="19">
        <v>14115</v>
      </c>
      <c r="B629" s="12" t="str">
        <f t="shared" si="9"/>
        <v>141</v>
      </c>
      <c r="C629" s="1" t="s">
        <v>1556</v>
      </c>
      <c r="D629" s="13" t="str">
        <f>IF(RIGHT(A629,3)="000",C629,VLOOKUP(B629,'Справочник ИХ'!A:C,3,0))</f>
        <v>Руды  всякие</v>
      </c>
      <c r="E629" s="13">
        <f>IF(RIGHT(A629,3)="000","х",VLOOKUP(B629,'Справочник ИХ'!A:D,4,0))</f>
        <v>1</v>
      </c>
      <c r="F629" s="14" t="s">
        <v>1540</v>
      </c>
    </row>
    <row r="630" spans="1:6" ht="31.75">
      <c r="A630" s="19">
        <v>14116</v>
      </c>
      <c r="B630" s="12" t="str">
        <f t="shared" si="9"/>
        <v>141</v>
      </c>
      <c r="C630" s="1" t="s">
        <v>1557</v>
      </c>
      <c r="D630" s="13" t="str">
        <f>IF(RIGHT(A630,3)="000",C630,VLOOKUP(B630,'Справочник ИХ'!A:C,3,0))</f>
        <v>Руды  всякие</v>
      </c>
      <c r="E630" s="13">
        <f>IF(RIGHT(A630,3)="000","х",VLOOKUP(B630,'Справочник ИХ'!A:D,4,0))</f>
        <v>1</v>
      </c>
      <c r="F630" s="14" t="s">
        <v>1540</v>
      </c>
    </row>
    <row r="631" spans="1:6">
      <c r="A631" s="19">
        <v>14117</v>
      </c>
      <c r="B631" s="12" t="str">
        <f t="shared" si="9"/>
        <v>141</v>
      </c>
      <c r="C631" s="1" t="s">
        <v>1558</v>
      </c>
      <c r="D631" s="13" t="str">
        <f>IF(RIGHT(A631,3)="000",C631,VLOOKUP(B631,'Справочник ИХ'!A:C,3,0))</f>
        <v>Руды  всякие</v>
      </c>
      <c r="E631" s="13">
        <f>IF(RIGHT(A631,3)="000","х",VLOOKUP(B631,'Справочник ИХ'!A:D,4,0))</f>
        <v>1</v>
      </c>
      <c r="F631" s="14" t="s">
        <v>1540</v>
      </c>
    </row>
    <row r="632" spans="1:6" ht="31.75">
      <c r="A632" s="19">
        <v>14118</v>
      </c>
      <c r="B632" s="12" t="str">
        <f t="shared" si="9"/>
        <v>141</v>
      </c>
      <c r="C632" s="1" t="s">
        <v>1559</v>
      </c>
      <c r="D632" s="13" t="str">
        <f>IF(RIGHT(A632,3)="000",C632,VLOOKUP(B632,'Справочник ИХ'!A:C,3,0))</f>
        <v>Руды  всякие</v>
      </c>
      <c r="E632" s="13">
        <f>IF(RIGHT(A632,3)="000","х",VLOOKUP(B632,'Справочник ИХ'!A:D,4,0))</f>
        <v>1</v>
      </c>
      <c r="F632" s="14" t="s">
        <v>1540</v>
      </c>
    </row>
    <row r="633" spans="1:6" s="18" customFormat="1">
      <c r="A633" s="16">
        <v>14200</v>
      </c>
      <c r="B633" s="12" t="str">
        <f t="shared" si="9"/>
        <v>142</v>
      </c>
      <c r="C633" s="17" t="s">
        <v>1560</v>
      </c>
      <c r="D633" s="13" t="str">
        <f>IF(RIGHT(A633,3)="000",C633,VLOOKUP(B633,'Справочник ИХ'!A:C,3,0))</f>
        <v>Руды  всякие</v>
      </c>
      <c r="E633" s="13">
        <f>IF(RIGHT(A633,3)="000","х",VLOOKUP(B633,'Справочник ИХ'!A:D,4,0))</f>
        <v>1</v>
      </c>
      <c r="F633" s="14" t="s">
        <v>1540</v>
      </c>
    </row>
    <row r="634" spans="1:6">
      <c r="A634" s="19">
        <v>14201</v>
      </c>
      <c r="B634" s="12" t="str">
        <f t="shared" si="9"/>
        <v>142</v>
      </c>
      <c r="C634" s="1" t="s">
        <v>1561</v>
      </c>
      <c r="D634" s="13" t="str">
        <f>IF(RIGHT(A634,3)="000",C634,VLOOKUP(B634,'Справочник ИХ'!A:C,3,0))</f>
        <v>Руды  всякие</v>
      </c>
      <c r="E634" s="13">
        <f>IF(RIGHT(A634,3)="000","х",VLOOKUP(B634,'Справочник ИХ'!A:D,4,0))</f>
        <v>1</v>
      </c>
      <c r="F634" s="14" t="s">
        <v>1540</v>
      </c>
    </row>
    <row r="635" spans="1:6">
      <c r="A635" s="19">
        <v>14202</v>
      </c>
      <c r="B635" s="12" t="str">
        <f t="shared" si="9"/>
        <v>142</v>
      </c>
      <c r="C635" s="1" t="s">
        <v>1562</v>
      </c>
      <c r="D635" s="13" t="str">
        <f>IF(RIGHT(A635,3)="000",C635,VLOOKUP(B635,'Справочник ИХ'!A:C,3,0))</f>
        <v>Руды  всякие</v>
      </c>
      <c r="E635" s="13">
        <f>IF(RIGHT(A635,3)="000","х",VLOOKUP(B635,'Справочник ИХ'!A:D,4,0))</f>
        <v>1</v>
      </c>
      <c r="F635" s="14" t="s">
        <v>1540</v>
      </c>
    </row>
    <row r="636" spans="1:6">
      <c r="A636" s="19">
        <v>14203</v>
      </c>
      <c r="B636" s="12" t="str">
        <f t="shared" si="9"/>
        <v>142</v>
      </c>
      <c r="C636" s="1" t="s">
        <v>1563</v>
      </c>
      <c r="D636" s="13" t="str">
        <f>IF(RIGHT(A636,3)="000",C636,VLOOKUP(B636,'Справочник ИХ'!A:C,3,0))</f>
        <v>Руды  всякие</v>
      </c>
      <c r="E636" s="13">
        <f>IF(RIGHT(A636,3)="000","х",VLOOKUP(B636,'Справочник ИХ'!A:D,4,0))</f>
        <v>1</v>
      </c>
      <c r="F636" s="14" t="s">
        <v>1540</v>
      </c>
    </row>
    <row r="637" spans="1:6">
      <c r="A637" s="19">
        <v>14204</v>
      </c>
      <c r="B637" s="12" t="str">
        <f t="shared" si="9"/>
        <v>142</v>
      </c>
      <c r="C637" s="1" t="s">
        <v>1564</v>
      </c>
      <c r="D637" s="13" t="str">
        <f>IF(RIGHT(A637,3)="000",C637,VLOOKUP(B637,'Справочник ИХ'!A:C,3,0))</f>
        <v>Руды  всякие</v>
      </c>
      <c r="E637" s="13">
        <f>IF(RIGHT(A637,3)="000","х",VLOOKUP(B637,'Справочник ИХ'!A:D,4,0))</f>
        <v>1</v>
      </c>
      <c r="F637" s="14" t="s">
        <v>1540</v>
      </c>
    </row>
    <row r="638" spans="1:6" ht="31.75">
      <c r="A638" s="19">
        <v>14205</v>
      </c>
      <c r="B638" s="12" t="str">
        <f t="shared" si="9"/>
        <v>142</v>
      </c>
      <c r="C638" s="1" t="s">
        <v>1565</v>
      </c>
      <c r="D638" s="13" t="str">
        <f>IF(RIGHT(A638,3)="000",C638,VLOOKUP(B638,'Справочник ИХ'!A:C,3,0))</f>
        <v>Руды  всякие</v>
      </c>
      <c r="E638" s="13">
        <f>IF(RIGHT(A638,3)="000","х",VLOOKUP(B638,'Справочник ИХ'!A:D,4,0))</f>
        <v>1</v>
      </c>
      <c r="F638" s="14" t="s">
        <v>1540</v>
      </c>
    </row>
    <row r="639" spans="1:6" ht="31.75">
      <c r="A639" s="19">
        <v>14206</v>
      </c>
      <c r="B639" s="12" t="str">
        <f t="shared" si="9"/>
        <v>142</v>
      </c>
      <c r="C639" s="1" t="s">
        <v>1566</v>
      </c>
      <c r="D639" s="13" t="str">
        <f>IF(RIGHT(A639,3)="000",C639,VLOOKUP(B639,'Справочник ИХ'!A:C,3,0))</f>
        <v>Руды  всякие</v>
      </c>
      <c r="E639" s="13">
        <f>IF(RIGHT(A639,3)="000","х",VLOOKUP(B639,'Справочник ИХ'!A:D,4,0))</f>
        <v>1</v>
      </c>
      <c r="F639" s="14" t="s">
        <v>1540</v>
      </c>
    </row>
    <row r="640" spans="1:6" s="15" customFormat="1" ht="31.75">
      <c r="A640" s="7">
        <v>15000</v>
      </c>
      <c r="B640" s="12" t="str">
        <f t="shared" si="9"/>
        <v>150</v>
      </c>
      <c r="C640" s="11" t="s">
        <v>1567</v>
      </c>
      <c r="D640" s="13" t="str">
        <f>IF(RIGHT(A640,3)="000",C640,VLOOKUP(B640,'Справочник ИХ'!A:C,3,0))</f>
        <v xml:space="preserve">Сырье цветных металлов, сырье серное </v>
      </c>
      <c r="E640" s="13" t="str">
        <f>IF(RIGHT(A640,3)="000","х",VLOOKUP(B640,'Справочник ИХ'!A:D,4,0))</f>
        <v>х</v>
      </c>
      <c r="F640" s="14" t="s">
        <v>1567</v>
      </c>
    </row>
    <row r="641" spans="1:6" s="18" customFormat="1">
      <c r="A641" s="16">
        <v>15100</v>
      </c>
      <c r="B641" s="12" t="str">
        <f t="shared" si="9"/>
        <v>151</v>
      </c>
      <c r="C641" s="17" t="s">
        <v>1568</v>
      </c>
      <c r="D641" s="13" t="str">
        <f>IF(RIGHT(A641,3)="000",C641,VLOOKUP(B641,'Справочник ИХ'!A:C,3,0))</f>
        <v>Руды  всякие</v>
      </c>
      <c r="E641" s="13">
        <f>IF(RIGHT(A641,3)="000","х",VLOOKUP(B641,'Справочник ИХ'!A:D,4,0))</f>
        <v>1</v>
      </c>
      <c r="F641" s="14" t="s">
        <v>1567</v>
      </c>
    </row>
    <row r="642" spans="1:6">
      <c r="A642" s="19">
        <v>15101</v>
      </c>
      <c r="B642" s="12" t="str">
        <f t="shared" si="9"/>
        <v>151</v>
      </c>
      <c r="C642" s="1" t="s">
        <v>1569</v>
      </c>
      <c r="D642" s="13" t="str">
        <f>IF(RIGHT(A642,3)="000",C642,VLOOKUP(B642,'Справочник ИХ'!A:C,3,0))</f>
        <v>Руды  всякие</v>
      </c>
      <c r="E642" s="13">
        <f>IF(RIGHT(A642,3)="000","х",VLOOKUP(B642,'Справочник ИХ'!A:D,4,0))</f>
        <v>1</v>
      </c>
      <c r="F642" s="14" t="s">
        <v>1567</v>
      </c>
    </row>
    <row r="643" spans="1:6">
      <c r="A643" s="19">
        <v>15102</v>
      </c>
      <c r="B643" s="12" t="str">
        <f t="shared" si="9"/>
        <v>151</v>
      </c>
      <c r="C643" s="1" t="s">
        <v>1570</v>
      </c>
      <c r="D643" s="13" t="str">
        <f>IF(RIGHT(A643,3)="000",C643,VLOOKUP(B643,'Справочник ИХ'!A:C,3,0))</f>
        <v>Руды  всякие</v>
      </c>
      <c r="E643" s="13">
        <f>IF(RIGHT(A643,3)="000","х",VLOOKUP(B643,'Справочник ИХ'!A:D,4,0))</f>
        <v>1</v>
      </c>
      <c r="F643" s="14" t="s">
        <v>1567</v>
      </c>
    </row>
    <row r="644" spans="1:6">
      <c r="A644" s="19">
        <v>15103</v>
      </c>
      <c r="B644" s="12" t="str">
        <f t="shared" ref="B644:B707" si="10">LEFT(A644,3)</f>
        <v>151</v>
      </c>
      <c r="C644" s="1" t="s">
        <v>1571</v>
      </c>
      <c r="D644" s="13" t="str">
        <f>IF(RIGHT(A644,3)="000",C644,VLOOKUP(B644,'Справочник ИХ'!A:C,3,0))</f>
        <v>Руды  всякие</v>
      </c>
      <c r="E644" s="13">
        <f>IF(RIGHT(A644,3)="000","х",VLOOKUP(B644,'Справочник ИХ'!A:D,4,0))</f>
        <v>1</v>
      </c>
      <c r="F644" s="14" t="s">
        <v>1567</v>
      </c>
    </row>
    <row r="645" spans="1:6">
      <c r="A645" s="19">
        <v>15104</v>
      </c>
      <c r="B645" s="12" t="str">
        <f t="shared" si="10"/>
        <v>151</v>
      </c>
      <c r="C645" s="1" t="s">
        <v>1572</v>
      </c>
      <c r="D645" s="13" t="str">
        <f>IF(RIGHT(A645,3)="000",C645,VLOOKUP(B645,'Справочник ИХ'!A:C,3,0))</f>
        <v>Руды  всякие</v>
      </c>
      <c r="E645" s="13">
        <f>IF(RIGHT(A645,3)="000","х",VLOOKUP(B645,'Справочник ИХ'!A:D,4,0))</f>
        <v>1</v>
      </c>
      <c r="F645" s="14" t="s">
        <v>1567</v>
      </c>
    </row>
    <row r="646" spans="1:6">
      <c r="A646" s="19">
        <v>15105</v>
      </c>
      <c r="B646" s="12" t="str">
        <f t="shared" si="10"/>
        <v>151</v>
      </c>
      <c r="C646" s="1" t="s">
        <v>1573</v>
      </c>
      <c r="D646" s="13" t="str">
        <f>IF(RIGHT(A646,3)="000",C646,VLOOKUP(B646,'Справочник ИХ'!A:C,3,0))</f>
        <v>Руды  всякие</v>
      </c>
      <c r="E646" s="13">
        <f>IF(RIGHT(A646,3)="000","х",VLOOKUP(B646,'Справочник ИХ'!A:D,4,0))</f>
        <v>1</v>
      </c>
      <c r="F646" s="14" t="s">
        <v>1567</v>
      </c>
    </row>
    <row r="647" spans="1:6">
      <c r="A647" s="19">
        <v>15106</v>
      </c>
      <c r="B647" s="12" t="str">
        <f t="shared" si="10"/>
        <v>151</v>
      </c>
      <c r="C647" s="1" t="s">
        <v>1574</v>
      </c>
      <c r="D647" s="13" t="str">
        <f>IF(RIGHT(A647,3)="000",C647,VLOOKUP(B647,'Справочник ИХ'!A:C,3,0))</f>
        <v>Руды  всякие</v>
      </c>
      <c r="E647" s="13">
        <f>IF(RIGHT(A647,3)="000","х",VLOOKUP(B647,'Справочник ИХ'!A:D,4,0))</f>
        <v>1</v>
      </c>
      <c r="F647" s="14" t="s">
        <v>1567</v>
      </c>
    </row>
    <row r="648" spans="1:6">
      <c r="A648" s="19">
        <v>15107</v>
      </c>
      <c r="B648" s="12" t="str">
        <f t="shared" si="10"/>
        <v>151</v>
      </c>
      <c r="C648" s="1" t="s">
        <v>1575</v>
      </c>
      <c r="D648" s="13" t="str">
        <f>IF(RIGHT(A648,3)="000",C648,VLOOKUP(B648,'Справочник ИХ'!A:C,3,0))</f>
        <v>Руды  всякие</v>
      </c>
      <c r="E648" s="13">
        <f>IF(RIGHT(A648,3)="000","х",VLOOKUP(B648,'Справочник ИХ'!A:D,4,0))</f>
        <v>1</v>
      </c>
      <c r="F648" s="14" t="s">
        <v>1567</v>
      </c>
    </row>
    <row r="649" spans="1:6">
      <c r="A649" s="19">
        <v>15108</v>
      </c>
      <c r="B649" s="12" t="str">
        <f t="shared" si="10"/>
        <v>151</v>
      </c>
      <c r="C649" s="1" t="s">
        <v>1576</v>
      </c>
      <c r="D649" s="13" t="str">
        <f>IF(RIGHT(A649,3)="000",C649,VLOOKUP(B649,'Справочник ИХ'!A:C,3,0))</f>
        <v>Руды  всякие</v>
      </c>
      <c r="E649" s="13">
        <f>IF(RIGHT(A649,3)="000","х",VLOOKUP(B649,'Справочник ИХ'!A:D,4,0))</f>
        <v>1</v>
      </c>
      <c r="F649" s="14" t="s">
        <v>1567</v>
      </c>
    </row>
    <row r="650" spans="1:6">
      <c r="A650" s="19">
        <v>15109</v>
      </c>
      <c r="B650" s="12" t="str">
        <f t="shared" si="10"/>
        <v>151</v>
      </c>
      <c r="C650" s="1" t="s">
        <v>1577</v>
      </c>
      <c r="D650" s="13" t="str">
        <f>IF(RIGHT(A650,3)="000",C650,VLOOKUP(B650,'Справочник ИХ'!A:C,3,0))</f>
        <v>Руды  всякие</v>
      </c>
      <c r="E650" s="13">
        <f>IF(RIGHT(A650,3)="000","х",VLOOKUP(B650,'Справочник ИХ'!A:D,4,0))</f>
        <v>1</v>
      </c>
      <c r="F650" s="14" t="s">
        <v>1567</v>
      </c>
    </row>
    <row r="651" spans="1:6">
      <c r="A651" s="19">
        <v>15110</v>
      </c>
      <c r="B651" s="12" t="str">
        <f t="shared" si="10"/>
        <v>151</v>
      </c>
      <c r="C651" s="1" t="s">
        <v>1578</v>
      </c>
      <c r="D651" s="13" t="str">
        <f>IF(RIGHT(A651,3)="000",C651,VLOOKUP(B651,'Справочник ИХ'!A:C,3,0))</f>
        <v>Руды  всякие</v>
      </c>
      <c r="E651" s="13">
        <f>IF(RIGHT(A651,3)="000","х",VLOOKUP(B651,'Справочник ИХ'!A:D,4,0))</f>
        <v>1</v>
      </c>
      <c r="F651" s="14" t="s">
        <v>1567</v>
      </c>
    </row>
    <row r="652" spans="1:6">
      <c r="A652" s="19">
        <v>15111</v>
      </c>
      <c r="B652" s="12" t="str">
        <f t="shared" si="10"/>
        <v>151</v>
      </c>
      <c r="C652" s="1" t="s">
        <v>1579</v>
      </c>
      <c r="D652" s="13" t="str">
        <f>IF(RIGHT(A652,3)="000",C652,VLOOKUP(B652,'Справочник ИХ'!A:C,3,0))</f>
        <v>Руды  всякие</v>
      </c>
      <c r="E652" s="13">
        <f>IF(RIGHT(A652,3)="000","х",VLOOKUP(B652,'Справочник ИХ'!A:D,4,0))</f>
        <v>1</v>
      </c>
      <c r="F652" s="14" t="s">
        <v>1567</v>
      </c>
    </row>
    <row r="653" spans="1:6">
      <c r="A653" s="19">
        <v>15112</v>
      </c>
      <c r="B653" s="12" t="str">
        <f t="shared" si="10"/>
        <v>151</v>
      </c>
      <c r="C653" s="1" t="s">
        <v>1580</v>
      </c>
      <c r="D653" s="13" t="str">
        <f>IF(RIGHT(A653,3)="000",C653,VLOOKUP(B653,'Справочник ИХ'!A:C,3,0))</f>
        <v>Руды  всякие</v>
      </c>
      <c r="E653" s="13">
        <f>IF(RIGHT(A653,3)="000","х",VLOOKUP(B653,'Справочник ИХ'!A:D,4,0))</f>
        <v>1</v>
      </c>
      <c r="F653" s="14" t="s">
        <v>1567</v>
      </c>
    </row>
    <row r="654" spans="1:6">
      <c r="A654" s="19">
        <v>15113</v>
      </c>
      <c r="B654" s="12" t="str">
        <f t="shared" si="10"/>
        <v>151</v>
      </c>
      <c r="C654" s="1" t="s">
        <v>1581</v>
      </c>
      <c r="D654" s="13" t="str">
        <f>IF(RIGHT(A654,3)="000",C654,VLOOKUP(B654,'Справочник ИХ'!A:C,3,0))</f>
        <v>Руды  всякие</v>
      </c>
      <c r="E654" s="13">
        <f>IF(RIGHT(A654,3)="000","х",VLOOKUP(B654,'Справочник ИХ'!A:D,4,0))</f>
        <v>1</v>
      </c>
      <c r="F654" s="14" t="s">
        <v>1567</v>
      </c>
    </row>
    <row r="655" spans="1:6">
      <c r="A655" s="19">
        <v>15114</v>
      </c>
      <c r="B655" s="12" t="str">
        <f t="shared" si="10"/>
        <v>151</v>
      </c>
      <c r="C655" s="1" t="s">
        <v>1582</v>
      </c>
      <c r="D655" s="13" t="str">
        <f>IF(RIGHT(A655,3)="000",C655,VLOOKUP(B655,'Справочник ИХ'!A:C,3,0))</f>
        <v>Руды  всякие</v>
      </c>
      <c r="E655" s="13">
        <f>IF(RIGHT(A655,3)="000","х",VLOOKUP(B655,'Справочник ИХ'!A:D,4,0))</f>
        <v>1</v>
      </c>
      <c r="F655" s="14" t="s">
        <v>1567</v>
      </c>
    </row>
    <row r="656" spans="1:6">
      <c r="A656" s="19">
        <v>15115</v>
      </c>
      <c r="B656" s="12" t="str">
        <f t="shared" si="10"/>
        <v>151</v>
      </c>
      <c r="C656" s="1" t="s">
        <v>1583</v>
      </c>
      <c r="D656" s="13" t="str">
        <f>IF(RIGHT(A656,3)="000",C656,VLOOKUP(B656,'Справочник ИХ'!A:C,3,0))</f>
        <v>Руды  всякие</v>
      </c>
      <c r="E656" s="13">
        <f>IF(RIGHT(A656,3)="000","х",VLOOKUP(B656,'Справочник ИХ'!A:D,4,0))</f>
        <v>1</v>
      </c>
      <c r="F656" s="14" t="s">
        <v>1567</v>
      </c>
    </row>
    <row r="657" spans="1:6">
      <c r="A657" s="19">
        <v>15116</v>
      </c>
      <c r="B657" s="12" t="str">
        <f t="shared" si="10"/>
        <v>151</v>
      </c>
      <c r="C657" s="1" t="s">
        <v>1584</v>
      </c>
      <c r="D657" s="13" t="str">
        <f>IF(RIGHT(A657,3)="000",C657,VLOOKUP(B657,'Справочник ИХ'!A:C,3,0))</f>
        <v>Руды  всякие</v>
      </c>
      <c r="E657" s="13">
        <f>IF(RIGHT(A657,3)="000","х",VLOOKUP(B657,'Справочник ИХ'!A:D,4,0))</f>
        <v>1</v>
      </c>
      <c r="F657" s="14" t="s">
        <v>1567</v>
      </c>
    </row>
    <row r="658" spans="1:6">
      <c r="A658" s="19">
        <v>15117</v>
      </c>
      <c r="B658" s="12" t="str">
        <f t="shared" si="10"/>
        <v>151</v>
      </c>
      <c r="C658" s="1" t="s">
        <v>1585</v>
      </c>
      <c r="D658" s="13" t="str">
        <f>IF(RIGHT(A658,3)="000",C658,VLOOKUP(B658,'Справочник ИХ'!A:C,3,0))</f>
        <v>Руды  всякие</v>
      </c>
      <c r="E658" s="13">
        <f>IF(RIGHT(A658,3)="000","х",VLOOKUP(B658,'Справочник ИХ'!A:D,4,0))</f>
        <v>1</v>
      </c>
      <c r="F658" s="14" t="s">
        <v>1567</v>
      </c>
    </row>
    <row r="659" spans="1:6">
      <c r="A659" s="19">
        <v>15118</v>
      </c>
      <c r="B659" s="12" t="str">
        <f t="shared" si="10"/>
        <v>151</v>
      </c>
      <c r="C659" s="1" t="s">
        <v>1586</v>
      </c>
      <c r="D659" s="13" t="str">
        <f>IF(RIGHT(A659,3)="000",C659,VLOOKUP(B659,'Справочник ИХ'!A:C,3,0))</f>
        <v>Руды  всякие</v>
      </c>
      <c r="E659" s="13">
        <f>IF(RIGHT(A659,3)="000","х",VLOOKUP(B659,'Справочник ИХ'!A:D,4,0))</f>
        <v>1</v>
      </c>
      <c r="F659" s="14" t="s">
        <v>1567</v>
      </c>
    </row>
    <row r="660" spans="1:6">
      <c r="A660" s="19">
        <v>15119</v>
      </c>
      <c r="B660" s="12" t="str">
        <f t="shared" si="10"/>
        <v>151</v>
      </c>
      <c r="C660" s="1" t="s">
        <v>1587</v>
      </c>
      <c r="D660" s="13" t="str">
        <f>IF(RIGHT(A660,3)="000",C660,VLOOKUP(B660,'Справочник ИХ'!A:C,3,0))</f>
        <v>Руды  всякие</v>
      </c>
      <c r="E660" s="13">
        <f>IF(RIGHT(A660,3)="000","х",VLOOKUP(B660,'Справочник ИХ'!A:D,4,0))</f>
        <v>1</v>
      </c>
      <c r="F660" s="14" t="s">
        <v>1567</v>
      </c>
    </row>
    <row r="661" spans="1:6">
      <c r="A661" s="19">
        <v>15120</v>
      </c>
      <c r="B661" s="12" t="str">
        <f t="shared" si="10"/>
        <v>151</v>
      </c>
      <c r="C661" s="1" t="s">
        <v>1588</v>
      </c>
      <c r="D661" s="13" t="str">
        <f>IF(RIGHT(A661,3)="000",C661,VLOOKUP(B661,'Справочник ИХ'!A:C,3,0))</f>
        <v>Руды  всякие</v>
      </c>
      <c r="E661" s="13">
        <f>IF(RIGHT(A661,3)="000","х",VLOOKUP(B661,'Справочник ИХ'!A:D,4,0))</f>
        <v>1</v>
      </c>
      <c r="F661" s="14" t="s">
        <v>1567</v>
      </c>
    </row>
    <row r="662" spans="1:6" ht="31.75">
      <c r="A662" s="19">
        <v>15121</v>
      </c>
      <c r="B662" s="12" t="str">
        <f t="shared" si="10"/>
        <v>151</v>
      </c>
      <c r="C662" s="1" t="s">
        <v>1589</v>
      </c>
      <c r="D662" s="13" t="str">
        <f>IF(RIGHT(A662,3)="000",C662,VLOOKUP(B662,'Справочник ИХ'!A:C,3,0))</f>
        <v>Руды  всякие</v>
      </c>
      <c r="E662" s="13">
        <f>IF(RIGHT(A662,3)="000","х",VLOOKUP(B662,'Справочник ИХ'!A:D,4,0))</f>
        <v>1</v>
      </c>
      <c r="F662" s="14" t="s">
        <v>1567</v>
      </c>
    </row>
    <row r="663" spans="1:6">
      <c r="A663" s="19">
        <v>15122</v>
      </c>
      <c r="B663" s="12" t="str">
        <f t="shared" si="10"/>
        <v>151</v>
      </c>
      <c r="C663" s="1" t="s">
        <v>1590</v>
      </c>
      <c r="D663" s="13" t="str">
        <f>IF(RIGHT(A663,3)="000",C663,VLOOKUP(B663,'Справочник ИХ'!A:C,3,0))</f>
        <v>Руды  всякие</v>
      </c>
      <c r="E663" s="13">
        <f>IF(RIGHT(A663,3)="000","х",VLOOKUP(B663,'Справочник ИХ'!A:D,4,0))</f>
        <v>1</v>
      </c>
      <c r="F663" s="14" t="s">
        <v>1567</v>
      </c>
    </row>
    <row r="664" spans="1:6">
      <c r="A664" s="19">
        <v>15123</v>
      </c>
      <c r="B664" s="12" t="str">
        <f t="shared" si="10"/>
        <v>151</v>
      </c>
      <c r="C664" s="1" t="s">
        <v>1591</v>
      </c>
      <c r="D664" s="13" t="str">
        <f>IF(RIGHT(A664,3)="000",C664,VLOOKUP(B664,'Справочник ИХ'!A:C,3,0))</f>
        <v>Руды  всякие</v>
      </c>
      <c r="E664" s="13">
        <f>IF(RIGHT(A664,3)="000","х",VLOOKUP(B664,'Справочник ИХ'!A:D,4,0))</f>
        <v>1</v>
      </c>
      <c r="F664" s="14" t="s">
        <v>1567</v>
      </c>
    </row>
    <row r="665" spans="1:6">
      <c r="A665" s="19">
        <v>15124</v>
      </c>
      <c r="B665" s="12" t="str">
        <f t="shared" si="10"/>
        <v>151</v>
      </c>
      <c r="C665" s="1" t="s">
        <v>1592</v>
      </c>
      <c r="D665" s="13" t="str">
        <f>IF(RIGHT(A665,3)="000",C665,VLOOKUP(B665,'Справочник ИХ'!A:C,3,0))</f>
        <v>Руды  всякие</v>
      </c>
      <c r="E665" s="13">
        <f>IF(RIGHT(A665,3)="000","х",VLOOKUP(B665,'Справочник ИХ'!A:D,4,0))</f>
        <v>1</v>
      </c>
      <c r="F665" s="14" t="s">
        <v>1567</v>
      </c>
    </row>
    <row r="666" spans="1:6">
      <c r="A666" s="19">
        <v>15125</v>
      </c>
      <c r="B666" s="12" t="str">
        <f t="shared" si="10"/>
        <v>151</v>
      </c>
      <c r="C666" s="1" t="s">
        <v>1593</v>
      </c>
      <c r="D666" s="13" t="str">
        <f>IF(RIGHT(A666,3)="000",C666,VLOOKUP(B666,'Справочник ИХ'!A:C,3,0))</f>
        <v>Руды  всякие</v>
      </c>
      <c r="E666" s="13">
        <f>IF(RIGHT(A666,3)="000","х",VLOOKUP(B666,'Справочник ИХ'!A:D,4,0))</f>
        <v>1</v>
      </c>
      <c r="F666" s="14" t="s">
        <v>1567</v>
      </c>
    </row>
    <row r="667" spans="1:6">
      <c r="A667" s="19">
        <v>15126</v>
      </c>
      <c r="B667" s="12" t="str">
        <f t="shared" si="10"/>
        <v>151</v>
      </c>
      <c r="C667" s="1" t="s">
        <v>1594</v>
      </c>
      <c r="D667" s="13" t="str">
        <f>IF(RIGHT(A667,3)="000",C667,VLOOKUP(B667,'Справочник ИХ'!A:C,3,0))</f>
        <v>Руды  всякие</v>
      </c>
      <c r="E667" s="13">
        <f>IF(RIGHT(A667,3)="000","х",VLOOKUP(B667,'Справочник ИХ'!A:D,4,0))</f>
        <v>1</v>
      </c>
      <c r="F667" s="14" t="s">
        <v>1567</v>
      </c>
    </row>
    <row r="668" spans="1:6">
      <c r="A668" s="19">
        <v>15127</v>
      </c>
      <c r="B668" s="12" t="str">
        <f t="shared" si="10"/>
        <v>151</v>
      </c>
      <c r="C668" s="1" t="s">
        <v>1595</v>
      </c>
      <c r="D668" s="13" t="str">
        <f>IF(RIGHT(A668,3)="000",C668,VLOOKUP(B668,'Справочник ИХ'!A:C,3,0))</f>
        <v>Руды  всякие</v>
      </c>
      <c r="E668" s="13">
        <f>IF(RIGHT(A668,3)="000","х",VLOOKUP(B668,'Справочник ИХ'!A:D,4,0))</f>
        <v>1</v>
      </c>
      <c r="F668" s="14" t="s">
        <v>1567</v>
      </c>
    </row>
    <row r="669" spans="1:6">
      <c r="A669" s="19">
        <v>15128</v>
      </c>
      <c r="B669" s="12" t="str">
        <f t="shared" si="10"/>
        <v>151</v>
      </c>
      <c r="C669" s="1" t="s">
        <v>1596</v>
      </c>
      <c r="D669" s="13" t="str">
        <f>IF(RIGHT(A669,3)="000",C669,VLOOKUP(B669,'Справочник ИХ'!A:C,3,0))</f>
        <v>Руды  всякие</v>
      </c>
      <c r="E669" s="13">
        <f>IF(RIGHT(A669,3)="000","х",VLOOKUP(B669,'Справочник ИХ'!A:D,4,0))</f>
        <v>1</v>
      </c>
      <c r="F669" s="14" t="s">
        <v>1567</v>
      </c>
    </row>
    <row r="670" spans="1:6">
      <c r="A670" s="19">
        <v>15129</v>
      </c>
      <c r="B670" s="12" t="str">
        <f t="shared" si="10"/>
        <v>151</v>
      </c>
      <c r="C670" s="1" t="s">
        <v>1597</v>
      </c>
      <c r="D670" s="13" t="str">
        <f>IF(RIGHT(A670,3)="000",C670,VLOOKUP(B670,'Справочник ИХ'!A:C,3,0))</f>
        <v>Руды  всякие</v>
      </c>
      <c r="E670" s="13">
        <f>IF(RIGHT(A670,3)="000","х",VLOOKUP(B670,'Справочник ИХ'!A:D,4,0))</f>
        <v>1</v>
      </c>
      <c r="F670" s="14" t="s">
        <v>1567</v>
      </c>
    </row>
    <row r="671" spans="1:6">
      <c r="A671" s="19">
        <v>15130</v>
      </c>
      <c r="B671" s="12" t="str">
        <f t="shared" si="10"/>
        <v>151</v>
      </c>
      <c r="C671" s="1" t="s">
        <v>1598</v>
      </c>
      <c r="D671" s="13" t="str">
        <f>IF(RIGHT(A671,3)="000",C671,VLOOKUP(B671,'Справочник ИХ'!A:C,3,0))</f>
        <v>Руды  всякие</v>
      </c>
      <c r="E671" s="13">
        <f>IF(RIGHT(A671,3)="000","х",VLOOKUP(B671,'Справочник ИХ'!A:D,4,0))</f>
        <v>1</v>
      </c>
      <c r="F671" s="14" t="s">
        <v>1567</v>
      </c>
    </row>
    <row r="672" spans="1:6">
      <c r="A672" s="19">
        <v>15131</v>
      </c>
      <c r="B672" s="12" t="str">
        <f t="shared" si="10"/>
        <v>151</v>
      </c>
      <c r="C672" s="1" t="s">
        <v>1599</v>
      </c>
      <c r="D672" s="13" t="str">
        <f>IF(RIGHT(A672,3)="000",C672,VLOOKUP(B672,'Справочник ИХ'!A:C,3,0))</f>
        <v>Руды  всякие</v>
      </c>
      <c r="E672" s="13">
        <f>IF(RIGHT(A672,3)="000","х",VLOOKUP(B672,'Справочник ИХ'!A:D,4,0))</f>
        <v>1</v>
      </c>
      <c r="F672" s="14" t="s">
        <v>1567</v>
      </c>
    </row>
    <row r="673" spans="1:6">
      <c r="A673" s="19">
        <v>15132</v>
      </c>
      <c r="B673" s="12" t="str">
        <f t="shared" si="10"/>
        <v>151</v>
      </c>
      <c r="C673" s="1" t="s">
        <v>1600</v>
      </c>
      <c r="D673" s="13" t="str">
        <f>IF(RIGHT(A673,3)="000",C673,VLOOKUP(B673,'Справочник ИХ'!A:C,3,0))</f>
        <v>Руды  всякие</v>
      </c>
      <c r="E673" s="13">
        <f>IF(RIGHT(A673,3)="000","х",VLOOKUP(B673,'Справочник ИХ'!A:D,4,0))</f>
        <v>1</v>
      </c>
      <c r="F673" s="14" t="s">
        <v>1567</v>
      </c>
    </row>
    <row r="674" spans="1:6" ht="31.75">
      <c r="A674" s="19">
        <v>15133</v>
      </c>
      <c r="B674" s="12" t="str">
        <f t="shared" si="10"/>
        <v>151</v>
      </c>
      <c r="C674" s="1" t="s">
        <v>1601</v>
      </c>
      <c r="D674" s="13" t="str">
        <f>IF(RIGHT(A674,3)="000",C674,VLOOKUP(B674,'Справочник ИХ'!A:C,3,0))</f>
        <v>Руды  всякие</v>
      </c>
      <c r="E674" s="13">
        <f>IF(RIGHT(A674,3)="000","х",VLOOKUP(B674,'Справочник ИХ'!A:D,4,0))</f>
        <v>1</v>
      </c>
      <c r="F674" s="14" t="s">
        <v>1567</v>
      </c>
    </row>
    <row r="675" spans="1:6">
      <c r="A675" s="19">
        <v>15134</v>
      </c>
      <c r="B675" s="12" t="str">
        <f t="shared" si="10"/>
        <v>151</v>
      </c>
      <c r="C675" s="1" t="s">
        <v>1602</v>
      </c>
      <c r="D675" s="13" t="str">
        <f>IF(RIGHT(A675,3)="000",C675,VLOOKUP(B675,'Справочник ИХ'!A:C,3,0))</f>
        <v>Руды  всякие</v>
      </c>
      <c r="E675" s="13">
        <f>IF(RIGHT(A675,3)="000","х",VLOOKUP(B675,'Справочник ИХ'!A:D,4,0))</f>
        <v>1</v>
      </c>
      <c r="F675" s="14" t="s">
        <v>1567</v>
      </c>
    </row>
    <row r="676" spans="1:6">
      <c r="A676" s="19">
        <v>15135</v>
      </c>
      <c r="B676" s="12" t="str">
        <f t="shared" si="10"/>
        <v>151</v>
      </c>
      <c r="C676" s="1" t="s">
        <v>1603</v>
      </c>
      <c r="D676" s="13" t="str">
        <f>IF(RIGHT(A676,3)="000",C676,VLOOKUP(B676,'Справочник ИХ'!A:C,3,0))</f>
        <v>Руды  всякие</v>
      </c>
      <c r="E676" s="13">
        <f>IF(RIGHT(A676,3)="000","х",VLOOKUP(B676,'Справочник ИХ'!A:D,4,0))</f>
        <v>1</v>
      </c>
      <c r="F676" s="14" t="s">
        <v>1567</v>
      </c>
    </row>
    <row r="677" spans="1:6">
      <c r="A677" s="19">
        <v>15136</v>
      </c>
      <c r="B677" s="12" t="str">
        <f t="shared" si="10"/>
        <v>151</v>
      </c>
      <c r="C677" s="1" t="s">
        <v>1604</v>
      </c>
      <c r="D677" s="13" t="str">
        <f>IF(RIGHT(A677,3)="000",C677,VLOOKUP(B677,'Справочник ИХ'!A:C,3,0))</f>
        <v>Руды  всякие</v>
      </c>
      <c r="E677" s="13">
        <f>IF(RIGHT(A677,3)="000","х",VLOOKUP(B677,'Справочник ИХ'!A:D,4,0))</f>
        <v>1</v>
      </c>
      <c r="F677" s="14" t="s">
        <v>1567</v>
      </c>
    </row>
    <row r="678" spans="1:6">
      <c r="A678" s="19">
        <v>15137</v>
      </c>
      <c r="B678" s="12" t="str">
        <f t="shared" si="10"/>
        <v>151</v>
      </c>
      <c r="C678" s="1" t="s">
        <v>1605</v>
      </c>
      <c r="D678" s="13" t="str">
        <f>IF(RIGHT(A678,3)="000",C678,VLOOKUP(B678,'Справочник ИХ'!A:C,3,0))</f>
        <v>Руды  всякие</v>
      </c>
      <c r="E678" s="13">
        <f>IF(RIGHT(A678,3)="000","х",VLOOKUP(B678,'Справочник ИХ'!A:D,4,0))</f>
        <v>1</v>
      </c>
      <c r="F678" s="14" t="s">
        <v>1567</v>
      </c>
    </row>
    <row r="679" spans="1:6">
      <c r="A679" s="19">
        <v>15138</v>
      </c>
      <c r="B679" s="12" t="str">
        <f t="shared" si="10"/>
        <v>151</v>
      </c>
      <c r="C679" s="1" t="s">
        <v>1606</v>
      </c>
      <c r="D679" s="13" t="str">
        <f>IF(RIGHT(A679,3)="000",C679,VLOOKUP(B679,'Справочник ИХ'!A:C,3,0))</f>
        <v>Руды  всякие</v>
      </c>
      <c r="E679" s="13">
        <f>IF(RIGHT(A679,3)="000","х",VLOOKUP(B679,'Справочник ИХ'!A:D,4,0))</f>
        <v>1</v>
      </c>
      <c r="F679" s="14" t="s">
        <v>1567</v>
      </c>
    </row>
    <row r="680" spans="1:6">
      <c r="A680" s="19">
        <v>15139</v>
      </c>
      <c r="B680" s="12" t="str">
        <f t="shared" si="10"/>
        <v>151</v>
      </c>
      <c r="C680" s="1" t="s">
        <v>1607</v>
      </c>
      <c r="D680" s="13" t="str">
        <f>IF(RIGHT(A680,3)="000",C680,VLOOKUP(B680,'Справочник ИХ'!A:C,3,0))</f>
        <v>Руды  всякие</v>
      </c>
      <c r="E680" s="13">
        <f>IF(RIGHT(A680,3)="000","х",VLOOKUP(B680,'Справочник ИХ'!A:D,4,0))</f>
        <v>1</v>
      </c>
      <c r="F680" s="14" t="s">
        <v>1567</v>
      </c>
    </row>
    <row r="681" spans="1:6">
      <c r="A681" s="19">
        <v>15140</v>
      </c>
      <c r="B681" s="12" t="str">
        <f t="shared" si="10"/>
        <v>151</v>
      </c>
      <c r="C681" s="1" t="s">
        <v>1608</v>
      </c>
      <c r="D681" s="13" t="str">
        <f>IF(RIGHT(A681,3)="000",C681,VLOOKUP(B681,'Справочник ИХ'!A:C,3,0))</f>
        <v>Руды  всякие</v>
      </c>
      <c r="E681" s="13">
        <f>IF(RIGHT(A681,3)="000","х",VLOOKUP(B681,'Справочник ИХ'!A:D,4,0))</f>
        <v>1</v>
      </c>
      <c r="F681" s="14" t="s">
        <v>1567</v>
      </c>
    </row>
    <row r="682" spans="1:6" ht="31.75">
      <c r="A682" s="19">
        <v>15141</v>
      </c>
      <c r="B682" s="12" t="str">
        <f t="shared" si="10"/>
        <v>151</v>
      </c>
      <c r="C682" s="1" t="s">
        <v>1609</v>
      </c>
      <c r="D682" s="13" t="str">
        <f>IF(RIGHT(A682,3)="000",C682,VLOOKUP(B682,'Справочник ИХ'!A:C,3,0))</f>
        <v>Руды  всякие</v>
      </c>
      <c r="E682" s="13">
        <f>IF(RIGHT(A682,3)="000","х",VLOOKUP(B682,'Справочник ИХ'!A:D,4,0))</f>
        <v>1</v>
      </c>
      <c r="F682" s="14" t="s">
        <v>1567</v>
      </c>
    </row>
    <row r="683" spans="1:6">
      <c r="A683" s="19">
        <v>15142</v>
      </c>
      <c r="B683" s="12" t="str">
        <f t="shared" si="10"/>
        <v>151</v>
      </c>
      <c r="C683" s="1" t="s">
        <v>1610</v>
      </c>
      <c r="D683" s="13" t="str">
        <f>IF(RIGHT(A683,3)="000",C683,VLOOKUP(B683,'Справочник ИХ'!A:C,3,0))</f>
        <v>Руды  всякие</v>
      </c>
      <c r="E683" s="13">
        <f>IF(RIGHT(A683,3)="000","х",VLOOKUP(B683,'Справочник ИХ'!A:D,4,0))</f>
        <v>1</v>
      </c>
      <c r="F683" s="14" t="s">
        <v>1567</v>
      </c>
    </row>
    <row r="684" spans="1:6">
      <c r="A684" s="19">
        <v>15143</v>
      </c>
      <c r="B684" s="12" t="str">
        <f t="shared" si="10"/>
        <v>151</v>
      </c>
      <c r="C684" s="1" t="s">
        <v>1611</v>
      </c>
      <c r="D684" s="13" t="str">
        <f>IF(RIGHT(A684,3)="000",C684,VLOOKUP(B684,'Справочник ИХ'!A:C,3,0))</f>
        <v>Руды  всякие</v>
      </c>
      <c r="E684" s="13">
        <f>IF(RIGHT(A684,3)="000","х",VLOOKUP(B684,'Справочник ИХ'!A:D,4,0))</f>
        <v>1</v>
      </c>
      <c r="F684" s="14" t="s">
        <v>1567</v>
      </c>
    </row>
    <row r="685" spans="1:6">
      <c r="A685" s="19">
        <v>15144</v>
      </c>
      <c r="B685" s="12" t="str">
        <f t="shared" si="10"/>
        <v>151</v>
      </c>
      <c r="C685" s="1" t="s">
        <v>1612</v>
      </c>
      <c r="D685" s="13" t="str">
        <f>IF(RIGHT(A685,3)="000",C685,VLOOKUP(B685,'Справочник ИХ'!A:C,3,0))</f>
        <v>Руды  всякие</v>
      </c>
      <c r="E685" s="13">
        <f>IF(RIGHT(A685,3)="000","х",VLOOKUP(B685,'Справочник ИХ'!A:D,4,0))</f>
        <v>1</v>
      </c>
      <c r="F685" s="14" t="s">
        <v>1567</v>
      </c>
    </row>
    <row r="686" spans="1:6">
      <c r="A686" s="19">
        <v>15145</v>
      </c>
      <c r="B686" s="12" t="str">
        <f t="shared" si="10"/>
        <v>151</v>
      </c>
      <c r="C686" s="1" t="s">
        <v>1613</v>
      </c>
      <c r="D686" s="13" t="str">
        <f>IF(RIGHT(A686,3)="000",C686,VLOOKUP(B686,'Справочник ИХ'!A:C,3,0))</f>
        <v>Руды  всякие</v>
      </c>
      <c r="E686" s="13">
        <f>IF(RIGHT(A686,3)="000","х",VLOOKUP(B686,'Справочник ИХ'!A:D,4,0))</f>
        <v>1</v>
      </c>
      <c r="F686" s="14" t="s">
        <v>1567</v>
      </c>
    </row>
    <row r="687" spans="1:6">
      <c r="A687" s="19">
        <v>15146</v>
      </c>
      <c r="B687" s="12" t="str">
        <f t="shared" si="10"/>
        <v>151</v>
      </c>
      <c r="C687" s="1" t="s">
        <v>1614</v>
      </c>
      <c r="D687" s="13" t="str">
        <f>IF(RIGHT(A687,3)="000",C687,VLOOKUP(B687,'Справочник ИХ'!A:C,3,0))</f>
        <v>Руды  всякие</v>
      </c>
      <c r="E687" s="13">
        <f>IF(RIGHT(A687,3)="000","х",VLOOKUP(B687,'Справочник ИХ'!A:D,4,0))</f>
        <v>1</v>
      </c>
      <c r="F687" s="14" t="s">
        <v>1567</v>
      </c>
    </row>
    <row r="688" spans="1:6">
      <c r="A688" s="19">
        <v>15147</v>
      </c>
      <c r="B688" s="12" t="str">
        <f t="shared" si="10"/>
        <v>151</v>
      </c>
      <c r="C688" s="1" t="s">
        <v>1615</v>
      </c>
      <c r="D688" s="13" t="str">
        <f>IF(RIGHT(A688,3)="000",C688,VLOOKUP(B688,'Справочник ИХ'!A:C,3,0))</f>
        <v>Руды  всякие</v>
      </c>
      <c r="E688" s="13">
        <f>IF(RIGHT(A688,3)="000","х",VLOOKUP(B688,'Справочник ИХ'!A:D,4,0))</f>
        <v>1</v>
      </c>
      <c r="F688" s="14" t="s">
        <v>1567</v>
      </c>
    </row>
    <row r="689" spans="1:6">
      <c r="A689" s="19">
        <v>15148</v>
      </c>
      <c r="B689" s="12" t="str">
        <f t="shared" si="10"/>
        <v>151</v>
      </c>
      <c r="C689" s="1" t="s">
        <v>1616</v>
      </c>
      <c r="D689" s="13" t="str">
        <f>IF(RIGHT(A689,3)="000",C689,VLOOKUP(B689,'Справочник ИХ'!A:C,3,0))</f>
        <v>Руды  всякие</v>
      </c>
      <c r="E689" s="13">
        <f>IF(RIGHT(A689,3)="000","х",VLOOKUP(B689,'Справочник ИХ'!A:D,4,0))</f>
        <v>1</v>
      </c>
      <c r="F689" s="14" t="s">
        <v>1567</v>
      </c>
    </row>
    <row r="690" spans="1:6">
      <c r="A690" s="19">
        <v>15149</v>
      </c>
      <c r="B690" s="12" t="str">
        <f t="shared" si="10"/>
        <v>151</v>
      </c>
      <c r="C690" s="1" t="s">
        <v>1617</v>
      </c>
      <c r="D690" s="13" t="str">
        <f>IF(RIGHT(A690,3)="000",C690,VLOOKUP(B690,'Справочник ИХ'!A:C,3,0))</f>
        <v>Руды  всякие</v>
      </c>
      <c r="E690" s="13">
        <f>IF(RIGHT(A690,3)="000","х",VLOOKUP(B690,'Справочник ИХ'!A:D,4,0))</f>
        <v>1</v>
      </c>
      <c r="F690" s="14" t="s">
        <v>1567</v>
      </c>
    </row>
    <row r="691" spans="1:6">
      <c r="A691" s="19">
        <v>15150</v>
      </c>
      <c r="B691" s="12" t="str">
        <f t="shared" si="10"/>
        <v>151</v>
      </c>
      <c r="C691" s="1" t="s">
        <v>1618</v>
      </c>
      <c r="D691" s="13" t="str">
        <f>IF(RIGHT(A691,3)="000",C691,VLOOKUP(B691,'Справочник ИХ'!A:C,3,0))</f>
        <v>Руды  всякие</v>
      </c>
      <c r="E691" s="13">
        <f>IF(RIGHT(A691,3)="000","х",VLOOKUP(B691,'Справочник ИХ'!A:D,4,0))</f>
        <v>1</v>
      </c>
      <c r="F691" s="14" t="s">
        <v>1567</v>
      </c>
    </row>
    <row r="692" spans="1:6">
      <c r="A692" s="19">
        <v>15151</v>
      </c>
      <c r="B692" s="12" t="str">
        <f t="shared" si="10"/>
        <v>151</v>
      </c>
      <c r="C692" s="1" t="s">
        <v>1619</v>
      </c>
      <c r="D692" s="13" t="str">
        <f>IF(RIGHT(A692,3)="000",C692,VLOOKUP(B692,'Справочник ИХ'!A:C,3,0))</f>
        <v>Руды  всякие</v>
      </c>
      <c r="E692" s="13">
        <f>IF(RIGHT(A692,3)="000","х",VLOOKUP(B692,'Справочник ИХ'!A:D,4,0))</f>
        <v>1</v>
      </c>
      <c r="F692" s="14" t="s">
        <v>1567</v>
      </c>
    </row>
    <row r="693" spans="1:6">
      <c r="A693" s="19">
        <v>15152</v>
      </c>
      <c r="B693" s="12" t="str">
        <f t="shared" si="10"/>
        <v>151</v>
      </c>
      <c r="C693" s="1" t="s">
        <v>1620</v>
      </c>
      <c r="D693" s="13" t="str">
        <f>IF(RIGHT(A693,3)="000",C693,VLOOKUP(B693,'Справочник ИХ'!A:C,3,0))</f>
        <v>Руды  всякие</v>
      </c>
      <c r="E693" s="13">
        <f>IF(RIGHT(A693,3)="000","х",VLOOKUP(B693,'Справочник ИХ'!A:D,4,0))</f>
        <v>1</v>
      </c>
      <c r="F693" s="14" t="s">
        <v>1567</v>
      </c>
    </row>
    <row r="694" spans="1:6">
      <c r="A694" s="19">
        <v>15153</v>
      </c>
      <c r="B694" s="12" t="str">
        <f t="shared" si="10"/>
        <v>151</v>
      </c>
      <c r="C694" s="1" t="s">
        <v>1621</v>
      </c>
      <c r="D694" s="13" t="str">
        <f>IF(RIGHT(A694,3)="000",C694,VLOOKUP(B694,'Справочник ИХ'!A:C,3,0))</f>
        <v>Руды  всякие</v>
      </c>
      <c r="E694" s="13">
        <f>IF(RIGHT(A694,3)="000","х",VLOOKUP(B694,'Справочник ИХ'!A:D,4,0))</f>
        <v>1</v>
      </c>
      <c r="F694" s="14" t="s">
        <v>1567</v>
      </c>
    </row>
    <row r="695" spans="1:6">
      <c r="A695" s="19">
        <v>15154</v>
      </c>
      <c r="B695" s="12" t="str">
        <f t="shared" si="10"/>
        <v>151</v>
      </c>
      <c r="C695" s="1" t="s">
        <v>1622</v>
      </c>
      <c r="D695" s="13" t="str">
        <f>IF(RIGHT(A695,3)="000",C695,VLOOKUP(B695,'Справочник ИХ'!A:C,3,0))</f>
        <v>Руды  всякие</v>
      </c>
      <c r="E695" s="13">
        <f>IF(RIGHT(A695,3)="000","х",VLOOKUP(B695,'Справочник ИХ'!A:D,4,0))</f>
        <v>1</v>
      </c>
      <c r="F695" s="14" t="s">
        <v>1567</v>
      </c>
    </row>
    <row r="696" spans="1:6">
      <c r="A696" s="19">
        <v>15155</v>
      </c>
      <c r="B696" s="12" t="str">
        <f t="shared" si="10"/>
        <v>151</v>
      </c>
      <c r="C696" s="1" t="s">
        <v>1623</v>
      </c>
      <c r="D696" s="13" t="str">
        <f>IF(RIGHT(A696,3)="000",C696,VLOOKUP(B696,'Справочник ИХ'!A:C,3,0))</f>
        <v>Руды  всякие</v>
      </c>
      <c r="E696" s="13">
        <f>IF(RIGHT(A696,3)="000","х",VLOOKUP(B696,'Справочник ИХ'!A:D,4,0))</f>
        <v>1</v>
      </c>
      <c r="F696" s="14" t="s">
        <v>1567</v>
      </c>
    </row>
    <row r="697" spans="1:6" ht="31.75">
      <c r="A697" s="19">
        <v>15156</v>
      </c>
      <c r="B697" s="12" t="str">
        <f t="shared" si="10"/>
        <v>151</v>
      </c>
      <c r="C697" s="1" t="s">
        <v>1624</v>
      </c>
      <c r="D697" s="13" t="str">
        <f>IF(RIGHT(A697,3)="000",C697,VLOOKUP(B697,'Справочник ИХ'!A:C,3,0))</f>
        <v>Руды  всякие</v>
      </c>
      <c r="E697" s="13">
        <f>IF(RIGHT(A697,3)="000","х",VLOOKUP(B697,'Справочник ИХ'!A:D,4,0))</f>
        <v>1</v>
      </c>
      <c r="F697" s="14" t="s">
        <v>1567</v>
      </c>
    </row>
    <row r="698" spans="1:6">
      <c r="A698" s="19">
        <v>15157</v>
      </c>
      <c r="B698" s="12" t="str">
        <f t="shared" si="10"/>
        <v>151</v>
      </c>
      <c r="C698" s="1" t="s">
        <v>1625</v>
      </c>
      <c r="D698" s="13" t="str">
        <f>IF(RIGHT(A698,3)="000",C698,VLOOKUP(B698,'Справочник ИХ'!A:C,3,0))</f>
        <v>Руды  всякие</v>
      </c>
      <c r="E698" s="13">
        <f>IF(RIGHT(A698,3)="000","х",VLOOKUP(B698,'Справочник ИХ'!A:D,4,0))</f>
        <v>1</v>
      </c>
      <c r="F698" s="14" t="s">
        <v>1567</v>
      </c>
    </row>
    <row r="699" spans="1:6">
      <c r="A699" s="19">
        <v>15158</v>
      </c>
      <c r="B699" s="12" t="str">
        <f t="shared" si="10"/>
        <v>151</v>
      </c>
      <c r="C699" s="1" t="s">
        <v>1626</v>
      </c>
      <c r="D699" s="13" t="str">
        <f>IF(RIGHT(A699,3)="000",C699,VLOOKUP(B699,'Справочник ИХ'!A:C,3,0))</f>
        <v>Руды  всякие</v>
      </c>
      <c r="E699" s="13">
        <f>IF(RIGHT(A699,3)="000","х",VLOOKUP(B699,'Справочник ИХ'!A:D,4,0))</f>
        <v>1</v>
      </c>
      <c r="F699" s="14" t="s">
        <v>1567</v>
      </c>
    </row>
    <row r="700" spans="1:6">
      <c r="A700" s="19">
        <v>15159</v>
      </c>
      <c r="B700" s="12" t="str">
        <f t="shared" si="10"/>
        <v>151</v>
      </c>
      <c r="C700" s="1" t="s">
        <v>1627</v>
      </c>
      <c r="D700" s="13" t="str">
        <f>IF(RIGHT(A700,3)="000",C700,VLOOKUP(B700,'Справочник ИХ'!A:C,3,0))</f>
        <v>Руды  всякие</v>
      </c>
      <c r="E700" s="13">
        <f>IF(RIGHT(A700,3)="000","х",VLOOKUP(B700,'Справочник ИХ'!A:D,4,0))</f>
        <v>1</v>
      </c>
      <c r="F700" s="14" t="s">
        <v>1567</v>
      </c>
    </row>
    <row r="701" spans="1:6">
      <c r="A701" s="19">
        <v>15160</v>
      </c>
      <c r="B701" s="12" t="str">
        <f t="shared" si="10"/>
        <v>151</v>
      </c>
      <c r="C701" s="1" t="s">
        <v>1628</v>
      </c>
      <c r="D701" s="13" t="str">
        <f>IF(RIGHT(A701,3)="000",C701,VLOOKUP(B701,'Справочник ИХ'!A:C,3,0))</f>
        <v>Руды  всякие</v>
      </c>
      <c r="E701" s="13">
        <f>IF(RIGHT(A701,3)="000","х",VLOOKUP(B701,'Справочник ИХ'!A:D,4,0))</f>
        <v>1</v>
      </c>
      <c r="F701" s="14" t="s">
        <v>1567</v>
      </c>
    </row>
    <row r="702" spans="1:6">
      <c r="A702" s="19">
        <v>15161</v>
      </c>
      <c r="B702" s="12" t="str">
        <f t="shared" si="10"/>
        <v>151</v>
      </c>
      <c r="C702" s="1" t="s">
        <v>1629</v>
      </c>
      <c r="D702" s="13" t="str">
        <f>IF(RIGHT(A702,3)="000",C702,VLOOKUP(B702,'Справочник ИХ'!A:C,3,0))</f>
        <v>Руды  всякие</v>
      </c>
      <c r="E702" s="13">
        <f>IF(RIGHT(A702,3)="000","х",VLOOKUP(B702,'Справочник ИХ'!A:D,4,0))</f>
        <v>1</v>
      </c>
      <c r="F702" s="14" t="s">
        <v>1567</v>
      </c>
    </row>
    <row r="703" spans="1:6" ht="31.75">
      <c r="A703" s="19">
        <v>15162</v>
      </c>
      <c r="B703" s="12" t="str">
        <f t="shared" si="10"/>
        <v>151</v>
      </c>
      <c r="C703" s="1" t="s">
        <v>1630</v>
      </c>
      <c r="D703" s="13" t="str">
        <f>IF(RIGHT(A703,3)="000",C703,VLOOKUP(B703,'Справочник ИХ'!A:C,3,0))</f>
        <v>Руды  всякие</v>
      </c>
      <c r="E703" s="13">
        <f>IF(RIGHT(A703,3)="000","х",VLOOKUP(B703,'Справочник ИХ'!A:D,4,0))</f>
        <v>1</v>
      </c>
      <c r="F703" s="14" t="s">
        <v>1567</v>
      </c>
    </row>
    <row r="704" spans="1:6" ht="31.75">
      <c r="A704" s="19">
        <v>15163</v>
      </c>
      <c r="B704" s="12" t="str">
        <f t="shared" si="10"/>
        <v>151</v>
      </c>
      <c r="C704" s="1" t="s">
        <v>1631</v>
      </c>
      <c r="D704" s="13" t="str">
        <f>IF(RIGHT(A704,3)="000",C704,VLOOKUP(B704,'Справочник ИХ'!A:C,3,0))</f>
        <v>Руды  всякие</v>
      </c>
      <c r="E704" s="13">
        <f>IF(RIGHT(A704,3)="000","х",VLOOKUP(B704,'Справочник ИХ'!A:D,4,0))</f>
        <v>1</v>
      </c>
      <c r="F704" s="14" t="s">
        <v>1567</v>
      </c>
    </row>
    <row r="705" spans="1:6">
      <c r="A705" s="19">
        <v>15164</v>
      </c>
      <c r="B705" s="12" t="str">
        <f t="shared" si="10"/>
        <v>151</v>
      </c>
      <c r="C705" s="1" t="s">
        <v>1632</v>
      </c>
      <c r="D705" s="13" t="str">
        <f>IF(RIGHT(A705,3)="000",C705,VLOOKUP(B705,'Справочник ИХ'!A:C,3,0))</f>
        <v>Руды  всякие</v>
      </c>
      <c r="E705" s="13">
        <f>IF(RIGHT(A705,3)="000","х",VLOOKUP(B705,'Справочник ИХ'!A:D,4,0))</f>
        <v>1</v>
      </c>
      <c r="F705" s="14" t="s">
        <v>1567</v>
      </c>
    </row>
    <row r="706" spans="1:6">
      <c r="A706" s="19">
        <v>15165</v>
      </c>
      <c r="B706" s="12" t="str">
        <f t="shared" si="10"/>
        <v>151</v>
      </c>
      <c r="C706" s="1" t="s">
        <v>1633</v>
      </c>
      <c r="D706" s="13" t="str">
        <f>IF(RIGHT(A706,3)="000",C706,VLOOKUP(B706,'Справочник ИХ'!A:C,3,0))</f>
        <v>Руды  всякие</v>
      </c>
      <c r="E706" s="13">
        <f>IF(RIGHT(A706,3)="000","х",VLOOKUP(B706,'Справочник ИХ'!A:D,4,0))</f>
        <v>1</v>
      </c>
      <c r="F706" s="14" t="s">
        <v>1567</v>
      </c>
    </row>
    <row r="707" spans="1:6">
      <c r="A707" s="19">
        <v>15166</v>
      </c>
      <c r="B707" s="12" t="str">
        <f t="shared" si="10"/>
        <v>151</v>
      </c>
      <c r="C707" s="1" t="s">
        <v>1634</v>
      </c>
      <c r="D707" s="13" t="str">
        <f>IF(RIGHT(A707,3)="000",C707,VLOOKUP(B707,'Справочник ИХ'!A:C,3,0))</f>
        <v>Руды  всякие</v>
      </c>
      <c r="E707" s="13">
        <f>IF(RIGHT(A707,3)="000","х",VLOOKUP(B707,'Справочник ИХ'!A:D,4,0))</f>
        <v>1</v>
      </c>
      <c r="F707" s="14" t="s">
        <v>1567</v>
      </c>
    </row>
    <row r="708" spans="1:6" s="18" customFormat="1">
      <c r="A708" s="16">
        <v>15200</v>
      </c>
      <c r="B708" s="12" t="str">
        <f t="shared" ref="B708:B771" si="11">LEFT(A708,3)</f>
        <v>152</v>
      </c>
      <c r="C708" s="17" t="s">
        <v>1635</v>
      </c>
      <c r="D708" s="13" t="str">
        <f>IF(RIGHT(A708,3)="000",C708,VLOOKUP(B708,'Справочник ИХ'!A:C,3,0))</f>
        <v>Руды  всякие</v>
      </c>
      <c r="E708" s="13">
        <f>IF(RIGHT(A708,3)="000","х",VLOOKUP(B708,'Справочник ИХ'!A:D,4,0))</f>
        <v>1</v>
      </c>
      <c r="F708" s="14" t="s">
        <v>1567</v>
      </c>
    </row>
    <row r="709" spans="1:6">
      <c r="A709" s="19">
        <v>15201</v>
      </c>
      <c r="B709" s="12" t="str">
        <f t="shared" si="11"/>
        <v>152</v>
      </c>
      <c r="C709" s="1" t="s">
        <v>1636</v>
      </c>
      <c r="D709" s="13" t="str">
        <f>IF(RIGHT(A709,3)="000",C709,VLOOKUP(B709,'Справочник ИХ'!A:C,3,0))</f>
        <v>Руды  всякие</v>
      </c>
      <c r="E709" s="13">
        <f>IF(RIGHT(A709,3)="000","х",VLOOKUP(B709,'Справочник ИХ'!A:D,4,0))</f>
        <v>1</v>
      </c>
      <c r="F709" s="14" t="s">
        <v>1567</v>
      </c>
    </row>
    <row r="710" spans="1:6">
      <c r="A710" s="19">
        <v>15202</v>
      </c>
      <c r="B710" s="12" t="str">
        <f t="shared" si="11"/>
        <v>152</v>
      </c>
      <c r="C710" s="1" t="s">
        <v>1637</v>
      </c>
      <c r="D710" s="13" t="str">
        <f>IF(RIGHT(A710,3)="000",C710,VLOOKUP(B710,'Справочник ИХ'!A:C,3,0))</f>
        <v>Руды  всякие</v>
      </c>
      <c r="E710" s="13">
        <f>IF(RIGHT(A710,3)="000","х",VLOOKUP(B710,'Справочник ИХ'!A:D,4,0))</f>
        <v>1</v>
      </c>
      <c r="F710" s="14" t="s">
        <v>1567</v>
      </c>
    </row>
    <row r="711" spans="1:6">
      <c r="A711" s="19">
        <v>15203</v>
      </c>
      <c r="B711" s="12" t="str">
        <f t="shared" si="11"/>
        <v>152</v>
      </c>
      <c r="C711" s="1" t="s">
        <v>1638</v>
      </c>
      <c r="D711" s="13" t="str">
        <f>IF(RIGHT(A711,3)="000",C711,VLOOKUP(B711,'Справочник ИХ'!A:C,3,0))</f>
        <v>Руды  всякие</v>
      </c>
      <c r="E711" s="13">
        <f>IF(RIGHT(A711,3)="000","х",VLOOKUP(B711,'Справочник ИХ'!A:D,4,0))</f>
        <v>1</v>
      </c>
      <c r="F711" s="14" t="s">
        <v>1567</v>
      </c>
    </row>
    <row r="712" spans="1:6" s="18" customFormat="1">
      <c r="A712" s="16">
        <v>15300</v>
      </c>
      <c r="B712" s="12" t="str">
        <f t="shared" si="11"/>
        <v>153</v>
      </c>
      <c r="C712" s="17" t="s">
        <v>1639</v>
      </c>
      <c r="D712" s="13" t="str">
        <f>IF(RIGHT(A712,3)="000",C712,VLOOKUP(B712,'Справочник ИХ'!A:C,3,0))</f>
        <v>Руды  всякие</v>
      </c>
      <c r="E712" s="13">
        <f>IF(RIGHT(A712,3)="000","х",VLOOKUP(B712,'Справочник ИХ'!A:D,4,0))</f>
        <v>1</v>
      </c>
      <c r="F712" s="14" t="s">
        <v>1567</v>
      </c>
    </row>
    <row r="713" spans="1:6">
      <c r="A713" s="19">
        <v>15301</v>
      </c>
      <c r="B713" s="12" t="str">
        <f t="shared" si="11"/>
        <v>153</v>
      </c>
      <c r="C713" s="1" t="s">
        <v>1640</v>
      </c>
      <c r="D713" s="13" t="str">
        <f>IF(RIGHT(A713,3)="000",C713,VLOOKUP(B713,'Справочник ИХ'!A:C,3,0))</f>
        <v>Руды  всякие</v>
      </c>
      <c r="E713" s="13">
        <f>IF(RIGHT(A713,3)="000","х",VLOOKUP(B713,'Справочник ИХ'!A:D,4,0))</f>
        <v>1</v>
      </c>
      <c r="F713" s="14" t="s">
        <v>1567</v>
      </c>
    </row>
    <row r="714" spans="1:6" ht="31.75">
      <c r="A714" s="19">
        <v>15302</v>
      </c>
      <c r="B714" s="12" t="str">
        <f t="shared" si="11"/>
        <v>153</v>
      </c>
      <c r="C714" s="1" t="s">
        <v>1641</v>
      </c>
      <c r="D714" s="13" t="str">
        <f>IF(RIGHT(A714,3)="000",C714,VLOOKUP(B714,'Справочник ИХ'!A:C,3,0))</f>
        <v>Руды  всякие</v>
      </c>
      <c r="E714" s="13">
        <f>IF(RIGHT(A714,3)="000","х",VLOOKUP(B714,'Справочник ИХ'!A:D,4,0))</f>
        <v>1</v>
      </c>
      <c r="F714" s="14" t="s">
        <v>1567</v>
      </c>
    </row>
    <row r="715" spans="1:6">
      <c r="A715" s="19">
        <v>15303</v>
      </c>
      <c r="B715" s="12" t="str">
        <f t="shared" si="11"/>
        <v>153</v>
      </c>
      <c r="C715" s="1" t="s">
        <v>1642</v>
      </c>
      <c r="D715" s="13" t="str">
        <f>IF(RIGHT(A715,3)="000",C715,VLOOKUP(B715,'Справочник ИХ'!A:C,3,0))</f>
        <v>Руды  всякие</v>
      </c>
      <c r="E715" s="13">
        <f>IF(RIGHT(A715,3)="000","х",VLOOKUP(B715,'Справочник ИХ'!A:D,4,0))</f>
        <v>1</v>
      </c>
      <c r="F715" s="14" t="s">
        <v>1567</v>
      </c>
    </row>
    <row r="716" spans="1:6" s="15" customFormat="1" ht="47.6">
      <c r="A716" s="7"/>
      <c r="B716" s="12" t="str">
        <f t="shared" si="11"/>
        <v/>
      </c>
      <c r="C716" s="11" t="s">
        <v>1643</v>
      </c>
      <c r="D716" s="1" t="str">
        <f>C716</f>
        <v xml:space="preserve">Раздел 4. Продукция топливно-энергетической промышленности </v>
      </c>
      <c r="E716" s="13" t="s">
        <v>562</v>
      </c>
      <c r="F716" s="14" t="s">
        <v>1567</v>
      </c>
    </row>
    <row r="717" spans="1:6" s="22" customFormat="1" ht="47.6">
      <c r="A717" s="20" t="s">
        <v>1644</v>
      </c>
      <c r="B717" s="12" t="str">
        <f t="shared" si="11"/>
        <v>160</v>
      </c>
      <c r="C717" s="21" t="s">
        <v>1645</v>
      </c>
      <c r="D717" s="13" t="str">
        <f>IF(RIGHT(A717,3)="000",C717,VLOOKUP(B717,'Справочник ИХ'!A:C,3,0))</f>
        <v>Топливо минеральное (уголь каменный, уголь бурый)</v>
      </c>
      <c r="E717" s="13" t="str">
        <f>IF(RIGHT(A717,3)="000","х",VLOOKUP(B717,'Справочник ИХ'!A:D,4,0))</f>
        <v>х</v>
      </c>
      <c r="F717" s="14" t="s">
        <v>1645</v>
      </c>
    </row>
    <row r="718" spans="1:6" s="18" customFormat="1" ht="31.75">
      <c r="A718" s="16">
        <v>16100</v>
      </c>
      <c r="B718" s="12" t="str">
        <f t="shared" si="11"/>
        <v>161</v>
      </c>
      <c r="C718" s="17" t="s">
        <v>1646</v>
      </c>
      <c r="D718" s="13" t="str">
        <f>IF(RIGHT(A718,3)="000",C718,VLOOKUP(B718,'Справочник ИХ'!A:C,3,0))</f>
        <v>Уголь каменный</v>
      </c>
      <c r="E718" s="13">
        <f>IF(RIGHT(A718,3)="000","х",VLOOKUP(B718,'Справочник ИХ'!A:D,4,0))</f>
        <v>1</v>
      </c>
      <c r="F718" s="14" t="s">
        <v>1645</v>
      </c>
    </row>
    <row r="719" spans="1:6" ht="31.75">
      <c r="A719" s="19">
        <v>16101</v>
      </c>
      <c r="B719" s="12" t="str">
        <f t="shared" si="11"/>
        <v>161</v>
      </c>
      <c r="C719" s="1" t="s">
        <v>1647</v>
      </c>
      <c r="D719" s="13" t="str">
        <f>IF(RIGHT(A719,3)="000",C719,VLOOKUP(B719,'Справочник ИХ'!A:C,3,0))</f>
        <v>Уголь каменный</v>
      </c>
      <c r="E719" s="13">
        <f>IF(RIGHT(A719,3)="000","х",VLOOKUP(B719,'Справочник ИХ'!A:D,4,0))</f>
        <v>1</v>
      </c>
      <c r="F719" s="14" t="s">
        <v>1645</v>
      </c>
    </row>
    <row r="720" spans="1:6" ht="31.75">
      <c r="A720" s="19" t="s">
        <v>1648</v>
      </c>
      <c r="B720" s="12" t="str">
        <f t="shared" si="11"/>
        <v>161</v>
      </c>
      <c r="C720" s="1" t="s">
        <v>1649</v>
      </c>
      <c r="D720" s="13" t="str">
        <f>IF(RIGHT(A720,3)="000",C720,VLOOKUP(B720,'Справочник ИХ'!A:C,3,0))</f>
        <v>Уголь каменный</v>
      </c>
      <c r="E720" s="13">
        <f>IF(RIGHT(A720,3)="000","х",VLOOKUP(B720,'Справочник ИХ'!A:D,4,0))</f>
        <v>1</v>
      </c>
      <c r="F720" s="14" t="s">
        <v>1645</v>
      </c>
    </row>
    <row r="721" spans="1:6" ht="31.75">
      <c r="A721" s="19" t="s">
        <v>1650</v>
      </c>
      <c r="B721" s="12" t="str">
        <f t="shared" si="11"/>
        <v>161</v>
      </c>
      <c r="C721" s="1" t="s">
        <v>1651</v>
      </c>
      <c r="D721" s="13" t="str">
        <f>IF(RIGHT(A721,3)="000",C721,VLOOKUP(B721,'Справочник ИХ'!A:C,3,0))</f>
        <v>Уголь каменный</v>
      </c>
      <c r="E721" s="13">
        <f>IF(RIGHT(A721,3)="000","х",VLOOKUP(B721,'Справочник ИХ'!A:D,4,0))</f>
        <v>1</v>
      </c>
      <c r="F721" s="14" t="s">
        <v>1645</v>
      </c>
    </row>
    <row r="722" spans="1:6" ht="31.75">
      <c r="A722" s="19" t="s">
        <v>1652</v>
      </c>
      <c r="B722" s="12" t="str">
        <f t="shared" si="11"/>
        <v>161</v>
      </c>
      <c r="C722" s="1" t="s">
        <v>1653</v>
      </c>
      <c r="D722" s="13" t="str">
        <f>IF(RIGHT(A722,3)="000",C722,VLOOKUP(B722,'Справочник ИХ'!A:C,3,0))</f>
        <v>Уголь каменный</v>
      </c>
      <c r="E722" s="13">
        <f>IF(RIGHT(A722,3)="000","х",VLOOKUP(B722,'Справочник ИХ'!A:D,4,0))</f>
        <v>1</v>
      </c>
      <c r="F722" s="14" t="s">
        <v>1645</v>
      </c>
    </row>
    <row r="723" spans="1:6" ht="31.75">
      <c r="A723" s="19" t="s">
        <v>1654</v>
      </c>
      <c r="B723" s="12" t="str">
        <f t="shared" si="11"/>
        <v>161</v>
      </c>
      <c r="C723" s="1" t="s">
        <v>1655</v>
      </c>
      <c r="D723" s="13" t="str">
        <f>IF(RIGHT(A723,3)="000",C723,VLOOKUP(B723,'Справочник ИХ'!A:C,3,0))</f>
        <v>Уголь каменный</v>
      </c>
      <c r="E723" s="13">
        <f>IF(RIGHT(A723,3)="000","х",VLOOKUP(B723,'Справочник ИХ'!A:D,4,0))</f>
        <v>1</v>
      </c>
      <c r="F723" s="14" t="s">
        <v>1645</v>
      </c>
    </row>
    <row r="724" spans="1:6" ht="31.75">
      <c r="A724" s="19" t="s">
        <v>1656</v>
      </c>
      <c r="B724" s="12" t="str">
        <f t="shared" si="11"/>
        <v>161</v>
      </c>
      <c r="C724" s="1" t="s">
        <v>1657</v>
      </c>
      <c r="D724" s="13" t="str">
        <f>IF(RIGHT(A724,3)="000",C724,VLOOKUP(B724,'Справочник ИХ'!A:C,3,0))</f>
        <v>Уголь каменный</v>
      </c>
      <c r="E724" s="13">
        <f>IF(RIGHT(A724,3)="000","х",VLOOKUP(B724,'Справочник ИХ'!A:D,4,0))</f>
        <v>1</v>
      </c>
      <c r="F724" s="14" t="s">
        <v>1645</v>
      </c>
    </row>
    <row r="725" spans="1:6" ht="31.75">
      <c r="A725" s="19" t="s">
        <v>1658</v>
      </c>
      <c r="B725" s="12" t="str">
        <f t="shared" si="11"/>
        <v>161</v>
      </c>
      <c r="C725" s="1" t="s">
        <v>1659</v>
      </c>
      <c r="D725" s="13" t="str">
        <f>IF(RIGHT(A725,3)="000",C725,VLOOKUP(B725,'Справочник ИХ'!A:C,3,0))</f>
        <v>Уголь каменный</v>
      </c>
      <c r="E725" s="13">
        <f>IF(RIGHT(A725,3)="000","х",VLOOKUP(B725,'Справочник ИХ'!A:D,4,0))</f>
        <v>1</v>
      </c>
      <c r="F725" s="14" t="s">
        <v>1645</v>
      </c>
    </row>
    <row r="726" spans="1:6" ht="31.75">
      <c r="A726" s="19" t="s">
        <v>1660</v>
      </c>
      <c r="B726" s="12" t="str">
        <f t="shared" si="11"/>
        <v>161</v>
      </c>
      <c r="C726" s="1" t="s">
        <v>1661</v>
      </c>
      <c r="D726" s="13" t="str">
        <f>IF(RIGHT(A726,3)="000",C726,VLOOKUP(B726,'Справочник ИХ'!A:C,3,0))</f>
        <v>Уголь каменный</v>
      </c>
      <c r="E726" s="13">
        <f>IF(RIGHT(A726,3)="000","х",VLOOKUP(B726,'Справочник ИХ'!A:D,4,0))</f>
        <v>1</v>
      </c>
      <c r="F726" s="14" t="s">
        <v>1645</v>
      </c>
    </row>
    <row r="727" spans="1:6" ht="31.75">
      <c r="A727" s="19" t="s">
        <v>1662</v>
      </c>
      <c r="B727" s="12" t="str">
        <f t="shared" si="11"/>
        <v>161</v>
      </c>
      <c r="C727" s="1" t="s">
        <v>1663</v>
      </c>
      <c r="D727" s="13" t="str">
        <f>IF(RIGHT(A727,3)="000",C727,VLOOKUP(B727,'Справочник ИХ'!A:C,3,0))</f>
        <v>Уголь каменный</v>
      </c>
      <c r="E727" s="13">
        <f>IF(RIGHT(A727,3)="000","х",VLOOKUP(B727,'Справочник ИХ'!A:D,4,0))</f>
        <v>1</v>
      </c>
      <c r="F727" s="14" t="s">
        <v>1645</v>
      </c>
    </row>
    <row r="728" spans="1:6" ht="31.75">
      <c r="A728" s="19" t="s">
        <v>1664</v>
      </c>
      <c r="B728" s="12" t="str">
        <f t="shared" si="11"/>
        <v>161</v>
      </c>
      <c r="C728" s="1" t="s">
        <v>1665</v>
      </c>
      <c r="D728" s="13" t="str">
        <f>IF(RIGHT(A728,3)="000",C728,VLOOKUP(B728,'Справочник ИХ'!A:C,3,0))</f>
        <v>Уголь каменный</v>
      </c>
      <c r="E728" s="13">
        <f>IF(RIGHT(A728,3)="000","х",VLOOKUP(B728,'Справочник ИХ'!A:D,4,0))</f>
        <v>1</v>
      </c>
      <c r="F728" s="14" t="s">
        <v>1645</v>
      </c>
    </row>
    <row r="729" spans="1:6" ht="31.75">
      <c r="A729" s="19" t="s">
        <v>1666</v>
      </c>
      <c r="B729" s="12" t="str">
        <f t="shared" si="11"/>
        <v>161</v>
      </c>
      <c r="C729" s="1" t="s">
        <v>1667</v>
      </c>
      <c r="D729" s="13" t="str">
        <f>IF(RIGHT(A729,3)="000",C729,VLOOKUP(B729,'Справочник ИХ'!A:C,3,0))</f>
        <v>Уголь каменный</v>
      </c>
      <c r="E729" s="13">
        <f>IF(RIGHT(A729,3)="000","х",VLOOKUP(B729,'Справочник ИХ'!A:D,4,0))</f>
        <v>1</v>
      </c>
      <c r="F729" s="14" t="s">
        <v>1645</v>
      </c>
    </row>
    <row r="730" spans="1:6" ht="31.75">
      <c r="A730" s="19" t="s">
        <v>1668</v>
      </c>
      <c r="B730" s="12" t="str">
        <f t="shared" si="11"/>
        <v>161</v>
      </c>
      <c r="C730" s="1" t="s">
        <v>1669</v>
      </c>
      <c r="D730" s="13" t="str">
        <f>IF(RIGHT(A730,3)="000",C730,VLOOKUP(B730,'Справочник ИХ'!A:C,3,0))</f>
        <v>Уголь каменный</v>
      </c>
      <c r="E730" s="13">
        <f>IF(RIGHT(A730,3)="000","х",VLOOKUP(B730,'Справочник ИХ'!A:D,4,0))</f>
        <v>1</v>
      </c>
      <c r="F730" s="14" t="s">
        <v>1645</v>
      </c>
    </row>
    <row r="731" spans="1:6" ht="31.75">
      <c r="A731" s="19" t="s">
        <v>1670</v>
      </c>
      <c r="B731" s="12" t="str">
        <f t="shared" si="11"/>
        <v>161</v>
      </c>
      <c r="C731" s="1" t="s">
        <v>1671</v>
      </c>
      <c r="D731" s="13" t="str">
        <f>IF(RIGHT(A731,3)="000",C731,VLOOKUP(B731,'Справочник ИХ'!A:C,3,0))</f>
        <v>Уголь каменный</v>
      </c>
      <c r="E731" s="13">
        <f>IF(RIGHT(A731,3)="000","х",VLOOKUP(B731,'Справочник ИХ'!A:D,4,0))</f>
        <v>1</v>
      </c>
      <c r="F731" s="14" t="s">
        <v>1645</v>
      </c>
    </row>
    <row r="732" spans="1:6" ht="31.75">
      <c r="A732" s="19" t="s">
        <v>1672</v>
      </c>
      <c r="B732" s="12" t="str">
        <f t="shared" si="11"/>
        <v>161</v>
      </c>
      <c r="C732" s="1" t="s">
        <v>1673</v>
      </c>
      <c r="D732" s="13" t="str">
        <f>IF(RIGHT(A732,3)="000",C732,VLOOKUP(B732,'Справочник ИХ'!A:C,3,0))</f>
        <v>Уголь каменный</v>
      </c>
      <c r="E732" s="13">
        <f>IF(RIGHT(A732,3)="000","х",VLOOKUP(B732,'Справочник ИХ'!A:D,4,0))</f>
        <v>1</v>
      </c>
      <c r="F732" s="14" t="s">
        <v>1645</v>
      </c>
    </row>
    <row r="733" spans="1:6" ht="31.75">
      <c r="A733" s="19" t="s">
        <v>1674</v>
      </c>
      <c r="B733" s="12" t="str">
        <f t="shared" si="11"/>
        <v>161</v>
      </c>
      <c r="C733" s="1" t="s">
        <v>1675</v>
      </c>
      <c r="D733" s="13" t="str">
        <f>IF(RIGHT(A733,3)="000",C733,VLOOKUP(B733,'Справочник ИХ'!A:C,3,0))</f>
        <v>Уголь каменный</v>
      </c>
      <c r="E733" s="13">
        <f>IF(RIGHT(A733,3)="000","х",VLOOKUP(B733,'Справочник ИХ'!A:D,4,0))</f>
        <v>1</v>
      </c>
      <c r="F733" s="14" t="s">
        <v>1645</v>
      </c>
    </row>
    <row r="734" spans="1:6" ht="31.75">
      <c r="A734" s="19" t="s">
        <v>1676</v>
      </c>
      <c r="B734" s="12" t="str">
        <f t="shared" si="11"/>
        <v>161</v>
      </c>
      <c r="C734" s="1" t="s">
        <v>1677</v>
      </c>
      <c r="D734" s="13" t="str">
        <f>IF(RIGHT(A734,3)="000",C734,VLOOKUP(B734,'Справочник ИХ'!A:C,3,0))</f>
        <v>Уголь каменный</v>
      </c>
      <c r="E734" s="13">
        <f>IF(RIGHT(A734,3)="000","х",VLOOKUP(B734,'Справочник ИХ'!A:D,4,0))</f>
        <v>1</v>
      </c>
      <c r="F734" s="14" t="s">
        <v>1645</v>
      </c>
    </row>
    <row r="735" spans="1:6" ht="31.75">
      <c r="A735" s="19" t="s">
        <v>1678</v>
      </c>
      <c r="B735" s="12" t="str">
        <f t="shared" si="11"/>
        <v>161</v>
      </c>
      <c r="C735" s="1" t="s">
        <v>1679</v>
      </c>
      <c r="D735" s="13" t="str">
        <f>IF(RIGHT(A735,3)="000",C735,VLOOKUP(B735,'Справочник ИХ'!A:C,3,0))</f>
        <v>Уголь каменный</v>
      </c>
      <c r="E735" s="13">
        <f>IF(RIGHT(A735,3)="000","х",VLOOKUP(B735,'Справочник ИХ'!A:D,4,0))</f>
        <v>1</v>
      </c>
      <c r="F735" s="14" t="s">
        <v>1645</v>
      </c>
    </row>
    <row r="736" spans="1:6" ht="31.75">
      <c r="A736" s="19" t="s">
        <v>1680</v>
      </c>
      <c r="B736" s="12" t="str">
        <f t="shared" si="11"/>
        <v>161</v>
      </c>
      <c r="C736" s="1" t="s">
        <v>1681</v>
      </c>
      <c r="D736" s="13" t="str">
        <f>IF(RIGHT(A736,3)="000",C736,VLOOKUP(B736,'Справочник ИХ'!A:C,3,0))</f>
        <v>Уголь каменный</v>
      </c>
      <c r="E736" s="13">
        <f>IF(RIGHT(A736,3)="000","х",VLOOKUP(B736,'Справочник ИХ'!A:D,4,0))</f>
        <v>1</v>
      </c>
      <c r="F736" s="14" t="s">
        <v>1645</v>
      </c>
    </row>
    <row r="737" spans="1:6" ht="31.75">
      <c r="A737" s="19" t="s">
        <v>1682</v>
      </c>
      <c r="B737" s="12" t="str">
        <f t="shared" si="11"/>
        <v>161</v>
      </c>
      <c r="C737" s="1" t="s">
        <v>1683</v>
      </c>
      <c r="D737" s="13" t="str">
        <f>IF(RIGHT(A737,3)="000",C737,VLOOKUP(B737,'Справочник ИХ'!A:C,3,0))</f>
        <v>Уголь каменный</v>
      </c>
      <c r="E737" s="13">
        <f>IF(RIGHT(A737,3)="000","х",VLOOKUP(B737,'Справочник ИХ'!A:D,4,0))</f>
        <v>1</v>
      </c>
      <c r="F737" s="14" t="s">
        <v>1645</v>
      </c>
    </row>
    <row r="738" spans="1:6" ht="31.75">
      <c r="A738" s="19" t="s">
        <v>1684</v>
      </c>
      <c r="B738" s="12" t="str">
        <f t="shared" si="11"/>
        <v>161</v>
      </c>
      <c r="C738" s="1" t="s">
        <v>1685</v>
      </c>
      <c r="D738" s="13" t="str">
        <f>IF(RIGHT(A738,3)="000",C738,VLOOKUP(B738,'Справочник ИХ'!A:C,3,0))</f>
        <v>Уголь каменный</v>
      </c>
      <c r="E738" s="13">
        <f>IF(RIGHT(A738,3)="000","х",VLOOKUP(B738,'Справочник ИХ'!A:D,4,0))</f>
        <v>1</v>
      </c>
      <c r="F738" s="14" t="s">
        <v>1645</v>
      </c>
    </row>
    <row r="739" spans="1:6" ht="31.75">
      <c r="A739" s="19" t="s">
        <v>1686</v>
      </c>
      <c r="B739" s="12" t="str">
        <f t="shared" si="11"/>
        <v>161</v>
      </c>
      <c r="C739" s="1" t="s">
        <v>1687</v>
      </c>
      <c r="D739" s="13" t="str">
        <f>IF(RIGHT(A739,3)="000",C739,VLOOKUP(B739,'Справочник ИХ'!A:C,3,0))</f>
        <v>Уголь каменный</v>
      </c>
      <c r="E739" s="13">
        <f>IF(RIGHT(A739,3)="000","х",VLOOKUP(B739,'Справочник ИХ'!A:D,4,0))</f>
        <v>1</v>
      </c>
      <c r="F739" s="14" t="s">
        <v>1645</v>
      </c>
    </row>
    <row r="740" spans="1:6" ht="31.75">
      <c r="A740" s="19" t="s">
        <v>1688</v>
      </c>
      <c r="B740" s="12" t="str">
        <f t="shared" si="11"/>
        <v>161</v>
      </c>
      <c r="C740" s="1" t="s">
        <v>1689</v>
      </c>
      <c r="D740" s="13" t="str">
        <f>IF(RIGHT(A740,3)="000",C740,VLOOKUP(B740,'Справочник ИХ'!A:C,3,0))</f>
        <v>Уголь каменный</v>
      </c>
      <c r="E740" s="13">
        <f>IF(RIGHT(A740,3)="000","х",VLOOKUP(B740,'Справочник ИХ'!A:D,4,0))</f>
        <v>1</v>
      </c>
      <c r="F740" s="14" t="s">
        <v>1645</v>
      </c>
    </row>
    <row r="741" spans="1:6" ht="31.75">
      <c r="A741" s="19" t="s">
        <v>1690</v>
      </c>
      <c r="B741" s="12" t="str">
        <f t="shared" si="11"/>
        <v>161</v>
      </c>
      <c r="C741" s="1" t="s">
        <v>1691</v>
      </c>
      <c r="D741" s="13" t="str">
        <f>IF(RIGHT(A741,3)="000",C741,VLOOKUP(B741,'Справочник ИХ'!A:C,3,0))</f>
        <v>Уголь каменный</v>
      </c>
      <c r="E741" s="13">
        <f>IF(RIGHT(A741,3)="000","х",VLOOKUP(B741,'Справочник ИХ'!A:D,4,0))</f>
        <v>1</v>
      </c>
      <c r="F741" s="14" t="s">
        <v>1645</v>
      </c>
    </row>
    <row r="742" spans="1:6" ht="31.75">
      <c r="A742" s="19" t="s">
        <v>1692</v>
      </c>
      <c r="B742" s="12" t="str">
        <f t="shared" si="11"/>
        <v>161</v>
      </c>
      <c r="C742" s="1" t="s">
        <v>1693</v>
      </c>
      <c r="D742" s="13" t="str">
        <f>IF(RIGHT(A742,3)="000",C742,VLOOKUP(B742,'Справочник ИХ'!A:C,3,0))</f>
        <v>Уголь каменный</v>
      </c>
      <c r="E742" s="13">
        <f>IF(RIGHT(A742,3)="000","х",VLOOKUP(B742,'Справочник ИХ'!A:D,4,0))</f>
        <v>1</v>
      </c>
      <c r="F742" s="14" t="s">
        <v>1645</v>
      </c>
    </row>
    <row r="743" spans="1:6" ht="31.75">
      <c r="A743" s="19" t="s">
        <v>1694</v>
      </c>
      <c r="B743" s="12" t="str">
        <f t="shared" si="11"/>
        <v>161</v>
      </c>
      <c r="C743" s="1" t="s">
        <v>1695</v>
      </c>
      <c r="D743" s="13" t="str">
        <f>IF(RIGHT(A743,3)="000",C743,VLOOKUP(B743,'Справочник ИХ'!A:C,3,0))</f>
        <v>Уголь каменный</v>
      </c>
      <c r="E743" s="13">
        <f>IF(RIGHT(A743,3)="000","х",VLOOKUP(B743,'Справочник ИХ'!A:D,4,0))</f>
        <v>1</v>
      </c>
      <c r="F743" s="14" t="s">
        <v>1645</v>
      </c>
    </row>
    <row r="744" spans="1:6" s="15" customFormat="1">
      <c r="A744" s="7">
        <v>17000</v>
      </c>
      <c r="B744" s="12" t="str">
        <f t="shared" si="11"/>
        <v>170</v>
      </c>
      <c r="C744" s="11" t="s">
        <v>1696</v>
      </c>
      <c r="D744" s="13" t="str">
        <f>IF(RIGHT(A744,3)="000",C744,VLOOKUP(B744,'Справочник ИХ'!A:C,3,0))</f>
        <v xml:space="preserve">Кокс </v>
      </c>
      <c r="E744" s="13" t="str">
        <f>IF(RIGHT(A744,3)="000","х",VLOOKUP(B744,'Справочник ИХ'!A:D,4,0))</f>
        <v>х</v>
      </c>
      <c r="F744" s="14" t="s">
        <v>1696</v>
      </c>
    </row>
    <row r="745" spans="1:6" s="18" customFormat="1">
      <c r="A745" s="16">
        <v>17100</v>
      </c>
      <c r="B745" s="12" t="str">
        <f t="shared" si="11"/>
        <v>171</v>
      </c>
      <c r="C745" s="17" t="s">
        <v>1697</v>
      </c>
      <c r="D745" s="13" t="str">
        <f>IF(RIGHT(A745,3)="000",C745,VLOOKUP(B745,'Справочник ИХ'!A:C,3,0))</f>
        <v>Кокс каменноугольный</v>
      </c>
      <c r="E745" s="13">
        <f>IF(RIGHT(A745,3)="000","х",VLOOKUP(B745,'Справочник ИХ'!A:D,4,0))</f>
        <v>1</v>
      </c>
      <c r="F745" s="14" t="s">
        <v>1696</v>
      </c>
    </row>
    <row r="746" spans="1:6">
      <c r="A746" s="19">
        <v>17101</v>
      </c>
      <c r="B746" s="12" t="str">
        <f t="shared" si="11"/>
        <v>171</v>
      </c>
      <c r="C746" s="1" t="s">
        <v>1698</v>
      </c>
      <c r="D746" s="13" t="str">
        <f>IF(RIGHT(A746,3)="000",C746,VLOOKUP(B746,'Справочник ИХ'!A:C,3,0))</f>
        <v>Кокс каменноугольный</v>
      </c>
      <c r="E746" s="13">
        <f>IF(RIGHT(A746,3)="000","х",VLOOKUP(B746,'Справочник ИХ'!A:D,4,0))</f>
        <v>1</v>
      </c>
      <c r="F746" s="14" t="s">
        <v>1696</v>
      </c>
    </row>
    <row r="747" spans="1:6">
      <c r="A747" s="19">
        <v>17102</v>
      </c>
      <c r="B747" s="12" t="str">
        <f t="shared" si="11"/>
        <v>171</v>
      </c>
      <c r="C747" s="1" t="s">
        <v>1699</v>
      </c>
      <c r="D747" s="13" t="str">
        <f>IF(RIGHT(A747,3)="000",C747,VLOOKUP(B747,'Справочник ИХ'!A:C,3,0))</f>
        <v>Кокс каменноугольный</v>
      </c>
      <c r="E747" s="13">
        <f>IF(RIGHT(A747,3)="000","х",VLOOKUP(B747,'Справочник ИХ'!A:D,4,0))</f>
        <v>1</v>
      </c>
      <c r="F747" s="14" t="s">
        <v>1696</v>
      </c>
    </row>
    <row r="748" spans="1:6">
      <c r="A748" s="19">
        <v>17103</v>
      </c>
      <c r="B748" s="12" t="str">
        <f t="shared" si="11"/>
        <v>171</v>
      </c>
      <c r="C748" s="1" t="s">
        <v>1700</v>
      </c>
      <c r="D748" s="13" t="str">
        <f>IF(RIGHT(A748,3)="000",C748,VLOOKUP(B748,'Справочник ИХ'!A:C,3,0))</f>
        <v>Кокс каменноугольный</v>
      </c>
      <c r="E748" s="13">
        <f>IF(RIGHT(A748,3)="000","х",VLOOKUP(B748,'Справочник ИХ'!A:D,4,0))</f>
        <v>1</v>
      </c>
      <c r="F748" s="14" t="s">
        <v>1696</v>
      </c>
    </row>
    <row r="749" spans="1:6">
      <c r="A749" s="19">
        <v>17104</v>
      </c>
      <c r="B749" s="12" t="str">
        <f t="shared" si="11"/>
        <v>171</v>
      </c>
      <c r="C749" s="1" t="s">
        <v>1701</v>
      </c>
      <c r="D749" s="13" t="str">
        <f>IF(RIGHT(A749,3)="000",C749,VLOOKUP(B749,'Справочник ИХ'!A:C,3,0))</f>
        <v>Кокс каменноугольный</v>
      </c>
      <c r="E749" s="13">
        <f>IF(RIGHT(A749,3)="000","х",VLOOKUP(B749,'Справочник ИХ'!A:D,4,0))</f>
        <v>1</v>
      </c>
      <c r="F749" s="14" t="s">
        <v>1696</v>
      </c>
    </row>
    <row r="750" spans="1:6">
      <c r="A750" s="19">
        <v>17105</v>
      </c>
      <c r="B750" s="12" t="str">
        <f t="shared" si="11"/>
        <v>171</v>
      </c>
      <c r="C750" s="1" t="s">
        <v>1702</v>
      </c>
      <c r="D750" s="13" t="str">
        <f>IF(RIGHT(A750,3)="000",C750,VLOOKUP(B750,'Справочник ИХ'!A:C,3,0))</f>
        <v>Кокс каменноугольный</v>
      </c>
      <c r="E750" s="13">
        <f>IF(RIGHT(A750,3)="000","х",VLOOKUP(B750,'Справочник ИХ'!A:D,4,0))</f>
        <v>1</v>
      </c>
      <c r="F750" s="14" t="s">
        <v>1696</v>
      </c>
    </row>
    <row r="751" spans="1:6">
      <c r="A751" s="19">
        <v>17106</v>
      </c>
      <c r="B751" s="12" t="str">
        <f t="shared" si="11"/>
        <v>171</v>
      </c>
      <c r="C751" s="1" t="s">
        <v>1703</v>
      </c>
      <c r="D751" s="13" t="str">
        <f>IF(RIGHT(A751,3)="000",C751,VLOOKUP(B751,'Справочник ИХ'!A:C,3,0))</f>
        <v>Кокс каменноугольный</v>
      </c>
      <c r="E751" s="13">
        <f>IF(RIGHT(A751,3)="000","х",VLOOKUP(B751,'Справочник ИХ'!A:D,4,0))</f>
        <v>1</v>
      </c>
      <c r="F751" s="14" t="s">
        <v>1696</v>
      </c>
    </row>
    <row r="752" spans="1:6">
      <c r="A752" s="19">
        <v>17107</v>
      </c>
      <c r="B752" s="12" t="str">
        <f t="shared" si="11"/>
        <v>171</v>
      </c>
      <c r="C752" s="1" t="s">
        <v>1704</v>
      </c>
      <c r="D752" s="13" t="str">
        <f>IF(RIGHT(A752,3)="000",C752,VLOOKUP(B752,'Справочник ИХ'!A:C,3,0))</f>
        <v>Кокс каменноугольный</v>
      </c>
      <c r="E752" s="13">
        <f>IF(RIGHT(A752,3)="000","х",VLOOKUP(B752,'Справочник ИХ'!A:D,4,0))</f>
        <v>1</v>
      </c>
      <c r="F752" s="14" t="s">
        <v>1696</v>
      </c>
    </row>
    <row r="753" spans="1:6">
      <c r="A753" s="19">
        <v>17108</v>
      </c>
      <c r="B753" s="12" t="str">
        <f t="shared" si="11"/>
        <v>171</v>
      </c>
      <c r="C753" s="1" t="s">
        <v>1705</v>
      </c>
      <c r="D753" s="13" t="str">
        <f>IF(RIGHT(A753,3)="000",C753,VLOOKUP(B753,'Справочник ИХ'!A:C,3,0))</f>
        <v>Кокс каменноугольный</v>
      </c>
      <c r="E753" s="13">
        <f>IF(RIGHT(A753,3)="000","х",VLOOKUP(B753,'Справочник ИХ'!A:D,4,0))</f>
        <v>1</v>
      </c>
      <c r="F753" s="14" t="s">
        <v>1696</v>
      </c>
    </row>
    <row r="754" spans="1:6">
      <c r="A754" s="19">
        <v>17109</v>
      </c>
      <c r="B754" s="12" t="str">
        <f t="shared" si="11"/>
        <v>171</v>
      </c>
      <c r="C754" s="1" t="s">
        <v>1706</v>
      </c>
      <c r="D754" s="13" t="str">
        <f>IF(RIGHT(A754,3)="000",C754,VLOOKUP(B754,'Справочник ИХ'!A:C,3,0))</f>
        <v>Кокс каменноугольный</v>
      </c>
      <c r="E754" s="13">
        <f>IF(RIGHT(A754,3)="000","х",VLOOKUP(B754,'Справочник ИХ'!A:D,4,0))</f>
        <v>1</v>
      </c>
      <c r="F754" s="14" t="s">
        <v>1696</v>
      </c>
    </row>
    <row r="755" spans="1:6">
      <c r="A755" s="19">
        <v>17110</v>
      </c>
      <c r="B755" s="12" t="str">
        <f t="shared" si="11"/>
        <v>171</v>
      </c>
      <c r="C755" s="1" t="s">
        <v>1707</v>
      </c>
      <c r="D755" s="13" t="str">
        <f>IF(RIGHT(A755,3)="000",C755,VLOOKUP(B755,'Справочник ИХ'!A:C,3,0))</f>
        <v>Кокс каменноугольный</v>
      </c>
      <c r="E755" s="13">
        <f>IF(RIGHT(A755,3)="000","х",VLOOKUP(B755,'Справочник ИХ'!A:D,4,0))</f>
        <v>1</v>
      </c>
      <c r="F755" s="14" t="s">
        <v>1696</v>
      </c>
    </row>
    <row r="756" spans="1:6">
      <c r="A756" s="19">
        <v>17111</v>
      </c>
      <c r="B756" s="12" t="str">
        <f t="shared" si="11"/>
        <v>171</v>
      </c>
      <c r="C756" s="1" t="s">
        <v>1708</v>
      </c>
      <c r="D756" s="13" t="str">
        <f>IF(RIGHT(A756,3)="000",C756,VLOOKUP(B756,'Справочник ИХ'!A:C,3,0))</f>
        <v>Кокс каменноугольный</v>
      </c>
      <c r="E756" s="13">
        <f>IF(RIGHT(A756,3)="000","х",VLOOKUP(B756,'Справочник ИХ'!A:D,4,0))</f>
        <v>1</v>
      </c>
      <c r="F756" s="14" t="s">
        <v>1696</v>
      </c>
    </row>
    <row r="757" spans="1:6">
      <c r="A757" s="19">
        <v>17112</v>
      </c>
      <c r="B757" s="12" t="str">
        <f t="shared" si="11"/>
        <v>171</v>
      </c>
      <c r="C757" s="1" t="s">
        <v>1709</v>
      </c>
      <c r="D757" s="13" t="str">
        <f>IF(RIGHT(A757,3)="000",C757,VLOOKUP(B757,'Справочник ИХ'!A:C,3,0))</f>
        <v>Кокс каменноугольный</v>
      </c>
      <c r="E757" s="13">
        <f>IF(RIGHT(A757,3)="000","х",VLOOKUP(B757,'Справочник ИХ'!A:D,4,0))</f>
        <v>1</v>
      </c>
      <c r="F757" s="14" t="s">
        <v>1696</v>
      </c>
    </row>
    <row r="758" spans="1:6">
      <c r="A758" s="19">
        <v>17113</v>
      </c>
      <c r="B758" s="12" t="str">
        <f t="shared" si="11"/>
        <v>171</v>
      </c>
      <c r="C758" s="1" t="s">
        <v>1710</v>
      </c>
      <c r="D758" s="13" t="str">
        <f>IF(RIGHT(A758,3)="000",C758,VLOOKUP(B758,'Справочник ИХ'!A:C,3,0))</f>
        <v>Кокс каменноугольный</v>
      </c>
      <c r="E758" s="13">
        <f>IF(RIGHT(A758,3)="000","х",VLOOKUP(B758,'Справочник ИХ'!A:D,4,0))</f>
        <v>1</v>
      </c>
      <c r="F758" s="14" t="s">
        <v>1696</v>
      </c>
    </row>
    <row r="759" spans="1:6">
      <c r="A759" s="19">
        <v>17114</v>
      </c>
      <c r="B759" s="12" t="str">
        <f t="shared" si="11"/>
        <v>171</v>
      </c>
      <c r="C759" s="1" t="s">
        <v>1711</v>
      </c>
      <c r="D759" s="13" t="str">
        <f>IF(RIGHT(A759,3)="000",C759,VLOOKUP(B759,'Справочник ИХ'!A:C,3,0))</f>
        <v>Кокс каменноугольный</v>
      </c>
      <c r="E759" s="13">
        <f>IF(RIGHT(A759,3)="000","х",VLOOKUP(B759,'Справочник ИХ'!A:D,4,0))</f>
        <v>1</v>
      </c>
      <c r="F759" s="14" t="s">
        <v>1696</v>
      </c>
    </row>
    <row r="760" spans="1:6">
      <c r="A760" s="19">
        <v>17115</v>
      </c>
      <c r="B760" s="12" t="str">
        <f t="shared" si="11"/>
        <v>171</v>
      </c>
      <c r="C760" s="1" t="s">
        <v>1712</v>
      </c>
      <c r="D760" s="13" t="str">
        <f>IF(RIGHT(A760,3)="000",C760,VLOOKUP(B760,'Справочник ИХ'!A:C,3,0))</f>
        <v>Кокс каменноугольный</v>
      </c>
      <c r="E760" s="13">
        <f>IF(RIGHT(A760,3)="000","х",VLOOKUP(B760,'Справочник ИХ'!A:D,4,0))</f>
        <v>1</v>
      </c>
      <c r="F760" s="14" t="s">
        <v>1696</v>
      </c>
    </row>
    <row r="761" spans="1:6">
      <c r="A761" s="19">
        <v>17116</v>
      </c>
      <c r="B761" s="12" t="str">
        <f t="shared" si="11"/>
        <v>171</v>
      </c>
      <c r="C761" s="1" t="s">
        <v>1713</v>
      </c>
      <c r="D761" s="13" t="str">
        <f>IF(RIGHT(A761,3)="000",C761,VLOOKUP(B761,'Справочник ИХ'!A:C,3,0))</f>
        <v>Кокс каменноугольный</v>
      </c>
      <c r="E761" s="13">
        <f>IF(RIGHT(A761,3)="000","х",VLOOKUP(B761,'Справочник ИХ'!A:D,4,0))</f>
        <v>1</v>
      </c>
      <c r="F761" s="14" t="s">
        <v>1696</v>
      </c>
    </row>
    <row r="762" spans="1:6">
      <c r="A762" s="19">
        <v>17117</v>
      </c>
      <c r="B762" s="12" t="str">
        <f t="shared" si="11"/>
        <v>171</v>
      </c>
      <c r="C762" s="1" t="s">
        <v>1714</v>
      </c>
      <c r="D762" s="13" t="str">
        <f>IF(RIGHT(A762,3)="000",C762,VLOOKUP(B762,'Справочник ИХ'!A:C,3,0))</f>
        <v>Кокс каменноугольный</v>
      </c>
      <c r="E762" s="13">
        <f>IF(RIGHT(A762,3)="000","х",VLOOKUP(B762,'Справочник ИХ'!A:D,4,0))</f>
        <v>1</v>
      </c>
      <c r="F762" s="14" t="s">
        <v>1696</v>
      </c>
    </row>
    <row r="763" spans="1:6" s="15" customFormat="1" ht="31.75">
      <c r="A763" s="7">
        <v>18000</v>
      </c>
      <c r="B763" s="12" t="str">
        <f t="shared" si="11"/>
        <v>180</v>
      </c>
      <c r="C763" s="11" t="s">
        <v>1715</v>
      </c>
      <c r="D763" s="13" t="str">
        <f>IF(RIGHT(A763,3)="000",C763,VLOOKUP(B763,'Справочник ИХ'!A:C,3,0))</f>
        <v xml:space="preserve">Торф и торфяная продукция </v>
      </c>
      <c r="E763" s="13" t="str">
        <f>IF(RIGHT(A763,3)="000","х",VLOOKUP(B763,'Справочник ИХ'!A:D,4,0))</f>
        <v>х</v>
      </c>
      <c r="F763" s="14" t="s">
        <v>1715</v>
      </c>
    </row>
    <row r="764" spans="1:6" s="18" customFormat="1">
      <c r="A764" s="16">
        <v>18100</v>
      </c>
      <c r="B764" s="12" t="str">
        <f t="shared" si="11"/>
        <v>181</v>
      </c>
      <c r="C764" s="17" t="s">
        <v>1716</v>
      </c>
      <c r="D764" s="13" t="str">
        <f>IF(RIGHT(A764,3)="000",C764,VLOOKUP(B764,'Справочник ИХ'!A:C,3,0))</f>
        <v>Остальные грузы</v>
      </c>
      <c r="E764" s="13">
        <f>IF(RIGHT(A764,3)="000","х",VLOOKUP(B764,'Справочник ИХ'!A:D,4,0))</f>
        <v>1</v>
      </c>
      <c r="F764" s="14" t="s">
        <v>1715</v>
      </c>
    </row>
    <row r="765" spans="1:6">
      <c r="A765" s="19">
        <v>18101</v>
      </c>
      <c r="B765" s="12" t="str">
        <f t="shared" si="11"/>
        <v>181</v>
      </c>
      <c r="C765" s="1" t="s">
        <v>1717</v>
      </c>
      <c r="D765" s="13" t="str">
        <f>IF(RIGHT(A765,3)="000",C765,VLOOKUP(B765,'Справочник ИХ'!A:C,3,0))</f>
        <v>Остальные грузы</v>
      </c>
      <c r="E765" s="13">
        <f>IF(RIGHT(A765,3)="000","х",VLOOKUP(B765,'Справочник ИХ'!A:D,4,0))</f>
        <v>1</v>
      </c>
      <c r="F765" s="14" t="s">
        <v>1715</v>
      </c>
    </row>
    <row r="766" spans="1:6">
      <c r="A766" s="19">
        <v>18102</v>
      </c>
      <c r="B766" s="12" t="str">
        <f t="shared" si="11"/>
        <v>181</v>
      </c>
      <c r="C766" s="1" t="s">
        <v>1718</v>
      </c>
      <c r="D766" s="13" t="str">
        <f>IF(RIGHT(A766,3)="000",C766,VLOOKUP(B766,'Справочник ИХ'!A:C,3,0))</f>
        <v>Остальные грузы</v>
      </c>
      <c r="E766" s="13">
        <f>IF(RIGHT(A766,3)="000","х",VLOOKUP(B766,'Справочник ИХ'!A:D,4,0))</f>
        <v>1</v>
      </c>
      <c r="F766" s="14" t="s">
        <v>1715</v>
      </c>
    </row>
    <row r="767" spans="1:6">
      <c r="A767" s="19">
        <v>18103</v>
      </c>
      <c r="B767" s="12" t="str">
        <f t="shared" si="11"/>
        <v>181</v>
      </c>
      <c r="C767" s="1" t="s">
        <v>1719</v>
      </c>
      <c r="D767" s="13" t="str">
        <f>IF(RIGHT(A767,3)="000",C767,VLOOKUP(B767,'Справочник ИХ'!A:C,3,0))</f>
        <v>Остальные грузы</v>
      </c>
      <c r="E767" s="13">
        <f>IF(RIGHT(A767,3)="000","х",VLOOKUP(B767,'Справочник ИХ'!A:D,4,0))</f>
        <v>1</v>
      </c>
      <c r="F767" s="14" t="s">
        <v>1715</v>
      </c>
    </row>
    <row r="768" spans="1:6">
      <c r="A768" s="19">
        <v>18104</v>
      </c>
      <c r="B768" s="12" t="str">
        <f t="shared" si="11"/>
        <v>181</v>
      </c>
      <c r="C768" s="1" t="s">
        <v>1720</v>
      </c>
      <c r="D768" s="13" t="str">
        <f>IF(RIGHT(A768,3)="000",C768,VLOOKUP(B768,'Справочник ИХ'!A:C,3,0))</f>
        <v>Остальные грузы</v>
      </c>
      <c r="E768" s="13">
        <f>IF(RIGHT(A768,3)="000","х",VLOOKUP(B768,'Справочник ИХ'!A:D,4,0))</f>
        <v>1</v>
      </c>
      <c r="F768" s="14" t="s">
        <v>1715</v>
      </c>
    </row>
    <row r="769" spans="1:6" ht="31.75">
      <c r="A769" s="19">
        <v>18105</v>
      </c>
      <c r="B769" s="12" t="str">
        <f t="shared" si="11"/>
        <v>181</v>
      </c>
      <c r="C769" s="1" t="s">
        <v>1721</v>
      </c>
      <c r="D769" s="13" t="str">
        <f>IF(RIGHT(A769,3)="000",C769,VLOOKUP(B769,'Справочник ИХ'!A:C,3,0))</f>
        <v>Остальные грузы</v>
      </c>
      <c r="E769" s="13">
        <f>IF(RIGHT(A769,3)="000","х",VLOOKUP(B769,'Справочник ИХ'!A:D,4,0))</f>
        <v>1</v>
      </c>
      <c r="F769" s="14" t="s">
        <v>1715</v>
      </c>
    </row>
    <row r="770" spans="1:6">
      <c r="A770" s="19">
        <v>18106</v>
      </c>
      <c r="B770" s="12" t="str">
        <f t="shared" si="11"/>
        <v>181</v>
      </c>
      <c r="C770" s="1" t="s">
        <v>1722</v>
      </c>
      <c r="D770" s="13" t="str">
        <f>IF(RIGHT(A770,3)="000",C770,VLOOKUP(B770,'Справочник ИХ'!A:C,3,0))</f>
        <v>Остальные грузы</v>
      </c>
      <c r="E770" s="13">
        <f>IF(RIGHT(A770,3)="000","х",VLOOKUP(B770,'Справочник ИХ'!A:D,4,0))</f>
        <v>1</v>
      </c>
      <c r="F770" s="14" t="s">
        <v>1715</v>
      </c>
    </row>
    <row r="771" spans="1:6" s="18" customFormat="1">
      <c r="A771" s="16">
        <v>18200</v>
      </c>
      <c r="B771" s="12" t="str">
        <f t="shared" si="11"/>
        <v>182</v>
      </c>
      <c r="C771" s="17" t="s">
        <v>1723</v>
      </c>
      <c r="D771" s="13" t="str">
        <f>IF(RIGHT(A771,3)="000",C771,VLOOKUP(B771,'Справочник ИХ'!A:C,3,0))</f>
        <v>Остальные грузы</v>
      </c>
      <c r="E771" s="13">
        <f>IF(RIGHT(A771,3)="000","х",VLOOKUP(B771,'Справочник ИХ'!A:D,4,0))</f>
        <v>1</v>
      </c>
      <c r="F771" s="14" t="s">
        <v>1715</v>
      </c>
    </row>
    <row r="772" spans="1:6">
      <c r="A772" s="19">
        <v>18201</v>
      </c>
      <c r="B772" s="12" t="str">
        <f t="shared" ref="B772:B835" si="12">LEFT(A772,3)</f>
        <v>182</v>
      </c>
      <c r="C772" s="1" t="s">
        <v>1724</v>
      </c>
      <c r="D772" s="13" t="str">
        <f>IF(RIGHT(A772,3)="000",C772,VLOOKUP(B772,'Справочник ИХ'!A:C,3,0))</f>
        <v>Остальные грузы</v>
      </c>
      <c r="E772" s="13">
        <f>IF(RIGHT(A772,3)="000","х",VLOOKUP(B772,'Справочник ИХ'!A:D,4,0))</f>
        <v>1</v>
      </c>
      <c r="F772" s="14" t="s">
        <v>1715</v>
      </c>
    </row>
    <row r="773" spans="1:6">
      <c r="A773" s="19">
        <v>18202</v>
      </c>
      <c r="B773" s="12" t="str">
        <f t="shared" si="12"/>
        <v>182</v>
      </c>
      <c r="C773" s="1" t="s">
        <v>1725</v>
      </c>
      <c r="D773" s="13" t="str">
        <f>IF(RIGHT(A773,3)="000",C773,VLOOKUP(B773,'Справочник ИХ'!A:C,3,0))</f>
        <v>Остальные грузы</v>
      </c>
      <c r="E773" s="13">
        <f>IF(RIGHT(A773,3)="000","х",VLOOKUP(B773,'Справочник ИХ'!A:D,4,0))</f>
        <v>1</v>
      </c>
      <c r="F773" s="14" t="s">
        <v>1715</v>
      </c>
    </row>
    <row r="774" spans="1:6">
      <c r="A774" s="19">
        <v>18203</v>
      </c>
      <c r="B774" s="12" t="str">
        <f t="shared" si="12"/>
        <v>182</v>
      </c>
      <c r="C774" s="1" t="s">
        <v>1726</v>
      </c>
      <c r="D774" s="13" t="str">
        <f>IF(RIGHT(A774,3)="000",C774,VLOOKUP(B774,'Справочник ИХ'!A:C,3,0))</f>
        <v>Остальные грузы</v>
      </c>
      <c r="E774" s="13">
        <f>IF(RIGHT(A774,3)="000","х",VLOOKUP(B774,'Справочник ИХ'!A:D,4,0))</f>
        <v>1</v>
      </c>
      <c r="F774" s="14" t="s">
        <v>1715</v>
      </c>
    </row>
    <row r="775" spans="1:6">
      <c r="A775" s="19">
        <v>18204</v>
      </c>
      <c r="B775" s="12" t="str">
        <f t="shared" si="12"/>
        <v>182</v>
      </c>
      <c r="C775" s="1" t="s">
        <v>1727</v>
      </c>
      <c r="D775" s="13" t="str">
        <f>IF(RIGHT(A775,3)="000",C775,VLOOKUP(B775,'Справочник ИХ'!A:C,3,0))</f>
        <v>Остальные грузы</v>
      </c>
      <c r="E775" s="13">
        <f>IF(RIGHT(A775,3)="000","х",VLOOKUP(B775,'Справочник ИХ'!A:D,4,0))</f>
        <v>1</v>
      </c>
      <c r="F775" s="14" t="s">
        <v>1715</v>
      </c>
    </row>
    <row r="776" spans="1:6">
      <c r="A776" s="19">
        <v>18205</v>
      </c>
      <c r="B776" s="12" t="str">
        <f t="shared" si="12"/>
        <v>182</v>
      </c>
      <c r="C776" s="1" t="s">
        <v>1728</v>
      </c>
      <c r="D776" s="13" t="str">
        <f>IF(RIGHT(A776,3)="000",C776,VLOOKUP(B776,'Справочник ИХ'!A:C,3,0))</f>
        <v>Остальные грузы</v>
      </c>
      <c r="E776" s="13">
        <f>IF(RIGHT(A776,3)="000","х",VLOOKUP(B776,'Справочник ИХ'!A:D,4,0))</f>
        <v>1</v>
      </c>
      <c r="F776" s="14" t="s">
        <v>1715</v>
      </c>
    </row>
    <row r="777" spans="1:6">
      <c r="A777" s="19">
        <v>18206</v>
      </c>
      <c r="B777" s="12" t="str">
        <f t="shared" si="12"/>
        <v>182</v>
      </c>
      <c r="C777" s="1" t="s">
        <v>1729</v>
      </c>
      <c r="D777" s="13" t="str">
        <f>IF(RIGHT(A777,3)="000",C777,VLOOKUP(B777,'Справочник ИХ'!A:C,3,0))</f>
        <v>Остальные грузы</v>
      </c>
      <c r="E777" s="13">
        <f>IF(RIGHT(A777,3)="000","х",VLOOKUP(B777,'Справочник ИХ'!A:D,4,0))</f>
        <v>1</v>
      </c>
      <c r="F777" s="14" t="s">
        <v>1715</v>
      </c>
    </row>
    <row r="778" spans="1:6">
      <c r="A778" s="19">
        <v>18207</v>
      </c>
      <c r="B778" s="12" t="str">
        <f t="shared" si="12"/>
        <v>182</v>
      </c>
      <c r="C778" s="1" t="s">
        <v>1730</v>
      </c>
      <c r="D778" s="13" t="str">
        <f>IF(RIGHT(A778,3)="000",C778,VLOOKUP(B778,'Справочник ИХ'!A:C,3,0))</f>
        <v>Остальные грузы</v>
      </c>
      <c r="E778" s="13">
        <f>IF(RIGHT(A778,3)="000","х",VLOOKUP(B778,'Справочник ИХ'!A:D,4,0))</f>
        <v>1</v>
      </c>
      <c r="F778" s="14" t="s">
        <v>1715</v>
      </c>
    </row>
    <row r="779" spans="1:6">
      <c r="A779" s="19">
        <v>18208</v>
      </c>
      <c r="B779" s="12" t="str">
        <f t="shared" si="12"/>
        <v>182</v>
      </c>
      <c r="C779" s="1" t="s">
        <v>1731</v>
      </c>
      <c r="D779" s="13" t="str">
        <f>IF(RIGHT(A779,3)="000",C779,VLOOKUP(B779,'Справочник ИХ'!A:C,3,0))</f>
        <v>Остальные грузы</v>
      </c>
      <c r="E779" s="13">
        <f>IF(RIGHT(A779,3)="000","х",VLOOKUP(B779,'Справочник ИХ'!A:D,4,0))</f>
        <v>1</v>
      </c>
      <c r="F779" s="14" t="s">
        <v>1715</v>
      </c>
    </row>
    <row r="780" spans="1:6">
      <c r="A780" s="19">
        <v>18209</v>
      </c>
      <c r="B780" s="12" t="str">
        <f t="shared" si="12"/>
        <v>182</v>
      </c>
      <c r="C780" s="1" t="s">
        <v>1732</v>
      </c>
      <c r="D780" s="13" t="str">
        <f>IF(RIGHT(A780,3)="000",C780,VLOOKUP(B780,'Справочник ИХ'!A:C,3,0))</f>
        <v>Остальные грузы</v>
      </c>
      <c r="E780" s="13">
        <f>IF(RIGHT(A780,3)="000","х",VLOOKUP(B780,'Справочник ИХ'!A:D,4,0))</f>
        <v>1</v>
      </c>
      <c r="F780" s="14" t="s">
        <v>1715</v>
      </c>
    </row>
    <row r="781" spans="1:6">
      <c r="A781" s="19">
        <v>18210</v>
      </c>
      <c r="B781" s="12" t="str">
        <f t="shared" si="12"/>
        <v>182</v>
      </c>
      <c r="C781" s="1" t="s">
        <v>1733</v>
      </c>
      <c r="D781" s="13" t="str">
        <f>IF(RIGHT(A781,3)="000",C781,VLOOKUP(B781,'Справочник ИХ'!A:C,3,0))</f>
        <v>Остальные грузы</v>
      </c>
      <c r="E781" s="13">
        <f>IF(RIGHT(A781,3)="000","х",VLOOKUP(B781,'Справочник ИХ'!A:D,4,0))</f>
        <v>1</v>
      </c>
      <c r="F781" s="14" t="s">
        <v>1715</v>
      </c>
    </row>
    <row r="782" spans="1:6">
      <c r="A782" s="19">
        <v>18211</v>
      </c>
      <c r="B782" s="12" t="str">
        <f t="shared" si="12"/>
        <v>182</v>
      </c>
      <c r="C782" s="1" t="s">
        <v>1734</v>
      </c>
      <c r="D782" s="13" t="str">
        <f>IF(RIGHT(A782,3)="000",C782,VLOOKUP(B782,'Справочник ИХ'!A:C,3,0))</f>
        <v>Остальные грузы</v>
      </c>
      <c r="E782" s="13">
        <f>IF(RIGHT(A782,3)="000","х",VLOOKUP(B782,'Справочник ИХ'!A:D,4,0))</f>
        <v>1</v>
      </c>
      <c r="F782" s="14" t="s">
        <v>1715</v>
      </c>
    </row>
    <row r="783" spans="1:6">
      <c r="A783" s="19">
        <v>18212</v>
      </c>
      <c r="B783" s="12" t="str">
        <f t="shared" si="12"/>
        <v>182</v>
      </c>
      <c r="C783" s="1" t="s">
        <v>1735</v>
      </c>
      <c r="D783" s="13" t="str">
        <f>IF(RIGHT(A783,3)="000",C783,VLOOKUP(B783,'Справочник ИХ'!A:C,3,0))</f>
        <v>Остальные грузы</v>
      </c>
      <c r="E783" s="13">
        <f>IF(RIGHT(A783,3)="000","х",VLOOKUP(B783,'Справочник ИХ'!A:D,4,0))</f>
        <v>1</v>
      </c>
      <c r="F783" s="14" t="s">
        <v>1715</v>
      </c>
    </row>
    <row r="784" spans="1:6" s="15" customFormat="1">
      <c r="A784" s="7">
        <v>19000</v>
      </c>
      <c r="B784" s="12" t="str">
        <f t="shared" si="12"/>
        <v>190</v>
      </c>
      <c r="C784" s="11" t="s">
        <v>1736</v>
      </c>
      <c r="D784" s="13" t="str">
        <f>IF(RIGHT(A784,3)="000",C784,VLOOKUP(B784,'Справочник ИХ'!A:C,3,0))</f>
        <v xml:space="preserve">Сланцы горючие </v>
      </c>
      <c r="E784" s="13" t="str">
        <f>IF(RIGHT(A784,3)="000","х",VLOOKUP(B784,'Справочник ИХ'!A:D,4,0))</f>
        <v>х</v>
      </c>
      <c r="F784" s="14" t="s">
        <v>1736</v>
      </c>
    </row>
    <row r="785" spans="1:6" s="18" customFormat="1">
      <c r="A785" s="16">
        <v>19100</v>
      </c>
      <c r="B785" s="12" t="str">
        <f t="shared" si="12"/>
        <v>191</v>
      </c>
      <c r="C785" s="17" t="s">
        <v>1736</v>
      </c>
      <c r="D785" s="13" t="str">
        <f>IF(RIGHT(A785,3)="000",C785,VLOOKUP(B785,'Справочник ИХ'!A:C,3,0))</f>
        <v>Остальные грузы</v>
      </c>
      <c r="E785" s="13">
        <f>IF(RIGHT(A785,3)="000","х",VLOOKUP(B785,'Справочник ИХ'!A:D,4,0))</f>
        <v>1</v>
      </c>
      <c r="F785" s="14" t="s">
        <v>1736</v>
      </c>
    </row>
    <row r="786" spans="1:6" s="18" customFormat="1">
      <c r="A786" s="19">
        <v>19101</v>
      </c>
      <c r="B786" s="12" t="str">
        <f t="shared" si="12"/>
        <v>191</v>
      </c>
      <c r="C786" s="1" t="s">
        <v>1737</v>
      </c>
      <c r="D786" s="13" t="str">
        <f>IF(RIGHT(A786,3)="000",C786,VLOOKUP(B786,'Справочник ИХ'!A:C,3,0))</f>
        <v>Остальные грузы</v>
      </c>
      <c r="E786" s="13">
        <f>IF(RIGHT(A786,3)="000","х",VLOOKUP(B786,'Справочник ИХ'!A:D,4,0))</f>
        <v>1</v>
      </c>
      <c r="F786" s="14" t="s">
        <v>1736</v>
      </c>
    </row>
    <row r="787" spans="1:6">
      <c r="A787" s="19">
        <v>19102</v>
      </c>
      <c r="B787" s="12" t="str">
        <f t="shared" si="12"/>
        <v>191</v>
      </c>
      <c r="C787" s="1" t="s">
        <v>1738</v>
      </c>
      <c r="D787" s="13" t="str">
        <f>IF(RIGHT(A787,3)="000",C787,VLOOKUP(B787,'Справочник ИХ'!A:C,3,0))</f>
        <v>Остальные грузы</v>
      </c>
      <c r="E787" s="13">
        <f>IF(RIGHT(A787,3)="000","х",VLOOKUP(B787,'Справочник ИХ'!A:D,4,0))</f>
        <v>1</v>
      </c>
      <c r="F787" s="14" t="s">
        <v>1736</v>
      </c>
    </row>
    <row r="788" spans="1:6">
      <c r="A788" s="19">
        <v>19103</v>
      </c>
      <c r="B788" s="12" t="str">
        <f t="shared" si="12"/>
        <v>191</v>
      </c>
      <c r="C788" s="1" t="s">
        <v>1739</v>
      </c>
      <c r="D788" s="13" t="str">
        <f>IF(RIGHT(A788,3)="000",C788,VLOOKUP(B788,'Справочник ИХ'!A:C,3,0))</f>
        <v>Остальные грузы</v>
      </c>
      <c r="E788" s="13">
        <f>IF(RIGHT(A788,3)="000","х",VLOOKUP(B788,'Справочник ИХ'!A:D,4,0))</f>
        <v>1</v>
      </c>
      <c r="F788" s="14" t="s">
        <v>1736</v>
      </c>
    </row>
    <row r="789" spans="1:6">
      <c r="A789" s="19">
        <v>19104</v>
      </c>
      <c r="B789" s="12" t="str">
        <f t="shared" si="12"/>
        <v>191</v>
      </c>
      <c r="C789" s="1" t="s">
        <v>1740</v>
      </c>
      <c r="D789" s="13" t="str">
        <f>IF(RIGHT(A789,3)="000",C789,VLOOKUP(B789,'Справочник ИХ'!A:C,3,0))</f>
        <v>Остальные грузы</v>
      </c>
      <c r="E789" s="13">
        <f>IF(RIGHT(A789,3)="000","х",VLOOKUP(B789,'Справочник ИХ'!A:D,4,0))</f>
        <v>1</v>
      </c>
      <c r="F789" s="14" t="s">
        <v>1736</v>
      </c>
    </row>
    <row r="790" spans="1:6">
      <c r="A790" s="19">
        <v>19105</v>
      </c>
      <c r="B790" s="12" t="str">
        <f t="shared" si="12"/>
        <v>191</v>
      </c>
      <c r="C790" s="1" t="s">
        <v>1741</v>
      </c>
      <c r="D790" s="13" t="str">
        <f>IF(RIGHT(A790,3)="000",C790,VLOOKUP(B790,'Справочник ИХ'!A:C,3,0))</f>
        <v>Остальные грузы</v>
      </c>
      <c r="E790" s="13">
        <f>IF(RIGHT(A790,3)="000","х",VLOOKUP(B790,'Справочник ИХ'!A:D,4,0))</f>
        <v>1</v>
      </c>
      <c r="F790" s="14" t="s">
        <v>1736</v>
      </c>
    </row>
    <row r="791" spans="1:6" ht="31.75">
      <c r="A791" s="23">
        <v>19106</v>
      </c>
      <c r="B791" s="12" t="str">
        <f t="shared" si="12"/>
        <v>191</v>
      </c>
      <c r="C791" s="1" t="s">
        <v>1742</v>
      </c>
      <c r="D791" s="13" t="str">
        <f>IF(RIGHT(A791,3)="000",C791,VLOOKUP(B791,'Справочник ИХ'!A:C,3,0))</f>
        <v>Остальные грузы</v>
      </c>
      <c r="E791" s="13">
        <f>IF(RIGHT(A791,3)="000","х",VLOOKUP(B791,'Справочник ИХ'!A:D,4,0))</f>
        <v>1</v>
      </c>
      <c r="F791" s="14" t="s">
        <v>1736</v>
      </c>
    </row>
    <row r="792" spans="1:6" s="18" customFormat="1">
      <c r="A792" s="16">
        <v>20000</v>
      </c>
      <c r="B792" s="12" t="str">
        <f t="shared" si="12"/>
        <v>200</v>
      </c>
      <c r="C792" s="17" t="s">
        <v>1743</v>
      </c>
      <c r="D792" s="13" t="str">
        <f>IF(RIGHT(A792,3)="000",C792,VLOOKUP(B792,'Справочник ИХ'!A:C,3,0))</f>
        <v xml:space="preserve">Нефть и нефтепродукты </v>
      </c>
      <c r="E792" s="13" t="str">
        <f>IF(RIGHT(A792,3)="000","х",VLOOKUP(B792,'Справочник ИХ'!A:D,4,0))</f>
        <v>х</v>
      </c>
      <c r="F792" s="14" t="s">
        <v>1743</v>
      </c>
    </row>
    <row r="793" spans="1:6">
      <c r="A793" s="19">
        <v>20100</v>
      </c>
      <c r="B793" s="12" t="str">
        <f t="shared" si="12"/>
        <v>201</v>
      </c>
      <c r="C793" s="1" t="s">
        <v>1744</v>
      </c>
      <c r="D793" s="13" t="str">
        <f>IF(RIGHT(A793,3)="000",C793,VLOOKUP(B793,'Справочник ИХ'!A:C,3,0))</f>
        <v>Нефтяные грузы</v>
      </c>
      <c r="E793" s="13">
        <f>IF(RIGHT(A793,3)="000","х",VLOOKUP(B793,'Справочник ИХ'!A:D,4,0))</f>
        <v>2</v>
      </c>
      <c r="F793" s="14" t="s">
        <v>1743</v>
      </c>
    </row>
    <row r="794" spans="1:6" s="15" customFormat="1">
      <c r="A794" s="7">
        <v>21000</v>
      </c>
      <c r="B794" s="12" t="str">
        <f t="shared" si="12"/>
        <v>210</v>
      </c>
      <c r="C794" s="11" t="s">
        <v>1745</v>
      </c>
      <c r="D794" s="13" t="str">
        <f>IF(RIGHT(A794,3)="000",C794,VLOOKUP(B794,'Справочник ИХ'!A:C,3,0))</f>
        <v xml:space="preserve">Нефтепродукты светлые </v>
      </c>
      <c r="E794" s="13" t="str">
        <f>IF(RIGHT(A794,3)="000","х",VLOOKUP(B794,'Справочник ИХ'!A:D,4,0))</f>
        <v>х</v>
      </c>
      <c r="F794" s="14" t="s">
        <v>1745</v>
      </c>
    </row>
    <row r="795" spans="1:6" s="18" customFormat="1">
      <c r="A795" s="16">
        <v>21100</v>
      </c>
      <c r="B795" s="12" t="str">
        <f t="shared" si="12"/>
        <v>211</v>
      </c>
      <c r="C795" s="17" t="s">
        <v>1746</v>
      </c>
      <c r="D795" s="13" t="str">
        <f>IF(RIGHT(A795,3)="000",C795,VLOOKUP(B795,'Справочник ИХ'!A:C,3,0))</f>
        <v>Нефтяные грузы</v>
      </c>
      <c r="E795" s="13">
        <f>IF(RIGHT(A795,3)="000","х",VLOOKUP(B795,'Справочник ИХ'!A:D,4,0))</f>
        <v>2</v>
      </c>
      <c r="F795" s="14" t="s">
        <v>1745</v>
      </c>
    </row>
    <row r="796" spans="1:6">
      <c r="A796" s="24">
        <v>21101</v>
      </c>
      <c r="B796" s="12" t="str">
        <f t="shared" si="12"/>
        <v>211</v>
      </c>
      <c r="C796" s="24" t="s">
        <v>1747</v>
      </c>
      <c r="D796" s="13" t="str">
        <f>IF(RIGHT(A796,3)="000",C796,VLOOKUP(B796,'Справочник ИХ'!A:C,3,0))</f>
        <v>Нефтяные грузы</v>
      </c>
      <c r="E796" s="13">
        <f>IF(RIGHT(A796,3)="000","х",VLOOKUP(B796,'Справочник ИХ'!A:D,4,0))</f>
        <v>2</v>
      </c>
      <c r="F796" s="14" t="s">
        <v>1745</v>
      </c>
    </row>
    <row r="797" spans="1:6" ht="31.75">
      <c r="A797" s="24">
        <v>21102</v>
      </c>
      <c r="B797" s="12" t="str">
        <f t="shared" si="12"/>
        <v>211</v>
      </c>
      <c r="C797" s="24" t="s">
        <v>1748</v>
      </c>
      <c r="D797" s="13" t="str">
        <f>IF(RIGHT(A797,3)="000",C797,VLOOKUP(B797,'Справочник ИХ'!A:C,3,0))</f>
        <v>Нефтяные грузы</v>
      </c>
      <c r="E797" s="13">
        <f>IF(RIGHT(A797,3)="000","х",VLOOKUP(B797,'Справочник ИХ'!A:D,4,0))</f>
        <v>2</v>
      </c>
      <c r="F797" s="14" t="s">
        <v>1745</v>
      </c>
    </row>
    <row r="798" spans="1:6">
      <c r="A798" s="24">
        <v>21103</v>
      </c>
      <c r="B798" s="12" t="str">
        <f t="shared" si="12"/>
        <v>211</v>
      </c>
      <c r="C798" s="24" t="s">
        <v>1749</v>
      </c>
      <c r="D798" s="13" t="str">
        <f>IF(RIGHT(A798,3)="000",C798,VLOOKUP(B798,'Справочник ИХ'!A:C,3,0))</f>
        <v>Нефтяные грузы</v>
      </c>
      <c r="E798" s="13">
        <f>IF(RIGHT(A798,3)="000","х",VLOOKUP(B798,'Справочник ИХ'!A:D,4,0))</f>
        <v>2</v>
      </c>
      <c r="F798" s="14" t="s">
        <v>1745</v>
      </c>
    </row>
    <row r="799" spans="1:6">
      <c r="A799" s="24">
        <v>21104</v>
      </c>
      <c r="B799" s="12" t="str">
        <f t="shared" si="12"/>
        <v>211</v>
      </c>
      <c r="C799" s="24" t="s">
        <v>1750</v>
      </c>
      <c r="D799" s="13" t="str">
        <f>IF(RIGHT(A799,3)="000",C799,VLOOKUP(B799,'Справочник ИХ'!A:C,3,0))</f>
        <v>Нефтяные грузы</v>
      </c>
      <c r="E799" s="13">
        <f>IF(RIGHT(A799,3)="000","х",VLOOKUP(B799,'Справочник ИХ'!A:D,4,0))</f>
        <v>2</v>
      </c>
      <c r="F799" s="14" t="s">
        <v>1745</v>
      </c>
    </row>
    <row r="800" spans="1:6" ht="31.75">
      <c r="A800" s="24">
        <v>21105</v>
      </c>
      <c r="B800" s="12" t="str">
        <f t="shared" si="12"/>
        <v>211</v>
      </c>
      <c r="C800" s="24" t="s">
        <v>1751</v>
      </c>
      <c r="D800" s="13" t="str">
        <f>IF(RIGHT(A800,3)="000",C800,VLOOKUP(B800,'Справочник ИХ'!A:C,3,0))</f>
        <v>Нефтяные грузы</v>
      </c>
      <c r="E800" s="13">
        <f>IF(RIGHT(A800,3)="000","х",VLOOKUP(B800,'Справочник ИХ'!A:D,4,0))</f>
        <v>2</v>
      </c>
      <c r="F800" s="14" t="s">
        <v>1745</v>
      </c>
    </row>
    <row r="801" spans="1:6">
      <c r="A801" s="24">
        <v>21107</v>
      </c>
      <c r="B801" s="12" t="str">
        <f t="shared" si="12"/>
        <v>211</v>
      </c>
      <c r="C801" s="24" t="s">
        <v>1752</v>
      </c>
      <c r="D801" s="13" t="str">
        <f>IF(RIGHT(A801,3)="000",C801,VLOOKUP(B801,'Справочник ИХ'!A:C,3,0))</f>
        <v>Нефтяные грузы</v>
      </c>
      <c r="E801" s="13">
        <f>IF(RIGHT(A801,3)="000","х",VLOOKUP(B801,'Справочник ИХ'!A:D,4,0))</f>
        <v>2</v>
      </c>
      <c r="F801" s="14" t="s">
        <v>1745</v>
      </c>
    </row>
    <row r="802" spans="1:6">
      <c r="A802" s="24">
        <v>21108</v>
      </c>
      <c r="B802" s="12" t="str">
        <f t="shared" si="12"/>
        <v>211</v>
      </c>
      <c r="C802" s="24" t="s">
        <v>1753</v>
      </c>
      <c r="D802" s="13" t="str">
        <f>IF(RIGHT(A802,3)="000",C802,VLOOKUP(B802,'Справочник ИХ'!A:C,3,0))</f>
        <v>Нефтяные грузы</v>
      </c>
      <c r="E802" s="13">
        <f>IF(RIGHT(A802,3)="000","х",VLOOKUP(B802,'Справочник ИХ'!A:D,4,0))</f>
        <v>2</v>
      </c>
      <c r="F802" s="14" t="s">
        <v>1745</v>
      </c>
    </row>
    <row r="803" spans="1:6" ht="31.75">
      <c r="A803" s="24">
        <v>21110</v>
      </c>
      <c r="B803" s="12" t="str">
        <f t="shared" si="12"/>
        <v>211</v>
      </c>
      <c r="C803" s="24" t="s">
        <v>1754</v>
      </c>
      <c r="D803" s="13" t="str">
        <f>IF(RIGHT(A803,3)="000",C803,VLOOKUP(B803,'Справочник ИХ'!A:C,3,0))</f>
        <v>Нефтяные грузы</v>
      </c>
      <c r="E803" s="13">
        <f>IF(RIGHT(A803,3)="000","х",VLOOKUP(B803,'Справочник ИХ'!A:D,4,0))</f>
        <v>2</v>
      </c>
      <c r="F803" s="14" t="s">
        <v>1745</v>
      </c>
    </row>
    <row r="804" spans="1:6">
      <c r="A804" s="24">
        <v>21111</v>
      </c>
      <c r="B804" s="12" t="str">
        <f t="shared" si="12"/>
        <v>211</v>
      </c>
      <c r="C804" s="24" t="s">
        <v>1755</v>
      </c>
      <c r="D804" s="13" t="str">
        <f>IF(RIGHT(A804,3)="000",C804,VLOOKUP(B804,'Справочник ИХ'!A:C,3,0))</f>
        <v>Нефтяные грузы</v>
      </c>
      <c r="E804" s="13">
        <f>IF(RIGHT(A804,3)="000","х",VLOOKUP(B804,'Справочник ИХ'!A:D,4,0))</f>
        <v>2</v>
      </c>
      <c r="F804" s="14" t="s">
        <v>1745</v>
      </c>
    </row>
    <row r="805" spans="1:6">
      <c r="A805" s="24">
        <v>21115</v>
      </c>
      <c r="B805" s="12" t="str">
        <f t="shared" si="12"/>
        <v>211</v>
      </c>
      <c r="C805" s="24" t="s">
        <v>1756</v>
      </c>
      <c r="D805" s="13" t="str">
        <f>IF(RIGHT(A805,3)="000",C805,VLOOKUP(B805,'Справочник ИХ'!A:C,3,0))</f>
        <v>Нефтяные грузы</v>
      </c>
      <c r="E805" s="13">
        <f>IF(RIGHT(A805,3)="000","х",VLOOKUP(B805,'Справочник ИХ'!A:D,4,0))</f>
        <v>2</v>
      </c>
      <c r="F805" s="14" t="s">
        <v>1745</v>
      </c>
    </row>
    <row r="806" spans="1:6">
      <c r="A806" s="25">
        <v>21200</v>
      </c>
      <c r="B806" s="12" t="str">
        <f t="shared" si="12"/>
        <v>212</v>
      </c>
      <c r="C806" s="25" t="s">
        <v>1757</v>
      </c>
      <c r="D806" s="13" t="str">
        <f>IF(RIGHT(A806,3)="000",C806,VLOOKUP(B806,'Справочник ИХ'!A:C,3,0))</f>
        <v>Нефтяные грузы</v>
      </c>
      <c r="E806" s="13">
        <f>IF(RIGHT(A806,3)="000","х",VLOOKUP(B806,'Справочник ИХ'!A:D,4,0))</f>
        <v>2</v>
      </c>
      <c r="F806" s="14" t="s">
        <v>1745</v>
      </c>
    </row>
    <row r="807" spans="1:6">
      <c r="A807" s="24">
        <v>21201</v>
      </c>
      <c r="B807" s="12" t="str">
        <f t="shared" si="12"/>
        <v>212</v>
      </c>
      <c r="C807" s="26" t="s">
        <v>1758</v>
      </c>
      <c r="D807" s="13" t="str">
        <f>IF(RIGHT(A807,3)="000",C807,VLOOKUP(B807,'Справочник ИХ'!A:C,3,0))</f>
        <v>Нефтяные грузы</v>
      </c>
      <c r="E807" s="13">
        <f>IF(RIGHT(A807,3)="000","х",VLOOKUP(B807,'Справочник ИХ'!A:D,4,0))</f>
        <v>2</v>
      </c>
      <c r="F807" s="14" t="s">
        <v>1745</v>
      </c>
    </row>
    <row r="808" spans="1:6">
      <c r="A808" s="24">
        <v>21202</v>
      </c>
      <c r="B808" s="12" t="str">
        <f t="shared" si="12"/>
        <v>212</v>
      </c>
      <c r="C808" s="26" t="s">
        <v>1759</v>
      </c>
      <c r="D808" s="13" t="str">
        <f>IF(RIGHT(A808,3)="000",C808,VLOOKUP(B808,'Справочник ИХ'!A:C,3,0))</f>
        <v>Нефтяные грузы</v>
      </c>
      <c r="E808" s="13">
        <f>IF(RIGHT(A808,3)="000","х",VLOOKUP(B808,'Справочник ИХ'!A:D,4,0))</f>
        <v>2</v>
      </c>
      <c r="F808" s="14" t="s">
        <v>1745</v>
      </c>
    </row>
    <row r="809" spans="1:6">
      <c r="A809" s="24">
        <v>21203</v>
      </c>
      <c r="B809" s="12" t="str">
        <f t="shared" si="12"/>
        <v>212</v>
      </c>
      <c r="C809" s="26" t="s">
        <v>1760</v>
      </c>
      <c r="D809" s="13" t="str">
        <f>IF(RIGHT(A809,3)="000",C809,VLOOKUP(B809,'Справочник ИХ'!A:C,3,0))</f>
        <v>Нефтяные грузы</v>
      </c>
      <c r="E809" s="13">
        <f>IF(RIGHT(A809,3)="000","х",VLOOKUP(B809,'Справочник ИХ'!A:D,4,0))</f>
        <v>2</v>
      </c>
      <c r="F809" s="14" t="s">
        <v>1745</v>
      </c>
    </row>
    <row r="810" spans="1:6">
      <c r="A810" s="24">
        <v>21204</v>
      </c>
      <c r="B810" s="12" t="str">
        <f t="shared" si="12"/>
        <v>212</v>
      </c>
      <c r="C810" s="26" t="s">
        <v>1761</v>
      </c>
      <c r="D810" s="13" t="str">
        <f>IF(RIGHT(A810,3)="000",C810,VLOOKUP(B810,'Справочник ИХ'!A:C,3,0))</f>
        <v>Нефтяные грузы</v>
      </c>
      <c r="E810" s="13">
        <f>IF(RIGHT(A810,3)="000","х",VLOOKUP(B810,'Справочник ИХ'!A:D,4,0))</f>
        <v>2</v>
      </c>
      <c r="F810" s="14" t="s">
        <v>1745</v>
      </c>
    </row>
    <row r="811" spans="1:6">
      <c r="A811" s="24">
        <v>21205</v>
      </c>
      <c r="B811" s="12" t="str">
        <f t="shared" si="12"/>
        <v>212</v>
      </c>
      <c r="C811" s="26" t="s">
        <v>1762</v>
      </c>
      <c r="D811" s="13" t="str">
        <f>IF(RIGHT(A811,3)="000",C811,VLOOKUP(B811,'Справочник ИХ'!A:C,3,0))</f>
        <v>Нефтяные грузы</v>
      </c>
      <c r="E811" s="13">
        <f>IF(RIGHT(A811,3)="000","х",VLOOKUP(B811,'Справочник ИХ'!A:D,4,0))</f>
        <v>2</v>
      </c>
      <c r="F811" s="14" t="s">
        <v>1745</v>
      </c>
    </row>
    <row r="812" spans="1:6">
      <c r="A812" s="24">
        <v>21206</v>
      </c>
      <c r="B812" s="12" t="str">
        <f t="shared" si="12"/>
        <v>212</v>
      </c>
      <c r="C812" s="26" t="s">
        <v>1763</v>
      </c>
      <c r="D812" s="13" t="str">
        <f>IF(RIGHT(A812,3)="000",C812,VLOOKUP(B812,'Справочник ИХ'!A:C,3,0))</f>
        <v>Нефтяные грузы</v>
      </c>
      <c r="E812" s="13">
        <f>IF(RIGHT(A812,3)="000","х",VLOOKUP(B812,'Справочник ИХ'!A:D,4,0))</f>
        <v>2</v>
      </c>
      <c r="F812" s="14" t="s">
        <v>1745</v>
      </c>
    </row>
    <row r="813" spans="1:6">
      <c r="A813" s="24">
        <v>21207</v>
      </c>
      <c r="B813" s="12" t="str">
        <f t="shared" si="12"/>
        <v>212</v>
      </c>
      <c r="C813" s="26" t="s">
        <v>1764</v>
      </c>
      <c r="D813" s="13" t="str">
        <f>IF(RIGHT(A813,3)="000",C813,VLOOKUP(B813,'Справочник ИХ'!A:C,3,0))</f>
        <v>Нефтяные грузы</v>
      </c>
      <c r="E813" s="13">
        <f>IF(RIGHT(A813,3)="000","х",VLOOKUP(B813,'Справочник ИХ'!A:D,4,0))</f>
        <v>2</v>
      </c>
      <c r="F813" s="14" t="s">
        <v>1745</v>
      </c>
    </row>
    <row r="814" spans="1:6">
      <c r="A814" s="24">
        <v>21208</v>
      </c>
      <c r="B814" s="12" t="str">
        <f t="shared" si="12"/>
        <v>212</v>
      </c>
      <c r="C814" s="26" t="s">
        <v>1765</v>
      </c>
      <c r="D814" s="13" t="str">
        <f>IF(RIGHT(A814,3)="000",C814,VLOOKUP(B814,'Справочник ИХ'!A:C,3,0))</f>
        <v>Нефтяные грузы</v>
      </c>
      <c r="E814" s="13">
        <f>IF(RIGHT(A814,3)="000","х",VLOOKUP(B814,'Справочник ИХ'!A:D,4,0))</f>
        <v>2</v>
      </c>
      <c r="F814" s="14" t="s">
        <v>1745</v>
      </c>
    </row>
    <row r="815" spans="1:6" ht="31.75">
      <c r="A815" s="25">
        <v>21300</v>
      </c>
      <c r="B815" s="12" t="str">
        <f t="shared" si="12"/>
        <v>213</v>
      </c>
      <c r="C815" s="27" t="s">
        <v>1766</v>
      </c>
      <c r="D815" s="13" t="str">
        <f>IF(RIGHT(A815,3)="000",C815,VLOOKUP(B815,'Справочник ИХ'!A:C,3,0))</f>
        <v>Нефтяные грузы</v>
      </c>
      <c r="E815" s="13">
        <f>IF(RIGHT(A815,3)="000","х",VLOOKUP(B815,'Справочник ИХ'!A:D,4,0))</f>
        <v>2</v>
      </c>
      <c r="F815" s="14" t="s">
        <v>1745</v>
      </c>
    </row>
    <row r="816" spans="1:6">
      <c r="A816" s="24">
        <v>21301</v>
      </c>
      <c r="B816" s="12" t="str">
        <f t="shared" si="12"/>
        <v>213</v>
      </c>
      <c r="C816" s="26" t="s">
        <v>1767</v>
      </c>
      <c r="D816" s="13" t="str">
        <f>IF(RIGHT(A816,3)="000",C816,VLOOKUP(B816,'Справочник ИХ'!A:C,3,0))</f>
        <v>Нефтяные грузы</v>
      </c>
      <c r="E816" s="13">
        <f>IF(RIGHT(A816,3)="000","х",VLOOKUP(B816,'Справочник ИХ'!A:D,4,0))</f>
        <v>2</v>
      </c>
      <c r="F816" s="14" t="s">
        <v>1745</v>
      </c>
    </row>
    <row r="817" spans="1:6">
      <c r="A817" s="24">
        <v>21302</v>
      </c>
      <c r="B817" s="12" t="str">
        <f t="shared" si="12"/>
        <v>213</v>
      </c>
      <c r="C817" s="26" t="s">
        <v>1768</v>
      </c>
      <c r="D817" s="13" t="str">
        <f>IF(RIGHT(A817,3)="000",C817,VLOOKUP(B817,'Справочник ИХ'!A:C,3,0))</f>
        <v>Нефтяные грузы</v>
      </c>
      <c r="E817" s="13">
        <f>IF(RIGHT(A817,3)="000","х",VLOOKUP(B817,'Справочник ИХ'!A:D,4,0))</f>
        <v>2</v>
      </c>
      <c r="F817" s="14" t="s">
        <v>1745</v>
      </c>
    </row>
    <row r="818" spans="1:6">
      <c r="A818" s="24">
        <v>21303</v>
      </c>
      <c r="B818" s="12" t="str">
        <f t="shared" si="12"/>
        <v>213</v>
      </c>
      <c r="C818" s="26" t="s">
        <v>1769</v>
      </c>
      <c r="D818" s="13" t="str">
        <f>IF(RIGHT(A818,3)="000",C818,VLOOKUP(B818,'Справочник ИХ'!A:C,3,0))</f>
        <v>Нефтяные грузы</v>
      </c>
      <c r="E818" s="13">
        <f>IF(RIGHT(A818,3)="000","х",VLOOKUP(B818,'Справочник ИХ'!A:D,4,0))</f>
        <v>2</v>
      </c>
      <c r="F818" s="14" t="s">
        <v>1745</v>
      </c>
    </row>
    <row r="819" spans="1:6">
      <c r="A819" s="24">
        <v>21304</v>
      </c>
      <c r="B819" s="12" t="str">
        <f t="shared" si="12"/>
        <v>213</v>
      </c>
      <c r="C819" s="26" t="s">
        <v>1770</v>
      </c>
      <c r="D819" s="13" t="str">
        <f>IF(RIGHT(A819,3)="000",C819,VLOOKUP(B819,'Справочник ИХ'!A:C,3,0))</f>
        <v>Нефтяные грузы</v>
      </c>
      <c r="E819" s="13">
        <f>IF(RIGHT(A819,3)="000","х",VLOOKUP(B819,'Справочник ИХ'!A:D,4,0))</f>
        <v>2</v>
      </c>
      <c r="F819" s="14" t="s">
        <v>1745</v>
      </c>
    </row>
    <row r="820" spans="1:6">
      <c r="A820" s="24">
        <v>21305</v>
      </c>
      <c r="B820" s="12" t="str">
        <f t="shared" si="12"/>
        <v>213</v>
      </c>
      <c r="C820" s="26" t="s">
        <v>1771</v>
      </c>
      <c r="D820" s="13" t="str">
        <f>IF(RIGHT(A820,3)="000",C820,VLOOKUP(B820,'Справочник ИХ'!A:C,3,0))</f>
        <v>Нефтяные грузы</v>
      </c>
      <c r="E820" s="13">
        <f>IF(RIGHT(A820,3)="000","х",VLOOKUP(B820,'Справочник ИХ'!A:D,4,0))</f>
        <v>2</v>
      </c>
      <c r="F820" s="14" t="s">
        <v>1745</v>
      </c>
    </row>
    <row r="821" spans="1:6">
      <c r="A821" s="24">
        <v>21306</v>
      </c>
      <c r="B821" s="12" t="str">
        <f t="shared" si="12"/>
        <v>213</v>
      </c>
      <c r="C821" s="26" t="s">
        <v>1772</v>
      </c>
      <c r="D821" s="13" t="str">
        <f>IF(RIGHT(A821,3)="000",C821,VLOOKUP(B821,'Справочник ИХ'!A:C,3,0))</f>
        <v>Нефтяные грузы</v>
      </c>
      <c r="E821" s="13">
        <f>IF(RIGHT(A821,3)="000","х",VLOOKUP(B821,'Справочник ИХ'!A:D,4,0))</f>
        <v>2</v>
      </c>
      <c r="F821" s="14" t="s">
        <v>1745</v>
      </c>
    </row>
    <row r="822" spans="1:6">
      <c r="A822" s="24">
        <v>21307</v>
      </c>
      <c r="B822" s="12" t="str">
        <f t="shared" si="12"/>
        <v>213</v>
      </c>
      <c r="C822" s="26" t="s">
        <v>1773</v>
      </c>
      <c r="D822" s="13" t="str">
        <f>IF(RIGHT(A822,3)="000",C822,VLOOKUP(B822,'Справочник ИХ'!A:C,3,0))</f>
        <v>Нефтяные грузы</v>
      </c>
      <c r="E822" s="13">
        <f>IF(RIGHT(A822,3)="000","х",VLOOKUP(B822,'Справочник ИХ'!A:D,4,0))</f>
        <v>2</v>
      </c>
      <c r="F822" s="14" t="s">
        <v>1745</v>
      </c>
    </row>
    <row r="823" spans="1:6">
      <c r="A823" s="24">
        <v>21308</v>
      </c>
      <c r="B823" s="12" t="str">
        <f t="shared" si="12"/>
        <v>213</v>
      </c>
      <c r="C823" s="26" t="s">
        <v>1774</v>
      </c>
      <c r="D823" s="13" t="str">
        <f>IF(RIGHT(A823,3)="000",C823,VLOOKUP(B823,'Справочник ИХ'!A:C,3,0))</f>
        <v>Нефтяные грузы</v>
      </c>
      <c r="E823" s="13">
        <f>IF(RIGHT(A823,3)="000","х",VLOOKUP(B823,'Справочник ИХ'!A:D,4,0))</f>
        <v>2</v>
      </c>
      <c r="F823" s="14" t="s">
        <v>1745</v>
      </c>
    </row>
    <row r="824" spans="1:6">
      <c r="A824" s="24">
        <v>21309</v>
      </c>
      <c r="B824" s="12" t="str">
        <f t="shared" si="12"/>
        <v>213</v>
      </c>
      <c r="C824" s="26" t="s">
        <v>1775</v>
      </c>
      <c r="D824" s="13" t="str">
        <f>IF(RIGHT(A824,3)="000",C824,VLOOKUP(B824,'Справочник ИХ'!A:C,3,0))</f>
        <v>Нефтяные грузы</v>
      </c>
      <c r="E824" s="13">
        <f>IF(RIGHT(A824,3)="000","х",VLOOKUP(B824,'Справочник ИХ'!A:D,4,0))</f>
        <v>2</v>
      </c>
      <c r="F824" s="14" t="s">
        <v>1745</v>
      </c>
    </row>
    <row r="825" spans="1:6">
      <c r="A825" s="24">
        <v>21310</v>
      </c>
      <c r="B825" s="12" t="str">
        <f t="shared" si="12"/>
        <v>213</v>
      </c>
      <c r="C825" s="26" t="s">
        <v>1776</v>
      </c>
      <c r="D825" s="13" t="str">
        <f>IF(RIGHT(A825,3)="000",C825,VLOOKUP(B825,'Справочник ИХ'!A:C,3,0))</f>
        <v>Нефтяные грузы</v>
      </c>
      <c r="E825" s="13">
        <f>IF(RIGHT(A825,3)="000","х",VLOOKUP(B825,'Справочник ИХ'!A:D,4,0))</f>
        <v>2</v>
      </c>
      <c r="F825" s="14" t="s">
        <v>1745</v>
      </c>
    </row>
    <row r="826" spans="1:6" ht="31.75">
      <c r="A826" s="24">
        <v>21311</v>
      </c>
      <c r="B826" s="12" t="str">
        <f t="shared" si="12"/>
        <v>213</v>
      </c>
      <c r="C826" s="26" t="s">
        <v>1777</v>
      </c>
      <c r="D826" s="13" t="str">
        <f>IF(RIGHT(A826,3)="000",C826,VLOOKUP(B826,'Справочник ИХ'!A:C,3,0))</f>
        <v>Нефтяные грузы</v>
      </c>
      <c r="E826" s="13">
        <f>IF(RIGHT(A826,3)="000","х",VLOOKUP(B826,'Справочник ИХ'!A:D,4,0))</f>
        <v>2</v>
      </c>
      <c r="F826" s="14" t="s">
        <v>1745</v>
      </c>
    </row>
    <row r="827" spans="1:6">
      <c r="A827" s="24">
        <v>21312</v>
      </c>
      <c r="B827" s="12" t="str">
        <f t="shared" si="12"/>
        <v>213</v>
      </c>
      <c r="C827" s="26" t="s">
        <v>1778</v>
      </c>
      <c r="D827" s="13" t="str">
        <f>IF(RIGHT(A827,3)="000",C827,VLOOKUP(B827,'Справочник ИХ'!A:C,3,0))</f>
        <v>Нефтяные грузы</v>
      </c>
      <c r="E827" s="13">
        <f>IF(RIGHT(A827,3)="000","х",VLOOKUP(B827,'Справочник ИХ'!A:D,4,0))</f>
        <v>2</v>
      </c>
      <c r="F827" s="14" t="s">
        <v>1745</v>
      </c>
    </row>
    <row r="828" spans="1:6">
      <c r="A828" s="24">
        <v>21313</v>
      </c>
      <c r="B828" s="12" t="str">
        <f t="shared" si="12"/>
        <v>213</v>
      </c>
      <c r="C828" s="26" t="s">
        <v>1779</v>
      </c>
      <c r="D828" s="13" t="str">
        <f>IF(RIGHT(A828,3)="000",C828,VLOOKUP(B828,'Справочник ИХ'!A:C,3,0))</f>
        <v>Нефтяные грузы</v>
      </c>
      <c r="E828" s="13">
        <f>IF(RIGHT(A828,3)="000","х",VLOOKUP(B828,'Справочник ИХ'!A:D,4,0))</f>
        <v>2</v>
      </c>
      <c r="F828" s="14" t="s">
        <v>1745</v>
      </c>
    </row>
    <row r="829" spans="1:6">
      <c r="A829" s="24">
        <v>21314</v>
      </c>
      <c r="B829" s="12" t="str">
        <f t="shared" si="12"/>
        <v>213</v>
      </c>
      <c r="C829" s="26" t="s">
        <v>1780</v>
      </c>
      <c r="D829" s="13" t="str">
        <f>IF(RIGHT(A829,3)="000",C829,VLOOKUP(B829,'Справочник ИХ'!A:C,3,0))</f>
        <v>Нефтяные грузы</v>
      </c>
      <c r="E829" s="13">
        <f>IF(RIGHT(A829,3)="000","х",VLOOKUP(B829,'Справочник ИХ'!A:D,4,0))</f>
        <v>2</v>
      </c>
      <c r="F829" s="14" t="s">
        <v>1745</v>
      </c>
    </row>
    <row r="830" spans="1:6">
      <c r="A830" s="24">
        <v>21315</v>
      </c>
      <c r="B830" s="12" t="str">
        <f t="shared" si="12"/>
        <v>213</v>
      </c>
      <c r="C830" s="26" t="s">
        <v>1781</v>
      </c>
      <c r="D830" s="13" t="str">
        <f>IF(RIGHT(A830,3)="000",C830,VLOOKUP(B830,'Справочник ИХ'!A:C,3,0))</f>
        <v>Нефтяные грузы</v>
      </c>
      <c r="E830" s="13">
        <f>IF(RIGHT(A830,3)="000","х",VLOOKUP(B830,'Справочник ИХ'!A:D,4,0))</f>
        <v>2</v>
      </c>
      <c r="F830" s="14" t="s">
        <v>1745</v>
      </c>
    </row>
    <row r="831" spans="1:6" ht="31.75">
      <c r="A831" s="24">
        <v>21316</v>
      </c>
      <c r="B831" s="12" t="str">
        <f t="shared" si="12"/>
        <v>213</v>
      </c>
      <c r="C831" s="26" t="s">
        <v>1782</v>
      </c>
      <c r="D831" s="13" t="str">
        <f>IF(RIGHT(A831,3)="000",C831,VLOOKUP(B831,'Справочник ИХ'!A:C,3,0))</f>
        <v>Нефтяные грузы</v>
      </c>
      <c r="E831" s="13">
        <f>IF(RIGHT(A831,3)="000","х",VLOOKUP(B831,'Справочник ИХ'!A:D,4,0))</f>
        <v>2</v>
      </c>
      <c r="F831" s="14" t="s">
        <v>1745</v>
      </c>
    </row>
    <row r="832" spans="1:6" ht="31.75">
      <c r="A832" s="24">
        <v>21318</v>
      </c>
      <c r="B832" s="12" t="str">
        <f t="shared" si="12"/>
        <v>213</v>
      </c>
      <c r="C832" s="26" t="s">
        <v>1783</v>
      </c>
      <c r="D832" s="13" t="str">
        <f>IF(RIGHT(A832,3)="000",C832,VLOOKUP(B832,'Справочник ИХ'!A:C,3,0))</f>
        <v>Нефтяные грузы</v>
      </c>
      <c r="E832" s="13">
        <f>IF(RIGHT(A832,3)="000","х",VLOOKUP(B832,'Справочник ИХ'!A:D,4,0))</f>
        <v>2</v>
      </c>
      <c r="F832" s="14" t="s">
        <v>1745</v>
      </c>
    </row>
    <row r="833" spans="1:6" ht="31.75">
      <c r="A833" s="24">
        <v>21319</v>
      </c>
      <c r="B833" s="12" t="str">
        <f t="shared" si="12"/>
        <v>213</v>
      </c>
      <c r="C833" s="26" t="s">
        <v>1784</v>
      </c>
      <c r="D833" s="13" t="str">
        <f>IF(RIGHT(A833,3)="000",C833,VLOOKUP(B833,'Справочник ИХ'!A:C,3,0))</f>
        <v>Нефтяные грузы</v>
      </c>
      <c r="E833" s="13">
        <f>IF(RIGHT(A833,3)="000","х",VLOOKUP(B833,'Справочник ИХ'!A:D,4,0))</f>
        <v>2</v>
      </c>
      <c r="F833" s="14" t="s">
        <v>1745</v>
      </c>
    </row>
    <row r="834" spans="1:6">
      <c r="A834" s="24">
        <v>21320</v>
      </c>
      <c r="B834" s="12" t="str">
        <f t="shared" si="12"/>
        <v>213</v>
      </c>
      <c r="C834" s="26" t="s">
        <v>1785</v>
      </c>
      <c r="D834" s="13" t="str">
        <f>IF(RIGHT(A834,3)="000",C834,VLOOKUP(B834,'Справочник ИХ'!A:C,3,0))</f>
        <v>Нефтяные грузы</v>
      </c>
      <c r="E834" s="13">
        <f>IF(RIGHT(A834,3)="000","х",VLOOKUP(B834,'Справочник ИХ'!A:D,4,0))</f>
        <v>2</v>
      </c>
      <c r="F834" s="14" t="s">
        <v>1745</v>
      </c>
    </row>
    <row r="835" spans="1:6">
      <c r="A835" s="24">
        <v>21321</v>
      </c>
      <c r="B835" s="12" t="str">
        <f t="shared" si="12"/>
        <v>213</v>
      </c>
      <c r="C835" s="26" t="s">
        <v>1786</v>
      </c>
      <c r="D835" s="13" t="str">
        <f>IF(RIGHT(A835,3)="000",C835,VLOOKUP(B835,'Справочник ИХ'!A:C,3,0))</f>
        <v>Нефтяные грузы</v>
      </c>
      <c r="E835" s="13">
        <f>IF(RIGHT(A835,3)="000","х",VLOOKUP(B835,'Справочник ИХ'!A:D,4,0))</f>
        <v>2</v>
      </c>
      <c r="F835" s="14" t="s">
        <v>1745</v>
      </c>
    </row>
    <row r="836" spans="1:6">
      <c r="A836" s="24">
        <v>21322</v>
      </c>
      <c r="B836" s="12" t="str">
        <f t="shared" ref="B836:B899" si="13">LEFT(A836,3)</f>
        <v>213</v>
      </c>
      <c r="C836" s="26" t="s">
        <v>1787</v>
      </c>
      <c r="D836" s="13" t="str">
        <f>IF(RIGHT(A836,3)="000",C836,VLOOKUP(B836,'Справочник ИХ'!A:C,3,0))</f>
        <v>Нефтяные грузы</v>
      </c>
      <c r="E836" s="13">
        <f>IF(RIGHT(A836,3)="000","х",VLOOKUP(B836,'Справочник ИХ'!A:D,4,0))</f>
        <v>2</v>
      </c>
      <c r="F836" s="14" t="s">
        <v>1745</v>
      </c>
    </row>
    <row r="837" spans="1:6">
      <c r="A837" s="24">
        <v>21323</v>
      </c>
      <c r="B837" s="12" t="str">
        <f t="shared" si="13"/>
        <v>213</v>
      </c>
      <c r="C837" s="26" t="s">
        <v>1788</v>
      </c>
      <c r="D837" s="13" t="str">
        <f>IF(RIGHT(A837,3)="000",C837,VLOOKUP(B837,'Справочник ИХ'!A:C,3,0))</f>
        <v>Нефтяные грузы</v>
      </c>
      <c r="E837" s="13">
        <f>IF(RIGHT(A837,3)="000","х",VLOOKUP(B837,'Справочник ИХ'!A:D,4,0))</f>
        <v>2</v>
      </c>
      <c r="F837" s="14" t="s">
        <v>1745</v>
      </c>
    </row>
    <row r="838" spans="1:6">
      <c r="A838" s="24">
        <v>21324</v>
      </c>
      <c r="B838" s="12" t="str">
        <f t="shared" si="13"/>
        <v>213</v>
      </c>
      <c r="C838" s="26" t="s">
        <v>1789</v>
      </c>
      <c r="D838" s="13" t="str">
        <f>IF(RIGHT(A838,3)="000",C838,VLOOKUP(B838,'Справочник ИХ'!A:C,3,0))</f>
        <v>Нефтяные грузы</v>
      </c>
      <c r="E838" s="13">
        <f>IF(RIGHT(A838,3)="000","х",VLOOKUP(B838,'Справочник ИХ'!A:D,4,0))</f>
        <v>2</v>
      </c>
      <c r="F838" s="14" t="s">
        <v>1745</v>
      </c>
    </row>
    <row r="839" spans="1:6">
      <c r="A839" s="24">
        <v>21325</v>
      </c>
      <c r="B839" s="12" t="str">
        <f t="shared" si="13"/>
        <v>213</v>
      </c>
      <c r="C839" s="26" t="s">
        <v>1790</v>
      </c>
      <c r="D839" s="13" t="str">
        <f>IF(RIGHT(A839,3)="000",C839,VLOOKUP(B839,'Справочник ИХ'!A:C,3,0))</f>
        <v>Нефтяные грузы</v>
      </c>
      <c r="E839" s="13">
        <f>IF(RIGHT(A839,3)="000","х",VLOOKUP(B839,'Справочник ИХ'!A:D,4,0))</f>
        <v>2</v>
      </c>
      <c r="F839" s="14" t="s">
        <v>1745</v>
      </c>
    </row>
    <row r="840" spans="1:6">
      <c r="A840" s="24">
        <v>21326</v>
      </c>
      <c r="B840" s="12" t="str">
        <f t="shared" si="13"/>
        <v>213</v>
      </c>
      <c r="C840" s="26" t="s">
        <v>1791</v>
      </c>
      <c r="D840" s="13" t="str">
        <f>IF(RIGHT(A840,3)="000",C840,VLOOKUP(B840,'Справочник ИХ'!A:C,3,0))</f>
        <v>Нефтяные грузы</v>
      </c>
      <c r="E840" s="13">
        <f>IF(RIGHT(A840,3)="000","х",VLOOKUP(B840,'Справочник ИХ'!A:D,4,0))</f>
        <v>2</v>
      </c>
      <c r="F840" s="14" t="s">
        <v>1745</v>
      </c>
    </row>
    <row r="841" spans="1:6">
      <c r="A841" s="24">
        <v>21327</v>
      </c>
      <c r="B841" s="12" t="str">
        <f t="shared" si="13"/>
        <v>213</v>
      </c>
      <c r="C841" s="26" t="s">
        <v>1792</v>
      </c>
      <c r="D841" s="13" t="str">
        <f>IF(RIGHT(A841,3)="000",C841,VLOOKUP(B841,'Справочник ИХ'!A:C,3,0))</f>
        <v>Нефтяные грузы</v>
      </c>
      <c r="E841" s="13">
        <f>IF(RIGHT(A841,3)="000","х",VLOOKUP(B841,'Справочник ИХ'!A:D,4,0))</f>
        <v>2</v>
      </c>
      <c r="F841" s="14" t="s">
        <v>1745</v>
      </c>
    </row>
    <row r="842" spans="1:6">
      <c r="A842" s="24">
        <v>21328</v>
      </c>
      <c r="B842" s="12" t="str">
        <f t="shared" si="13"/>
        <v>213</v>
      </c>
      <c r="C842" s="26" t="s">
        <v>1793</v>
      </c>
      <c r="D842" s="13" t="str">
        <f>IF(RIGHT(A842,3)="000",C842,VLOOKUP(B842,'Справочник ИХ'!A:C,3,0))</f>
        <v>Нефтяные грузы</v>
      </c>
      <c r="E842" s="13">
        <f>IF(RIGHT(A842,3)="000","х",VLOOKUP(B842,'Справочник ИХ'!A:D,4,0))</f>
        <v>2</v>
      </c>
      <c r="F842" s="14" t="s">
        <v>1745</v>
      </c>
    </row>
    <row r="843" spans="1:6">
      <c r="A843" s="24">
        <v>21329</v>
      </c>
      <c r="B843" s="12" t="str">
        <f t="shared" si="13"/>
        <v>213</v>
      </c>
      <c r="C843" s="26" t="s">
        <v>1794</v>
      </c>
      <c r="D843" s="13" t="str">
        <f>IF(RIGHT(A843,3)="000",C843,VLOOKUP(B843,'Справочник ИХ'!A:C,3,0))</f>
        <v>Нефтяные грузы</v>
      </c>
      <c r="E843" s="13">
        <f>IF(RIGHT(A843,3)="000","х",VLOOKUP(B843,'Справочник ИХ'!A:D,4,0))</f>
        <v>2</v>
      </c>
      <c r="F843" s="14" t="s">
        <v>1745</v>
      </c>
    </row>
    <row r="844" spans="1:6">
      <c r="A844" s="24">
        <v>21330</v>
      </c>
      <c r="B844" s="12" t="str">
        <f t="shared" si="13"/>
        <v>213</v>
      </c>
      <c r="C844" s="26" t="s">
        <v>1795</v>
      </c>
      <c r="D844" s="13" t="str">
        <f>IF(RIGHT(A844,3)="000",C844,VLOOKUP(B844,'Справочник ИХ'!A:C,3,0))</f>
        <v>Нефтяные грузы</v>
      </c>
      <c r="E844" s="13">
        <f>IF(RIGHT(A844,3)="000","х",VLOOKUP(B844,'Справочник ИХ'!A:D,4,0))</f>
        <v>2</v>
      </c>
      <c r="F844" s="14" t="s">
        <v>1745</v>
      </c>
    </row>
    <row r="845" spans="1:6">
      <c r="A845" s="24">
        <v>21331</v>
      </c>
      <c r="B845" s="12" t="str">
        <f t="shared" si="13"/>
        <v>213</v>
      </c>
      <c r="C845" s="26" t="s">
        <v>1796</v>
      </c>
      <c r="D845" s="13" t="str">
        <f>IF(RIGHT(A845,3)="000",C845,VLOOKUP(B845,'Справочник ИХ'!A:C,3,0))</f>
        <v>Нефтяные грузы</v>
      </c>
      <c r="E845" s="13">
        <f>IF(RIGHT(A845,3)="000","х",VLOOKUP(B845,'Справочник ИХ'!A:D,4,0))</f>
        <v>2</v>
      </c>
      <c r="F845" s="14" t="s">
        <v>1745</v>
      </c>
    </row>
    <row r="846" spans="1:6">
      <c r="A846" s="24">
        <v>21332</v>
      </c>
      <c r="B846" s="12" t="str">
        <f t="shared" si="13"/>
        <v>213</v>
      </c>
      <c r="C846" s="26" t="s">
        <v>1797</v>
      </c>
      <c r="D846" s="13" t="str">
        <f>IF(RIGHT(A846,3)="000",C846,VLOOKUP(B846,'Справочник ИХ'!A:C,3,0))</f>
        <v>Нефтяные грузы</v>
      </c>
      <c r="E846" s="13">
        <f>IF(RIGHT(A846,3)="000","х",VLOOKUP(B846,'Справочник ИХ'!A:D,4,0))</f>
        <v>2</v>
      </c>
      <c r="F846" s="14" t="s">
        <v>1745</v>
      </c>
    </row>
    <row r="847" spans="1:6">
      <c r="A847" s="24">
        <v>21333</v>
      </c>
      <c r="B847" s="12" t="str">
        <f t="shared" si="13"/>
        <v>213</v>
      </c>
      <c r="C847" s="26" t="s">
        <v>1798</v>
      </c>
      <c r="D847" s="13" t="str">
        <f>IF(RIGHT(A847,3)="000",C847,VLOOKUP(B847,'Справочник ИХ'!A:C,3,0))</f>
        <v>Нефтяные грузы</v>
      </c>
      <c r="E847" s="13">
        <f>IF(RIGHT(A847,3)="000","х",VLOOKUP(B847,'Справочник ИХ'!A:D,4,0))</f>
        <v>2</v>
      </c>
      <c r="F847" s="14" t="s">
        <v>1745</v>
      </c>
    </row>
    <row r="848" spans="1:6">
      <c r="A848" s="24">
        <v>21335</v>
      </c>
      <c r="B848" s="12" t="str">
        <f t="shared" si="13"/>
        <v>213</v>
      </c>
      <c r="C848" s="26" t="s">
        <v>1799</v>
      </c>
      <c r="D848" s="13" t="str">
        <f>IF(RIGHT(A848,3)="000",C848,VLOOKUP(B848,'Справочник ИХ'!A:C,3,0))</f>
        <v>Нефтяные грузы</v>
      </c>
      <c r="E848" s="13">
        <f>IF(RIGHT(A848,3)="000","х",VLOOKUP(B848,'Справочник ИХ'!A:D,4,0))</f>
        <v>2</v>
      </c>
      <c r="F848" s="14" t="s">
        <v>1745</v>
      </c>
    </row>
    <row r="849" spans="1:6">
      <c r="A849" s="24">
        <v>21336</v>
      </c>
      <c r="B849" s="12" t="str">
        <f t="shared" si="13"/>
        <v>213</v>
      </c>
      <c r="C849" s="26" t="s">
        <v>1800</v>
      </c>
      <c r="D849" s="13" t="str">
        <f>IF(RIGHT(A849,3)="000",C849,VLOOKUP(B849,'Справочник ИХ'!A:C,3,0))</f>
        <v>Нефтяные грузы</v>
      </c>
      <c r="E849" s="13">
        <f>IF(RIGHT(A849,3)="000","х",VLOOKUP(B849,'Справочник ИХ'!A:D,4,0))</f>
        <v>2</v>
      </c>
      <c r="F849" s="14" t="s">
        <v>1745</v>
      </c>
    </row>
    <row r="850" spans="1:6">
      <c r="A850" s="24">
        <v>21337</v>
      </c>
      <c r="B850" s="12" t="str">
        <f t="shared" si="13"/>
        <v>213</v>
      </c>
      <c r="C850" s="26" t="s">
        <v>1801</v>
      </c>
      <c r="D850" s="13" t="str">
        <f>IF(RIGHT(A850,3)="000",C850,VLOOKUP(B850,'Справочник ИХ'!A:C,3,0))</f>
        <v>Нефтяные грузы</v>
      </c>
      <c r="E850" s="13">
        <f>IF(RIGHT(A850,3)="000","х",VLOOKUP(B850,'Справочник ИХ'!A:D,4,0))</f>
        <v>2</v>
      </c>
      <c r="F850" s="14" t="s">
        <v>1745</v>
      </c>
    </row>
    <row r="851" spans="1:6">
      <c r="A851" s="24">
        <v>21338</v>
      </c>
      <c r="B851" s="12" t="str">
        <f t="shared" si="13"/>
        <v>213</v>
      </c>
      <c r="C851" s="26" t="s">
        <v>1802</v>
      </c>
      <c r="D851" s="13" t="str">
        <f>IF(RIGHT(A851,3)="000",C851,VLOOKUP(B851,'Справочник ИХ'!A:C,3,0))</f>
        <v>Нефтяные грузы</v>
      </c>
      <c r="E851" s="13">
        <f>IF(RIGHT(A851,3)="000","х",VLOOKUP(B851,'Справочник ИХ'!A:D,4,0))</f>
        <v>2</v>
      </c>
      <c r="F851" s="14" t="s">
        <v>1745</v>
      </c>
    </row>
    <row r="852" spans="1:6">
      <c r="A852" s="24">
        <v>21339</v>
      </c>
      <c r="B852" s="12" t="str">
        <f t="shared" si="13"/>
        <v>213</v>
      </c>
      <c r="C852" s="26" t="s">
        <v>1803</v>
      </c>
      <c r="D852" s="13" t="str">
        <f>IF(RIGHT(A852,3)="000",C852,VLOOKUP(B852,'Справочник ИХ'!A:C,3,0))</f>
        <v>Нефтяные грузы</v>
      </c>
      <c r="E852" s="13">
        <f>IF(RIGHT(A852,3)="000","х",VLOOKUP(B852,'Справочник ИХ'!A:D,4,0))</f>
        <v>2</v>
      </c>
      <c r="F852" s="14" t="s">
        <v>1745</v>
      </c>
    </row>
    <row r="853" spans="1:6">
      <c r="A853" s="24">
        <v>21341</v>
      </c>
      <c r="B853" s="12" t="str">
        <f t="shared" si="13"/>
        <v>213</v>
      </c>
      <c r="C853" s="26" t="s">
        <v>1804</v>
      </c>
      <c r="D853" s="13" t="str">
        <f>IF(RIGHT(A853,3)="000",C853,VLOOKUP(B853,'Справочник ИХ'!A:C,3,0))</f>
        <v>Нефтяные грузы</v>
      </c>
      <c r="E853" s="13">
        <f>IF(RIGHT(A853,3)="000","х",VLOOKUP(B853,'Справочник ИХ'!A:D,4,0))</f>
        <v>2</v>
      </c>
      <c r="F853" s="14" t="s">
        <v>1745</v>
      </c>
    </row>
    <row r="854" spans="1:6">
      <c r="A854" s="24">
        <v>21342</v>
      </c>
      <c r="B854" s="12" t="str">
        <f t="shared" si="13"/>
        <v>213</v>
      </c>
      <c r="C854" s="26" t="s">
        <v>1805</v>
      </c>
      <c r="D854" s="13" t="str">
        <f>IF(RIGHT(A854,3)="000",C854,VLOOKUP(B854,'Справочник ИХ'!A:C,3,0))</f>
        <v>Нефтяные грузы</v>
      </c>
      <c r="E854" s="13">
        <f>IF(RIGHT(A854,3)="000","х",VLOOKUP(B854,'Справочник ИХ'!A:D,4,0))</f>
        <v>2</v>
      </c>
      <c r="F854" s="14" t="s">
        <v>1745</v>
      </c>
    </row>
    <row r="855" spans="1:6">
      <c r="A855" s="24">
        <v>21343</v>
      </c>
      <c r="B855" s="12" t="str">
        <f t="shared" si="13"/>
        <v>213</v>
      </c>
      <c r="C855" s="26" t="s">
        <v>1806</v>
      </c>
      <c r="D855" s="13" t="str">
        <f>IF(RIGHT(A855,3)="000",C855,VLOOKUP(B855,'Справочник ИХ'!A:C,3,0))</f>
        <v>Нефтяные грузы</v>
      </c>
      <c r="E855" s="13">
        <f>IF(RIGHT(A855,3)="000","х",VLOOKUP(B855,'Справочник ИХ'!A:D,4,0))</f>
        <v>2</v>
      </c>
      <c r="F855" s="14" t="s">
        <v>1745</v>
      </c>
    </row>
    <row r="856" spans="1:6">
      <c r="A856" s="24">
        <v>21344</v>
      </c>
      <c r="B856" s="12" t="str">
        <f t="shared" si="13"/>
        <v>213</v>
      </c>
      <c r="C856" s="26" t="s">
        <v>1807</v>
      </c>
      <c r="D856" s="13" t="str">
        <f>IF(RIGHT(A856,3)="000",C856,VLOOKUP(B856,'Справочник ИХ'!A:C,3,0))</f>
        <v>Нефтяные грузы</v>
      </c>
      <c r="E856" s="13">
        <f>IF(RIGHT(A856,3)="000","х",VLOOKUP(B856,'Справочник ИХ'!A:D,4,0))</f>
        <v>2</v>
      </c>
      <c r="F856" s="14" t="s">
        <v>1745</v>
      </c>
    </row>
    <row r="857" spans="1:6">
      <c r="A857" s="24">
        <v>21345</v>
      </c>
      <c r="B857" s="12" t="str">
        <f t="shared" si="13"/>
        <v>213</v>
      </c>
      <c r="C857" s="26" t="s">
        <v>1808</v>
      </c>
      <c r="D857" s="13" t="str">
        <f>IF(RIGHT(A857,3)="000",C857,VLOOKUP(B857,'Справочник ИХ'!A:C,3,0))</f>
        <v>Нефтяные грузы</v>
      </c>
      <c r="E857" s="13">
        <f>IF(RIGHT(A857,3)="000","х",VLOOKUP(B857,'Справочник ИХ'!A:D,4,0))</f>
        <v>2</v>
      </c>
      <c r="F857" s="14" t="s">
        <v>1745</v>
      </c>
    </row>
    <row r="858" spans="1:6" ht="31.75">
      <c r="A858" s="24">
        <v>21346</v>
      </c>
      <c r="B858" s="12" t="str">
        <f t="shared" si="13"/>
        <v>213</v>
      </c>
      <c r="C858" s="26" t="s">
        <v>1809</v>
      </c>
      <c r="D858" s="13" t="str">
        <f>IF(RIGHT(A858,3)="000",C858,VLOOKUP(B858,'Справочник ИХ'!A:C,3,0))</f>
        <v>Нефтяные грузы</v>
      </c>
      <c r="E858" s="13">
        <f>IF(RIGHT(A858,3)="000","х",VLOOKUP(B858,'Справочник ИХ'!A:D,4,0))</f>
        <v>2</v>
      </c>
      <c r="F858" s="14" t="s">
        <v>1745</v>
      </c>
    </row>
    <row r="859" spans="1:6" ht="31.75">
      <c r="A859" s="24">
        <v>21347</v>
      </c>
      <c r="B859" s="12" t="str">
        <f t="shared" si="13"/>
        <v>213</v>
      </c>
      <c r="C859" s="26" t="s">
        <v>1810</v>
      </c>
      <c r="D859" s="13" t="str">
        <f>IF(RIGHT(A859,3)="000",C859,VLOOKUP(B859,'Справочник ИХ'!A:C,3,0))</f>
        <v>Нефтяные грузы</v>
      </c>
      <c r="E859" s="13">
        <f>IF(RIGHT(A859,3)="000","х",VLOOKUP(B859,'Справочник ИХ'!A:D,4,0))</f>
        <v>2</v>
      </c>
      <c r="F859" s="14" t="s">
        <v>1745</v>
      </c>
    </row>
    <row r="860" spans="1:6">
      <c r="A860" s="24">
        <v>21348</v>
      </c>
      <c r="B860" s="12" t="str">
        <f t="shared" si="13"/>
        <v>213</v>
      </c>
      <c r="C860" s="26" t="s">
        <v>1811</v>
      </c>
      <c r="D860" s="13" t="str">
        <f>IF(RIGHT(A860,3)="000",C860,VLOOKUP(B860,'Справочник ИХ'!A:C,3,0))</f>
        <v>Нефтяные грузы</v>
      </c>
      <c r="E860" s="13">
        <f>IF(RIGHT(A860,3)="000","х",VLOOKUP(B860,'Справочник ИХ'!A:D,4,0))</f>
        <v>2</v>
      </c>
      <c r="F860" s="14" t="s">
        <v>1745</v>
      </c>
    </row>
    <row r="861" spans="1:6">
      <c r="A861" s="24">
        <v>21349</v>
      </c>
      <c r="B861" s="12" t="str">
        <f t="shared" si="13"/>
        <v>213</v>
      </c>
      <c r="C861" s="26" t="s">
        <v>1812</v>
      </c>
      <c r="D861" s="13" t="str">
        <f>IF(RIGHT(A861,3)="000",C861,VLOOKUP(B861,'Справочник ИХ'!A:C,3,0))</f>
        <v>Нефтяные грузы</v>
      </c>
      <c r="E861" s="13">
        <f>IF(RIGHT(A861,3)="000","х",VLOOKUP(B861,'Справочник ИХ'!A:D,4,0))</f>
        <v>2</v>
      </c>
      <c r="F861" s="14" t="s">
        <v>1745</v>
      </c>
    </row>
    <row r="862" spans="1:6">
      <c r="A862" s="24">
        <v>21350</v>
      </c>
      <c r="B862" s="12" t="str">
        <f t="shared" si="13"/>
        <v>213</v>
      </c>
      <c r="C862" s="26" t="s">
        <v>1813</v>
      </c>
      <c r="D862" s="13" t="str">
        <f>IF(RIGHT(A862,3)="000",C862,VLOOKUP(B862,'Справочник ИХ'!A:C,3,0))</f>
        <v>Нефтяные грузы</v>
      </c>
      <c r="E862" s="13">
        <f>IF(RIGHT(A862,3)="000","х",VLOOKUP(B862,'Справочник ИХ'!A:D,4,0))</f>
        <v>2</v>
      </c>
      <c r="F862" s="14" t="s">
        <v>1745</v>
      </c>
    </row>
    <row r="863" spans="1:6">
      <c r="A863" s="24">
        <v>21351</v>
      </c>
      <c r="B863" s="12" t="str">
        <f t="shared" si="13"/>
        <v>213</v>
      </c>
      <c r="C863" s="26" t="s">
        <v>1814</v>
      </c>
      <c r="D863" s="13" t="str">
        <f>IF(RIGHT(A863,3)="000",C863,VLOOKUP(B863,'Справочник ИХ'!A:C,3,0))</f>
        <v>Нефтяные грузы</v>
      </c>
      <c r="E863" s="13">
        <f>IF(RIGHT(A863,3)="000","х",VLOOKUP(B863,'Справочник ИХ'!A:D,4,0))</f>
        <v>2</v>
      </c>
      <c r="F863" s="14" t="s">
        <v>1745</v>
      </c>
    </row>
    <row r="864" spans="1:6">
      <c r="A864" s="25">
        <v>21400</v>
      </c>
      <c r="B864" s="12" t="str">
        <f t="shared" si="13"/>
        <v>214</v>
      </c>
      <c r="C864" s="27" t="s">
        <v>1815</v>
      </c>
      <c r="D864" s="13" t="str">
        <f>IF(RIGHT(A864,3)="000",C864,VLOOKUP(B864,'Справочник ИХ'!A:C,3,0))</f>
        <v>Нефтяные грузы</v>
      </c>
      <c r="E864" s="13">
        <f>IF(RIGHT(A864,3)="000","х",VLOOKUP(B864,'Справочник ИХ'!A:D,4,0))</f>
        <v>2</v>
      </c>
      <c r="F864" s="14" t="s">
        <v>1745</v>
      </c>
    </row>
    <row r="865" spans="1:6">
      <c r="A865" s="24">
        <v>21401</v>
      </c>
      <c r="B865" s="12" t="str">
        <f t="shared" si="13"/>
        <v>214</v>
      </c>
      <c r="C865" s="26" t="s">
        <v>1816</v>
      </c>
      <c r="D865" s="13" t="str">
        <f>IF(RIGHT(A865,3)="000",C865,VLOOKUP(B865,'Справочник ИХ'!A:C,3,0))</f>
        <v>Нефтяные грузы</v>
      </c>
      <c r="E865" s="13">
        <f>IF(RIGHT(A865,3)="000","х",VLOOKUP(B865,'Справочник ИХ'!A:D,4,0))</f>
        <v>2</v>
      </c>
      <c r="F865" s="14" t="s">
        <v>1745</v>
      </c>
    </row>
    <row r="866" spans="1:6" ht="31.75">
      <c r="A866" s="24">
        <v>21403</v>
      </c>
      <c r="B866" s="12" t="str">
        <f t="shared" si="13"/>
        <v>214</v>
      </c>
      <c r="C866" s="26" t="s">
        <v>1817</v>
      </c>
      <c r="D866" s="13" t="str">
        <f>IF(RIGHT(A866,3)="000",C866,VLOOKUP(B866,'Справочник ИХ'!A:C,3,0))</f>
        <v>Нефтяные грузы</v>
      </c>
      <c r="E866" s="13">
        <f>IF(RIGHT(A866,3)="000","х",VLOOKUP(B866,'Справочник ИХ'!A:D,4,0))</f>
        <v>2</v>
      </c>
      <c r="F866" s="14" t="s">
        <v>1745</v>
      </c>
    </row>
    <row r="867" spans="1:6" ht="31.75">
      <c r="A867" s="24">
        <v>21404</v>
      </c>
      <c r="B867" s="12" t="str">
        <f t="shared" si="13"/>
        <v>214</v>
      </c>
      <c r="C867" s="26" t="s">
        <v>1818</v>
      </c>
      <c r="D867" s="13" t="str">
        <f>IF(RIGHT(A867,3)="000",C867,VLOOKUP(B867,'Справочник ИХ'!A:C,3,0))</f>
        <v>Нефтяные грузы</v>
      </c>
      <c r="E867" s="13">
        <f>IF(RIGHT(A867,3)="000","х",VLOOKUP(B867,'Справочник ИХ'!A:D,4,0))</f>
        <v>2</v>
      </c>
      <c r="F867" s="14" t="s">
        <v>1745</v>
      </c>
    </row>
    <row r="868" spans="1:6">
      <c r="A868" s="24">
        <v>21405</v>
      </c>
      <c r="B868" s="12" t="str">
        <f t="shared" si="13"/>
        <v>214</v>
      </c>
      <c r="C868" s="26" t="s">
        <v>1819</v>
      </c>
      <c r="D868" s="13" t="str">
        <f>IF(RIGHT(A868,3)="000",C868,VLOOKUP(B868,'Справочник ИХ'!A:C,3,0))</f>
        <v>Нефтяные грузы</v>
      </c>
      <c r="E868" s="13">
        <f>IF(RIGHT(A868,3)="000","х",VLOOKUP(B868,'Справочник ИХ'!A:D,4,0))</f>
        <v>2</v>
      </c>
      <c r="F868" s="14" t="s">
        <v>1745</v>
      </c>
    </row>
    <row r="869" spans="1:6" ht="31.75">
      <c r="A869" s="24">
        <v>21406</v>
      </c>
      <c r="B869" s="12" t="str">
        <f t="shared" si="13"/>
        <v>214</v>
      </c>
      <c r="C869" s="26" t="s">
        <v>1820</v>
      </c>
      <c r="D869" s="13" t="str">
        <f>IF(RIGHT(A869,3)="000",C869,VLOOKUP(B869,'Справочник ИХ'!A:C,3,0))</f>
        <v>Нефтяные грузы</v>
      </c>
      <c r="E869" s="13">
        <f>IF(RIGHT(A869,3)="000","х",VLOOKUP(B869,'Справочник ИХ'!A:D,4,0))</f>
        <v>2</v>
      </c>
      <c r="F869" s="14" t="s">
        <v>1745</v>
      </c>
    </row>
    <row r="870" spans="1:6">
      <c r="A870" s="24">
        <v>21408</v>
      </c>
      <c r="B870" s="12" t="str">
        <f t="shared" si="13"/>
        <v>214</v>
      </c>
      <c r="C870" s="26" t="s">
        <v>1821</v>
      </c>
      <c r="D870" s="13" t="str">
        <f>IF(RIGHT(A870,3)="000",C870,VLOOKUP(B870,'Справочник ИХ'!A:C,3,0))</f>
        <v>Нефтяные грузы</v>
      </c>
      <c r="E870" s="13">
        <f>IF(RIGHT(A870,3)="000","х",VLOOKUP(B870,'Справочник ИХ'!A:D,4,0))</f>
        <v>2</v>
      </c>
      <c r="F870" s="14" t="s">
        <v>1745</v>
      </c>
    </row>
    <row r="871" spans="1:6">
      <c r="A871" s="24">
        <v>21409</v>
      </c>
      <c r="B871" s="12" t="str">
        <f t="shared" si="13"/>
        <v>214</v>
      </c>
      <c r="C871" s="26" t="s">
        <v>1822</v>
      </c>
      <c r="D871" s="13" t="str">
        <f>IF(RIGHT(A871,3)="000",C871,VLOOKUP(B871,'Справочник ИХ'!A:C,3,0))</f>
        <v>Нефтяные грузы</v>
      </c>
      <c r="E871" s="13">
        <f>IF(RIGHT(A871,3)="000","х",VLOOKUP(B871,'Справочник ИХ'!A:D,4,0))</f>
        <v>2</v>
      </c>
      <c r="F871" s="14" t="s">
        <v>1745</v>
      </c>
    </row>
    <row r="872" spans="1:6">
      <c r="A872" s="25">
        <v>21500</v>
      </c>
      <c r="B872" s="12" t="str">
        <f t="shared" si="13"/>
        <v>215</v>
      </c>
      <c r="C872" s="27" t="s">
        <v>1823</v>
      </c>
      <c r="D872" s="13" t="str">
        <f>IF(RIGHT(A872,3)="000",C872,VLOOKUP(B872,'Справочник ИХ'!A:C,3,0))</f>
        <v>Нефтяные грузы</v>
      </c>
      <c r="E872" s="13">
        <f>IF(RIGHT(A872,3)="000","х",VLOOKUP(B872,'Справочник ИХ'!A:D,4,0))</f>
        <v>2</v>
      </c>
      <c r="F872" s="14" t="s">
        <v>1745</v>
      </c>
    </row>
    <row r="873" spans="1:6">
      <c r="A873" s="24">
        <v>21501</v>
      </c>
      <c r="B873" s="12" t="str">
        <f t="shared" si="13"/>
        <v>215</v>
      </c>
      <c r="C873" s="26" t="s">
        <v>1824</v>
      </c>
      <c r="D873" s="13" t="str">
        <f>IF(RIGHT(A873,3)="000",C873,VLOOKUP(B873,'Справочник ИХ'!A:C,3,0))</f>
        <v>Нефтяные грузы</v>
      </c>
      <c r="E873" s="13">
        <f>IF(RIGHT(A873,3)="000","х",VLOOKUP(B873,'Справочник ИХ'!A:D,4,0))</f>
        <v>2</v>
      </c>
      <c r="F873" s="14" t="s">
        <v>1745</v>
      </c>
    </row>
    <row r="874" spans="1:6">
      <c r="A874" s="24">
        <v>21502</v>
      </c>
      <c r="B874" s="12" t="str">
        <f t="shared" si="13"/>
        <v>215</v>
      </c>
      <c r="C874" s="26" t="s">
        <v>1825</v>
      </c>
      <c r="D874" s="13" t="str">
        <f>IF(RIGHT(A874,3)="000",C874,VLOOKUP(B874,'Справочник ИХ'!A:C,3,0))</f>
        <v>Нефтяные грузы</v>
      </c>
      <c r="E874" s="13">
        <f>IF(RIGHT(A874,3)="000","х",VLOOKUP(B874,'Справочник ИХ'!A:D,4,0))</f>
        <v>2</v>
      </c>
      <c r="F874" s="14" t="s">
        <v>1745</v>
      </c>
    </row>
    <row r="875" spans="1:6">
      <c r="A875" s="24">
        <v>21503</v>
      </c>
      <c r="B875" s="12" t="str">
        <f t="shared" si="13"/>
        <v>215</v>
      </c>
      <c r="C875" s="26" t="s">
        <v>1826</v>
      </c>
      <c r="D875" s="13" t="str">
        <f>IF(RIGHT(A875,3)="000",C875,VLOOKUP(B875,'Справочник ИХ'!A:C,3,0))</f>
        <v>Нефтяные грузы</v>
      </c>
      <c r="E875" s="13">
        <f>IF(RIGHT(A875,3)="000","х",VLOOKUP(B875,'Справочник ИХ'!A:D,4,0))</f>
        <v>2</v>
      </c>
      <c r="F875" s="14" t="s">
        <v>1745</v>
      </c>
    </row>
    <row r="876" spans="1:6">
      <c r="A876" s="24">
        <v>21504</v>
      </c>
      <c r="B876" s="12" t="str">
        <f t="shared" si="13"/>
        <v>215</v>
      </c>
      <c r="C876" s="26" t="s">
        <v>1827</v>
      </c>
      <c r="D876" s="13" t="str">
        <f>IF(RIGHT(A876,3)="000",C876,VLOOKUP(B876,'Справочник ИХ'!A:C,3,0))</f>
        <v>Нефтяные грузы</v>
      </c>
      <c r="E876" s="13">
        <f>IF(RIGHT(A876,3)="000","х",VLOOKUP(B876,'Справочник ИХ'!A:D,4,0))</f>
        <v>2</v>
      </c>
      <c r="F876" s="14" t="s">
        <v>1745</v>
      </c>
    </row>
    <row r="877" spans="1:6" ht="31.75">
      <c r="A877" s="24">
        <v>21505</v>
      </c>
      <c r="B877" s="12" t="str">
        <f t="shared" si="13"/>
        <v>215</v>
      </c>
      <c r="C877" s="26" t="s">
        <v>1828</v>
      </c>
      <c r="D877" s="13" t="str">
        <f>IF(RIGHT(A877,3)="000",C877,VLOOKUP(B877,'Справочник ИХ'!A:C,3,0))</f>
        <v>Нефтяные грузы</v>
      </c>
      <c r="E877" s="13">
        <f>IF(RIGHT(A877,3)="000","х",VLOOKUP(B877,'Справочник ИХ'!A:D,4,0))</f>
        <v>2</v>
      </c>
      <c r="F877" s="14" t="s">
        <v>1745</v>
      </c>
    </row>
    <row r="878" spans="1:6">
      <c r="A878" s="24">
        <v>21506</v>
      </c>
      <c r="B878" s="12" t="str">
        <f t="shared" si="13"/>
        <v>215</v>
      </c>
      <c r="C878" s="26" t="s">
        <v>1829</v>
      </c>
      <c r="D878" s="13" t="str">
        <f>IF(RIGHT(A878,3)="000",C878,VLOOKUP(B878,'Справочник ИХ'!A:C,3,0))</f>
        <v>Нефтяные грузы</v>
      </c>
      <c r="E878" s="13">
        <f>IF(RIGHT(A878,3)="000","х",VLOOKUP(B878,'Справочник ИХ'!A:D,4,0))</f>
        <v>2</v>
      </c>
      <c r="F878" s="14" t="s">
        <v>1745</v>
      </c>
    </row>
    <row r="879" spans="1:6">
      <c r="A879" s="24">
        <v>21507</v>
      </c>
      <c r="B879" s="12" t="str">
        <f t="shared" si="13"/>
        <v>215</v>
      </c>
      <c r="C879" s="26" t="s">
        <v>1830</v>
      </c>
      <c r="D879" s="13" t="str">
        <f>IF(RIGHT(A879,3)="000",C879,VLOOKUP(B879,'Справочник ИХ'!A:C,3,0))</f>
        <v>Нефтяные грузы</v>
      </c>
      <c r="E879" s="13">
        <f>IF(RIGHT(A879,3)="000","х",VLOOKUP(B879,'Справочник ИХ'!A:D,4,0))</f>
        <v>2</v>
      </c>
      <c r="F879" s="14" t="s">
        <v>1745</v>
      </c>
    </row>
    <row r="880" spans="1:6">
      <c r="A880" s="24">
        <v>21508</v>
      </c>
      <c r="B880" s="12" t="str">
        <f t="shared" si="13"/>
        <v>215</v>
      </c>
      <c r="C880" s="26" t="s">
        <v>1831</v>
      </c>
      <c r="D880" s="13" t="str">
        <f>IF(RIGHT(A880,3)="000",C880,VLOOKUP(B880,'Справочник ИХ'!A:C,3,0))</f>
        <v>Нефтяные грузы</v>
      </c>
      <c r="E880" s="13">
        <f>IF(RIGHT(A880,3)="000","х",VLOOKUP(B880,'Справочник ИХ'!A:D,4,0))</f>
        <v>2</v>
      </c>
      <c r="F880" s="14" t="s">
        <v>1745</v>
      </c>
    </row>
    <row r="881" spans="1:6">
      <c r="A881" s="24">
        <v>21509</v>
      </c>
      <c r="B881" s="12" t="str">
        <f t="shared" si="13"/>
        <v>215</v>
      </c>
      <c r="C881" s="26" t="s">
        <v>1832</v>
      </c>
      <c r="D881" s="13" t="str">
        <f>IF(RIGHT(A881,3)="000",C881,VLOOKUP(B881,'Справочник ИХ'!A:C,3,0))</f>
        <v>Нефтяные грузы</v>
      </c>
      <c r="E881" s="13">
        <f>IF(RIGHT(A881,3)="000","х",VLOOKUP(B881,'Справочник ИХ'!A:D,4,0))</f>
        <v>2</v>
      </c>
      <c r="F881" s="14" t="s">
        <v>1745</v>
      </c>
    </row>
    <row r="882" spans="1:6">
      <c r="A882" s="24">
        <v>21510</v>
      </c>
      <c r="B882" s="12" t="str">
        <f t="shared" si="13"/>
        <v>215</v>
      </c>
      <c r="C882" s="26" t="s">
        <v>1833</v>
      </c>
      <c r="D882" s="13" t="str">
        <f>IF(RIGHT(A882,3)="000",C882,VLOOKUP(B882,'Справочник ИХ'!A:C,3,0))</f>
        <v>Нефтяные грузы</v>
      </c>
      <c r="E882" s="13">
        <f>IF(RIGHT(A882,3)="000","х",VLOOKUP(B882,'Справочник ИХ'!A:D,4,0))</f>
        <v>2</v>
      </c>
      <c r="F882" s="14" t="s">
        <v>1745</v>
      </c>
    </row>
    <row r="883" spans="1:6">
      <c r="A883" s="24">
        <v>21511</v>
      </c>
      <c r="B883" s="12" t="str">
        <f t="shared" si="13"/>
        <v>215</v>
      </c>
      <c r="C883" s="26" t="s">
        <v>1834</v>
      </c>
      <c r="D883" s="13" t="str">
        <f>IF(RIGHT(A883,3)="000",C883,VLOOKUP(B883,'Справочник ИХ'!A:C,3,0))</f>
        <v>Нефтяные грузы</v>
      </c>
      <c r="E883" s="13">
        <f>IF(RIGHT(A883,3)="000","х",VLOOKUP(B883,'Справочник ИХ'!A:D,4,0))</f>
        <v>2</v>
      </c>
      <c r="F883" s="14" t="s">
        <v>1745</v>
      </c>
    </row>
    <row r="884" spans="1:6">
      <c r="A884" s="24">
        <v>21515</v>
      </c>
      <c r="B884" s="12" t="str">
        <f t="shared" si="13"/>
        <v>215</v>
      </c>
      <c r="C884" s="26" t="s">
        <v>1835</v>
      </c>
      <c r="D884" s="13" t="str">
        <f>IF(RIGHT(A884,3)="000",C884,VLOOKUP(B884,'Справочник ИХ'!A:C,3,0))</f>
        <v>Нефтяные грузы</v>
      </c>
      <c r="E884" s="13">
        <f>IF(RIGHT(A884,3)="000","х",VLOOKUP(B884,'Справочник ИХ'!A:D,4,0))</f>
        <v>2</v>
      </c>
      <c r="F884" s="14" t="s">
        <v>1745</v>
      </c>
    </row>
    <row r="885" spans="1:6">
      <c r="A885" s="24">
        <v>21516</v>
      </c>
      <c r="B885" s="12" t="str">
        <f t="shared" si="13"/>
        <v>215</v>
      </c>
      <c r="C885" s="26" t="s">
        <v>1836</v>
      </c>
      <c r="D885" s="13" t="str">
        <f>IF(RIGHT(A885,3)="000",C885,VLOOKUP(B885,'Справочник ИХ'!A:C,3,0))</f>
        <v>Нефтяные грузы</v>
      </c>
      <c r="E885" s="13">
        <f>IF(RIGHT(A885,3)="000","х",VLOOKUP(B885,'Справочник ИХ'!A:D,4,0))</f>
        <v>2</v>
      </c>
      <c r="F885" s="14" t="s">
        <v>1745</v>
      </c>
    </row>
    <row r="886" spans="1:6">
      <c r="A886" s="24">
        <v>21517</v>
      </c>
      <c r="B886" s="12" t="str">
        <f t="shared" si="13"/>
        <v>215</v>
      </c>
      <c r="C886" s="26" t="s">
        <v>1837</v>
      </c>
      <c r="D886" s="13" t="str">
        <f>IF(RIGHT(A886,3)="000",C886,VLOOKUP(B886,'Справочник ИХ'!A:C,3,0))</f>
        <v>Нефтяные грузы</v>
      </c>
      <c r="E886" s="13">
        <f>IF(RIGHT(A886,3)="000","х",VLOOKUP(B886,'Справочник ИХ'!A:D,4,0))</f>
        <v>2</v>
      </c>
      <c r="F886" s="14" t="s">
        <v>1745</v>
      </c>
    </row>
    <row r="887" spans="1:6">
      <c r="A887" s="24">
        <v>21518</v>
      </c>
      <c r="B887" s="12" t="str">
        <f t="shared" si="13"/>
        <v>215</v>
      </c>
      <c r="C887" s="26" t="s">
        <v>1838</v>
      </c>
      <c r="D887" s="13" t="str">
        <f>IF(RIGHT(A887,3)="000",C887,VLOOKUP(B887,'Справочник ИХ'!A:C,3,0))</f>
        <v>Нефтяные грузы</v>
      </c>
      <c r="E887" s="13">
        <f>IF(RIGHT(A887,3)="000","х",VLOOKUP(B887,'Справочник ИХ'!A:D,4,0))</f>
        <v>2</v>
      </c>
      <c r="F887" s="14" t="s">
        <v>1745</v>
      </c>
    </row>
    <row r="888" spans="1:6">
      <c r="A888" s="24">
        <v>21519</v>
      </c>
      <c r="B888" s="12" t="str">
        <f t="shared" si="13"/>
        <v>215</v>
      </c>
      <c r="C888" s="26" t="s">
        <v>1839</v>
      </c>
      <c r="D888" s="13" t="str">
        <f>IF(RIGHT(A888,3)="000",C888,VLOOKUP(B888,'Справочник ИХ'!A:C,3,0))</f>
        <v>Нефтяные грузы</v>
      </c>
      <c r="E888" s="13">
        <f>IF(RIGHT(A888,3)="000","х",VLOOKUP(B888,'Справочник ИХ'!A:D,4,0))</f>
        <v>2</v>
      </c>
      <c r="F888" s="14" t="s">
        <v>1745</v>
      </c>
    </row>
    <row r="889" spans="1:6">
      <c r="A889" s="24">
        <v>21520</v>
      </c>
      <c r="B889" s="12" t="str">
        <f t="shared" si="13"/>
        <v>215</v>
      </c>
      <c r="C889" s="26" t="s">
        <v>1840</v>
      </c>
      <c r="D889" s="13" t="str">
        <f>IF(RIGHT(A889,3)="000",C889,VLOOKUP(B889,'Справочник ИХ'!A:C,3,0))</f>
        <v>Нефтяные грузы</v>
      </c>
      <c r="E889" s="13">
        <f>IF(RIGHT(A889,3)="000","х",VLOOKUP(B889,'Справочник ИХ'!A:D,4,0))</f>
        <v>2</v>
      </c>
      <c r="F889" s="14" t="s">
        <v>1745</v>
      </c>
    </row>
    <row r="890" spans="1:6" s="30" customFormat="1" ht="31.75">
      <c r="A890" s="28">
        <v>22000</v>
      </c>
      <c r="B890" s="12" t="str">
        <f t="shared" si="13"/>
        <v>220</v>
      </c>
      <c r="C890" s="29" t="s">
        <v>1841</v>
      </c>
      <c r="D890" s="13" t="str">
        <f>IF(RIGHT(A890,3)="000",C890,VLOOKUP(B890,'Справочник ИХ'!A:C,3,0))</f>
        <v>Нефтепродукты темные, газы энергетические</v>
      </c>
      <c r="E890" s="13" t="str">
        <f>IF(RIGHT(A890,3)="000","х",VLOOKUP(B890,'Справочник ИХ'!A:D,4,0))</f>
        <v>х</v>
      </c>
      <c r="F890" s="14" t="s">
        <v>1841</v>
      </c>
    </row>
    <row r="891" spans="1:6" s="31" customFormat="1" ht="31.75">
      <c r="A891" s="25">
        <v>22100</v>
      </c>
      <c r="B891" s="12" t="str">
        <f t="shared" si="13"/>
        <v>221</v>
      </c>
      <c r="C891" s="27" t="s">
        <v>1842</v>
      </c>
      <c r="D891" s="13" t="str">
        <f>IF(RIGHT(A891,3)="000",C891,VLOOKUP(B891,'Справочник ИХ'!A:C,3,0))</f>
        <v>Нефтяные грузы</v>
      </c>
      <c r="E891" s="13">
        <f>IF(RIGHT(A891,3)="000","х",VLOOKUP(B891,'Справочник ИХ'!A:D,4,0))</f>
        <v>2</v>
      </c>
      <c r="F891" s="14" t="s">
        <v>1841</v>
      </c>
    </row>
    <row r="892" spans="1:6" ht="31.75">
      <c r="A892" s="24">
        <v>22101</v>
      </c>
      <c r="B892" s="12" t="str">
        <f t="shared" si="13"/>
        <v>221</v>
      </c>
      <c r="C892" s="26" t="s">
        <v>1843</v>
      </c>
      <c r="D892" s="13" t="str">
        <f>IF(RIGHT(A892,3)="000",C892,VLOOKUP(B892,'Справочник ИХ'!A:C,3,0))</f>
        <v>Нефтяные грузы</v>
      </c>
      <c r="E892" s="13">
        <f>IF(RIGHT(A892,3)="000","х",VLOOKUP(B892,'Справочник ИХ'!A:D,4,0))</f>
        <v>2</v>
      </c>
      <c r="F892" s="14" t="s">
        <v>1841</v>
      </c>
    </row>
    <row r="893" spans="1:6" ht="31.75">
      <c r="A893" s="24">
        <v>22102</v>
      </c>
      <c r="B893" s="12" t="str">
        <f t="shared" si="13"/>
        <v>221</v>
      </c>
      <c r="C893" s="26" t="s">
        <v>1844</v>
      </c>
      <c r="D893" s="13" t="str">
        <f>IF(RIGHT(A893,3)="000",C893,VLOOKUP(B893,'Справочник ИХ'!A:C,3,0))</f>
        <v>Нефтяные грузы</v>
      </c>
      <c r="E893" s="13">
        <f>IF(RIGHT(A893,3)="000","х",VLOOKUP(B893,'Справочник ИХ'!A:D,4,0))</f>
        <v>2</v>
      </c>
      <c r="F893" s="14" t="s">
        <v>1841</v>
      </c>
    </row>
    <row r="894" spans="1:6" ht="31.75">
      <c r="A894" s="24">
        <v>22103</v>
      </c>
      <c r="B894" s="12" t="str">
        <f t="shared" si="13"/>
        <v>221</v>
      </c>
      <c r="C894" s="26" t="s">
        <v>1845</v>
      </c>
      <c r="D894" s="13" t="str">
        <f>IF(RIGHT(A894,3)="000",C894,VLOOKUP(B894,'Справочник ИХ'!A:C,3,0))</f>
        <v>Нефтяные грузы</v>
      </c>
      <c r="E894" s="13">
        <f>IF(RIGHT(A894,3)="000","х",VLOOKUP(B894,'Справочник ИХ'!A:D,4,0))</f>
        <v>2</v>
      </c>
      <c r="F894" s="14" t="s">
        <v>1841</v>
      </c>
    </row>
    <row r="895" spans="1:6" ht="31.75">
      <c r="A895" s="24">
        <v>22104</v>
      </c>
      <c r="B895" s="12" t="str">
        <f t="shared" si="13"/>
        <v>221</v>
      </c>
      <c r="C895" s="26" t="s">
        <v>1846</v>
      </c>
      <c r="D895" s="13" t="str">
        <f>IF(RIGHT(A895,3)="000",C895,VLOOKUP(B895,'Справочник ИХ'!A:C,3,0))</f>
        <v>Нефтяные грузы</v>
      </c>
      <c r="E895" s="13">
        <f>IF(RIGHT(A895,3)="000","х",VLOOKUP(B895,'Справочник ИХ'!A:D,4,0))</f>
        <v>2</v>
      </c>
      <c r="F895" s="14" t="s">
        <v>1841</v>
      </c>
    </row>
    <row r="896" spans="1:6" ht="31.75">
      <c r="A896" s="24">
        <v>22105</v>
      </c>
      <c r="B896" s="12" t="str">
        <f t="shared" si="13"/>
        <v>221</v>
      </c>
      <c r="C896" s="26" t="s">
        <v>1847</v>
      </c>
      <c r="D896" s="13" t="str">
        <f>IF(RIGHT(A896,3)="000",C896,VLOOKUP(B896,'Справочник ИХ'!A:C,3,0))</f>
        <v>Нефтяные грузы</v>
      </c>
      <c r="E896" s="13">
        <f>IF(RIGHT(A896,3)="000","х",VLOOKUP(B896,'Справочник ИХ'!A:D,4,0))</f>
        <v>2</v>
      </c>
      <c r="F896" s="14" t="s">
        <v>1841</v>
      </c>
    </row>
    <row r="897" spans="1:6" ht="31.75">
      <c r="A897" s="24">
        <v>22106</v>
      </c>
      <c r="B897" s="12" t="str">
        <f t="shared" si="13"/>
        <v>221</v>
      </c>
      <c r="C897" s="26" t="s">
        <v>1848</v>
      </c>
      <c r="D897" s="13" t="str">
        <f>IF(RIGHT(A897,3)="000",C897,VLOOKUP(B897,'Справочник ИХ'!A:C,3,0))</f>
        <v>Нефтяные грузы</v>
      </c>
      <c r="E897" s="13">
        <f>IF(RIGHT(A897,3)="000","х",VLOOKUP(B897,'Справочник ИХ'!A:D,4,0))</f>
        <v>2</v>
      </c>
      <c r="F897" s="14" t="s">
        <v>1841</v>
      </c>
    </row>
    <row r="898" spans="1:6" ht="31.75">
      <c r="A898" s="24">
        <v>22107</v>
      </c>
      <c r="B898" s="12" t="str">
        <f t="shared" si="13"/>
        <v>221</v>
      </c>
      <c r="C898" s="26" t="s">
        <v>1849</v>
      </c>
      <c r="D898" s="13" t="str">
        <f>IF(RIGHT(A898,3)="000",C898,VLOOKUP(B898,'Справочник ИХ'!A:C,3,0))</f>
        <v>Нефтяные грузы</v>
      </c>
      <c r="E898" s="13">
        <f>IF(RIGHT(A898,3)="000","х",VLOOKUP(B898,'Справочник ИХ'!A:D,4,0))</f>
        <v>2</v>
      </c>
      <c r="F898" s="14" t="s">
        <v>1841</v>
      </c>
    </row>
    <row r="899" spans="1:6" ht="31.75">
      <c r="A899" s="24">
        <v>22108</v>
      </c>
      <c r="B899" s="12" t="str">
        <f t="shared" si="13"/>
        <v>221</v>
      </c>
      <c r="C899" s="26" t="s">
        <v>1850</v>
      </c>
      <c r="D899" s="13" t="str">
        <f>IF(RIGHT(A899,3)="000",C899,VLOOKUP(B899,'Справочник ИХ'!A:C,3,0))</f>
        <v>Нефтяные грузы</v>
      </c>
      <c r="E899" s="13">
        <f>IF(RIGHT(A899,3)="000","х",VLOOKUP(B899,'Справочник ИХ'!A:D,4,0))</f>
        <v>2</v>
      </c>
      <c r="F899" s="14" t="s">
        <v>1841</v>
      </c>
    </row>
    <row r="900" spans="1:6" ht="31.75">
      <c r="A900" s="24">
        <v>22110</v>
      </c>
      <c r="B900" s="12" t="str">
        <f t="shared" ref="B900:B963" si="14">LEFT(A900,3)</f>
        <v>221</v>
      </c>
      <c r="C900" s="26" t="s">
        <v>1851</v>
      </c>
      <c r="D900" s="13" t="str">
        <f>IF(RIGHT(A900,3)="000",C900,VLOOKUP(B900,'Справочник ИХ'!A:C,3,0))</f>
        <v>Нефтяные грузы</v>
      </c>
      <c r="E900" s="13">
        <f>IF(RIGHT(A900,3)="000","х",VLOOKUP(B900,'Справочник ИХ'!A:D,4,0))</f>
        <v>2</v>
      </c>
      <c r="F900" s="14" t="s">
        <v>1841</v>
      </c>
    </row>
    <row r="901" spans="1:6" ht="31.75">
      <c r="A901" s="24">
        <v>22111</v>
      </c>
      <c r="B901" s="12" t="str">
        <f t="shared" si="14"/>
        <v>221</v>
      </c>
      <c r="C901" s="26" t="s">
        <v>1852</v>
      </c>
      <c r="D901" s="13" t="str">
        <f>IF(RIGHT(A901,3)="000",C901,VLOOKUP(B901,'Справочник ИХ'!A:C,3,0))</f>
        <v>Нефтяные грузы</v>
      </c>
      <c r="E901" s="13">
        <f>IF(RIGHT(A901,3)="000","х",VLOOKUP(B901,'Справочник ИХ'!A:D,4,0))</f>
        <v>2</v>
      </c>
      <c r="F901" s="14" t="s">
        <v>1841</v>
      </c>
    </row>
    <row r="902" spans="1:6" ht="31.75">
      <c r="A902" s="24">
        <v>22113</v>
      </c>
      <c r="B902" s="12" t="str">
        <f t="shared" si="14"/>
        <v>221</v>
      </c>
      <c r="C902" s="26" t="s">
        <v>1853</v>
      </c>
      <c r="D902" s="13" t="str">
        <f>IF(RIGHT(A902,3)="000",C902,VLOOKUP(B902,'Справочник ИХ'!A:C,3,0))</f>
        <v>Нефтяные грузы</v>
      </c>
      <c r="E902" s="13">
        <f>IF(RIGHT(A902,3)="000","х",VLOOKUP(B902,'Справочник ИХ'!A:D,4,0))</f>
        <v>2</v>
      </c>
      <c r="F902" s="14" t="s">
        <v>1841</v>
      </c>
    </row>
    <row r="903" spans="1:6" s="31" customFormat="1" ht="31.75">
      <c r="A903" s="25">
        <v>22200</v>
      </c>
      <c r="B903" s="12" t="str">
        <f t="shared" si="14"/>
        <v>222</v>
      </c>
      <c r="C903" s="27" t="s">
        <v>1854</v>
      </c>
      <c r="D903" s="13" t="str">
        <f>IF(RIGHT(A903,3)="000",C903,VLOOKUP(B903,'Справочник ИХ'!A:C,3,0))</f>
        <v>Нефтяные грузы</v>
      </c>
      <c r="E903" s="13">
        <f>IF(RIGHT(A903,3)="000","х",VLOOKUP(B903,'Справочник ИХ'!A:D,4,0))</f>
        <v>2</v>
      </c>
      <c r="F903" s="14" t="s">
        <v>1841</v>
      </c>
    </row>
    <row r="904" spans="1:6" ht="31.75">
      <c r="A904" s="24">
        <v>22201</v>
      </c>
      <c r="B904" s="12" t="str">
        <f t="shared" si="14"/>
        <v>222</v>
      </c>
      <c r="C904" s="26" t="s">
        <v>1855</v>
      </c>
      <c r="D904" s="13" t="str">
        <f>IF(RIGHT(A904,3)="000",C904,VLOOKUP(B904,'Справочник ИХ'!A:C,3,0))</f>
        <v>Нефтяные грузы</v>
      </c>
      <c r="E904" s="13">
        <f>IF(RIGHT(A904,3)="000","х",VLOOKUP(B904,'Справочник ИХ'!A:D,4,0))</f>
        <v>2</v>
      </c>
      <c r="F904" s="14" t="s">
        <v>1841</v>
      </c>
    </row>
    <row r="905" spans="1:6" ht="31.75">
      <c r="A905" s="24">
        <v>22202</v>
      </c>
      <c r="B905" s="12" t="str">
        <f t="shared" si="14"/>
        <v>222</v>
      </c>
      <c r="C905" s="26" t="s">
        <v>1856</v>
      </c>
      <c r="D905" s="13" t="str">
        <f>IF(RIGHT(A905,3)="000",C905,VLOOKUP(B905,'Справочник ИХ'!A:C,3,0))</f>
        <v>Нефтяные грузы</v>
      </c>
      <c r="E905" s="13">
        <f>IF(RIGHT(A905,3)="000","х",VLOOKUP(B905,'Справочник ИХ'!A:D,4,0))</f>
        <v>2</v>
      </c>
      <c r="F905" s="14" t="s">
        <v>1841</v>
      </c>
    </row>
    <row r="906" spans="1:6" ht="31.75">
      <c r="A906" s="24">
        <v>22203</v>
      </c>
      <c r="B906" s="12" t="str">
        <f t="shared" si="14"/>
        <v>222</v>
      </c>
      <c r="C906" s="26" t="s">
        <v>1857</v>
      </c>
      <c r="D906" s="13" t="str">
        <f>IF(RIGHT(A906,3)="000",C906,VLOOKUP(B906,'Справочник ИХ'!A:C,3,0))</f>
        <v>Нефтяные грузы</v>
      </c>
      <c r="E906" s="13">
        <f>IF(RIGHT(A906,3)="000","х",VLOOKUP(B906,'Справочник ИХ'!A:D,4,0))</f>
        <v>2</v>
      </c>
      <c r="F906" s="14" t="s">
        <v>1841</v>
      </c>
    </row>
    <row r="907" spans="1:6" ht="31.75">
      <c r="A907" s="24">
        <v>22204</v>
      </c>
      <c r="B907" s="12" t="str">
        <f t="shared" si="14"/>
        <v>222</v>
      </c>
      <c r="C907" s="26" t="s">
        <v>1858</v>
      </c>
      <c r="D907" s="13" t="str">
        <f>IF(RIGHT(A907,3)="000",C907,VLOOKUP(B907,'Справочник ИХ'!A:C,3,0))</f>
        <v>Нефтяные грузы</v>
      </c>
      <c r="E907" s="13">
        <f>IF(RIGHT(A907,3)="000","х",VLOOKUP(B907,'Справочник ИХ'!A:D,4,0))</f>
        <v>2</v>
      </c>
      <c r="F907" s="14" t="s">
        <v>1841</v>
      </c>
    </row>
    <row r="908" spans="1:6" ht="31.75">
      <c r="A908" s="24">
        <v>22205</v>
      </c>
      <c r="B908" s="12" t="str">
        <f t="shared" si="14"/>
        <v>222</v>
      </c>
      <c r="C908" s="26" t="s">
        <v>1859</v>
      </c>
      <c r="D908" s="13" t="str">
        <f>IF(RIGHT(A908,3)="000",C908,VLOOKUP(B908,'Справочник ИХ'!A:C,3,0))</f>
        <v>Нефтяные грузы</v>
      </c>
      <c r="E908" s="13">
        <f>IF(RIGHT(A908,3)="000","х",VLOOKUP(B908,'Справочник ИХ'!A:D,4,0))</f>
        <v>2</v>
      </c>
      <c r="F908" s="14" t="s">
        <v>1841</v>
      </c>
    </row>
    <row r="909" spans="1:6" ht="31.75">
      <c r="A909" s="24">
        <v>22206</v>
      </c>
      <c r="B909" s="12" t="str">
        <f t="shared" si="14"/>
        <v>222</v>
      </c>
      <c r="C909" s="26" t="s">
        <v>1860</v>
      </c>
      <c r="D909" s="13" t="str">
        <f>IF(RIGHT(A909,3)="000",C909,VLOOKUP(B909,'Справочник ИХ'!A:C,3,0))</f>
        <v>Нефтяные грузы</v>
      </c>
      <c r="E909" s="13">
        <f>IF(RIGHT(A909,3)="000","х",VLOOKUP(B909,'Справочник ИХ'!A:D,4,0))</f>
        <v>2</v>
      </c>
      <c r="F909" s="14" t="s">
        <v>1841</v>
      </c>
    </row>
    <row r="910" spans="1:6" ht="31.75">
      <c r="A910" s="24">
        <v>22207</v>
      </c>
      <c r="B910" s="12" t="str">
        <f t="shared" si="14"/>
        <v>222</v>
      </c>
      <c r="C910" s="26" t="s">
        <v>1861</v>
      </c>
      <c r="D910" s="13" t="str">
        <f>IF(RIGHT(A910,3)="000",C910,VLOOKUP(B910,'Справочник ИХ'!A:C,3,0))</f>
        <v>Нефтяные грузы</v>
      </c>
      <c r="E910" s="13">
        <f>IF(RIGHT(A910,3)="000","х",VLOOKUP(B910,'Справочник ИХ'!A:D,4,0))</f>
        <v>2</v>
      </c>
      <c r="F910" s="14" t="s">
        <v>1841</v>
      </c>
    </row>
    <row r="911" spans="1:6" ht="31.75">
      <c r="A911" s="24">
        <v>22208</v>
      </c>
      <c r="B911" s="12" t="str">
        <f t="shared" si="14"/>
        <v>222</v>
      </c>
      <c r="C911" s="26" t="s">
        <v>1862</v>
      </c>
      <c r="D911" s="13" t="str">
        <f>IF(RIGHT(A911,3)="000",C911,VLOOKUP(B911,'Справочник ИХ'!A:C,3,0))</f>
        <v>Нефтяные грузы</v>
      </c>
      <c r="E911" s="13">
        <f>IF(RIGHT(A911,3)="000","х",VLOOKUP(B911,'Справочник ИХ'!A:D,4,0))</f>
        <v>2</v>
      </c>
      <c r="F911" s="14" t="s">
        <v>1841</v>
      </c>
    </row>
    <row r="912" spans="1:6" ht="31.75">
      <c r="A912" s="24">
        <v>22209</v>
      </c>
      <c r="B912" s="12" t="str">
        <f t="shared" si="14"/>
        <v>222</v>
      </c>
      <c r="C912" s="26" t="s">
        <v>1863</v>
      </c>
      <c r="D912" s="13" t="str">
        <f>IF(RIGHT(A912,3)="000",C912,VLOOKUP(B912,'Справочник ИХ'!A:C,3,0))</f>
        <v>Нефтяные грузы</v>
      </c>
      <c r="E912" s="13">
        <f>IF(RIGHT(A912,3)="000","х",VLOOKUP(B912,'Справочник ИХ'!A:D,4,0))</f>
        <v>2</v>
      </c>
      <c r="F912" s="14" t="s">
        <v>1841</v>
      </c>
    </row>
    <row r="913" spans="1:6" ht="31.75">
      <c r="A913" s="24">
        <v>22210</v>
      </c>
      <c r="B913" s="12" t="str">
        <f t="shared" si="14"/>
        <v>222</v>
      </c>
      <c r="C913" s="26" t="s">
        <v>1864</v>
      </c>
      <c r="D913" s="13" t="str">
        <f>IF(RIGHT(A913,3)="000",C913,VLOOKUP(B913,'Справочник ИХ'!A:C,3,0))</f>
        <v>Нефтяные грузы</v>
      </c>
      <c r="E913" s="13">
        <f>IF(RIGHT(A913,3)="000","х",VLOOKUP(B913,'Справочник ИХ'!A:D,4,0))</f>
        <v>2</v>
      </c>
      <c r="F913" s="14" t="s">
        <v>1841</v>
      </c>
    </row>
    <row r="914" spans="1:6" ht="31.75">
      <c r="A914" s="24">
        <v>22211</v>
      </c>
      <c r="B914" s="12" t="str">
        <f t="shared" si="14"/>
        <v>222</v>
      </c>
      <c r="C914" s="26" t="s">
        <v>1865</v>
      </c>
      <c r="D914" s="13" t="str">
        <f>IF(RIGHT(A914,3)="000",C914,VLOOKUP(B914,'Справочник ИХ'!A:C,3,0))</f>
        <v>Нефтяные грузы</v>
      </c>
      <c r="E914" s="13">
        <f>IF(RIGHT(A914,3)="000","х",VLOOKUP(B914,'Справочник ИХ'!A:D,4,0))</f>
        <v>2</v>
      </c>
      <c r="F914" s="14" t="s">
        <v>1841</v>
      </c>
    </row>
    <row r="915" spans="1:6" ht="31.75">
      <c r="A915" s="24">
        <v>22212</v>
      </c>
      <c r="B915" s="12" t="str">
        <f t="shared" si="14"/>
        <v>222</v>
      </c>
      <c r="C915" s="26" t="s">
        <v>1866</v>
      </c>
      <c r="D915" s="13" t="str">
        <f>IF(RIGHT(A915,3)="000",C915,VLOOKUP(B915,'Справочник ИХ'!A:C,3,0))</f>
        <v>Нефтяные грузы</v>
      </c>
      <c r="E915" s="13">
        <f>IF(RIGHT(A915,3)="000","х",VLOOKUP(B915,'Справочник ИХ'!A:D,4,0))</f>
        <v>2</v>
      </c>
      <c r="F915" s="14" t="s">
        <v>1841</v>
      </c>
    </row>
    <row r="916" spans="1:6" ht="31.75">
      <c r="A916" s="24">
        <v>22213</v>
      </c>
      <c r="B916" s="12" t="str">
        <f t="shared" si="14"/>
        <v>222</v>
      </c>
      <c r="C916" s="26" t="s">
        <v>1867</v>
      </c>
      <c r="D916" s="13" t="str">
        <f>IF(RIGHT(A916,3)="000",C916,VLOOKUP(B916,'Справочник ИХ'!A:C,3,0))</f>
        <v>Нефтяные грузы</v>
      </c>
      <c r="E916" s="13">
        <f>IF(RIGHT(A916,3)="000","х",VLOOKUP(B916,'Справочник ИХ'!A:D,4,0))</f>
        <v>2</v>
      </c>
      <c r="F916" s="14" t="s">
        <v>1841</v>
      </c>
    </row>
    <row r="917" spans="1:6" s="31" customFormat="1" ht="31.75">
      <c r="A917" s="25">
        <v>22300</v>
      </c>
      <c r="B917" s="12" t="str">
        <f t="shared" si="14"/>
        <v>223</v>
      </c>
      <c r="C917" s="27" t="s">
        <v>1868</v>
      </c>
      <c r="D917" s="13" t="str">
        <f>IF(RIGHT(A917,3)="000",C917,VLOOKUP(B917,'Справочник ИХ'!A:C,3,0))</f>
        <v>Нефтяные грузы</v>
      </c>
      <c r="E917" s="13">
        <f>IF(RIGHT(A917,3)="000","х",VLOOKUP(B917,'Справочник ИХ'!A:D,4,0))</f>
        <v>2</v>
      </c>
      <c r="F917" s="14" t="s">
        <v>1841</v>
      </c>
    </row>
    <row r="918" spans="1:6" ht="31.75">
      <c r="A918" s="24">
        <v>22301</v>
      </c>
      <c r="B918" s="12" t="str">
        <f t="shared" si="14"/>
        <v>223</v>
      </c>
      <c r="C918" s="26" t="s">
        <v>1869</v>
      </c>
      <c r="D918" s="13" t="str">
        <f>IF(RIGHT(A918,3)="000",C918,VLOOKUP(B918,'Справочник ИХ'!A:C,3,0))</f>
        <v>Нефтяные грузы</v>
      </c>
      <c r="E918" s="13">
        <f>IF(RIGHT(A918,3)="000","х",VLOOKUP(B918,'Справочник ИХ'!A:D,4,0))</f>
        <v>2</v>
      </c>
      <c r="F918" s="14" t="s">
        <v>1841</v>
      </c>
    </row>
    <row r="919" spans="1:6" ht="31.75">
      <c r="A919" s="24">
        <v>22302</v>
      </c>
      <c r="B919" s="12" t="str">
        <f t="shared" si="14"/>
        <v>223</v>
      </c>
      <c r="C919" s="26" t="s">
        <v>1870</v>
      </c>
      <c r="D919" s="13" t="str">
        <f>IF(RIGHT(A919,3)="000",C919,VLOOKUP(B919,'Справочник ИХ'!A:C,3,0))</f>
        <v>Нефтяные грузы</v>
      </c>
      <c r="E919" s="13">
        <f>IF(RIGHT(A919,3)="000","х",VLOOKUP(B919,'Справочник ИХ'!A:D,4,0))</f>
        <v>2</v>
      </c>
      <c r="F919" s="14" t="s">
        <v>1841</v>
      </c>
    </row>
    <row r="920" spans="1:6" ht="31.75">
      <c r="A920" s="24">
        <v>22303</v>
      </c>
      <c r="B920" s="12" t="str">
        <f t="shared" si="14"/>
        <v>223</v>
      </c>
      <c r="C920" s="26" t="s">
        <v>1871</v>
      </c>
      <c r="D920" s="13" t="str">
        <f>IF(RIGHT(A920,3)="000",C920,VLOOKUP(B920,'Справочник ИХ'!A:C,3,0))</f>
        <v>Нефтяные грузы</v>
      </c>
      <c r="E920" s="13">
        <f>IF(RIGHT(A920,3)="000","х",VLOOKUP(B920,'Справочник ИХ'!A:D,4,0))</f>
        <v>2</v>
      </c>
      <c r="F920" s="14" t="s">
        <v>1841</v>
      </c>
    </row>
    <row r="921" spans="1:6" ht="31.75">
      <c r="A921" s="24">
        <v>22304</v>
      </c>
      <c r="B921" s="12" t="str">
        <f t="shared" si="14"/>
        <v>223</v>
      </c>
      <c r="C921" s="26" t="s">
        <v>1872</v>
      </c>
      <c r="D921" s="13" t="str">
        <f>IF(RIGHT(A921,3)="000",C921,VLOOKUP(B921,'Справочник ИХ'!A:C,3,0))</f>
        <v>Нефтяные грузы</v>
      </c>
      <c r="E921" s="13">
        <f>IF(RIGHT(A921,3)="000","х",VLOOKUP(B921,'Справочник ИХ'!A:D,4,0))</f>
        <v>2</v>
      </c>
      <c r="F921" s="14" t="s">
        <v>1841</v>
      </c>
    </row>
    <row r="922" spans="1:6" ht="31.75">
      <c r="A922" s="24">
        <v>22305</v>
      </c>
      <c r="B922" s="12" t="str">
        <f t="shared" si="14"/>
        <v>223</v>
      </c>
      <c r="C922" s="26" t="s">
        <v>1873</v>
      </c>
      <c r="D922" s="13" t="str">
        <f>IF(RIGHT(A922,3)="000",C922,VLOOKUP(B922,'Справочник ИХ'!A:C,3,0))</f>
        <v>Нефтяные грузы</v>
      </c>
      <c r="E922" s="13">
        <f>IF(RIGHT(A922,3)="000","х",VLOOKUP(B922,'Справочник ИХ'!A:D,4,0))</f>
        <v>2</v>
      </c>
      <c r="F922" s="14" t="s">
        <v>1841</v>
      </c>
    </row>
    <row r="923" spans="1:6" s="31" customFormat="1" ht="31.75">
      <c r="A923" s="25">
        <v>22400</v>
      </c>
      <c r="B923" s="12" t="str">
        <f t="shared" si="14"/>
        <v>224</v>
      </c>
      <c r="C923" s="27" t="s">
        <v>1874</v>
      </c>
      <c r="D923" s="13" t="str">
        <f>IF(RIGHT(A923,3)="000",C923,VLOOKUP(B923,'Справочник ИХ'!A:C,3,0))</f>
        <v>Нефтяные грузы</v>
      </c>
      <c r="E923" s="13">
        <f>IF(RIGHT(A923,3)="000","х",VLOOKUP(B923,'Справочник ИХ'!A:D,4,0))</f>
        <v>2</v>
      </c>
      <c r="F923" s="14" t="s">
        <v>1841</v>
      </c>
    </row>
    <row r="924" spans="1:6" ht="31.75">
      <c r="A924" s="24">
        <v>22401</v>
      </c>
      <c r="B924" s="12" t="str">
        <f t="shared" si="14"/>
        <v>224</v>
      </c>
      <c r="C924" s="26" t="s">
        <v>1875</v>
      </c>
      <c r="D924" s="13" t="str">
        <f>IF(RIGHT(A924,3)="000",C924,VLOOKUP(B924,'Справочник ИХ'!A:C,3,0))</f>
        <v>Нефтяные грузы</v>
      </c>
      <c r="E924" s="13">
        <f>IF(RIGHT(A924,3)="000","х",VLOOKUP(B924,'Справочник ИХ'!A:D,4,0))</f>
        <v>2</v>
      </c>
      <c r="F924" s="14" t="s">
        <v>1841</v>
      </c>
    </row>
    <row r="925" spans="1:6" ht="31.75">
      <c r="A925" s="24">
        <v>22402</v>
      </c>
      <c r="B925" s="12" t="str">
        <f t="shared" si="14"/>
        <v>224</v>
      </c>
      <c r="C925" s="26" t="s">
        <v>1876</v>
      </c>
      <c r="D925" s="13" t="str">
        <f>IF(RIGHT(A925,3)="000",C925,VLOOKUP(B925,'Справочник ИХ'!A:C,3,0))</f>
        <v>Нефтяные грузы</v>
      </c>
      <c r="E925" s="13">
        <f>IF(RIGHT(A925,3)="000","х",VLOOKUP(B925,'Справочник ИХ'!A:D,4,0))</f>
        <v>2</v>
      </c>
      <c r="F925" s="14" t="s">
        <v>1841</v>
      </c>
    </row>
    <row r="926" spans="1:6" ht="31.75">
      <c r="A926" s="24">
        <v>22403</v>
      </c>
      <c r="B926" s="12" t="str">
        <f t="shared" si="14"/>
        <v>224</v>
      </c>
      <c r="C926" s="26" t="s">
        <v>1877</v>
      </c>
      <c r="D926" s="13" t="str">
        <f>IF(RIGHT(A926,3)="000",C926,VLOOKUP(B926,'Справочник ИХ'!A:C,3,0))</f>
        <v>Нефтяные грузы</v>
      </c>
      <c r="E926" s="13">
        <f>IF(RIGHT(A926,3)="000","х",VLOOKUP(B926,'Справочник ИХ'!A:D,4,0))</f>
        <v>2</v>
      </c>
      <c r="F926" s="14" t="s">
        <v>1841</v>
      </c>
    </row>
    <row r="927" spans="1:6" ht="31.75">
      <c r="A927" s="24">
        <v>22404</v>
      </c>
      <c r="B927" s="12" t="str">
        <f t="shared" si="14"/>
        <v>224</v>
      </c>
      <c r="C927" s="26" t="s">
        <v>1878</v>
      </c>
      <c r="D927" s="13" t="str">
        <f>IF(RIGHT(A927,3)="000",C927,VLOOKUP(B927,'Справочник ИХ'!A:C,3,0))</f>
        <v>Нефтяные грузы</v>
      </c>
      <c r="E927" s="13">
        <f>IF(RIGHT(A927,3)="000","х",VLOOKUP(B927,'Справочник ИХ'!A:D,4,0))</f>
        <v>2</v>
      </c>
      <c r="F927" s="14" t="s">
        <v>1841</v>
      </c>
    </row>
    <row r="928" spans="1:6" ht="31.75">
      <c r="A928" s="24">
        <v>22405</v>
      </c>
      <c r="B928" s="12" t="str">
        <f t="shared" si="14"/>
        <v>224</v>
      </c>
      <c r="C928" s="26" t="s">
        <v>1879</v>
      </c>
      <c r="D928" s="13" t="str">
        <f>IF(RIGHT(A928,3)="000",C928,VLOOKUP(B928,'Справочник ИХ'!A:C,3,0))</f>
        <v>Нефтяные грузы</v>
      </c>
      <c r="E928" s="13">
        <f>IF(RIGHT(A928,3)="000","х",VLOOKUP(B928,'Справочник ИХ'!A:D,4,0))</f>
        <v>2</v>
      </c>
      <c r="F928" s="14" t="s">
        <v>1841</v>
      </c>
    </row>
    <row r="929" spans="1:6" ht="31.75">
      <c r="A929" s="24">
        <v>22406</v>
      </c>
      <c r="B929" s="12" t="str">
        <f t="shared" si="14"/>
        <v>224</v>
      </c>
      <c r="C929" s="26" t="s">
        <v>1880</v>
      </c>
      <c r="D929" s="13" t="str">
        <f>IF(RIGHT(A929,3)="000",C929,VLOOKUP(B929,'Справочник ИХ'!A:C,3,0))</f>
        <v>Нефтяные грузы</v>
      </c>
      <c r="E929" s="13">
        <f>IF(RIGHT(A929,3)="000","х",VLOOKUP(B929,'Справочник ИХ'!A:D,4,0))</f>
        <v>2</v>
      </c>
      <c r="F929" s="14" t="s">
        <v>1841</v>
      </c>
    </row>
    <row r="930" spans="1:6" ht="31.75">
      <c r="A930" s="24">
        <v>22407</v>
      </c>
      <c r="B930" s="12" t="str">
        <f t="shared" si="14"/>
        <v>224</v>
      </c>
      <c r="C930" s="26" t="s">
        <v>1881</v>
      </c>
      <c r="D930" s="13" t="str">
        <f>IF(RIGHT(A930,3)="000",C930,VLOOKUP(B930,'Справочник ИХ'!A:C,3,0))</f>
        <v>Нефтяные грузы</v>
      </c>
      <c r="E930" s="13">
        <f>IF(RIGHT(A930,3)="000","х",VLOOKUP(B930,'Справочник ИХ'!A:D,4,0))</f>
        <v>2</v>
      </c>
      <c r="F930" s="14" t="s">
        <v>1841</v>
      </c>
    </row>
    <row r="931" spans="1:6" ht="31.75">
      <c r="A931" s="24">
        <v>22408</v>
      </c>
      <c r="B931" s="12" t="str">
        <f t="shared" si="14"/>
        <v>224</v>
      </c>
      <c r="C931" s="26" t="s">
        <v>1882</v>
      </c>
      <c r="D931" s="13" t="str">
        <f>IF(RIGHT(A931,3)="000",C931,VLOOKUP(B931,'Справочник ИХ'!A:C,3,0))</f>
        <v>Нефтяные грузы</v>
      </c>
      <c r="E931" s="13">
        <f>IF(RIGHT(A931,3)="000","х",VLOOKUP(B931,'Справочник ИХ'!A:D,4,0))</f>
        <v>2</v>
      </c>
      <c r="F931" s="14" t="s">
        <v>1841</v>
      </c>
    </row>
    <row r="932" spans="1:6" ht="31.75">
      <c r="A932" s="24">
        <v>22409</v>
      </c>
      <c r="B932" s="12" t="str">
        <f t="shared" si="14"/>
        <v>224</v>
      </c>
      <c r="C932" s="26" t="s">
        <v>1883</v>
      </c>
      <c r="D932" s="13" t="str">
        <f>IF(RIGHT(A932,3)="000",C932,VLOOKUP(B932,'Справочник ИХ'!A:C,3,0))</f>
        <v>Нефтяные грузы</v>
      </c>
      <c r="E932" s="13">
        <f>IF(RIGHT(A932,3)="000","х",VLOOKUP(B932,'Справочник ИХ'!A:D,4,0))</f>
        <v>2</v>
      </c>
      <c r="F932" s="14" t="s">
        <v>1841</v>
      </c>
    </row>
    <row r="933" spans="1:6" ht="31.75">
      <c r="A933" s="24">
        <v>22410</v>
      </c>
      <c r="B933" s="12" t="str">
        <f t="shared" si="14"/>
        <v>224</v>
      </c>
      <c r="C933" s="26" t="s">
        <v>1884</v>
      </c>
      <c r="D933" s="13" t="str">
        <f>IF(RIGHT(A933,3)="000",C933,VLOOKUP(B933,'Справочник ИХ'!A:C,3,0))</f>
        <v>Нефтяные грузы</v>
      </c>
      <c r="E933" s="13">
        <f>IF(RIGHT(A933,3)="000","х",VLOOKUP(B933,'Справочник ИХ'!A:D,4,0))</f>
        <v>2</v>
      </c>
      <c r="F933" s="14" t="s">
        <v>1841</v>
      </c>
    </row>
    <row r="934" spans="1:6" ht="31.75">
      <c r="A934" s="24">
        <v>22411</v>
      </c>
      <c r="B934" s="12" t="str">
        <f t="shared" si="14"/>
        <v>224</v>
      </c>
      <c r="C934" s="26" t="s">
        <v>1885</v>
      </c>
      <c r="D934" s="13" t="str">
        <f>IF(RIGHT(A934,3)="000",C934,VLOOKUP(B934,'Справочник ИХ'!A:C,3,0))</f>
        <v>Нефтяные грузы</v>
      </c>
      <c r="E934" s="13">
        <f>IF(RIGHT(A934,3)="000","х",VLOOKUP(B934,'Справочник ИХ'!A:D,4,0))</f>
        <v>2</v>
      </c>
      <c r="F934" s="14" t="s">
        <v>1841</v>
      </c>
    </row>
    <row r="935" spans="1:6" ht="31.75">
      <c r="A935" s="24">
        <v>22412</v>
      </c>
      <c r="B935" s="12" t="str">
        <f t="shared" si="14"/>
        <v>224</v>
      </c>
      <c r="C935" s="26" t="s">
        <v>1886</v>
      </c>
      <c r="D935" s="13" t="str">
        <f>IF(RIGHT(A935,3)="000",C935,VLOOKUP(B935,'Справочник ИХ'!A:C,3,0))</f>
        <v>Нефтяные грузы</v>
      </c>
      <c r="E935" s="13">
        <f>IF(RIGHT(A935,3)="000","х",VLOOKUP(B935,'Справочник ИХ'!A:D,4,0))</f>
        <v>2</v>
      </c>
      <c r="F935" s="14" t="s">
        <v>1841</v>
      </c>
    </row>
    <row r="936" spans="1:6" ht="31.75">
      <c r="A936" s="24">
        <v>22413</v>
      </c>
      <c r="B936" s="12" t="str">
        <f t="shared" si="14"/>
        <v>224</v>
      </c>
      <c r="C936" s="26" t="s">
        <v>1887</v>
      </c>
      <c r="D936" s="13" t="str">
        <f>IF(RIGHT(A936,3)="000",C936,VLOOKUP(B936,'Справочник ИХ'!A:C,3,0))</f>
        <v>Нефтяные грузы</v>
      </c>
      <c r="E936" s="13">
        <f>IF(RIGHT(A936,3)="000","х",VLOOKUP(B936,'Справочник ИХ'!A:D,4,0))</f>
        <v>2</v>
      </c>
      <c r="F936" s="14" t="s">
        <v>1841</v>
      </c>
    </row>
    <row r="937" spans="1:6" ht="31.75">
      <c r="A937" s="24">
        <v>22414</v>
      </c>
      <c r="B937" s="12" t="str">
        <f t="shared" si="14"/>
        <v>224</v>
      </c>
      <c r="C937" s="26" t="s">
        <v>1888</v>
      </c>
      <c r="D937" s="13" t="str">
        <f>IF(RIGHT(A937,3)="000",C937,VLOOKUP(B937,'Справочник ИХ'!A:C,3,0))</f>
        <v>Нефтяные грузы</v>
      </c>
      <c r="E937" s="13">
        <f>IF(RIGHT(A937,3)="000","х",VLOOKUP(B937,'Справочник ИХ'!A:D,4,0))</f>
        <v>2</v>
      </c>
      <c r="F937" s="14" t="s">
        <v>1841</v>
      </c>
    </row>
    <row r="938" spans="1:6" s="31" customFormat="1" ht="31.75">
      <c r="A938" s="25">
        <v>22500</v>
      </c>
      <c r="B938" s="12" t="str">
        <f t="shared" si="14"/>
        <v>225</v>
      </c>
      <c r="C938" s="27" t="s">
        <v>1889</v>
      </c>
      <c r="D938" s="13" t="str">
        <f>IF(RIGHT(A938,3)="000",C938,VLOOKUP(B938,'Справочник ИХ'!A:C,3,0))</f>
        <v>Нефтяные грузы</v>
      </c>
      <c r="E938" s="13">
        <f>IF(RIGHT(A938,3)="000","х",VLOOKUP(B938,'Справочник ИХ'!A:D,4,0))</f>
        <v>2</v>
      </c>
      <c r="F938" s="14" t="s">
        <v>1841</v>
      </c>
    </row>
    <row r="939" spans="1:6" ht="31.75">
      <c r="A939" s="24">
        <v>22501</v>
      </c>
      <c r="B939" s="12" t="str">
        <f t="shared" si="14"/>
        <v>225</v>
      </c>
      <c r="C939" s="26" t="s">
        <v>1890</v>
      </c>
      <c r="D939" s="13" t="str">
        <f>IF(RIGHT(A939,3)="000",C939,VLOOKUP(B939,'Справочник ИХ'!A:C,3,0))</f>
        <v>Нефтяные грузы</v>
      </c>
      <c r="E939" s="13">
        <f>IF(RIGHT(A939,3)="000","х",VLOOKUP(B939,'Справочник ИХ'!A:D,4,0))</f>
        <v>2</v>
      </c>
      <c r="F939" s="14" t="s">
        <v>1841</v>
      </c>
    </row>
    <row r="940" spans="1:6" ht="31.75">
      <c r="A940" s="24">
        <v>22502</v>
      </c>
      <c r="B940" s="12" t="str">
        <f t="shared" si="14"/>
        <v>225</v>
      </c>
      <c r="C940" s="26" t="s">
        <v>1891</v>
      </c>
      <c r="D940" s="13" t="str">
        <f>IF(RIGHT(A940,3)="000",C940,VLOOKUP(B940,'Справочник ИХ'!A:C,3,0))</f>
        <v>Нефтяные грузы</v>
      </c>
      <c r="E940" s="13">
        <f>IF(RIGHT(A940,3)="000","х",VLOOKUP(B940,'Справочник ИХ'!A:D,4,0))</f>
        <v>2</v>
      </c>
      <c r="F940" s="14" t="s">
        <v>1841</v>
      </c>
    </row>
    <row r="941" spans="1:6" ht="31.75">
      <c r="A941" s="24">
        <v>22503</v>
      </c>
      <c r="B941" s="12" t="str">
        <f t="shared" si="14"/>
        <v>225</v>
      </c>
      <c r="C941" s="26" t="s">
        <v>1892</v>
      </c>
      <c r="D941" s="13" t="str">
        <f>IF(RIGHT(A941,3)="000",C941,VLOOKUP(B941,'Справочник ИХ'!A:C,3,0))</f>
        <v>Нефтяные грузы</v>
      </c>
      <c r="E941" s="13">
        <f>IF(RIGHT(A941,3)="000","х",VLOOKUP(B941,'Справочник ИХ'!A:D,4,0))</f>
        <v>2</v>
      </c>
      <c r="F941" s="14" t="s">
        <v>1841</v>
      </c>
    </row>
    <row r="942" spans="1:6" ht="31.75">
      <c r="A942" s="24">
        <v>22504</v>
      </c>
      <c r="B942" s="12" t="str">
        <f t="shared" si="14"/>
        <v>225</v>
      </c>
      <c r="C942" s="26" t="s">
        <v>1893</v>
      </c>
      <c r="D942" s="13" t="str">
        <f>IF(RIGHT(A942,3)="000",C942,VLOOKUP(B942,'Справочник ИХ'!A:C,3,0))</f>
        <v>Нефтяные грузы</v>
      </c>
      <c r="E942" s="13">
        <f>IF(RIGHT(A942,3)="000","х",VLOOKUP(B942,'Справочник ИХ'!A:D,4,0))</f>
        <v>2</v>
      </c>
      <c r="F942" s="14" t="s">
        <v>1841</v>
      </c>
    </row>
    <row r="943" spans="1:6" ht="31.75">
      <c r="A943" s="24">
        <v>22505</v>
      </c>
      <c r="B943" s="12" t="str">
        <f t="shared" si="14"/>
        <v>225</v>
      </c>
      <c r="C943" s="26" t="s">
        <v>1894</v>
      </c>
      <c r="D943" s="13" t="str">
        <f>IF(RIGHT(A943,3)="000",C943,VLOOKUP(B943,'Справочник ИХ'!A:C,3,0))</f>
        <v>Нефтяные грузы</v>
      </c>
      <c r="E943" s="13">
        <f>IF(RIGHT(A943,3)="000","х",VLOOKUP(B943,'Справочник ИХ'!A:D,4,0))</f>
        <v>2</v>
      </c>
      <c r="F943" s="14" t="s">
        <v>1841</v>
      </c>
    </row>
    <row r="944" spans="1:6" ht="31.75">
      <c r="A944" s="24">
        <v>22506</v>
      </c>
      <c r="B944" s="12" t="str">
        <f t="shared" si="14"/>
        <v>225</v>
      </c>
      <c r="C944" s="26" t="s">
        <v>1895</v>
      </c>
      <c r="D944" s="13" t="str">
        <f>IF(RIGHT(A944,3)="000",C944,VLOOKUP(B944,'Справочник ИХ'!A:C,3,0))</f>
        <v>Нефтяные грузы</v>
      </c>
      <c r="E944" s="13">
        <f>IF(RIGHT(A944,3)="000","х",VLOOKUP(B944,'Справочник ИХ'!A:D,4,0))</f>
        <v>2</v>
      </c>
      <c r="F944" s="14" t="s">
        <v>1841</v>
      </c>
    </row>
    <row r="945" spans="1:6" ht="31.75">
      <c r="A945" s="24">
        <v>22507</v>
      </c>
      <c r="B945" s="12" t="str">
        <f t="shared" si="14"/>
        <v>225</v>
      </c>
      <c r="C945" s="26" t="s">
        <v>1896</v>
      </c>
      <c r="D945" s="13" t="str">
        <f>IF(RIGHT(A945,3)="000",C945,VLOOKUP(B945,'Справочник ИХ'!A:C,3,0))</f>
        <v>Нефтяные грузы</v>
      </c>
      <c r="E945" s="13">
        <f>IF(RIGHT(A945,3)="000","х",VLOOKUP(B945,'Справочник ИХ'!A:D,4,0))</f>
        <v>2</v>
      </c>
      <c r="F945" s="14" t="s">
        <v>1841</v>
      </c>
    </row>
    <row r="946" spans="1:6" ht="31.75">
      <c r="A946" s="24">
        <v>22508</v>
      </c>
      <c r="B946" s="12" t="str">
        <f t="shared" si="14"/>
        <v>225</v>
      </c>
      <c r="C946" s="26" t="s">
        <v>1897</v>
      </c>
      <c r="D946" s="13" t="str">
        <f>IF(RIGHT(A946,3)="000",C946,VLOOKUP(B946,'Справочник ИХ'!A:C,3,0))</f>
        <v>Нефтяные грузы</v>
      </c>
      <c r="E946" s="13">
        <f>IF(RIGHT(A946,3)="000","х",VLOOKUP(B946,'Справочник ИХ'!A:D,4,0))</f>
        <v>2</v>
      </c>
      <c r="F946" s="14" t="s">
        <v>1841</v>
      </c>
    </row>
    <row r="947" spans="1:6" ht="31.75">
      <c r="A947" s="24">
        <v>22509</v>
      </c>
      <c r="B947" s="12" t="str">
        <f t="shared" si="14"/>
        <v>225</v>
      </c>
      <c r="C947" s="26" t="s">
        <v>1898</v>
      </c>
      <c r="D947" s="13" t="str">
        <f>IF(RIGHT(A947,3)="000",C947,VLOOKUP(B947,'Справочник ИХ'!A:C,3,0))</f>
        <v>Нефтяные грузы</v>
      </c>
      <c r="E947" s="13">
        <f>IF(RIGHT(A947,3)="000","х",VLOOKUP(B947,'Справочник ИХ'!A:D,4,0))</f>
        <v>2</v>
      </c>
      <c r="F947" s="14" t="s">
        <v>1841</v>
      </c>
    </row>
    <row r="948" spans="1:6" ht="31.75">
      <c r="A948" s="24">
        <v>22510</v>
      </c>
      <c r="B948" s="12" t="str">
        <f t="shared" si="14"/>
        <v>225</v>
      </c>
      <c r="C948" s="26" t="s">
        <v>1899</v>
      </c>
      <c r="D948" s="13" t="str">
        <f>IF(RIGHT(A948,3)="000",C948,VLOOKUP(B948,'Справочник ИХ'!A:C,3,0))</f>
        <v>Нефтяные грузы</v>
      </c>
      <c r="E948" s="13">
        <f>IF(RIGHT(A948,3)="000","х",VLOOKUP(B948,'Справочник ИХ'!A:D,4,0))</f>
        <v>2</v>
      </c>
      <c r="F948" s="14" t="s">
        <v>1841</v>
      </c>
    </row>
    <row r="949" spans="1:6" ht="31.75">
      <c r="A949" s="24">
        <v>22511</v>
      </c>
      <c r="B949" s="12" t="str">
        <f t="shared" si="14"/>
        <v>225</v>
      </c>
      <c r="C949" s="26" t="s">
        <v>1900</v>
      </c>
      <c r="D949" s="13" t="str">
        <f>IF(RIGHT(A949,3)="000",C949,VLOOKUP(B949,'Справочник ИХ'!A:C,3,0))</f>
        <v>Нефтяные грузы</v>
      </c>
      <c r="E949" s="13">
        <f>IF(RIGHT(A949,3)="000","х",VLOOKUP(B949,'Справочник ИХ'!A:D,4,0))</f>
        <v>2</v>
      </c>
      <c r="F949" s="14" t="s">
        <v>1841</v>
      </c>
    </row>
    <row r="950" spans="1:6" ht="31.75">
      <c r="A950" s="24">
        <v>22513</v>
      </c>
      <c r="B950" s="12" t="str">
        <f t="shared" si="14"/>
        <v>225</v>
      </c>
      <c r="C950" s="26" t="s">
        <v>1901</v>
      </c>
      <c r="D950" s="13" t="str">
        <f>IF(RIGHT(A950,3)="000",C950,VLOOKUP(B950,'Справочник ИХ'!A:C,3,0))</f>
        <v>Нефтяные грузы</v>
      </c>
      <c r="E950" s="13">
        <f>IF(RIGHT(A950,3)="000","х",VLOOKUP(B950,'Справочник ИХ'!A:D,4,0))</f>
        <v>2</v>
      </c>
      <c r="F950" s="14" t="s">
        <v>1841</v>
      </c>
    </row>
    <row r="951" spans="1:6" ht="31.75">
      <c r="A951" s="24">
        <v>22514</v>
      </c>
      <c r="B951" s="12" t="str">
        <f t="shared" si="14"/>
        <v>225</v>
      </c>
      <c r="C951" s="26" t="s">
        <v>1902</v>
      </c>
      <c r="D951" s="13" t="str">
        <f>IF(RIGHT(A951,3)="000",C951,VLOOKUP(B951,'Справочник ИХ'!A:C,3,0))</f>
        <v>Нефтяные грузы</v>
      </c>
      <c r="E951" s="13">
        <f>IF(RIGHT(A951,3)="000","х",VLOOKUP(B951,'Справочник ИХ'!A:D,4,0))</f>
        <v>2</v>
      </c>
      <c r="F951" s="14" t="s">
        <v>1841</v>
      </c>
    </row>
    <row r="952" spans="1:6" ht="31.75">
      <c r="A952" s="24">
        <v>22515</v>
      </c>
      <c r="B952" s="12" t="str">
        <f t="shared" si="14"/>
        <v>225</v>
      </c>
      <c r="C952" s="26" t="s">
        <v>1903</v>
      </c>
      <c r="D952" s="13" t="str">
        <f>IF(RIGHT(A952,3)="000",C952,VLOOKUP(B952,'Справочник ИХ'!A:C,3,0))</f>
        <v>Нефтяные грузы</v>
      </c>
      <c r="E952" s="13">
        <f>IF(RIGHT(A952,3)="000","х",VLOOKUP(B952,'Справочник ИХ'!A:D,4,0))</f>
        <v>2</v>
      </c>
      <c r="F952" s="14" t="s">
        <v>1841</v>
      </c>
    </row>
    <row r="953" spans="1:6" ht="31.75">
      <c r="A953" s="24">
        <v>22516</v>
      </c>
      <c r="B953" s="12" t="str">
        <f t="shared" si="14"/>
        <v>225</v>
      </c>
      <c r="C953" s="26" t="s">
        <v>1904</v>
      </c>
      <c r="D953" s="13" t="str">
        <f>IF(RIGHT(A953,3)="000",C953,VLOOKUP(B953,'Справочник ИХ'!A:C,3,0))</f>
        <v>Нефтяные грузы</v>
      </c>
      <c r="E953" s="13">
        <f>IF(RIGHT(A953,3)="000","х",VLOOKUP(B953,'Справочник ИХ'!A:D,4,0))</f>
        <v>2</v>
      </c>
      <c r="F953" s="14" t="s">
        <v>1841</v>
      </c>
    </row>
    <row r="954" spans="1:6" ht="31.75">
      <c r="A954" s="24">
        <v>22517</v>
      </c>
      <c r="B954" s="12" t="str">
        <f t="shared" si="14"/>
        <v>225</v>
      </c>
      <c r="C954" s="26" t="s">
        <v>1905</v>
      </c>
      <c r="D954" s="13" t="str">
        <f>IF(RIGHT(A954,3)="000",C954,VLOOKUP(B954,'Справочник ИХ'!A:C,3,0))</f>
        <v>Нефтяные грузы</v>
      </c>
      <c r="E954" s="13">
        <f>IF(RIGHT(A954,3)="000","х",VLOOKUP(B954,'Справочник ИХ'!A:D,4,0))</f>
        <v>2</v>
      </c>
      <c r="F954" s="14" t="s">
        <v>1841</v>
      </c>
    </row>
    <row r="955" spans="1:6" ht="31.75">
      <c r="A955" s="24">
        <v>22518</v>
      </c>
      <c r="B955" s="12" t="str">
        <f t="shared" si="14"/>
        <v>225</v>
      </c>
      <c r="C955" s="26" t="s">
        <v>1906</v>
      </c>
      <c r="D955" s="13" t="str">
        <f>IF(RIGHT(A955,3)="000",C955,VLOOKUP(B955,'Справочник ИХ'!A:C,3,0))</f>
        <v>Нефтяные грузы</v>
      </c>
      <c r="E955" s="13">
        <f>IF(RIGHT(A955,3)="000","х",VLOOKUP(B955,'Справочник ИХ'!A:D,4,0))</f>
        <v>2</v>
      </c>
      <c r="F955" s="14" t="s">
        <v>1841</v>
      </c>
    </row>
    <row r="956" spans="1:6" ht="31.75">
      <c r="A956" s="24">
        <v>22519</v>
      </c>
      <c r="B956" s="12" t="str">
        <f t="shared" si="14"/>
        <v>225</v>
      </c>
      <c r="C956" s="26" t="s">
        <v>1907</v>
      </c>
      <c r="D956" s="13" t="str">
        <f>IF(RIGHT(A956,3)="000",C956,VLOOKUP(B956,'Справочник ИХ'!A:C,3,0))</f>
        <v>Нефтяные грузы</v>
      </c>
      <c r="E956" s="13">
        <f>IF(RIGHT(A956,3)="000","х",VLOOKUP(B956,'Справочник ИХ'!A:D,4,0))</f>
        <v>2</v>
      </c>
      <c r="F956" s="14" t="s">
        <v>1841</v>
      </c>
    </row>
    <row r="957" spans="1:6" ht="31.75">
      <c r="A957" s="24">
        <v>22520</v>
      </c>
      <c r="B957" s="12" t="str">
        <f t="shared" si="14"/>
        <v>225</v>
      </c>
      <c r="C957" s="26" t="s">
        <v>1908</v>
      </c>
      <c r="D957" s="13" t="str">
        <f>IF(RIGHT(A957,3)="000",C957,VLOOKUP(B957,'Справочник ИХ'!A:C,3,0))</f>
        <v>Нефтяные грузы</v>
      </c>
      <c r="E957" s="13">
        <f>IF(RIGHT(A957,3)="000","х",VLOOKUP(B957,'Справочник ИХ'!A:D,4,0))</f>
        <v>2</v>
      </c>
      <c r="F957" s="14" t="s">
        <v>1841</v>
      </c>
    </row>
    <row r="958" spans="1:6" ht="31.75">
      <c r="A958" s="24">
        <v>22521</v>
      </c>
      <c r="B958" s="12" t="str">
        <f t="shared" si="14"/>
        <v>225</v>
      </c>
      <c r="C958" s="26" t="s">
        <v>1909</v>
      </c>
      <c r="D958" s="13" t="str">
        <f>IF(RIGHT(A958,3)="000",C958,VLOOKUP(B958,'Справочник ИХ'!A:C,3,0))</f>
        <v>Нефтяные грузы</v>
      </c>
      <c r="E958" s="13">
        <f>IF(RIGHT(A958,3)="000","х",VLOOKUP(B958,'Справочник ИХ'!A:D,4,0))</f>
        <v>2</v>
      </c>
      <c r="F958" s="14" t="s">
        <v>1841</v>
      </c>
    </row>
    <row r="959" spans="1:6" ht="31.75">
      <c r="A959" s="24">
        <v>22522</v>
      </c>
      <c r="B959" s="12" t="str">
        <f t="shared" si="14"/>
        <v>225</v>
      </c>
      <c r="C959" s="26" t="s">
        <v>1910</v>
      </c>
      <c r="D959" s="13" t="str">
        <f>IF(RIGHT(A959,3)="000",C959,VLOOKUP(B959,'Справочник ИХ'!A:C,3,0))</f>
        <v>Нефтяные грузы</v>
      </c>
      <c r="E959" s="13">
        <f>IF(RIGHT(A959,3)="000","х",VLOOKUP(B959,'Справочник ИХ'!A:D,4,0))</f>
        <v>2</v>
      </c>
      <c r="F959" s="14" t="s">
        <v>1841</v>
      </c>
    </row>
    <row r="960" spans="1:6" ht="31.75">
      <c r="A960" s="24">
        <v>22523</v>
      </c>
      <c r="B960" s="12" t="str">
        <f t="shared" si="14"/>
        <v>225</v>
      </c>
      <c r="C960" s="26" t="s">
        <v>1911</v>
      </c>
      <c r="D960" s="13" t="str">
        <f>IF(RIGHT(A960,3)="000",C960,VLOOKUP(B960,'Справочник ИХ'!A:C,3,0))</f>
        <v>Нефтяные грузы</v>
      </c>
      <c r="E960" s="13">
        <f>IF(RIGHT(A960,3)="000","х",VLOOKUP(B960,'Справочник ИХ'!A:D,4,0))</f>
        <v>2</v>
      </c>
      <c r="F960" s="14" t="s">
        <v>1841</v>
      </c>
    </row>
    <row r="961" spans="1:6" ht="31.75">
      <c r="A961" s="24">
        <v>22524</v>
      </c>
      <c r="B961" s="12" t="str">
        <f t="shared" si="14"/>
        <v>225</v>
      </c>
      <c r="C961" s="26" t="s">
        <v>1912</v>
      </c>
      <c r="D961" s="13" t="str">
        <f>IF(RIGHT(A961,3)="000",C961,VLOOKUP(B961,'Справочник ИХ'!A:C,3,0))</f>
        <v>Нефтяные грузы</v>
      </c>
      <c r="E961" s="13">
        <f>IF(RIGHT(A961,3)="000","х",VLOOKUP(B961,'Справочник ИХ'!A:D,4,0))</f>
        <v>2</v>
      </c>
      <c r="F961" s="14" t="s">
        <v>1841</v>
      </c>
    </row>
    <row r="962" spans="1:6" ht="31.75">
      <c r="A962" s="24">
        <v>22525</v>
      </c>
      <c r="B962" s="12" t="str">
        <f t="shared" si="14"/>
        <v>225</v>
      </c>
      <c r="C962" s="26" t="s">
        <v>1913</v>
      </c>
      <c r="D962" s="13" t="str">
        <f>IF(RIGHT(A962,3)="000",C962,VLOOKUP(B962,'Справочник ИХ'!A:C,3,0))</f>
        <v>Нефтяные грузы</v>
      </c>
      <c r="E962" s="13">
        <f>IF(RIGHT(A962,3)="000","х",VLOOKUP(B962,'Справочник ИХ'!A:D,4,0))</f>
        <v>2</v>
      </c>
      <c r="F962" s="14" t="s">
        <v>1841</v>
      </c>
    </row>
    <row r="963" spans="1:6" ht="31.75">
      <c r="A963" s="24">
        <v>22526</v>
      </c>
      <c r="B963" s="12" t="str">
        <f t="shared" si="14"/>
        <v>225</v>
      </c>
      <c r="C963" s="26" t="s">
        <v>1914</v>
      </c>
      <c r="D963" s="13" t="str">
        <f>IF(RIGHT(A963,3)="000",C963,VLOOKUP(B963,'Справочник ИХ'!A:C,3,0))</f>
        <v>Нефтяные грузы</v>
      </c>
      <c r="E963" s="13">
        <f>IF(RIGHT(A963,3)="000","х",VLOOKUP(B963,'Справочник ИХ'!A:D,4,0))</f>
        <v>2</v>
      </c>
      <c r="F963" s="14" t="s">
        <v>1841</v>
      </c>
    </row>
    <row r="964" spans="1:6" ht="31.75">
      <c r="A964" s="24">
        <v>22527</v>
      </c>
      <c r="B964" s="12" t="str">
        <f t="shared" ref="B964:B1027" si="15">LEFT(A964,3)</f>
        <v>225</v>
      </c>
      <c r="C964" s="26" t="s">
        <v>1915</v>
      </c>
      <c r="D964" s="13" t="str">
        <f>IF(RIGHT(A964,3)="000",C964,VLOOKUP(B964,'Справочник ИХ'!A:C,3,0))</f>
        <v>Нефтяные грузы</v>
      </c>
      <c r="E964" s="13">
        <f>IF(RIGHT(A964,3)="000","х",VLOOKUP(B964,'Справочник ИХ'!A:D,4,0))</f>
        <v>2</v>
      </c>
      <c r="F964" s="14" t="s">
        <v>1841</v>
      </c>
    </row>
    <row r="965" spans="1:6" ht="31.75">
      <c r="A965" s="24">
        <v>22528</v>
      </c>
      <c r="B965" s="12" t="str">
        <f t="shared" si="15"/>
        <v>225</v>
      </c>
      <c r="C965" s="26" t="s">
        <v>1916</v>
      </c>
      <c r="D965" s="13" t="str">
        <f>IF(RIGHT(A965,3)="000",C965,VLOOKUP(B965,'Справочник ИХ'!A:C,3,0))</f>
        <v>Нефтяные грузы</v>
      </c>
      <c r="E965" s="13">
        <f>IF(RIGHT(A965,3)="000","х",VLOOKUP(B965,'Справочник ИХ'!A:D,4,0))</f>
        <v>2</v>
      </c>
      <c r="F965" s="14" t="s">
        <v>1841</v>
      </c>
    </row>
    <row r="966" spans="1:6" ht="31.75">
      <c r="A966" s="24">
        <v>22529</v>
      </c>
      <c r="B966" s="12" t="str">
        <f t="shared" si="15"/>
        <v>225</v>
      </c>
      <c r="C966" s="26" t="s">
        <v>1917</v>
      </c>
      <c r="D966" s="13" t="str">
        <f>IF(RIGHT(A966,3)="000",C966,VLOOKUP(B966,'Справочник ИХ'!A:C,3,0))</f>
        <v>Нефтяные грузы</v>
      </c>
      <c r="E966" s="13">
        <f>IF(RIGHT(A966,3)="000","х",VLOOKUP(B966,'Справочник ИХ'!A:D,4,0))</f>
        <v>2</v>
      </c>
      <c r="F966" s="14" t="s">
        <v>1841</v>
      </c>
    </row>
    <row r="967" spans="1:6" ht="31.75">
      <c r="A967" s="24">
        <v>22530</v>
      </c>
      <c r="B967" s="12" t="str">
        <f t="shared" si="15"/>
        <v>225</v>
      </c>
      <c r="C967" s="26" t="s">
        <v>1918</v>
      </c>
      <c r="D967" s="13" t="str">
        <f>IF(RIGHT(A967,3)="000",C967,VLOOKUP(B967,'Справочник ИХ'!A:C,3,0))</f>
        <v>Нефтяные грузы</v>
      </c>
      <c r="E967" s="13">
        <f>IF(RIGHT(A967,3)="000","х",VLOOKUP(B967,'Справочник ИХ'!A:D,4,0))</f>
        <v>2</v>
      </c>
      <c r="F967" s="14" t="s">
        <v>1841</v>
      </c>
    </row>
    <row r="968" spans="1:6" ht="31.75">
      <c r="A968" s="24">
        <v>22531</v>
      </c>
      <c r="B968" s="12" t="str">
        <f t="shared" si="15"/>
        <v>225</v>
      </c>
      <c r="C968" s="26" t="s">
        <v>1919</v>
      </c>
      <c r="D968" s="13" t="str">
        <f>IF(RIGHT(A968,3)="000",C968,VLOOKUP(B968,'Справочник ИХ'!A:C,3,0))</f>
        <v>Нефтяные грузы</v>
      </c>
      <c r="E968" s="13">
        <f>IF(RIGHT(A968,3)="000","х",VLOOKUP(B968,'Справочник ИХ'!A:D,4,0))</f>
        <v>2</v>
      </c>
      <c r="F968" s="14" t="s">
        <v>1841</v>
      </c>
    </row>
    <row r="969" spans="1:6" ht="31.75">
      <c r="A969" s="24">
        <v>22532</v>
      </c>
      <c r="B969" s="12" t="str">
        <f t="shared" si="15"/>
        <v>225</v>
      </c>
      <c r="C969" s="26" t="s">
        <v>1920</v>
      </c>
      <c r="D969" s="13" t="str">
        <f>IF(RIGHT(A969,3)="000",C969,VLOOKUP(B969,'Справочник ИХ'!A:C,3,0))</f>
        <v>Нефтяные грузы</v>
      </c>
      <c r="E969" s="13">
        <f>IF(RIGHT(A969,3)="000","х",VLOOKUP(B969,'Справочник ИХ'!A:D,4,0))</f>
        <v>2</v>
      </c>
      <c r="F969" s="14" t="s">
        <v>1841</v>
      </c>
    </row>
    <row r="970" spans="1:6" s="31" customFormat="1" ht="31.75">
      <c r="A970" s="25">
        <v>22600</v>
      </c>
      <c r="B970" s="12" t="str">
        <f t="shared" si="15"/>
        <v>226</v>
      </c>
      <c r="C970" s="27" t="s">
        <v>1921</v>
      </c>
      <c r="D970" s="13" t="str">
        <f>IF(RIGHT(A970,3)="000",C970,VLOOKUP(B970,'Справочник ИХ'!A:C,3,0))</f>
        <v>Нефтяные грузы</v>
      </c>
      <c r="E970" s="13">
        <f>IF(RIGHT(A970,3)="000","х",VLOOKUP(B970,'Справочник ИХ'!A:D,4,0))</f>
        <v>1</v>
      </c>
      <c r="F970" s="14" t="s">
        <v>1841</v>
      </c>
    </row>
    <row r="971" spans="1:6" ht="31.75">
      <c r="A971" s="24">
        <v>22601</v>
      </c>
      <c r="B971" s="12" t="str">
        <f t="shared" si="15"/>
        <v>226</v>
      </c>
      <c r="C971" s="26" t="s">
        <v>1922</v>
      </c>
      <c r="D971" s="13" t="str">
        <f>IF(RIGHT(A971,3)="000",C971,VLOOKUP(B971,'Справочник ИХ'!A:C,3,0))</f>
        <v>Нефтяные грузы</v>
      </c>
      <c r="E971" s="13">
        <f>IF(RIGHT(A971,3)="000","х",VLOOKUP(B971,'Справочник ИХ'!A:D,4,0))</f>
        <v>1</v>
      </c>
      <c r="F971" s="14" t="s">
        <v>1841</v>
      </c>
    </row>
    <row r="972" spans="1:6" ht="31.75">
      <c r="A972" s="24">
        <v>22602</v>
      </c>
      <c r="B972" s="12" t="str">
        <f t="shared" si="15"/>
        <v>226</v>
      </c>
      <c r="C972" s="26" t="s">
        <v>1923</v>
      </c>
      <c r="D972" s="13" t="str">
        <f>IF(RIGHT(A972,3)="000",C972,VLOOKUP(B972,'Справочник ИХ'!A:C,3,0))</f>
        <v>Нефтяные грузы</v>
      </c>
      <c r="E972" s="13">
        <f>IF(RIGHT(A972,3)="000","х",VLOOKUP(B972,'Справочник ИХ'!A:D,4,0))</f>
        <v>1</v>
      </c>
      <c r="F972" s="14" t="s">
        <v>1841</v>
      </c>
    </row>
    <row r="973" spans="1:6" ht="31.75">
      <c r="A973" s="24">
        <v>22604</v>
      </c>
      <c r="B973" s="12" t="str">
        <f t="shared" si="15"/>
        <v>226</v>
      </c>
      <c r="C973" s="26" t="s">
        <v>1924</v>
      </c>
      <c r="D973" s="13" t="str">
        <f>IF(RIGHT(A973,3)="000",C973,VLOOKUP(B973,'Справочник ИХ'!A:C,3,0))</f>
        <v>Нефтяные грузы</v>
      </c>
      <c r="E973" s="13">
        <f>IF(RIGHT(A973,3)="000","х",VLOOKUP(B973,'Справочник ИХ'!A:D,4,0))</f>
        <v>1</v>
      </c>
      <c r="F973" s="14" t="s">
        <v>1841</v>
      </c>
    </row>
    <row r="974" spans="1:6" ht="31.75">
      <c r="A974" s="24">
        <v>22605</v>
      </c>
      <c r="B974" s="12" t="str">
        <f t="shared" si="15"/>
        <v>226</v>
      </c>
      <c r="C974" s="26" t="s">
        <v>1925</v>
      </c>
      <c r="D974" s="13" t="str">
        <f>IF(RIGHT(A974,3)="000",C974,VLOOKUP(B974,'Справочник ИХ'!A:C,3,0))</f>
        <v>Нефтяные грузы</v>
      </c>
      <c r="E974" s="13">
        <f>IF(RIGHT(A974,3)="000","х",VLOOKUP(B974,'Справочник ИХ'!A:D,4,0))</f>
        <v>1</v>
      </c>
      <c r="F974" s="14" t="s">
        <v>1841</v>
      </c>
    </row>
    <row r="975" spans="1:6" ht="31.75">
      <c r="A975" s="24">
        <v>22606</v>
      </c>
      <c r="B975" s="12" t="str">
        <f t="shared" si="15"/>
        <v>226</v>
      </c>
      <c r="C975" s="26" t="s">
        <v>1926</v>
      </c>
      <c r="D975" s="13" t="str">
        <f>IF(RIGHT(A975,3)="000",C975,VLOOKUP(B975,'Справочник ИХ'!A:C,3,0))</f>
        <v>Нефтяные грузы</v>
      </c>
      <c r="E975" s="13">
        <f>IF(RIGHT(A975,3)="000","х",VLOOKUP(B975,'Справочник ИХ'!A:D,4,0))</f>
        <v>1</v>
      </c>
      <c r="F975" s="14" t="s">
        <v>1841</v>
      </c>
    </row>
    <row r="976" spans="1:6" ht="31.75">
      <c r="A976" s="24">
        <v>22607</v>
      </c>
      <c r="B976" s="12" t="str">
        <f t="shared" si="15"/>
        <v>226</v>
      </c>
      <c r="C976" s="26" t="s">
        <v>1927</v>
      </c>
      <c r="D976" s="13" t="str">
        <f>IF(RIGHT(A976,3)="000",C976,VLOOKUP(B976,'Справочник ИХ'!A:C,3,0))</f>
        <v>Нефтяные грузы</v>
      </c>
      <c r="E976" s="13">
        <f>IF(RIGHT(A976,3)="000","х",VLOOKUP(B976,'Справочник ИХ'!A:D,4,0))</f>
        <v>1</v>
      </c>
      <c r="F976" s="14" t="s">
        <v>1841</v>
      </c>
    </row>
    <row r="977" spans="1:6" ht="31.75">
      <c r="A977" s="24">
        <v>22609</v>
      </c>
      <c r="B977" s="12" t="str">
        <f t="shared" si="15"/>
        <v>226</v>
      </c>
      <c r="C977" s="26" t="s">
        <v>1928</v>
      </c>
      <c r="D977" s="13" t="str">
        <f>IF(RIGHT(A977,3)="000",C977,VLOOKUP(B977,'Справочник ИХ'!A:C,3,0))</f>
        <v>Нефтяные грузы</v>
      </c>
      <c r="E977" s="13">
        <f>IF(RIGHT(A977,3)="000","х",VLOOKUP(B977,'Справочник ИХ'!A:D,4,0))</f>
        <v>1</v>
      </c>
      <c r="F977" s="14" t="s">
        <v>1841</v>
      </c>
    </row>
    <row r="978" spans="1:6" ht="31.75">
      <c r="A978" s="24">
        <v>22610</v>
      </c>
      <c r="B978" s="12" t="str">
        <f t="shared" si="15"/>
        <v>226</v>
      </c>
      <c r="C978" s="26" t="s">
        <v>1929</v>
      </c>
      <c r="D978" s="13" t="str">
        <f>IF(RIGHT(A978,3)="000",C978,VLOOKUP(B978,'Справочник ИХ'!A:C,3,0))</f>
        <v>Нефтяные грузы</v>
      </c>
      <c r="E978" s="13">
        <f>IF(RIGHT(A978,3)="000","х",VLOOKUP(B978,'Справочник ИХ'!A:D,4,0))</f>
        <v>1</v>
      </c>
      <c r="F978" s="14" t="s">
        <v>1841</v>
      </c>
    </row>
    <row r="979" spans="1:6" ht="31.75">
      <c r="A979" s="24">
        <v>22611</v>
      </c>
      <c r="B979" s="12" t="str">
        <f t="shared" si="15"/>
        <v>226</v>
      </c>
      <c r="C979" s="26" t="s">
        <v>1930</v>
      </c>
      <c r="D979" s="13" t="str">
        <f>IF(RIGHT(A979,3)="000",C979,VLOOKUP(B979,'Справочник ИХ'!A:C,3,0))</f>
        <v>Нефтяные грузы</v>
      </c>
      <c r="E979" s="13">
        <f>IF(RIGHT(A979,3)="000","х",VLOOKUP(B979,'Справочник ИХ'!A:D,4,0))</f>
        <v>1</v>
      </c>
      <c r="F979" s="14" t="s">
        <v>1841</v>
      </c>
    </row>
    <row r="980" spans="1:6" ht="31.75">
      <c r="A980" s="24">
        <v>22612</v>
      </c>
      <c r="B980" s="12" t="str">
        <f t="shared" si="15"/>
        <v>226</v>
      </c>
      <c r="C980" s="26" t="s">
        <v>1931</v>
      </c>
      <c r="D980" s="13" t="str">
        <f>IF(RIGHT(A980,3)="000",C980,VLOOKUP(B980,'Справочник ИХ'!A:C,3,0))</f>
        <v>Нефтяные грузы</v>
      </c>
      <c r="E980" s="13">
        <f>IF(RIGHT(A980,3)="000","х",VLOOKUP(B980,'Справочник ИХ'!A:D,4,0))</f>
        <v>1</v>
      </c>
      <c r="F980" s="14" t="s">
        <v>1841</v>
      </c>
    </row>
    <row r="981" spans="1:6" ht="31.75">
      <c r="A981" s="24">
        <v>22613</v>
      </c>
      <c r="B981" s="12" t="str">
        <f t="shared" si="15"/>
        <v>226</v>
      </c>
      <c r="C981" s="26" t="s">
        <v>1932</v>
      </c>
      <c r="D981" s="13" t="str">
        <f>IF(RIGHT(A981,3)="000",C981,VLOOKUP(B981,'Справочник ИХ'!A:C,3,0))</f>
        <v>Нефтяные грузы</v>
      </c>
      <c r="E981" s="13">
        <f>IF(RIGHT(A981,3)="000","х",VLOOKUP(B981,'Справочник ИХ'!A:D,4,0))</f>
        <v>1</v>
      </c>
      <c r="F981" s="14" t="s">
        <v>1841</v>
      </c>
    </row>
    <row r="982" spans="1:6" ht="31.75">
      <c r="A982" s="24">
        <v>22614</v>
      </c>
      <c r="B982" s="12" t="str">
        <f t="shared" si="15"/>
        <v>226</v>
      </c>
      <c r="C982" s="26" t="s">
        <v>1933</v>
      </c>
      <c r="D982" s="13" t="str">
        <f>IF(RIGHT(A982,3)="000",C982,VLOOKUP(B982,'Справочник ИХ'!A:C,3,0))</f>
        <v>Нефтяные грузы</v>
      </c>
      <c r="E982" s="13">
        <f>IF(RIGHT(A982,3)="000","х",VLOOKUP(B982,'Справочник ИХ'!A:D,4,0))</f>
        <v>1</v>
      </c>
      <c r="F982" s="14" t="s">
        <v>1841</v>
      </c>
    </row>
    <row r="983" spans="1:6" ht="31.75">
      <c r="A983" s="24">
        <v>22615</v>
      </c>
      <c r="B983" s="12" t="str">
        <f t="shared" si="15"/>
        <v>226</v>
      </c>
      <c r="C983" s="26" t="s">
        <v>1934</v>
      </c>
      <c r="D983" s="13" t="str">
        <f>IF(RIGHT(A983,3)="000",C983,VLOOKUP(B983,'Справочник ИХ'!A:C,3,0))</f>
        <v>Нефтяные грузы</v>
      </c>
      <c r="E983" s="13">
        <f>IF(RIGHT(A983,3)="000","х",VLOOKUP(B983,'Справочник ИХ'!A:D,4,0))</f>
        <v>1</v>
      </c>
      <c r="F983" s="14" t="s">
        <v>1841</v>
      </c>
    </row>
    <row r="984" spans="1:6" ht="31.75">
      <c r="A984" s="24">
        <v>22616</v>
      </c>
      <c r="B984" s="12" t="str">
        <f t="shared" si="15"/>
        <v>226</v>
      </c>
      <c r="C984" s="26" t="s">
        <v>1935</v>
      </c>
      <c r="D984" s="13" t="str">
        <f>IF(RIGHT(A984,3)="000",C984,VLOOKUP(B984,'Справочник ИХ'!A:C,3,0))</f>
        <v>Нефтяные грузы</v>
      </c>
      <c r="E984" s="13">
        <f>IF(RIGHT(A984,3)="000","х",VLOOKUP(B984,'Справочник ИХ'!A:D,4,0))</f>
        <v>1</v>
      </c>
      <c r="F984" s="14" t="s">
        <v>1841</v>
      </c>
    </row>
    <row r="985" spans="1:6" ht="31.75">
      <c r="A985" s="24">
        <v>22617</v>
      </c>
      <c r="B985" s="12" t="str">
        <f t="shared" si="15"/>
        <v>226</v>
      </c>
      <c r="C985" s="26" t="s">
        <v>1936</v>
      </c>
      <c r="D985" s="13" t="str">
        <f>IF(RIGHT(A985,3)="000",C985,VLOOKUP(B985,'Справочник ИХ'!A:C,3,0))</f>
        <v>Нефтяные грузы</v>
      </c>
      <c r="E985" s="13">
        <f>IF(RIGHT(A985,3)="000","х",VLOOKUP(B985,'Справочник ИХ'!A:D,4,0))</f>
        <v>1</v>
      </c>
      <c r="F985" s="14" t="s">
        <v>1841</v>
      </c>
    </row>
    <row r="986" spans="1:6" ht="31.75">
      <c r="A986" s="24">
        <v>22618</v>
      </c>
      <c r="B986" s="12" t="str">
        <f t="shared" si="15"/>
        <v>226</v>
      </c>
      <c r="C986" s="26" t="s">
        <v>1937</v>
      </c>
      <c r="D986" s="13" t="str">
        <f>IF(RIGHT(A986,3)="000",C986,VLOOKUP(B986,'Справочник ИХ'!A:C,3,0))</f>
        <v>Нефтяные грузы</v>
      </c>
      <c r="E986" s="13">
        <f>IF(RIGHT(A986,3)="000","х",VLOOKUP(B986,'Справочник ИХ'!A:D,4,0))</f>
        <v>1</v>
      </c>
      <c r="F986" s="14" t="s">
        <v>1841</v>
      </c>
    </row>
    <row r="987" spans="1:6" ht="31.75">
      <c r="A987" s="24">
        <v>22619</v>
      </c>
      <c r="B987" s="12" t="str">
        <f t="shared" si="15"/>
        <v>226</v>
      </c>
      <c r="C987" s="26" t="s">
        <v>1938</v>
      </c>
      <c r="D987" s="13" t="str">
        <f>IF(RIGHT(A987,3)="000",C987,VLOOKUP(B987,'Справочник ИХ'!A:C,3,0))</f>
        <v>Нефтяные грузы</v>
      </c>
      <c r="E987" s="13">
        <f>IF(RIGHT(A987,3)="000","х",VLOOKUP(B987,'Справочник ИХ'!A:D,4,0))</f>
        <v>1</v>
      </c>
      <c r="F987" s="14" t="s">
        <v>1841</v>
      </c>
    </row>
    <row r="988" spans="1:6" ht="31.75">
      <c r="A988" s="24">
        <v>22620</v>
      </c>
      <c r="B988" s="12" t="str">
        <f t="shared" si="15"/>
        <v>226</v>
      </c>
      <c r="C988" s="26" t="s">
        <v>1939</v>
      </c>
      <c r="D988" s="13" t="str">
        <f>IF(RIGHT(A988,3)="000",C988,VLOOKUP(B988,'Справочник ИХ'!A:C,3,0))</f>
        <v>Нефтяные грузы</v>
      </c>
      <c r="E988" s="13">
        <f>IF(RIGHT(A988,3)="000","х",VLOOKUP(B988,'Справочник ИХ'!A:D,4,0))</f>
        <v>1</v>
      </c>
      <c r="F988" s="14" t="s">
        <v>1841</v>
      </c>
    </row>
    <row r="989" spans="1:6" ht="31.75">
      <c r="A989" s="24">
        <v>22621</v>
      </c>
      <c r="B989" s="12" t="str">
        <f t="shared" si="15"/>
        <v>226</v>
      </c>
      <c r="C989" s="26" t="s">
        <v>1940</v>
      </c>
      <c r="D989" s="13" t="str">
        <f>IF(RIGHT(A989,3)="000",C989,VLOOKUP(B989,'Справочник ИХ'!A:C,3,0))</f>
        <v>Нефтяные грузы</v>
      </c>
      <c r="E989" s="13">
        <f>IF(RIGHT(A989,3)="000","х",VLOOKUP(B989,'Справочник ИХ'!A:D,4,0))</f>
        <v>1</v>
      </c>
      <c r="F989" s="14" t="s">
        <v>1841</v>
      </c>
    </row>
    <row r="990" spans="1:6" ht="31.75">
      <c r="A990" s="24">
        <v>22622</v>
      </c>
      <c r="B990" s="12" t="str">
        <f t="shared" si="15"/>
        <v>226</v>
      </c>
      <c r="C990" s="26" t="s">
        <v>1941</v>
      </c>
      <c r="D990" s="13" t="str">
        <f>IF(RIGHT(A990,3)="000",C990,VLOOKUP(B990,'Справочник ИХ'!A:C,3,0))</f>
        <v>Нефтяные грузы</v>
      </c>
      <c r="E990" s="13">
        <f>IF(RIGHT(A990,3)="000","х",VLOOKUP(B990,'Справочник ИХ'!A:D,4,0))</f>
        <v>1</v>
      </c>
      <c r="F990" s="14" t="s">
        <v>1841</v>
      </c>
    </row>
    <row r="991" spans="1:6" ht="31.75">
      <c r="A991" s="24">
        <v>22623</v>
      </c>
      <c r="B991" s="12" t="str">
        <f t="shared" si="15"/>
        <v>226</v>
      </c>
      <c r="C991" s="26" t="s">
        <v>1942</v>
      </c>
      <c r="D991" s="13" t="str">
        <f>IF(RIGHT(A991,3)="000",C991,VLOOKUP(B991,'Справочник ИХ'!A:C,3,0))</f>
        <v>Нефтяные грузы</v>
      </c>
      <c r="E991" s="13">
        <f>IF(RIGHT(A991,3)="000","х",VLOOKUP(B991,'Справочник ИХ'!A:D,4,0))</f>
        <v>1</v>
      </c>
      <c r="F991" s="14" t="s">
        <v>1841</v>
      </c>
    </row>
    <row r="992" spans="1:6" ht="31.75">
      <c r="A992" s="24">
        <v>22624</v>
      </c>
      <c r="B992" s="12" t="str">
        <f t="shared" si="15"/>
        <v>226</v>
      </c>
      <c r="C992" s="26" t="s">
        <v>1943</v>
      </c>
      <c r="D992" s="13" t="str">
        <f>IF(RIGHT(A992,3)="000",C992,VLOOKUP(B992,'Справочник ИХ'!A:C,3,0))</f>
        <v>Нефтяные грузы</v>
      </c>
      <c r="E992" s="13">
        <f>IF(RIGHT(A992,3)="000","х",VLOOKUP(B992,'Справочник ИХ'!A:D,4,0))</f>
        <v>1</v>
      </c>
      <c r="F992" s="14" t="s">
        <v>1841</v>
      </c>
    </row>
    <row r="993" spans="1:6" ht="31.75">
      <c r="A993" s="24">
        <v>22625</v>
      </c>
      <c r="B993" s="12" t="str">
        <f t="shared" si="15"/>
        <v>226</v>
      </c>
      <c r="C993" s="26" t="s">
        <v>1944</v>
      </c>
      <c r="D993" s="13" t="str">
        <f>IF(RIGHT(A993,3)="000",C993,VLOOKUP(B993,'Справочник ИХ'!A:C,3,0))</f>
        <v>Нефтяные грузы</v>
      </c>
      <c r="E993" s="13">
        <f>IF(RIGHT(A993,3)="000","х",VLOOKUP(B993,'Справочник ИХ'!A:D,4,0))</f>
        <v>1</v>
      </c>
      <c r="F993" s="14" t="s">
        <v>1841</v>
      </c>
    </row>
    <row r="994" spans="1:6" ht="31.75">
      <c r="A994" s="24">
        <v>22626</v>
      </c>
      <c r="B994" s="12" t="str">
        <f t="shared" si="15"/>
        <v>226</v>
      </c>
      <c r="C994" s="26" t="s">
        <v>1945</v>
      </c>
      <c r="D994" s="13" t="str">
        <f>IF(RIGHT(A994,3)="000",C994,VLOOKUP(B994,'Справочник ИХ'!A:C,3,0))</f>
        <v>Нефтяные грузы</v>
      </c>
      <c r="E994" s="13">
        <f>IF(RIGHT(A994,3)="000","х",VLOOKUP(B994,'Справочник ИХ'!A:D,4,0))</f>
        <v>1</v>
      </c>
      <c r="F994" s="14" t="s">
        <v>1841</v>
      </c>
    </row>
    <row r="995" spans="1:6" ht="31.75">
      <c r="A995" s="24">
        <v>22627</v>
      </c>
      <c r="B995" s="12" t="str">
        <f t="shared" si="15"/>
        <v>226</v>
      </c>
      <c r="C995" s="26" t="s">
        <v>1946</v>
      </c>
      <c r="D995" s="13" t="str">
        <f>IF(RIGHT(A995,3)="000",C995,VLOOKUP(B995,'Справочник ИХ'!A:C,3,0))</f>
        <v>Нефтяные грузы</v>
      </c>
      <c r="E995" s="13">
        <f>IF(RIGHT(A995,3)="000","х",VLOOKUP(B995,'Справочник ИХ'!A:D,4,0))</f>
        <v>1</v>
      </c>
      <c r="F995" s="14" t="s">
        <v>1841</v>
      </c>
    </row>
    <row r="996" spans="1:6" ht="31.75">
      <c r="A996" s="24">
        <v>22628</v>
      </c>
      <c r="B996" s="12" t="str">
        <f t="shared" si="15"/>
        <v>226</v>
      </c>
      <c r="C996" s="26" t="s">
        <v>1947</v>
      </c>
      <c r="D996" s="13" t="str">
        <f>IF(RIGHT(A996,3)="000",C996,VLOOKUP(B996,'Справочник ИХ'!A:C,3,0))</f>
        <v>Нефтяные грузы</v>
      </c>
      <c r="E996" s="13">
        <f>IF(RIGHT(A996,3)="000","х",VLOOKUP(B996,'Справочник ИХ'!A:D,4,0))</f>
        <v>1</v>
      </c>
      <c r="F996" s="14" t="s">
        <v>1841</v>
      </c>
    </row>
    <row r="997" spans="1:6" ht="31.75">
      <c r="A997" s="24">
        <v>22629</v>
      </c>
      <c r="B997" s="12" t="str">
        <f t="shared" si="15"/>
        <v>226</v>
      </c>
      <c r="C997" s="26" t="s">
        <v>1948</v>
      </c>
      <c r="D997" s="13" t="str">
        <f>IF(RIGHT(A997,3)="000",C997,VLOOKUP(B997,'Справочник ИХ'!A:C,3,0))</f>
        <v>Нефтяные грузы</v>
      </c>
      <c r="E997" s="13">
        <f>IF(RIGHT(A997,3)="000","х",VLOOKUP(B997,'Справочник ИХ'!A:D,4,0))</f>
        <v>1</v>
      </c>
      <c r="F997" s="14" t="s">
        <v>1841</v>
      </c>
    </row>
    <row r="998" spans="1:6" ht="31.75">
      <c r="A998" s="24">
        <v>22630</v>
      </c>
      <c r="B998" s="12" t="str">
        <f t="shared" si="15"/>
        <v>226</v>
      </c>
      <c r="C998" s="26" t="s">
        <v>1949</v>
      </c>
      <c r="D998" s="13" t="str">
        <f>IF(RIGHT(A998,3)="000",C998,VLOOKUP(B998,'Справочник ИХ'!A:C,3,0))</f>
        <v>Нефтяные грузы</v>
      </c>
      <c r="E998" s="13">
        <f>IF(RIGHT(A998,3)="000","х",VLOOKUP(B998,'Справочник ИХ'!A:D,4,0))</f>
        <v>1</v>
      </c>
      <c r="F998" s="14" t="s">
        <v>1841</v>
      </c>
    </row>
    <row r="999" spans="1:6" ht="63.45">
      <c r="A999" s="19"/>
      <c r="B999" s="12" t="str">
        <f t="shared" si="15"/>
        <v/>
      </c>
      <c r="C999" s="11" t="s">
        <v>1950</v>
      </c>
      <c r="D999" s="1" t="str">
        <f>C999</f>
        <v xml:space="preserve">Раздел 5. Минеральное сырье, минерально-строительные материалы и изделия. Абразивы </v>
      </c>
      <c r="E999" s="13" t="s">
        <v>562</v>
      </c>
      <c r="F999" s="14" t="s">
        <v>1841</v>
      </c>
    </row>
    <row r="1000" spans="1:6" ht="95.15">
      <c r="A1000" s="7">
        <v>23000</v>
      </c>
      <c r="B1000" s="12" t="str">
        <f t="shared" si="15"/>
        <v>230</v>
      </c>
      <c r="C1000" s="11" t="s">
        <v>1951</v>
      </c>
      <c r="D1000" s="13" t="str">
        <f>IF(RIGHT(A1000,3)="000",C1000,VLOOKUP(B1000,'Справочник ИХ'!A:C,3,0))</f>
        <v>Материалы минерально-строительные природные. Зола. Шлаки, кроме гранулированных и металлургических для переплавки</v>
      </c>
      <c r="E1000" s="13" t="str">
        <f>IF(RIGHT(A1000,3)="000","х",VLOOKUP(B1000,'Справочник ИХ'!A:D,4,0))</f>
        <v>х</v>
      </c>
      <c r="F1000" s="14" t="s">
        <v>1951</v>
      </c>
    </row>
    <row r="1001" spans="1:6" s="18" customFormat="1" ht="63.45">
      <c r="A1001" s="16">
        <v>23100</v>
      </c>
      <c r="B1001" s="12" t="str">
        <f t="shared" si="15"/>
        <v>231</v>
      </c>
      <c r="C1001" s="17" t="s">
        <v>1952</v>
      </c>
      <c r="D1001" s="13" t="str">
        <f>IF(RIGHT(A1001,3)="000",C1001,VLOOKUP(B1001,'Справочник ИХ'!A:C,3,0))</f>
        <v>Минерально-строит.</v>
      </c>
      <c r="E1001" s="13">
        <f>IF(RIGHT(A1001,3)="000","х",VLOOKUP(B1001,'Справочник ИХ'!A:D,4,0))</f>
        <v>1</v>
      </c>
      <c r="F1001" s="14" t="s">
        <v>1951</v>
      </c>
    </row>
    <row r="1002" spans="1:6" ht="63.45">
      <c r="A1002" s="19">
        <v>23101</v>
      </c>
      <c r="B1002" s="12" t="str">
        <f t="shared" si="15"/>
        <v>231</v>
      </c>
      <c r="C1002" s="1" t="s">
        <v>1953</v>
      </c>
      <c r="D1002" s="13" t="str">
        <f>IF(RIGHT(A1002,3)="000",C1002,VLOOKUP(B1002,'Справочник ИХ'!A:C,3,0))</f>
        <v>Минерально-строит.</v>
      </c>
      <c r="E1002" s="13">
        <f>IF(RIGHT(A1002,3)="000","х",VLOOKUP(B1002,'Справочник ИХ'!A:D,4,0))</f>
        <v>1</v>
      </c>
      <c r="F1002" s="14" t="s">
        <v>1951</v>
      </c>
    </row>
    <row r="1003" spans="1:6" ht="63.45">
      <c r="A1003" s="19">
        <v>23102</v>
      </c>
      <c r="B1003" s="12" t="str">
        <f t="shared" si="15"/>
        <v>231</v>
      </c>
      <c r="C1003" s="1" t="s">
        <v>1954</v>
      </c>
      <c r="D1003" s="13" t="str">
        <f>IF(RIGHT(A1003,3)="000",C1003,VLOOKUP(B1003,'Справочник ИХ'!A:C,3,0))</f>
        <v>Минерально-строит.</v>
      </c>
      <c r="E1003" s="13">
        <f>IF(RIGHT(A1003,3)="000","х",VLOOKUP(B1003,'Справочник ИХ'!A:D,4,0))</f>
        <v>1</v>
      </c>
      <c r="F1003" s="14" t="s">
        <v>1951</v>
      </c>
    </row>
    <row r="1004" spans="1:6" ht="63.45">
      <c r="A1004" s="19">
        <v>23103</v>
      </c>
      <c r="B1004" s="12" t="str">
        <f t="shared" si="15"/>
        <v>231</v>
      </c>
      <c r="C1004" s="1" t="s">
        <v>1955</v>
      </c>
      <c r="D1004" s="13" t="str">
        <f>IF(RIGHT(A1004,3)="000",C1004,VLOOKUP(B1004,'Справочник ИХ'!A:C,3,0))</f>
        <v>Минерально-строит.</v>
      </c>
      <c r="E1004" s="13">
        <f>IF(RIGHT(A1004,3)="000","х",VLOOKUP(B1004,'Справочник ИХ'!A:D,4,0))</f>
        <v>1</v>
      </c>
      <c r="F1004" s="14" t="s">
        <v>1951</v>
      </c>
    </row>
    <row r="1005" spans="1:6" ht="63.45">
      <c r="A1005" s="19">
        <v>23104</v>
      </c>
      <c r="B1005" s="12" t="str">
        <f t="shared" si="15"/>
        <v>231</v>
      </c>
      <c r="C1005" s="1" t="s">
        <v>1956</v>
      </c>
      <c r="D1005" s="13" t="str">
        <f>IF(RIGHT(A1005,3)="000",C1005,VLOOKUP(B1005,'Справочник ИХ'!A:C,3,0))</f>
        <v>Минерально-строит.</v>
      </c>
      <c r="E1005" s="13">
        <f>IF(RIGHT(A1005,3)="000","х",VLOOKUP(B1005,'Справочник ИХ'!A:D,4,0))</f>
        <v>1</v>
      </c>
      <c r="F1005" s="14" t="s">
        <v>1951</v>
      </c>
    </row>
    <row r="1006" spans="1:6" ht="63.45">
      <c r="A1006" s="19">
        <v>23105</v>
      </c>
      <c r="B1006" s="12" t="str">
        <f t="shared" si="15"/>
        <v>231</v>
      </c>
      <c r="C1006" s="1" t="s">
        <v>1957</v>
      </c>
      <c r="D1006" s="13" t="str">
        <f>IF(RIGHT(A1006,3)="000",C1006,VLOOKUP(B1006,'Справочник ИХ'!A:C,3,0))</f>
        <v>Минерально-строит.</v>
      </c>
      <c r="E1006" s="13">
        <f>IF(RIGHT(A1006,3)="000","х",VLOOKUP(B1006,'Справочник ИХ'!A:D,4,0))</f>
        <v>1</v>
      </c>
      <c r="F1006" s="14" t="s">
        <v>1951</v>
      </c>
    </row>
    <row r="1007" spans="1:6" ht="63.45">
      <c r="A1007" s="19">
        <v>23106</v>
      </c>
      <c r="B1007" s="12" t="str">
        <f t="shared" si="15"/>
        <v>231</v>
      </c>
      <c r="C1007" s="1" t="s">
        <v>1958</v>
      </c>
      <c r="D1007" s="13" t="str">
        <f>IF(RIGHT(A1007,3)="000",C1007,VLOOKUP(B1007,'Справочник ИХ'!A:C,3,0))</f>
        <v>Минерально-строит.</v>
      </c>
      <c r="E1007" s="13">
        <f>IF(RIGHT(A1007,3)="000","х",VLOOKUP(B1007,'Справочник ИХ'!A:D,4,0))</f>
        <v>1</v>
      </c>
      <c r="F1007" s="14" t="s">
        <v>1951</v>
      </c>
    </row>
    <row r="1008" spans="1:6" ht="63.45">
      <c r="A1008" s="19">
        <v>23107</v>
      </c>
      <c r="B1008" s="12" t="str">
        <f t="shared" si="15"/>
        <v>231</v>
      </c>
      <c r="C1008" s="1" t="s">
        <v>1959</v>
      </c>
      <c r="D1008" s="13" t="str">
        <f>IF(RIGHT(A1008,3)="000",C1008,VLOOKUP(B1008,'Справочник ИХ'!A:C,3,0))</f>
        <v>Минерально-строит.</v>
      </c>
      <c r="E1008" s="13">
        <f>IF(RIGHT(A1008,3)="000","х",VLOOKUP(B1008,'Справочник ИХ'!A:D,4,0))</f>
        <v>1</v>
      </c>
      <c r="F1008" s="14" t="s">
        <v>1951</v>
      </c>
    </row>
    <row r="1009" spans="1:6" ht="63.45">
      <c r="A1009" s="19">
        <v>23108</v>
      </c>
      <c r="B1009" s="12" t="str">
        <f t="shared" si="15"/>
        <v>231</v>
      </c>
      <c r="C1009" s="1" t="s">
        <v>1960</v>
      </c>
      <c r="D1009" s="13" t="str">
        <f>IF(RIGHT(A1009,3)="000",C1009,VLOOKUP(B1009,'Справочник ИХ'!A:C,3,0))</f>
        <v>Минерально-строит.</v>
      </c>
      <c r="E1009" s="13">
        <f>IF(RIGHT(A1009,3)="000","х",VLOOKUP(B1009,'Справочник ИХ'!A:D,4,0))</f>
        <v>1</v>
      </c>
      <c r="F1009" s="14" t="s">
        <v>1951</v>
      </c>
    </row>
    <row r="1010" spans="1:6" ht="63.45">
      <c r="A1010" s="19">
        <v>23109</v>
      </c>
      <c r="B1010" s="12" t="str">
        <f t="shared" si="15"/>
        <v>231</v>
      </c>
      <c r="C1010" s="1" t="s">
        <v>1961</v>
      </c>
      <c r="D1010" s="13" t="str">
        <f>IF(RIGHT(A1010,3)="000",C1010,VLOOKUP(B1010,'Справочник ИХ'!A:C,3,0))</f>
        <v>Минерально-строит.</v>
      </c>
      <c r="E1010" s="13">
        <f>IF(RIGHT(A1010,3)="000","х",VLOOKUP(B1010,'Справочник ИХ'!A:D,4,0))</f>
        <v>1</v>
      </c>
      <c r="F1010" s="14" t="s">
        <v>1951</v>
      </c>
    </row>
    <row r="1011" spans="1:6" ht="63.45">
      <c r="A1011" s="19">
        <v>23110</v>
      </c>
      <c r="B1011" s="12" t="str">
        <f t="shared" si="15"/>
        <v>231</v>
      </c>
      <c r="C1011" s="1" t="s">
        <v>1962</v>
      </c>
      <c r="D1011" s="13" t="str">
        <f>IF(RIGHT(A1011,3)="000",C1011,VLOOKUP(B1011,'Справочник ИХ'!A:C,3,0))</f>
        <v>Минерально-строит.</v>
      </c>
      <c r="E1011" s="13">
        <f>IF(RIGHT(A1011,3)="000","х",VLOOKUP(B1011,'Справочник ИХ'!A:D,4,0))</f>
        <v>1</v>
      </c>
      <c r="F1011" s="14" t="s">
        <v>1951</v>
      </c>
    </row>
    <row r="1012" spans="1:6" ht="63.45">
      <c r="A1012" s="19">
        <v>23111</v>
      </c>
      <c r="B1012" s="12" t="str">
        <f t="shared" si="15"/>
        <v>231</v>
      </c>
      <c r="C1012" s="1" t="s">
        <v>1963</v>
      </c>
      <c r="D1012" s="13" t="str">
        <f>IF(RIGHT(A1012,3)="000",C1012,VLOOKUP(B1012,'Справочник ИХ'!A:C,3,0))</f>
        <v>Минерально-строит.</v>
      </c>
      <c r="E1012" s="13">
        <f>IF(RIGHT(A1012,3)="000","х",VLOOKUP(B1012,'Справочник ИХ'!A:D,4,0))</f>
        <v>1</v>
      </c>
      <c r="F1012" s="14" t="s">
        <v>1951</v>
      </c>
    </row>
    <row r="1013" spans="1:6" ht="63.45">
      <c r="A1013" s="19">
        <v>23112</v>
      </c>
      <c r="B1013" s="12" t="str">
        <f t="shared" si="15"/>
        <v>231</v>
      </c>
      <c r="C1013" s="1" t="s">
        <v>1964</v>
      </c>
      <c r="D1013" s="13" t="str">
        <f>IF(RIGHT(A1013,3)="000",C1013,VLOOKUP(B1013,'Справочник ИХ'!A:C,3,0))</f>
        <v>Минерально-строит.</v>
      </c>
      <c r="E1013" s="13">
        <f>IF(RIGHT(A1013,3)="000","х",VLOOKUP(B1013,'Справочник ИХ'!A:D,4,0))</f>
        <v>1</v>
      </c>
      <c r="F1013" s="14" t="s">
        <v>1951</v>
      </c>
    </row>
    <row r="1014" spans="1:6" ht="63.45">
      <c r="A1014" s="19">
        <v>23113</v>
      </c>
      <c r="B1014" s="12" t="str">
        <f t="shared" si="15"/>
        <v>231</v>
      </c>
      <c r="C1014" s="1" t="s">
        <v>1965</v>
      </c>
      <c r="D1014" s="13" t="str">
        <f>IF(RIGHT(A1014,3)="000",C1014,VLOOKUP(B1014,'Справочник ИХ'!A:C,3,0))</f>
        <v>Минерально-строит.</v>
      </c>
      <c r="E1014" s="13">
        <f>IF(RIGHT(A1014,3)="000","х",VLOOKUP(B1014,'Справочник ИХ'!A:D,4,0))</f>
        <v>1</v>
      </c>
      <c r="F1014" s="14" t="s">
        <v>1951</v>
      </c>
    </row>
    <row r="1015" spans="1:6" s="18" customFormat="1" ht="63.45">
      <c r="A1015" s="16">
        <v>23200</v>
      </c>
      <c r="B1015" s="12" t="str">
        <f t="shared" si="15"/>
        <v>232</v>
      </c>
      <c r="C1015" s="17" t="s">
        <v>1966</v>
      </c>
      <c r="D1015" s="13" t="str">
        <f>IF(RIGHT(A1015,3)="000",C1015,VLOOKUP(B1015,'Справочник ИХ'!A:C,3,0))</f>
        <v>Минерально-строит.</v>
      </c>
      <c r="E1015" s="13">
        <f>IF(RIGHT(A1015,3)="000","х",VLOOKUP(B1015,'Справочник ИХ'!A:D,4,0))</f>
        <v>1</v>
      </c>
      <c r="F1015" s="14" t="s">
        <v>1951</v>
      </c>
    </row>
    <row r="1016" spans="1:6" ht="63.45">
      <c r="A1016" s="19">
        <v>23201</v>
      </c>
      <c r="B1016" s="12" t="str">
        <f t="shared" si="15"/>
        <v>232</v>
      </c>
      <c r="C1016" s="1" t="s">
        <v>1967</v>
      </c>
      <c r="D1016" s="13" t="str">
        <f>IF(RIGHT(A1016,3)="000",C1016,VLOOKUP(B1016,'Справочник ИХ'!A:C,3,0))</f>
        <v>Минерально-строит.</v>
      </c>
      <c r="E1016" s="13">
        <f>IF(RIGHT(A1016,3)="000","х",VLOOKUP(B1016,'Справочник ИХ'!A:D,4,0))</f>
        <v>1</v>
      </c>
      <c r="F1016" s="14" t="s">
        <v>1951</v>
      </c>
    </row>
    <row r="1017" spans="1:6" ht="63.45">
      <c r="A1017" s="19">
        <v>23202</v>
      </c>
      <c r="B1017" s="12" t="str">
        <f t="shared" si="15"/>
        <v>232</v>
      </c>
      <c r="C1017" s="1" t="s">
        <v>1968</v>
      </c>
      <c r="D1017" s="13" t="str">
        <f>IF(RIGHT(A1017,3)="000",C1017,VLOOKUP(B1017,'Справочник ИХ'!A:C,3,0))</f>
        <v>Минерально-строит.</v>
      </c>
      <c r="E1017" s="13">
        <f>IF(RIGHT(A1017,3)="000","х",VLOOKUP(B1017,'Справочник ИХ'!A:D,4,0))</f>
        <v>1</v>
      </c>
      <c r="F1017" s="14" t="s">
        <v>1951</v>
      </c>
    </row>
    <row r="1018" spans="1:6" ht="63.45">
      <c r="A1018" s="19">
        <v>23203</v>
      </c>
      <c r="B1018" s="12" t="str">
        <f t="shared" si="15"/>
        <v>232</v>
      </c>
      <c r="C1018" s="1" t="s">
        <v>1969</v>
      </c>
      <c r="D1018" s="13" t="str">
        <f>IF(RIGHT(A1018,3)="000",C1018,VLOOKUP(B1018,'Справочник ИХ'!A:C,3,0))</f>
        <v>Минерально-строит.</v>
      </c>
      <c r="E1018" s="13">
        <f>IF(RIGHT(A1018,3)="000","х",VLOOKUP(B1018,'Справочник ИХ'!A:D,4,0))</f>
        <v>1</v>
      </c>
      <c r="F1018" s="14" t="s">
        <v>1951</v>
      </c>
    </row>
    <row r="1019" spans="1:6" ht="63.45">
      <c r="A1019" s="19">
        <v>23204</v>
      </c>
      <c r="B1019" s="12" t="str">
        <f t="shared" si="15"/>
        <v>232</v>
      </c>
      <c r="C1019" s="1" t="s">
        <v>1970</v>
      </c>
      <c r="D1019" s="13" t="str">
        <f>IF(RIGHT(A1019,3)="000",C1019,VLOOKUP(B1019,'Справочник ИХ'!A:C,3,0))</f>
        <v>Минерально-строит.</v>
      </c>
      <c r="E1019" s="13">
        <f>IF(RIGHT(A1019,3)="000","х",VLOOKUP(B1019,'Справочник ИХ'!A:D,4,0))</f>
        <v>1</v>
      </c>
      <c r="F1019" s="14" t="s">
        <v>1951</v>
      </c>
    </row>
    <row r="1020" spans="1:6" ht="63.45">
      <c r="A1020" s="19">
        <v>23205</v>
      </c>
      <c r="B1020" s="12" t="str">
        <f t="shared" si="15"/>
        <v>232</v>
      </c>
      <c r="C1020" s="1" t="s">
        <v>1971</v>
      </c>
      <c r="D1020" s="13" t="str">
        <f>IF(RIGHT(A1020,3)="000",C1020,VLOOKUP(B1020,'Справочник ИХ'!A:C,3,0))</f>
        <v>Минерально-строит.</v>
      </c>
      <c r="E1020" s="13">
        <f>IF(RIGHT(A1020,3)="000","х",VLOOKUP(B1020,'Справочник ИХ'!A:D,4,0))</f>
        <v>1</v>
      </c>
      <c r="F1020" s="14" t="s">
        <v>1951</v>
      </c>
    </row>
    <row r="1021" spans="1:6" ht="63.45">
      <c r="A1021" s="19">
        <v>23206</v>
      </c>
      <c r="B1021" s="12" t="str">
        <f t="shared" si="15"/>
        <v>232</v>
      </c>
      <c r="C1021" s="1" t="s">
        <v>1972</v>
      </c>
      <c r="D1021" s="13" t="str">
        <f>IF(RIGHT(A1021,3)="000",C1021,VLOOKUP(B1021,'Справочник ИХ'!A:C,3,0))</f>
        <v>Минерально-строит.</v>
      </c>
      <c r="E1021" s="13">
        <f>IF(RIGHT(A1021,3)="000","х",VLOOKUP(B1021,'Справочник ИХ'!A:D,4,0))</f>
        <v>1</v>
      </c>
      <c r="F1021" s="14" t="s">
        <v>1951</v>
      </c>
    </row>
    <row r="1022" spans="1:6" ht="63.45">
      <c r="A1022" s="19">
        <v>23207</v>
      </c>
      <c r="B1022" s="12" t="str">
        <f t="shared" si="15"/>
        <v>232</v>
      </c>
      <c r="C1022" s="1" t="s">
        <v>1973</v>
      </c>
      <c r="D1022" s="13" t="str">
        <f>IF(RIGHT(A1022,3)="000",C1022,VLOOKUP(B1022,'Справочник ИХ'!A:C,3,0))</f>
        <v>Минерально-строит.</v>
      </c>
      <c r="E1022" s="13">
        <f>IF(RIGHT(A1022,3)="000","х",VLOOKUP(B1022,'Справочник ИХ'!A:D,4,0))</f>
        <v>1</v>
      </c>
      <c r="F1022" s="14" t="s">
        <v>1951</v>
      </c>
    </row>
    <row r="1023" spans="1:6" ht="63.45">
      <c r="A1023" s="19">
        <v>23208</v>
      </c>
      <c r="B1023" s="12" t="str">
        <f t="shared" si="15"/>
        <v>232</v>
      </c>
      <c r="C1023" s="1" t="s">
        <v>1974</v>
      </c>
      <c r="D1023" s="13" t="str">
        <f>IF(RIGHT(A1023,3)="000",C1023,VLOOKUP(B1023,'Справочник ИХ'!A:C,3,0))</f>
        <v>Минерально-строит.</v>
      </c>
      <c r="E1023" s="13">
        <f>IF(RIGHT(A1023,3)="000","х",VLOOKUP(B1023,'Справочник ИХ'!A:D,4,0))</f>
        <v>1</v>
      </c>
      <c r="F1023" s="14" t="s">
        <v>1951</v>
      </c>
    </row>
    <row r="1024" spans="1:6" ht="63.45">
      <c r="A1024" s="19">
        <v>23209</v>
      </c>
      <c r="B1024" s="12" t="str">
        <f t="shared" si="15"/>
        <v>232</v>
      </c>
      <c r="C1024" s="1" t="s">
        <v>1975</v>
      </c>
      <c r="D1024" s="13" t="str">
        <f>IF(RIGHT(A1024,3)="000",C1024,VLOOKUP(B1024,'Справочник ИХ'!A:C,3,0))</f>
        <v>Минерально-строит.</v>
      </c>
      <c r="E1024" s="13">
        <f>IF(RIGHT(A1024,3)="000","х",VLOOKUP(B1024,'Справочник ИХ'!A:D,4,0))</f>
        <v>1</v>
      </c>
      <c r="F1024" s="14" t="s">
        <v>1951</v>
      </c>
    </row>
    <row r="1025" spans="1:6" ht="63.45">
      <c r="A1025" s="19">
        <v>23210</v>
      </c>
      <c r="B1025" s="12" t="str">
        <f t="shared" si="15"/>
        <v>232</v>
      </c>
      <c r="C1025" s="1" t="s">
        <v>1976</v>
      </c>
      <c r="D1025" s="13" t="str">
        <f>IF(RIGHT(A1025,3)="000",C1025,VLOOKUP(B1025,'Справочник ИХ'!A:C,3,0))</f>
        <v>Минерально-строит.</v>
      </c>
      <c r="E1025" s="13">
        <f>IF(RIGHT(A1025,3)="000","х",VLOOKUP(B1025,'Справочник ИХ'!A:D,4,0))</f>
        <v>1</v>
      </c>
      <c r="F1025" s="14" t="s">
        <v>1951</v>
      </c>
    </row>
    <row r="1026" spans="1:6" ht="63.45">
      <c r="A1026" s="19">
        <v>23211</v>
      </c>
      <c r="B1026" s="12" t="str">
        <f t="shared" si="15"/>
        <v>232</v>
      </c>
      <c r="C1026" s="1" t="s">
        <v>1977</v>
      </c>
      <c r="D1026" s="13" t="str">
        <f>IF(RIGHT(A1026,3)="000",C1026,VLOOKUP(B1026,'Справочник ИХ'!A:C,3,0))</f>
        <v>Минерально-строит.</v>
      </c>
      <c r="E1026" s="13">
        <f>IF(RIGHT(A1026,3)="000","х",VLOOKUP(B1026,'Справочник ИХ'!A:D,4,0))</f>
        <v>1</v>
      </c>
      <c r="F1026" s="14" t="s">
        <v>1951</v>
      </c>
    </row>
    <row r="1027" spans="1:6" ht="63.45">
      <c r="A1027" s="19">
        <v>23212</v>
      </c>
      <c r="B1027" s="12" t="str">
        <f t="shared" si="15"/>
        <v>232</v>
      </c>
      <c r="C1027" s="1" t="s">
        <v>1978</v>
      </c>
      <c r="D1027" s="13" t="str">
        <f>IF(RIGHT(A1027,3)="000",C1027,VLOOKUP(B1027,'Справочник ИХ'!A:C,3,0))</f>
        <v>Минерально-строит.</v>
      </c>
      <c r="E1027" s="13">
        <f>IF(RIGHT(A1027,3)="000","х",VLOOKUP(B1027,'Справочник ИХ'!A:D,4,0))</f>
        <v>1</v>
      </c>
      <c r="F1027" s="14" t="s">
        <v>1951</v>
      </c>
    </row>
    <row r="1028" spans="1:6" ht="63.45">
      <c r="A1028" s="19">
        <v>23213</v>
      </c>
      <c r="B1028" s="12" t="str">
        <f t="shared" ref="B1028:B1091" si="16">LEFT(A1028,3)</f>
        <v>232</v>
      </c>
      <c r="C1028" s="1" t="s">
        <v>1979</v>
      </c>
      <c r="D1028" s="13" t="str">
        <f>IF(RIGHT(A1028,3)="000",C1028,VLOOKUP(B1028,'Справочник ИХ'!A:C,3,0))</f>
        <v>Минерально-строит.</v>
      </c>
      <c r="E1028" s="13">
        <f>IF(RIGHT(A1028,3)="000","х",VLOOKUP(B1028,'Справочник ИХ'!A:D,4,0))</f>
        <v>1</v>
      </c>
      <c r="F1028" s="14" t="s">
        <v>1951</v>
      </c>
    </row>
    <row r="1029" spans="1:6" ht="63.45">
      <c r="A1029" s="19">
        <v>23214</v>
      </c>
      <c r="B1029" s="12" t="str">
        <f t="shared" si="16"/>
        <v>232</v>
      </c>
      <c r="C1029" s="1" t="s">
        <v>1980</v>
      </c>
      <c r="D1029" s="13" t="str">
        <f>IF(RIGHT(A1029,3)="000",C1029,VLOOKUP(B1029,'Справочник ИХ'!A:C,3,0))</f>
        <v>Минерально-строит.</v>
      </c>
      <c r="E1029" s="13">
        <f>IF(RIGHT(A1029,3)="000","х",VLOOKUP(B1029,'Справочник ИХ'!A:D,4,0))</f>
        <v>1</v>
      </c>
      <c r="F1029" s="14" t="s">
        <v>1951</v>
      </c>
    </row>
    <row r="1030" spans="1:6" ht="63.45">
      <c r="A1030" s="19">
        <v>23215</v>
      </c>
      <c r="B1030" s="12" t="str">
        <f t="shared" si="16"/>
        <v>232</v>
      </c>
      <c r="C1030" s="1" t="s">
        <v>1981</v>
      </c>
      <c r="D1030" s="13" t="str">
        <f>IF(RIGHT(A1030,3)="000",C1030,VLOOKUP(B1030,'Справочник ИХ'!A:C,3,0))</f>
        <v>Минерально-строит.</v>
      </c>
      <c r="E1030" s="13">
        <f>IF(RIGHT(A1030,3)="000","х",VLOOKUP(B1030,'Справочник ИХ'!A:D,4,0))</f>
        <v>1</v>
      </c>
      <c r="F1030" s="14" t="s">
        <v>1951</v>
      </c>
    </row>
    <row r="1031" spans="1:6" ht="63.45">
      <c r="A1031" s="19">
        <v>23216</v>
      </c>
      <c r="B1031" s="12" t="str">
        <f t="shared" si="16"/>
        <v>232</v>
      </c>
      <c r="C1031" s="1" t="s">
        <v>1982</v>
      </c>
      <c r="D1031" s="13" t="str">
        <f>IF(RIGHT(A1031,3)="000",C1031,VLOOKUP(B1031,'Справочник ИХ'!A:C,3,0))</f>
        <v>Минерально-строит.</v>
      </c>
      <c r="E1031" s="13">
        <f>IF(RIGHT(A1031,3)="000","х",VLOOKUP(B1031,'Справочник ИХ'!A:D,4,0))</f>
        <v>1</v>
      </c>
      <c r="F1031" s="14" t="s">
        <v>1951</v>
      </c>
    </row>
    <row r="1032" spans="1:6" ht="63.45">
      <c r="A1032" s="19">
        <v>23216</v>
      </c>
      <c r="B1032" s="12" t="str">
        <f t="shared" si="16"/>
        <v>232</v>
      </c>
      <c r="C1032" s="1" t="s">
        <v>1983</v>
      </c>
      <c r="D1032" s="13" t="str">
        <f>IF(RIGHT(A1032,3)="000",C1032,VLOOKUP(B1032,'Справочник ИХ'!A:C,3,0))</f>
        <v>Минерально-строит.</v>
      </c>
      <c r="E1032" s="13">
        <f>IF(RIGHT(A1032,3)="000","х",VLOOKUP(B1032,'Справочник ИХ'!A:D,4,0))</f>
        <v>1</v>
      </c>
      <c r="F1032" s="14" t="s">
        <v>1951</v>
      </c>
    </row>
    <row r="1033" spans="1:6" ht="63.45">
      <c r="A1033" s="19">
        <v>23217</v>
      </c>
      <c r="B1033" s="12" t="str">
        <f t="shared" si="16"/>
        <v>232</v>
      </c>
      <c r="C1033" s="1" t="s">
        <v>1984</v>
      </c>
      <c r="D1033" s="13" t="str">
        <f>IF(RIGHT(A1033,3)="000",C1033,VLOOKUP(B1033,'Справочник ИХ'!A:C,3,0))</f>
        <v>Минерально-строит.</v>
      </c>
      <c r="E1033" s="13">
        <f>IF(RIGHT(A1033,3)="000","х",VLOOKUP(B1033,'Справочник ИХ'!A:D,4,0))</f>
        <v>1</v>
      </c>
      <c r="F1033" s="14" t="s">
        <v>1951</v>
      </c>
    </row>
    <row r="1034" spans="1:6" ht="63.45">
      <c r="A1034" s="19">
        <v>23218</v>
      </c>
      <c r="B1034" s="12" t="str">
        <f t="shared" si="16"/>
        <v>232</v>
      </c>
      <c r="C1034" s="1" t="s">
        <v>1985</v>
      </c>
      <c r="D1034" s="13" t="str">
        <f>IF(RIGHT(A1034,3)="000",C1034,VLOOKUP(B1034,'Справочник ИХ'!A:C,3,0))</f>
        <v>Минерально-строит.</v>
      </c>
      <c r="E1034" s="13">
        <f>IF(RIGHT(A1034,3)="000","х",VLOOKUP(B1034,'Справочник ИХ'!A:D,4,0))</f>
        <v>1</v>
      </c>
      <c r="F1034" s="14" t="s">
        <v>1951</v>
      </c>
    </row>
    <row r="1035" spans="1:6" ht="63.45">
      <c r="A1035" s="19">
        <v>23219</v>
      </c>
      <c r="B1035" s="12" t="str">
        <f t="shared" si="16"/>
        <v>232</v>
      </c>
      <c r="C1035" s="1" t="s">
        <v>1986</v>
      </c>
      <c r="D1035" s="13" t="str">
        <f>IF(RIGHT(A1035,3)="000",C1035,VLOOKUP(B1035,'Справочник ИХ'!A:C,3,0))</f>
        <v>Минерально-строит.</v>
      </c>
      <c r="E1035" s="13">
        <f>IF(RIGHT(A1035,3)="000","х",VLOOKUP(B1035,'Справочник ИХ'!A:D,4,0))</f>
        <v>1</v>
      </c>
      <c r="F1035" s="14" t="s">
        <v>1951</v>
      </c>
    </row>
    <row r="1036" spans="1:6" ht="63.45">
      <c r="A1036" s="19">
        <v>23220</v>
      </c>
      <c r="B1036" s="12" t="str">
        <f t="shared" si="16"/>
        <v>232</v>
      </c>
      <c r="C1036" s="1" t="s">
        <v>1987</v>
      </c>
      <c r="D1036" s="13" t="str">
        <f>IF(RIGHT(A1036,3)="000",C1036,VLOOKUP(B1036,'Справочник ИХ'!A:C,3,0))</f>
        <v>Минерально-строит.</v>
      </c>
      <c r="E1036" s="13">
        <f>IF(RIGHT(A1036,3)="000","х",VLOOKUP(B1036,'Справочник ИХ'!A:D,4,0))</f>
        <v>1</v>
      </c>
      <c r="F1036" s="14" t="s">
        <v>1951</v>
      </c>
    </row>
    <row r="1037" spans="1:6" ht="63.45">
      <c r="A1037" s="19">
        <v>23221</v>
      </c>
      <c r="B1037" s="12" t="str">
        <f t="shared" si="16"/>
        <v>232</v>
      </c>
      <c r="C1037" s="1" t="s">
        <v>1988</v>
      </c>
      <c r="D1037" s="13" t="str">
        <f>IF(RIGHT(A1037,3)="000",C1037,VLOOKUP(B1037,'Справочник ИХ'!A:C,3,0))</f>
        <v>Минерально-строит.</v>
      </c>
      <c r="E1037" s="13">
        <f>IF(RIGHT(A1037,3)="000","х",VLOOKUP(B1037,'Справочник ИХ'!A:D,4,0))</f>
        <v>1</v>
      </c>
      <c r="F1037" s="14" t="s">
        <v>1951</v>
      </c>
    </row>
    <row r="1038" spans="1:6" ht="63.45">
      <c r="A1038" s="19">
        <v>23222</v>
      </c>
      <c r="B1038" s="12" t="str">
        <f t="shared" si="16"/>
        <v>232</v>
      </c>
      <c r="C1038" s="1" t="s">
        <v>1989</v>
      </c>
      <c r="D1038" s="13" t="str">
        <f>IF(RIGHT(A1038,3)="000",C1038,VLOOKUP(B1038,'Справочник ИХ'!A:C,3,0))</f>
        <v>Минерально-строит.</v>
      </c>
      <c r="E1038" s="13">
        <f>IF(RIGHT(A1038,3)="000","х",VLOOKUP(B1038,'Справочник ИХ'!A:D,4,0))</f>
        <v>1</v>
      </c>
      <c r="F1038" s="14" t="s">
        <v>1951</v>
      </c>
    </row>
    <row r="1039" spans="1:6" ht="63.45">
      <c r="A1039" s="19">
        <v>23223</v>
      </c>
      <c r="B1039" s="12" t="str">
        <f t="shared" si="16"/>
        <v>232</v>
      </c>
      <c r="C1039" s="1" t="s">
        <v>1990</v>
      </c>
      <c r="D1039" s="13" t="str">
        <f>IF(RIGHT(A1039,3)="000",C1039,VLOOKUP(B1039,'Справочник ИХ'!A:C,3,0))</f>
        <v>Минерально-строит.</v>
      </c>
      <c r="E1039" s="13">
        <f>IF(RIGHT(A1039,3)="000","х",VLOOKUP(B1039,'Справочник ИХ'!A:D,4,0))</f>
        <v>1</v>
      </c>
      <c r="F1039" s="14" t="s">
        <v>1951</v>
      </c>
    </row>
    <row r="1040" spans="1:6" ht="63.45">
      <c r="A1040" s="19">
        <v>23224</v>
      </c>
      <c r="B1040" s="12" t="str">
        <f t="shared" si="16"/>
        <v>232</v>
      </c>
      <c r="C1040" s="1" t="s">
        <v>1991</v>
      </c>
      <c r="D1040" s="13" t="str">
        <f>IF(RIGHT(A1040,3)="000",C1040,VLOOKUP(B1040,'Справочник ИХ'!A:C,3,0))</f>
        <v>Минерально-строит.</v>
      </c>
      <c r="E1040" s="13">
        <f>IF(RIGHT(A1040,3)="000","х",VLOOKUP(B1040,'Справочник ИХ'!A:D,4,0))</f>
        <v>1</v>
      </c>
      <c r="F1040" s="14" t="s">
        <v>1951</v>
      </c>
    </row>
    <row r="1041" spans="1:6" ht="63.45">
      <c r="A1041" s="19">
        <v>23225</v>
      </c>
      <c r="B1041" s="12" t="str">
        <f t="shared" si="16"/>
        <v>232</v>
      </c>
      <c r="C1041" s="1" t="s">
        <v>1992</v>
      </c>
      <c r="D1041" s="13" t="str">
        <f>IF(RIGHT(A1041,3)="000",C1041,VLOOKUP(B1041,'Справочник ИХ'!A:C,3,0))</f>
        <v>Минерально-строит.</v>
      </c>
      <c r="E1041" s="13">
        <f>IF(RIGHT(A1041,3)="000","х",VLOOKUP(B1041,'Справочник ИХ'!A:D,4,0))</f>
        <v>1</v>
      </c>
      <c r="F1041" s="14" t="s">
        <v>1951</v>
      </c>
    </row>
    <row r="1042" spans="1:6" ht="63.45">
      <c r="A1042" s="19">
        <v>23226</v>
      </c>
      <c r="B1042" s="12" t="str">
        <f t="shared" si="16"/>
        <v>232</v>
      </c>
      <c r="C1042" s="1" t="s">
        <v>1993</v>
      </c>
      <c r="D1042" s="13" t="str">
        <f>IF(RIGHT(A1042,3)="000",C1042,VLOOKUP(B1042,'Справочник ИХ'!A:C,3,0))</f>
        <v>Минерально-строит.</v>
      </c>
      <c r="E1042" s="13">
        <f>IF(RIGHT(A1042,3)="000","х",VLOOKUP(B1042,'Справочник ИХ'!A:D,4,0))</f>
        <v>1</v>
      </c>
      <c r="F1042" s="14" t="s">
        <v>1951</v>
      </c>
    </row>
    <row r="1043" spans="1:6" ht="63.45">
      <c r="A1043" s="19">
        <v>23227</v>
      </c>
      <c r="B1043" s="12" t="str">
        <f t="shared" si="16"/>
        <v>232</v>
      </c>
      <c r="C1043" s="1" t="s">
        <v>1994</v>
      </c>
      <c r="D1043" s="13" t="str">
        <f>IF(RIGHT(A1043,3)="000",C1043,VLOOKUP(B1043,'Справочник ИХ'!A:C,3,0))</f>
        <v>Минерально-строит.</v>
      </c>
      <c r="E1043" s="13">
        <f>IF(RIGHT(A1043,3)="000","х",VLOOKUP(B1043,'Справочник ИХ'!A:D,4,0))</f>
        <v>1</v>
      </c>
      <c r="F1043" s="14" t="s">
        <v>1951</v>
      </c>
    </row>
    <row r="1044" spans="1:6" ht="63.45">
      <c r="A1044" s="19">
        <v>23228</v>
      </c>
      <c r="B1044" s="12" t="str">
        <f t="shared" si="16"/>
        <v>232</v>
      </c>
      <c r="C1044" s="1" t="s">
        <v>1995</v>
      </c>
      <c r="D1044" s="13" t="str">
        <f>IF(RIGHT(A1044,3)="000",C1044,VLOOKUP(B1044,'Справочник ИХ'!A:C,3,0))</f>
        <v>Минерально-строит.</v>
      </c>
      <c r="E1044" s="13">
        <f>IF(RIGHT(A1044,3)="000","х",VLOOKUP(B1044,'Справочник ИХ'!A:D,4,0))</f>
        <v>1</v>
      </c>
      <c r="F1044" s="14" t="s">
        <v>1951</v>
      </c>
    </row>
    <row r="1045" spans="1:6" ht="63.45">
      <c r="A1045" s="19">
        <v>23229</v>
      </c>
      <c r="B1045" s="12" t="str">
        <f t="shared" si="16"/>
        <v>232</v>
      </c>
      <c r="C1045" s="1" t="s">
        <v>1996</v>
      </c>
      <c r="D1045" s="13" t="str">
        <f>IF(RIGHT(A1045,3)="000",C1045,VLOOKUP(B1045,'Справочник ИХ'!A:C,3,0))</f>
        <v>Минерально-строит.</v>
      </c>
      <c r="E1045" s="13">
        <f>IF(RIGHT(A1045,3)="000","х",VLOOKUP(B1045,'Справочник ИХ'!A:D,4,0))</f>
        <v>1</v>
      </c>
      <c r="F1045" s="14" t="s">
        <v>1951</v>
      </c>
    </row>
    <row r="1046" spans="1:6" ht="63.45">
      <c r="A1046" s="19">
        <v>23230</v>
      </c>
      <c r="B1046" s="12" t="str">
        <f t="shared" si="16"/>
        <v>232</v>
      </c>
      <c r="C1046" s="1" t="s">
        <v>1997</v>
      </c>
      <c r="D1046" s="13" t="str">
        <f>IF(RIGHT(A1046,3)="000",C1046,VLOOKUP(B1046,'Справочник ИХ'!A:C,3,0))</f>
        <v>Минерально-строит.</v>
      </c>
      <c r="E1046" s="13">
        <f>IF(RIGHT(A1046,3)="000","х",VLOOKUP(B1046,'Справочник ИХ'!A:D,4,0))</f>
        <v>1</v>
      </c>
      <c r="F1046" s="14" t="s">
        <v>1951</v>
      </c>
    </row>
    <row r="1047" spans="1:6" ht="63.45">
      <c r="A1047" s="19">
        <v>23231</v>
      </c>
      <c r="B1047" s="12" t="str">
        <f t="shared" si="16"/>
        <v>232</v>
      </c>
      <c r="C1047" s="1" t="s">
        <v>1998</v>
      </c>
      <c r="D1047" s="13" t="str">
        <f>IF(RIGHT(A1047,3)="000",C1047,VLOOKUP(B1047,'Справочник ИХ'!A:C,3,0))</f>
        <v>Минерально-строит.</v>
      </c>
      <c r="E1047" s="13">
        <f>IF(RIGHT(A1047,3)="000","х",VLOOKUP(B1047,'Справочник ИХ'!A:D,4,0))</f>
        <v>1</v>
      </c>
      <c r="F1047" s="14" t="s">
        <v>1951</v>
      </c>
    </row>
    <row r="1048" spans="1:6" ht="63.45">
      <c r="A1048" s="19">
        <v>23232</v>
      </c>
      <c r="B1048" s="12" t="str">
        <f t="shared" si="16"/>
        <v>232</v>
      </c>
      <c r="C1048" s="1" t="s">
        <v>1999</v>
      </c>
      <c r="D1048" s="13" t="str">
        <f>IF(RIGHT(A1048,3)="000",C1048,VLOOKUP(B1048,'Справочник ИХ'!A:C,3,0))</f>
        <v>Минерально-строит.</v>
      </c>
      <c r="E1048" s="13">
        <f>IF(RIGHT(A1048,3)="000","х",VLOOKUP(B1048,'Справочник ИХ'!A:D,4,0))</f>
        <v>1</v>
      </c>
      <c r="F1048" s="14" t="s">
        <v>1951</v>
      </c>
    </row>
    <row r="1049" spans="1:6" ht="63.45">
      <c r="A1049" s="19">
        <v>23233</v>
      </c>
      <c r="B1049" s="12" t="str">
        <f t="shared" si="16"/>
        <v>232</v>
      </c>
      <c r="C1049" s="1" t="s">
        <v>2000</v>
      </c>
      <c r="D1049" s="13" t="str">
        <f>IF(RIGHT(A1049,3)="000",C1049,VLOOKUP(B1049,'Справочник ИХ'!A:C,3,0))</f>
        <v>Минерально-строит.</v>
      </c>
      <c r="E1049" s="13">
        <f>IF(RIGHT(A1049,3)="000","х",VLOOKUP(B1049,'Справочник ИХ'!A:D,4,0))</f>
        <v>1</v>
      </c>
      <c r="F1049" s="14" t="s">
        <v>1951</v>
      </c>
    </row>
    <row r="1050" spans="1:6" ht="63.45">
      <c r="A1050" s="19">
        <v>23234</v>
      </c>
      <c r="B1050" s="12" t="str">
        <f t="shared" si="16"/>
        <v>232</v>
      </c>
      <c r="C1050" s="1" t="s">
        <v>2001</v>
      </c>
      <c r="D1050" s="13" t="str">
        <f>IF(RIGHT(A1050,3)="000",C1050,VLOOKUP(B1050,'Справочник ИХ'!A:C,3,0))</f>
        <v>Минерально-строит.</v>
      </c>
      <c r="E1050" s="13">
        <f>IF(RIGHT(A1050,3)="000","х",VLOOKUP(B1050,'Справочник ИХ'!A:D,4,0))</f>
        <v>1</v>
      </c>
      <c r="F1050" s="14" t="s">
        <v>1951</v>
      </c>
    </row>
    <row r="1051" spans="1:6" ht="63.45">
      <c r="A1051" s="19">
        <v>23235</v>
      </c>
      <c r="B1051" s="12" t="str">
        <f t="shared" si="16"/>
        <v>232</v>
      </c>
      <c r="C1051" s="1" t="s">
        <v>2002</v>
      </c>
      <c r="D1051" s="13" t="str">
        <f>IF(RIGHT(A1051,3)="000",C1051,VLOOKUP(B1051,'Справочник ИХ'!A:C,3,0))</f>
        <v>Минерально-строит.</v>
      </c>
      <c r="E1051" s="13">
        <f>IF(RIGHT(A1051,3)="000","х",VLOOKUP(B1051,'Справочник ИХ'!A:D,4,0))</f>
        <v>1</v>
      </c>
      <c r="F1051" s="14" t="s">
        <v>1951</v>
      </c>
    </row>
    <row r="1052" spans="1:6" ht="63.45">
      <c r="A1052" s="19">
        <v>23236</v>
      </c>
      <c r="B1052" s="12" t="str">
        <f t="shared" si="16"/>
        <v>232</v>
      </c>
      <c r="C1052" s="1" t="s">
        <v>2003</v>
      </c>
      <c r="D1052" s="13" t="str">
        <f>IF(RIGHT(A1052,3)="000",C1052,VLOOKUP(B1052,'Справочник ИХ'!A:C,3,0))</f>
        <v>Минерально-строит.</v>
      </c>
      <c r="E1052" s="13">
        <f>IF(RIGHT(A1052,3)="000","х",VLOOKUP(B1052,'Справочник ИХ'!A:D,4,0))</f>
        <v>1</v>
      </c>
      <c r="F1052" s="14" t="s">
        <v>1951</v>
      </c>
    </row>
    <row r="1053" spans="1:6" ht="63.45">
      <c r="A1053" s="19">
        <v>23237</v>
      </c>
      <c r="B1053" s="12" t="str">
        <f t="shared" si="16"/>
        <v>232</v>
      </c>
      <c r="C1053" s="1" t="s">
        <v>2004</v>
      </c>
      <c r="D1053" s="13" t="str">
        <f>IF(RIGHT(A1053,3)="000",C1053,VLOOKUP(B1053,'Справочник ИХ'!A:C,3,0))</f>
        <v>Минерально-строит.</v>
      </c>
      <c r="E1053" s="13">
        <f>IF(RIGHT(A1053,3)="000","х",VLOOKUP(B1053,'Справочник ИХ'!A:D,4,0))</f>
        <v>1</v>
      </c>
      <c r="F1053" s="14" t="s">
        <v>1951</v>
      </c>
    </row>
    <row r="1054" spans="1:6" ht="63.45">
      <c r="A1054" s="19">
        <v>23238</v>
      </c>
      <c r="B1054" s="12" t="str">
        <f t="shared" si="16"/>
        <v>232</v>
      </c>
      <c r="C1054" s="1" t="s">
        <v>2005</v>
      </c>
      <c r="D1054" s="13" t="str">
        <f>IF(RIGHT(A1054,3)="000",C1054,VLOOKUP(B1054,'Справочник ИХ'!A:C,3,0))</f>
        <v>Минерально-строит.</v>
      </c>
      <c r="E1054" s="13">
        <f>IF(RIGHT(A1054,3)="000","х",VLOOKUP(B1054,'Справочник ИХ'!A:D,4,0))</f>
        <v>1</v>
      </c>
      <c r="F1054" s="14" t="s">
        <v>1951</v>
      </c>
    </row>
    <row r="1055" spans="1:6" ht="63.45">
      <c r="A1055" s="19">
        <v>23239</v>
      </c>
      <c r="B1055" s="12" t="str">
        <f t="shared" si="16"/>
        <v>232</v>
      </c>
      <c r="C1055" s="1" t="s">
        <v>2006</v>
      </c>
      <c r="D1055" s="13" t="str">
        <f>IF(RIGHT(A1055,3)="000",C1055,VLOOKUP(B1055,'Справочник ИХ'!A:C,3,0))</f>
        <v>Минерально-строит.</v>
      </c>
      <c r="E1055" s="13">
        <f>IF(RIGHT(A1055,3)="000","х",VLOOKUP(B1055,'Справочник ИХ'!A:D,4,0))</f>
        <v>1</v>
      </c>
      <c r="F1055" s="14" t="s">
        <v>1951</v>
      </c>
    </row>
    <row r="1056" spans="1:6" ht="63.45">
      <c r="A1056" s="19">
        <v>23240</v>
      </c>
      <c r="B1056" s="12" t="str">
        <f t="shared" si="16"/>
        <v>232</v>
      </c>
      <c r="C1056" s="1" t="s">
        <v>2007</v>
      </c>
      <c r="D1056" s="13" t="str">
        <f>IF(RIGHT(A1056,3)="000",C1056,VLOOKUP(B1056,'Справочник ИХ'!A:C,3,0))</f>
        <v>Минерально-строит.</v>
      </c>
      <c r="E1056" s="13">
        <f>IF(RIGHT(A1056,3)="000","х",VLOOKUP(B1056,'Справочник ИХ'!A:D,4,0))</f>
        <v>1</v>
      </c>
      <c r="F1056" s="14" t="s">
        <v>1951</v>
      </c>
    </row>
    <row r="1057" spans="1:6" ht="63.45">
      <c r="A1057" s="19">
        <v>23241</v>
      </c>
      <c r="B1057" s="12" t="str">
        <f t="shared" si="16"/>
        <v>232</v>
      </c>
      <c r="C1057" s="1" t="s">
        <v>2008</v>
      </c>
      <c r="D1057" s="13" t="str">
        <f>IF(RIGHT(A1057,3)="000",C1057,VLOOKUP(B1057,'Справочник ИХ'!A:C,3,0))</f>
        <v>Минерально-строит.</v>
      </c>
      <c r="E1057" s="13">
        <f>IF(RIGHT(A1057,3)="000","х",VLOOKUP(B1057,'Справочник ИХ'!A:D,4,0))</f>
        <v>1</v>
      </c>
      <c r="F1057" s="14" t="s">
        <v>1951</v>
      </c>
    </row>
    <row r="1058" spans="1:6" ht="63.45">
      <c r="A1058" s="19">
        <v>23242</v>
      </c>
      <c r="B1058" s="12" t="str">
        <f t="shared" si="16"/>
        <v>232</v>
      </c>
      <c r="C1058" s="1" t="s">
        <v>2009</v>
      </c>
      <c r="D1058" s="13" t="str">
        <f>IF(RIGHT(A1058,3)="000",C1058,VLOOKUP(B1058,'Справочник ИХ'!A:C,3,0))</f>
        <v>Минерально-строит.</v>
      </c>
      <c r="E1058" s="13">
        <f>IF(RIGHT(A1058,3)="000","х",VLOOKUP(B1058,'Справочник ИХ'!A:D,4,0))</f>
        <v>1</v>
      </c>
      <c r="F1058" s="14" t="s">
        <v>1951</v>
      </c>
    </row>
    <row r="1059" spans="1:6" ht="63.45">
      <c r="A1059" s="19">
        <v>23243</v>
      </c>
      <c r="B1059" s="12" t="str">
        <f t="shared" si="16"/>
        <v>232</v>
      </c>
      <c r="C1059" s="1" t="s">
        <v>2010</v>
      </c>
      <c r="D1059" s="13" t="str">
        <f>IF(RIGHT(A1059,3)="000",C1059,VLOOKUP(B1059,'Справочник ИХ'!A:C,3,0))</f>
        <v>Минерально-строит.</v>
      </c>
      <c r="E1059" s="13">
        <f>IF(RIGHT(A1059,3)="000","х",VLOOKUP(B1059,'Справочник ИХ'!A:D,4,0))</f>
        <v>1</v>
      </c>
      <c r="F1059" s="14" t="s">
        <v>1951</v>
      </c>
    </row>
    <row r="1060" spans="1:6" ht="63.45">
      <c r="A1060" s="19">
        <v>23244</v>
      </c>
      <c r="B1060" s="12" t="str">
        <f t="shared" si="16"/>
        <v>232</v>
      </c>
      <c r="C1060" s="1" t="s">
        <v>2011</v>
      </c>
      <c r="D1060" s="13" t="str">
        <f>IF(RIGHT(A1060,3)="000",C1060,VLOOKUP(B1060,'Справочник ИХ'!A:C,3,0))</f>
        <v>Минерально-строит.</v>
      </c>
      <c r="E1060" s="13">
        <f>IF(RIGHT(A1060,3)="000","х",VLOOKUP(B1060,'Справочник ИХ'!A:D,4,0))</f>
        <v>1</v>
      </c>
      <c r="F1060" s="14" t="s">
        <v>1951</v>
      </c>
    </row>
    <row r="1061" spans="1:6" ht="63.45">
      <c r="A1061" s="19">
        <v>23245</v>
      </c>
      <c r="B1061" s="12" t="str">
        <f t="shared" si="16"/>
        <v>232</v>
      </c>
      <c r="C1061" s="1" t="s">
        <v>2012</v>
      </c>
      <c r="D1061" s="13" t="str">
        <f>IF(RIGHT(A1061,3)="000",C1061,VLOOKUP(B1061,'Справочник ИХ'!A:C,3,0))</f>
        <v>Минерально-строит.</v>
      </c>
      <c r="E1061" s="13">
        <f>IF(RIGHT(A1061,3)="000","х",VLOOKUP(B1061,'Справочник ИХ'!A:D,4,0))</f>
        <v>1</v>
      </c>
      <c r="F1061" s="14" t="s">
        <v>1951</v>
      </c>
    </row>
    <row r="1062" spans="1:6" ht="63.45">
      <c r="A1062" s="19">
        <v>23246</v>
      </c>
      <c r="B1062" s="12" t="str">
        <f t="shared" si="16"/>
        <v>232</v>
      </c>
      <c r="C1062" s="1" t="s">
        <v>2013</v>
      </c>
      <c r="D1062" s="13" t="str">
        <f>IF(RIGHT(A1062,3)="000",C1062,VLOOKUP(B1062,'Справочник ИХ'!A:C,3,0))</f>
        <v>Минерально-строит.</v>
      </c>
      <c r="E1062" s="13">
        <f>IF(RIGHT(A1062,3)="000","х",VLOOKUP(B1062,'Справочник ИХ'!A:D,4,0))</f>
        <v>1</v>
      </c>
      <c r="F1062" s="14" t="s">
        <v>1951</v>
      </c>
    </row>
    <row r="1063" spans="1:6" ht="63.45">
      <c r="A1063" s="19">
        <v>23247</v>
      </c>
      <c r="B1063" s="12" t="str">
        <f t="shared" si="16"/>
        <v>232</v>
      </c>
      <c r="C1063" s="1" t="s">
        <v>2014</v>
      </c>
      <c r="D1063" s="13" t="str">
        <f>IF(RIGHT(A1063,3)="000",C1063,VLOOKUP(B1063,'Справочник ИХ'!A:C,3,0))</f>
        <v>Минерально-строит.</v>
      </c>
      <c r="E1063" s="13">
        <f>IF(RIGHT(A1063,3)="000","х",VLOOKUP(B1063,'Справочник ИХ'!A:D,4,0))</f>
        <v>1</v>
      </c>
      <c r="F1063" s="14" t="s">
        <v>1951</v>
      </c>
    </row>
    <row r="1064" spans="1:6" ht="63.45">
      <c r="A1064" s="19">
        <v>23248</v>
      </c>
      <c r="B1064" s="12" t="str">
        <f t="shared" si="16"/>
        <v>232</v>
      </c>
      <c r="C1064" s="1" t="s">
        <v>2015</v>
      </c>
      <c r="D1064" s="13" t="str">
        <f>IF(RIGHT(A1064,3)="000",C1064,VLOOKUP(B1064,'Справочник ИХ'!A:C,3,0))</f>
        <v>Минерально-строит.</v>
      </c>
      <c r="E1064" s="13">
        <f>IF(RIGHT(A1064,3)="000","х",VLOOKUP(B1064,'Справочник ИХ'!A:D,4,0))</f>
        <v>1</v>
      </c>
      <c r="F1064" s="14" t="s">
        <v>1951</v>
      </c>
    </row>
    <row r="1065" spans="1:6" ht="63.45">
      <c r="A1065" s="19">
        <v>23249</v>
      </c>
      <c r="B1065" s="12" t="str">
        <f t="shared" si="16"/>
        <v>232</v>
      </c>
      <c r="C1065" s="1" t="s">
        <v>2016</v>
      </c>
      <c r="D1065" s="13" t="str">
        <f>IF(RIGHT(A1065,3)="000",C1065,VLOOKUP(B1065,'Справочник ИХ'!A:C,3,0))</f>
        <v>Минерально-строит.</v>
      </c>
      <c r="E1065" s="13">
        <f>IF(RIGHT(A1065,3)="000","х",VLOOKUP(B1065,'Справочник ИХ'!A:D,4,0))</f>
        <v>1</v>
      </c>
      <c r="F1065" s="14" t="s">
        <v>1951</v>
      </c>
    </row>
    <row r="1066" spans="1:6" s="18" customFormat="1" ht="63.45">
      <c r="A1066" s="16">
        <v>23300</v>
      </c>
      <c r="B1066" s="12" t="str">
        <f t="shared" si="16"/>
        <v>233</v>
      </c>
      <c r="C1066" s="17" t="s">
        <v>2017</v>
      </c>
      <c r="D1066" s="13" t="str">
        <f>IF(RIGHT(A1066,3)="000",C1066,VLOOKUP(B1066,'Справочник ИХ'!A:C,3,0))</f>
        <v>Минерально-строит.</v>
      </c>
      <c r="E1066" s="13">
        <f>IF(RIGHT(A1066,3)="000","х",VLOOKUP(B1066,'Справочник ИХ'!A:D,4,0))</f>
        <v>1</v>
      </c>
      <c r="F1066" s="14" t="s">
        <v>1951</v>
      </c>
    </row>
    <row r="1067" spans="1:6" ht="63.45">
      <c r="A1067" s="19">
        <v>23301</v>
      </c>
      <c r="B1067" s="12" t="str">
        <f t="shared" si="16"/>
        <v>233</v>
      </c>
      <c r="C1067" s="1" t="s">
        <v>2018</v>
      </c>
      <c r="D1067" s="13" t="str">
        <f>IF(RIGHT(A1067,3)="000",C1067,VLOOKUP(B1067,'Справочник ИХ'!A:C,3,0))</f>
        <v>Минерально-строит.</v>
      </c>
      <c r="E1067" s="13">
        <f>IF(RIGHT(A1067,3)="000","х",VLOOKUP(B1067,'Справочник ИХ'!A:D,4,0))</f>
        <v>1</v>
      </c>
      <c r="F1067" s="14" t="s">
        <v>1951</v>
      </c>
    </row>
    <row r="1068" spans="1:6" ht="63.45">
      <c r="A1068" s="19">
        <v>23302</v>
      </c>
      <c r="B1068" s="12" t="str">
        <f t="shared" si="16"/>
        <v>233</v>
      </c>
      <c r="C1068" s="1" t="s">
        <v>2019</v>
      </c>
      <c r="D1068" s="13" t="str">
        <f>IF(RIGHT(A1068,3)="000",C1068,VLOOKUP(B1068,'Справочник ИХ'!A:C,3,0))</f>
        <v>Минерально-строит.</v>
      </c>
      <c r="E1068" s="13">
        <f>IF(RIGHT(A1068,3)="000","х",VLOOKUP(B1068,'Справочник ИХ'!A:D,4,0))</f>
        <v>1</v>
      </c>
      <c r="F1068" s="14" t="s">
        <v>1951</v>
      </c>
    </row>
    <row r="1069" spans="1:6" ht="63.45">
      <c r="A1069" s="19">
        <v>23303</v>
      </c>
      <c r="B1069" s="12" t="str">
        <f t="shared" si="16"/>
        <v>233</v>
      </c>
      <c r="C1069" s="1" t="s">
        <v>2020</v>
      </c>
      <c r="D1069" s="13" t="str">
        <f>IF(RIGHT(A1069,3)="000",C1069,VLOOKUP(B1069,'Справочник ИХ'!A:C,3,0))</f>
        <v>Минерально-строит.</v>
      </c>
      <c r="E1069" s="13">
        <f>IF(RIGHT(A1069,3)="000","х",VLOOKUP(B1069,'Справочник ИХ'!A:D,4,0))</f>
        <v>1</v>
      </c>
      <c r="F1069" s="14" t="s">
        <v>1951</v>
      </c>
    </row>
    <row r="1070" spans="1:6" ht="63.45">
      <c r="A1070" s="19">
        <v>23304</v>
      </c>
      <c r="B1070" s="12" t="str">
        <f t="shared" si="16"/>
        <v>233</v>
      </c>
      <c r="C1070" s="1" t="s">
        <v>2021</v>
      </c>
      <c r="D1070" s="13" t="str">
        <f>IF(RIGHT(A1070,3)="000",C1070,VLOOKUP(B1070,'Справочник ИХ'!A:C,3,0))</f>
        <v>Минерально-строит.</v>
      </c>
      <c r="E1070" s="13">
        <f>IF(RIGHT(A1070,3)="000","х",VLOOKUP(B1070,'Справочник ИХ'!A:D,4,0))</f>
        <v>1</v>
      </c>
      <c r="F1070" s="14" t="s">
        <v>1951</v>
      </c>
    </row>
    <row r="1071" spans="1:6" ht="63.45">
      <c r="A1071" s="19">
        <v>23305</v>
      </c>
      <c r="B1071" s="12" t="str">
        <f t="shared" si="16"/>
        <v>233</v>
      </c>
      <c r="C1071" s="1" t="s">
        <v>2022</v>
      </c>
      <c r="D1071" s="13" t="str">
        <f>IF(RIGHT(A1071,3)="000",C1071,VLOOKUP(B1071,'Справочник ИХ'!A:C,3,0))</f>
        <v>Минерально-строит.</v>
      </c>
      <c r="E1071" s="13">
        <f>IF(RIGHT(A1071,3)="000","х",VLOOKUP(B1071,'Справочник ИХ'!A:D,4,0))</f>
        <v>1</v>
      </c>
      <c r="F1071" s="14" t="s">
        <v>1951</v>
      </c>
    </row>
    <row r="1072" spans="1:6" ht="63.45">
      <c r="A1072" s="19">
        <v>23306</v>
      </c>
      <c r="B1072" s="12" t="str">
        <f t="shared" si="16"/>
        <v>233</v>
      </c>
      <c r="C1072" s="1" t="s">
        <v>2023</v>
      </c>
      <c r="D1072" s="13" t="str">
        <f>IF(RIGHT(A1072,3)="000",C1072,VLOOKUP(B1072,'Справочник ИХ'!A:C,3,0))</f>
        <v>Минерально-строит.</v>
      </c>
      <c r="E1072" s="13">
        <f>IF(RIGHT(A1072,3)="000","х",VLOOKUP(B1072,'Справочник ИХ'!A:D,4,0))</f>
        <v>1</v>
      </c>
      <c r="F1072" s="14" t="s">
        <v>1951</v>
      </c>
    </row>
    <row r="1073" spans="1:6" ht="63.45">
      <c r="A1073" s="19">
        <v>23307</v>
      </c>
      <c r="B1073" s="12" t="str">
        <f t="shared" si="16"/>
        <v>233</v>
      </c>
      <c r="C1073" s="1" t="s">
        <v>2024</v>
      </c>
      <c r="D1073" s="13" t="str">
        <f>IF(RIGHT(A1073,3)="000",C1073,VLOOKUP(B1073,'Справочник ИХ'!A:C,3,0))</f>
        <v>Минерально-строит.</v>
      </c>
      <c r="E1073" s="13">
        <f>IF(RIGHT(A1073,3)="000","х",VLOOKUP(B1073,'Справочник ИХ'!A:D,4,0))</f>
        <v>1</v>
      </c>
      <c r="F1073" s="14" t="s">
        <v>1951</v>
      </c>
    </row>
    <row r="1074" spans="1:6" ht="63.45">
      <c r="A1074" s="19">
        <v>23308</v>
      </c>
      <c r="B1074" s="12" t="str">
        <f t="shared" si="16"/>
        <v>233</v>
      </c>
      <c r="C1074" s="1" t="s">
        <v>2025</v>
      </c>
      <c r="D1074" s="13" t="str">
        <f>IF(RIGHT(A1074,3)="000",C1074,VLOOKUP(B1074,'Справочник ИХ'!A:C,3,0))</f>
        <v>Минерально-строит.</v>
      </c>
      <c r="E1074" s="13">
        <f>IF(RIGHT(A1074,3)="000","х",VLOOKUP(B1074,'Справочник ИХ'!A:D,4,0))</f>
        <v>1</v>
      </c>
      <c r="F1074" s="14" t="s">
        <v>1951</v>
      </c>
    </row>
    <row r="1075" spans="1:6" ht="63.45">
      <c r="A1075" s="19">
        <v>23309</v>
      </c>
      <c r="B1075" s="12" t="str">
        <f t="shared" si="16"/>
        <v>233</v>
      </c>
      <c r="C1075" s="1" t="s">
        <v>2026</v>
      </c>
      <c r="D1075" s="13" t="str">
        <f>IF(RIGHT(A1075,3)="000",C1075,VLOOKUP(B1075,'Справочник ИХ'!A:C,3,0))</f>
        <v>Минерально-строит.</v>
      </c>
      <c r="E1075" s="13">
        <f>IF(RIGHT(A1075,3)="000","х",VLOOKUP(B1075,'Справочник ИХ'!A:D,4,0))</f>
        <v>1</v>
      </c>
      <c r="F1075" s="14" t="s">
        <v>1951</v>
      </c>
    </row>
    <row r="1076" spans="1:6" ht="63.45">
      <c r="A1076" s="19">
        <v>23310</v>
      </c>
      <c r="B1076" s="12" t="str">
        <f t="shared" si="16"/>
        <v>233</v>
      </c>
      <c r="C1076" s="1" t="s">
        <v>2027</v>
      </c>
      <c r="D1076" s="13" t="str">
        <f>IF(RIGHT(A1076,3)="000",C1076,VLOOKUP(B1076,'Справочник ИХ'!A:C,3,0))</f>
        <v>Минерально-строит.</v>
      </c>
      <c r="E1076" s="13">
        <f>IF(RIGHT(A1076,3)="000","х",VLOOKUP(B1076,'Справочник ИХ'!A:D,4,0))</f>
        <v>1</v>
      </c>
      <c r="F1076" s="14" t="s">
        <v>1951</v>
      </c>
    </row>
    <row r="1077" spans="1:6" ht="63.45">
      <c r="A1077" s="19">
        <v>23311</v>
      </c>
      <c r="B1077" s="12" t="str">
        <f t="shared" si="16"/>
        <v>233</v>
      </c>
      <c r="C1077" s="1" t="s">
        <v>2028</v>
      </c>
      <c r="D1077" s="13" t="str">
        <f>IF(RIGHT(A1077,3)="000",C1077,VLOOKUP(B1077,'Справочник ИХ'!A:C,3,0))</f>
        <v>Минерально-строит.</v>
      </c>
      <c r="E1077" s="13">
        <f>IF(RIGHT(A1077,3)="000","х",VLOOKUP(B1077,'Справочник ИХ'!A:D,4,0))</f>
        <v>1</v>
      </c>
      <c r="F1077" s="14" t="s">
        <v>1951</v>
      </c>
    </row>
    <row r="1078" spans="1:6" ht="63.45">
      <c r="A1078" s="19">
        <v>23312</v>
      </c>
      <c r="B1078" s="12" t="str">
        <f t="shared" si="16"/>
        <v>233</v>
      </c>
      <c r="C1078" s="1" t="s">
        <v>2029</v>
      </c>
      <c r="D1078" s="13" t="str">
        <f>IF(RIGHT(A1078,3)="000",C1078,VLOOKUP(B1078,'Справочник ИХ'!A:C,3,0))</f>
        <v>Минерально-строит.</v>
      </c>
      <c r="E1078" s="13">
        <f>IF(RIGHT(A1078,3)="000","х",VLOOKUP(B1078,'Справочник ИХ'!A:D,4,0))</f>
        <v>1</v>
      </c>
      <c r="F1078" s="14" t="s">
        <v>1951</v>
      </c>
    </row>
    <row r="1079" spans="1:6" ht="63.45">
      <c r="A1079" s="19">
        <v>23313</v>
      </c>
      <c r="B1079" s="12" t="str">
        <f t="shared" si="16"/>
        <v>233</v>
      </c>
      <c r="C1079" s="1" t="s">
        <v>2030</v>
      </c>
      <c r="D1079" s="13" t="str">
        <f>IF(RIGHT(A1079,3)="000",C1079,VLOOKUP(B1079,'Справочник ИХ'!A:C,3,0))</f>
        <v>Минерально-строит.</v>
      </c>
      <c r="E1079" s="13">
        <f>IF(RIGHT(A1079,3)="000","х",VLOOKUP(B1079,'Справочник ИХ'!A:D,4,0))</f>
        <v>1</v>
      </c>
      <c r="F1079" s="14" t="s">
        <v>1951</v>
      </c>
    </row>
    <row r="1080" spans="1:6" ht="63.45">
      <c r="A1080" s="19">
        <v>23314</v>
      </c>
      <c r="B1080" s="12" t="str">
        <f t="shared" si="16"/>
        <v>233</v>
      </c>
      <c r="C1080" s="1" t="s">
        <v>2031</v>
      </c>
      <c r="D1080" s="13" t="str">
        <f>IF(RIGHT(A1080,3)="000",C1080,VLOOKUP(B1080,'Справочник ИХ'!A:C,3,0))</f>
        <v>Минерально-строит.</v>
      </c>
      <c r="E1080" s="13">
        <f>IF(RIGHT(A1080,3)="000","х",VLOOKUP(B1080,'Справочник ИХ'!A:D,4,0))</f>
        <v>1</v>
      </c>
      <c r="F1080" s="14" t="s">
        <v>1951</v>
      </c>
    </row>
    <row r="1081" spans="1:6" ht="63.45">
      <c r="A1081" s="19">
        <v>23315</v>
      </c>
      <c r="B1081" s="12" t="str">
        <f t="shared" si="16"/>
        <v>233</v>
      </c>
      <c r="C1081" s="1" t="s">
        <v>2032</v>
      </c>
      <c r="D1081" s="13" t="str">
        <f>IF(RIGHT(A1081,3)="000",C1081,VLOOKUP(B1081,'Справочник ИХ'!A:C,3,0))</f>
        <v>Минерально-строит.</v>
      </c>
      <c r="E1081" s="13">
        <f>IF(RIGHT(A1081,3)="000","х",VLOOKUP(B1081,'Справочник ИХ'!A:D,4,0))</f>
        <v>1</v>
      </c>
      <c r="F1081" s="14" t="s">
        <v>1951</v>
      </c>
    </row>
    <row r="1082" spans="1:6" ht="63.45">
      <c r="A1082" s="19">
        <v>23316</v>
      </c>
      <c r="B1082" s="12" t="str">
        <f t="shared" si="16"/>
        <v>233</v>
      </c>
      <c r="C1082" s="1" t="s">
        <v>2033</v>
      </c>
      <c r="D1082" s="13" t="str">
        <f>IF(RIGHT(A1082,3)="000",C1082,VLOOKUP(B1082,'Справочник ИХ'!A:C,3,0))</f>
        <v>Минерально-строит.</v>
      </c>
      <c r="E1082" s="13">
        <f>IF(RIGHT(A1082,3)="000","х",VLOOKUP(B1082,'Справочник ИХ'!A:D,4,0))</f>
        <v>1</v>
      </c>
      <c r="F1082" s="14" t="s">
        <v>1951</v>
      </c>
    </row>
    <row r="1083" spans="1:6" ht="63.45">
      <c r="A1083" s="19">
        <v>23317</v>
      </c>
      <c r="B1083" s="12" t="str">
        <f t="shared" si="16"/>
        <v>233</v>
      </c>
      <c r="C1083" s="1" t="s">
        <v>2034</v>
      </c>
      <c r="D1083" s="13" t="str">
        <f>IF(RIGHT(A1083,3)="000",C1083,VLOOKUP(B1083,'Справочник ИХ'!A:C,3,0))</f>
        <v>Минерально-строит.</v>
      </c>
      <c r="E1083" s="13">
        <f>IF(RIGHT(A1083,3)="000","х",VLOOKUP(B1083,'Справочник ИХ'!A:D,4,0))</f>
        <v>1</v>
      </c>
      <c r="F1083" s="14" t="s">
        <v>1951</v>
      </c>
    </row>
    <row r="1084" spans="1:6" ht="63.45">
      <c r="A1084" s="19">
        <v>23318</v>
      </c>
      <c r="B1084" s="12" t="str">
        <f t="shared" si="16"/>
        <v>233</v>
      </c>
      <c r="C1084" s="1" t="s">
        <v>2035</v>
      </c>
      <c r="D1084" s="13" t="str">
        <f>IF(RIGHT(A1084,3)="000",C1084,VLOOKUP(B1084,'Справочник ИХ'!A:C,3,0))</f>
        <v>Минерально-строит.</v>
      </c>
      <c r="E1084" s="13">
        <f>IF(RIGHT(A1084,3)="000","х",VLOOKUP(B1084,'Справочник ИХ'!A:D,4,0))</f>
        <v>1</v>
      </c>
      <c r="F1084" s="14" t="s">
        <v>1951</v>
      </c>
    </row>
    <row r="1085" spans="1:6" ht="63.45">
      <c r="A1085" s="19">
        <v>23319</v>
      </c>
      <c r="B1085" s="12" t="str">
        <f t="shared" si="16"/>
        <v>233</v>
      </c>
      <c r="C1085" s="1" t="s">
        <v>2036</v>
      </c>
      <c r="D1085" s="13" t="str">
        <f>IF(RIGHT(A1085,3)="000",C1085,VLOOKUP(B1085,'Справочник ИХ'!A:C,3,0))</f>
        <v>Минерально-строит.</v>
      </c>
      <c r="E1085" s="13">
        <f>IF(RIGHT(A1085,3)="000","х",VLOOKUP(B1085,'Справочник ИХ'!A:D,4,0))</f>
        <v>1</v>
      </c>
      <c r="F1085" s="14" t="s">
        <v>1951</v>
      </c>
    </row>
    <row r="1086" spans="1:6" ht="63.45">
      <c r="A1086" s="19">
        <v>23320</v>
      </c>
      <c r="B1086" s="12" t="str">
        <f t="shared" si="16"/>
        <v>233</v>
      </c>
      <c r="C1086" s="1" t="s">
        <v>2037</v>
      </c>
      <c r="D1086" s="13" t="str">
        <f>IF(RIGHT(A1086,3)="000",C1086,VLOOKUP(B1086,'Справочник ИХ'!A:C,3,0))</f>
        <v>Минерально-строит.</v>
      </c>
      <c r="E1086" s="13">
        <f>IF(RIGHT(A1086,3)="000","х",VLOOKUP(B1086,'Справочник ИХ'!A:D,4,0))</f>
        <v>1</v>
      </c>
      <c r="F1086" s="14" t="s">
        <v>1951</v>
      </c>
    </row>
    <row r="1087" spans="1:6" ht="63.45">
      <c r="A1087" s="19">
        <v>23321</v>
      </c>
      <c r="B1087" s="12" t="str">
        <f t="shared" si="16"/>
        <v>233</v>
      </c>
      <c r="C1087" s="1" t="s">
        <v>2038</v>
      </c>
      <c r="D1087" s="13" t="str">
        <f>IF(RIGHT(A1087,3)="000",C1087,VLOOKUP(B1087,'Справочник ИХ'!A:C,3,0))</f>
        <v>Минерально-строит.</v>
      </c>
      <c r="E1087" s="13">
        <f>IF(RIGHT(A1087,3)="000","х",VLOOKUP(B1087,'Справочник ИХ'!A:D,4,0))</f>
        <v>1</v>
      </c>
      <c r="F1087" s="14" t="s">
        <v>1951</v>
      </c>
    </row>
    <row r="1088" spans="1:6" s="18" customFormat="1" ht="63.45">
      <c r="A1088" s="16">
        <v>23400</v>
      </c>
      <c r="B1088" s="12" t="str">
        <f t="shared" si="16"/>
        <v>234</v>
      </c>
      <c r="C1088" s="17" t="s">
        <v>2039</v>
      </c>
      <c r="D1088" s="13" t="str">
        <f>IF(RIGHT(A1088,3)="000",C1088,VLOOKUP(B1088,'Справочник ИХ'!A:C,3,0))</f>
        <v>Минерально-строит.</v>
      </c>
      <c r="E1088" s="13">
        <f>IF(RIGHT(A1088,3)="000","х",VLOOKUP(B1088,'Справочник ИХ'!A:D,4,0))</f>
        <v>1</v>
      </c>
      <c r="F1088" s="14" t="s">
        <v>1951</v>
      </c>
    </row>
    <row r="1089" spans="1:6" ht="63.45">
      <c r="A1089" s="19">
        <v>23401</v>
      </c>
      <c r="B1089" s="12" t="str">
        <f t="shared" si="16"/>
        <v>234</v>
      </c>
      <c r="C1089" s="1" t="s">
        <v>2040</v>
      </c>
      <c r="D1089" s="13" t="str">
        <f>IF(RIGHT(A1089,3)="000",C1089,VLOOKUP(B1089,'Справочник ИХ'!A:C,3,0))</f>
        <v>Минерально-строит.</v>
      </c>
      <c r="E1089" s="13">
        <f>IF(RIGHT(A1089,3)="000","х",VLOOKUP(B1089,'Справочник ИХ'!A:D,4,0))</f>
        <v>1</v>
      </c>
      <c r="F1089" s="14" t="s">
        <v>1951</v>
      </c>
    </row>
    <row r="1090" spans="1:6" ht="63.45">
      <c r="A1090" s="19">
        <v>23402</v>
      </c>
      <c r="B1090" s="12" t="str">
        <f t="shared" si="16"/>
        <v>234</v>
      </c>
      <c r="C1090" s="1" t="s">
        <v>2041</v>
      </c>
      <c r="D1090" s="13" t="str">
        <f>IF(RIGHT(A1090,3)="000",C1090,VLOOKUP(B1090,'Справочник ИХ'!A:C,3,0))</f>
        <v>Минерально-строит.</v>
      </c>
      <c r="E1090" s="13">
        <f>IF(RIGHT(A1090,3)="000","х",VLOOKUP(B1090,'Справочник ИХ'!A:D,4,0))</f>
        <v>1</v>
      </c>
      <c r="F1090" s="14" t="s">
        <v>1951</v>
      </c>
    </row>
    <row r="1091" spans="1:6" ht="63.45">
      <c r="A1091" s="19">
        <v>23403</v>
      </c>
      <c r="B1091" s="12" t="str">
        <f t="shared" si="16"/>
        <v>234</v>
      </c>
      <c r="C1091" s="1" t="s">
        <v>2042</v>
      </c>
      <c r="D1091" s="13" t="str">
        <f>IF(RIGHT(A1091,3)="000",C1091,VLOOKUP(B1091,'Справочник ИХ'!A:C,3,0))</f>
        <v>Минерально-строит.</v>
      </c>
      <c r="E1091" s="13">
        <f>IF(RIGHT(A1091,3)="000","х",VLOOKUP(B1091,'Справочник ИХ'!A:D,4,0))</f>
        <v>1</v>
      </c>
      <c r="F1091" s="14" t="s">
        <v>1951</v>
      </c>
    </row>
    <row r="1092" spans="1:6" ht="63.45">
      <c r="A1092" s="19">
        <v>23404</v>
      </c>
      <c r="B1092" s="12" t="str">
        <f t="shared" ref="B1092:B1155" si="17">LEFT(A1092,3)</f>
        <v>234</v>
      </c>
      <c r="C1092" s="1" t="s">
        <v>2043</v>
      </c>
      <c r="D1092" s="13" t="str">
        <f>IF(RIGHT(A1092,3)="000",C1092,VLOOKUP(B1092,'Справочник ИХ'!A:C,3,0))</f>
        <v>Минерально-строит.</v>
      </c>
      <c r="E1092" s="13">
        <f>IF(RIGHT(A1092,3)="000","х",VLOOKUP(B1092,'Справочник ИХ'!A:D,4,0))</f>
        <v>1</v>
      </c>
      <c r="F1092" s="14" t="s">
        <v>1951</v>
      </c>
    </row>
    <row r="1093" spans="1:6" ht="63.45">
      <c r="A1093" s="19">
        <v>23405</v>
      </c>
      <c r="B1093" s="12" t="str">
        <f t="shared" si="17"/>
        <v>234</v>
      </c>
      <c r="C1093" s="1" t="s">
        <v>2044</v>
      </c>
      <c r="D1093" s="13" t="str">
        <f>IF(RIGHT(A1093,3)="000",C1093,VLOOKUP(B1093,'Справочник ИХ'!A:C,3,0))</f>
        <v>Минерально-строит.</v>
      </c>
      <c r="E1093" s="13">
        <f>IF(RIGHT(A1093,3)="000","х",VLOOKUP(B1093,'Справочник ИХ'!A:D,4,0))</f>
        <v>1</v>
      </c>
      <c r="F1093" s="14" t="s">
        <v>1951</v>
      </c>
    </row>
    <row r="1094" spans="1:6" ht="63.45">
      <c r="A1094" s="19">
        <v>23406</v>
      </c>
      <c r="B1094" s="12" t="str">
        <f t="shared" si="17"/>
        <v>234</v>
      </c>
      <c r="C1094" s="1" t="s">
        <v>2045</v>
      </c>
      <c r="D1094" s="13" t="str">
        <f>IF(RIGHT(A1094,3)="000",C1094,VLOOKUP(B1094,'Справочник ИХ'!A:C,3,0))</f>
        <v>Минерально-строит.</v>
      </c>
      <c r="E1094" s="13">
        <f>IF(RIGHT(A1094,3)="000","х",VLOOKUP(B1094,'Справочник ИХ'!A:D,4,0))</f>
        <v>1</v>
      </c>
      <c r="F1094" s="14" t="s">
        <v>1951</v>
      </c>
    </row>
    <row r="1095" spans="1:6" s="18" customFormat="1" ht="63.45">
      <c r="A1095" s="16">
        <v>23500</v>
      </c>
      <c r="B1095" s="12" t="str">
        <f t="shared" si="17"/>
        <v>235</v>
      </c>
      <c r="C1095" s="17" t="s">
        <v>2046</v>
      </c>
      <c r="D1095" s="13" t="str">
        <f>IF(RIGHT(A1095,3)="000",C1095,VLOOKUP(B1095,'Справочник ИХ'!A:C,3,0))</f>
        <v>Минерально-строит.</v>
      </c>
      <c r="E1095" s="13">
        <f>IF(RIGHT(A1095,3)="000","х",VLOOKUP(B1095,'Справочник ИХ'!A:D,4,0))</f>
        <v>1</v>
      </c>
      <c r="F1095" s="14" t="s">
        <v>1951</v>
      </c>
    </row>
    <row r="1096" spans="1:6" ht="63.45">
      <c r="A1096" s="19">
        <v>23501</v>
      </c>
      <c r="B1096" s="12" t="str">
        <f t="shared" si="17"/>
        <v>235</v>
      </c>
      <c r="C1096" s="1" t="s">
        <v>2047</v>
      </c>
      <c r="D1096" s="13" t="str">
        <f>IF(RIGHT(A1096,3)="000",C1096,VLOOKUP(B1096,'Справочник ИХ'!A:C,3,0))</f>
        <v>Минерально-строит.</v>
      </c>
      <c r="E1096" s="13">
        <f>IF(RIGHT(A1096,3)="000","х",VLOOKUP(B1096,'Справочник ИХ'!A:D,4,0))</f>
        <v>1</v>
      </c>
      <c r="F1096" s="14" t="s">
        <v>1951</v>
      </c>
    </row>
    <row r="1097" spans="1:6" ht="63.45">
      <c r="A1097" s="19">
        <v>23502</v>
      </c>
      <c r="B1097" s="12" t="str">
        <f t="shared" si="17"/>
        <v>235</v>
      </c>
      <c r="C1097" s="1" t="s">
        <v>2048</v>
      </c>
      <c r="D1097" s="13" t="str">
        <f>IF(RIGHT(A1097,3)="000",C1097,VLOOKUP(B1097,'Справочник ИХ'!A:C,3,0))</f>
        <v>Минерально-строит.</v>
      </c>
      <c r="E1097" s="13">
        <f>IF(RIGHT(A1097,3)="000","х",VLOOKUP(B1097,'Справочник ИХ'!A:D,4,0))</f>
        <v>1</v>
      </c>
      <c r="F1097" s="14" t="s">
        <v>1951</v>
      </c>
    </row>
    <row r="1098" spans="1:6" ht="63.45">
      <c r="A1098" s="19">
        <v>23503</v>
      </c>
      <c r="B1098" s="12" t="str">
        <f t="shared" si="17"/>
        <v>235</v>
      </c>
      <c r="C1098" s="1" t="s">
        <v>2049</v>
      </c>
      <c r="D1098" s="13" t="str">
        <f>IF(RIGHT(A1098,3)="000",C1098,VLOOKUP(B1098,'Справочник ИХ'!A:C,3,0))</f>
        <v>Минерально-строит.</v>
      </c>
      <c r="E1098" s="13">
        <f>IF(RIGHT(A1098,3)="000","х",VLOOKUP(B1098,'Справочник ИХ'!A:D,4,0))</f>
        <v>1</v>
      </c>
      <c r="F1098" s="14" t="s">
        <v>1951</v>
      </c>
    </row>
    <row r="1099" spans="1:6" ht="63.45">
      <c r="A1099" s="19">
        <v>23504</v>
      </c>
      <c r="B1099" s="12" t="str">
        <f t="shared" si="17"/>
        <v>235</v>
      </c>
      <c r="C1099" s="1" t="s">
        <v>2050</v>
      </c>
      <c r="D1099" s="13" t="str">
        <f>IF(RIGHT(A1099,3)="000",C1099,VLOOKUP(B1099,'Справочник ИХ'!A:C,3,0))</f>
        <v>Минерально-строит.</v>
      </c>
      <c r="E1099" s="13">
        <f>IF(RIGHT(A1099,3)="000","х",VLOOKUP(B1099,'Справочник ИХ'!A:D,4,0))</f>
        <v>1</v>
      </c>
      <c r="F1099" s="14" t="s">
        <v>1951</v>
      </c>
    </row>
    <row r="1100" spans="1:6" ht="63.45">
      <c r="A1100" s="19">
        <v>23505</v>
      </c>
      <c r="B1100" s="12" t="str">
        <f t="shared" si="17"/>
        <v>235</v>
      </c>
      <c r="C1100" s="1" t="s">
        <v>2051</v>
      </c>
      <c r="D1100" s="13" t="str">
        <f>IF(RIGHT(A1100,3)="000",C1100,VLOOKUP(B1100,'Справочник ИХ'!A:C,3,0))</f>
        <v>Минерально-строит.</v>
      </c>
      <c r="E1100" s="13">
        <f>IF(RIGHT(A1100,3)="000","х",VLOOKUP(B1100,'Справочник ИХ'!A:D,4,0))</f>
        <v>1</v>
      </c>
      <c r="F1100" s="14" t="s">
        <v>1951</v>
      </c>
    </row>
    <row r="1101" spans="1:6" ht="63.45">
      <c r="A1101" s="19">
        <v>23506</v>
      </c>
      <c r="B1101" s="12" t="str">
        <f t="shared" si="17"/>
        <v>235</v>
      </c>
      <c r="C1101" s="1" t="s">
        <v>2052</v>
      </c>
      <c r="D1101" s="13" t="str">
        <f>IF(RIGHT(A1101,3)="000",C1101,VLOOKUP(B1101,'Справочник ИХ'!A:C,3,0))</f>
        <v>Минерально-строит.</v>
      </c>
      <c r="E1101" s="13">
        <f>IF(RIGHT(A1101,3)="000","х",VLOOKUP(B1101,'Справочник ИХ'!A:D,4,0))</f>
        <v>1</v>
      </c>
      <c r="F1101" s="14" t="s">
        <v>1951</v>
      </c>
    </row>
    <row r="1102" spans="1:6" ht="63.45">
      <c r="A1102" s="19">
        <v>23507</v>
      </c>
      <c r="B1102" s="12" t="str">
        <f t="shared" si="17"/>
        <v>235</v>
      </c>
      <c r="C1102" s="1" t="s">
        <v>2053</v>
      </c>
      <c r="D1102" s="13" t="str">
        <f>IF(RIGHT(A1102,3)="000",C1102,VLOOKUP(B1102,'Справочник ИХ'!A:C,3,0))</f>
        <v>Минерально-строит.</v>
      </c>
      <c r="E1102" s="13">
        <f>IF(RIGHT(A1102,3)="000","х",VLOOKUP(B1102,'Справочник ИХ'!A:D,4,0))</f>
        <v>1</v>
      </c>
      <c r="F1102" s="14" t="s">
        <v>1951</v>
      </c>
    </row>
    <row r="1103" spans="1:6" ht="63.45">
      <c r="A1103" s="19">
        <v>23508</v>
      </c>
      <c r="B1103" s="12" t="str">
        <f t="shared" si="17"/>
        <v>235</v>
      </c>
      <c r="C1103" s="1" t="s">
        <v>2054</v>
      </c>
      <c r="D1103" s="13" t="str">
        <f>IF(RIGHT(A1103,3)="000",C1103,VLOOKUP(B1103,'Справочник ИХ'!A:C,3,0))</f>
        <v>Минерально-строит.</v>
      </c>
      <c r="E1103" s="13">
        <f>IF(RIGHT(A1103,3)="000","х",VLOOKUP(B1103,'Справочник ИХ'!A:D,4,0))</f>
        <v>1</v>
      </c>
      <c r="F1103" s="14" t="s">
        <v>1951</v>
      </c>
    </row>
    <row r="1104" spans="1:6" ht="63.45">
      <c r="A1104" s="19">
        <v>23509</v>
      </c>
      <c r="B1104" s="12" t="str">
        <f t="shared" si="17"/>
        <v>235</v>
      </c>
      <c r="C1104" s="1" t="s">
        <v>2055</v>
      </c>
      <c r="D1104" s="13" t="str">
        <f>IF(RIGHT(A1104,3)="000",C1104,VLOOKUP(B1104,'Справочник ИХ'!A:C,3,0))</f>
        <v>Минерально-строит.</v>
      </c>
      <c r="E1104" s="13">
        <f>IF(RIGHT(A1104,3)="000","х",VLOOKUP(B1104,'Справочник ИХ'!A:D,4,0))</f>
        <v>1</v>
      </c>
      <c r="F1104" s="14" t="s">
        <v>1951</v>
      </c>
    </row>
    <row r="1105" spans="1:6" s="18" customFormat="1" ht="63.45">
      <c r="A1105" s="16">
        <v>23600</v>
      </c>
      <c r="B1105" s="12" t="str">
        <f t="shared" si="17"/>
        <v>236</v>
      </c>
      <c r="C1105" s="17" t="s">
        <v>2056</v>
      </c>
      <c r="D1105" s="13" t="str">
        <f>IF(RIGHT(A1105,3)="000",C1105,VLOOKUP(B1105,'Справочник ИХ'!A:C,3,0))</f>
        <v>Минерально-строит.</v>
      </c>
      <c r="E1105" s="13">
        <f>IF(RIGHT(A1105,3)="000","х",VLOOKUP(B1105,'Справочник ИХ'!A:D,4,0))</f>
        <v>1</v>
      </c>
      <c r="F1105" s="14" t="s">
        <v>1951</v>
      </c>
    </row>
    <row r="1106" spans="1:6" ht="63.45">
      <c r="A1106" s="19">
        <v>23601</v>
      </c>
      <c r="B1106" s="12" t="str">
        <f t="shared" si="17"/>
        <v>236</v>
      </c>
      <c r="C1106" s="1" t="s">
        <v>2057</v>
      </c>
      <c r="D1106" s="13" t="str">
        <f>IF(RIGHT(A1106,3)="000",C1106,VLOOKUP(B1106,'Справочник ИХ'!A:C,3,0))</f>
        <v>Минерально-строит.</v>
      </c>
      <c r="E1106" s="13">
        <f>IF(RIGHT(A1106,3)="000","х",VLOOKUP(B1106,'Справочник ИХ'!A:D,4,0))</f>
        <v>1</v>
      </c>
      <c r="F1106" s="14" t="s">
        <v>1951</v>
      </c>
    </row>
    <row r="1107" spans="1:6" ht="63.45">
      <c r="A1107" s="19">
        <v>23602</v>
      </c>
      <c r="B1107" s="12" t="str">
        <f t="shared" si="17"/>
        <v>236</v>
      </c>
      <c r="C1107" s="1" t="s">
        <v>2058</v>
      </c>
      <c r="D1107" s="13" t="str">
        <f>IF(RIGHT(A1107,3)="000",C1107,VLOOKUP(B1107,'Справочник ИХ'!A:C,3,0))</f>
        <v>Минерально-строит.</v>
      </c>
      <c r="E1107" s="13">
        <f>IF(RIGHT(A1107,3)="000","х",VLOOKUP(B1107,'Справочник ИХ'!A:D,4,0))</f>
        <v>1</v>
      </c>
      <c r="F1107" s="14" t="s">
        <v>1951</v>
      </c>
    </row>
    <row r="1108" spans="1:6" ht="63.45">
      <c r="A1108" s="19">
        <v>23603</v>
      </c>
      <c r="B1108" s="12" t="str">
        <f t="shared" si="17"/>
        <v>236</v>
      </c>
      <c r="C1108" s="1" t="s">
        <v>2059</v>
      </c>
      <c r="D1108" s="13" t="str">
        <f>IF(RIGHT(A1108,3)="000",C1108,VLOOKUP(B1108,'Справочник ИХ'!A:C,3,0))</f>
        <v>Минерально-строит.</v>
      </c>
      <c r="E1108" s="13">
        <f>IF(RIGHT(A1108,3)="000","х",VLOOKUP(B1108,'Справочник ИХ'!A:D,4,0))</f>
        <v>1</v>
      </c>
      <c r="F1108" s="14" t="s">
        <v>1951</v>
      </c>
    </row>
    <row r="1109" spans="1:6" s="15" customFormat="1" ht="63.45">
      <c r="A1109" s="7">
        <v>24000</v>
      </c>
      <c r="B1109" s="12" t="str">
        <f t="shared" si="17"/>
        <v>240</v>
      </c>
      <c r="C1109" s="11" t="s">
        <v>2060</v>
      </c>
      <c r="D1109" s="13" t="str">
        <f>IF(RIGHT(A1109,3)="000",C1109,VLOOKUP(B1109,'Справочник ИХ'!A:C,3,0))</f>
        <v xml:space="preserve">Сырье минеральное промышленное. Материалы формовочные и абразивные </v>
      </c>
      <c r="E1109" s="13" t="str">
        <f>IF(RIGHT(A1109,3)="000","х",VLOOKUP(B1109,'Справочник ИХ'!A:D,4,0))</f>
        <v>х</v>
      </c>
      <c r="F1109" s="14" t="s">
        <v>2060</v>
      </c>
    </row>
    <row r="1110" spans="1:6" s="18" customFormat="1" ht="31.75">
      <c r="A1110" s="16">
        <v>24100</v>
      </c>
      <c r="B1110" s="12" t="str">
        <f t="shared" si="17"/>
        <v>241</v>
      </c>
      <c r="C1110" s="17" t="s">
        <v>2061</v>
      </c>
      <c r="D1110" s="13" t="str">
        <f>IF(RIGHT(A1110,3)="000",C1110,VLOOKUP(B1110,'Справочник ИХ'!A:C,3,0))</f>
        <v>Минерально-строит.</v>
      </c>
      <c r="E1110" s="13">
        <f>IF(RIGHT(A1110,3)="000","х",VLOOKUP(B1110,'Справочник ИХ'!A:D,4,0))</f>
        <v>1</v>
      </c>
      <c r="F1110" s="14" t="s">
        <v>2060</v>
      </c>
    </row>
    <row r="1111" spans="1:6" ht="31.75">
      <c r="A1111" s="19">
        <v>24101</v>
      </c>
      <c r="B1111" s="12" t="str">
        <f t="shared" si="17"/>
        <v>241</v>
      </c>
      <c r="C1111" s="1" t="s">
        <v>2062</v>
      </c>
      <c r="D1111" s="13" t="str">
        <f>IF(RIGHT(A1111,3)="000",C1111,VLOOKUP(B1111,'Справочник ИХ'!A:C,3,0))</f>
        <v>Минерально-строит.</v>
      </c>
      <c r="E1111" s="13">
        <f>IF(RIGHT(A1111,3)="000","х",VLOOKUP(B1111,'Справочник ИХ'!A:D,4,0))</f>
        <v>1</v>
      </c>
      <c r="F1111" s="14" t="s">
        <v>2060</v>
      </c>
    </row>
    <row r="1112" spans="1:6" ht="31.75">
      <c r="A1112" s="19">
        <v>24102</v>
      </c>
      <c r="B1112" s="12" t="str">
        <f t="shared" si="17"/>
        <v>241</v>
      </c>
      <c r="C1112" s="1" t="s">
        <v>2063</v>
      </c>
      <c r="D1112" s="13" t="str">
        <f>IF(RIGHT(A1112,3)="000",C1112,VLOOKUP(B1112,'Справочник ИХ'!A:C,3,0))</f>
        <v>Минерально-строит.</v>
      </c>
      <c r="E1112" s="13">
        <f>IF(RIGHT(A1112,3)="000","х",VLOOKUP(B1112,'Справочник ИХ'!A:D,4,0))</f>
        <v>1</v>
      </c>
      <c r="F1112" s="14" t="s">
        <v>2060</v>
      </c>
    </row>
    <row r="1113" spans="1:6" ht="31.75">
      <c r="A1113" s="19">
        <v>24103</v>
      </c>
      <c r="B1113" s="12" t="str">
        <f t="shared" si="17"/>
        <v>241</v>
      </c>
      <c r="C1113" s="1" t="s">
        <v>2064</v>
      </c>
      <c r="D1113" s="13" t="str">
        <f>IF(RIGHT(A1113,3)="000",C1113,VLOOKUP(B1113,'Справочник ИХ'!A:C,3,0))</f>
        <v>Минерально-строит.</v>
      </c>
      <c r="E1113" s="13">
        <f>IF(RIGHT(A1113,3)="000","х",VLOOKUP(B1113,'Справочник ИХ'!A:D,4,0))</f>
        <v>1</v>
      </c>
      <c r="F1113" s="14" t="s">
        <v>2060</v>
      </c>
    </row>
    <row r="1114" spans="1:6" ht="31.75">
      <c r="A1114" s="19">
        <v>24104</v>
      </c>
      <c r="B1114" s="12" t="str">
        <f t="shared" si="17"/>
        <v>241</v>
      </c>
      <c r="C1114" s="1" t="s">
        <v>2065</v>
      </c>
      <c r="D1114" s="13" t="str">
        <f>IF(RIGHT(A1114,3)="000",C1114,VLOOKUP(B1114,'Справочник ИХ'!A:C,3,0))</f>
        <v>Минерально-строит.</v>
      </c>
      <c r="E1114" s="13">
        <f>IF(RIGHT(A1114,3)="000","х",VLOOKUP(B1114,'Справочник ИХ'!A:D,4,0))</f>
        <v>1</v>
      </c>
      <c r="F1114" s="14" t="s">
        <v>2060</v>
      </c>
    </row>
    <row r="1115" spans="1:6" ht="31.75">
      <c r="A1115" s="19">
        <v>24105</v>
      </c>
      <c r="B1115" s="12" t="str">
        <f t="shared" si="17"/>
        <v>241</v>
      </c>
      <c r="C1115" s="1" t="s">
        <v>2066</v>
      </c>
      <c r="D1115" s="13" t="str">
        <f>IF(RIGHT(A1115,3)="000",C1115,VLOOKUP(B1115,'Справочник ИХ'!A:C,3,0))</f>
        <v>Минерально-строит.</v>
      </c>
      <c r="E1115" s="13">
        <f>IF(RIGHT(A1115,3)="000","х",VLOOKUP(B1115,'Справочник ИХ'!A:D,4,0))</f>
        <v>1</v>
      </c>
      <c r="F1115" s="14" t="s">
        <v>2060</v>
      </c>
    </row>
    <row r="1116" spans="1:6" ht="31.75">
      <c r="A1116" s="19">
        <v>24106</v>
      </c>
      <c r="B1116" s="12" t="str">
        <f t="shared" si="17"/>
        <v>241</v>
      </c>
      <c r="C1116" s="1" t="s">
        <v>2067</v>
      </c>
      <c r="D1116" s="13" t="str">
        <f>IF(RIGHT(A1116,3)="000",C1116,VLOOKUP(B1116,'Справочник ИХ'!A:C,3,0))</f>
        <v>Минерально-строит.</v>
      </c>
      <c r="E1116" s="13">
        <f>IF(RIGHT(A1116,3)="000","х",VLOOKUP(B1116,'Справочник ИХ'!A:D,4,0))</f>
        <v>1</v>
      </c>
      <c r="F1116" s="14" t="s">
        <v>2060</v>
      </c>
    </row>
    <row r="1117" spans="1:6" ht="31.75">
      <c r="A1117" s="19">
        <v>24107</v>
      </c>
      <c r="B1117" s="12" t="str">
        <f t="shared" si="17"/>
        <v>241</v>
      </c>
      <c r="C1117" s="1" t="s">
        <v>2068</v>
      </c>
      <c r="D1117" s="13" t="str">
        <f>IF(RIGHT(A1117,3)="000",C1117,VLOOKUP(B1117,'Справочник ИХ'!A:C,3,0))</f>
        <v>Минерально-строит.</v>
      </c>
      <c r="E1117" s="13">
        <f>IF(RIGHT(A1117,3)="000","х",VLOOKUP(B1117,'Справочник ИХ'!A:D,4,0))</f>
        <v>1</v>
      </c>
      <c r="F1117" s="14" t="s">
        <v>2060</v>
      </c>
    </row>
    <row r="1118" spans="1:6" ht="31.75">
      <c r="A1118" s="19">
        <v>24108</v>
      </c>
      <c r="B1118" s="12" t="str">
        <f t="shared" si="17"/>
        <v>241</v>
      </c>
      <c r="C1118" s="1" t="s">
        <v>2069</v>
      </c>
      <c r="D1118" s="13" t="str">
        <f>IF(RIGHT(A1118,3)="000",C1118,VLOOKUP(B1118,'Справочник ИХ'!A:C,3,0))</f>
        <v>Минерально-строит.</v>
      </c>
      <c r="E1118" s="13">
        <f>IF(RIGHT(A1118,3)="000","х",VLOOKUP(B1118,'Справочник ИХ'!A:D,4,0))</f>
        <v>1</v>
      </c>
      <c r="F1118" s="14" t="s">
        <v>2060</v>
      </c>
    </row>
    <row r="1119" spans="1:6" ht="31.75">
      <c r="A1119" s="19">
        <v>24109</v>
      </c>
      <c r="B1119" s="12" t="str">
        <f t="shared" si="17"/>
        <v>241</v>
      </c>
      <c r="C1119" s="1" t="s">
        <v>2070</v>
      </c>
      <c r="D1119" s="13" t="str">
        <f>IF(RIGHT(A1119,3)="000",C1119,VLOOKUP(B1119,'Справочник ИХ'!A:C,3,0))</f>
        <v>Минерально-строит.</v>
      </c>
      <c r="E1119" s="13">
        <f>IF(RIGHT(A1119,3)="000","х",VLOOKUP(B1119,'Справочник ИХ'!A:D,4,0))</f>
        <v>1</v>
      </c>
      <c r="F1119" s="14" t="s">
        <v>2060</v>
      </c>
    </row>
    <row r="1120" spans="1:6" ht="31.75">
      <c r="A1120" s="19">
        <v>24110</v>
      </c>
      <c r="B1120" s="12" t="str">
        <f t="shared" si="17"/>
        <v>241</v>
      </c>
      <c r="C1120" s="1" t="s">
        <v>2071</v>
      </c>
      <c r="D1120" s="13" t="str">
        <f>IF(RIGHT(A1120,3)="000",C1120,VLOOKUP(B1120,'Справочник ИХ'!A:C,3,0))</f>
        <v>Минерально-строит.</v>
      </c>
      <c r="E1120" s="13">
        <f>IF(RIGHT(A1120,3)="000","х",VLOOKUP(B1120,'Справочник ИХ'!A:D,4,0))</f>
        <v>1</v>
      </c>
      <c r="F1120" s="14" t="s">
        <v>2060</v>
      </c>
    </row>
    <row r="1121" spans="1:6" ht="31.75">
      <c r="A1121" s="19">
        <v>24111</v>
      </c>
      <c r="B1121" s="12" t="str">
        <f t="shared" si="17"/>
        <v>241</v>
      </c>
      <c r="C1121" s="1" t="s">
        <v>2072</v>
      </c>
      <c r="D1121" s="13" t="str">
        <f>IF(RIGHT(A1121,3)="000",C1121,VLOOKUP(B1121,'Справочник ИХ'!A:C,3,0))</f>
        <v>Минерально-строит.</v>
      </c>
      <c r="E1121" s="13">
        <f>IF(RIGHT(A1121,3)="000","х",VLOOKUP(B1121,'Справочник ИХ'!A:D,4,0))</f>
        <v>1</v>
      </c>
      <c r="F1121" s="14" t="s">
        <v>2060</v>
      </c>
    </row>
    <row r="1122" spans="1:6" ht="31.75">
      <c r="A1122" s="19">
        <v>24112</v>
      </c>
      <c r="B1122" s="12" t="str">
        <f t="shared" si="17"/>
        <v>241</v>
      </c>
      <c r="C1122" s="1" t="s">
        <v>2073</v>
      </c>
      <c r="D1122" s="13" t="str">
        <f>IF(RIGHT(A1122,3)="000",C1122,VLOOKUP(B1122,'Справочник ИХ'!A:C,3,0))</f>
        <v>Минерально-строит.</v>
      </c>
      <c r="E1122" s="13">
        <f>IF(RIGHT(A1122,3)="000","х",VLOOKUP(B1122,'Справочник ИХ'!A:D,4,0))</f>
        <v>1</v>
      </c>
      <c r="F1122" s="14" t="s">
        <v>2060</v>
      </c>
    </row>
    <row r="1123" spans="1:6" ht="31.75">
      <c r="A1123" s="19">
        <v>24113</v>
      </c>
      <c r="B1123" s="12" t="str">
        <f t="shared" si="17"/>
        <v>241</v>
      </c>
      <c r="C1123" s="1" t="s">
        <v>2074</v>
      </c>
      <c r="D1123" s="13" t="str">
        <f>IF(RIGHT(A1123,3)="000",C1123,VLOOKUP(B1123,'Справочник ИХ'!A:C,3,0))</f>
        <v>Минерально-строит.</v>
      </c>
      <c r="E1123" s="13">
        <f>IF(RIGHT(A1123,3)="000","х",VLOOKUP(B1123,'Справочник ИХ'!A:D,4,0))</f>
        <v>1</v>
      </c>
      <c r="F1123" s="14" t="s">
        <v>2060</v>
      </c>
    </row>
    <row r="1124" spans="1:6" ht="31.75">
      <c r="A1124" s="19">
        <v>24114</v>
      </c>
      <c r="B1124" s="12" t="str">
        <f t="shared" si="17"/>
        <v>241</v>
      </c>
      <c r="C1124" s="1" t="s">
        <v>2075</v>
      </c>
      <c r="D1124" s="13" t="str">
        <f>IF(RIGHT(A1124,3)="000",C1124,VLOOKUP(B1124,'Справочник ИХ'!A:C,3,0))</f>
        <v>Минерально-строит.</v>
      </c>
      <c r="E1124" s="13">
        <f>IF(RIGHT(A1124,3)="000","х",VLOOKUP(B1124,'Справочник ИХ'!A:D,4,0))</f>
        <v>1</v>
      </c>
      <c r="F1124" s="14" t="s">
        <v>2060</v>
      </c>
    </row>
    <row r="1125" spans="1:6" ht="31.75">
      <c r="A1125" s="19">
        <v>24115</v>
      </c>
      <c r="B1125" s="12" t="str">
        <f t="shared" si="17"/>
        <v>241</v>
      </c>
      <c r="C1125" s="1" t="s">
        <v>2076</v>
      </c>
      <c r="D1125" s="13" t="str">
        <f>IF(RIGHT(A1125,3)="000",C1125,VLOOKUP(B1125,'Справочник ИХ'!A:C,3,0))</f>
        <v>Минерально-строит.</v>
      </c>
      <c r="E1125" s="13">
        <f>IF(RIGHT(A1125,3)="000","х",VLOOKUP(B1125,'Справочник ИХ'!A:D,4,0))</f>
        <v>1</v>
      </c>
      <c r="F1125" s="14" t="s">
        <v>2060</v>
      </c>
    </row>
    <row r="1126" spans="1:6" ht="31.75">
      <c r="A1126" s="19">
        <v>24116</v>
      </c>
      <c r="B1126" s="12" t="str">
        <f t="shared" si="17"/>
        <v>241</v>
      </c>
      <c r="C1126" s="1" t="s">
        <v>2077</v>
      </c>
      <c r="D1126" s="13" t="str">
        <f>IF(RIGHT(A1126,3)="000",C1126,VLOOKUP(B1126,'Справочник ИХ'!A:C,3,0))</f>
        <v>Минерально-строит.</v>
      </c>
      <c r="E1126" s="13">
        <f>IF(RIGHT(A1126,3)="000","х",VLOOKUP(B1126,'Справочник ИХ'!A:D,4,0))</f>
        <v>1</v>
      </c>
      <c r="F1126" s="14" t="s">
        <v>2060</v>
      </c>
    </row>
    <row r="1127" spans="1:6" ht="31.75">
      <c r="A1127" s="19">
        <v>24117</v>
      </c>
      <c r="B1127" s="12" t="str">
        <f t="shared" si="17"/>
        <v>241</v>
      </c>
      <c r="C1127" s="1" t="s">
        <v>2078</v>
      </c>
      <c r="D1127" s="13" t="str">
        <f>IF(RIGHT(A1127,3)="000",C1127,VLOOKUP(B1127,'Справочник ИХ'!A:C,3,0))</f>
        <v>Минерально-строит.</v>
      </c>
      <c r="E1127" s="13">
        <f>IF(RIGHT(A1127,3)="000","х",VLOOKUP(B1127,'Справочник ИХ'!A:D,4,0))</f>
        <v>1</v>
      </c>
      <c r="F1127" s="14" t="s">
        <v>2060</v>
      </c>
    </row>
    <row r="1128" spans="1:6" ht="31.75">
      <c r="A1128" s="19">
        <v>24118</v>
      </c>
      <c r="B1128" s="12" t="str">
        <f t="shared" si="17"/>
        <v>241</v>
      </c>
      <c r="C1128" s="1" t="s">
        <v>2079</v>
      </c>
      <c r="D1128" s="13" t="str">
        <f>IF(RIGHT(A1128,3)="000",C1128,VLOOKUP(B1128,'Справочник ИХ'!A:C,3,0))</f>
        <v>Минерально-строит.</v>
      </c>
      <c r="E1128" s="13">
        <f>IF(RIGHT(A1128,3)="000","х",VLOOKUP(B1128,'Справочник ИХ'!A:D,4,0))</f>
        <v>1</v>
      </c>
      <c r="F1128" s="14" t="s">
        <v>2060</v>
      </c>
    </row>
    <row r="1129" spans="1:6" ht="31.75">
      <c r="A1129" s="19">
        <v>24119</v>
      </c>
      <c r="B1129" s="12" t="str">
        <f t="shared" si="17"/>
        <v>241</v>
      </c>
      <c r="C1129" s="1" t="s">
        <v>2080</v>
      </c>
      <c r="D1129" s="13" t="str">
        <f>IF(RIGHT(A1129,3)="000",C1129,VLOOKUP(B1129,'Справочник ИХ'!A:C,3,0))</f>
        <v>Минерально-строит.</v>
      </c>
      <c r="E1129" s="13">
        <f>IF(RIGHT(A1129,3)="000","х",VLOOKUP(B1129,'Справочник ИХ'!A:D,4,0))</f>
        <v>1</v>
      </c>
      <c r="F1129" s="14" t="s">
        <v>2060</v>
      </c>
    </row>
    <row r="1130" spans="1:6" ht="31.75">
      <c r="A1130" s="19">
        <v>24120</v>
      </c>
      <c r="B1130" s="12" t="str">
        <f t="shared" si="17"/>
        <v>241</v>
      </c>
      <c r="C1130" s="1" t="s">
        <v>2081</v>
      </c>
      <c r="D1130" s="13" t="str">
        <f>IF(RIGHT(A1130,3)="000",C1130,VLOOKUP(B1130,'Справочник ИХ'!A:C,3,0))</f>
        <v>Минерально-строит.</v>
      </c>
      <c r="E1130" s="13">
        <f>IF(RIGHT(A1130,3)="000","х",VLOOKUP(B1130,'Справочник ИХ'!A:D,4,0))</f>
        <v>1</v>
      </c>
      <c r="F1130" s="14" t="s">
        <v>2060</v>
      </c>
    </row>
    <row r="1131" spans="1:6" ht="31.75">
      <c r="A1131" s="19">
        <v>24121</v>
      </c>
      <c r="B1131" s="12" t="str">
        <f t="shared" si="17"/>
        <v>241</v>
      </c>
      <c r="C1131" s="1" t="s">
        <v>2082</v>
      </c>
      <c r="D1131" s="13" t="str">
        <f>IF(RIGHT(A1131,3)="000",C1131,VLOOKUP(B1131,'Справочник ИХ'!A:C,3,0))</f>
        <v>Минерально-строит.</v>
      </c>
      <c r="E1131" s="13">
        <f>IF(RIGHT(A1131,3)="000","х",VLOOKUP(B1131,'Справочник ИХ'!A:D,4,0))</f>
        <v>1</v>
      </c>
      <c r="F1131" s="14" t="s">
        <v>2060</v>
      </c>
    </row>
    <row r="1132" spans="1:6" ht="31.75">
      <c r="A1132" s="19">
        <v>24122</v>
      </c>
      <c r="B1132" s="12" t="str">
        <f t="shared" si="17"/>
        <v>241</v>
      </c>
      <c r="C1132" s="1" t="s">
        <v>2083</v>
      </c>
      <c r="D1132" s="13" t="str">
        <f>IF(RIGHT(A1132,3)="000",C1132,VLOOKUP(B1132,'Справочник ИХ'!A:C,3,0))</f>
        <v>Минерально-строит.</v>
      </c>
      <c r="E1132" s="13">
        <f>IF(RIGHT(A1132,3)="000","х",VLOOKUP(B1132,'Справочник ИХ'!A:D,4,0))</f>
        <v>1</v>
      </c>
      <c r="F1132" s="14" t="s">
        <v>2060</v>
      </c>
    </row>
    <row r="1133" spans="1:6" ht="31.75">
      <c r="A1133" s="19">
        <v>24123</v>
      </c>
      <c r="B1133" s="12" t="str">
        <f t="shared" si="17"/>
        <v>241</v>
      </c>
      <c r="C1133" s="1" t="s">
        <v>2084</v>
      </c>
      <c r="D1133" s="13" t="str">
        <f>IF(RIGHT(A1133,3)="000",C1133,VLOOKUP(B1133,'Справочник ИХ'!A:C,3,0))</f>
        <v>Минерально-строит.</v>
      </c>
      <c r="E1133" s="13">
        <f>IF(RIGHT(A1133,3)="000","х",VLOOKUP(B1133,'Справочник ИХ'!A:D,4,0))</f>
        <v>1</v>
      </c>
      <c r="F1133" s="14" t="s">
        <v>2060</v>
      </c>
    </row>
    <row r="1134" spans="1:6" ht="31.75">
      <c r="A1134" s="19">
        <v>24124</v>
      </c>
      <c r="B1134" s="12" t="str">
        <f t="shared" si="17"/>
        <v>241</v>
      </c>
      <c r="C1134" s="1" t="s">
        <v>2085</v>
      </c>
      <c r="D1134" s="13" t="str">
        <f>IF(RIGHT(A1134,3)="000",C1134,VLOOKUP(B1134,'Справочник ИХ'!A:C,3,0))</f>
        <v>Минерально-строит.</v>
      </c>
      <c r="E1134" s="13">
        <f>IF(RIGHT(A1134,3)="000","х",VLOOKUP(B1134,'Справочник ИХ'!A:D,4,0))</f>
        <v>1</v>
      </c>
      <c r="F1134" s="14" t="s">
        <v>2060</v>
      </c>
    </row>
    <row r="1135" spans="1:6" ht="31.75">
      <c r="A1135" s="19">
        <v>24125</v>
      </c>
      <c r="B1135" s="12" t="str">
        <f t="shared" si="17"/>
        <v>241</v>
      </c>
      <c r="C1135" s="1" t="s">
        <v>2086</v>
      </c>
      <c r="D1135" s="13" t="str">
        <f>IF(RIGHT(A1135,3)="000",C1135,VLOOKUP(B1135,'Справочник ИХ'!A:C,3,0))</f>
        <v>Минерально-строит.</v>
      </c>
      <c r="E1135" s="13">
        <f>IF(RIGHT(A1135,3)="000","х",VLOOKUP(B1135,'Справочник ИХ'!A:D,4,0))</f>
        <v>1</v>
      </c>
      <c r="F1135" s="14" t="s">
        <v>2060</v>
      </c>
    </row>
    <row r="1136" spans="1:6" ht="31.75">
      <c r="A1136" s="19">
        <v>24126</v>
      </c>
      <c r="B1136" s="12" t="str">
        <f t="shared" si="17"/>
        <v>241</v>
      </c>
      <c r="C1136" s="1" t="s">
        <v>2087</v>
      </c>
      <c r="D1136" s="13" t="str">
        <f>IF(RIGHT(A1136,3)="000",C1136,VLOOKUP(B1136,'Справочник ИХ'!A:C,3,0))</f>
        <v>Минерально-строит.</v>
      </c>
      <c r="E1136" s="13">
        <f>IF(RIGHT(A1136,3)="000","х",VLOOKUP(B1136,'Справочник ИХ'!A:D,4,0))</f>
        <v>1</v>
      </c>
      <c r="F1136" s="14" t="s">
        <v>2060</v>
      </c>
    </row>
    <row r="1137" spans="1:6" ht="31.75">
      <c r="A1137" s="19">
        <v>24127</v>
      </c>
      <c r="B1137" s="12" t="str">
        <f t="shared" si="17"/>
        <v>241</v>
      </c>
      <c r="C1137" s="1" t="s">
        <v>2088</v>
      </c>
      <c r="D1137" s="13" t="str">
        <f>IF(RIGHT(A1137,3)="000",C1137,VLOOKUP(B1137,'Справочник ИХ'!A:C,3,0))</f>
        <v>Минерально-строит.</v>
      </c>
      <c r="E1137" s="13">
        <f>IF(RIGHT(A1137,3)="000","х",VLOOKUP(B1137,'Справочник ИХ'!A:D,4,0))</f>
        <v>1</v>
      </c>
      <c r="F1137" s="14" t="s">
        <v>2060</v>
      </c>
    </row>
    <row r="1138" spans="1:6" ht="31.75">
      <c r="A1138" s="19">
        <v>24128</v>
      </c>
      <c r="B1138" s="12" t="str">
        <f t="shared" si="17"/>
        <v>241</v>
      </c>
      <c r="C1138" s="1" t="s">
        <v>2089</v>
      </c>
      <c r="D1138" s="13" t="str">
        <f>IF(RIGHT(A1138,3)="000",C1138,VLOOKUP(B1138,'Справочник ИХ'!A:C,3,0))</f>
        <v>Минерально-строит.</v>
      </c>
      <c r="E1138" s="13">
        <f>IF(RIGHT(A1138,3)="000","х",VLOOKUP(B1138,'Справочник ИХ'!A:D,4,0))</f>
        <v>1</v>
      </c>
      <c r="F1138" s="14" t="s">
        <v>2060</v>
      </c>
    </row>
    <row r="1139" spans="1:6" ht="31.75">
      <c r="A1139" s="19">
        <v>24129</v>
      </c>
      <c r="B1139" s="12" t="str">
        <f t="shared" si="17"/>
        <v>241</v>
      </c>
      <c r="C1139" s="1" t="s">
        <v>2090</v>
      </c>
      <c r="D1139" s="13" t="str">
        <f>IF(RIGHT(A1139,3)="000",C1139,VLOOKUP(B1139,'Справочник ИХ'!A:C,3,0))</f>
        <v>Минерально-строит.</v>
      </c>
      <c r="E1139" s="13">
        <f>IF(RIGHT(A1139,3)="000","х",VLOOKUP(B1139,'Справочник ИХ'!A:D,4,0))</f>
        <v>1</v>
      </c>
      <c r="F1139" s="14" t="s">
        <v>2060</v>
      </c>
    </row>
    <row r="1140" spans="1:6" ht="31.75">
      <c r="A1140" s="19">
        <v>24130</v>
      </c>
      <c r="B1140" s="12" t="str">
        <f t="shared" si="17"/>
        <v>241</v>
      </c>
      <c r="C1140" s="1" t="s">
        <v>2091</v>
      </c>
      <c r="D1140" s="13" t="str">
        <f>IF(RIGHT(A1140,3)="000",C1140,VLOOKUP(B1140,'Справочник ИХ'!A:C,3,0))</f>
        <v>Минерально-строит.</v>
      </c>
      <c r="E1140" s="13">
        <f>IF(RIGHT(A1140,3)="000","х",VLOOKUP(B1140,'Справочник ИХ'!A:D,4,0))</f>
        <v>1</v>
      </c>
      <c r="F1140" s="14" t="s">
        <v>2060</v>
      </c>
    </row>
    <row r="1141" spans="1:6" ht="47.6">
      <c r="A1141" s="19">
        <v>24131</v>
      </c>
      <c r="B1141" s="12" t="str">
        <f t="shared" si="17"/>
        <v>241</v>
      </c>
      <c r="C1141" s="1" t="s">
        <v>2092</v>
      </c>
      <c r="D1141" s="13" t="str">
        <f>IF(RIGHT(A1141,3)="000",C1141,VLOOKUP(B1141,'Справочник ИХ'!A:C,3,0))</f>
        <v>Минерально-строит.</v>
      </c>
      <c r="E1141" s="13">
        <f>IF(RIGHT(A1141,3)="000","х",VLOOKUP(B1141,'Справочник ИХ'!A:D,4,0))</f>
        <v>1</v>
      </c>
      <c r="F1141" s="14" t="s">
        <v>2060</v>
      </c>
    </row>
    <row r="1142" spans="1:6" ht="31.75">
      <c r="A1142" s="19">
        <v>24132</v>
      </c>
      <c r="B1142" s="12" t="str">
        <f t="shared" si="17"/>
        <v>241</v>
      </c>
      <c r="C1142" s="1" t="s">
        <v>2093</v>
      </c>
      <c r="D1142" s="13" t="str">
        <f>IF(RIGHT(A1142,3)="000",C1142,VLOOKUP(B1142,'Справочник ИХ'!A:C,3,0))</f>
        <v>Минерально-строит.</v>
      </c>
      <c r="E1142" s="13">
        <f>IF(RIGHT(A1142,3)="000","х",VLOOKUP(B1142,'Справочник ИХ'!A:D,4,0))</f>
        <v>1</v>
      </c>
      <c r="F1142" s="14" t="s">
        <v>2060</v>
      </c>
    </row>
    <row r="1143" spans="1:6" ht="31.75">
      <c r="A1143" s="19">
        <v>24133</v>
      </c>
      <c r="B1143" s="12" t="str">
        <f t="shared" si="17"/>
        <v>241</v>
      </c>
      <c r="C1143" s="1" t="s">
        <v>2094</v>
      </c>
      <c r="D1143" s="13" t="str">
        <f>IF(RIGHT(A1143,3)="000",C1143,VLOOKUP(B1143,'Справочник ИХ'!A:C,3,0))</f>
        <v>Минерально-строит.</v>
      </c>
      <c r="E1143" s="13">
        <f>IF(RIGHT(A1143,3)="000","х",VLOOKUP(B1143,'Справочник ИХ'!A:D,4,0))</f>
        <v>1</v>
      </c>
      <c r="F1143" s="14" t="s">
        <v>2060</v>
      </c>
    </row>
    <row r="1144" spans="1:6" ht="31.75">
      <c r="A1144" s="19">
        <v>24134</v>
      </c>
      <c r="B1144" s="12" t="str">
        <f t="shared" si="17"/>
        <v>241</v>
      </c>
      <c r="C1144" s="1" t="s">
        <v>2095</v>
      </c>
      <c r="D1144" s="13" t="str">
        <f>IF(RIGHT(A1144,3)="000",C1144,VLOOKUP(B1144,'Справочник ИХ'!A:C,3,0))</f>
        <v>Минерально-строит.</v>
      </c>
      <c r="E1144" s="13">
        <f>IF(RIGHT(A1144,3)="000","х",VLOOKUP(B1144,'Справочник ИХ'!A:D,4,0))</f>
        <v>1</v>
      </c>
      <c r="F1144" s="14" t="s">
        <v>2060</v>
      </c>
    </row>
    <row r="1145" spans="1:6" ht="31.75">
      <c r="A1145" s="19">
        <v>24135</v>
      </c>
      <c r="B1145" s="12" t="str">
        <f t="shared" si="17"/>
        <v>241</v>
      </c>
      <c r="C1145" s="1" t="s">
        <v>2096</v>
      </c>
      <c r="D1145" s="13" t="str">
        <f>IF(RIGHT(A1145,3)="000",C1145,VLOOKUP(B1145,'Справочник ИХ'!A:C,3,0))</f>
        <v>Минерально-строит.</v>
      </c>
      <c r="E1145" s="13">
        <f>IF(RIGHT(A1145,3)="000","х",VLOOKUP(B1145,'Справочник ИХ'!A:D,4,0))</f>
        <v>1</v>
      </c>
      <c r="F1145" s="14" t="s">
        <v>2060</v>
      </c>
    </row>
    <row r="1146" spans="1:6" ht="31.75">
      <c r="A1146" s="19">
        <v>24136</v>
      </c>
      <c r="B1146" s="12" t="str">
        <f t="shared" si="17"/>
        <v>241</v>
      </c>
      <c r="C1146" s="1" t="s">
        <v>2097</v>
      </c>
      <c r="D1146" s="13" t="str">
        <f>IF(RIGHT(A1146,3)="000",C1146,VLOOKUP(B1146,'Справочник ИХ'!A:C,3,0))</f>
        <v>Минерально-строит.</v>
      </c>
      <c r="E1146" s="13">
        <f>IF(RIGHT(A1146,3)="000","х",VLOOKUP(B1146,'Справочник ИХ'!A:D,4,0))</f>
        <v>1</v>
      </c>
      <c r="F1146" s="14" t="s">
        <v>2060</v>
      </c>
    </row>
    <row r="1147" spans="1:6" ht="31.75">
      <c r="A1147" s="19">
        <v>24137</v>
      </c>
      <c r="B1147" s="12" t="str">
        <f t="shared" si="17"/>
        <v>241</v>
      </c>
      <c r="C1147" s="1" t="s">
        <v>2098</v>
      </c>
      <c r="D1147" s="13" t="str">
        <f>IF(RIGHT(A1147,3)="000",C1147,VLOOKUP(B1147,'Справочник ИХ'!A:C,3,0))</f>
        <v>Минерально-строит.</v>
      </c>
      <c r="E1147" s="13">
        <f>IF(RIGHT(A1147,3)="000","х",VLOOKUP(B1147,'Справочник ИХ'!A:D,4,0))</f>
        <v>1</v>
      </c>
      <c r="F1147" s="14" t="s">
        <v>2060</v>
      </c>
    </row>
    <row r="1148" spans="1:6" ht="31.75">
      <c r="A1148" s="19">
        <v>24138</v>
      </c>
      <c r="B1148" s="12" t="str">
        <f t="shared" si="17"/>
        <v>241</v>
      </c>
      <c r="C1148" s="1" t="s">
        <v>2099</v>
      </c>
      <c r="D1148" s="13" t="str">
        <f>IF(RIGHT(A1148,3)="000",C1148,VLOOKUP(B1148,'Справочник ИХ'!A:C,3,0))</f>
        <v>Минерально-строит.</v>
      </c>
      <c r="E1148" s="13">
        <f>IF(RIGHT(A1148,3)="000","х",VLOOKUP(B1148,'Справочник ИХ'!A:D,4,0))</f>
        <v>1</v>
      </c>
      <c r="F1148" s="14" t="s">
        <v>2060</v>
      </c>
    </row>
    <row r="1149" spans="1:6" ht="31.75">
      <c r="A1149" s="19">
        <v>24139</v>
      </c>
      <c r="B1149" s="12" t="str">
        <f t="shared" si="17"/>
        <v>241</v>
      </c>
      <c r="C1149" s="1" t="s">
        <v>2100</v>
      </c>
      <c r="D1149" s="13" t="str">
        <f>IF(RIGHT(A1149,3)="000",C1149,VLOOKUP(B1149,'Справочник ИХ'!A:C,3,0))</f>
        <v>Минерально-строит.</v>
      </c>
      <c r="E1149" s="13">
        <f>IF(RIGHT(A1149,3)="000","х",VLOOKUP(B1149,'Справочник ИХ'!A:D,4,0))</f>
        <v>1</v>
      </c>
      <c r="F1149" s="14" t="s">
        <v>2060</v>
      </c>
    </row>
    <row r="1150" spans="1:6" ht="31.75">
      <c r="A1150" s="19">
        <v>24140</v>
      </c>
      <c r="B1150" s="12" t="str">
        <f t="shared" si="17"/>
        <v>241</v>
      </c>
      <c r="C1150" s="1" t="s">
        <v>2101</v>
      </c>
      <c r="D1150" s="13" t="str">
        <f>IF(RIGHT(A1150,3)="000",C1150,VLOOKUP(B1150,'Справочник ИХ'!A:C,3,0))</f>
        <v>Минерально-строит.</v>
      </c>
      <c r="E1150" s="13">
        <f>IF(RIGHT(A1150,3)="000","х",VLOOKUP(B1150,'Справочник ИХ'!A:D,4,0))</f>
        <v>1</v>
      </c>
      <c r="F1150" s="14" t="s">
        <v>2060</v>
      </c>
    </row>
    <row r="1151" spans="1:6" ht="31.75">
      <c r="A1151" s="19">
        <v>24141</v>
      </c>
      <c r="B1151" s="12" t="str">
        <f t="shared" si="17"/>
        <v>241</v>
      </c>
      <c r="C1151" s="32" t="s">
        <v>2102</v>
      </c>
      <c r="D1151" s="13" t="str">
        <f>IF(RIGHT(A1151,3)="000",C1151,VLOOKUP(B1151,'Справочник ИХ'!A:C,3,0))</f>
        <v>Минерально-строит.</v>
      </c>
      <c r="E1151" s="13">
        <f>IF(RIGHT(A1151,3)="000","х",VLOOKUP(B1151,'Справочник ИХ'!A:D,4,0))</f>
        <v>1</v>
      </c>
      <c r="F1151" s="14" t="s">
        <v>2060</v>
      </c>
    </row>
    <row r="1152" spans="1:6" ht="31.75">
      <c r="A1152" s="19">
        <v>24142</v>
      </c>
      <c r="B1152" s="12" t="str">
        <f t="shared" si="17"/>
        <v>241</v>
      </c>
      <c r="C1152" s="1" t="s">
        <v>2103</v>
      </c>
      <c r="D1152" s="13" t="str">
        <f>IF(RIGHT(A1152,3)="000",C1152,VLOOKUP(B1152,'Справочник ИХ'!A:C,3,0))</f>
        <v>Минерально-строит.</v>
      </c>
      <c r="E1152" s="13">
        <f>IF(RIGHT(A1152,3)="000","х",VLOOKUP(B1152,'Справочник ИХ'!A:D,4,0))</f>
        <v>1</v>
      </c>
      <c r="F1152" s="14" t="s">
        <v>2060</v>
      </c>
    </row>
    <row r="1153" spans="1:6" ht="31.75">
      <c r="A1153" s="19">
        <v>24143</v>
      </c>
      <c r="B1153" s="12" t="str">
        <f t="shared" si="17"/>
        <v>241</v>
      </c>
      <c r="C1153" s="1" t="s">
        <v>2104</v>
      </c>
      <c r="D1153" s="13" t="str">
        <f>IF(RIGHT(A1153,3)="000",C1153,VLOOKUP(B1153,'Справочник ИХ'!A:C,3,0))</f>
        <v>Минерально-строит.</v>
      </c>
      <c r="E1153" s="13">
        <f>IF(RIGHT(A1153,3)="000","х",VLOOKUP(B1153,'Справочник ИХ'!A:D,4,0))</f>
        <v>1</v>
      </c>
      <c r="F1153" s="14" t="s">
        <v>2060</v>
      </c>
    </row>
    <row r="1154" spans="1:6" ht="31.75">
      <c r="A1154" s="19">
        <v>24144</v>
      </c>
      <c r="B1154" s="12" t="str">
        <f t="shared" si="17"/>
        <v>241</v>
      </c>
      <c r="C1154" s="1" t="s">
        <v>2105</v>
      </c>
      <c r="D1154" s="13" t="str">
        <f>IF(RIGHT(A1154,3)="000",C1154,VLOOKUP(B1154,'Справочник ИХ'!A:C,3,0))</f>
        <v>Минерально-строит.</v>
      </c>
      <c r="E1154" s="13">
        <f>IF(RIGHT(A1154,3)="000","х",VLOOKUP(B1154,'Справочник ИХ'!A:D,4,0))</f>
        <v>1</v>
      </c>
      <c r="F1154" s="14" t="s">
        <v>2060</v>
      </c>
    </row>
    <row r="1155" spans="1:6" ht="31.75">
      <c r="A1155" s="19">
        <v>24145</v>
      </c>
      <c r="B1155" s="12" t="str">
        <f t="shared" si="17"/>
        <v>241</v>
      </c>
      <c r="C1155" s="1" t="s">
        <v>2106</v>
      </c>
      <c r="D1155" s="13" t="str">
        <f>IF(RIGHT(A1155,3)="000",C1155,VLOOKUP(B1155,'Справочник ИХ'!A:C,3,0))</f>
        <v>Минерально-строит.</v>
      </c>
      <c r="E1155" s="13">
        <f>IF(RIGHT(A1155,3)="000","х",VLOOKUP(B1155,'Справочник ИХ'!A:D,4,0))</f>
        <v>1</v>
      </c>
      <c r="F1155" s="14" t="s">
        <v>2060</v>
      </c>
    </row>
    <row r="1156" spans="1:6" ht="31.75">
      <c r="A1156" s="19">
        <v>24146</v>
      </c>
      <c r="B1156" s="12" t="str">
        <f t="shared" ref="B1156:B1219" si="18">LEFT(A1156,3)</f>
        <v>241</v>
      </c>
      <c r="C1156" s="1" t="s">
        <v>2107</v>
      </c>
      <c r="D1156" s="13" t="str">
        <f>IF(RIGHT(A1156,3)="000",C1156,VLOOKUP(B1156,'Справочник ИХ'!A:C,3,0))</f>
        <v>Минерально-строит.</v>
      </c>
      <c r="E1156" s="13">
        <f>IF(RIGHT(A1156,3)="000","х",VLOOKUP(B1156,'Справочник ИХ'!A:D,4,0))</f>
        <v>1</v>
      </c>
      <c r="F1156" s="14" t="s">
        <v>2060</v>
      </c>
    </row>
    <row r="1157" spans="1:6" ht="31.75">
      <c r="A1157" s="19">
        <v>24147</v>
      </c>
      <c r="B1157" s="12" t="str">
        <f t="shared" si="18"/>
        <v>241</v>
      </c>
      <c r="C1157" s="1" t="s">
        <v>2108</v>
      </c>
      <c r="D1157" s="13" t="str">
        <f>IF(RIGHT(A1157,3)="000",C1157,VLOOKUP(B1157,'Справочник ИХ'!A:C,3,0))</f>
        <v>Минерально-строит.</v>
      </c>
      <c r="E1157" s="13">
        <f>IF(RIGHT(A1157,3)="000","х",VLOOKUP(B1157,'Справочник ИХ'!A:D,4,0))</f>
        <v>1</v>
      </c>
      <c r="F1157" s="14" t="s">
        <v>2060</v>
      </c>
    </row>
    <row r="1158" spans="1:6" ht="31.75">
      <c r="A1158" s="19">
        <v>24148</v>
      </c>
      <c r="B1158" s="12" t="str">
        <f t="shared" si="18"/>
        <v>241</v>
      </c>
      <c r="C1158" s="1" t="s">
        <v>2109</v>
      </c>
      <c r="D1158" s="13" t="str">
        <f>IF(RIGHT(A1158,3)="000",C1158,VLOOKUP(B1158,'Справочник ИХ'!A:C,3,0))</f>
        <v>Минерально-строит.</v>
      </c>
      <c r="E1158" s="13">
        <f>IF(RIGHT(A1158,3)="000","х",VLOOKUP(B1158,'Справочник ИХ'!A:D,4,0))</f>
        <v>1</v>
      </c>
      <c r="F1158" s="14" t="s">
        <v>2060</v>
      </c>
    </row>
    <row r="1159" spans="1:6" ht="31.75">
      <c r="A1159" s="19">
        <v>24149</v>
      </c>
      <c r="B1159" s="12" t="str">
        <f t="shared" si="18"/>
        <v>241</v>
      </c>
      <c r="C1159" s="1" t="s">
        <v>2110</v>
      </c>
      <c r="D1159" s="13" t="str">
        <f>IF(RIGHT(A1159,3)="000",C1159,VLOOKUP(B1159,'Справочник ИХ'!A:C,3,0))</f>
        <v>Минерально-строит.</v>
      </c>
      <c r="E1159" s="13">
        <f>IF(RIGHT(A1159,3)="000","х",VLOOKUP(B1159,'Справочник ИХ'!A:D,4,0))</f>
        <v>1</v>
      </c>
      <c r="F1159" s="14" t="s">
        <v>2060</v>
      </c>
    </row>
    <row r="1160" spans="1:6" ht="31.75">
      <c r="A1160" s="19">
        <v>24150</v>
      </c>
      <c r="B1160" s="12" t="str">
        <f t="shared" si="18"/>
        <v>241</v>
      </c>
      <c r="C1160" s="1" t="s">
        <v>2111</v>
      </c>
      <c r="D1160" s="13" t="str">
        <f>IF(RIGHT(A1160,3)="000",C1160,VLOOKUP(B1160,'Справочник ИХ'!A:C,3,0))</f>
        <v>Минерально-строит.</v>
      </c>
      <c r="E1160" s="13">
        <f>IF(RIGHT(A1160,3)="000","х",VLOOKUP(B1160,'Справочник ИХ'!A:D,4,0))</f>
        <v>1</v>
      </c>
      <c r="F1160" s="14" t="s">
        <v>2060</v>
      </c>
    </row>
    <row r="1161" spans="1:6" ht="31.75">
      <c r="A1161" s="19">
        <v>24151</v>
      </c>
      <c r="B1161" s="12" t="str">
        <f t="shared" si="18"/>
        <v>241</v>
      </c>
      <c r="C1161" s="1" t="s">
        <v>2112</v>
      </c>
      <c r="D1161" s="13" t="str">
        <f>IF(RIGHT(A1161,3)="000",C1161,VLOOKUP(B1161,'Справочник ИХ'!A:C,3,0))</f>
        <v>Минерально-строит.</v>
      </c>
      <c r="E1161" s="13">
        <f>IF(RIGHT(A1161,3)="000","х",VLOOKUP(B1161,'Справочник ИХ'!A:D,4,0))</f>
        <v>1</v>
      </c>
      <c r="F1161" s="14" t="s">
        <v>2060</v>
      </c>
    </row>
    <row r="1162" spans="1:6" ht="31.75">
      <c r="A1162" s="19">
        <v>24152</v>
      </c>
      <c r="B1162" s="12" t="str">
        <f t="shared" si="18"/>
        <v>241</v>
      </c>
      <c r="C1162" s="1" t="s">
        <v>2113</v>
      </c>
      <c r="D1162" s="13" t="str">
        <f>IF(RIGHT(A1162,3)="000",C1162,VLOOKUP(B1162,'Справочник ИХ'!A:C,3,0))</f>
        <v>Минерально-строит.</v>
      </c>
      <c r="E1162" s="13">
        <f>IF(RIGHT(A1162,3)="000","х",VLOOKUP(B1162,'Справочник ИХ'!A:D,4,0))</f>
        <v>1</v>
      </c>
      <c r="F1162" s="14" t="s">
        <v>2060</v>
      </c>
    </row>
    <row r="1163" spans="1:6" ht="31.75">
      <c r="A1163" s="19">
        <v>24153</v>
      </c>
      <c r="B1163" s="12" t="str">
        <f t="shared" si="18"/>
        <v>241</v>
      </c>
      <c r="C1163" s="1" t="s">
        <v>2114</v>
      </c>
      <c r="D1163" s="13" t="str">
        <f>IF(RIGHT(A1163,3)="000",C1163,VLOOKUP(B1163,'Справочник ИХ'!A:C,3,0))</f>
        <v>Минерально-строит.</v>
      </c>
      <c r="E1163" s="13">
        <f>IF(RIGHT(A1163,3)="000","х",VLOOKUP(B1163,'Справочник ИХ'!A:D,4,0))</f>
        <v>1</v>
      </c>
      <c r="F1163" s="14" t="s">
        <v>2060</v>
      </c>
    </row>
    <row r="1164" spans="1:6" ht="31.75">
      <c r="A1164" s="19">
        <v>24154</v>
      </c>
      <c r="B1164" s="12" t="str">
        <f t="shared" si="18"/>
        <v>241</v>
      </c>
      <c r="C1164" s="1" t="s">
        <v>2115</v>
      </c>
      <c r="D1164" s="13" t="str">
        <f>IF(RIGHT(A1164,3)="000",C1164,VLOOKUP(B1164,'Справочник ИХ'!A:C,3,0))</f>
        <v>Минерально-строит.</v>
      </c>
      <c r="E1164" s="13">
        <f>IF(RIGHT(A1164,3)="000","х",VLOOKUP(B1164,'Справочник ИХ'!A:D,4,0))</f>
        <v>1</v>
      </c>
      <c r="F1164" s="14" t="s">
        <v>2060</v>
      </c>
    </row>
    <row r="1165" spans="1:6" ht="31.75">
      <c r="A1165" s="19">
        <v>24155</v>
      </c>
      <c r="B1165" s="12" t="str">
        <f t="shared" si="18"/>
        <v>241</v>
      </c>
      <c r="C1165" s="1" t="s">
        <v>2116</v>
      </c>
      <c r="D1165" s="13" t="str">
        <f>IF(RIGHT(A1165,3)="000",C1165,VLOOKUP(B1165,'Справочник ИХ'!A:C,3,0))</f>
        <v>Минерально-строит.</v>
      </c>
      <c r="E1165" s="13">
        <f>IF(RIGHT(A1165,3)="000","х",VLOOKUP(B1165,'Справочник ИХ'!A:D,4,0))</f>
        <v>1</v>
      </c>
      <c r="F1165" s="14" t="s">
        <v>2060</v>
      </c>
    </row>
    <row r="1166" spans="1:6" ht="31.75">
      <c r="A1166" s="19">
        <v>24156</v>
      </c>
      <c r="B1166" s="12" t="str">
        <f t="shared" si="18"/>
        <v>241</v>
      </c>
      <c r="C1166" s="1" t="s">
        <v>2117</v>
      </c>
      <c r="D1166" s="13" t="str">
        <f>IF(RIGHT(A1166,3)="000",C1166,VLOOKUP(B1166,'Справочник ИХ'!A:C,3,0))</f>
        <v>Минерально-строит.</v>
      </c>
      <c r="E1166" s="13">
        <f>IF(RIGHT(A1166,3)="000","х",VLOOKUP(B1166,'Справочник ИХ'!A:D,4,0))</f>
        <v>1</v>
      </c>
      <c r="F1166" s="14" t="s">
        <v>2060</v>
      </c>
    </row>
    <row r="1167" spans="1:6" ht="31.75">
      <c r="A1167" s="19">
        <v>24157</v>
      </c>
      <c r="B1167" s="12" t="str">
        <f t="shared" si="18"/>
        <v>241</v>
      </c>
      <c r="C1167" s="1" t="s">
        <v>2118</v>
      </c>
      <c r="D1167" s="13" t="str">
        <f>IF(RIGHT(A1167,3)="000",C1167,VLOOKUP(B1167,'Справочник ИХ'!A:C,3,0))</f>
        <v>Минерально-строит.</v>
      </c>
      <c r="E1167" s="13">
        <f>IF(RIGHT(A1167,3)="000","х",VLOOKUP(B1167,'Справочник ИХ'!A:D,4,0))</f>
        <v>1</v>
      </c>
      <c r="F1167" s="14" t="s">
        <v>2060</v>
      </c>
    </row>
    <row r="1168" spans="1:6" ht="31.75">
      <c r="A1168" s="19">
        <v>24158</v>
      </c>
      <c r="B1168" s="12" t="str">
        <f t="shared" si="18"/>
        <v>241</v>
      </c>
      <c r="C1168" s="1" t="s">
        <v>2119</v>
      </c>
      <c r="D1168" s="13" t="str">
        <f>IF(RIGHT(A1168,3)="000",C1168,VLOOKUP(B1168,'Справочник ИХ'!A:C,3,0))</f>
        <v>Минерально-строит.</v>
      </c>
      <c r="E1168" s="13">
        <f>IF(RIGHT(A1168,3)="000","х",VLOOKUP(B1168,'Справочник ИХ'!A:D,4,0))</f>
        <v>1</v>
      </c>
      <c r="F1168" s="14" t="s">
        <v>2060</v>
      </c>
    </row>
    <row r="1169" spans="1:6" s="18" customFormat="1" ht="31.75">
      <c r="A1169" s="16">
        <v>24200</v>
      </c>
      <c r="B1169" s="12" t="str">
        <f t="shared" si="18"/>
        <v>242</v>
      </c>
      <c r="C1169" s="17" t="s">
        <v>2120</v>
      </c>
      <c r="D1169" s="13" t="str">
        <f>IF(RIGHT(A1169,3)="000",C1169,VLOOKUP(B1169,'Справочник ИХ'!A:C,3,0))</f>
        <v>Минерально-строит.</v>
      </c>
      <c r="E1169" s="13">
        <f>IF(RIGHT(A1169,3)="000","х",VLOOKUP(B1169,'Справочник ИХ'!A:D,4,0))</f>
        <v>1</v>
      </c>
      <c r="F1169" s="14" t="s">
        <v>2060</v>
      </c>
    </row>
    <row r="1170" spans="1:6" ht="31.75">
      <c r="A1170" s="19">
        <v>24201</v>
      </c>
      <c r="B1170" s="12" t="str">
        <f t="shared" si="18"/>
        <v>242</v>
      </c>
      <c r="C1170" s="1" t="s">
        <v>2121</v>
      </c>
      <c r="D1170" s="13" t="str">
        <f>IF(RIGHT(A1170,3)="000",C1170,VLOOKUP(B1170,'Справочник ИХ'!A:C,3,0))</f>
        <v>Минерально-строит.</v>
      </c>
      <c r="E1170" s="13">
        <f>IF(RIGHT(A1170,3)="000","х",VLOOKUP(B1170,'Справочник ИХ'!A:D,4,0))</f>
        <v>1</v>
      </c>
      <c r="F1170" s="14" t="s">
        <v>2060</v>
      </c>
    </row>
    <row r="1171" spans="1:6" ht="31.75">
      <c r="A1171" s="19">
        <v>24202</v>
      </c>
      <c r="B1171" s="12" t="str">
        <f t="shared" si="18"/>
        <v>242</v>
      </c>
      <c r="C1171" s="1" t="s">
        <v>2122</v>
      </c>
      <c r="D1171" s="13" t="str">
        <f>IF(RIGHT(A1171,3)="000",C1171,VLOOKUP(B1171,'Справочник ИХ'!A:C,3,0))</f>
        <v>Минерально-строит.</v>
      </c>
      <c r="E1171" s="13">
        <f>IF(RIGHT(A1171,3)="000","х",VLOOKUP(B1171,'Справочник ИХ'!A:D,4,0))</f>
        <v>1</v>
      </c>
      <c r="F1171" s="14" t="s">
        <v>2060</v>
      </c>
    </row>
    <row r="1172" spans="1:6" ht="31.75">
      <c r="A1172" s="19">
        <v>24203</v>
      </c>
      <c r="B1172" s="12" t="str">
        <f t="shared" si="18"/>
        <v>242</v>
      </c>
      <c r="C1172" s="1" t="s">
        <v>2123</v>
      </c>
      <c r="D1172" s="13" t="str">
        <f>IF(RIGHT(A1172,3)="000",C1172,VLOOKUP(B1172,'Справочник ИХ'!A:C,3,0))</f>
        <v>Минерально-строит.</v>
      </c>
      <c r="E1172" s="13">
        <f>IF(RIGHT(A1172,3)="000","х",VLOOKUP(B1172,'Справочник ИХ'!A:D,4,0))</f>
        <v>1</v>
      </c>
      <c r="F1172" s="14" t="s">
        <v>2060</v>
      </c>
    </row>
    <row r="1173" spans="1:6" ht="31.75">
      <c r="A1173" s="19">
        <v>24204</v>
      </c>
      <c r="B1173" s="12" t="str">
        <f t="shared" si="18"/>
        <v>242</v>
      </c>
      <c r="C1173" s="1" t="s">
        <v>2124</v>
      </c>
      <c r="D1173" s="13" t="str">
        <f>IF(RIGHT(A1173,3)="000",C1173,VLOOKUP(B1173,'Справочник ИХ'!A:C,3,0))</f>
        <v>Минерально-строит.</v>
      </c>
      <c r="E1173" s="13">
        <f>IF(RIGHT(A1173,3)="000","х",VLOOKUP(B1173,'Справочник ИХ'!A:D,4,0))</f>
        <v>1</v>
      </c>
      <c r="F1173" s="14" t="s">
        <v>2060</v>
      </c>
    </row>
    <row r="1174" spans="1:6" ht="31.75">
      <c r="A1174" s="19">
        <v>24205</v>
      </c>
      <c r="B1174" s="12" t="str">
        <f t="shared" si="18"/>
        <v>242</v>
      </c>
      <c r="C1174" s="1" t="s">
        <v>2125</v>
      </c>
      <c r="D1174" s="13" t="str">
        <f>IF(RIGHT(A1174,3)="000",C1174,VLOOKUP(B1174,'Справочник ИХ'!A:C,3,0))</f>
        <v>Минерально-строит.</v>
      </c>
      <c r="E1174" s="13">
        <f>IF(RIGHT(A1174,3)="000","х",VLOOKUP(B1174,'Справочник ИХ'!A:D,4,0))</f>
        <v>1</v>
      </c>
      <c r="F1174" s="14" t="s">
        <v>2060</v>
      </c>
    </row>
    <row r="1175" spans="1:6" ht="31.75">
      <c r="A1175" s="19">
        <v>24206</v>
      </c>
      <c r="B1175" s="12" t="str">
        <f t="shared" si="18"/>
        <v>242</v>
      </c>
      <c r="C1175" s="1" t="s">
        <v>2126</v>
      </c>
      <c r="D1175" s="13" t="str">
        <f>IF(RIGHT(A1175,3)="000",C1175,VLOOKUP(B1175,'Справочник ИХ'!A:C,3,0))</f>
        <v>Минерально-строит.</v>
      </c>
      <c r="E1175" s="13">
        <f>IF(RIGHT(A1175,3)="000","х",VLOOKUP(B1175,'Справочник ИХ'!A:D,4,0))</f>
        <v>1</v>
      </c>
      <c r="F1175" s="14" t="s">
        <v>2060</v>
      </c>
    </row>
    <row r="1176" spans="1:6" ht="31.75">
      <c r="A1176" s="19">
        <v>24207</v>
      </c>
      <c r="B1176" s="12" t="str">
        <f t="shared" si="18"/>
        <v>242</v>
      </c>
      <c r="C1176" s="1" t="s">
        <v>2127</v>
      </c>
      <c r="D1176" s="13" t="str">
        <f>IF(RIGHT(A1176,3)="000",C1176,VLOOKUP(B1176,'Справочник ИХ'!A:C,3,0))</f>
        <v>Минерально-строит.</v>
      </c>
      <c r="E1176" s="13">
        <f>IF(RIGHT(A1176,3)="000","х",VLOOKUP(B1176,'Справочник ИХ'!A:D,4,0))</f>
        <v>1</v>
      </c>
      <c r="F1176" s="14" t="s">
        <v>2060</v>
      </c>
    </row>
    <row r="1177" spans="1:6" ht="31.75">
      <c r="A1177" s="19">
        <v>24208</v>
      </c>
      <c r="B1177" s="12" t="str">
        <f t="shared" si="18"/>
        <v>242</v>
      </c>
      <c r="C1177" s="1" t="s">
        <v>2128</v>
      </c>
      <c r="D1177" s="13" t="str">
        <f>IF(RIGHT(A1177,3)="000",C1177,VLOOKUP(B1177,'Справочник ИХ'!A:C,3,0))</f>
        <v>Минерально-строит.</v>
      </c>
      <c r="E1177" s="13">
        <f>IF(RIGHT(A1177,3)="000","х",VLOOKUP(B1177,'Справочник ИХ'!A:D,4,0))</f>
        <v>1</v>
      </c>
      <c r="F1177" s="14" t="s">
        <v>2060</v>
      </c>
    </row>
    <row r="1178" spans="1:6" ht="31.75">
      <c r="A1178" s="19">
        <v>24209</v>
      </c>
      <c r="B1178" s="12" t="str">
        <f t="shared" si="18"/>
        <v>242</v>
      </c>
      <c r="C1178" s="1" t="s">
        <v>2129</v>
      </c>
      <c r="D1178" s="13" t="str">
        <f>IF(RIGHT(A1178,3)="000",C1178,VLOOKUP(B1178,'Справочник ИХ'!A:C,3,0))</f>
        <v>Минерально-строит.</v>
      </c>
      <c r="E1178" s="13">
        <f>IF(RIGHT(A1178,3)="000","х",VLOOKUP(B1178,'Справочник ИХ'!A:D,4,0))</f>
        <v>1</v>
      </c>
      <c r="F1178" s="14" t="s">
        <v>2060</v>
      </c>
    </row>
    <row r="1179" spans="1:6" ht="31.75">
      <c r="A1179" s="19">
        <v>24210</v>
      </c>
      <c r="B1179" s="12" t="str">
        <f t="shared" si="18"/>
        <v>242</v>
      </c>
      <c r="C1179" s="1" t="s">
        <v>2130</v>
      </c>
      <c r="D1179" s="13" t="str">
        <f>IF(RIGHT(A1179,3)="000",C1179,VLOOKUP(B1179,'Справочник ИХ'!A:C,3,0))</f>
        <v>Минерально-строит.</v>
      </c>
      <c r="E1179" s="13">
        <f>IF(RIGHT(A1179,3)="000","х",VLOOKUP(B1179,'Справочник ИХ'!A:D,4,0))</f>
        <v>1</v>
      </c>
      <c r="F1179" s="14" t="s">
        <v>2060</v>
      </c>
    </row>
    <row r="1180" spans="1:6" ht="31.75">
      <c r="A1180" s="19">
        <v>24211</v>
      </c>
      <c r="B1180" s="12" t="str">
        <f t="shared" si="18"/>
        <v>242</v>
      </c>
      <c r="C1180" s="1" t="s">
        <v>2131</v>
      </c>
      <c r="D1180" s="13" t="str">
        <f>IF(RIGHT(A1180,3)="000",C1180,VLOOKUP(B1180,'Справочник ИХ'!A:C,3,0))</f>
        <v>Минерально-строит.</v>
      </c>
      <c r="E1180" s="13">
        <f>IF(RIGHT(A1180,3)="000","х",VLOOKUP(B1180,'Справочник ИХ'!A:D,4,0))</f>
        <v>1</v>
      </c>
      <c r="F1180" s="14" t="s">
        <v>2060</v>
      </c>
    </row>
    <row r="1181" spans="1:6" s="18" customFormat="1" ht="31.75">
      <c r="A1181" s="16">
        <v>24300</v>
      </c>
      <c r="B1181" s="12" t="str">
        <f t="shared" si="18"/>
        <v>243</v>
      </c>
      <c r="C1181" s="17" t="s">
        <v>2132</v>
      </c>
      <c r="D1181" s="13" t="str">
        <f>IF(RIGHT(A1181,3)="000",C1181,VLOOKUP(B1181,'Справочник ИХ'!A:C,3,0))</f>
        <v>Минерально-строит.</v>
      </c>
      <c r="E1181" s="13">
        <f>IF(RIGHT(A1181,3)="000","х",VLOOKUP(B1181,'Справочник ИХ'!A:D,4,0))</f>
        <v>2</v>
      </c>
      <c r="F1181" s="14" t="s">
        <v>2060</v>
      </c>
    </row>
    <row r="1182" spans="1:6" ht="31.75">
      <c r="A1182" s="19">
        <v>24301</v>
      </c>
      <c r="B1182" s="12" t="str">
        <f t="shared" si="18"/>
        <v>243</v>
      </c>
      <c r="C1182" s="1" t="s">
        <v>2133</v>
      </c>
      <c r="D1182" s="13" t="str">
        <f>IF(RIGHT(A1182,3)="000",C1182,VLOOKUP(B1182,'Справочник ИХ'!A:C,3,0))</f>
        <v>Минерально-строит.</v>
      </c>
      <c r="E1182" s="13">
        <f>IF(RIGHT(A1182,3)="000","х",VLOOKUP(B1182,'Справочник ИХ'!A:D,4,0))</f>
        <v>2</v>
      </c>
      <c r="F1182" s="14" t="s">
        <v>2060</v>
      </c>
    </row>
    <row r="1183" spans="1:6" ht="31.75">
      <c r="A1183" s="19">
        <v>24302</v>
      </c>
      <c r="B1183" s="12" t="str">
        <f t="shared" si="18"/>
        <v>243</v>
      </c>
      <c r="C1183" s="1" t="s">
        <v>2134</v>
      </c>
      <c r="D1183" s="13" t="str">
        <f>IF(RIGHT(A1183,3)="000",C1183,VLOOKUP(B1183,'Справочник ИХ'!A:C,3,0))</f>
        <v>Минерально-строит.</v>
      </c>
      <c r="E1183" s="13">
        <f>IF(RIGHT(A1183,3)="000","х",VLOOKUP(B1183,'Справочник ИХ'!A:D,4,0))</f>
        <v>2</v>
      </c>
      <c r="F1183" s="14" t="s">
        <v>2060</v>
      </c>
    </row>
    <row r="1184" spans="1:6" ht="31.75">
      <c r="A1184" s="19">
        <v>24303</v>
      </c>
      <c r="B1184" s="12" t="str">
        <f t="shared" si="18"/>
        <v>243</v>
      </c>
      <c r="C1184" s="1" t="s">
        <v>2135</v>
      </c>
      <c r="D1184" s="13" t="str">
        <f>IF(RIGHT(A1184,3)="000",C1184,VLOOKUP(B1184,'Справочник ИХ'!A:C,3,0))</f>
        <v>Минерально-строит.</v>
      </c>
      <c r="E1184" s="13">
        <f>IF(RIGHT(A1184,3)="000","х",VLOOKUP(B1184,'Справочник ИХ'!A:D,4,0))</f>
        <v>2</v>
      </c>
      <c r="F1184" s="14" t="s">
        <v>2060</v>
      </c>
    </row>
    <row r="1185" spans="1:6" ht="31.75">
      <c r="A1185" s="19">
        <v>24304</v>
      </c>
      <c r="B1185" s="12" t="str">
        <f t="shared" si="18"/>
        <v>243</v>
      </c>
      <c r="C1185" s="1" t="s">
        <v>2136</v>
      </c>
      <c r="D1185" s="13" t="str">
        <f>IF(RIGHT(A1185,3)="000",C1185,VLOOKUP(B1185,'Справочник ИХ'!A:C,3,0))</f>
        <v>Минерально-строит.</v>
      </c>
      <c r="E1185" s="13">
        <f>IF(RIGHT(A1185,3)="000","х",VLOOKUP(B1185,'Справочник ИХ'!A:D,4,0))</f>
        <v>2</v>
      </c>
      <c r="F1185" s="14" t="s">
        <v>2060</v>
      </c>
    </row>
    <row r="1186" spans="1:6" ht="31.75">
      <c r="A1186" s="19">
        <v>24305</v>
      </c>
      <c r="B1186" s="12" t="str">
        <f t="shared" si="18"/>
        <v>243</v>
      </c>
      <c r="C1186" s="1" t="s">
        <v>2137</v>
      </c>
      <c r="D1186" s="13" t="str">
        <f>IF(RIGHT(A1186,3)="000",C1186,VLOOKUP(B1186,'Справочник ИХ'!A:C,3,0))</f>
        <v>Минерально-строит.</v>
      </c>
      <c r="E1186" s="13">
        <f>IF(RIGHT(A1186,3)="000","х",VLOOKUP(B1186,'Справочник ИХ'!A:D,4,0))</f>
        <v>2</v>
      </c>
      <c r="F1186" s="14" t="s">
        <v>2060</v>
      </c>
    </row>
    <row r="1187" spans="1:6" ht="31.75">
      <c r="A1187" s="19">
        <v>24306</v>
      </c>
      <c r="B1187" s="12" t="str">
        <f t="shared" si="18"/>
        <v>243</v>
      </c>
      <c r="C1187" s="1" t="s">
        <v>2138</v>
      </c>
      <c r="D1187" s="13" t="str">
        <f>IF(RIGHT(A1187,3)="000",C1187,VLOOKUP(B1187,'Справочник ИХ'!A:C,3,0))</f>
        <v>Минерально-строит.</v>
      </c>
      <c r="E1187" s="13">
        <f>IF(RIGHT(A1187,3)="000","х",VLOOKUP(B1187,'Справочник ИХ'!A:D,4,0))</f>
        <v>2</v>
      </c>
      <c r="F1187" s="14" t="s">
        <v>2060</v>
      </c>
    </row>
    <row r="1188" spans="1:6" ht="31.75">
      <c r="A1188" s="19">
        <v>24307</v>
      </c>
      <c r="B1188" s="12" t="str">
        <f t="shared" si="18"/>
        <v>243</v>
      </c>
      <c r="C1188" s="1" t="s">
        <v>2139</v>
      </c>
      <c r="D1188" s="13" t="str">
        <f>IF(RIGHT(A1188,3)="000",C1188,VLOOKUP(B1188,'Справочник ИХ'!A:C,3,0))</f>
        <v>Минерально-строит.</v>
      </c>
      <c r="E1188" s="13">
        <f>IF(RIGHT(A1188,3)="000","х",VLOOKUP(B1188,'Справочник ИХ'!A:D,4,0))</f>
        <v>2</v>
      </c>
      <c r="F1188" s="14" t="s">
        <v>2060</v>
      </c>
    </row>
    <row r="1189" spans="1:6" ht="31.75">
      <c r="A1189" s="19">
        <v>24308</v>
      </c>
      <c r="B1189" s="12" t="str">
        <f t="shared" si="18"/>
        <v>243</v>
      </c>
      <c r="C1189" s="1" t="s">
        <v>2140</v>
      </c>
      <c r="D1189" s="13" t="str">
        <f>IF(RIGHT(A1189,3)="000",C1189,VLOOKUP(B1189,'Справочник ИХ'!A:C,3,0))</f>
        <v>Минерально-строит.</v>
      </c>
      <c r="E1189" s="13">
        <f>IF(RIGHT(A1189,3)="000","х",VLOOKUP(B1189,'Справочник ИХ'!A:D,4,0))</f>
        <v>2</v>
      </c>
      <c r="F1189" s="14" t="s">
        <v>2060</v>
      </c>
    </row>
    <row r="1190" spans="1:6" ht="31.75">
      <c r="A1190" s="19">
        <v>24309</v>
      </c>
      <c r="B1190" s="12" t="str">
        <f t="shared" si="18"/>
        <v>243</v>
      </c>
      <c r="C1190" s="1" t="s">
        <v>2141</v>
      </c>
      <c r="D1190" s="13" t="str">
        <f>IF(RIGHT(A1190,3)="000",C1190,VLOOKUP(B1190,'Справочник ИХ'!A:C,3,0))</f>
        <v>Минерально-строит.</v>
      </c>
      <c r="E1190" s="13">
        <f>IF(RIGHT(A1190,3)="000","х",VLOOKUP(B1190,'Справочник ИХ'!A:D,4,0))</f>
        <v>2</v>
      </c>
      <c r="F1190" s="14" t="s">
        <v>2060</v>
      </c>
    </row>
    <row r="1191" spans="1:6" s="18" customFormat="1" ht="31.75">
      <c r="A1191" s="16">
        <v>24400</v>
      </c>
      <c r="B1191" s="12" t="str">
        <f t="shared" si="18"/>
        <v>244</v>
      </c>
      <c r="C1191" s="17" t="s">
        <v>2142</v>
      </c>
      <c r="D1191" s="13" t="str">
        <f>IF(RIGHT(A1191,3)="000",C1191,VLOOKUP(B1191,'Справочник ИХ'!A:C,3,0))</f>
        <v>Минерально-строит.</v>
      </c>
      <c r="E1191" s="13">
        <f>IF(RIGHT(A1191,3)="000","х",VLOOKUP(B1191,'Справочник ИХ'!A:D,4,0))</f>
        <v>2</v>
      </c>
      <c r="F1191" s="14" t="s">
        <v>2060</v>
      </c>
    </row>
    <row r="1192" spans="1:6" ht="31.75">
      <c r="A1192" s="19">
        <v>24401</v>
      </c>
      <c r="B1192" s="12" t="str">
        <f t="shared" si="18"/>
        <v>244</v>
      </c>
      <c r="C1192" s="1" t="s">
        <v>2143</v>
      </c>
      <c r="D1192" s="13" t="str">
        <f>IF(RIGHT(A1192,3)="000",C1192,VLOOKUP(B1192,'Справочник ИХ'!A:C,3,0))</f>
        <v>Минерально-строит.</v>
      </c>
      <c r="E1192" s="13">
        <f>IF(RIGHT(A1192,3)="000","х",VLOOKUP(B1192,'Справочник ИХ'!A:D,4,0))</f>
        <v>2</v>
      </c>
      <c r="F1192" s="14" t="s">
        <v>2060</v>
      </c>
    </row>
    <row r="1193" spans="1:6" ht="31.75">
      <c r="A1193" s="19">
        <v>24402</v>
      </c>
      <c r="B1193" s="12" t="str">
        <f t="shared" si="18"/>
        <v>244</v>
      </c>
      <c r="C1193" s="1" t="s">
        <v>2144</v>
      </c>
      <c r="D1193" s="13" t="str">
        <f>IF(RIGHT(A1193,3)="000",C1193,VLOOKUP(B1193,'Справочник ИХ'!A:C,3,0))</f>
        <v>Минерально-строит.</v>
      </c>
      <c r="E1193" s="13">
        <f>IF(RIGHT(A1193,3)="000","х",VLOOKUP(B1193,'Справочник ИХ'!A:D,4,0))</f>
        <v>2</v>
      </c>
      <c r="F1193" s="14" t="s">
        <v>2060</v>
      </c>
    </row>
    <row r="1194" spans="1:6" s="18" customFormat="1" ht="31.75">
      <c r="A1194" s="16">
        <v>24500</v>
      </c>
      <c r="B1194" s="12" t="str">
        <f t="shared" si="18"/>
        <v>245</v>
      </c>
      <c r="C1194" s="17" t="s">
        <v>2145</v>
      </c>
      <c r="D1194" s="13" t="str">
        <f>IF(RIGHT(A1194,3)="000",C1194,VLOOKUP(B1194,'Справочник ИХ'!A:C,3,0))</f>
        <v>Минерально-строит.</v>
      </c>
      <c r="E1194" s="13">
        <f>IF(RIGHT(A1194,3)="000","х",VLOOKUP(B1194,'Справочник ИХ'!A:D,4,0))</f>
        <v>1</v>
      </c>
      <c r="F1194" s="14" t="s">
        <v>2060</v>
      </c>
    </row>
    <row r="1195" spans="1:6" s="18" customFormat="1" ht="31.75">
      <c r="A1195" s="16">
        <v>24600</v>
      </c>
      <c r="B1195" s="12" t="str">
        <f t="shared" si="18"/>
        <v>246</v>
      </c>
      <c r="C1195" s="17" t="s">
        <v>2146</v>
      </c>
      <c r="D1195" s="13" t="str">
        <f>IF(RIGHT(A1195,3)="000",C1195,VLOOKUP(B1195,'Справочник ИХ'!A:C,3,0))</f>
        <v>Минерально-строит.</v>
      </c>
      <c r="E1195" s="13">
        <f>IF(RIGHT(A1195,3)="000","х",VLOOKUP(B1195,'Справочник ИХ'!A:D,4,0))</f>
        <v>1</v>
      </c>
      <c r="F1195" s="14" t="s">
        <v>2060</v>
      </c>
    </row>
    <row r="1196" spans="1:6" ht="47.6">
      <c r="A1196" s="19">
        <v>24601</v>
      </c>
      <c r="B1196" s="12" t="str">
        <f t="shared" si="18"/>
        <v>246</v>
      </c>
      <c r="C1196" s="1" t="s">
        <v>2147</v>
      </c>
      <c r="D1196" s="13" t="str">
        <f>IF(RIGHT(A1196,3)="000",C1196,VLOOKUP(B1196,'Справочник ИХ'!A:C,3,0))</f>
        <v>Минерально-строит.</v>
      </c>
      <c r="E1196" s="13">
        <f>IF(RIGHT(A1196,3)="000","х",VLOOKUP(B1196,'Справочник ИХ'!A:D,4,0))</f>
        <v>1</v>
      </c>
      <c r="F1196" s="14" t="s">
        <v>2060</v>
      </c>
    </row>
    <row r="1197" spans="1:6" s="15" customFormat="1" ht="31.75">
      <c r="A1197" s="7">
        <v>25000</v>
      </c>
      <c r="B1197" s="12" t="str">
        <f t="shared" si="18"/>
        <v>250</v>
      </c>
      <c r="C1197" s="11" t="s">
        <v>2148</v>
      </c>
      <c r="D1197" s="13" t="str">
        <f>IF(RIGHT(A1197,3)="000",C1197,VLOOKUP(B1197,'Справочник ИХ'!A:C,3,0))</f>
        <v xml:space="preserve">Материалы стеновые и кровельные </v>
      </c>
      <c r="E1197" s="13" t="str">
        <f>IF(RIGHT(A1197,3)="000","х",VLOOKUP(B1197,'Справочник ИХ'!A:D,4,0))</f>
        <v>х</v>
      </c>
      <c r="F1197" s="14" t="s">
        <v>2148</v>
      </c>
    </row>
    <row r="1198" spans="1:6" s="18" customFormat="1">
      <c r="A1198" s="16">
        <v>25100</v>
      </c>
      <c r="B1198" s="12" t="str">
        <f t="shared" si="18"/>
        <v>251</v>
      </c>
      <c r="C1198" s="17" t="s">
        <v>2149</v>
      </c>
      <c r="D1198" s="13" t="str">
        <f>IF(RIGHT(A1198,3)="000",C1198,VLOOKUP(B1198,'Справочник ИХ'!A:C,3,0))</f>
        <v>Минерально-строит.</v>
      </c>
      <c r="E1198" s="13">
        <f>IF(RIGHT(A1198,3)="000","х",VLOOKUP(B1198,'Справочник ИХ'!A:D,4,0))</f>
        <v>2</v>
      </c>
      <c r="F1198" s="14" t="s">
        <v>2148</v>
      </c>
    </row>
    <row r="1199" spans="1:6">
      <c r="A1199" s="19">
        <v>25101</v>
      </c>
      <c r="B1199" s="12" t="str">
        <f t="shared" si="18"/>
        <v>251</v>
      </c>
      <c r="C1199" s="1" t="s">
        <v>2150</v>
      </c>
      <c r="D1199" s="13" t="str">
        <f>IF(RIGHT(A1199,3)="000",C1199,VLOOKUP(B1199,'Справочник ИХ'!A:C,3,0))</f>
        <v>Минерально-строит.</v>
      </c>
      <c r="E1199" s="13">
        <f>IF(RIGHT(A1199,3)="000","х",VLOOKUP(B1199,'Справочник ИХ'!A:D,4,0))</f>
        <v>2</v>
      </c>
      <c r="F1199" s="14" t="s">
        <v>2148</v>
      </c>
    </row>
    <row r="1200" spans="1:6">
      <c r="A1200" s="19">
        <v>25102</v>
      </c>
      <c r="B1200" s="12" t="str">
        <f t="shared" si="18"/>
        <v>251</v>
      </c>
      <c r="C1200" s="1" t="s">
        <v>2151</v>
      </c>
      <c r="D1200" s="13" t="str">
        <f>IF(RIGHT(A1200,3)="000",C1200,VLOOKUP(B1200,'Справочник ИХ'!A:C,3,0))</f>
        <v>Минерально-строит.</v>
      </c>
      <c r="E1200" s="13">
        <f>IF(RIGHT(A1200,3)="000","х",VLOOKUP(B1200,'Справочник ИХ'!A:D,4,0))</f>
        <v>2</v>
      </c>
      <c r="F1200" s="14" t="s">
        <v>2148</v>
      </c>
    </row>
    <row r="1201" spans="1:6">
      <c r="A1201" s="19">
        <v>25103</v>
      </c>
      <c r="B1201" s="12" t="str">
        <f t="shared" si="18"/>
        <v>251</v>
      </c>
      <c r="C1201" s="1" t="s">
        <v>2152</v>
      </c>
      <c r="D1201" s="13" t="str">
        <f>IF(RIGHT(A1201,3)="000",C1201,VLOOKUP(B1201,'Справочник ИХ'!A:C,3,0))</f>
        <v>Минерально-строит.</v>
      </c>
      <c r="E1201" s="13">
        <f>IF(RIGHT(A1201,3)="000","х",VLOOKUP(B1201,'Справочник ИХ'!A:D,4,0))</f>
        <v>2</v>
      </c>
      <c r="F1201" s="14" t="s">
        <v>2148</v>
      </c>
    </row>
    <row r="1202" spans="1:6">
      <c r="A1202" s="19">
        <v>25104</v>
      </c>
      <c r="B1202" s="12" t="str">
        <f t="shared" si="18"/>
        <v>251</v>
      </c>
      <c r="C1202" s="1" t="s">
        <v>2153</v>
      </c>
      <c r="D1202" s="13" t="str">
        <f>IF(RIGHT(A1202,3)="000",C1202,VLOOKUP(B1202,'Справочник ИХ'!A:C,3,0))</f>
        <v>Минерально-строит.</v>
      </c>
      <c r="E1202" s="13">
        <f>IF(RIGHT(A1202,3)="000","х",VLOOKUP(B1202,'Справочник ИХ'!A:D,4,0))</f>
        <v>2</v>
      </c>
      <c r="F1202" s="14" t="s">
        <v>2148</v>
      </c>
    </row>
    <row r="1203" spans="1:6">
      <c r="A1203" s="19">
        <v>25105</v>
      </c>
      <c r="B1203" s="12" t="str">
        <f t="shared" si="18"/>
        <v>251</v>
      </c>
      <c r="C1203" s="1" t="s">
        <v>2154</v>
      </c>
      <c r="D1203" s="13" t="str">
        <f>IF(RIGHT(A1203,3)="000",C1203,VLOOKUP(B1203,'Справочник ИХ'!A:C,3,0))</f>
        <v>Минерально-строит.</v>
      </c>
      <c r="E1203" s="13">
        <f>IF(RIGHT(A1203,3)="000","х",VLOOKUP(B1203,'Справочник ИХ'!A:D,4,0))</f>
        <v>2</v>
      </c>
      <c r="F1203" s="14" t="s">
        <v>2148</v>
      </c>
    </row>
    <row r="1204" spans="1:6">
      <c r="A1204" s="19">
        <v>25106</v>
      </c>
      <c r="B1204" s="12" t="str">
        <f t="shared" si="18"/>
        <v>251</v>
      </c>
      <c r="C1204" s="1" t="s">
        <v>2155</v>
      </c>
      <c r="D1204" s="13" t="str">
        <f>IF(RIGHT(A1204,3)="000",C1204,VLOOKUP(B1204,'Справочник ИХ'!A:C,3,0))</f>
        <v>Минерально-строит.</v>
      </c>
      <c r="E1204" s="13">
        <f>IF(RIGHT(A1204,3)="000","х",VLOOKUP(B1204,'Справочник ИХ'!A:D,4,0))</f>
        <v>2</v>
      </c>
      <c r="F1204" s="14" t="s">
        <v>2148</v>
      </c>
    </row>
    <row r="1205" spans="1:6">
      <c r="A1205" s="19">
        <v>25107</v>
      </c>
      <c r="B1205" s="12" t="str">
        <f t="shared" si="18"/>
        <v>251</v>
      </c>
      <c r="C1205" s="1" t="s">
        <v>2156</v>
      </c>
      <c r="D1205" s="13" t="str">
        <f>IF(RIGHT(A1205,3)="000",C1205,VLOOKUP(B1205,'Справочник ИХ'!A:C,3,0))</f>
        <v>Минерально-строит.</v>
      </c>
      <c r="E1205" s="13">
        <f>IF(RIGHT(A1205,3)="000","х",VLOOKUP(B1205,'Справочник ИХ'!A:D,4,0))</f>
        <v>2</v>
      </c>
      <c r="F1205" s="14" t="s">
        <v>2148</v>
      </c>
    </row>
    <row r="1206" spans="1:6" ht="31.75">
      <c r="A1206" s="19">
        <v>25108</v>
      </c>
      <c r="B1206" s="12" t="str">
        <f t="shared" si="18"/>
        <v>251</v>
      </c>
      <c r="C1206" s="1" t="s">
        <v>2157</v>
      </c>
      <c r="D1206" s="13" t="str">
        <f>IF(RIGHT(A1206,3)="000",C1206,VLOOKUP(B1206,'Справочник ИХ'!A:C,3,0))</f>
        <v>Минерально-строит.</v>
      </c>
      <c r="E1206" s="13">
        <f>IF(RIGHT(A1206,3)="000","х",VLOOKUP(B1206,'Справочник ИХ'!A:D,4,0))</f>
        <v>2</v>
      </c>
      <c r="F1206" s="14" t="s">
        <v>2148</v>
      </c>
    </row>
    <row r="1207" spans="1:6">
      <c r="A1207" s="19">
        <v>25109</v>
      </c>
      <c r="B1207" s="12" t="str">
        <f t="shared" si="18"/>
        <v>251</v>
      </c>
      <c r="C1207" s="1" t="s">
        <v>2158</v>
      </c>
      <c r="D1207" s="13" t="str">
        <f>IF(RIGHT(A1207,3)="000",C1207,VLOOKUP(B1207,'Справочник ИХ'!A:C,3,0))</f>
        <v>Минерально-строит.</v>
      </c>
      <c r="E1207" s="13">
        <f>IF(RIGHT(A1207,3)="000","х",VLOOKUP(B1207,'Справочник ИХ'!A:D,4,0))</f>
        <v>2</v>
      </c>
      <c r="F1207" s="14" t="s">
        <v>2148</v>
      </c>
    </row>
    <row r="1208" spans="1:6">
      <c r="A1208" s="19">
        <v>25110</v>
      </c>
      <c r="B1208" s="12" t="str">
        <f t="shared" si="18"/>
        <v>251</v>
      </c>
      <c r="C1208" s="1" t="s">
        <v>2159</v>
      </c>
      <c r="D1208" s="13" t="str">
        <f>IF(RIGHT(A1208,3)="000",C1208,VLOOKUP(B1208,'Справочник ИХ'!A:C,3,0))</f>
        <v>Минерально-строит.</v>
      </c>
      <c r="E1208" s="13">
        <f>IF(RIGHT(A1208,3)="000","х",VLOOKUP(B1208,'Справочник ИХ'!A:D,4,0))</f>
        <v>2</v>
      </c>
      <c r="F1208" s="14" t="s">
        <v>2148</v>
      </c>
    </row>
    <row r="1209" spans="1:6">
      <c r="A1209" s="19">
        <v>25111</v>
      </c>
      <c r="B1209" s="12" t="str">
        <f t="shared" si="18"/>
        <v>251</v>
      </c>
      <c r="C1209" s="1" t="s">
        <v>2160</v>
      </c>
      <c r="D1209" s="13" t="str">
        <f>IF(RIGHT(A1209,3)="000",C1209,VLOOKUP(B1209,'Справочник ИХ'!A:C,3,0))</f>
        <v>Минерально-строит.</v>
      </c>
      <c r="E1209" s="13">
        <f>IF(RIGHT(A1209,3)="000","х",VLOOKUP(B1209,'Справочник ИХ'!A:D,4,0))</f>
        <v>2</v>
      </c>
      <c r="F1209" s="14" t="s">
        <v>2148</v>
      </c>
    </row>
    <row r="1210" spans="1:6">
      <c r="A1210" s="19">
        <v>25112</v>
      </c>
      <c r="B1210" s="12" t="str">
        <f t="shared" si="18"/>
        <v>251</v>
      </c>
      <c r="C1210" s="1" t="s">
        <v>2161</v>
      </c>
      <c r="D1210" s="13" t="str">
        <f>IF(RIGHT(A1210,3)="000",C1210,VLOOKUP(B1210,'Справочник ИХ'!A:C,3,0))</f>
        <v>Минерально-строит.</v>
      </c>
      <c r="E1210" s="13">
        <f>IF(RIGHT(A1210,3)="000","х",VLOOKUP(B1210,'Справочник ИХ'!A:D,4,0))</f>
        <v>2</v>
      </c>
      <c r="F1210" s="14" t="s">
        <v>2148</v>
      </c>
    </row>
    <row r="1211" spans="1:6">
      <c r="A1211" s="19">
        <v>25113</v>
      </c>
      <c r="B1211" s="12" t="str">
        <f t="shared" si="18"/>
        <v>251</v>
      </c>
      <c r="C1211" s="1" t="s">
        <v>2162</v>
      </c>
      <c r="D1211" s="13" t="str">
        <f>IF(RIGHT(A1211,3)="000",C1211,VLOOKUP(B1211,'Справочник ИХ'!A:C,3,0))</f>
        <v>Минерально-строит.</v>
      </c>
      <c r="E1211" s="13">
        <f>IF(RIGHT(A1211,3)="000","х",VLOOKUP(B1211,'Справочник ИХ'!A:D,4,0))</f>
        <v>2</v>
      </c>
      <c r="F1211" s="14" t="s">
        <v>2148</v>
      </c>
    </row>
    <row r="1212" spans="1:6">
      <c r="A1212" s="19">
        <v>25114</v>
      </c>
      <c r="B1212" s="12" t="str">
        <f t="shared" si="18"/>
        <v>251</v>
      </c>
      <c r="C1212" s="1" t="s">
        <v>2163</v>
      </c>
      <c r="D1212" s="13" t="str">
        <f>IF(RIGHT(A1212,3)="000",C1212,VLOOKUP(B1212,'Справочник ИХ'!A:C,3,0))</f>
        <v>Минерально-строит.</v>
      </c>
      <c r="E1212" s="13">
        <f>IF(RIGHT(A1212,3)="000","х",VLOOKUP(B1212,'Справочник ИХ'!A:D,4,0))</f>
        <v>2</v>
      </c>
      <c r="F1212" s="14" t="s">
        <v>2148</v>
      </c>
    </row>
    <row r="1213" spans="1:6">
      <c r="A1213" s="19">
        <v>25115</v>
      </c>
      <c r="B1213" s="12" t="str">
        <f t="shared" si="18"/>
        <v>251</v>
      </c>
      <c r="C1213" s="1" t="s">
        <v>2164</v>
      </c>
      <c r="D1213" s="13" t="str">
        <f>IF(RIGHT(A1213,3)="000",C1213,VLOOKUP(B1213,'Справочник ИХ'!A:C,3,0))</f>
        <v>Минерально-строит.</v>
      </c>
      <c r="E1213" s="13">
        <f>IF(RIGHT(A1213,3)="000","х",VLOOKUP(B1213,'Справочник ИХ'!A:D,4,0))</f>
        <v>2</v>
      </c>
      <c r="F1213" s="14" t="s">
        <v>2148</v>
      </c>
    </row>
    <row r="1214" spans="1:6">
      <c r="A1214" s="19">
        <v>25116</v>
      </c>
      <c r="B1214" s="12" t="str">
        <f t="shared" si="18"/>
        <v>251</v>
      </c>
      <c r="C1214" s="1" t="s">
        <v>2165</v>
      </c>
      <c r="D1214" s="13" t="str">
        <f>IF(RIGHT(A1214,3)="000",C1214,VLOOKUP(B1214,'Справочник ИХ'!A:C,3,0))</f>
        <v>Минерально-строит.</v>
      </c>
      <c r="E1214" s="13">
        <f>IF(RIGHT(A1214,3)="000","х",VLOOKUP(B1214,'Справочник ИХ'!A:D,4,0))</f>
        <v>2</v>
      </c>
      <c r="F1214" s="14" t="s">
        <v>2148</v>
      </c>
    </row>
    <row r="1215" spans="1:6">
      <c r="A1215" s="19">
        <v>25117</v>
      </c>
      <c r="B1215" s="12" t="str">
        <f t="shared" si="18"/>
        <v>251</v>
      </c>
      <c r="C1215" s="1" t="s">
        <v>2166</v>
      </c>
      <c r="D1215" s="13" t="str">
        <f>IF(RIGHT(A1215,3)="000",C1215,VLOOKUP(B1215,'Справочник ИХ'!A:C,3,0))</f>
        <v>Минерально-строит.</v>
      </c>
      <c r="E1215" s="13">
        <f>IF(RIGHT(A1215,3)="000","х",VLOOKUP(B1215,'Справочник ИХ'!A:D,4,0))</f>
        <v>2</v>
      </c>
      <c r="F1215" s="14" t="s">
        <v>2148</v>
      </c>
    </row>
    <row r="1216" spans="1:6" ht="31.75">
      <c r="A1216" s="19">
        <v>25118</v>
      </c>
      <c r="B1216" s="12" t="str">
        <f t="shared" si="18"/>
        <v>251</v>
      </c>
      <c r="C1216" s="1" t="s">
        <v>2167</v>
      </c>
      <c r="D1216" s="13" t="str">
        <f>IF(RIGHT(A1216,3)="000",C1216,VLOOKUP(B1216,'Справочник ИХ'!A:C,3,0))</f>
        <v>Минерально-строит.</v>
      </c>
      <c r="E1216" s="13">
        <f>IF(RIGHT(A1216,3)="000","х",VLOOKUP(B1216,'Справочник ИХ'!A:D,4,0))</f>
        <v>2</v>
      </c>
      <c r="F1216" s="14" t="s">
        <v>2148</v>
      </c>
    </row>
    <row r="1217" spans="1:6">
      <c r="A1217" s="19">
        <v>25119</v>
      </c>
      <c r="B1217" s="12" t="str">
        <f t="shared" si="18"/>
        <v>251</v>
      </c>
      <c r="C1217" s="1" t="s">
        <v>2168</v>
      </c>
      <c r="D1217" s="13" t="str">
        <f>IF(RIGHT(A1217,3)="000",C1217,VLOOKUP(B1217,'Справочник ИХ'!A:C,3,0))</f>
        <v>Минерально-строит.</v>
      </c>
      <c r="E1217" s="13">
        <f>IF(RIGHT(A1217,3)="000","х",VLOOKUP(B1217,'Справочник ИХ'!A:D,4,0))</f>
        <v>2</v>
      </c>
      <c r="F1217" s="14" t="s">
        <v>2148</v>
      </c>
    </row>
    <row r="1218" spans="1:6">
      <c r="A1218" s="19">
        <v>25120</v>
      </c>
      <c r="B1218" s="12" t="str">
        <f t="shared" si="18"/>
        <v>251</v>
      </c>
      <c r="C1218" s="1" t="s">
        <v>2169</v>
      </c>
      <c r="D1218" s="13" t="str">
        <f>IF(RIGHT(A1218,3)="000",C1218,VLOOKUP(B1218,'Справочник ИХ'!A:C,3,0))</f>
        <v>Минерально-строит.</v>
      </c>
      <c r="E1218" s="13">
        <f>IF(RIGHT(A1218,3)="000","х",VLOOKUP(B1218,'Справочник ИХ'!A:D,4,0))</f>
        <v>2</v>
      </c>
      <c r="F1218" s="14" t="s">
        <v>2148</v>
      </c>
    </row>
    <row r="1219" spans="1:6">
      <c r="A1219" s="19">
        <v>25121</v>
      </c>
      <c r="B1219" s="12" t="str">
        <f t="shared" si="18"/>
        <v>251</v>
      </c>
      <c r="C1219" s="1" t="s">
        <v>2170</v>
      </c>
      <c r="D1219" s="13" t="str">
        <f>IF(RIGHT(A1219,3)="000",C1219,VLOOKUP(B1219,'Справочник ИХ'!A:C,3,0))</f>
        <v>Минерально-строит.</v>
      </c>
      <c r="E1219" s="13">
        <f>IF(RIGHT(A1219,3)="000","х",VLOOKUP(B1219,'Справочник ИХ'!A:D,4,0))</f>
        <v>2</v>
      </c>
      <c r="F1219" s="14" t="s">
        <v>2148</v>
      </c>
    </row>
    <row r="1220" spans="1:6">
      <c r="A1220" s="19">
        <v>25122</v>
      </c>
      <c r="B1220" s="12" t="str">
        <f t="shared" ref="B1220:B1283" si="19">LEFT(A1220,3)</f>
        <v>251</v>
      </c>
      <c r="C1220" s="1" t="s">
        <v>2171</v>
      </c>
      <c r="D1220" s="13" t="str">
        <f>IF(RIGHT(A1220,3)="000",C1220,VLOOKUP(B1220,'Справочник ИХ'!A:C,3,0))</f>
        <v>Минерально-строит.</v>
      </c>
      <c r="E1220" s="13">
        <f>IF(RIGHT(A1220,3)="000","х",VLOOKUP(B1220,'Справочник ИХ'!A:D,4,0))</f>
        <v>2</v>
      </c>
      <c r="F1220" s="14" t="s">
        <v>2148</v>
      </c>
    </row>
    <row r="1221" spans="1:6">
      <c r="A1221" s="19">
        <v>25123</v>
      </c>
      <c r="B1221" s="12" t="str">
        <f t="shared" si="19"/>
        <v>251</v>
      </c>
      <c r="C1221" s="1" t="s">
        <v>2172</v>
      </c>
      <c r="D1221" s="13" t="str">
        <f>IF(RIGHT(A1221,3)="000",C1221,VLOOKUP(B1221,'Справочник ИХ'!A:C,3,0))</f>
        <v>Минерально-строит.</v>
      </c>
      <c r="E1221" s="13">
        <f>IF(RIGHT(A1221,3)="000","х",VLOOKUP(B1221,'Справочник ИХ'!A:D,4,0))</f>
        <v>2</v>
      </c>
      <c r="F1221" s="14" t="s">
        <v>2148</v>
      </c>
    </row>
    <row r="1222" spans="1:6">
      <c r="A1222" s="19">
        <v>25124</v>
      </c>
      <c r="B1222" s="12" t="str">
        <f t="shared" si="19"/>
        <v>251</v>
      </c>
      <c r="C1222" s="1" t="s">
        <v>2173</v>
      </c>
      <c r="D1222" s="13" t="str">
        <f>IF(RIGHT(A1222,3)="000",C1222,VLOOKUP(B1222,'Справочник ИХ'!A:C,3,0))</f>
        <v>Минерально-строит.</v>
      </c>
      <c r="E1222" s="13">
        <f>IF(RIGHT(A1222,3)="000","х",VLOOKUP(B1222,'Справочник ИХ'!A:D,4,0))</f>
        <v>2</v>
      </c>
      <c r="F1222" s="14" t="s">
        <v>2148</v>
      </c>
    </row>
    <row r="1223" spans="1:6">
      <c r="A1223" s="19">
        <v>25125</v>
      </c>
      <c r="B1223" s="12" t="str">
        <f t="shared" si="19"/>
        <v>251</v>
      </c>
      <c r="C1223" s="1" t="s">
        <v>2174</v>
      </c>
      <c r="D1223" s="13" t="str">
        <f>IF(RIGHT(A1223,3)="000",C1223,VLOOKUP(B1223,'Справочник ИХ'!A:C,3,0))</f>
        <v>Минерально-строит.</v>
      </c>
      <c r="E1223" s="13">
        <f>IF(RIGHT(A1223,3)="000","х",VLOOKUP(B1223,'Справочник ИХ'!A:D,4,0))</f>
        <v>2</v>
      </c>
      <c r="F1223" s="14" t="s">
        <v>2148</v>
      </c>
    </row>
    <row r="1224" spans="1:6">
      <c r="A1224" s="19">
        <v>25126</v>
      </c>
      <c r="B1224" s="12" t="str">
        <f t="shared" si="19"/>
        <v>251</v>
      </c>
      <c r="C1224" s="1" t="s">
        <v>2175</v>
      </c>
      <c r="D1224" s="13" t="str">
        <f>IF(RIGHT(A1224,3)="000",C1224,VLOOKUP(B1224,'Справочник ИХ'!A:C,3,0))</f>
        <v>Минерально-строит.</v>
      </c>
      <c r="E1224" s="13">
        <f>IF(RIGHT(A1224,3)="000","х",VLOOKUP(B1224,'Справочник ИХ'!A:D,4,0))</f>
        <v>2</v>
      </c>
      <c r="F1224" s="14" t="s">
        <v>2148</v>
      </c>
    </row>
    <row r="1225" spans="1:6" ht="47.6">
      <c r="A1225" s="19">
        <v>25127</v>
      </c>
      <c r="B1225" s="12" t="str">
        <f t="shared" si="19"/>
        <v>251</v>
      </c>
      <c r="C1225" s="1" t="s">
        <v>2176</v>
      </c>
      <c r="D1225" s="13" t="str">
        <f>IF(RIGHT(A1225,3)="000",C1225,VLOOKUP(B1225,'Справочник ИХ'!A:C,3,0))</f>
        <v>Минерально-строит.</v>
      </c>
      <c r="E1225" s="13">
        <f>IF(RIGHT(A1225,3)="000","х",VLOOKUP(B1225,'Справочник ИХ'!A:D,4,0))</f>
        <v>2</v>
      </c>
      <c r="F1225" s="14" t="s">
        <v>2148</v>
      </c>
    </row>
    <row r="1226" spans="1:6" ht="47.6">
      <c r="A1226" s="19">
        <v>25128</v>
      </c>
      <c r="B1226" s="12" t="str">
        <f t="shared" si="19"/>
        <v>251</v>
      </c>
      <c r="C1226" s="1" t="s">
        <v>2177</v>
      </c>
      <c r="D1226" s="13" t="str">
        <f>IF(RIGHT(A1226,3)="000",C1226,VLOOKUP(B1226,'Справочник ИХ'!A:C,3,0))</f>
        <v>Минерально-строит.</v>
      </c>
      <c r="E1226" s="13">
        <f>IF(RIGHT(A1226,3)="000","х",VLOOKUP(B1226,'Справочник ИХ'!A:D,4,0))</f>
        <v>2</v>
      </c>
      <c r="F1226" s="14" t="s">
        <v>2148</v>
      </c>
    </row>
    <row r="1227" spans="1:6" ht="31.75">
      <c r="A1227" s="19">
        <v>25129</v>
      </c>
      <c r="B1227" s="12" t="str">
        <f t="shared" si="19"/>
        <v>251</v>
      </c>
      <c r="C1227" s="1" t="s">
        <v>2178</v>
      </c>
      <c r="D1227" s="13" t="str">
        <f>IF(RIGHT(A1227,3)="000",C1227,VLOOKUP(B1227,'Справочник ИХ'!A:C,3,0))</f>
        <v>Минерально-строит.</v>
      </c>
      <c r="E1227" s="13">
        <f>IF(RIGHT(A1227,3)="000","х",VLOOKUP(B1227,'Справочник ИХ'!A:D,4,0))</f>
        <v>2</v>
      </c>
      <c r="F1227" s="14" t="s">
        <v>2148</v>
      </c>
    </row>
    <row r="1228" spans="1:6">
      <c r="A1228" s="19">
        <v>25130</v>
      </c>
      <c r="B1228" s="12" t="str">
        <f t="shared" si="19"/>
        <v>251</v>
      </c>
      <c r="C1228" s="1" t="s">
        <v>2179</v>
      </c>
      <c r="D1228" s="13" t="str">
        <f>IF(RIGHT(A1228,3)="000",C1228,VLOOKUP(B1228,'Справочник ИХ'!A:C,3,0))</f>
        <v>Минерально-строит.</v>
      </c>
      <c r="E1228" s="13">
        <f>IF(RIGHT(A1228,3)="000","х",VLOOKUP(B1228,'Справочник ИХ'!A:D,4,0))</f>
        <v>2</v>
      </c>
      <c r="F1228" s="14" t="s">
        <v>2148</v>
      </c>
    </row>
    <row r="1229" spans="1:6">
      <c r="A1229" s="19">
        <v>25131</v>
      </c>
      <c r="B1229" s="12" t="str">
        <f t="shared" si="19"/>
        <v>251</v>
      </c>
      <c r="C1229" s="1" t="s">
        <v>2180</v>
      </c>
      <c r="D1229" s="13" t="str">
        <f>IF(RIGHT(A1229,3)="000",C1229,VLOOKUP(B1229,'Справочник ИХ'!A:C,3,0))</f>
        <v>Минерально-строит.</v>
      </c>
      <c r="E1229" s="13">
        <f>IF(RIGHT(A1229,3)="000","х",VLOOKUP(B1229,'Справочник ИХ'!A:D,4,0))</f>
        <v>2</v>
      </c>
      <c r="F1229" s="14" t="s">
        <v>2148</v>
      </c>
    </row>
    <row r="1230" spans="1:6">
      <c r="A1230" s="19">
        <v>25132</v>
      </c>
      <c r="B1230" s="12" t="str">
        <f t="shared" si="19"/>
        <v>251</v>
      </c>
      <c r="C1230" s="1" t="s">
        <v>2181</v>
      </c>
      <c r="D1230" s="13" t="str">
        <f>IF(RIGHT(A1230,3)="000",C1230,VLOOKUP(B1230,'Справочник ИХ'!A:C,3,0))</f>
        <v>Минерально-строит.</v>
      </c>
      <c r="E1230" s="13">
        <f>IF(RIGHT(A1230,3)="000","х",VLOOKUP(B1230,'Справочник ИХ'!A:D,4,0))</f>
        <v>2</v>
      </c>
      <c r="F1230" s="14" t="s">
        <v>2148</v>
      </c>
    </row>
    <row r="1231" spans="1:6">
      <c r="A1231" s="19">
        <v>25133</v>
      </c>
      <c r="B1231" s="12" t="str">
        <f t="shared" si="19"/>
        <v>251</v>
      </c>
      <c r="C1231" s="1" t="s">
        <v>2182</v>
      </c>
      <c r="D1231" s="13" t="str">
        <f>IF(RIGHT(A1231,3)="000",C1231,VLOOKUP(B1231,'Справочник ИХ'!A:C,3,0))</f>
        <v>Минерально-строит.</v>
      </c>
      <c r="E1231" s="13">
        <f>IF(RIGHT(A1231,3)="000","х",VLOOKUP(B1231,'Справочник ИХ'!A:D,4,0))</f>
        <v>2</v>
      </c>
      <c r="F1231" s="14" t="s">
        <v>2148</v>
      </c>
    </row>
    <row r="1232" spans="1:6" s="18" customFormat="1" ht="47.6">
      <c r="A1232" s="16">
        <v>25200</v>
      </c>
      <c r="B1232" s="12" t="str">
        <f t="shared" si="19"/>
        <v>252</v>
      </c>
      <c r="C1232" s="17" t="s">
        <v>2183</v>
      </c>
      <c r="D1232" s="13" t="str">
        <f>IF(RIGHT(A1232,3)="000",C1232,VLOOKUP(B1232,'Справочник ИХ'!A:C,3,0))</f>
        <v>Минерально-строит.</v>
      </c>
      <c r="E1232" s="13">
        <f>IF(RIGHT(A1232,3)="000","х",VLOOKUP(B1232,'Справочник ИХ'!A:D,4,0))</f>
        <v>3</v>
      </c>
      <c r="F1232" s="14" t="s">
        <v>2148</v>
      </c>
    </row>
    <row r="1233" spans="1:6" ht="31.75">
      <c r="A1233" s="19">
        <v>25201</v>
      </c>
      <c r="B1233" s="12" t="str">
        <f t="shared" si="19"/>
        <v>252</v>
      </c>
      <c r="C1233" s="1" t="s">
        <v>2184</v>
      </c>
      <c r="D1233" s="13" t="str">
        <f>IF(RIGHT(A1233,3)="000",C1233,VLOOKUP(B1233,'Справочник ИХ'!A:C,3,0))</f>
        <v>Минерально-строит.</v>
      </c>
      <c r="E1233" s="13">
        <f>IF(RIGHT(A1233,3)="000","х",VLOOKUP(B1233,'Справочник ИХ'!A:D,4,0))</f>
        <v>3</v>
      </c>
      <c r="F1233" s="14" t="s">
        <v>2148</v>
      </c>
    </row>
    <row r="1234" spans="1:6">
      <c r="A1234" s="19">
        <v>25202</v>
      </c>
      <c r="B1234" s="12" t="str">
        <f t="shared" si="19"/>
        <v>252</v>
      </c>
      <c r="C1234" s="1" t="s">
        <v>2185</v>
      </c>
      <c r="D1234" s="13" t="str">
        <f>IF(RIGHT(A1234,3)="000",C1234,VLOOKUP(B1234,'Справочник ИХ'!A:C,3,0))</f>
        <v>Минерально-строит.</v>
      </c>
      <c r="E1234" s="13">
        <f>IF(RIGHT(A1234,3)="000","х",VLOOKUP(B1234,'Справочник ИХ'!A:D,4,0))</f>
        <v>3</v>
      </c>
      <c r="F1234" s="14" t="s">
        <v>2148</v>
      </c>
    </row>
    <row r="1235" spans="1:6" ht="31.75">
      <c r="A1235" s="19">
        <v>25203</v>
      </c>
      <c r="B1235" s="12" t="str">
        <f t="shared" si="19"/>
        <v>252</v>
      </c>
      <c r="C1235" s="1" t="s">
        <v>2186</v>
      </c>
      <c r="D1235" s="13" t="str">
        <f>IF(RIGHT(A1235,3)="000",C1235,VLOOKUP(B1235,'Справочник ИХ'!A:C,3,0))</f>
        <v>Минерально-строит.</v>
      </c>
      <c r="E1235" s="13">
        <f>IF(RIGHT(A1235,3)="000","х",VLOOKUP(B1235,'Справочник ИХ'!A:D,4,0))</f>
        <v>3</v>
      </c>
      <c r="F1235" s="14" t="s">
        <v>2148</v>
      </c>
    </row>
    <row r="1236" spans="1:6">
      <c r="A1236" s="19">
        <v>25204</v>
      </c>
      <c r="B1236" s="12" t="str">
        <f t="shared" si="19"/>
        <v>252</v>
      </c>
      <c r="C1236" s="1" t="s">
        <v>2187</v>
      </c>
      <c r="D1236" s="13" t="str">
        <f>IF(RIGHT(A1236,3)="000",C1236,VLOOKUP(B1236,'Справочник ИХ'!A:C,3,0))</f>
        <v>Минерально-строит.</v>
      </c>
      <c r="E1236" s="13">
        <f>IF(RIGHT(A1236,3)="000","х",VLOOKUP(B1236,'Справочник ИХ'!A:D,4,0))</f>
        <v>3</v>
      </c>
      <c r="F1236" s="14" t="s">
        <v>2148</v>
      </c>
    </row>
    <row r="1237" spans="1:6">
      <c r="A1237" s="19">
        <v>25205</v>
      </c>
      <c r="B1237" s="12" t="str">
        <f t="shared" si="19"/>
        <v>252</v>
      </c>
      <c r="C1237" s="1" t="s">
        <v>2188</v>
      </c>
      <c r="D1237" s="13" t="str">
        <f>IF(RIGHT(A1237,3)="000",C1237,VLOOKUP(B1237,'Справочник ИХ'!A:C,3,0))</f>
        <v>Минерально-строит.</v>
      </c>
      <c r="E1237" s="13">
        <f>IF(RIGHT(A1237,3)="000","х",VLOOKUP(B1237,'Справочник ИХ'!A:D,4,0))</f>
        <v>3</v>
      </c>
      <c r="F1237" s="14" t="s">
        <v>2148</v>
      </c>
    </row>
    <row r="1238" spans="1:6">
      <c r="A1238" s="19">
        <v>25206</v>
      </c>
      <c r="B1238" s="12" t="str">
        <f t="shared" si="19"/>
        <v>252</v>
      </c>
      <c r="C1238" s="1" t="s">
        <v>2189</v>
      </c>
      <c r="D1238" s="13" t="str">
        <f>IF(RIGHT(A1238,3)="000",C1238,VLOOKUP(B1238,'Справочник ИХ'!A:C,3,0))</f>
        <v>Минерально-строит.</v>
      </c>
      <c r="E1238" s="13">
        <f>IF(RIGHT(A1238,3)="000","х",VLOOKUP(B1238,'Справочник ИХ'!A:D,4,0))</f>
        <v>3</v>
      </c>
      <c r="F1238" s="14" t="s">
        <v>2148</v>
      </c>
    </row>
    <row r="1239" spans="1:6">
      <c r="A1239" s="19">
        <v>25207</v>
      </c>
      <c r="B1239" s="12" t="str">
        <f t="shared" si="19"/>
        <v>252</v>
      </c>
      <c r="C1239" s="1" t="s">
        <v>2190</v>
      </c>
      <c r="D1239" s="13" t="str">
        <f>IF(RIGHT(A1239,3)="000",C1239,VLOOKUP(B1239,'Справочник ИХ'!A:C,3,0))</f>
        <v>Минерально-строит.</v>
      </c>
      <c r="E1239" s="13">
        <f>IF(RIGHT(A1239,3)="000","х",VLOOKUP(B1239,'Справочник ИХ'!A:D,4,0))</f>
        <v>3</v>
      </c>
      <c r="F1239" s="14" t="s">
        <v>2148</v>
      </c>
    </row>
    <row r="1240" spans="1:6">
      <c r="A1240" s="19">
        <v>25208</v>
      </c>
      <c r="B1240" s="12" t="str">
        <f t="shared" si="19"/>
        <v>252</v>
      </c>
      <c r="C1240" s="1" t="s">
        <v>2191</v>
      </c>
      <c r="D1240" s="13" t="str">
        <f>IF(RIGHT(A1240,3)="000",C1240,VLOOKUP(B1240,'Справочник ИХ'!A:C,3,0))</f>
        <v>Минерально-строит.</v>
      </c>
      <c r="E1240" s="13">
        <f>IF(RIGHT(A1240,3)="000","х",VLOOKUP(B1240,'Справочник ИХ'!A:D,4,0))</f>
        <v>3</v>
      </c>
      <c r="F1240" s="14" t="s">
        <v>2148</v>
      </c>
    </row>
    <row r="1241" spans="1:6">
      <c r="A1241" s="19">
        <v>25209</v>
      </c>
      <c r="B1241" s="12" t="str">
        <f t="shared" si="19"/>
        <v>252</v>
      </c>
      <c r="C1241" s="1" t="s">
        <v>2192</v>
      </c>
      <c r="D1241" s="13" t="str">
        <f>IF(RIGHT(A1241,3)="000",C1241,VLOOKUP(B1241,'Справочник ИХ'!A:C,3,0))</f>
        <v>Минерально-строит.</v>
      </c>
      <c r="E1241" s="13">
        <f>IF(RIGHT(A1241,3)="000","х",VLOOKUP(B1241,'Справочник ИХ'!A:D,4,0))</f>
        <v>3</v>
      </c>
      <c r="F1241" s="14" t="s">
        <v>2148</v>
      </c>
    </row>
    <row r="1242" spans="1:6">
      <c r="A1242" s="19">
        <v>25210</v>
      </c>
      <c r="B1242" s="12" t="str">
        <f t="shared" si="19"/>
        <v>252</v>
      </c>
      <c r="C1242" s="1" t="s">
        <v>2193</v>
      </c>
      <c r="D1242" s="13" t="str">
        <f>IF(RIGHT(A1242,3)="000",C1242,VLOOKUP(B1242,'Справочник ИХ'!A:C,3,0))</f>
        <v>Минерально-строит.</v>
      </c>
      <c r="E1242" s="13">
        <f>IF(RIGHT(A1242,3)="000","х",VLOOKUP(B1242,'Справочник ИХ'!A:D,4,0))</f>
        <v>3</v>
      </c>
      <c r="F1242" s="14" t="s">
        <v>2148</v>
      </c>
    </row>
    <row r="1243" spans="1:6">
      <c r="A1243" s="19">
        <v>25211</v>
      </c>
      <c r="B1243" s="12" t="str">
        <f t="shared" si="19"/>
        <v>252</v>
      </c>
      <c r="C1243" s="1" t="s">
        <v>2194</v>
      </c>
      <c r="D1243" s="13" t="str">
        <f>IF(RIGHT(A1243,3)="000",C1243,VLOOKUP(B1243,'Справочник ИХ'!A:C,3,0))</f>
        <v>Минерально-строит.</v>
      </c>
      <c r="E1243" s="13">
        <f>IF(RIGHT(A1243,3)="000","х",VLOOKUP(B1243,'Справочник ИХ'!A:D,4,0))</f>
        <v>3</v>
      </c>
      <c r="F1243" s="14" t="s">
        <v>2148</v>
      </c>
    </row>
    <row r="1244" spans="1:6">
      <c r="A1244" s="19">
        <v>25212</v>
      </c>
      <c r="B1244" s="12" t="str">
        <f t="shared" si="19"/>
        <v>252</v>
      </c>
      <c r="C1244" s="1" t="s">
        <v>2195</v>
      </c>
      <c r="D1244" s="13" t="str">
        <f>IF(RIGHT(A1244,3)="000",C1244,VLOOKUP(B1244,'Справочник ИХ'!A:C,3,0))</f>
        <v>Минерально-строит.</v>
      </c>
      <c r="E1244" s="13">
        <f>IF(RIGHT(A1244,3)="000","х",VLOOKUP(B1244,'Справочник ИХ'!A:D,4,0))</f>
        <v>3</v>
      </c>
      <c r="F1244" s="14" t="s">
        <v>2148</v>
      </c>
    </row>
    <row r="1245" spans="1:6">
      <c r="A1245" s="19">
        <v>25213</v>
      </c>
      <c r="B1245" s="12" t="str">
        <f t="shared" si="19"/>
        <v>252</v>
      </c>
      <c r="C1245" s="1" t="s">
        <v>2196</v>
      </c>
      <c r="D1245" s="13" t="str">
        <f>IF(RIGHT(A1245,3)="000",C1245,VLOOKUP(B1245,'Справочник ИХ'!A:C,3,0))</f>
        <v>Минерально-строит.</v>
      </c>
      <c r="E1245" s="13">
        <f>IF(RIGHT(A1245,3)="000","х",VLOOKUP(B1245,'Справочник ИХ'!A:D,4,0))</f>
        <v>3</v>
      </c>
      <c r="F1245" s="14" t="s">
        <v>2148</v>
      </c>
    </row>
    <row r="1246" spans="1:6">
      <c r="A1246" s="19">
        <v>25214</v>
      </c>
      <c r="B1246" s="12" t="str">
        <f t="shared" si="19"/>
        <v>252</v>
      </c>
      <c r="C1246" s="1" t="s">
        <v>2197</v>
      </c>
      <c r="D1246" s="13" t="str">
        <f>IF(RIGHT(A1246,3)="000",C1246,VLOOKUP(B1246,'Справочник ИХ'!A:C,3,0))</f>
        <v>Минерально-строит.</v>
      </c>
      <c r="E1246" s="13">
        <f>IF(RIGHT(A1246,3)="000","х",VLOOKUP(B1246,'Справочник ИХ'!A:D,4,0))</f>
        <v>3</v>
      </c>
      <c r="F1246" s="14" t="s">
        <v>2148</v>
      </c>
    </row>
    <row r="1247" spans="1:6">
      <c r="A1247" s="19">
        <v>25215</v>
      </c>
      <c r="B1247" s="12" t="str">
        <f t="shared" si="19"/>
        <v>252</v>
      </c>
      <c r="C1247" s="1" t="s">
        <v>2198</v>
      </c>
      <c r="D1247" s="13" t="str">
        <f>IF(RIGHT(A1247,3)="000",C1247,VLOOKUP(B1247,'Справочник ИХ'!A:C,3,0))</f>
        <v>Минерально-строит.</v>
      </c>
      <c r="E1247" s="13">
        <f>IF(RIGHT(A1247,3)="000","х",VLOOKUP(B1247,'Справочник ИХ'!A:D,4,0))</f>
        <v>3</v>
      </c>
      <c r="F1247" s="14" t="s">
        <v>2148</v>
      </c>
    </row>
    <row r="1248" spans="1:6">
      <c r="A1248" s="19">
        <v>25216</v>
      </c>
      <c r="B1248" s="12" t="str">
        <f t="shared" si="19"/>
        <v>252</v>
      </c>
      <c r="C1248" s="1" t="s">
        <v>2199</v>
      </c>
      <c r="D1248" s="13" t="str">
        <f>IF(RIGHT(A1248,3)="000",C1248,VLOOKUP(B1248,'Справочник ИХ'!A:C,3,0))</f>
        <v>Минерально-строит.</v>
      </c>
      <c r="E1248" s="13">
        <f>IF(RIGHT(A1248,3)="000","х",VLOOKUP(B1248,'Справочник ИХ'!A:D,4,0))</f>
        <v>3</v>
      </c>
      <c r="F1248" s="14" t="s">
        <v>2148</v>
      </c>
    </row>
    <row r="1249" spans="1:6">
      <c r="A1249" s="19">
        <v>25217</v>
      </c>
      <c r="B1249" s="12" t="str">
        <f t="shared" si="19"/>
        <v>252</v>
      </c>
      <c r="C1249" s="1" t="s">
        <v>2200</v>
      </c>
      <c r="D1249" s="13" t="str">
        <f>IF(RIGHT(A1249,3)="000",C1249,VLOOKUP(B1249,'Справочник ИХ'!A:C,3,0))</f>
        <v>Минерально-строит.</v>
      </c>
      <c r="E1249" s="13">
        <f>IF(RIGHT(A1249,3)="000","х",VLOOKUP(B1249,'Справочник ИХ'!A:D,4,0))</f>
        <v>3</v>
      </c>
      <c r="F1249" s="14" t="s">
        <v>2148</v>
      </c>
    </row>
    <row r="1250" spans="1:6" s="18" customFormat="1">
      <c r="A1250" s="16">
        <v>25300</v>
      </c>
      <c r="B1250" s="12" t="str">
        <f t="shared" si="19"/>
        <v>253</v>
      </c>
      <c r="C1250" s="17" t="s">
        <v>2201</v>
      </c>
      <c r="D1250" s="13" t="str">
        <f>IF(RIGHT(A1250,3)="000",C1250,VLOOKUP(B1250,'Справочник ИХ'!A:C,3,0))</f>
        <v>Минерально-строит.</v>
      </c>
      <c r="E1250" s="13">
        <f>IF(RIGHT(A1250,3)="000","х",VLOOKUP(B1250,'Справочник ИХ'!A:D,4,0))</f>
        <v>1</v>
      </c>
      <c r="F1250" s="14" t="s">
        <v>2148</v>
      </c>
    </row>
    <row r="1251" spans="1:6">
      <c r="A1251" s="19">
        <v>25301</v>
      </c>
      <c r="B1251" s="12" t="str">
        <f t="shared" si="19"/>
        <v>253</v>
      </c>
      <c r="C1251" s="1" t="s">
        <v>2202</v>
      </c>
      <c r="D1251" s="13" t="str">
        <f>IF(RIGHT(A1251,3)="000",C1251,VLOOKUP(B1251,'Справочник ИХ'!A:C,3,0))</f>
        <v>Минерально-строит.</v>
      </c>
      <c r="E1251" s="13">
        <f>IF(RIGHT(A1251,3)="000","х",VLOOKUP(B1251,'Справочник ИХ'!A:D,4,0))</f>
        <v>1</v>
      </c>
      <c r="F1251" s="14" t="s">
        <v>2148</v>
      </c>
    </row>
    <row r="1252" spans="1:6">
      <c r="A1252" s="19">
        <v>25302</v>
      </c>
      <c r="B1252" s="12" t="str">
        <f t="shared" si="19"/>
        <v>253</v>
      </c>
      <c r="C1252" s="1" t="s">
        <v>2203</v>
      </c>
      <c r="D1252" s="13" t="str">
        <f>IF(RIGHT(A1252,3)="000",C1252,VLOOKUP(B1252,'Справочник ИХ'!A:C,3,0))</f>
        <v>Минерально-строит.</v>
      </c>
      <c r="E1252" s="13">
        <f>IF(RIGHT(A1252,3)="000","х",VLOOKUP(B1252,'Справочник ИХ'!A:D,4,0))</f>
        <v>1</v>
      </c>
      <c r="F1252" s="14" t="s">
        <v>2148</v>
      </c>
    </row>
    <row r="1253" spans="1:6">
      <c r="A1253" s="19">
        <v>25303</v>
      </c>
      <c r="B1253" s="12" t="str">
        <f t="shared" si="19"/>
        <v>253</v>
      </c>
      <c r="C1253" s="1" t="s">
        <v>2204</v>
      </c>
      <c r="D1253" s="13" t="str">
        <f>IF(RIGHT(A1253,3)="000",C1253,VLOOKUP(B1253,'Справочник ИХ'!A:C,3,0))</f>
        <v>Минерально-строит.</v>
      </c>
      <c r="E1253" s="13">
        <f>IF(RIGHT(A1253,3)="000","х",VLOOKUP(B1253,'Справочник ИХ'!A:D,4,0))</f>
        <v>1</v>
      </c>
      <c r="F1253" s="14" t="s">
        <v>2148</v>
      </c>
    </row>
    <row r="1254" spans="1:6">
      <c r="A1254" s="19">
        <v>25304</v>
      </c>
      <c r="B1254" s="12" t="str">
        <f t="shared" si="19"/>
        <v>253</v>
      </c>
      <c r="C1254" s="1" t="s">
        <v>2205</v>
      </c>
      <c r="D1254" s="13" t="str">
        <f>IF(RIGHT(A1254,3)="000",C1254,VLOOKUP(B1254,'Справочник ИХ'!A:C,3,0))</f>
        <v>Минерально-строит.</v>
      </c>
      <c r="E1254" s="13">
        <f>IF(RIGHT(A1254,3)="000","х",VLOOKUP(B1254,'Справочник ИХ'!A:D,4,0))</f>
        <v>1</v>
      </c>
      <c r="F1254" s="14" t="s">
        <v>2148</v>
      </c>
    </row>
    <row r="1255" spans="1:6">
      <c r="A1255" s="19">
        <v>25305</v>
      </c>
      <c r="B1255" s="12" t="str">
        <f t="shared" si="19"/>
        <v>253</v>
      </c>
      <c r="C1255" s="1" t="s">
        <v>2206</v>
      </c>
      <c r="D1255" s="13" t="str">
        <f>IF(RIGHT(A1255,3)="000",C1255,VLOOKUP(B1255,'Справочник ИХ'!A:C,3,0))</f>
        <v>Минерально-строит.</v>
      </c>
      <c r="E1255" s="13">
        <f>IF(RIGHT(A1255,3)="000","х",VLOOKUP(B1255,'Справочник ИХ'!A:D,4,0))</f>
        <v>1</v>
      </c>
      <c r="F1255" s="14" t="s">
        <v>2148</v>
      </c>
    </row>
    <row r="1256" spans="1:6">
      <c r="A1256" s="19">
        <v>25306</v>
      </c>
      <c r="B1256" s="12" t="str">
        <f t="shared" si="19"/>
        <v>253</v>
      </c>
      <c r="C1256" s="1" t="s">
        <v>2207</v>
      </c>
      <c r="D1256" s="13" t="str">
        <f>IF(RIGHT(A1256,3)="000",C1256,VLOOKUP(B1256,'Справочник ИХ'!A:C,3,0))</f>
        <v>Минерально-строит.</v>
      </c>
      <c r="E1256" s="13">
        <f>IF(RIGHT(A1256,3)="000","х",VLOOKUP(B1256,'Справочник ИХ'!A:D,4,0))</f>
        <v>1</v>
      </c>
      <c r="F1256" s="14" t="s">
        <v>2148</v>
      </c>
    </row>
    <row r="1257" spans="1:6">
      <c r="A1257" s="19">
        <v>25307</v>
      </c>
      <c r="B1257" s="12" t="str">
        <f t="shared" si="19"/>
        <v>253</v>
      </c>
      <c r="C1257" s="1" t="s">
        <v>2208</v>
      </c>
      <c r="D1257" s="13" t="str">
        <f>IF(RIGHT(A1257,3)="000",C1257,VLOOKUP(B1257,'Справочник ИХ'!A:C,3,0))</f>
        <v>Минерально-строит.</v>
      </c>
      <c r="E1257" s="13">
        <f>IF(RIGHT(A1257,3)="000","х",VLOOKUP(B1257,'Справочник ИХ'!A:D,4,0))</f>
        <v>1</v>
      </c>
      <c r="F1257" s="14" t="s">
        <v>2148</v>
      </c>
    </row>
    <row r="1258" spans="1:6">
      <c r="A1258" s="19">
        <v>25308</v>
      </c>
      <c r="B1258" s="12" t="str">
        <f t="shared" si="19"/>
        <v>253</v>
      </c>
      <c r="C1258" s="1" t="s">
        <v>2209</v>
      </c>
      <c r="D1258" s="13" t="str">
        <f>IF(RIGHT(A1258,3)="000",C1258,VLOOKUP(B1258,'Справочник ИХ'!A:C,3,0))</f>
        <v>Минерально-строит.</v>
      </c>
      <c r="E1258" s="13">
        <f>IF(RIGHT(A1258,3)="000","х",VLOOKUP(B1258,'Справочник ИХ'!A:D,4,0))</f>
        <v>1</v>
      </c>
      <c r="F1258" s="14" t="s">
        <v>2148</v>
      </c>
    </row>
    <row r="1259" spans="1:6">
      <c r="A1259" s="19">
        <v>25309</v>
      </c>
      <c r="B1259" s="12" t="str">
        <f t="shared" si="19"/>
        <v>253</v>
      </c>
      <c r="C1259" s="1" t="s">
        <v>2210</v>
      </c>
      <c r="D1259" s="13" t="str">
        <f>IF(RIGHT(A1259,3)="000",C1259,VLOOKUP(B1259,'Справочник ИХ'!A:C,3,0))</f>
        <v>Минерально-строит.</v>
      </c>
      <c r="E1259" s="13">
        <f>IF(RIGHT(A1259,3)="000","х",VLOOKUP(B1259,'Справочник ИХ'!A:D,4,0))</f>
        <v>1</v>
      </c>
      <c r="F1259" s="14" t="s">
        <v>2148</v>
      </c>
    </row>
    <row r="1260" spans="1:6">
      <c r="A1260" s="19">
        <v>25310</v>
      </c>
      <c r="B1260" s="12" t="str">
        <f t="shared" si="19"/>
        <v>253</v>
      </c>
      <c r="C1260" s="1" t="s">
        <v>2211</v>
      </c>
      <c r="D1260" s="13" t="str">
        <f>IF(RIGHT(A1260,3)="000",C1260,VLOOKUP(B1260,'Справочник ИХ'!A:C,3,0))</f>
        <v>Минерально-строит.</v>
      </c>
      <c r="E1260" s="13">
        <f>IF(RIGHT(A1260,3)="000","х",VLOOKUP(B1260,'Справочник ИХ'!A:D,4,0))</f>
        <v>1</v>
      </c>
      <c r="F1260" s="14" t="s">
        <v>2148</v>
      </c>
    </row>
    <row r="1261" spans="1:6">
      <c r="A1261" s="19">
        <v>25311</v>
      </c>
      <c r="B1261" s="12" t="str">
        <f t="shared" si="19"/>
        <v>253</v>
      </c>
      <c r="C1261" s="1" t="s">
        <v>2212</v>
      </c>
      <c r="D1261" s="13" t="str">
        <f>IF(RIGHT(A1261,3)="000",C1261,VLOOKUP(B1261,'Справочник ИХ'!A:C,3,0))</f>
        <v>Минерально-строит.</v>
      </c>
      <c r="E1261" s="13">
        <f>IF(RIGHT(A1261,3)="000","х",VLOOKUP(B1261,'Справочник ИХ'!A:D,4,0))</f>
        <v>1</v>
      </c>
      <c r="F1261" s="14" t="s">
        <v>2148</v>
      </c>
    </row>
    <row r="1262" spans="1:6">
      <c r="A1262" s="19">
        <v>25312</v>
      </c>
      <c r="B1262" s="12" t="str">
        <f t="shared" si="19"/>
        <v>253</v>
      </c>
      <c r="C1262" s="1" t="s">
        <v>2213</v>
      </c>
      <c r="D1262" s="13" t="str">
        <f>IF(RIGHT(A1262,3)="000",C1262,VLOOKUP(B1262,'Справочник ИХ'!A:C,3,0))</f>
        <v>Минерально-строит.</v>
      </c>
      <c r="E1262" s="13">
        <f>IF(RIGHT(A1262,3)="000","х",VLOOKUP(B1262,'Справочник ИХ'!A:D,4,0))</f>
        <v>1</v>
      </c>
      <c r="F1262" s="14" t="s">
        <v>2148</v>
      </c>
    </row>
    <row r="1263" spans="1:6" ht="31.75">
      <c r="A1263" s="19">
        <v>25313</v>
      </c>
      <c r="B1263" s="12" t="str">
        <f t="shared" si="19"/>
        <v>253</v>
      </c>
      <c r="C1263" s="1" t="s">
        <v>2214</v>
      </c>
      <c r="D1263" s="13" t="str">
        <f>IF(RIGHT(A1263,3)="000",C1263,VLOOKUP(B1263,'Справочник ИХ'!A:C,3,0))</f>
        <v>Минерально-строит.</v>
      </c>
      <c r="E1263" s="13">
        <f>IF(RIGHT(A1263,3)="000","х",VLOOKUP(B1263,'Справочник ИХ'!A:D,4,0))</f>
        <v>1</v>
      </c>
      <c r="F1263" s="14" t="s">
        <v>2148</v>
      </c>
    </row>
    <row r="1264" spans="1:6" ht="31.75">
      <c r="A1264" s="19">
        <v>25314</v>
      </c>
      <c r="B1264" s="12" t="str">
        <f t="shared" si="19"/>
        <v>253</v>
      </c>
      <c r="C1264" s="1" t="s">
        <v>2215</v>
      </c>
      <c r="D1264" s="13" t="str">
        <f>IF(RIGHT(A1264,3)="000",C1264,VLOOKUP(B1264,'Справочник ИХ'!A:C,3,0))</f>
        <v>Минерально-строит.</v>
      </c>
      <c r="E1264" s="13">
        <f>IF(RIGHT(A1264,3)="000","х",VLOOKUP(B1264,'Справочник ИХ'!A:D,4,0))</f>
        <v>1</v>
      </c>
      <c r="F1264" s="14" t="s">
        <v>2148</v>
      </c>
    </row>
    <row r="1265" spans="1:6" s="18" customFormat="1" ht="31.75">
      <c r="A1265" s="16">
        <v>25400</v>
      </c>
      <c r="B1265" s="12" t="str">
        <f t="shared" si="19"/>
        <v>254</v>
      </c>
      <c r="C1265" s="17" t="s">
        <v>2216</v>
      </c>
      <c r="D1265" s="13" t="str">
        <f>IF(RIGHT(A1265,3)="000",C1265,VLOOKUP(B1265,'Справочник ИХ'!A:C,3,0))</f>
        <v>Минерально-строит.</v>
      </c>
      <c r="E1265" s="13">
        <f>IF(RIGHT(A1265,3)="000","х",VLOOKUP(B1265,'Справочник ИХ'!A:D,4,0))</f>
        <v>2</v>
      </c>
      <c r="F1265" s="14" t="s">
        <v>2148</v>
      </c>
    </row>
    <row r="1266" spans="1:6">
      <c r="A1266" s="19">
        <v>25401</v>
      </c>
      <c r="B1266" s="12" t="str">
        <f t="shared" si="19"/>
        <v>254</v>
      </c>
      <c r="C1266" s="1" t="s">
        <v>2217</v>
      </c>
      <c r="D1266" s="13" t="str">
        <f>IF(RIGHT(A1266,3)="000",C1266,VLOOKUP(B1266,'Справочник ИХ'!A:C,3,0))</f>
        <v>Минерально-строит.</v>
      </c>
      <c r="E1266" s="13">
        <f>IF(RIGHT(A1266,3)="000","х",VLOOKUP(B1266,'Справочник ИХ'!A:D,4,0))</f>
        <v>2</v>
      </c>
      <c r="F1266" s="14" t="s">
        <v>2148</v>
      </c>
    </row>
    <row r="1267" spans="1:6">
      <c r="A1267" s="19">
        <v>25402</v>
      </c>
      <c r="B1267" s="12" t="str">
        <f t="shared" si="19"/>
        <v>254</v>
      </c>
      <c r="C1267" s="1" t="s">
        <v>2218</v>
      </c>
      <c r="D1267" s="13" t="str">
        <f>IF(RIGHT(A1267,3)="000",C1267,VLOOKUP(B1267,'Справочник ИХ'!A:C,3,0))</f>
        <v>Минерально-строит.</v>
      </c>
      <c r="E1267" s="13">
        <f>IF(RIGHT(A1267,3)="000","х",VLOOKUP(B1267,'Справочник ИХ'!A:D,4,0))</f>
        <v>2</v>
      </c>
      <c r="F1267" s="14" t="s">
        <v>2148</v>
      </c>
    </row>
    <row r="1268" spans="1:6" ht="31.75">
      <c r="A1268" s="19">
        <v>25403</v>
      </c>
      <c r="B1268" s="12" t="str">
        <f t="shared" si="19"/>
        <v>254</v>
      </c>
      <c r="C1268" s="1" t="s">
        <v>2219</v>
      </c>
      <c r="D1268" s="13" t="str">
        <f>IF(RIGHT(A1268,3)="000",C1268,VLOOKUP(B1268,'Справочник ИХ'!A:C,3,0))</f>
        <v>Минерально-строит.</v>
      </c>
      <c r="E1268" s="13">
        <f>IF(RIGHT(A1268,3)="000","х",VLOOKUP(B1268,'Справочник ИХ'!A:D,4,0))</f>
        <v>2</v>
      </c>
      <c r="F1268" s="14" t="s">
        <v>2148</v>
      </c>
    </row>
    <row r="1269" spans="1:6" ht="31.75">
      <c r="A1269" s="19">
        <v>25404</v>
      </c>
      <c r="B1269" s="12" t="str">
        <f t="shared" si="19"/>
        <v>254</v>
      </c>
      <c r="C1269" s="1" t="s">
        <v>2220</v>
      </c>
      <c r="D1269" s="13" t="str">
        <f>IF(RIGHT(A1269,3)="000",C1269,VLOOKUP(B1269,'Справочник ИХ'!A:C,3,0))</f>
        <v>Минерально-строит.</v>
      </c>
      <c r="E1269" s="13">
        <f>IF(RIGHT(A1269,3)="000","х",VLOOKUP(B1269,'Справочник ИХ'!A:D,4,0))</f>
        <v>2</v>
      </c>
      <c r="F1269" s="14" t="s">
        <v>2148</v>
      </c>
    </row>
    <row r="1270" spans="1:6">
      <c r="A1270" s="19">
        <v>25405</v>
      </c>
      <c r="B1270" s="12" t="str">
        <f t="shared" si="19"/>
        <v>254</v>
      </c>
      <c r="C1270" s="1" t="s">
        <v>2221</v>
      </c>
      <c r="D1270" s="13" t="str">
        <f>IF(RIGHT(A1270,3)="000",C1270,VLOOKUP(B1270,'Справочник ИХ'!A:C,3,0))</f>
        <v>Минерально-строит.</v>
      </c>
      <c r="E1270" s="13">
        <f>IF(RIGHT(A1270,3)="000","х",VLOOKUP(B1270,'Справочник ИХ'!A:D,4,0))</f>
        <v>2</v>
      </c>
      <c r="F1270" s="14" t="s">
        <v>2148</v>
      </c>
    </row>
    <row r="1271" spans="1:6">
      <c r="A1271" s="19">
        <v>25406</v>
      </c>
      <c r="B1271" s="12" t="str">
        <f t="shared" si="19"/>
        <v>254</v>
      </c>
      <c r="C1271" s="1" t="s">
        <v>2222</v>
      </c>
      <c r="D1271" s="13" t="str">
        <f>IF(RIGHT(A1271,3)="000",C1271,VLOOKUP(B1271,'Справочник ИХ'!A:C,3,0))</f>
        <v>Минерально-строит.</v>
      </c>
      <c r="E1271" s="13">
        <f>IF(RIGHT(A1271,3)="000","х",VLOOKUP(B1271,'Справочник ИХ'!A:D,4,0))</f>
        <v>2</v>
      </c>
      <c r="F1271" s="14" t="s">
        <v>2148</v>
      </c>
    </row>
    <row r="1272" spans="1:6">
      <c r="A1272" s="19">
        <v>25407</v>
      </c>
      <c r="B1272" s="12" t="str">
        <f t="shared" si="19"/>
        <v>254</v>
      </c>
      <c r="C1272" s="1" t="s">
        <v>2223</v>
      </c>
      <c r="D1272" s="13" t="str">
        <f>IF(RIGHT(A1272,3)="000",C1272,VLOOKUP(B1272,'Справочник ИХ'!A:C,3,0))</f>
        <v>Минерально-строит.</v>
      </c>
      <c r="E1272" s="13">
        <f>IF(RIGHT(A1272,3)="000","х",VLOOKUP(B1272,'Справочник ИХ'!A:D,4,0))</f>
        <v>2</v>
      </c>
      <c r="F1272" s="14" t="s">
        <v>2148</v>
      </c>
    </row>
    <row r="1273" spans="1:6">
      <c r="A1273" s="19">
        <v>25408</v>
      </c>
      <c r="B1273" s="12" t="str">
        <f t="shared" si="19"/>
        <v>254</v>
      </c>
      <c r="C1273" s="1" t="s">
        <v>2224</v>
      </c>
      <c r="D1273" s="13" t="str">
        <f>IF(RIGHT(A1273,3)="000",C1273,VLOOKUP(B1273,'Справочник ИХ'!A:C,3,0))</f>
        <v>Минерально-строит.</v>
      </c>
      <c r="E1273" s="13">
        <f>IF(RIGHT(A1273,3)="000","х",VLOOKUP(B1273,'Справочник ИХ'!A:D,4,0))</f>
        <v>2</v>
      </c>
      <c r="F1273" s="14" t="s">
        <v>2148</v>
      </c>
    </row>
    <row r="1274" spans="1:6">
      <c r="A1274" s="19">
        <v>25409</v>
      </c>
      <c r="B1274" s="12" t="str">
        <f t="shared" si="19"/>
        <v>254</v>
      </c>
      <c r="C1274" s="1" t="s">
        <v>2225</v>
      </c>
      <c r="D1274" s="13" t="str">
        <f>IF(RIGHT(A1274,3)="000",C1274,VLOOKUP(B1274,'Справочник ИХ'!A:C,3,0))</f>
        <v>Минерально-строит.</v>
      </c>
      <c r="E1274" s="13">
        <f>IF(RIGHT(A1274,3)="000","х",VLOOKUP(B1274,'Справочник ИХ'!A:D,4,0))</f>
        <v>2</v>
      </c>
      <c r="F1274" s="14" t="s">
        <v>2148</v>
      </c>
    </row>
    <row r="1275" spans="1:6" ht="31.75">
      <c r="A1275" s="19" t="s">
        <v>2226</v>
      </c>
      <c r="B1275" s="12" t="str">
        <f t="shared" si="19"/>
        <v>254</v>
      </c>
      <c r="C1275" s="1" t="s">
        <v>2227</v>
      </c>
      <c r="D1275" s="13" t="str">
        <f>IF(RIGHT(A1275,3)="000",C1275,VLOOKUP(B1275,'Справочник ИХ'!A:C,3,0))</f>
        <v>Минерально-строит.</v>
      </c>
      <c r="E1275" s="13">
        <f>IF(RIGHT(A1275,3)="000","х",VLOOKUP(B1275,'Справочник ИХ'!A:D,4,0))</f>
        <v>2</v>
      </c>
      <c r="F1275" s="14" t="s">
        <v>2148</v>
      </c>
    </row>
    <row r="1276" spans="1:6" ht="31.75">
      <c r="A1276" s="19" t="s">
        <v>2228</v>
      </c>
      <c r="B1276" s="12" t="str">
        <f t="shared" si="19"/>
        <v>254</v>
      </c>
      <c r="C1276" s="1" t="s">
        <v>2229</v>
      </c>
      <c r="D1276" s="13" t="str">
        <f>IF(RIGHT(A1276,3)="000",C1276,VLOOKUP(B1276,'Справочник ИХ'!A:C,3,0))</f>
        <v>Минерально-строит.</v>
      </c>
      <c r="E1276" s="13">
        <f>IF(RIGHT(A1276,3)="000","х",VLOOKUP(B1276,'Справочник ИХ'!A:D,4,0))</f>
        <v>2</v>
      </c>
      <c r="F1276" s="14" t="s">
        <v>2148</v>
      </c>
    </row>
    <row r="1277" spans="1:6">
      <c r="A1277" s="19" t="s">
        <v>2230</v>
      </c>
      <c r="B1277" s="12" t="str">
        <f t="shared" si="19"/>
        <v>254</v>
      </c>
      <c r="C1277" s="1" t="s">
        <v>2231</v>
      </c>
      <c r="D1277" s="13" t="str">
        <f>IF(RIGHT(A1277,3)="000",C1277,VLOOKUP(B1277,'Справочник ИХ'!A:C,3,0))</f>
        <v>Минерально-строит.</v>
      </c>
      <c r="E1277" s="13">
        <f>IF(RIGHT(A1277,3)="000","х",VLOOKUP(B1277,'Справочник ИХ'!A:D,4,0))</f>
        <v>2</v>
      </c>
      <c r="F1277" s="14" t="s">
        <v>2148</v>
      </c>
    </row>
    <row r="1278" spans="1:6" ht="31.75">
      <c r="A1278" s="19" t="s">
        <v>2232</v>
      </c>
      <c r="B1278" s="12" t="str">
        <f t="shared" si="19"/>
        <v>254</v>
      </c>
      <c r="C1278" s="1" t="s">
        <v>2233</v>
      </c>
      <c r="D1278" s="13" t="str">
        <f>IF(RIGHT(A1278,3)="000",C1278,VLOOKUP(B1278,'Справочник ИХ'!A:C,3,0))</f>
        <v>Минерально-строит.</v>
      </c>
      <c r="E1278" s="13">
        <f>IF(RIGHT(A1278,3)="000","х",VLOOKUP(B1278,'Справочник ИХ'!A:D,4,0))</f>
        <v>2</v>
      </c>
      <c r="F1278" s="14" t="s">
        <v>2148</v>
      </c>
    </row>
    <row r="1279" spans="1:6" ht="31.75">
      <c r="A1279" s="19" t="s">
        <v>2234</v>
      </c>
      <c r="B1279" s="12" t="str">
        <f t="shared" si="19"/>
        <v>254</v>
      </c>
      <c r="C1279" s="1" t="s">
        <v>2235</v>
      </c>
      <c r="D1279" s="13" t="str">
        <f>IF(RIGHT(A1279,3)="000",C1279,VLOOKUP(B1279,'Справочник ИХ'!A:C,3,0))</f>
        <v>Минерально-строит.</v>
      </c>
      <c r="E1279" s="13">
        <f>IF(RIGHT(A1279,3)="000","х",VLOOKUP(B1279,'Справочник ИХ'!A:D,4,0))</f>
        <v>2</v>
      </c>
      <c r="F1279" s="14" t="s">
        <v>2148</v>
      </c>
    </row>
    <row r="1280" spans="1:6">
      <c r="A1280" s="19" t="s">
        <v>2236</v>
      </c>
      <c r="B1280" s="12" t="str">
        <f t="shared" si="19"/>
        <v>254</v>
      </c>
      <c r="C1280" s="1" t="s">
        <v>2237</v>
      </c>
      <c r="D1280" s="13" t="str">
        <f>IF(RIGHT(A1280,3)="000",C1280,VLOOKUP(B1280,'Справочник ИХ'!A:C,3,0))</f>
        <v>Минерально-строит.</v>
      </c>
      <c r="E1280" s="13">
        <f>IF(RIGHT(A1280,3)="000","х",VLOOKUP(B1280,'Справочник ИХ'!A:D,4,0))</f>
        <v>2</v>
      </c>
      <c r="F1280" s="14" t="s">
        <v>2148</v>
      </c>
    </row>
    <row r="1281" spans="1:6" s="18" customFormat="1">
      <c r="A1281" s="16">
        <v>25500</v>
      </c>
      <c r="B1281" s="12" t="str">
        <f t="shared" si="19"/>
        <v>255</v>
      </c>
      <c r="C1281" s="17" t="s">
        <v>2238</v>
      </c>
      <c r="D1281" s="13" t="str">
        <f>IF(RIGHT(A1281,3)="000",C1281,VLOOKUP(B1281,'Справочник ИХ'!A:C,3,0))</f>
        <v>Минерально-строит.</v>
      </c>
      <c r="E1281" s="13">
        <f>IF(RIGHT(A1281,3)="000","х",VLOOKUP(B1281,'Справочник ИХ'!A:D,4,0))</f>
        <v>3</v>
      </c>
      <c r="F1281" s="14" t="s">
        <v>2148</v>
      </c>
    </row>
    <row r="1282" spans="1:6" ht="31.75">
      <c r="A1282" s="19">
        <v>25501</v>
      </c>
      <c r="B1282" s="12" t="str">
        <f t="shared" si="19"/>
        <v>255</v>
      </c>
      <c r="C1282" s="1" t="s">
        <v>2239</v>
      </c>
      <c r="D1282" s="13" t="str">
        <f>IF(RIGHT(A1282,3)="000",C1282,VLOOKUP(B1282,'Справочник ИХ'!A:C,3,0))</f>
        <v>Минерально-строит.</v>
      </c>
      <c r="E1282" s="13">
        <f>IF(RIGHT(A1282,3)="000","х",VLOOKUP(B1282,'Справочник ИХ'!A:D,4,0))</f>
        <v>3</v>
      </c>
      <c r="F1282" s="14" t="s">
        <v>2148</v>
      </c>
    </row>
    <row r="1283" spans="1:6">
      <c r="A1283" s="19">
        <v>25502</v>
      </c>
      <c r="B1283" s="12" t="str">
        <f t="shared" si="19"/>
        <v>255</v>
      </c>
      <c r="C1283" s="1" t="s">
        <v>2240</v>
      </c>
      <c r="D1283" s="13" t="str">
        <f>IF(RIGHT(A1283,3)="000",C1283,VLOOKUP(B1283,'Справочник ИХ'!A:C,3,0))</f>
        <v>Минерально-строит.</v>
      </c>
      <c r="E1283" s="13">
        <f>IF(RIGHT(A1283,3)="000","х",VLOOKUP(B1283,'Справочник ИХ'!A:D,4,0))</f>
        <v>3</v>
      </c>
      <c r="F1283" s="14" t="s">
        <v>2148</v>
      </c>
    </row>
    <row r="1284" spans="1:6" ht="31.75">
      <c r="A1284" s="19">
        <v>25503</v>
      </c>
      <c r="B1284" s="12" t="str">
        <f t="shared" ref="B1284:B1347" si="20">LEFT(A1284,3)</f>
        <v>255</v>
      </c>
      <c r="C1284" s="1" t="s">
        <v>2241</v>
      </c>
      <c r="D1284" s="13" t="str">
        <f>IF(RIGHT(A1284,3)="000",C1284,VLOOKUP(B1284,'Справочник ИХ'!A:C,3,0))</f>
        <v>Минерально-строит.</v>
      </c>
      <c r="E1284" s="13">
        <f>IF(RIGHT(A1284,3)="000","х",VLOOKUP(B1284,'Справочник ИХ'!A:D,4,0))</f>
        <v>3</v>
      </c>
      <c r="F1284" s="14" t="s">
        <v>2148</v>
      </c>
    </row>
    <row r="1285" spans="1:6" ht="31.75">
      <c r="A1285" s="19">
        <v>25504</v>
      </c>
      <c r="B1285" s="12" t="str">
        <f t="shared" si="20"/>
        <v>255</v>
      </c>
      <c r="C1285" s="1" t="s">
        <v>2242</v>
      </c>
      <c r="D1285" s="13" t="str">
        <f>IF(RIGHT(A1285,3)="000",C1285,VLOOKUP(B1285,'Справочник ИХ'!A:C,3,0))</f>
        <v>Минерально-строит.</v>
      </c>
      <c r="E1285" s="13">
        <f>IF(RIGHT(A1285,3)="000","х",VLOOKUP(B1285,'Справочник ИХ'!A:D,4,0))</f>
        <v>3</v>
      </c>
      <c r="F1285" s="14" t="s">
        <v>2148</v>
      </c>
    </row>
    <row r="1286" spans="1:6">
      <c r="A1286" s="19">
        <v>25505</v>
      </c>
      <c r="B1286" s="12" t="str">
        <f t="shared" si="20"/>
        <v>255</v>
      </c>
      <c r="C1286" s="1" t="s">
        <v>2243</v>
      </c>
      <c r="D1286" s="13" t="str">
        <f>IF(RIGHT(A1286,3)="000",C1286,VLOOKUP(B1286,'Справочник ИХ'!A:C,3,0))</f>
        <v>Минерально-строит.</v>
      </c>
      <c r="E1286" s="13">
        <f>IF(RIGHT(A1286,3)="000","х",VLOOKUP(B1286,'Справочник ИХ'!A:D,4,0))</f>
        <v>3</v>
      </c>
      <c r="F1286" s="14" t="s">
        <v>2148</v>
      </c>
    </row>
    <row r="1287" spans="1:6">
      <c r="A1287" s="19">
        <v>25506</v>
      </c>
      <c r="B1287" s="12" t="str">
        <f t="shared" si="20"/>
        <v>255</v>
      </c>
      <c r="C1287" s="1" t="s">
        <v>2244</v>
      </c>
      <c r="D1287" s="13" t="str">
        <f>IF(RIGHT(A1287,3)="000",C1287,VLOOKUP(B1287,'Справочник ИХ'!A:C,3,0))</f>
        <v>Минерально-строит.</v>
      </c>
      <c r="E1287" s="13">
        <f>IF(RIGHT(A1287,3)="000","х",VLOOKUP(B1287,'Справочник ИХ'!A:D,4,0))</f>
        <v>3</v>
      </c>
      <c r="F1287" s="14" t="s">
        <v>2148</v>
      </c>
    </row>
    <row r="1288" spans="1:6" s="18" customFormat="1" ht="31.75">
      <c r="A1288" s="16">
        <v>25600</v>
      </c>
      <c r="B1288" s="12" t="str">
        <f t="shared" si="20"/>
        <v>256</v>
      </c>
      <c r="C1288" s="17" t="s">
        <v>2245</v>
      </c>
      <c r="D1288" s="13" t="str">
        <f>IF(RIGHT(A1288,3)="000",C1288,VLOOKUP(B1288,'Справочник ИХ'!A:C,3,0))</f>
        <v>Остальные грузы</v>
      </c>
      <c r="E1288" s="13">
        <f>IF(RIGHT(A1288,3)="000","х",VLOOKUP(B1288,'Справочник ИХ'!A:D,4,0))</f>
        <v>3</v>
      </c>
      <c r="F1288" s="14" t="s">
        <v>2148</v>
      </c>
    </row>
    <row r="1289" spans="1:6">
      <c r="A1289" s="19">
        <v>25601</v>
      </c>
      <c r="B1289" s="12" t="str">
        <f t="shared" si="20"/>
        <v>256</v>
      </c>
      <c r="C1289" s="1" t="s">
        <v>2246</v>
      </c>
      <c r="D1289" s="13" t="str">
        <f>IF(RIGHT(A1289,3)="000",C1289,VLOOKUP(B1289,'Справочник ИХ'!A:C,3,0))</f>
        <v>Остальные грузы</v>
      </c>
      <c r="E1289" s="13">
        <f>IF(RIGHT(A1289,3)="000","х",VLOOKUP(B1289,'Справочник ИХ'!A:D,4,0))</f>
        <v>3</v>
      </c>
      <c r="F1289" s="14" t="s">
        <v>2148</v>
      </c>
    </row>
    <row r="1290" spans="1:6">
      <c r="A1290" s="19">
        <v>25602</v>
      </c>
      <c r="B1290" s="12" t="str">
        <f t="shared" si="20"/>
        <v>256</v>
      </c>
      <c r="C1290" s="1" t="s">
        <v>2247</v>
      </c>
      <c r="D1290" s="13" t="str">
        <f>IF(RIGHT(A1290,3)="000",C1290,VLOOKUP(B1290,'Справочник ИХ'!A:C,3,0))</f>
        <v>Остальные грузы</v>
      </c>
      <c r="E1290" s="13">
        <f>IF(RIGHT(A1290,3)="000","х",VLOOKUP(B1290,'Справочник ИХ'!A:D,4,0))</f>
        <v>3</v>
      </c>
      <c r="F1290" s="14" t="s">
        <v>2148</v>
      </c>
    </row>
    <row r="1291" spans="1:6" ht="31.75">
      <c r="A1291" s="19">
        <v>25603</v>
      </c>
      <c r="B1291" s="12" t="str">
        <f t="shared" si="20"/>
        <v>256</v>
      </c>
      <c r="C1291" s="1" t="s">
        <v>2248</v>
      </c>
      <c r="D1291" s="13" t="str">
        <f>IF(RIGHT(A1291,3)="000",C1291,VLOOKUP(B1291,'Справочник ИХ'!A:C,3,0))</f>
        <v>Остальные грузы</v>
      </c>
      <c r="E1291" s="13">
        <f>IF(RIGHT(A1291,3)="000","х",VLOOKUP(B1291,'Справочник ИХ'!A:D,4,0))</f>
        <v>3</v>
      </c>
      <c r="F1291" s="14" t="s">
        <v>2148</v>
      </c>
    </row>
    <row r="1292" spans="1:6" ht="31.75">
      <c r="A1292" s="19">
        <v>25604</v>
      </c>
      <c r="B1292" s="12" t="str">
        <f t="shared" si="20"/>
        <v>256</v>
      </c>
      <c r="C1292" s="1" t="s">
        <v>2249</v>
      </c>
      <c r="D1292" s="13" t="str">
        <f>IF(RIGHT(A1292,3)="000",C1292,VLOOKUP(B1292,'Справочник ИХ'!A:C,3,0))</f>
        <v>Остальные грузы</v>
      </c>
      <c r="E1292" s="13">
        <f>IF(RIGHT(A1292,3)="000","х",VLOOKUP(B1292,'Справочник ИХ'!A:D,4,0))</f>
        <v>3</v>
      </c>
      <c r="F1292" s="14" t="s">
        <v>2148</v>
      </c>
    </row>
    <row r="1293" spans="1:6">
      <c r="A1293" s="19">
        <v>25605</v>
      </c>
      <c r="B1293" s="12" t="str">
        <f t="shared" si="20"/>
        <v>256</v>
      </c>
      <c r="C1293" s="1" t="s">
        <v>2250</v>
      </c>
      <c r="D1293" s="13" t="str">
        <f>IF(RIGHT(A1293,3)="000",C1293,VLOOKUP(B1293,'Справочник ИХ'!A:C,3,0))</f>
        <v>Остальные грузы</v>
      </c>
      <c r="E1293" s="13">
        <f>IF(RIGHT(A1293,3)="000","х",VLOOKUP(B1293,'Справочник ИХ'!A:D,4,0))</f>
        <v>3</v>
      </c>
      <c r="F1293" s="14" t="s">
        <v>2148</v>
      </c>
    </row>
    <row r="1294" spans="1:6">
      <c r="A1294" s="19">
        <v>25606</v>
      </c>
      <c r="B1294" s="12" t="str">
        <f t="shared" si="20"/>
        <v>256</v>
      </c>
      <c r="C1294" s="1" t="s">
        <v>2251</v>
      </c>
      <c r="D1294" s="13" t="str">
        <f>IF(RIGHT(A1294,3)="000",C1294,VLOOKUP(B1294,'Справочник ИХ'!A:C,3,0))</f>
        <v>Остальные грузы</v>
      </c>
      <c r="E1294" s="13">
        <f>IF(RIGHT(A1294,3)="000","х",VLOOKUP(B1294,'Справочник ИХ'!A:D,4,0))</f>
        <v>3</v>
      </c>
      <c r="F1294" s="14" t="s">
        <v>2148</v>
      </c>
    </row>
    <row r="1295" spans="1:6">
      <c r="A1295" s="19">
        <v>25607</v>
      </c>
      <c r="B1295" s="12" t="str">
        <f t="shared" si="20"/>
        <v>256</v>
      </c>
      <c r="C1295" s="1" t="s">
        <v>2252</v>
      </c>
      <c r="D1295" s="13" t="str">
        <f>IF(RIGHT(A1295,3)="000",C1295,VLOOKUP(B1295,'Справочник ИХ'!A:C,3,0))</f>
        <v>Остальные грузы</v>
      </c>
      <c r="E1295" s="13">
        <f>IF(RIGHT(A1295,3)="000","х",VLOOKUP(B1295,'Справочник ИХ'!A:D,4,0))</f>
        <v>3</v>
      </c>
      <c r="F1295" s="14" t="s">
        <v>2148</v>
      </c>
    </row>
    <row r="1296" spans="1:6" ht="31.75">
      <c r="A1296" s="19">
        <v>25608</v>
      </c>
      <c r="B1296" s="12" t="str">
        <f t="shared" si="20"/>
        <v>256</v>
      </c>
      <c r="C1296" s="1" t="s">
        <v>2253</v>
      </c>
      <c r="D1296" s="13" t="str">
        <f>IF(RIGHT(A1296,3)="000",C1296,VLOOKUP(B1296,'Справочник ИХ'!A:C,3,0))</f>
        <v>Остальные грузы</v>
      </c>
      <c r="E1296" s="13">
        <f>IF(RIGHT(A1296,3)="000","х",VLOOKUP(B1296,'Справочник ИХ'!A:D,4,0))</f>
        <v>3</v>
      </c>
      <c r="F1296" s="14" t="s">
        <v>2148</v>
      </c>
    </row>
    <row r="1297" spans="1:6">
      <c r="A1297" s="19">
        <v>25609</v>
      </c>
      <c r="B1297" s="12" t="str">
        <f t="shared" si="20"/>
        <v>256</v>
      </c>
      <c r="C1297" s="1" t="s">
        <v>2254</v>
      </c>
      <c r="D1297" s="13" t="str">
        <f>IF(RIGHT(A1297,3)="000",C1297,VLOOKUP(B1297,'Справочник ИХ'!A:C,3,0))</f>
        <v>Остальные грузы</v>
      </c>
      <c r="E1297" s="13">
        <f>IF(RIGHT(A1297,3)="000","х",VLOOKUP(B1297,'Справочник ИХ'!A:D,4,0))</f>
        <v>3</v>
      </c>
      <c r="F1297" s="14" t="s">
        <v>2148</v>
      </c>
    </row>
    <row r="1298" spans="1:6">
      <c r="A1298" s="19">
        <v>25610</v>
      </c>
      <c r="B1298" s="12" t="str">
        <f t="shared" si="20"/>
        <v>256</v>
      </c>
      <c r="C1298" s="1" t="s">
        <v>2255</v>
      </c>
      <c r="D1298" s="13" t="str">
        <f>IF(RIGHT(A1298,3)="000",C1298,VLOOKUP(B1298,'Справочник ИХ'!A:C,3,0))</f>
        <v>Остальные грузы</v>
      </c>
      <c r="E1298" s="13">
        <f>IF(RIGHT(A1298,3)="000","х",VLOOKUP(B1298,'Справочник ИХ'!A:D,4,0))</f>
        <v>3</v>
      </c>
      <c r="F1298" s="14" t="s">
        <v>2148</v>
      </c>
    </row>
    <row r="1299" spans="1:6" s="15" customFormat="1" ht="79.3">
      <c r="A1299" s="7">
        <v>26000</v>
      </c>
      <c r="B1299" s="12" t="str">
        <f t="shared" si="20"/>
        <v>260</v>
      </c>
      <c r="C1299" s="11" t="s">
        <v>2256</v>
      </c>
      <c r="D1299" s="13" t="str">
        <f>IF(RIGHT(A1299,3)="000",C1299,VLOOKUP(B1299,'Справочник ИХ'!A:C,3,0))</f>
        <v xml:space="preserve">Материалы и изделия строительные промышленного производства, кроме стеновых и кровельных </v>
      </c>
      <c r="E1299" s="13" t="str">
        <f>IF(RIGHT(A1299,3)="000","х",VLOOKUP(B1299,'Справочник ИХ'!A:D,4,0))</f>
        <v>х</v>
      </c>
      <c r="F1299" s="14" t="s">
        <v>2256</v>
      </c>
    </row>
    <row r="1300" spans="1:6" s="18" customFormat="1" ht="47.6">
      <c r="A1300" s="16">
        <v>26100</v>
      </c>
      <c r="B1300" s="12" t="str">
        <f t="shared" si="20"/>
        <v>261</v>
      </c>
      <c r="C1300" s="17" t="s">
        <v>2257</v>
      </c>
      <c r="D1300" s="13" t="str">
        <f>IF(RIGHT(A1300,3)="000",C1300,VLOOKUP(B1300,'Справочник ИХ'!A:C,3,0))</f>
        <v>Минерально-строит.</v>
      </c>
      <c r="E1300" s="13">
        <f>IF(RIGHT(A1300,3)="000","х",VLOOKUP(B1300,'Справочник ИХ'!A:D,4,0))</f>
        <v>3</v>
      </c>
      <c r="F1300" s="14" t="s">
        <v>2256</v>
      </c>
    </row>
    <row r="1301" spans="1:6" ht="47.6">
      <c r="A1301" s="19">
        <v>26101</v>
      </c>
      <c r="B1301" s="12" t="str">
        <f t="shared" si="20"/>
        <v>261</v>
      </c>
      <c r="C1301" s="1" t="s">
        <v>2258</v>
      </c>
      <c r="D1301" s="13" t="str">
        <f>IF(RIGHT(A1301,3)="000",C1301,VLOOKUP(B1301,'Справочник ИХ'!A:C,3,0))</f>
        <v>Минерально-строит.</v>
      </c>
      <c r="E1301" s="13">
        <f>IF(RIGHT(A1301,3)="000","х",VLOOKUP(B1301,'Справочник ИХ'!A:D,4,0))</f>
        <v>3</v>
      </c>
      <c r="F1301" s="14" t="s">
        <v>2256</v>
      </c>
    </row>
    <row r="1302" spans="1:6" ht="47.6">
      <c r="A1302" s="19">
        <v>26102</v>
      </c>
      <c r="B1302" s="12" t="str">
        <f t="shared" si="20"/>
        <v>261</v>
      </c>
      <c r="C1302" s="1" t="s">
        <v>2259</v>
      </c>
      <c r="D1302" s="13" t="str">
        <f>IF(RIGHT(A1302,3)="000",C1302,VLOOKUP(B1302,'Справочник ИХ'!A:C,3,0))</f>
        <v>Минерально-строит.</v>
      </c>
      <c r="E1302" s="13">
        <f>IF(RIGHT(A1302,3)="000","х",VLOOKUP(B1302,'Справочник ИХ'!A:D,4,0))</f>
        <v>3</v>
      </c>
      <c r="F1302" s="14" t="s">
        <v>2256</v>
      </c>
    </row>
    <row r="1303" spans="1:6" ht="47.6">
      <c r="A1303" s="19">
        <v>26103</v>
      </c>
      <c r="B1303" s="12" t="str">
        <f t="shared" si="20"/>
        <v>261</v>
      </c>
      <c r="C1303" s="1" t="s">
        <v>2260</v>
      </c>
      <c r="D1303" s="13" t="str">
        <f>IF(RIGHT(A1303,3)="000",C1303,VLOOKUP(B1303,'Справочник ИХ'!A:C,3,0))</f>
        <v>Минерально-строит.</v>
      </c>
      <c r="E1303" s="13">
        <f>IF(RIGHT(A1303,3)="000","х",VLOOKUP(B1303,'Справочник ИХ'!A:D,4,0))</f>
        <v>3</v>
      </c>
      <c r="F1303" s="14" t="s">
        <v>2256</v>
      </c>
    </row>
    <row r="1304" spans="1:6" ht="47.6">
      <c r="A1304" s="19">
        <v>26104</v>
      </c>
      <c r="B1304" s="12" t="str">
        <f t="shared" si="20"/>
        <v>261</v>
      </c>
      <c r="C1304" s="1" t="s">
        <v>2261</v>
      </c>
      <c r="D1304" s="13" t="str">
        <f>IF(RIGHT(A1304,3)="000",C1304,VLOOKUP(B1304,'Справочник ИХ'!A:C,3,0))</f>
        <v>Минерально-строит.</v>
      </c>
      <c r="E1304" s="13">
        <f>IF(RIGHT(A1304,3)="000","х",VLOOKUP(B1304,'Справочник ИХ'!A:D,4,0))</f>
        <v>3</v>
      </c>
      <c r="F1304" s="14" t="s">
        <v>2256</v>
      </c>
    </row>
    <row r="1305" spans="1:6" ht="47.6">
      <c r="A1305" s="19">
        <v>26105</v>
      </c>
      <c r="B1305" s="12" t="str">
        <f t="shared" si="20"/>
        <v>261</v>
      </c>
      <c r="C1305" s="1" t="s">
        <v>2262</v>
      </c>
      <c r="D1305" s="13" t="str">
        <f>IF(RIGHT(A1305,3)="000",C1305,VLOOKUP(B1305,'Справочник ИХ'!A:C,3,0))</f>
        <v>Минерально-строит.</v>
      </c>
      <c r="E1305" s="13">
        <f>IF(RIGHT(A1305,3)="000","х",VLOOKUP(B1305,'Справочник ИХ'!A:D,4,0))</f>
        <v>3</v>
      </c>
      <c r="F1305" s="14" t="s">
        <v>2256</v>
      </c>
    </row>
    <row r="1306" spans="1:6" ht="47.6">
      <c r="A1306" s="19">
        <v>26106</v>
      </c>
      <c r="B1306" s="12" t="str">
        <f t="shared" si="20"/>
        <v>261</v>
      </c>
      <c r="C1306" s="1" t="s">
        <v>2263</v>
      </c>
      <c r="D1306" s="13" t="str">
        <f>IF(RIGHT(A1306,3)="000",C1306,VLOOKUP(B1306,'Справочник ИХ'!A:C,3,0))</f>
        <v>Минерально-строит.</v>
      </c>
      <c r="E1306" s="13">
        <f>IF(RIGHT(A1306,3)="000","х",VLOOKUP(B1306,'Справочник ИХ'!A:D,4,0))</f>
        <v>3</v>
      </c>
      <c r="F1306" s="14" t="s">
        <v>2256</v>
      </c>
    </row>
    <row r="1307" spans="1:6" ht="47.6">
      <c r="A1307" s="19">
        <v>26107</v>
      </c>
      <c r="B1307" s="12" t="str">
        <f t="shared" si="20"/>
        <v>261</v>
      </c>
      <c r="C1307" s="1" t="s">
        <v>2264</v>
      </c>
      <c r="D1307" s="13" t="str">
        <f>IF(RIGHT(A1307,3)="000",C1307,VLOOKUP(B1307,'Справочник ИХ'!A:C,3,0))</f>
        <v>Минерально-строит.</v>
      </c>
      <c r="E1307" s="13">
        <f>IF(RIGHT(A1307,3)="000","х",VLOOKUP(B1307,'Справочник ИХ'!A:D,4,0))</f>
        <v>3</v>
      </c>
      <c r="F1307" s="14" t="s">
        <v>2256</v>
      </c>
    </row>
    <row r="1308" spans="1:6" ht="79.3">
      <c r="A1308" s="19">
        <v>26108</v>
      </c>
      <c r="B1308" s="12" t="str">
        <f t="shared" si="20"/>
        <v>261</v>
      </c>
      <c r="C1308" s="1" t="s">
        <v>2265</v>
      </c>
      <c r="D1308" s="13" t="str">
        <f>IF(RIGHT(A1308,3)="000",C1308,VLOOKUP(B1308,'Справочник ИХ'!A:C,3,0))</f>
        <v>Минерально-строит.</v>
      </c>
      <c r="E1308" s="13">
        <f>IF(RIGHT(A1308,3)="000","х",VLOOKUP(B1308,'Справочник ИХ'!A:D,4,0))</f>
        <v>3</v>
      </c>
      <c r="F1308" s="14" t="s">
        <v>2256</v>
      </c>
    </row>
    <row r="1309" spans="1:6" ht="47.6">
      <c r="A1309" s="19">
        <v>26109</v>
      </c>
      <c r="B1309" s="12" t="str">
        <f t="shared" si="20"/>
        <v>261</v>
      </c>
      <c r="C1309" s="1" t="s">
        <v>2266</v>
      </c>
      <c r="D1309" s="13" t="str">
        <f>IF(RIGHT(A1309,3)="000",C1309,VLOOKUP(B1309,'Справочник ИХ'!A:C,3,0))</f>
        <v>Минерально-строит.</v>
      </c>
      <c r="E1309" s="13">
        <f>IF(RIGHT(A1309,3)="000","х",VLOOKUP(B1309,'Справочник ИХ'!A:D,4,0))</f>
        <v>3</v>
      </c>
      <c r="F1309" s="14" t="s">
        <v>2256</v>
      </c>
    </row>
    <row r="1310" spans="1:6" ht="47.6">
      <c r="A1310" s="19">
        <v>26110</v>
      </c>
      <c r="B1310" s="12" t="str">
        <f t="shared" si="20"/>
        <v>261</v>
      </c>
      <c r="C1310" s="1" t="s">
        <v>2267</v>
      </c>
      <c r="D1310" s="13" t="str">
        <f>IF(RIGHT(A1310,3)="000",C1310,VLOOKUP(B1310,'Справочник ИХ'!A:C,3,0))</f>
        <v>Минерально-строит.</v>
      </c>
      <c r="E1310" s="13">
        <f>IF(RIGHT(A1310,3)="000","х",VLOOKUP(B1310,'Справочник ИХ'!A:D,4,0))</f>
        <v>3</v>
      </c>
      <c r="F1310" s="14" t="s">
        <v>2256</v>
      </c>
    </row>
    <row r="1311" spans="1:6" ht="47.6">
      <c r="A1311" s="19">
        <v>26111</v>
      </c>
      <c r="B1311" s="12" t="str">
        <f t="shared" si="20"/>
        <v>261</v>
      </c>
      <c r="C1311" s="1" t="s">
        <v>2268</v>
      </c>
      <c r="D1311" s="13" t="str">
        <f>IF(RIGHT(A1311,3)="000",C1311,VLOOKUP(B1311,'Справочник ИХ'!A:C,3,0))</f>
        <v>Минерально-строит.</v>
      </c>
      <c r="E1311" s="13">
        <f>IF(RIGHT(A1311,3)="000","х",VLOOKUP(B1311,'Справочник ИХ'!A:D,4,0))</f>
        <v>3</v>
      </c>
      <c r="F1311" s="14" t="s">
        <v>2256</v>
      </c>
    </row>
    <row r="1312" spans="1:6" ht="47.6">
      <c r="A1312" s="19">
        <v>26112</v>
      </c>
      <c r="B1312" s="12" t="str">
        <f t="shared" si="20"/>
        <v>261</v>
      </c>
      <c r="C1312" s="1" t="s">
        <v>2269</v>
      </c>
      <c r="D1312" s="13" t="str">
        <f>IF(RIGHT(A1312,3)="000",C1312,VLOOKUP(B1312,'Справочник ИХ'!A:C,3,0))</f>
        <v>Минерально-строит.</v>
      </c>
      <c r="E1312" s="13">
        <f>IF(RIGHT(A1312,3)="000","х",VLOOKUP(B1312,'Справочник ИХ'!A:D,4,0))</f>
        <v>3</v>
      </c>
      <c r="F1312" s="14" t="s">
        <v>2256</v>
      </c>
    </row>
    <row r="1313" spans="1:6" ht="47.6">
      <c r="A1313" s="19">
        <v>26113</v>
      </c>
      <c r="B1313" s="12" t="str">
        <f t="shared" si="20"/>
        <v>261</v>
      </c>
      <c r="C1313" s="1" t="s">
        <v>2270</v>
      </c>
      <c r="D1313" s="13" t="str">
        <f>IF(RIGHT(A1313,3)="000",C1313,VLOOKUP(B1313,'Справочник ИХ'!A:C,3,0))</f>
        <v>Минерально-строит.</v>
      </c>
      <c r="E1313" s="13">
        <f>IF(RIGHT(A1313,3)="000","х",VLOOKUP(B1313,'Справочник ИХ'!A:D,4,0))</f>
        <v>3</v>
      </c>
      <c r="F1313" s="14" t="s">
        <v>2256</v>
      </c>
    </row>
    <row r="1314" spans="1:6" ht="47.6">
      <c r="A1314" s="19">
        <v>26114</v>
      </c>
      <c r="B1314" s="12" t="str">
        <f t="shared" si="20"/>
        <v>261</v>
      </c>
      <c r="C1314" s="1" t="s">
        <v>2271</v>
      </c>
      <c r="D1314" s="13" t="str">
        <f>IF(RIGHT(A1314,3)="000",C1314,VLOOKUP(B1314,'Справочник ИХ'!A:C,3,0))</f>
        <v>Минерально-строит.</v>
      </c>
      <c r="E1314" s="13">
        <f>IF(RIGHT(A1314,3)="000","х",VLOOKUP(B1314,'Справочник ИХ'!A:D,4,0))</f>
        <v>3</v>
      </c>
      <c r="F1314" s="14" t="s">
        <v>2256</v>
      </c>
    </row>
    <row r="1315" spans="1:6" ht="47.6">
      <c r="A1315" s="19">
        <v>26115</v>
      </c>
      <c r="B1315" s="12" t="str">
        <f t="shared" si="20"/>
        <v>261</v>
      </c>
      <c r="C1315" s="1" t="s">
        <v>2272</v>
      </c>
      <c r="D1315" s="13" t="str">
        <f>IF(RIGHT(A1315,3)="000",C1315,VLOOKUP(B1315,'Справочник ИХ'!A:C,3,0))</f>
        <v>Минерально-строит.</v>
      </c>
      <c r="E1315" s="13">
        <f>IF(RIGHT(A1315,3)="000","х",VLOOKUP(B1315,'Справочник ИХ'!A:D,4,0))</f>
        <v>3</v>
      </c>
      <c r="F1315" s="14" t="s">
        <v>2256</v>
      </c>
    </row>
    <row r="1316" spans="1:6" ht="47.6">
      <c r="A1316" s="19">
        <v>26116</v>
      </c>
      <c r="B1316" s="12" t="str">
        <f t="shared" si="20"/>
        <v>261</v>
      </c>
      <c r="C1316" s="1" t="s">
        <v>2273</v>
      </c>
      <c r="D1316" s="13" t="str">
        <f>IF(RIGHT(A1316,3)="000",C1316,VLOOKUP(B1316,'Справочник ИХ'!A:C,3,0))</f>
        <v>Минерально-строит.</v>
      </c>
      <c r="E1316" s="13">
        <f>IF(RIGHT(A1316,3)="000","х",VLOOKUP(B1316,'Справочник ИХ'!A:D,4,0))</f>
        <v>3</v>
      </c>
      <c r="F1316" s="14" t="s">
        <v>2256</v>
      </c>
    </row>
    <row r="1317" spans="1:6" ht="47.6">
      <c r="A1317" s="19">
        <v>26117</v>
      </c>
      <c r="B1317" s="12" t="str">
        <f t="shared" si="20"/>
        <v>261</v>
      </c>
      <c r="C1317" s="1" t="s">
        <v>2274</v>
      </c>
      <c r="D1317" s="13" t="str">
        <f>IF(RIGHT(A1317,3)="000",C1317,VLOOKUP(B1317,'Справочник ИХ'!A:C,3,0))</f>
        <v>Минерально-строит.</v>
      </c>
      <c r="E1317" s="13">
        <f>IF(RIGHT(A1317,3)="000","х",VLOOKUP(B1317,'Справочник ИХ'!A:D,4,0))</f>
        <v>3</v>
      </c>
      <c r="F1317" s="14" t="s">
        <v>2256</v>
      </c>
    </row>
    <row r="1318" spans="1:6" ht="47.6">
      <c r="A1318" s="19">
        <v>26118</v>
      </c>
      <c r="B1318" s="12" t="str">
        <f t="shared" si="20"/>
        <v>261</v>
      </c>
      <c r="C1318" s="1" t="s">
        <v>2275</v>
      </c>
      <c r="D1318" s="13" t="str">
        <f>IF(RIGHT(A1318,3)="000",C1318,VLOOKUP(B1318,'Справочник ИХ'!A:C,3,0))</f>
        <v>Минерально-строит.</v>
      </c>
      <c r="E1318" s="13">
        <f>IF(RIGHT(A1318,3)="000","х",VLOOKUP(B1318,'Справочник ИХ'!A:D,4,0))</f>
        <v>3</v>
      </c>
      <c r="F1318" s="14" t="s">
        <v>2256</v>
      </c>
    </row>
    <row r="1319" spans="1:6" ht="47.6">
      <c r="A1319" s="19">
        <v>26119</v>
      </c>
      <c r="B1319" s="12" t="str">
        <f t="shared" si="20"/>
        <v>261</v>
      </c>
      <c r="C1319" s="1" t="s">
        <v>2276</v>
      </c>
      <c r="D1319" s="13" t="str">
        <f>IF(RIGHT(A1319,3)="000",C1319,VLOOKUP(B1319,'Справочник ИХ'!A:C,3,0))</f>
        <v>Минерально-строит.</v>
      </c>
      <c r="E1319" s="13">
        <f>IF(RIGHT(A1319,3)="000","х",VLOOKUP(B1319,'Справочник ИХ'!A:D,4,0))</f>
        <v>3</v>
      </c>
      <c r="F1319" s="14" t="s">
        <v>2256</v>
      </c>
    </row>
    <row r="1320" spans="1:6" ht="47.6">
      <c r="A1320" s="19">
        <v>26120</v>
      </c>
      <c r="B1320" s="12" t="str">
        <f t="shared" si="20"/>
        <v>261</v>
      </c>
      <c r="C1320" s="1" t="s">
        <v>2277</v>
      </c>
      <c r="D1320" s="13" t="str">
        <f>IF(RIGHT(A1320,3)="000",C1320,VLOOKUP(B1320,'Справочник ИХ'!A:C,3,0))</f>
        <v>Минерально-строит.</v>
      </c>
      <c r="E1320" s="13">
        <f>IF(RIGHT(A1320,3)="000","х",VLOOKUP(B1320,'Справочник ИХ'!A:D,4,0))</f>
        <v>3</v>
      </c>
      <c r="F1320" s="14" t="s">
        <v>2256</v>
      </c>
    </row>
    <row r="1321" spans="1:6" ht="47.6">
      <c r="A1321" s="19">
        <v>26121</v>
      </c>
      <c r="B1321" s="12" t="str">
        <f t="shared" si="20"/>
        <v>261</v>
      </c>
      <c r="C1321" s="1" t="s">
        <v>2278</v>
      </c>
      <c r="D1321" s="13" t="str">
        <f>IF(RIGHT(A1321,3)="000",C1321,VLOOKUP(B1321,'Справочник ИХ'!A:C,3,0))</f>
        <v>Минерально-строит.</v>
      </c>
      <c r="E1321" s="13">
        <f>IF(RIGHT(A1321,3)="000","х",VLOOKUP(B1321,'Справочник ИХ'!A:D,4,0))</f>
        <v>3</v>
      </c>
      <c r="F1321" s="14" t="s">
        <v>2256</v>
      </c>
    </row>
    <row r="1322" spans="1:6" ht="47.6">
      <c r="A1322" s="19">
        <v>26122</v>
      </c>
      <c r="B1322" s="12" t="str">
        <f t="shared" si="20"/>
        <v>261</v>
      </c>
      <c r="C1322" s="1" t="s">
        <v>2279</v>
      </c>
      <c r="D1322" s="13" t="str">
        <f>IF(RIGHT(A1322,3)="000",C1322,VLOOKUP(B1322,'Справочник ИХ'!A:C,3,0))</f>
        <v>Минерально-строит.</v>
      </c>
      <c r="E1322" s="13">
        <f>IF(RIGHT(A1322,3)="000","х",VLOOKUP(B1322,'Справочник ИХ'!A:D,4,0))</f>
        <v>3</v>
      </c>
      <c r="F1322" s="14" t="s">
        <v>2256</v>
      </c>
    </row>
    <row r="1323" spans="1:6" ht="47.6">
      <c r="A1323" s="19">
        <v>26123</v>
      </c>
      <c r="B1323" s="12" t="str">
        <f t="shared" si="20"/>
        <v>261</v>
      </c>
      <c r="C1323" s="1" t="s">
        <v>2280</v>
      </c>
      <c r="D1323" s="13" t="str">
        <f>IF(RIGHT(A1323,3)="000",C1323,VLOOKUP(B1323,'Справочник ИХ'!A:C,3,0))</f>
        <v>Минерально-строит.</v>
      </c>
      <c r="E1323" s="13">
        <f>IF(RIGHT(A1323,3)="000","х",VLOOKUP(B1323,'Справочник ИХ'!A:D,4,0))</f>
        <v>3</v>
      </c>
      <c r="F1323" s="14" t="s">
        <v>2256</v>
      </c>
    </row>
    <row r="1324" spans="1:6" ht="47.6">
      <c r="A1324" s="19">
        <v>26124</v>
      </c>
      <c r="B1324" s="12" t="str">
        <f t="shared" si="20"/>
        <v>261</v>
      </c>
      <c r="C1324" s="1" t="s">
        <v>2281</v>
      </c>
      <c r="D1324" s="13" t="str">
        <f>IF(RIGHT(A1324,3)="000",C1324,VLOOKUP(B1324,'Справочник ИХ'!A:C,3,0))</f>
        <v>Минерально-строит.</v>
      </c>
      <c r="E1324" s="13">
        <f>IF(RIGHT(A1324,3)="000","х",VLOOKUP(B1324,'Справочник ИХ'!A:D,4,0))</f>
        <v>3</v>
      </c>
      <c r="F1324" s="14" t="s">
        <v>2256</v>
      </c>
    </row>
    <row r="1325" spans="1:6" ht="47.6">
      <c r="A1325" s="19">
        <v>26125</v>
      </c>
      <c r="B1325" s="12" t="str">
        <f t="shared" si="20"/>
        <v>261</v>
      </c>
      <c r="C1325" s="1" t="s">
        <v>2282</v>
      </c>
      <c r="D1325" s="13" t="str">
        <f>IF(RIGHT(A1325,3)="000",C1325,VLOOKUP(B1325,'Справочник ИХ'!A:C,3,0))</f>
        <v>Минерально-строит.</v>
      </c>
      <c r="E1325" s="13">
        <f>IF(RIGHT(A1325,3)="000","х",VLOOKUP(B1325,'Справочник ИХ'!A:D,4,0))</f>
        <v>3</v>
      </c>
      <c r="F1325" s="14" t="s">
        <v>2256</v>
      </c>
    </row>
    <row r="1326" spans="1:6" ht="47.6">
      <c r="A1326" s="19">
        <v>26126</v>
      </c>
      <c r="B1326" s="12" t="str">
        <f t="shared" si="20"/>
        <v>261</v>
      </c>
      <c r="C1326" s="1" t="s">
        <v>2283</v>
      </c>
      <c r="D1326" s="13" t="str">
        <f>IF(RIGHT(A1326,3)="000",C1326,VLOOKUP(B1326,'Справочник ИХ'!A:C,3,0))</f>
        <v>Минерально-строит.</v>
      </c>
      <c r="E1326" s="13">
        <f>IF(RIGHT(A1326,3)="000","х",VLOOKUP(B1326,'Справочник ИХ'!A:D,4,0))</f>
        <v>3</v>
      </c>
      <c r="F1326" s="14" t="s">
        <v>2256</v>
      </c>
    </row>
    <row r="1327" spans="1:6" ht="47.6">
      <c r="A1327" s="19">
        <v>26127</v>
      </c>
      <c r="B1327" s="12" t="str">
        <f t="shared" si="20"/>
        <v>261</v>
      </c>
      <c r="C1327" s="1" t="s">
        <v>2284</v>
      </c>
      <c r="D1327" s="13" t="str">
        <f>IF(RIGHT(A1327,3)="000",C1327,VLOOKUP(B1327,'Справочник ИХ'!A:C,3,0))</f>
        <v>Минерально-строит.</v>
      </c>
      <c r="E1327" s="13">
        <f>IF(RIGHT(A1327,3)="000","х",VLOOKUP(B1327,'Справочник ИХ'!A:D,4,0))</f>
        <v>3</v>
      </c>
      <c r="F1327" s="14" t="s">
        <v>2256</v>
      </c>
    </row>
    <row r="1328" spans="1:6" ht="47.6">
      <c r="A1328" s="19">
        <v>26128</v>
      </c>
      <c r="B1328" s="12" t="str">
        <f t="shared" si="20"/>
        <v>261</v>
      </c>
      <c r="C1328" s="1" t="s">
        <v>2285</v>
      </c>
      <c r="D1328" s="13" t="str">
        <f>IF(RIGHT(A1328,3)="000",C1328,VLOOKUP(B1328,'Справочник ИХ'!A:C,3,0))</f>
        <v>Минерально-строит.</v>
      </c>
      <c r="E1328" s="13">
        <f>IF(RIGHT(A1328,3)="000","х",VLOOKUP(B1328,'Справочник ИХ'!A:D,4,0))</f>
        <v>3</v>
      </c>
      <c r="F1328" s="14" t="s">
        <v>2256</v>
      </c>
    </row>
    <row r="1329" spans="1:6" ht="47.6">
      <c r="A1329" s="19">
        <v>26129</v>
      </c>
      <c r="B1329" s="12" t="str">
        <f t="shared" si="20"/>
        <v>261</v>
      </c>
      <c r="C1329" s="1" t="s">
        <v>2286</v>
      </c>
      <c r="D1329" s="13" t="str">
        <f>IF(RIGHT(A1329,3)="000",C1329,VLOOKUP(B1329,'Справочник ИХ'!A:C,3,0))</f>
        <v>Минерально-строит.</v>
      </c>
      <c r="E1329" s="13">
        <f>IF(RIGHT(A1329,3)="000","х",VLOOKUP(B1329,'Справочник ИХ'!A:D,4,0))</f>
        <v>3</v>
      </c>
      <c r="F1329" s="14" t="s">
        <v>2256</v>
      </c>
    </row>
    <row r="1330" spans="1:6" ht="47.6">
      <c r="A1330" s="19">
        <v>26130</v>
      </c>
      <c r="B1330" s="12" t="str">
        <f t="shared" si="20"/>
        <v>261</v>
      </c>
      <c r="C1330" s="1" t="s">
        <v>2287</v>
      </c>
      <c r="D1330" s="13" t="str">
        <f>IF(RIGHT(A1330,3)="000",C1330,VLOOKUP(B1330,'Справочник ИХ'!A:C,3,0))</f>
        <v>Минерально-строит.</v>
      </c>
      <c r="E1330" s="13">
        <f>IF(RIGHT(A1330,3)="000","х",VLOOKUP(B1330,'Справочник ИХ'!A:D,4,0))</f>
        <v>3</v>
      </c>
      <c r="F1330" s="14" t="s">
        <v>2256</v>
      </c>
    </row>
    <row r="1331" spans="1:6" ht="47.6">
      <c r="A1331" s="19">
        <v>26131</v>
      </c>
      <c r="B1331" s="12" t="str">
        <f t="shared" si="20"/>
        <v>261</v>
      </c>
      <c r="C1331" s="1" t="s">
        <v>2288</v>
      </c>
      <c r="D1331" s="13" t="str">
        <f>IF(RIGHT(A1331,3)="000",C1331,VLOOKUP(B1331,'Справочник ИХ'!A:C,3,0))</f>
        <v>Минерально-строит.</v>
      </c>
      <c r="E1331" s="13">
        <f>IF(RIGHT(A1331,3)="000","х",VLOOKUP(B1331,'Справочник ИХ'!A:D,4,0))</f>
        <v>3</v>
      </c>
      <c r="F1331" s="14" t="s">
        <v>2256</v>
      </c>
    </row>
    <row r="1332" spans="1:6" ht="47.6">
      <c r="A1332" s="19">
        <v>26132</v>
      </c>
      <c r="B1332" s="12" t="str">
        <f t="shared" si="20"/>
        <v>261</v>
      </c>
      <c r="C1332" s="1" t="s">
        <v>2289</v>
      </c>
      <c r="D1332" s="13" t="str">
        <f>IF(RIGHT(A1332,3)="000",C1332,VLOOKUP(B1332,'Справочник ИХ'!A:C,3,0))</f>
        <v>Минерально-строит.</v>
      </c>
      <c r="E1332" s="13">
        <f>IF(RIGHT(A1332,3)="000","х",VLOOKUP(B1332,'Справочник ИХ'!A:D,4,0))</f>
        <v>3</v>
      </c>
      <c r="F1332" s="14" t="s">
        <v>2256</v>
      </c>
    </row>
    <row r="1333" spans="1:6" ht="47.6">
      <c r="A1333" s="19">
        <v>26133</v>
      </c>
      <c r="B1333" s="12" t="str">
        <f t="shared" si="20"/>
        <v>261</v>
      </c>
      <c r="C1333" s="1" t="s">
        <v>2290</v>
      </c>
      <c r="D1333" s="13" t="str">
        <f>IF(RIGHT(A1333,3)="000",C1333,VLOOKUP(B1333,'Справочник ИХ'!A:C,3,0))</f>
        <v>Минерально-строит.</v>
      </c>
      <c r="E1333" s="13">
        <f>IF(RIGHT(A1333,3)="000","х",VLOOKUP(B1333,'Справочник ИХ'!A:D,4,0))</f>
        <v>3</v>
      </c>
      <c r="F1333" s="14" t="s">
        <v>2256</v>
      </c>
    </row>
    <row r="1334" spans="1:6" ht="47.6">
      <c r="A1334" s="19">
        <v>26134</v>
      </c>
      <c r="B1334" s="12" t="str">
        <f t="shared" si="20"/>
        <v>261</v>
      </c>
      <c r="C1334" s="1" t="s">
        <v>2291</v>
      </c>
      <c r="D1334" s="13" t="str">
        <f>IF(RIGHT(A1334,3)="000",C1334,VLOOKUP(B1334,'Справочник ИХ'!A:C,3,0))</f>
        <v>Минерально-строит.</v>
      </c>
      <c r="E1334" s="13">
        <f>IF(RIGHT(A1334,3)="000","х",VLOOKUP(B1334,'Справочник ИХ'!A:D,4,0))</f>
        <v>3</v>
      </c>
      <c r="F1334" s="14" t="s">
        <v>2256</v>
      </c>
    </row>
    <row r="1335" spans="1:6" ht="47.6">
      <c r="A1335" s="19">
        <v>26135</v>
      </c>
      <c r="B1335" s="12" t="str">
        <f t="shared" si="20"/>
        <v>261</v>
      </c>
      <c r="C1335" s="1" t="s">
        <v>2292</v>
      </c>
      <c r="D1335" s="13" t="str">
        <f>IF(RIGHT(A1335,3)="000",C1335,VLOOKUP(B1335,'Справочник ИХ'!A:C,3,0))</f>
        <v>Минерально-строит.</v>
      </c>
      <c r="E1335" s="13">
        <f>IF(RIGHT(A1335,3)="000","х",VLOOKUP(B1335,'Справочник ИХ'!A:D,4,0))</f>
        <v>3</v>
      </c>
      <c r="F1335" s="14" t="s">
        <v>2256</v>
      </c>
    </row>
    <row r="1336" spans="1:6" ht="47.6">
      <c r="A1336" s="19">
        <v>26136</v>
      </c>
      <c r="B1336" s="12" t="str">
        <f t="shared" si="20"/>
        <v>261</v>
      </c>
      <c r="C1336" s="1" t="s">
        <v>2293</v>
      </c>
      <c r="D1336" s="13" t="str">
        <f>IF(RIGHT(A1336,3)="000",C1336,VLOOKUP(B1336,'Справочник ИХ'!A:C,3,0))</f>
        <v>Минерально-строит.</v>
      </c>
      <c r="E1336" s="13">
        <f>IF(RIGHT(A1336,3)="000","х",VLOOKUP(B1336,'Справочник ИХ'!A:D,4,0))</f>
        <v>3</v>
      </c>
      <c r="F1336" s="14" t="s">
        <v>2256</v>
      </c>
    </row>
    <row r="1337" spans="1:6" ht="47.6">
      <c r="A1337" s="19">
        <v>26137</v>
      </c>
      <c r="B1337" s="12" t="str">
        <f t="shared" si="20"/>
        <v>261</v>
      </c>
      <c r="C1337" s="1" t="s">
        <v>2294</v>
      </c>
      <c r="D1337" s="13" t="str">
        <f>IF(RIGHT(A1337,3)="000",C1337,VLOOKUP(B1337,'Справочник ИХ'!A:C,3,0))</f>
        <v>Минерально-строит.</v>
      </c>
      <c r="E1337" s="13">
        <f>IF(RIGHT(A1337,3)="000","х",VLOOKUP(B1337,'Справочник ИХ'!A:D,4,0))</f>
        <v>3</v>
      </c>
      <c r="F1337" s="14" t="s">
        <v>2256</v>
      </c>
    </row>
    <row r="1338" spans="1:6" ht="47.6">
      <c r="A1338" s="19">
        <v>26138</v>
      </c>
      <c r="B1338" s="12" t="str">
        <f t="shared" si="20"/>
        <v>261</v>
      </c>
      <c r="C1338" s="1" t="s">
        <v>2295</v>
      </c>
      <c r="D1338" s="13" t="str">
        <f>IF(RIGHT(A1338,3)="000",C1338,VLOOKUP(B1338,'Справочник ИХ'!A:C,3,0))</f>
        <v>Минерально-строит.</v>
      </c>
      <c r="E1338" s="13">
        <f>IF(RIGHT(A1338,3)="000","х",VLOOKUP(B1338,'Справочник ИХ'!A:D,4,0))</f>
        <v>3</v>
      </c>
      <c r="F1338" s="14" t="s">
        <v>2256</v>
      </c>
    </row>
    <row r="1339" spans="1:6" ht="47.6">
      <c r="A1339" s="19">
        <v>26139</v>
      </c>
      <c r="B1339" s="12" t="str">
        <f t="shared" si="20"/>
        <v>261</v>
      </c>
      <c r="C1339" s="1" t="s">
        <v>2296</v>
      </c>
      <c r="D1339" s="13" t="str">
        <f>IF(RIGHT(A1339,3)="000",C1339,VLOOKUP(B1339,'Справочник ИХ'!A:C,3,0))</f>
        <v>Минерально-строит.</v>
      </c>
      <c r="E1339" s="13">
        <f>IF(RIGHT(A1339,3)="000","х",VLOOKUP(B1339,'Справочник ИХ'!A:D,4,0))</f>
        <v>3</v>
      </c>
      <c r="F1339" s="14" t="s">
        <v>2256</v>
      </c>
    </row>
    <row r="1340" spans="1:6" ht="47.6">
      <c r="A1340" s="19">
        <v>26140</v>
      </c>
      <c r="B1340" s="12" t="str">
        <f t="shared" si="20"/>
        <v>261</v>
      </c>
      <c r="C1340" s="1" t="s">
        <v>2297</v>
      </c>
      <c r="D1340" s="13" t="str">
        <f>IF(RIGHT(A1340,3)="000",C1340,VLOOKUP(B1340,'Справочник ИХ'!A:C,3,0))</f>
        <v>Минерально-строит.</v>
      </c>
      <c r="E1340" s="13">
        <f>IF(RIGHT(A1340,3)="000","х",VLOOKUP(B1340,'Справочник ИХ'!A:D,4,0))</f>
        <v>3</v>
      </c>
      <c r="F1340" s="14" t="s">
        <v>2256</v>
      </c>
    </row>
    <row r="1341" spans="1:6" ht="47.6">
      <c r="A1341" s="19">
        <v>26141</v>
      </c>
      <c r="B1341" s="12" t="str">
        <f t="shared" si="20"/>
        <v>261</v>
      </c>
      <c r="C1341" s="1" t="s">
        <v>2298</v>
      </c>
      <c r="D1341" s="13" t="str">
        <f>IF(RIGHT(A1341,3)="000",C1341,VLOOKUP(B1341,'Справочник ИХ'!A:C,3,0))</f>
        <v>Минерально-строит.</v>
      </c>
      <c r="E1341" s="13">
        <f>IF(RIGHT(A1341,3)="000","х",VLOOKUP(B1341,'Справочник ИХ'!A:D,4,0))</f>
        <v>3</v>
      </c>
      <c r="F1341" s="14" t="s">
        <v>2256</v>
      </c>
    </row>
    <row r="1342" spans="1:6" ht="47.6">
      <c r="A1342" s="19">
        <v>26142</v>
      </c>
      <c r="B1342" s="12" t="str">
        <f t="shared" si="20"/>
        <v>261</v>
      </c>
      <c r="C1342" s="1" t="s">
        <v>2299</v>
      </c>
      <c r="D1342" s="13" t="str">
        <f>IF(RIGHT(A1342,3)="000",C1342,VLOOKUP(B1342,'Справочник ИХ'!A:C,3,0))</f>
        <v>Минерально-строит.</v>
      </c>
      <c r="E1342" s="13">
        <f>IF(RIGHT(A1342,3)="000","х",VLOOKUP(B1342,'Справочник ИХ'!A:D,4,0))</f>
        <v>3</v>
      </c>
      <c r="F1342" s="14" t="s">
        <v>2256</v>
      </c>
    </row>
    <row r="1343" spans="1:6" ht="47.6">
      <c r="A1343" s="19">
        <v>26143</v>
      </c>
      <c r="B1343" s="12" t="str">
        <f t="shared" si="20"/>
        <v>261</v>
      </c>
      <c r="C1343" s="1" t="s">
        <v>2300</v>
      </c>
      <c r="D1343" s="13" t="str">
        <f>IF(RIGHT(A1343,3)="000",C1343,VLOOKUP(B1343,'Справочник ИХ'!A:C,3,0))</f>
        <v>Минерально-строит.</v>
      </c>
      <c r="E1343" s="13">
        <f>IF(RIGHT(A1343,3)="000","х",VLOOKUP(B1343,'Справочник ИХ'!A:D,4,0))</f>
        <v>3</v>
      </c>
      <c r="F1343" s="14" t="s">
        <v>2256</v>
      </c>
    </row>
    <row r="1344" spans="1:6" ht="47.6">
      <c r="A1344" s="19">
        <v>26144</v>
      </c>
      <c r="B1344" s="12" t="str">
        <f t="shared" si="20"/>
        <v>261</v>
      </c>
      <c r="C1344" s="1" t="s">
        <v>2301</v>
      </c>
      <c r="D1344" s="13" t="str">
        <f>IF(RIGHT(A1344,3)="000",C1344,VLOOKUP(B1344,'Справочник ИХ'!A:C,3,0))</f>
        <v>Минерально-строит.</v>
      </c>
      <c r="E1344" s="13">
        <f>IF(RIGHT(A1344,3)="000","х",VLOOKUP(B1344,'Справочник ИХ'!A:D,4,0))</f>
        <v>3</v>
      </c>
      <c r="F1344" s="14" t="s">
        <v>2256</v>
      </c>
    </row>
    <row r="1345" spans="1:6" ht="47.6">
      <c r="A1345" s="19">
        <v>26145</v>
      </c>
      <c r="B1345" s="12" t="str">
        <f t="shared" si="20"/>
        <v>261</v>
      </c>
      <c r="C1345" s="1" t="s">
        <v>2302</v>
      </c>
      <c r="D1345" s="13" t="str">
        <f>IF(RIGHT(A1345,3)="000",C1345,VLOOKUP(B1345,'Справочник ИХ'!A:C,3,0))</f>
        <v>Минерально-строит.</v>
      </c>
      <c r="E1345" s="13">
        <f>IF(RIGHT(A1345,3)="000","х",VLOOKUP(B1345,'Справочник ИХ'!A:D,4,0))</f>
        <v>3</v>
      </c>
      <c r="F1345" s="14" t="s">
        <v>2256</v>
      </c>
    </row>
    <row r="1346" spans="1:6" ht="47.6">
      <c r="A1346" s="19">
        <v>26146</v>
      </c>
      <c r="B1346" s="12" t="str">
        <f t="shared" si="20"/>
        <v>261</v>
      </c>
      <c r="C1346" s="1" t="s">
        <v>2303</v>
      </c>
      <c r="D1346" s="13" t="str">
        <f>IF(RIGHT(A1346,3)="000",C1346,VLOOKUP(B1346,'Справочник ИХ'!A:C,3,0))</f>
        <v>Минерально-строит.</v>
      </c>
      <c r="E1346" s="13">
        <f>IF(RIGHT(A1346,3)="000","х",VLOOKUP(B1346,'Справочник ИХ'!A:D,4,0))</f>
        <v>3</v>
      </c>
      <c r="F1346" s="14" t="s">
        <v>2256</v>
      </c>
    </row>
    <row r="1347" spans="1:6" ht="47.6">
      <c r="A1347" s="19">
        <v>26147</v>
      </c>
      <c r="B1347" s="12" t="str">
        <f t="shared" si="20"/>
        <v>261</v>
      </c>
      <c r="C1347" s="1" t="s">
        <v>2304</v>
      </c>
      <c r="D1347" s="13" t="str">
        <f>IF(RIGHT(A1347,3)="000",C1347,VLOOKUP(B1347,'Справочник ИХ'!A:C,3,0))</f>
        <v>Минерально-строит.</v>
      </c>
      <c r="E1347" s="13">
        <f>IF(RIGHT(A1347,3)="000","х",VLOOKUP(B1347,'Справочник ИХ'!A:D,4,0))</f>
        <v>3</v>
      </c>
      <c r="F1347" s="14" t="s">
        <v>2256</v>
      </c>
    </row>
    <row r="1348" spans="1:6" ht="47.6">
      <c r="A1348" s="19">
        <v>26148</v>
      </c>
      <c r="B1348" s="12" t="str">
        <f t="shared" ref="B1348:B1411" si="21">LEFT(A1348,3)</f>
        <v>261</v>
      </c>
      <c r="C1348" s="1" t="s">
        <v>2305</v>
      </c>
      <c r="D1348" s="13" t="str">
        <f>IF(RIGHT(A1348,3)="000",C1348,VLOOKUP(B1348,'Справочник ИХ'!A:C,3,0))</f>
        <v>Минерально-строит.</v>
      </c>
      <c r="E1348" s="13">
        <f>IF(RIGHT(A1348,3)="000","х",VLOOKUP(B1348,'Справочник ИХ'!A:D,4,0))</f>
        <v>3</v>
      </c>
      <c r="F1348" s="14" t="s">
        <v>2256</v>
      </c>
    </row>
    <row r="1349" spans="1:6" ht="47.6">
      <c r="A1349" s="19">
        <v>26149</v>
      </c>
      <c r="B1349" s="12" t="str">
        <f t="shared" si="21"/>
        <v>261</v>
      </c>
      <c r="C1349" s="1" t="s">
        <v>2306</v>
      </c>
      <c r="D1349" s="13" t="str">
        <f>IF(RIGHT(A1349,3)="000",C1349,VLOOKUP(B1349,'Справочник ИХ'!A:C,3,0))</f>
        <v>Минерально-строит.</v>
      </c>
      <c r="E1349" s="13">
        <f>IF(RIGHT(A1349,3)="000","х",VLOOKUP(B1349,'Справочник ИХ'!A:D,4,0))</f>
        <v>3</v>
      </c>
      <c r="F1349" s="14" t="s">
        <v>2256</v>
      </c>
    </row>
    <row r="1350" spans="1:6" ht="47.6">
      <c r="A1350" s="19">
        <v>26150</v>
      </c>
      <c r="B1350" s="12" t="str">
        <f t="shared" si="21"/>
        <v>261</v>
      </c>
      <c r="C1350" s="1" t="s">
        <v>2307</v>
      </c>
      <c r="D1350" s="13" t="str">
        <f>IF(RIGHT(A1350,3)="000",C1350,VLOOKUP(B1350,'Справочник ИХ'!A:C,3,0))</f>
        <v>Минерально-строит.</v>
      </c>
      <c r="E1350" s="13">
        <f>IF(RIGHT(A1350,3)="000","х",VLOOKUP(B1350,'Справочник ИХ'!A:D,4,0))</f>
        <v>3</v>
      </c>
      <c r="F1350" s="14" t="s">
        <v>2256</v>
      </c>
    </row>
    <row r="1351" spans="1:6" ht="47.6">
      <c r="A1351" s="19">
        <v>26151</v>
      </c>
      <c r="B1351" s="12" t="str">
        <f t="shared" si="21"/>
        <v>261</v>
      </c>
      <c r="C1351" s="1" t="s">
        <v>2308</v>
      </c>
      <c r="D1351" s="13" t="str">
        <f>IF(RIGHT(A1351,3)="000",C1351,VLOOKUP(B1351,'Справочник ИХ'!A:C,3,0))</f>
        <v>Минерально-строит.</v>
      </c>
      <c r="E1351" s="13">
        <f>IF(RIGHT(A1351,3)="000","х",VLOOKUP(B1351,'Справочник ИХ'!A:D,4,0))</f>
        <v>3</v>
      </c>
      <c r="F1351" s="14" t="s">
        <v>2256</v>
      </c>
    </row>
    <row r="1352" spans="1:6" ht="47.6">
      <c r="A1352" s="19">
        <v>26152</v>
      </c>
      <c r="B1352" s="12" t="str">
        <f t="shared" si="21"/>
        <v>261</v>
      </c>
      <c r="C1352" s="1" t="s">
        <v>2309</v>
      </c>
      <c r="D1352" s="13" t="str">
        <f>IF(RIGHT(A1352,3)="000",C1352,VLOOKUP(B1352,'Справочник ИХ'!A:C,3,0))</f>
        <v>Минерально-строит.</v>
      </c>
      <c r="E1352" s="13">
        <f>IF(RIGHT(A1352,3)="000","х",VLOOKUP(B1352,'Справочник ИХ'!A:D,4,0))</f>
        <v>3</v>
      </c>
      <c r="F1352" s="14" t="s">
        <v>2256</v>
      </c>
    </row>
    <row r="1353" spans="1:6" ht="47.6">
      <c r="A1353" s="19">
        <v>26153</v>
      </c>
      <c r="B1353" s="12" t="str">
        <f t="shared" si="21"/>
        <v>261</v>
      </c>
      <c r="C1353" s="1" t="s">
        <v>2310</v>
      </c>
      <c r="D1353" s="13" t="str">
        <f>IF(RIGHT(A1353,3)="000",C1353,VLOOKUP(B1353,'Справочник ИХ'!A:C,3,0))</f>
        <v>Минерально-строит.</v>
      </c>
      <c r="E1353" s="13">
        <f>IF(RIGHT(A1353,3)="000","х",VLOOKUP(B1353,'Справочник ИХ'!A:D,4,0))</f>
        <v>3</v>
      </c>
      <c r="F1353" s="14" t="s">
        <v>2256</v>
      </c>
    </row>
    <row r="1354" spans="1:6" ht="47.6">
      <c r="A1354" s="19">
        <v>26154</v>
      </c>
      <c r="B1354" s="12" t="str">
        <f t="shared" si="21"/>
        <v>261</v>
      </c>
      <c r="C1354" s="1" t="s">
        <v>2311</v>
      </c>
      <c r="D1354" s="13" t="str">
        <f>IF(RIGHT(A1354,3)="000",C1354,VLOOKUP(B1354,'Справочник ИХ'!A:C,3,0))</f>
        <v>Минерально-строит.</v>
      </c>
      <c r="E1354" s="13">
        <f>IF(RIGHT(A1354,3)="000","х",VLOOKUP(B1354,'Справочник ИХ'!A:D,4,0))</f>
        <v>3</v>
      </c>
      <c r="F1354" s="14" t="s">
        <v>2256</v>
      </c>
    </row>
    <row r="1355" spans="1:6" ht="47.6">
      <c r="A1355" s="19">
        <v>26155</v>
      </c>
      <c r="B1355" s="12" t="str">
        <f t="shared" si="21"/>
        <v>261</v>
      </c>
      <c r="C1355" s="1" t="s">
        <v>2312</v>
      </c>
      <c r="D1355" s="13" t="str">
        <f>IF(RIGHT(A1355,3)="000",C1355,VLOOKUP(B1355,'Справочник ИХ'!A:C,3,0))</f>
        <v>Минерально-строит.</v>
      </c>
      <c r="E1355" s="13">
        <f>IF(RIGHT(A1355,3)="000","х",VLOOKUP(B1355,'Справочник ИХ'!A:D,4,0))</f>
        <v>3</v>
      </c>
      <c r="F1355" s="14" t="s">
        <v>2256</v>
      </c>
    </row>
    <row r="1356" spans="1:6" ht="47.6">
      <c r="A1356" s="19">
        <v>26156</v>
      </c>
      <c r="B1356" s="12" t="str">
        <f t="shared" si="21"/>
        <v>261</v>
      </c>
      <c r="C1356" s="1" t="s">
        <v>2313</v>
      </c>
      <c r="D1356" s="13" t="str">
        <f>IF(RIGHT(A1356,3)="000",C1356,VLOOKUP(B1356,'Справочник ИХ'!A:C,3,0))</f>
        <v>Минерально-строит.</v>
      </c>
      <c r="E1356" s="13">
        <f>IF(RIGHT(A1356,3)="000","х",VLOOKUP(B1356,'Справочник ИХ'!A:D,4,0))</f>
        <v>3</v>
      </c>
      <c r="F1356" s="14" t="s">
        <v>2256</v>
      </c>
    </row>
    <row r="1357" spans="1:6" s="18" customFormat="1" ht="47.6">
      <c r="A1357" s="16">
        <v>26200</v>
      </c>
      <c r="B1357" s="12" t="str">
        <f t="shared" si="21"/>
        <v>262</v>
      </c>
      <c r="C1357" s="17" t="s">
        <v>2314</v>
      </c>
      <c r="D1357" s="13" t="str">
        <f>IF(RIGHT(A1357,3)="000",C1357,VLOOKUP(B1357,'Справочник ИХ'!A:C,3,0))</f>
        <v>Минерально-строит.</v>
      </c>
      <c r="E1357" s="13">
        <f>IF(RIGHT(A1357,3)="000","х",VLOOKUP(B1357,'Справочник ИХ'!A:D,4,0))</f>
        <v>3</v>
      </c>
      <c r="F1357" s="14" t="s">
        <v>2256</v>
      </c>
    </row>
    <row r="1358" spans="1:6" ht="47.6">
      <c r="A1358" s="19">
        <v>26201</v>
      </c>
      <c r="B1358" s="12" t="str">
        <f t="shared" si="21"/>
        <v>262</v>
      </c>
      <c r="C1358" s="1" t="s">
        <v>2315</v>
      </c>
      <c r="D1358" s="13" t="str">
        <f>IF(RIGHT(A1358,3)="000",C1358,VLOOKUP(B1358,'Справочник ИХ'!A:C,3,0))</f>
        <v>Минерально-строит.</v>
      </c>
      <c r="E1358" s="13">
        <f>IF(RIGHT(A1358,3)="000","х",VLOOKUP(B1358,'Справочник ИХ'!A:D,4,0))</f>
        <v>3</v>
      </c>
      <c r="F1358" s="14" t="s">
        <v>2256</v>
      </c>
    </row>
    <row r="1359" spans="1:6" ht="47.6">
      <c r="A1359" s="19">
        <v>26202</v>
      </c>
      <c r="B1359" s="12" t="str">
        <f t="shared" si="21"/>
        <v>262</v>
      </c>
      <c r="C1359" s="1" t="s">
        <v>2316</v>
      </c>
      <c r="D1359" s="13" t="str">
        <f>IF(RIGHT(A1359,3)="000",C1359,VLOOKUP(B1359,'Справочник ИХ'!A:C,3,0))</f>
        <v>Минерально-строит.</v>
      </c>
      <c r="E1359" s="13">
        <f>IF(RIGHT(A1359,3)="000","х",VLOOKUP(B1359,'Справочник ИХ'!A:D,4,0))</f>
        <v>3</v>
      </c>
      <c r="F1359" s="14" t="s">
        <v>2256</v>
      </c>
    </row>
    <row r="1360" spans="1:6" ht="47.6">
      <c r="A1360" s="19">
        <v>26203</v>
      </c>
      <c r="B1360" s="12" t="str">
        <f t="shared" si="21"/>
        <v>262</v>
      </c>
      <c r="C1360" s="1" t="s">
        <v>2317</v>
      </c>
      <c r="D1360" s="13" t="str">
        <f>IF(RIGHT(A1360,3)="000",C1360,VLOOKUP(B1360,'Справочник ИХ'!A:C,3,0))</f>
        <v>Минерально-строит.</v>
      </c>
      <c r="E1360" s="13">
        <f>IF(RIGHT(A1360,3)="000","х",VLOOKUP(B1360,'Справочник ИХ'!A:D,4,0))</f>
        <v>3</v>
      </c>
      <c r="F1360" s="14" t="s">
        <v>2256</v>
      </c>
    </row>
    <row r="1361" spans="1:6" ht="47.6">
      <c r="A1361" s="19">
        <v>26204</v>
      </c>
      <c r="B1361" s="12" t="str">
        <f t="shared" si="21"/>
        <v>262</v>
      </c>
      <c r="C1361" s="1" t="s">
        <v>2318</v>
      </c>
      <c r="D1361" s="13" t="str">
        <f>IF(RIGHT(A1361,3)="000",C1361,VLOOKUP(B1361,'Справочник ИХ'!A:C,3,0))</f>
        <v>Минерально-строит.</v>
      </c>
      <c r="E1361" s="13">
        <f>IF(RIGHT(A1361,3)="000","х",VLOOKUP(B1361,'Справочник ИХ'!A:D,4,0))</f>
        <v>3</v>
      </c>
      <c r="F1361" s="14" t="s">
        <v>2256</v>
      </c>
    </row>
    <row r="1362" spans="1:6" ht="47.6">
      <c r="A1362" s="19">
        <v>26205</v>
      </c>
      <c r="B1362" s="12" t="str">
        <f t="shared" si="21"/>
        <v>262</v>
      </c>
      <c r="C1362" s="1" t="s">
        <v>2319</v>
      </c>
      <c r="D1362" s="13" t="str">
        <f>IF(RIGHT(A1362,3)="000",C1362,VLOOKUP(B1362,'Справочник ИХ'!A:C,3,0))</f>
        <v>Минерально-строит.</v>
      </c>
      <c r="E1362" s="13">
        <f>IF(RIGHT(A1362,3)="000","х",VLOOKUP(B1362,'Справочник ИХ'!A:D,4,0))</f>
        <v>3</v>
      </c>
      <c r="F1362" s="14" t="s">
        <v>2256</v>
      </c>
    </row>
    <row r="1363" spans="1:6" ht="47.6">
      <c r="A1363" s="19">
        <v>26206</v>
      </c>
      <c r="B1363" s="12" t="str">
        <f t="shared" si="21"/>
        <v>262</v>
      </c>
      <c r="C1363" s="1" t="s">
        <v>2320</v>
      </c>
      <c r="D1363" s="13" t="str">
        <f>IF(RIGHT(A1363,3)="000",C1363,VLOOKUP(B1363,'Справочник ИХ'!A:C,3,0))</f>
        <v>Минерально-строит.</v>
      </c>
      <c r="E1363" s="13">
        <f>IF(RIGHT(A1363,3)="000","х",VLOOKUP(B1363,'Справочник ИХ'!A:D,4,0))</f>
        <v>3</v>
      </c>
      <c r="F1363" s="14" t="s">
        <v>2256</v>
      </c>
    </row>
    <row r="1364" spans="1:6" ht="47.6">
      <c r="A1364" s="19">
        <v>26207</v>
      </c>
      <c r="B1364" s="12" t="str">
        <f t="shared" si="21"/>
        <v>262</v>
      </c>
      <c r="C1364" s="1" t="s">
        <v>2321</v>
      </c>
      <c r="D1364" s="13" t="str">
        <f>IF(RIGHT(A1364,3)="000",C1364,VLOOKUP(B1364,'Справочник ИХ'!A:C,3,0))</f>
        <v>Минерально-строит.</v>
      </c>
      <c r="E1364" s="13">
        <f>IF(RIGHT(A1364,3)="000","х",VLOOKUP(B1364,'Справочник ИХ'!A:D,4,0))</f>
        <v>3</v>
      </c>
      <c r="F1364" s="14" t="s">
        <v>2256</v>
      </c>
    </row>
    <row r="1365" spans="1:6" ht="47.6">
      <c r="A1365" s="19">
        <v>26208</v>
      </c>
      <c r="B1365" s="12" t="str">
        <f t="shared" si="21"/>
        <v>262</v>
      </c>
      <c r="C1365" s="1" t="s">
        <v>2322</v>
      </c>
      <c r="D1365" s="13" t="str">
        <f>IF(RIGHT(A1365,3)="000",C1365,VLOOKUP(B1365,'Справочник ИХ'!A:C,3,0))</f>
        <v>Минерально-строит.</v>
      </c>
      <c r="E1365" s="13">
        <f>IF(RIGHT(A1365,3)="000","х",VLOOKUP(B1365,'Справочник ИХ'!A:D,4,0))</f>
        <v>3</v>
      </c>
      <c r="F1365" s="14" t="s">
        <v>2256</v>
      </c>
    </row>
    <row r="1366" spans="1:6" ht="47.6">
      <c r="A1366" s="19">
        <v>26209</v>
      </c>
      <c r="B1366" s="12" t="str">
        <f t="shared" si="21"/>
        <v>262</v>
      </c>
      <c r="C1366" s="1" t="s">
        <v>2323</v>
      </c>
      <c r="D1366" s="13" t="str">
        <f>IF(RIGHT(A1366,3)="000",C1366,VLOOKUP(B1366,'Справочник ИХ'!A:C,3,0))</f>
        <v>Минерально-строит.</v>
      </c>
      <c r="E1366" s="13">
        <f>IF(RIGHT(A1366,3)="000","х",VLOOKUP(B1366,'Справочник ИХ'!A:D,4,0))</f>
        <v>3</v>
      </c>
      <c r="F1366" s="14" t="s">
        <v>2256</v>
      </c>
    </row>
    <row r="1367" spans="1:6" ht="47.6">
      <c r="A1367" s="19">
        <v>26210</v>
      </c>
      <c r="B1367" s="12" t="str">
        <f t="shared" si="21"/>
        <v>262</v>
      </c>
      <c r="C1367" s="1" t="s">
        <v>2324</v>
      </c>
      <c r="D1367" s="13" t="str">
        <f>IF(RIGHT(A1367,3)="000",C1367,VLOOKUP(B1367,'Справочник ИХ'!A:C,3,0))</f>
        <v>Минерально-строит.</v>
      </c>
      <c r="E1367" s="13">
        <f>IF(RIGHT(A1367,3)="000","х",VLOOKUP(B1367,'Справочник ИХ'!A:D,4,0))</f>
        <v>3</v>
      </c>
      <c r="F1367" s="14" t="s">
        <v>2256</v>
      </c>
    </row>
    <row r="1368" spans="1:6" ht="47.6">
      <c r="A1368" s="19">
        <v>26211</v>
      </c>
      <c r="B1368" s="12" t="str">
        <f t="shared" si="21"/>
        <v>262</v>
      </c>
      <c r="C1368" s="1" t="s">
        <v>2325</v>
      </c>
      <c r="D1368" s="13" t="str">
        <f>IF(RIGHT(A1368,3)="000",C1368,VLOOKUP(B1368,'Справочник ИХ'!A:C,3,0))</f>
        <v>Минерально-строит.</v>
      </c>
      <c r="E1368" s="13">
        <f>IF(RIGHT(A1368,3)="000","х",VLOOKUP(B1368,'Справочник ИХ'!A:D,4,0))</f>
        <v>3</v>
      </c>
      <c r="F1368" s="14" t="s">
        <v>2256</v>
      </c>
    </row>
    <row r="1369" spans="1:6" ht="47.6">
      <c r="A1369" s="19">
        <v>26212</v>
      </c>
      <c r="B1369" s="12" t="str">
        <f t="shared" si="21"/>
        <v>262</v>
      </c>
      <c r="C1369" s="1" t="s">
        <v>2326</v>
      </c>
      <c r="D1369" s="13" t="str">
        <f>IF(RIGHT(A1369,3)="000",C1369,VLOOKUP(B1369,'Справочник ИХ'!A:C,3,0))</f>
        <v>Минерально-строит.</v>
      </c>
      <c r="E1369" s="13">
        <f>IF(RIGHT(A1369,3)="000","х",VLOOKUP(B1369,'Справочник ИХ'!A:D,4,0))</f>
        <v>3</v>
      </c>
      <c r="F1369" s="14" t="s">
        <v>2256</v>
      </c>
    </row>
    <row r="1370" spans="1:6" ht="47.6">
      <c r="A1370" s="19">
        <v>26213</v>
      </c>
      <c r="B1370" s="12" t="str">
        <f t="shared" si="21"/>
        <v>262</v>
      </c>
      <c r="C1370" s="1" t="s">
        <v>2327</v>
      </c>
      <c r="D1370" s="13" t="str">
        <f>IF(RIGHT(A1370,3)="000",C1370,VLOOKUP(B1370,'Справочник ИХ'!A:C,3,0))</f>
        <v>Минерально-строит.</v>
      </c>
      <c r="E1370" s="13">
        <f>IF(RIGHT(A1370,3)="000","х",VLOOKUP(B1370,'Справочник ИХ'!A:D,4,0))</f>
        <v>3</v>
      </c>
      <c r="F1370" s="14" t="s">
        <v>2256</v>
      </c>
    </row>
    <row r="1371" spans="1:6" ht="47.6">
      <c r="A1371" s="19">
        <v>26214</v>
      </c>
      <c r="B1371" s="12" t="str">
        <f t="shared" si="21"/>
        <v>262</v>
      </c>
      <c r="C1371" s="1" t="s">
        <v>2328</v>
      </c>
      <c r="D1371" s="13" t="str">
        <f>IF(RIGHT(A1371,3)="000",C1371,VLOOKUP(B1371,'Справочник ИХ'!A:C,3,0))</f>
        <v>Минерально-строит.</v>
      </c>
      <c r="E1371" s="13">
        <f>IF(RIGHT(A1371,3)="000","х",VLOOKUP(B1371,'Справочник ИХ'!A:D,4,0))</f>
        <v>3</v>
      </c>
      <c r="F1371" s="14" t="s">
        <v>2256</v>
      </c>
    </row>
    <row r="1372" spans="1:6" ht="47.6">
      <c r="A1372" s="19">
        <v>26215</v>
      </c>
      <c r="B1372" s="12" t="str">
        <f t="shared" si="21"/>
        <v>262</v>
      </c>
      <c r="C1372" s="1" t="s">
        <v>2329</v>
      </c>
      <c r="D1372" s="13" t="str">
        <f>IF(RIGHT(A1372,3)="000",C1372,VLOOKUP(B1372,'Справочник ИХ'!A:C,3,0))</f>
        <v>Минерально-строит.</v>
      </c>
      <c r="E1372" s="13">
        <f>IF(RIGHT(A1372,3)="000","х",VLOOKUP(B1372,'Справочник ИХ'!A:D,4,0))</f>
        <v>3</v>
      </c>
      <c r="F1372" s="14" t="s">
        <v>2256</v>
      </c>
    </row>
    <row r="1373" spans="1:6" ht="47.6">
      <c r="A1373" s="19">
        <v>26216</v>
      </c>
      <c r="B1373" s="12" t="str">
        <f t="shared" si="21"/>
        <v>262</v>
      </c>
      <c r="C1373" s="1" t="s">
        <v>2330</v>
      </c>
      <c r="D1373" s="13" t="str">
        <f>IF(RIGHT(A1373,3)="000",C1373,VLOOKUP(B1373,'Справочник ИХ'!A:C,3,0))</f>
        <v>Минерально-строит.</v>
      </c>
      <c r="E1373" s="13">
        <f>IF(RIGHT(A1373,3)="000","х",VLOOKUP(B1373,'Справочник ИХ'!A:D,4,0))</f>
        <v>3</v>
      </c>
      <c r="F1373" s="14" t="s">
        <v>2256</v>
      </c>
    </row>
    <row r="1374" spans="1:6" ht="47.6">
      <c r="A1374" s="19">
        <v>26217</v>
      </c>
      <c r="B1374" s="12" t="str">
        <f t="shared" si="21"/>
        <v>262</v>
      </c>
      <c r="C1374" s="1" t="s">
        <v>2331</v>
      </c>
      <c r="D1374" s="13" t="str">
        <f>IF(RIGHT(A1374,3)="000",C1374,VLOOKUP(B1374,'Справочник ИХ'!A:C,3,0))</f>
        <v>Минерально-строит.</v>
      </c>
      <c r="E1374" s="13">
        <f>IF(RIGHT(A1374,3)="000","х",VLOOKUP(B1374,'Справочник ИХ'!A:D,4,0))</f>
        <v>3</v>
      </c>
      <c r="F1374" s="14" t="s">
        <v>2256</v>
      </c>
    </row>
    <row r="1375" spans="1:6" ht="47.6">
      <c r="A1375" s="19">
        <v>26218</v>
      </c>
      <c r="B1375" s="12" t="str">
        <f t="shared" si="21"/>
        <v>262</v>
      </c>
      <c r="C1375" s="1" t="s">
        <v>2332</v>
      </c>
      <c r="D1375" s="13" t="str">
        <f>IF(RIGHT(A1375,3)="000",C1375,VLOOKUP(B1375,'Справочник ИХ'!A:C,3,0))</f>
        <v>Минерально-строит.</v>
      </c>
      <c r="E1375" s="13">
        <f>IF(RIGHT(A1375,3)="000","х",VLOOKUP(B1375,'Справочник ИХ'!A:D,4,0))</f>
        <v>3</v>
      </c>
      <c r="F1375" s="14" t="s">
        <v>2256</v>
      </c>
    </row>
    <row r="1376" spans="1:6" ht="47.6">
      <c r="A1376" s="19">
        <v>26219</v>
      </c>
      <c r="B1376" s="12" t="str">
        <f t="shared" si="21"/>
        <v>262</v>
      </c>
      <c r="C1376" s="1" t="s">
        <v>2333</v>
      </c>
      <c r="D1376" s="13" t="str">
        <f>IF(RIGHT(A1376,3)="000",C1376,VLOOKUP(B1376,'Справочник ИХ'!A:C,3,0))</f>
        <v>Минерально-строит.</v>
      </c>
      <c r="E1376" s="13">
        <f>IF(RIGHT(A1376,3)="000","х",VLOOKUP(B1376,'Справочник ИХ'!A:D,4,0))</f>
        <v>3</v>
      </c>
      <c r="F1376" s="14" t="s">
        <v>2256</v>
      </c>
    </row>
    <row r="1377" spans="1:6" ht="47.6">
      <c r="A1377" s="19">
        <v>26220</v>
      </c>
      <c r="B1377" s="12" t="str">
        <f t="shared" si="21"/>
        <v>262</v>
      </c>
      <c r="C1377" s="1" t="s">
        <v>2334</v>
      </c>
      <c r="D1377" s="13" t="str">
        <f>IF(RIGHT(A1377,3)="000",C1377,VLOOKUP(B1377,'Справочник ИХ'!A:C,3,0))</f>
        <v>Минерально-строит.</v>
      </c>
      <c r="E1377" s="13">
        <f>IF(RIGHT(A1377,3)="000","х",VLOOKUP(B1377,'Справочник ИХ'!A:D,4,0))</f>
        <v>3</v>
      </c>
      <c r="F1377" s="14" t="s">
        <v>2256</v>
      </c>
    </row>
    <row r="1378" spans="1:6" ht="47.6">
      <c r="A1378" s="19">
        <v>26221</v>
      </c>
      <c r="B1378" s="12" t="str">
        <f t="shared" si="21"/>
        <v>262</v>
      </c>
      <c r="C1378" s="1" t="s">
        <v>2335</v>
      </c>
      <c r="D1378" s="13" t="str">
        <f>IF(RIGHT(A1378,3)="000",C1378,VLOOKUP(B1378,'Справочник ИХ'!A:C,3,0))</f>
        <v>Минерально-строит.</v>
      </c>
      <c r="E1378" s="13">
        <f>IF(RIGHT(A1378,3)="000","х",VLOOKUP(B1378,'Справочник ИХ'!A:D,4,0))</f>
        <v>3</v>
      </c>
      <c r="F1378" s="14" t="s">
        <v>2256</v>
      </c>
    </row>
    <row r="1379" spans="1:6" ht="47.6">
      <c r="A1379" s="19">
        <v>26222</v>
      </c>
      <c r="B1379" s="12" t="str">
        <f t="shared" si="21"/>
        <v>262</v>
      </c>
      <c r="C1379" s="1" t="s">
        <v>2336</v>
      </c>
      <c r="D1379" s="13" t="str">
        <f>IF(RIGHT(A1379,3)="000",C1379,VLOOKUP(B1379,'Справочник ИХ'!A:C,3,0))</f>
        <v>Минерально-строит.</v>
      </c>
      <c r="E1379" s="13">
        <f>IF(RIGHT(A1379,3)="000","х",VLOOKUP(B1379,'Справочник ИХ'!A:D,4,0))</f>
        <v>3</v>
      </c>
      <c r="F1379" s="14" t="s">
        <v>2256</v>
      </c>
    </row>
    <row r="1380" spans="1:6" ht="47.6">
      <c r="A1380" s="19">
        <v>26223</v>
      </c>
      <c r="B1380" s="12" t="str">
        <f t="shared" si="21"/>
        <v>262</v>
      </c>
      <c r="C1380" s="1" t="s">
        <v>2337</v>
      </c>
      <c r="D1380" s="13" t="str">
        <f>IF(RIGHT(A1380,3)="000",C1380,VLOOKUP(B1380,'Справочник ИХ'!A:C,3,0))</f>
        <v>Минерально-строит.</v>
      </c>
      <c r="E1380" s="13">
        <f>IF(RIGHT(A1380,3)="000","х",VLOOKUP(B1380,'Справочник ИХ'!A:D,4,0))</f>
        <v>3</v>
      </c>
      <c r="F1380" s="14" t="s">
        <v>2256</v>
      </c>
    </row>
    <row r="1381" spans="1:6" ht="47.6">
      <c r="A1381" s="19">
        <v>26224</v>
      </c>
      <c r="B1381" s="12" t="str">
        <f t="shared" si="21"/>
        <v>262</v>
      </c>
      <c r="C1381" s="1" t="s">
        <v>2338</v>
      </c>
      <c r="D1381" s="13" t="str">
        <f>IF(RIGHT(A1381,3)="000",C1381,VLOOKUP(B1381,'Справочник ИХ'!A:C,3,0))</f>
        <v>Минерально-строит.</v>
      </c>
      <c r="E1381" s="13">
        <f>IF(RIGHT(A1381,3)="000","х",VLOOKUP(B1381,'Справочник ИХ'!A:D,4,0))</f>
        <v>3</v>
      </c>
      <c r="F1381" s="14" t="s">
        <v>2256</v>
      </c>
    </row>
    <row r="1382" spans="1:6" ht="47.6">
      <c r="A1382" s="19">
        <v>26225</v>
      </c>
      <c r="B1382" s="12" t="str">
        <f t="shared" si="21"/>
        <v>262</v>
      </c>
      <c r="C1382" s="1" t="s">
        <v>2339</v>
      </c>
      <c r="D1382" s="13" t="str">
        <f>IF(RIGHT(A1382,3)="000",C1382,VLOOKUP(B1382,'Справочник ИХ'!A:C,3,0))</f>
        <v>Минерально-строит.</v>
      </c>
      <c r="E1382" s="13">
        <f>IF(RIGHT(A1382,3)="000","х",VLOOKUP(B1382,'Справочник ИХ'!A:D,4,0))</f>
        <v>3</v>
      </c>
      <c r="F1382" s="14" t="s">
        <v>2256</v>
      </c>
    </row>
    <row r="1383" spans="1:6" ht="47.6">
      <c r="A1383" s="19">
        <v>26226</v>
      </c>
      <c r="B1383" s="12" t="str">
        <f t="shared" si="21"/>
        <v>262</v>
      </c>
      <c r="C1383" s="1" t="s">
        <v>2340</v>
      </c>
      <c r="D1383" s="13" t="str">
        <f>IF(RIGHT(A1383,3)="000",C1383,VLOOKUP(B1383,'Справочник ИХ'!A:C,3,0))</f>
        <v>Минерально-строит.</v>
      </c>
      <c r="E1383" s="13">
        <f>IF(RIGHT(A1383,3)="000","х",VLOOKUP(B1383,'Справочник ИХ'!A:D,4,0))</f>
        <v>3</v>
      </c>
      <c r="F1383" s="14" t="s">
        <v>2256</v>
      </c>
    </row>
    <row r="1384" spans="1:6" ht="47.6">
      <c r="A1384" s="19">
        <v>26227</v>
      </c>
      <c r="B1384" s="12" t="str">
        <f t="shared" si="21"/>
        <v>262</v>
      </c>
      <c r="C1384" s="1" t="s">
        <v>2341</v>
      </c>
      <c r="D1384" s="13" t="str">
        <f>IF(RIGHT(A1384,3)="000",C1384,VLOOKUP(B1384,'Справочник ИХ'!A:C,3,0))</f>
        <v>Минерально-строит.</v>
      </c>
      <c r="E1384" s="13">
        <f>IF(RIGHT(A1384,3)="000","х",VLOOKUP(B1384,'Справочник ИХ'!A:D,4,0))</f>
        <v>3</v>
      </c>
      <c r="F1384" s="14" t="s">
        <v>2256</v>
      </c>
    </row>
    <row r="1385" spans="1:6" ht="47.6">
      <c r="A1385" s="19">
        <v>26228</v>
      </c>
      <c r="B1385" s="12" t="str">
        <f t="shared" si="21"/>
        <v>262</v>
      </c>
      <c r="C1385" s="1" t="s">
        <v>2342</v>
      </c>
      <c r="D1385" s="13" t="str">
        <f>IF(RIGHT(A1385,3)="000",C1385,VLOOKUP(B1385,'Справочник ИХ'!A:C,3,0))</f>
        <v>Минерально-строит.</v>
      </c>
      <c r="E1385" s="13">
        <f>IF(RIGHT(A1385,3)="000","х",VLOOKUP(B1385,'Справочник ИХ'!A:D,4,0))</f>
        <v>3</v>
      </c>
      <c r="F1385" s="14" t="s">
        <v>2256</v>
      </c>
    </row>
    <row r="1386" spans="1:6" s="18" customFormat="1" ht="47.6">
      <c r="A1386" s="16">
        <v>26300</v>
      </c>
      <c r="B1386" s="12" t="str">
        <f t="shared" si="21"/>
        <v>263</v>
      </c>
      <c r="C1386" s="17" t="s">
        <v>2343</v>
      </c>
      <c r="D1386" s="13" t="str">
        <f>IF(RIGHT(A1386,3)="000",C1386,VLOOKUP(B1386,'Справочник ИХ'!A:C,3,0))</f>
        <v>Минерально-строит.</v>
      </c>
      <c r="E1386" s="13">
        <f>IF(RIGHT(A1386,3)="000","х",VLOOKUP(B1386,'Справочник ИХ'!A:D,4,0))</f>
        <v>3</v>
      </c>
      <c r="F1386" s="14" t="s">
        <v>2256</v>
      </c>
    </row>
    <row r="1387" spans="1:6" ht="47.6">
      <c r="A1387" s="19">
        <v>26301</v>
      </c>
      <c r="B1387" s="12" t="str">
        <f t="shared" si="21"/>
        <v>263</v>
      </c>
      <c r="C1387" s="1" t="s">
        <v>2344</v>
      </c>
      <c r="D1387" s="13" t="str">
        <f>IF(RIGHT(A1387,3)="000",C1387,VLOOKUP(B1387,'Справочник ИХ'!A:C,3,0))</f>
        <v>Минерально-строит.</v>
      </c>
      <c r="E1387" s="13">
        <f>IF(RIGHT(A1387,3)="000","х",VLOOKUP(B1387,'Справочник ИХ'!A:D,4,0))</f>
        <v>3</v>
      </c>
      <c r="F1387" s="14" t="s">
        <v>2256</v>
      </c>
    </row>
    <row r="1388" spans="1:6" ht="47.6">
      <c r="A1388" s="19">
        <v>26302</v>
      </c>
      <c r="B1388" s="12" t="str">
        <f t="shared" si="21"/>
        <v>263</v>
      </c>
      <c r="C1388" s="1" t="s">
        <v>2345</v>
      </c>
      <c r="D1388" s="13" t="str">
        <f>IF(RIGHT(A1388,3)="000",C1388,VLOOKUP(B1388,'Справочник ИХ'!A:C,3,0))</f>
        <v>Минерально-строит.</v>
      </c>
      <c r="E1388" s="13">
        <f>IF(RIGHT(A1388,3)="000","х",VLOOKUP(B1388,'Справочник ИХ'!A:D,4,0))</f>
        <v>3</v>
      </c>
      <c r="F1388" s="14" t="s">
        <v>2256</v>
      </c>
    </row>
    <row r="1389" spans="1:6" ht="47.6">
      <c r="A1389" s="19">
        <v>26303</v>
      </c>
      <c r="B1389" s="12" t="str">
        <f t="shared" si="21"/>
        <v>263</v>
      </c>
      <c r="C1389" s="1" t="s">
        <v>2346</v>
      </c>
      <c r="D1389" s="13" t="str">
        <f>IF(RIGHT(A1389,3)="000",C1389,VLOOKUP(B1389,'Справочник ИХ'!A:C,3,0))</f>
        <v>Минерально-строит.</v>
      </c>
      <c r="E1389" s="13">
        <f>IF(RIGHT(A1389,3)="000","х",VLOOKUP(B1389,'Справочник ИХ'!A:D,4,0))</f>
        <v>3</v>
      </c>
      <c r="F1389" s="14" t="s">
        <v>2256</v>
      </c>
    </row>
    <row r="1390" spans="1:6" ht="47.6">
      <c r="A1390" s="19">
        <v>26304</v>
      </c>
      <c r="B1390" s="12" t="str">
        <f t="shared" si="21"/>
        <v>263</v>
      </c>
      <c r="C1390" s="1" t="s">
        <v>2347</v>
      </c>
      <c r="D1390" s="13" t="str">
        <f>IF(RIGHT(A1390,3)="000",C1390,VLOOKUP(B1390,'Справочник ИХ'!A:C,3,0))</f>
        <v>Минерально-строит.</v>
      </c>
      <c r="E1390" s="13">
        <f>IF(RIGHT(A1390,3)="000","х",VLOOKUP(B1390,'Справочник ИХ'!A:D,4,0))</f>
        <v>3</v>
      </c>
      <c r="F1390" s="14" t="s">
        <v>2256</v>
      </c>
    </row>
    <row r="1391" spans="1:6" ht="47.6">
      <c r="A1391" s="19">
        <v>26305</v>
      </c>
      <c r="B1391" s="12" t="str">
        <f t="shared" si="21"/>
        <v>263</v>
      </c>
      <c r="C1391" s="1" t="s">
        <v>2348</v>
      </c>
      <c r="D1391" s="13" t="str">
        <f>IF(RIGHT(A1391,3)="000",C1391,VLOOKUP(B1391,'Справочник ИХ'!A:C,3,0))</f>
        <v>Минерально-строит.</v>
      </c>
      <c r="E1391" s="13">
        <f>IF(RIGHT(A1391,3)="000","х",VLOOKUP(B1391,'Справочник ИХ'!A:D,4,0))</f>
        <v>3</v>
      </c>
      <c r="F1391" s="14" t="s">
        <v>2256</v>
      </c>
    </row>
    <row r="1392" spans="1:6" ht="47.6">
      <c r="A1392" s="19">
        <v>26306</v>
      </c>
      <c r="B1392" s="12" t="str">
        <f t="shared" si="21"/>
        <v>263</v>
      </c>
      <c r="C1392" s="1" t="s">
        <v>2349</v>
      </c>
      <c r="D1392" s="13" t="str">
        <f>IF(RIGHT(A1392,3)="000",C1392,VLOOKUP(B1392,'Справочник ИХ'!A:C,3,0))</f>
        <v>Минерально-строит.</v>
      </c>
      <c r="E1392" s="13">
        <f>IF(RIGHT(A1392,3)="000","х",VLOOKUP(B1392,'Справочник ИХ'!A:D,4,0))</f>
        <v>3</v>
      </c>
      <c r="F1392" s="14" t="s">
        <v>2256</v>
      </c>
    </row>
    <row r="1393" spans="1:6" ht="47.6">
      <c r="A1393" s="19">
        <v>26307</v>
      </c>
      <c r="B1393" s="12" t="str">
        <f t="shared" si="21"/>
        <v>263</v>
      </c>
      <c r="C1393" s="1" t="s">
        <v>2350</v>
      </c>
      <c r="D1393" s="13" t="str">
        <f>IF(RIGHT(A1393,3)="000",C1393,VLOOKUP(B1393,'Справочник ИХ'!A:C,3,0))</f>
        <v>Минерально-строит.</v>
      </c>
      <c r="E1393" s="13">
        <f>IF(RIGHT(A1393,3)="000","х",VLOOKUP(B1393,'Справочник ИХ'!A:D,4,0))</f>
        <v>3</v>
      </c>
      <c r="F1393" s="14" t="s">
        <v>2256</v>
      </c>
    </row>
    <row r="1394" spans="1:6" s="18" customFormat="1" ht="47.6">
      <c r="A1394" s="16">
        <v>26400</v>
      </c>
      <c r="B1394" s="12" t="str">
        <f t="shared" si="21"/>
        <v>264</v>
      </c>
      <c r="C1394" s="17" t="s">
        <v>2351</v>
      </c>
      <c r="D1394" s="13" t="str">
        <f>IF(RIGHT(A1394,3)="000",C1394,VLOOKUP(B1394,'Справочник ИХ'!A:C,3,0))</f>
        <v>Минерально-строит.</v>
      </c>
      <c r="E1394" s="13">
        <f>IF(RIGHT(A1394,3)="000","х",VLOOKUP(B1394,'Справочник ИХ'!A:D,4,0))</f>
        <v>1</v>
      </c>
      <c r="F1394" s="14" t="s">
        <v>2256</v>
      </c>
    </row>
    <row r="1395" spans="1:6" ht="47.6">
      <c r="A1395" s="19">
        <v>26401</v>
      </c>
      <c r="B1395" s="12" t="str">
        <f t="shared" si="21"/>
        <v>264</v>
      </c>
      <c r="C1395" s="1" t="s">
        <v>2352</v>
      </c>
      <c r="D1395" s="13" t="str">
        <f>IF(RIGHT(A1395,3)="000",C1395,VLOOKUP(B1395,'Справочник ИХ'!A:C,3,0))</f>
        <v>Минерально-строит.</v>
      </c>
      <c r="E1395" s="13">
        <f>IF(RIGHT(A1395,3)="000","х",VLOOKUP(B1395,'Справочник ИХ'!A:D,4,0))</f>
        <v>1</v>
      </c>
      <c r="F1395" s="14" t="s">
        <v>2256</v>
      </c>
    </row>
    <row r="1396" spans="1:6" ht="47.6">
      <c r="A1396" s="19">
        <v>26402</v>
      </c>
      <c r="B1396" s="12" t="str">
        <f t="shared" si="21"/>
        <v>264</v>
      </c>
      <c r="C1396" s="1" t="s">
        <v>2353</v>
      </c>
      <c r="D1396" s="13" t="str">
        <f>IF(RIGHT(A1396,3)="000",C1396,VLOOKUP(B1396,'Справочник ИХ'!A:C,3,0))</f>
        <v>Минерально-строит.</v>
      </c>
      <c r="E1396" s="13">
        <f>IF(RIGHT(A1396,3)="000","х",VLOOKUP(B1396,'Справочник ИХ'!A:D,4,0))</f>
        <v>1</v>
      </c>
      <c r="F1396" s="14" t="s">
        <v>2256</v>
      </c>
    </row>
    <row r="1397" spans="1:6" ht="47.6">
      <c r="A1397" s="19">
        <v>26403</v>
      </c>
      <c r="B1397" s="12" t="str">
        <f t="shared" si="21"/>
        <v>264</v>
      </c>
      <c r="C1397" s="1" t="s">
        <v>2354</v>
      </c>
      <c r="D1397" s="13" t="str">
        <f>IF(RIGHT(A1397,3)="000",C1397,VLOOKUP(B1397,'Справочник ИХ'!A:C,3,0))</f>
        <v>Минерально-строит.</v>
      </c>
      <c r="E1397" s="13">
        <f>IF(RIGHT(A1397,3)="000","х",VLOOKUP(B1397,'Справочник ИХ'!A:D,4,0))</f>
        <v>1</v>
      </c>
      <c r="F1397" s="14" t="s">
        <v>2256</v>
      </c>
    </row>
    <row r="1398" spans="1:6" ht="47.6">
      <c r="A1398" s="19">
        <v>26404</v>
      </c>
      <c r="B1398" s="12" t="str">
        <f t="shared" si="21"/>
        <v>264</v>
      </c>
      <c r="C1398" s="1" t="s">
        <v>2355</v>
      </c>
      <c r="D1398" s="13" t="str">
        <f>IF(RIGHT(A1398,3)="000",C1398,VLOOKUP(B1398,'Справочник ИХ'!A:C,3,0))</f>
        <v>Минерально-строит.</v>
      </c>
      <c r="E1398" s="13">
        <f>IF(RIGHT(A1398,3)="000","х",VLOOKUP(B1398,'Справочник ИХ'!A:D,4,0))</f>
        <v>1</v>
      </c>
      <c r="F1398" s="14" t="s">
        <v>2256</v>
      </c>
    </row>
    <row r="1399" spans="1:6" ht="47.6">
      <c r="A1399" s="19">
        <v>26405</v>
      </c>
      <c r="B1399" s="12" t="str">
        <f t="shared" si="21"/>
        <v>264</v>
      </c>
      <c r="C1399" s="1" t="s">
        <v>2356</v>
      </c>
      <c r="D1399" s="13" t="str">
        <f>IF(RIGHT(A1399,3)="000",C1399,VLOOKUP(B1399,'Справочник ИХ'!A:C,3,0))</f>
        <v>Минерально-строит.</v>
      </c>
      <c r="E1399" s="13">
        <f>IF(RIGHT(A1399,3)="000","х",VLOOKUP(B1399,'Справочник ИХ'!A:D,4,0))</f>
        <v>1</v>
      </c>
      <c r="F1399" s="14" t="s">
        <v>2256</v>
      </c>
    </row>
    <row r="1400" spans="1:6" ht="47.6">
      <c r="A1400" s="19">
        <v>26406</v>
      </c>
      <c r="B1400" s="12" t="str">
        <f t="shared" si="21"/>
        <v>264</v>
      </c>
      <c r="C1400" s="1" t="s">
        <v>2357</v>
      </c>
      <c r="D1400" s="13" t="str">
        <f>IF(RIGHT(A1400,3)="000",C1400,VLOOKUP(B1400,'Справочник ИХ'!A:C,3,0))</f>
        <v>Минерально-строит.</v>
      </c>
      <c r="E1400" s="13">
        <f>IF(RIGHT(A1400,3)="000","х",VLOOKUP(B1400,'Справочник ИХ'!A:D,4,0))</f>
        <v>1</v>
      </c>
      <c r="F1400" s="14" t="s">
        <v>2256</v>
      </c>
    </row>
    <row r="1401" spans="1:6" ht="47.6">
      <c r="A1401" s="19">
        <v>26407</v>
      </c>
      <c r="B1401" s="12" t="str">
        <f t="shared" si="21"/>
        <v>264</v>
      </c>
      <c r="C1401" s="1" t="s">
        <v>2358</v>
      </c>
      <c r="D1401" s="13" t="str">
        <f>IF(RIGHT(A1401,3)="000",C1401,VLOOKUP(B1401,'Справочник ИХ'!A:C,3,0))</f>
        <v>Минерально-строит.</v>
      </c>
      <c r="E1401" s="13">
        <f>IF(RIGHT(A1401,3)="000","х",VLOOKUP(B1401,'Справочник ИХ'!A:D,4,0))</f>
        <v>1</v>
      </c>
      <c r="F1401" s="14" t="s">
        <v>2256</v>
      </c>
    </row>
    <row r="1402" spans="1:6" ht="47.6">
      <c r="A1402" s="19">
        <v>26408</v>
      </c>
      <c r="B1402" s="12" t="str">
        <f t="shared" si="21"/>
        <v>264</v>
      </c>
      <c r="C1402" s="1" t="s">
        <v>2359</v>
      </c>
      <c r="D1402" s="13" t="str">
        <f>IF(RIGHT(A1402,3)="000",C1402,VLOOKUP(B1402,'Справочник ИХ'!A:C,3,0))</f>
        <v>Минерально-строит.</v>
      </c>
      <c r="E1402" s="13">
        <f>IF(RIGHT(A1402,3)="000","х",VLOOKUP(B1402,'Справочник ИХ'!A:D,4,0))</f>
        <v>1</v>
      </c>
      <c r="F1402" s="14" t="s">
        <v>2256</v>
      </c>
    </row>
    <row r="1403" spans="1:6" ht="47.6">
      <c r="A1403" s="19">
        <v>26409</v>
      </c>
      <c r="B1403" s="12" t="str">
        <f t="shared" si="21"/>
        <v>264</v>
      </c>
      <c r="C1403" s="1" t="s">
        <v>2360</v>
      </c>
      <c r="D1403" s="13" t="str">
        <f>IF(RIGHT(A1403,3)="000",C1403,VLOOKUP(B1403,'Справочник ИХ'!A:C,3,0))</f>
        <v>Минерально-строит.</v>
      </c>
      <c r="E1403" s="13">
        <f>IF(RIGHT(A1403,3)="000","х",VLOOKUP(B1403,'Справочник ИХ'!A:D,4,0))</f>
        <v>1</v>
      </c>
      <c r="F1403" s="14" t="s">
        <v>2256</v>
      </c>
    </row>
    <row r="1404" spans="1:6" ht="47.6">
      <c r="A1404" s="19">
        <v>26410</v>
      </c>
      <c r="B1404" s="12" t="str">
        <f t="shared" si="21"/>
        <v>264</v>
      </c>
      <c r="C1404" s="1" t="s">
        <v>2361</v>
      </c>
      <c r="D1404" s="13" t="str">
        <f>IF(RIGHT(A1404,3)="000",C1404,VLOOKUP(B1404,'Справочник ИХ'!A:C,3,0))</f>
        <v>Минерально-строит.</v>
      </c>
      <c r="E1404" s="13">
        <f>IF(RIGHT(A1404,3)="000","х",VLOOKUP(B1404,'Справочник ИХ'!A:D,4,0))</f>
        <v>1</v>
      </c>
      <c r="F1404" s="14" t="s">
        <v>2256</v>
      </c>
    </row>
    <row r="1405" spans="1:6" ht="47.6">
      <c r="A1405" s="19">
        <v>26411</v>
      </c>
      <c r="B1405" s="12" t="str">
        <f t="shared" si="21"/>
        <v>264</v>
      </c>
      <c r="C1405" s="1" t="s">
        <v>2362</v>
      </c>
      <c r="D1405" s="13" t="str">
        <f>IF(RIGHT(A1405,3)="000",C1405,VLOOKUP(B1405,'Справочник ИХ'!A:C,3,0))</f>
        <v>Минерально-строит.</v>
      </c>
      <c r="E1405" s="13">
        <f>IF(RIGHT(A1405,3)="000","х",VLOOKUP(B1405,'Справочник ИХ'!A:D,4,0))</f>
        <v>1</v>
      </c>
      <c r="F1405" s="14" t="s">
        <v>2256</v>
      </c>
    </row>
    <row r="1406" spans="1:6" ht="47.6">
      <c r="A1406" s="19">
        <v>26412</v>
      </c>
      <c r="B1406" s="12" t="str">
        <f t="shared" si="21"/>
        <v>264</v>
      </c>
      <c r="C1406" s="1" t="s">
        <v>2363</v>
      </c>
      <c r="D1406" s="13" t="str">
        <f>IF(RIGHT(A1406,3)="000",C1406,VLOOKUP(B1406,'Справочник ИХ'!A:C,3,0))</f>
        <v>Минерально-строит.</v>
      </c>
      <c r="E1406" s="13">
        <f>IF(RIGHT(A1406,3)="000","х",VLOOKUP(B1406,'Справочник ИХ'!A:D,4,0))</f>
        <v>1</v>
      </c>
      <c r="F1406" s="14" t="s">
        <v>2256</v>
      </c>
    </row>
    <row r="1407" spans="1:6" ht="47.6">
      <c r="A1407" s="19">
        <v>26413</v>
      </c>
      <c r="B1407" s="12" t="str">
        <f t="shared" si="21"/>
        <v>264</v>
      </c>
      <c r="C1407" s="1" t="s">
        <v>2364</v>
      </c>
      <c r="D1407" s="13" t="str">
        <f>IF(RIGHT(A1407,3)="000",C1407,VLOOKUP(B1407,'Справочник ИХ'!A:C,3,0))</f>
        <v>Минерально-строит.</v>
      </c>
      <c r="E1407" s="13">
        <f>IF(RIGHT(A1407,3)="000","х",VLOOKUP(B1407,'Справочник ИХ'!A:D,4,0))</f>
        <v>1</v>
      </c>
      <c r="F1407" s="14" t="s">
        <v>2256</v>
      </c>
    </row>
    <row r="1408" spans="1:6" ht="47.6">
      <c r="A1408" s="19">
        <v>26414</v>
      </c>
      <c r="B1408" s="12" t="str">
        <f t="shared" si="21"/>
        <v>264</v>
      </c>
      <c r="C1408" s="1" t="s">
        <v>2365</v>
      </c>
      <c r="D1408" s="13" t="str">
        <f>IF(RIGHT(A1408,3)="000",C1408,VLOOKUP(B1408,'Справочник ИХ'!A:C,3,0))</f>
        <v>Минерально-строит.</v>
      </c>
      <c r="E1408" s="13">
        <f>IF(RIGHT(A1408,3)="000","х",VLOOKUP(B1408,'Справочник ИХ'!A:D,4,0))</f>
        <v>1</v>
      </c>
      <c r="F1408" s="14" t="s">
        <v>2256</v>
      </c>
    </row>
    <row r="1409" spans="1:6" ht="47.6">
      <c r="A1409" s="19">
        <v>26415</v>
      </c>
      <c r="B1409" s="12" t="str">
        <f t="shared" si="21"/>
        <v>264</v>
      </c>
      <c r="C1409" s="1" t="s">
        <v>2366</v>
      </c>
      <c r="D1409" s="13" t="str">
        <f>IF(RIGHT(A1409,3)="000",C1409,VLOOKUP(B1409,'Справочник ИХ'!A:C,3,0))</f>
        <v>Минерально-строит.</v>
      </c>
      <c r="E1409" s="13">
        <f>IF(RIGHT(A1409,3)="000","х",VLOOKUP(B1409,'Справочник ИХ'!A:D,4,0))</f>
        <v>1</v>
      </c>
      <c r="F1409" s="14" t="s">
        <v>2256</v>
      </c>
    </row>
    <row r="1410" spans="1:6" ht="47.6">
      <c r="A1410" s="19">
        <v>26416</v>
      </c>
      <c r="B1410" s="12" t="str">
        <f t="shared" si="21"/>
        <v>264</v>
      </c>
      <c r="C1410" s="1" t="s">
        <v>2367</v>
      </c>
      <c r="D1410" s="13" t="str">
        <f>IF(RIGHT(A1410,3)="000",C1410,VLOOKUP(B1410,'Справочник ИХ'!A:C,3,0))</f>
        <v>Минерально-строит.</v>
      </c>
      <c r="E1410" s="13">
        <f>IF(RIGHT(A1410,3)="000","х",VLOOKUP(B1410,'Справочник ИХ'!A:D,4,0))</f>
        <v>1</v>
      </c>
      <c r="F1410" s="14" t="s">
        <v>2256</v>
      </c>
    </row>
    <row r="1411" spans="1:6" ht="47.6">
      <c r="A1411" s="19">
        <v>26417</v>
      </c>
      <c r="B1411" s="12" t="str">
        <f t="shared" si="21"/>
        <v>264</v>
      </c>
      <c r="C1411" s="1" t="s">
        <v>2368</v>
      </c>
      <c r="D1411" s="13" t="str">
        <f>IF(RIGHT(A1411,3)="000",C1411,VLOOKUP(B1411,'Справочник ИХ'!A:C,3,0))</f>
        <v>Минерально-строит.</v>
      </c>
      <c r="E1411" s="13">
        <f>IF(RIGHT(A1411,3)="000","х",VLOOKUP(B1411,'Справочник ИХ'!A:D,4,0))</f>
        <v>1</v>
      </c>
      <c r="F1411" s="14" t="s">
        <v>2256</v>
      </c>
    </row>
    <row r="1412" spans="1:6" ht="47.6">
      <c r="A1412" s="19">
        <v>26418</v>
      </c>
      <c r="B1412" s="12" t="str">
        <f t="shared" ref="B1412:B1475" si="22">LEFT(A1412,3)</f>
        <v>264</v>
      </c>
      <c r="C1412" s="1" t="s">
        <v>2369</v>
      </c>
      <c r="D1412" s="13" t="str">
        <f>IF(RIGHT(A1412,3)="000",C1412,VLOOKUP(B1412,'Справочник ИХ'!A:C,3,0))</f>
        <v>Минерально-строит.</v>
      </c>
      <c r="E1412" s="13">
        <f>IF(RIGHT(A1412,3)="000","х",VLOOKUP(B1412,'Справочник ИХ'!A:D,4,0))</f>
        <v>1</v>
      </c>
      <c r="F1412" s="14" t="s">
        <v>2256</v>
      </c>
    </row>
    <row r="1413" spans="1:6" ht="47.6">
      <c r="A1413" s="19">
        <v>26419</v>
      </c>
      <c r="B1413" s="12" t="str">
        <f t="shared" si="22"/>
        <v>264</v>
      </c>
      <c r="C1413" s="1" t="s">
        <v>2370</v>
      </c>
      <c r="D1413" s="13" t="str">
        <f>IF(RIGHT(A1413,3)="000",C1413,VLOOKUP(B1413,'Справочник ИХ'!A:C,3,0))</f>
        <v>Минерально-строит.</v>
      </c>
      <c r="E1413" s="13">
        <f>IF(RIGHT(A1413,3)="000","х",VLOOKUP(B1413,'Справочник ИХ'!A:D,4,0))</f>
        <v>1</v>
      </c>
      <c r="F1413" s="14" t="s">
        <v>2256</v>
      </c>
    </row>
    <row r="1414" spans="1:6" ht="47.6">
      <c r="A1414" s="19">
        <v>26420</v>
      </c>
      <c r="B1414" s="12" t="str">
        <f t="shared" si="22"/>
        <v>264</v>
      </c>
      <c r="C1414" s="1" t="s">
        <v>2371</v>
      </c>
      <c r="D1414" s="13" t="str">
        <f>IF(RIGHT(A1414,3)="000",C1414,VLOOKUP(B1414,'Справочник ИХ'!A:C,3,0))</f>
        <v>Минерально-строит.</v>
      </c>
      <c r="E1414" s="13">
        <f>IF(RIGHT(A1414,3)="000","х",VLOOKUP(B1414,'Справочник ИХ'!A:D,4,0))</f>
        <v>1</v>
      </c>
      <c r="F1414" s="14" t="s">
        <v>2256</v>
      </c>
    </row>
    <row r="1415" spans="1:6" ht="47.6">
      <c r="A1415" s="19">
        <v>26421</v>
      </c>
      <c r="B1415" s="12" t="str">
        <f t="shared" si="22"/>
        <v>264</v>
      </c>
      <c r="C1415" s="1" t="s">
        <v>2372</v>
      </c>
      <c r="D1415" s="13" t="str">
        <f>IF(RIGHT(A1415,3)="000",C1415,VLOOKUP(B1415,'Справочник ИХ'!A:C,3,0))</f>
        <v>Минерально-строит.</v>
      </c>
      <c r="E1415" s="13">
        <f>IF(RIGHT(A1415,3)="000","х",VLOOKUP(B1415,'Справочник ИХ'!A:D,4,0))</f>
        <v>1</v>
      </c>
      <c r="F1415" s="14" t="s">
        <v>2256</v>
      </c>
    </row>
    <row r="1416" spans="1:6" ht="47.6">
      <c r="A1416" s="19">
        <v>26422</v>
      </c>
      <c r="B1416" s="12" t="str">
        <f t="shared" si="22"/>
        <v>264</v>
      </c>
      <c r="C1416" s="1" t="s">
        <v>2373</v>
      </c>
      <c r="D1416" s="13" t="str">
        <f>IF(RIGHT(A1416,3)="000",C1416,VLOOKUP(B1416,'Справочник ИХ'!A:C,3,0))</f>
        <v>Минерально-строит.</v>
      </c>
      <c r="E1416" s="13">
        <f>IF(RIGHT(A1416,3)="000","х",VLOOKUP(B1416,'Справочник ИХ'!A:D,4,0))</f>
        <v>1</v>
      </c>
      <c r="F1416" s="14" t="s">
        <v>2256</v>
      </c>
    </row>
    <row r="1417" spans="1:6" ht="47.6">
      <c r="A1417" s="19">
        <v>26423</v>
      </c>
      <c r="B1417" s="12" t="str">
        <f t="shared" si="22"/>
        <v>264</v>
      </c>
      <c r="C1417" s="1" t="s">
        <v>2374</v>
      </c>
      <c r="D1417" s="13" t="str">
        <f>IF(RIGHT(A1417,3)="000",C1417,VLOOKUP(B1417,'Справочник ИХ'!A:C,3,0))</f>
        <v>Минерально-строит.</v>
      </c>
      <c r="E1417" s="13">
        <f>IF(RIGHT(A1417,3)="000","х",VLOOKUP(B1417,'Справочник ИХ'!A:D,4,0))</f>
        <v>1</v>
      </c>
      <c r="F1417" s="14" t="s">
        <v>2256</v>
      </c>
    </row>
    <row r="1418" spans="1:6" ht="47.6">
      <c r="A1418" s="19">
        <v>26424</v>
      </c>
      <c r="B1418" s="12" t="str">
        <f t="shared" si="22"/>
        <v>264</v>
      </c>
      <c r="C1418" s="1" t="s">
        <v>2375</v>
      </c>
      <c r="D1418" s="13" t="str">
        <f>IF(RIGHT(A1418,3)="000",C1418,VLOOKUP(B1418,'Справочник ИХ'!A:C,3,0))</f>
        <v>Минерально-строит.</v>
      </c>
      <c r="E1418" s="13">
        <f>IF(RIGHT(A1418,3)="000","х",VLOOKUP(B1418,'Справочник ИХ'!A:D,4,0))</f>
        <v>1</v>
      </c>
      <c r="F1418" s="14" t="s">
        <v>2256</v>
      </c>
    </row>
    <row r="1419" spans="1:6" ht="47.6">
      <c r="A1419" s="19">
        <v>26425</v>
      </c>
      <c r="B1419" s="12" t="str">
        <f t="shared" si="22"/>
        <v>264</v>
      </c>
      <c r="C1419" s="1" t="s">
        <v>2376</v>
      </c>
      <c r="D1419" s="13" t="str">
        <f>IF(RIGHT(A1419,3)="000",C1419,VLOOKUP(B1419,'Справочник ИХ'!A:C,3,0))</f>
        <v>Минерально-строит.</v>
      </c>
      <c r="E1419" s="13">
        <f>IF(RIGHT(A1419,3)="000","х",VLOOKUP(B1419,'Справочник ИХ'!A:D,4,0))</f>
        <v>1</v>
      </c>
      <c r="F1419" s="14" t="s">
        <v>2256</v>
      </c>
    </row>
    <row r="1420" spans="1:6" ht="47.6">
      <c r="A1420" s="19">
        <v>26426</v>
      </c>
      <c r="B1420" s="12" t="str">
        <f t="shared" si="22"/>
        <v>264</v>
      </c>
      <c r="C1420" s="1" t="s">
        <v>2377</v>
      </c>
      <c r="D1420" s="13" t="str">
        <f>IF(RIGHT(A1420,3)="000",C1420,VLOOKUP(B1420,'Справочник ИХ'!A:C,3,0))</f>
        <v>Минерально-строит.</v>
      </c>
      <c r="E1420" s="13">
        <f>IF(RIGHT(A1420,3)="000","х",VLOOKUP(B1420,'Справочник ИХ'!A:D,4,0))</f>
        <v>1</v>
      </c>
      <c r="F1420" s="14" t="s">
        <v>2256</v>
      </c>
    </row>
    <row r="1421" spans="1:6" ht="47.6">
      <c r="A1421" s="19">
        <v>26427</v>
      </c>
      <c r="B1421" s="12" t="str">
        <f t="shared" si="22"/>
        <v>264</v>
      </c>
      <c r="C1421" s="1" t="s">
        <v>2378</v>
      </c>
      <c r="D1421" s="13" t="str">
        <f>IF(RIGHT(A1421,3)="000",C1421,VLOOKUP(B1421,'Справочник ИХ'!A:C,3,0))</f>
        <v>Минерально-строит.</v>
      </c>
      <c r="E1421" s="13">
        <f>IF(RIGHT(A1421,3)="000","х",VLOOKUP(B1421,'Справочник ИХ'!A:D,4,0))</f>
        <v>1</v>
      </c>
      <c r="F1421" s="14" t="s">
        <v>2256</v>
      </c>
    </row>
    <row r="1422" spans="1:6" ht="47.6">
      <c r="A1422" s="19">
        <v>26428</v>
      </c>
      <c r="B1422" s="12" t="str">
        <f t="shared" si="22"/>
        <v>264</v>
      </c>
      <c r="C1422" s="1" t="s">
        <v>2379</v>
      </c>
      <c r="D1422" s="13" t="str">
        <f>IF(RIGHT(A1422,3)="000",C1422,VLOOKUP(B1422,'Справочник ИХ'!A:C,3,0))</f>
        <v>Минерально-строит.</v>
      </c>
      <c r="E1422" s="13">
        <f>IF(RIGHT(A1422,3)="000","х",VLOOKUP(B1422,'Справочник ИХ'!A:D,4,0))</f>
        <v>1</v>
      </c>
      <c r="F1422" s="14" t="s">
        <v>2256</v>
      </c>
    </row>
    <row r="1423" spans="1:6" ht="47.6">
      <c r="A1423" s="19">
        <v>26429</v>
      </c>
      <c r="B1423" s="12" t="str">
        <f t="shared" si="22"/>
        <v>264</v>
      </c>
      <c r="C1423" s="1" t="s">
        <v>2380</v>
      </c>
      <c r="D1423" s="13" t="str">
        <f>IF(RIGHT(A1423,3)="000",C1423,VLOOKUP(B1423,'Справочник ИХ'!A:C,3,0))</f>
        <v>Минерально-строит.</v>
      </c>
      <c r="E1423" s="13">
        <f>IF(RIGHT(A1423,3)="000","х",VLOOKUP(B1423,'Справочник ИХ'!A:D,4,0))</f>
        <v>1</v>
      </c>
      <c r="F1423" s="14" t="s">
        <v>2256</v>
      </c>
    </row>
    <row r="1424" spans="1:6" ht="47.6">
      <c r="A1424" s="19">
        <v>26430</v>
      </c>
      <c r="B1424" s="12" t="str">
        <f t="shared" si="22"/>
        <v>264</v>
      </c>
      <c r="C1424" s="1" t="s">
        <v>2381</v>
      </c>
      <c r="D1424" s="13" t="str">
        <f>IF(RIGHT(A1424,3)="000",C1424,VLOOKUP(B1424,'Справочник ИХ'!A:C,3,0))</f>
        <v>Минерально-строит.</v>
      </c>
      <c r="E1424" s="13">
        <f>IF(RIGHT(A1424,3)="000","х",VLOOKUP(B1424,'Справочник ИХ'!A:D,4,0))</f>
        <v>1</v>
      </c>
      <c r="F1424" s="14" t="s">
        <v>2256</v>
      </c>
    </row>
    <row r="1425" spans="1:6" ht="47.6">
      <c r="A1425" s="19">
        <v>26431</v>
      </c>
      <c r="B1425" s="12" t="str">
        <f t="shared" si="22"/>
        <v>264</v>
      </c>
      <c r="C1425" s="1" t="s">
        <v>2382</v>
      </c>
      <c r="D1425" s="13" t="str">
        <f>IF(RIGHT(A1425,3)="000",C1425,VLOOKUP(B1425,'Справочник ИХ'!A:C,3,0))</f>
        <v>Минерально-строит.</v>
      </c>
      <c r="E1425" s="13">
        <f>IF(RIGHT(A1425,3)="000","х",VLOOKUP(B1425,'Справочник ИХ'!A:D,4,0))</f>
        <v>1</v>
      </c>
      <c r="F1425" s="14" t="s">
        <v>2256</v>
      </c>
    </row>
    <row r="1426" spans="1:6" ht="47.6">
      <c r="A1426" s="19">
        <v>26432</v>
      </c>
      <c r="B1426" s="12" t="str">
        <f t="shared" si="22"/>
        <v>264</v>
      </c>
      <c r="C1426" s="1" t="s">
        <v>2383</v>
      </c>
      <c r="D1426" s="13" t="str">
        <f>IF(RIGHT(A1426,3)="000",C1426,VLOOKUP(B1426,'Справочник ИХ'!A:C,3,0))</f>
        <v>Минерально-строит.</v>
      </c>
      <c r="E1426" s="13">
        <f>IF(RIGHT(A1426,3)="000","х",VLOOKUP(B1426,'Справочник ИХ'!A:D,4,0))</f>
        <v>1</v>
      </c>
      <c r="F1426" s="14" t="s">
        <v>2256</v>
      </c>
    </row>
    <row r="1427" spans="1:6" ht="47.6">
      <c r="A1427" s="19">
        <v>26433</v>
      </c>
      <c r="B1427" s="12" t="str">
        <f t="shared" si="22"/>
        <v>264</v>
      </c>
      <c r="C1427" s="1" t="s">
        <v>2384</v>
      </c>
      <c r="D1427" s="13" t="str">
        <f>IF(RIGHT(A1427,3)="000",C1427,VLOOKUP(B1427,'Справочник ИХ'!A:C,3,0))</f>
        <v>Минерально-строит.</v>
      </c>
      <c r="E1427" s="13">
        <f>IF(RIGHT(A1427,3)="000","х",VLOOKUP(B1427,'Справочник ИХ'!A:D,4,0))</f>
        <v>1</v>
      </c>
      <c r="F1427" s="14" t="s">
        <v>2256</v>
      </c>
    </row>
    <row r="1428" spans="1:6" ht="47.6">
      <c r="A1428" s="19">
        <v>26434</v>
      </c>
      <c r="B1428" s="12" t="str">
        <f t="shared" si="22"/>
        <v>264</v>
      </c>
      <c r="C1428" s="1" t="s">
        <v>2385</v>
      </c>
      <c r="D1428" s="13" t="str">
        <f>IF(RIGHT(A1428,3)="000",C1428,VLOOKUP(B1428,'Справочник ИХ'!A:C,3,0))</f>
        <v>Минерально-строит.</v>
      </c>
      <c r="E1428" s="13">
        <f>IF(RIGHT(A1428,3)="000","х",VLOOKUP(B1428,'Справочник ИХ'!A:D,4,0))</f>
        <v>1</v>
      </c>
      <c r="F1428" s="14" t="s">
        <v>2256</v>
      </c>
    </row>
    <row r="1429" spans="1:6" ht="47.6">
      <c r="A1429" s="19">
        <v>26435</v>
      </c>
      <c r="B1429" s="12" t="str">
        <f t="shared" si="22"/>
        <v>264</v>
      </c>
      <c r="C1429" s="1" t="s">
        <v>2386</v>
      </c>
      <c r="D1429" s="13" t="str">
        <f>IF(RIGHT(A1429,3)="000",C1429,VLOOKUP(B1429,'Справочник ИХ'!A:C,3,0))</f>
        <v>Минерально-строит.</v>
      </c>
      <c r="E1429" s="13">
        <f>IF(RIGHT(A1429,3)="000","х",VLOOKUP(B1429,'Справочник ИХ'!A:D,4,0))</f>
        <v>1</v>
      </c>
      <c r="F1429" s="14" t="s">
        <v>2256</v>
      </c>
    </row>
    <row r="1430" spans="1:6" ht="47.6">
      <c r="A1430" s="19">
        <v>26436</v>
      </c>
      <c r="B1430" s="12" t="str">
        <f t="shared" si="22"/>
        <v>264</v>
      </c>
      <c r="C1430" s="1" t="s">
        <v>2387</v>
      </c>
      <c r="D1430" s="13" t="str">
        <f>IF(RIGHT(A1430,3)="000",C1430,VLOOKUP(B1430,'Справочник ИХ'!A:C,3,0))</f>
        <v>Минерально-строит.</v>
      </c>
      <c r="E1430" s="13">
        <f>IF(RIGHT(A1430,3)="000","х",VLOOKUP(B1430,'Справочник ИХ'!A:D,4,0))</f>
        <v>1</v>
      </c>
      <c r="F1430" s="14" t="s">
        <v>2256</v>
      </c>
    </row>
    <row r="1431" spans="1:6" ht="47.6">
      <c r="A1431" s="19">
        <v>26437</v>
      </c>
      <c r="B1431" s="12" t="str">
        <f t="shared" si="22"/>
        <v>264</v>
      </c>
      <c r="C1431" s="1" t="s">
        <v>2388</v>
      </c>
      <c r="D1431" s="13" t="str">
        <f>IF(RIGHT(A1431,3)="000",C1431,VLOOKUP(B1431,'Справочник ИХ'!A:C,3,0))</f>
        <v>Минерально-строит.</v>
      </c>
      <c r="E1431" s="13">
        <f>IF(RIGHT(A1431,3)="000","х",VLOOKUP(B1431,'Справочник ИХ'!A:D,4,0))</f>
        <v>1</v>
      </c>
      <c r="F1431" s="14" t="s">
        <v>2256</v>
      </c>
    </row>
    <row r="1432" spans="1:6" ht="47.6">
      <c r="A1432" s="19">
        <v>26438</v>
      </c>
      <c r="B1432" s="12" t="str">
        <f t="shared" si="22"/>
        <v>264</v>
      </c>
      <c r="C1432" s="1" t="s">
        <v>2389</v>
      </c>
      <c r="D1432" s="13" t="str">
        <f>IF(RIGHT(A1432,3)="000",C1432,VLOOKUP(B1432,'Справочник ИХ'!A:C,3,0))</f>
        <v>Минерально-строит.</v>
      </c>
      <c r="E1432" s="13">
        <f>IF(RIGHT(A1432,3)="000","х",VLOOKUP(B1432,'Справочник ИХ'!A:D,4,0))</f>
        <v>1</v>
      </c>
      <c r="F1432" s="14" t="s">
        <v>2256</v>
      </c>
    </row>
    <row r="1433" spans="1:6" ht="47.6">
      <c r="A1433" s="19">
        <v>26439</v>
      </c>
      <c r="B1433" s="12" t="str">
        <f t="shared" si="22"/>
        <v>264</v>
      </c>
      <c r="C1433" s="1" t="s">
        <v>2390</v>
      </c>
      <c r="D1433" s="13" t="str">
        <f>IF(RIGHT(A1433,3)="000",C1433,VLOOKUP(B1433,'Справочник ИХ'!A:C,3,0))</f>
        <v>Минерально-строит.</v>
      </c>
      <c r="E1433" s="13">
        <f>IF(RIGHT(A1433,3)="000","х",VLOOKUP(B1433,'Справочник ИХ'!A:D,4,0))</f>
        <v>1</v>
      </c>
      <c r="F1433" s="14" t="s">
        <v>2256</v>
      </c>
    </row>
    <row r="1434" spans="1:6" ht="47.6">
      <c r="A1434" s="19">
        <v>26440</v>
      </c>
      <c r="B1434" s="12" t="str">
        <f t="shared" si="22"/>
        <v>264</v>
      </c>
      <c r="C1434" s="1" t="s">
        <v>2391</v>
      </c>
      <c r="D1434" s="13" t="str">
        <f>IF(RIGHT(A1434,3)="000",C1434,VLOOKUP(B1434,'Справочник ИХ'!A:C,3,0))</f>
        <v>Минерально-строит.</v>
      </c>
      <c r="E1434" s="13">
        <f>IF(RIGHT(A1434,3)="000","х",VLOOKUP(B1434,'Справочник ИХ'!A:D,4,0))</f>
        <v>1</v>
      </c>
      <c r="F1434" s="14" t="s">
        <v>2256</v>
      </c>
    </row>
    <row r="1435" spans="1:6" ht="47.6">
      <c r="A1435" s="19">
        <v>26441</v>
      </c>
      <c r="B1435" s="12" t="str">
        <f t="shared" si="22"/>
        <v>264</v>
      </c>
      <c r="C1435" s="1" t="s">
        <v>2392</v>
      </c>
      <c r="D1435" s="13" t="str">
        <f>IF(RIGHT(A1435,3)="000",C1435,VLOOKUP(B1435,'Справочник ИХ'!A:C,3,0))</f>
        <v>Минерально-строит.</v>
      </c>
      <c r="E1435" s="13">
        <f>IF(RIGHT(A1435,3)="000","х",VLOOKUP(B1435,'Справочник ИХ'!A:D,4,0))</f>
        <v>1</v>
      </c>
      <c r="F1435" s="14" t="s">
        <v>2256</v>
      </c>
    </row>
    <row r="1436" spans="1:6" ht="47.6">
      <c r="A1436" s="19">
        <v>26442</v>
      </c>
      <c r="B1436" s="12" t="str">
        <f t="shared" si="22"/>
        <v>264</v>
      </c>
      <c r="C1436" s="1" t="s">
        <v>2393</v>
      </c>
      <c r="D1436" s="13" t="str">
        <f>IF(RIGHT(A1436,3)="000",C1436,VLOOKUP(B1436,'Справочник ИХ'!A:C,3,0))</f>
        <v>Минерально-строит.</v>
      </c>
      <c r="E1436" s="13">
        <f>IF(RIGHT(A1436,3)="000","х",VLOOKUP(B1436,'Справочник ИХ'!A:D,4,0))</f>
        <v>1</v>
      </c>
      <c r="F1436" s="14" t="s">
        <v>2256</v>
      </c>
    </row>
    <row r="1437" spans="1:6" ht="47.6">
      <c r="A1437" s="19">
        <v>26443</v>
      </c>
      <c r="B1437" s="12" t="str">
        <f t="shared" si="22"/>
        <v>264</v>
      </c>
      <c r="C1437" s="1" t="s">
        <v>2394</v>
      </c>
      <c r="D1437" s="13" t="str">
        <f>IF(RIGHT(A1437,3)="000",C1437,VLOOKUP(B1437,'Справочник ИХ'!A:C,3,0))</f>
        <v>Минерально-строит.</v>
      </c>
      <c r="E1437" s="13">
        <f>IF(RIGHT(A1437,3)="000","х",VLOOKUP(B1437,'Справочник ИХ'!A:D,4,0))</f>
        <v>1</v>
      </c>
      <c r="F1437" s="14" t="s">
        <v>2256</v>
      </c>
    </row>
    <row r="1438" spans="1:6" ht="47.6">
      <c r="A1438" s="19">
        <v>26444</v>
      </c>
      <c r="B1438" s="12" t="str">
        <f t="shared" si="22"/>
        <v>264</v>
      </c>
      <c r="C1438" s="1" t="s">
        <v>2395</v>
      </c>
      <c r="D1438" s="13" t="str">
        <f>IF(RIGHT(A1438,3)="000",C1438,VLOOKUP(B1438,'Справочник ИХ'!A:C,3,0))</f>
        <v>Минерально-строит.</v>
      </c>
      <c r="E1438" s="13">
        <f>IF(RIGHT(A1438,3)="000","х",VLOOKUP(B1438,'Справочник ИХ'!A:D,4,0))</f>
        <v>1</v>
      </c>
      <c r="F1438" s="14" t="s">
        <v>2256</v>
      </c>
    </row>
    <row r="1439" spans="1:6" s="18" customFormat="1" ht="47.6">
      <c r="A1439" s="16">
        <v>26500</v>
      </c>
      <c r="B1439" s="12" t="str">
        <f t="shared" si="22"/>
        <v>265</v>
      </c>
      <c r="C1439" s="17" t="s">
        <v>2396</v>
      </c>
      <c r="D1439" s="13" t="str">
        <f>IF(RIGHT(A1439,3)="000",C1439,VLOOKUP(B1439,'Справочник ИХ'!A:C,3,0))</f>
        <v>Минерально-строит.</v>
      </c>
      <c r="E1439" s="13">
        <f>IF(RIGHT(A1439,3)="000","х",VLOOKUP(B1439,'Справочник ИХ'!A:D,4,0))</f>
        <v>3</v>
      </c>
      <c r="F1439" s="14" t="s">
        <v>2256</v>
      </c>
    </row>
    <row r="1440" spans="1:6" ht="47.6">
      <c r="A1440" s="19">
        <v>26501</v>
      </c>
      <c r="B1440" s="12" t="str">
        <f t="shared" si="22"/>
        <v>265</v>
      </c>
      <c r="C1440" s="1" t="s">
        <v>2397</v>
      </c>
      <c r="D1440" s="13" t="str">
        <f>IF(RIGHT(A1440,3)="000",C1440,VLOOKUP(B1440,'Справочник ИХ'!A:C,3,0))</f>
        <v>Минерально-строит.</v>
      </c>
      <c r="E1440" s="13">
        <f>IF(RIGHT(A1440,3)="000","х",VLOOKUP(B1440,'Справочник ИХ'!A:D,4,0))</f>
        <v>3</v>
      </c>
      <c r="F1440" s="14" t="s">
        <v>2256</v>
      </c>
    </row>
    <row r="1441" spans="1:6" ht="47.6">
      <c r="A1441" s="19">
        <v>26502</v>
      </c>
      <c r="B1441" s="12" t="str">
        <f t="shared" si="22"/>
        <v>265</v>
      </c>
      <c r="C1441" s="1" t="s">
        <v>2398</v>
      </c>
      <c r="D1441" s="13" t="str">
        <f>IF(RIGHT(A1441,3)="000",C1441,VLOOKUP(B1441,'Справочник ИХ'!A:C,3,0))</f>
        <v>Минерально-строит.</v>
      </c>
      <c r="E1441" s="13">
        <f>IF(RIGHT(A1441,3)="000","х",VLOOKUP(B1441,'Справочник ИХ'!A:D,4,0))</f>
        <v>3</v>
      </c>
      <c r="F1441" s="14" t="s">
        <v>2256</v>
      </c>
    </row>
    <row r="1442" spans="1:6" s="18" customFormat="1" ht="47.6">
      <c r="A1442" s="16">
        <v>26600</v>
      </c>
      <c r="B1442" s="12" t="str">
        <f t="shared" si="22"/>
        <v>266</v>
      </c>
      <c r="C1442" s="17" t="s">
        <v>2399</v>
      </c>
      <c r="D1442" s="13" t="str">
        <f>IF(RIGHT(A1442,3)="000",C1442,VLOOKUP(B1442,'Справочник ИХ'!A:C,3,0))</f>
        <v>Минерально-строит.</v>
      </c>
      <c r="E1442" s="13">
        <f>IF(RIGHT(A1442,3)="000","х",VLOOKUP(B1442,'Справочник ИХ'!A:D,4,0))</f>
        <v>3</v>
      </c>
      <c r="F1442" s="14" t="s">
        <v>2256</v>
      </c>
    </row>
    <row r="1443" spans="1:6" ht="47.6">
      <c r="A1443" s="19">
        <v>26601</v>
      </c>
      <c r="B1443" s="12" t="str">
        <f t="shared" si="22"/>
        <v>266</v>
      </c>
      <c r="C1443" s="1" t="s">
        <v>2400</v>
      </c>
      <c r="D1443" s="13" t="str">
        <f>IF(RIGHT(A1443,3)="000",C1443,VLOOKUP(B1443,'Справочник ИХ'!A:C,3,0))</f>
        <v>Минерально-строит.</v>
      </c>
      <c r="E1443" s="13">
        <f>IF(RIGHT(A1443,3)="000","х",VLOOKUP(B1443,'Справочник ИХ'!A:D,4,0))</f>
        <v>3</v>
      </c>
      <c r="F1443" s="14" t="s">
        <v>2256</v>
      </c>
    </row>
    <row r="1444" spans="1:6" ht="47.6">
      <c r="A1444" s="19">
        <v>26602</v>
      </c>
      <c r="B1444" s="12" t="str">
        <f t="shared" si="22"/>
        <v>266</v>
      </c>
      <c r="C1444" s="1" t="s">
        <v>2401</v>
      </c>
      <c r="D1444" s="13" t="str">
        <f>IF(RIGHT(A1444,3)="000",C1444,VLOOKUP(B1444,'Справочник ИХ'!A:C,3,0))</f>
        <v>Минерально-строит.</v>
      </c>
      <c r="E1444" s="13">
        <f>IF(RIGHT(A1444,3)="000","х",VLOOKUP(B1444,'Справочник ИХ'!A:D,4,0))</f>
        <v>3</v>
      </c>
      <c r="F1444" s="14" t="s">
        <v>2256</v>
      </c>
    </row>
    <row r="1445" spans="1:6" ht="47.6">
      <c r="A1445" s="19">
        <v>26603</v>
      </c>
      <c r="B1445" s="12" t="str">
        <f t="shared" si="22"/>
        <v>266</v>
      </c>
      <c r="C1445" s="1" t="s">
        <v>2402</v>
      </c>
      <c r="D1445" s="13" t="str">
        <f>IF(RIGHT(A1445,3)="000",C1445,VLOOKUP(B1445,'Справочник ИХ'!A:C,3,0))</f>
        <v>Минерально-строит.</v>
      </c>
      <c r="E1445" s="13">
        <f>IF(RIGHT(A1445,3)="000","х",VLOOKUP(B1445,'Справочник ИХ'!A:D,4,0))</f>
        <v>3</v>
      </c>
      <c r="F1445" s="14" t="s">
        <v>2256</v>
      </c>
    </row>
    <row r="1446" spans="1:6" ht="47.6">
      <c r="A1446" s="19">
        <v>26604</v>
      </c>
      <c r="B1446" s="12" t="str">
        <f t="shared" si="22"/>
        <v>266</v>
      </c>
      <c r="C1446" s="1" t="s">
        <v>2403</v>
      </c>
      <c r="D1446" s="13" t="str">
        <f>IF(RIGHT(A1446,3)="000",C1446,VLOOKUP(B1446,'Справочник ИХ'!A:C,3,0))</f>
        <v>Минерально-строит.</v>
      </c>
      <c r="E1446" s="13">
        <f>IF(RIGHT(A1446,3)="000","х",VLOOKUP(B1446,'Справочник ИХ'!A:D,4,0))</f>
        <v>3</v>
      </c>
      <c r="F1446" s="14" t="s">
        <v>2256</v>
      </c>
    </row>
    <row r="1447" spans="1:6" ht="47.6">
      <c r="A1447" s="19">
        <v>26605</v>
      </c>
      <c r="B1447" s="12" t="str">
        <f t="shared" si="22"/>
        <v>266</v>
      </c>
      <c r="C1447" s="1" t="s">
        <v>2404</v>
      </c>
      <c r="D1447" s="13" t="str">
        <f>IF(RIGHT(A1447,3)="000",C1447,VLOOKUP(B1447,'Справочник ИХ'!A:C,3,0))</f>
        <v>Минерально-строит.</v>
      </c>
      <c r="E1447" s="13">
        <f>IF(RIGHT(A1447,3)="000","х",VLOOKUP(B1447,'Справочник ИХ'!A:D,4,0))</f>
        <v>3</v>
      </c>
      <c r="F1447" s="14" t="s">
        <v>2256</v>
      </c>
    </row>
    <row r="1448" spans="1:6" ht="47.6">
      <c r="A1448" s="19">
        <v>26606</v>
      </c>
      <c r="B1448" s="12" t="str">
        <f t="shared" si="22"/>
        <v>266</v>
      </c>
      <c r="C1448" s="1" t="s">
        <v>2405</v>
      </c>
      <c r="D1448" s="13" t="str">
        <f>IF(RIGHT(A1448,3)="000",C1448,VLOOKUP(B1448,'Справочник ИХ'!A:C,3,0))</f>
        <v>Минерально-строит.</v>
      </c>
      <c r="E1448" s="13">
        <f>IF(RIGHT(A1448,3)="000","х",VLOOKUP(B1448,'Справочник ИХ'!A:D,4,0))</f>
        <v>3</v>
      </c>
      <c r="F1448" s="14" t="s">
        <v>2256</v>
      </c>
    </row>
    <row r="1449" spans="1:6" ht="47.6">
      <c r="A1449" s="19">
        <v>26607</v>
      </c>
      <c r="B1449" s="12" t="str">
        <f t="shared" si="22"/>
        <v>266</v>
      </c>
      <c r="C1449" s="1" t="s">
        <v>2406</v>
      </c>
      <c r="D1449" s="13" t="str">
        <f>IF(RIGHT(A1449,3)="000",C1449,VLOOKUP(B1449,'Справочник ИХ'!A:C,3,0))</f>
        <v>Минерально-строит.</v>
      </c>
      <c r="E1449" s="13">
        <f>IF(RIGHT(A1449,3)="000","х",VLOOKUP(B1449,'Справочник ИХ'!A:D,4,0))</f>
        <v>3</v>
      </c>
      <c r="F1449" s="14" t="s">
        <v>2256</v>
      </c>
    </row>
    <row r="1450" spans="1:6" ht="47.6">
      <c r="A1450" s="19">
        <v>26608</v>
      </c>
      <c r="B1450" s="12" t="str">
        <f t="shared" si="22"/>
        <v>266</v>
      </c>
      <c r="C1450" s="1" t="s">
        <v>2407</v>
      </c>
      <c r="D1450" s="13" t="str">
        <f>IF(RIGHT(A1450,3)="000",C1450,VLOOKUP(B1450,'Справочник ИХ'!A:C,3,0))</f>
        <v>Минерально-строит.</v>
      </c>
      <c r="E1450" s="13">
        <f>IF(RIGHT(A1450,3)="000","х",VLOOKUP(B1450,'Справочник ИХ'!A:D,4,0))</f>
        <v>3</v>
      </c>
      <c r="F1450" s="14" t="s">
        <v>2256</v>
      </c>
    </row>
    <row r="1451" spans="1:6" ht="47.6">
      <c r="A1451" s="19">
        <v>26609</v>
      </c>
      <c r="B1451" s="12" t="str">
        <f t="shared" si="22"/>
        <v>266</v>
      </c>
      <c r="C1451" s="1" t="s">
        <v>2408</v>
      </c>
      <c r="D1451" s="13" t="str">
        <f>IF(RIGHT(A1451,3)="000",C1451,VLOOKUP(B1451,'Справочник ИХ'!A:C,3,0))</f>
        <v>Минерально-строит.</v>
      </c>
      <c r="E1451" s="13">
        <f>IF(RIGHT(A1451,3)="000","х",VLOOKUP(B1451,'Справочник ИХ'!A:D,4,0))</f>
        <v>3</v>
      </c>
      <c r="F1451" s="14" t="s">
        <v>2256</v>
      </c>
    </row>
    <row r="1452" spans="1:6" ht="47.6">
      <c r="A1452" s="19">
        <v>26610</v>
      </c>
      <c r="B1452" s="12" t="str">
        <f t="shared" si="22"/>
        <v>266</v>
      </c>
      <c r="C1452" s="1" t="s">
        <v>2409</v>
      </c>
      <c r="D1452" s="13" t="str">
        <f>IF(RIGHT(A1452,3)="000",C1452,VLOOKUP(B1452,'Справочник ИХ'!A:C,3,0))</f>
        <v>Минерально-строит.</v>
      </c>
      <c r="E1452" s="13">
        <f>IF(RIGHT(A1452,3)="000","х",VLOOKUP(B1452,'Справочник ИХ'!A:D,4,0))</f>
        <v>3</v>
      </c>
      <c r="F1452" s="14" t="s">
        <v>2256</v>
      </c>
    </row>
    <row r="1453" spans="1:6" ht="47.6">
      <c r="A1453" s="19">
        <v>26611</v>
      </c>
      <c r="B1453" s="12" t="str">
        <f t="shared" si="22"/>
        <v>266</v>
      </c>
      <c r="C1453" s="1" t="s">
        <v>2410</v>
      </c>
      <c r="D1453" s="13" t="str">
        <f>IF(RIGHT(A1453,3)="000",C1453,VLOOKUP(B1453,'Справочник ИХ'!A:C,3,0))</f>
        <v>Минерально-строит.</v>
      </c>
      <c r="E1453" s="13">
        <f>IF(RIGHT(A1453,3)="000","х",VLOOKUP(B1453,'Справочник ИХ'!A:D,4,0))</f>
        <v>3</v>
      </c>
      <c r="F1453" s="14" t="s">
        <v>2256</v>
      </c>
    </row>
    <row r="1454" spans="1:6" ht="47.6">
      <c r="A1454" s="19">
        <v>26612</v>
      </c>
      <c r="B1454" s="12" t="str">
        <f t="shared" si="22"/>
        <v>266</v>
      </c>
      <c r="C1454" s="1" t="s">
        <v>2411</v>
      </c>
      <c r="D1454" s="13" t="str">
        <f>IF(RIGHT(A1454,3)="000",C1454,VLOOKUP(B1454,'Справочник ИХ'!A:C,3,0))</f>
        <v>Минерально-строит.</v>
      </c>
      <c r="E1454" s="13">
        <f>IF(RIGHT(A1454,3)="000","х",VLOOKUP(B1454,'Справочник ИХ'!A:D,4,0))</f>
        <v>3</v>
      </c>
      <c r="F1454" s="14" t="s">
        <v>2256</v>
      </c>
    </row>
    <row r="1455" spans="1:6" ht="47.6">
      <c r="A1455" s="19">
        <v>26613</v>
      </c>
      <c r="B1455" s="12" t="str">
        <f t="shared" si="22"/>
        <v>266</v>
      </c>
      <c r="C1455" s="1" t="s">
        <v>2412</v>
      </c>
      <c r="D1455" s="13" t="str">
        <f>IF(RIGHT(A1455,3)="000",C1455,VLOOKUP(B1455,'Справочник ИХ'!A:C,3,0))</f>
        <v>Минерально-строит.</v>
      </c>
      <c r="E1455" s="13">
        <f>IF(RIGHT(A1455,3)="000","х",VLOOKUP(B1455,'Справочник ИХ'!A:D,4,0))</f>
        <v>3</v>
      </c>
      <c r="F1455" s="14" t="s">
        <v>2256</v>
      </c>
    </row>
    <row r="1456" spans="1:6" ht="47.6">
      <c r="A1456" s="19">
        <v>26614</v>
      </c>
      <c r="B1456" s="12" t="str">
        <f t="shared" si="22"/>
        <v>266</v>
      </c>
      <c r="C1456" s="1" t="s">
        <v>2413</v>
      </c>
      <c r="D1456" s="13" t="str">
        <f>IF(RIGHT(A1456,3)="000",C1456,VLOOKUP(B1456,'Справочник ИХ'!A:C,3,0))</f>
        <v>Минерально-строит.</v>
      </c>
      <c r="E1456" s="13">
        <f>IF(RIGHT(A1456,3)="000","х",VLOOKUP(B1456,'Справочник ИХ'!A:D,4,0))</f>
        <v>3</v>
      </c>
      <c r="F1456" s="14" t="s">
        <v>2256</v>
      </c>
    </row>
    <row r="1457" spans="1:6" ht="47.6">
      <c r="A1457" s="19">
        <v>26615</v>
      </c>
      <c r="B1457" s="12" t="str">
        <f t="shared" si="22"/>
        <v>266</v>
      </c>
      <c r="C1457" s="1" t="s">
        <v>2414</v>
      </c>
      <c r="D1457" s="13" t="str">
        <f>IF(RIGHT(A1457,3)="000",C1457,VLOOKUP(B1457,'Справочник ИХ'!A:C,3,0))</f>
        <v>Минерально-строит.</v>
      </c>
      <c r="E1457" s="13">
        <f>IF(RIGHT(A1457,3)="000","х",VLOOKUP(B1457,'Справочник ИХ'!A:D,4,0))</f>
        <v>3</v>
      </c>
      <c r="F1457" s="14" t="s">
        <v>2256</v>
      </c>
    </row>
    <row r="1458" spans="1:6" s="18" customFormat="1" ht="47.6">
      <c r="A1458" s="16">
        <v>26700</v>
      </c>
      <c r="B1458" s="12" t="str">
        <f t="shared" si="22"/>
        <v>267</v>
      </c>
      <c r="C1458" s="17" t="s">
        <v>2415</v>
      </c>
      <c r="D1458" s="13" t="str">
        <f>IF(RIGHT(A1458,3)="000",C1458,VLOOKUP(B1458,'Справочник ИХ'!A:C,3,0))</f>
        <v>Остальные грузы</v>
      </c>
      <c r="E1458" s="13">
        <f>IF(RIGHT(A1458,3)="000","х",VLOOKUP(B1458,'Справочник ИХ'!A:D,4,0))</f>
        <v>3</v>
      </c>
      <c r="F1458" s="14" t="s">
        <v>2256</v>
      </c>
    </row>
    <row r="1459" spans="1:6" ht="47.6">
      <c r="A1459" s="19">
        <v>26701</v>
      </c>
      <c r="B1459" s="12" t="str">
        <f t="shared" si="22"/>
        <v>267</v>
      </c>
      <c r="C1459" s="1" t="s">
        <v>2416</v>
      </c>
      <c r="D1459" s="13" t="str">
        <f>IF(RIGHT(A1459,3)="000",C1459,VLOOKUP(B1459,'Справочник ИХ'!A:C,3,0))</f>
        <v>Остальные грузы</v>
      </c>
      <c r="E1459" s="13">
        <f>IF(RIGHT(A1459,3)="000","х",VLOOKUP(B1459,'Справочник ИХ'!A:D,4,0))</f>
        <v>3</v>
      </c>
      <c r="F1459" s="14" t="s">
        <v>2256</v>
      </c>
    </row>
    <row r="1460" spans="1:6" ht="47.6">
      <c r="A1460" s="19">
        <v>26702</v>
      </c>
      <c r="B1460" s="12" t="str">
        <f t="shared" si="22"/>
        <v>267</v>
      </c>
      <c r="C1460" s="1" t="s">
        <v>2417</v>
      </c>
      <c r="D1460" s="13" t="str">
        <f>IF(RIGHT(A1460,3)="000",C1460,VLOOKUP(B1460,'Справочник ИХ'!A:C,3,0))</f>
        <v>Остальные грузы</v>
      </c>
      <c r="E1460" s="13">
        <f>IF(RIGHT(A1460,3)="000","х",VLOOKUP(B1460,'Справочник ИХ'!A:D,4,0))</f>
        <v>3</v>
      </c>
      <c r="F1460" s="14" t="s">
        <v>2256</v>
      </c>
    </row>
    <row r="1461" spans="1:6" ht="47.6">
      <c r="A1461" s="19">
        <v>26703</v>
      </c>
      <c r="B1461" s="12" t="str">
        <f t="shared" si="22"/>
        <v>267</v>
      </c>
      <c r="C1461" s="1" t="s">
        <v>2418</v>
      </c>
      <c r="D1461" s="13" t="str">
        <f>IF(RIGHT(A1461,3)="000",C1461,VLOOKUP(B1461,'Справочник ИХ'!A:C,3,0))</f>
        <v>Остальные грузы</v>
      </c>
      <c r="E1461" s="13">
        <f>IF(RIGHT(A1461,3)="000","х",VLOOKUP(B1461,'Справочник ИХ'!A:D,4,0))</f>
        <v>3</v>
      </c>
      <c r="F1461" s="14" t="s">
        <v>2256</v>
      </c>
    </row>
    <row r="1462" spans="1:6" ht="47.6">
      <c r="A1462" s="19">
        <v>26704</v>
      </c>
      <c r="B1462" s="12" t="str">
        <f t="shared" si="22"/>
        <v>267</v>
      </c>
      <c r="C1462" s="1" t="s">
        <v>2419</v>
      </c>
      <c r="D1462" s="13" t="str">
        <f>IF(RIGHT(A1462,3)="000",C1462,VLOOKUP(B1462,'Справочник ИХ'!A:C,3,0))</f>
        <v>Остальные грузы</v>
      </c>
      <c r="E1462" s="13">
        <f>IF(RIGHT(A1462,3)="000","х",VLOOKUP(B1462,'Справочник ИХ'!A:D,4,0))</f>
        <v>3</v>
      </c>
      <c r="F1462" s="14" t="s">
        <v>2256</v>
      </c>
    </row>
    <row r="1463" spans="1:6" ht="47.6">
      <c r="A1463" s="19">
        <v>26705</v>
      </c>
      <c r="B1463" s="12" t="str">
        <f t="shared" si="22"/>
        <v>267</v>
      </c>
      <c r="C1463" s="1" t="s">
        <v>2420</v>
      </c>
      <c r="D1463" s="13" t="str">
        <f>IF(RIGHT(A1463,3)="000",C1463,VLOOKUP(B1463,'Справочник ИХ'!A:C,3,0))</f>
        <v>Остальные грузы</v>
      </c>
      <c r="E1463" s="13">
        <f>IF(RIGHT(A1463,3)="000","х",VLOOKUP(B1463,'Справочник ИХ'!A:D,4,0))</f>
        <v>3</v>
      </c>
      <c r="F1463" s="14" t="s">
        <v>2256</v>
      </c>
    </row>
    <row r="1464" spans="1:6" ht="47.6">
      <c r="A1464" s="19">
        <v>26706</v>
      </c>
      <c r="B1464" s="12" t="str">
        <f t="shared" si="22"/>
        <v>267</v>
      </c>
      <c r="C1464" s="1" t="s">
        <v>2421</v>
      </c>
      <c r="D1464" s="13" t="str">
        <f>IF(RIGHT(A1464,3)="000",C1464,VLOOKUP(B1464,'Справочник ИХ'!A:C,3,0))</f>
        <v>Остальные грузы</v>
      </c>
      <c r="E1464" s="13">
        <f>IF(RIGHT(A1464,3)="000","х",VLOOKUP(B1464,'Справочник ИХ'!A:D,4,0))</f>
        <v>3</v>
      </c>
      <c r="F1464" s="14" t="s">
        <v>2256</v>
      </c>
    </row>
    <row r="1465" spans="1:6" ht="47.6">
      <c r="A1465" s="19">
        <v>26707</v>
      </c>
      <c r="B1465" s="12" t="str">
        <f t="shared" si="22"/>
        <v>267</v>
      </c>
      <c r="C1465" s="1" t="s">
        <v>2422</v>
      </c>
      <c r="D1465" s="13" t="str">
        <f>IF(RIGHT(A1465,3)="000",C1465,VLOOKUP(B1465,'Справочник ИХ'!A:C,3,0))</f>
        <v>Остальные грузы</v>
      </c>
      <c r="E1465" s="13">
        <f>IF(RIGHT(A1465,3)="000","х",VLOOKUP(B1465,'Справочник ИХ'!A:D,4,0))</f>
        <v>3</v>
      </c>
      <c r="F1465" s="14" t="s">
        <v>2256</v>
      </c>
    </row>
    <row r="1466" spans="1:6" ht="47.6">
      <c r="A1466" s="19">
        <v>26708</v>
      </c>
      <c r="B1466" s="12" t="str">
        <f t="shared" si="22"/>
        <v>267</v>
      </c>
      <c r="C1466" s="1" t="s">
        <v>2423</v>
      </c>
      <c r="D1466" s="13" t="str">
        <f>IF(RIGHT(A1466,3)="000",C1466,VLOOKUP(B1466,'Справочник ИХ'!A:C,3,0))</f>
        <v>Остальные грузы</v>
      </c>
      <c r="E1466" s="13">
        <f>IF(RIGHT(A1466,3)="000","х",VLOOKUP(B1466,'Справочник ИХ'!A:D,4,0))</f>
        <v>3</v>
      </c>
      <c r="F1466" s="14" t="s">
        <v>2256</v>
      </c>
    </row>
    <row r="1467" spans="1:6" ht="47.6">
      <c r="A1467" s="19">
        <v>26709</v>
      </c>
      <c r="B1467" s="12" t="str">
        <f t="shared" si="22"/>
        <v>267</v>
      </c>
      <c r="C1467" s="1" t="s">
        <v>2424</v>
      </c>
      <c r="D1467" s="13" t="str">
        <f>IF(RIGHT(A1467,3)="000",C1467,VLOOKUP(B1467,'Справочник ИХ'!A:C,3,0))</f>
        <v>Остальные грузы</v>
      </c>
      <c r="E1467" s="13">
        <f>IF(RIGHT(A1467,3)="000","х",VLOOKUP(B1467,'Справочник ИХ'!A:D,4,0))</f>
        <v>3</v>
      </c>
      <c r="F1467" s="14" t="s">
        <v>2256</v>
      </c>
    </row>
    <row r="1468" spans="1:6" ht="47.6">
      <c r="A1468" s="19">
        <v>26710</v>
      </c>
      <c r="B1468" s="12" t="str">
        <f t="shared" si="22"/>
        <v>267</v>
      </c>
      <c r="C1468" s="1" t="s">
        <v>2425</v>
      </c>
      <c r="D1468" s="13" t="str">
        <f>IF(RIGHT(A1468,3)="000",C1468,VLOOKUP(B1468,'Справочник ИХ'!A:C,3,0))</f>
        <v>Остальные грузы</v>
      </c>
      <c r="E1468" s="13">
        <f>IF(RIGHT(A1468,3)="000","х",VLOOKUP(B1468,'Справочник ИХ'!A:D,4,0))</f>
        <v>3</v>
      </c>
      <c r="F1468" s="14" t="s">
        <v>2256</v>
      </c>
    </row>
    <row r="1469" spans="1:6" ht="47.6">
      <c r="A1469" s="19">
        <v>26711</v>
      </c>
      <c r="B1469" s="12" t="str">
        <f t="shared" si="22"/>
        <v>267</v>
      </c>
      <c r="C1469" s="1" t="s">
        <v>2426</v>
      </c>
      <c r="D1469" s="13" t="str">
        <f>IF(RIGHT(A1469,3)="000",C1469,VLOOKUP(B1469,'Справочник ИХ'!A:C,3,0))</f>
        <v>Остальные грузы</v>
      </c>
      <c r="E1469" s="13">
        <f>IF(RIGHT(A1469,3)="000","х",VLOOKUP(B1469,'Справочник ИХ'!A:D,4,0))</f>
        <v>3</v>
      </c>
      <c r="F1469" s="14" t="s">
        <v>2256</v>
      </c>
    </row>
    <row r="1470" spans="1:6" ht="47.6">
      <c r="A1470" s="19">
        <v>26712</v>
      </c>
      <c r="B1470" s="12" t="str">
        <f t="shared" si="22"/>
        <v>267</v>
      </c>
      <c r="C1470" s="1" t="s">
        <v>2427</v>
      </c>
      <c r="D1470" s="13" t="str">
        <f>IF(RIGHT(A1470,3)="000",C1470,VLOOKUP(B1470,'Справочник ИХ'!A:C,3,0))</f>
        <v>Остальные грузы</v>
      </c>
      <c r="E1470" s="13">
        <f>IF(RIGHT(A1470,3)="000","х",VLOOKUP(B1470,'Справочник ИХ'!A:D,4,0))</f>
        <v>3</v>
      </c>
      <c r="F1470" s="14" t="s">
        <v>2256</v>
      </c>
    </row>
    <row r="1471" spans="1:6" ht="47.6">
      <c r="A1471" s="19">
        <v>26713</v>
      </c>
      <c r="B1471" s="12" t="str">
        <f t="shared" si="22"/>
        <v>267</v>
      </c>
      <c r="C1471" s="1" t="s">
        <v>2428</v>
      </c>
      <c r="D1471" s="13" t="str">
        <f>IF(RIGHT(A1471,3)="000",C1471,VLOOKUP(B1471,'Справочник ИХ'!A:C,3,0))</f>
        <v>Остальные грузы</v>
      </c>
      <c r="E1471" s="13">
        <f>IF(RIGHT(A1471,3)="000","х",VLOOKUP(B1471,'Справочник ИХ'!A:D,4,0))</f>
        <v>3</v>
      </c>
      <c r="F1471" s="14" t="s">
        <v>2256</v>
      </c>
    </row>
    <row r="1472" spans="1:6" ht="47.6">
      <c r="A1472" s="19">
        <v>26714</v>
      </c>
      <c r="B1472" s="12" t="str">
        <f t="shared" si="22"/>
        <v>267</v>
      </c>
      <c r="C1472" s="1" t="s">
        <v>2429</v>
      </c>
      <c r="D1472" s="13" t="str">
        <f>IF(RIGHT(A1472,3)="000",C1472,VLOOKUP(B1472,'Справочник ИХ'!A:C,3,0))</f>
        <v>Остальные грузы</v>
      </c>
      <c r="E1472" s="13">
        <f>IF(RIGHT(A1472,3)="000","х",VLOOKUP(B1472,'Справочник ИХ'!A:D,4,0))</f>
        <v>3</v>
      </c>
      <c r="F1472" s="14" t="s">
        <v>2256</v>
      </c>
    </row>
    <row r="1473" spans="1:6" ht="47.6">
      <c r="A1473" s="19">
        <v>26715</v>
      </c>
      <c r="B1473" s="12" t="str">
        <f t="shared" si="22"/>
        <v>267</v>
      </c>
      <c r="C1473" s="1" t="s">
        <v>2430</v>
      </c>
      <c r="D1473" s="13" t="str">
        <f>IF(RIGHT(A1473,3)="000",C1473,VLOOKUP(B1473,'Справочник ИХ'!A:C,3,0))</f>
        <v>Остальные грузы</v>
      </c>
      <c r="E1473" s="13">
        <f>IF(RIGHT(A1473,3)="000","х",VLOOKUP(B1473,'Справочник ИХ'!A:D,4,0))</f>
        <v>3</v>
      </c>
      <c r="F1473" s="14" t="s">
        <v>2256</v>
      </c>
    </row>
    <row r="1474" spans="1:6" s="18" customFormat="1" ht="47.6">
      <c r="A1474" s="16">
        <v>26800</v>
      </c>
      <c r="B1474" s="12" t="str">
        <f t="shared" si="22"/>
        <v>268</v>
      </c>
      <c r="C1474" s="17" t="s">
        <v>2431</v>
      </c>
      <c r="D1474" s="13" t="str">
        <f>IF(RIGHT(A1474,3)="000",C1474,VLOOKUP(B1474,'Справочник ИХ'!A:C,3,0))</f>
        <v>Остальные грузы</v>
      </c>
      <c r="E1474" s="13">
        <f>IF(RIGHT(A1474,3)="000","х",VLOOKUP(B1474,'Справочник ИХ'!A:D,4,0))</f>
        <v>3</v>
      </c>
      <c r="F1474" s="14" t="s">
        <v>2256</v>
      </c>
    </row>
    <row r="1475" spans="1:6" ht="47.6">
      <c r="A1475" s="19">
        <v>26801</v>
      </c>
      <c r="B1475" s="12" t="str">
        <f t="shared" si="22"/>
        <v>268</v>
      </c>
      <c r="C1475" s="1" t="s">
        <v>2432</v>
      </c>
      <c r="D1475" s="13" t="str">
        <f>IF(RIGHT(A1475,3)="000",C1475,VLOOKUP(B1475,'Справочник ИХ'!A:C,3,0))</f>
        <v>Остальные грузы</v>
      </c>
      <c r="E1475" s="13">
        <f>IF(RIGHT(A1475,3)="000","х",VLOOKUP(B1475,'Справочник ИХ'!A:D,4,0))</f>
        <v>3</v>
      </c>
      <c r="F1475" s="14" t="s">
        <v>2256</v>
      </c>
    </row>
    <row r="1476" spans="1:6" ht="47.6">
      <c r="A1476" s="19">
        <v>26802</v>
      </c>
      <c r="B1476" s="12" t="str">
        <f t="shared" ref="B1476:B1539" si="23">LEFT(A1476,3)</f>
        <v>268</v>
      </c>
      <c r="C1476" s="1" t="s">
        <v>2433</v>
      </c>
      <c r="D1476" s="13" t="str">
        <f>IF(RIGHT(A1476,3)="000",C1476,VLOOKUP(B1476,'Справочник ИХ'!A:C,3,0))</f>
        <v>Остальные грузы</v>
      </c>
      <c r="E1476" s="13">
        <f>IF(RIGHT(A1476,3)="000","х",VLOOKUP(B1476,'Справочник ИХ'!A:D,4,0))</f>
        <v>3</v>
      </c>
      <c r="F1476" s="14" t="s">
        <v>2256</v>
      </c>
    </row>
    <row r="1477" spans="1:6" ht="47.6">
      <c r="A1477" s="19">
        <v>26803</v>
      </c>
      <c r="B1477" s="12" t="str">
        <f t="shared" si="23"/>
        <v>268</v>
      </c>
      <c r="C1477" s="1" t="s">
        <v>2434</v>
      </c>
      <c r="D1477" s="13" t="str">
        <f>IF(RIGHT(A1477,3)="000",C1477,VLOOKUP(B1477,'Справочник ИХ'!A:C,3,0))</f>
        <v>Остальные грузы</v>
      </c>
      <c r="E1477" s="13">
        <f>IF(RIGHT(A1477,3)="000","х",VLOOKUP(B1477,'Справочник ИХ'!A:D,4,0))</f>
        <v>3</v>
      </c>
      <c r="F1477" s="14" t="s">
        <v>2256</v>
      </c>
    </row>
    <row r="1478" spans="1:6" ht="47.6">
      <c r="A1478" s="19">
        <v>26804</v>
      </c>
      <c r="B1478" s="12" t="str">
        <f t="shared" si="23"/>
        <v>268</v>
      </c>
      <c r="C1478" s="1" t="s">
        <v>2435</v>
      </c>
      <c r="D1478" s="13" t="str">
        <f>IF(RIGHT(A1478,3)="000",C1478,VLOOKUP(B1478,'Справочник ИХ'!A:C,3,0))</f>
        <v>Остальные грузы</v>
      </c>
      <c r="E1478" s="13">
        <f>IF(RIGHT(A1478,3)="000","х",VLOOKUP(B1478,'Справочник ИХ'!A:D,4,0))</f>
        <v>3</v>
      </c>
      <c r="F1478" s="14" t="s">
        <v>2256</v>
      </c>
    </row>
    <row r="1479" spans="1:6" ht="47.6">
      <c r="A1479" s="19">
        <v>26805</v>
      </c>
      <c r="B1479" s="12" t="str">
        <f t="shared" si="23"/>
        <v>268</v>
      </c>
      <c r="C1479" s="1" t="s">
        <v>2436</v>
      </c>
      <c r="D1479" s="13" t="str">
        <f>IF(RIGHT(A1479,3)="000",C1479,VLOOKUP(B1479,'Справочник ИХ'!A:C,3,0))</f>
        <v>Остальные грузы</v>
      </c>
      <c r="E1479" s="13">
        <f>IF(RIGHT(A1479,3)="000","х",VLOOKUP(B1479,'Справочник ИХ'!A:D,4,0))</f>
        <v>3</v>
      </c>
      <c r="F1479" s="14" t="s">
        <v>2256</v>
      </c>
    </row>
    <row r="1480" spans="1:6" ht="47.6">
      <c r="A1480" s="19">
        <v>26806</v>
      </c>
      <c r="B1480" s="12" t="str">
        <f t="shared" si="23"/>
        <v>268</v>
      </c>
      <c r="C1480" s="1" t="s">
        <v>2437</v>
      </c>
      <c r="D1480" s="13" t="str">
        <f>IF(RIGHT(A1480,3)="000",C1480,VLOOKUP(B1480,'Справочник ИХ'!A:C,3,0))</f>
        <v>Остальные грузы</v>
      </c>
      <c r="E1480" s="13">
        <f>IF(RIGHT(A1480,3)="000","х",VLOOKUP(B1480,'Справочник ИХ'!A:D,4,0))</f>
        <v>3</v>
      </c>
      <c r="F1480" s="14" t="s">
        <v>2256</v>
      </c>
    </row>
    <row r="1481" spans="1:6" ht="47.6">
      <c r="A1481" s="19">
        <v>26807</v>
      </c>
      <c r="B1481" s="12" t="str">
        <f t="shared" si="23"/>
        <v>268</v>
      </c>
      <c r="C1481" s="1" t="s">
        <v>2438</v>
      </c>
      <c r="D1481" s="13" t="str">
        <f>IF(RIGHT(A1481,3)="000",C1481,VLOOKUP(B1481,'Справочник ИХ'!A:C,3,0))</f>
        <v>Остальные грузы</v>
      </c>
      <c r="E1481" s="13">
        <f>IF(RIGHT(A1481,3)="000","х",VLOOKUP(B1481,'Справочник ИХ'!A:D,4,0))</f>
        <v>3</v>
      </c>
      <c r="F1481" s="14" t="s">
        <v>2256</v>
      </c>
    </row>
    <row r="1482" spans="1:6" ht="47.6">
      <c r="A1482" s="19">
        <v>26808</v>
      </c>
      <c r="B1482" s="12" t="str">
        <f t="shared" si="23"/>
        <v>268</v>
      </c>
      <c r="C1482" s="1" t="s">
        <v>2439</v>
      </c>
      <c r="D1482" s="13" t="str">
        <f>IF(RIGHT(A1482,3)="000",C1482,VLOOKUP(B1482,'Справочник ИХ'!A:C,3,0))</f>
        <v>Остальные грузы</v>
      </c>
      <c r="E1482" s="13">
        <f>IF(RIGHT(A1482,3)="000","х",VLOOKUP(B1482,'Справочник ИХ'!A:D,4,0))</f>
        <v>3</v>
      </c>
      <c r="F1482" s="14" t="s">
        <v>2256</v>
      </c>
    </row>
    <row r="1483" spans="1:6" s="15" customFormat="1">
      <c r="A1483" s="7">
        <v>27000</v>
      </c>
      <c r="B1483" s="12" t="str">
        <f t="shared" si="23"/>
        <v>270</v>
      </c>
      <c r="C1483" s="11" t="s">
        <v>2440</v>
      </c>
      <c r="D1483" s="13" t="str">
        <f>IF(RIGHT(A1483,3)="000",C1483,VLOOKUP(B1483,'Справочник ИХ'!A:C,3,0))</f>
        <v xml:space="preserve">Шлаки гранулированные </v>
      </c>
      <c r="E1483" s="13" t="str">
        <f>IF(RIGHT(A1483,3)="000","х",VLOOKUP(B1483,'Справочник ИХ'!A:D,4,0))</f>
        <v>х</v>
      </c>
      <c r="F1483" s="14" t="s">
        <v>2440</v>
      </c>
    </row>
    <row r="1484" spans="1:6" s="18" customFormat="1">
      <c r="A1484" s="16">
        <v>27100</v>
      </c>
      <c r="B1484" s="12" t="str">
        <f t="shared" si="23"/>
        <v>271</v>
      </c>
      <c r="C1484" s="17" t="s">
        <v>2440</v>
      </c>
      <c r="D1484" s="13" t="str">
        <f>IF(RIGHT(A1484,3)="000",C1484,VLOOKUP(B1484,'Справочник ИХ'!A:C,3,0))</f>
        <v>Минерально-строит.</v>
      </c>
      <c r="E1484" s="13">
        <f>IF(RIGHT(A1484,3)="000","х",VLOOKUP(B1484,'Справочник ИХ'!A:D,4,0))</f>
        <v>1</v>
      </c>
      <c r="F1484" s="14" t="s">
        <v>2440</v>
      </c>
    </row>
    <row r="1485" spans="1:6" s="15" customFormat="1">
      <c r="A1485" s="7">
        <v>28000</v>
      </c>
      <c r="B1485" s="12" t="str">
        <f t="shared" si="23"/>
        <v>280</v>
      </c>
      <c r="C1485" s="11" t="s">
        <v>2441</v>
      </c>
      <c r="D1485" s="13" t="str">
        <f>IF(RIGHT(A1485,3)="000",C1485,VLOOKUP(B1485,'Справочник ИХ'!A:C,3,0))</f>
        <v xml:space="preserve">Цемент </v>
      </c>
      <c r="E1485" s="13" t="str">
        <f>IF(RIGHT(A1485,3)="000","х",VLOOKUP(B1485,'Справочник ИХ'!A:D,4,0))</f>
        <v>х</v>
      </c>
      <c r="F1485" s="14" t="s">
        <v>2441</v>
      </c>
    </row>
    <row r="1486" spans="1:6" s="18" customFormat="1">
      <c r="A1486" s="16">
        <v>28100</v>
      </c>
      <c r="B1486" s="12" t="str">
        <f t="shared" si="23"/>
        <v>281</v>
      </c>
      <c r="C1486" s="17" t="s">
        <v>2441</v>
      </c>
      <c r="D1486" s="13" t="str">
        <f>IF(RIGHT(A1486,3)="000",C1486,VLOOKUP(B1486,'Справочник ИХ'!A:C,3,0))</f>
        <v>Минерально-строит.</v>
      </c>
      <c r="E1486" s="13">
        <f>IF(RIGHT(A1486,3)="000","х",VLOOKUP(B1486,'Справочник ИХ'!A:D,4,0))</f>
        <v>1</v>
      </c>
      <c r="F1486" s="14" t="s">
        <v>2441</v>
      </c>
    </row>
    <row r="1487" spans="1:6">
      <c r="A1487" s="19">
        <v>28101</v>
      </c>
      <c r="B1487" s="12" t="str">
        <f t="shared" si="23"/>
        <v>281</v>
      </c>
      <c r="C1487" s="1" t="s">
        <v>2442</v>
      </c>
      <c r="D1487" s="13" t="str">
        <f>IF(RIGHT(A1487,3)="000",C1487,VLOOKUP(B1487,'Справочник ИХ'!A:C,3,0))</f>
        <v>Минерально-строит.</v>
      </c>
      <c r="E1487" s="13">
        <f>IF(RIGHT(A1487,3)="000","х",VLOOKUP(B1487,'Справочник ИХ'!A:D,4,0))</f>
        <v>1</v>
      </c>
      <c r="F1487" s="14" t="s">
        <v>2441</v>
      </c>
    </row>
    <row r="1488" spans="1:6">
      <c r="A1488" s="19">
        <v>28102</v>
      </c>
      <c r="B1488" s="12" t="str">
        <f t="shared" si="23"/>
        <v>281</v>
      </c>
      <c r="C1488" s="1" t="s">
        <v>2443</v>
      </c>
      <c r="D1488" s="13" t="str">
        <f>IF(RIGHT(A1488,3)="000",C1488,VLOOKUP(B1488,'Справочник ИХ'!A:C,3,0))</f>
        <v>Минерально-строит.</v>
      </c>
      <c r="E1488" s="13">
        <f>IF(RIGHT(A1488,3)="000","х",VLOOKUP(B1488,'Справочник ИХ'!A:D,4,0))</f>
        <v>1</v>
      </c>
      <c r="F1488" s="14" t="s">
        <v>2441</v>
      </c>
    </row>
    <row r="1489" spans="1:6">
      <c r="A1489" s="19">
        <v>28103</v>
      </c>
      <c r="B1489" s="12" t="str">
        <f t="shared" si="23"/>
        <v>281</v>
      </c>
      <c r="C1489" s="1" t="s">
        <v>2444</v>
      </c>
      <c r="D1489" s="13" t="str">
        <f>IF(RIGHT(A1489,3)="000",C1489,VLOOKUP(B1489,'Справочник ИХ'!A:C,3,0))</f>
        <v>Минерально-строит.</v>
      </c>
      <c r="E1489" s="13">
        <f>IF(RIGHT(A1489,3)="000","х",VLOOKUP(B1489,'Справочник ИХ'!A:D,4,0))</f>
        <v>1</v>
      </c>
      <c r="F1489" s="14" t="s">
        <v>2441</v>
      </c>
    </row>
    <row r="1490" spans="1:6">
      <c r="A1490" s="19">
        <v>28104</v>
      </c>
      <c r="B1490" s="12" t="str">
        <f t="shared" si="23"/>
        <v>281</v>
      </c>
      <c r="C1490" s="1" t="s">
        <v>2445</v>
      </c>
      <c r="D1490" s="13" t="str">
        <f>IF(RIGHT(A1490,3)="000",C1490,VLOOKUP(B1490,'Справочник ИХ'!A:C,3,0))</f>
        <v>Минерально-строит.</v>
      </c>
      <c r="E1490" s="13">
        <f>IF(RIGHT(A1490,3)="000","х",VLOOKUP(B1490,'Справочник ИХ'!A:D,4,0))</f>
        <v>1</v>
      </c>
      <c r="F1490" s="14" t="s">
        <v>2441</v>
      </c>
    </row>
    <row r="1491" spans="1:6">
      <c r="A1491" s="19">
        <v>28105</v>
      </c>
      <c r="B1491" s="12" t="str">
        <f t="shared" si="23"/>
        <v>281</v>
      </c>
      <c r="C1491" s="1" t="s">
        <v>2446</v>
      </c>
      <c r="D1491" s="13" t="str">
        <f>IF(RIGHT(A1491,3)="000",C1491,VLOOKUP(B1491,'Справочник ИХ'!A:C,3,0))</f>
        <v>Минерально-строит.</v>
      </c>
      <c r="E1491" s="13">
        <f>IF(RIGHT(A1491,3)="000","х",VLOOKUP(B1491,'Справочник ИХ'!A:D,4,0))</f>
        <v>1</v>
      </c>
      <c r="F1491" s="14" t="s">
        <v>2441</v>
      </c>
    </row>
    <row r="1492" spans="1:6" ht="31.75">
      <c r="A1492" s="19">
        <v>28106</v>
      </c>
      <c r="B1492" s="12" t="str">
        <f t="shared" si="23"/>
        <v>281</v>
      </c>
      <c r="C1492" s="1" t="s">
        <v>2447</v>
      </c>
      <c r="D1492" s="13" t="str">
        <f>IF(RIGHT(A1492,3)="000",C1492,VLOOKUP(B1492,'Справочник ИХ'!A:C,3,0))</f>
        <v>Минерально-строит.</v>
      </c>
      <c r="E1492" s="13">
        <f>IF(RIGHT(A1492,3)="000","х",VLOOKUP(B1492,'Справочник ИХ'!A:D,4,0))</f>
        <v>1</v>
      </c>
      <c r="F1492" s="14" t="s">
        <v>2441</v>
      </c>
    </row>
    <row r="1493" spans="1:6" ht="31.75">
      <c r="A1493" s="19">
        <v>28107</v>
      </c>
      <c r="B1493" s="12" t="str">
        <f t="shared" si="23"/>
        <v>281</v>
      </c>
      <c r="C1493" s="1" t="s">
        <v>2448</v>
      </c>
      <c r="D1493" s="13" t="str">
        <f>IF(RIGHT(A1493,3)="000",C1493,VLOOKUP(B1493,'Справочник ИХ'!A:C,3,0))</f>
        <v>Минерально-строит.</v>
      </c>
      <c r="E1493" s="13">
        <f>IF(RIGHT(A1493,3)="000","х",VLOOKUP(B1493,'Справочник ИХ'!A:D,4,0))</f>
        <v>1</v>
      </c>
      <c r="F1493" s="14" t="s">
        <v>2441</v>
      </c>
    </row>
    <row r="1494" spans="1:6" ht="31.75">
      <c r="A1494" s="19">
        <v>28108</v>
      </c>
      <c r="B1494" s="12" t="str">
        <f t="shared" si="23"/>
        <v>281</v>
      </c>
      <c r="C1494" s="1" t="s">
        <v>2449</v>
      </c>
      <c r="D1494" s="13" t="str">
        <f>IF(RIGHT(A1494,3)="000",C1494,VLOOKUP(B1494,'Справочник ИХ'!A:C,3,0))</f>
        <v>Минерально-строит.</v>
      </c>
      <c r="E1494" s="13">
        <f>IF(RIGHT(A1494,3)="000","х",VLOOKUP(B1494,'Справочник ИХ'!A:D,4,0))</f>
        <v>1</v>
      </c>
      <c r="F1494" s="14" t="s">
        <v>2441</v>
      </c>
    </row>
    <row r="1495" spans="1:6" ht="31.75">
      <c r="A1495" s="19">
        <v>28109</v>
      </c>
      <c r="B1495" s="12" t="str">
        <f t="shared" si="23"/>
        <v>281</v>
      </c>
      <c r="C1495" s="1" t="s">
        <v>2450</v>
      </c>
      <c r="D1495" s="13" t="str">
        <f>IF(RIGHT(A1495,3)="000",C1495,VLOOKUP(B1495,'Справочник ИХ'!A:C,3,0))</f>
        <v>Минерально-строит.</v>
      </c>
      <c r="E1495" s="13">
        <f>IF(RIGHT(A1495,3)="000","х",VLOOKUP(B1495,'Справочник ИХ'!A:D,4,0))</f>
        <v>1</v>
      </c>
      <c r="F1495" s="14" t="s">
        <v>2441</v>
      </c>
    </row>
    <row r="1496" spans="1:6">
      <c r="A1496" s="19">
        <v>28110</v>
      </c>
      <c r="B1496" s="12" t="str">
        <f t="shared" si="23"/>
        <v>281</v>
      </c>
      <c r="C1496" s="1" t="s">
        <v>2451</v>
      </c>
      <c r="D1496" s="13" t="str">
        <f>IF(RIGHT(A1496,3)="000",C1496,VLOOKUP(B1496,'Справочник ИХ'!A:C,3,0))</f>
        <v>Минерально-строит.</v>
      </c>
      <c r="E1496" s="13">
        <f>IF(RIGHT(A1496,3)="000","х",VLOOKUP(B1496,'Справочник ИХ'!A:D,4,0))</f>
        <v>1</v>
      </c>
      <c r="F1496" s="14" t="s">
        <v>2441</v>
      </c>
    </row>
    <row r="1497" spans="1:6">
      <c r="A1497" s="19">
        <v>28111</v>
      </c>
      <c r="B1497" s="12" t="str">
        <f t="shared" si="23"/>
        <v>281</v>
      </c>
      <c r="C1497" s="1" t="s">
        <v>2452</v>
      </c>
      <c r="D1497" s="13" t="str">
        <f>IF(RIGHT(A1497,3)="000",C1497,VLOOKUP(B1497,'Справочник ИХ'!A:C,3,0))</f>
        <v>Минерально-строит.</v>
      </c>
      <c r="E1497" s="13">
        <f>IF(RIGHT(A1497,3)="000","х",VLOOKUP(B1497,'Справочник ИХ'!A:D,4,0))</f>
        <v>1</v>
      </c>
      <c r="F1497" s="14" t="s">
        <v>2441</v>
      </c>
    </row>
    <row r="1498" spans="1:6">
      <c r="A1498" s="19">
        <v>28112</v>
      </c>
      <c r="B1498" s="12" t="str">
        <f t="shared" si="23"/>
        <v>281</v>
      </c>
      <c r="C1498" s="1" t="s">
        <v>2453</v>
      </c>
      <c r="D1498" s="13" t="str">
        <f>IF(RIGHT(A1498,3)="000",C1498,VLOOKUP(B1498,'Справочник ИХ'!A:C,3,0))</f>
        <v>Минерально-строит.</v>
      </c>
      <c r="E1498" s="13">
        <f>IF(RIGHT(A1498,3)="000","х",VLOOKUP(B1498,'Справочник ИХ'!A:D,4,0))</f>
        <v>1</v>
      </c>
      <c r="F1498" s="14" t="s">
        <v>2441</v>
      </c>
    </row>
    <row r="1499" spans="1:6">
      <c r="A1499" s="19">
        <v>28113</v>
      </c>
      <c r="B1499" s="12" t="str">
        <f t="shared" si="23"/>
        <v>281</v>
      </c>
      <c r="C1499" s="1" t="s">
        <v>2454</v>
      </c>
      <c r="D1499" s="13" t="str">
        <f>IF(RIGHT(A1499,3)="000",C1499,VLOOKUP(B1499,'Справочник ИХ'!A:C,3,0))</f>
        <v>Минерально-строит.</v>
      </c>
      <c r="E1499" s="13">
        <f>IF(RIGHT(A1499,3)="000","х",VLOOKUP(B1499,'Справочник ИХ'!A:D,4,0))</f>
        <v>1</v>
      </c>
      <c r="F1499" s="14" t="s">
        <v>2441</v>
      </c>
    </row>
    <row r="1500" spans="1:6" ht="31.75">
      <c r="A1500" s="19">
        <v>28114</v>
      </c>
      <c r="B1500" s="12" t="str">
        <f t="shared" si="23"/>
        <v>281</v>
      </c>
      <c r="C1500" s="1" t="s">
        <v>2455</v>
      </c>
      <c r="D1500" s="13" t="str">
        <f>IF(RIGHT(A1500,3)="000",C1500,VLOOKUP(B1500,'Справочник ИХ'!A:C,3,0))</f>
        <v>Минерально-строит.</v>
      </c>
      <c r="E1500" s="13">
        <f>IF(RIGHT(A1500,3)="000","х",VLOOKUP(B1500,'Справочник ИХ'!A:D,4,0))</f>
        <v>1</v>
      </c>
      <c r="F1500" s="14" t="s">
        <v>2441</v>
      </c>
    </row>
    <row r="1501" spans="1:6">
      <c r="A1501" s="19">
        <v>28115</v>
      </c>
      <c r="B1501" s="12" t="str">
        <f t="shared" si="23"/>
        <v>281</v>
      </c>
      <c r="C1501" s="1" t="s">
        <v>2456</v>
      </c>
      <c r="D1501" s="13" t="str">
        <f>IF(RIGHT(A1501,3)="000",C1501,VLOOKUP(B1501,'Справочник ИХ'!A:C,3,0))</f>
        <v>Минерально-строит.</v>
      </c>
      <c r="E1501" s="13">
        <f>IF(RIGHT(A1501,3)="000","х",VLOOKUP(B1501,'Справочник ИХ'!A:D,4,0))</f>
        <v>1</v>
      </c>
      <c r="F1501" s="14" t="s">
        <v>2441</v>
      </c>
    </row>
    <row r="1502" spans="1:6">
      <c r="A1502" s="19">
        <v>28116</v>
      </c>
      <c r="B1502" s="12" t="str">
        <f t="shared" si="23"/>
        <v>281</v>
      </c>
      <c r="C1502" s="1" t="s">
        <v>2457</v>
      </c>
      <c r="D1502" s="13" t="str">
        <f>IF(RIGHT(A1502,3)="000",C1502,VLOOKUP(B1502,'Справочник ИХ'!A:C,3,0))</f>
        <v>Минерально-строит.</v>
      </c>
      <c r="E1502" s="13">
        <f>IF(RIGHT(A1502,3)="000","х",VLOOKUP(B1502,'Справочник ИХ'!A:D,4,0))</f>
        <v>1</v>
      </c>
      <c r="F1502" s="14" t="s">
        <v>2441</v>
      </c>
    </row>
    <row r="1503" spans="1:6">
      <c r="A1503" s="19">
        <v>28117</v>
      </c>
      <c r="B1503" s="12" t="str">
        <f t="shared" si="23"/>
        <v>281</v>
      </c>
      <c r="C1503" s="1" t="s">
        <v>2458</v>
      </c>
      <c r="D1503" s="13" t="str">
        <f>IF(RIGHT(A1503,3)="000",C1503,VLOOKUP(B1503,'Справочник ИХ'!A:C,3,0))</f>
        <v>Минерально-строит.</v>
      </c>
      <c r="E1503" s="13">
        <f>IF(RIGHT(A1503,3)="000","х",VLOOKUP(B1503,'Справочник ИХ'!A:D,4,0))</f>
        <v>1</v>
      </c>
      <c r="F1503" s="14" t="s">
        <v>2441</v>
      </c>
    </row>
    <row r="1504" spans="1:6">
      <c r="A1504" s="19">
        <v>28118</v>
      </c>
      <c r="B1504" s="12" t="str">
        <f t="shared" si="23"/>
        <v>281</v>
      </c>
      <c r="C1504" s="1" t="s">
        <v>2459</v>
      </c>
      <c r="D1504" s="13" t="str">
        <f>IF(RIGHT(A1504,3)="000",C1504,VLOOKUP(B1504,'Справочник ИХ'!A:C,3,0))</f>
        <v>Минерально-строит.</v>
      </c>
      <c r="E1504" s="13">
        <f>IF(RIGHT(A1504,3)="000","х",VLOOKUP(B1504,'Справочник ИХ'!A:D,4,0))</f>
        <v>1</v>
      </c>
      <c r="F1504" s="14" t="s">
        <v>2441</v>
      </c>
    </row>
    <row r="1505" spans="1:6">
      <c r="A1505" s="19">
        <v>28119</v>
      </c>
      <c r="B1505" s="12" t="str">
        <f t="shared" si="23"/>
        <v>281</v>
      </c>
      <c r="C1505" s="1" t="s">
        <v>2460</v>
      </c>
      <c r="D1505" s="13" t="str">
        <f>IF(RIGHT(A1505,3)="000",C1505,VLOOKUP(B1505,'Справочник ИХ'!A:C,3,0))</f>
        <v>Минерально-строит.</v>
      </c>
      <c r="E1505" s="13">
        <f>IF(RIGHT(A1505,3)="000","х",VLOOKUP(B1505,'Справочник ИХ'!A:D,4,0))</f>
        <v>1</v>
      </c>
      <c r="F1505" s="14" t="s">
        <v>2441</v>
      </c>
    </row>
    <row r="1506" spans="1:6" ht="31.75">
      <c r="A1506" s="19">
        <v>28120</v>
      </c>
      <c r="B1506" s="12" t="str">
        <f t="shared" si="23"/>
        <v>281</v>
      </c>
      <c r="C1506" s="1" t="s">
        <v>2461</v>
      </c>
      <c r="D1506" s="13" t="str">
        <f>IF(RIGHT(A1506,3)="000",C1506,VLOOKUP(B1506,'Справочник ИХ'!A:C,3,0))</f>
        <v>Минерально-строит.</v>
      </c>
      <c r="E1506" s="13">
        <f>IF(RIGHT(A1506,3)="000","х",VLOOKUP(B1506,'Справочник ИХ'!A:D,4,0))</f>
        <v>1</v>
      </c>
      <c r="F1506" s="14" t="s">
        <v>2441</v>
      </c>
    </row>
    <row r="1507" spans="1:6" s="15" customFormat="1">
      <c r="A1507" s="7">
        <v>29000</v>
      </c>
      <c r="B1507" s="12" t="str">
        <f t="shared" si="23"/>
        <v>290</v>
      </c>
      <c r="C1507" s="11" t="s">
        <v>2462</v>
      </c>
      <c r="D1507" s="13" t="str">
        <f>IF(RIGHT(A1507,3)="000",C1507,VLOOKUP(B1507,'Справочник ИХ'!A:C,3,0))</f>
        <v xml:space="preserve">Флюсы </v>
      </c>
      <c r="E1507" s="13" t="str">
        <f>IF(RIGHT(A1507,3)="000","х",VLOOKUP(B1507,'Справочник ИХ'!A:D,4,0))</f>
        <v>х</v>
      </c>
      <c r="F1507" s="14" t="s">
        <v>2462</v>
      </c>
    </row>
    <row r="1508" spans="1:6" s="18" customFormat="1">
      <c r="A1508" s="16">
        <v>29100</v>
      </c>
      <c r="B1508" s="12" t="str">
        <f t="shared" si="23"/>
        <v>291</v>
      </c>
      <c r="C1508" s="17" t="s">
        <v>2463</v>
      </c>
      <c r="D1508" s="13" t="str">
        <f>IF(RIGHT(A1508,3)="000",C1508,VLOOKUP(B1508,'Справочник ИХ'!A:C,3,0))</f>
        <v>Остальные грузы</v>
      </c>
      <c r="E1508" s="13">
        <f>IF(RIGHT(A1508,3)="000","х",VLOOKUP(B1508,'Справочник ИХ'!A:D,4,0))</f>
        <v>1</v>
      </c>
      <c r="F1508" s="14" t="s">
        <v>2462</v>
      </c>
    </row>
    <row r="1509" spans="1:6">
      <c r="A1509" s="19">
        <v>29101</v>
      </c>
      <c r="B1509" s="12" t="str">
        <f t="shared" si="23"/>
        <v>291</v>
      </c>
      <c r="C1509" s="1" t="s">
        <v>2464</v>
      </c>
      <c r="D1509" s="13" t="str">
        <f>IF(RIGHT(A1509,3)="000",C1509,VLOOKUP(B1509,'Справочник ИХ'!A:C,3,0))</f>
        <v>Остальные грузы</v>
      </c>
      <c r="E1509" s="13">
        <f>IF(RIGHT(A1509,3)="000","х",VLOOKUP(B1509,'Справочник ИХ'!A:D,4,0))</f>
        <v>1</v>
      </c>
      <c r="F1509" s="14" t="s">
        <v>2462</v>
      </c>
    </row>
    <row r="1510" spans="1:6">
      <c r="A1510" s="19">
        <v>29102</v>
      </c>
      <c r="B1510" s="12" t="str">
        <f t="shared" si="23"/>
        <v>291</v>
      </c>
      <c r="C1510" s="1" t="s">
        <v>2465</v>
      </c>
      <c r="D1510" s="13" t="str">
        <f>IF(RIGHT(A1510,3)="000",C1510,VLOOKUP(B1510,'Справочник ИХ'!A:C,3,0))</f>
        <v>Остальные грузы</v>
      </c>
      <c r="E1510" s="13">
        <f>IF(RIGHT(A1510,3)="000","х",VLOOKUP(B1510,'Справочник ИХ'!A:D,4,0))</f>
        <v>1</v>
      </c>
      <c r="F1510" s="14" t="s">
        <v>2462</v>
      </c>
    </row>
    <row r="1511" spans="1:6">
      <c r="A1511" s="19">
        <v>29103</v>
      </c>
      <c r="B1511" s="12" t="str">
        <f t="shared" si="23"/>
        <v>291</v>
      </c>
      <c r="C1511" s="1" t="s">
        <v>2466</v>
      </c>
      <c r="D1511" s="13" t="str">
        <f>IF(RIGHT(A1511,3)="000",C1511,VLOOKUP(B1511,'Справочник ИХ'!A:C,3,0))</f>
        <v>Остальные грузы</v>
      </c>
      <c r="E1511" s="13">
        <f>IF(RIGHT(A1511,3)="000","х",VLOOKUP(B1511,'Справочник ИХ'!A:D,4,0))</f>
        <v>1</v>
      </c>
      <c r="F1511" s="14" t="s">
        <v>2462</v>
      </c>
    </row>
    <row r="1512" spans="1:6" ht="31.75">
      <c r="A1512" s="19">
        <v>29104</v>
      </c>
      <c r="B1512" s="12" t="str">
        <f t="shared" si="23"/>
        <v>291</v>
      </c>
      <c r="C1512" s="1" t="s">
        <v>2467</v>
      </c>
      <c r="D1512" s="13" t="str">
        <f>IF(RIGHT(A1512,3)="000",C1512,VLOOKUP(B1512,'Справочник ИХ'!A:C,3,0))</f>
        <v>Остальные грузы</v>
      </c>
      <c r="E1512" s="13">
        <f>IF(RIGHT(A1512,3)="000","х",VLOOKUP(B1512,'Справочник ИХ'!A:D,4,0))</f>
        <v>1</v>
      </c>
      <c r="F1512" s="14" t="s">
        <v>2462</v>
      </c>
    </row>
    <row r="1513" spans="1:6">
      <c r="A1513" s="19">
        <v>29105</v>
      </c>
      <c r="B1513" s="12" t="str">
        <f t="shared" si="23"/>
        <v>291</v>
      </c>
      <c r="C1513" s="1" t="s">
        <v>2468</v>
      </c>
      <c r="D1513" s="13" t="str">
        <f>IF(RIGHT(A1513,3)="000",C1513,VLOOKUP(B1513,'Справочник ИХ'!A:C,3,0))</f>
        <v>Остальные грузы</v>
      </c>
      <c r="E1513" s="13">
        <f>IF(RIGHT(A1513,3)="000","х",VLOOKUP(B1513,'Справочник ИХ'!A:D,4,0))</f>
        <v>1</v>
      </c>
      <c r="F1513" s="14" t="s">
        <v>2462</v>
      </c>
    </row>
    <row r="1514" spans="1:6" s="18" customFormat="1">
      <c r="A1514" s="16">
        <v>29200</v>
      </c>
      <c r="B1514" s="12" t="str">
        <f t="shared" si="23"/>
        <v>292</v>
      </c>
      <c r="C1514" s="17" t="s">
        <v>2469</v>
      </c>
      <c r="D1514" s="13" t="str">
        <f>IF(RIGHT(A1514,3)="000",C1514,VLOOKUP(B1514,'Справочник ИХ'!A:C,3,0))</f>
        <v>Остальные грузы</v>
      </c>
      <c r="E1514" s="13">
        <f>IF(RIGHT(A1514,3)="000","х",VLOOKUP(B1514,'Справочник ИХ'!A:D,4,0))</f>
        <v>1</v>
      </c>
      <c r="F1514" s="14" t="s">
        <v>2462</v>
      </c>
    </row>
    <row r="1515" spans="1:6">
      <c r="A1515" s="19">
        <v>29201</v>
      </c>
      <c r="B1515" s="12" t="str">
        <f t="shared" si="23"/>
        <v>292</v>
      </c>
      <c r="C1515" s="1" t="s">
        <v>2470</v>
      </c>
      <c r="D1515" s="13" t="str">
        <f>IF(RIGHT(A1515,3)="000",C1515,VLOOKUP(B1515,'Справочник ИХ'!A:C,3,0))</f>
        <v>Остальные грузы</v>
      </c>
      <c r="E1515" s="13">
        <f>IF(RIGHT(A1515,3)="000","х",VLOOKUP(B1515,'Справочник ИХ'!A:D,4,0))</f>
        <v>1</v>
      </c>
      <c r="F1515" s="14" t="s">
        <v>2462</v>
      </c>
    </row>
    <row r="1516" spans="1:6">
      <c r="A1516" s="19">
        <v>29202</v>
      </c>
      <c r="B1516" s="12" t="str">
        <f t="shared" si="23"/>
        <v>292</v>
      </c>
      <c r="C1516" s="1" t="s">
        <v>2471</v>
      </c>
      <c r="D1516" s="13" t="str">
        <f>IF(RIGHT(A1516,3)="000",C1516,VLOOKUP(B1516,'Справочник ИХ'!A:C,3,0))</f>
        <v>Остальные грузы</v>
      </c>
      <c r="E1516" s="13">
        <f>IF(RIGHT(A1516,3)="000","х",VLOOKUP(B1516,'Справочник ИХ'!A:D,4,0))</f>
        <v>1</v>
      </c>
      <c r="F1516" s="14" t="s">
        <v>2462</v>
      </c>
    </row>
    <row r="1517" spans="1:6">
      <c r="A1517" s="19">
        <v>29203</v>
      </c>
      <c r="B1517" s="12" t="str">
        <f t="shared" si="23"/>
        <v>292</v>
      </c>
      <c r="C1517" s="1" t="s">
        <v>2472</v>
      </c>
      <c r="D1517" s="13" t="str">
        <f>IF(RIGHT(A1517,3)="000",C1517,VLOOKUP(B1517,'Справочник ИХ'!A:C,3,0))</f>
        <v>Остальные грузы</v>
      </c>
      <c r="E1517" s="13">
        <f>IF(RIGHT(A1517,3)="000","х",VLOOKUP(B1517,'Справочник ИХ'!A:D,4,0))</f>
        <v>1</v>
      </c>
      <c r="F1517" s="14" t="s">
        <v>2462</v>
      </c>
    </row>
    <row r="1518" spans="1:6" s="15" customFormat="1" ht="31.75">
      <c r="A1518" s="7">
        <v>30000</v>
      </c>
      <c r="B1518" s="12" t="str">
        <f t="shared" si="23"/>
        <v>300</v>
      </c>
      <c r="C1518" s="11" t="s">
        <v>2473</v>
      </c>
      <c r="D1518" s="13" t="str">
        <f>IF(RIGHT(A1518,3)="000",C1518,VLOOKUP(B1518,'Справочник ИХ'!A:C,3,0))</f>
        <v xml:space="preserve">Огнеупоры, асбест и слюда </v>
      </c>
      <c r="E1518" s="13" t="str">
        <f>IF(RIGHT(A1518,3)="000","х",VLOOKUP(B1518,'Справочник ИХ'!A:D,4,0))</f>
        <v>х</v>
      </c>
      <c r="F1518" s="14" t="s">
        <v>2473</v>
      </c>
    </row>
    <row r="1519" spans="1:6" s="18" customFormat="1">
      <c r="A1519" s="16">
        <v>30100</v>
      </c>
      <c r="B1519" s="12" t="str">
        <f t="shared" si="23"/>
        <v>301</v>
      </c>
      <c r="C1519" s="17" t="s">
        <v>2474</v>
      </c>
      <c r="D1519" s="13" t="str">
        <f>IF(RIGHT(A1519,3)="000",C1519,VLOOKUP(B1519,'Справочник ИХ'!A:C,3,0))</f>
        <v>Минерально-строит.</v>
      </c>
      <c r="E1519" s="13">
        <f>IF(RIGHT(A1519,3)="000","х",VLOOKUP(B1519,'Справочник ИХ'!A:D,4,0))</f>
        <v>1</v>
      </c>
      <c r="F1519" s="14" t="s">
        <v>2473</v>
      </c>
    </row>
    <row r="1520" spans="1:6" ht="31.75">
      <c r="A1520" s="19">
        <v>30101</v>
      </c>
      <c r="B1520" s="12" t="str">
        <f t="shared" si="23"/>
        <v>301</v>
      </c>
      <c r="C1520" s="1" t="s">
        <v>2475</v>
      </c>
      <c r="D1520" s="13" t="str">
        <f>IF(RIGHT(A1520,3)="000",C1520,VLOOKUP(B1520,'Справочник ИХ'!A:C,3,0))</f>
        <v>Минерально-строит.</v>
      </c>
      <c r="E1520" s="13">
        <f>IF(RIGHT(A1520,3)="000","х",VLOOKUP(B1520,'Справочник ИХ'!A:D,4,0))</f>
        <v>1</v>
      </c>
      <c r="F1520" s="14" t="s">
        <v>2473</v>
      </c>
    </row>
    <row r="1521" spans="1:6">
      <c r="A1521" s="19">
        <v>30102</v>
      </c>
      <c r="B1521" s="12" t="str">
        <f t="shared" si="23"/>
        <v>301</v>
      </c>
      <c r="C1521" s="1" t="s">
        <v>2476</v>
      </c>
      <c r="D1521" s="13" t="str">
        <f>IF(RIGHT(A1521,3)="000",C1521,VLOOKUP(B1521,'Справочник ИХ'!A:C,3,0))</f>
        <v>Минерально-строит.</v>
      </c>
      <c r="E1521" s="13">
        <f>IF(RIGHT(A1521,3)="000","х",VLOOKUP(B1521,'Справочник ИХ'!A:D,4,0))</f>
        <v>1</v>
      </c>
      <c r="F1521" s="14" t="s">
        <v>2473</v>
      </c>
    </row>
    <row r="1522" spans="1:6">
      <c r="A1522" s="19">
        <v>30103</v>
      </c>
      <c r="B1522" s="12" t="str">
        <f t="shared" si="23"/>
        <v>301</v>
      </c>
      <c r="C1522" s="1" t="s">
        <v>2477</v>
      </c>
      <c r="D1522" s="13" t="str">
        <f>IF(RIGHT(A1522,3)="000",C1522,VLOOKUP(B1522,'Справочник ИХ'!A:C,3,0))</f>
        <v>Минерально-строит.</v>
      </c>
      <c r="E1522" s="13">
        <f>IF(RIGHT(A1522,3)="000","х",VLOOKUP(B1522,'Справочник ИХ'!A:D,4,0))</f>
        <v>1</v>
      </c>
      <c r="F1522" s="14" t="s">
        <v>2473</v>
      </c>
    </row>
    <row r="1523" spans="1:6">
      <c r="A1523" s="19">
        <v>30104</v>
      </c>
      <c r="B1523" s="12" t="str">
        <f t="shared" si="23"/>
        <v>301</v>
      </c>
      <c r="C1523" s="1" t="s">
        <v>2478</v>
      </c>
      <c r="D1523" s="13" t="str">
        <f>IF(RIGHT(A1523,3)="000",C1523,VLOOKUP(B1523,'Справочник ИХ'!A:C,3,0))</f>
        <v>Минерально-строит.</v>
      </c>
      <c r="E1523" s="13">
        <f>IF(RIGHT(A1523,3)="000","х",VLOOKUP(B1523,'Справочник ИХ'!A:D,4,0))</f>
        <v>1</v>
      </c>
      <c r="F1523" s="14" t="s">
        <v>2473</v>
      </c>
    </row>
    <row r="1524" spans="1:6" ht="31.75">
      <c r="A1524" s="19">
        <v>30105</v>
      </c>
      <c r="B1524" s="12" t="str">
        <f t="shared" si="23"/>
        <v>301</v>
      </c>
      <c r="C1524" s="1" t="s">
        <v>2479</v>
      </c>
      <c r="D1524" s="13" t="str">
        <f>IF(RIGHT(A1524,3)="000",C1524,VLOOKUP(B1524,'Справочник ИХ'!A:C,3,0))</f>
        <v>Минерально-строит.</v>
      </c>
      <c r="E1524" s="13">
        <f>IF(RIGHT(A1524,3)="000","х",VLOOKUP(B1524,'Справочник ИХ'!A:D,4,0))</f>
        <v>1</v>
      </c>
      <c r="F1524" s="14" t="s">
        <v>2473</v>
      </c>
    </row>
    <row r="1525" spans="1:6">
      <c r="A1525" s="19">
        <v>30106</v>
      </c>
      <c r="B1525" s="12" t="str">
        <f t="shared" si="23"/>
        <v>301</v>
      </c>
      <c r="C1525" s="1" t="s">
        <v>2480</v>
      </c>
      <c r="D1525" s="13" t="str">
        <f>IF(RIGHT(A1525,3)="000",C1525,VLOOKUP(B1525,'Справочник ИХ'!A:C,3,0))</f>
        <v>Минерально-строит.</v>
      </c>
      <c r="E1525" s="13">
        <f>IF(RIGHT(A1525,3)="000","х",VLOOKUP(B1525,'Справочник ИХ'!A:D,4,0))</f>
        <v>1</v>
      </c>
      <c r="F1525" s="14" t="s">
        <v>2473</v>
      </c>
    </row>
    <row r="1526" spans="1:6" ht="31.75">
      <c r="A1526" s="19">
        <v>30107</v>
      </c>
      <c r="B1526" s="12" t="str">
        <f t="shared" si="23"/>
        <v>301</v>
      </c>
      <c r="C1526" s="1" t="s">
        <v>2481</v>
      </c>
      <c r="D1526" s="13" t="str">
        <f>IF(RIGHT(A1526,3)="000",C1526,VLOOKUP(B1526,'Справочник ИХ'!A:C,3,0))</f>
        <v>Минерально-строит.</v>
      </c>
      <c r="E1526" s="13">
        <f>IF(RIGHT(A1526,3)="000","х",VLOOKUP(B1526,'Справочник ИХ'!A:D,4,0))</f>
        <v>1</v>
      </c>
      <c r="F1526" s="14" t="s">
        <v>2473</v>
      </c>
    </row>
    <row r="1527" spans="1:6">
      <c r="A1527" s="19">
        <v>30108</v>
      </c>
      <c r="B1527" s="12" t="str">
        <f t="shared" si="23"/>
        <v>301</v>
      </c>
      <c r="C1527" s="1" t="s">
        <v>2482</v>
      </c>
      <c r="D1527" s="13" t="str">
        <f>IF(RIGHT(A1527,3)="000",C1527,VLOOKUP(B1527,'Справочник ИХ'!A:C,3,0))</f>
        <v>Минерально-строит.</v>
      </c>
      <c r="E1527" s="13">
        <f>IF(RIGHT(A1527,3)="000","х",VLOOKUP(B1527,'Справочник ИХ'!A:D,4,0))</f>
        <v>1</v>
      </c>
      <c r="F1527" s="14" t="s">
        <v>2473</v>
      </c>
    </row>
    <row r="1528" spans="1:6">
      <c r="A1528" s="19">
        <v>30109</v>
      </c>
      <c r="B1528" s="12" t="str">
        <f t="shared" si="23"/>
        <v>301</v>
      </c>
      <c r="C1528" s="1" t="s">
        <v>2483</v>
      </c>
      <c r="D1528" s="13" t="str">
        <f>IF(RIGHT(A1528,3)="000",C1528,VLOOKUP(B1528,'Справочник ИХ'!A:C,3,0))</f>
        <v>Минерально-строит.</v>
      </c>
      <c r="E1528" s="13">
        <f>IF(RIGHT(A1528,3)="000","х",VLOOKUP(B1528,'Справочник ИХ'!A:D,4,0))</f>
        <v>1</v>
      </c>
      <c r="F1528" s="14" t="s">
        <v>2473</v>
      </c>
    </row>
    <row r="1529" spans="1:6" s="18" customFormat="1">
      <c r="A1529" s="16">
        <v>30200</v>
      </c>
      <c r="B1529" s="12" t="str">
        <f t="shared" si="23"/>
        <v>302</v>
      </c>
      <c r="C1529" s="17" t="s">
        <v>2484</v>
      </c>
      <c r="D1529" s="13" t="str">
        <f>IF(RIGHT(A1529,3)="000",C1529,VLOOKUP(B1529,'Справочник ИХ'!A:C,3,0))</f>
        <v>Минерально-строит.</v>
      </c>
      <c r="E1529" s="13">
        <f>IF(RIGHT(A1529,3)="000","х",VLOOKUP(B1529,'Справочник ИХ'!A:D,4,0))</f>
        <v>2</v>
      </c>
      <c r="F1529" s="14" t="s">
        <v>2473</v>
      </c>
    </row>
    <row r="1530" spans="1:6">
      <c r="A1530" s="19">
        <v>30201</v>
      </c>
      <c r="B1530" s="12" t="str">
        <f t="shared" si="23"/>
        <v>302</v>
      </c>
      <c r="C1530" s="1" t="s">
        <v>2485</v>
      </c>
      <c r="D1530" s="13" t="str">
        <f>IF(RIGHT(A1530,3)="000",C1530,VLOOKUP(B1530,'Справочник ИХ'!A:C,3,0))</f>
        <v>Минерально-строит.</v>
      </c>
      <c r="E1530" s="13">
        <f>IF(RIGHT(A1530,3)="000","х",VLOOKUP(B1530,'Справочник ИХ'!A:D,4,0))</f>
        <v>2</v>
      </c>
      <c r="F1530" s="14" t="s">
        <v>2473</v>
      </c>
    </row>
    <row r="1531" spans="1:6" ht="31.75">
      <c r="A1531" s="19">
        <v>30202</v>
      </c>
      <c r="B1531" s="12" t="str">
        <f t="shared" si="23"/>
        <v>302</v>
      </c>
      <c r="C1531" s="1" t="s">
        <v>2486</v>
      </c>
      <c r="D1531" s="13" t="str">
        <f>IF(RIGHT(A1531,3)="000",C1531,VLOOKUP(B1531,'Справочник ИХ'!A:C,3,0))</f>
        <v>Минерально-строит.</v>
      </c>
      <c r="E1531" s="13">
        <f>IF(RIGHT(A1531,3)="000","х",VLOOKUP(B1531,'Справочник ИХ'!A:D,4,0))</f>
        <v>2</v>
      </c>
      <c r="F1531" s="14" t="s">
        <v>2473</v>
      </c>
    </row>
    <row r="1532" spans="1:6" ht="63.45">
      <c r="A1532" s="19">
        <v>30203</v>
      </c>
      <c r="B1532" s="12" t="str">
        <f t="shared" si="23"/>
        <v>302</v>
      </c>
      <c r="C1532" s="1" t="s">
        <v>2487</v>
      </c>
      <c r="D1532" s="13" t="str">
        <f>IF(RIGHT(A1532,3)="000",C1532,VLOOKUP(B1532,'Справочник ИХ'!A:C,3,0))</f>
        <v>Минерально-строит.</v>
      </c>
      <c r="E1532" s="13">
        <f>IF(RIGHT(A1532,3)="000","х",VLOOKUP(B1532,'Справочник ИХ'!A:D,4,0))</f>
        <v>2</v>
      </c>
      <c r="F1532" s="14" t="s">
        <v>2473</v>
      </c>
    </row>
    <row r="1533" spans="1:6">
      <c r="A1533" s="19">
        <v>30204</v>
      </c>
      <c r="B1533" s="12" t="str">
        <f t="shared" si="23"/>
        <v>302</v>
      </c>
      <c r="C1533" s="1" t="s">
        <v>2488</v>
      </c>
      <c r="D1533" s="13" t="str">
        <f>IF(RIGHT(A1533,3)="000",C1533,VLOOKUP(B1533,'Справочник ИХ'!A:C,3,0))</f>
        <v>Минерально-строит.</v>
      </c>
      <c r="E1533" s="13">
        <f>IF(RIGHT(A1533,3)="000","х",VLOOKUP(B1533,'Справочник ИХ'!A:D,4,0))</f>
        <v>2</v>
      </c>
      <c r="F1533" s="14" t="s">
        <v>2473</v>
      </c>
    </row>
    <row r="1534" spans="1:6">
      <c r="A1534" s="19">
        <v>30205</v>
      </c>
      <c r="B1534" s="12" t="str">
        <f t="shared" si="23"/>
        <v>302</v>
      </c>
      <c r="C1534" s="1" t="s">
        <v>2489</v>
      </c>
      <c r="D1534" s="13" t="str">
        <f>IF(RIGHT(A1534,3)="000",C1534,VLOOKUP(B1534,'Справочник ИХ'!A:C,3,0))</f>
        <v>Минерально-строит.</v>
      </c>
      <c r="E1534" s="13">
        <f>IF(RIGHT(A1534,3)="000","х",VLOOKUP(B1534,'Справочник ИХ'!A:D,4,0))</f>
        <v>2</v>
      </c>
      <c r="F1534" s="14" t="s">
        <v>2473</v>
      </c>
    </row>
    <row r="1535" spans="1:6">
      <c r="A1535" s="19">
        <v>30206</v>
      </c>
      <c r="B1535" s="12" t="str">
        <f t="shared" si="23"/>
        <v>302</v>
      </c>
      <c r="C1535" s="1" t="s">
        <v>2490</v>
      </c>
      <c r="D1535" s="13" t="str">
        <f>IF(RIGHT(A1535,3)="000",C1535,VLOOKUP(B1535,'Справочник ИХ'!A:C,3,0))</f>
        <v>Минерально-строит.</v>
      </c>
      <c r="E1535" s="13">
        <f>IF(RIGHT(A1535,3)="000","х",VLOOKUP(B1535,'Справочник ИХ'!A:D,4,0))</f>
        <v>2</v>
      </c>
      <c r="F1535" s="14" t="s">
        <v>2473</v>
      </c>
    </row>
    <row r="1536" spans="1:6" s="18" customFormat="1" ht="47.6">
      <c r="A1536" s="16">
        <v>30300</v>
      </c>
      <c r="B1536" s="12" t="str">
        <f t="shared" si="23"/>
        <v>303</v>
      </c>
      <c r="C1536" s="17" t="s">
        <v>2491</v>
      </c>
      <c r="D1536" s="13" t="str">
        <f>IF(RIGHT(A1536,3)="000",C1536,VLOOKUP(B1536,'Справочник ИХ'!A:C,3,0))</f>
        <v>Минерально-строит.</v>
      </c>
      <c r="E1536" s="13">
        <f>IF(RIGHT(A1536,3)="000","х",VLOOKUP(B1536,'Справочник ИХ'!A:D,4,0))</f>
        <v>2</v>
      </c>
      <c r="F1536" s="14" t="s">
        <v>2473</v>
      </c>
    </row>
    <row r="1537" spans="1:6">
      <c r="A1537" s="19">
        <v>30301</v>
      </c>
      <c r="B1537" s="12" t="str">
        <f t="shared" si="23"/>
        <v>303</v>
      </c>
      <c r="C1537" s="1" t="s">
        <v>2492</v>
      </c>
      <c r="D1537" s="13" t="str">
        <f>IF(RIGHT(A1537,3)="000",C1537,VLOOKUP(B1537,'Справочник ИХ'!A:C,3,0))</f>
        <v>Минерально-строит.</v>
      </c>
      <c r="E1537" s="13">
        <f>IF(RIGHT(A1537,3)="000","х",VLOOKUP(B1537,'Справочник ИХ'!A:D,4,0))</f>
        <v>2</v>
      </c>
      <c r="F1537" s="14" t="s">
        <v>2473</v>
      </c>
    </row>
    <row r="1538" spans="1:6">
      <c r="A1538" s="19">
        <v>30302</v>
      </c>
      <c r="B1538" s="12" t="str">
        <f t="shared" si="23"/>
        <v>303</v>
      </c>
      <c r="C1538" s="1" t="s">
        <v>2493</v>
      </c>
      <c r="D1538" s="13" t="str">
        <f>IF(RIGHT(A1538,3)="000",C1538,VLOOKUP(B1538,'Справочник ИХ'!A:C,3,0))</f>
        <v>Минерально-строит.</v>
      </c>
      <c r="E1538" s="13">
        <f>IF(RIGHT(A1538,3)="000","х",VLOOKUP(B1538,'Справочник ИХ'!A:D,4,0))</f>
        <v>2</v>
      </c>
      <c r="F1538" s="14" t="s">
        <v>2473</v>
      </c>
    </row>
    <row r="1539" spans="1:6">
      <c r="A1539" s="19">
        <v>30303</v>
      </c>
      <c r="B1539" s="12" t="str">
        <f t="shared" si="23"/>
        <v>303</v>
      </c>
      <c r="C1539" s="1" t="s">
        <v>2494</v>
      </c>
      <c r="D1539" s="13" t="str">
        <f>IF(RIGHT(A1539,3)="000",C1539,VLOOKUP(B1539,'Справочник ИХ'!A:C,3,0))</f>
        <v>Минерально-строит.</v>
      </c>
      <c r="E1539" s="13">
        <f>IF(RIGHT(A1539,3)="000","х",VLOOKUP(B1539,'Справочник ИХ'!A:D,4,0))</f>
        <v>2</v>
      </c>
      <c r="F1539" s="14" t="s">
        <v>2473</v>
      </c>
    </row>
    <row r="1540" spans="1:6" ht="31.75">
      <c r="A1540" s="19">
        <v>30304</v>
      </c>
      <c r="B1540" s="12" t="str">
        <f t="shared" ref="B1540:B1603" si="24">LEFT(A1540,3)</f>
        <v>303</v>
      </c>
      <c r="C1540" s="1" t="s">
        <v>2495</v>
      </c>
      <c r="D1540" s="13" t="str">
        <f>IF(RIGHT(A1540,3)="000",C1540,VLOOKUP(B1540,'Справочник ИХ'!A:C,3,0))</f>
        <v>Минерально-строит.</v>
      </c>
      <c r="E1540" s="13">
        <f>IF(RIGHT(A1540,3)="000","х",VLOOKUP(B1540,'Справочник ИХ'!A:D,4,0))</f>
        <v>2</v>
      </c>
      <c r="F1540" s="14" t="s">
        <v>2473</v>
      </c>
    </row>
    <row r="1541" spans="1:6" ht="31.75">
      <c r="A1541" s="19">
        <v>30305</v>
      </c>
      <c r="B1541" s="12" t="str">
        <f t="shared" si="24"/>
        <v>303</v>
      </c>
      <c r="C1541" s="1" t="s">
        <v>2496</v>
      </c>
      <c r="D1541" s="13" t="str">
        <f>IF(RIGHT(A1541,3)="000",C1541,VLOOKUP(B1541,'Справочник ИХ'!A:C,3,0))</f>
        <v>Минерально-строит.</v>
      </c>
      <c r="E1541" s="13">
        <f>IF(RIGHT(A1541,3)="000","х",VLOOKUP(B1541,'Справочник ИХ'!A:D,4,0))</f>
        <v>2</v>
      </c>
      <c r="F1541" s="14" t="s">
        <v>2473</v>
      </c>
    </row>
    <row r="1542" spans="1:6" ht="31.75">
      <c r="A1542" s="19">
        <v>30306</v>
      </c>
      <c r="B1542" s="12" t="str">
        <f t="shared" si="24"/>
        <v>303</v>
      </c>
      <c r="C1542" s="1" t="s">
        <v>2497</v>
      </c>
      <c r="D1542" s="13" t="str">
        <f>IF(RIGHT(A1542,3)="000",C1542,VLOOKUP(B1542,'Справочник ИХ'!A:C,3,0))</f>
        <v>Минерально-строит.</v>
      </c>
      <c r="E1542" s="13">
        <f>IF(RIGHT(A1542,3)="000","х",VLOOKUP(B1542,'Справочник ИХ'!A:D,4,0))</f>
        <v>2</v>
      </c>
      <c r="F1542" s="14" t="s">
        <v>2473</v>
      </c>
    </row>
    <row r="1543" spans="1:6">
      <c r="A1543" s="19">
        <v>30307</v>
      </c>
      <c r="B1543" s="12" t="str">
        <f t="shared" si="24"/>
        <v>303</v>
      </c>
      <c r="C1543" s="1" t="s">
        <v>2498</v>
      </c>
      <c r="D1543" s="13" t="str">
        <f>IF(RIGHT(A1543,3)="000",C1543,VLOOKUP(B1543,'Справочник ИХ'!A:C,3,0))</f>
        <v>Минерально-строит.</v>
      </c>
      <c r="E1543" s="13">
        <f>IF(RIGHT(A1543,3)="000","х",VLOOKUP(B1543,'Справочник ИХ'!A:D,4,0))</f>
        <v>2</v>
      </c>
      <c r="F1543" s="14" t="s">
        <v>2473</v>
      </c>
    </row>
    <row r="1544" spans="1:6" ht="31.75">
      <c r="A1544" s="19">
        <v>30308</v>
      </c>
      <c r="B1544" s="12" t="str">
        <f t="shared" si="24"/>
        <v>303</v>
      </c>
      <c r="C1544" s="1" t="s">
        <v>2499</v>
      </c>
      <c r="D1544" s="13" t="str">
        <f>IF(RIGHT(A1544,3)="000",C1544,VLOOKUP(B1544,'Справочник ИХ'!A:C,3,0))</f>
        <v>Минерально-строит.</v>
      </c>
      <c r="E1544" s="13">
        <f>IF(RIGHT(A1544,3)="000","х",VLOOKUP(B1544,'Справочник ИХ'!A:D,4,0))</f>
        <v>2</v>
      </c>
      <c r="F1544" s="14" t="s">
        <v>2473</v>
      </c>
    </row>
    <row r="1545" spans="1:6">
      <c r="A1545" s="19">
        <v>30309</v>
      </c>
      <c r="B1545" s="12" t="str">
        <f t="shared" si="24"/>
        <v>303</v>
      </c>
      <c r="C1545" s="1" t="s">
        <v>2500</v>
      </c>
      <c r="D1545" s="13" t="str">
        <f>IF(RIGHT(A1545,3)="000",C1545,VLOOKUP(B1545,'Справочник ИХ'!A:C,3,0))</f>
        <v>Минерально-строит.</v>
      </c>
      <c r="E1545" s="13">
        <f>IF(RIGHT(A1545,3)="000","х",VLOOKUP(B1545,'Справочник ИХ'!A:D,4,0))</f>
        <v>2</v>
      </c>
      <c r="F1545" s="14" t="s">
        <v>2473</v>
      </c>
    </row>
    <row r="1546" spans="1:6">
      <c r="A1546" s="19">
        <v>30310</v>
      </c>
      <c r="B1546" s="12" t="str">
        <f t="shared" si="24"/>
        <v>303</v>
      </c>
      <c r="C1546" s="1" t="s">
        <v>2501</v>
      </c>
      <c r="D1546" s="13" t="str">
        <f>IF(RIGHT(A1546,3)="000",C1546,VLOOKUP(B1546,'Справочник ИХ'!A:C,3,0))</f>
        <v>Минерально-строит.</v>
      </c>
      <c r="E1546" s="13">
        <f>IF(RIGHT(A1546,3)="000","х",VLOOKUP(B1546,'Справочник ИХ'!A:D,4,0))</f>
        <v>2</v>
      </c>
      <c r="F1546" s="14" t="s">
        <v>2473</v>
      </c>
    </row>
    <row r="1547" spans="1:6" ht="31.75">
      <c r="A1547" s="19">
        <v>30311</v>
      </c>
      <c r="B1547" s="12" t="str">
        <f t="shared" si="24"/>
        <v>303</v>
      </c>
      <c r="C1547" s="1" t="s">
        <v>2502</v>
      </c>
      <c r="D1547" s="13" t="str">
        <f>IF(RIGHT(A1547,3)="000",C1547,VLOOKUP(B1547,'Справочник ИХ'!A:C,3,0))</f>
        <v>Минерально-строит.</v>
      </c>
      <c r="E1547" s="13">
        <f>IF(RIGHT(A1547,3)="000","х",VLOOKUP(B1547,'Справочник ИХ'!A:D,4,0))</f>
        <v>2</v>
      </c>
      <c r="F1547" s="14" t="s">
        <v>2473</v>
      </c>
    </row>
    <row r="1548" spans="1:6" ht="31.75">
      <c r="A1548" s="19">
        <v>30312</v>
      </c>
      <c r="B1548" s="12" t="str">
        <f t="shared" si="24"/>
        <v>303</v>
      </c>
      <c r="C1548" s="1" t="s">
        <v>2503</v>
      </c>
      <c r="D1548" s="13" t="str">
        <f>IF(RIGHT(A1548,3)="000",C1548,VLOOKUP(B1548,'Справочник ИХ'!A:C,3,0))</f>
        <v>Минерально-строит.</v>
      </c>
      <c r="E1548" s="13">
        <f>IF(RIGHT(A1548,3)="000","х",VLOOKUP(B1548,'Справочник ИХ'!A:D,4,0))</f>
        <v>2</v>
      </c>
      <c r="F1548" s="14" t="s">
        <v>2473</v>
      </c>
    </row>
    <row r="1549" spans="1:6">
      <c r="A1549" s="19">
        <v>30313</v>
      </c>
      <c r="B1549" s="12" t="str">
        <f t="shared" si="24"/>
        <v>303</v>
      </c>
      <c r="C1549" s="1" t="s">
        <v>2504</v>
      </c>
      <c r="D1549" s="13" t="str">
        <f>IF(RIGHT(A1549,3)="000",C1549,VLOOKUP(B1549,'Справочник ИХ'!A:C,3,0))</f>
        <v>Минерально-строит.</v>
      </c>
      <c r="E1549" s="13">
        <f>IF(RIGHT(A1549,3)="000","х",VLOOKUP(B1549,'Справочник ИХ'!A:D,4,0))</f>
        <v>2</v>
      </c>
      <c r="F1549" s="14" t="s">
        <v>2473</v>
      </c>
    </row>
    <row r="1550" spans="1:6">
      <c r="A1550" s="19">
        <v>30314</v>
      </c>
      <c r="B1550" s="12" t="str">
        <f t="shared" si="24"/>
        <v>303</v>
      </c>
      <c r="C1550" s="1" t="s">
        <v>2505</v>
      </c>
      <c r="D1550" s="13" t="str">
        <f>IF(RIGHT(A1550,3)="000",C1550,VLOOKUP(B1550,'Справочник ИХ'!A:C,3,0))</f>
        <v>Минерально-строит.</v>
      </c>
      <c r="E1550" s="13">
        <f>IF(RIGHT(A1550,3)="000","х",VLOOKUP(B1550,'Справочник ИХ'!A:D,4,0))</f>
        <v>2</v>
      </c>
      <c r="F1550" s="14" t="s">
        <v>2473</v>
      </c>
    </row>
    <row r="1551" spans="1:6">
      <c r="A1551" s="19">
        <v>30315</v>
      </c>
      <c r="B1551" s="12" t="str">
        <f t="shared" si="24"/>
        <v>303</v>
      </c>
      <c r="C1551" s="1" t="s">
        <v>2506</v>
      </c>
      <c r="D1551" s="13" t="str">
        <f>IF(RIGHT(A1551,3)="000",C1551,VLOOKUP(B1551,'Справочник ИХ'!A:C,3,0))</f>
        <v>Минерально-строит.</v>
      </c>
      <c r="E1551" s="13">
        <f>IF(RIGHT(A1551,3)="000","х",VLOOKUP(B1551,'Справочник ИХ'!A:D,4,0))</f>
        <v>2</v>
      </c>
      <c r="F1551" s="14" t="s">
        <v>2473</v>
      </c>
    </row>
    <row r="1552" spans="1:6">
      <c r="A1552" s="19">
        <v>30316</v>
      </c>
      <c r="B1552" s="12" t="str">
        <f t="shared" si="24"/>
        <v>303</v>
      </c>
      <c r="C1552" s="1" t="s">
        <v>2507</v>
      </c>
      <c r="D1552" s="13" t="str">
        <f>IF(RIGHT(A1552,3)="000",C1552,VLOOKUP(B1552,'Справочник ИХ'!A:C,3,0))</f>
        <v>Минерально-строит.</v>
      </c>
      <c r="E1552" s="13">
        <f>IF(RIGHT(A1552,3)="000","х",VLOOKUP(B1552,'Справочник ИХ'!A:D,4,0))</f>
        <v>2</v>
      </c>
      <c r="F1552" s="14" t="s">
        <v>2473</v>
      </c>
    </row>
    <row r="1553" spans="1:6">
      <c r="A1553" s="19">
        <v>30317</v>
      </c>
      <c r="B1553" s="12" t="str">
        <f t="shared" si="24"/>
        <v>303</v>
      </c>
      <c r="C1553" s="1" t="s">
        <v>2508</v>
      </c>
      <c r="D1553" s="13" t="str">
        <f>IF(RIGHT(A1553,3)="000",C1553,VLOOKUP(B1553,'Справочник ИХ'!A:C,3,0))</f>
        <v>Минерально-строит.</v>
      </c>
      <c r="E1553" s="13">
        <f>IF(RIGHT(A1553,3)="000","х",VLOOKUP(B1553,'Справочник ИХ'!A:D,4,0))</f>
        <v>2</v>
      </c>
      <c r="F1553" s="14" t="s">
        <v>2473</v>
      </c>
    </row>
    <row r="1554" spans="1:6">
      <c r="A1554" s="19">
        <v>30318</v>
      </c>
      <c r="B1554" s="12" t="str">
        <f t="shared" si="24"/>
        <v>303</v>
      </c>
      <c r="C1554" s="1" t="s">
        <v>2509</v>
      </c>
      <c r="D1554" s="13" t="str">
        <f>IF(RIGHT(A1554,3)="000",C1554,VLOOKUP(B1554,'Справочник ИХ'!A:C,3,0))</f>
        <v>Минерально-строит.</v>
      </c>
      <c r="E1554" s="13">
        <f>IF(RIGHT(A1554,3)="000","х",VLOOKUP(B1554,'Справочник ИХ'!A:D,4,0))</f>
        <v>2</v>
      </c>
      <c r="F1554" s="14" t="s">
        <v>2473</v>
      </c>
    </row>
    <row r="1555" spans="1:6">
      <c r="A1555" s="19">
        <v>30319</v>
      </c>
      <c r="B1555" s="12" t="str">
        <f t="shared" si="24"/>
        <v>303</v>
      </c>
      <c r="C1555" s="1" t="s">
        <v>2510</v>
      </c>
      <c r="D1555" s="13" t="str">
        <f>IF(RIGHT(A1555,3)="000",C1555,VLOOKUP(B1555,'Справочник ИХ'!A:C,3,0))</f>
        <v>Минерально-строит.</v>
      </c>
      <c r="E1555" s="13">
        <f>IF(RIGHT(A1555,3)="000","х",VLOOKUP(B1555,'Справочник ИХ'!A:D,4,0))</f>
        <v>2</v>
      </c>
      <c r="F1555" s="14" t="s">
        <v>2473</v>
      </c>
    </row>
    <row r="1556" spans="1:6">
      <c r="A1556" s="19">
        <v>30320</v>
      </c>
      <c r="B1556" s="12" t="str">
        <f t="shared" si="24"/>
        <v>303</v>
      </c>
      <c r="C1556" s="1" t="s">
        <v>2511</v>
      </c>
      <c r="D1556" s="13" t="str">
        <f>IF(RIGHT(A1556,3)="000",C1556,VLOOKUP(B1556,'Справочник ИХ'!A:C,3,0))</f>
        <v>Минерально-строит.</v>
      </c>
      <c r="E1556" s="13">
        <f>IF(RIGHT(A1556,3)="000","х",VLOOKUP(B1556,'Справочник ИХ'!A:D,4,0))</f>
        <v>2</v>
      </c>
      <c r="F1556" s="14" t="s">
        <v>2473</v>
      </c>
    </row>
    <row r="1557" spans="1:6">
      <c r="A1557" s="19">
        <v>30321</v>
      </c>
      <c r="B1557" s="12" t="str">
        <f t="shared" si="24"/>
        <v>303</v>
      </c>
      <c r="C1557" s="1" t="s">
        <v>2512</v>
      </c>
      <c r="D1557" s="13" t="str">
        <f>IF(RIGHT(A1557,3)="000",C1557,VLOOKUP(B1557,'Справочник ИХ'!A:C,3,0))</f>
        <v>Минерально-строит.</v>
      </c>
      <c r="E1557" s="13">
        <f>IF(RIGHT(A1557,3)="000","х",VLOOKUP(B1557,'Справочник ИХ'!A:D,4,0))</f>
        <v>2</v>
      </c>
      <c r="F1557" s="14" t="s">
        <v>2473</v>
      </c>
    </row>
    <row r="1558" spans="1:6">
      <c r="A1558" s="19">
        <v>30322</v>
      </c>
      <c r="B1558" s="12" t="str">
        <f t="shared" si="24"/>
        <v>303</v>
      </c>
      <c r="C1558" s="1" t="s">
        <v>2513</v>
      </c>
      <c r="D1558" s="13" t="str">
        <f>IF(RIGHT(A1558,3)="000",C1558,VLOOKUP(B1558,'Справочник ИХ'!A:C,3,0))</f>
        <v>Минерально-строит.</v>
      </c>
      <c r="E1558" s="13">
        <f>IF(RIGHT(A1558,3)="000","х",VLOOKUP(B1558,'Справочник ИХ'!A:D,4,0))</f>
        <v>2</v>
      </c>
      <c r="F1558" s="14" t="s">
        <v>2473</v>
      </c>
    </row>
    <row r="1559" spans="1:6">
      <c r="A1559" s="19">
        <v>30323</v>
      </c>
      <c r="B1559" s="12" t="str">
        <f t="shared" si="24"/>
        <v>303</v>
      </c>
      <c r="C1559" s="1" t="s">
        <v>2514</v>
      </c>
      <c r="D1559" s="13" t="str">
        <f>IF(RIGHT(A1559,3)="000",C1559,VLOOKUP(B1559,'Справочник ИХ'!A:C,3,0))</f>
        <v>Минерально-строит.</v>
      </c>
      <c r="E1559" s="13">
        <f>IF(RIGHT(A1559,3)="000","х",VLOOKUP(B1559,'Справочник ИХ'!A:D,4,0))</f>
        <v>2</v>
      </c>
      <c r="F1559" s="14" t="s">
        <v>2473</v>
      </c>
    </row>
    <row r="1560" spans="1:6">
      <c r="A1560" s="19">
        <v>30324</v>
      </c>
      <c r="B1560" s="12" t="str">
        <f t="shared" si="24"/>
        <v>303</v>
      </c>
      <c r="C1560" s="1" t="s">
        <v>2515</v>
      </c>
      <c r="D1560" s="13" t="str">
        <f>IF(RIGHT(A1560,3)="000",C1560,VLOOKUP(B1560,'Справочник ИХ'!A:C,3,0))</f>
        <v>Минерально-строит.</v>
      </c>
      <c r="E1560" s="13">
        <f>IF(RIGHT(A1560,3)="000","х",VLOOKUP(B1560,'Справочник ИХ'!A:D,4,0))</f>
        <v>2</v>
      </c>
      <c r="F1560" s="14" t="s">
        <v>2473</v>
      </c>
    </row>
    <row r="1561" spans="1:6">
      <c r="A1561" s="19">
        <v>30325</v>
      </c>
      <c r="B1561" s="12" t="str">
        <f t="shared" si="24"/>
        <v>303</v>
      </c>
      <c r="C1561" s="1" t="s">
        <v>2516</v>
      </c>
      <c r="D1561" s="13" t="str">
        <f>IF(RIGHT(A1561,3)="000",C1561,VLOOKUP(B1561,'Справочник ИХ'!A:C,3,0))</f>
        <v>Минерально-строит.</v>
      </c>
      <c r="E1561" s="13">
        <f>IF(RIGHT(A1561,3)="000","х",VLOOKUP(B1561,'Справочник ИХ'!A:D,4,0))</f>
        <v>2</v>
      </c>
      <c r="F1561" s="14" t="s">
        <v>2473</v>
      </c>
    </row>
    <row r="1562" spans="1:6">
      <c r="A1562" s="19">
        <v>30326</v>
      </c>
      <c r="B1562" s="12" t="str">
        <f t="shared" si="24"/>
        <v>303</v>
      </c>
      <c r="C1562" s="1" t="s">
        <v>2517</v>
      </c>
      <c r="D1562" s="13" t="str">
        <f>IF(RIGHT(A1562,3)="000",C1562,VLOOKUP(B1562,'Справочник ИХ'!A:C,3,0))</f>
        <v>Минерально-строит.</v>
      </c>
      <c r="E1562" s="13">
        <f>IF(RIGHT(A1562,3)="000","х",VLOOKUP(B1562,'Справочник ИХ'!A:D,4,0))</f>
        <v>2</v>
      </c>
      <c r="F1562" s="14" t="s">
        <v>2473</v>
      </c>
    </row>
    <row r="1563" spans="1:6">
      <c r="A1563" s="19">
        <v>30327</v>
      </c>
      <c r="B1563" s="12" t="str">
        <f t="shared" si="24"/>
        <v>303</v>
      </c>
      <c r="C1563" s="1" t="s">
        <v>2518</v>
      </c>
      <c r="D1563" s="13" t="str">
        <f>IF(RIGHT(A1563,3)="000",C1563,VLOOKUP(B1563,'Справочник ИХ'!A:C,3,0))</f>
        <v>Минерально-строит.</v>
      </c>
      <c r="E1563" s="13">
        <f>IF(RIGHT(A1563,3)="000","х",VLOOKUP(B1563,'Справочник ИХ'!A:D,4,0))</f>
        <v>2</v>
      </c>
      <c r="F1563" s="14" t="s">
        <v>2473</v>
      </c>
    </row>
    <row r="1564" spans="1:6">
      <c r="A1564" s="19">
        <v>30328</v>
      </c>
      <c r="B1564" s="12" t="str">
        <f t="shared" si="24"/>
        <v>303</v>
      </c>
      <c r="C1564" s="1" t="s">
        <v>2519</v>
      </c>
      <c r="D1564" s="13" t="str">
        <f>IF(RIGHT(A1564,3)="000",C1564,VLOOKUP(B1564,'Справочник ИХ'!A:C,3,0))</f>
        <v>Минерально-строит.</v>
      </c>
      <c r="E1564" s="13">
        <f>IF(RIGHT(A1564,3)="000","х",VLOOKUP(B1564,'Справочник ИХ'!A:D,4,0))</f>
        <v>2</v>
      </c>
      <c r="F1564" s="14" t="s">
        <v>2473</v>
      </c>
    </row>
    <row r="1565" spans="1:6" ht="31.75">
      <c r="A1565" s="19">
        <v>30329</v>
      </c>
      <c r="B1565" s="12" t="str">
        <f t="shared" si="24"/>
        <v>303</v>
      </c>
      <c r="C1565" s="1" t="s">
        <v>2520</v>
      </c>
      <c r="D1565" s="13" t="str">
        <f>IF(RIGHT(A1565,3)="000",C1565,VLOOKUP(B1565,'Справочник ИХ'!A:C,3,0))</f>
        <v>Минерально-строит.</v>
      </c>
      <c r="E1565" s="13">
        <f>IF(RIGHT(A1565,3)="000","х",VLOOKUP(B1565,'Справочник ИХ'!A:D,4,0))</f>
        <v>2</v>
      </c>
      <c r="F1565" s="14" t="s">
        <v>2473</v>
      </c>
    </row>
    <row r="1566" spans="1:6">
      <c r="A1566" s="19">
        <v>30330</v>
      </c>
      <c r="B1566" s="12" t="str">
        <f t="shared" si="24"/>
        <v>303</v>
      </c>
      <c r="C1566" s="1" t="s">
        <v>2521</v>
      </c>
      <c r="D1566" s="13" t="str">
        <f>IF(RIGHT(A1566,3)="000",C1566,VLOOKUP(B1566,'Справочник ИХ'!A:C,3,0))</f>
        <v>Минерально-строит.</v>
      </c>
      <c r="E1566" s="13">
        <f>IF(RIGHT(A1566,3)="000","х",VLOOKUP(B1566,'Справочник ИХ'!A:D,4,0))</f>
        <v>2</v>
      </c>
      <c r="F1566" s="14" t="s">
        <v>2473</v>
      </c>
    </row>
    <row r="1567" spans="1:6" ht="31.75">
      <c r="A1567" s="19">
        <v>30331</v>
      </c>
      <c r="B1567" s="12" t="str">
        <f t="shared" si="24"/>
        <v>303</v>
      </c>
      <c r="C1567" s="1" t="s">
        <v>2522</v>
      </c>
      <c r="D1567" s="13" t="str">
        <f>IF(RIGHT(A1567,3)="000",C1567,VLOOKUP(B1567,'Справочник ИХ'!A:C,3,0))</f>
        <v>Минерально-строит.</v>
      </c>
      <c r="E1567" s="13">
        <f>IF(RIGHT(A1567,3)="000","х",VLOOKUP(B1567,'Справочник ИХ'!A:D,4,0))</f>
        <v>2</v>
      </c>
      <c r="F1567" s="14" t="s">
        <v>2473</v>
      </c>
    </row>
    <row r="1568" spans="1:6">
      <c r="A1568" s="19">
        <v>30332</v>
      </c>
      <c r="B1568" s="12" t="str">
        <f t="shared" si="24"/>
        <v>303</v>
      </c>
      <c r="C1568" s="1" t="s">
        <v>2523</v>
      </c>
      <c r="D1568" s="13" t="str">
        <f>IF(RIGHT(A1568,3)="000",C1568,VLOOKUP(B1568,'Справочник ИХ'!A:C,3,0))</f>
        <v>Минерально-строит.</v>
      </c>
      <c r="E1568" s="13">
        <f>IF(RIGHT(A1568,3)="000","х",VLOOKUP(B1568,'Справочник ИХ'!A:D,4,0))</f>
        <v>2</v>
      </c>
      <c r="F1568" s="14" t="s">
        <v>2473</v>
      </c>
    </row>
    <row r="1569" spans="1:6">
      <c r="A1569" s="19">
        <v>30333</v>
      </c>
      <c r="B1569" s="12" t="str">
        <f t="shared" si="24"/>
        <v>303</v>
      </c>
      <c r="C1569" s="1" t="s">
        <v>2524</v>
      </c>
      <c r="D1569" s="13" t="str">
        <f>IF(RIGHT(A1569,3)="000",C1569,VLOOKUP(B1569,'Справочник ИХ'!A:C,3,0))</f>
        <v>Минерально-строит.</v>
      </c>
      <c r="E1569" s="13">
        <f>IF(RIGHT(A1569,3)="000","х",VLOOKUP(B1569,'Справочник ИХ'!A:D,4,0))</f>
        <v>2</v>
      </c>
      <c r="F1569" s="14" t="s">
        <v>2473</v>
      </c>
    </row>
    <row r="1570" spans="1:6">
      <c r="A1570" s="19">
        <v>30334</v>
      </c>
      <c r="B1570" s="12" t="str">
        <f t="shared" si="24"/>
        <v>303</v>
      </c>
      <c r="C1570" s="1" t="s">
        <v>2525</v>
      </c>
      <c r="D1570" s="13" t="str">
        <f>IF(RIGHT(A1570,3)="000",C1570,VLOOKUP(B1570,'Справочник ИХ'!A:C,3,0))</f>
        <v>Минерально-строит.</v>
      </c>
      <c r="E1570" s="13">
        <f>IF(RIGHT(A1570,3)="000","х",VLOOKUP(B1570,'Справочник ИХ'!A:D,4,0))</f>
        <v>2</v>
      </c>
      <c r="F1570" s="14" t="s">
        <v>2473</v>
      </c>
    </row>
    <row r="1571" spans="1:6">
      <c r="A1571" s="19">
        <v>30335</v>
      </c>
      <c r="B1571" s="12" t="str">
        <f t="shared" si="24"/>
        <v>303</v>
      </c>
      <c r="C1571" s="1" t="s">
        <v>2526</v>
      </c>
      <c r="D1571" s="13" t="str">
        <f>IF(RIGHT(A1571,3)="000",C1571,VLOOKUP(B1571,'Справочник ИХ'!A:C,3,0))</f>
        <v>Минерально-строит.</v>
      </c>
      <c r="E1571" s="13">
        <f>IF(RIGHT(A1571,3)="000","х",VLOOKUP(B1571,'Справочник ИХ'!A:D,4,0))</f>
        <v>2</v>
      </c>
      <c r="F1571" s="14" t="s">
        <v>2473</v>
      </c>
    </row>
    <row r="1572" spans="1:6">
      <c r="A1572" s="19">
        <v>30336</v>
      </c>
      <c r="B1572" s="12" t="str">
        <f t="shared" si="24"/>
        <v>303</v>
      </c>
      <c r="C1572" s="1" t="s">
        <v>2527</v>
      </c>
      <c r="D1572" s="13" t="str">
        <f>IF(RIGHT(A1572,3)="000",C1572,VLOOKUP(B1572,'Справочник ИХ'!A:C,3,0))</f>
        <v>Минерально-строит.</v>
      </c>
      <c r="E1572" s="13">
        <f>IF(RIGHT(A1572,3)="000","х",VLOOKUP(B1572,'Справочник ИХ'!A:D,4,0))</f>
        <v>2</v>
      </c>
      <c r="F1572" s="14" t="s">
        <v>2473</v>
      </c>
    </row>
    <row r="1573" spans="1:6" s="18" customFormat="1">
      <c r="A1573" s="16">
        <v>30400</v>
      </c>
      <c r="B1573" s="12" t="str">
        <f t="shared" si="24"/>
        <v>304</v>
      </c>
      <c r="C1573" s="17" t="s">
        <v>2528</v>
      </c>
      <c r="D1573" s="13" t="str">
        <f>IF(RIGHT(A1573,3)="000",C1573,VLOOKUP(B1573,'Справочник ИХ'!A:C,3,0))</f>
        <v>Минерально-строит.</v>
      </c>
      <c r="E1573" s="13">
        <f>IF(RIGHT(A1573,3)="000","х",VLOOKUP(B1573,'Справочник ИХ'!A:D,4,0))</f>
        <v>1</v>
      </c>
      <c r="F1573" s="14" t="s">
        <v>2473</v>
      </c>
    </row>
    <row r="1574" spans="1:6">
      <c r="A1574" s="19">
        <v>30401</v>
      </c>
      <c r="B1574" s="12" t="str">
        <f t="shared" si="24"/>
        <v>304</v>
      </c>
      <c r="C1574" s="1" t="s">
        <v>2529</v>
      </c>
      <c r="D1574" s="13" t="str">
        <f>IF(RIGHT(A1574,3)="000",C1574,VLOOKUP(B1574,'Справочник ИХ'!A:C,3,0))</f>
        <v>Минерально-строит.</v>
      </c>
      <c r="E1574" s="13">
        <f>IF(RIGHT(A1574,3)="000","х",VLOOKUP(B1574,'Справочник ИХ'!A:D,4,0))</f>
        <v>1</v>
      </c>
      <c r="F1574" s="14" t="s">
        <v>2473</v>
      </c>
    </row>
    <row r="1575" spans="1:6">
      <c r="A1575" s="19">
        <v>30402</v>
      </c>
      <c r="B1575" s="12" t="str">
        <f t="shared" si="24"/>
        <v>304</v>
      </c>
      <c r="C1575" s="1" t="s">
        <v>2530</v>
      </c>
      <c r="D1575" s="13" t="str">
        <f>IF(RIGHT(A1575,3)="000",C1575,VLOOKUP(B1575,'Справочник ИХ'!A:C,3,0))</f>
        <v>Минерально-строит.</v>
      </c>
      <c r="E1575" s="13">
        <f>IF(RIGHT(A1575,3)="000","х",VLOOKUP(B1575,'Справочник ИХ'!A:D,4,0))</f>
        <v>1</v>
      </c>
      <c r="F1575" s="14" t="s">
        <v>2473</v>
      </c>
    </row>
    <row r="1576" spans="1:6">
      <c r="A1576" s="19">
        <v>30403</v>
      </c>
      <c r="B1576" s="12" t="str">
        <f t="shared" si="24"/>
        <v>304</v>
      </c>
      <c r="C1576" s="1" t="s">
        <v>2531</v>
      </c>
      <c r="D1576" s="13" t="str">
        <f>IF(RIGHT(A1576,3)="000",C1576,VLOOKUP(B1576,'Справочник ИХ'!A:C,3,0))</f>
        <v>Минерально-строит.</v>
      </c>
      <c r="E1576" s="13">
        <f>IF(RIGHT(A1576,3)="000","х",VLOOKUP(B1576,'Справочник ИХ'!A:D,4,0))</f>
        <v>1</v>
      </c>
      <c r="F1576" s="14" t="s">
        <v>2473</v>
      </c>
    </row>
    <row r="1577" spans="1:6">
      <c r="A1577" s="19">
        <v>30404</v>
      </c>
      <c r="B1577" s="12" t="str">
        <f t="shared" si="24"/>
        <v>304</v>
      </c>
      <c r="C1577" s="1" t="s">
        <v>2532</v>
      </c>
      <c r="D1577" s="13" t="str">
        <f>IF(RIGHT(A1577,3)="000",C1577,VLOOKUP(B1577,'Справочник ИХ'!A:C,3,0))</f>
        <v>Минерально-строит.</v>
      </c>
      <c r="E1577" s="13">
        <f>IF(RIGHT(A1577,3)="000","х",VLOOKUP(B1577,'Справочник ИХ'!A:D,4,0))</f>
        <v>1</v>
      </c>
      <c r="F1577" s="14" t="s">
        <v>2473</v>
      </c>
    </row>
    <row r="1578" spans="1:6">
      <c r="A1578" s="19">
        <v>30405</v>
      </c>
      <c r="B1578" s="12" t="str">
        <f t="shared" si="24"/>
        <v>304</v>
      </c>
      <c r="C1578" s="1" t="s">
        <v>2533</v>
      </c>
      <c r="D1578" s="13" t="str">
        <f>IF(RIGHT(A1578,3)="000",C1578,VLOOKUP(B1578,'Справочник ИХ'!A:C,3,0))</f>
        <v>Минерально-строит.</v>
      </c>
      <c r="E1578" s="13">
        <f>IF(RIGHT(A1578,3)="000","х",VLOOKUP(B1578,'Справочник ИХ'!A:D,4,0))</f>
        <v>1</v>
      </c>
      <c r="F1578" s="14" t="s">
        <v>2473</v>
      </c>
    </row>
    <row r="1579" spans="1:6">
      <c r="A1579" s="19">
        <v>30406</v>
      </c>
      <c r="B1579" s="12" t="str">
        <f t="shared" si="24"/>
        <v>304</v>
      </c>
      <c r="C1579" s="1" t="s">
        <v>2534</v>
      </c>
      <c r="D1579" s="13" t="str">
        <f>IF(RIGHT(A1579,3)="000",C1579,VLOOKUP(B1579,'Справочник ИХ'!A:C,3,0))</f>
        <v>Минерально-строит.</v>
      </c>
      <c r="E1579" s="13">
        <f>IF(RIGHT(A1579,3)="000","х",VLOOKUP(B1579,'Справочник ИХ'!A:D,4,0))</f>
        <v>1</v>
      </c>
      <c r="F1579" s="14" t="s">
        <v>2473</v>
      </c>
    </row>
    <row r="1580" spans="1:6">
      <c r="A1580" s="19">
        <v>30407</v>
      </c>
      <c r="B1580" s="12" t="str">
        <f t="shared" si="24"/>
        <v>304</v>
      </c>
      <c r="C1580" s="1" t="s">
        <v>2535</v>
      </c>
      <c r="D1580" s="13" t="str">
        <f>IF(RIGHT(A1580,3)="000",C1580,VLOOKUP(B1580,'Справочник ИХ'!A:C,3,0))</f>
        <v>Минерально-строит.</v>
      </c>
      <c r="E1580" s="13">
        <f>IF(RIGHT(A1580,3)="000","х",VLOOKUP(B1580,'Справочник ИХ'!A:D,4,0))</f>
        <v>1</v>
      </c>
      <c r="F1580" s="14" t="s">
        <v>2473</v>
      </c>
    </row>
    <row r="1581" spans="1:6" ht="31.75">
      <c r="A1581" s="19">
        <v>30408</v>
      </c>
      <c r="B1581" s="12" t="str">
        <f t="shared" si="24"/>
        <v>304</v>
      </c>
      <c r="C1581" s="1" t="s">
        <v>2536</v>
      </c>
      <c r="D1581" s="13" t="str">
        <f>IF(RIGHT(A1581,3)="000",C1581,VLOOKUP(B1581,'Справочник ИХ'!A:C,3,0))</f>
        <v>Минерально-строит.</v>
      </c>
      <c r="E1581" s="13">
        <f>IF(RIGHT(A1581,3)="000","х",VLOOKUP(B1581,'Справочник ИХ'!A:D,4,0))</f>
        <v>1</v>
      </c>
      <c r="F1581" s="14" t="s">
        <v>2473</v>
      </c>
    </row>
    <row r="1582" spans="1:6" ht="31.75">
      <c r="A1582" s="19">
        <v>30409</v>
      </c>
      <c r="B1582" s="12" t="str">
        <f t="shared" si="24"/>
        <v>304</v>
      </c>
      <c r="C1582" s="1" t="s">
        <v>2537</v>
      </c>
      <c r="D1582" s="13" t="str">
        <f>IF(RIGHT(A1582,3)="000",C1582,VLOOKUP(B1582,'Справочник ИХ'!A:C,3,0))</f>
        <v>Минерально-строит.</v>
      </c>
      <c r="E1582" s="13">
        <f>IF(RIGHT(A1582,3)="000","х",VLOOKUP(B1582,'Справочник ИХ'!A:D,4,0))</f>
        <v>1</v>
      </c>
      <c r="F1582" s="14" t="s">
        <v>2473</v>
      </c>
    </row>
    <row r="1583" spans="1:6" ht="31.75">
      <c r="A1583" s="19">
        <v>30410</v>
      </c>
      <c r="B1583" s="12" t="str">
        <f t="shared" si="24"/>
        <v>304</v>
      </c>
      <c r="C1583" s="1" t="s">
        <v>2538</v>
      </c>
      <c r="D1583" s="13" t="str">
        <f>IF(RIGHT(A1583,3)="000",C1583,VLOOKUP(B1583,'Справочник ИХ'!A:C,3,0))</f>
        <v>Минерально-строит.</v>
      </c>
      <c r="E1583" s="13">
        <f>IF(RIGHT(A1583,3)="000","х",VLOOKUP(B1583,'Справочник ИХ'!A:D,4,0))</f>
        <v>1</v>
      </c>
      <c r="F1583" s="14" t="s">
        <v>2473</v>
      </c>
    </row>
    <row r="1584" spans="1:6" ht="47.6">
      <c r="A1584" s="19"/>
      <c r="B1584" s="12" t="str">
        <f t="shared" si="24"/>
        <v/>
      </c>
      <c r="C1584" s="11" t="s">
        <v>2539</v>
      </c>
      <c r="D1584" s="1" t="str">
        <f>C1584</f>
        <v xml:space="preserve">Раздел 6. Продукция металлургической промышленности </v>
      </c>
      <c r="E1584" s="13" t="s">
        <v>562</v>
      </c>
      <c r="F1584" s="14" t="s">
        <v>2473</v>
      </c>
    </row>
    <row r="1585" spans="1:6" s="15" customFormat="1">
      <c r="A1585" s="7" t="s">
        <v>2540</v>
      </c>
      <c r="B1585" s="12" t="str">
        <f t="shared" si="24"/>
        <v>310</v>
      </c>
      <c r="C1585" s="11" t="s">
        <v>2541</v>
      </c>
      <c r="D1585" s="13" t="str">
        <f>IF(RIGHT(A1585,3)="000",C1585,VLOOKUP(B1585,'Справочник ИХ'!A:C,3,0))</f>
        <v xml:space="preserve">Металлы черные </v>
      </c>
      <c r="E1585" s="13" t="str">
        <f>IF(RIGHT(A1585,3)="000","х",VLOOKUP(B1585,'Справочник ИХ'!A:D,4,0))</f>
        <v>х</v>
      </c>
      <c r="F1585" s="14" t="s">
        <v>2541</v>
      </c>
    </row>
    <row r="1586" spans="1:6" s="18" customFormat="1">
      <c r="A1586" s="16">
        <v>31100</v>
      </c>
      <c r="B1586" s="12" t="str">
        <f t="shared" si="24"/>
        <v>311</v>
      </c>
      <c r="C1586" s="17" t="s">
        <v>2542</v>
      </c>
      <c r="D1586" s="13" t="str">
        <f>IF(RIGHT(A1586,3)="000",C1586,VLOOKUP(B1586,'Справочник ИХ'!A:C,3,0))</f>
        <v>Черные металлы</v>
      </c>
      <c r="E1586" s="13">
        <f>IF(RIGHT(A1586,3)="000","х",VLOOKUP(B1586,'Справочник ИХ'!A:D,4,0))</f>
        <v>2</v>
      </c>
      <c r="F1586" s="14" t="s">
        <v>2541</v>
      </c>
    </row>
    <row r="1587" spans="1:6">
      <c r="A1587" s="19">
        <v>31101</v>
      </c>
      <c r="B1587" s="12" t="str">
        <f t="shared" si="24"/>
        <v>311</v>
      </c>
      <c r="C1587" s="1" t="s">
        <v>2543</v>
      </c>
      <c r="D1587" s="13" t="str">
        <f>IF(RIGHT(A1587,3)="000",C1587,VLOOKUP(B1587,'Справочник ИХ'!A:C,3,0))</f>
        <v>Черные металлы</v>
      </c>
      <c r="E1587" s="13">
        <f>IF(RIGHT(A1587,3)="000","х",VLOOKUP(B1587,'Справочник ИХ'!A:D,4,0))</f>
        <v>2</v>
      </c>
      <c r="F1587" s="14" t="s">
        <v>2541</v>
      </c>
    </row>
    <row r="1588" spans="1:6">
      <c r="A1588" s="19">
        <v>31102</v>
      </c>
      <c r="B1588" s="12" t="str">
        <f t="shared" si="24"/>
        <v>311</v>
      </c>
      <c r="C1588" s="1" t="s">
        <v>2544</v>
      </c>
      <c r="D1588" s="13" t="str">
        <f>IF(RIGHT(A1588,3)="000",C1588,VLOOKUP(B1588,'Справочник ИХ'!A:C,3,0))</f>
        <v>Черные металлы</v>
      </c>
      <c r="E1588" s="13">
        <f>IF(RIGHT(A1588,3)="000","х",VLOOKUP(B1588,'Справочник ИХ'!A:D,4,0))</f>
        <v>2</v>
      </c>
      <c r="F1588" s="14" t="s">
        <v>2541</v>
      </c>
    </row>
    <row r="1589" spans="1:6" ht="31.75">
      <c r="A1589" s="19">
        <v>31103</v>
      </c>
      <c r="B1589" s="12" t="str">
        <f t="shared" si="24"/>
        <v>311</v>
      </c>
      <c r="C1589" s="1" t="s">
        <v>2545</v>
      </c>
      <c r="D1589" s="13" t="str">
        <f>IF(RIGHT(A1589,3)="000",C1589,VLOOKUP(B1589,'Справочник ИХ'!A:C,3,0))</f>
        <v>Черные металлы</v>
      </c>
      <c r="E1589" s="13">
        <f>IF(RIGHT(A1589,3)="000","х",VLOOKUP(B1589,'Справочник ИХ'!A:D,4,0))</f>
        <v>2</v>
      </c>
      <c r="F1589" s="14" t="s">
        <v>2541</v>
      </c>
    </row>
    <row r="1590" spans="1:6">
      <c r="A1590" s="19">
        <v>31104</v>
      </c>
      <c r="B1590" s="12" t="str">
        <f t="shared" si="24"/>
        <v>311</v>
      </c>
      <c r="C1590" s="1" t="s">
        <v>2546</v>
      </c>
      <c r="D1590" s="13" t="str">
        <f>IF(RIGHT(A1590,3)="000",C1590,VLOOKUP(B1590,'Справочник ИХ'!A:C,3,0))</f>
        <v>Черные металлы</v>
      </c>
      <c r="E1590" s="13">
        <f>IF(RIGHT(A1590,3)="000","х",VLOOKUP(B1590,'Справочник ИХ'!A:D,4,0))</f>
        <v>2</v>
      </c>
      <c r="F1590" s="14" t="s">
        <v>2541</v>
      </c>
    </row>
    <row r="1591" spans="1:6">
      <c r="A1591" s="19">
        <v>31105</v>
      </c>
      <c r="B1591" s="12" t="str">
        <f t="shared" si="24"/>
        <v>311</v>
      </c>
      <c r="C1591" s="1" t="s">
        <v>2547</v>
      </c>
      <c r="D1591" s="13" t="str">
        <f>IF(RIGHT(A1591,3)="000",C1591,VLOOKUP(B1591,'Справочник ИХ'!A:C,3,0))</f>
        <v>Черные металлы</v>
      </c>
      <c r="E1591" s="13">
        <f>IF(RIGHT(A1591,3)="000","х",VLOOKUP(B1591,'Справочник ИХ'!A:D,4,0))</f>
        <v>2</v>
      </c>
      <c r="F1591" s="14" t="s">
        <v>2541</v>
      </c>
    </row>
    <row r="1592" spans="1:6">
      <c r="A1592" s="19">
        <v>31106</v>
      </c>
      <c r="B1592" s="12" t="str">
        <f t="shared" si="24"/>
        <v>311</v>
      </c>
      <c r="C1592" s="1" t="s">
        <v>2548</v>
      </c>
      <c r="D1592" s="13" t="str">
        <f>IF(RIGHT(A1592,3)="000",C1592,VLOOKUP(B1592,'Справочник ИХ'!A:C,3,0))</f>
        <v>Черные металлы</v>
      </c>
      <c r="E1592" s="13">
        <f>IF(RIGHT(A1592,3)="000","х",VLOOKUP(B1592,'Справочник ИХ'!A:D,4,0))</f>
        <v>2</v>
      </c>
      <c r="F1592" s="14" t="s">
        <v>2541</v>
      </c>
    </row>
    <row r="1593" spans="1:6">
      <c r="A1593" s="19">
        <v>31107</v>
      </c>
      <c r="B1593" s="12" t="str">
        <f t="shared" si="24"/>
        <v>311</v>
      </c>
      <c r="C1593" s="1" t="s">
        <v>2549</v>
      </c>
      <c r="D1593" s="13" t="str">
        <f>IF(RIGHT(A1593,3)="000",C1593,VLOOKUP(B1593,'Справочник ИХ'!A:C,3,0))</f>
        <v>Черные металлы</v>
      </c>
      <c r="E1593" s="13">
        <f>IF(RIGHT(A1593,3)="000","х",VLOOKUP(B1593,'Справочник ИХ'!A:D,4,0))</f>
        <v>2</v>
      </c>
      <c r="F1593" s="14" t="s">
        <v>2541</v>
      </c>
    </row>
    <row r="1594" spans="1:6">
      <c r="A1594" s="19">
        <v>31108</v>
      </c>
      <c r="B1594" s="12" t="str">
        <f t="shared" si="24"/>
        <v>311</v>
      </c>
      <c r="C1594" s="1" t="s">
        <v>2550</v>
      </c>
      <c r="D1594" s="13" t="str">
        <f>IF(RIGHT(A1594,3)="000",C1594,VLOOKUP(B1594,'Справочник ИХ'!A:C,3,0))</f>
        <v>Черные металлы</v>
      </c>
      <c r="E1594" s="13">
        <f>IF(RIGHT(A1594,3)="000","х",VLOOKUP(B1594,'Справочник ИХ'!A:D,4,0))</f>
        <v>2</v>
      </c>
      <c r="F1594" s="14" t="s">
        <v>2541</v>
      </c>
    </row>
    <row r="1595" spans="1:6" s="18" customFormat="1">
      <c r="A1595" s="16">
        <v>31200</v>
      </c>
      <c r="B1595" s="12" t="str">
        <f t="shared" si="24"/>
        <v>312</v>
      </c>
      <c r="C1595" s="17" t="s">
        <v>2551</v>
      </c>
      <c r="D1595" s="13" t="str">
        <f>IF(RIGHT(A1595,3)="000",C1595,VLOOKUP(B1595,'Справочник ИХ'!A:C,3,0))</f>
        <v>Черные металлы</v>
      </c>
      <c r="E1595" s="13">
        <f>IF(RIGHT(A1595,3)="000","х",VLOOKUP(B1595,'Справочник ИХ'!A:D,4,0))</f>
        <v>3</v>
      </c>
      <c r="F1595" s="14" t="s">
        <v>2541</v>
      </c>
    </row>
    <row r="1596" spans="1:6">
      <c r="A1596" s="19">
        <v>31201</v>
      </c>
      <c r="B1596" s="12" t="str">
        <f t="shared" si="24"/>
        <v>312</v>
      </c>
      <c r="C1596" s="1" t="s">
        <v>2552</v>
      </c>
      <c r="D1596" s="13" t="str">
        <f>IF(RIGHT(A1596,3)="000",C1596,VLOOKUP(B1596,'Справочник ИХ'!A:C,3,0))</f>
        <v>Черные металлы</v>
      </c>
      <c r="E1596" s="13">
        <f>IF(RIGHT(A1596,3)="000","х",VLOOKUP(B1596,'Справочник ИХ'!A:D,4,0))</f>
        <v>3</v>
      </c>
      <c r="F1596" s="14" t="s">
        <v>2541</v>
      </c>
    </row>
    <row r="1597" spans="1:6">
      <c r="A1597" s="19">
        <v>31202</v>
      </c>
      <c r="B1597" s="12" t="str">
        <f t="shared" si="24"/>
        <v>312</v>
      </c>
      <c r="C1597" s="1" t="s">
        <v>2553</v>
      </c>
      <c r="D1597" s="13" t="str">
        <f>IF(RIGHT(A1597,3)="000",C1597,VLOOKUP(B1597,'Справочник ИХ'!A:C,3,0))</f>
        <v>Черные металлы</v>
      </c>
      <c r="E1597" s="13">
        <f>IF(RIGHT(A1597,3)="000","х",VLOOKUP(B1597,'Справочник ИХ'!A:D,4,0))</f>
        <v>3</v>
      </c>
      <c r="F1597" s="14" t="s">
        <v>2541</v>
      </c>
    </row>
    <row r="1598" spans="1:6">
      <c r="A1598" s="19">
        <v>31203</v>
      </c>
      <c r="B1598" s="12" t="str">
        <f t="shared" si="24"/>
        <v>312</v>
      </c>
      <c r="C1598" s="1" t="s">
        <v>2554</v>
      </c>
      <c r="D1598" s="13" t="str">
        <f>IF(RIGHT(A1598,3)="000",C1598,VLOOKUP(B1598,'Справочник ИХ'!A:C,3,0))</f>
        <v>Черные металлы</v>
      </c>
      <c r="E1598" s="13">
        <f>IF(RIGHT(A1598,3)="000","х",VLOOKUP(B1598,'Справочник ИХ'!A:D,4,0))</f>
        <v>3</v>
      </c>
      <c r="F1598" s="14" t="s">
        <v>2541</v>
      </c>
    </row>
    <row r="1599" spans="1:6">
      <c r="A1599" s="19">
        <v>31204</v>
      </c>
      <c r="B1599" s="12" t="str">
        <f t="shared" si="24"/>
        <v>312</v>
      </c>
      <c r="C1599" s="1" t="s">
        <v>2555</v>
      </c>
      <c r="D1599" s="13" t="str">
        <f>IF(RIGHT(A1599,3)="000",C1599,VLOOKUP(B1599,'Справочник ИХ'!A:C,3,0))</f>
        <v>Черные металлы</v>
      </c>
      <c r="E1599" s="13">
        <f>IF(RIGHT(A1599,3)="000","х",VLOOKUP(B1599,'Справочник ИХ'!A:D,4,0))</f>
        <v>3</v>
      </c>
      <c r="F1599" s="14" t="s">
        <v>2541</v>
      </c>
    </row>
    <row r="1600" spans="1:6" ht="31.75">
      <c r="A1600" s="19">
        <v>31205</v>
      </c>
      <c r="B1600" s="12" t="str">
        <f t="shared" si="24"/>
        <v>312</v>
      </c>
      <c r="C1600" s="1" t="s">
        <v>2556</v>
      </c>
      <c r="D1600" s="13" t="str">
        <f>IF(RIGHT(A1600,3)="000",C1600,VLOOKUP(B1600,'Справочник ИХ'!A:C,3,0))</f>
        <v>Черные металлы</v>
      </c>
      <c r="E1600" s="13">
        <f>IF(RIGHT(A1600,3)="000","х",VLOOKUP(B1600,'Справочник ИХ'!A:D,4,0))</f>
        <v>3</v>
      </c>
      <c r="F1600" s="14" t="s">
        <v>2541</v>
      </c>
    </row>
    <row r="1601" spans="1:6" s="18" customFormat="1">
      <c r="A1601" s="16">
        <v>31300</v>
      </c>
      <c r="B1601" s="12" t="str">
        <f t="shared" si="24"/>
        <v>313</v>
      </c>
      <c r="C1601" s="17" t="s">
        <v>2557</v>
      </c>
      <c r="D1601" s="13" t="str">
        <f>IF(RIGHT(A1601,3)="000",C1601,VLOOKUP(B1601,'Справочник ИХ'!A:C,3,0))</f>
        <v>Черные металлы</v>
      </c>
      <c r="E1601" s="13">
        <f>IF(RIGHT(A1601,3)="000","х",VLOOKUP(B1601,'Справочник ИХ'!A:D,4,0))</f>
        <v>3</v>
      </c>
      <c r="F1601" s="14" t="s">
        <v>2541</v>
      </c>
    </row>
    <row r="1602" spans="1:6">
      <c r="A1602" s="19">
        <v>31301</v>
      </c>
      <c r="B1602" s="12" t="str">
        <f t="shared" si="24"/>
        <v>313</v>
      </c>
      <c r="C1602" s="1" t="s">
        <v>2558</v>
      </c>
      <c r="D1602" s="13" t="str">
        <f>IF(RIGHT(A1602,3)="000",C1602,VLOOKUP(B1602,'Справочник ИХ'!A:C,3,0))</f>
        <v>Черные металлы</v>
      </c>
      <c r="E1602" s="13">
        <f>IF(RIGHT(A1602,3)="000","х",VLOOKUP(B1602,'Справочник ИХ'!A:D,4,0))</f>
        <v>3</v>
      </c>
      <c r="F1602" s="14" t="s">
        <v>2541</v>
      </c>
    </row>
    <row r="1603" spans="1:6">
      <c r="A1603" s="19">
        <v>31302</v>
      </c>
      <c r="B1603" s="12" t="str">
        <f t="shared" si="24"/>
        <v>313</v>
      </c>
      <c r="C1603" s="1" t="s">
        <v>2559</v>
      </c>
      <c r="D1603" s="13" t="str">
        <f>IF(RIGHT(A1603,3)="000",C1603,VLOOKUP(B1603,'Справочник ИХ'!A:C,3,0))</f>
        <v>Черные металлы</v>
      </c>
      <c r="E1603" s="13">
        <f>IF(RIGHT(A1603,3)="000","х",VLOOKUP(B1603,'Справочник ИХ'!A:D,4,0))</f>
        <v>3</v>
      </c>
      <c r="F1603" s="14" t="s">
        <v>2541</v>
      </c>
    </row>
    <row r="1604" spans="1:6">
      <c r="A1604" s="19">
        <v>31303</v>
      </c>
      <c r="B1604" s="12" t="str">
        <f t="shared" ref="B1604:B1667" si="25">LEFT(A1604,3)</f>
        <v>313</v>
      </c>
      <c r="C1604" s="1" t="s">
        <v>2560</v>
      </c>
      <c r="D1604" s="13" t="str">
        <f>IF(RIGHT(A1604,3)="000",C1604,VLOOKUP(B1604,'Справочник ИХ'!A:C,3,0))</f>
        <v>Черные металлы</v>
      </c>
      <c r="E1604" s="13">
        <f>IF(RIGHT(A1604,3)="000","х",VLOOKUP(B1604,'Справочник ИХ'!A:D,4,0))</f>
        <v>3</v>
      </c>
      <c r="F1604" s="14" t="s">
        <v>2541</v>
      </c>
    </row>
    <row r="1605" spans="1:6">
      <c r="A1605" s="19">
        <v>31304</v>
      </c>
      <c r="B1605" s="12" t="str">
        <f t="shared" si="25"/>
        <v>313</v>
      </c>
      <c r="C1605" s="1" t="s">
        <v>2561</v>
      </c>
      <c r="D1605" s="13" t="str">
        <f>IF(RIGHT(A1605,3)="000",C1605,VLOOKUP(B1605,'Справочник ИХ'!A:C,3,0))</f>
        <v>Черные металлы</v>
      </c>
      <c r="E1605" s="13">
        <f>IF(RIGHT(A1605,3)="000","х",VLOOKUP(B1605,'Справочник ИХ'!A:D,4,0))</f>
        <v>3</v>
      </c>
      <c r="F1605" s="14" t="s">
        <v>2541</v>
      </c>
    </row>
    <row r="1606" spans="1:6">
      <c r="A1606" s="19">
        <v>31305</v>
      </c>
      <c r="B1606" s="12" t="str">
        <f t="shared" si="25"/>
        <v>313</v>
      </c>
      <c r="C1606" s="1" t="s">
        <v>2562</v>
      </c>
      <c r="D1606" s="13" t="str">
        <f>IF(RIGHT(A1606,3)="000",C1606,VLOOKUP(B1606,'Справочник ИХ'!A:C,3,0))</f>
        <v>Черные металлы</v>
      </c>
      <c r="E1606" s="13">
        <f>IF(RIGHT(A1606,3)="000","х",VLOOKUP(B1606,'Справочник ИХ'!A:D,4,0))</f>
        <v>3</v>
      </c>
      <c r="F1606" s="14" t="s">
        <v>2541</v>
      </c>
    </row>
    <row r="1607" spans="1:6">
      <c r="A1607" s="19">
        <v>31306</v>
      </c>
      <c r="B1607" s="12" t="str">
        <f t="shared" si="25"/>
        <v>313</v>
      </c>
      <c r="C1607" s="1" t="s">
        <v>2563</v>
      </c>
      <c r="D1607" s="13" t="str">
        <f>IF(RIGHT(A1607,3)="000",C1607,VLOOKUP(B1607,'Справочник ИХ'!A:C,3,0))</f>
        <v>Черные металлы</v>
      </c>
      <c r="E1607" s="13">
        <f>IF(RIGHT(A1607,3)="000","х",VLOOKUP(B1607,'Справочник ИХ'!A:D,4,0))</f>
        <v>3</v>
      </c>
      <c r="F1607" s="14" t="s">
        <v>2541</v>
      </c>
    </row>
    <row r="1608" spans="1:6" ht="31.75">
      <c r="A1608" s="19" t="s">
        <v>2564</v>
      </c>
      <c r="B1608" s="12" t="str">
        <f t="shared" si="25"/>
        <v>313</v>
      </c>
      <c r="C1608" s="1" t="s">
        <v>2565</v>
      </c>
      <c r="D1608" s="13" t="str">
        <f>IF(RIGHT(A1608,3)="000",C1608,VLOOKUP(B1608,'Справочник ИХ'!A:C,3,0))</f>
        <v>Черные металлы</v>
      </c>
      <c r="E1608" s="13">
        <f>IF(RIGHT(A1608,3)="000","х",VLOOKUP(B1608,'Справочник ИХ'!A:D,4,0))</f>
        <v>3</v>
      </c>
      <c r="F1608" s="14" t="s">
        <v>2541</v>
      </c>
    </row>
    <row r="1609" spans="1:6" ht="31.75">
      <c r="A1609" s="19" t="s">
        <v>2566</v>
      </c>
      <c r="B1609" s="12" t="str">
        <f t="shared" si="25"/>
        <v>313</v>
      </c>
      <c r="C1609" s="1" t="s">
        <v>2567</v>
      </c>
      <c r="D1609" s="13" t="str">
        <f>IF(RIGHT(A1609,3)="000",C1609,VLOOKUP(B1609,'Справочник ИХ'!A:C,3,0))</f>
        <v>Черные металлы</v>
      </c>
      <c r="E1609" s="13">
        <f>IF(RIGHT(A1609,3)="000","х",VLOOKUP(B1609,'Справочник ИХ'!A:D,4,0))</f>
        <v>3</v>
      </c>
      <c r="F1609" s="14" t="s">
        <v>2541</v>
      </c>
    </row>
    <row r="1610" spans="1:6">
      <c r="A1610" s="19" t="s">
        <v>2568</v>
      </c>
      <c r="B1610" s="12" t="str">
        <f t="shared" si="25"/>
        <v>313</v>
      </c>
      <c r="C1610" s="1" t="s">
        <v>2569</v>
      </c>
      <c r="D1610" s="13" t="str">
        <f>IF(RIGHT(A1610,3)="000",C1610,VLOOKUP(B1610,'Справочник ИХ'!A:C,3,0))</f>
        <v>Черные металлы</v>
      </c>
      <c r="E1610" s="13">
        <f>IF(RIGHT(A1610,3)="000","х",VLOOKUP(B1610,'Справочник ИХ'!A:D,4,0))</f>
        <v>3</v>
      </c>
      <c r="F1610" s="14" t="s">
        <v>2541</v>
      </c>
    </row>
    <row r="1611" spans="1:6" s="18" customFormat="1">
      <c r="A1611" s="16">
        <v>31400</v>
      </c>
      <c r="B1611" s="12" t="str">
        <f t="shared" si="25"/>
        <v>314</v>
      </c>
      <c r="C1611" s="17" t="s">
        <v>2570</v>
      </c>
      <c r="D1611" s="13" t="str">
        <f>IF(RIGHT(A1611,3)="000",C1611,VLOOKUP(B1611,'Справочник ИХ'!A:C,3,0))</f>
        <v>Черные металлы</v>
      </c>
      <c r="E1611" s="13">
        <f>IF(RIGHT(A1611,3)="000","х",VLOOKUP(B1611,'Справочник ИХ'!A:D,4,0))</f>
        <v>3</v>
      </c>
      <c r="F1611" s="14" t="s">
        <v>2541</v>
      </c>
    </row>
    <row r="1612" spans="1:6">
      <c r="A1612" s="19">
        <v>31401</v>
      </c>
      <c r="B1612" s="12" t="str">
        <f t="shared" si="25"/>
        <v>314</v>
      </c>
      <c r="C1612" s="1" t="s">
        <v>2571</v>
      </c>
      <c r="D1612" s="13" t="str">
        <f>IF(RIGHT(A1612,3)="000",C1612,VLOOKUP(B1612,'Справочник ИХ'!A:C,3,0))</f>
        <v>Черные металлы</v>
      </c>
      <c r="E1612" s="13">
        <f>IF(RIGHT(A1612,3)="000","х",VLOOKUP(B1612,'Справочник ИХ'!A:D,4,0))</f>
        <v>3</v>
      </c>
      <c r="F1612" s="14" t="s">
        <v>2541</v>
      </c>
    </row>
    <row r="1613" spans="1:6">
      <c r="A1613" s="19">
        <v>31402</v>
      </c>
      <c r="B1613" s="12" t="str">
        <f t="shared" si="25"/>
        <v>314</v>
      </c>
      <c r="C1613" s="1" t="s">
        <v>2572</v>
      </c>
      <c r="D1613" s="13" t="str">
        <f>IF(RIGHT(A1613,3)="000",C1613,VLOOKUP(B1613,'Справочник ИХ'!A:C,3,0))</f>
        <v>Черные металлы</v>
      </c>
      <c r="E1613" s="13">
        <f>IF(RIGHT(A1613,3)="000","х",VLOOKUP(B1613,'Справочник ИХ'!A:D,4,0))</f>
        <v>3</v>
      </c>
      <c r="F1613" s="14" t="s">
        <v>2541</v>
      </c>
    </row>
    <row r="1614" spans="1:6">
      <c r="A1614" s="19">
        <v>31403</v>
      </c>
      <c r="B1614" s="12" t="str">
        <f t="shared" si="25"/>
        <v>314</v>
      </c>
      <c r="C1614" s="1" t="s">
        <v>2573</v>
      </c>
      <c r="D1614" s="13" t="str">
        <f>IF(RIGHT(A1614,3)="000",C1614,VLOOKUP(B1614,'Справочник ИХ'!A:C,3,0))</f>
        <v>Черные металлы</v>
      </c>
      <c r="E1614" s="13">
        <f>IF(RIGHT(A1614,3)="000","х",VLOOKUP(B1614,'Справочник ИХ'!A:D,4,0))</f>
        <v>3</v>
      </c>
      <c r="F1614" s="14" t="s">
        <v>2541</v>
      </c>
    </row>
    <row r="1615" spans="1:6">
      <c r="A1615" s="19">
        <v>31404</v>
      </c>
      <c r="B1615" s="12" t="str">
        <f t="shared" si="25"/>
        <v>314</v>
      </c>
      <c r="C1615" s="1" t="s">
        <v>2574</v>
      </c>
      <c r="D1615" s="13" t="str">
        <f>IF(RIGHT(A1615,3)="000",C1615,VLOOKUP(B1615,'Справочник ИХ'!A:C,3,0))</f>
        <v>Черные металлы</v>
      </c>
      <c r="E1615" s="13">
        <f>IF(RIGHT(A1615,3)="000","х",VLOOKUP(B1615,'Справочник ИХ'!A:D,4,0))</f>
        <v>3</v>
      </c>
      <c r="F1615" s="14" t="s">
        <v>2541</v>
      </c>
    </row>
    <row r="1616" spans="1:6" ht="31.75">
      <c r="A1616" s="19">
        <v>31405</v>
      </c>
      <c r="B1616" s="12" t="str">
        <f t="shared" si="25"/>
        <v>314</v>
      </c>
      <c r="C1616" s="1" t="s">
        <v>2575</v>
      </c>
      <c r="D1616" s="13" t="str">
        <f>IF(RIGHT(A1616,3)="000",C1616,VLOOKUP(B1616,'Справочник ИХ'!A:C,3,0))</f>
        <v>Черные металлы</v>
      </c>
      <c r="E1616" s="13">
        <f>IF(RIGHT(A1616,3)="000","х",VLOOKUP(B1616,'Справочник ИХ'!A:D,4,0))</f>
        <v>3</v>
      </c>
      <c r="F1616" s="14" t="s">
        <v>2541</v>
      </c>
    </row>
    <row r="1617" spans="1:6">
      <c r="A1617" s="19">
        <v>31406</v>
      </c>
      <c r="B1617" s="12" t="str">
        <f t="shared" si="25"/>
        <v>314</v>
      </c>
      <c r="C1617" s="1" t="s">
        <v>2576</v>
      </c>
      <c r="D1617" s="13" t="str">
        <f>IF(RIGHT(A1617,3)="000",C1617,VLOOKUP(B1617,'Справочник ИХ'!A:C,3,0))</f>
        <v>Черные металлы</v>
      </c>
      <c r="E1617" s="13">
        <f>IF(RIGHT(A1617,3)="000","х",VLOOKUP(B1617,'Справочник ИХ'!A:D,4,0))</f>
        <v>3</v>
      </c>
      <c r="F1617" s="14" t="s">
        <v>2541</v>
      </c>
    </row>
    <row r="1618" spans="1:6">
      <c r="A1618" s="19">
        <v>31407</v>
      </c>
      <c r="B1618" s="12" t="str">
        <f t="shared" si="25"/>
        <v>314</v>
      </c>
      <c r="C1618" s="1" t="s">
        <v>2577</v>
      </c>
      <c r="D1618" s="13" t="str">
        <f>IF(RIGHT(A1618,3)="000",C1618,VLOOKUP(B1618,'Справочник ИХ'!A:C,3,0))</f>
        <v>Черные металлы</v>
      </c>
      <c r="E1618" s="13">
        <f>IF(RIGHT(A1618,3)="000","х",VLOOKUP(B1618,'Справочник ИХ'!A:D,4,0))</f>
        <v>3</v>
      </c>
      <c r="F1618" s="14" t="s">
        <v>2541</v>
      </c>
    </row>
    <row r="1619" spans="1:6">
      <c r="A1619" s="19">
        <v>31408</v>
      </c>
      <c r="B1619" s="12" t="str">
        <f t="shared" si="25"/>
        <v>314</v>
      </c>
      <c r="C1619" s="1" t="s">
        <v>2578</v>
      </c>
      <c r="D1619" s="13" t="str">
        <f>IF(RIGHT(A1619,3)="000",C1619,VLOOKUP(B1619,'Справочник ИХ'!A:C,3,0))</f>
        <v>Черные металлы</v>
      </c>
      <c r="E1619" s="13">
        <f>IF(RIGHT(A1619,3)="000","х",VLOOKUP(B1619,'Справочник ИХ'!A:D,4,0))</f>
        <v>3</v>
      </c>
      <c r="F1619" s="14" t="s">
        <v>2541</v>
      </c>
    </row>
    <row r="1620" spans="1:6" s="18" customFormat="1">
      <c r="A1620" s="16">
        <v>31500</v>
      </c>
      <c r="B1620" s="12" t="str">
        <f t="shared" si="25"/>
        <v>315</v>
      </c>
      <c r="C1620" s="17" t="s">
        <v>2579</v>
      </c>
      <c r="D1620" s="13" t="str">
        <f>IF(RIGHT(A1620,3)="000",C1620,VLOOKUP(B1620,'Справочник ИХ'!A:C,3,0))</f>
        <v>Черные металлы</v>
      </c>
      <c r="E1620" s="13">
        <f>IF(RIGHT(A1620,3)="000","х",VLOOKUP(B1620,'Справочник ИХ'!A:D,4,0))</f>
        <v>3</v>
      </c>
      <c r="F1620" s="14" t="s">
        <v>2541</v>
      </c>
    </row>
    <row r="1621" spans="1:6" ht="31.75">
      <c r="A1621" s="19">
        <v>31501</v>
      </c>
      <c r="B1621" s="12" t="str">
        <f t="shared" si="25"/>
        <v>315</v>
      </c>
      <c r="C1621" s="1" t="s">
        <v>2580</v>
      </c>
      <c r="D1621" s="13" t="str">
        <f>IF(RIGHT(A1621,3)="000",C1621,VLOOKUP(B1621,'Справочник ИХ'!A:C,3,0))</f>
        <v>Черные металлы</v>
      </c>
      <c r="E1621" s="13">
        <f>IF(RIGHT(A1621,3)="000","х",VLOOKUP(B1621,'Справочник ИХ'!A:D,4,0))</f>
        <v>3</v>
      </c>
      <c r="F1621" s="14" t="s">
        <v>2541</v>
      </c>
    </row>
    <row r="1622" spans="1:6">
      <c r="A1622" s="19">
        <v>31502</v>
      </c>
      <c r="B1622" s="12" t="str">
        <f t="shared" si="25"/>
        <v>315</v>
      </c>
      <c r="C1622" s="1" t="s">
        <v>2581</v>
      </c>
      <c r="D1622" s="13" t="str">
        <f>IF(RIGHT(A1622,3)="000",C1622,VLOOKUP(B1622,'Справочник ИХ'!A:C,3,0))</f>
        <v>Черные металлы</v>
      </c>
      <c r="E1622" s="13">
        <f>IF(RIGHT(A1622,3)="000","х",VLOOKUP(B1622,'Справочник ИХ'!A:D,4,0))</f>
        <v>3</v>
      </c>
      <c r="F1622" s="14" t="s">
        <v>2541</v>
      </c>
    </row>
    <row r="1623" spans="1:6">
      <c r="A1623" s="19">
        <v>31503</v>
      </c>
      <c r="B1623" s="12" t="str">
        <f t="shared" si="25"/>
        <v>315</v>
      </c>
      <c r="C1623" s="1" t="s">
        <v>2582</v>
      </c>
      <c r="D1623" s="13" t="str">
        <f>IF(RIGHT(A1623,3)="000",C1623,VLOOKUP(B1623,'Справочник ИХ'!A:C,3,0))</f>
        <v>Черные металлы</v>
      </c>
      <c r="E1623" s="13">
        <f>IF(RIGHT(A1623,3)="000","х",VLOOKUP(B1623,'Справочник ИХ'!A:D,4,0))</f>
        <v>3</v>
      </c>
      <c r="F1623" s="14" t="s">
        <v>2541</v>
      </c>
    </row>
    <row r="1624" spans="1:6" s="18" customFormat="1">
      <c r="A1624" s="16">
        <v>31600</v>
      </c>
      <c r="B1624" s="12" t="str">
        <f t="shared" si="25"/>
        <v>316</v>
      </c>
      <c r="C1624" s="17" t="s">
        <v>2583</v>
      </c>
      <c r="D1624" s="13" t="str">
        <f>IF(RIGHT(A1624,3)="000",C1624,VLOOKUP(B1624,'Справочник ИХ'!A:C,3,0))</f>
        <v>Остальные грузы</v>
      </c>
      <c r="E1624" s="13">
        <f>IF(RIGHT(A1624,3)="000","х",VLOOKUP(B1624,'Справочник ИХ'!A:D,4,0))</f>
        <v>3</v>
      </c>
      <c r="F1624" s="14" t="s">
        <v>2541</v>
      </c>
    </row>
    <row r="1625" spans="1:6">
      <c r="A1625" s="19">
        <v>31601</v>
      </c>
      <c r="B1625" s="12" t="str">
        <f t="shared" si="25"/>
        <v>316</v>
      </c>
      <c r="C1625" s="1" t="s">
        <v>2584</v>
      </c>
      <c r="D1625" s="13" t="str">
        <f>IF(RIGHT(A1625,3)="000",C1625,VLOOKUP(B1625,'Справочник ИХ'!A:C,3,0))</f>
        <v>Остальные грузы</v>
      </c>
      <c r="E1625" s="13">
        <f>IF(RIGHT(A1625,3)="000","х",VLOOKUP(B1625,'Справочник ИХ'!A:D,4,0))</f>
        <v>3</v>
      </c>
      <c r="F1625" s="14" t="s">
        <v>2541</v>
      </c>
    </row>
    <row r="1626" spans="1:6">
      <c r="A1626" s="19">
        <v>31602</v>
      </c>
      <c r="B1626" s="12" t="str">
        <f t="shared" si="25"/>
        <v>316</v>
      </c>
      <c r="C1626" s="1" t="s">
        <v>2585</v>
      </c>
      <c r="D1626" s="13" t="str">
        <f>IF(RIGHT(A1626,3)="000",C1626,VLOOKUP(B1626,'Справочник ИХ'!A:C,3,0))</f>
        <v>Остальные грузы</v>
      </c>
      <c r="E1626" s="13">
        <f>IF(RIGHT(A1626,3)="000","х",VLOOKUP(B1626,'Справочник ИХ'!A:D,4,0))</f>
        <v>3</v>
      </c>
      <c r="F1626" s="14" t="s">
        <v>2541</v>
      </c>
    </row>
    <row r="1627" spans="1:6">
      <c r="A1627" s="19">
        <v>31603</v>
      </c>
      <c r="B1627" s="12" t="str">
        <f t="shared" si="25"/>
        <v>316</v>
      </c>
      <c r="C1627" s="1" t="s">
        <v>2586</v>
      </c>
      <c r="D1627" s="13" t="str">
        <f>IF(RIGHT(A1627,3)="000",C1627,VLOOKUP(B1627,'Справочник ИХ'!A:C,3,0))</f>
        <v>Остальные грузы</v>
      </c>
      <c r="E1627" s="13">
        <f>IF(RIGHT(A1627,3)="000","х",VLOOKUP(B1627,'Справочник ИХ'!A:D,4,0))</f>
        <v>3</v>
      </c>
      <c r="F1627" s="14" t="s">
        <v>2541</v>
      </c>
    </row>
    <row r="1628" spans="1:6">
      <c r="A1628" s="19">
        <v>31604</v>
      </c>
      <c r="B1628" s="12" t="str">
        <f t="shared" si="25"/>
        <v>316</v>
      </c>
      <c r="C1628" s="1" t="s">
        <v>2587</v>
      </c>
      <c r="D1628" s="13" t="str">
        <f>IF(RIGHT(A1628,3)="000",C1628,VLOOKUP(B1628,'Справочник ИХ'!A:C,3,0))</f>
        <v>Остальные грузы</v>
      </c>
      <c r="E1628" s="13">
        <f>IF(RIGHT(A1628,3)="000","х",VLOOKUP(B1628,'Справочник ИХ'!A:D,4,0))</f>
        <v>3</v>
      </c>
      <c r="F1628" s="14" t="s">
        <v>2541</v>
      </c>
    </row>
    <row r="1629" spans="1:6">
      <c r="A1629" s="19">
        <v>31605</v>
      </c>
      <c r="B1629" s="12" t="str">
        <f t="shared" si="25"/>
        <v>316</v>
      </c>
      <c r="C1629" s="1" t="s">
        <v>2588</v>
      </c>
      <c r="D1629" s="13" t="str">
        <f>IF(RIGHT(A1629,3)="000",C1629,VLOOKUP(B1629,'Справочник ИХ'!A:C,3,0))</f>
        <v>Остальные грузы</v>
      </c>
      <c r="E1629" s="13">
        <f>IF(RIGHT(A1629,3)="000","х",VLOOKUP(B1629,'Справочник ИХ'!A:D,4,0))</f>
        <v>3</v>
      </c>
      <c r="F1629" s="14" t="s">
        <v>2541</v>
      </c>
    </row>
    <row r="1630" spans="1:6">
      <c r="A1630" s="19">
        <v>31606</v>
      </c>
      <c r="B1630" s="12" t="str">
        <f t="shared" si="25"/>
        <v>316</v>
      </c>
      <c r="C1630" s="1" t="s">
        <v>2589</v>
      </c>
      <c r="D1630" s="13" t="str">
        <f>IF(RIGHT(A1630,3)="000",C1630,VLOOKUP(B1630,'Справочник ИХ'!A:C,3,0))</f>
        <v>Остальные грузы</v>
      </c>
      <c r="E1630" s="13">
        <f>IF(RIGHT(A1630,3)="000","х",VLOOKUP(B1630,'Справочник ИХ'!A:D,4,0))</f>
        <v>3</v>
      </c>
      <c r="F1630" s="14" t="s">
        <v>2541</v>
      </c>
    </row>
    <row r="1631" spans="1:6" ht="31.75">
      <c r="A1631" s="19">
        <v>31607</v>
      </c>
      <c r="B1631" s="12" t="str">
        <f t="shared" si="25"/>
        <v>316</v>
      </c>
      <c r="C1631" s="1" t="s">
        <v>2590</v>
      </c>
      <c r="D1631" s="13" t="str">
        <f>IF(RIGHT(A1631,3)="000",C1631,VLOOKUP(B1631,'Справочник ИХ'!A:C,3,0))</f>
        <v>Остальные грузы</v>
      </c>
      <c r="E1631" s="13">
        <f>IF(RIGHT(A1631,3)="000","х",VLOOKUP(B1631,'Справочник ИХ'!A:D,4,0))</f>
        <v>3</v>
      </c>
      <c r="F1631" s="14" t="s">
        <v>2541</v>
      </c>
    </row>
    <row r="1632" spans="1:6" ht="31.75">
      <c r="A1632" s="19">
        <v>31608</v>
      </c>
      <c r="B1632" s="12" t="str">
        <f t="shared" si="25"/>
        <v>316</v>
      </c>
      <c r="C1632" s="1" t="s">
        <v>2591</v>
      </c>
      <c r="D1632" s="13" t="str">
        <f>IF(RIGHT(A1632,3)="000",C1632,VLOOKUP(B1632,'Справочник ИХ'!A:C,3,0))</f>
        <v>Остальные грузы</v>
      </c>
      <c r="E1632" s="13">
        <f>IF(RIGHT(A1632,3)="000","х",VLOOKUP(B1632,'Справочник ИХ'!A:D,4,0))</f>
        <v>3</v>
      </c>
      <c r="F1632" s="14" t="s">
        <v>2541</v>
      </c>
    </row>
    <row r="1633" spans="1:6">
      <c r="A1633" s="19">
        <v>31609</v>
      </c>
      <c r="B1633" s="12" t="str">
        <f t="shared" si="25"/>
        <v>316</v>
      </c>
      <c r="C1633" s="1" t="s">
        <v>2592</v>
      </c>
      <c r="D1633" s="13" t="str">
        <f>IF(RIGHT(A1633,3)="000",C1633,VLOOKUP(B1633,'Справочник ИХ'!A:C,3,0))</f>
        <v>Остальные грузы</v>
      </c>
      <c r="E1633" s="13">
        <f>IF(RIGHT(A1633,3)="000","х",VLOOKUP(B1633,'Справочник ИХ'!A:D,4,0))</f>
        <v>3</v>
      </c>
      <c r="F1633" s="14" t="s">
        <v>2541</v>
      </c>
    </row>
    <row r="1634" spans="1:6" ht="31.75">
      <c r="A1634" s="19">
        <v>31610</v>
      </c>
      <c r="B1634" s="12" t="str">
        <f t="shared" si="25"/>
        <v>316</v>
      </c>
      <c r="C1634" s="1" t="s">
        <v>2593</v>
      </c>
      <c r="D1634" s="13" t="str">
        <f>IF(RIGHT(A1634,3)="000",C1634,VLOOKUP(B1634,'Справочник ИХ'!A:C,3,0))</f>
        <v>Остальные грузы</v>
      </c>
      <c r="E1634" s="13">
        <f>IF(RIGHT(A1634,3)="000","х",VLOOKUP(B1634,'Справочник ИХ'!A:D,4,0))</f>
        <v>3</v>
      </c>
      <c r="F1634" s="14" t="s">
        <v>2541</v>
      </c>
    </row>
    <row r="1635" spans="1:6">
      <c r="A1635" s="19">
        <v>31611</v>
      </c>
      <c r="B1635" s="12" t="str">
        <f t="shared" si="25"/>
        <v>316</v>
      </c>
      <c r="C1635" s="1" t="s">
        <v>2594</v>
      </c>
      <c r="D1635" s="13" t="str">
        <f>IF(RIGHT(A1635,3)="000",C1635,VLOOKUP(B1635,'Справочник ИХ'!A:C,3,0))</f>
        <v>Остальные грузы</v>
      </c>
      <c r="E1635" s="13">
        <f>IF(RIGHT(A1635,3)="000","х",VLOOKUP(B1635,'Справочник ИХ'!A:D,4,0))</f>
        <v>3</v>
      </c>
      <c r="F1635" s="14" t="s">
        <v>2541</v>
      </c>
    </row>
    <row r="1636" spans="1:6">
      <c r="A1636" s="19">
        <v>31612</v>
      </c>
      <c r="B1636" s="12" t="str">
        <f t="shared" si="25"/>
        <v>316</v>
      </c>
      <c r="C1636" s="1" t="s">
        <v>2595</v>
      </c>
      <c r="D1636" s="13" t="str">
        <f>IF(RIGHT(A1636,3)="000",C1636,VLOOKUP(B1636,'Справочник ИХ'!A:C,3,0))</f>
        <v>Остальные грузы</v>
      </c>
      <c r="E1636" s="13">
        <f>IF(RIGHT(A1636,3)="000","х",VLOOKUP(B1636,'Справочник ИХ'!A:D,4,0))</f>
        <v>3</v>
      </c>
      <c r="F1636" s="14" t="s">
        <v>2541</v>
      </c>
    </row>
    <row r="1637" spans="1:6">
      <c r="A1637" s="19">
        <v>31613</v>
      </c>
      <c r="B1637" s="12" t="str">
        <f t="shared" si="25"/>
        <v>316</v>
      </c>
      <c r="C1637" s="1" t="s">
        <v>2596</v>
      </c>
      <c r="D1637" s="13" t="str">
        <f>IF(RIGHT(A1637,3)="000",C1637,VLOOKUP(B1637,'Справочник ИХ'!A:C,3,0))</f>
        <v>Остальные грузы</v>
      </c>
      <c r="E1637" s="13">
        <f>IF(RIGHT(A1637,3)="000","х",VLOOKUP(B1637,'Справочник ИХ'!A:D,4,0))</f>
        <v>3</v>
      </c>
      <c r="F1637" s="14" t="s">
        <v>2541</v>
      </c>
    </row>
    <row r="1638" spans="1:6">
      <c r="A1638" s="19">
        <v>31614</v>
      </c>
      <c r="B1638" s="12" t="str">
        <f t="shared" si="25"/>
        <v>316</v>
      </c>
      <c r="C1638" s="1" t="s">
        <v>2597</v>
      </c>
      <c r="D1638" s="13" t="str">
        <f>IF(RIGHT(A1638,3)="000",C1638,VLOOKUP(B1638,'Справочник ИХ'!A:C,3,0))</f>
        <v>Остальные грузы</v>
      </c>
      <c r="E1638" s="13">
        <f>IF(RIGHT(A1638,3)="000","х",VLOOKUP(B1638,'Справочник ИХ'!A:D,4,0))</f>
        <v>3</v>
      </c>
      <c r="F1638" s="14" t="s">
        <v>2541</v>
      </c>
    </row>
    <row r="1639" spans="1:6" ht="31.75">
      <c r="A1639" s="19">
        <v>31615</v>
      </c>
      <c r="B1639" s="12" t="str">
        <f t="shared" si="25"/>
        <v>316</v>
      </c>
      <c r="C1639" s="1" t="s">
        <v>2598</v>
      </c>
      <c r="D1639" s="13" t="str">
        <f>IF(RIGHT(A1639,3)="000",C1639,VLOOKUP(B1639,'Справочник ИХ'!A:C,3,0))</f>
        <v>Остальные грузы</v>
      </c>
      <c r="E1639" s="13">
        <f>IF(RIGHT(A1639,3)="000","х",VLOOKUP(B1639,'Справочник ИХ'!A:D,4,0))</f>
        <v>3</v>
      </c>
      <c r="F1639" s="14" t="s">
        <v>2541</v>
      </c>
    </row>
    <row r="1640" spans="1:6">
      <c r="A1640" s="19">
        <v>31616</v>
      </c>
      <c r="B1640" s="12" t="str">
        <f t="shared" si="25"/>
        <v>316</v>
      </c>
      <c r="C1640" s="1" t="s">
        <v>2599</v>
      </c>
      <c r="D1640" s="13" t="str">
        <f>IF(RIGHT(A1640,3)="000",C1640,VLOOKUP(B1640,'Справочник ИХ'!A:C,3,0))</f>
        <v>Остальные грузы</v>
      </c>
      <c r="E1640" s="13">
        <f>IF(RIGHT(A1640,3)="000","х",VLOOKUP(B1640,'Справочник ИХ'!A:D,4,0))</f>
        <v>3</v>
      </c>
      <c r="F1640" s="14" t="s">
        <v>2541</v>
      </c>
    </row>
    <row r="1641" spans="1:6" ht="31.75">
      <c r="A1641" s="19" t="s">
        <v>2600</v>
      </c>
      <c r="B1641" s="12" t="str">
        <f t="shared" si="25"/>
        <v>316</v>
      </c>
      <c r="C1641" s="1" t="s">
        <v>2601</v>
      </c>
      <c r="D1641" s="13" t="str">
        <f>IF(RIGHT(A1641,3)="000",C1641,VLOOKUP(B1641,'Справочник ИХ'!A:C,3,0))</f>
        <v>Остальные грузы</v>
      </c>
      <c r="E1641" s="13">
        <f>IF(RIGHT(A1641,3)="000","х",VLOOKUP(B1641,'Справочник ИХ'!A:D,4,0))</f>
        <v>3</v>
      </c>
      <c r="F1641" s="14" t="s">
        <v>2541</v>
      </c>
    </row>
    <row r="1642" spans="1:6" s="15" customFormat="1">
      <c r="A1642" s="7">
        <v>32000</v>
      </c>
      <c r="B1642" s="12" t="str">
        <f t="shared" si="25"/>
        <v>320</v>
      </c>
      <c r="C1642" s="11" t="s">
        <v>2602</v>
      </c>
      <c r="D1642" s="13" t="str">
        <f>IF(RIGHT(A1642,3)="000",C1642,VLOOKUP(B1642,'Справочник ИХ'!A:C,3,0))</f>
        <v xml:space="preserve">Прокат черных металлов </v>
      </c>
      <c r="E1642" s="13" t="str">
        <f>IF(RIGHT(A1642,3)="000","х",VLOOKUP(B1642,'Справочник ИХ'!A:D,4,0))</f>
        <v>х</v>
      </c>
      <c r="F1642" s="14" t="s">
        <v>2602</v>
      </c>
    </row>
    <row r="1643" spans="1:6" s="18" customFormat="1">
      <c r="A1643" s="16">
        <v>32100</v>
      </c>
      <c r="B1643" s="12" t="str">
        <f t="shared" si="25"/>
        <v>321</v>
      </c>
      <c r="C1643" s="17" t="s">
        <v>2603</v>
      </c>
      <c r="D1643" s="13" t="str">
        <f>IF(RIGHT(A1643,3)="000",C1643,VLOOKUP(B1643,'Справочник ИХ'!A:C,3,0))</f>
        <v>Черные металлы</v>
      </c>
      <c r="E1643" s="13">
        <f>IF(RIGHT(A1643,3)="000","х",VLOOKUP(B1643,'Справочник ИХ'!A:D,4,0))</f>
        <v>3</v>
      </c>
      <c r="F1643" s="14" t="s">
        <v>2602</v>
      </c>
    </row>
    <row r="1644" spans="1:6">
      <c r="A1644" s="19">
        <v>32101</v>
      </c>
      <c r="B1644" s="12" t="str">
        <f t="shared" si="25"/>
        <v>321</v>
      </c>
      <c r="C1644" s="1" t="s">
        <v>2604</v>
      </c>
      <c r="D1644" s="13" t="str">
        <f>IF(RIGHT(A1644,3)="000",C1644,VLOOKUP(B1644,'Справочник ИХ'!A:C,3,0))</f>
        <v>Черные металлы</v>
      </c>
      <c r="E1644" s="13">
        <f>IF(RIGHT(A1644,3)="000","х",VLOOKUP(B1644,'Справочник ИХ'!A:D,4,0))</f>
        <v>3</v>
      </c>
      <c r="F1644" s="14" t="s">
        <v>2602</v>
      </c>
    </row>
    <row r="1645" spans="1:6">
      <c r="A1645" s="19">
        <v>32102</v>
      </c>
      <c r="B1645" s="12" t="str">
        <f t="shared" si="25"/>
        <v>321</v>
      </c>
      <c r="C1645" s="1" t="s">
        <v>2605</v>
      </c>
      <c r="D1645" s="13" t="str">
        <f>IF(RIGHT(A1645,3)="000",C1645,VLOOKUP(B1645,'Справочник ИХ'!A:C,3,0))</f>
        <v>Черные металлы</v>
      </c>
      <c r="E1645" s="13">
        <f>IF(RIGHT(A1645,3)="000","х",VLOOKUP(B1645,'Справочник ИХ'!A:D,4,0))</f>
        <v>3</v>
      </c>
      <c r="F1645" s="14" t="s">
        <v>2602</v>
      </c>
    </row>
    <row r="1646" spans="1:6">
      <c r="A1646" s="19">
        <v>32103</v>
      </c>
      <c r="B1646" s="12" t="str">
        <f t="shared" si="25"/>
        <v>321</v>
      </c>
      <c r="C1646" s="1" t="s">
        <v>2606</v>
      </c>
      <c r="D1646" s="13" t="str">
        <f>IF(RIGHT(A1646,3)="000",C1646,VLOOKUP(B1646,'Справочник ИХ'!A:C,3,0))</f>
        <v>Черные металлы</v>
      </c>
      <c r="E1646" s="13">
        <f>IF(RIGHT(A1646,3)="000","х",VLOOKUP(B1646,'Справочник ИХ'!A:D,4,0))</f>
        <v>3</v>
      </c>
      <c r="F1646" s="14" t="s">
        <v>2602</v>
      </c>
    </row>
    <row r="1647" spans="1:6" ht="31.75">
      <c r="A1647" s="19">
        <v>32104</v>
      </c>
      <c r="B1647" s="12" t="str">
        <f t="shared" si="25"/>
        <v>321</v>
      </c>
      <c r="C1647" s="1" t="s">
        <v>2607</v>
      </c>
      <c r="D1647" s="13" t="str">
        <f>IF(RIGHT(A1647,3)="000",C1647,VLOOKUP(B1647,'Справочник ИХ'!A:C,3,0))</f>
        <v>Черные металлы</v>
      </c>
      <c r="E1647" s="13">
        <f>IF(RIGHT(A1647,3)="000","х",VLOOKUP(B1647,'Справочник ИХ'!A:D,4,0))</f>
        <v>3</v>
      </c>
      <c r="F1647" s="14" t="s">
        <v>2602</v>
      </c>
    </row>
    <row r="1648" spans="1:6">
      <c r="A1648" s="19">
        <v>32105</v>
      </c>
      <c r="B1648" s="12" t="str">
        <f t="shared" si="25"/>
        <v>321</v>
      </c>
      <c r="C1648" s="1" t="s">
        <v>2608</v>
      </c>
      <c r="D1648" s="13" t="str">
        <f>IF(RIGHT(A1648,3)="000",C1648,VLOOKUP(B1648,'Справочник ИХ'!A:C,3,0))</f>
        <v>Черные металлы</v>
      </c>
      <c r="E1648" s="13">
        <f>IF(RIGHT(A1648,3)="000","х",VLOOKUP(B1648,'Справочник ИХ'!A:D,4,0))</f>
        <v>3</v>
      </c>
      <c r="F1648" s="14" t="s">
        <v>2602</v>
      </c>
    </row>
    <row r="1649" spans="1:6" ht="31.75">
      <c r="A1649" s="19">
        <v>32106</v>
      </c>
      <c r="B1649" s="12" t="str">
        <f t="shared" si="25"/>
        <v>321</v>
      </c>
      <c r="C1649" s="1" t="s">
        <v>2609</v>
      </c>
      <c r="D1649" s="13" t="str">
        <f>IF(RIGHT(A1649,3)="000",C1649,VLOOKUP(B1649,'Справочник ИХ'!A:C,3,0))</f>
        <v>Черные металлы</v>
      </c>
      <c r="E1649" s="13">
        <f>IF(RIGHT(A1649,3)="000","х",VLOOKUP(B1649,'Справочник ИХ'!A:D,4,0))</f>
        <v>3</v>
      </c>
      <c r="F1649" s="14" t="s">
        <v>2602</v>
      </c>
    </row>
    <row r="1650" spans="1:6" s="18" customFormat="1">
      <c r="A1650" s="16">
        <v>32200</v>
      </c>
      <c r="B1650" s="12" t="str">
        <f t="shared" si="25"/>
        <v>322</v>
      </c>
      <c r="C1650" s="17" t="s">
        <v>2610</v>
      </c>
      <c r="D1650" s="13" t="str">
        <f>IF(RIGHT(A1650,3)="000",C1650,VLOOKUP(B1650,'Справочник ИХ'!A:C,3,0))</f>
        <v>Черные металлы</v>
      </c>
      <c r="E1650" s="13">
        <f>IF(RIGHT(A1650,3)="000","х",VLOOKUP(B1650,'Справочник ИХ'!A:D,4,0))</f>
        <v>3</v>
      </c>
      <c r="F1650" s="14" t="s">
        <v>2602</v>
      </c>
    </row>
    <row r="1651" spans="1:6">
      <c r="A1651" s="19">
        <v>32201</v>
      </c>
      <c r="B1651" s="12" t="str">
        <f t="shared" si="25"/>
        <v>322</v>
      </c>
      <c r="C1651" s="1" t="s">
        <v>2611</v>
      </c>
      <c r="D1651" s="13" t="str">
        <f>IF(RIGHT(A1651,3)="000",C1651,VLOOKUP(B1651,'Справочник ИХ'!A:C,3,0))</f>
        <v>Черные металлы</v>
      </c>
      <c r="E1651" s="13">
        <f>IF(RIGHT(A1651,3)="000","х",VLOOKUP(B1651,'Справочник ИХ'!A:D,4,0))</f>
        <v>3</v>
      </c>
      <c r="F1651" s="14" t="s">
        <v>2602</v>
      </c>
    </row>
    <row r="1652" spans="1:6">
      <c r="A1652" s="19">
        <v>32202</v>
      </c>
      <c r="B1652" s="12" t="str">
        <f t="shared" si="25"/>
        <v>322</v>
      </c>
      <c r="C1652" s="1" t="s">
        <v>2612</v>
      </c>
      <c r="D1652" s="13" t="str">
        <f>IF(RIGHT(A1652,3)="000",C1652,VLOOKUP(B1652,'Справочник ИХ'!A:C,3,0))</f>
        <v>Черные металлы</v>
      </c>
      <c r="E1652" s="13">
        <f>IF(RIGHT(A1652,3)="000","х",VLOOKUP(B1652,'Справочник ИХ'!A:D,4,0))</f>
        <v>3</v>
      </c>
      <c r="F1652" s="14" t="s">
        <v>2602</v>
      </c>
    </row>
    <row r="1653" spans="1:6">
      <c r="A1653" s="19">
        <v>32203</v>
      </c>
      <c r="B1653" s="12" t="str">
        <f t="shared" si="25"/>
        <v>322</v>
      </c>
      <c r="C1653" s="1" t="s">
        <v>2613</v>
      </c>
      <c r="D1653" s="13" t="str">
        <f>IF(RIGHT(A1653,3)="000",C1653,VLOOKUP(B1653,'Справочник ИХ'!A:C,3,0))</f>
        <v>Черные металлы</v>
      </c>
      <c r="E1653" s="13">
        <f>IF(RIGHT(A1653,3)="000","х",VLOOKUP(B1653,'Справочник ИХ'!A:D,4,0))</f>
        <v>3</v>
      </c>
      <c r="F1653" s="14" t="s">
        <v>2602</v>
      </c>
    </row>
    <row r="1654" spans="1:6">
      <c r="A1654" s="19">
        <v>32204</v>
      </c>
      <c r="B1654" s="12" t="str">
        <f t="shared" si="25"/>
        <v>322</v>
      </c>
      <c r="C1654" s="1" t="s">
        <v>2614</v>
      </c>
      <c r="D1654" s="13" t="str">
        <f>IF(RIGHT(A1654,3)="000",C1654,VLOOKUP(B1654,'Справочник ИХ'!A:C,3,0))</f>
        <v>Черные металлы</v>
      </c>
      <c r="E1654" s="13">
        <f>IF(RIGHT(A1654,3)="000","х",VLOOKUP(B1654,'Справочник ИХ'!A:D,4,0))</f>
        <v>3</v>
      </c>
      <c r="F1654" s="14" t="s">
        <v>2602</v>
      </c>
    </row>
    <row r="1655" spans="1:6" ht="31.75">
      <c r="A1655" s="19">
        <v>32205</v>
      </c>
      <c r="B1655" s="12" t="str">
        <f t="shared" si="25"/>
        <v>322</v>
      </c>
      <c r="C1655" s="1" t="s">
        <v>2615</v>
      </c>
      <c r="D1655" s="13" t="str">
        <f>IF(RIGHT(A1655,3)="000",C1655,VLOOKUP(B1655,'Справочник ИХ'!A:C,3,0))</f>
        <v>Черные металлы</v>
      </c>
      <c r="E1655" s="13">
        <f>IF(RIGHT(A1655,3)="000","х",VLOOKUP(B1655,'Справочник ИХ'!A:D,4,0))</f>
        <v>3</v>
      </c>
      <c r="F1655" s="14" t="s">
        <v>2602</v>
      </c>
    </row>
    <row r="1656" spans="1:6">
      <c r="A1656" s="19">
        <v>32206</v>
      </c>
      <c r="B1656" s="12" t="str">
        <f t="shared" si="25"/>
        <v>322</v>
      </c>
      <c r="C1656" s="1" t="s">
        <v>2616</v>
      </c>
      <c r="D1656" s="13" t="str">
        <f>IF(RIGHT(A1656,3)="000",C1656,VLOOKUP(B1656,'Справочник ИХ'!A:C,3,0))</f>
        <v>Черные металлы</v>
      </c>
      <c r="E1656" s="13">
        <f>IF(RIGHT(A1656,3)="000","х",VLOOKUP(B1656,'Справочник ИХ'!A:D,4,0))</f>
        <v>3</v>
      </c>
      <c r="F1656" s="14" t="s">
        <v>2602</v>
      </c>
    </row>
    <row r="1657" spans="1:6">
      <c r="A1657" s="19">
        <v>32207</v>
      </c>
      <c r="B1657" s="12" t="str">
        <f t="shared" si="25"/>
        <v>322</v>
      </c>
      <c r="C1657" s="1" t="s">
        <v>2617</v>
      </c>
      <c r="D1657" s="13" t="str">
        <f>IF(RIGHT(A1657,3)="000",C1657,VLOOKUP(B1657,'Справочник ИХ'!A:C,3,0))</f>
        <v>Черные металлы</v>
      </c>
      <c r="E1657" s="13">
        <f>IF(RIGHT(A1657,3)="000","х",VLOOKUP(B1657,'Справочник ИХ'!A:D,4,0))</f>
        <v>3</v>
      </c>
      <c r="F1657" s="14" t="s">
        <v>2602</v>
      </c>
    </row>
    <row r="1658" spans="1:6" ht="31.75">
      <c r="A1658" s="19">
        <v>32208</v>
      </c>
      <c r="B1658" s="12" t="str">
        <f t="shared" si="25"/>
        <v>322</v>
      </c>
      <c r="C1658" s="1" t="s">
        <v>2618</v>
      </c>
      <c r="D1658" s="13" t="str">
        <f>IF(RIGHT(A1658,3)="000",C1658,VLOOKUP(B1658,'Справочник ИХ'!A:C,3,0))</f>
        <v>Черные металлы</v>
      </c>
      <c r="E1658" s="13">
        <f>IF(RIGHT(A1658,3)="000","х",VLOOKUP(B1658,'Справочник ИХ'!A:D,4,0))</f>
        <v>3</v>
      </c>
      <c r="F1658" s="14" t="s">
        <v>2602</v>
      </c>
    </row>
    <row r="1659" spans="1:6" s="18" customFormat="1">
      <c r="A1659" s="16">
        <v>32300</v>
      </c>
      <c r="B1659" s="12" t="str">
        <f t="shared" si="25"/>
        <v>323</v>
      </c>
      <c r="C1659" s="17" t="s">
        <v>2619</v>
      </c>
      <c r="D1659" s="13" t="str">
        <f>IF(RIGHT(A1659,3)="000",C1659,VLOOKUP(B1659,'Справочник ИХ'!A:C,3,0))</f>
        <v>Черные металлы</v>
      </c>
      <c r="E1659" s="13">
        <f>IF(RIGHT(A1659,3)="000","х",VLOOKUP(B1659,'Справочник ИХ'!A:D,4,0))</f>
        <v>3</v>
      </c>
      <c r="F1659" s="14" t="s">
        <v>2602</v>
      </c>
    </row>
    <row r="1660" spans="1:6">
      <c r="A1660" s="19">
        <v>32301</v>
      </c>
      <c r="B1660" s="12" t="str">
        <f t="shared" si="25"/>
        <v>323</v>
      </c>
      <c r="C1660" s="1" t="s">
        <v>2620</v>
      </c>
      <c r="D1660" s="13" t="str">
        <f>IF(RIGHT(A1660,3)="000",C1660,VLOOKUP(B1660,'Справочник ИХ'!A:C,3,0))</f>
        <v>Черные металлы</v>
      </c>
      <c r="E1660" s="13">
        <f>IF(RIGHT(A1660,3)="000","х",VLOOKUP(B1660,'Справочник ИХ'!A:D,4,0))</f>
        <v>3</v>
      </c>
      <c r="F1660" s="14" t="s">
        <v>2602</v>
      </c>
    </row>
    <row r="1661" spans="1:6">
      <c r="A1661" s="19">
        <v>32302</v>
      </c>
      <c r="B1661" s="12" t="str">
        <f t="shared" si="25"/>
        <v>323</v>
      </c>
      <c r="C1661" s="1" t="s">
        <v>2621</v>
      </c>
      <c r="D1661" s="13" t="str">
        <f>IF(RIGHT(A1661,3)="000",C1661,VLOOKUP(B1661,'Справочник ИХ'!A:C,3,0))</f>
        <v>Черные металлы</v>
      </c>
      <c r="E1661" s="13">
        <f>IF(RIGHT(A1661,3)="000","х",VLOOKUP(B1661,'Справочник ИХ'!A:D,4,0))</f>
        <v>3</v>
      </c>
      <c r="F1661" s="14" t="s">
        <v>2602</v>
      </c>
    </row>
    <row r="1662" spans="1:6" ht="31.75">
      <c r="A1662" s="19">
        <v>32303</v>
      </c>
      <c r="B1662" s="12" t="str">
        <f t="shared" si="25"/>
        <v>323</v>
      </c>
      <c r="C1662" s="1" t="s">
        <v>2622</v>
      </c>
      <c r="D1662" s="13" t="str">
        <f>IF(RIGHT(A1662,3)="000",C1662,VLOOKUP(B1662,'Справочник ИХ'!A:C,3,0))</f>
        <v>Черные металлы</v>
      </c>
      <c r="E1662" s="13">
        <f>IF(RIGHT(A1662,3)="000","х",VLOOKUP(B1662,'Справочник ИХ'!A:D,4,0))</f>
        <v>3</v>
      </c>
      <c r="F1662" s="14" t="s">
        <v>2602</v>
      </c>
    </row>
    <row r="1663" spans="1:6" ht="31.75">
      <c r="A1663" s="19">
        <v>32304</v>
      </c>
      <c r="B1663" s="12" t="str">
        <f t="shared" si="25"/>
        <v>323</v>
      </c>
      <c r="C1663" s="1" t="s">
        <v>2623</v>
      </c>
      <c r="D1663" s="13" t="str">
        <f>IF(RIGHT(A1663,3)="000",C1663,VLOOKUP(B1663,'Справочник ИХ'!A:C,3,0))</f>
        <v>Черные металлы</v>
      </c>
      <c r="E1663" s="13">
        <f>IF(RIGHT(A1663,3)="000","х",VLOOKUP(B1663,'Справочник ИХ'!A:D,4,0))</f>
        <v>3</v>
      </c>
      <c r="F1663" s="14" t="s">
        <v>2602</v>
      </c>
    </row>
    <row r="1664" spans="1:6" ht="31.75">
      <c r="A1664" s="19">
        <v>32305</v>
      </c>
      <c r="B1664" s="12" t="str">
        <f t="shared" si="25"/>
        <v>323</v>
      </c>
      <c r="C1664" s="1" t="s">
        <v>2624</v>
      </c>
      <c r="D1664" s="13" t="str">
        <f>IF(RIGHT(A1664,3)="000",C1664,VLOOKUP(B1664,'Справочник ИХ'!A:C,3,0))</f>
        <v>Черные металлы</v>
      </c>
      <c r="E1664" s="13">
        <f>IF(RIGHT(A1664,3)="000","х",VLOOKUP(B1664,'Справочник ИХ'!A:D,4,0))</f>
        <v>3</v>
      </c>
      <c r="F1664" s="14" t="s">
        <v>2602</v>
      </c>
    </row>
    <row r="1665" spans="1:6">
      <c r="A1665" s="19">
        <v>32306</v>
      </c>
      <c r="B1665" s="12" t="str">
        <f t="shared" si="25"/>
        <v>323</v>
      </c>
      <c r="C1665" s="1" t="s">
        <v>2625</v>
      </c>
      <c r="D1665" s="13" t="str">
        <f>IF(RIGHT(A1665,3)="000",C1665,VLOOKUP(B1665,'Справочник ИХ'!A:C,3,0))</f>
        <v>Черные металлы</v>
      </c>
      <c r="E1665" s="13">
        <f>IF(RIGHT(A1665,3)="000","х",VLOOKUP(B1665,'Справочник ИХ'!A:D,4,0))</f>
        <v>3</v>
      </c>
      <c r="F1665" s="14" t="s">
        <v>2602</v>
      </c>
    </row>
    <row r="1666" spans="1:6" ht="31.75">
      <c r="A1666" s="19">
        <v>32307</v>
      </c>
      <c r="B1666" s="12" t="str">
        <f t="shared" si="25"/>
        <v>323</v>
      </c>
      <c r="C1666" s="1" t="s">
        <v>2626</v>
      </c>
      <c r="D1666" s="13" t="str">
        <f>IF(RIGHT(A1666,3)="000",C1666,VLOOKUP(B1666,'Справочник ИХ'!A:C,3,0))</f>
        <v>Черные металлы</v>
      </c>
      <c r="E1666" s="13">
        <f>IF(RIGHT(A1666,3)="000","х",VLOOKUP(B1666,'Справочник ИХ'!A:D,4,0))</f>
        <v>3</v>
      </c>
      <c r="F1666" s="14" t="s">
        <v>2602</v>
      </c>
    </row>
    <row r="1667" spans="1:6" ht="31.75">
      <c r="A1667" s="19">
        <v>32308</v>
      </c>
      <c r="B1667" s="12" t="str">
        <f t="shared" si="25"/>
        <v>323</v>
      </c>
      <c r="C1667" s="1" t="s">
        <v>2627</v>
      </c>
      <c r="D1667" s="13" t="str">
        <f>IF(RIGHT(A1667,3)="000",C1667,VLOOKUP(B1667,'Справочник ИХ'!A:C,3,0))</f>
        <v>Черные металлы</v>
      </c>
      <c r="E1667" s="13">
        <f>IF(RIGHT(A1667,3)="000","х",VLOOKUP(B1667,'Справочник ИХ'!A:D,4,0))</f>
        <v>3</v>
      </c>
      <c r="F1667" s="14" t="s">
        <v>2602</v>
      </c>
    </row>
    <row r="1668" spans="1:6">
      <c r="A1668" s="19">
        <v>32309</v>
      </c>
      <c r="B1668" s="12" t="str">
        <f t="shared" ref="B1668:B1731" si="26">LEFT(A1668,3)</f>
        <v>323</v>
      </c>
      <c r="C1668" s="1" t="s">
        <v>2628</v>
      </c>
      <c r="D1668" s="13" t="str">
        <f>IF(RIGHT(A1668,3)="000",C1668,VLOOKUP(B1668,'Справочник ИХ'!A:C,3,0))</f>
        <v>Черные металлы</v>
      </c>
      <c r="E1668" s="13">
        <f>IF(RIGHT(A1668,3)="000","х",VLOOKUP(B1668,'Справочник ИХ'!A:D,4,0))</f>
        <v>3</v>
      </c>
      <c r="F1668" s="14" t="s">
        <v>2602</v>
      </c>
    </row>
    <row r="1669" spans="1:6" s="18" customFormat="1">
      <c r="A1669" s="16">
        <v>32400</v>
      </c>
      <c r="B1669" s="12" t="str">
        <f t="shared" si="26"/>
        <v>324</v>
      </c>
      <c r="C1669" s="17" t="s">
        <v>2629</v>
      </c>
      <c r="D1669" s="13" t="str">
        <f>IF(RIGHT(A1669,3)="000",C1669,VLOOKUP(B1669,'Справочник ИХ'!A:C,3,0))</f>
        <v>Черные металлы</v>
      </c>
      <c r="E1669" s="13">
        <f>IF(RIGHT(A1669,3)="000","х",VLOOKUP(B1669,'Справочник ИХ'!A:D,4,0))</f>
        <v>3</v>
      </c>
      <c r="F1669" s="14" t="s">
        <v>2602</v>
      </c>
    </row>
    <row r="1670" spans="1:6">
      <c r="A1670" s="19">
        <v>32401</v>
      </c>
      <c r="B1670" s="12" t="str">
        <f t="shared" si="26"/>
        <v>324</v>
      </c>
      <c r="C1670" s="1" t="s">
        <v>2630</v>
      </c>
      <c r="D1670" s="13" t="str">
        <f>IF(RIGHT(A1670,3)="000",C1670,VLOOKUP(B1670,'Справочник ИХ'!A:C,3,0))</f>
        <v>Черные металлы</v>
      </c>
      <c r="E1670" s="13">
        <f>IF(RIGHT(A1670,3)="000","х",VLOOKUP(B1670,'Справочник ИХ'!A:D,4,0))</f>
        <v>3</v>
      </c>
      <c r="F1670" s="14" t="s">
        <v>2602</v>
      </c>
    </row>
    <row r="1671" spans="1:6">
      <c r="A1671" s="19">
        <v>32402</v>
      </c>
      <c r="B1671" s="12" t="str">
        <f t="shared" si="26"/>
        <v>324</v>
      </c>
      <c r="C1671" s="1" t="s">
        <v>2631</v>
      </c>
      <c r="D1671" s="13" t="str">
        <f>IF(RIGHT(A1671,3)="000",C1671,VLOOKUP(B1671,'Справочник ИХ'!A:C,3,0))</f>
        <v>Черные металлы</v>
      </c>
      <c r="E1671" s="13">
        <f>IF(RIGHT(A1671,3)="000","х",VLOOKUP(B1671,'Справочник ИХ'!A:D,4,0))</f>
        <v>3</v>
      </c>
      <c r="F1671" s="14" t="s">
        <v>2602</v>
      </c>
    </row>
    <row r="1672" spans="1:6">
      <c r="A1672" s="19">
        <v>32403</v>
      </c>
      <c r="B1672" s="12" t="str">
        <f t="shared" si="26"/>
        <v>324</v>
      </c>
      <c r="C1672" s="1" t="s">
        <v>2632</v>
      </c>
      <c r="D1672" s="13" t="str">
        <f>IF(RIGHT(A1672,3)="000",C1672,VLOOKUP(B1672,'Справочник ИХ'!A:C,3,0))</f>
        <v>Черные металлы</v>
      </c>
      <c r="E1672" s="13">
        <f>IF(RIGHT(A1672,3)="000","х",VLOOKUP(B1672,'Справочник ИХ'!A:D,4,0))</f>
        <v>3</v>
      </c>
      <c r="F1672" s="14" t="s">
        <v>2602</v>
      </c>
    </row>
    <row r="1673" spans="1:6" ht="31.75">
      <c r="A1673" s="19">
        <v>32404</v>
      </c>
      <c r="B1673" s="12" t="str">
        <f t="shared" si="26"/>
        <v>324</v>
      </c>
      <c r="C1673" s="1" t="s">
        <v>2633</v>
      </c>
      <c r="D1673" s="13" t="str">
        <f>IF(RIGHT(A1673,3)="000",C1673,VLOOKUP(B1673,'Справочник ИХ'!A:C,3,0))</f>
        <v>Черные металлы</v>
      </c>
      <c r="E1673" s="13">
        <f>IF(RIGHT(A1673,3)="000","х",VLOOKUP(B1673,'Справочник ИХ'!A:D,4,0))</f>
        <v>3</v>
      </c>
      <c r="F1673" s="14" t="s">
        <v>2602</v>
      </c>
    </row>
    <row r="1674" spans="1:6">
      <c r="A1674" s="19">
        <v>32405</v>
      </c>
      <c r="B1674" s="12" t="str">
        <f t="shared" si="26"/>
        <v>324</v>
      </c>
      <c r="C1674" s="1" t="s">
        <v>2634</v>
      </c>
      <c r="D1674" s="13" t="str">
        <f>IF(RIGHT(A1674,3)="000",C1674,VLOOKUP(B1674,'Справочник ИХ'!A:C,3,0))</f>
        <v>Черные металлы</v>
      </c>
      <c r="E1674" s="13">
        <f>IF(RIGHT(A1674,3)="000","х",VLOOKUP(B1674,'Справочник ИХ'!A:D,4,0))</f>
        <v>3</v>
      </c>
      <c r="F1674" s="14" t="s">
        <v>2602</v>
      </c>
    </row>
    <row r="1675" spans="1:6">
      <c r="A1675" s="19">
        <v>32406</v>
      </c>
      <c r="B1675" s="12" t="str">
        <f t="shared" si="26"/>
        <v>324</v>
      </c>
      <c r="C1675" s="1" t="s">
        <v>2635</v>
      </c>
      <c r="D1675" s="13" t="str">
        <f>IF(RIGHT(A1675,3)="000",C1675,VLOOKUP(B1675,'Справочник ИХ'!A:C,3,0))</f>
        <v>Черные металлы</v>
      </c>
      <c r="E1675" s="13">
        <f>IF(RIGHT(A1675,3)="000","х",VLOOKUP(B1675,'Справочник ИХ'!A:D,4,0))</f>
        <v>3</v>
      </c>
      <c r="F1675" s="14" t="s">
        <v>2602</v>
      </c>
    </row>
    <row r="1676" spans="1:6">
      <c r="A1676" s="19">
        <v>32407</v>
      </c>
      <c r="B1676" s="12" t="str">
        <f t="shared" si="26"/>
        <v>324</v>
      </c>
      <c r="C1676" s="1" t="s">
        <v>2636</v>
      </c>
      <c r="D1676" s="13" t="str">
        <f>IF(RIGHT(A1676,3)="000",C1676,VLOOKUP(B1676,'Справочник ИХ'!A:C,3,0))</f>
        <v>Черные металлы</v>
      </c>
      <c r="E1676" s="13">
        <f>IF(RIGHT(A1676,3)="000","х",VLOOKUP(B1676,'Справочник ИХ'!A:D,4,0))</f>
        <v>3</v>
      </c>
      <c r="F1676" s="14" t="s">
        <v>2602</v>
      </c>
    </row>
    <row r="1677" spans="1:6" ht="31.75">
      <c r="A1677" s="19">
        <v>32408</v>
      </c>
      <c r="B1677" s="12" t="str">
        <f t="shared" si="26"/>
        <v>324</v>
      </c>
      <c r="C1677" s="1" t="s">
        <v>2637</v>
      </c>
      <c r="D1677" s="13" t="str">
        <f>IF(RIGHT(A1677,3)="000",C1677,VLOOKUP(B1677,'Справочник ИХ'!A:C,3,0))</f>
        <v>Черные металлы</v>
      </c>
      <c r="E1677" s="13">
        <f>IF(RIGHT(A1677,3)="000","х",VLOOKUP(B1677,'Справочник ИХ'!A:D,4,0))</f>
        <v>3</v>
      </c>
      <c r="F1677" s="14" t="s">
        <v>2602</v>
      </c>
    </row>
    <row r="1678" spans="1:6">
      <c r="A1678" s="19">
        <v>32409</v>
      </c>
      <c r="B1678" s="12" t="str">
        <f t="shared" si="26"/>
        <v>324</v>
      </c>
      <c r="C1678" s="1" t="s">
        <v>2638</v>
      </c>
      <c r="D1678" s="13" t="str">
        <f>IF(RIGHT(A1678,3)="000",C1678,VLOOKUP(B1678,'Справочник ИХ'!A:C,3,0))</f>
        <v>Черные металлы</v>
      </c>
      <c r="E1678" s="13">
        <f>IF(RIGHT(A1678,3)="000","х",VLOOKUP(B1678,'Справочник ИХ'!A:D,4,0))</f>
        <v>3</v>
      </c>
      <c r="F1678" s="14" t="s">
        <v>2602</v>
      </c>
    </row>
    <row r="1679" spans="1:6" ht="31.75">
      <c r="A1679" s="19">
        <v>32410</v>
      </c>
      <c r="B1679" s="12" t="str">
        <f t="shared" si="26"/>
        <v>324</v>
      </c>
      <c r="C1679" s="1" t="s">
        <v>2639</v>
      </c>
      <c r="D1679" s="13" t="str">
        <f>IF(RIGHT(A1679,3)="000",C1679,VLOOKUP(B1679,'Справочник ИХ'!A:C,3,0))</f>
        <v>Черные металлы</v>
      </c>
      <c r="E1679" s="13">
        <f>IF(RIGHT(A1679,3)="000","х",VLOOKUP(B1679,'Справочник ИХ'!A:D,4,0))</f>
        <v>3</v>
      </c>
      <c r="F1679" s="14" t="s">
        <v>2602</v>
      </c>
    </row>
    <row r="1680" spans="1:6" ht="31.75">
      <c r="A1680" s="19">
        <v>32411</v>
      </c>
      <c r="B1680" s="12" t="str">
        <f t="shared" si="26"/>
        <v>324</v>
      </c>
      <c r="C1680" s="1" t="s">
        <v>2640</v>
      </c>
      <c r="D1680" s="13" t="str">
        <f>IF(RIGHT(A1680,3)="000",C1680,VLOOKUP(B1680,'Справочник ИХ'!A:C,3,0))</f>
        <v>Черные металлы</v>
      </c>
      <c r="E1680" s="13">
        <f>IF(RIGHT(A1680,3)="000","х",VLOOKUP(B1680,'Справочник ИХ'!A:D,4,0))</f>
        <v>3</v>
      </c>
      <c r="F1680" s="14" t="s">
        <v>2602</v>
      </c>
    </row>
    <row r="1681" spans="1:6">
      <c r="A1681" s="19">
        <v>32412</v>
      </c>
      <c r="B1681" s="12" t="str">
        <f t="shared" si="26"/>
        <v>324</v>
      </c>
      <c r="C1681" s="1" t="s">
        <v>2641</v>
      </c>
      <c r="D1681" s="13" t="str">
        <f>IF(RIGHT(A1681,3)="000",C1681,VLOOKUP(B1681,'Справочник ИХ'!A:C,3,0))</f>
        <v>Черные металлы</v>
      </c>
      <c r="E1681" s="13">
        <f>IF(RIGHT(A1681,3)="000","х",VLOOKUP(B1681,'Справочник ИХ'!A:D,4,0))</f>
        <v>3</v>
      </c>
      <c r="F1681" s="14" t="s">
        <v>2602</v>
      </c>
    </row>
    <row r="1682" spans="1:6" ht="31.75">
      <c r="A1682" s="19">
        <v>32413</v>
      </c>
      <c r="B1682" s="12" t="str">
        <f t="shared" si="26"/>
        <v>324</v>
      </c>
      <c r="C1682" s="1" t="s">
        <v>2642</v>
      </c>
      <c r="D1682" s="13" t="str">
        <f>IF(RIGHT(A1682,3)="000",C1682,VLOOKUP(B1682,'Справочник ИХ'!A:C,3,0))</f>
        <v>Черные металлы</v>
      </c>
      <c r="E1682" s="13">
        <f>IF(RIGHT(A1682,3)="000","х",VLOOKUP(B1682,'Справочник ИХ'!A:D,4,0))</f>
        <v>3</v>
      </c>
      <c r="F1682" s="14" t="s">
        <v>2602</v>
      </c>
    </row>
    <row r="1683" spans="1:6">
      <c r="A1683" s="19">
        <v>32414</v>
      </c>
      <c r="B1683" s="12" t="str">
        <f t="shared" si="26"/>
        <v>324</v>
      </c>
      <c r="C1683" s="1" t="s">
        <v>2643</v>
      </c>
      <c r="D1683" s="13" t="str">
        <f>IF(RIGHT(A1683,3)="000",C1683,VLOOKUP(B1683,'Справочник ИХ'!A:C,3,0))</f>
        <v>Черные металлы</v>
      </c>
      <c r="E1683" s="13">
        <f>IF(RIGHT(A1683,3)="000","х",VLOOKUP(B1683,'Справочник ИХ'!A:D,4,0))</f>
        <v>3</v>
      </c>
      <c r="F1683" s="14" t="s">
        <v>2602</v>
      </c>
    </row>
    <row r="1684" spans="1:6" ht="31.75">
      <c r="A1684" s="19">
        <v>32415</v>
      </c>
      <c r="B1684" s="12" t="str">
        <f t="shared" si="26"/>
        <v>324</v>
      </c>
      <c r="C1684" s="1" t="s">
        <v>2644</v>
      </c>
      <c r="D1684" s="13" t="str">
        <f>IF(RIGHT(A1684,3)="000",C1684,VLOOKUP(B1684,'Справочник ИХ'!A:C,3,0))</f>
        <v>Черные металлы</v>
      </c>
      <c r="E1684" s="13">
        <f>IF(RIGHT(A1684,3)="000","х",VLOOKUP(B1684,'Справочник ИХ'!A:D,4,0))</f>
        <v>3</v>
      </c>
      <c r="F1684" s="14" t="s">
        <v>2602</v>
      </c>
    </row>
    <row r="1685" spans="1:6" ht="31.75">
      <c r="A1685" s="19">
        <v>32416</v>
      </c>
      <c r="B1685" s="12" t="str">
        <f t="shared" si="26"/>
        <v>324</v>
      </c>
      <c r="C1685" s="1" t="s">
        <v>2645</v>
      </c>
      <c r="D1685" s="13" t="str">
        <f>IF(RIGHT(A1685,3)="000",C1685,VLOOKUP(B1685,'Справочник ИХ'!A:C,3,0))</f>
        <v>Черные металлы</v>
      </c>
      <c r="E1685" s="13">
        <f>IF(RIGHT(A1685,3)="000","х",VLOOKUP(B1685,'Справочник ИХ'!A:D,4,0))</f>
        <v>3</v>
      </c>
      <c r="F1685" s="14" t="s">
        <v>2602</v>
      </c>
    </row>
    <row r="1686" spans="1:6">
      <c r="A1686" s="19">
        <v>32417</v>
      </c>
      <c r="B1686" s="12" t="str">
        <f t="shared" si="26"/>
        <v>324</v>
      </c>
      <c r="C1686" s="1" t="s">
        <v>2646</v>
      </c>
      <c r="D1686" s="13" t="str">
        <f>IF(RIGHT(A1686,3)="000",C1686,VLOOKUP(B1686,'Справочник ИХ'!A:C,3,0))</f>
        <v>Черные металлы</v>
      </c>
      <c r="E1686" s="13">
        <f>IF(RIGHT(A1686,3)="000","х",VLOOKUP(B1686,'Справочник ИХ'!A:D,4,0))</f>
        <v>3</v>
      </c>
      <c r="F1686" s="14" t="s">
        <v>2602</v>
      </c>
    </row>
    <row r="1687" spans="1:6">
      <c r="A1687" s="19">
        <v>32418</v>
      </c>
      <c r="B1687" s="12" t="str">
        <f t="shared" si="26"/>
        <v>324</v>
      </c>
      <c r="C1687" s="1" t="s">
        <v>2647</v>
      </c>
      <c r="D1687" s="13" t="str">
        <f>IF(RIGHT(A1687,3)="000",C1687,VLOOKUP(B1687,'Справочник ИХ'!A:C,3,0))</f>
        <v>Черные металлы</v>
      </c>
      <c r="E1687" s="13">
        <f>IF(RIGHT(A1687,3)="000","х",VLOOKUP(B1687,'Справочник ИХ'!A:D,4,0))</f>
        <v>3</v>
      </c>
      <c r="F1687" s="14" t="s">
        <v>2602</v>
      </c>
    </row>
    <row r="1688" spans="1:6">
      <c r="A1688" s="19">
        <v>32419</v>
      </c>
      <c r="B1688" s="12" t="str">
        <f t="shared" si="26"/>
        <v>324</v>
      </c>
      <c r="C1688" s="1" t="s">
        <v>2648</v>
      </c>
      <c r="D1688" s="13" t="str">
        <f>IF(RIGHT(A1688,3)="000",C1688,VLOOKUP(B1688,'Справочник ИХ'!A:C,3,0))</f>
        <v>Черные металлы</v>
      </c>
      <c r="E1688" s="13">
        <f>IF(RIGHT(A1688,3)="000","х",VLOOKUP(B1688,'Справочник ИХ'!A:D,4,0))</f>
        <v>3</v>
      </c>
      <c r="F1688" s="14" t="s">
        <v>2602</v>
      </c>
    </row>
    <row r="1689" spans="1:6">
      <c r="A1689" s="19">
        <v>32420</v>
      </c>
      <c r="B1689" s="12" t="str">
        <f t="shared" si="26"/>
        <v>324</v>
      </c>
      <c r="C1689" s="1" t="s">
        <v>2649</v>
      </c>
      <c r="D1689" s="13" t="str">
        <f>IF(RIGHT(A1689,3)="000",C1689,VLOOKUP(B1689,'Справочник ИХ'!A:C,3,0))</f>
        <v>Черные металлы</v>
      </c>
      <c r="E1689" s="13">
        <f>IF(RIGHT(A1689,3)="000","х",VLOOKUP(B1689,'Справочник ИХ'!A:D,4,0))</f>
        <v>3</v>
      </c>
      <c r="F1689" s="14" t="s">
        <v>2602</v>
      </c>
    </row>
    <row r="1690" spans="1:6">
      <c r="A1690" s="19">
        <v>32421</v>
      </c>
      <c r="B1690" s="12" t="str">
        <f t="shared" si="26"/>
        <v>324</v>
      </c>
      <c r="C1690" s="1" t="s">
        <v>2650</v>
      </c>
      <c r="D1690" s="13" t="str">
        <f>IF(RIGHT(A1690,3)="000",C1690,VLOOKUP(B1690,'Справочник ИХ'!A:C,3,0))</f>
        <v>Черные металлы</v>
      </c>
      <c r="E1690" s="13">
        <f>IF(RIGHT(A1690,3)="000","х",VLOOKUP(B1690,'Справочник ИХ'!A:D,4,0))</f>
        <v>3</v>
      </c>
      <c r="F1690" s="14" t="s">
        <v>2602</v>
      </c>
    </row>
    <row r="1691" spans="1:6">
      <c r="A1691" s="19">
        <v>32422</v>
      </c>
      <c r="B1691" s="12" t="str">
        <f t="shared" si="26"/>
        <v>324</v>
      </c>
      <c r="C1691" s="1" t="s">
        <v>2651</v>
      </c>
      <c r="D1691" s="13" t="str">
        <f>IF(RIGHT(A1691,3)="000",C1691,VLOOKUP(B1691,'Справочник ИХ'!A:C,3,0))</f>
        <v>Черные металлы</v>
      </c>
      <c r="E1691" s="13">
        <f>IF(RIGHT(A1691,3)="000","х",VLOOKUP(B1691,'Справочник ИХ'!A:D,4,0))</f>
        <v>3</v>
      </c>
      <c r="F1691" s="14" t="s">
        <v>2602</v>
      </c>
    </row>
    <row r="1692" spans="1:6">
      <c r="A1692" s="19">
        <v>32423</v>
      </c>
      <c r="B1692" s="12" t="str">
        <f t="shared" si="26"/>
        <v>324</v>
      </c>
      <c r="C1692" s="1" t="s">
        <v>2652</v>
      </c>
      <c r="D1692" s="13" t="str">
        <f>IF(RIGHT(A1692,3)="000",C1692,VLOOKUP(B1692,'Справочник ИХ'!A:C,3,0))</f>
        <v>Черные металлы</v>
      </c>
      <c r="E1692" s="13">
        <f>IF(RIGHT(A1692,3)="000","х",VLOOKUP(B1692,'Справочник ИХ'!A:D,4,0))</f>
        <v>3</v>
      </c>
      <c r="F1692" s="14" t="s">
        <v>2602</v>
      </c>
    </row>
    <row r="1693" spans="1:6">
      <c r="A1693" s="19">
        <v>32424</v>
      </c>
      <c r="B1693" s="12" t="str">
        <f t="shared" si="26"/>
        <v>324</v>
      </c>
      <c r="C1693" s="1" t="s">
        <v>2653</v>
      </c>
      <c r="D1693" s="13" t="str">
        <f>IF(RIGHT(A1693,3)="000",C1693,VLOOKUP(B1693,'Справочник ИХ'!A:C,3,0))</f>
        <v>Черные металлы</v>
      </c>
      <c r="E1693" s="13">
        <f>IF(RIGHT(A1693,3)="000","х",VLOOKUP(B1693,'Справочник ИХ'!A:D,4,0))</f>
        <v>3</v>
      </c>
      <c r="F1693" s="14" t="s">
        <v>2602</v>
      </c>
    </row>
    <row r="1694" spans="1:6" s="15" customFormat="1">
      <c r="A1694" s="7">
        <v>33000</v>
      </c>
      <c r="B1694" s="12" t="str">
        <f t="shared" si="26"/>
        <v>330</v>
      </c>
      <c r="C1694" s="11" t="s">
        <v>2654</v>
      </c>
      <c r="D1694" s="13" t="str">
        <f>IF(RIGHT(A1694,3)="000",C1694,VLOOKUP(B1694,'Справочник ИХ'!A:C,3,0))</f>
        <v xml:space="preserve">Металлы цветные </v>
      </c>
      <c r="E1694" s="13" t="str">
        <f>IF(RIGHT(A1694,3)="000","х",VLOOKUP(B1694,'Справочник ИХ'!A:D,4,0))</f>
        <v>х</v>
      </c>
      <c r="F1694" s="14" t="s">
        <v>2654</v>
      </c>
    </row>
    <row r="1695" spans="1:6" s="18" customFormat="1">
      <c r="A1695" s="16">
        <v>33100</v>
      </c>
      <c r="B1695" s="12" t="str">
        <f t="shared" si="26"/>
        <v>331</v>
      </c>
      <c r="C1695" s="17" t="s">
        <v>2655</v>
      </c>
      <c r="D1695" s="13" t="str">
        <f>IF(RIGHT(A1695,3)="000",C1695,VLOOKUP(B1695,'Справочник ИХ'!A:C,3,0))</f>
        <v>Остальные грузы</v>
      </c>
      <c r="E1695" s="13">
        <f>IF(RIGHT(A1695,3)="000","х",VLOOKUP(B1695,'Справочник ИХ'!A:D,4,0))</f>
        <v>3</v>
      </c>
      <c r="F1695" s="14" t="s">
        <v>2654</v>
      </c>
    </row>
    <row r="1696" spans="1:6">
      <c r="A1696" s="19">
        <v>33101</v>
      </c>
      <c r="B1696" s="12" t="str">
        <f t="shared" si="26"/>
        <v>331</v>
      </c>
      <c r="C1696" s="1" t="s">
        <v>2656</v>
      </c>
      <c r="D1696" s="13" t="str">
        <f>IF(RIGHT(A1696,3)="000",C1696,VLOOKUP(B1696,'Справочник ИХ'!A:C,3,0))</f>
        <v>Остальные грузы</v>
      </c>
      <c r="E1696" s="13">
        <f>IF(RIGHT(A1696,3)="000","х",VLOOKUP(B1696,'Справочник ИХ'!A:D,4,0))</f>
        <v>3</v>
      </c>
      <c r="F1696" s="14" t="s">
        <v>2654</v>
      </c>
    </row>
    <row r="1697" spans="1:6">
      <c r="A1697" s="19">
        <v>33102</v>
      </c>
      <c r="B1697" s="12" t="str">
        <f t="shared" si="26"/>
        <v>331</v>
      </c>
      <c r="C1697" s="1" t="s">
        <v>2657</v>
      </c>
      <c r="D1697" s="13" t="str">
        <f>IF(RIGHT(A1697,3)="000",C1697,VLOOKUP(B1697,'Справочник ИХ'!A:C,3,0))</f>
        <v>Остальные грузы</v>
      </c>
      <c r="E1697" s="13">
        <f>IF(RIGHT(A1697,3)="000","х",VLOOKUP(B1697,'Справочник ИХ'!A:D,4,0))</f>
        <v>3</v>
      </c>
      <c r="F1697" s="14" t="s">
        <v>2654</v>
      </c>
    </row>
    <row r="1698" spans="1:6">
      <c r="A1698" s="19">
        <v>33103</v>
      </c>
      <c r="B1698" s="12" t="str">
        <f t="shared" si="26"/>
        <v>331</v>
      </c>
      <c r="C1698" s="1" t="s">
        <v>2658</v>
      </c>
      <c r="D1698" s="13" t="str">
        <f>IF(RIGHT(A1698,3)="000",C1698,VLOOKUP(B1698,'Справочник ИХ'!A:C,3,0))</f>
        <v>Остальные грузы</v>
      </c>
      <c r="E1698" s="13">
        <f>IF(RIGHT(A1698,3)="000","х",VLOOKUP(B1698,'Справочник ИХ'!A:D,4,0))</f>
        <v>3</v>
      </c>
      <c r="F1698" s="14" t="s">
        <v>2654</v>
      </c>
    </row>
    <row r="1699" spans="1:6">
      <c r="A1699" s="19">
        <v>33104</v>
      </c>
      <c r="B1699" s="12" t="str">
        <f t="shared" si="26"/>
        <v>331</v>
      </c>
      <c r="C1699" s="1" t="s">
        <v>2659</v>
      </c>
      <c r="D1699" s="13" t="str">
        <f>IF(RIGHT(A1699,3)="000",C1699,VLOOKUP(B1699,'Справочник ИХ'!A:C,3,0))</f>
        <v>Остальные грузы</v>
      </c>
      <c r="E1699" s="13">
        <f>IF(RIGHT(A1699,3)="000","х",VLOOKUP(B1699,'Справочник ИХ'!A:D,4,0))</f>
        <v>3</v>
      </c>
      <c r="F1699" s="14" t="s">
        <v>2654</v>
      </c>
    </row>
    <row r="1700" spans="1:6">
      <c r="A1700" s="19">
        <v>33105</v>
      </c>
      <c r="B1700" s="12" t="str">
        <f t="shared" si="26"/>
        <v>331</v>
      </c>
      <c r="C1700" s="1" t="s">
        <v>2660</v>
      </c>
      <c r="D1700" s="13" t="str">
        <f>IF(RIGHT(A1700,3)="000",C1700,VLOOKUP(B1700,'Справочник ИХ'!A:C,3,0))</f>
        <v>Остальные грузы</v>
      </c>
      <c r="E1700" s="13">
        <f>IF(RIGHT(A1700,3)="000","х",VLOOKUP(B1700,'Справочник ИХ'!A:D,4,0))</f>
        <v>3</v>
      </c>
      <c r="F1700" s="14" t="s">
        <v>2654</v>
      </c>
    </row>
    <row r="1701" spans="1:6">
      <c r="A1701" s="19">
        <v>33106</v>
      </c>
      <c r="B1701" s="12" t="str">
        <f t="shared" si="26"/>
        <v>331</v>
      </c>
      <c r="C1701" s="1" t="s">
        <v>2661</v>
      </c>
      <c r="D1701" s="13" t="str">
        <f>IF(RIGHT(A1701,3)="000",C1701,VLOOKUP(B1701,'Справочник ИХ'!A:C,3,0))</f>
        <v>Остальные грузы</v>
      </c>
      <c r="E1701" s="13">
        <f>IF(RIGHT(A1701,3)="000","х",VLOOKUP(B1701,'Справочник ИХ'!A:D,4,0))</f>
        <v>3</v>
      </c>
      <c r="F1701" s="14" t="s">
        <v>2654</v>
      </c>
    </row>
    <row r="1702" spans="1:6">
      <c r="A1702" s="19">
        <v>33107</v>
      </c>
      <c r="B1702" s="12" t="str">
        <f t="shared" si="26"/>
        <v>331</v>
      </c>
      <c r="C1702" s="1" t="s">
        <v>2662</v>
      </c>
      <c r="D1702" s="13" t="str">
        <f>IF(RIGHT(A1702,3)="000",C1702,VLOOKUP(B1702,'Справочник ИХ'!A:C,3,0))</f>
        <v>Остальные грузы</v>
      </c>
      <c r="E1702" s="13">
        <f>IF(RIGHT(A1702,3)="000","х",VLOOKUP(B1702,'Справочник ИХ'!A:D,4,0))</f>
        <v>3</v>
      </c>
      <c r="F1702" s="14" t="s">
        <v>2654</v>
      </c>
    </row>
    <row r="1703" spans="1:6">
      <c r="A1703" s="19">
        <v>33108</v>
      </c>
      <c r="B1703" s="12" t="str">
        <f t="shared" si="26"/>
        <v>331</v>
      </c>
      <c r="C1703" s="1" t="s">
        <v>2663</v>
      </c>
      <c r="D1703" s="13" t="str">
        <f>IF(RIGHT(A1703,3)="000",C1703,VLOOKUP(B1703,'Справочник ИХ'!A:C,3,0))</f>
        <v>Остальные грузы</v>
      </c>
      <c r="E1703" s="13">
        <f>IF(RIGHT(A1703,3)="000","х",VLOOKUP(B1703,'Справочник ИХ'!A:D,4,0))</f>
        <v>3</v>
      </c>
      <c r="F1703" s="14" t="s">
        <v>2654</v>
      </c>
    </row>
    <row r="1704" spans="1:6">
      <c r="A1704" s="19">
        <v>33109</v>
      </c>
      <c r="B1704" s="12" t="str">
        <f t="shared" si="26"/>
        <v>331</v>
      </c>
      <c r="C1704" s="1" t="s">
        <v>2664</v>
      </c>
      <c r="D1704" s="13" t="str">
        <f>IF(RIGHT(A1704,3)="000",C1704,VLOOKUP(B1704,'Справочник ИХ'!A:C,3,0))</f>
        <v>Остальные грузы</v>
      </c>
      <c r="E1704" s="13">
        <f>IF(RIGHT(A1704,3)="000","х",VLOOKUP(B1704,'Справочник ИХ'!A:D,4,0))</f>
        <v>3</v>
      </c>
      <c r="F1704" s="14" t="s">
        <v>2654</v>
      </c>
    </row>
    <row r="1705" spans="1:6">
      <c r="A1705" s="19">
        <v>33110</v>
      </c>
      <c r="B1705" s="12" t="str">
        <f t="shared" si="26"/>
        <v>331</v>
      </c>
      <c r="C1705" s="1" t="s">
        <v>2665</v>
      </c>
      <c r="D1705" s="13" t="str">
        <f>IF(RIGHT(A1705,3)="000",C1705,VLOOKUP(B1705,'Справочник ИХ'!A:C,3,0))</f>
        <v>Остальные грузы</v>
      </c>
      <c r="E1705" s="13">
        <f>IF(RIGHT(A1705,3)="000","х",VLOOKUP(B1705,'Справочник ИХ'!A:D,4,0))</f>
        <v>3</v>
      </c>
      <c r="F1705" s="14" t="s">
        <v>2654</v>
      </c>
    </row>
    <row r="1706" spans="1:6">
      <c r="A1706" s="19">
        <v>33111</v>
      </c>
      <c r="B1706" s="12" t="str">
        <f t="shared" si="26"/>
        <v>331</v>
      </c>
      <c r="C1706" s="1" t="s">
        <v>2666</v>
      </c>
      <c r="D1706" s="13" t="str">
        <f>IF(RIGHT(A1706,3)="000",C1706,VLOOKUP(B1706,'Справочник ИХ'!A:C,3,0))</f>
        <v>Остальные грузы</v>
      </c>
      <c r="E1706" s="13">
        <f>IF(RIGHT(A1706,3)="000","х",VLOOKUP(B1706,'Справочник ИХ'!A:D,4,0))</f>
        <v>3</v>
      </c>
      <c r="F1706" s="14" t="s">
        <v>2654</v>
      </c>
    </row>
    <row r="1707" spans="1:6">
      <c r="A1707" s="19">
        <v>33112</v>
      </c>
      <c r="B1707" s="12" t="str">
        <f t="shared" si="26"/>
        <v>331</v>
      </c>
      <c r="C1707" s="1" t="s">
        <v>2667</v>
      </c>
      <c r="D1707" s="13" t="str">
        <f>IF(RIGHT(A1707,3)="000",C1707,VLOOKUP(B1707,'Справочник ИХ'!A:C,3,0))</f>
        <v>Остальные грузы</v>
      </c>
      <c r="E1707" s="13">
        <f>IF(RIGHT(A1707,3)="000","х",VLOOKUP(B1707,'Справочник ИХ'!A:D,4,0))</f>
        <v>3</v>
      </c>
      <c r="F1707" s="14" t="s">
        <v>2654</v>
      </c>
    </row>
    <row r="1708" spans="1:6">
      <c r="A1708" s="19">
        <v>33113</v>
      </c>
      <c r="B1708" s="12" t="str">
        <f t="shared" si="26"/>
        <v>331</v>
      </c>
      <c r="C1708" s="1" t="s">
        <v>2668</v>
      </c>
      <c r="D1708" s="13" t="str">
        <f>IF(RIGHT(A1708,3)="000",C1708,VLOOKUP(B1708,'Справочник ИХ'!A:C,3,0))</f>
        <v>Остальные грузы</v>
      </c>
      <c r="E1708" s="13">
        <f>IF(RIGHT(A1708,3)="000","х",VLOOKUP(B1708,'Справочник ИХ'!A:D,4,0))</f>
        <v>3</v>
      </c>
      <c r="F1708" s="14" t="s">
        <v>2654</v>
      </c>
    </row>
    <row r="1709" spans="1:6">
      <c r="A1709" s="19">
        <v>33114</v>
      </c>
      <c r="B1709" s="12" t="str">
        <f t="shared" si="26"/>
        <v>331</v>
      </c>
      <c r="C1709" s="1" t="s">
        <v>2669</v>
      </c>
      <c r="D1709" s="13" t="str">
        <f>IF(RIGHT(A1709,3)="000",C1709,VLOOKUP(B1709,'Справочник ИХ'!A:C,3,0))</f>
        <v>Остальные грузы</v>
      </c>
      <c r="E1709" s="13">
        <f>IF(RIGHT(A1709,3)="000","х",VLOOKUP(B1709,'Справочник ИХ'!A:D,4,0))</f>
        <v>3</v>
      </c>
      <c r="F1709" s="14" t="s">
        <v>2654</v>
      </c>
    </row>
    <row r="1710" spans="1:6">
      <c r="A1710" s="19">
        <v>33115</v>
      </c>
      <c r="B1710" s="12" t="str">
        <f t="shared" si="26"/>
        <v>331</v>
      </c>
      <c r="C1710" s="1" t="s">
        <v>2670</v>
      </c>
      <c r="D1710" s="13" t="str">
        <f>IF(RIGHT(A1710,3)="000",C1710,VLOOKUP(B1710,'Справочник ИХ'!A:C,3,0))</f>
        <v>Остальные грузы</v>
      </c>
      <c r="E1710" s="13">
        <f>IF(RIGHT(A1710,3)="000","х",VLOOKUP(B1710,'Справочник ИХ'!A:D,4,0))</f>
        <v>3</v>
      </c>
      <c r="F1710" s="14" t="s">
        <v>2654</v>
      </c>
    </row>
    <row r="1711" spans="1:6">
      <c r="A1711" s="19">
        <v>33116</v>
      </c>
      <c r="B1711" s="12" t="str">
        <f t="shared" si="26"/>
        <v>331</v>
      </c>
      <c r="C1711" s="1" t="s">
        <v>2671</v>
      </c>
      <c r="D1711" s="13" t="str">
        <f>IF(RIGHT(A1711,3)="000",C1711,VLOOKUP(B1711,'Справочник ИХ'!A:C,3,0))</f>
        <v>Остальные грузы</v>
      </c>
      <c r="E1711" s="13">
        <f>IF(RIGHT(A1711,3)="000","х",VLOOKUP(B1711,'Справочник ИХ'!A:D,4,0))</f>
        <v>3</v>
      </c>
      <c r="F1711" s="14" t="s">
        <v>2654</v>
      </c>
    </row>
    <row r="1712" spans="1:6">
      <c r="A1712" s="19">
        <v>33117</v>
      </c>
      <c r="B1712" s="12" t="str">
        <f t="shared" si="26"/>
        <v>331</v>
      </c>
      <c r="C1712" s="1" t="s">
        <v>2672</v>
      </c>
      <c r="D1712" s="13" t="str">
        <f>IF(RIGHT(A1712,3)="000",C1712,VLOOKUP(B1712,'Справочник ИХ'!A:C,3,0))</f>
        <v>Остальные грузы</v>
      </c>
      <c r="E1712" s="13">
        <f>IF(RIGHT(A1712,3)="000","х",VLOOKUP(B1712,'Справочник ИХ'!A:D,4,0))</f>
        <v>3</v>
      </c>
      <c r="F1712" s="14" t="s">
        <v>2654</v>
      </c>
    </row>
    <row r="1713" spans="1:6">
      <c r="A1713" s="19">
        <v>33118</v>
      </c>
      <c r="B1713" s="12" t="str">
        <f t="shared" si="26"/>
        <v>331</v>
      </c>
      <c r="C1713" s="1" t="s">
        <v>2673</v>
      </c>
      <c r="D1713" s="13" t="str">
        <f>IF(RIGHT(A1713,3)="000",C1713,VLOOKUP(B1713,'Справочник ИХ'!A:C,3,0))</f>
        <v>Остальные грузы</v>
      </c>
      <c r="E1713" s="13">
        <f>IF(RIGHT(A1713,3)="000","х",VLOOKUP(B1713,'Справочник ИХ'!A:D,4,0))</f>
        <v>3</v>
      </c>
      <c r="F1713" s="14" t="s">
        <v>2654</v>
      </c>
    </row>
    <row r="1714" spans="1:6">
      <c r="A1714" s="19">
        <v>33119</v>
      </c>
      <c r="B1714" s="12" t="str">
        <f t="shared" si="26"/>
        <v>331</v>
      </c>
      <c r="C1714" s="1" t="s">
        <v>2674</v>
      </c>
      <c r="D1714" s="13" t="str">
        <f>IF(RIGHT(A1714,3)="000",C1714,VLOOKUP(B1714,'Справочник ИХ'!A:C,3,0))</f>
        <v>Остальные грузы</v>
      </c>
      <c r="E1714" s="13">
        <f>IF(RIGHT(A1714,3)="000","х",VLOOKUP(B1714,'Справочник ИХ'!A:D,4,0))</f>
        <v>3</v>
      </c>
      <c r="F1714" s="14" t="s">
        <v>2654</v>
      </c>
    </row>
    <row r="1715" spans="1:6">
      <c r="A1715" s="19">
        <v>33120</v>
      </c>
      <c r="B1715" s="12" t="str">
        <f t="shared" si="26"/>
        <v>331</v>
      </c>
      <c r="C1715" s="1" t="s">
        <v>2675</v>
      </c>
      <c r="D1715" s="13" t="str">
        <f>IF(RIGHT(A1715,3)="000",C1715,VLOOKUP(B1715,'Справочник ИХ'!A:C,3,0))</f>
        <v>Остальные грузы</v>
      </c>
      <c r="E1715" s="13">
        <f>IF(RIGHT(A1715,3)="000","х",VLOOKUP(B1715,'Справочник ИХ'!A:D,4,0))</f>
        <v>3</v>
      </c>
      <c r="F1715" s="14" t="s">
        <v>2654</v>
      </c>
    </row>
    <row r="1716" spans="1:6">
      <c r="A1716" s="19">
        <v>33121</v>
      </c>
      <c r="B1716" s="12" t="str">
        <f t="shared" si="26"/>
        <v>331</v>
      </c>
      <c r="C1716" s="1" t="s">
        <v>2676</v>
      </c>
      <c r="D1716" s="13" t="str">
        <f>IF(RIGHT(A1716,3)="000",C1716,VLOOKUP(B1716,'Справочник ИХ'!A:C,3,0))</f>
        <v>Остальные грузы</v>
      </c>
      <c r="E1716" s="13">
        <f>IF(RIGHT(A1716,3)="000","х",VLOOKUP(B1716,'Справочник ИХ'!A:D,4,0))</f>
        <v>3</v>
      </c>
      <c r="F1716" s="14" t="s">
        <v>2654</v>
      </c>
    </row>
    <row r="1717" spans="1:6">
      <c r="A1717" s="19">
        <v>33122</v>
      </c>
      <c r="B1717" s="12" t="str">
        <f t="shared" si="26"/>
        <v>331</v>
      </c>
      <c r="C1717" s="1" t="s">
        <v>2677</v>
      </c>
      <c r="D1717" s="13" t="str">
        <f>IF(RIGHT(A1717,3)="000",C1717,VLOOKUP(B1717,'Справочник ИХ'!A:C,3,0))</f>
        <v>Остальные грузы</v>
      </c>
      <c r="E1717" s="13">
        <f>IF(RIGHT(A1717,3)="000","х",VLOOKUP(B1717,'Справочник ИХ'!A:D,4,0))</f>
        <v>3</v>
      </c>
      <c r="F1717" s="14" t="s">
        <v>2654</v>
      </c>
    </row>
    <row r="1718" spans="1:6">
      <c r="A1718" s="19">
        <v>33123</v>
      </c>
      <c r="B1718" s="12" t="str">
        <f t="shared" si="26"/>
        <v>331</v>
      </c>
      <c r="C1718" s="1" t="s">
        <v>2678</v>
      </c>
      <c r="D1718" s="13" t="str">
        <f>IF(RIGHT(A1718,3)="000",C1718,VLOOKUP(B1718,'Справочник ИХ'!A:C,3,0))</f>
        <v>Остальные грузы</v>
      </c>
      <c r="E1718" s="13">
        <f>IF(RIGHT(A1718,3)="000","х",VLOOKUP(B1718,'Справочник ИХ'!A:D,4,0))</f>
        <v>3</v>
      </c>
      <c r="F1718" s="14" t="s">
        <v>2654</v>
      </c>
    </row>
    <row r="1719" spans="1:6">
      <c r="A1719" s="19">
        <v>33124</v>
      </c>
      <c r="B1719" s="12" t="str">
        <f t="shared" si="26"/>
        <v>331</v>
      </c>
      <c r="C1719" s="1" t="s">
        <v>2679</v>
      </c>
      <c r="D1719" s="13" t="str">
        <f>IF(RIGHT(A1719,3)="000",C1719,VLOOKUP(B1719,'Справочник ИХ'!A:C,3,0))</f>
        <v>Остальные грузы</v>
      </c>
      <c r="E1719" s="13">
        <f>IF(RIGHT(A1719,3)="000","х",VLOOKUP(B1719,'Справочник ИХ'!A:D,4,0))</f>
        <v>3</v>
      </c>
      <c r="F1719" s="14" t="s">
        <v>2654</v>
      </c>
    </row>
    <row r="1720" spans="1:6">
      <c r="A1720" s="19">
        <v>33125</v>
      </c>
      <c r="B1720" s="12" t="str">
        <f t="shared" si="26"/>
        <v>331</v>
      </c>
      <c r="C1720" s="1" t="s">
        <v>2680</v>
      </c>
      <c r="D1720" s="13" t="str">
        <f>IF(RIGHT(A1720,3)="000",C1720,VLOOKUP(B1720,'Справочник ИХ'!A:C,3,0))</f>
        <v>Остальные грузы</v>
      </c>
      <c r="E1720" s="13">
        <f>IF(RIGHT(A1720,3)="000","х",VLOOKUP(B1720,'Справочник ИХ'!A:D,4,0))</f>
        <v>3</v>
      </c>
      <c r="F1720" s="14" t="s">
        <v>2654</v>
      </c>
    </row>
    <row r="1721" spans="1:6">
      <c r="A1721" s="19">
        <v>33126</v>
      </c>
      <c r="B1721" s="12" t="str">
        <f t="shared" si="26"/>
        <v>331</v>
      </c>
      <c r="C1721" s="1" t="s">
        <v>2681</v>
      </c>
      <c r="D1721" s="13" t="str">
        <f>IF(RIGHT(A1721,3)="000",C1721,VLOOKUP(B1721,'Справочник ИХ'!A:C,3,0))</f>
        <v>Остальные грузы</v>
      </c>
      <c r="E1721" s="13">
        <f>IF(RIGHT(A1721,3)="000","х",VLOOKUP(B1721,'Справочник ИХ'!A:D,4,0))</f>
        <v>3</v>
      </c>
      <c r="F1721" s="14" t="s">
        <v>2654</v>
      </c>
    </row>
    <row r="1722" spans="1:6" ht="31.75">
      <c r="A1722" s="19">
        <v>33127</v>
      </c>
      <c r="B1722" s="12" t="str">
        <f t="shared" si="26"/>
        <v>331</v>
      </c>
      <c r="C1722" s="1" t="s">
        <v>2682</v>
      </c>
      <c r="D1722" s="13" t="str">
        <f>IF(RIGHT(A1722,3)="000",C1722,VLOOKUP(B1722,'Справочник ИХ'!A:C,3,0))</f>
        <v>Остальные грузы</v>
      </c>
      <c r="E1722" s="13">
        <f>IF(RIGHT(A1722,3)="000","х",VLOOKUP(B1722,'Справочник ИХ'!A:D,4,0))</f>
        <v>3</v>
      </c>
      <c r="F1722" s="14" t="s">
        <v>2654</v>
      </c>
    </row>
    <row r="1723" spans="1:6" ht="47.6">
      <c r="A1723" s="19">
        <v>33129</v>
      </c>
      <c r="B1723" s="12" t="str">
        <f t="shared" si="26"/>
        <v>331</v>
      </c>
      <c r="C1723" s="1" t="s">
        <v>2683</v>
      </c>
      <c r="D1723" s="13" t="str">
        <f>IF(RIGHT(A1723,3)="000",C1723,VLOOKUP(B1723,'Справочник ИХ'!A:C,3,0))</f>
        <v>Остальные грузы</v>
      </c>
      <c r="E1723" s="13">
        <f>IF(RIGHT(A1723,3)="000","х",VLOOKUP(B1723,'Справочник ИХ'!A:D,4,0))</f>
        <v>3</v>
      </c>
      <c r="F1723" s="14" t="s">
        <v>2654</v>
      </c>
    </row>
    <row r="1724" spans="1:6">
      <c r="A1724" s="19">
        <v>33130</v>
      </c>
      <c r="B1724" s="12" t="str">
        <f t="shared" si="26"/>
        <v>331</v>
      </c>
      <c r="C1724" s="1" t="s">
        <v>2684</v>
      </c>
      <c r="D1724" s="13" t="str">
        <f>IF(RIGHT(A1724,3)="000",C1724,VLOOKUP(B1724,'Справочник ИХ'!A:C,3,0))</f>
        <v>Остальные грузы</v>
      </c>
      <c r="E1724" s="13">
        <f>IF(RIGHT(A1724,3)="000","х",VLOOKUP(B1724,'Справочник ИХ'!A:D,4,0))</f>
        <v>3</v>
      </c>
      <c r="F1724" s="14" t="s">
        <v>2654</v>
      </c>
    </row>
    <row r="1725" spans="1:6">
      <c r="A1725" s="19">
        <v>33131</v>
      </c>
      <c r="B1725" s="12" t="str">
        <f t="shared" si="26"/>
        <v>331</v>
      </c>
      <c r="C1725" s="1" t="s">
        <v>2685</v>
      </c>
      <c r="D1725" s="13" t="str">
        <f>IF(RIGHT(A1725,3)="000",C1725,VLOOKUP(B1725,'Справочник ИХ'!A:C,3,0))</f>
        <v>Остальные грузы</v>
      </c>
      <c r="E1725" s="13">
        <f>IF(RIGHT(A1725,3)="000","х",VLOOKUP(B1725,'Справочник ИХ'!A:D,4,0))</f>
        <v>3</v>
      </c>
      <c r="F1725" s="14" t="s">
        <v>2654</v>
      </c>
    </row>
    <row r="1726" spans="1:6">
      <c r="A1726" s="19">
        <v>33132</v>
      </c>
      <c r="B1726" s="12" t="str">
        <f t="shared" si="26"/>
        <v>331</v>
      </c>
      <c r="C1726" s="1" t="s">
        <v>2686</v>
      </c>
      <c r="D1726" s="13" t="str">
        <f>IF(RIGHT(A1726,3)="000",C1726,VLOOKUP(B1726,'Справочник ИХ'!A:C,3,0))</f>
        <v>Остальные грузы</v>
      </c>
      <c r="E1726" s="13">
        <f>IF(RIGHT(A1726,3)="000","х",VLOOKUP(B1726,'Справочник ИХ'!A:D,4,0))</f>
        <v>3</v>
      </c>
      <c r="F1726" s="14" t="s">
        <v>2654</v>
      </c>
    </row>
    <row r="1727" spans="1:6">
      <c r="A1727" s="19">
        <v>33133</v>
      </c>
      <c r="B1727" s="12" t="str">
        <f t="shared" si="26"/>
        <v>331</v>
      </c>
      <c r="C1727" s="1" t="s">
        <v>2687</v>
      </c>
      <c r="D1727" s="13" t="str">
        <f>IF(RIGHT(A1727,3)="000",C1727,VLOOKUP(B1727,'Справочник ИХ'!A:C,3,0))</f>
        <v>Остальные грузы</v>
      </c>
      <c r="E1727" s="13">
        <f>IF(RIGHT(A1727,3)="000","х",VLOOKUP(B1727,'Справочник ИХ'!A:D,4,0))</f>
        <v>3</v>
      </c>
      <c r="F1727" s="14" t="s">
        <v>2654</v>
      </c>
    </row>
    <row r="1728" spans="1:6">
      <c r="A1728" s="19">
        <v>33134</v>
      </c>
      <c r="B1728" s="12" t="str">
        <f t="shared" si="26"/>
        <v>331</v>
      </c>
      <c r="C1728" s="1" t="s">
        <v>2688</v>
      </c>
      <c r="D1728" s="13" t="str">
        <f>IF(RIGHT(A1728,3)="000",C1728,VLOOKUP(B1728,'Справочник ИХ'!A:C,3,0))</f>
        <v>Остальные грузы</v>
      </c>
      <c r="E1728" s="13">
        <f>IF(RIGHT(A1728,3)="000","х",VLOOKUP(B1728,'Справочник ИХ'!A:D,4,0))</f>
        <v>3</v>
      </c>
      <c r="F1728" s="14" t="s">
        <v>2654</v>
      </c>
    </row>
    <row r="1729" spans="1:6">
      <c r="A1729" s="19">
        <v>33135</v>
      </c>
      <c r="B1729" s="12" t="str">
        <f t="shared" si="26"/>
        <v>331</v>
      </c>
      <c r="C1729" s="1" t="s">
        <v>2689</v>
      </c>
      <c r="D1729" s="13" t="str">
        <f>IF(RIGHT(A1729,3)="000",C1729,VLOOKUP(B1729,'Справочник ИХ'!A:C,3,0))</f>
        <v>Остальные грузы</v>
      </c>
      <c r="E1729" s="13">
        <f>IF(RIGHT(A1729,3)="000","х",VLOOKUP(B1729,'Справочник ИХ'!A:D,4,0))</f>
        <v>3</v>
      </c>
      <c r="F1729" s="14" t="s">
        <v>2654</v>
      </c>
    </row>
    <row r="1730" spans="1:6">
      <c r="A1730" s="19">
        <v>33136</v>
      </c>
      <c r="B1730" s="12" t="str">
        <f t="shared" si="26"/>
        <v>331</v>
      </c>
      <c r="C1730" s="1" t="s">
        <v>2690</v>
      </c>
      <c r="D1730" s="13" t="str">
        <f>IF(RIGHT(A1730,3)="000",C1730,VLOOKUP(B1730,'Справочник ИХ'!A:C,3,0))</f>
        <v>Остальные грузы</v>
      </c>
      <c r="E1730" s="13">
        <f>IF(RIGHT(A1730,3)="000","х",VLOOKUP(B1730,'Справочник ИХ'!A:D,4,0))</f>
        <v>3</v>
      </c>
      <c r="F1730" s="14" t="s">
        <v>2654</v>
      </c>
    </row>
    <row r="1731" spans="1:6">
      <c r="A1731" s="19">
        <v>33137</v>
      </c>
      <c r="B1731" s="12" t="str">
        <f t="shared" si="26"/>
        <v>331</v>
      </c>
      <c r="C1731" s="1" t="s">
        <v>2691</v>
      </c>
      <c r="D1731" s="13" t="str">
        <f>IF(RIGHT(A1731,3)="000",C1731,VLOOKUP(B1731,'Справочник ИХ'!A:C,3,0))</f>
        <v>Остальные грузы</v>
      </c>
      <c r="E1731" s="13">
        <f>IF(RIGHT(A1731,3)="000","х",VLOOKUP(B1731,'Справочник ИХ'!A:D,4,0))</f>
        <v>3</v>
      </c>
      <c r="F1731" s="14" t="s">
        <v>2654</v>
      </c>
    </row>
    <row r="1732" spans="1:6">
      <c r="A1732" s="19">
        <v>33138</v>
      </c>
      <c r="B1732" s="12" t="str">
        <f t="shared" ref="B1732:B1795" si="27">LEFT(A1732,3)</f>
        <v>331</v>
      </c>
      <c r="C1732" s="1" t="s">
        <v>2692</v>
      </c>
      <c r="D1732" s="13" t="str">
        <f>IF(RIGHT(A1732,3)="000",C1732,VLOOKUP(B1732,'Справочник ИХ'!A:C,3,0))</f>
        <v>Остальные грузы</v>
      </c>
      <c r="E1732" s="13">
        <f>IF(RIGHT(A1732,3)="000","х",VLOOKUP(B1732,'Справочник ИХ'!A:D,4,0))</f>
        <v>3</v>
      </c>
      <c r="F1732" s="14" t="s">
        <v>2654</v>
      </c>
    </row>
    <row r="1733" spans="1:6">
      <c r="A1733" s="19">
        <v>33139</v>
      </c>
      <c r="B1733" s="12" t="str">
        <f t="shared" si="27"/>
        <v>331</v>
      </c>
      <c r="C1733" s="1" t="s">
        <v>2693</v>
      </c>
      <c r="D1733" s="13" t="str">
        <f>IF(RIGHT(A1733,3)="000",C1733,VLOOKUP(B1733,'Справочник ИХ'!A:C,3,0))</f>
        <v>Остальные грузы</v>
      </c>
      <c r="E1733" s="13">
        <f>IF(RIGHT(A1733,3)="000","х",VLOOKUP(B1733,'Справочник ИХ'!A:D,4,0))</f>
        <v>3</v>
      </c>
      <c r="F1733" s="14" t="s">
        <v>2654</v>
      </c>
    </row>
    <row r="1734" spans="1:6">
      <c r="A1734" s="19">
        <v>33140</v>
      </c>
      <c r="B1734" s="12" t="str">
        <f t="shared" si="27"/>
        <v>331</v>
      </c>
      <c r="C1734" s="1" t="s">
        <v>2694</v>
      </c>
      <c r="D1734" s="13" t="str">
        <f>IF(RIGHT(A1734,3)="000",C1734,VLOOKUP(B1734,'Справочник ИХ'!A:C,3,0))</f>
        <v>Остальные грузы</v>
      </c>
      <c r="E1734" s="13">
        <f>IF(RIGHT(A1734,3)="000","х",VLOOKUP(B1734,'Справочник ИХ'!A:D,4,0))</f>
        <v>3</v>
      </c>
      <c r="F1734" s="14" t="s">
        <v>2654</v>
      </c>
    </row>
    <row r="1735" spans="1:6">
      <c r="A1735" s="19">
        <v>33141</v>
      </c>
      <c r="B1735" s="12" t="str">
        <f t="shared" si="27"/>
        <v>331</v>
      </c>
      <c r="C1735" s="1" t="s">
        <v>2695</v>
      </c>
      <c r="D1735" s="13" t="str">
        <f>IF(RIGHT(A1735,3)="000",C1735,VLOOKUP(B1735,'Справочник ИХ'!A:C,3,0))</f>
        <v>Остальные грузы</v>
      </c>
      <c r="E1735" s="13">
        <f>IF(RIGHT(A1735,3)="000","х",VLOOKUP(B1735,'Справочник ИХ'!A:D,4,0))</f>
        <v>3</v>
      </c>
      <c r="F1735" s="14" t="s">
        <v>2654</v>
      </c>
    </row>
    <row r="1736" spans="1:6">
      <c r="A1736" s="19">
        <v>33142</v>
      </c>
      <c r="B1736" s="12" t="str">
        <f t="shared" si="27"/>
        <v>331</v>
      </c>
      <c r="C1736" s="1" t="s">
        <v>2696</v>
      </c>
      <c r="D1736" s="13" t="str">
        <f>IF(RIGHT(A1736,3)="000",C1736,VLOOKUP(B1736,'Справочник ИХ'!A:C,3,0))</f>
        <v>Остальные грузы</v>
      </c>
      <c r="E1736" s="13">
        <f>IF(RIGHT(A1736,3)="000","х",VLOOKUP(B1736,'Справочник ИХ'!A:D,4,0))</f>
        <v>3</v>
      </c>
      <c r="F1736" s="14" t="s">
        <v>2654</v>
      </c>
    </row>
    <row r="1737" spans="1:6">
      <c r="A1737" s="19">
        <v>33143</v>
      </c>
      <c r="B1737" s="12" t="str">
        <f t="shared" si="27"/>
        <v>331</v>
      </c>
      <c r="C1737" s="1" t="s">
        <v>2697</v>
      </c>
      <c r="D1737" s="13" t="str">
        <f>IF(RIGHT(A1737,3)="000",C1737,VLOOKUP(B1737,'Справочник ИХ'!A:C,3,0))</f>
        <v>Остальные грузы</v>
      </c>
      <c r="E1737" s="13">
        <f>IF(RIGHT(A1737,3)="000","х",VLOOKUP(B1737,'Справочник ИХ'!A:D,4,0))</f>
        <v>3</v>
      </c>
      <c r="F1737" s="14" t="s">
        <v>2654</v>
      </c>
    </row>
    <row r="1738" spans="1:6">
      <c r="A1738" s="19">
        <v>33144</v>
      </c>
      <c r="B1738" s="12" t="str">
        <f t="shared" si="27"/>
        <v>331</v>
      </c>
      <c r="C1738" s="1" t="s">
        <v>2698</v>
      </c>
      <c r="D1738" s="13" t="str">
        <f>IF(RIGHT(A1738,3)="000",C1738,VLOOKUP(B1738,'Справочник ИХ'!A:C,3,0))</f>
        <v>Остальные грузы</v>
      </c>
      <c r="E1738" s="13">
        <f>IF(RIGHT(A1738,3)="000","х",VLOOKUP(B1738,'Справочник ИХ'!A:D,4,0))</f>
        <v>3</v>
      </c>
      <c r="F1738" s="14" t="s">
        <v>2654</v>
      </c>
    </row>
    <row r="1739" spans="1:6">
      <c r="A1739" s="19">
        <v>33145</v>
      </c>
      <c r="B1739" s="12" t="str">
        <f t="shared" si="27"/>
        <v>331</v>
      </c>
      <c r="C1739" s="1" t="s">
        <v>2699</v>
      </c>
      <c r="D1739" s="13" t="str">
        <f>IF(RIGHT(A1739,3)="000",C1739,VLOOKUP(B1739,'Справочник ИХ'!A:C,3,0))</f>
        <v>Остальные грузы</v>
      </c>
      <c r="E1739" s="13">
        <f>IF(RIGHT(A1739,3)="000","х",VLOOKUP(B1739,'Справочник ИХ'!A:D,4,0))</f>
        <v>3</v>
      </c>
      <c r="F1739" s="14" t="s">
        <v>2654</v>
      </c>
    </row>
    <row r="1740" spans="1:6">
      <c r="A1740" s="19">
        <v>33146</v>
      </c>
      <c r="B1740" s="12" t="str">
        <f t="shared" si="27"/>
        <v>331</v>
      </c>
      <c r="C1740" s="1" t="s">
        <v>2700</v>
      </c>
      <c r="D1740" s="13" t="str">
        <f>IF(RIGHT(A1740,3)="000",C1740,VLOOKUP(B1740,'Справочник ИХ'!A:C,3,0))</f>
        <v>Остальные грузы</v>
      </c>
      <c r="E1740" s="13">
        <f>IF(RIGHT(A1740,3)="000","х",VLOOKUP(B1740,'Справочник ИХ'!A:D,4,0))</f>
        <v>3</v>
      </c>
      <c r="F1740" s="14" t="s">
        <v>2654</v>
      </c>
    </row>
    <row r="1741" spans="1:6" ht="47.6">
      <c r="A1741" s="19">
        <v>33147</v>
      </c>
      <c r="B1741" s="12" t="str">
        <f t="shared" si="27"/>
        <v>331</v>
      </c>
      <c r="C1741" s="1" t="s">
        <v>2701</v>
      </c>
      <c r="D1741" s="13" t="str">
        <f>IF(RIGHT(A1741,3)="000",C1741,VLOOKUP(B1741,'Справочник ИХ'!A:C,3,0))</f>
        <v>Остальные грузы</v>
      </c>
      <c r="E1741" s="13">
        <f>IF(RIGHT(A1741,3)="000","х",VLOOKUP(B1741,'Справочник ИХ'!A:D,4,0))</f>
        <v>3</v>
      </c>
      <c r="F1741" s="14" t="s">
        <v>2654</v>
      </c>
    </row>
    <row r="1742" spans="1:6">
      <c r="A1742" s="19">
        <v>33148</v>
      </c>
      <c r="B1742" s="12" t="str">
        <f t="shared" si="27"/>
        <v>331</v>
      </c>
      <c r="C1742" s="1" t="s">
        <v>2702</v>
      </c>
      <c r="D1742" s="13" t="str">
        <f>IF(RIGHT(A1742,3)="000",C1742,VLOOKUP(B1742,'Справочник ИХ'!A:C,3,0))</f>
        <v>Остальные грузы</v>
      </c>
      <c r="E1742" s="13">
        <f>IF(RIGHT(A1742,3)="000","х",VLOOKUP(B1742,'Справочник ИХ'!A:D,4,0))</f>
        <v>3</v>
      </c>
      <c r="F1742" s="14" t="s">
        <v>2654</v>
      </c>
    </row>
    <row r="1743" spans="1:6">
      <c r="A1743" s="19">
        <v>33149</v>
      </c>
      <c r="B1743" s="12" t="str">
        <f t="shared" si="27"/>
        <v>331</v>
      </c>
      <c r="C1743" s="1" t="s">
        <v>2703</v>
      </c>
      <c r="D1743" s="13" t="str">
        <f>IF(RIGHT(A1743,3)="000",C1743,VLOOKUP(B1743,'Справочник ИХ'!A:C,3,0))</f>
        <v>Остальные грузы</v>
      </c>
      <c r="E1743" s="13">
        <f>IF(RIGHT(A1743,3)="000","х",VLOOKUP(B1743,'Справочник ИХ'!A:D,4,0))</f>
        <v>3</v>
      </c>
      <c r="F1743" s="14" t="s">
        <v>2654</v>
      </c>
    </row>
    <row r="1744" spans="1:6">
      <c r="A1744" s="19">
        <v>33150</v>
      </c>
      <c r="B1744" s="12" t="str">
        <f t="shared" si="27"/>
        <v>331</v>
      </c>
      <c r="C1744" s="1" t="s">
        <v>2704</v>
      </c>
      <c r="D1744" s="13" t="str">
        <f>IF(RIGHT(A1744,3)="000",C1744,VLOOKUP(B1744,'Справочник ИХ'!A:C,3,0))</f>
        <v>Остальные грузы</v>
      </c>
      <c r="E1744" s="13">
        <f>IF(RIGHT(A1744,3)="000","х",VLOOKUP(B1744,'Справочник ИХ'!A:D,4,0))</f>
        <v>3</v>
      </c>
      <c r="F1744" s="14" t="s">
        <v>2654</v>
      </c>
    </row>
    <row r="1745" spans="1:6">
      <c r="A1745" s="19">
        <v>33151</v>
      </c>
      <c r="B1745" s="12" t="str">
        <f t="shared" si="27"/>
        <v>331</v>
      </c>
      <c r="C1745" s="1" t="s">
        <v>2705</v>
      </c>
      <c r="D1745" s="13" t="str">
        <f>IF(RIGHT(A1745,3)="000",C1745,VLOOKUP(B1745,'Справочник ИХ'!A:C,3,0))</f>
        <v>Остальные грузы</v>
      </c>
      <c r="E1745" s="13">
        <f>IF(RIGHT(A1745,3)="000","х",VLOOKUP(B1745,'Справочник ИХ'!A:D,4,0))</f>
        <v>3</v>
      </c>
      <c r="F1745" s="14" t="s">
        <v>2654</v>
      </c>
    </row>
    <row r="1746" spans="1:6">
      <c r="A1746" s="19">
        <v>33152</v>
      </c>
      <c r="B1746" s="12" t="str">
        <f t="shared" si="27"/>
        <v>331</v>
      </c>
      <c r="C1746" s="1" t="s">
        <v>2706</v>
      </c>
      <c r="D1746" s="13" t="str">
        <f>IF(RIGHT(A1746,3)="000",C1746,VLOOKUP(B1746,'Справочник ИХ'!A:C,3,0))</f>
        <v>Остальные грузы</v>
      </c>
      <c r="E1746" s="13">
        <f>IF(RIGHT(A1746,3)="000","х",VLOOKUP(B1746,'Справочник ИХ'!A:D,4,0))</f>
        <v>3</v>
      </c>
      <c r="F1746" s="14" t="s">
        <v>2654</v>
      </c>
    </row>
    <row r="1747" spans="1:6">
      <c r="A1747" s="19">
        <v>33153</v>
      </c>
      <c r="B1747" s="12" t="str">
        <f t="shared" si="27"/>
        <v>331</v>
      </c>
      <c r="C1747" s="1" t="s">
        <v>2707</v>
      </c>
      <c r="D1747" s="13" t="str">
        <f>IF(RIGHT(A1747,3)="000",C1747,VLOOKUP(B1747,'Справочник ИХ'!A:C,3,0))</f>
        <v>Остальные грузы</v>
      </c>
      <c r="E1747" s="13">
        <f>IF(RIGHT(A1747,3)="000","х",VLOOKUP(B1747,'Справочник ИХ'!A:D,4,0))</f>
        <v>3</v>
      </c>
      <c r="F1747" s="14" t="s">
        <v>2654</v>
      </c>
    </row>
    <row r="1748" spans="1:6">
      <c r="A1748" s="19">
        <v>33154</v>
      </c>
      <c r="B1748" s="12" t="str">
        <f t="shared" si="27"/>
        <v>331</v>
      </c>
      <c r="C1748" s="1" t="s">
        <v>2708</v>
      </c>
      <c r="D1748" s="13" t="str">
        <f>IF(RIGHT(A1748,3)="000",C1748,VLOOKUP(B1748,'Справочник ИХ'!A:C,3,0))</f>
        <v>Остальные грузы</v>
      </c>
      <c r="E1748" s="13">
        <f>IF(RIGHT(A1748,3)="000","х",VLOOKUP(B1748,'Справочник ИХ'!A:D,4,0))</f>
        <v>3</v>
      </c>
      <c r="F1748" s="14" t="s">
        <v>2654</v>
      </c>
    </row>
    <row r="1749" spans="1:6">
      <c r="A1749" s="19">
        <v>33155</v>
      </c>
      <c r="B1749" s="12" t="str">
        <f t="shared" si="27"/>
        <v>331</v>
      </c>
      <c r="C1749" s="1" t="s">
        <v>2709</v>
      </c>
      <c r="D1749" s="13" t="str">
        <f>IF(RIGHT(A1749,3)="000",C1749,VLOOKUP(B1749,'Справочник ИХ'!A:C,3,0))</f>
        <v>Остальные грузы</v>
      </c>
      <c r="E1749" s="13">
        <f>IF(RIGHT(A1749,3)="000","х",VLOOKUP(B1749,'Справочник ИХ'!A:D,4,0))</f>
        <v>3</v>
      </c>
      <c r="F1749" s="14" t="s">
        <v>2654</v>
      </c>
    </row>
    <row r="1750" spans="1:6">
      <c r="A1750" s="19">
        <v>33156</v>
      </c>
      <c r="B1750" s="12" t="str">
        <f t="shared" si="27"/>
        <v>331</v>
      </c>
      <c r="C1750" s="1" t="s">
        <v>2710</v>
      </c>
      <c r="D1750" s="13" t="str">
        <f>IF(RIGHT(A1750,3)="000",C1750,VLOOKUP(B1750,'Справочник ИХ'!A:C,3,0))</f>
        <v>Остальные грузы</v>
      </c>
      <c r="E1750" s="13">
        <f>IF(RIGHT(A1750,3)="000","х",VLOOKUP(B1750,'Справочник ИХ'!A:D,4,0))</f>
        <v>3</v>
      </c>
      <c r="F1750" s="14" t="s">
        <v>2654</v>
      </c>
    </row>
    <row r="1751" spans="1:6" s="18" customFormat="1">
      <c r="A1751" s="16">
        <v>33200</v>
      </c>
      <c r="B1751" s="12" t="str">
        <f t="shared" si="27"/>
        <v>332</v>
      </c>
      <c r="C1751" s="17" t="s">
        <v>2711</v>
      </c>
      <c r="D1751" s="13" t="str">
        <f>IF(RIGHT(A1751,3)="000",C1751,VLOOKUP(B1751,'Справочник ИХ'!A:C,3,0))</f>
        <v>Остальные грузы</v>
      </c>
      <c r="E1751" s="13">
        <f>IF(RIGHT(A1751,3)="000","х",VLOOKUP(B1751,'Справочник ИХ'!A:D,4,0))</f>
        <v>3</v>
      </c>
      <c r="F1751" s="14" t="s">
        <v>2654</v>
      </c>
    </row>
    <row r="1752" spans="1:6">
      <c r="A1752" s="19">
        <v>33201</v>
      </c>
      <c r="B1752" s="12" t="str">
        <f t="shared" si="27"/>
        <v>332</v>
      </c>
      <c r="C1752" s="1" t="s">
        <v>2712</v>
      </c>
      <c r="D1752" s="13" t="str">
        <f>IF(RIGHT(A1752,3)="000",C1752,VLOOKUP(B1752,'Справочник ИХ'!A:C,3,0))</f>
        <v>Остальные грузы</v>
      </c>
      <c r="E1752" s="13">
        <f>IF(RIGHT(A1752,3)="000","х",VLOOKUP(B1752,'Справочник ИХ'!A:D,4,0))</f>
        <v>3</v>
      </c>
      <c r="F1752" s="14" t="s">
        <v>2654</v>
      </c>
    </row>
    <row r="1753" spans="1:6" ht="31.75">
      <c r="A1753" s="19">
        <v>33202</v>
      </c>
      <c r="B1753" s="12" t="str">
        <f t="shared" si="27"/>
        <v>332</v>
      </c>
      <c r="C1753" s="1" t="s">
        <v>2713</v>
      </c>
      <c r="D1753" s="13" t="str">
        <f>IF(RIGHT(A1753,3)="000",C1753,VLOOKUP(B1753,'Справочник ИХ'!A:C,3,0))</f>
        <v>Остальные грузы</v>
      </c>
      <c r="E1753" s="13">
        <f>IF(RIGHT(A1753,3)="000","х",VLOOKUP(B1753,'Справочник ИХ'!A:D,4,0))</f>
        <v>3</v>
      </c>
      <c r="F1753" s="14" t="s">
        <v>2654</v>
      </c>
    </row>
    <row r="1754" spans="1:6" ht="31.75">
      <c r="A1754" s="19">
        <v>33203</v>
      </c>
      <c r="B1754" s="12" t="str">
        <f t="shared" si="27"/>
        <v>332</v>
      </c>
      <c r="C1754" s="1" t="s">
        <v>2714</v>
      </c>
      <c r="D1754" s="13" t="str">
        <f>IF(RIGHT(A1754,3)="000",C1754,VLOOKUP(B1754,'Справочник ИХ'!A:C,3,0))</f>
        <v>Остальные грузы</v>
      </c>
      <c r="E1754" s="13">
        <f>IF(RIGHT(A1754,3)="000","х",VLOOKUP(B1754,'Справочник ИХ'!A:D,4,0))</f>
        <v>3</v>
      </c>
      <c r="F1754" s="14" t="s">
        <v>2654</v>
      </c>
    </row>
    <row r="1755" spans="1:6">
      <c r="A1755" s="19">
        <v>33204</v>
      </c>
      <c r="B1755" s="12" t="str">
        <f t="shared" si="27"/>
        <v>332</v>
      </c>
      <c r="C1755" s="1" t="s">
        <v>2715</v>
      </c>
      <c r="D1755" s="13" t="str">
        <f>IF(RIGHT(A1755,3)="000",C1755,VLOOKUP(B1755,'Справочник ИХ'!A:C,3,0))</f>
        <v>Остальные грузы</v>
      </c>
      <c r="E1755" s="13">
        <f>IF(RIGHT(A1755,3)="000","х",VLOOKUP(B1755,'Справочник ИХ'!A:D,4,0))</f>
        <v>3</v>
      </c>
      <c r="F1755" s="14" t="s">
        <v>2654</v>
      </c>
    </row>
    <row r="1756" spans="1:6">
      <c r="A1756" s="19">
        <v>33205</v>
      </c>
      <c r="B1756" s="12" t="str">
        <f t="shared" si="27"/>
        <v>332</v>
      </c>
      <c r="C1756" s="1" t="s">
        <v>2716</v>
      </c>
      <c r="D1756" s="13" t="str">
        <f>IF(RIGHT(A1756,3)="000",C1756,VLOOKUP(B1756,'Справочник ИХ'!A:C,3,0))</f>
        <v>Остальные грузы</v>
      </c>
      <c r="E1756" s="13">
        <f>IF(RIGHT(A1756,3)="000","х",VLOOKUP(B1756,'Справочник ИХ'!A:D,4,0))</f>
        <v>3</v>
      </c>
      <c r="F1756" s="14" t="s">
        <v>2654</v>
      </c>
    </row>
    <row r="1757" spans="1:6">
      <c r="A1757" s="19">
        <v>33206</v>
      </c>
      <c r="B1757" s="12" t="str">
        <f t="shared" si="27"/>
        <v>332</v>
      </c>
      <c r="C1757" s="1" t="s">
        <v>2717</v>
      </c>
      <c r="D1757" s="13" t="str">
        <f>IF(RIGHT(A1757,3)="000",C1757,VLOOKUP(B1757,'Справочник ИХ'!A:C,3,0))</f>
        <v>Остальные грузы</v>
      </c>
      <c r="E1757" s="13">
        <f>IF(RIGHT(A1757,3)="000","х",VLOOKUP(B1757,'Справочник ИХ'!A:D,4,0))</f>
        <v>3</v>
      </c>
      <c r="F1757" s="14" t="s">
        <v>2654</v>
      </c>
    </row>
    <row r="1758" spans="1:6">
      <c r="A1758" s="19">
        <v>33207</v>
      </c>
      <c r="B1758" s="12" t="str">
        <f t="shared" si="27"/>
        <v>332</v>
      </c>
      <c r="C1758" s="1" t="s">
        <v>2718</v>
      </c>
      <c r="D1758" s="13" t="str">
        <f>IF(RIGHT(A1758,3)="000",C1758,VLOOKUP(B1758,'Справочник ИХ'!A:C,3,0))</f>
        <v>Остальные грузы</v>
      </c>
      <c r="E1758" s="13">
        <f>IF(RIGHT(A1758,3)="000","х",VLOOKUP(B1758,'Справочник ИХ'!A:D,4,0))</f>
        <v>3</v>
      </c>
      <c r="F1758" s="14" t="s">
        <v>2654</v>
      </c>
    </row>
    <row r="1759" spans="1:6">
      <c r="A1759" s="19">
        <v>33208</v>
      </c>
      <c r="B1759" s="12" t="str">
        <f t="shared" si="27"/>
        <v>332</v>
      </c>
      <c r="C1759" s="1" t="s">
        <v>2719</v>
      </c>
      <c r="D1759" s="13" t="str">
        <f>IF(RIGHT(A1759,3)="000",C1759,VLOOKUP(B1759,'Справочник ИХ'!A:C,3,0))</f>
        <v>Остальные грузы</v>
      </c>
      <c r="E1759" s="13">
        <f>IF(RIGHT(A1759,3)="000","х",VLOOKUP(B1759,'Справочник ИХ'!A:D,4,0))</f>
        <v>3</v>
      </c>
      <c r="F1759" s="14" t="s">
        <v>2654</v>
      </c>
    </row>
    <row r="1760" spans="1:6">
      <c r="A1760" s="19">
        <v>33209</v>
      </c>
      <c r="B1760" s="12" t="str">
        <f t="shared" si="27"/>
        <v>332</v>
      </c>
      <c r="C1760" s="1" t="s">
        <v>2720</v>
      </c>
      <c r="D1760" s="13" t="str">
        <f>IF(RIGHT(A1760,3)="000",C1760,VLOOKUP(B1760,'Справочник ИХ'!A:C,3,0))</f>
        <v>Остальные грузы</v>
      </c>
      <c r="E1760" s="13">
        <f>IF(RIGHT(A1760,3)="000","х",VLOOKUP(B1760,'Справочник ИХ'!A:D,4,0))</f>
        <v>3</v>
      </c>
      <c r="F1760" s="14" t="s">
        <v>2654</v>
      </c>
    </row>
    <row r="1761" spans="1:6">
      <c r="A1761" s="19">
        <v>33210</v>
      </c>
      <c r="B1761" s="12" t="str">
        <f t="shared" si="27"/>
        <v>332</v>
      </c>
      <c r="C1761" s="1" t="s">
        <v>2721</v>
      </c>
      <c r="D1761" s="13" t="str">
        <f>IF(RIGHT(A1761,3)="000",C1761,VLOOKUP(B1761,'Справочник ИХ'!A:C,3,0))</f>
        <v>Остальные грузы</v>
      </c>
      <c r="E1761" s="13">
        <f>IF(RIGHT(A1761,3)="000","х",VLOOKUP(B1761,'Справочник ИХ'!A:D,4,0))</f>
        <v>3</v>
      </c>
      <c r="F1761" s="14" t="s">
        <v>2654</v>
      </c>
    </row>
    <row r="1762" spans="1:6" ht="31.75">
      <c r="A1762" s="19">
        <v>33211</v>
      </c>
      <c r="B1762" s="12" t="str">
        <f t="shared" si="27"/>
        <v>332</v>
      </c>
      <c r="C1762" s="1" t="s">
        <v>2722</v>
      </c>
      <c r="D1762" s="13" t="str">
        <f>IF(RIGHT(A1762,3)="000",C1762,VLOOKUP(B1762,'Справочник ИХ'!A:C,3,0))</f>
        <v>Остальные грузы</v>
      </c>
      <c r="E1762" s="13">
        <f>IF(RIGHT(A1762,3)="000","х",VLOOKUP(B1762,'Справочник ИХ'!A:D,4,0))</f>
        <v>3</v>
      </c>
      <c r="F1762" s="14" t="s">
        <v>2654</v>
      </c>
    </row>
    <row r="1763" spans="1:6">
      <c r="A1763" s="19">
        <v>33212</v>
      </c>
      <c r="B1763" s="12" t="str">
        <f t="shared" si="27"/>
        <v>332</v>
      </c>
      <c r="C1763" s="1" t="s">
        <v>2723</v>
      </c>
      <c r="D1763" s="13" t="str">
        <f>IF(RIGHT(A1763,3)="000",C1763,VLOOKUP(B1763,'Справочник ИХ'!A:C,3,0))</f>
        <v>Остальные грузы</v>
      </c>
      <c r="E1763" s="13">
        <f>IF(RIGHT(A1763,3)="000","х",VLOOKUP(B1763,'Справочник ИХ'!A:D,4,0))</f>
        <v>3</v>
      </c>
      <c r="F1763" s="14" t="s">
        <v>2654</v>
      </c>
    </row>
    <row r="1764" spans="1:6">
      <c r="A1764" s="19">
        <v>33213</v>
      </c>
      <c r="B1764" s="12" t="str">
        <f t="shared" si="27"/>
        <v>332</v>
      </c>
      <c r="C1764" s="1" t="s">
        <v>2724</v>
      </c>
      <c r="D1764" s="13" t="str">
        <f>IF(RIGHT(A1764,3)="000",C1764,VLOOKUP(B1764,'Справочник ИХ'!A:C,3,0))</f>
        <v>Остальные грузы</v>
      </c>
      <c r="E1764" s="13">
        <f>IF(RIGHT(A1764,3)="000","х",VLOOKUP(B1764,'Справочник ИХ'!A:D,4,0))</f>
        <v>3</v>
      </c>
      <c r="F1764" s="14" t="s">
        <v>2654</v>
      </c>
    </row>
    <row r="1765" spans="1:6" ht="31.75">
      <c r="A1765" s="19">
        <v>33214</v>
      </c>
      <c r="B1765" s="12" t="str">
        <f t="shared" si="27"/>
        <v>332</v>
      </c>
      <c r="C1765" s="1" t="s">
        <v>2725</v>
      </c>
      <c r="D1765" s="13" t="str">
        <f>IF(RIGHT(A1765,3)="000",C1765,VLOOKUP(B1765,'Справочник ИХ'!A:C,3,0))</f>
        <v>Остальные грузы</v>
      </c>
      <c r="E1765" s="13">
        <f>IF(RIGHT(A1765,3)="000","х",VLOOKUP(B1765,'Справочник ИХ'!A:D,4,0))</f>
        <v>3</v>
      </c>
      <c r="F1765" s="14" t="s">
        <v>2654</v>
      </c>
    </row>
    <row r="1766" spans="1:6">
      <c r="A1766" s="19">
        <v>33215</v>
      </c>
      <c r="B1766" s="12" t="str">
        <f t="shared" si="27"/>
        <v>332</v>
      </c>
      <c r="C1766" s="1" t="s">
        <v>2726</v>
      </c>
      <c r="D1766" s="13" t="str">
        <f>IF(RIGHT(A1766,3)="000",C1766,VLOOKUP(B1766,'Справочник ИХ'!A:C,3,0))</f>
        <v>Остальные грузы</v>
      </c>
      <c r="E1766" s="13">
        <f>IF(RIGHT(A1766,3)="000","х",VLOOKUP(B1766,'Справочник ИХ'!A:D,4,0))</f>
        <v>3</v>
      </c>
      <c r="F1766" s="14" t="s">
        <v>2654</v>
      </c>
    </row>
    <row r="1767" spans="1:6">
      <c r="A1767" s="19">
        <v>33216</v>
      </c>
      <c r="B1767" s="12" t="str">
        <f t="shared" si="27"/>
        <v>332</v>
      </c>
      <c r="C1767" s="1" t="s">
        <v>2727</v>
      </c>
      <c r="D1767" s="13" t="str">
        <f>IF(RIGHT(A1767,3)="000",C1767,VLOOKUP(B1767,'Справочник ИХ'!A:C,3,0))</f>
        <v>Остальные грузы</v>
      </c>
      <c r="E1767" s="13">
        <f>IF(RIGHT(A1767,3)="000","х",VLOOKUP(B1767,'Справочник ИХ'!A:D,4,0))</f>
        <v>3</v>
      </c>
      <c r="F1767" s="14" t="s">
        <v>2654</v>
      </c>
    </row>
    <row r="1768" spans="1:6">
      <c r="A1768" s="19">
        <v>33217</v>
      </c>
      <c r="B1768" s="12" t="str">
        <f t="shared" si="27"/>
        <v>332</v>
      </c>
      <c r="C1768" s="1" t="s">
        <v>2728</v>
      </c>
      <c r="D1768" s="13" t="str">
        <f>IF(RIGHT(A1768,3)="000",C1768,VLOOKUP(B1768,'Справочник ИХ'!A:C,3,0))</f>
        <v>Остальные грузы</v>
      </c>
      <c r="E1768" s="13">
        <f>IF(RIGHT(A1768,3)="000","х",VLOOKUP(B1768,'Справочник ИХ'!A:D,4,0))</f>
        <v>3</v>
      </c>
      <c r="F1768" s="14" t="s">
        <v>2654</v>
      </c>
    </row>
    <row r="1769" spans="1:6">
      <c r="A1769" s="19">
        <v>33218</v>
      </c>
      <c r="B1769" s="12" t="str">
        <f t="shared" si="27"/>
        <v>332</v>
      </c>
      <c r="C1769" s="1" t="s">
        <v>2729</v>
      </c>
      <c r="D1769" s="13" t="str">
        <f>IF(RIGHT(A1769,3)="000",C1769,VLOOKUP(B1769,'Справочник ИХ'!A:C,3,0))</f>
        <v>Остальные грузы</v>
      </c>
      <c r="E1769" s="13">
        <f>IF(RIGHT(A1769,3)="000","х",VLOOKUP(B1769,'Справочник ИХ'!A:D,4,0))</f>
        <v>3</v>
      </c>
      <c r="F1769" s="14" t="s">
        <v>2654</v>
      </c>
    </row>
    <row r="1770" spans="1:6">
      <c r="A1770" s="19">
        <v>33219</v>
      </c>
      <c r="B1770" s="12" t="str">
        <f t="shared" si="27"/>
        <v>332</v>
      </c>
      <c r="C1770" s="1" t="s">
        <v>2730</v>
      </c>
      <c r="D1770" s="13" t="str">
        <f>IF(RIGHT(A1770,3)="000",C1770,VLOOKUP(B1770,'Справочник ИХ'!A:C,3,0))</f>
        <v>Остальные грузы</v>
      </c>
      <c r="E1770" s="13">
        <f>IF(RIGHT(A1770,3)="000","х",VLOOKUP(B1770,'Справочник ИХ'!A:D,4,0))</f>
        <v>3</v>
      </c>
      <c r="F1770" s="14" t="s">
        <v>2654</v>
      </c>
    </row>
    <row r="1771" spans="1:6" ht="31.75">
      <c r="A1771" s="19">
        <v>33220</v>
      </c>
      <c r="B1771" s="12" t="str">
        <f t="shared" si="27"/>
        <v>332</v>
      </c>
      <c r="C1771" s="1" t="s">
        <v>2731</v>
      </c>
      <c r="D1771" s="13" t="str">
        <f>IF(RIGHT(A1771,3)="000",C1771,VLOOKUP(B1771,'Справочник ИХ'!A:C,3,0))</f>
        <v>Остальные грузы</v>
      </c>
      <c r="E1771" s="13">
        <f>IF(RIGHT(A1771,3)="000","х",VLOOKUP(B1771,'Справочник ИХ'!A:D,4,0))</f>
        <v>3</v>
      </c>
      <c r="F1771" s="14" t="s">
        <v>2654</v>
      </c>
    </row>
    <row r="1772" spans="1:6">
      <c r="A1772" s="19">
        <v>33221</v>
      </c>
      <c r="B1772" s="12" t="str">
        <f t="shared" si="27"/>
        <v>332</v>
      </c>
      <c r="C1772" s="1" t="s">
        <v>2732</v>
      </c>
      <c r="D1772" s="13" t="str">
        <f>IF(RIGHT(A1772,3)="000",C1772,VLOOKUP(B1772,'Справочник ИХ'!A:C,3,0))</f>
        <v>Остальные грузы</v>
      </c>
      <c r="E1772" s="13">
        <f>IF(RIGHT(A1772,3)="000","х",VLOOKUP(B1772,'Справочник ИХ'!A:D,4,0))</f>
        <v>3</v>
      </c>
      <c r="F1772" s="14" t="s">
        <v>2654</v>
      </c>
    </row>
    <row r="1773" spans="1:6">
      <c r="A1773" s="19">
        <v>33222</v>
      </c>
      <c r="B1773" s="12" t="str">
        <f t="shared" si="27"/>
        <v>332</v>
      </c>
      <c r="C1773" s="1" t="s">
        <v>2733</v>
      </c>
      <c r="D1773" s="13" t="str">
        <f>IF(RIGHT(A1773,3)="000",C1773,VLOOKUP(B1773,'Справочник ИХ'!A:C,3,0))</f>
        <v>Остальные грузы</v>
      </c>
      <c r="E1773" s="13">
        <f>IF(RIGHT(A1773,3)="000","х",VLOOKUP(B1773,'Справочник ИХ'!A:D,4,0))</f>
        <v>3</v>
      </c>
      <c r="F1773" s="14" t="s">
        <v>2654</v>
      </c>
    </row>
    <row r="1774" spans="1:6">
      <c r="A1774" s="19">
        <v>33223</v>
      </c>
      <c r="B1774" s="12" t="str">
        <f t="shared" si="27"/>
        <v>332</v>
      </c>
      <c r="C1774" s="1" t="s">
        <v>2734</v>
      </c>
      <c r="D1774" s="13" t="str">
        <f>IF(RIGHT(A1774,3)="000",C1774,VLOOKUP(B1774,'Справочник ИХ'!A:C,3,0))</f>
        <v>Остальные грузы</v>
      </c>
      <c r="E1774" s="13">
        <f>IF(RIGHT(A1774,3)="000","х",VLOOKUP(B1774,'Справочник ИХ'!A:D,4,0))</f>
        <v>3</v>
      </c>
      <c r="F1774" s="14" t="s">
        <v>2654</v>
      </c>
    </row>
    <row r="1775" spans="1:6">
      <c r="A1775" s="19">
        <v>33224</v>
      </c>
      <c r="B1775" s="12" t="str">
        <f t="shared" si="27"/>
        <v>332</v>
      </c>
      <c r="C1775" s="1" t="s">
        <v>2735</v>
      </c>
      <c r="D1775" s="13" t="str">
        <f>IF(RIGHT(A1775,3)="000",C1775,VLOOKUP(B1775,'Справочник ИХ'!A:C,3,0))</f>
        <v>Остальные грузы</v>
      </c>
      <c r="E1775" s="13">
        <f>IF(RIGHT(A1775,3)="000","х",VLOOKUP(B1775,'Справочник ИХ'!A:D,4,0))</f>
        <v>3</v>
      </c>
      <c r="F1775" s="14" t="s">
        <v>2654</v>
      </c>
    </row>
    <row r="1776" spans="1:6" s="18" customFormat="1">
      <c r="A1776" s="16">
        <v>33300</v>
      </c>
      <c r="B1776" s="12" t="str">
        <f t="shared" si="27"/>
        <v>333</v>
      </c>
      <c r="C1776" s="17" t="s">
        <v>2736</v>
      </c>
      <c r="D1776" s="13" t="str">
        <f>IF(RIGHT(A1776,3)="000",C1776,VLOOKUP(B1776,'Справочник ИХ'!A:C,3,0))</f>
        <v>Остальные грузы</v>
      </c>
      <c r="E1776" s="13">
        <f>IF(RIGHT(A1776,3)="000","х",VLOOKUP(B1776,'Справочник ИХ'!A:D,4,0))</f>
        <v>3</v>
      </c>
      <c r="F1776" s="14" t="s">
        <v>2654</v>
      </c>
    </row>
    <row r="1777" spans="1:6">
      <c r="A1777" s="19">
        <v>33301</v>
      </c>
      <c r="B1777" s="12" t="str">
        <f t="shared" si="27"/>
        <v>333</v>
      </c>
      <c r="C1777" s="1" t="s">
        <v>2737</v>
      </c>
      <c r="D1777" s="13" t="str">
        <f>IF(RIGHT(A1777,3)="000",C1777,VLOOKUP(B1777,'Справочник ИХ'!A:C,3,0))</f>
        <v>Остальные грузы</v>
      </c>
      <c r="E1777" s="13">
        <f>IF(RIGHT(A1777,3)="000","х",VLOOKUP(B1777,'Справочник ИХ'!A:D,4,0))</f>
        <v>3</v>
      </c>
      <c r="F1777" s="14" t="s">
        <v>2654</v>
      </c>
    </row>
    <row r="1778" spans="1:6">
      <c r="A1778" s="19">
        <v>33302</v>
      </c>
      <c r="B1778" s="12" t="str">
        <f t="shared" si="27"/>
        <v>333</v>
      </c>
      <c r="C1778" s="1" t="s">
        <v>2738</v>
      </c>
      <c r="D1778" s="13" t="str">
        <f>IF(RIGHT(A1778,3)="000",C1778,VLOOKUP(B1778,'Справочник ИХ'!A:C,3,0))</f>
        <v>Остальные грузы</v>
      </c>
      <c r="E1778" s="13">
        <f>IF(RIGHT(A1778,3)="000","х",VLOOKUP(B1778,'Справочник ИХ'!A:D,4,0))</f>
        <v>3</v>
      </c>
      <c r="F1778" s="14" t="s">
        <v>2654</v>
      </c>
    </row>
    <row r="1779" spans="1:6" ht="31.75">
      <c r="A1779" s="19">
        <v>33303</v>
      </c>
      <c r="B1779" s="12" t="str">
        <f t="shared" si="27"/>
        <v>333</v>
      </c>
      <c r="C1779" s="1" t="s">
        <v>2739</v>
      </c>
      <c r="D1779" s="13" t="str">
        <f>IF(RIGHT(A1779,3)="000",C1779,VLOOKUP(B1779,'Справочник ИХ'!A:C,3,0))</f>
        <v>Остальные грузы</v>
      </c>
      <c r="E1779" s="13">
        <f>IF(RIGHT(A1779,3)="000","х",VLOOKUP(B1779,'Справочник ИХ'!A:D,4,0))</f>
        <v>3</v>
      </c>
      <c r="F1779" s="14" t="s">
        <v>2654</v>
      </c>
    </row>
    <row r="1780" spans="1:6" ht="31.75">
      <c r="A1780" s="19">
        <v>33304</v>
      </c>
      <c r="B1780" s="12" t="str">
        <f t="shared" si="27"/>
        <v>333</v>
      </c>
      <c r="C1780" s="1" t="s">
        <v>2740</v>
      </c>
      <c r="D1780" s="13" t="str">
        <f>IF(RIGHT(A1780,3)="000",C1780,VLOOKUP(B1780,'Справочник ИХ'!A:C,3,0))</f>
        <v>Остальные грузы</v>
      </c>
      <c r="E1780" s="13">
        <f>IF(RIGHT(A1780,3)="000","х",VLOOKUP(B1780,'Справочник ИХ'!A:D,4,0))</f>
        <v>3</v>
      </c>
      <c r="F1780" s="14" t="s">
        <v>2654</v>
      </c>
    </row>
    <row r="1781" spans="1:6">
      <c r="A1781" s="19">
        <v>33305</v>
      </c>
      <c r="B1781" s="12" t="str">
        <f t="shared" si="27"/>
        <v>333</v>
      </c>
      <c r="C1781" s="1" t="s">
        <v>2741</v>
      </c>
      <c r="D1781" s="13" t="str">
        <f>IF(RIGHT(A1781,3)="000",C1781,VLOOKUP(B1781,'Справочник ИХ'!A:C,3,0))</f>
        <v>Остальные грузы</v>
      </c>
      <c r="E1781" s="13">
        <f>IF(RIGHT(A1781,3)="000","х",VLOOKUP(B1781,'Справочник ИХ'!A:D,4,0))</f>
        <v>3</v>
      </c>
      <c r="F1781" s="14" t="s">
        <v>2654</v>
      </c>
    </row>
    <row r="1782" spans="1:6">
      <c r="A1782" s="19">
        <v>33306</v>
      </c>
      <c r="B1782" s="12" t="str">
        <f t="shared" si="27"/>
        <v>333</v>
      </c>
      <c r="C1782" s="1" t="s">
        <v>2742</v>
      </c>
      <c r="D1782" s="13" t="str">
        <f>IF(RIGHT(A1782,3)="000",C1782,VLOOKUP(B1782,'Справочник ИХ'!A:C,3,0))</f>
        <v>Остальные грузы</v>
      </c>
      <c r="E1782" s="13">
        <f>IF(RIGHT(A1782,3)="000","х",VLOOKUP(B1782,'Справочник ИХ'!A:D,4,0))</f>
        <v>3</v>
      </c>
      <c r="F1782" s="14" t="s">
        <v>2654</v>
      </c>
    </row>
    <row r="1783" spans="1:6">
      <c r="A1783" s="19">
        <v>33307</v>
      </c>
      <c r="B1783" s="12" t="str">
        <f t="shared" si="27"/>
        <v>333</v>
      </c>
      <c r="C1783" s="1" t="s">
        <v>2743</v>
      </c>
      <c r="D1783" s="13" t="str">
        <f>IF(RIGHT(A1783,3)="000",C1783,VLOOKUP(B1783,'Справочник ИХ'!A:C,3,0))</f>
        <v>Остальные грузы</v>
      </c>
      <c r="E1783" s="13">
        <f>IF(RIGHT(A1783,3)="000","х",VLOOKUP(B1783,'Справочник ИХ'!A:D,4,0))</f>
        <v>3</v>
      </c>
      <c r="F1783" s="14" t="s">
        <v>2654</v>
      </c>
    </row>
    <row r="1784" spans="1:6">
      <c r="A1784" s="19">
        <v>33308</v>
      </c>
      <c r="B1784" s="12" t="str">
        <f t="shared" si="27"/>
        <v>333</v>
      </c>
      <c r="C1784" s="1" t="s">
        <v>2744</v>
      </c>
      <c r="D1784" s="13" t="str">
        <f>IF(RIGHT(A1784,3)="000",C1784,VLOOKUP(B1784,'Справочник ИХ'!A:C,3,0))</f>
        <v>Остальные грузы</v>
      </c>
      <c r="E1784" s="13">
        <f>IF(RIGHT(A1784,3)="000","х",VLOOKUP(B1784,'Справочник ИХ'!A:D,4,0))</f>
        <v>3</v>
      </c>
      <c r="F1784" s="14" t="s">
        <v>2654</v>
      </c>
    </row>
    <row r="1785" spans="1:6" s="15" customFormat="1" ht="31.75">
      <c r="A1785" s="7">
        <v>34000</v>
      </c>
      <c r="B1785" s="12" t="str">
        <f t="shared" si="27"/>
        <v>340</v>
      </c>
      <c r="C1785" s="11" t="s">
        <v>2745</v>
      </c>
      <c r="D1785" s="13" t="str">
        <f>IF(RIGHT(A1785,3)="000",C1785,VLOOKUP(B1785,'Справочник ИХ'!A:C,3,0))</f>
        <v xml:space="preserve">Шлаки металлургические для переплавки </v>
      </c>
      <c r="E1785" s="13" t="str">
        <f>IF(RIGHT(A1785,3)="000","х",VLOOKUP(B1785,'Справочник ИХ'!A:D,4,0))</f>
        <v>х</v>
      </c>
      <c r="F1785" s="14" t="s">
        <v>2745</v>
      </c>
    </row>
    <row r="1786" spans="1:6" s="18" customFormat="1" ht="31.75">
      <c r="A1786" s="16">
        <v>34100</v>
      </c>
      <c r="B1786" s="12" t="str">
        <f t="shared" si="27"/>
        <v>341</v>
      </c>
      <c r="C1786" s="17" t="s">
        <v>2745</v>
      </c>
      <c r="D1786" s="13" t="str">
        <f>IF(RIGHT(A1786,3)="000",C1786,VLOOKUP(B1786,'Справочник ИХ'!A:C,3,0))</f>
        <v>Минерально-строит.</v>
      </c>
      <c r="E1786" s="13">
        <f>IF(RIGHT(A1786,3)="000","х",VLOOKUP(B1786,'Справочник ИХ'!A:D,4,0))</f>
        <v>1</v>
      </c>
      <c r="F1786" s="14" t="s">
        <v>2745</v>
      </c>
    </row>
    <row r="1787" spans="1:6">
      <c r="A1787" s="19">
        <v>34101</v>
      </c>
      <c r="B1787" s="12" t="str">
        <f t="shared" si="27"/>
        <v>341</v>
      </c>
      <c r="C1787" s="1" t="s">
        <v>2746</v>
      </c>
      <c r="D1787" s="13" t="str">
        <f>IF(RIGHT(A1787,3)="000",C1787,VLOOKUP(B1787,'Справочник ИХ'!A:C,3,0))</f>
        <v>Минерально-строит.</v>
      </c>
      <c r="E1787" s="13">
        <f>IF(RIGHT(A1787,3)="000","х",VLOOKUP(B1787,'Справочник ИХ'!A:D,4,0))</f>
        <v>1</v>
      </c>
      <c r="F1787" s="14" t="s">
        <v>2745</v>
      </c>
    </row>
    <row r="1788" spans="1:6">
      <c r="A1788" s="19">
        <v>34102</v>
      </c>
      <c r="B1788" s="12" t="str">
        <f t="shared" si="27"/>
        <v>341</v>
      </c>
      <c r="C1788" s="1" t="s">
        <v>2747</v>
      </c>
      <c r="D1788" s="13" t="str">
        <f>IF(RIGHT(A1788,3)="000",C1788,VLOOKUP(B1788,'Справочник ИХ'!A:C,3,0))</f>
        <v>Минерально-строит.</v>
      </c>
      <c r="E1788" s="13">
        <f>IF(RIGHT(A1788,3)="000","х",VLOOKUP(B1788,'Справочник ИХ'!A:D,4,0))</f>
        <v>1</v>
      </c>
      <c r="F1788" s="14" t="s">
        <v>2745</v>
      </c>
    </row>
    <row r="1789" spans="1:6">
      <c r="A1789" s="19">
        <v>34103</v>
      </c>
      <c r="B1789" s="12" t="str">
        <f t="shared" si="27"/>
        <v>341</v>
      </c>
      <c r="C1789" s="1" t="s">
        <v>2748</v>
      </c>
      <c r="D1789" s="13" t="str">
        <f>IF(RIGHT(A1789,3)="000",C1789,VLOOKUP(B1789,'Справочник ИХ'!A:C,3,0))</f>
        <v>Минерально-строит.</v>
      </c>
      <c r="E1789" s="13">
        <f>IF(RIGHT(A1789,3)="000","х",VLOOKUP(B1789,'Справочник ИХ'!A:D,4,0))</f>
        <v>1</v>
      </c>
      <c r="F1789" s="14" t="s">
        <v>2745</v>
      </c>
    </row>
    <row r="1790" spans="1:6">
      <c r="A1790" s="19">
        <v>34104</v>
      </c>
      <c r="B1790" s="12" t="str">
        <f t="shared" si="27"/>
        <v>341</v>
      </c>
      <c r="C1790" s="1" t="s">
        <v>2749</v>
      </c>
      <c r="D1790" s="13" t="str">
        <f>IF(RIGHT(A1790,3)="000",C1790,VLOOKUP(B1790,'Справочник ИХ'!A:C,3,0))</f>
        <v>Минерально-строит.</v>
      </c>
      <c r="E1790" s="13">
        <f>IF(RIGHT(A1790,3)="000","х",VLOOKUP(B1790,'Справочник ИХ'!A:D,4,0))</f>
        <v>1</v>
      </c>
      <c r="F1790" s="14" t="s">
        <v>2745</v>
      </c>
    </row>
    <row r="1791" spans="1:6">
      <c r="A1791" s="19">
        <v>34105</v>
      </c>
      <c r="B1791" s="12" t="str">
        <f t="shared" si="27"/>
        <v>341</v>
      </c>
      <c r="C1791" s="1" t="s">
        <v>2750</v>
      </c>
      <c r="D1791" s="13" t="str">
        <f>IF(RIGHT(A1791,3)="000",C1791,VLOOKUP(B1791,'Справочник ИХ'!A:C,3,0))</f>
        <v>Минерально-строит.</v>
      </c>
      <c r="E1791" s="13">
        <f>IF(RIGHT(A1791,3)="000","х",VLOOKUP(B1791,'Справочник ИХ'!A:D,4,0))</f>
        <v>1</v>
      </c>
      <c r="F1791" s="14" t="s">
        <v>2745</v>
      </c>
    </row>
    <row r="1792" spans="1:6">
      <c r="A1792" s="19">
        <v>34106</v>
      </c>
      <c r="B1792" s="12" t="str">
        <f t="shared" si="27"/>
        <v>341</v>
      </c>
      <c r="C1792" s="1" t="s">
        <v>2751</v>
      </c>
      <c r="D1792" s="13" t="str">
        <f>IF(RIGHT(A1792,3)="000",C1792,VLOOKUP(B1792,'Справочник ИХ'!A:C,3,0))</f>
        <v>Минерально-строит.</v>
      </c>
      <c r="E1792" s="13">
        <f>IF(RIGHT(A1792,3)="000","х",VLOOKUP(B1792,'Справочник ИХ'!A:D,4,0))</f>
        <v>1</v>
      </c>
      <c r="F1792" s="14" t="s">
        <v>2745</v>
      </c>
    </row>
    <row r="1793" spans="1:6">
      <c r="A1793" s="19">
        <v>34107</v>
      </c>
      <c r="B1793" s="12" t="str">
        <f t="shared" si="27"/>
        <v>341</v>
      </c>
      <c r="C1793" s="1" t="s">
        <v>2752</v>
      </c>
      <c r="D1793" s="13" t="str">
        <f>IF(RIGHT(A1793,3)="000",C1793,VLOOKUP(B1793,'Справочник ИХ'!A:C,3,0))</f>
        <v>Минерально-строит.</v>
      </c>
      <c r="E1793" s="13">
        <f>IF(RIGHT(A1793,3)="000","х",VLOOKUP(B1793,'Справочник ИХ'!A:D,4,0))</f>
        <v>1</v>
      </c>
      <c r="F1793" s="14" t="s">
        <v>2745</v>
      </c>
    </row>
    <row r="1794" spans="1:6" ht="31.75">
      <c r="A1794" s="19">
        <v>34108</v>
      </c>
      <c r="B1794" s="12" t="str">
        <f t="shared" si="27"/>
        <v>341</v>
      </c>
      <c r="C1794" s="1" t="s">
        <v>2753</v>
      </c>
      <c r="D1794" s="13" t="str">
        <f>IF(RIGHT(A1794,3)="000",C1794,VLOOKUP(B1794,'Справочник ИХ'!A:C,3,0))</f>
        <v>Минерально-строит.</v>
      </c>
      <c r="E1794" s="13">
        <f>IF(RIGHT(A1794,3)="000","х",VLOOKUP(B1794,'Справочник ИХ'!A:D,4,0))</f>
        <v>1</v>
      </c>
      <c r="F1794" s="14" t="s">
        <v>2745</v>
      </c>
    </row>
    <row r="1795" spans="1:6">
      <c r="A1795" s="19">
        <v>34109</v>
      </c>
      <c r="B1795" s="12" t="str">
        <f t="shared" si="27"/>
        <v>341</v>
      </c>
      <c r="C1795" s="1" t="s">
        <v>2754</v>
      </c>
      <c r="D1795" s="13" t="str">
        <f>IF(RIGHT(A1795,3)="000",C1795,VLOOKUP(B1795,'Справочник ИХ'!A:C,3,0))</f>
        <v>Минерально-строит.</v>
      </c>
      <c r="E1795" s="13">
        <f>IF(RIGHT(A1795,3)="000","х",VLOOKUP(B1795,'Справочник ИХ'!A:D,4,0))</f>
        <v>1</v>
      </c>
      <c r="F1795" s="14" t="s">
        <v>2745</v>
      </c>
    </row>
    <row r="1796" spans="1:6" s="15" customFormat="1" ht="79.3">
      <c r="A1796" s="7"/>
      <c r="B1796" s="12" t="str">
        <f t="shared" ref="B1796:B1859" si="28">LEFT(A1796,3)</f>
        <v/>
      </c>
      <c r="C1796" s="11" t="s">
        <v>2755</v>
      </c>
      <c r="D1796" s="1" t="str">
        <f>C1796</f>
        <v xml:space="preserve">Раздел 7. Продукция машиностроения, приборостроения и металлообрабатывающей промышленности </v>
      </c>
      <c r="E1796" s="13" t="s">
        <v>562</v>
      </c>
      <c r="F1796" s="14" t="s">
        <v>2745</v>
      </c>
    </row>
    <row r="1797" spans="1:6" ht="47.6">
      <c r="A1797" s="7">
        <v>35000</v>
      </c>
      <c r="B1797" s="12" t="str">
        <f t="shared" si="28"/>
        <v>350</v>
      </c>
      <c r="C1797" s="11" t="s">
        <v>2756</v>
      </c>
      <c r="D1797" s="13" t="str">
        <f>IF(RIGHT(A1797,3)="000",C1797,VLOOKUP(B1797,'Справочник ИХ'!A:C,3,0))</f>
        <v xml:space="preserve">Машины и оборудование, кроме машин сельскохозяйственных </v>
      </c>
      <c r="E1797" s="13" t="str">
        <f>IF(RIGHT(A1797,3)="000","х",VLOOKUP(B1797,'Справочник ИХ'!A:D,4,0))</f>
        <v>х</v>
      </c>
      <c r="F1797" s="14" t="s">
        <v>2756</v>
      </c>
    </row>
    <row r="1798" spans="1:6" ht="31.75">
      <c r="A1798" s="7">
        <v>35100</v>
      </c>
      <c r="B1798" s="12" t="str">
        <f t="shared" si="28"/>
        <v>351</v>
      </c>
      <c r="C1798" s="17" t="s">
        <v>2757</v>
      </c>
      <c r="D1798" s="13" t="str">
        <f>IF(RIGHT(A1798,3)="000",C1798,VLOOKUP(B1798,'Справочник ИХ'!A:C,3,0))</f>
        <v>Остальные грузы</v>
      </c>
      <c r="E1798" s="13">
        <f>IF(RIGHT(A1798,3)="000","х",VLOOKUP(B1798,'Справочник ИХ'!A:D,4,0))</f>
        <v>3</v>
      </c>
      <c r="F1798" s="14" t="s">
        <v>2756</v>
      </c>
    </row>
    <row r="1799" spans="1:6" ht="31.75">
      <c r="A1799" s="19">
        <v>35101</v>
      </c>
      <c r="B1799" s="12" t="str">
        <f t="shared" si="28"/>
        <v>351</v>
      </c>
      <c r="C1799" s="1" t="s">
        <v>2758</v>
      </c>
      <c r="D1799" s="13" t="str">
        <f>IF(RIGHT(A1799,3)="000",C1799,VLOOKUP(B1799,'Справочник ИХ'!A:C,3,0))</f>
        <v>Остальные грузы</v>
      </c>
      <c r="E1799" s="13">
        <f>IF(RIGHT(A1799,3)="000","х",VLOOKUP(B1799,'Справочник ИХ'!A:D,4,0))</f>
        <v>3</v>
      </c>
      <c r="F1799" s="14" t="s">
        <v>2756</v>
      </c>
    </row>
    <row r="1800" spans="1:6" ht="31.75">
      <c r="A1800" s="19">
        <v>35102</v>
      </c>
      <c r="B1800" s="12" t="str">
        <f t="shared" si="28"/>
        <v>351</v>
      </c>
      <c r="C1800" s="1" t="s">
        <v>2759</v>
      </c>
      <c r="D1800" s="13" t="str">
        <f>IF(RIGHT(A1800,3)="000",C1800,VLOOKUP(B1800,'Справочник ИХ'!A:C,3,0))</f>
        <v>Остальные грузы</v>
      </c>
      <c r="E1800" s="13">
        <f>IF(RIGHT(A1800,3)="000","х",VLOOKUP(B1800,'Справочник ИХ'!A:D,4,0))</f>
        <v>3</v>
      </c>
      <c r="F1800" s="14" t="s">
        <v>2756</v>
      </c>
    </row>
    <row r="1801" spans="1:6" ht="31.75">
      <c r="A1801" s="19">
        <v>35103</v>
      </c>
      <c r="B1801" s="12" t="str">
        <f t="shared" si="28"/>
        <v>351</v>
      </c>
      <c r="C1801" s="1" t="s">
        <v>2760</v>
      </c>
      <c r="D1801" s="13" t="str">
        <f>IF(RIGHT(A1801,3)="000",C1801,VLOOKUP(B1801,'Справочник ИХ'!A:C,3,0))</f>
        <v>Остальные грузы</v>
      </c>
      <c r="E1801" s="13">
        <f>IF(RIGHT(A1801,3)="000","х",VLOOKUP(B1801,'Справочник ИХ'!A:D,4,0))</f>
        <v>3</v>
      </c>
      <c r="F1801" s="14" t="s">
        <v>2756</v>
      </c>
    </row>
    <row r="1802" spans="1:6" ht="31.75">
      <c r="A1802" s="19">
        <v>35104</v>
      </c>
      <c r="B1802" s="12" t="str">
        <f t="shared" si="28"/>
        <v>351</v>
      </c>
      <c r="C1802" s="1" t="s">
        <v>2761</v>
      </c>
      <c r="D1802" s="13" t="str">
        <f>IF(RIGHT(A1802,3)="000",C1802,VLOOKUP(B1802,'Справочник ИХ'!A:C,3,0))</f>
        <v>Остальные грузы</v>
      </c>
      <c r="E1802" s="13">
        <f>IF(RIGHT(A1802,3)="000","х",VLOOKUP(B1802,'Справочник ИХ'!A:D,4,0))</f>
        <v>3</v>
      </c>
      <c r="F1802" s="14" t="s">
        <v>2756</v>
      </c>
    </row>
    <row r="1803" spans="1:6" ht="31.75">
      <c r="A1803" s="19">
        <v>35105</v>
      </c>
      <c r="B1803" s="12" t="str">
        <f t="shared" si="28"/>
        <v>351</v>
      </c>
      <c r="C1803" s="1" t="s">
        <v>2762</v>
      </c>
      <c r="D1803" s="13" t="str">
        <f>IF(RIGHT(A1803,3)="000",C1803,VLOOKUP(B1803,'Справочник ИХ'!A:C,3,0))</f>
        <v>Остальные грузы</v>
      </c>
      <c r="E1803" s="13">
        <f>IF(RIGHT(A1803,3)="000","х",VLOOKUP(B1803,'Справочник ИХ'!A:D,4,0))</f>
        <v>3</v>
      </c>
      <c r="F1803" s="14" t="s">
        <v>2756</v>
      </c>
    </row>
    <row r="1804" spans="1:6" ht="31.75">
      <c r="A1804" s="19">
        <v>35106</v>
      </c>
      <c r="B1804" s="12" t="str">
        <f t="shared" si="28"/>
        <v>351</v>
      </c>
      <c r="C1804" s="1" t="s">
        <v>2763</v>
      </c>
      <c r="D1804" s="13" t="str">
        <f>IF(RIGHT(A1804,3)="000",C1804,VLOOKUP(B1804,'Справочник ИХ'!A:C,3,0))</f>
        <v>Остальные грузы</v>
      </c>
      <c r="E1804" s="13">
        <f>IF(RIGHT(A1804,3)="000","х",VLOOKUP(B1804,'Справочник ИХ'!A:D,4,0))</f>
        <v>3</v>
      </c>
      <c r="F1804" s="14" t="s">
        <v>2756</v>
      </c>
    </row>
    <row r="1805" spans="1:6" ht="31.75">
      <c r="A1805" s="19">
        <v>35107</v>
      </c>
      <c r="B1805" s="12" t="str">
        <f t="shared" si="28"/>
        <v>351</v>
      </c>
      <c r="C1805" s="1" t="s">
        <v>2764</v>
      </c>
      <c r="D1805" s="13" t="str">
        <f>IF(RIGHT(A1805,3)="000",C1805,VLOOKUP(B1805,'Справочник ИХ'!A:C,3,0))</f>
        <v>Остальные грузы</v>
      </c>
      <c r="E1805" s="13">
        <f>IF(RIGHT(A1805,3)="000","х",VLOOKUP(B1805,'Справочник ИХ'!A:D,4,0))</f>
        <v>3</v>
      </c>
      <c r="F1805" s="14" t="s">
        <v>2756</v>
      </c>
    </row>
    <row r="1806" spans="1:6" ht="31.75">
      <c r="A1806" s="19">
        <v>35108</v>
      </c>
      <c r="B1806" s="12" t="str">
        <f t="shared" si="28"/>
        <v>351</v>
      </c>
      <c r="C1806" s="1" t="s">
        <v>2765</v>
      </c>
      <c r="D1806" s="13" t="str">
        <f>IF(RIGHT(A1806,3)="000",C1806,VLOOKUP(B1806,'Справочник ИХ'!A:C,3,0))</f>
        <v>Остальные грузы</v>
      </c>
      <c r="E1806" s="13">
        <f>IF(RIGHT(A1806,3)="000","х",VLOOKUP(B1806,'Справочник ИХ'!A:D,4,0))</f>
        <v>3</v>
      </c>
      <c r="F1806" s="14" t="s">
        <v>2756</v>
      </c>
    </row>
    <row r="1807" spans="1:6" ht="31.75">
      <c r="A1807" s="19">
        <v>35109</v>
      </c>
      <c r="B1807" s="12" t="str">
        <f t="shared" si="28"/>
        <v>351</v>
      </c>
      <c r="C1807" s="1" t="s">
        <v>2766</v>
      </c>
      <c r="D1807" s="13" t="str">
        <f>IF(RIGHT(A1807,3)="000",C1807,VLOOKUP(B1807,'Справочник ИХ'!A:C,3,0))</f>
        <v>Остальные грузы</v>
      </c>
      <c r="E1807" s="13">
        <f>IF(RIGHT(A1807,3)="000","х",VLOOKUP(B1807,'Справочник ИХ'!A:D,4,0))</f>
        <v>3</v>
      </c>
      <c r="F1807" s="14" t="s">
        <v>2756</v>
      </c>
    </row>
    <row r="1808" spans="1:6" ht="31.75">
      <c r="A1808" s="19">
        <v>35110</v>
      </c>
      <c r="B1808" s="12" t="str">
        <f t="shared" si="28"/>
        <v>351</v>
      </c>
      <c r="C1808" s="1" t="s">
        <v>2767</v>
      </c>
      <c r="D1808" s="13" t="str">
        <f>IF(RIGHT(A1808,3)="000",C1808,VLOOKUP(B1808,'Справочник ИХ'!A:C,3,0))</f>
        <v>Остальные грузы</v>
      </c>
      <c r="E1808" s="13">
        <f>IF(RIGHT(A1808,3)="000","х",VLOOKUP(B1808,'Справочник ИХ'!A:D,4,0))</f>
        <v>3</v>
      </c>
      <c r="F1808" s="14" t="s">
        <v>2756</v>
      </c>
    </row>
    <row r="1809" spans="1:6" ht="31.75">
      <c r="A1809" s="19">
        <v>35111</v>
      </c>
      <c r="B1809" s="12" t="str">
        <f t="shared" si="28"/>
        <v>351</v>
      </c>
      <c r="C1809" s="1" t="s">
        <v>2768</v>
      </c>
      <c r="D1809" s="13" t="str">
        <f>IF(RIGHT(A1809,3)="000",C1809,VLOOKUP(B1809,'Справочник ИХ'!A:C,3,0))</f>
        <v>Остальные грузы</v>
      </c>
      <c r="E1809" s="13">
        <f>IF(RIGHT(A1809,3)="000","х",VLOOKUP(B1809,'Справочник ИХ'!A:D,4,0))</f>
        <v>3</v>
      </c>
      <c r="F1809" s="14" t="s">
        <v>2756</v>
      </c>
    </row>
    <row r="1810" spans="1:6" ht="31.75">
      <c r="A1810" s="19">
        <v>35112</v>
      </c>
      <c r="B1810" s="12" t="str">
        <f t="shared" si="28"/>
        <v>351</v>
      </c>
      <c r="C1810" s="1" t="s">
        <v>2769</v>
      </c>
      <c r="D1810" s="13" t="str">
        <f>IF(RIGHT(A1810,3)="000",C1810,VLOOKUP(B1810,'Справочник ИХ'!A:C,3,0))</f>
        <v>Остальные грузы</v>
      </c>
      <c r="E1810" s="13">
        <f>IF(RIGHT(A1810,3)="000","х",VLOOKUP(B1810,'Справочник ИХ'!A:D,4,0))</f>
        <v>3</v>
      </c>
      <c r="F1810" s="14" t="s">
        <v>2756</v>
      </c>
    </row>
    <row r="1811" spans="1:6" ht="47.6">
      <c r="A1811" s="19">
        <v>35113</v>
      </c>
      <c r="B1811" s="12" t="str">
        <f t="shared" si="28"/>
        <v>351</v>
      </c>
      <c r="C1811" s="1" t="s">
        <v>2770</v>
      </c>
      <c r="D1811" s="13" t="str">
        <f>IF(RIGHT(A1811,3)="000",C1811,VLOOKUP(B1811,'Справочник ИХ'!A:C,3,0))</f>
        <v>Остальные грузы</v>
      </c>
      <c r="E1811" s="13">
        <f>IF(RIGHT(A1811,3)="000","х",VLOOKUP(B1811,'Справочник ИХ'!A:D,4,0))</f>
        <v>3</v>
      </c>
      <c r="F1811" s="14" t="s">
        <v>2756</v>
      </c>
    </row>
    <row r="1812" spans="1:6" ht="47.6">
      <c r="A1812" s="19">
        <v>35114</v>
      </c>
      <c r="B1812" s="12" t="str">
        <f t="shared" si="28"/>
        <v>351</v>
      </c>
      <c r="C1812" s="1" t="s">
        <v>2771</v>
      </c>
      <c r="D1812" s="13" t="str">
        <f>IF(RIGHT(A1812,3)="000",C1812,VLOOKUP(B1812,'Справочник ИХ'!A:C,3,0))</f>
        <v>Остальные грузы</v>
      </c>
      <c r="E1812" s="13">
        <f>IF(RIGHT(A1812,3)="000","х",VLOOKUP(B1812,'Справочник ИХ'!A:D,4,0))</f>
        <v>3</v>
      </c>
      <c r="F1812" s="14" t="s">
        <v>2756</v>
      </c>
    </row>
    <row r="1813" spans="1:6" ht="47.6">
      <c r="A1813" s="19">
        <v>35115</v>
      </c>
      <c r="B1813" s="12" t="str">
        <f t="shared" si="28"/>
        <v>351</v>
      </c>
      <c r="C1813" s="1" t="s">
        <v>2772</v>
      </c>
      <c r="D1813" s="13" t="str">
        <f>IF(RIGHT(A1813,3)="000",C1813,VLOOKUP(B1813,'Справочник ИХ'!A:C,3,0))</f>
        <v>Остальные грузы</v>
      </c>
      <c r="E1813" s="13">
        <f>IF(RIGHT(A1813,3)="000","х",VLOOKUP(B1813,'Справочник ИХ'!A:D,4,0))</f>
        <v>3</v>
      </c>
      <c r="F1813" s="14" t="s">
        <v>2756</v>
      </c>
    </row>
    <row r="1814" spans="1:6" ht="47.6">
      <c r="A1814" s="19">
        <v>35116</v>
      </c>
      <c r="B1814" s="12" t="str">
        <f t="shared" si="28"/>
        <v>351</v>
      </c>
      <c r="C1814" s="1" t="s">
        <v>2773</v>
      </c>
      <c r="D1814" s="13" t="str">
        <f>IF(RIGHT(A1814,3)="000",C1814,VLOOKUP(B1814,'Справочник ИХ'!A:C,3,0))</f>
        <v>Остальные грузы</v>
      </c>
      <c r="E1814" s="13">
        <f>IF(RIGHT(A1814,3)="000","х",VLOOKUP(B1814,'Справочник ИХ'!A:D,4,0))</f>
        <v>3</v>
      </c>
      <c r="F1814" s="14" t="s">
        <v>2756</v>
      </c>
    </row>
    <row r="1815" spans="1:6" ht="47.6">
      <c r="A1815" s="19">
        <v>35117</v>
      </c>
      <c r="B1815" s="12" t="str">
        <f t="shared" si="28"/>
        <v>351</v>
      </c>
      <c r="C1815" s="1" t="s">
        <v>2774</v>
      </c>
      <c r="D1815" s="13" t="str">
        <f>IF(RIGHT(A1815,3)="000",C1815,VLOOKUP(B1815,'Справочник ИХ'!A:C,3,0))</f>
        <v>Остальные грузы</v>
      </c>
      <c r="E1815" s="13">
        <f>IF(RIGHT(A1815,3)="000","х",VLOOKUP(B1815,'Справочник ИХ'!A:D,4,0))</f>
        <v>3</v>
      </c>
      <c r="F1815" s="14" t="s">
        <v>2756</v>
      </c>
    </row>
    <row r="1816" spans="1:6" ht="31.75">
      <c r="A1816" s="19">
        <v>35118</v>
      </c>
      <c r="B1816" s="12" t="str">
        <f t="shared" si="28"/>
        <v>351</v>
      </c>
      <c r="C1816" s="1" t="s">
        <v>2775</v>
      </c>
      <c r="D1816" s="13" t="str">
        <f>IF(RIGHT(A1816,3)="000",C1816,VLOOKUP(B1816,'Справочник ИХ'!A:C,3,0))</f>
        <v>Остальные грузы</v>
      </c>
      <c r="E1816" s="13">
        <f>IF(RIGHT(A1816,3)="000","х",VLOOKUP(B1816,'Справочник ИХ'!A:D,4,0))</f>
        <v>3</v>
      </c>
      <c r="F1816" s="14" t="s">
        <v>2756</v>
      </c>
    </row>
    <row r="1817" spans="1:6" ht="47.6">
      <c r="A1817" s="19">
        <v>35119</v>
      </c>
      <c r="B1817" s="12" t="str">
        <f t="shared" si="28"/>
        <v>351</v>
      </c>
      <c r="C1817" s="1" t="s">
        <v>2776</v>
      </c>
      <c r="D1817" s="13" t="str">
        <f>IF(RIGHT(A1817,3)="000",C1817,VLOOKUP(B1817,'Справочник ИХ'!A:C,3,0))</f>
        <v>Остальные грузы</v>
      </c>
      <c r="E1817" s="13">
        <f>IF(RIGHT(A1817,3)="000","х",VLOOKUP(B1817,'Справочник ИХ'!A:D,4,0))</f>
        <v>3</v>
      </c>
      <c r="F1817" s="14" t="s">
        <v>2756</v>
      </c>
    </row>
    <row r="1818" spans="1:6" ht="31.75">
      <c r="A1818" s="19">
        <v>35120</v>
      </c>
      <c r="B1818" s="12" t="str">
        <f t="shared" si="28"/>
        <v>351</v>
      </c>
      <c r="C1818" s="1" t="s">
        <v>2777</v>
      </c>
      <c r="D1818" s="13" t="str">
        <f>IF(RIGHT(A1818,3)="000",C1818,VLOOKUP(B1818,'Справочник ИХ'!A:C,3,0))</f>
        <v>Остальные грузы</v>
      </c>
      <c r="E1818" s="13">
        <f>IF(RIGHT(A1818,3)="000","х",VLOOKUP(B1818,'Справочник ИХ'!A:D,4,0))</f>
        <v>3</v>
      </c>
      <c r="F1818" s="14" t="s">
        <v>2756</v>
      </c>
    </row>
    <row r="1819" spans="1:6" ht="31.75">
      <c r="A1819" s="19">
        <v>35121</v>
      </c>
      <c r="B1819" s="12" t="str">
        <f t="shared" si="28"/>
        <v>351</v>
      </c>
      <c r="C1819" s="1" t="s">
        <v>2778</v>
      </c>
      <c r="D1819" s="13" t="str">
        <f>IF(RIGHT(A1819,3)="000",C1819,VLOOKUP(B1819,'Справочник ИХ'!A:C,3,0))</f>
        <v>Остальные грузы</v>
      </c>
      <c r="E1819" s="13">
        <f>IF(RIGHT(A1819,3)="000","х",VLOOKUP(B1819,'Справочник ИХ'!A:D,4,0))</f>
        <v>3</v>
      </c>
      <c r="F1819" s="14" t="s">
        <v>2756</v>
      </c>
    </row>
    <row r="1820" spans="1:6" ht="47.6">
      <c r="A1820" s="19">
        <v>35122</v>
      </c>
      <c r="B1820" s="12" t="str">
        <f t="shared" si="28"/>
        <v>351</v>
      </c>
      <c r="C1820" s="1" t="s">
        <v>2779</v>
      </c>
      <c r="D1820" s="13" t="str">
        <f>IF(RIGHT(A1820,3)="000",C1820,VLOOKUP(B1820,'Справочник ИХ'!A:C,3,0))</f>
        <v>Остальные грузы</v>
      </c>
      <c r="E1820" s="13">
        <f>IF(RIGHT(A1820,3)="000","х",VLOOKUP(B1820,'Справочник ИХ'!A:D,4,0))</f>
        <v>3</v>
      </c>
      <c r="F1820" s="14" t="s">
        <v>2756</v>
      </c>
    </row>
    <row r="1821" spans="1:6" ht="31.75">
      <c r="A1821" s="19">
        <v>35123</v>
      </c>
      <c r="B1821" s="12" t="str">
        <f t="shared" si="28"/>
        <v>351</v>
      </c>
      <c r="C1821" s="1" t="s">
        <v>2780</v>
      </c>
      <c r="D1821" s="13" t="str">
        <f>IF(RIGHT(A1821,3)="000",C1821,VLOOKUP(B1821,'Справочник ИХ'!A:C,3,0))</f>
        <v>Остальные грузы</v>
      </c>
      <c r="E1821" s="13">
        <f>IF(RIGHT(A1821,3)="000","х",VLOOKUP(B1821,'Справочник ИХ'!A:D,4,0))</f>
        <v>3</v>
      </c>
      <c r="F1821" s="14" t="s">
        <v>2756</v>
      </c>
    </row>
    <row r="1822" spans="1:6" ht="47.6">
      <c r="A1822" s="19">
        <v>35124</v>
      </c>
      <c r="B1822" s="12" t="str">
        <f t="shared" si="28"/>
        <v>351</v>
      </c>
      <c r="C1822" s="1" t="s">
        <v>2781</v>
      </c>
      <c r="D1822" s="13" t="str">
        <f>IF(RIGHT(A1822,3)="000",C1822,VLOOKUP(B1822,'Справочник ИХ'!A:C,3,0))</f>
        <v>Остальные грузы</v>
      </c>
      <c r="E1822" s="13">
        <f>IF(RIGHT(A1822,3)="000","х",VLOOKUP(B1822,'Справочник ИХ'!A:D,4,0))</f>
        <v>3</v>
      </c>
      <c r="F1822" s="14" t="s">
        <v>2756</v>
      </c>
    </row>
    <row r="1823" spans="1:6" ht="31.75">
      <c r="A1823" s="19">
        <v>35125</v>
      </c>
      <c r="B1823" s="12" t="str">
        <f t="shared" si="28"/>
        <v>351</v>
      </c>
      <c r="C1823" s="1" t="s">
        <v>2782</v>
      </c>
      <c r="D1823" s="13" t="str">
        <f>IF(RIGHT(A1823,3)="000",C1823,VLOOKUP(B1823,'Справочник ИХ'!A:C,3,0))</f>
        <v>Остальные грузы</v>
      </c>
      <c r="E1823" s="13">
        <f>IF(RIGHT(A1823,3)="000","х",VLOOKUP(B1823,'Справочник ИХ'!A:D,4,0))</f>
        <v>3</v>
      </c>
      <c r="F1823" s="14" t="s">
        <v>2756</v>
      </c>
    </row>
    <row r="1824" spans="1:6" ht="31.75">
      <c r="A1824" s="19">
        <v>35126</v>
      </c>
      <c r="B1824" s="12" t="str">
        <f t="shared" si="28"/>
        <v>351</v>
      </c>
      <c r="C1824" s="1" t="s">
        <v>2783</v>
      </c>
      <c r="D1824" s="13" t="str">
        <f>IF(RIGHT(A1824,3)="000",C1824,VLOOKUP(B1824,'Справочник ИХ'!A:C,3,0))</f>
        <v>Остальные грузы</v>
      </c>
      <c r="E1824" s="13">
        <f>IF(RIGHT(A1824,3)="000","х",VLOOKUP(B1824,'Справочник ИХ'!A:D,4,0))</f>
        <v>3</v>
      </c>
      <c r="F1824" s="14" t="s">
        <v>2756</v>
      </c>
    </row>
    <row r="1825" spans="1:6" ht="31.75">
      <c r="A1825" s="19">
        <v>35127</v>
      </c>
      <c r="B1825" s="12" t="str">
        <f t="shared" si="28"/>
        <v>351</v>
      </c>
      <c r="C1825" s="1" t="s">
        <v>2784</v>
      </c>
      <c r="D1825" s="13" t="str">
        <f>IF(RIGHT(A1825,3)="000",C1825,VLOOKUP(B1825,'Справочник ИХ'!A:C,3,0))</f>
        <v>Остальные грузы</v>
      </c>
      <c r="E1825" s="13">
        <f>IF(RIGHT(A1825,3)="000","х",VLOOKUP(B1825,'Справочник ИХ'!A:D,4,0))</f>
        <v>3</v>
      </c>
      <c r="F1825" s="14" t="s">
        <v>2756</v>
      </c>
    </row>
    <row r="1826" spans="1:6" ht="31.75">
      <c r="A1826" s="19">
        <v>35128</v>
      </c>
      <c r="B1826" s="12" t="str">
        <f t="shared" si="28"/>
        <v>351</v>
      </c>
      <c r="C1826" s="1" t="s">
        <v>2785</v>
      </c>
      <c r="D1826" s="13" t="str">
        <f>IF(RIGHT(A1826,3)="000",C1826,VLOOKUP(B1826,'Справочник ИХ'!A:C,3,0))</f>
        <v>Остальные грузы</v>
      </c>
      <c r="E1826" s="13">
        <f>IF(RIGHT(A1826,3)="000","х",VLOOKUP(B1826,'Справочник ИХ'!A:D,4,0))</f>
        <v>3</v>
      </c>
      <c r="F1826" s="14" t="s">
        <v>2756</v>
      </c>
    </row>
    <row r="1827" spans="1:6" ht="31.75">
      <c r="A1827" s="19">
        <v>35129</v>
      </c>
      <c r="B1827" s="12" t="str">
        <f t="shared" si="28"/>
        <v>351</v>
      </c>
      <c r="C1827" s="1" t="s">
        <v>2786</v>
      </c>
      <c r="D1827" s="13" t="str">
        <f>IF(RIGHT(A1827,3)="000",C1827,VLOOKUP(B1827,'Справочник ИХ'!A:C,3,0))</f>
        <v>Остальные грузы</v>
      </c>
      <c r="E1827" s="13">
        <f>IF(RIGHT(A1827,3)="000","х",VLOOKUP(B1827,'Справочник ИХ'!A:D,4,0))</f>
        <v>3</v>
      </c>
      <c r="F1827" s="14" t="s">
        <v>2756</v>
      </c>
    </row>
    <row r="1828" spans="1:6" ht="31.75">
      <c r="A1828" s="19">
        <v>35130</v>
      </c>
      <c r="B1828" s="12" t="str">
        <f t="shared" si="28"/>
        <v>351</v>
      </c>
      <c r="C1828" s="1" t="s">
        <v>2787</v>
      </c>
      <c r="D1828" s="13" t="str">
        <f>IF(RIGHT(A1828,3)="000",C1828,VLOOKUP(B1828,'Справочник ИХ'!A:C,3,0))</f>
        <v>Остальные грузы</v>
      </c>
      <c r="E1828" s="13">
        <f>IF(RIGHT(A1828,3)="000","х",VLOOKUP(B1828,'Справочник ИХ'!A:D,4,0))</f>
        <v>3</v>
      </c>
      <c r="F1828" s="14" t="s">
        <v>2756</v>
      </c>
    </row>
    <row r="1829" spans="1:6" ht="31.75">
      <c r="A1829" s="19">
        <v>35131</v>
      </c>
      <c r="B1829" s="12" t="str">
        <f t="shared" si="28"/>
        <v>351</v>
      </c>
      <c r="C1829" s="1" t="s">
        <v>2788</v>
      </c>
      <c r="D1829" s="13" t="str">
        <f>IF(RIGHT(A1829,3)="000",C1829,VLOOKUP(B1829,'Справочник ИХ'!A:C,3,0))</f>
        <v>Остальные грузы</v>
      </c>
      <c r="E1829" s="13">
        <f>IF(RIGHT(A1829,3)="000","х",VLOOKUP(B1829,'Справочник ИХ'!A:D,4,0))</f>
        <v>3</v>
      </c>
      <c r="F1829" s="14" t="s">
        <v>2756</v>
      </c>
    </row>
    <row r="1830" spans="1:6" ht="47.6">
      <c r="A1830" s="19">
        <v>35132</v>
      </c>
      <c r="B1830" s="12" t="str">
        <f t="shared" si="28"/>
        <v>351</v>
      </c>
      <c r="C1830" s="1" t="s">
        <v>2789</v>
      </c>
      <c r="D1830" s="13" t="str">
        <f>IF(RIGHT(A1830,3)="000",C1830,VLOOKUP(B1830,'Справочник ИХ'!A:C,3,0))</f>
        <v>Остальные грузы</v>
      </c>
      <c r="E1830" s="13">
        <f>IF(RIGHT(A1830,3)="000","х",VLOOKUP(B1830,'Справочник ИХ'!A:D,4,0))</f>
        <v>3</v>
      </c>
      <c r="F1830" s="14" t="s">
        <v>2756</v>
      </c>
    </row>
    <row r="1831" spans="1:6" ht="31.75">
      <c r="A1831" s="19">
        <v>35133</v>
      </c>
      <c r="B1831" s="12" t="str">
        <f t="shared" si="28"/>
        <v>351</v>
      </c>
      <c r="C1831" s="1" t="s">
        <v>2790</v>
      </c>
      <c r="D1831" s="13" t="str">
        <f>IF(RIGHT(A1831,3)="000",C1831,VLOOKUP(B1831,'Справочник ИХ'!A:C,3,0))</f>
        <v>Остальные грузы</v>
      </c>
      <c r="E1831" s="13">
        <f>IF(RIGHT(A1831,3)="000","х",VLOOKUP(B1831,'Справочник ИХ'!A:D,4,0))</f>
        <v>3</v>
      </c>
      <c r="F1831" s="14" t="s">
        <v>2756</v>
      </c>
    </row>
    <row r="1832" spans="1:6" ht="31.75">
      <c r="A1832" s="19">
        <v>35134</v>
      </c>
      <c r="B1832" s="12" t="str">
        <f t="shared" si="28"/>
        <v>351</v>
      </c>
      <c r="C1832" s="1" t="s">
        <v>2791</v>
      </c>
      <c r="D1832" s="13" t="str">
        <f>IF(RIGHT(A1832,3)="000",C1832,VLOOKUP(B1832,'Справочник ИХ'!A:C,3,0))</f>
        <v>Остальные грузы</v>
      </c>
      <c r="E1832" s="13">
        <f>IF(RIGHT(A1832,3)="000","х",VLOOKUP(B1832,'Справочник ИХ'!A:D,4,0))</f>
        <v>3</v>
      </c>
      <c r="F1832" s="14" t="s">
        <v>2756</v>
      </c>
    </row>
    <row r="1833" spans="1:6" ht="31.75">
      <c r="A1833" s="19">
        <v>35135</v>
      </c>
      <c r="B1833" s="12" t="str">
        <f t="shared" si="28"/>
        <v>351</v>
      </c>
      <c r="C1833" s="1" t="s">
        <v>2792</v>
      </c>
      <c r="D1833" s="13" t="str">
        <f>IF(RIGHT(A1833,3)="000",C1833,VLOOKUP(B1833,'Справочник ИХ'!A:C,3,0))</f>
        <v>Остальные грузы</v>
      </c>
      <c r="E1833" s="13">
        <f>IF(RIGHT(A1833,3)="000","х",VLOOKUP(B1833,'Справочник ИХ'!A:D,4,0))</f>
        <v>3</v>
      </c>
      <c r="F1833" s="14" t="s">
        <v>2756</v>
      </c>
    </row>
    <row r="1834" spans="1:6" ht="31.75">
      <c r="A1834" s="19">
        <v>35136</v>
      </c>
      <c r="B1834" s="12" t="str">
        <f t="shared" si="28"/>
        <v>351</v>
      </c>
      <c r="C1834" s="1" t="s">
        <v>2793</v>
      </c>
      <c r="D1834" s="13" t="str">
        <f>IF(RIGHT(A1834,3)="000",C1834,VLOOKUP(B1834,'Справочник ИХ'!A:C,3,0))</f>
        <v>Остальные грузы</v>
      </c>
      <c r="E1834" s="13">
        <f>IF(RIGHT(A1834,3)="000","х",VLOOKUP(B1834,'Справочник ИХ'!A:D,4,0))</f>
        <v>3</v>
      </c>
      <c r="F1834" s="14" t="s">
        <v>2756</v>
      </c>
    </row>
    <row r="1835" spans="1:6" ht="31.75">
      <c r="A1835" s="19">
        <v>35137</v>
      </c>
      <c r="B1835" s="12" t="str">
        <f t="shared" si="28"/>
        <v>351</v>
      </c>
      <c r="C1835" s="1" t="s">
        <v>2794</v>
      </c>
      <c r="D1835" s="13" t="str">
        <f>IF(RIGHT(A1835,3)="000",C1835,VLOOKUP(B1835,'Справочник ИХ'!A:C,3,0))</f>
        <v>Остальные грузы</v>
      </c>
      <c r="E1835" s="13">
        <f>IF(RIGHT(A1835,3)="000","х",VLOOKUP(B1835,'Справочник ИХ'!A:D,4,0))</f>
        <v>3</v>
      </c>
      <c r="F1835" s="14" t="s">
        <v>2756</v>
      </c>
    </row>
    <row r="1836" spans="1:6" ht="31.75">
      <c r="A1836" s="19">
        <v>35138</v>
      </c>
      <c r="B1836" s="12" t="str">
        <f t="shared" si="28"/>
        <v>351</v>
      </c>
      <c r="C1836" s="1" t="s">
        <v>2795</v>
      </c>
      <c r="D1836" s="13" t="str">
        <f>IF(RIGHT(A1836,3)="000",C1836,VLOOKUP(B1836,'Справочник ИХ'!A:C,3,0))</f>
        <v>Остальные грузы</v>
      </c>
      <c r="E1836" s="13">
        <f>IF(RIGHT(A1836,3)="000","х",VLOOKUP(B1836,'Справочник ИХ'!A:D,4,0))</f>
        <v>3</v>
      </c>
      <c r="F1836" s="14" t="s">
        <v>2756</v>
      </c>
    </row>
    <row r="1837" spans="1:6" ht="31.75">
      <c r="A1837" s="19">
        <v>35139</v>
      </c>
      <c r="B1837" s="12" t="str">
        <f t="shared" si="28"/>
        <v>351</v>
      </c>
      <c r="C1837" s="1" t="s">
        <v>2796</v>
      </c>
      <c r="D1837" s="13" t="str">
        <f>IF(RIGHT(A1837,3)="000",C1837,VLOOKUP(B1837,'Справочник ИХ'!A:C,3,0))</f>
        <v>Остальные грузы</v>
      </c>
      <c r="E1837" s="13">
        <f>IF(RIGHT(A1837,3)="000","х",VLOOKUP(B1837,'Справочник ИХ'!A:D,4,0))</f>
        <v>3</v>
      </c>
      <c r="F1837" s="14" t="s">
        <v>2756</v>
      </c>
    </row>
    <row r="1838" spans="1:6" ht="31.75">
      <c r="A1838" s="19">
        <v>35140</v>
      </c>
      <c r="B1838" s="12" t="str">
        <f t="shared" si="28"/>
        <v>351</v>
      </c>
      <c r="C1838" s="1" t="s">
        <v>2797</v>
      </c>
      <c r="D1838" s="13" t="str">
        <f>IF(RIGHT(A1838,3)="000",C1838,VLOOKUP(B1838,'Справочник ИХ'!A:C,3,0))</f>
        <v>Остальные грузы</v>
      </c>
      <c r="E1838" s="13">
        <f>IF(RIGHT(A1838,3)="000","х",VLOOKUP(B1838,'Справочник ИХ'!A:D,4,0))</f>
        <v>3</v>
      </c>
      <c r="F1838" s="14" t="s">
        <v>2756</v>
      </c>
    </row>
    <row r="1839" spans="1:6" ht="31.75">
      <c r="A1839" s="19">
        <v>35141</v>
      </c>
      <c r="B1839" s="12" t="str">
        <f t="shared" si="28"/>
        <v>351</v>
      </c>
      <c r="C1839" s="1" t="s">
        <v>2798</v>
      </c>
      <c r="D1839" s="13" t="str">
        <f>IF(RIGHT(A1839,3)="000",C1839,VLOOKUP(B1839,'Справочник ИХ'!A:C,3,0))</f>
        <v>Остальные грузы</v>
      </c>
      <c r="E1839" s="13">
        <f>IF(RIGHT(A1839,3)="000","х",VLOOKUP(B1839,'Справочник ИХ'!A:D,4,0))</f>
        <v>3</v>
      </c>
      <c r="F1839" s="14" t="s">
        <v>2756</v>
      </c>
    </row>
    <row r="1840" spans="1:6" s="15" customFormat="1" ht="47.6">
      <c r="A1840" s="7">
        <v>36000</v>
      </c>
      <c r="B1840" s="12" t="str">
        <f t="shared" si="28"/>
        <v>360</v>
      </c>
      <c r="C1840" s="11" t="s">
        <v>2799</v>
      </c>
      <c r="D1840" s="13" t="str">
        <f>IF(RIGHT(A1840,3)="000",C1840,VLOOKUP(B1840,'Справочник ИХ'!A:C,3,0))</f>
        <v xml:space="preserve">Машины сельскохозяйственные и их части </v>
      </c>
      <c r="E1840" s="13" t="str">
        <f>IF(RIGHT(A1840,3)="000","х",VLOOKUP(B1840,'Справочник ИХ'!A:D,4,0))</f>
        <v>х</v>
      </c>
      <c r="F1840" s="14" t="s">
        <v>2799</v>
      </c>
    </row>
    <row r="1841" spans="1:6" s="18" customFormat="1" ht="31.75">
      <c r="A1841" s="16">
        <v>36100</v>
      </c>
      <c r="B1841" s="12" t="str">
        <f t="shared" si="28"/>
        <v>361</v>
      </c>
      <c r="C1841" s="17" t="s">
        <v>2799</v>
      </c>
      <c r="D1841" s="13" t="str">
        <f>IF(RIGHT(A1841,3)="000",C1841,VLOOKUP(B1841,'Справочник ИХ'!A:C,3,0))</f>
        <v>Остальные грузы</v>
      </c>
      <c r="E1841" s="13">
        <f>IF(RIGHT(A1841,3)="000","х",VLOOKUP(B1841,'Справочник ИХ'!A:D,4,0))</f>
        <v>2</v>
      </c>
      <c r="F1841" s="14" t="s">
        <v>2799</v>
      </c>
    </row>
    <row r="1842" spans="1:6">
      <c r="A1842" s="19">
        <v>36101</v>
      </c>
      <c r="B1842" s="12" t="str">
        <f t="shared" si="28"/>
        <v>361</v>
      </c>
      <c r="C1842" s="1" t="s">
        <v>2800</v>
      </c>
      <c r="D1842" s="13" t="str">
        <f>IF(RIGHT(A1842,3)="000",C1842,VLOOKUP(B1842,'Справочник ИХ'!A:C,3,0))</f>
        <v>Остальные грузы</v>
      </c>
      <c r="E1842" s="13">
        <f>IF(RIGHT(A1842,3)="000","х",VLOOKUP(B1842,'Справочник ИХ'!A:D,4,0))</f>
        <v>2</v>
      </c>
      <c r="F1842" s="14" t="s">
        <v>2799</v>
      </c>
    </row>
    <row r="1843" spans="1:6">
      <c r="A1843" s="19">
        <v>36102</v>
      </c>
      <c r="B1843" s="12" t="str">
        <f t="shared" si="28"/>
        <v>361</v>
      </c>
      <c r="C1843" s="1" t="s">
        <v>2801</v>
      </c>
      <c r="D1843" s="13" t="str">
        <f>IF(RIGHT(A1843,3)="000",C1843,VLOOKUP(B1843,'Справочник ИХ'!A:C,3,0))</f>
        <v>Остальные грузы</v>
      </c>
      <c r="E1843" s="13">
        <f>IF(RIGHT(A1843,3)="000","х",VLOOKUP(B1843,'Справочник ИХ'!A:D,4,0))</f>
        <v>2</v>
      </c>
      <c r="F1843" s="14" t="s">
        <v>2799</v>
      </c>
    </row>
    <row r="1844" spans="1:6">
      <c r="A1844" s="19">
        <v>36103</v>
      </c>
      <c r="B1844" s="12" t="str">
        <f t="shared" si="28"/>
        <v>361</v>
      </c>
      <c r="C1844" s="1" t="s">
        <v>2802</v>
      </c>
      <c r="D1844" s="13" t="str">
        <f>IF(RIGHT(A1844,3)="000",C1844,VLOOKUP(B1844,'Справочник ИХ'!A:C,3,0))</f>
        <v>Остальные грузы</v>
      </c>
      <c r="E1844" s="13">
        <f>IF(RIGHT(A1844,3)="000","х",VLOOKUP(B1844,'Справочник ИХ'!A:D,4,0))</f>
        <v>2</v>
      </c>
      <c r="F1844" s="14" t="s">
        <v>2799</v>
      </c>
    </row>
    <row r="1845" spans="1:6">
      <c r="A1845" s="19">
        <v>36104</v>
      </c>
      <c r="B1845" s="12" t="str">
        <f t="shared" si="28"/>
        <v>361</v>
      </c>
      <c r="C1845" s="1" t="s">
        <v>2803</v>
      </c>
      <c r="D1845" s="13" t="str">
        <f>IF(RIGHT(A1845,3)="000",C1845,VLOOKUP(B1845,'Справочник ИХ'!A:C,3,0))</f>
        <v>Остальные грузы</v>
      </c>
      <c r="E1845" s="13">
        <f>IF(RIGHT(A1845,3)="000","х",VLOOKUP(B1845,'Справочник ИХ'!A:D,4,0))</f>
        <v>2</v>
      </c>
      <c r="F1845" s="14" t="s">
        <v>2799</v>
      </c>
    </row>
    <row r="1846" spans="1:6" ht="31.75">
      <c r="A1846" s="19">
        <v>36105</v>
      </c>
      <c r="B1846" s="12" t="str">
        <f t="shared" si="28"/>
        <v>361</v>
      </c>
      <c r="C1846" s="1" t="s">
        <v>2804</v>
      </c>
      <c r="D1846" s="13" t="str">
        <f>IF(RIGHT(A1846,3)="000",C1846,VLOOKUP(B1846,'Справочник ИХ'!A:C,3,0))</f>
        <v>Остальные грузы</v>
      </c>
      <c r="E1846" s="13">
        <f>IF(RIGHT(A1846,3)="000","х",VLOOKUP(B1846,'Справочник ИХ'!A:D,4,0))</f>
        <v>2</v>
      </c>
      <c r="F1846" s="14" t="s">
        <v>2799</v>
      </c>
    </row>
    <row r="1847" spans="1:6">
      <c r="A1847" s="19">
        <v>36106</v>
      </c>
      <c r="B1847" s="12" t="str">
        <f t="shared" si="28"/>
        <v>361</v>
      </c>
      <c r="C1847" s="1" t="s">
        <v>2805</v>
      </c>
      <c r="D1847" s="13" t="str">
        <f>IF(RIGHT(A1847,3)="000",C1847,VLOOKUP(B1847,'Справочник ИХ'!A:C,3,0))</f>
        <v>Остальные грузы</v>
      </c>
      <c r="E1847" s="13">
        <f>IF(RIGHT(A1847,3)="000","х",VLOOKUP(B1847,'Справочник ИХ'!A:D,4,0))</f>
        <v>2</v>
      </c>
      <c r="F1847" s="14" t="s">
        <v>2799</v>
      </c>
    </row>
    <row r="1848" spans="1:6">
      <c r="A1848" s="19">
        <v>36107</v>
      </c>
      <c r="B1848" s="12" t="str">
        <f t="shared" si="28"/>
        <v>361</v>
      </c>
      <c r="C1848" s="1" t="s">
        <v>2806</v>
      </c>
      <c r="D1848" s="13" t="str">
        <f>IF(RIGHT(A1848,3)="000",C1848,VLOOKUP(B1848,'Справочник ИХ'!A:C,3,0))</f>
        <v>Остальные грузы</v>
      </c>
      <c r="E1848" s="13">
        <f>IF(RIGHT(A1848,3)="000","х",VLOOKUP(B1848,'Справочник ИХ'!A:D,4,0))</f>
        <v>2</v>
      </c>
      <c r="F1848" s="14" t="s">
        <v>2799</v>
      </c>
    </row>
    <row r="1849" spans="1:6">
      <c r="A1849" s="19">
        <v>36108</v>
      </c>
      <c r="B1849" s="12" t="str">
        <f t="shared" si="28"/>
        <v>361</v>
      </c>
      <c r="C1849" s="1" t="s">
        <v>2807</v>
      </c>
      <c r="D1849" s="13" t="str">
        <f>IF(RIGHT(A1849,3)="000",C1849,VLOOKUP(B1849,'Справочник ИХ'!A:C,3,0))</f>
        <v>Остальные грузы</v>
      </c>
      <c r="E1849" s="13">
        <f>IF(RIGHT(A1849,3)="000","х",VLOOKUP(B1849,'Справочник ИХ'!A:D,4,0))</f>
        <v>2</v>
      </c>
      <c r="F1849" s="14" t="s">
        <v>2799</v>
      </c>
    </row>
    <row r="1850" spans="1:6">
      <c r="A1850" s="19">
        <v>36109</v>
      </c>
      <c r="B1850" s="12" t="str">
        <f t="shared" si="28"/>
        <v>361</v>
      </c>
      <c r="C1850" s="1" t="s">
        <v>2808</v>
      </c>
      <c r="D1850" s="13" t="str">
        <f>IF(RIGHT(A1850,3)="000",C1850,VLOOKUP(B1850,'Справочник ИХ'!A:C,3,0))</f>
        <v>Остальные грузы</v>
      </c>
      <c r="E1850" s="13">
        <f>IF(RIGHT(A1850,3)="000","х",VLOOKUP(B1850,'Справочник ИХ'!A:D,4,0))</f>
        <v>2</v>
      </c>
      <c r="F1850" s="14" t="s">
        <v>2799</v>
      </c>
    </row>
    <row r="1851" spans="1:6">
      <c r="A1851" s="19">
        <v>36110</v>
      </c>
      <c r="B1851" s="12" t="str">
        <f t="shared" si="28"/>
        <v>361</v>
      </c>
      <c r="C1851" s="1" t="s">
        <v>2809</v>
      </c>
      <c r="D1851" s="13" t="str">
        <f>IF(RIGHT(A1851,3)="000",C1851,VLOOKUP(B1851,'Справочник ИХ'!A:C,3,0))</f>
        <v>Остальные грузы</v>
      </c>
      <c r="E1851" s="13">
        <f>IF(RIGHT(A1851,3)="000","х",VLOOKUP(B1851,'Справочник ИХ'!A:D,4,0))</f>
        <v>2</v>
      </c>
      <c r="F1851" s="14" t="s">
        <v>2799</v>
      </c>
    </row>
    <row r="1852" spans="1:6">
      <c r="A1852" s="19">
        <v>36111</v>
      </c>
      <c r="B1852" s="12" t="str">
        <f t="shared" si="28"/>
        <v>361</v>
      </c>
      <c r="C1852" s="1" t="s">
        <v>2810</v>
      </c>
      <c r="D1852" s="13" t="str">
        <f>IF(RIGHT(A1852,3)="000",C1852,VLOOKUP(B1852,'Справочник ИХ'!A:C,3,0))</f>
        <v>Остальные грузы</v>
      </c>
      <c r="E1852" s="13">
        <f>IF(RIGHT(A1852,3)="000","х",VLOOKUP(B1852,'Справочник ИХ'!A:D,4,0))</f>
        <v>2</v>
      </c>
      <c r="F1852" s="14" t="s">
        <v>2799</v>
      </c>
    </row>
    <row r="1853" spans="1:6">
      <c r="A1853" s="19">
        <v>36112</v>
      </c>
      <c r="B1853" s="12" t="str">
        <f t="shared" si="28"/>
        <v>361</v>
      </c>
      <c r="C1853" s="1" t="s">
        <v>2811</v>
      </c>
      <c r="D1853" s="13" t="str">
        <f>IF(RIGHT(A1853,3)="000",C1853,VLOOKUP(B1853,'Справочник ИХ'!A:C,3,0))</f>
        <v>Остальные грузы</v>
      </c>
      <c r="E1853" s="13">
        <f>IF(RIGHT(A1853,3)="000","х",VLOOKUP(B1853,'Справочник ИХ'!A:D,4,0))</f>
        <v>2</v>
      </c>
      <c r="F1853" s="14" t="s">
        <v>2799</v>
      </c>
    </row>
    <row r="1854" spans="1:6">
      <c r="A1854" s="19">
        <v>36113</v>
      </c>
      <c r="B1854" s="12" t="str">
        <f t="shared" si="28"/>
        <v>361</v>
      </c>
      <c r="C1854" s="1" t="s">
        <v>2812</v>
      </c>
      <c r="D1854" s="13" t="str">
        <f>IF(RIGHT(A1854,3)="000",C1854,VLOOKUP(B1854,'Справочник ИХ'!A:C,3,0))</f>
        <v>Остальные грузы</v>
      </c>
      <c r="E1854" s="13">
        <f>IF(RIGHT(A1854,3)="000","х",VLOOKUP(B1854,'Справочник ИХ'!A:D,4,0))</f>
        <v>2</v>
      </c>
      <c r="F1854" s="14" t="s">
        <v>2799</v>
      </c>
    </row>
    <row r="1855" spans="1:6">
      <c r="A1855" s="19">
        <v>36114</v>
      </c>
      <c r="B1855" s="12" t="str">
        <f t="shared" si="28"/>
        <v>361</v>
      </c>
      <c r="C1855" s="1" t="s">
        <v>2813</v>
      </c>
      <c r="D1855" s="13" t="str">
        <f>IF(RIGHT(A1855,3)="000",C1855,VLOOKUP(B1855,'Справочник ИХ'!A:C,3,0))</f>
        <v>Остальные грузы</v>
      </c>
      <c r="E1855" s="13">
        <f>IF(RIGHT(A1855,3)="000","х",VLOOKUP(B1855,'Справочник ИХ'!A:D,4,0))</f>
        <v>2</v>
      </c>
      <c r="F1855" s="14" t="s">
        <v>2799</v>
      </c>
    </row>
    <row r="1856" spans="1:6">
      <c r="A1856" s="19">
        <v>36115</v>
      </c>
      <c r="B1856" s="12" t="str">
        <f t="shared" si="28"/>
        <v>361</v>
      </c>
      <c r="C1856" s="1" t="s">
        <v>2814</v>
      </c>
      <c r="D1856" s="13" t="str">
        <f>IF(RIGHT(A1856,3)="000",C1856,VLOOKUP(B1856,'Справочник ИХ'!A:C,3,0))</f>
        <v>Остальные грузы</v>
      </c>
      <c r="E1856" s="13">
        <f>IF(RIGHT(A1856,3)="000","х",VLOOKUP(B1856,'Справочник ИХ'!A:D,4,0))</f>
        <v>2</v>
      </c>
      <c r="F1856" s="14" t="s">
        <v>2799</v>
      </c>
    </row>
    <row r="1857" spans="1:6">
      <c r="A1857" s="19">
        <v>36116</v>
      </c>
      <c r="B1857" s="12" t="str">
        <f t="shared" si="28"/>
        <v>361</v>
      </c>
      <c r="C1857" s="1" t="s">
        <v>2815</v>
      </c>
      <c r="D1857" s="13" t="str">
        <f>IF(RIGHT(A1857,3)="000",C1857,VLOOKUP(B1857,'Справочник ИХ'!A:C,3,0))</f>
        <v>Остальные грузы</v>
      </c>
      <c r="E1857" s="13">
        <f>IF(RIGHT(A1857,3)="000","х",VLOOKUP(B1857,'Справочник ИХ'!A:D,4,0))</f>
        <v>2</v>
      </c>
      <c r="F1857" s="14" t="s">
        <v>2799</v>
      </c>
    </row>
    <row r="1858" spans="1:6">
      <c r="A1858" s="19">
        <v>36117</v>
      </c>
      <c r="B1858" s="12" t="str">
        <f t="shared" si="28"/>
        <v>361</v>
      </c>
      <c r="C1858" s="1" t="s">
        <v>2816</v>
      </c>
      <c r="D1858" s="13" t="str">
        <f>IF(RIGHT(A1858,3)="000",C1858,VLOOKUP(B1858,'Справочник ИХ'!A:C,3,0))</f>
        <v>Остальные грузы</v>
      </c>
      <c r="E1858" s="13">
        <f>IF(RIGHT(A1858,3)="000","х",VLOOKUP(B1858,'Справочник ИХ'!A:D,4,0))</f>
        <v>2</v>
      </c>
      <c r="F1858" s="14" t="s">
        <v>2799</v>
      </c>
    </row>
    <row r="1859" spans="1:6">
      <c r="A1859" s="19">
        <v>36118</v>
      </c>
      <c r="B1859" s="12" t="str">
        <f t="shared" si="28"/>
        <v>361</v>
      </c>
      <c r="C1859" s="1" t="s">
        <v>2817</v>
      </c>
      <c r="D1859" s="13" t="str">
        <f>IF(RIGHT(A1859,3)="000",C1859,VLOOKUP(B1859,'Справочник ИХ'!A:C,3,0))</f>
        <v>Остальные грузы</v>
      </c>
      <c r="E1859" s="13">
        <f>IF(RIGHT(A1859,3)="000","х",VLOOKUP(B1859,'Справочник ИХ'!A:D,4,0))</f>
        <v>2</v>
      </c>
      <c r="F1859" s="14" t="s">
        <v>2799</v>
      </c>
    </row>
    <row r="1860" spans="1:6">
      <c r="A1860" s="19">
        <v>36119</v>
      </c>
      <c r="B1860" s="12" t="str">
        <f t="shared" ref="B1860:B1923" si="29">LEFT(A1860,3)</f>
        <v>361</v>
      </c>
      <c r="C1860" s="1" t="s">
        <v>2818</v>
      </c>
      <c r="D1860" s="13" t="str">
        <f>IF(RIGHT(A1860,3)="000",C1860,VLOOKUP(B1860,'Справочник ИХ'!A:C,3,0))</f>
        <v>Остальные грузы</v>
      </c>
      <c r="E1860" s="13">
        <f>IF(RIGHT(A1860,3)="000","х",VLOOKUP(B1860,'Справочник ИХ'!A:D,4,0))</f>
        <v>2</v>
      </c>
      <c r="F1860" s="14" t="s">
        <v>2799</v>
      </c>
    </row>
    <row r="1861" spans="1:6">
      <c r="A1861" s="19">
        <v>36120</v>
      </c>
      <c r="B1861" s="12" t="str">
        <f t="shared" si="29"/>
        <v>361</v>
      </c>
      <c r="C1861" s="1" t="s">
        <v>2819</v>
      </c>
      <c r="D1861" s="13" t="str">
        <f>IF(RIGHT(A1861,3)="000",C1861,VLOOKUP(B1861,'Справочник ИХ'!A:C,3,0))</f>
        <v>Остальные грузы</v>
      </c>
      <c r="E1861" s="13">
        <f>IF(RIGHT(A1861,3)="000","х",VLOOKUP(B1861,'Справочник ИХ'!A:D,4,0))</f>
        <v>2</v>
      </c>
      <c r="F1861" s="14" t="s">
        <v>2799</v>
      </c>
    </row>
    <row r="1862" spans="1:6" ht="31.75">
      <c r="A1862" s="19">
        <v>36121</v>
      </c>
      <c r="B1862" s="12" t="str">
        <f t="shared" si="29"/>
        <v>361</v>
      </c>
      <c r="C1862" s="1" t="s">
        <v>2820</v>
      </c>
      <c r="D1862" s="13" t="str">
        <f>IF(RIGHT(A1862,3)="000",C1862,VLOOKUP(B1862,'Справочник ИХ'!A:C,3,0))</f>
        <v>Остальные грузы</v>
      </c>
      <c r="E1862" s="13">
        <f>IF(RIGHT(A1862,3)="000","х",VLOOKUP(B1862,'Справочник ИХ'!A:D,4,0))</f>
        <v>2</v>
      </c>
      <c r="F1862" s="14" t="s">
        <v>2799</v>
      </c>
    </row>
    <row r="1863" spans="1:6">
      <c r="A1863" s="19">
        <v>36122</v>
      </c>
      <c r="B1863" s="12" t="str">
        <f t="shared" si="29"/>
        <v>361</v>
      </c>
      <c r="C1863" s="1" t="s">
        <v>2821</v>
      </c>
      <c r="D1863" s="13" t="str">
        <f>IF(RIGHT(A1863,3)="000",C1863,VLOOKUP(B1863,'Справочник ИХ'!A:C,3,0))</f>
        <v>Остальные грузы</v>
      </c>
      <c r="E1863" s="13">
        <f>IF(RIGHT(A1863,3)="000","х",VLOOKUP(B1863,'Справочник ИХ'!A:D,4,0))</f>
        <v>2</v>
      </c>
      <c r="F1863" s="14" t="s">
        <v>2799</v>
      </c>
    </row>
    <row r="1864" spans="1:6">
      <c r="A1864" s="19">
        <v>36123</v>
      </c>
      <c r="B1864" s="12" t="str">
        <f t="shared" si="29"/>
        <v>361</v>
      </c>
      <c r="C1864" s="1" t="s">
        <v>2822</v>
      </c>
      <c r="D1864" s="13" t="str">
        <f>IF(RIGHT(A1864,3)="000",C1864,VLOOKUP(B1864,'Справочник ИХ'!A:C,3,0))</f>
        <v>Остальные грузы</v>
      </c>
      <c r="E1864" s="13">
        <f>IF(RIGHT(A1864,3)="000","х",VLOOKUP(B1864,'Справочник ИХ'!A:D,4,0))</f>
        <v>2</v>
      </c>
      <c r="F1864" s="14" t="s">
        <v>2799</v>
      </c>
    </row>
    <row r="1865" spans="1:6">
      <c r="A1865" s="19">
        <v>36124</v>
      </c>
      <c r="B1865" s="12" t="str">
        <f t="shared" si="29"/>
        <v>361</v>
      </c>
      <c r="C1865" s="1" t="s">
        <v>2823</v>
      </c>
      <c r="D1865" s="13" t="str">
        <f>IF(RIGHT(A1865,3)="000",C1865,VLOOKUP(B1865,'Справочник ИХ'!A:C,3,0))</f>
        <v>Остальные грузы</v>
      </c>
      <c r="E1865" s="13">
        <f>IF(RIGHT(A1865,3)="000","х",VLOOKUP(B1865,'Справочник ИХ'!A:D,4,0))</f>
        <v>2</v>
      </c>
      <c r="F1865" s="14" t="s">
        <v>2799</v>
      </c>
    </row>
    <row r="1866" spans="1:6">
      <c r="A1866" s="19">
        <v>36125</v>
      </c>
      <c r="B1866" s="12" t="str">
        <f t="shared" si="29"/>
        <v>361</v>
      </c>
      <c r="C1866" s="1" t="s">
        <v>2824</v>
      </c>
      <c r="D1866" s="13" t="str">
        <f>IF(RIGHT(A1866,3)="000",C1866,VLOOKUP(B1866,'Справочник ИХ'!A:C,3,0))</f>
        <v>Остальные грузы</v>
      </c>
      <c r="E1866" s="13">
        <f>IF(RIGHT(A1866,3)="000","х",VLOOKUP(B1866,'Справочник ИХ'!A:D,4,0))</f>
        <v>2</v>
      </c>
      <c r="F1866" s="14" t="s">
        <v>2799</v>
      </c>
    </row>
    <row r="1867" spans="1:6">
      <c r="A1867" s="19">
        <v>36126</v>
      </c>
      <c r="B1867" s="12" t="str">
        <f t="shared" si="29"/>
        <v>361</v>
      </c>
      <c r="C1867" s="1" t="s">
        <v>2825</v>
      </c>
      <c r="D1867" s="13" t="str">
        <f>IF(RIGHT(A1867,3)="000",C1867,VLOOKUP(B1867,'Справочник ИХ'!A:C,3,0))</f>
        <v>Остальные грузы</v>
      </c>
      <c r="E1867" s="13">
        <f>IF(RIGHT(A1867,3)="000","х",VLOOKUP(B1867,'Справочник ИХ'!A:D,4,0))</f>
        <v>2</v>
      </c>
      <c r="F1867" s="14" t="s">
        <v>2799</v>
      </c>
    </row>
    <row r="1868" spans="1:6">
      <c r="A1868" s="19">
        <v>36127</v>
      </c>
      <c r="B1868" s="12" t="str">
        <f t="shared" si="29"/>
        <v>361</v>
      </c>
      <c r="C1868" s="1" t="s">
        <v>2826</v>
      </c>
      <c r="D1868" s="13" t="str">
        <f>IF(RIGHT(A1868,3)="000",C1868,VLOOKUP(B1868,'Справочник ИХ'!A:C,3,0))</f>
        <v>Остальные грузы</v>
      </c>
      <c r="E1868" s="13">
        <f>IF(RIGHT(A1868,3)="000","х",VLOOKUP(B1868,'Справочник ИХ'!A:D,4,0))</f>
        <v>2</v>
      </c>
      <c r="F1868" s="14" t="s">
        <v>2799</v>
      </c>
    </row>
    <row r="1869" spans="1:6">
      <c r="A1869" s="19">
        <v>36128</v>
      </c>
      <c r="B1869" s="12" t="str">
        <f t="shared" si="29"/>
        <v>361</v>
      </c>
      <c r="C1869" s="1" t="s">
        <v>2827</v>
      </c>
      <c r="D1869" s="13" t="str">
        <f>IF(RIGHT(A1869,3)="000",C1869,VLOOKUP(B1869,'Справочник ИХ'!A:C,3,0))</f>
        <v>Остальные грузы</v>
      </c>
      <c r="E1869" s="13">
        <f>IF(RIGHT(A1869,3)="000","х",VLOOKUP(B1869,'Справочник ИХ'!A:D,4,0))</f>
        <v>2</v>
      </c>
      <c r="F1869" s="14" t="s">
        <v>2799</v>
      </c>
    </row>
    <row r="1870" spans="1:6" ht="31.75">
      <c r="A1870" s="19">
        <v>36129</v>
      </c>
      <c r="B1870" s="12" t="str">
        <f t="shared" si="29"/>
        <v>361</v>
      </c>
      <c r="C1870" s="1" t="s">
        <v>2828</v>
      </c>
      <c r="D1870" s="13" t="str">
        <f>IF(RIGHT(A1870,3)="000",C1870,VLOOKUP(B1870,'Справочник ИХ'!A:C,3,0))</f>
        <v>Остальные грузы</v>
      </c>
      <c r="E1870" s="13">
        <f>IF(RIGHT(A1870,3)="000","х",VLOOKUP(B1870,'Справочник ИХ'!A:D,4,0))</f>
        <v>2</v>
      </c>
      <c r="F1870" s="14" t="s">
        <v>2799</v>
      </c>
    </row>
    <row r="1871" spans="1:6" ht="31.75">
      <c r="A1871" s="19">
        <v>36130</v>
      </c>
      <c r="B1871" s="12" t="str">
        <f t="shared" si="29"/>
        <v>361</v>
      </c>
      <c r="C1871" s="1" t="s">
        <v>2829</v>
      </c>
      <c r="D1871" s="13" t="str">
        <f>IF(RIGHT(A1871,3)="000",C1871,VLOOKUP(B1871,'Справочник ИХ'!A:C,3,0))</f>
        <v>Остальные грузы</v>
      </c>
      <c r="E1871" s="13">
        <f>IF(RIGHT(A1871,3)="000","х",VLOOKUP(B1871,'Справочник ИХ'!A:D,4,0))</f>
        <v>2</v>
      </c>
      <c r="F1871" s="14" t="s">
        <v>2799</v>
      </c>
    </row>
    <row r="1872" spans="1:6" ht="31.75">
      <c r="A1872" s="19">
        <v>36131</v>
      </c>
      <c r="B1872" s="12" t="str">
        <f t="shared" si="29"/>
        <v>361</v>
      </c>
      <c r="C1872" s="1" t="s">
        <v>2830</v>
      </c>
      <c r="D1872" s="13" t="str">
        <f>IF(RIGHT(A1872,3)="000",C1872,VLOOKUP(B1872,'Справочник ИХ'!A:C,3,0))</f>
        <v>Остальные грузы</v>
      </c>
      <c r="E1872" s="13">
        <f>IF(RIGHT(A1872,3)="000","х",VLOOKUP(B1872,'Справочник ИХ'!A:D,4,0))</f>
        <v>2</v>
      </c>
      <c r="F1872" s="14" t="s">
        <v>2799</v>
      </c>
    </row>
    <row r="1873" spans="1:6">
      <c r="A1873" s="19">
        <v>36132</v>
      </c>
      <c r="B1873" s="12" t="str">
        <f t="shared" si="29"/>
        <v>361</v>
      </c>
      <c r="C1873" s="1" t="s">
        <v>2831</v>
      </c>
      <c r="D1873" s="13" t="str">
        <f>IF(RIGHT(A1873,3)="000",C1873,VLOOKUP(B1873,'Справочник ИХ'!A:C,3,0))</f>
        <v>Остальные грузы</v>
      </c>
      <c r="E1873" s="13">
        <f>IF(RIGHT(A1873,3)="000","х",VLOOKUP(B1873,'Справочник ИХ'!A:D,4,0))</f>
        <v>2</v>
      </c>
      <c r="F1873" s="14" t="s">
        <v>2799</v>
      </c>
    </row>
    <row r="1874" spans="1:6">
      <c r="A1874" s="19">
        <v>36133</v>
      </c>
      <c r="B1874" s="12" t="str">
        <f t="shared" si="29"/>
        <v>361</v>
      </c>
      <c r="C1874" s="1" t="s">
        <v>2832</v>
      </c>
      <c r="D1874" s="13" t="str">
        <f>IF(RIGHT(A1874,3)="000",C1874,VLOOKUP(B1874,'Справочник ИХ'!A:C,3,0))</f>
        <v>Остальные грузы</v>
      </c>
      <c r="E1874" s="13">
        <f>IF(RIGHT(A1874,3)="000","х",VLOOKUP(B1874,'Справочник ИХ'!A:D,4,0))</f>
        <v>2</v>
      </c>
      <c r="F1874" s="14" t="s">
        <v>2799</v>
      </c>
    </row>
    <row r="1875" spans="1:6">
      <c r="A1875" s="19">
        <v>36134</v>
      </c>
      <c r="B1875" s="12" t="str">
        <f t="shared" si="29"/>
        <v>361</v>
      </c>
      <c r="C1875" s="1" t="s">
        <v>2833</v>
      </c>
      <c r="D1875" s="13" t="str">
        <f>IF(RIGHT(A1875,3)="000",C1875,VLOOKUP(B1875,'Справочник ИХ'!A:C,3,0))</f>
        <v>Остальные грузы</v>
      </c>
      <c r="E1875" s="13">
        <f>IF(RIGHT(A1875,3)="000","х",VLOOKUP(B1875,'Справочник ИХ'!A:D,4,0))</f>
        <v>2</v>
      </c>
      <c r="F1875" s="14" t="s">
        <v>2799</v>
      </c>
    </row>
    <row r="1876" spans="1:6" ht="31.75">
      <c r="A1876" s="19">
        <v>36135</v>
      </c>
      <c r="B1876" s="12" t="str">
        <f t="shared" si="29"/>
        <v>361</v>
      </c>
      <c r="C1876" s="1" t="s">
        <v>2834</v>
      </c>
      <c r="D1876" s="13" t="str">
        <f>IF(RIGHT(A1876,3)="000",C1876,VLOOKUP(B1876,'Справочник ИХ'!A:C,3,0))</f>
        <v>Остальные грузы</v>
      </c>
      <c r="E1876" s="13">
        <f>IF(RIGHT(A1876,3)="000","х",VLOOKUP(B1876,'Справочник ИХ'!A:D,4,0))</f>
        <v>2</v>
      </c>
      <c r="F1876" s="14" t="s">
        <v>2799</v>
      </c>
    </row>
    <row r="1877" spans="1:6">
      <c r="A1877" s="19">
        <v>36136</v>
      </c>
      <c r="B1877" s="12" t="str">
        <f t="shared" si="29"/>
        <v>361</v>
      </c>
      <c r="C1877" s="1" t="s">
        <v>2835</v>
      </c>
      <c r="D1877" s="13" t="str">
        <f>IF(RIGHT(A1877,3)="000",C1877,VLOOKUP(B1877,'Справочник ИХ'!A:C,3,0))</f>
        <v>Остальные грузы</v>
      </c>
      <c r="E1877" s="13">
        <f>IF(RIGHT(A1877,3)="000","х",VLOOKUP(B1877,'Справочник ИХ'!A:D,4,0))</f>
        <v>2</v>
      </c>
      <c r="F1877" s="14" t="s">
        <v>2799</v>
      </c>
    </row>
    <row r="1878" spans="1:6">
      <c r="A1878" s="19">
        <v>36137</v>
      </c>
      <c r="B1878" s="12" t="str">
        <f t="shared" si="29"/>
        <v>361</v>
      </c>
      <c r="C1878" s="1" t="s">
        <v>2836</v>
      </c>
      <c r="D1878" s="13" t="str">
        <f>IF(RIGHT(A1878,3)="000",C1878,VLOOKUP(B1878,'Справочник ИХ'!A:C,3,0))</f>
        <v>Остальные грузы</v>
      </c>
      <c r="E1878" s="13">
        <f>IF(RIGHT(A1878,3)="000","х",VLOOKUP(B1878,'Справочник ИХ'!A:D,4,0))</f>
        <v>2</v>
      </c>
      <c r="F1878" s="14" t="s">
        <v>2799</v>
      </c>
    </row>
    <row r="1879" spans="1:6">
      <c r="A1879" s="19">
        <v>36138</v>
      </c>
      <c r="B1879" s="12" t="str">
        <f t="shared" si="29"/>
        <v>361</v>
      </c>
      <c r="C1879" s="1" t="s">
        <v>2837</v>
      </c>
      <c r="D1879" s="13" t="str">
        <f>IF(RIGHT(A1879,3)="000",C1879,VLOOKUP(B1879,'Справочник ИХ'!A:C,3,0))</f>
        <v>Остальные грузы</v>
      </c>
      <c r="E1879" s="13">
        <f>IF(RIGHT(A1879,3)="000","х",VLOOKUP(B1879,'Справочник ИХ'!A:D,4,0))</f>
        <v>2</v>
      </c>
      <c r="F1879" s="14" t="s">
        <v>2799</v>
      </c>
    </row>
    <row r="1880" spans="1:6">
      <c r="A1880" s="19">
        <v>36139</v>
      </c>
      <c r="B1880" s="12" t="str">
        <f t="shared" si="29"/>
        <v>361</v>
      </c>
      <c r="C1880" s="1" t="s">
        <v>2838</v>
      </c>
      <c r="D1880" s="13" t="str">
        <f>IF(RIGHT(A1880,3)="000",C1880,VLOOKUP(B1880,'Справочник ИХ'!A:C,3,0))</f>
        <v>Остальные грузы</v>
      </c>
      <c r="E1880" s="13">
        <f>IF(RIGHT(A1880,3)="000","х",VLOOKUP(B1880,'Справочник ИХ'!A:D,4,0))</f>
        <v>2</v>
      </c>
      <c r="F1880" s="14" t="s">
        <v>2799</v>
      </c>
    </row>
    <row r="1881" spans="1:6">
      <c r="A1881" s="19">
        <v>36140</v>
      </c>
      <c r="B1881" s="12" t="str">
        <f t="shared" si="29"/>
        <v>361</v>
      </c>
      <c r="C1881" s="1" t="s">
        <v>2839</v>
      </c>
      <c r="D1881" s="13" t="str">
        <f>IF(RIGHT(A1881,3)="000",C1881,VLOOKUP(B1881,'Справочник ИХ'!A:C,3,0))</f>
        <v>Остальные грузы</v>
      </c>
      <c r="E1881" s="13">
        <f>IF(RIGHT(A1881,3)="000","х",VLOOKUP(B1881,'Справочник ИХ'!A:D,4,0))</f>
        <v>2</v>
      </c>
      <c r="F1881" s="14" t="s">
        <v>2799</v>
      </c>
    </row>
    <row r="1882" spans="1:6">
      <c r="A1882" s="19">
        <v>36141</v>
      </c>
      <c r="B1882" s="12" t="str">
        <f t="shared" si="29"/>
        <v>361</v>
      </c>
      <c r="C1882" s="1" t="s">
        <v>2840</v>
      </c>
      <c r="D1882" s="13" t="str">
        <f>IF(RIGHT(A1882,3)="000",C1882,VLOOKUP(B1882,'Справочник ИХ'!A:C,3,0))</f>
        <v>Остальные грузы</v>
      </c>
      <c r="E1882" s="13">
        <f>IF(RIGHT(A1882,3)="000","х",VLOOKUP(B1882,'Справочник ИХ'!A:D,4,0))</f>
        <v>2</v>
      </c>
      <c r="F1882" s="14" t="s">
        <v>2799</v>
      </c>
    </row>
    <row r="1883" spans="1:6">
      <c r="A1883" s="19">
        <v>36142</v>
      </c>
      <c r="B1883" s="12" t="str">
        <f t="shared" si="29"/>
        <v>361</v>
      </c>
      <c r="C1883" s="1" t="s">
        <v>2841</v>
      </c>
      <c r="D1883" s="13" t="str">
        <f>IF(RIGHT(A1883,3)="000",C1883,VLOOKUP(B1883,'Справочник ИХ'!A:C,3,0))</f>
        <v>Остальные грузы</v>
      </c>
      <c r="E1883" s="13">
        <f>IF(RIGHT(A1883,3)="000","х",VLOOKUP(B1883,'Справочник ИХ'!A:D,4,0))</f>
        <v>2</v>
      </c>
      <c r="F1883" s="14" t="s">
        <v>2799</v>
      </c>
    </row>
    <row r="1884" spans="1:6" ht="31.75">
      <c r="A1884" s="19">
        <v>36143</v>
      </c>
      <c r="B1884" s="12" t="str">
        <f t="shared" si="29"/>
        <v>361</v>
      </c>
      <c r="C1884" s="1" t="s">
        <v>2842</v>
      </c>
      <c r="D1884" s="13" t="str">
        <f>IF(RIGHT(A1884,3)="000",C1884,VLOOKUP(B1884,'Справочник ИХ'!A:C,3,0))</f>
        <v>Остальные грузы</v>
      </c>
      <c r="E1884" s="13">
        <f>IF(RIGHT(A1884,3)="000","х",VLOOKUP(B1884,'Справочник ИХ'!A:D,4,0))</f>
        <v>2</v>
      </c>
      <c r="F1884" s="14" t="s">
        <v>2799</v>
      </c>
    </row>
    <row r="1885" spans="1:6">
      <c r="A1885" s="19">
        <v>36144</v>
      </c>
      <c r="B1885" s="12" t="str">
        <f t="shared" si="29"/>
        <v>361</v>
      </c>
      <c r="C1885" s="1" t="s">
        <v>2843</v>
      </c>
      <c r="D1885" s="13" t="str">
        <f>IF(RIGHT(A1885,3)="000",C1885,VLOOKUP(B1885,'Справочник ИХ'!A:C,3,0))</f>
        <v>Остальные грузы</v>
      </c>
      <c r="E1885" s="13">
        <f>IF(RIGHT(A1885,3)="000","х",VLOOKUP(B1885,'Справочник ИХ'!A:D,4,0))</f>
        <v>2</v>
      </c>
      <c r="F1885" s="14" t="s">
        <v>2799</v>
      </c>
    </row>
    <row r="1886" spans="1:6">
      <c r="A1886" s="19">
        <v>36145</v>
      </c>
      <c r="B1886" s="12" t="str">
        <f t="shared" si="29"/>
        <v>361</v>
      </c>
      <c r="C1886" s="1" t="s">
        <v>2844</v>
      </c>
      <c r="D1886" s="13" t="str">
        <f>IF(RIGHT(A1886,3)="000",C1886,VLOOKUP(B1886,'Справочник ИХ'!A:C,3,0))</f>
        <v>Остальные грузы</v>
      </c>
      <c r="E1886" s="13">
        <f>IF(RIGHT(A1886,3)="000","х",VLOOKUP(B1886,'Справочник ИХ'!A:D,4,0))</f>
        <v>2</v>
      </c>
      <c r="F1886" s="14" t="s">
        <v>2799</v>
      </c>
    </row>
    <row r="1887" spans="1:6">
      <c r="A1887" s="19">
        <v>36146</v>
      </c>
      <c r="B1887" s="12" t="str">
        <f t="shared" si="29"/>
        <v>361</v>
      </c>
      <c r="C1887" s="1" t="s">
        <v>2845</v>
      </c>
      <c r="D1887" s="13" t="str">
        <f>IF(RIGHT(A1887,3)="000",C1887,VLOOKUP(B1887,'Справочник ИХ'!A:C,3,0))</f>
        <v>Остальные грузы</v>
      </c>
      <c r="E1887" s="13">
        <f>IF(RIGHT(A1887,3)="000","х",VLOOKUP(B1887,'Справочник ИХ'!A:D,4,0))</f>
        <v>2</v>
      </c>
      <c r="F1887" s="14" t="s">
        <v>2799</v>
      </c>
    </row>
    <row r="1888" spans="1:6">
      <c r="A1888" s="19">
        <v>36147</v>
      </c>
      <c r="B1888" s="12" t="str">
        <f t="shared" si="29"/>
        <v>361</v>
      </c>
      <c r="C1888" s="1" t="s">
        <v>2846</v>
      </c>
      <c r="D1888" s="13" t="str">
        <f>IF(RIGHT(A1888,3)="000",C1888,VLOOKUP(B1888,'Справочник ИХ'!A:C,3,0))</f>
        <v>Остальные грузы</v>
      </c>
      <c r="E1888" s="13">
        <f>IF(RIGHT(A1888,3)="000","х",VLOOKUP(B1888,'Справочник ИХ'!A:D,4,0))</f>
        <v>2</v>
      </c>
      <c r="F1888" s="14" t="s">
        <v>2799</v>
      </c>
    </row>
    <row r="1889" spans="1:6">
      <c r="A1889" s="19">
        <v>36148</v>
      </c>
      <c r="B1889" s="12" t="str">
        <f t="shared" si="29"/>
        <v>361</v>
      </c>
      <c r="C1889" s="1" t="s">
        <v>2847</v>
      </c>
      <c r="D1889" s="13" t="str">
        <f>IF(RIGHT(A1889,3)="000",C1889,VLOOKUP(B1889,'Справочник ИХ'!A:C,3,0))</f>
        <v>Остальные грузы</v>
      </c>
      <c r="E1889" s="13">
        <f>IF(RIGHT(A1889,3)="000","х",VLOOKUP(B1889,'Справочник ИХ'!A:D,4,0))</f>
        <v>2</v>
      </c>
      <c r="F1889" s="14" t="s">
        <v>2799</v>
      </c>
    </row>
    <row r="1890" spans="1:6">
      <c r="A1890" s="19">
        <v>36149</v>
      </c>
      <c r="B1890" s="12" t="str">
        <f t="shared" si="29"/>
        <v>361</v>
      </c>
      <c r="C1890" s="1" t="s">
        <v>2848</v>
      </c>
      <c r="D1890" s="13" t="str">
        <f>IF(RIGHT(A1890,3)="000",C1890,VLOOKUP(B1890,'Справочник ИХ'!A:C,3,0))</f>
        <v>Остальные грузы</v>
      </c>
      <c r="E1890" s="13">
        <f>IF(RIGHT(A1890,3)="000","х",VLOOKUP(B1890,'Справочник ИХ'!A:D,4,0))</f>
        <v>2</v>
      </c>
      <c r="F1890" s="14" t="s">
        <v>2799</v>
      </c>
    </row>
    <row r="1891" spans="1:6">
      <c r="A1891" s="19">
        <v>36150</v>
      </c>
      <c r="B1891" s="12" t="str">
        <f t="shared" si="29"/>
        <v>361</v>
      </c>
      <c r="C1891" s="1" t="s">
        <v>2849</v>
      </c>
      <c r="D1891" s="13" t="str">
        <f>IF(RIGHT(A1891,3)="000",C1891,VLOOKUP(B1891,'Справочник ИХ'!A:C,3,0))</f>
        <v>Остальные грузы</v>
      </c>
      <c r="E1891" s="13">
        <f>IF(RIGHT(A1891,3)="000","х",VLOOKUP(B1891,'Справочник ИХ'!A:D,4,0))</f>
        <v>2</v>
      </c>
      <c r="F1891" s="14" t="s">
        <v>2799</v>
      </c>
    </row>
    <row r="1892" spans="1:6">
      <c r="A1892" s="19">
        <v>36151</v>
      </c>
      <c r="B1892" s="12" t="str">
        <f t="shared" si="29"/>
        <v>361</v>
      </c>
      <c r="C1892" s="1" t="s">
        <v>2850</v>
      </c>
      <c r="D1892" s="13" t="str">
        <f>IF(RIGHT(A1892,3)="000",C1892,VLOOKUP(B1892,'Справочник ИХ'!A:C,3,0))</f>
        <v>Остальные грузы</v>
      </c>
      <c r="E1892" s="13">
        <f>IF(RIGHT(A1892,3)="000","х",VLOOKUP(B1892,'Справочник ИХ'!A:D,4,0))</f>
        <v>2</v>
      </c>
      <c r="F1892" s="14" t="s">
        <v>2799</v>
      </c>
    </row>
    <row r="1893" spans="1:6">
      <c r="A1893" s="19">
        <v>36152</v>
      </c>
      <c r="B1893" s="12" t="str">
        <f t="shared" si="29"/>
        <v>361</v>
      </c>
      <c r="C1893" s="1" t="s">
        <v>2851</v>
      </c>
      <c r="D1893" s="13" t="str">
        <f>IF(RIGHT(A1893,3)="000",C1893,VLOOKUP(B1893,'Справочник ИХ'!A:C,3,0))</f>
        <v>Остальные грузы</v>
      </c>
      <c r="E1893" s="13">
        <f>IF(RIGHT(A1893,3)="000","х",VLOOKUP(B1893,'Справочник ИХ'!A:D,4,0))</f>
        <v>2</v>
      </c>
      <c r="F1893" s="14" t="s">
        <v>2799</v>
      </c>
    </row>
    <row r="1894" spans="1:6">
      <c r="A1894" s="19">
        <v>36153</v>
      </c>
      <c r="B1894" s="12" t="str">
        <f t="shared" si="29"/>
        <v>361</v>
      </c>
      <c r="C1894" s="1" t="s">
        <v>2852</v>
      </c>
      <c r="D1894" s="13" t="str">
        <f>IF(RIGHT(A1894,3)="000",C1894,VLOOKUP(B1894,'Справочник ИХ'!A:C,3,0))</f>
        <v>Остальные грузы</v>
      </c>
      <c r="E1894" s="13">
        <f>IF(RIGHT(A1894,3)="000","х",VLOOKUP(B1894,'Справочник ИХ'!A:D,4,0))</f>
        <v>2</v>
      </c>
      <c r="F1894" s="14" t="s">
        <v>2799</v>
      </c>
    </row>
    <row r="1895" spans="1:6">
      <c r="A1895" s="19">
        <v>36154</v>
      </c>
      <c r="B1895" s="12" t="str">
        <f t="shared" si="29"/>
        <v>361</v>
      </c>
      <c r="C1895" s="1" t="s">
        <v>2853</v>
      </c>
      <c r="D1895" s="13" t="str">
        <f>IF(RIGHT(A1895,3)="000",C1895,VLOOKUP(B1895,'Справочник ИХ'!A:C,3,0))</f>
        <v>Остальные грузы</v>
      </c>
      <c r="E1895" s="13">
        <f>IF(RIGHT(A1895,3)="000","х",VLOOKUP(B1895,'Справочник ИХ'!A:D,4,0))</f>
        <v>2</v>
      </c>
      <c r="F1895" s="14" t="s">
        <v>2799</v>
      </c>
    </row>
    <row r="1896" spans="1:6">
      <c r="A1896" s="19">
        <v>36155</v>
      </c>
      <c r="B1896" s="12" t="str">
        <f t="shared" si="29"/>
        <v>361</v>
      </c>
      <c r="C1896" s="1" t="s">
        <v>2854</v>
      </c>
      <c r="D1896" s="13" t="str">
        <f>IF(RIGHT(A1896,3)="000",C1896,VLOOKUP(B1896,'Справочник ИХ'!A:C,3,0))</f>
        <v>Остальные грузы</v>
      </c>
      <c r="E1896" s="13">
        <f>IF(RIGHT(A1896,3)="000","х",VLOOKUP(B1896,'Справочник ИХ'!A:D,4,0))</f>
        <v>2</v>
      </c>
      <c r="F1896" s="14" t="s">
        <v>2799</v>
      </c>
    </row>
    <row r="1897" spans="1:6">
      <c r="A1897" s="19">
        <v>36156</v>
      </c>
      <c r="B1897" s="12" t="str">
        <f t="shared" si="29"/>
        <v>361</v>
      </c>
      <c r="C1897" s="1" t="s">
        <v>2855</v>
      </c>
      <c r="D1897" s="13" t="str">
        <f>IF(RIGHT(A1897,3)="000",C1897,VLOOKUP(B1897,'Справочник ИХ'!A:C,3,0))</f>
        <v>Остальные грузы</v>
      </c>
      <c r="E1897" s="13">
        <f>IF(RIGHT(A1897,3)="000","х",VLOOKUP(B1897,'Справочник ИХ'!A:D,4,0))</f>
        <v>2</v>
      </c>
      <c r="F1897" s="14" t="s">
        <v>2799</v>
      </c>
    </row>
    <row r="1898" spans="1:6" ht="31.75">
      <c r="A1898" s="19">
        <v>36157</v>
      </c>
      <c r="B1898" s="12" t="str">
        <f t="shared" si="29"/>
        <v>361</v>
      </c>
      <c r="C1898" s="1" t="s">
        <v>2856</v>
      </c>
      <c r="D1898" s="13" t="str">
        <f>IF(RIGHT(A1898,3)="000",C1898,VLOOKUP(B1898,'Справочник ИХ'!A:C,3,0))</f>
        <v>Остальные грузы</v>
      </c>
      <c r="E1898" s="13">
        <f>IF(RIGHT(A1898,3)="000","х",VLOOKUP(B1898,'Справочник ИХ'!A:D,4,0))</f>
        <v>2</v>
      </c>
      <c r="F1898" s="14" t="s">
        <v>2799</v>
      </c>
    </row>
    <row r="1899" spans="1:6">
      <c r="A1899" s="19">
        <v>36158</v>
      </c>
      <c r="B1899" s="12" t="str">
        <f t="shared" si="29"/>
        <v>361</v>
      </c>
      <c r="C1899" s="1" t="s">
        <v>2857</v>
      </c>
      <c r="D1899" s="13" t="str">
        <f>IF(RIGHT(A1899,3)="000",C1899,VLOOKUP(B1899,'Справочник ИХ'!A:C,3,0))</f>
        <v>Остальные грузы</v>
      </c>
      <c r="E1899" s="13">
        <f>IF(RIGHT(A1899,3)="000","х",VLOOKUP(B1899,'Справочник ИХ'!A:D,4,0))</f>
        <v>2</v>
      </c>
      <c r="F1899" s="14" t="s">
        <v>2799</v>
      </c>
    </row>
    <row r="1900" spans="1:6">
      <c r="A1900" s="19">
        <v>36159</v>
      </c>
      <c r="B1900" s="12" t="str">
        <f t="shared" si="29"/>
        <v>361</v>
      </c>
      <c r="C1900" s="1" t="s">
        <v>2858</v>
      </c>
      <c r="D1900" s="13" t="str">
        <f>IF(RIGHT(A1900,3)="000",C1900,VLOOKUP(B1900,'Справочник ИХ'!A:C,3,0))</f>
        <v>Остальные грузы</v>
      </c>
      <c r="E1900" s="13">
        <f>IF(RIGHT(A1900,3)="000","х",VLOOKUP(B1900,'Справочник ИХ'!A:D,4,0))</f>
        <v>2</v>
      </c>
      <c r="F1900" s="14" t="s">
        <v>2799</v>
      </c>
    </row>
    <row r="1901" spans="1:6" s="18" customFormat="1">
      <c r="A1901" s="16">
        <v>36200</v>
      </c>
      <c r="B1901" s="12" t="str">
        <f t="shared" si="29"/>
        <v>362</v>
      </c>
      <c r="C1901" s="17" t="s">
        <v>2859</v>
      </c>
      <c r="D1901" s="13" t="str">
        <f>IF(RIGHT(A1901,3)="000",C1901,VLOOKUP(B1901,'Справочник ИХ'!A:C,3,0))</f>
        <v>Остальные грузы</v>
      </c>
      <c r="E1901" s="13">
        <f>IF(RIGHT(A1901,3)="000","х",VLOOKUP(B1901,'Справочник ИХ'!A:D,4,0))</f>
        <v>2</v>
      </c>
      <c r="F1901" s="14" t="s">
        <v>2799</v>
      </c>
    </row>
    <row r="1902" spans="1:6">
      <c r="A1902" s="19">
        <v>36201</v>
      </c>
      <c r="B1902" s="12" t="str">
        <f t="shared" si="29"/>
        <v>362</v>
      </c>
      <c r="C1902" s="1" t="s">
        <v>2860</v>
      </c>
      <c r="D1902" s="13" t="str">
        <f>IF(RIGHT(A1902,3)="000",C1902,VLOOKUP(B1902,'Справочник ИХ'!A:C,3,0))</f>
        <v>Остальные грузы</v>
      </c>
      <c r="E1902" s="13">
        <f>IF(RIGHT(A1902,3)="000","х",VLOOKUP(B1902,'Справочник ИХ'!A:D,4,0))</f>
        <v>2</v>
      </c>
      <c r="F1902" s="14" t="s">
        <v>2799</v>
      </c>
    </row>
    <row r="1903" spans="1:6">
      <c r="A1903" s="19">
        <v>36202</v>
      </c>
      <c r="B1903" s="12" t="str">
        <f t="shared" si="29"/>
        <v>362</v>
      </c>
      <c r="C1903" s="1" t="s">
        <v>2861</v>
      </c>
      <c r="D1903" s="13" t="str">
        <f>IF(RIGHT(A1903,3)="000",C1903,VLOOKUP(B1903,'Справочник ИХ'!A:C,3,0))</f>
        <v>Остальные грузы</v>
      </c>
      <c r="E1903" s="13">
        <f>IF(RIGHT(A1903,3)="000","х",VLOOKUP(B1903,'Справочник ИХ'!A:D,4,0))</f>
        <v>2</v>
      </c>
      <c r="F1903" s="14" t="s">
        <v>2799</v>
      </c>
    </row>
    <row r="1904" spans="1:6">
      <c r="A1904" s="19">
        <v>36203</v>
      </c>
      <c r="B1904" s="12" t="str">
        <f t="shared" si="29"/>
        <v>362</v>
      </c>
      <c r="C1904" s="1" t="s">
        <v>2862</v>
      </c>
      <c r="D1904" s="13" t="str">
        <f>IF(RIGHT(A1904,3)="000",C1904,VLOOKUP(B1904,'Справочник ИХ'!A:C,3,0))</f>
        <v>Остальные грузы</v>
      </c>
      <c r="E1904" s="13">
        <f>IF(RIGHT(A1904,3)="000","х",VLOOKUP(B1904,'Справочник ИХ'!A:D,4,0))</f>
        <v>2</v>
      </c>
      <c r="F1904" s="14" t="s">
        <v>2799</v>
      </c>
    </row>
    <row r="1905" spans="1:6">
      <c r="A1905" s="19">
        <v>36204</v>
      </c>
      <c r="B1905" s="12" t="str">
        <f t="shared" si="29"/>
        <v>362</v>
      </c>
      <c r="C1905" s="1" t="s">
        <v>2863</v>
      </c>
      <c r="D1905" s="13" t="str">
        <f>IF(RIGHT(A1905,3)="000",C1905,VLOOKUP(B1905,'Справочник ИХ'!A:C,3,0))</f>
        <v>Остальные грузы</v>
      </c>
      <c r="E1905" s="13">
        <f>IF(RIGHT(A1905,3)="000","х",VLOOKUP(B1905,'Справочник ИХ'!A:D,4,0))</f>
        <v>2</v>
      </c>
      <c r="F1905" s="14" t="s">
        <v>2799</v>
      </c>
    </row>
    <row r="1906" spans="1:6">
      <c r="A1906" s="19">
        <v>36205</v>
      </c>
      <c r="B1906" s="12" t="str">
        <f t="shared" si="29"/>
        <v>362</v>
      </c>
      <c r="C1906" s="1" t="s">
        <v>2864</v>
      </c>
      <c r="D1906" s="13" t="str">
        <f>IF(RIGHT(A1906,3)="000",C1906,VLOOKUP(B1906,'Справочник ИХ'!A:C,3,0))</f>
        <v>Остальные грузы</v>
      </c>
      <c r="E1906" s="13">
        <f>IF(RIGHT(A1906,3)="000","х",VLOOKUP(B1906,'Справочник ИХ'!A:D,4,0))</f>
        <v>2</v>
      </c>
      <c r="F1906" s="14" t="s">
        <v>2799</v>
      </c>
    </row>
    <row r="1907" spans="1:6">
      <c r="A1907" s="19">
        <v>36206</v>
      </c>
      <c r="B1907" s="12" t="str">
        <f t="shared" si="29"/>
        <v>362</v>
      </c>
      <c r="C1907" s="1" t="s">
        <v>2865</v>
      </c>
      <c r="D1907" s="13" t="str">
        <f>IF(RIGHT(A1907,3)="000",C1907,VLOOKUP(B1907,'Справочник ИХ'!A:C,3,0))</f>
        <v>Остальные грузы</v>
      </c>
      <c r="E1907" s="13">
        <f>IF(RIGHT(A1907,3)="000","х",VLOOKUP(B1907,'Справочник ИХ'!A:D,4,0))</f>
        <v>2</v>
      </c>
      <c r="F1907" s="14" t="s">
        <v>2799</v>
      </c>
    </row>
    <row r="1908" spans="1:6">
      <c r="A1908" s="19">
        <v>36207</v>
      </c>
      <c r="B1908" s="12" t="str">
        <f t="shared" si="29"/>
        <v>362</v>
      </c>
      <c r="C1908" s="1" t="s">
        <v>2866</v>
      </c>
      <c r="D1908" s="13" t="str">
        <f>IF(RIGHT(A1908,3)="000",C1908,VLOOKUP(B1908,'Справочник ИХ'!A:C,3,0))</f>
        <v>Остальные грузы</v>
      </c>
      <c r="E1908" s="13">
        <f>IF(RIGHT(A1908,3)="000","х",VLOOKUP(B1908,'Справочник ИХ'!A:D,4,0))</f>
        <v>2</v>
      </c>
      <c r="F1908" s="14" t="s">
        <v>2799</v>
      </c>
    </row>
    <row r="1909" spans="1:6" ht="31.75">
      <c r="A1909" s="19">
        <v>36208</v>
      </c>
      <c r="B1909" s="12" t="str">
        <f t="shared" si="29"/>
        <v>362</v>
      </c>
      <c r="C1909" s="1" t="s">
        <v>2867</v>
      </c>
      <c r="D1909" s="13" t="str">
        <f>IF(RIGHT(A1909,3)="000",C1909,VLOOKUP(B1909,'Справочник ИХ'!A:C,3,0))</f>
        <v>Остальные грузы</v>
      </c>
      <c r="E1909" s="13">
        <f>IF(RIGHT(A1909,3)="000","х",VLOOKUP(B1909,'Справочник ИХ'!A:D,4,0))</f>
        <v>2</v>
      </c>
      <c r="F1909" s="14" t="s">
        <v>2799</v>
      </c>
    </row>
    <row r="1910" spans="1:6" s="15" customFormat="1" ht="31.75">
      <c r="A1910" s="7">
        <v>37000</v>
      </c>
      <c r="B1910" s="12" t="str">
        <f t="shared" si="29"/>
        <v>370</v>
      </c>
      <c r="C1910" s="11" t="s">
        <v>2868</v>
      </c>
      <c r="D1910" s="13" t="str">
        <f>IF(RIGHT(A1910,3)="000",C1910,VLOOKUP(B1910,'Справочник ИХ'!A:C,3,0))</f>
        <v xml:space="preserve">Конструкции металлические </v>
      </c>
      <c r="E1910" s="13" t="str">
        <f>IF(RIGHT(A1910,3)="000","х",VLOOKUP(B1910,'Справочник ИХ'!A:D,4,0))</f>
        <v>х</v>
      </c>
      <c r="F1910" s="14" t="s">
        <v>2868</v>
      </c>
    </row>
    <row r="1911" spans="1:6" s="18" customFormat="1">
      <c r="A1911" s="16">
        <v>37100</v>
      </c>
      <c r="B1911" s="12" t="str">
        <f t="shared" si="29"/>
        <v>371</v>
      </c>
      <c r="C1911" s="17" t="s">
        <v>2868</v>
      </c>
      <c r="D1911" s="13" t="str">
        <f>IF(RIGHT(A1911,3)="000",C1911,VLOOKUP(B1911,'Справочник ИХ'!A:C,3,0))</f>
        <v>Остальные грузы</v>
      </c>
      <c r="E1911" s="13">
        <f>IF(RIGHT(A1911,3)="000","х",VLOOKUP(B1911,'Справочник ИХ'!A:D,4,0))</f>
        <v>3</v>
      </c>
      <c r="F1911" s="14" t="s">
        <v>2868</v>
      </c>
    </row>
    <row r="1912" spans="1:6">
      <c r="A1912" s="19">
        <v>37101</v>
      </c>
      <c r="B1912" s="12" t="str">
        <f t="shared" si="29"/>
        <v>371</v>
      </c>
      <c r="C1912" s="1" t="s">
        <v>2869</v>
      </c>
      <c r="D1912" s="13" t="str">
        <f>IF(RIGHT(A1912,3)="000",C1912,VLOOKUP(B1912,'Справочник ИХ'!A:C,3,0))</f>
        <v>Остальные грузы</v>
      </c>
      <c r="E1912" s="13">
        <f>IF(RIGHT(A1912,3)="000","х",VLOOKUP(B1912,'Справочник ИХ'!A:D,4,0))</f>
        <v>3</v>
      </c>
      <c r="F1912" s="14" t="s">
        <v>2868</v>
      </c>
    </row>
    <row r="1913" spans="1:6">
      <c r="A1913" s="19">
        <v>37102</v>
      </c>
      <c r="B1913" s="12" t="str">
        <f t="shared" si="29"/>
        <v>371</v>
      </c>
      <c r="C1913" s="1" t="s">
        <v>2870</v>
      </c>
      <c r="D1913" s="13" t="str">
        <f>IF(RIGHT(A1913,3)="000",C1913,VLOOKUP(B1913,'Справочник ИХ'!A:C,3,0))</f>
        <v>Остальные грузы</v>
      </c>
      <c r="E1913" s="13">
        <f>IF(RIGHT(A1913,3)="000","х",VLOOKUP(B1913,'Справочник ИХ'!A:D,4,0))</f>
        <v>3</v>
      </c>
      <c r="F1913" s="14" t="s">
        <v>2868</v>
      </c>
    </row>
    <row r="1914" spans="1:6">
      <c r="A1914" s="19">
        <v>37103</v>
      </c>
      <c r="B1914" s="12" t="str">
        <f t="shared" si="29"/>
        <v>371</v>
      </c>
      <c r="C1914" s="1" t="s">
        <v>2871</v>
      </c>
      <c r="D1914" s="13" t="str">
        <f>IF(RIGHT(A1914,3)="000",C1914,VLOOKUP(B1914,'Справочник ИХ'!A:C,3,0))</f>
        <v>Остальные грузы</v>
      </c>
      <c r="E1914" s="13">
        <f>IF(RIGHT(A1914,3)="000","х",VLOOKUP(B1914,'Справочник ИХ'!A:D,4,0))</f>
        <v>3</v>
      </c>
      <c r="F1914" s="14" t="s">
        <v>2868</v>
      </c>
    </row>
    <row r="1915" spans="1:6">
      <c r="A1915" s="19">
        <v>37104</v>
      </c>
      <c r="B1915" s="12" t="str">
        <f t="shared" si="29"/>
        <v>371</v>
      </c>
      <c r="C1915" s="1" t="s">
        <v>2872</v>
      </c>
      <c r="D1915" s="13" t="str">
        <f>IF(RIGHT(A1915,3)="000",C1915,VLOOKUP(B1915,'Справочник ИХ'!A:C,3,0))</f>
        <v>Остальные грузы</v>
      </c>
      <c r="E1915" s="13">
        <f>IF(RIGHT(A1915,3)="000","х",VLOOKUP(B1915,'Справочник ИХ'!A:D,4,0))</f>
        <v>3</v>
      </c>
      <c r="F1915" s="14" t="s">
        <v>2868</v>
      </c>
    </row>
    <row r="1916" spans="1:6" ht="31.75">
      <c r="A1916" s="19">
        <v>37105</v>
      </c>
      <c r="B1916" s="12" t="str">
        <f t="shared" si="29"/>
        <v>371</v>
      </c>
      <c r="C1916" s="1" t="s">
        <v>2873</v>
      </c>
      <c r="D1916" s="13" t="str">
        <f>IF(RIGHT(A1916,3)="000",C1916,VLOOKUP(B1916,'Справочник ИХ'!A:C,3,0))</f>
        <v>Остальные грузы</v>
      </c>
      <c r="E1916" s="13">
        <f>IF(RIGHT(A1916,3)="000","х",VLOOKUP(B1916,'Справочник ИХ'!A:D,4,0))</f>
        <v>3</v>
      </c>
      <c r="F1916" s="14" t="s">
        <v>2868</v>
      </c>
    </row>
    <row r="1917" spans="1:6" ht="31.75">
      <c r="A1917" s="19">
        <v>37106</v>
      </c>
      <c r="B1917" s="12" t="str">
        <f t="shared" si="29"/>
        <v>371</v>
      </c>
      <c r="C1917" s="1" t="s">
        <v>2874</v>
      </c>
      <c r="D1917" s="13" t="str">
        <f>IF(RIGHT(A1917,3)="000",C1917,VLOOKUP(B1917,'Справочник ИХ'!A:C,3,0))</f>
        <v>Остальные грузы</v>
      </c>
      <c r="E1917" s="13">
        <f>IF(RIGHT(A1917,3)="000","х",VLOOKUP(B1917,'Справочник ИХ'!A:D,4,0))</f>
        <v>3</v>
      </c>
      <c r="F1917" s="14" t="s">
        <v>2868</v>
      </c>
    </row>
    <row r="1918" spans="1:6">
      <c r="A1918" s="19">
        <v>37107</v>
      </c>
      <c r="B1918" s="12" t="str">
        <f t="shared" si="29"/>
        <v>371</v>
      </c>
      <c r="C1918" s="1" t="s">
        <v>2875</v>
      </c>
      <c r="D1918" s="13" t="str">
        <f>IF(RIGHT(A1918,3)="000",C1918,VLOOKUP(B1918,'Справочник ИХ'!A:C,3,0))</f>
        <v>Остальные грузы</v>
      </c>
      <c r="E1918" s="13">
        <f>IF(RIGHT(A1918,3)="000","х",VLOOKUP(B1918,'Справочник ИХ'!A:D,4,0))</f>
        <v>3</v>
      </c>
      <c r="F1918" s="14" t="s">
        <v>2868</v>
      </c>
    </row>
    <row r="1919" spans="1:6">
      <c r="A1919" s="19">
        <v>37108</v>
      </c>
      <c r="B1919" s="12" t="str">
        <f t="shared" si="29"/>
        <v>371</v>
      </c>
      <c r="C1919" s="1" t="s">
        <v>2876</v>
      </c>
      <c r="D1919" s="13" t="str">
        <f>IF(RIGHT(A1919,3)="000",C1919,VLOOKUP(B1919,'Справочник ИХ'!A:C,3,0))</f>
        <v>Остальные грузы</v>
      </c>
      <c r="E1919" s="13">
        <f>IF(RIGHT(A1919,3)="000","х",VLOOKUP(B1919,'Справочник ИХ'!A:D,4,0))</f>
        <v>3</v>
      </c>
      <c r="F1919" s="14" t="s">
        <v>2868</v>
      </c>
    </row>
    <row r="1920" spans="1:6">
      <c r="A1920" s="19">
        <v>37109</v>
      </c>
      <c r="B1920" s="12" t="str">
        <f t="shared" si="29"/>
        <v>371</v>
      </c>
      <c r="C1920" s="1" t="s">
        <v>2877</v>
      </c>
      <c r="D1920" s="13" t="str">
        <f>IF(RIGHT(A1920,3)="000",C1920,VLOOKUP(B1920,'Справочник ИХ'!A:C,3,0))</f>
        <v>Остальные грузы</v>
      </c>
      <c r="E1920" s="13">
        <f>IF(RIGHT(A1920,3)="000","х",VLOOKUP(B1920,'Справочник ИХ'!A:D,4,0))</f>
        <v>3</v>
      </c>
      <c r="F1920" s="14" t="s">
        <v>2868</v>
      </c>
    </row>
    <row r="1921" spans="1:6">
      <c r="A1921" s="19">
        <v>37110</v>
      </c>
      <c r="B1921" s="12" t="str">
        <f t="shared" si="29"/>
        <v>371</v>
      </c>
      <c r="C1921" s="1" t="s">
        <v>2878</v>
      </c>
      <c r="D1921" s="13" t="str">
        <f>IF(RIGHT(A1921,3)="000",C1921,VLOOKUP(B1921,'Справочник ИХ'!A:C,3,0))</f>
        <v>Остальные грузы</v>
      </c>
      <c r="E1921" s="13">
        <f>IF(RIGHT(A1921,3)="000","х",VLOOKUP(B1921,'Справочник ИХ'!A:D,4,0))</f>
        <v>3</v>
      </c>
      <c r="F1921" s="14" t="s">
        <v>2868</v>
      </c>
    </row>
    <row r="1922" spans="1:6" ht="31.75">
      <c r="A1922" s="19">
        <v>37111</v>
      </c>
      <c r="B1922" s="12" t="str">
        <f t="shared" si="29"/>
        <v>371</v>
      </c>
      <c r="C1922" s="1" t="s">
        <v>2879</v>
      </c>
      <c r="D1922" s="13" t="str">
        <f>IF(RIGHT(A1922,3)="000",C1922,VLOOKUP(B1922,'Справочник ИХ'!A:C,3,0))</f>
        <v>Остальные грузы</v>
      </c>
      <c r="E1922" s="13">
        <f>IF(RIGHT(A1922,3)="000","х",VLOOKUP(B1922,'Справочник ИХ'!A:D,4,0))</f>
        <v>3</v>
      </c>
      <c r="F1922" s="14" t="s">
        <v>2868</v>
      </c>
    </row>
    <row r="1923" spans="1:6" s="15" customFormat="1">
      <c r="A1923" s="7">
        <v>38000</v>
      </c>
      <c r="B1923" s="12" t="str">
        <f t="shared" si="29"/>
        <v>380</v>
      </c>
      <c r="C1923" s="11" t="s">
        <v>2880</v>
      </c>
      <c r="D1923" s="13" t="str">
        <f>IF(RIGHT(A1923,3)="000",C1923,VLOOKUP(B1923,'Справочник ИХ'!A:C,3,0))</f>
        <v xml:space="preserve">Автомобили и их части </v>
      </c>
      <c r="E1923" s="13" t="str">
        <f>IF(RIGHT(A1923,3)="000","х",VLOOKUP(B1923,'Справочник ИХ'!A:D,4,0))</f>
        <v>х</v>
      </c>
      <c r="F1923" s="14" t="s">
        <v>2880</v>
      </c>
    </row>
    <row r="1924" spans="1:6" s="18" customFormat="1">
      <c r="A1924" s="16">
        <v>38100</v>
      </c>
      <c r="B1924" s="12" t="str">
        <f t="shared" ref="B1924:B1987" si="30">LEFT(A1924,3)</f>
        <v>381</v>
      </c>
      <c r="C1924" s="17" t="s">
        <v>2880</v>
      </c>
      <c r="D1924" s="13" t="str">
        <f>IF(RIGHT(A1924,3)="000",C1924,VLOOKUP(B1924,'Справочник ИХ'!A:C,3,0))</f>
        <v>Остальные грузы</v>
      </c>
      <c r="E1924" s="13">
        <f>IF(RIGHT(A1924,3)="000","х",VLOOKUP(B1924,'Справочник ИХ'!A:D,4,0))</f>
        <v>3</v>
      </c>
      <c r="F1924" s="14" t="s">
        <v>2880</v>
      </c>
    </row>
    <row r="1925" spans="1:6">
      <c r="A1925" s="19">
        <v>38101</v>
      </c>
      <c r="B1925" s="12" t="str">
        <f t="shared" si="30"/>
        <v>381</v>
      </c>
      <c r="C1925" s="1" t="s">
        <v>2881</v>
      </c>
      <c r="D1925" s="13" t="str">
        <f>IF(RIGHT(A1925,3)="000",C1925,VLOOKUP(B1925,'Справочник ИХ'!A:C,3,0))</f>
        <v>Остальные грузы</v>
      </c>
      <c r="E1925" s="13">
        <f>IF(RIGHT(A1925,3)="000","х",VLOOKUP(B1925,'Справочник ИХ'!A:D,4,0))</f>
        <v>3</v>
      </c>
      <c r="F1925" s="14" t="s">
        <v>2880</v>
      </c>
    </row>
    <row r="1926" spans="1:6">
      <c r="A1926" s="19">
        <v>38102</v>
      </c>
      <c r="B1926" s="12" t="str">
        <f t="shared" si="30"/>
        <v>381</v>
      </c>
      <c r="C1926" s="1" t="s">
        <v>2882</v>
      </c>
      <c r="D1926" s="13" t="str">
        <f>IF(RIGHT(A1926,3)="000",C1926,VLOOKUP(B1926,'Справочник ИХ'!A:C,3,0))</f>
        <v>Остальные грузы</v>
      </c>
      <c r="E1926" s="13">
        <f>IF(RIGHT(A1926,3)="000","х",VLOOKUP(B1926,'Справочник ИХ'!A:D,4,0))</f>
        <v>3</v>
      </c>
      <c r="F1926" s="14" t="s">
        <v>2880</v>
      </c>
    </row>
    <row r="1927" spans="1:6">
      <c r="A1927" s="19">
        <v>38103</v>
      </c>
      <c r="B1927" s="12" t="str">
        <f t="shared" si="30"/>
        <v>381</v>
      </c>
      <c r="C1927" s="1" t="s">
        <v>2883</v>
      </c>
      <c r="D1927" s="13" t="str">
        <f>IF(RIGHT(A1927,3)="000",C1927,VLOOKUP(B1927,'Справочник ИХ'!A:C,3,0))</f>
        <v>Остальные грузы</v>
      </c>
      <c r="E1927" s="13">
        <f>IF(RIGHT(A1927,3)="000","х",VLOOKUP(B1927,'Справочник ИХ'!A:D,4,0))</f>
        <v>3</v>
      </c>
      <c r="F1927" s="14" t="s">
        <v>2880</v>
      </c>
    </row>
    <row r="1928" spans="1:6">
      <c r="A1928" s="19">
        <v>38104</v>
      </c>
      <c r="B1928" s="12" t="str">
        <f t="shared" si="30"/>
        <v>381</v>
      </c>
      <c r="C1928" s="1" t="s">
        <v>2884</v>
      </c>
      <c r="D1928" s="13" t="str">
        <f>IF(RIGHT(A1928,3)="000",C1928,VLOOKUP(B1928,'Справочник ИХ'!A:C,3,0))</f>
        <v>Остальные грузы</v>
      </c>
      <c r="E1928" s="13">
        <f>IF(RIGHT(A1928,3)="000","х",VLOOKUP(B1928,'Справочник ИХ'!A:D,4,0))</f>
        <v>3</v>
      </c>
      <c r="F1928" s="14" t="s">
        <v>2880</v>
      </c>
    </row>
    <row r="1929" spans="1:6">
      <c r="A1929" s="19">
        <v>38105</v>
      </c>
      <c r="B1929" s="12" t="str">
        <f t="shared" si="30"/>
        <v>381</v>
      </c>
      <c r="C1929" s="1" t="s">
        <v>2885</v>
      </c>
      <c r="D1929" s="13" t="str">
        <f>IF(RIGHT(A1929,3)="000",C1929,VLOOKUP(B1929,'Справочник ИХ'!A:C,3,0))</f>
        <v>Остальные грузы</v>
      </c>
      <c r="E1929" s="13">
        <f>IF(RIGHT(A1929,3)="000","х",VLOOKUP(B1929,'Справочник ИХ'!A:D,4,0))</f>
        <v>3</v>
      </c>
      <c r="F1929" s="14" t="s">
        <v>2880</v>
      </c>
    </row>
    <row r="1930" spans="1:6" ht="31.75">
      <c r="A1930" s="19">
        <v>38106</v>
      </c>
      <c r="B1930" s="12" t="str">
        <f t="shared" si="30"/>
        <v>381</v>
      </c>
      <c r="C1930" s="1" t="s">
        <v>2886</v>
      </c>
      <c r="D1930" s="13" t="str">
        <f>IF(RIGHT(A1930,3)="000",C1930,VLOOKUP(B1930,'Справочник ИХ'!A:C,3,0))</f>
        <v>Остальные грузы</v>
      </c>
      <c r="E1930" s="13">
        <f>IF(RIGHT(A1930,3)="000","х",VLOOKUP(B1930,'Справочник ИХ'!A:D,4,0))</f>
        <v>3</v>
      </c>
      <c r="F1930" s="14" t="s">
        <v>2880</v>
      </c>
    </row>
    <row r="1931" spans="1:6" ht="31.75">
      <c r="A1931" s="19">
        <v>38107</v>
      </c>
      <c r="B1931" s="12" t="str">
        <f t="shared" si="30"/>
        <v>381</v>
      </c>
      <c r="C1931" s="1" t="s">
        <v>2887</v>
      </c>
      <c r="D1931" s="13" t="str">
        <f>IF(RIGHT(A1931,3)="000",C1931,VLOOKUP(B1931,'Справочник ИХ'!A:C,3,0))</f>
        <v>Остальные грузы</v>
      </c>
      <c r="E1931" s="13">
        <f>IF(RIGHT(A1931,3)="000","х",VLOOKUP(B1931,'Справочник ИХ'!A:D,4,0))</f>
        <v>3</v>
      </c>
      <c r="F1931" s="14" t="s">
        <v>2880</v>
      </c>
    </row>
    <row r="1932" spans="1:6">
      <c r="A1932" s="19">
        <v>38108</v>
      </c>
      <c r="B1932" s="12" t="str">
        <f t="shared" si="30"/>
        <v>381</v>
      </c>
      <c r="C1932" s="1" t="s">
        <v>2888</v>
      </c>
      <c r="D1932" s="13" t="str">
        <f>IF(RIGHT(A1932,3)="000",C1932,VLOOKUP(B1932,'Справочник ИХ'!A:C,3,0))</f>
        <v>Остальные грузы</v>
      </c>
      <c r="E1932" s="13">
        <f>IF(RIGHT(A1932,3)="000","х",VLOOKUP(B1932,'Справочник ИХ'!A:D,4,0))</f>
        <v>3</v>
      </c>
      <c r="F1932" s="14" t="s">
        <v>2880</v>
      </c>
    </row>
    <row r="1933" spans="1:6">
      <c r="A1933" s="19">
        <v>38109</v>
      </c>
      <c r="B1933" s="12" t="str">
        <f t="shared" si="30"/>
        <v>381</v>
      </c>
      <c r="C1933" s="1" t="s">
        <v>2889</v>
      </c>
      <c r="D1933" s="13" t="str">
        <f>IF(RIGHT(A1933,3)="000",C1933,VLOOKUP(B1933,'Справочник ИХ'!A:C,3,0))</f>
        <v>Остальные грузы</v>
      </c>
      <c r="E1933" s="13">
        <f>IF(RIGHT(A1933,3)="000","х",VLOOKUP(B1933,'Справочник ИХ'!A:D,4,0))</f>
        <v>3</v>
      </c>
      <c r="F1933" s="14" t="s">
        <v>2880</v>
      </c>
    </row>
    <row r="1934" spans="1:6" ht="31.75">
      <c r="A1934" s="19">
        <v>38110</v>
      </c>
      <c r="B1934" s="12" t="str">
        <f t="shared" si="30"/>
        <v>381</v>
      </c>
      <c r="C1934" s="1" t="s">
        <v>2890</v>
      </c>
      <c r="D1934" s="13" t="str">
        <f>IF(RIGHT(A1934,3)="000",C1934,VLOOKUP(B1934,'Справочник ИХ'!A:C,3,0))</f>
        <v>Остальные грузы</v>
      </c>
      <c r="E1934" s="13">
        <f>IF(RIGHT(A1934,3)="000","х",VLOOKUP(B1934,'Справочник ИХ'!A:D,4,0))</f>
        <v>3</v>
      </c>
      <c r="F1934" s="14" t="s">
        <v>2880</v>
      </c>
    </row>
    <row r="1935" spans="1:6">
      <c r="A1935" s="19">
        <v>38111</v>
      </c>
      <c r="B1935" s="12" t="str">
        <f t="shared" si="30"/>
        <v>381</v>
      </c>
      <c r="C1935" s="1" t="s">
        <v>2891</v>
      </c>
      <c r="D1935" s="13" t="str">
        <f>IF(RIGHT(A1935,3)="000",C1935,VLOOKUP(B1935,'Справочник ИХ'!A:C,3,0))</f>
        <v>Остальные грузы</v>
      </c>
      <c r="E1935" s="13">
        <f>IF(RIGHT(A1935,3)="000","х",VLOOKUP(B1935,'Справочник ИХ'!A:D,4,0))</f>
        <v>3</v>
      </c>
      <c r="F1935" s="14" t="s">
        <v>2880</v>
      </c>
    </row>
    <row r="1936" spans="1:6">
      <c r="A1936" s="19">
        <v>38112</v>
      </c>
      <c r="B1936" s="12" t="str">
        <f t="shared" si="30"/>
        <v>381</v>
      </c>
      <c r="C1936" s="1" t="s">
        <v>2892</v>
      </c>
      <c r="D1936" s="13" t="str">
        <f>IF(RIGHT(A1936,3)="000",C1936,VLOOKUP(B1936,'Справочник ИХ'!A:C,3,0))</f>
        <v>Остальные грузы</v>
      </c>
      <c r="E1936" s="13">
        <f>IF(RIGHT(A1936,3)="000","х",VLOOKUP(B1936,'Справочник ИХ'!A:D,4,0))</f>
        <v>3</v>
      </c>
      <c r="F1936" s="14" t="s">
        <v>2880</v>
      </c>
    </row>
    <row r="1937" spans="1:6">
      <c r="A1937" s="19">
        <v>38113</v>
      </c>
      <c r="B1937" s="12" t="str">
        <f t="shared" si="30"/>
        <v>381</v>
      </c>
      <c r="C1937" s="1" t="s">
        <v>2893</v>
      </c>
      <c r="D1937" s="13" t="str">
        <f>IF(RIGHT(A1937,3)="000",C1937,VLOOKUP(B1937,'Справочник ИХ'!A:C,3,0))</f>
        <v>Остальные грузы</v>
      </c>
      <c r="E1937" s="13">
        <f>IF(RIGHT(A1937,3)="000","х",VLOOKUP(B1937,'Справочник ИХ'!A:D,4,0))</f>
        <v>3</v>
      </c>
      <c r="F1937" s="14" t="s">
        <v>2880</v>
      </c>
    </row>
    <row r="1938" spans="1:6">
      <c r="A1938" s="19">
        <v>38114</v>
      </c>
      <c r="B1938" s="12" t="str">
        <f t="shared" si="30"/>
        <v>381</v>
      </c>
      <c r="C1938" s="1" t="s">
        <v>2894</v>
      </c>
      <c r="D1938" s="13" t="str">
        <f>IF(RIGHT(A1938,3)="000",C1938,VLOOKUP(B1938,'Справочник ИХ'!A:C,3,0))</f>
        <v>Остальные грузы</v>
      </c>
      <c r="E1938" s="13">
        <f>IF(RIGHT(A1938,3)="000","х",VLOOKUP(B1938,'Справочник ИХ'!A:D,4,0))</f>
        <v>3</v>
      </c>
      <c r="F1938" s="14" t="s">
        <v>2880</v>
      </c>
    </row>
    <row r="1939" spans="1:6">
      <c r="A1939" s="19">
        <v>38115</v>
      </c>
      <c r="B1939" s="12" t="str">
        <f t="shared" si="30"/>
        <v>381</v>
      </c>
      <c r="C1939" s="1" t="s">
        <v>2895</v>
      </c>
      <c r="D1939" s="13" t="str">
        <f>IF(RIGHT(A1939,3)="000",C1939,VLOOKUP(B1939,'Справочник ИХ'!A:C,3,0))</f>
        <v>Остальные грузы</v>
      </c>
      <c r="E1939" s="13">
        <f>IF(RIGHT(A1939,3)="000","х",VLOOKUP(B1939,'Справочник ИХ'!A:D,4,0))</f>
        <v>3</v>
      </c>
      <c r="F1939" s="14" t="s">
        <v>2880</v>
      </c>
    </row>
    <row r="1940" spans="1:6">
      <c r="A1940" s="19">
        <v>38116</v>
      </c>
      <c r="B1940" s="12" t="str">
        <f t="shared" si="30"/>
        <v>381</v>
      </c>
      <c r="C1940" s="1" t="s">
        <v>2896</v>
      </c>
      <c r="D1940" s="13" t="str">
        <f>IF(RIGHT(A1940,3)="000",C1940,VLOOKUP(B1940,'Справочник ИХ'!A:C,3,0))</f>
        <v>Остальные грузы</v>
      </c>
      <c r="E1940" s="13">
        <f>IF(RIGHT(A1940,3)="000","х",VLOOKUP(B1940,'Справочник ИХ'!A:D,4,0))</f>
        <v>3</v>
      </c>
      <c r="F1940" s="14" t="s">
        <v>2880</v>
      </c>
    </row>
    <row r="1941" spans="1:6">
      <c r="A1941" s="19">
        <v>38117</v>
      </c>
      <c r="B1941" s="12" t="str">
        <f t="shared" si="30"/>
        <v>381</v>
      </c>
      <c r="C1941" s="1" t="s">
        <v>2897</v>
      </c>
      <c r="D1941" s="13" t="str">
        <f>IF(RIGHT(A1941,3)="000",C1941,VLOOKUP(B1941,'Справочник ИХ'!A:C,3,0))</f>
        <v>Остальные грузы</v>
      </c>
      <c r="E1941" s="13">
        <f>IF(RIGHT(A1941,3)="000","х",VLOOKUP(B1941,'Справочник ИХ'!A:D,4,0))</f>
        <v>3</v>
      </c>
      <c r="F1941" s="14" t="s">
        <v>2880</v>
      </c>
    </row>
    <row r="1942" spans="1:6">
      <c r="A1942" s="19">
        <v>38118</v>
      </c>
      <c r="B1942" s="12" t="str">
        <f t="shared" si="30"/>
        <v>381</v>
      </c>
      <c r="C1942" s="1" t="s">
        <v>2898</v>
      </c>
      <c r="D1942" s="13" t="str">
        <f>IF(RIGHT(A1942,3)="000",C1942,VLOOKUP(B1942,'Справочник ИХ'!A:C,3,0))</f>
        <v>Остальные грузы</v>
      </c>
      <c r="E1942" s="13">
        <f>IF(RIGHT(A1942,3)="000","х",VLOOKUP(B1942,'Справочник ИХ'!A:D,4,0))</f>
        <v>3</v>
      </c>
      <c r="F1942" s="14" t="s">
        <v>2880</v>
      </c>
    </row>
    <row r="1943" spans="1:6">
      <c r="A1943" s="19">
        <v>38119</v>
      </c>
      <c r="B1943" s="12" t="str">
        <f t="shared" si="30"/>
        <v>381</v>
      </c>
      <c r="C1943" s="1" t="s">
        <v>2899</v>
      </c>
      <c r="D1943" s="13" t="str">
        <f>IF(RIGHT(A1943,3)="000",C1943,VLOOKUP(B1943,'Справочник ИХ'!A:C,3,0))</f>
        <v>Остальные грузы</v>
      </c>
      <c r="E1943" s="13">
        <f>IF(RIGHT(A1943,3)="000","х",VLOOKUP(B1943,'Справочник ИХ'!A:D,4,0))</f>
        <v>3</v>
      </c>
      <c r="F1943" s="14" t="s">
        <v>2880</v>
      </c>
    </row>
    <row r="1944" spans="1:6">
      <c r="A1944" s="19">
        <v>38120</v>
      </c>
      <c r="B1944" s="12" t="str">
        <f t="shared" si="30"/>
        <v>381</v>
      </c>
      <c r="C1944" s="1" t="s">
        <v>2900</v>
      </c>
      <c r="D1944" s="13" t="str">
        <f>IF(RIGHT(A1944,3)="000",C1944,VLOOKUP(B1944,'Справочник ИХ'!A:C,3,0))</f>
        <v>Остальные грузы</v>
      </c>
      <c r="E1944" s="13">
        <f>IF(RIGHT(A1944,3)="000","х",VLOOKUP(B1944,'Справочник ИХ'!A:D,4,0))</f>
        <v>3</v>
      </c>
      <c r="F1944" s="14" t="s">
        <v>2880</v>
      </c>
    </row>
    <row r="1945" spans="1:6">
      <c r="A1945" s="19">
        <v>38121</v>
      </c>
      <c r="B1945" s="12" t="str">
        <f t="shared" si="30"/>
        <v>381</v>
      </c>
      <c r="C1945" s="1" t="s">
        <v>2901</v>
      </c>
      <c r="D1945" s="13" t="str">
        <f>IF(RIGHT(A1945,3)="000",C1945,VLOOKUP(B1945,'Справочник ИХ'!A:C,3,0))</f>
        <v>Остальные грузы</v>
      </c>
      <c r="E1945" s="13">
        <f>IF(RIGHT(A1945,3)="000","х",VLOOKUP(B1945,'Справочник ИХ'!A:D,4,0))</f>
        <v>3</v>
      </c>
      <c r="F1945" s="14" t="s">
        <v>2880</v>
      </c>
    </row>
    <row r="1946" spans="1:6">
      <c r="A1946" s="19">
        <v>38122</v>
      </c>
      <c r="B1946" s="12" t="str">
        <f t="shared" si="30"/>
        <v>381</v>
      </c>
      <c r="C1946" s="1" t="s">
        <v>2902</v>
      </c>
      <c r="D1946" s="13" t="str">
        <f>IF(RIGHT(A1946,3)="000",C1946,VLOOKUP(B1946,'Справочник ИХ'!A:C,3,0))</f>
        <v>Остальные грузы</v>
      </c>
      <c r="E1946" s="13">
        <f>IF(RIGHT(A1946,3)="000","х",VLOOKUP(B1946,'Справочник ИХ'!A:D,4,0))</f>
        <v>3</v>
      </c>
      <c r="F1946" s="14" t="s">
        <v>2880</v>
      </c>
    </row>
    <row r="1947" spans="1:6">
      <c r="A1947" s="19">
        <v>38123</v>
      </c>
      <c r="B1947" s="12" t="str">
        <f t="shared" si="30"/>
        <v>381</v>
      </c>
      <c r="C1947" s="1" t="s">
        <v>2903</v>
      </c>
      <c r="D1947" s="13" t="str">
        <f>IF(RIGHT(A1947,3)="000",C1947,VLOOKUP(B1947,'Справочник ИХ'!A:C,3,0))</f>
        <v>Остальные грузы</v>
      </c>
      <c r="E1947" s="13">
        <f>IF(RIGHT(A1947,3)="000","х",VLOOKUP(B1947,'Справочник ИХ'!A:D,4,0))</f>
        <v>3</v>
      </c>
      <c r="F1947" s="14" t="s">
        <v>2880</v>
      </c>
    </row>
    <row r="1948" spans="1:6">
      <c r="A1948" s="19">
        <v>38124</v>
      </c>
      <c r="B1948" s="12" t="str">
        <f t="shared" si="30"/>
        <v>381</v>
      </c>
      <c r="C1948" s="1" t="s">
        <v>2904</v>
      </c>
      <c r="D1948" s="13" t="str">
        <f>IF(RIGHT(A1948,3)="000",C1948,VLOOKUP(B1948,'Справочник ИХ'!A:C,3,0))</f>
        <v>Остальные грузы</v>
      </c>
      <c r="E1948" s="13">
        <f>IF(RIGHT(A1948,3)="000","х",VLOOKUP(B1948,'Справочник ИХ'!A:D,4,0))</f>
        <v>3</v>
      </c>
      <c r="F1948" s="14" t="s">
        <v>2880</v>
      </c>
    </row>
    <row r="1949" spans="1:6">
      <c r="A1949" s="19">
        <v>38125</v>
      </c>
      <c r="B1949" s="12" t="str">
        <f t="shared" si="30"/>
        <v>381</v>
      </c>
      <c r="C1949" s="1" t="s">
        <v>2905</v>
      </c>
      <c r="D1949" s="13" t="str">
        <f>IF(RIGHT(A1949,3)="000",C1949,VLOOKUP(B1949,'Справочник ИХ'!A:C,3,0))</f>
        <v>Остальные грузы</v>
      </c>
      <c r="E1949" s="13">
        <f>IF(RIGHT(A1949,3)="000","х",VLOOKUP(B1949,'Справочник ИХ'!A:D,4,0))</f>
        <v>3</v>
      </c>
      <c r="F1949" s="14" t="s">
        <v>2880</v>
      </c>
    </row>
    <row r="1950" spans="1:6">
      <c r="A1950" s="19">
        <v>38126</v>
      </c>
      <c r="B1950" s="12" t="str">
        <f t="shared" si="30"/>
        <v>381</v>
      </c>
      <c r="C1950" s="1" t="s">
        <v>2906</v>
      </c>
      <c r="D1950" s="13" t="str">
        <f>IF(RIGHT(A1950,3)="000",C1950,VLOOKUP(B1950,'Справочник ИХ'!A:C,3,0))</f>
        <v>Остальные грузы</v>
      </c>
      <c r="E1950" s="13">
        <f>IF(RIGHT(A1950,3)="000","х",VLOOKUP(B1950,'Справочник ИХ'!A:D,4,0))</f>
        <v>3</v>
      </c>
      <c r="F1950" s="14" t="s">
        <v>2880</v>
      </c>
    </row>
    <row r="1951" spans="1:6">
      <c r="A1951" s="19">
        <v>38127</v>
      </c>
      <c r="B1951" s="12" t="str">
        <f t="shared" si="30"/>
        <v>381</v>
      </c>
      <c r="C1951" s="1" t="s">
        <v>2907</v>
      </c>
      <c r="D1951" s="13" t="str">
        <f>IF(RIGHT(A1951,3)="000",C1951,VLOOKUP(B1951,'Справочник ИХ'!A:C,3,0))</f>
        <v>Остальные грузы</v>
      </c>
      <c r="E1951" s="13">
        <f>IF(RIGHT(A1951,3)="000","х",VLOOKUP(B1951,'Справочник ИХ'!A:D,4,0))</f>
        <v>3</v>
      </c>
      <c r="F1951" s="14" t="s">
        <v>2880</v>
      </c>
    </row>
    <row r="1952" spans="1:6">
      <c r="A1952" s="19">
        <v>38128</v>
      </c>
      <c r="B1952" s="12" t="str">
        <f t="shared" si="30"/>
        <v>381</v>
      </c>
      <c r="C1952" s="1" t="s">
        <v>2908</v>
      </c>
      <c r="D1952" s="13" t="str">
        <f>IF(RIGHT(A1952,3)="000",C1952,VLOOKUP(B1952,'Справочник ИХ'!A:C,3,0))</f>
        <v>Остальные грузы</v>
      </c>
      <c r="E1952" s="13">
        <f>IF(RIGHT(A1952,3)="000","х",VLOOKUP(B1952,'Справочник ИХ'!A:D,4,0))</f>
        <v>3</v>
      </c>
      <c r="F1952" s="14" t="s">
        <v>2880</v>
      </c>
    </row>
    <row r="1953" spans="1:6" ht="31.75">
      <c r="A1953" s="19">
        <v>38129</v>
      </c>
      <c r="B1953" s="12" t="str">
        <f t="shared" si="30"/>
        <v>381</v>
      </c>
      <c r="C1953" s="1" t="s">
        <v>2909</v>
      </c>
      <c r="D1953" s="13" t="str">
        <f>IF(RIGHT(A1953,3)="000",C1953,VLOOKUP(B1953,'Справочник ИХ'!A:C,3,0))</f>
        <v>Остальные грузы</v>
      </c>
      <c r="E1953" s="13">
        <f>IF(RIGHT(A1953,3)="000","х",VLOOKUP(B1953,'Справочник ИХ'!A:D,4,0))</f>
        <v>3</v>
      </c>
      <c r="F1953" s="14" t="s">
        <v>2880</v>
      </c>
    </row>
    <row r="1954" spans="1:6">
      <c r="A1954" s="19">
        <v>38130</v>
      </c>
      <c r="B1954" s="12" t="str">
        <f t="shared" si="30"/>
        <v>381</v>
      </c>
      <c r="C1954" s="1" t="s">
        <v>2910</v>
      </c>
      <c r="D1954" s="13" t="str">
        <f>IF(RIGHT(A1954,3)="000",C1954,VLOOKUP(B1954,'Справочник ИХ'!A:C,3,0))</f>
        <v>Остальные грузы</v>
      </c>
      <c r="E1954" s="13">
        <f>IF(RIGHT(A1954,3)="000","х",VLOOKUP(B1954,'Справочник ИХ'!A:D,4,0))</f>
        <v>3</v>
      </c>
      <c r="F1954" s="14" t="s">
        <v>2880</v>
      </c>
    </row>
    <row r="1955" spans="1:6" s="15" customFormat="1" ht="47.6">
      <c r="A1955" s="7">
        <v>39000</v>
      </c>
      <c r="B1955" s="12" t="str">
        <f t="shared" si="30"/>
        <v>390</v>
      </c>
      <c r="C1955" s="11" t="s">
        <v>2911</v>
      </c>
      <c r="D1955" s="13" t="str">
        <f>IF(RIGHT(A1955,3)="000",C1955,VLOOKUP(B1955,'Справочник ИХ'!A:C,3,0))</f>
        <v xml:space="preserve">Средства транспортирования, кроме автомобилей </v>
      </c>
      <c r="E1955" s="13" t="str">
        <f>IF(RIGHT(A1955,3)="000","х",VLOOKUP(B1955,'Справочник ИХ'!A:D,4,0))</f>
        <v>х</v>
      </c>
      <c r="F1955" s="14" t="s">
        <v>2911</v>
      </c>
    </row>
    <row r="1956" spans="1:6" s="18" customFormat="1" ht="31.75">
      <c r="A1956" s="16">
        <v>39100</v>
      </c>
      <c r="B1956" s="12" t="str">
        <f t="shared" si="30"/>
        <v>391</v>
      </c>
      <c r="C1956" s="17" t="s">
        <v>2912</v>
      </c>
      <c r="D1956" s="13" t="str">
        <f>IF(RIGHT(A1956,3)="000",C1956,VLOOKUP(B1956,'Справочник ИХ'!A:C,3,0))</f>
        <v>Остальные грузы</v>
      </c>
      <c r="E1956" s="13">
        <f>IF(RIGHT(A1956,3)="000","х",VLOOKUP(B1956,'Справочник ИХ'!A:D,4,0))</f>
        <v>3</v>
      </c>
      <c r="F1956" s="14" t="s">
        <v>2911</v>
      </c>
    </row>
    <row r="1957" spans="1:6" ht="31.75">
      <c r="A1957" s="19">
        <v>39101</v>
      </c>
      <c r="B1957" s="12" t="str">
        <f t="shared" si="30"/>
        <v>391</v>
      </c>
      <c r="C1957" s="1" t="s">
        <v>2913</v>
      </c>
      <c r="D1957" s="13" t="str">
        <f>IF(RIGHT(A1957,3)="000",C1957,VLOOKUP(B1957,'Справочник ИХ'!A:C,3,0))</f>
        <v>Остальные грузы</v>
      </c>
      <c r="E1957" s="13">
        <f>IF(RIGHT(A1957,3)="000","х",VLOOKUP(B1957,'Справочник ИХ'!A:D,4,0))</f>
        <v>3</v>
      </c>
      <c r="F1957" s="14" t="s">
        <v>2911</v>
      </c>
    </row>
    <row r="1958" spans="1:6" ht="31.75">
      <c r="A1958" s="19">
        <v>39102</v>
      </c>
      <c r="B1958" s="12" t="str">
        <f t="shared" si="30"/>
        <v>391</v>
      </c>
      <c r="C1958" s="1" t="s">
        <v>2914</v>
      </c>
      <c r="D1958" s="13" t="str">
        <f>IF(RIGHT(A1958,3)="000",C1958,VLOOKUP(B1958,'Справочник ИХ'!A:C,3,0))</f>
        <v>Остальные грузы</v>
      </c>
      <c r="E1958" s="13">
        <f>IF(RIGHT(A1958,3)="000","х",VLOOKUP(B1958,'Справочник ИХ'!A:D,4,0))</f>
        <v>3</v>
      </c>
      <c r="F1958" s="14" t="s">
        <v>2911</v>
      </c>
    </row>
    <row r="1959" spans="1:6" ht="31.75">
      <c r="A1959" s="19">
        <v>39103</v>
      </c>
      <c r="B1959" s="12" t="str">
        <f t="shared" si="30"/>
        <v>391</v>
      </c>
      <c r="C1959" s="1" t="s">
        <v>2915</v>
      </c>
      <c r="D1959" s="13" t="str">
        <f>IF(RIGHT(A1959,3)="000",C1959,VLOOKUP(B1959,'Справочник ИХ'!A:C,3,0))</f>
        <v>Остальные грузы</v>
      </c>
      <c r="E1959" s="13">
        <f>IF(RIGHT(A1959,3)="000","х",VLOOKUP(B1959,'Справочник ИХ'!A:D,4,0))</f>
        <v>3</v>
      </c>
      <c r="F1959" s="14" t="s">
        <v>2911</v>
      </c>
    </row>
    <row r="1960" spans="1:6" ht="31.75">
      <c r="A1960" s="19">
        <v>39104</v>
      </c>
      <c r="B1960" s="12" t="str">
        <f t="shared" si="30"/>
        <v>391</v>
      </c>
      <c r="C1960" s="1" t="s">
        <v>2916</v>
      </c>
      <c r="D1960" s="13" t="str">
        <f>IF(RIGHT(A1960,3)="000",C1960,VLOOKUP(B1960,'Справочник ИХ'!A:C,3,0))</f>
        <v>Остальные грузы</v>
      </c>
      <c r="E1960" s="13">
        <f>IF(RIGHT(A1960,3)="000","х",VLOOKUP(B1960,'Справочник ИХ'!A:D,4,0))</f>
        <v>3</v>
      </c>
      <c r="F1960" s="14" t="s">
        <v>2911</v>
      </c>
    </row>
    <row r="1961" spans="1:6" ht="31.75">
      <c r="A1961" s="19">
        <v>39105</v>
      </c>
      <c r="B1961" s="12" t="str">
        <f t="shared" si="30"/>
        <v>391</v>
      </c>
      <c r="C1961" s="1" t="s">
        <v>2917</v>
      </c>
      <c r="D1961" s="13" t="str">
        <f>IF(RIGHT(A1961,3)="000",C1961,VLOOKUP(B1961,'Справочник ИХ'!A:C,3,0))</f>
        <v>Остальные грузы</v>
      </c>
      <c r="E1961" s="13">
        <f>IF(RIGHT(A1961,3)="000","х",VLOOKUP(B1961,'Справочник ИХ'!A:D,4,0))</f>
        <v>3</v>
      </c>
      <c r="F1961" s="14" t="s">
        <v>2911</v>
      </c>
    </row>
    <row r="1962" spans="1:6" ht="31.75">
      <c r="A1962" s="19">
        <v>39106</v>
      </c>
      <c r="B1962" s="12" t="str">
        <f t="shared" si="30"/>
        <v>391</v>
      </c>
      <c r="C1962" s="1" t="s">
        <v>2918</v>
      </c>
      <c r="D1962" s="13" t="str">
        <f>IF(RIGHT(A1962,3)="000",C1962,VLOOKUP(B1962,'Справочник ИХ'!A:C,3,0))</f>
        <v>Остальные грузы</v>
      </c>
      <c r="E1962" s="13">
        <f>IF(RIGHT(A1962,3)="000","х",VLOOKUP(B1962,'Справочник ИХ'!A:D,4,0))</f>
        <v>3</v>
      </c>
      <c r="F1962" s="14" t="s">
        <v>2911</v>
      </c>
    </row>
    <row r="1963" spans="1:6" ht="31.75">
      <c r="A1963" s="19">
        <v>39107</v>
      </c>
      <c r="B1963" s="12" t="str">
        <f t="shared" si="30"/>
        <v>391</v>
      </c>
      <c r="C1963" s="1" t="s">
        <v>2919</v>
      </c>
      <c r="D1963" s="13" t="str">
        <f>IF(RIGHT(A1963,3)="000",C1963,VLOOKUP(B1963,'Справочник ИХ'!A:C,3,0))</f>
        <v>Остальные грузы</v>
      </c>
      <c r="E1963" s="13">
        <f>IF(RIGHT(A1963,3)="000","х",VLOOKUP(B1963,'Справочник ИХ'!A:D,4,0))</f>
        <v>3</v>
      </c>
      <c r="F1963" s="14" t="s">
        <v>2911</v>
      </c>
    </row>
    <row r="1964" spans="1:6" ht="31.75">
      <c r="A1964" s="19">
        <v>39108</v>
      </c>
      <c r="B1964" s="12" t="str">
        <f t="shared" si="30"/>
        <v>391</v>
      </c>
      <c r="C1964" s="1" t="s">
        <v>2920</v>
      </c>
      <c r="D1964" s="13" t="str">
        <f>IF(RIGHT(A1964,3)="000",C1964,VLOOKUP(B1964,'Справочник ИХ'!A:C,3,0))</f>
        <v>Остальные грузы</v>
      </c>
      <c r="E1964" s="13">
        <f>IF(RIGHT(A1964,3)="000","х",VLOOKUP(B1964,'Справочник ИХ'!A:D,4,0))</f>
        <v>3</v>
      </c>
      <c r="F1964" s="14" t="s">
        <v>2911</v>
      </c>
    </row>
    <row r="1965" spans="1:6" ht="31.75">
      <c r="A1965" s="19">
        <v>39109</v>
      </c>
      <c r="B1965" s="12" t="str">
        <f t="shared" si="30"/>
        <v>391</v>
      </c>
      <c r="C1965" s="1" t="s">
        <v>2921</v>
      </c>
      <c r="D1965" s="13" t="str">
        <f>IF(RIGHT(A1965,3)="000",C1965,VLOOKUP(B1965,'Справочник ИХ'!A:C,3,0))</f>
        <v>Остальные грузы</v>
      </c>
      <c r="E1965" s="13">
        <f>IF(RIGHT(A1965,3)="000","х",VLOOKUP(B1965,'Справочник ИХ'!A:D,4,0))</f>
        <v>3</v>
      </c>
      <c r="F1965" s="14" t="s">
        <v>2911</v>
      </c>
    </row>
    <row r="1966" spans="1:6" ht="31.75">
      <c r="A1966" s="19">
        <v>39110</v>
      </c>
      <c r="B1966" s="12" t="str">
        <f t="shared" si="30"/>
        <v>391</v>
      </c>
      <c r="C1966" s="1" t="s">
        <v>2922</v>
      </c>
      <c r="D1966" s="13" t="str">
        <f>IF(RIGHT(A1966,3)="000",C1966,VLOOKUP(B1966,'Справочник ИХ'!A:C,3,0))</f>
        <v>Остальные грузы</v>
      </c>
      <c r="E1966" s="13">
        <f>IF(RIGHT(A1966,3)="000","х",VLOOKUP(B1966,'Справочник ИХ'!A:D,4,0))</f>
        <v>3</v>
      </c>
      <c r="F1966" s="14" t="s">
        <v>2911</v>
      </c>
    </row>
    <row r="1967" spans="1:6" ht="31.75">
      <c r="A1967" s="19">
        <v>39111</v>
      </c>
      <c r="B1967" s="12" t="str">
        <f t="shared" si="30"/>
        <v>391</v>
      </c>
      <c r="C1967" s="1" t="s">
        <v>2923</v>
      </c>
      <c r="D1967" s="13" t="str">
        <f>IF(RIGHT(A1967,3)="000",C1967,VLOOKUP(B1967,'Справочник ИХ'!A:C,3,0))</f>
        <v>Остальные грузы</v>
      </c>
      <c r="E1967" s="13">
        <f>IF(RIGHT(A1967,3)="000","х",VLOOKUP(B1967,'Справочник ИХ'!A:D,4,0))</f>
        <v>3</v>
      </c>
      <c r="F1967" s="14" t="s">
        <v>2911</v>
      </c>
    </row>
    <row r="1968" spans="1:6" ht="31.75">
      <c r="A1968" s="19">
        <v>39112</v>
      </c>
      <c r="B1968" s="12" t="str">
        <f t="shared" si="30"/>
        <v>391</v>
      </c>
      <c r="C1968" s="1" t="s">
        <v>2924</v>
      </c>
      <c r="D1968" s="13" t="str">
        <f>IF(RIGHT(A1968,3)="000",C1968,VLOOKUP(B1968,'Справочник ИХ'!A:C,3,0))</f>
        <v>Остальные грузы</v>
      </c>
      <c r="E1968" s="13">
        <f>IF(RIGHT(A1968,3)="000","х",VLOOKUP(B1968,'Справочник ИХ'!A:D,4,0))</f>
        <v>3</v>
      </c>
      <c r="F1968" s="14" t="s">
        <v>2911</v>
      </c>
    </row>
    <row r="1969" spans="1:6" ht="31.75">
      <c r="A1969" s="19">
        <v>39113</v>
      </c>
      <c r="B1969" s="12" t="str">
        <f t="shared" si="30"/>
        <v>391</v>
      </c>
      <c r="C1969" s="1" t="s">
        <v>2925</v>
      </c>
      <c r="D1969" s="13" t="str">
        <f>IF(RIGHT(A1969,3)="000",C1969,VLOOKUP(B1969,'Справочник ИХ'!A:C,3,0))</f>
        <v>Остальные грузы</v>
      </c>
      <c r="E1969" s="13">
        <f>IF(RIGHT(A1969,3)="000","х",VLOOKUP(B1969,'Справочник ИХ'!A:D,4,0))</f>
        <v>3</v>
      </c>
      <c r="F1969" s="14" t="s">
        <v>2911</v>
      </c>
    </row>
    <row r="1970" spans="1:6" ht="31.75">
      <c r="A1970" s="19">
        <v>39114</v>
      </c>
      <c r="B1970" s="12" t="str">
        <f t="shared" si="30"/>
        <v>391</v>
      </c>
      <c r="C1970" s="1" t="s">
        <v>2926</v>
      </c>
      <c r="D1970" s="13" t="str">
        <f>IF(RIGHT(A1970,3)="000",C1970,VLOOKUP(B1970,'Справочник ИХ'!A:C,3,0))</f>
        <v>Остальные грузы</v>
      </c>
      <c r="E1970" s="13">
        <f>IF(RIGHT(A1970,3)="000","х",VLOOKUP(B1970,'Справочник ИХ'!A:D,4,0))</f>
        <v>3</v>
      </c>
      <c r="F1970" s="14" t="s">
        <v>2911</v>
      </c>
    </row>
    <row r="1971" spans="1:6" ht="31.75">
      <c r="A1971" s="19">
        <v>39115</v>
      </c>
      <c r="B1971" s="12" t="str">
        <f t="shared" si="30"/>
        <v>391</v>
      </c>
      <c r="C1971" s="1" t="s">
        <v>2927</v>
      </c>
      <c r="D1971" s="13" t="str">
        <f>IF(RIGHT(A1971,3)="000",C1971,VLOOKUP(B1971,'Справочник ИХ'!A:C,3,0))</f>
        <v>Остальные грузы</v>
      </c>
      <c r="E1971" s="13">
        <f>IF(RIGHT(A1971,3)="000","х",VLOOKUP(B1971,'Справочник ИХ'!A:D,4,0))</f>
        <v>3</v>
      </c>
      <c r="F1971" s="14" t="s">
        <v>2911</v>
      </c>
    </row>
    <row r="1972" spans="1:6" ht="31.75">
      <c r="A1972" s="19">
        <v>39116</v>
      </c>
      <c r="B1972" s="12" t="str">
        <f t="shared" si="30"/>
        <v>391</v>
      </c>
      <c r="C1972" s="1" t="s">
        <v>2928</v>
      </c>
      <c r="D1972" s="13" t="str">
        <f>IF(RIGHT(A1972,3)="000",C1972,VLOOKUP(B1972,'Справочник ИХ'!A:C,3,0))</f>
        <v>Остальные грузы</v>
      </c>
      <c r="E1972" s="13">
        <f>IF(RIGHT(A1972,3)="000","х",VLOOKUP(B1972,'Справочник ИХ'!A:D,4,0))</f>
        <v>3</v>
      </c>
      <c r="F1972" s="14" t="s">
        <v>2911</v>
      </c>
    </row>
    <row r="1973" spans="1:6" ht="31.75">
      <c r="A1973" s="19">
        <v>39117</v>
      </c>
      <c r="B1973" s="12" t="str">
        <f t="shared" si="30"/>
        <v>391</v>
      </c>
      <c r="C1973" s="1" t="s">
        <v>2929</v>
      </c>
      <c r="D1973" s="13" t="str">
        <f>IF(RIGHT(A1973,3)="000",C1973,VLOOKUP(B1973,'Справочник ИХ'!A:C,3,0))</f>
        <v>Остальные грузы</v>
      </c>
      <c r="E1973" s="13">
        <f>IF(RIGHT(A1973,3)="000","х",VLOOKUP(B1973,'Справочник ИХ'!A:D,4,0))</f>
        <v>3</v>
      </c>
      <c r="F1973" s="14" t="s">
        <v>2911</v>
      </c>
    </row>
    <row r="1974" spans="1:6" ht="31.75">
      <c r="A1974" s="19">
        <v>39118</v>
      </c>
      <c r="B1974" s="12" t="str">
        <f t="shared" si="30"/>
        <v>391</v>
      </c>
      <c r="C1974" s="1" t="s">
        <v>2930</v>
      </c>
      <c r="D1974" s="13" t="str">
        <f>IF(RIGHT(A1974,3)="000",C1974,VLOOKUP(B1974,'Справочник ИХ'!A:C,3,0))</f>
        <v>Остальные грузы</v>
      </c>
      <c r="E1974" s="13">
        <f>IF(RIGHT(A1974,3)="000","х",VLOOKUP(B1974,'Справочник ИХ'!A:D,4,0))</f>
        <v>3</v>
      </c>
      <c r="F1974" s="14" t="s">
        <v>2911</v>
      </c>
    </row>
    <row r="1975" spans="1:6" ht="31.75">
      <c r="A1975" s="19">
        <v>39119</v>
      </c>
      <c r="B1975" s="12" t="str">
        <f t="shared" si="30"/>
        <v>391</v>
      </c>
      <c r="C1975" s="1" t="s">
        <v>2931</v>
      </c>
      <c r="D1975" s="13" t="str">
        <f>IF(RIGHT(A1975,3)="000",C1975,VLOOKUP(B1975,'Справочник ИХ'!A:C,3,0))</f>
        <v>Остальные грузы</v>
      </c>
      <c r="E1975" s="13">
        <f>IF(RIGHT(A1975,3)="000","х",VLOOKUP(B1975,'Справочник ИХ'!A:D,4,0))</f>
        <v>3</v>
      </c>
      <c r="F1975" s="14" t="s">
        <v>2911</v>
      </c>
    </row>
    <row r="1976" spans="1:6" ht="31.75">
      <c r="A1976" s="19">
        <v>39120</v>
      </c>
      <c r="B1976" s="12" t="str">
        <f t="shared" si="30"/>
        <v>391</v>
      </c>
      <c r="C1976" s="1" t="s">
        <v>2932</v>
      </c>
      <c r="D1976" s="13" t="str">
        <f>IF(RIGHT(A1976,3)="000",C1976,VLOOKUP(B1976,'Справочник ИХ'!A:C,3,0))</f>
        <v>Остальные грузы</v>
      </c>
      <c r="E1976" s="13">
        <f>IF(RIGHT(A1976,3)="000","х",VLOOKUP(B1976,'Справочник ИХ'!A:D,4,0))</f>
        <v>3</v>
      </c>
      <c r="F1976" s="14" t="s">
        <v>2911</v>
      </c>
    </row>
    <row r="1977" spans="1:6" ht="31.75">
      <c r="A1977" s="19">
        <v>39121</v>
      </c>
      <c r="B1977" s="12" t="str">
        <f t="shared" si="30"/>
        <v>391</v>
      </c>
      <c r="C1977" s="1" t="s">
        <v>2933</v>
      </c>
      <c r="D1977" s="13" t="str">
        <f>IF(RIGHT(A1977,3)="000",C1977,VLOOKUP(B1977,'Справочник ИХ'!A:C,3,0))</f>
        <v>Остальные грузы</v>
      </c>
      <c r="E1977" s="13">
        <f>IF(RIGHT(A1977,3)="000","х",VLOOKUP(B1977,'Справочник ИХ'!A:D,4,0))</f>
        <v>3</v>
      </c>
      <c r="F1977" s="14" t="s">
        <v>2911</v>
      </c>
    </row>
    <row r="1978" spans="1:6" ht="31.75">
      <c r="A1978" s="19">
        <v>39122</v>
      </c>
      <c r="B1978" s="12" t="str">
        <f t="shared" si="30"/>
        <v>391</v>
      </c>
      <c r="C1978" s="1" t="s">
        <v>2934</v>
      </c>
      <c r="D1978" s="13" t="str">
        <f>IF(RIGHT(A1978,3)="000",C1978,VLOOKUP(B1978,'Справочник ИХ'!A:C,3,0))</f>
        <v>Остальные грузы</v>
      </c>
      <c r="E1978" s="13">
        <f>IF(RIGHT(A1978,3)="000","х",VLOOKUP(B1978,'Справочник ИХ'!A:D,4,0))</f>
        <v>3</v>
      </c>
      <c r="F1978" s="14" t="s">
        <v>2911</v>
      </c>
    </row>
    <row r="1979" spans="1:6" ht="31.75">
      <c r="A1979" s="19">
        <v>39123</v>
      </c>
      <c r="B1979" s="12" t="str">
        <f t="shared" si="30"/>
        <v>391</v>
      </c>
      <c r="C1979" s="1" t="s">
        <v>2935</v>
      </c>
      <c r="D1979" s="13" t="str">
        <f>IF(RIGHT(A1979,3)="000",C1979,VLOOKUP(B1979,'Справочник ИХ'!A:C,3,0))</f>
        <v>Остальные грузы</v>
      </c>
      <c r="E1979" s="13">
        <f>IF(RIGHT(A1979,3)="000","х",VLOOKUP(B1979,'Справочник ИХ'!A:D,4,0))</f>
        <v>3</v>
      </c>
      <c r="F1979" s="14" t="s">
        <v>2911</v>
      </c>
    </row>
    <row r="1980" spans="1:6" ht="31.75">
      <c r="A1980" s="19">
        <v>39124</v>
      </c>
      <c r="B1980" s="12" t="str">
        <f t="shared" si="30"/>
        <v>391</v>
      </c>
      <c r="C1980" s="1" t="s">
        <v>2936</v>
      </c>
      <c r="D1980" s="13" t="str">
        <f>IF(RIGHT(A1980,3)="000",C1980,VLOOKUP(B1980,'Справочник ИХ'!A:C,3,0))</f>
        <v>Остальные грузы</v>
      </c>
      <c r="E1980" s="13">
        <f>IF(RIGHT(A1980,3)="000","х",VLOOKUP(B1980,'Справочник ИХ'!A:D,4,0))</f>
        <v>3</v>
      </c>
      <c r="F1980" s="14" t="s">
        <v>2911</v>
      </c>
    </row>
    <row r="1981" spans="1:6" ht="31.75">
      <c r="A1981" s="19">
        <v>39125</v>
      </c>
      <c r="B1981" s="12" t="str">
        <f t="shared" si="30"/>
        <v>391</v>
      </c>
      <c r="C1981" s="1" t="s">
        <v>2937</v>
      </c>
      <c r="D1981" s="13" t="str">
        <f>IF(RIGHT(A1981,3)="000",C1981,VLOOKUP(B1981,'Справочник ИХ'!A:C,3,0))</f>
        <v>Остальные грузы</v>
      </c>
      <c r="E1981" s="13">
        <f>IF(RIGHT(A1981,3)="000","х",VLOOKUP(B1981,'Справочник ИХ'!A:D,4,0))</f>
        <v>3</v>
      </c>
      <c r="F1981" s="14" t="s">
        <v>2911</v>
      </c>
    </row>
    <row r="1982" spans="1:6" ht="31.75">
      <c r="A1982" s="19">
        <v>39126</v>
      </c>
      <c r="B1982" s="12" t="str">
        <f t="shared" si="30"/>
        <v>391</v>
      </c>
      <c r="C1982" s="1" t="s">
        <v>2938</v>
      </c>
      <c r="D1982" s="13" t="str">
        <f>IF(RIGHT(A1982,3)="000",C1982,VLOOKUP(B1982,'Справочник ИХ'!A:C,3,0))</f>
        <v>Остальные грузы</v>
      </c>
      <c r="E1982" s="13">
        <f>IF(RIGHT(A1982,3)="000","х",VLOOKUP(B1982,'Справочник ИХ'!A:D,4,0))</f>
        <v>3</v>
      </c>
      <c r="F1982" s="14" t="s">
        <v>2911</v>
      </c>
    </row>
    <row r="1983" spans="1:6" ht="31.75">
      <c r="A1983" s="19">
        <v>39127</v>
      </c>
      <c r="B1983" s="12" t="str">
        <f t="shared" si="30"/>
        <v>391</v>
      </c>
      <c r="C1983" s="1" t="s">
        <v>2939</v>
      </c>
      <c r="D1983" s="13" t="str">
        <f>IF(RIGHT(A1983,3)="000",C1983,VLOOKUP(B1983,'Справочник ИХ'!A:C,3,0))</f>
        <v>Остальные грузы</v>
      </c>
      <c r="E1983" s="13">
        <f>IF(RIGHT(A1983,3)="000","х",VLOOKUP(B1983,'Справочник ИХ'!A:D,4,0))</f>
        <v>3</v>
      </c>
      <c r="F1983" s="14" t="s">
        <v>2911</v>
      </c>
    </row>
    <row r="1984" spans="1:6" ht="31.75">
      <c r="A1984" s="19">
        <v>39128</v>
      </c>
      <c r="B1984" s="12" t="str">
        <f t="shared" si="30"/>
        <v>391</v>
      </c>
      <c r="C1984" s="1" t="s">
        <v>2940</v>
      </c>
      <c r="D1984" s="13" t="str">
        <f>IF(RIGHT(A1984,3)="000",C1984,VLOOKUP(B1984,'Справочник ИХ'!A:C,3,0))</f>
        <v>Остальные грузы</v>
      </c>
      <c r="E1984" s="13">
        <f>IF(RIGHT(A1984,3)="000","х",VLOOKUP(B1984,'Справочник ИХ'!A:D,4,0))</f>
        <v>3</v>
      </c>
      <c r="F1984" s="14" t="s">
        <v>2911</v>
      </c>
    </row>
    <row r="1985" spans="1:6" ht="31.75">
      <c r="A1985" s="19">
        <v>39129</v>
      </c>
      <c r="B1985" s="12" t="str">
        <f t="shared" si="30"/>
        <v>391</v>
      </c>
      <c r="C1985" s="1" t="s">
        <v>2941</v>
      </c>
      <c r="D1985" s="13" t="str">
        <f>IF(RIGHT(A1985,3)="000",C1985,VLOOKUP(B1985,'Справочник ИХ'!A:C,3,0))</f>
        <v>Остальные грузы</v>
      </c>
      <c r="E1985" s="13">
        <f>IF(RIGHT(A1985,3)="000","х",VLOOKUP(B1985,'Справочник ИХ'!A:D,4,0))</f>
        <v>3</v>
      </c>
      <c r="F1985" s="14" t="s">
        <v>2911</v>
      </c>
    </row>
    <row r="1986" spans="1:6" ht="47.6">
      <c r="A1986" s="19">
        <v>39130</v>
      </c>
      <c r="B1986" s="12" t="str">
        <f t="shared" si="30"/>
        <v>391</v>
      </c>
      <c r="C1986" s="1" t="s">
        <v>2942</v>
      </c>
      <c r="D1986" s="13" t="str">
        <f>IF(RIGHT(A1986,3)="000",C1986,VLOOKUP(B1986,'Справочник ИХ'!A:C,3,0))</f>
        <v>Остальные грузы</v>
      </c>
      <c r="E1986" s="13">
        <f>IF(RIGHT(A1986,3)="000","х",VLOOKUP(B1986,'Справочник ИХ'!A:D,4,0))</f>
        <v>3</v>
      </c>
      <c r="F1986" s="14" t="s">
        <v>2911</v>
      </c>
    </row>
    <row r="1987" spans="1:6" ht="31.75">
      <c r="A1987" s="19">
        <v>39131</v>
      </c>
      <c r="B1987" s="12" t="str">
        <f t="shared" si="30"/>
        <v>391</v>
      </c>
      <c r="C1987" s="1" t="s">
        <v>2943</v>
      </c>
      <c r="D1987" s="13" t="str">
        <f>IF(RIGHT(A1987,3)="000",C1987,VLOOKUP(B1987,'Справочник ИХ'!A:C,3,0))</f>
        <v>Остальные грузы</v>
      </c>
      <c r="E1987" s="13">
        <f>IF(RIGHT(A1987,3)="000","х",VLOOKUP(B1987,'Справочник ИХ'!A:D,4,0))</f>
        <v>3</v>
      </c>
      <c r="F1987" s="14" t="s">
        <v>2911</v>
      </c>
    </row>
    <row r="1988" spans="1:6" ht="31.75">
      <c r="A1988" s="19">
        <v>39132</v>
      </c>
      <c r="B1988" s="12" t="str">
        <f t="shared" ref="B1988:B2051" si="31">LEFT(A1988,3)</f>
        <v>391</v>
      </c>
      <c r="C1988" s="1" t="s">
        <v>2944</v>
      </c>
      <c r="D1988" s="13" t="str">
        <f>IF(RIGHT(A1988,3)="000",C1988,VLOOKUP(B1988,'Справочник ИХ'!A:C,3,0))</f>
        <v>Остальные грузы</v>
      </c>
      <c r="E1988" s="13">
        <f>IF(RIGHT(A1988,3)="000","х",VLOOKUP(B1988,'Справочник ИХ'!A:D,4,0))</f>
        <v>3</v>
      </c>
      <c r="F1988" s="14" t="s">
        <v>2911</v>
      </c>
    </row>
    <row r="1989" spans="1:6" ht="31.75">
      <c r="A1989" s="19">
        <v>39133</v>
      </c>
      <c r="B1989" s="12" t="str">
        <f t="shared" si="31"/>
        <v>391</v>
      </c>
      <c r="C1989" s="1" t="s">
        <v>2945</v>
      </c>
      <c r="D1989" s="13" t="str">
        <f>IF(RIGHT(A1989,3)="000",C1989,VLOOKUP(B1989,'Справочник ИХ'!A:C,3,0))</f>
        <v>Остальные грузы</v>
      </c>
      <c r="E1989" s="13">
        <f>IF(RIGHT(A1989,3)="000","х",VLOOKUP(B1989,'Справочник ИХ'!A:D,4,0))</f>
        <v>3</v>
      </c>
      <c r="F1989" s="14" t="s">
        <v>2911</v>
      </c>
    </row>
    <row r="1990" spans="1:6" ht="31.75">
      <c r="A1990" s="19">
        <v>39134</v>
      </c>
      <c r="B1990" s="12" t="str">
        <f t="shared" si="31"/>
        <v>391</v>
      </c>
      <c r="C1990" s="1" t="s">
        <v>2946</v>
      </c>
      <c r="D1990" s="13" t="str">
        <f>IF(RIGHT(A1990,3)="000",C1990,VLOOKUP(B1990,'Справочник ИХ'!A:C,3,0))</f>
        <v>Остальные грузы</v>
      </c>
      <c r="E1990" s="13">
        <f>IF(RIGHT(A1990,3)="000","х",VLOOKUP(B1990,'Справочник ИХ'!A:D,4,0))</f>
        <v>3</v>
      </c>
      <c r="F1990" s="14" t="s">
        <v>2911</v>
      </c>
    </row>
    <row r="1991" spans="1:6" ht="31.75">
      <c r="A1991" s="19">
        <v>39135</v>
      </c>
      <c r="B1991" s="12" t="str">
        <f t="shared" si="31"/>
        <v>391</v>
      </c>
      <c r="C1991" s="1" t="s">
        <v>2947</v>
      </c>
      <c r="D1991" s="13" t="str">
        <f>IF(RIGHT(A1991,3)="000",C1991,VLOOKUP(B1991,'Справочник ИХ'!A:C,3,0))</f>
        <v>Остальные грузы</v>
      </c>
      <c r="E1991" s="13">
        <f>IF(RIGHT(A1991,3)="000","х",VLOOKUP(B1991,'Справочник ИХ'!A:D,4,0))</f>
        <v>3</v>
      </c>
      <c r="F1991" s="14" t="s">
        <v>2911</v>
      </c>
    </row>
    <row r="1992" spans="1:6" ht="31.75">
      <c r="A1992" s="19">
        <v>39136</v>
      </c>
      <c r="B1992" s="12" t="str">
        <f t="shared" si="31"/>
        <v>391</v>
      </c>
      <c r="C1992" s="1" t="s">
        <v>2948</v>
      </c>
      <c r="D1992" s="13" t="str">
        <f>IF(RIGHT(A1992,3)="000",C1992,VLOOKUP(B1992,'Справочник ИХ'!A:C,3,0))</f>
        <v>Остальные грузы</v>
      </c>
      <c r="E1992" s="13">
        <f>IF(RIGHT(A1992,3)="000","х",VLOOKUP(B1992,'Справочник ИХ'!A:D,4,0))</f>
        <v>3</v>
      </c>
      <c r="F1992" s="14" t="s">
        <v>2911</v>
      </c>
    </row>
    <row r="1993" spans="1:6" ht="31.75">
      <c r="A1993" s="19">
        <v>39137</v>
      </c>
      <c r="B1993" s="12" t="str">
        <f t="shared" si="31"/>
        <v>391</v>
      </c>
      <c r="C1993" s="1" t="s">
        <v>2949</v>
      </c>
      <c r="D1993" s="13" t="str">
        <f>IF(RIGHT(A1993,3)="000",C1993,VLOOKUP(B1993,'Справочник ИХ'!A:C,3,0))</f>
        <v>Остальные грузы</v>
      </c>
      <c r="E1993" s="13">
        <f>IF(RIGHT(A1993,3)="000","х",VLOOKUP(B1993,'Справочник ИХ'!A:D,4,0))</f>
        <v>3</v>
      </c>
      <c r="F1993" s="14" t="s">
        <v>2911</v>
      </c>
    </row>
    <row r="1994" spans="1:6" ht="31.75">
      <c r="A1994" s="19">
        <v>39138</v>
      </c>
      <c r="B1994" s="12" t="str">
        <f t="shared" si="31"/>
        <v>391</v>
      </c>
      <c r="C1994" s="1" t="s">
        <v>2950</v>
      </c>
      <c r="D1994" s="13" t="str">
        <f>IF(RIGHT(A1994,3)="000",C1994,VLOOKUP(B1994,'Справочник ИХ'!A:C,3,0))</f>
        <v>Остальные грузы</v>
      </c>
      <c r="E1994" s="13">
        <f>IF(RIGHT(A1994,3)="000","х",VLOOKUP(B1994,'Справочник ИХ'!A:D,4,0))</f>
        <v>3</v>
      </c>
      <c r="F1994" s="14" t="s">
        <v>2911</v>
      </c>
    </row>
    <row r="1995" spans="1:6" ht="31.75">
      <c r="A1995" s="19">
        <v>39139</v>
      </c>
      <c r="B1995" s="12" t="str">
        <f t="shared" si="31"/>
        <v>391</v>
      </c>
      <c r="C1995" s="1" t="s">
        <v>2951</v>
      </c>
      <c r="D1995" s="13" t="str">
        <f>IF(RIGHT(A1995,3)="000",C1995,VLOOKUP(B1995,'Справочник ИХ'!A:C,3,0))</f>
        <v>Остальные грузы</v>
      </c>
      <c r="E1995" s="13">
        <f>IF(RIGHT(A1995,3)="000","х",VLOOKUP(B1995,'Справочник ИХ'!A:D,4,0))</f>
        <v>3</v>
      </c>
      <c r="F1995" s="14" t="s">
        <v>2911</v>
      </c>
    </row>
    <row r="1996" spans="1:6" ht="31.75">
      <c r="A1996" s="19">
        <v>39140</v>
      </c>
      <c r="B1996" s="12" t="str">
        <f t="shared" si="31"/>
        <v>391</v>
      </c>
      <c r="C1996" s="1" t="s">
        <v>2952</v>
      </c>
      <c r="D1996" s="13" t="str">
        <f>IF(RIGHT(A1996,3)="000",C1996,VLOOKUP(B1996,'Справочник ИХ'!A:C,3,0))</f>
        <v>Остальные грузы</v>
      </c>
      <c r="E1996" s="13">
        <f>IF(RIGHT(A1996,3)="000","х",VLOOKUP(B1996,'Справочник ИХ'!A:D,4,0))</f>
        <v>3</v>
      </c>
      <c r="F1996" s="14" t="s">
        <v>2911</v>
      </c>
    </row>
    <row r="1997" spans="1:6" ht="31.75">
      <c r="A1997" s="19">
        <v>39141</v>
      </c>
      <c r="B1997" s="12" t="str">
        <f t="shared" si="31"/>
        <v>391</v>
      </c>
      <c r="C1997" s="1" t="s">
        <v>2953</v>
      </c>
      <c r="D1997" s="13" t="str">
        <f>IF(RIGHT(A1997,3)="000",C1997,VLOOKUP(B1997,'Справочник ИХ'!A:C,3,0))</f>
        <v>Остальные грузы</v>
      </c>
      <c r="E1997" s="13">
        <f>IF(RIGHT(A1997,3)="000","х",VLOOKUP(B1997,'Справочник ИХ'!A:D,4,0))</f>
        <v>3</v>
      </c>
      <c r="F1997" s="14" t="s">
        <v>2911</v>
      </c>
    </row>
    <row r="1998" spans="1:6" ht="47.6">
      <c r="A1998" s="19">
        <v>39142</v>
      </c>
      <c r="B1998" s="12" t="str">
        <f t="shared" si="31"/>
        <v>391</v>
      </c>
      <c r="C1998" s="1" t="s">
        <v>2954</v>
      </c>
      <c r="D1998" s="13" t="str">
        <f>IF(RIGHT(A1998,3)="000",C1998,VLOOKUP(B1998,'Справочник ИХ'!A:C,3,0))</f>
        <v>Остальные грузы</v>
      </c>
      <c r="E1998" s="13">
        <f>IF(RIGHT(A1998,3)="000","х",VLOOKUP(B1998,'Справочник ИХ'!A:D,4,0))</f>
        <v>3</v>
      </c>
      <c r="F1998" s="14" t="s">
        <v>2911</v>
      </c>
    </row>
    <row r="1999" spans="1:6" ht="31.75">
      <c r="A1999" s="19">
        <v>39143</v>
      </c>
      <c r="B1999" s="12" t="str">
        <f t="shared" si="31"/>
        <v>391</v>
      </c>
      <c r="C1999" s="1" t="s">
        <v>2955</v>
      </c>
      <c r="D1999" s="13" t="str">
        <f>IF(RIGHT(A1999,3)="000",C1999,VLOOKUP(B1999,'Справочник ИХ'!A:C,3,0))</f>
        <v>Остальные грузы</v>
      </c>
      <c r="E1999" s="13">
        <f>IF(RIGHT(A1999,3)="000","х",VLOOKUP(B1999,'Справочник ИХ'!A:D,4,0))</f>
        <v>3</v>
      </c>
      <c r="F1999" s="14" t="s">
        <v>2911</v>
      </c>
    </row>
    <row r="2000" spans="1:6" ht="31.75">
      <c r="A2000" s="19">
        <v>39144</v>
      </c>
      <c r="B2000" s="12" t="str">
        <f t="shared" si="31"/>
        <v>391</v>
      </c>
      <c r="C2000" s="1" t="s">
        <v>2956</v>
      </c>
      <c r="D2000" s="13" t="str">
        <f>IF(RIGHT(A2000,3)="000",C2000,VLOOKUP(B2000,'Справочник ИХ'!A:C,3,0))</f>
        <v>Остальные грузы</v>
      </c>
      <c r="E2000" s="13">
        <f>IF(RIGHT(A2000,3)="000","х",VLOOKUP(B2000,'Справочник ИХ'!A:D,4,0))</f>
        <v>3</v>
      </c>
      <c r="F2000" s="14" t="s">
        <v>2911</v>
      </c>
    </row>
    <row r="2001" spans="1:6" s="15" customFormat="1" ht="47.6">
      <c r="A2001" s="7">
        <v>40000</v>
      </c>
      <c r="B2001" s="12" t="str">
        <f t="shared" si="31"/>
        <v>400</v>
      </c>
      <c r="C2001" s="11" t="s">
        <v>2957</v>
      </c>
      <c r="D2001" s="13" t="str">
        <f>IF(RIGHT(A2001,3)="000",C2001,VLOOKUP(B2001,'Справочник ИХ'!A:C,3,0))</f>
        <v xml:space="preserve">Аппараты, приборы и предметы электро- и радиотехники </v>
      </c>
      <c r="E2001" s="13" t="str">
        <f>IF(RIGHT(A2001,3)="000","х",VLOOKUP(B2001,'Справочник ИХ'!A:D,4,0))</f>
        <v>х</v>
      </c>
      <c r="F2001" s="14" t="s">
        <v>2957</v>
      </c>
    </row>
    <row r="2002" spans="1:6" s="18" customFormat="1" ht="31.75">
      <c r="A2002" s="16">
        <v>40100</v>
      </c>
      <c r="B2002" s="12" t="str">
        <f t="shared" si="31"/>
        <v>401</v>
      </c>
      <c r="C2002" s="17" t="s">
        <v>2958</v>
      </c>
      <c r="D2002" s="13" t="str">
        <f>IF(RIGHT(A2002,3)="000",C2002,VLOOKUP(B2002,'Справочник ИХ'!A:C,3,0))</f>
        <v>Остальные грузы</v>
      </c>
      <c r="E2002" s="13">
        <f>IF(RIGHT(A2002,3)="000","х",VLOOKUP(B2002,'Справочник ИХ'!A:D,4,0))</f>
        <v>3</v>
      </c>
      <c r="F2002" s="14" t="s">
        <v>2957</v>
      </c>
    </row>
    <row r="2003" spans="1:6" ht="31.75">
      <c r="A2003" s="19">
        <v>40101</v>
      </c>
      <c r="B2003" s="12" t="str">
        <f t="shared" si="31"/>
        <v>401</v>
      </c>
      <c r="C2003" s="1" t="s">
        <v>2959</v>
      </c>
      <c r="D2003" s="13" t="str">
        <f>IF(RIGHT(A2003,3)="000",C2003,VLOOKUP(B2003,'Справочник ИХ'!A:C,3,0))</f>
        <v>Остальные грузы</v>
      </c>
      <c r="E2003" s="13">
        <f>IF(RIGHT(A2003,3)="000","х",VLOOKUP(B2003,'Справочник ИХ'!A:D,4,0))</f>
        <v>3</v>
      </c>
      <c r="F2003" s="14" t="s">
        <v>2957</v>
      </c>
    </row>
    <row r="2004" spans="1:6" ht="31.75">
      <c r="A2004" s="19">
        <v>40102</v>
      </c>
      <c r="B2004" s="12" t="str">
        <f t="shared" si="31"/>
        <v>401</v>
      </c>
      <c r="C2004" s="1" t="s">
        <v>2960</v>
      </c>
      <c r="D2004" s="13" t="str">
        <f>IF(RIGHT(A2004,3)="000",C2004,VLOOKUP(B2004,'Справочник ИХ'!A:C,3,0))</f>
        <v>Остальные грузы</v>
      </c>
      <c r="E2004" s="13">
        <f>IF(RIGHT(A2004,3)="000","х",VLOOKUP(B2004,'Справочник ИХ'!A:D,4,0))</f>
        <v>3</v>
      </c>
      <c r="F2004" s="14" t="s">
        <v>2957</v>
      </c>
    </row>
    <row r="2005" spans="1:6" ht="31.75">
      <c r="A2005" s="19">
        <v>40103</v>
      </c>
      <c r="B2005" s="12" t="str">
        <f t="shared" si="31"/>
        <v>401</v>
      </c>
      <c r="C2005" s="1" t="s">
        <v>2961</v>
      </c>
      <c r="D2005" s="13" t="str">
        <f>IF(RIGHT(A2005,3)="000",C2005,VLOOKUP(B2005,'Справочник ИХ'!A:C,3,0))</f>
        <v>Остальные грузы</v>
      </c>
      <c r="E2005" s="13">
        <f>IF(RIGHT(A2005,3)="000","х",VLOOKUP(B2005,'Справочник ИХ'!A:D,4,0))</f>
        <v>3</v>
      </c>
      <c r="F2005" s="14" t="s">
        <v>2957</v>
      </c>
    </row>
    <row r="2006" spans="1:6" ht="31.75">
      <c r="A2006" s="19">
        <v>40104</v>
      </c>
      <c r="B2006" s="12" t="str">
        <f t="shared" si="31"/>
        <v>401</v>
      </c>
      <c r="C2006" s="1" t="s">
        <v>2962</v>
      </c>
      <c r="D2006" s="13" t="str">
        <f>IF(RIGHT(A2006,3)="000",C2006,VLOOKUP(B2006,'Справочник ИХ'!A:C,3,0))</f>
        <v>Остальные грузы</v>
      </c>
      <c r="E2006" s="13">
        <f>IF(RIGHT(A2006,3)="000","х",VLOOKUP(B2006,'Справочник ИХ'!A:D,4,0))</f>
        <v>3</v>
      </c>
      <c r="F2006" s="14" t="s">
        <v>2957</v>
      </c>
    </row>
    <row r="2007" spans="1:6" ht="31.75">
      <c r="A2007" s="19">
        <v>40105</v>
      </c>
      <c r="B2007" s="12" t="str">
        <f t="shared" si="31"/>
        <v>401</v>
      </c>
      <c r="C2007" s="1" t="s">
        <v>2963</v>
      </c>
      <c r="D2007" s="13" t="str">
        <f>IF(RIGHT(A2007,3)="000",C2007,VLOOKUP(B2007,'Справочник ИХ'!A:C,3,0))</f>
        <v>Остальные грузы</v>
      </c>
      <c r="E2007" s="13">
        <f>IF(RIGHT(A2007,3)="000","х",VLOOKUP(B2007,'Справочник ИХ'!A:D,4,0))</f>
        <v>3</v>
      </c>
      <c r="F2007" s="14" t="s">
        <v>2957</v>
      </c>
    </row>
    <row r="2008" spans="1:6" ht="31.75">
      <c r="A2008" s="19">
        <v>40106</v>
      </c>
      <c r="B2008" s="12" t="str">
        <f t="shared" si="31"/>
        <v>401</v>
      </c>
      <c r="C2008" s="1" t="s">
        <v>2964</v>
      </c>
      <c r="D2008" s="13" t="str">
        <f>IF(RIGHT(A2008,3)="000",C2008,VLOOKUP(B2008,'Справочник ИХ'!A:C,3,0))</f>
        <v>Остальные грузы</v>
      </c>
      <c r="E2008" s="13">
        <f>IF(RIGHT(A2008,3)="000","х",VLOOKUP(B2008,'Справочник ИХ'!A:D,4,0))</f>
        <v>3</v>
      </c>
      <c r="F2008" s="14" t="s">
        <v>2957</v>
      </c>
    </row>
    <row r="2009" spans="1:6" ht="31.75">
      <c r="A2009" s="19">
        <v>40107</v>
      </c>
      <c r="B2009" s="12" t="str">
        <f t="shared" si="31"/>
        <v>401</v>
      </c>
      <c r="C2009" s="1" t="s">
        <v>2965</v>
      </c>
      <c r="D2009" s="13" t="str">
        <f>IF(RIGHT(A2009,3)="000",C2009,VLOOKUP(B2009,'Справочник ИХ'!A:C,3,0))</f>
        <v>Остальные грузы</v>
      </c>
      <c r="E2009" s="13">
        <f>IF(RIGHT(A2009,3)="000","х",VLOOKUP(B2009,'Справочник ИХ'!A:D,4,0))</f>
        <v>3</v>
      </c>
      <c r="F2009" s="14" t="s">
        <v>2957</v>
      </c>
    </row>
    <row r="2010" spans="1:6" ht="31.75">
      <c r="A2010" s="19">
        <v>40108</v>
      </c>
      <c r="B2010" s="12" t="str">
        <f t="shared" si="31"/>
        <v>401</v>
      </c>
      <c r="C2010" s="1" t="s">
        <v>2966</v>
      </c>
      <c r="D2010" s="13" t="str">
        <f>IF(RIGHT(A2010,3)="000",C2010,VLOOKUP(B2010,'Справочник ИХ'!A:C,3,0))</f>
        <v>Остальные грузы</v>
      </c>
      <c r="E2010" s="13">
        <f>IF(RIGHT(A2010,3)="000","х",VLOOKUP(B2010,'Справочник ИХ'!A:D,4,0))</f>
        <v>3</v>
      </c>
      <c r="F2010" s="14" t="s">
        <v>2957</v>
      </c>
    </row>
    <row r="2011" spans="1:6" ht="31.75">
      <c r="A2011" s="19">
        <v>40109</v>
      </c>
      <c r="B2011" s="12" t="str">
        <f t="shared" si="31"/>
        <v>401</v>
      </c>
      <c r="C2011" s="1" t="s">
        <v>2967</v>
      </c>
      <c r="D2011" s="13" t="str">
        <f>IF(RIGHT(A2011,3)="000",C2011,VLOOKUP(B2011,'Справочник ИХ'!A:C,3,0))</f>
        <v>Остальные грузы</v>
      </c>
      <c r="E2011" s="13">
        <f>IF(RIGHT(A2011,3)="000","х",VLOOKUP(B2011,'Справочник ИХ'!A:D,4,0))</f>
        <v>3</v>
      </c>
      <c r="F2011" s="14" t="s">
        <v>2957</v>
      </c>
    </row>
    <row r="2012" spans="1:6" ht="31.75">
      <c r="A2012" s="19">
        <v>40110</v>
      </c>
      <c r="B2012" s="12" t="str">
        <f t="shared" si="31"/>
        <v>401</v>
      </c>
      <c r="C2012" s="1" t="s">
        <v>2968</v>
      </c>
      <c r="D2012" s="13" t="str">
        <f>IF(RIGHT(A2012,3)="000",C2012,VLOOKUP(B2012,'Справочник ИХ'!A:C,3,0))</f>
        <v>Остальные грузы</v>
      </c>
      <c r="E2012" s="13">
        <f>IF(RIGHT(A2012,3)="000","х",VLOOKUP(B2012,'Справочник ИХ'!A:D,4,0))</f>
        <v>3</v>
      </c>
      <c r="F2012" s="14" t="s">
        <v>2957</v>
      </c>
    </row>
    <row r="2013" spans="1:6" ht="31.75">
      <c r="A2013" s="19">
        <v>40111</v>
      </c>
      <c r="B2013" s="12" t="str">
        <f t="shared" si="31"/>
        <v>401</v>
      </c>
      <c r="C2013" s="1" t="s">
        <v>2969</v>
      </c>
      <c r="D2013" s="13" t="str">
        <f>IF(RIGHT(A2013,3)="000",C2013,VLOOKUP(B2013,'Справочник ИХ'!A:C,3,0))</f>
        <v>Остальные грузы</v>
      </c>
      <c r="E2013" s="13">
        <f>IF(RIGHT(A2013,3)="000","х",VLOOKUP(B2013,'Справочник ИХ'!A:D,4,0))</f>
        <v>3</v>
      </c>
      <c r="F2013" s="14" t="s">
        <v>2957</v>
      </c>
    </row>
    <row r="2014" spans="1:6" ht="31.75">
      <c r="A2014" s="19">
        <v>40112</v>
      </c>
      <c r="B2014" s="12" t="str">
        <f t="shared" si="31"/>
        <v>401</v>
      </c>
      <c r="C2014" s="1" t="s">
        <v>2970</v>
      </c>
      <c r="D2014" s="13" t="str">
        <f>IF(RIGHT(A2014,3)="000",C2014,VLOOKUP(B2014,'Справочник ИХ'!A:C,3,0))</f>
        <v>Остальные грузы</v>
      </c>
      <c r="E2014" s="13">
        <f>IF(RIGHT(A2014,3)="000","х",VLOOKUP(B2014,'Справочник ИХ'!A:D,4,0))</f>
        <v>3</v>
      </c>
      <c r="F2014" s="14" t="s">
        <v>2957</v>
      </c>
    </row>
    <row r="2015" spans="1:6" s="18" customFormat="1" ht="31.75">
      <c r="A2015" s="16">
        <v>40200</v>
      </c>
      <c r="B2015" s="12" t="str">
        <f t="shared" si="31"/>
        <v>402</v>
      </c>
      <c r="C2015" s="17" t="s">
        <v>2971</v>
      </c>
      <c r="D2015" s="13" t="str">
        <f>IF(RIGHT(A2015,3)="000",C2015,VLOOKUP(B2015,'Справочник ИХ'!A:C,3,0))</f>
        <v>Остальные грузы</v>
      </c>
      <c r="E2015" s="13">
        <f>IF(RIGHT(A2015,3)="000","х",VLOOKUP(B2015,'Справочник ИХ'!A:D,4,0))</f>
        <v>3</v>
      </c>
      <c r="F2015" s="14" t="s">
        <v>2957</v>
      </c>
    </row>
    <row r="2016" spans="1:6" ht="31.75">
      <c r="A2016" s="19">
        <v>40201</v>
      </c>
      <c r="B2016" s="12" t="str">
        <f t="shared" si="31"/>
        <v>402</v>
      </c>
      <c r="C2016" s="1" t="s">
        <v>2972</v>
      </c>
      <c r="D2016" s="13" t="str">
        <f>IF(RIGHT(A2016,3)="000",C2016,VLOOKUP(B2016,'Справочник ИХ'!A:C,3,0))</f>
        <v>Остальные грузы</v>
      </c>
      <c r="E2016" s="13">
        <f>IF(RIGHT(A2016,3)="000","х",VLOOKUP(B2016,'Справочник ИХ'!A:D,4,0))</f>
        <v>3</v>
      </c>
      <c r="F2016" s="14" t="s">
        <v>2957</v>
      </c>
    </row>
    <row r="2017" spans="1:6" ht="31.75">
      <c r="A2017" s="19">
        <v>40202</v>
      </c>
      <c r="B2017" s="12" t="str">
        <f t="shared" si="31"/>
        <v>402</v>
      </c>
      <c r="C2017" s="1" t="s">
        <v>2973</v>
      </c>
      <c r="D2017" s="13" t="str">
        <f>IF(RIGHT(A2017,3)="000",C2017,VLOOKUP(B2017,'Справочник ИХ'!A:C,3,0))</f>
        <v>Остальные грузы</v>
      </c>
      <c r="E2017" s="13">
        <f>IF(RIGHT(A2017,3)="000","х",VLOOKUP(B2017,'Справочник ИХ'!A:D,4,0))</f>
        <v>3</v>
      </c>
      <c r="F2017" s="14" t="s">
        <v>2957</v>
      </c>
    </row>
    <row r="2018" spans="1:6" ht="31.75">
      <c r="A2018" s="19">
        <v>40203</v>
      </c>
      <c r="B2018" s="12" t="str">
        <f t="shared" si="31"/>
        <v>402</v>
      </c>
      <c r="C2018" s="1" t="s">
        <v>2974</v>
      </c>
      <c r="D2018" s="13" t="str">
        <f>IF(RIGHT(A2018,3)="000",C2018,VLOOKUP(B2018,'Справочник ИХ'!A:C,3,0))</f>
        <v>Остальные грузы</v>
      </c>
      <c r="E2018" s="13">
        <f>IF(RIGHT(A2018,3)="000","х",VLOOKUP(B2018,'Справочник ИХ'!A:D,4,0))</f>
        <v>3</v>
      </c>
      <c r="F2018" s="14" t="s">
        <v>2957</v>
      </c>
    </row>
    <row r="2019" spans="1:6" ht="31.75">
      <c r="A2019" s="19">
        <v>40204</v>
      </c>
      <c r="B2019" s="12" t="str">
        <f t="shared" si="31"/>
        <v>402</v>
      </c>
      <c r="C2019" s="1" t="s">
        <v>2975</v>
      </c>
      <c r="D2019" s="13" t="str">
        <f>IF(RIGHT(A2019,3)="000",C2019,VLOOKUP(B2019,'Справочник ИХ'!A:C,3,0))</f>
        <v>Остальные грузы</v>
      </c>
      <c r="E2019" s="13">
        <f>IF(RIGHT(A2019,3)="000","х",VLOOKUP(B2019,'Справочник ИХ'!A:D,4,0))</f>
        <v>3</v>
      </c>
      <c r="F2019" s="14" t="s">
        <v>2957</v>
      </c>
    </row>
    <row r="2020" spans="1:6" ht="31.75">
      <c r="A2020" s="19">
        <v>40205</v>
      </c>
      <c r="B2020" s="12" t="str">
        <f t="shared" si="31"/>
        <v>402</v>
      </c>
      <c r="C2020" s="1" t="s">
        <v>2976</v>
      </c>
      <c r="D2020" s="13" t="str">
        <f>IF(RIGHT(A2020,3)="000",C2020,VLOOKUP(B2020,'Справочник ИХ'!A:C,3,0))</f>
        <v>Остальные грузы</v>
      </c>
      <c r="E2020" s="13">
        <f>IF(RIGHT(A2020,3)="000","х",VLOOKUP(B2020,'Справочник ИХ'!A:D,4,0))</f>
        <v>3</v>
      </c>
      <c r="F2020" s="14" t="s">
        <v>2957</v>
      </c>
    </row>
    <row r="2021" spans="1:6" ht="31.75">
      <c r="A2021" s="19">
        <v>40206</v>
      </c>
      <c r="B2021" s="12" t="str">
        <f t="shared" si="31"/>
        <v>402</v>
      </c>
      <c r="C2021" s="1" t="s">
        <v>2977</v>
      </c>
      <c r="D2021" s="13" t="str">
        <f>IF(RIGHT(A2021,3)="000",C2021,VLOOKUP(B2021,'Справочник ИХ'!A:C,3,0))</f>
        <v>Остальные грузы</v>
      </c>
      <c r="E2021" s="13">
        <f>IF(RIGHT(A2021,3)="000","х",VLOOKUP(B2021,'Справочник ИХ'!A:D,4,0))</f>
        <v>3</v>
      </c>
      <c r="F2021" s="14" t="s">
        <v>2957</v>
      </c>
    </row>
    <row r="2022" spans="1:6" ht="31.75">
      <c r="A2022" s="19">
        <v>40207</v>
      </c>
      <c r="B2022" s="12" t="str">
        <f t="shared" si="31"/>
        <v>402</v>
      </c>
      <c r="C2022" s="1" t="s">
        <v>2978</v>
      </c>
      <c r="D2022" s="13" t="str">
        <f>IF(RIGHT(A2022,3)="000",C2022,VLOOKUP(B2022,'Справочник ИХ'!A:C,3,0))</f>
        <v>Остальные грузы</v>
      </c>
      <c r="E2022" s="13">
        <f>IF(RIGHT(A2022,3)="000","х",VLOOKUP(B2022,'Справочник ИХ'!A:D,4,0))</f>
        <v>3</v>
      </c>
      <c r="F2022" s="14" t="s">
        <v>2957</v>
      </c>
    </row>
    <row r="2023" spans="1:6" ht="31.75">
      <c r="A2023" s="19">
        <v>40208</v>
      </c>
      <c r="B2023" s="12" t="str">
        <f t="shared" si="31"/>
        <v>402</v>
      </c>
      <c r="C2023" s="1" t="s">
        <v>2979</v>
      </c>
      <c r="D2023" s="13" t="str">
        <f>IF(RIGHT(A2023,3)="000",C2023,VLOOKUP(B2023,'Справочник ИХ'!A:C,3,0))</f>
        <v>Остальные грузы</v>
      </c>
      <c r="E2023" s="13">
        <f>IF(RIGHT(A2023,3)="000","х",VLOOKUP(B2023,'Справочник ИХ'!A:D,4,0))</f>
        <v>3</v>
      </c>
      <c r="F2023" s="14" t="s">
        <v>2957</v>
      </c>
    </row>
    <row r="2024" spans="1:6" ht="31.75">
      <c r="A2024" s="19">
        <v>40209</v>
      </c>
      <c r="B2024" s="12" t="str">
        <f t="shared" si="31"/>
        <v>402</v>
      </c>
      <c r="C2024" s="1" t="s">
        <v>2980</v>
      </c>
      <c r="D2024" s="13" t="str">
        <f>IF(RIGHT(A2024,3)="000",C2024,VLOOKUP(B2024,'Справочник ИХ'!A:C,3,0))</f>
        <v>Остальные грузы</v>
      </c>
      <c r="E2024" s="13">
        <f>IF(RIGHT(A2024,3)="000","х",VLOOKUP(B2024,'Справочник ИХ'!A:D,4,0))</f>
        <v>3</v>
      </c>
      <c r="F2024" s="14" t="s">
        <v>2957</v>
      </c>
    </row>
    <row r="2025" spans="1:6" ht="31.75">
      <c r="A2025" s="19">
        <v>40210</v>
      </c>
      <c r="B2025" s="12" t="str">
        <f t="shared" si="31"/>
        <v>402</v>
      </c>
      <c r="C2025" s="1" t="s">
        <v>2981</v>
      </c>
      <c r="D2025" s="13" t="str">
        <f>IF(RIGHT(A2025,3)="000",C2025,VLOOKUP(B2025,'Справочник ИХ'!A:C,3,0))</f>
        <v>Остальные грузы</v>
      </c>
      <c r="E2025" s="13">
        <f>IF(RIGHT(A2025,3)="000","х",VLOOKUP(B2025,'Справочник ИХ'!A:D,4,0))</f>
        <v>3</v>
      </c>
      <c r="F2025" s="14" t="s">
        <v>2957</v>
      </c>
    </row>
    <row r="2026" spans="1:6" ht="31.75">
      <c r="A2026" s="19">
        <v>40211</v>
      </c>
      <c r="B2026" s="12" t="str">
        <f t="shared" si="31"/>
        <v>402</v>
      </c>
      <c r="C2026" s="1" t="s">
        <v>2982</v>
      </c>
      <c r="D2026" s="13" t="str">
        <f>IF(RIGHT(A2026,3)="000",C2026,VLOOKUP(B2026,'Справочник ИХ'!A:C,3,0))</f>
        <v>Остальные грузы</v>
      </c>
      <c r="E2026" s="13">
        <f>IF(RIGHT(A2026,3)="000","х",VLOOKUP(B2026,'Справочник ИХ'!A:D,4,0))</f>
        <v>3</v>
      </c>
      <c r="F2026" s="14" t="s">
        <v>2957</v>
      </c>
    </row>
    <row r="2027" spans="1:6" ht="31.75">
      <c r="A2027" s="19">
        <v>40212</v>
      </c>
      <c r="B2027" s="12" t="str">
        <f t="shared" si="31"/>
        <v>402</v>
      </c>
      <c r="C2027" s="1" t="s">
        <v>2983</v>
      </c>
      <c r="D2027" s="13" t="str">
        <f>IF(RIGHT(A2027,3)="000",C2027,VLOOKUP(B2027,'Справочник ИХ'!A:C,3,0))</f>
        <v>Остальные грузы</v>
      </c>
      <c r="E2027" s="13">
        <f>IF(RIGHT(A2027,3)="000","х",VLOOKUP(B2027,'Справочник ИХ'!A:D,4,0))</f>
        <v>3</v>
      </c>
      <c r="F2027" s="14" t="s">
        <v>2957</v>
      </c>
    </row>
    <row r="2028" spans="1:6" ht="31.75">
      <c r="A2028" s="19">
        <v>40213</v>
      </c>
      <c r="B2028" s="12" t="str">
        <f t="shared" si="31"/>
        <v>402</v>
      </c>
      <c r="C2028" s="1" t="s">
        <v>2984</v>
      </c>
      <c r="D2028" s="13" t="str">
        <f>IF(RIGHT(A2028,3)="000",C2028,VLOOKUP(B2028,'Справочник ИХ'!A:C,3,0))</f>
        <v>Остальные грузы</v>
      </c>
      <c r="E2028" s="13">
        <f>IF(RIGHT(A2028,3)="000","х",VLOOKUP(B2028,'Справочник ИХ'!A:D,4,0))</f>
        <v>3</v>
      </c>
      <c r="F2028" s="14" t="s">
        <v>2957</v>
      </c>
    </row>
    <row r="2029" spans="1:6" ht="31.75">
      <c r="A2029" s="19">
        <v>40214</v>
      </c>
      <c r="B2029" s="12" t="str">
        <f t="shared" si="31"/>
        <v>402</v>
      </c>
      <c r="C2029" s="1" t="s">
        <v>2985</v>
      </c>
      <c r="D2029" s="13" t="str">
        <f>IF(RIGHT(A2029,3)="000",C2029,VLOOKUP(B2029,'Справочник ИХ'!A:C,3,0))</f>
        <v>Остальные грузы</v>
      </c>
      <c r="E2029" s="13">
        <f>IF(RIGHT(A2029,3)="000","х",VLOOKUP(B2029,'Справочник ИХ'!A:D,4,0))</f>
        <v>3</v>
      </c>
      <c r="F2029" s="14" t="s">
        <v>2957</v>
      </c>
    </row>
    <row r="2030" spans="1:6" ht="31.75">
      <c r="A2030" s="19">
        <v>40215</v>
      </c>
      <c r="B2030" s="12" t="str">
        <f t="shared" si="31"/>
        <v>402</v>
      </c>
      <c r="C2030" s="1" t="s">
        <v>2986</v>
      </c>
      <c r="D2030" s="13" t="str">
        <f>IF(RIGHT(A2030,3)="000",C2030,VLOOKUP(B2030,'Справочник ИХ'!A:C,3,0))</f>
        <v>Остальные грузы</v>
      </c>
      <c r="E2030" s="13">
        <f>IF(RIGHT(A2030,3)="000","х",VLOOKUP(B2030,'Справочник ИХ'!A:D,4,0))</f>
        <v>3</v>
      </c>
      <c r="F2030" s="14" t="s">
        <v>2957</v>
      </c>
    </row>
    <row r="2031" spans="1:6" ht="31.75">
      <c r="A2031" s="19">
        <v>40216</v>
      </c>
      <c r="B2031" s="12" t="str">
        <f t="shared" si="31"/>
        <v>402</v>
      </c>
      <c r="C2031" s="1" t="s">
        <v>2987</v>
      </c>
      <c r="D2031" s="13" t="str">
        <f>IF(RIGHT(A2031,3)="000",C2031,VLOOKUP(B2031,'Справочник ИХ'!A:C,3,0))</f>
        <v>Остальные грузы</v>
      </c>
      <c r="E2031" s="13">
        <f>IF(RIGHT(A2031,3)="000","х",VLOOKUP(B2031,'Справочник ИХ'!A:D,4,0))</f>
        <v>3</v>
      </c>
      <c r="F2031" s="14" t="s">
        <v>2957</v>
      </c>
    </row>
    <row r="2032" spans="1:6" ht="31.75">
      <c r="A2032" s="19">
        <v>40217</v>
      </c>
      <c r="B2032" s="12" t="str">
        <f t="shared" si="31"/>
        <v>402</v>
      </c>
      <c r="C2032" s="1" t="s">
        <v>2988</v>
      </c>
      <c r="D2032" s="13" t="str">
        <f>IF(RIGHT(A2032,3)="000",C2032,VLOOKUP(B2032,'Справочник ИХ'!A:C,3,0))</f>
        <v>Остальные грузы</v>
      </c>
      <c r="E2032" s="13">
        <f>IF(RIGHT(A2032,3)="000","х",VLOOKUP(B2032,'Справочник ИХ'!A:D,4,0))</f>
        <v>3</v>
      </c>
      <c r="F2032" s="14" t="s">
        <v>2957</v>
      </c>
    </row>
    <row r="2033" spans="1:6" s="18" customFormat="1" ht="31.75">
      <c r="A2033" s="16">
        <v>40300</v>
      </c>
      <c r="B2033" s="12" t="str">
        <f t="shared" si="31"/>
        <v>403</v>
      </c>
      <c r="C2033" s="17" t="s">
        <v>2989</v>
      </c>
      <c r="D2033" s="13" t="str">
        <f>IF(RIGHT(A2033,3)="000",C2033,VLOOKUP(B2033,'Справочник ИХ'!A:C,3,0))</f>
        <v>Остальные грузы</v>
      </c>
      <c r="E2033" s="13">
        <f>IF(RIGHT(A2033,3)="000","х",VLOOKUP(B2033,'Справочник ИХ'!A:D,4,0))</f>
        <v>3</v>
      </c>
      <c r="F2033" s="14" t="s">
        <v>2957</v>
      </c>
    </row>
    <row r="2034" spans="1:6" ht="31.75">
      <c r="A2034" s="19">
        <v>40301</v>
      </c>
      <c r="B2034" s="12" t="str">
        <f t="shared" si="31"/>
        <v>403</v>
      </c>
      <c r="C2034" s="1" t="s">
        <v>2990</v>
      </c>
      <c r="D2034" s="13" t="str">
        <f>IF(RIGHT(A2034,3)="000",C2034,VLOOKUP(B2034,'Справочник ИХ'!A:C,3,0))</f>
        <v>Остальные грузы</v>
      </c>
      <c r="E2034" s="13">
        <f>IF(RIGHT(A2034,3)="000","х",VLOOKUP(B2034,'Справочник ИХ'!A:D,4,0))</f>
        <v>3</v>
      </c>
      <c r="F2034" s="14" t="s">
        <v>2957</v>
      </c>
    </row>
    <row r="2035" spans="1:6" ht="31.75">
      <c r="A2035" s="19">
        <v>40302</v>
      </c>
      <c r="B2035" s="12" t="str">
        <f t="shared" si="31"/>
        <v>403</v>
      </c>
      <c r="C2035" s="1" t="s">
        <v>2991</v>
      </c>
      <c r="D2035" s="13" t="str">
        <f>IF(RIGHT(A2035,3)="000",C2035,VLOOKUP(B2035,'Справочник ИХ'!A:C,3,0))</f>
        <v>Остальные грузы</v>
      </c>
      <c r="E2035" s="13">
        <f>IF(RIGHT(A2035,3)="000","х",VLOOKUP(B2035,'Справочник ИХ'!A:D,4,0))</f>
        <v>3</v>
      </c>
      <c r="F2035" s="14" t="s">
        <v>2957</v>
      </c>
    </row>
    <row r="2036" spans="1:6" ht="31.75">
      <c r="A2036" s="19">
        <v>40303</v>
      </c>
      <c r="B2036" s="12" t="str">
        <f t="shared" si="31"/>
        <v>403</v>
      </c>
      <c r="C2036" s="1" t="s">
        <v>2992</v>
      </c>
      <c r="D2036" s="13" t="str">
        <f>IF(RIGHT(A2036,3)="000",C2036,VLOOKUP(B2036,'Справочник ИХ'!A:C,3,0))</f>
        <v>Остальные грузы</v>
      </c>
      <c r="E2036" s="13">
        <f>IF(RIGHT(A2036,3)="000","х",VLOOKUP(B2036,'Справочник ИХ'!A:D,4,0))</f>
        <v>3</v>
      </c>
      <c r="F2036" s="14" t="s">
        <v>2957</v>
      </c>
    </row>
    <row r="2037" spans="1:6" ht="31.75">
      <c r="A2037" s="19">
        <v>40304</v>
      </c>
      <c r="B2037" s="12" t="str">
        <f t="shared" si="31"/>
        <v>403</v>
      </c>
      <c r="C2037" s="1" t="s">
        <v>2993</v>
      </c>
      <c r="D2037" s="13" t="str">
        <f>IF(RIGHT(A2037,3)="000",C2037,VLOOKUP(B2037,'Справочник ИХ'!A:C,3,0))</f>
        <v>Остальные грузы</v>
      </c>
      <c r="E2037" s="13">
        <f>IF(RIGHT(A2037,3)="000","х",VLOOKUP(B2037,'Справочник ИХ'!A:D,4,0))</f>
        <v>3</v>
      </c>
      <c r="F2037" s="14" t="s">
        <v>2957</v>
      </c>
    </row>
    <row r="2038" spans="1:6" ht="31.75">
      <c r="A2038" s="19">
        <v>40305</v>
      </c>
      <c r="B2038" s="12" t="str">
        <f t="shared" si="31"/>
        <v>403</v>
      </c>
      <c r="C2038" s="1" t="s">
        <v>2994</v>
      </c>
      <c r="D2038" s="13" t="str">
        <f>IF(RIGHT(A2038,3)="000",C2038,VLOOKUP(B2038,'Справочник ИХ'!A:C,3,0))</f>
        <v>Остальные грузы</v>
      </c>
      <c r="E2038" s="13">
        <f>IF(RIGHT(A2038,3)="000","х",VLOOKUP(B2038,'Справочник ИХ'!A:D,4,0))</f>
        <v>3</v>
      </c>
      <c r="F2038" s="14" t="s">
        <v>2957</v>
      </c>
    </row>
    <row r="2039" spans="1:6" s="18" customFormat="1" ht="31.75">
      <c r="A2039" s="16">
        <v>40400</v>
      </c>
      <c r="B2039" s="12" t="str">
        <f t="shared" si="31"/>
        <v>404</v>
      </c>
      <c r="C2039" s="17" t="s">
        <v>2995</v>
      </c>
      <c r="D2039" s="13" t="str">
        <f>IF(RIGHT(A2039,3)="000",C2039,VLOOKUP(B2039,'Справочник ИХ'!A:C,3,0))</f>
        <v>Остальные грузы</v>
      </c>
      <c r="E2039" s="13">
        <f>IF(RIGHT(A2039,3)="000","х",VLOOKUP(B2039,'Справочник ИХ'!A:D,4,0))</f>
        <v>3</v>
      </c>
      <c r="F2039" s="14" t="s">
        <v>2957</v>
      </c>
    </row>
    <row r="2040" spans="1:6" ht="31.75">
      <c r="A2040" s="19">
        <v>40401</v>
      </c>
      <c r="B2040" s="12" t="str">
        <f t="shared" si="31"/>
        <v>404</v>
      </c>
      <c r="C2040" s="1" t="s">
        <v>2996</v>
      </c>
      <c r="D2040" s="13" t="str">
        <f>IF(RIGHT(A2040,3)="000",C2040,VLOOKUP(B2040,'Справочник ИХ'!A:C,3,0))</f>
        <v>Остальные грузы</v>
      </c>
      <c r="E2040" s="13">
        <f>IF(RIGHT(A2040,3)="000","х",VLOOKUP(B2040,'Справочник ИХ'!A:D,4,0))</f>
        <v>3</v>
      </c>
      <c r="F2040" s="14" t="s">
        <v>2957</v>
      </c>
    </row>
    <row r="2041" spans="1:6" ht="31.75">
      <c r="A2041" s="19">
        <v>40402</v>
      </c>
      <c r="B2041" s="12" t="str">
        <f t="shared" si="31"/>
        <v>404</v>
      </c>
      <c r="C2041" s="1" t="s">
        <v>2997</v>
      </c>
      <c r="D2041" s="13" t="str">
        <f>IF(RIGHT(A2041,3)="000",C2041,VLOOKUP(B2041,'Справочник ИХ'!A:C,3,0))</f>
        <v>Остальные грузы</v>
      </c>
      <c r="E2041" s="13">
        <f>IF(RIGHT(A2041,3)="000","х",VLOOKUP(B2041,'Справочник ИХ'!A:D,4,0))</f>
        <v>3</v>
      </c>
      <c r="F2041" s="14" t="s">
        <v>2957</v>
      </c>
    </row>
    <row r="2042" spans="1:6" ht="31.75">
      <c r="A2042" s="19">
        <v>40403</v>
      </c>
      <c r="B2042" s="12" t="str">
        <f t="shared" si="31"/>
        <v>404</v>
      </c>
      <c r="C2042" s="1" t="s">
        <v>2998</v>
      </c>
      <c r="D2042" s="13" t="str">
        <f>IF(RIGHT(A2042,3)="000",C2042,VLOOKUP(B2042,'Справочник ИХ'!A:C,3,0))</f>
        <v>Остальные грузы</v>
      </c>
      <c r="E2042" s="13">
        <f>IF(RIGHT(A2042,3)="000","х",VLOOKUP(B2042,'Справочник ИХ'!A:D,4,0))</f>
        <v>3</v>
      </c>
      <c r="F2042" s="14" t="s">
        <v>2957</v>
      </c>
    </row>
    <row r="2043" spans="1:6" ht="31.75">
      <c r="A2043" s="19">
        <v>40404</v>
      </c>
      <c r="B2043" s="12" t="str">
        <f t="shared" si="31"/>
        <v>404</v>
      </c>
      <c r="C2043" s="1" t="s">
        <v>2999</v>
      </c>
      <c r="D2043" s="13" t="str">
        <f>IF(RIGHT(A2043,3)="000",C2043,VLOOKUP(B2043,'Справочник ИХ'!A:C,3,0))</f>
        <v>Остальные грузы</v>
      </c>
      <c r="E2043" s="13">
        <f>IF(RIGHT(A2043,3)="000","х",VLOOKUP(B2043,'Справочник ИХ'!A:D,4,0))</f>
        <v>3</v>
      </c>
      <c r="F2043" s="14" t="s">
        <v>2957</v>
      </c>
    </row>
    <row r="2044" spans="1:6" ht="31.75">
      <c r="A2044" s="19">
        <v>40405</v>
      </c>
      <c r="B2044" s="12" t="str">
        <f t="shared" si="31"/>
        <v>404</v>
      </c>
      <c r="C2044" s="1" t="s">
        <v>3000</v>
      </c>
      <c r="D2044" s="13" t="str">
        <f>IF(RIGHT(A2044,3)="000",C2044,VLOOKUP(B2044,'Справочник ИХ'!A:C,3,0))</f>
        <v>Остальные грузы</v>
      </c>
      <c r="E2044" s="13">
        <f>IF(RIGHT(A2044,3)="000","х",VLOOKUP(B2044,'Справочник ИХ'!A:D,4,0))</f>
        <v>3</v>
      </c>
      <c r="F2044" s="14" t="s">
        <v>2957</v>
      </c>
    </row>
    <row r="2045" spans="1:6" ht="31.75">
      <c r="A2045" s="19">
        <v>40406</v>
      </c>
      <c r="B2045" s="12" t="str">
        <f t="shared" si="31"/>
        <v>404</v>
      </c>
      <c r="C2045" s="1" t="s">
        <v>3001</v>
      </c>
      <c r="D2045" s="13" t="str">
        <f>IF(RIGHT(A2045,3)="000",C2045,VLOOKUP(B2045,'Справочник ИХ'!A:C,3,0))</f>
        <v>Остальные грузы</v>
      </c>
      <c r="E2045" s="13">
        <f>IF(RIGHT(A2045,3)="000","х",VLOOKUP(B2045,'Справочник ИХ'!A:D,4,0))</f>
        <v>3</v>
      </c>
      <c r="F2045" s="14" t="s">
        <v>2957</v>
      </c>
    </row>
    <row r="2046" spans="1:6" ht="31.75">
      <c r="A2046" s="19">
        <v>40407</v>
      </c>
      <c r="B2046" s="12" t="str">
        <f t="shared" si="31"/>
        <v>404</v>
      </c>
      <c r="C2046" s="1" t="s">
        <v>3002</v>
      </c>
      <c r="D2046" s="13" t="str">
        <f>IF(RIGHT(A2046,3)="000",C2046,VLOOKUP(B2046,'Справочник ИХ'!A:C,3,0))</f>
        <v>Остальные грузы</v>
      </c>
      <c r="E2046" s="13">
        <f>IF(RIGHT(A2046,3)="000","х",VLOOKUP(B2046,'Справочник ИХ'!A:D,4,0))</f>
        <v>3</v>
      </c>
      <c r="F2046" s="14" t="s">
        <v>2957</v>
      </c>
    </row>
    <row r="2047" spans="1:6" ht="31.75">
      <c r="A2047" s="19">
        <v>40408</v>
      </c>
      <c r="B2047" s="12" t="str">
        <f t="shared" si="31"/>
        <v>404</v>
      </c>
      <c r="C2047" s="1" t="s">
        <v>3003</v>
      </c>
      <c r="D2047" s="13" t="str">
        <f>IF(RIGHT(A2047,3)="000",C2047,VLOOKUP(B2047,'Справочник ИХ'!A:C,3,0))</f>
        <v>Остальные грузы</v>
      </c>
      <c r="E2047" s="13">
        <f>IF(RIGHT(A2047,3)="000","х",VLOOKUP(B2047,'Справочник ИХ'!A:D,4,0))</f>
        <v>3</v>
      </c>
      <c r="F2047" s="14" t="s">
        <v>2957</v>
      </c>
    </row>
    <row r="2048" spans="1:6" ht="31.75">
      <c r="A2048" s="19">
        <v>40409</v>
      </c>
      <c r="B2048" s="12" t="str">
        <f t="shared" si="31"/>
        <v>404</v>
      </c>
      <c r="C2048" s="1" t="s">
        <v>3004</v>
      </c>
      <c r="D2048" s="13" t="str">
        <f>IF(RIGHT(A2048,3)="000",C2048,VLOOKUP(B2048,'Справочник ИХ'!A:C,3,0))</f>
        <v>Остальные грузы</v>
      </c>
      <c r="E2048" s="13">
        <f>IF(RIGHT(A2048,3)="000","х",VLOOKUP(B2048,'Справочник ИХ'!A:D,4,0))</f>
        <v>3</v>
      </c>
      <c r="F2048" s="14" t="s">
        <v>2957</v>
      </c>
    </row>
    <row r="2049" spans="1:6" ht="31.75">
      <c r="A2049" s="19">
        <v>40410</v>
      </c>
      <c r="B2049" s="12" t="str">
        <f t="shared" si="31"/>
        <v>404</v>
      </c>
      <c r="C2049" s="1" t="s">
        <v>3005</v>
      </c>
      <c r="D2049" s="13" t="str">
        <f>IF(RIGHT(A2049,3)="000",C2049,VLOOKUP(B2049,'Справочник ИХ'!A:C,3,0))</f>
        <v>Остальные грузы</v>
      </c>
      <c r="E2049" s="13">
        <f>IF(RIGHT(A2049,3)="000","х",VLOOKUP(B2049,'Справочник ИХ'!A:D,4,0))</f>
        <v>3</v>
      </c>
      <c r="F2049" s="14" t="s">
        <v>2957</v>
      </c>
    </row>
    <row r="2050" spans="1:6" ht="31.75">
      <c r="A2050" s="19">
        <v>40411</v>
      </c>
      <c r="B2050" s="12" t="str">
        <f t="shared" si="31"/>
        <v>404</v>
      </c>
      <c r="C2050" s="1" t="s">
        <v>3006</v>
      </c>
      <c r="D2050" s="13" t="str">
        <f>IF(RIGHT(A2050,3)="000",C2050,VLOOKUP(B2050,'Справочник ИХ'!A:C,3,0))</f>
        <v>Остальные грузы</v>
      </c>
      <c r="E2050" s="13">
        <f>IF(RIGHT(A2050,3)="000","х",VLOOKUP(B2050,'Справочник ИХ'!A:D,4,0))</f>
        <v>3</v>
      </c>
      <c r="F2050" s="14" t="s">
        <v>2957</v>
      </c>
    </row>
    <row r="2051" spans="1:6" ht="31.75">
      <c r="A2051" s="19">
        <v>40412</v>
      </c>
      <c r="B2051" s="12" t="str">
        <f t="shared" si="31"/>
        <v>404</v>
      </c>
      <c r="C2051" s="1" t="s">
        <v>3007</v>
      </c>
      <c r="D2051" s="13" t="str">
        <f>IF(RIGHT(A2051,3)="000",C2051,VLOOKUP(B2051,'Справочник ИХ'!A:C,3,0))</f>
        <v>Остальные грузы</v>
      </c>
      <c r="E2051" s="13">
        <f>IF(RIGHT(A2051,3)="000","х",VLOOKUP(B2051,'Справочник ИХ'!A:D,4,0))</f>
        <v>3</v>
      </c>
      <c r="F2051" s="14" t="s">
        <v>2957</v>
      </c>
    </row>
    <row r="2052" spans="1:6" ht="31.75">
      <c r="A2052" s="19">
        <v>40413</v>
      </c>
      <c r="B2052" s="12" t="str">
        <f t="shared" ref="B2052:B2115" si="32">LEFT(A2052,3)</f>
        <v>404</v>
      </c>
      <c r="C2052" s="1" t="s">
        <v>3008</v>
      </c>
      <c r="D2052" s="13" t="str">
        <f>IF(RIGHT(A2052,3)="000",C2052,VLOOKUP(B2052,'Справочник ИХ'!A:C,3,0))</f>
        <v>Остальные грузы</v>
      </c>
      <c r="E2052" s="13">
        <f>IF(RIGHT(A2052,3)="000","х",VLOOKUP(B2052,'Справочник ИХ'!A:D,4,0))</f>
        <v>3</v>
      </c>
      <c r="F2052" s="14" t="s">
        <v>2957</v>
      </c>
    </row>
    <row r="2053" spans="1:6" ht="31.75">
      <c r="A2053" s="19">
        <v>40414</v>
      </c>
      <c r="B2053" s="12" t="str">
        <f t="shared" si="32"/>
        <v>404</v>
      </c>
      <c r="C2053" s="1" t="s">
        <v>3009</v>
      </c>
      <c r="D2053" s="13" t="str">
        <f>IF(RIGHT(A2053,3)="000",C2053,VLOOKUP(B2053,'Справочник ИХ'!A:C,3,0))</f>
        <v>Остальные грузы</v>
      </c>
      <c r="E2053" s="13">
        <f>IF(RIGHT(A2053,3)="000","х",VLOOKUP(B2053,'Справочник ИХ'!A:D,4,0))</f>
        <v>3</v>
      </c>
      <c r="F2053" s="14" t="s">
        <v>2957</v>
      </c>
    </row>
    <row r="2054" spans="1:6" ht="31.75">
      <c r="A2054" s="19">
        <v>40415</v>
      </c>
      <c r="B2054" s="12" t="str">
        <f t="shared" si="32"/>
        <v>404</v>
      </c>
      <c r="C2054" s="1" t="s">
        <v>3010</v>
      </c>
      <c r="D2054" s="13" t="str">
        <f>IF(RIGHT(A2054,3)="000",C2054,VLOOKUP(B2054,'Справочник ИХ'!A:C,3,0))</f>
        <v>Остальные грузы</v>
      </c>
      <c r="E2054" s="13">
        <f>IF(RIGHT(A2054,3)="000","х",VLOOKUP(B2054,'Справочник ИХ'!A:D,4,0))</f>
        <v>3</v>
      </c>
      <c r="F2054" s="14" t="s">
        <v>2957</v>
      </c>
    </row>
    <row r="2055" spans="1:6" ht="31.75">
      <c r="A2055" s="19">
        <v>40416</v>
      </c>
      <c r="B2055" s="12" t="str">
        <f t="shared" si="32"/>
        <v>404</v>
      </c>
      <c r="C2055" s="1" t="s">
        <v>3011</v>
      </c>
      <c r="D2055" s="13" t="str">
        <f>IF(RIGHT(A2055,3)="000",C2055,VLOOKUP(B2055,'Справочник ИХ'!A:C,3,0))</f>
        <v>Остальные грузы</v>
      </c>
      <c r="E2055" s="13">
        <f>IF(RIGHT(A2055,3)="000","х",VLOOKUP(B2055,'Справочник ИХ'!A:D,4,0))</f>
        <v>3</v>
      </c>
      <c r="F2055" s="14" t="s">
        <v>2957</v>
      </c>
    </row>
    <row r="2056" spans="1:6" ht="31.75">
      <c r="A2056" s="19">
        <v>40417</v>
      </c>
      <c r="B2056" s="12" t="str">
        <f t="shared" si="32"/>
        <v>404</v>
      </c>
      <c r="C2056" s="1" t="s">
        <v>3012</v>
      </c>
      <c r="D2056" s="13" t="str">
        <f>IF(RIGHT(A2056,3)="000",C2056,VLOOKUP(B2056,'Справочник ИХ'!A:C,3,0))</f>
        <v>Остальные грузы</v>
      </c>
      <c r="E2056" s="13">
        <f>IF(RIGHT(A2056,3)="000","х",VLOOKUP(B2056,'Справочник ИХ'!A:D,4,0))</f>
        <v>3</v>
      </c>
      <c r="F2056" s="14" t="s">
        <v>2957</v>
      </c>
    </row>
    <row r="2057" spans="1:6" ht="31.75">
      <c r="A2057" s="19">
        <v>40418</v>
      </c>
      <c r="B2057" s="12" t="str">
        <f t="shared" si="32"/>
        <v>404</v>
      </c>
      <c r="C2057" s="1" t="s">
        <v>3013</v>
      </c>
      <c r="D2057" s="13" t="str">
        <f>IF(RIGHT(A2057,3)="000",C2057,VLOOKUP(B2057,'Справочник ИХ'!A:C,3,0))</f>
        <v>Остальные грузы</v>
      </c>
      <c r="E2057" s="13">
        <f>IF(RIGHT(A2057,3)="000","х",VLOOKUP(B2057,'Справочник ИХ'!A:D,4,0))</f>
        <v>3</v>
      </c>
      <c r="F2057" s="14" t="s">
        <v>2957</v>
      </c>
    </row>
    <row r="2058" spans="1:6" ht="31.75">
      <c r="A2058" s="19">
        <v>40419</v>
      </c>
      <c r="B2058" s="12" t="str">
        <f t="shared" si="32"/>
        <v>404</v>
      </c>
      <c r="C2058" s="1" t="s">
        <v>3014</v>
      </c>
      <c r="D2058" s="13" t="str">
        <f>IF(RIGHT(A2058,3)="000",C2058,VLOOKUP(B2058,'Справочник ИХ'!A:C,3,0))</f>
        <v>Остальные грузы</v>
      </c>
      <c r="E2058" s="13">
        <f>IF(RIGHT(A2058,3)="000","х",VLOOKUP(B2058,'Справочник ИХ'!A:D,4,0))</f>
        <v>3</v>
      </c>
      <c r="F2058" s="14" t="s">
        <v>2957</v>
      </c>
    </row>
    <row r="2059" spans="1:6" ht="31.75">
      <c r="A2059" s="19">
        <v>40420</v>
      </c>
      <c r="B2059" s="12" t="str">
        <f t="shared" si="32"/>
        <v>404</v>
      </c>
      <c r="C2059" s="1" t="s">
        <v>3015</v>
      </c>
      <c r="D2059" s="13" t="str">
        <f>IF(RIGHT(A2059,3)="000",C2059,VLOOKUP(B2059,'Справочник ИХ'!A:C,3,0))</f>
        <v>Остальные грузы</v>
      </c>
      <c r="E2059" s="13">
        <f>IF(RIGHT(A2059,3)="000","х",VLOOKUP(B2059,'Справочник ИХ'!A:D,4,0))</f>
        <v>3</v>
      </c>
      <c r="F2059" s="14" t="s">
        <v>2957</v>
      </c>
    </row>
    <row r="2060" spans="1:6" ht="31.75">
      <c r="A2060" s="19">
        <v>40421</v>
      </c>
      <c r="B2060" s="12" t="str">
        <f t="shared" si="32"/>
        <v>404</v>
      </c>
      <c r="C2060" s="1" t="s">
        <v>3016</v>
      </c>
      <c r="D2060" s="13" t="str">
        <f>IF(RIGHT(A2060,3)="000",C2060,VLOOKUP(B2060,'Справочник ИХ'!A:C,3,0))</f>
        <v>Остальные грузы</v>
      </c>
      <c r="E2060" s="13">
        <f>IF(RIGHT(A2060,3)="000","х",VLOOKUP(B2060,'Справочник ИХ'!A:D,4,0))</f>
        <v>3</v>
      </c>
      <c r="F2060" s="14" t="s">
        <v>2957</v>
      </c>
    </row>
    <row r="2061" spans="1:6" ht="31.75">
      <c r="A2061" s="19">
        <v>40422</v>
      </c>
      <c r="B2061" s="12" t="str">
        <f t="shared" si="32"/>
        <v>404</v>
      </c>
      <c r="C2061" s="1" t="s">
        <v>3017</v>
      </c>
      <c r="D2061" s="13" t="str">
        <f>IF(RIGHT(A2061,3)="000",C2061,VLOOKUP(B2061,'Справочник ИХ'!A:C,3,0))</f>
        <v>Остальные грузы</v>
      </c>
      <c r="E2061" s="13">
        <f>IF(RIGHT(A2061,3)="000","х",VLOOKUP(B2061,'Справочник ИХ'!A:D,4,0))</f>
        <v>3</v>
      </c>
      <c r="F2061" s="14" t="s">
        <v>2957</v>
      </c>
    </row>
    <row r="2062" spans="1:6" ht="31.75">
      <c r="A2062" s="19">
        <v>40423</v>
      </c>
      <c r="B2062" s="12" t="str">
        <f t="shared" si="32"/>
        <v>404</v>
      </c>
      <c r="C2062" s="1" t="s">
        <v>3018</v>
      </c>
      <c r="D2062" s="13" t="str">
        <f>IF(RIGHT(A2062,3)="000",C2062,VLOOKUP(B2062,'Справочник ИХ'!A:C,3,0))</f>
        <v>Остальные грузы</v>
      </c>
      <c r="E2062" s="13">
        <f>IF(RIGHT(A2062,3)="000","х",VLOOKUP(B2062,'Справочник ИХ'!A:D,4,0))</f>
        <v>3</v>
      </c>
      <c r="F2062" s="14" t="s">
        <v>2957</v>
      </c>
    </row>
    <row r="2063" spans="1:6" ht="31.75">
      <c r="A2063" s="19">
        <v>40424</v>
      </c>
      <c r="B2063" s="12" t="str">
        <f t="shared" si="32"/>
        <v>404</v>
      </c>
      <c r="C2063" s="1" t="s">
        <v>3019</v>
      </c>
      <c r="D2063" s="13" t="str">
        <f>IF(RIGHT(A2063,3)="000",C2063,VLOOKUP(B2063,'Справочник ИХ'!A:C,3,0))</f>
        <v>Остальные грузы</v>
      </c>
      <c r="E2063" s="13">
        <f>IF(RIGHT(A2063,3)="000","х",VLOOKUP(B2063,'Справочник ИХ'!A:D,4,0))</f>
        <v>3</v>
      </c>
      <c r="F2063" s="14" t="s">
        <v>2957</v>
      </c>
    </row>
    <row r="2064" spans="1:6" s="18" customFormat="1" ht="31.75">
      <c r="A2064" s="16">
        <v>40500</v>
      </c>
      <c r="B2064" s="12" t="str">
        <f t="shared" si="32"/>
        <v>405</v>
      </c>
      <c r="C2064" s="17" t="s">
        <v>3020</v>
      </c>
      <c r="D2064" s="13" t="str">
        <f>IF(RIGHT(A2064,3)="000",C2064,VLOOKUP(B2064,'Справочник ИХ'!A:C,3,0))</f>
        <v>Остальные грузы</v>
      </c>
      <c r="E2064" s="13">
        <f>IF(RIGHT(A2064,3)="000","х",VLOOKUP(B2064,'Справочник ИХ'!A:D,4,0))</f>
        <v>3</v>
      </c>
      <c r="F2064" s="14" t="s">
        <v>2957</v>
      </c>
    </row>
    <row r="2065" spans="1:6" ht="31.75">
      <c r="A2065" s="19">
        <v>40501</v>
      </c>
      <c r="B2065" s="12" t="str">
        <f t="shared" si="32"/>
        <v>405</v>
      </c>
      <c r="C2065" s="1" t="s">
        <v>3021</v>
      </c>
      <c r="D2065" s="13" t="str">
        <f>IF(RIGHT(A2065,3)="000",C2065,VLOOKUP(B2065,'Справочник ИХ'!A:C,3,0))</f>
        <v>Остальные грузы</v>
      </c>
      <c r="E2065" s="13">
        <f>IF(RIGHT(A2065,3)="000","х",VLOOKUP(B2065,'Справочник ИХ'!A:D,4,0))</f>
        <v>3</v>
      </c>
      <c r="F2065" s="14" t="s">
        <v>2957</v>
      </c>
    </row>
    <row r="2066" spans="1:6" ht="31.75">
      <c r="A2066" s="19">
        <v>40502</v>
      </c>
      <c r="B2066" s="12" t="str">
        <f t="shared" si="32"/>
        <v>405</v>
      </c>
      <c r="C2066" s="1" t="s">
        <v>3022</v>
      </c>
      <c r="D2066" s="13" t="str">
        <f>IF(RIGHT(A2066,3)="000",C2066,VLOOKUP(B2066,'Справочник ИХ'!A:C,3,0))</f>
        <v>Остальные грузы</v>
      </c>
      <c r="E2066" s="13">
        <f>IF(RIGHT(A2066,3)="000","х",VLOOKUP(B2066,'Справочник ИХ'!A:D,4,0))</f>
        <v>3</v>
      </c>
      <c r="F2066" s="14" t="s">
        <v>2957</v>
      </c>
    </row>
    <row r="2067" spans="1:6" ht="31.75">
      <c r="A2067" s="19">
        <v>40503</v>
      </c>
      <c r="B2067" s="12" t="str">
        <f t="shared" si="32"/>
        <v>405</v>
      </c>
      <c r="C2067" s="1" t="s">
        <v>3023</v>
      </c>
      <c r="D2067" s="13" t="str">
        <f>IF(RIGHT(A2067,3)="000",C2067,VLOOKUP(B2067,'Справочник ИХ'!A:C,3,0))</f>
        <v>Остальные грузы</v>
      </c>
      <c r="E2067" s="13">
        <f>IF(RIGHT(A2067,3)="000","х",VLOOKUP(B2067,'Справочник ИХ'!A:D,4,0))</f>
        <v>3</v>
      </c>
      <c r="F2067" s="14" t="s">
        <v>2957</v>
      </c>
    </row>
    <row r="2068" spans="1:6" s="15" customFormat="1">
      <c r="A2068" s="7">
        <v>41000</v>
      </c>
      <c r="B2068" s="12" t="str">
        <f t="shared" si="32"/>
        <v>410</v>
      </c>
      <c r="C2068" s="11" t="s">
        <v>3024</v>
      </c>
      <c r="D2068" s="13" t="str">
        <f>IF(RIGHT(A2068,3)="000",C2068,VLOOKUP(B2068,'Справочник ИХ'!A:C,3,0))</f>
        <v xml:space="preserve">Изделия металлические </v>
      </c>
      <c r="E2068" s="13" t="str">
        <f>IF(RIGHT(A2068,3)="000","х",VLOOKUP(B2068,'Справочник ИХ'!A:D,4,0))</f>
        <v>х</v>
      </c>
      <c r="F2068" s="14" t="s">
        <v>3024</v>
      </c>
    </row>
    <row r="2069" spans="1:6" s="18" customFormat="1" ht="31.75">
      <c r="A2069" s="16">
        <v>41100</v>
      </c>
      <c r="B2069" s="12" t="str">
        <f t="shared" si="32"/>
        <v>411</v>
      </c>
      <c r="C2069" s="17" t="s">
        <v>3025</v>
      </c>
      <c r="D2069" s="13" t="str">
        <f>IF(RIGHT(A2069,3)="000",C2069,VLOOKUP(B2069,'Справочник ИХ'!A:C,3,0))</f>
        <v>Остальные грузы</v>
      </c>
      <c r="E2069" s="13">
        <f>IF(RIGHT(A2069,3)="000","х",VLOOKUP(B2069,'Справочник ИХ'!A:D,4,0))</f>
        <v>3</v>
      </c>
      <c r="F2069" s="14" t="s">
        <v>3024</v>
      </c>
    </row>
    <row r="2070" spans="1:6">
      <c r="A2070" s="19">
        <v>41101</v>
      </c>
      <c r="B2070" s="12" t="str">
        <f t="shared" si="32"/>
        <v>411</v>
      </c>
      <c r="C2070" s="1" t="s">
        <v>3026</v>
      </c>
      <c r="D2070" s="13" t="str">
        <f>IF(RIGHT(A2070,3)="000",C2070,VLOOKUP(B2070,'Справочник ИХ'!A:C,3,0))</f>
        <v>Остальные грузы</v>
      </c>
      <c r="E2070" s="13">
        <f>IF(RIGHT(A2070,3)="000","х",VLOOKUP(B2070,'Справочник ИХ'!A:D,4,0))</f>
        <v>3</v>
      </c>
      <c r="F2070" s="14" t="s">
        <v>3024</v>
      </c>
    </row>
    <row r="2071" spans="1:6">
      <c r="A2071" s="19">
        <v>41102</v>
      </c>
      <c r="B2071" s="12" t="str">
        <f t="shared" si="32"/>
        <v>411</v>
      </c>
      <c r="C2071" s="1" t="s">
        <v>3027</v>
      </c>
      <c r="D2071" s="13" t="str">
        <f>IF(RIGHT(A2071,3)="000",C2071,VLOOKUP(B2071,'Справочник ИХ'!A:C,3,0))</f>
        <v>Остальные грузы</v>
      </c>
      <c r="E2071" s="13">
        <f>IF(RIGHT(A2071,3)="000","х",VLOOKUP(B2071,'Справочник ИХ'!A:D,4,0))</f>
        <v>3</v>
      </c>
      <c r="F2071" s="14" t="s">
        <v>3024</v>
      </c>
    </row>
    <row r="2072" spans="1:6">
      <c r="A2072" s="19">
        <v>41103</v>
      </c>
      <c r="B2072" s="12" t="str">
        <f t="shared" si="32"/>
        <v>411</v>
      </c>
      <c r="C2072" s="1" t="s">
        <v>3028</v>
      </c>
      <c r="D2072" s="13" t="str">
        <f>IF(RIGHT(A2072,3)="000",C2072,VLOOKUP(B2072,'Справочник ИХ'!A:C,3,0))</f>
        <v>Остальные грузы</v>
      </c>
      <c r="E2072" s="13">
        <f>IF(RIGHT(A2072,3)="000","х",VLOOKUP(B2072,'Справочник ИХ'!A:D,4,0))</f>
        <v>3</v>
      </c>
      <c r="F2072" s="14" t="s">
        <v>3024</v>
      </c>
    </row>
    <row r="2073" spans="1:6">
      <c r="A2073" s="19">
        <v>41104</v>
      </c>
      <c r="B2073" s="12" t="str">
        <f t="shared" si="32"/>
        <v>411</v>
      </c>
      <c r="C2073" s="1" t="s">
        <v>3029</v>
      </c>
      <c r="D2073" s="13" t="str">
        <f>IF(RIGHT(A2073,3)="000",C2073,VLOOKUP(B2073,'Справочник ИХ'!A:C,3,0))</f>
        <v>Остальные грузы</v>
      </c>
      <c r="E2073" s="13">
        <f>IF(RIGHT(A2073,3)="000","х",VLOOKUP(B2073,'Справочник ИХ'!A:D,4,0))</f>
        <v>3</v>
      </c>
      <c r="F2073" s="14" t="s">
        <v>3024</v>
      </c>
    </row>
    <row r="2074" spans="1:6" ht="31.75">
      <c r="A2074" s="19">
        <v>41105</v>
      </c>
      <c r="B2074" s="12" t="str">
        <f t="shared" si="32"/>
        <v>411</v>
      </c>
      <c r="C2074" s="1" t="s">
        <v>3030</v>
      </c>
      <c r="D2074" s="13" t="str">
        <f>IF(RIGHT(A2074,3)="000",C2074,VLOOKUP(B2074,'Справочник ИХ'!A:C,3,0))</f>
        <v>Остальные грузы</v>
      </c>
      <c r="E2074" s="13">
        <f>IF(RIGHT(A2074,3)="000","х",VLOOKUP(B2074,'Справочник ИХ'!A:D,4,0))</f>
        <v>3</v>
      </c>
      <c r="F2074" s="14" t="s">
        <v>3024</v>
      </c>
    </row>
    <row r="2075" spans="1:6">
      <c r="A2075" s="19">
        <v>41106</v>
      </c>
      <c r="B2075" s="12" t="str">
        <f t="shared" si="32"/>
        <v>411</v>
      </c>
      <c r="C2075" s="1" t="s">
        <v>3031</v>
      </c>
      <c r="D2075" s="13" t="str">
        <f>IF(RIGHT(A2075,3)="000",C2075,VLOOKUP(B2075,'Справочник ИХ'!A:C,3,0))</f>
        <v>Остальные грузы</v>
      </c>
      <c r="E2075" s="13">
        <f>IF(RIGHT(A2075,3)="000","х",VLOOKUP(B2075,'Справочник ИХ'!A:D,4,0))</f>
        <v>3</v>
      </c>
      <c r="F2075" s="14" t="s">
        <v>3024</v>
      </c>
    </row>
    <row r="2076" spans="1:6">
      <c r="A2076" s="19">
        <v>41107</v>
      </c>
      <c r="B2076" s="12" t="str">
        <f t="shared" si="32"/>
        <v>411</v>
      </c>
      <c r="C2076" s="1" t="s">
        <v>3032</v>
      </c>
      <c r="D2076" s="13" t="str">
        <f>IF(RIGHT(A2076,3)="000",C2076,VLOOKUP(B2076,'Справочник ИХ'!A:C,3,0))</f>
        <v>Остальные грузы</v>
      </c>
      <c r="E2076" s="13">
        <f>IF(RIGHT(A2076,3)="000","х",VLOOKUP(B2076,'Справочник ИХ'!A:D,4,0))</f>
        <v>3</v>
      </c>
      <c r="F2076" s="14" t="s">
        <v>3024</v>
      </c>
    </row>
    <row r="2077" spans="1:6">
      <c r="A2077" s="19">
        <v>41108</v>
      </c>
      <c r="B2077" s="12" t="str">
        <f t="shared" si="32"/>
        <v>411</v>
      </c>
      <c r="C2077" s="1" t="s">
        <v>3033</v>
      </c>
      <c r="D2077" s="13" t="str">
        <f>IF(RIGHT(A2077,3)="000",C2077,VLOOKUP(B2077,'Справочник ИХ'!A:C,3,0))</f>
        <v>Остальные грузы</v>
      </c>
      <c r="E2077" s="13">
        <f>IF(RIGHT(A2077,3)="000","х",VLOOKUP(B2077,'Справочник ИХ'!A:D,4,0))</f>
        <v>3</v>
      </c>
      <c r="F2077" s="14" t="s">
        <v>3024</v>
      </c>
    </row>
    <row r="2078" spans="1:6">
      <c r="A2078" s="19">
        <v>41109</v>
      </c>
      <c r="B2078" s="12" t="str">
        <f t="shared" si="32"/>
        <v>411</v>
      </c>
      <c r="C2078" s="1" t="s">
        <v>3034</v>
      </c>
      <c r="D2078" s="13" t="str">
        <f>IF(RIGHT(A2078,3)="000",C2078,VLOOKUP(B2078,'Справочник ИХ'!A:C,3,0))</f>
        <v>Остальные грузы</v>
      </c>
      <c r="E2078" s="13">
        <f>IF(RIGHT(A2078,3)="000","х",VLOOKUP(B2078,'Справочник ИХ'!A:D,4,0))</f>
        <v>3</v>
      </c>
      <c r="F2078" s="14" t="s">
        <v>3024</v>
      </c>
    </row>
    <row r="2079" spans="1:6">
      <c r="A2079" s="19">
        <v>41110</v>
      </c>
      <c r="B2079" s="12" t="str">
        <f t="shared" si="32"/>
        <v>411</v>
      </c>
      <c r="C2079" s="1" t="s">
        <v>3035</v>
      </c>
      <c r="D2079" s="13" t="str">
        <f>IF(RIGHT(A2079,3)="000",C2079,VLOOKUP(B2079,'Справочник ИХ'!A:C,3,0))</f>
        <v>Остальные грузы</v>
      </c>
      <c r="E2079" s="13">
        <f>IF(RIGHT(A2079,3)="000","х",VLOOKUP(B2079,'Справочник ИХ'!A:D,4,0))</f>
        <v>3</v>
      </c>
      <c r="F2079" s="14" t="s">
        <v>3024</v>
      </c>
    </row>
    <row r="2080" spans="1:6">
      <c r="A2080" s="19">
        <v>41111</v>
      </c>
      <c r="B2080" s="12" t="str">
        <f t="shared" si="32"/>
        <v>411</v>
      </c>
      <c r="C2080" s="1" t="s">
        <v>3036</v>
      </c>
      <c r="D2080" s="13" t="str">
        <f>IF(RIGHT(A2080,3)="000",C2080,VLOOKUP(B2080,'Справочник ИХ'!A:C,3,0))</f>
        <v>Остальные грузы</v>
      </c>
      <c r="E2080" s="13">
        <f>IF(RIGHT(A2080,3)="000","х",VLOOKUP(B2080,'Справочник ИХ'!A:D,4,0))</f>
        <v>3</v>
      </c>
      <c r="F2080" s="14" t="s">
        <v>3024</v>
      </c>
    </row>
    <row r="2081" spans="1:6">
      <c r="A2081" s="19">
        <v>41112</v>
      </c>
      <c r="B2081" s="12" t="str">
        <f t="shared" si="32"/>
        <v>411</v>
      </c>
      <c r="C2081" s="1" t="s">
        <v>3037</v>
      </c>
      <c r="D2081" s="13" t="str">
        <f>IF(RIGHT(A2081,3)="000",C2081,VLOOKUP(B2081,'Справочник ИХ'!A:C,3,0))</f>
        <v>Остальные грузы</v>
      </c>
      <c r="E2081" s="13">
        <f>IF(RIGHT(A2081,3)="000","х",VLOOKUP(B2081,'Справочник ИХ'!A:D,4,0))</f>
        <v>3</v>
      </c>
      <c r="F2081" s="14" t="s">
        <v>3024</v>
      </c>
    </row>
    <row r="2082" spans="1:6">
      <c r="A2082" s="19">
        <v>41113</v>
      </c>
      <c r="B2082" s="12" t="str">
        <f t="shared" si="32"/>
        <v>411</v>
      </c>
      <c r="C2082" s="1" t="s">
        <v>3038</v>
      </c>
      <c r="D2082" s="13" t="str">
        <f>IF(RIGHT(A2082,3)="000",C2082,VLOOKUP(B2082,'Справочник ИХ'!A:C,3,0))</f>
        <v>Остальные грузы</v>
      </c>
      <c r="E2082" s="13">
        <f>IF(RIGHT(A2082,3)="000","х",VLOOKUP(B2082,'Справочник ИХ'!A:D,4,0))</f>
        <v>3</v>
      </c>
      <c r="F2082" s="14" t="s">
        <v>3024</v>
      </c>
    </row>
    <row r="2083" spans="1:6">
      <c r="A2083" s="19">
        <v>41114</v>
      </c>
      <c r="B2083" s="12" t="str">
        <f t="shared" si="32"/>
        <v>411</v>
      </c>
      <c r="C2083" s="1" t="s">
        <v>3039</v>
      </c>
      <c r="D2083" s="13" t="str">
        <f>IF(RIGHT(A2083,3)="000",C2083,VLOOKUP(B2083,'Справочник ИХ'!A:C,3,0))</f>
        <v>Остальные грузы</v>
      </c>
      <c r="E2083" s="13">
        <f>IF(RIGHT(A2083,3)="000","х",VLOOKUP(B2083,'Справочник ИХ'!A:D,4,0))</f>
        <v>3</v>
      </c>
      <c r="F2083" s="14" t="s">
        <v>3024</v>
      </c>
    </row>
    <row r="2084" spans="1:6" ht="47.6">
      <c r="A2084" s="19">
        <v>41115</v>
      </c>
      <c r="B2084" s="12" t="str">
        <f t="shared" si="32"/>
        <v>411</v>
      </c>
      <c r="C2084" s="1" t="s">
        <v>3040</v>
      </c>
      <c r="D2084" s="13" t="str">
        <f>IF(RIGHT(A2084,3)="000",C2084,VLOOKUP(B2084,'Справочник ИХ'!A:C,3,0))</f>
        <v>Остальные грузы</v>
      </c>
      <c r="E2084" s="13">
        <f>IF(RIGHT(A2084,3)="000","х",VLOOKUP(B2084,'Справочник ИХ'!A:D,4,0))</f>
        <v>3</v>
      </c>
      <c r="F2084" s="14" t="s">
        <v>3024</v>
      </c>
    </row>
    <row r="2085" spans="1:6">
      <c r="A2085" s="19">
        <v>41116</v>
      </c>
      <c r="B2085" s="12" t="str">
        <f t="shared" si="32"/>
        <v>411</v>
      </c>
      <c r="C2085" s="1" t="s">
        <v>3041</v>
      </c>
      <c r="D2085" s="13" t="str">
        <f>IF(RIGHT(A2085,3)="000",C2085,VLOOKUP(B2085,'Справочник ИХ'!A:C,3,0))</f>
        <v>Остальные грузы</v>
      </c>
      <c r="E2085" s="13">
        <f>IF(RIGHT(A2085,3)="000","х",VLOOKUP(B2085,'Справочник ИХ'!A:D,4,0))</f>
        <v>3</v>
      </c>
      <c r="F2085" s="14" t="s">
        <v>3024</v>
      </c>
    </row>
    <row r="2086" spans="1:6" ht="31.75">
      <c r="A2086" s="19">
        <v>41117</v>
      </c>
      <c r="B2086" s="12" t="str">
        <f t="shared" si="32"/>
        <v>411</v>
      </c>
      <c r="C2086" s="1" t="s">
        <v>3042</v>
      </c>
      <c r="D2086" s="13" t="str">
        <f>IF(RIGHT(A2086,3)="000",C2086,VLOOKUP(B2086,'Справочник ИХ'!A:C,3,0))</f>
        <v>Остальные грузы</v>
      </c>
      <c r="E2086" s="13">
        <f>IF(RIGHT(A2086,3)="000","х",VLOOKUP(B2086,'Справочник ИХ'!A:D,4,0))</f>
        <v>3</v>
      </c>
      <c r="F2086" s="14" t="s">
        <v>3024</v>
      </c>
    </row>
    <row r="2087" spans="1:6" ht="47.6">
      <c r="A2087" s="19">
        <v>41118</v>
      </c>
      <c r="B2087" s="12" t="str">
        <f t="shared" si="32"/>
        <v>411</v>
      </c>
      <c r="C2087" s="1" t="s">
        <v>3043</v>
      </c>
      <c r="D2087" s="13" t="str">
        <f>IF(RIGHT(A2087,3)="000",C2087,VLOOKUP(B2087,'Справочник ИХ'!A:C,3,0))</f>
        <v>Остальные грузы</v>
      </c>
      <c r="E2087" s="13">
        <f>IF(RIGHT(A2087,3)="000","х",VLOOKUP(B2087,'Справочник ИХ'!A:D,4,0))</f>
        <v>3</v>
      </c>
      <c r="F2087" s="14" t="s">
        <v>3024</v>
      </c>
    </row>
    <row r="2088" spans="1:6" ht="31.75">
      <c r="A2088" s="19">
        <v>41120</v>
      </c>
      <c r="B2088" s="12" t="str">
        <f t="shared" si="32"/>
        <v>411</v>
      </c>
      <c r="C2088" s="1" t="s">
        <v>3044</v>
      </c>
      <c r="D2088" s="13" t="str">
        <f>IF(RIGHT(A2088,3)="000",C2088,VLOOKUP(B2088,'Справочник ИХ'!A:C,3,0))</f>
        <v>Остальные грузы</v>
      </c>
      <c r="E2088" s="13">
        <f>IF(RIGHT(A2088,3)="000","х",VLOOKUP(B2088,'Справочник ИХ'!A:D,4,0))</f>
        <v>3</v>
      </c>
      <c r="F2088" s="14" t="s">
        <v>3024</v>
      </c>
    </row>
    <row r="2089" spans="1:6" ht="31.75">
      <c r="A2089" s="19">
        <v>41121</v>
      </c>
      <c r="B2089" s="12" t="str">
        <f t="shared" si="32"/>
        <v>411</v>
      </c>
      <c r="C2089" s="1" t="s">
        <v>3045</v>
      </c>
      <c r="D2089" s="13" t="str">
        <f>IF(RIGHT(A2089,3)="000",C2089,VLOOKUP(B2089,'Справочник ИХ'!A:C,3,0))</f>
        <v>Остальные грузы</v>
      </c>
      <c r="E2089" s="13">
        <f>IF(RIGHT(A2089,3)="000","х",VLOOKUP(B2089,'Справочник ИХ'!A:D,4,0))</f>
        <v>3</v>
      </c>
      <c r="F2089" s="14" t="s">
        <v>3024</v>
      </c>
    </row>
    <row r="2090" spans="1:6">
      <c r="A2090" s="19">
        <v>41122</v>
      </c>
      <c r="B2090" s="12" t="str">
        <f t="shared" si="32"/>
        <v>411</v>
      </c>
      <c r="C2090" s="1" t="s">
        <v>3046</v>
      </c>
      <c r="D2090" s="13" t="str">
        <f>IF(RIGHT(A2090,3)="000",C2090,VLOOKUP(B2090,'Справочник ИХ'!A:C,3,0))</f>
        <v>Остальные грузы</v>
      </c>
      <c r="E2090" s="13">
        <f>IF(RIGHT(A2090,3)="000","х",VLOOKUP(B2090,'Справочник ИХ'!A:D,4,0))</f>
        <v>3</v>
      </c>
      <c r="F2090" s="14" t="s">
        <v>3024</v>
      </c>
    </row>
    <row r="2091" spans="1:6">
      <c r="A2091" s="19">
        <v>41123</v>
      </c>
      <c r="B2091" s="12" t="str">
        <f t="shared" si="32"/>
        <v>411</v>
      </c>
      <c r="C2091" s="1" t="s">
        <v>3047</v>
      </c>
      <c r="D2091" s="13" t="str">
        <f>IF(RIGHT(A2091,3)="000",C2091,VLOOKUP(B2091,'Справочник ИХ'!A:C,3,0))</f>
        <v>Остальные грузы</v>
      </c>
      <c r="E2091" s="13">
        <f>IF(RIGHT(A2091,3)="000","х",VLOOKUP(B2091,'Справочник ИХ'!A:D,4,0))</f>
        <v>3</v>
      </c>
      <c r="F2091" s="14" t="s">
        <v>3024</v>
      </c>
    </row>
    <row r="2092" spans="1:6">
      <c r="A2092" s="19">
        <v>41124</v>
      </c>
      <c r="B2092" s="12" t="str">
        <f t="shared" si="32"/>
        <v>411</v>
      </c>
      <c r="C2092" s="1" t="s">
        <v>3048</v>
      </c>
      <c r="D2092" s="13" t="str">
        <f>IF(RIGHT(A2092,3)="000",C2092,VLOOKUP(B2092,'Справочник ИХ'!A:C,3,0))</f>
        <v>Остальные грузы</v>
      </c>
      <c r="E2092" s="13">
        <f>IF(RIGHT(A2092,3)="000","х",VLOOKUP(B2092,'Справочник ИХ'!A:D,4,0))</f>
        <v>3</v>
      </c>
      <c r="F2092" s="14" t="s">
        <v>3024</v>
      </c>
    </row>
    <row r="2093" spans="1:6">
      <c r="A2093" s="19">
        <v>41125</v>
      </c>
      <c r="B2093" s="12" t="str">
        <f t="shared" si="32"/>
        <v>411</v>
      </c>
      <c r="C2093" s="1" t="s">
        <v>3049</v>
      </c>
      <c r="D2093" s="13" t="str">
        <f>IF(RIGHT(A2093,3)="000",C2093,VLOOKUP(B2093,'Справочник ИХ'!A:C,3,0))</f>
        <v>Остальные грузы</v>
      </c>
      <c r="E2093" s="13">
        <f>IF(RIGHT(A2093,3)="000","х",VLOOKUP(B2093,'Справочник ИХ'!A:D,4,0))</f>
        <v>3</v>
      </c>
      <c r="F2093" s="14" t="s">
        <v>3024</v>
      </c>
    </row>
    <row r="2094" spans="1:6" ht="31.75">
      <c r="A2094" s="19">
        <v>41126</v>
      </c>
      <c r="B2094" s="12" t="str">
        <f t="shared" si="32"/>
        <v>411</v>
      </c>
      <c r="C2094" s="1" t="s">
        <v>3050</v>
      </c>
      <c r="D2094" s="13" t="str">
        <f>IF(RIGHT(A2094,3)="000",C2094,VLOOKUP(B2094,'Справочник ИХ'!A:C,3,0))</f>
        <v>Остальные грузы</v>
      </c>
      <c r="E2094" s="13">
        <f>IF(RIGHT(A2094,3)="000","х",VLOOKUP(B2094,'Справочник ИХ'!A:D,4,0))</f>
        <v>3</v>
      </c>
      <c r="F2094" s="14" t="s">
        <v>3024</v>
      </c>
    </row>
    <row r="2095" spans="1:6">
      <c r="A2095" s="19">
        <v>41127</v>
      </c>
      <c r="B2095" s="12" t="str">
        <f t="shared" si="32"/>
        <v>411</v>
      </c>
      <c r="C2095" s="1" t="s">
        <v>3051</v>
      </c>
      <c r="D2095" s="13" t="str">
        <f>IF(RIGHT(A2095,3)="000",C2095,VLOOKUP(B2095,'Справочник ИХ'!A:C,3,0))</f>
        <v>Остальные грузы</v>
      </c>
      <c r="E2095" s="13">
        <f>IF(RIGHT(A2095,3)="000","х",VLOOKUP(B2095,'Справочник ИХ'!A:D,4,0))</f>
        <v>3</v>
      </c>
      <c r="F2095" s="14" t="s">
        <v>3024</v>
      </c>
    </row>
    <row r="2096" spans="1:6">
      <c r="A2096" s="19">
        <v>41128</v>
      </c>
      <c r="B2096" s="12" t="str">
        <f t="shared" si="32"/>
        <v>411</v>
      </c>
      <c r="C2096" s="1" t="s">
        <v>3052</v>
      </c>
      <c r="D2096" s="13" t="str">
        <f>IF(RIGHT(A2096,3)="000",C2096,VLOOKUP(B2096,'Справочник ИХ'!A:C,3,0))</f>
        <v>Остальные грузы</v>
      </c>
      <c r="E2096" s="13">
        <f>IF(RIGHT(A2096,3)="000","х",VLOOKUP(B2096,'Справочник ИХ'!A:D,4,0))</f>
        <v>3</v>
      </c>
      <c r="F2096" s="14" t="s">
        <v>3024</v>
      </c>
    </row>
    <row r="2097" spans="1:6">
      <c r="A2097" s="19">
        <v>41129</v>
      </c>
      <c r="B2097" s="12" t="str">
        <f t="shared" si="32"/>
        <v>411</v>
      </c>
      <c r="C2097" s="1" t="s">
        <v>3053</v>
      </c>
      <c r="D2097" s="13" t="str">
        <f>IF(RIGHT(A2097,3)="000",C2097,VLOOKUP(B2097,'Справочник ИХ'!A:C,3,0))</f>
        <v>Остальные грузы</v>
      </c>
      <c r="E2097" s="13">
        <f>IF(RIGHT(A2097,3)="000","х",VLOOKUP(B2097,'Справочник ИХ'!A:D,4,0))</f>
        <v>3</v>
      </c>
      <c r="F2097" s="14" t="s">
        <v>3024</v>
      </c>
    </row>
    <row r="2098" spans="1:6">
      <c r="A2098" s="19">
        <v>41130</v>
      </c>
      <c r="B2098" s="12" t="str">
        <f t="shared" si="32"/>
        <v>411</v>
      </c>
      <c r="C2098" s="1" t="s">
        <v>3054</v>
      </c>
      <c r="D2098" s="13" t="str">
        <f>IF(RIGHT(A2098,3)="000",C2098,VLOOKUP(B2098,'Справочник ИХ'!A:C,3,0))</f>
        <v>Остальные грузы</v>
      </c>
      <c r="E2098" s="13">
        <f>IF(RIGHT(A2098,3)="000","х",VLOOKUP(B2098,'Справочник ИХ'!A:D,4,0))</f>
        <v>3</v>
      </c>
      <c r="F2098" s="14" t="s">
        <v>3024</v>
      </c>
    </row>
    <row r="2099" spans="1:6">
      <c r="A2099" s="19">
        <v>41131</v>
      </c>
      <c r="B2099" s="12" t="str">
        <f t="shared" si="32"/>
        <v>411</v>
      </c>
      <c r="C2099" s="1" t="s">
        <v>3055</v>
      </c>
      <c r="D2099" s="13" t="str">
        <f>IF(RIGHT(A2099,3)="000",C2099,VLOOKUP(B2099,'Справочник ИХ'!A:C,3,0))</f>
        <v>Остальные грузы</v>
      </c>
      <c r="E2099" s="13">
        <f>IF(RIGHT(A2099,3)="000","х",VLOOKUP(B2099,'Справочник ИХ'!A:D,4,0))</f>
        <v>3</v>
      </c>
      <c r="F2099" s="14" t="s">
        <v>3024</v>
      </c>
    </row>
    <row r="2100" spans="1:6">
      <c r="A2100" s="19">
        <v>41132</v>
      </c>
      <c r="B2100" s="12" t="str">
        <f t="shared" si="32"/>
        <v>411</v>
      </c>
      <c r="C2100" s="1" t="s">
        <v>3056</v>
      </c>
      <c r="D2100" s="13" t="str">
        <f>IF(RIGHT(A2100,3)="000",C2100,VLOOKUP(B2100,'Справочник ИХ'!A:C,3,0))</f>
        <v>Остальные грузы</v>
      </c>
      <c r="E2100" s="13">
        <f>IF(RIGHT(A2100,3)="000","х",VLOOKUP(B2100,'Справочник ИХ'!A:D,4,0))</f>
        <v>3</v>
      </c>
      <c r="F2100" s="14" t="s">
        <v>3024</v>
      </c>
    </row>
    <row r="2101" spans="1:6" ht="31.75">
      <c r="A2101" s="19">
        <v>41133</v>
      </c>
      <c r="B2101" s="12" t="str">
        <f t="shared" si="32"/>
        <v>411</v>
      </c>
      <c r="C2101" s="1" t="s">
        <v>3057</v>
      </c>
      <c r="D2101" s="13" t="str">
        <f>IF(RIGHT(A2101,3)="000",C2101,VLOOKUP(B2101,'Справочник ИХ'!A:C,3,0))</f>
        <v>Остальные грузы</v>
      </c>
      <c r="E2101" s="13">
        <f>IF(RIGHT(A2101,3)="000","х",VLOOKUP(B2101,'Справочник ИХ'!A:D,4,0))</f>
        <v>3</v>
      </c>
      <c r="F2101" s="14" t="s">
        <v>3024</v>
      </c>
    </row>
    <row r="2102" spans="1:6" ht="31.75">
      <c r="A2102" s="19">
        <v>41134</v>
      </c>
      <c r="B2102" s="12" t="str">
        <f t="shared" si="32"/>
        <v>411</v>
      </c>
      <c r="C2102" s="1" t="s">
        <v>3058</v>
      </c>
      <c r="D2102" s="13" t="str">
        <f>IF(RIGHT(A2102,3)="000",C2102,VLOOKUP(B2102,'Справочник ИХ'!A:C,3,0))</f>
        <v>Остальные грузы</v>
      </c>
      <c r="E2102" s="13">
        <f>IF(RIGHT(A2102,3)="000","х",VLOOKUP(B2102,'Справочник ИХ'!A:D,4,0))</f>
        <v>3</v>
      </c>
      <c r="F2102" s="14" t="s">
        <v>3024</v>
      </c>
    </row>
    <row r="2103" spans="1:6">
      <c r="A2103" s="19">
        <v>41135</v>
      </c>
      <c r="B2103" s="12" t="str">
        <f t="shared" si="32"/>
        <v>411</v>
      </c>
      <c r="C2103" s="1" t="s">
        <v>3059</v>
      </c>
      <c r="D2103" s="13" t="str">
        <f>IF(RIGHT(A2103,3)="000",C2103,VLOOKUP(B2103,'Справочник ИХ'!A:C,3,0))</f>
        <v>Остальные грузы</v>
      </c>
      <c r="E2103" s="13">
        <f>IF(RIGHT(A2103,3)="000","х",VLOOKUP(B2103,'Справочник ИХ'!A:D,4,0))</f>
        <v>3</v>
      </c>
      <c r="F2103" s="14" t="s">
        <v>3024</v>
      </c>
    </row>
    <row r="2104" spans="1:6">
      <c r="A2104" s="19">
        <v>41136</v>
      </c>
      <c r="B2104" s="12" t="str">
        <f t="shared" si="32"/>
        <v>411</v>
      </c>
      <c r="C2104" s="1" t="s">
        <v>3060</v>
      </c>
      <c r="D2104" s="13" t="str">
        <f>IF(RIGHT(A2104,3)="000",C2104,VLOOKUP(B2104,'Справочник ИХ'!A:C,3,0))</f>
        <v>Остальные грузы</v>
      </c>
      <c r="E2104" s="13">
        <f>IF(RIGHT(A2104,3)="000","х",VLOOKUP(B2104,'Справочник ИХ'!A:D,4,0))</f>
        <v>3</v>
      </c>
      <c r="F2104" s="14" t="s">
        <v>3024</v>
      </c>
    </row>
    <row r="2105" spans="1:6">
      <c r="A2105" s="19">
        <v>41137</v>
      </c>
      <c r="B2105" s="12" t="str">
        <f t="shared" si="32"/>
        <v>411</v>
      </c>
      <c r="C2105" s="1" t="s">
        <v>3061</v>
      </c>
      <c r="D2105" s="13" t="str">
        <f>IF(RIGHT(A2105,3)="000",C2105,VLOOKUP(B2105,'Справочник ИХ'!A:C,3,0))</f>
        <v>Остальные грузы</v>
      </c>
      <c r="E2105" s="13">
        <f>IF(RIGHT(A2105,3)="000","х",VLOOKUP(B2105,'Справочник ИХ'!A:D,4,0))</f>
        <v>3</v>
      </c>
      <c r="F2105" s="14" t="s">
        <v>3024</v>
      </c>
    </row>
    <row r="2106" spans="1:6">
      <c r="A2106" s="19">
        <v>41138</v>
      </c>
      <c r="B2106" s="12" t="str">
        <f t="shared" si="32"/>
        <v>411</v>
      </c>
      <c r="C2106" s="1" t="s">
        <v>3062</v>
      </c>
      <c r="D2106" s="13" t="str">
        <f>IF(RIGHT(A2106,3)="000",C2106,VLOOKUP(B2106,'Справочник ИХ'!A:C,3,0))</f>
        <v>Остальные грузы</v>
      </c>
      <c r="E2106" s="13">
        <f>IF(RIGHT(A2106,3)="000","х",VLOOKUP(B2106,'Справочник ИХ'!A:D,4,0))</f>
        <v>3</v>
      </c>
      <c r="F2106" s="14" t="s">
        <v>3024</v>
      </c>
    </row>
    <row r="2107" spans="1:6">
      <c r="A2107" s="19">
        <v>41139</v>
      </c>
      <c r="B2107" s="12" t="str">
        <f t="shared" si="32"/>
        <v>411</v>
      </c>
      <c r="C2107" s="1" t="s">
        <v>3063</v>
      </c>
      <c r="D2107" s="13" t="str">
        <f>IF(RIGHT(A2107,3)="000",C2107,VLOOKUP(B2107,'Справочник ИХ'!A:C,3,0))</f>
        <v>Остальные грузы</v>
      </c>
      <c r="E2107" s="13">
        <f>IF(RIGHT(A2107,3)="000","х",VLOOKUP(B2107,'Справочник ИХ'!A:D,4,0))</f>
        <v>3</v>
      </c>
      <c r="F2107" s="14" t="s">
        <v>3024</v>
      </c>
    </row>
    <row r="2108" spans="1:6">
      <c r="A2108" s="19">
        <v>41140</v>
      </c>
      <c r="B2108" s="12" t="str">
        <f t="shared" si="32"/>
        <v>411</v>
      </c>
      <c r="C2108" s="1" t="s">
        <v>3064</v>
      </c>
      <c r="D2108" s="13" t="str">
        <f>IF(RIGHT(A2108,3)="000",C2108,VLOOKUP(B2108,'Справочник ИХ'!A:C,3,0))</f>
        <v>Остальные грузы</v>
      </c>
      <c r="E2108" s="13">
        <f>IF(RIGHT(A2108,3)="000","х",VLOOKUP(B2108,'Справочник ИХ'!A:D,4,0))</f>
        <v>3</v>
      </c>
      <c r="F2108" s="14" t="s">
        <v>3024</v>
      </c>
    </row>
    <row r="2109" spans="1:6">
      <c r="A2109" s="19">
        <v>41141</v>
      </c>
      <c r="B2109" s="12" t="str">
        <f t="shared" si="32"/>
        <v>411</v>
      </c>
      <c r="C2109" s="1" t="s">
        <v>3065</v>
      </c>
      <c r="D2109" s="13" t="str">
        <f>IF(RIGHT(A2109,3)="000",C2109,VLOOKUP(B2109,'Справочник ИХ'!A:C,3,0))</f>
        <v>Остальные грузы</v>
      </c>
      <c r="E2109" s="13">
        <f>IF(RIGHT(A2109,3)="000","х",VLOOKUP(B2109,'Справочник ИХ'!A:D,4,0))</f>
        <v>3</v>
      </c>
      <c r="F2109" s="14" t="s">
        <v>3024</v>
      </c>
    </row>
    <row r="2110" spans="1:6">
      <c r="A2110" s="19">
        <v>41142</v>
      </c>
      <c r="B2110" s="12" t="str">
        <f t="shared" si="32"/>
        <v>411</v>
      </c>
      <c r="C2110" s="1" t="s">
        <v>3066</v>
      </c>
      <c r="D2110" s="13" t="str">
        <f>IF(RIGHT(A2110,3)="000",C2110,VLOOKUP(B2110,'Справочник ИХ'!A:C,3,0))</f>
        <v>Остальные грузы</v>
      </c>
      <c r="E2110" s="13">
        <f>IF(RIGHT(A2110,3)="000","х",VLOOKUP(B2110,'Справочник ИХ'!A:D,4,0))</f>
        <v>3</v>
      </c>
      <c r="F2110" s="14" t="s">
        <v>3024</v>
      </c>
    </row>
    <row r="2111" spans="1:6" ht="31.75">
      <c r="A2111" s="19">
        <v>41143</v>
      </c>
      <c r="B2111" s="12" t="str">
        <f t="shared" si="32"/>
        <v>411</v>
      </c>
      <c r="C2111" s="1" t="s">
        <v>3067</v>
      </c>
      <c r="D2111" s="13" t="str">
        <f>IF(RIGHT(A2111,3)="000",C2111,VLOOKUP(B2111,'Справочник ИХ'!A:C,3,0))</f>
        <v>Остальные грузы</v>
      </c>
      <c r="E2111" s="13">
        <f>IF(RIGHT(A2111,3)="000","х",VLOOKUP(B2111,'Справочник ИХ'!A:D,4,0))</f>
        <v>3</v>
      </c>
      <c r="F2111" s="14" t="s">
        <v>3024</v>
      </c>
    </row>
    <row r="2112" spans="1:6">
      <c r="A2112" s="19">
        <v>41144</v>
      </c>
      <c r="B2112" s="12" t="str">
        <f t="shared" si="32"/>
        <v>411</v>
      </c>
      <c r="C2112" s="1" t="s">
        <v>3068</v>
      </c>
      <c r="D2112" s="13" t="str">
        <f>IF(RIGHT(A2112,3)="000",C2112,VLOOKUP(B2112,'Справочник ИХ'!A:C,3,0))</f>
        <v>Остальные грузы</v>
      </c>
      <c r="E2112" s="13">
        <f>IF(RIGHT(A2112,3)="000","х",VLOOKUP(B2112,'Справочник ИХ'!A:D,4,0))</f>
        <v>3</v>
      </c>
      <c r="F2112" s="14" t="s">
        <v>3024</v>
      </c>
    </row>
    <row r="2113" spans="1:6">
      <c r="A2113" s="19">
        <v>41145</v>
      </c>
      <c r="B2113" s="12" t="str">
        <f t="shared" si="32"/>
        <v>411</v>
      </c>
      <c r="C2113" s="1" t="s">
        <v>3069</v>
      </c>
      <c r="D2113" s="13" t="str">
        <f>IF(RIGHT(A2113,3)="000",C2113,VLOOKUP(B2113,'Справочник ИХ'!A:C,3,0))</f>
        <v>Остальные грузы</v>
      </c>
      <c r="E2113" s="13">
        <f>IF(RIGHT(A2113,3)="000","х",VLOOKUP(B2113,'Справочник ИХ'!A:D,4,0))</f>
        <v>3</v>
      </c>
      <c r="F2113" s="14" t="s">
        <v>3024</v>
      </c>
    </row>
    <row r="2114" spans="1:6">
      <c r="A2114" s="19">
        <v>41146</v>
      </c>
      <c r="B2114" s="12" t="str">
        <f t="shared" si="32"/>
        <v>411</v>
      </c>
      <c r="C2114" s="1" t="s">
        <v>3070</v>
      </c>
      <c r="D2114" s="13" t="str">
        <f>IF(RIGHT(A2114,3)="000",C2114,VLOOKUP(B2114,'Справочник ИХ'!A:C,3,0))</f>
        <v>Остальные грузы</v>
      </c>
      <c r="E2114" s="13">
        <f>IF(RIGHT(A2114,3)="000","х",VLOOKUP(B2114,'Справочник ИХ'!A:D,4,0))</f>
        <v>3</v>
      </c>
      <c r="F2114" s="14" t="s">
        <v>3024</v>
      </c>
    </row>
    <row r="2115" spans="1:6">
      <c r="A2115" s="19">
        <v>41147</v>
      </c>
      <c r="B2115" s="12" t="str">
        <f t="shared" si="32"/>
        <v>411</v>
      </c>
      <c r="C2115" s="1" t="s">
        <v>3071</v>
      </c>
      <c r="D2115" s="13" t="str">
        <f>IF(RIGHT(A2115,3)="000",C2115,VLOOKUP(B2115,'Справочник ИХ'!A:C,3,0))</f>
        <v>Остальные грузы</v>
      </c>
      <c r="E2115" s="13">
        <f>IF(RIGHT(A2115,3)="000","х",VLOOKUP(B2115,'Справочник ИХ'!A:D,4,0))</f>
        <v>3</v>
      </c>
      <c r="F2115" s="14" t="s">
        <v>3024</v>
      </c>
    </row>
    <row r="2116" spans="1:6" ht="31.75">
      <c r="A2116" s="19">
        <v>41148</v>
      </c>
      <c r="B2116" s="12" t="str">
        <f t="shared" ref="B2116:B2179" si="33">LEFT(A2116,3)</f>
        <v>411</v>
      </c>
      <c r="C2116" s="1" t="s">
        <v>3072</v>
      </c>
      <c r="D2116" s="13" t="str">
        <f>IF(RIGHT(A2116,3)="000",C2116,VLOOKUP(B2116,'Справочник ИХ'!A:C,3,0))</f>
        <v>Остальные грузы</v>
      </c>
      <c r="E2116" s="13">
        <f>IF(RIGHT(A2116,3)="000","х",VLOOKUP(B2116,'Справочник ИХ'!A:D,4,0))</f>
        <v>3</v>
      </c>
      <c r="F2116" s="14" t="s">
        <v>3024</v>
      </c>
    </row>
    <row r="2117" spans="1:6">
      <c r="A2117" s="19">
        <v>41149</v>
      </c>
      <c r="B2117" s="12" t="str">
        <f t="shared" si="33"/>
        <v>411</v>
      </c>
      <c r="C2117" s="1" t="s">
        <v>3073</v>
      </c>
      <c r="D2117" s="13" t="str">
        <f>IF(RIGHT(A2117,3)="000",C2117,VLOOKUP(B2117,'Справочник ИХ'!A:C,3,0))</f>
        <v>Остальные грузы</v>
      </c>
      <c r="E2117" s="13">
        <f>IF(RIGHT(A2117,3)="000","х",VLOOKUP(B2117,'Справочник ИХ'!A:D,4,0))</f>
        <v>3</v>
      </c>
      <c r="F2117" s="14" t="s">
        <v>3024</v>
      </c>
    </row>
    <row r="2118" spans="1:6">
      <c r="A2118" s="19">
        <v>41150</v>
      </c>
      <c r="B2118" s="12" t="str">
        <f t="shared" si="33"/>
        <v>411</v>
      </c>
      <c r="C2118" s="1" t="s">
        <v>3074</v>
      </c>
      <c r="D2118" s="13" t="str">
        <f>IF(RIGHT(A2118,3)="000",C2118,VLOOKUP(B2118,'Справочник ИХ'!A:C,3,0))</f>
        <v>Остальные грузы</v>
      </c>
      <c r="E2118" s="13">
        <f>IF(RIGHT(A2118,3)="000","х",VLOOKUP(B2118,'Справочник ИХ'!A:D,4,0))</f>
        <v>3</v>
      </c>
      <c r="F2118" s="14" t="s">
        <v>3024</v>
      </c>
    </row>
    <row r="2119" spans="1:6">
      <c r="A2119" s="19">
        <v>41151</v>
      </c>
      <c r="B2119" s="12" t="str">
        <f t="shared" si="33"/>
        <v>411</v>
      </c>
      <c r="C2119" s="1" t="s">
        <v>3075</v>
      </c>
      <c r="D2119" s="13" t="str">
        <f>IF(RIGHT(A2119,3)="000",C2119,VLOOKUP(B2119,'Справочник ИХ'!A:C,3,0))</f>
        <v>Остальные грузы</v>
      </c>
      <c r="E2119" s="13">
        <f>IF(RIGHT(A2119,3)="000","х",VLOOKUP(B2119,'Справочник ИХ'!A:D,4,0))</f>
        <v>3</v>
      </c>
      <c r="F2119" s="14" t="s">
        <v>3024</v>
      </c>
    </row>
    <row r="2120" spans="1:6" ht="31.75">
      <c r="A2120" s="19">
        <v>41152</v>
      </c>
      <c r="B2120" s="12" t="str">
        <f t="shared" si="33"/>
        <v>411</v>
      </c>
      <c r="C2120" s="1" t="s">
        <v>3076</v>
      </c>
      <c r="D2120" s="13" t="str">
        <f>IF(RIGHT(A2120,3)="000",C2120,VLOOKUP(B2120,'Справочник ИХ'!A:C,3,0))</f>
        <v>Остальные грузы</v>
      </c>
      <c r="E2120" s="13">
        <f>IF(RIGHT(A2120,3)="000","х",VLOOKUP(B2120,'Справочник ИХ'!A:D,4,0))</f>
        <v>3</v>
      </c>
      <c r="F2120" s="14" t="s">
        <v>3024</v>
      </c>
    </row>
    <row r="2121" spans="1:6">
      <c r="A2121" s="19">
        <v>41153</v>
      </c>
      <c r="B2121" s="12" t="str">
        <f t="shared" si="33"/>
        <v>411</v>
      </c>
      <c r="C2121" s="1" t="s">
        <v>3077</v>
      </c>
      <c r="D2121" s="13" t="str">
        <f>IF(RIGHT(A2121,3)="000",C2121,VLOOKUP(B2121,'Справочник ИХ'!A:C,3,0))</f>
        <v>Остальные грузы</v>
      </c>
      <c r="E2121" s="13">
        <f>IF(RIGHT(A2121,3)="000","х",VLOOKUP(B2121,'Справочник ИХ'!A:D,4,0))</f>
        <v>3</v>
      </c>
      <c r="F2121" s="14" t="s">
        <v>3024</v>
      </c>
    </row>
    <row r="2122" spans="1:6">
      <c r="A2122" s="19">
        <v>41154</v>
      </c>
      <c r="B2122" s="12" t="str">
        <f t="shared" si="33"/>
        <v>411</v>
      </c>
      <c r="C2122" s="1" t="s">
        <v>3078</v>
      </c>
      <c r="D2122" s="13" t="str">
        <f>IF(RIGHT(A2122,3)="000",C2122,VLOOKUP(B2122,'Справочник ИХ'!A:C,3,0))</f>
        <v>Остальные грузы</v>
      </c>
      <c r="E2122" s="13">
        <f>IF(RIGHT(A2122,3)="000","х",VLOOKUP(B2122,'Справочник ИХ'!A:D,4,0))</f>
        <v>3</v>
      </c>
      <c r="F2122" s="14" t="s">
        <v>3024</v>
      </c>
    </row>
    <row r="2123" spans="1:6">
      <c r="A2123" s="19">
        <v>41155</v>
      </c>
      <c r="B2123" s="12" t="str">
        <f t="shared" si="33"/>
        <v>411</v>
      </c>
      <c r="C2123" s="1" t="s">
        <v>3079</v>
      </c>
      <c r="D2123" s="13" t="str">
        <f>IF(RIGHT(A2123,3)="000",C2123,VLOOKUP(B2123,'Справочник ИХ'!A:C,3,0))</f>
        <v>Остальные грузы</v>
      </c>
      <c r="E2123" s="13">
        <f>IF(RIGHT(A2123,3)="000","х",VLOOKUP(B2123,'Справочник ИХ'!A:D,4,0))</f>
        <v>3</v>
      </c>
      <c r="F2123" s="14" t="s">
        <v>3024</v>
      </c>
    </row>
    <row r="2124" spans="1:6">
      <c r="A2124" s="19">
        <v>41156</v>
      </c>
      <c r="B2124" s="12" t="str">
        <f t="shared" si="33"/>
        <v>411</v>
      </c>
      <c r="C2124" s="1" t="s">
        <v>3080</v>
      </c>
      <c r="D2124" s="13" t="str">
        <f>IF(RIGHT(A2124,3)="000",C2124,VLOOKUP(B2124,'Справочник ИХ'!A:C,3,0))</f>
        <v>Остальные грузы</v>
      </c>
      <c r="E2124" s="13">
        <f>IF(RIGHT(A2124,3)="000","х",VLOOKUP(B2124,'Справочник ИХ'!A:D,4,0))</f>
        <v>3</v>
      </c>
      <c r="F2124" s="14" t="s">
        <v>3024</v>
      </c>
    </row>
    <row r="2125" spans="1:6" ht="31.75">
      <c r="A2125" s="19">
        <v>41157</v>
      </c>
      <c r="B2125" s="12" t="str">
        <f t="shared" si="33"/>
        <v>411</v>
      </c>
      <c r="C2125" s="1" t="s">
        <v>3081</v>
      </c>
      <c r="D2125" s="13" t="str">
        <f>IF(RIGHT(A2125,3)="000",C2125,VLOOKUP(B2125,'Справочник ИХ'!A:C,3,0))</f>
        <v>Остальные грузы</v>
      </c>
      <c r="E2125" s="13">
        <f>IF(RIGHT(A2125,3)="000","х",VLOOKUP(B2125,'Справочник ИХ'!A:D,4,0))</f>
        <v>3</v>
      </c>
      <c r="F2125" s="14" t="s">
        <v>3024</v>
      </c>
    </row>
    <row r="2126" spans="1:6">
      <c r="A2126" s="19">
        <v>41158</v>
      </c>
      <c r="B2126" s="12" t="str">
        <f t="shared" si="33"/>
        <v>411</v>
      </c>
      <c r="C2126" s="1" t="s">
        <v>3082</v>
      </c>
      <c r="D2126" s="13" t="str">
        <f>IF(RIGHT(A2126,3)="000",C2126,VLOOKUP(B2126,'Справочник ИХ'!A:C,3,0))</f>
        <v>Остальные грузы</v>
      </c>
      <c r="E2126" s="13">
        <f>IF(RIGHT(A2126,3)="000","х",VLOOKUP(B2126,'Справочник ИХ'!A:D,4,0))</f>
        <v>3</v>
      </c>
      <c r="F2126" s="14" t="s">
        <v>3024</v>
      </c>
    </row>
    <row r="2127" spans="1:6">
      <c r="A2127" s="19">
        <v>41159</v>
      </c>
      <c r="B2127" s="12" t="str">
        <f t="shared" si="33"/>
        <v>411</v>
      </c>
      <c r="C2127" s="1" t="s">
        <v>3083</v>
      </c>
      <c r="D2127" s="13" t="str">
        <f>IF(RIGHT(A2127,3)="000",C2127,VLOOKUP(B2127,'Справочник ИХ'!A:C,3,0))</f>
        <v>Остальные грузы</v>
      </c>
      <c r="E2127" s="13">
        <f>IF(RIGHT(A2127,3)="000","х",VLOOKUP(B2127,'Справочник ИХ'!A:D,4,0))</f>
        <v>3</v>
      </c>
      <c r="F2127" s="14" t="s">
        <v>3024</v>
      </c>
    </row>
    <row r="2128" spans="1:6">
      <c r="A2128" s="19">
        <v>41160</v>
      </c>
      <c r="B2128" s="12" t="str">
        <f t="shared" si="33"/>
        <v>411</v>
      </c>
      <c r="C2128" s="1" t="s">
        <v>3084</v>
      </c>
      <c r="D2128" s="13" t="str">
        <f>IF(RIGHT(A2128,3)="000",C2128,VLOOKUP(B2128,'Справочник ИХ'!A:C,3,0))</f>
        <v>Остальные грузы</v>
      </c>
      <c r="E2128" s="13">
        <f>IF(RIGHT(A2128,3)="000","х",VLOOKUP(B2128,'Справочник ИХ'!A:D,4,0))</f>
        <v>3</v>
      </c>
      <c r="F2128" s="14" t="s">
        <v>3024</v>
      </c>
    </row>
    <row r="2129" spans="1:6">
      <c r="A2129" s="19">
        <v>41161</v>
      </c>
      <c r="B2129" s="12" t="str">
        <f t="shared" si="33"/>
        <v>411</v>
      </c>
      <c r="C2129" s="1" t="s">
        <v>3085</v>
      </c>
      <c r="D2129" s="13" t="str">
        <f>IF(RIGHT(A2129,3)="000",C2129,VLOOKUP(B2129,'Справочник ИХ'!A:C,3,0))</f>
        <v>Остальные грузы</v>
      </c>
      <c r="E2129" s="13">
        <f>IF(RIGHT(A2129,3)="000","х",VLOOKUP(B2129,'Справочник ИХ'!A:D,4,0))</f>
        <v>3</v>
      </c>
      <c r="F2129" s="14" t="s">
        <v>3024</v>
      </c>
    </row>
    <row r="2130" spans="1:6">
      <c r="A2130" s="19">
        <v>41162</v>
      </c>
      <c r="B2130" s="12" t="str">
        <f t="shared" si="33"/>
        <v>411</v>
      </c>
      <c r="C2130" s="1" t="s">
        <v>3086</v>
      </c>
      <c r="D2130" s="13" t="str">
        <f>IF(RIGHT(A2130,3)="000",C2130,VLOOKUP(B2130,'Справочник ИХ'!A:C,3,0))</f>
        <v>Остальные грузы</v>
      </c>
      <c r="E2130" s="13">
        <f>IF(RIGHT(A2130,3)="000","х",VLOOKUP(B2130,'Справочник ИХ'!A:D,4,0))</f>
        <v>3</v>
      </c>
      <c r="F2130" s="14" t="s">
        <v>3024</v>
      </c>
    </row>
    <row r="2131" spans="1:6" ht="31.75">
      <c r="A2131" s="19">
        <v>41163</v>
      </c>
      <c r="B2131" s="12" t="str">
        <f t="shared" si="33"/>
        <v>411</v>
      </c>
      <c r="C2131" s="1" t="s">
        <v>3087</v>
      </c>
      <c r="D2131" s="13" t="str">
        <f>IF(RIGHT(A2131,3)="000",C2131,VLOOKUP(B2131,'Справочник ИХ'!A:C,3,0))</f>
        <v>Остальные грузы</v>
      </c>
      <c r="E2131" s="13">
        <f>IF(RIGHT(A2131,3)="000","х",VLOOKUP(B2131,'Справочник ИХ'!A:D,4,0))</f>
        <v>3</v>
      </c>
      <c r="F2131" s="14" t="s">
        <v>3024</v>
      </c>
    </row>
    <row r="2132" spans="1:6">
      <c r="A2132" s="19">
        <v>41164</v>
      </c>
      <c r="B2132" s="12" t="str">
        <f t="shared" si="33"/>
        <v>411</v>
      </c>
      <c r="C2132" s="1" t="s">
        <v>3088</v>
      </c>
      <c r="D2132" s="13" t="str">
        <f>IF(RIGHT(A2132,3)="000",C2132,VLOOKUP(B2132,'Справочник ИХ'!A:C,3,0))</f>
        <v>Остальные грузы</v>
      </c>
      <c r="E2132" s="13">
        <f>IF(RIGHT(A2132,3)="000","х",VLOOKUP(B2132,'Справочник ИХ'!A:D,4,0))</f>
        <v>3</v>
      </c>
      <c r="F2132" s="14" t="s">
        <v>3024</v>
      </c>
    </row>
    <row r="2133" spans="1:6">
      <c r="A2133" s="19">
        <v>41165</v>
      </c>
      <c r="B2133" s="12" t="str">
        <f t="shared" si="33"/>
        <v>411</v>
      </c>
      <c r="C2133" s="1" t="s">
        <v>3089</v>
      </c>
      <c r="D2133" s="13" t="str">
        <f>IF(RIGHT(A2133,3)="000",C2133,VLOOKUP(B2133,'Справочник ИХ'!A:C,3,0))</f>
        <v>Остальные грузы</v>
      </c>
      <c r="E2133" s="13">
        <f>IF(RIGHT(A2133,3)="000","х",VLOOKUP(B2133,'Справочник ИХ'!A:D,4,0))</f>
        <v>3</v>
      </c>
      <c r="F2133" s="14" t="s">
        <v>3024</v>
      </c>
    </row>
    <row r="2134" spans="1:6">
      <c r="A2134" s="19">
        <v>41166</v>
      </c>
      <c r="B2134" s="12" t="str">
        <f t="shared" si="33"/>
        <v>411</v>
      </c>
      <c r="C2134" s="1" t="s">
        <v>3090</v>
      </c>
      <c r="D2134" s="13" t="str">
        <f>IF(RIGHT(A2134,3)="000",C2134,VLOOKUP(B2134,'Справочник ИХ'!A:C,3,0))</f>
        <v>Остальные грузы</v>
      </c>
      <c r="E2134" s="13">
        <f>IF(RIGHT(A2134,3)="000","х",VLOOKUP(B2134,'Справочник ИХ'!A:D,4,0))</f>
        <v>3</v>
      </c>
      <c r="F2134" s="14" t="s">
        <v>3024</v>
      </c>
    </row>
    <row r="2135" spans="1:6">
      <c r="A2135" s="19">
        <v>41167</v>
      </c>
      <c r="B2135" s="12" t="str">
        <f t="shared" si="33"/>
        <v>411</v>
      </c>
      <c r="C2135" s="1" t="s">
        <v>3091</v>
      </c>
      <c r="D2135" s="13" t="str">
        <f>IF(RIGHT(A2135,3)="000",C2135,VLOOKUP(B2135,'Справочник ИХ'!A:C,3,0))</f>
        <v>Остальные грузы</v>
      </c>
      <c r="E2135" s="13">
        <f>IF(RIGHT(A2135,3)="000","х",VLOOKUP(B2135,'Справочник ИХ'!A:D,4,0))</f>
        <v>3</v>
      </c>
      <c r="F2135" s="14" t="s">
        <v>3024</v>
      </c>
    </row>
    <row r="2136" spans="1:6">
      <c r="A2136" s="19">
        <v>41168</v>
      </c>
      <c r="B2136" s="12" t="str">
        <f t="shared" si="33"/>
        <v>411</v>
      </c>
      <c r="C2136" s="1" t="s">
        <v>3092</v>
      </c>
      <c r="D2136" s="13" t="str">
        <f>IF(RIGHT(A2136,3)="000",C2136,VLOOKUP(B2136,'Справочник ИХ'!A:C,3,0))</f>
        <v>Остальные грузы</v>
      </c>
      <c r="E2136" s="13">
        <f>IF(RIGHT(A2136,3)="000","х",VLOOKUP(B2136,'Справочник ИХ'!A:D,4,0))</f>
        <v>3</v>
      </c>
      <c r="F2136" s="14" t="s">
        <v>3024</v>
      </c>
    </row>
    <row r="2137" spans="1:6">
      <c r="A2137" s="19" t="s">
        <v>3093</v>
      </c>
      <c r="B2137" s="12" t="str">
        <f t="shared" si="33"/>
        <v>411</v>
      </c>
      <c r="C2137" s="1" t="s">
        <v>3094</v>
      </c>
      <c r="D2137" s="13" t="str">
        <f>IF(RIGHT(A2137,3)="000",C2137,VLOOKUP(B2137,'Справочник ИХ'!A:C,3,0))</f>
        <v>Остальные грузы</v>
      </c>
      <c r="E2137" s="13">
        <f>IF(RIGHT(A2137,3)="000","х",VLOOKUP(B2137,'Справочник ИХ'!A:D,4,0))</f>
        <v>3</v>
      </c>
      <c r="F2137" s="14" t="s">
        <v>3024</v>
      </c>
    </row>
    <row r="2138" spans="1:6" ht="31.75">
      <c r="A2138" s="19" t="s">
        <v>3095</v>
      </c>
      <c r="B2138" s="12" t="str">
        <f t="shared" si="33"/>
        <v>411</v>
      </c>
      <c r="C2138" s="1" t="s">
        <v>3096</v>
      </c>
      <c r="D2138" s="13" t="str">
        <f>IF(RIGHT(A2138,3)="000",C2138,VLOOKUP(B2138,'Справочник ИХ'!A:C,3,0))</f>
        <v>Остальные грузы</v>
      </c>
      <c r="E2138" s="13">
        <f>IF(RIGHT(A2138,3)="000","х",VLOOKUP(B2138,'Справочник ИХ'!A:D,4,0))</f>
        <v>3</v>
      </c>
      <c r="F2138" s="14" t="s">
        <v>3024</v>
      </c>
    </row>
    <row r="2139" spans="1:6">
      <c r="A2139" s="19" t="s">
        <v>3097</v>
      </c>
      <c r="B2139" s="12" t="str">
        <f t="shared" si="33"/>
        <v>411</v>
      </c>
      <c r="C2139" s="14" t="s">
        <v>3098</v>
      </c>
      <c r="D2139" s="13" t="str">
        <f>IF(RIGHT(A2139,3)="000",C2139,VLOOKUP(B2139,'Справочник ИХ'!A:C,3,0))</f>
        <v>Остальные грузы</v>
      </c>
      <c r="E2139" s="13">
        <f>IF(RIGHT(A2139,3)="000","х",VLOOKUP(B2139,'Справочник ИХ'!A:D,4,0))</f>
        <v>3</v>
      </c>
      <c r="F2139" s="14" t="s">
        <v>3024</v>
      </c>
    </row>
    <row r="2140" spans="1:6" s="18" customFormat="1">
      <c r="A2140" s="16">
        <v>41200</v>
      </c>
      <c r="B2140" s="12" t="str">
        <f t="shared" si="33"/>
        <v>412</v>
      </c>
      <c r="C2140" s="17" t="s">
        <v>3099</v>
      </c>
      <c r="D2140" s="13" t="str">
        <f>IF(RIGHT(A2140,3)="000",C2140,VLOOKUP(B2140,'Справочник ИХ'!A:C,3,0))</f>
        <v>Остальные грузы</v>
      </c>
      <c r="E2140" s="13">
        <f>IF(RIGHT(A2140,3)="000","х",VLOOKUP(B2140,'Справочник ИХ'!A:D,4,0))</f>
        <v>3</v>
      </c>
      <c r="F2140" s="14" t="s">
        <v>3024</v>
      </c>
    </row>
    <row r="2141" spans="1:6">
      <c r="A2141" s="19">
        <v>41201</v>
      </c>
      <c r="B2141" s="12" t="str">
        <f t="shared" si="33"/>
        <v>412</v>
      </c>
      <c r="C2141" s="1" t="s">
        <v>3100</v>
      </c>
      <c r="D2141" s="13" t="str">
        <f>IF(RIGHT(A2141,3)="000",C2141,VLOOKUP(B2141,'Справочник ИХ'!A:C,3,0))</f>
        <v>Остальные грузы</v>
      </c>
      <c r="E2141" s="13">
        <f>IF(RIGHT(A2141,3)="000","х",VLOOKUP(B2141,'Справочник ИХ'!A:D,4,0))</f>
        <v>3</v>
      </c>
      <c r="F2141" s="14" t="s">
        <v>3024</v>
      </c>
    </row>
    <row r="2142" spans="1:6">
      <c r="A2142" s="19">
        <v>41202</v>
      </c>
      <c r="B2142" s="12" t="str">
        <f t="shared" si="33"/>
        <v>412</v>
      </c>
      <c r="C2142" s="1" t="s">
        <v>3101</v>
      </c>
      <c r="D2142" s="13" t="str">
        <f>IF(RIGHT(A2142,3)="000",C2142,VLOOKUP(B2142,'Справочник ИХ'!A:C,3,0))</f>
        <v>Остальные грузы</v>
      </c>
      <c r="E2142" s="13">
        <f>IF(RIGHT(A2142,3)="000","х",VLOOKUP(B2142,'Справочник ИХ'!A:D,4,0))</f>
        <v>3</v>
      </c>
      <c r="F2142" s="14" t="s">
        <v>3024</v>
      </c>
    </row>
    <row r="2143" spans="1:6" ht="31.75">
      <c r="A2143" s="19">
        <v>41203</v>
      </c>
      <c r="B2143" s="12" t="str">
        <f t="shared" si="33"/>
        <v>412</v>
      </c>
      <c r="C2143" s="1" t="s">
        <v>3102</v>
      </c>
      <c r="D2143" s="13" t="str">
        <f>IF(RIGHT(A2143,3)="000",C2143,VLOOKUP(B2143,'Справочник ИХ'!A:C,3,0))</f>
        <v>Остальные грузы</v>
      </c>
      <c r="E2143" s="13">
        <f>IF(RIGHT(A2143,3)="000","х",VLOOKUP(B2143,'Справочник ИХ'!A:D,4,0))</f>
        <v>3</v>
      </c>
      <c r="F2143" s="14" t="s">
        <v>3024</v>
      </c>
    </row>
    <row r="2144" spans="1:6">
      <c r="A2144" s="19">
        <v>41204</v>
      </c>
      <c r="B2144" s="12" t="str">
        <f t="shared" si="33"/>
        <v>412</v>
      </c>
      <c r="C2144" s="1" t="s">
        <v>3103</v>
      </c>
      <c r="D2144" s="13" t="str">
        <f>IF(RIGHT(A2144,3)="000",C2144,VLOOKUP(B2144,'Справочник ИХ'!A:C,3,0))</f>
        <v>Остальные грузы</v>
      </c>
      <c r="E2144" s="13">
        <f>IF(RIGHT(A2144,3)="000","х",VLOOKUP(B2144,'Справочник ИХ'!A:D,4,0))</f>
        <v>3</v>
      </c>
      <c r="F2144" s="14" t="s">
        <v>3024</v>
      </c>
    </row>
    <row r="2145" spans="1:6">
      <c r="A2145" s="19">
        <v>41205</v>
      </c>
      <c r="B2145" s="12" t="str">
        <f t="shared" si="33"/>
        <v>412</v>
      </c>
      <c r="C2145" s="1" t="s">
        <v>3104</v>
      </c>
      <c r="D2145" s="13" t="str">
        <f>IF(RIGHT(A2145,3)="000",C2145,VLOOKUP(B2145,'Справочник ИХ'!A:C,3,0))</f>
        <v>Остальные грузы</v>
      </c>
      <c r="E2145" s="13">
        <f>IF(RIGHT(A2145,3)="000","х",VLOOKUP(B2145,'Справочник ИХ'!A:D,4,0))</f>
        <v>3</v>
      </c>
      <c r="F2145" s="14" t="s">
        <v>3024</v>
      </c>
    </row>
    <row r="2146" spans="1:6">
      <c r="A2146" s="19">
        <v>41206</v>
      </c>
      <c r="B2146" s="12" t="str">
        <f t="shared" si="33"/>
        <v>412</v>
      </c>
      <c r="C2146" s="1" t="s">
        <v>3105</v>
      </c>
      <c r="D2146" s="13" t="str">
        <f>IF(RIGHT(A2146,3)="000",C2146,VLOOKUP(B2146,'Справочник ИХ'!A:C,3,0))</f>
        <v>Остальные грузы</v>
      </c>
      <c r="E2146" s="13">
        <f>IF(RIGHT(A2146,3)="000","х",VLOOKUP(B2146,'Справочник ИХ'!A:D,4,0))</f>
        <v>3</v>
      </c>
      <c r="F2146" s="14" t="s">
        <v>3024</v>
      </c>
    </row>
    <row r="2147" spans="1:6">
      <c r="A2147" s="19">
        <v>41207</v>
      </c>
      <c r="B2147" s="12" t="str">
        <f t="shared" si="33"/>
        <v>412</v>
      </c>
      <c r="C2147" s="1" t="s">
        <v>3106</v>
      </c>
      <c r="D2147" s="13" t="str">
        <f>IF(RIGHT(A2147,3)="000",C2147,VLOOKUP(B2147,'Справочник ИХ'!A:C,3,0))</f>
        <v>Остальные грузы</v>
      </c>
      <c r="E2147" s="13">
        <f>IF(RIGHT(A2147,3)="000","х",VLOOKUP(B2147,'Справочник ИХ'!A:D,4,0))</f>
        <v>3</v>
      </c>
      <c r="F2147" s="14" t="s">
        <v>3024</v>
      </c>
    </row>
    <row r="2148" spans="1:6">
      <c r="A2148" s="19">
        <v>41208</v>
      </c>
      <c r="B2148" s="12" t="str">
        <f t="shared" si="33"/>
        <v>412</v>
      </c>
      <c r="C2148" s="1" t="s">
        <v>3107</v>
      </c>
      <c r="D2148" s="13" t="str">
        <f>IF(RIGHT(A2148,3)="000",C2148,VLOOKUP(B2148,'Справочник ИХ'!A:C,3,0))</f>
        <v>Остальные грузы</v>
      </c>
      <c r="E2148" s="13">
        <f>IF(RIGHT(A2148,3)="000","х",VLOOKUP(B2148,'Справочник ИХ'!A:D,4,0))</f>
        <v>3</v>
      </c>
      <c r="F2148" s="14" t="s">
        <v>3024</v>
      </c>
    </row>
    <row r="2149" spans="1:6">
      <c r="A2149" s="19">
        <v>41209</v>
      </c>
      <c r="B2149" s="12" t="str">
        <f t="shared" si="33"/>
        <v>412</v>
      </c>
      <c r="C2149" s="1" t="s">
        <v>3108</v>
      </c>
      <c r="D2149" s="13" t="str">
        <f>IF(RIGHT(A2149,3)="000",C2149,VLOOKUP(B2149,'Справочник ИХ'!A:C,3,0))</f>
        <v>Остальные грузы</v>
      </c>
      <c r="E2149" s="13">
        <f>IF(RIGHT(A2149,3)="000","х",VLOOKUP(B2149,'Справочник ИХ'!A:D,4,0))</f>
        <v>3</v>
      </c>
      <c r="F2149" s="14" t="s">
        <v>3024</v>
      </c>
    </row>
    <row r="2150" spans="1:6">
      <c r="A2150" s="19">
        <v>41210</v>
      </c>
      <c r="B2150" s="12" t="str">
        <f t="shared" si="33"/>
        <v>412</v>
      </c>
      <c r="C2150" s="1" t="s">
        <v>3109</v>
      </c>
      <c r="D2150" s="13" t="str">
        <f>IF(RIGHT(A2150,3)="000",C2150,VLOOKUP(B2150,'Справочник ИХ'!A:C,3,0))</f>
        <v>Остальные грузы</v>
      </c>
      <c r="E2150" s="13">
        <f>IF(RIGHT(A2150,3)="000","х",VLOOKUP(B2150,'Справочник ИХ'!A:D,4,0))</f>
        <v>3</v>
      </c>
      <c r="F2150" s="14" t="s">
        <v>3024</v>
      </c>
    </row>
    <row r="2151" spans="1:6">
      <c r="A2151" s="19">
        <v>41211</v>
      </c>
      <c r="B2151" s="12" t="str">
        <f t="shared" si="33"/>
        <v>412</v>
      </c>
      <c r="C2151" s="1" t="s">
        <v>3110</v>
      </c>
      <c r="D2151" s="13" t="str">
        <f>IF(RIGHT(A2151,3)="000",C2151,VLOOKUP(B2151,'Справочник ИХ'!A:C,3,0))</f>
        <v>Остальные грузы</v>
      </c>
      <c r="E2151" s="13">
        <f>IF(RIGHT(A2151,3)="000","х",VLOOKUP(B2151,'Справочник ИХ'!A:D,4,0))</f>
        <v>3</v>
      </c>
      <c r="F2151" s="14" t="s">
        <v>3024</v>
      </c>
    </row>
    <row r="2152" spans="1:6">
      <c r="A2152" s="19">
        <v>41212</v>
      </c>
      <c r="B2152" s="12" t="str">
        <f t="shared" si="33"/>
        <v>412</v>
      </c>
      <c r="C2152" s="1" t="s">
        <v>3111</v>
      </c>
      <c r="D2152" s="13" t="str">
        <f>IF(RIGHT(A2152,3)="000",C2152,VLOOKUP(B2152,'Справочник ИХ'!A:C,3,0))</f>
        <v>Остальные грузы</v>
      </c>
      <c r="E2152" s="13">
        <f>IF(RIGHT(A2152,3)="000","х",VLOOKUP(B2152,'Справочник ИХ'!A:D,4,0))</f>
        <v>3</v>
      </c>
      <c r="F2152" s="14" t="s">
        <v>3024</v>
      </c>
    </row>
    <row r="2153" spans="1:6">
      <c r="A2153" s="19">
        <v>41213</v>
      </c>
      <c r="B2153" s="12" t="str">
        <f t="shared" si="33"/>
        <v>412</v>
      </c>
      <c r="C2153" s="1" t="s">
        <v>3112</v>
      </c>
      <c r="D2153" s="13" t="str">
        <f>IF(RIGHT(A2153,3)="000",C2153,VLOOKUP(B2153,'Справочник ИХ'!A:C,3,0))</f>
        <v>Остальные грузы</v>
      </c>
      <c r="E2153" s="13">
        <f>IF(RIGHT(A2153,3)="000","х",VLOOKUP(B2153,'Справочник ИХ'!A:D,4,0))</f>
        <v>3</v>
      </c>
      <c r="F2153" s="14" t="s">
        <v>3024</v>
      </c>
    </row>
    <row r="2154" spans="1:6">
      <c r="A2154" s="19">
        <v>41214</v>
      </c>
      <c r="B2154" s="12" t="str">
        <f t="shared" si="33"/>
        <v>412</v>
      </c>
      <c r="C2154" s="1" t="s">
        <v>3113</v>
      </c>
      <c r="D2154" s="13" t="str">
        <f>IF(RIGHT(A2154,3)="000",C2154,VLOOKUP(B2154,'Справочник ИХ'!A:C,3,0))</f>
        <v>Остальные грузы</v>
      </c>
      <c r="E2154" s="13">
        <f>IF(RIGHT(A2154,3)="000","х",VLOOKUP(B2154,'Справочник ИХ'!A:D,4,0))</f>
        <v>3</v>
      </c>
      <c r="F2154" s="14" t="s">
        <v>3024</v>
      </c>
    </row>
    <row r="2155" spans="1:6" ht="31.75">
      <c r="A2155" s="19">
        <v>41215</v>
      </c>
      <c r="B2155" s="12" t="str">
        <f t="shared" si="33"/>
        <v>412</v>
      </c>
      <c r="C2155" s="1" t="s">
        <v>3114</v>
      </c>
      <c r="D2155" s="13" t="str">
        <f>IF(RIGHT(A2155,3)="000",C2155,VLOOKUP(B2155,'Справочник ИХ'!A:C,3,0))</f>
        <v>Остальные грузы</v>
      </c>
      <c r="E2155" s="13">
        <f>IF(RIGHT(A2155,3)="000","х",VLOOKUP(B2155,'Справочник ИХ'!A:D,4,0))</f>
        <v>3</v>
      </c>
      <c r="F2155" s="14" t="s">
        <v>3024</v>
      </c>
    </row>
    <row r="2156" spans="1:6">
      <c r="A2156" s="19">
        <v>41216</v>
      </c>
      <c r="B2156" s="12" t="str">
        <f t="shared" si="33"/>
        <v>412</v>
      </c>
      <c r="C2156" s="1" t="s">
        <v>3115</v>
      </c>
      <c r="D2156" s="13" t="str">
        <f>IF(RIGHT(A2156,3)="000",C2156,VLOOKUP(B2156,'Справочник ИХ'!A:C,3,0))</f>
        <v>Остальные грузы</v>
      </c>
      <c r="E2156" s="13">
        <f>IF(RIGHT(A2156,3)="000","х",VLOOKUP(B2156,'Справочник ИХ'!A:D,4,0))</f>
        <v>3</v>
      </c>
      <c r="F2156" s="14" t="s">
        <v>3024</v>
      </c>
    </row>
    <row r="2157" spans="1:6">
      <c r="A2157" s="19">
        <v>41217</v>
      </c>
      <c r="B2157" s="12" t="str">
        <f t="shared" si="33"/>
        <v>412</v>
      </c>
      <c r="C2157" s="1" t="s">
        <v>3116</v>
      </c>
      <c r="D2157" s="13" t="str">
        <f>IF(RIGHT(A2157,3)="000",C2157,VLOOKUP(B2157,'Справочник ИХ'!A:C,3,0))</f>
        <v>Остальные грузы</v>
      </c>
      <c r="E2157" s="13">
        <f>IF(RIGHT(A2157,3)="000","х",VLOOKUP(B2157,'Справочник ИХ'!A:D,4,0))</f>
        <v>3</v>
      </c>
      <c r="F2157" s="14" t="s">
        <v>3024</v>
      </c>
    </row>
    <row r="2158" spans="1:6" ht="31.75">
      <c r="A2158" s="19">
        <v>41218</v>
      </c>
      <c r="B2158" s="12" t="str">
        <f t="shared" si="33"/>
        <v>412</v>
      </c>
      <c r="C2158" s="1" t="s">
        <v>3117</v>
      </c>
      <c r="D2158" s="13" t="str">
        <f>IF(RIGHT(A2158,3)="000",C2158,VLOOKUP(B2158,'Справочник ИХ'!A:C,3,0))</f>
        <v>Остальные грузы</v>
      </c>
      <c r="E2158" s="13">
        <f>IF(RIGHT(A2158,3)="000","х",VLOOKUP(B2158,'Справочник ИХ'!A:D,4,0))</f>
        <v>3</v>
      </c>
      <c r="F2158" s="14" t="s">
        <v>3024</v>
      </c>
    </row>
    <row r="2159" spans="1:6">
      <c r="A2159" s="19">
        <v>41219</v>
      </c>
      <c r="B2159" s="12" t="str">
        <f t="shared" si="33"/>
        <v>412</v>
      </c>
      <c r="C2159" s="1" t="s">
        <v>3118</v>
      </c>
      <c r="D2159" s="13" t="str">
        <f>IF(RIGHT(A2159,3)="000",C2159,VLOOKUP(B2159,'Справочник ИХ'!A:C,3,0))</f>
        <v>Остальные грузы</v>
      </c>
      <c r="E2159" s="13">
        <f>IF(RIGHT(A2159,3)="000","х",VLOOKUP(B2159,'Справочник ИХ'!A:D,4,0))</f>
        <v>3</v>
      </c>
      <c r="F2159" s="14" t="s">
        <v>3024</v>
      </c>
    </row>
    <row r="2160" spans="1:6" s="18" customFormat="1">
      <c r="A2160" s="16">
        <v>41300</v>
      </c>
      <c r="B2160" s="12" t="str">
        <f t="shared" si="33"/>
        <v>413</v>
      </c>
      <c r="C2160" s="17" t="s">
        <v>3119</v>
      </c>
      <c r="D2160" s="13" t="str">
        <f>IF(RIGHT(A2160,3)="000",C2160,VLOOKUP(B2160,'Справочник ИХ'!A:C,3,0))</f>
        <v>Остальные грузы</v>
      </c>
      <c r="E2160" s="13">
        <f>IF(RIGHT(A2160,3)="000","х",VLOOKUP(B2160,'Справочник ИХ'!A:D,4,0))</f>
        <v>3</v>
      </c>
      <c r="F2160" s="14" t="s">
        <v>3024</v>
      </c>
    </row>
    <row r="2161" spans="1:6">
      <c r="A2161" s="19">
        <v>41301</v>
      </c>
      <c r="B2161" s="12" t="str">
        <f t="shared" si="33"/>
        <v>413</v>
      </c>
      <c r="C2161" s="1" t="s">
        <v>3120</v>
      </c>
      <c r="D2161" s="13" t="str">
        <f>IF(RIGHT(A2161,3)="000",C2161,VLOOKUP(B2161,'Справочник ИХ'!A:C,3,0))</f>
        <v>Остальные грузы</v>
      </c>
      <c r="E2161" s="13">
        <f>IF(RIGHT(A2161,3)="000","х",VLOOKUP(B2161,'Справочник ИХ'!A:D,4,0))</f>
        <v>3</v>
      </c>
      <c r="F2161" s="14" t="s">
        <v>3024</v>
      </c>
    </row>
    <row r="2162" spans="1:6" ht="31.75">
      <c r="A2162" s="19">
        <v>41302</v>
      </c>
      <c r="B2162" s="12" t="str">
        <f t="shared" si="33"/>
        <v>413</v>
      </c>
      <c r="C2162" s="1" t="s">
        <v>3121</v>
      </c>
      <c r="D2162" s="13" t="str">
        <f>IF(RIGHT(A2162,3)="000",C2162,VLOOKUP(B2162,'Справочник ИХ'!A:C,3,0))</f>
        <v>Остальные грузы</v>
      </c>
      <c r="E2162" s="13">
        <f>IF(RIGHT(A2162,3)="000","х",VLOOKUP(B2162,'Справочник ИХ'!A:D,4,0))</f>
        <v>3</v>
      </c>
      <c r="F2162" s="14" t="s">
        <v>3024</v>
      </c>
    </row>
    <row r="2163" spans="1:6">
      <c r="A2163" s="19">
        <v>41303</v>
      </c>
      <c r="B2163" s="12" t="str">
        <f t="shared" si="33"/>
        <v>413</v>
      </c>
      <c r="C2163" s="1" t="s">
        <v>3122</v>
      </c>
      <c r="D2163" s="13" t="str">
        <f>IF(RIGHT(A2163,3)="000",C2163,VLOOKUP(B2163,'Справочник ИХ'!A:C,3,0))</f>
        <v>Остальные грузы</v>
      </c>
      <c r="E2163" s="13">
        <f>IF(RIGHT(A2163,3)="000","х",VLOOKUP(B2163,'Справочник ИХ'!A:D,4,0))</f>
        <v>3</v>
      </c>
      <c r="F2163" s="14" t="s">
        <v>3024</v>
      </c>
    </row>
    <row r="2164" spans="1:6" s="18" customFormat="1" ht="47.6">
      <c r="A2164" s="16">
        <v>41400</v>
      </c>
      <c r="B2164" s="12" t="str">
        <f t="shared" si="33"/>
        <v>414</v>
      </c>
      <c r="C2164" s="17" t="s">
        <v>3123</v>
      </c>
      <c r="D2164" s="13" t="str">
        <f>IF(RIGHT(A2164,3)="000",C2164,VLOOKUP(B2164,'Справочник ИХ'!A:C,3,0))</f>
        <v>Остальные грузы</v>
      </c>
      <c r="E2164" s="13">
        <f>IF(RIGHT(A2164,3)="000","х",VLOOKUP(B2164,'Справочник ИХ'!A:D,4,0))</f>
        <v>3</v>
      </c>
      <c r="F2164" s="14" t="s">
        <v>3024</v>
      </c>
    </row>
    <row r="2165" spans="1:6">
      <c r="A2165" s="19">
        <v>41401</v>
      </c>
      <c r="B2165" s="12" t="str">
        <f t="shared" si="33"/>
        <v>414</v>
      </c>
      <c r="C2165" s="1" t="s">
        <v>3124</v>
      </c>
      <c r="D2165" s="13" t="str">
        <f>IF(RIGHT(A2165,3)="000",C2165,VLOOKUP(B2165,'Справочник ИХ'!A:C,3,0))</f>
        <v>Остальные грузы</v>
      </c>
      <c r="E2165" s="13">
        <f>IF(RIGHT(A2165,3)="000","х",VLOOKUP(B2165,'Справочник ИХ'!A:D,4,0))</f>
        <v>3</v>
      </c>
      <c r="F2165" s="14" t="s">
        <v>3024</v>
      </c>
    </row>
    <row r="2166" spans="1:6">
      <c r="A2166" s="19">
        <v>41402</v>
      </c>
      <c r="B2166" s="12" t="str">
        <f t="shared" si="33"/>
        <v>414</v>
      </c>
      <c r="C2166" s="1" t="s">
        <v>3125</v>
      </c>
      <c r="D2166" s="13" t="str">
        <f>IF(RIGHT(A2166,3)="000",C2166,VLOOKUP(B2166,'Справочник ИХ'!A:C,3,0))</f>
        <v>Остальные грузы</v>
      </c>
      <c r="E2166" s="13">
        <f>IF(RIGHT(A2166,3)="000","х",VLOOKUP(B2166,'Справочник ИХ'!A:D,4,0))</f>
        <v>3</v>
      </c>
      <c r="F2166" s="14" t="s">
        <v>3024</v>
      </c>
    </row>
    <row r="2167" spans="1:6">
      <c r="A2167" s="19">
        <v>41403</v>
      </c>
      <c r="B2167" s="12" t="str">
        <f t="shared" si="33"/>
        <v>414</v>
      </c>
      <c r="C2167" s="1" t="s">
        <v>3126</v>
      </c>
      <c r="D2167" s="13" t="str">
        <f>IF(RIGHT(A2167,3)="000",C2167,VLOOKUP(B2167,'Справочник ИХ'!A:C,3,0))</f>
        <v>Остальные грузы</v>
      </c>
      <c r="E2167" s="13">
        <f>IF(RIGHT(A2167,3)="000","х",VLOOKUP(B2167,'Справочник ИХ'!A:D,4,0))</f>
        <v>3</v>
      </c>
      <c r="F2167" s="14" t="s">
        <v>3024</v>
      </c>
    </row>
    <row r="2168" spans="1:6">
      <c r="A2168" s="19">
        <v>41404</v>
      </c>
      <c r="B2168" s="12" t="str">
        <f t="shared" si="33"/>
        <v>414</v>
      </c>
      <c r="C2168" s="1" t="s">
        <v>3127</v>
      </c>
      <c r="D2168" s="13" t="str">
        <f>IF(RIGHT(A2168,3)="000",C2168,VLOOKUP(B2168,'Справочник ИХ'!A:C,3,0))</f>
        <v>Остальные грузы</v>
      </c>
      <c r="E2168" s="13">
        <f>IF(RIGHT(A2168,3)="000","х",VLOOKUP(B2168,'Справочник ИХ'!A:D,4,0))</f>
        <v>3</v>
      </c>
      <c r="F2168" s="14" t="s">
        <v>3024</v>
      </c>
    </row>
    <row r="2169" spans="1:6">
      <c r="A2169" s="19">
        <v>41405</v>
      </c>
      <c r="B2169" s="12" t="str">
        <f t="shared" si="33"/>
        <v>414</v>
      </c>
      <c r="C2169" s="1" t="s">
        <v>3128</v>
      </c>
      <c r="D2169" s="13" t="str">
        <f>IF(RIGHT(A2169,3)="000",C2169,VLOOKUP(B2169,'Справочник ИХ'!A:C,3,0))</f>
        <v>Остальные грузы</v>
      </c>
      <c r="E2169" s="13">
        <f>IF(RIGHT(A2169,3)="000","х",VLOOKUP(B2169,'Справочник ИХ'!A:D,4,0))</f>
        <v>3</v>
      </c>
      <c r="F2169" s="14" t="s">
        <v>3024</v>
      </c>
    </row>
    <row r="2170" spans="1:6">
      <c r="A2170" s="19">
        <v>41406</v>
      </c>
      <c r="B2170" s="12" t="str">
        <f t="shared" si="33"/>
        <v>414</v>
      </c>
      <c r="C2170" s="1" t="s">
        <v>3129</v>
      </c>
      <c r="D2170" s="13" t="str">
        <f>IF(RIGHT(A2170,3)="000",C2170,VLOOKUP(B2170,'Справочник ИХ'!A:C,3,0))</f>
        <v>Остальные грузы</v>
      </c>
      <c r="E2170" s="13">
        <f>IF(RIGHT(A2170,3)="000","х",VLOOKUP(B2170,'Справочник ИХ'!A:D,4,0))</f>
        <v>3</v>
      </c>
      <c r="F2170" s="14" t="s">
        <v>3024</v>
      </c>
    </row>
    <row r="2171" spans="1:6">
      <c r="A2171" s="19">
        <v>41407</v>
      </c>
      <c r="B2171" s="12" t="str">
        <f t="shared" si="33"/>
        <v>414</v>
      </c>
      <c r="C2171" s="1" t="s">
        <v>3130</v>
      </c>
      <c r="D2171" s="13" t="str">
        <f>IF(RIGHT(A2171,3)="000",C2171,VLOOKUP(B2171,'Справочник ИХ'!A:C,3,0))</f>
        <v>Остальные грузы</v>
      </c>
      <c r="E2171" s="13">
        <f>IF(RIGHT(A2171,3)="000","х",VLOOKUP(B2171,'Справочник ИХ'!A:D,4,0))</f>
        <v>3</v>
      </c>
      <c r="F2171" s="14" t="s">
        <v>3024</v>
      </c>
    </row>
    <row r="2172" spans="1:6">
      <c r="A2172" s="19">
        <v>41408</v>
      </c>
      <c r="B2172" s="12" t="str">
        <f t="shared" si="33"/>
        <v>414</v>
      </c>
      <c r="C2172" s="1" t="s">
        <v>3131</v>
      </c>
      <c r="D2172" s="13" t="str">
        <f>IF(RIGHT(A2172,3)="000",C2172,VLOOKUP(B2172,'Справочник ИХ'!A:C,3,0))</f>
        <v>Остальные грузы</v>
      </c>
      <c r="E2172" s="13">
        <f>IF(RIGHT(A2172,3)="000","х",VLOOKUP(B2172,'Справочник ИХ'!A:D,4,0))</f>
        <v>3</v>
      </c>
      <c r="F2172" s="14" t="s">
        <v>3024</v>
      </c>
    </row>
    <row r="2173" spans="1:6">
      <c r="A2173" s="19">
        <v>41409</v>
      </c>
      <c r="B2173" s="12" t="str">
        <f t="shared" si="33"/>
        <v>414</v>
      </c>
      <c r="C2173" s="1" t="s">
        <v>3132</v>
      </c>
      <c r="D2173" s="13" t="str">
        <f>IF(RIGHT(A2173,3)="000",C2173,VLOOKUP(B2173,'Справочник ИХ'!A:C,3,0))</f>
        <v>Остальные грузы</v>
      </c>
      <c r="E2173" s="13">
        <f>IF(RIGHT(A2173,3)="000","х",VLOOKUP(B2173,'Справочник ИХ'!A:D,4,0))</f>
        <v>3</v>
      </c>
      <c r="F2173" s="14" t="s">
        <v>3024</v>
      </c>
    </row>
    <row r="2174" spans="1:6" ht="31.75">
      <c r="A2174" s="19">
        <v>41410</v>
      </c>
      <c r="B2174" s="12" t="str">
        <f t="shared" si="33"/>
        <v>414</v>
      </c>
      <c r="C2174" s="1" t="s">
        <v>3133</v>
      </c>
      <c r="D2174" s="13" t="str">
        <f>IF(RIGHT(A2174,3)="000",C2174,VLOOKUP(B2174,'Справочник ИХ'!A:C,3,0))</f>
        <v>Остальные грузы</v>
      </c>
      <c r="E2174" s="13">
        <f>IF(RIGHT(A2174,3)="000","х",VLOOKUP(B2174,'Справочник ИХ'!A:D,4,0))</f>
        <v>3</v>
      </c>
      <c r="F2174" s="14" t="s">
        <v>3024</v>
      </c>
    </row>
    <row r="2175" spans="1:6">
      <c r="A2175" s="19">
        <v>41411</v>
      </c>
      <c r="B2175" s="12" t="str">
        <f t="shared" si="33"/>
        <v>414</v>
      </c>
      <c r="C2175" s="1" t="s">
        <v>3134</v>
      </c>
      <c r="D2175" s="13" t="str">
        <f>IF(RIGHT(A2175,3)="000",C2175,VLOOKUP(B2175,'Справочник ИХ'!A:C,3,0))</f>
        <v>Остальные грузы</v>
      </c>
      <c r="E2175" s="13">
        <f>IF(RIGHT(A2175,3)="000","х",VLOOKUP(B2175,'Справочник ИХ'!A:D,4,0))</f>
        <v>3</v>
      </c>
      <c r="F2175" s="14" t="s">
        <v>3024</v>
      </c>
    </row>
    <row r="2176" spans="1:6">
      <c r="A2176" s="19">
        <v>41412</v>
      </c>
      <c r="B2176" s="12" t="str">
        <f t="shared" si="33"/>
        <v>414</v>
      </c>
      <c r="C2176" s="1" t="s">
        <v>3135</v>
      </c>
      <c r="D2176" s="13" t="str">
        <f>IF(RIGHT(A2176,3)="000",C2176,VLOOKUP(B2176,'Справочник ИХ'!A:C,3,0))</f>
        <v>Остальные грузы</v>
      </c>
      <c r="E2176" s="13">
        <f>IF(RIGHT(A2176,3)="000","х",VLOOKUP(B2176,'Справочник ИХ'!A:D,4,0))</f>
        <v>3</v>
      </c>
      <c r="F2176" s="14" t="s">
        <v>3024</v>
      </c>
    </row>
    <row r="2177" spans="1:6" ht="31.75">
      <c r="A2177" s="19">
        <v>41413</v>
      </c>
      <c r="B2177" s="12" t="str">
        <f t="shared" si="33"/>
        <v>414</v>
      </c>
      <c r="C2177" s="1" t="s">
        <v>3136</v>
      </c>
      <c r="D2177" s="13" t="str">
        <f>IF(RIGHT(A2177,3)="000",C2177,VLOOKUP(B2177,'Справочник ИХ'!A:C,3,0))</f>
        <v>Остальные грузы</v>
      </c>
      <c r="E2177" s="13">
        <f>IF(RIGHT(A2177,3)="000","х",VLOOKUP(B2177,'Справочник ИХ'!A:D,4,0))</f>
        <v>3</v>
      </c>
      <c r="F2177" s="14" t="s">
        <v>3024</v>
      </c>
    </row>
    <row r="2178" spans="1:6">
      <c r="A2178" s="19">
        <v>41414</v>
      </c>
      <c r="B2178" s="12" t="str">
        <f t="shared" si="33"/>
        <v>414</v>
      </c>
      <c r="C2178" s="1" t="s">
        <v>3137</v>
      </c>
      <c r="D2178" s="13" t="str">
        <f>IF(RIGHT(A2178,3)="000",C2178,VLOOKUP(B2178,'Справочник ИХ'!A:C,3,0))</f>
        <v>Остальные грузы</v>
      </c>
      <c r="E2178" s="13">
        <f>IF(RIGHT(A2178,3)="000","х",VLOOKUP(B2178,'Справочник ИХ'!A:D,4,0))</f>
        <v>3</v>
      </c>
      <c r="F2178" s="14" t="s">
        <v>3024</v>
      </c>
    </row>
    <row r="2179" spans="1:6" ht="31.75">
      <c r="A2179" s="19">
        <v>41415</v>
      </c>
      <c r="B2179" s="12" t="str">
        <f t="shared" si="33"/>
        <v>414</v>
      </c>
      <c r="C2179" s="1" t="s">
        <v>3138</v>
      </c>
      <c r="D2179" s="13" t="str">
        <f>IF(RIGHT(A2179,3)="000",C2179,VLOOKUP(B2179,'Справочник ИХ'!A:C,3,0))</f>
        <v>Остальные грузы</v>
      </c>
      <c r="E2179" s="13">
        <f>IF(RIGHT(A2179,3)="000","х",VLOOKUP(B2179,'Справочник ИХ'!A:D,4,0))</f>
        <v>3</v>
      </c>
      <c r="F2179" s="14" t="s">
        <v>3024</v>
      </c>
    </row>
    <row r="2180" spans="1:6" ht="47.6">
      <c r="A2180" s="19">
        <v>41416</v>
      </c>
      <c r="B2180" s="12" t="str">
        <f t="shared" ref="B2180:B2243" si="34">LEFT(A2180,3)</f>
        <v>414</v>
      </c>
      <c r="C2180" s="1" t="s">
        <v>3139</v>
      </c>
      <c r="D2180" s="13" t="str">
        <f>IF(RIGHT(A2180,3)="000",C2180,VLOOKUP(B2180,'Справочник ИХ'!A:C,3,0))</f>
        <v>Остальные грузы</v>
      </c>
      <c r="E2180" s="13">
        <f>IF(RIGHT(A2180,3)="000","х",VLOOKUP(B2180,'Справочник ИХ'!A:D,4,0))</f>
        <v>3</v>
      </c>
      <c r="F2180" s="14" t="s">
        <v>3024</v>
      </c>
    </row>
    <row r="2181" spans="1:6" ht="31.75">
      <c r="A2181" s="19">
        <v>41417</v>
      </c>
      <c r="B2181" s="12" t="str">
        <f t="shared" si="34"/>
        <v>414</v>
      </c>
      <c r="C2181" s="1" t="s">
        <v>3140</v>
      </c>
      <c r="D2181" s="13" t="str">
        <f>IF(RIGHT(A2181,3)="000",C2181,VLOOKUP(B2181,'Справочник ИХ'!A:C,3,0))</f>
        <v>Остальные грузы</v>
      </c>
      <c r="E2181" s="13">
        <f>IF(RIGHT(A2181,3)="000","х",VLOOKUP(B2181,'Справочник ИХ'!A:D,4,0))</f>
        <v>3</v>
      </c>
      <c r="F2181" s="14" t="s">
        <v>3024</v>
      </c>
    </row>
    <row r="2182" spans="1:6">
      <c r="A2182" s="19">
        <v>41418</v>
      </c>
      <c r="B2182" s="12" t="str">
        <f t="shared" si="34"/>
        <v>414</v>
      </c>
      <c r="C2182" s="1" t="s">
        <v>3141</v>
      </c>
      <c r="D2182" s="13" t="str">
        <f>IF(RIGHT(A2182,3)="000",C2182,VLOOKUP(B2182,'Справочник ИХ'!A:C,3,0))</f>
        <v>Остальные грузы</v>
      </c>
      <c r="E2182" s="13">
        <f>IF(RIGHT(A2182,3)="000","х",VLOOKUP(B2182,'Справочник ИХ'!A:D,4,0))</f>
        <v>3</v>
      </c>
      <c r="F2182" s="14" t="s">
        <v>3024</v>
      </c>
    </row>
    <row r="2183" spans="1:6" s="18" customFormat="1">
      <c r="A2183" s="16">
        <v>41500</v>
      </c>
      <c r="B2183" s="12" t="str">
        <f t="shared" si="34"/>
        <v>415</v>
      </c>
      <c r="C2183" s="17" t="s">
        <v>3142</v>
      </c>
      <c r="D2183" s="13" t="str">
        <f>IF(RIGHT(A2183,3)="000",C2183,VLOOKUP(B2183,'Справочник ИХ'!A:C,3,0))</f>
        <v>Остальные грузы</v>
      </c>
      <c r="E2183" s="13">
        <f>IF(RIGHT(A2183,3)="000","х",VLOOKUP(B2183,'Справочник ИХ'!A:D,4,0))</f>
        <v>3</v>
      </c>
      <c r="F2183" s="14" t="s">
        <v>3024</v>
      </c>
    </row>
    <row r="2184" spans="1:6">
      <c r="A2184" s="19">
        <v>41501</v>
      </c>
      <c r="B2184" s="12" t="str">
        <f t="shared" si="34"/>
        <v>415</v>
      </c>
      <c r="C2184" s="1" t="s">
        <v>3143</v>
      </c>
      <c r="D2184" s="13" t="str">
        <f>IF(RIGHT(A2184,3)="000",C2184,VLOOKUP(B2184,'Справочник ИХ'!A:C,3,0))</f>
        <v>Остальные грузы</v>
      </c>
      <c r="E2184" s="13">
        <f>IF(RIGHT(A2184,3)="000","х",VLOOKUP(B2184,'Справочник ИХ'!A:D,4,0))</f>
        <v>3</v>
      </c>
      <c r="F2184" s="14" t="s">
        <v>3024</v>
      </c>
    </row>
    <row r="2185" spans="1:6">
      <c r="A2185" s="19">
        <v>41502</v>
      </c>
      <c r="B2185" s="12" t="str">
        <f t="shared" si="34"/>
        <v>415</v>
      </c>
      <c r="C2185" s="1" t="s">
        <v>3144</v>
      </c>
      <c r="D2185" s="13" t="str">
        <f>IF(RIGHT(A2185,3)="000",C2185,VLOOKUP(B2185,'Справочник ИХ'!A:C,3,0))</f>
        <v>Остальные грузы</v>
      </c>
      <c r="E2185" s="13">
        <f>IF(RIGHT(A2185,3)="000","х",VLOOKUP(B2185,'Справочник ИХ'!A:D,4,0))</f>
        <v>3</v>
      </c>
      <c r="F2185" s="14" t="s">
        <v>3024</v>
      </c>
    </row>
    <row r="2186" spans="1:6">
      <c r="A2186" s="19">
        <v>41503</v>
      </c>
      <c r="B2186" s="12" t="str">
        <f t="shared" si="34"/>
        <v>415</v>
      </c>
      <c r="C2186" s="1" t="s">
        <v>3145</v>
      </c>
      <c r="D2186" s="13" t="str">
        <f>IF(RIGHT(A2186,3)="000",C2186,VLOOKUP(B2186,'Справочник ИХ'!A:C,3,0))</f>
        <v>Остальные грузы</v>
      </c>
      <c r="E2186" s="13">
        <f>IF(RIGHT(A2186,3)="000","х",VLOOKUP(B2186,'Справочник ИХ'!A:D,4,0))</f>
        <v>3</v>
      </c>
      <c r="F2186" s="14" t="s">
        <v>3024</v>
      </c>
    </row>
    <row r="2187" spans="1:6">
      <c r="A2187" s="19">
        <v>41504</v>
      </c>
      <c r="B2187" s="12" t="str">
        <f t="shared" si="34"/>
        <v>415</v>
      </c>
      <c r="C2187" s="1" t="s">
        <v>3146</v>
      </c>
      <c r="D2187" s="13" t="str">
        <f>IF(RIGHT(A2187,3)="000",C2187,VLOOKUP(B2187,'Справочник ИХ'!A:C,3,0))</f>
        <v>Остальные грузы</v>
      </c>
      <c r="E2187" s="13">
        <f>IF(RIGHT(A2187,3)="000","х",VLOOKUP(B2187,'Справочник ИХ'!A:D,4,0))</f>
        <v>3</v>
      </c>
      <c r="F2187" s="14" t="s">
        <v>3024</v>
      </c>
    </row>
    <row r="2188" spans="1:6" ht="31.75">
      <c r="A2188" s="19">
        <v>41505</v>
      </c>
      <c r="B2188" s="12" t="str">
        <f t="shared" si="34"/>
        <v>415</v>
      </c>
      <c r="C2188" s="1" t="s">
        <v>3147</v>
      </c>
      <c r="D2188" s="13" t="str">
        <f>IF(RIGHT(A2188,3)="000",C2188,VLOOKUP(B2188,'Справочник ИХ'!A:C,3,0))</f>
        <v>Остальные грузы</v>
      </c>
      <c r="E2188" s="13">
        <f>IF(RIGHT(A2188,3)="000","х",VLOOKUP(B2188,'Справочник ИХ'!A:D,4,0))</f>
        <v>3</v>
      </c>
      <c r="F2188" s="14" t="s">
        <v>3024</v>
      </c>
    </row>
    <row r="2189" spans="1:6">
      <c r="A2189" s="19">
        <v>41506</v>
      </c>
      <c r="B2189" s="12" t="str">
        <f t="shared" si="34"/>
        <v>415</v>
      </c>
      <c r="C2189" s="1" t="s">
        <v>3148</v>
      </c>
      <c r="D2189" s="13" t="str">
        <f>IF(RIGHT(A2189,3)="000",C2189,VLOOKUP(B2189,'Справочник ИХ'!A:C,3,0))</f>
        <v>Остальные грузы</v>
      </c>
      <c r="E2189" s="13">
        <f>IF(RIGHT(A2189,3)="000","х",VLOOKUP(B2189,'Справочник ИХ'!A:D,4,0))</f>
        <v>3</v>
      </c>
      <c r="F2189" s="14" t="s">
        <v>3024</v>
      </c>
    </row>
    <row r="2190" spans="1:6" ht="31.75">
      <c r="A2190" s="19">
        <v>41507</v>
      </c>
      <c r="B2190" s="12" t="str">
        <f t="shared" si="34"/>
        <v>415</v>
      </c>
      <c r="C2190" s="1" t="s">
        <v>3149</v>
      </c>
      <c r="D2190" s="13" t="str">
        <f>IF(RIGHT(A2190,3)="000",C2190,VLOOKUP(B2190,'Справочник ИХ'!A:C,3,0))</f>
        <v>Остальные грузы</v>
      </c>
      <c r="E2190" s="13">
        <f>IF(RIGHT(A2190,3)="000","х",VLOOKUP(B2190,'Справочник ИХ'!A:D,4,0))</f>
        <v>3</v>
      </c>
      <c r="F2190" s="14" t="s">
        <v>3024</v>
      </c>
    </row>
    <row r="2191" spans="1:6" ht="31.75">
      <c r="A2191" s="19">
        <v>41508</v>
      </c>
      <c r="B2191" s="12" t="str">
        <f t="shared" si="34"/>
        <v>415</v>
      </c>
      <c r="C2191" s="1" t="s">
        <v>3150</v>
      </c>
      <c r="D2191" s="13" t="str">
        <f>IF(RIGHT(A2191,3)="000",C2191,VLOOKUP(B2191,'Справочник ИХ'!A:C,3,0))</f>
        <v>Остальные грузы</v>
      </c>
      <c r="E2191" s="13">
        <f>IF(RIGHT(A2191,3)="000","х",VLOOKUP(B2191,'Справочник ИХ'!A:D,4,0))</f>
        <v>3</v>
      </c>
      <c r="F2191" s="14" t="s">
        <v>3024</v>
      </c>
    </row>
    <row r="2192" spans="1:6">
      <c r="A2192" s="19">
        <v>41509</v>
      </c>
      <c r="B2192" s="12" t="str">
        <f t="shared" si="34"/>
        <v>415</v>
      </c>
      <c r="C2192" s="1" t="s">
        <v>3151</v>
      </c>
      <c r="D2192" s="13" t="str">
        <f>IF(RIGHT(A2192,3)="000",C2192,VLOOKUP(B2192,'Справочник ИХ'!A:C,3,0))</f>
        <v>Остальные грузы</v>
      </c>
      <c r="E2192" s="13">
        <f>IF(RIGHT(A2192,3)="000","х",VLOOKUP(B2192,'Справочник ИХ'!A:D,4,0))</f>
        <v>3</v>
      </c>
      <c r="F2192" s="14" t="s">
        <v>3024</v>
      </c>
    </row>
    <row r="2193" spans="1:6">
      <c r="A2193" s="19">
        <v>41510</v>
      </c>
      <c r="B2193" s="12" t="str">
        <f t="shared" si="34"/>
        <v>415</v>
      </c>
      <c r="C2193" s="1" t="s">
        <v>3152</v>
      </c>
      <c r="D2193" s="13" t="str">
        <f>IF(RIGHT(A2193,3)="000",C2193,VLOOKUP(B2193,'Справочник ИХ'!A:C,3,0))</f>
        <v>Остальные грузы</v>
      </c>
      <c r="E2193" s="13">
        <f>IF(RIGHT(A2193,3)="000","х",VLOOKUP(B2193,'Справочник ИХ'!A:D,4,0))</f>
        <v>3</v>
      </c>
      <c r="F2193" s="14" t="s">
        <v>3024</v>
      </c>
    </row>
    <row r="2194" spans="1:6">
      <c r="A2194" s="19">
        <v>41511</v>
      </c>
      <c r="B2194" s="12" t="str">
        <f t="shared" si="34"/>
        <v>415</v>
      </c>
      <c r="C2194" s="1" t="s">
        <v>3153</v>
      </c>
      <c r="D2194" s="13" t="str">
        <f>IF(RIGHT(A2194,3)="000",C2194,VLOOKUP(B2194,'Справочник ИХ'!A:C,3,0))</f>
        <v>Остальные грузы</v>
      </c>
      <c r="E2194" s="13">
        <f>IF(RIGHT(A2194,3)="000","х",VLOOKUP(B2194,'Справочник ИХ'!A:D,4,0))</f>
        <v>3</v>
      </c>
      <c r="F2194" s="14" t="s">
        <v>3024</v>
      </c>
    </row>
    <row r="2195" spans="1:6" ht="31.75">
      <c r="A2195" s="19">
        <v>41512</v>
      </c>
      <c r="B2195" s="12" t="str">
        <f t="shared" si="34"/>
        <v>415</v>
      </c>
      <c r="C2195" s="1" t="s">
        <v>3154</v>
      </c>
      <c r="D2195" s="13" t="str">
        <f>IF(RIGHT(A2195,3)="000",C2195,VLOOKUP(B2195,'Справочник ИХ'!A:C,3,0))</f>
        <v>Остальные грузы</v>
      </c>
      <c r="E2195" s="13">
        <f>IF(RIGHT(A2195,3)="000","х",VLOOKUP(B2195,'Справочник ИХ'!A:D,4,0))</f>
        <v>3</v>
      </c>
      <c r="F2195" s="14" t="s">
        <v>3024</v>
      </c>
    </row>
    <row r="2196" spans="1:6">
      <c r="A2196" s="19">
        <v>41513</v>
      </c>
      <c r="B2196" s="12" t="str">
        <f t="shared" si="34"/>
        <v>415</v>
      </c>
      <c r="C2196" s="1" t="s">
        <v>3155</v>
      </c>
      <c r="D2196" s="13" t="str">
        <f>IF(RIGHT(A2196,3)="000",C2196,VLOOKUP(B2196,'Справочник ИХ'!A:C,3,0))</f>
        <v>Остальные грузы</v>
      </c>
      <c r="E2196" s="13">
        <f>IF(RIGHT(A2196,3)="000","х",VLOOKUP(B2196,'Справочник ИХ'!A:D,4,0))</f>
        <v>3</v>
      </c>
      <c r="F2196" s="14" t="s">
        <v>3024</v>
      </c>
    </row>
    <row r="2197" spans="1:6">
      <c r="A2197" s="19">
        <v>41514</v>
      </c>
      <c r="B2197" s="12" t="str">
        <f t="shared" si="34"/>
        <v>415</v>
      </c>
      <c r="C2197" s="1" t="s">
        <v>3156</v>
      </c>
      <c r="D2197" s="13" t="str">
        <f>IF(RIGHT(A2197,3)="000",C2197,VLOOKUP(B2197,'Справочник ИХ'!A:C,3,0))</f>
        <v>Остальные грузы</v>
      </c>
      <c r="E2197" s="13">
        <f>IF(RIGHT(A2197,3)="000","х",VLOOKUP(B2197,'Справочник ИХ'!A:D,4,0))</f>
        <v>3</v>
      </c>
      <c r="F2197" s="14" t="s">
        <v>3024</v>
      </c>
    </row>
    <row r="2198" spans="1:6">
      <c r="A2198" s="19">
        <v>41515</v>
      </c>
      <c r="B2198" s="12" t="str">
        <f t="shared" si="34"/>
        <v>415</v>
      </c>
      <c r="C2198" s="1" t="s">
        <v>3157</v>
      </c>
      <c r="D2198" s="13" t="str">
        <f>IF(RIGHT(A2198,3)="000",C2198,VLOOKUP(B2198,'Справочник ИХ'!A:C,3,0))</f>
        <v>Остальные грузы</v>
      </c>
      <c r="E2198" s="13">
        <f>IF(RIGHT(A2198,3)="000","х",VLOOKUP(B2198,'Справочник ИХ'!A:D,4,0))</f>
        <v>3</v>
      </c>
      <c r="F2198" s="14" t="s">
        <v>3024</v>
      </c>
    </row>
    <row r="2199" spans="1:6">
      <c r="A2199" s="19">
        <v>41516</v>
      </c>
      <c r="B2199" s="12" t="str">
        <f t="shared" si="34"/>
        <v>415</v>
      </c>
      <c r="C2199" s="1" t="s">
        <v>3158</v>
      </c>
      <c r="D2199" s="13" t="str">
        <f>IF(RIGHT(A2199,3)="000",C2199,VLOOKUP(B2199,'Справочник ИХ'!A:C,3,0))</f>
        <v>Остальные грузы</v>
      </c>
      <c r="E2199" s="13">
        <f>IF(RIGHT(A2199,3)="000","х",VLOOKUP(B2199,'Справочник ИХ'!A:D,4,0))</f>
        <v>3</v>
      </c>
      <c r="F2199" s="14" t="s">
        <v>3024</v>
      </c>
    </row>
    <row r="2200" spans="1:6">
      <c r="A2200" s="19">
        <v>41517</v>
      </c>
      <c r="B2200" s="12" t="str">
        <f t="shared" si="34"/>
        <v>415</v>
      </c>
      <c r="C2200" s="1" t="s">
        <v>3159</v>
      </c>
      <c r="D2200" s="13" t="str">
        <f>IF(RIGHT(A2200,3)="000",C2200,VLOOKUP(B2200,'Справочник ИХ'!A:C,3,0))</f>
        <v>Остальные грузы</v>
      </c>
      <c r="E2200" s="13">
        <f>IF(RIGHT(A2200,3)="000","х",VLOOKUP(B2200,'Справочник ИХ'!A:D,4,0))</f>
        <v>3</v>
      </c>
      <c r="F2200" s="14" t="s">
        <v>3024</v>
      </c>
    </row>
    <row r="2201" spans="1:6">
      <c r="A2201" s="19">
        <v>41518</v>
      </c>
      <c r="B2201" s="12" t="str">
        <f t="shared" si="34"/>
        <v>415</v>
      </c>
      <c r="C2201" s="1" t="s">
        <v>3160</v>
      </c>
      <c r="D2201" s="13" t="str">
        <f>IF(RIGHT(A2201,3)="000",C2201,VLOOKUP(B2201,'Справочник ИХ'!A:C,3,0))</f>
        <v>Остальные грузы</v>
      </c>
      <c r="E2201" s="13">
        <f>IF(RIGHT(A2201,3)="000","х",VLOOKUP(B2201,'Справочник ИХ'!A:D,4,0))</f>
        <v>3</v>
      </c>
      <c r="F2201" s="14" t="s">
        <v>3024</v>
      </c>
    </row>
    <row r="2202" spans="1:6">
      <c r="A2202" s="19">
        <v>41519</v>
      </c>
      <c r="B2202" s="12" t="str">
        <f t="shared" si="34"/>
        <v>415</v>
      </c>
      <c r="C2202" s="1" t="s">
        <v>3161</v>
      </c>
      <c r="D2202" s="13" t="str">
        <f>IF(RIGHT(A2202,3)="000",C2202,VLOOKUP(B2202,'Справочник ИХ'!A:C,3,0))</f>
        <v>Остальные грузы</v>
      </c>
      <c r="E2202" s="13">
        <f>IF(RIGHT(A2202,3)="000","х",VLOOKUP(B2202,'Справочник ИХ'!A:D,4,0))</f>
        <v>3</v>
      </c>
      <c r="F2202" s="14" t="s">
        <v>3024</v>
      </c>
    </row>
    <row r="2203" spans="1:6" ht="47.6">
      <c r="A2203" s="19">
        <v>41520</v>
      </c>
      <c r="B2203" s="12" t="str">
        <f t="shared" si="34"/>
        <v>415</v>
      </c>
      <c r="C2203" s="1" t="s">
        <v>3162</v>
      </c>
      <c r="D2203" s="13" t="str">
        <f>IF(RIGHT(A2203,3)="000",C2203,VLOOKUP(B2203,'Справочник ИХ'!A:C,3,0))</f>
        <v>Остальные грузы</v>
      </c>
      <c r="E2203" s="13">
        <f>IF(RIGHT(A2203,3)="000","х",VLOOKUP(B2203,'Справочник ИХ'!A:D,4,0))</f>
        <v>3</v>
      </c>
      <c r="F2203" s="14" t="s">
        <v>3024</v>
      </c>
    </row>
    <row r="2204" spans="1:6">
      <c r="A2204" s="19">
        <v>41521</v>
      </c>
      <c r="B2204" s="12" t="str">
        <f t="shared" si="34"/>
        <v>415</v>
      </c>
      <c r="C2204" s="1" t="s">
        <v>3163</v>
      </c>
      <c r="D2204" s="13" t="str">
        <f>IF(RIGHT(A2204,3)="000",C2204,VLOOKUP(B2204,'Справочник ИХ'!A:C,3,0))</f>
        <v>Остальные грузы</v>
      </c>
      <c r="E2204" s="13">
        <f>IF(RIGHT(A2204,3)="000","х",VLOOKUP(B2204,'Справочник ИХ'!A:D,4,0))</f>
        <v>3</v>
      </c>
      <c r="F2204" s="14" t="s">
        <v>3024</v>
      </c>
    </row>
    <row r="2205" spans="1:6" ht="31.75">
      <c r="A2205" s="19">
        <v>41522</v>
      </c>
      <c r="B2205" s="12" t="str">
        <f t="shared" si="34"/>
        <v>415</v>
      </c>
      <c r="C2205" s="1" t="s">
        <v>3164</v>
      </c>
      <c r="D2205" s="13" t="str">
        <f>IF(RIGHT(A2205,3)="000",C2205,VLOOKUP(B2205,'Справочник ИХ'!A:C,3,0))</f>
        <v>Остальные грузы</v>
      </c>
      <c r="E2205" s="13">
        <f>IF(RIGHT(A2205,3)="000","х",VLOOKUP(B2205,'Справочник ИХ'!A:D,4,0))</f>
        <v>3</v>
      </c>
      <c r="F2205" s="14" t="s">
        <v>3024</v>
      </c>
    </row>
    <row r="2206" spans="1:6">
      <c r="A2206" s="19">
        <v>41523</v>
      </c>
      <c r="B2206" s="12" t="str">
        <f t="shared" si="34"/>
        <v>415</v>
      </c>
      <c r="C2206" s="1" t="s">
        <v>3165</v>
      </c>
      <c r="D2206" s="13" t="str">
        <f>IF(RIGHT(A2206,3)="000",C2206,VLOOKUP(B2206,'Справочник ИХ'!A:C,3,0))</f>
        <v>Остальные грузы</v>
      </c>
      <c r="E2206" s="13">
        <f>IF(RIGHT(A2206,3)="000","х",VLOOKUP(B2206,'Справочник ИХ'!A:D,4,0))</f>
        <v>3</v>
      </c>
      <c r="F2206" s="14" t="s">
        <v>3024</v>
      </c>
    </row>
    <row r="2207" spans="1:6">
      <c r="A2207" s="19">
        <v>41524</v>
      </c>
      <c r="B2207" s="12" t="str">
        <f t="shared" si="34"/>
        <v>415</v>
      </c>
      <c r="C2207" s="1" t="s">
        <v>3166</v>
      </c>
      <c r="D2207" s="13" t="str">
        <f>IF(RIGHT(A2207,3)="000",C2207,VLOOKUP(B2207,'Справочник ИХ'!A:C,3,0))</f>
        <v>Остальные грузы</v>
      </c>
      <c r="E2207" s="13">
        <f>IF(RIGHT(A2207,3)="000","х",VLOOKUP(B2207,'Справочник ИХ'!A:D,4,0))</f>
        <v>3</v>
      </c>
      <c r="F2207" s="14" t="s">
        <v>3024</v>
      </c>
    </row>
    <row r="2208" spans="1:6" ht="31.75">
      <c r="A2208" s="19">
        <v>41525</v>
      </c>
      <c r="B2208" s="12" t="str">
        <f t="shared" si="34"/>
        <v>415</v>
      </c>
      <c r="C2208" s="1" t="s">
        <v>3167</v>
      </c>
      <c r="D2208" s="13" t="str">
        <f>IF(RIGHT(A2208,3)="000",C2208,VLOOKUP(B2208,'Справочник ИХ'!A:C,3,0))</f>
        <v>Остальные грузы</v>
      </c>
      <c r="E2208" s="13">
        <f>IF(RIGHT(A2208,3)="000","х",VLOOKUP(B2208,'Справочник ИХ'!A:D,4,0))</f>
        <v>3</v>
      </c>
      <c r="F2208" s="14" t="s">
        <v>3024</v>
      </c>
    </row>
    <row r="2209" spans="1:6">
      <c r="A2209" s="19">
        <v>41526</v>
      </c>
      <c r="B2209" s="12" t="str">
        <f t="shared" si="34"/>
        <v>415</v>
      </c>
      <c r="C2209" s="1" t="s">
        <v>3168</v>
      </c>
      <c r="D2209" s="13" t="str">
        <f>IF(RIGHT(A2209,3)="000",C2209,VLOOKUP(B2209,'Справочник ИХ'!A:C,3,0))</f>
        <v>Остальные грузы</v>
      </c>
      <c r="E2209" s="13">
        <f>IF(RIGHT(A2209,3)="000","х",VLOOKUP(B2209,'Справочник ИХ'!A:D,4,0))</f>
        <v>3</v>
      </c>
      <c r="F2209" s="14" t="s">
        <v>3024</v>
      </c>
    </row>
    <row r="2210" spans="1:6" ht="31.75">
      <c r="A2210" s="19">
        <v>41527</v>
      </c>
      <c r="B2210" s="12" t="str">
        <f t="shared" si="34"/>
        <v>415</v>
      </c>
      <c r="C2210" s="1" t="s">
        <v>3169</v>
      </c>
      <c r="D2210" s="13" t="str">
        <f>IF(RIGHT(A2210,3)="000",C2210,VLOOKUP(B2210,'Справочник ИХ'!A:C,3,0))</f>
        <v>Остальные грузы</v>
      </c>
      <c r="E2210" s="13">
        <f>IF(RIGHT(A2210,3)="000","х",VLOOKUP(B2210,'Справочник ИХ'!A:D,4,0))</f>
        <v>3</v>
      </c>
      <c r="F2210" s="14" t="s">
        <v>3024</v>
      </c>
    </row>
    <row r="2211" spans="1:6">
      <c r="A2211" s="19">
        <v>41528</v>
      </c>
      <c r="B2211" s="12" t="str">
        <f t="shared" si="34"/>
        <v>415</v>
      </c>
      <c r="C2211" s="1" t="s">
        <v>3170</v>
      </c>
      <c r="D2211" s="13" t="str">
        <f>IF(RIGHT(A2211,3)="000",C2211,VLOOKUP(B2211,'Справочник ИХ'!A:C,3,0))</f>
        <v>Остальные грузы</v>
      </c>
      <c r="E2211" s="13">
        <f>IF(RIGHT(A2211,3)="000","х",VLOOKUP(B2211,'Справочник ИХ'!A:D,4,0))</f>
        <v>3</v>
      </c>
      <c r="F2211" s="14" t="s">
        <v>3024</v>
      </c>
    </row>
    <row r="2212" spans="1:6">
      <c r="A2212" s="19">
        <v>41529</v>
      </c>
      <c r="B2212" s="12" t="str">
        <f t="shared" si="34"/>
        <v>415</v>
      </c>
      <c r="C2212" s="1" t="s">
        <v>3171</v>
      </c>
      <c r="D2212" s="13" t="str">
        <f>IF(RIGHT(A2212,3)="000",C2212,VLOOKUP(B2212,'Справочник ИХ'!A:C,3,0))</f>
        <v>Остальные грузы</v>
      </c>
      <c r="E2212" s="13">
        <f>IF(RIGHT(A2212,3)="000","х",VLOOKUP(B2212,'Справочник ИХ'!A:D,4,0))</f>
        <v>3</v>
      </c>
      <c r="F2212" s="14" t="s">
        <v>3024</v>
      </c>
    </row>
    <row r="2213" spans="1:6">
      <c r="A2213" s="19">
        <v>41530</v>
      </c>
      <c r="B2213" s="12" t="str">
        <f t="shared" si="34"/>
        <v>415</v>
      </c>
      <c r="C2213" s="1" t="s">
        <v>3172</v>
      </c>
      <c r="D2213" s="13" t="str">
        <f>IF(RIGHT(A2213,3)="000",C2213,VLOOKUP(B2213,'Справочник ИХ'!A:C,3,0))</f>
        <v>Остальные грузы</v>
      </c>
      <c r="E2213" s="13">
        <f>IF(RIGHT(A2213,3)="000","х",VLOOKUP(B2213,'Справочник ИХ'!A:D,4,0))</f>
        <v>3</v>
      </c>
      <c r="F2213" s="14" t="s">
        <v>3024</v>
      </c>
    </row>
    <row r="2214" spans="1:6" ht="47.6">
      <c r="A2214" s="19">
        <v>41531</v>
      </c>
      <c r="B2214" s="12" t="str">
        <f t="shared" si="34"/>
        <v>415</v>
      </c>
      <c r="C2214" s="1" t="s">
        <v>3173</v>
      </c>
      <c r="D2214" s="13" t="str">
        <f>IF(RIGHT(A2214,3)="000",C2214,VLOOKUP(B2214,'Справочник ИХ'!A:C,3,0))</f>
        <v>Остальные грузы</v>
      </c>
      <c r="E2214" s="13">
        <f>IF(RIGHT(A2214,3)="000","х",VLOOKUP(B2214,'Справочник ИХ'!A:D,4,0))</f>
        <v>3</v>
      </c>
      <c r="F2214" s="14" t="s">
        <v>3024</v>
      </c>
    </row>
    <row r="2215" spans="1:6">
      <c r="A2215" s="19">
        <v>41532</v>
      </c>
      <c r="B2215" s="12" t="str">
        <f t="shared" si="34"/>
        <v>415</v>
      </c>
      <c r="C2215" s="1" t="s">
        <v>3174</v>
      </c>
      <c r="D2215" s="13" t="str">
        <f>IF(RIGHT(A2215,3)="000",C2215,VLOOKUP(B2215,'Справочник ИХ'!A:C,3,0))</f>
        <v>Остальные грузы</v>
      </c>
      <c r="E2215" s="13">
        <f>IF(RIGHT(A2215,3)="000","х",VLOOKUP(B2215,'Справочник ИХ'!A:D,4,0))</f>
        <v>3</v>
      </c>
      <c r="F2215" s="14" t="s">
        <v>3024</v>
      </c>
    </row>
    <row r="2216" spans="1:6">
      <c r="A2216" s="19">
        <v>41533</v>
      </c>
      <c r="B2216" s="12" t="str">
        <f t="shared" si="34"/>
        <v>415</v>
      </c>
      <c r="C2216" s="1" t="s">
        <v>3175</v>
      </c>
      <c r="D2216" s="13" t="str">
        <f>IF(RIGHT(A2216,3)="000",C2216,VLOOKUP(B2216,'Справочник ИХ'!A:C,3,0))</f>
        <v>Остальные грузы</v>
      </c>
      <c r="E2216" s="13">
        <f>IF(RIGHT(A2216,3)="000","х",VLOOKUP(B2216,'Справочник ИХ'!A:D,4,0))</f>
        <v>3</v>
      </c>
      <c r="F2216" s="14" t="s">
        <v>3024</v>
      </c>
    </row>
    <row r="2217" spans="1:6">
      <c r="A2217" s="19">
        <v>41534</v>
      </c>
      <c r="B2217" s="12" t="str">
        <f t="shared" si="34"/>
        <v>415</v>
      </c>
      <c r="C2217" s="1" t="s">
        <v>3176</v>
      </c>
      <c r="D2217" s="13" t="str">
        <f>IF(RIGHT(A2217,3)="000",C2217,VLOOKUP(B2217,'Справочник ИХ'!A:C,3,0))</f>
        <v>Остальные грузы</v>
      </c>
      <c r="E2217" s="13">
        <f>IF(RIGHT(A2217,3)="000","х",VLOOKUP(B2217,'Справочник ИХ'!A:D,4,0))</f>
        <v>3</v>
      </c>
      <c r="F2217" s="14" t="s">
        <v>3024</v>
      </c>
    </row>
    <row r="2218" spans="1:6" s="18" customFormat="1" ht="31.75">
      <c r="A2218" s="16">
        <v>41600</v>
      </c>
      <c r="B2218" s="12" t="str">
        <f t="shared" si="34"/>
        <v>416</v>
      </c>
      <c r="C2218" s="17" t="s">
        <v>3177</v>
      </c>
      <c r="D2218" s="13" t="str">
        <f>IF(RIGHT(A2218,3)="000",C2218,VLOOKUP(B2218,'Справочник ИХ'!A:C,3,0))</f>
        <v>Остальные грузы</v>
      </c>
      <c r="E2218" s="13">
        <f>IF(RIGHT(A2218,3)="000","х",VLOOKUP(B2218,'Справочник ИХ'!A:D,4,0))</f>
        <v>3</v>
      </c>
      <c r="F2218" s="14" t="s">
        <v>3024</v>
      </c>
    </row>
    <row r="2219" spans="1:6" ht="31.75">
      <c r="A2219" s="19">
        <v>41601</v>
      </c>
      <c r="B2219" s="12" t="str">
        <f t="shared" si="34"/>
        <v>416</v>
      </c>
      <c r="C2219" s="1" t="s">
        <v>3178</v>
      </c>
      <c r="D2219" s="13" t="str">
        <f>IF(RIGHT(A2219,3)="000",C2219,VLOOKUP(B2219,'Справочник ИХ'!A:C,3,0))</f>
        <v>Остальные грузы</v>
      </c>
      <c r="E2219" s="13">
        <f>IF(RIGHT(A2219,3)="000","х",VLOOKUP(B2219,'Справочник ИХ'!A:D,4,0))</f>
        <v>3</v>
      </c>
      <c r="F2219" s="14" t="s">
        <v>3024</v>
      </c>
    </row>
    <row r="2220" spans="1:6">
      <c r="A2220" s="19">
        <v>41602</v>
      </c>
      <c r="B2220" s="12" t="str">
        <f t="shared" si="34"/>
        <v>416</v>
      </c>
      <c r="C2220" s="1" t="s">
        <v>3179</v>
      </c>
      <c r="D2220" s="13" t="str">
        <f>IF(RIGHT(A2220,3)="000",C2220,VLOOKUP(B2220,'Справочник ИХ'!A:C,3,0))</f>
        <v>Остальные грузы</v>
      </c>
      <c r="E2220" s="13">
        <f>IF(RIGHT(A2220,3)="000","х",VLOOKUP(B2220,'Справочник ИХ'!A:D,4,0))</f>
        <v>3</v>
      </c>
      <c r="F2220" s="14" t="s">
        <v>3024</v>
      </c>
    </row>
    <row r="2221" spans="1:6">
      <c r="A2221" s="19">
        <v>41603</v>
      </c>
      <c r="B2221" s="12" t="str">
        <f t="shared" si="34"/>
        <v>416</v>
      </c>
      <c r="C2221" s="1" t="s">
        <v>3180</v>
      </c>
      <c r="D2221" s="13" t="str">
        <f>IF(RIGHT(A2221,3)="000",C2221,VLOOKUP(B2221,'Справочник ИХ'!A:C,3,0))</f>
        <v>Остальные грузы</v>
      </c>
      <c r="E2221" s="13">
        <f>IF(RIGHT(A2221,3)="000","х",VLOOKUP(B2221,'Справочник ИХ'!A:D,4,0))</f>
        <v>3</v>
      </c>
      <c r="F2221" s="14" t="s">
        <v>3024</v>
      </c>
    </row>
    <row r="2222" spans="1:6">
      <c r="A2222" s="19">
        <v>41604</v>
      </c>
      <c r="B2222" s="12" t="str">
        <f t="shared" si="34"/>
        <v>416</v>
      </c>
      <c r="C2222" s="1" t="s">
        <v>3181</v>
      </c>
      <c r="D2222" s="13" t="str">
        <f>IF(RIGHT(A2222,3)="000",C2222,VLOOKUP(B2222,'Справочник ИХ'!A:C,3,0))</f>
        <v>Остальные грузы</v>
      </c>
      <c r="E2222" s="13">
        <f>IF(RIGHT(A2222,3)="000","х",VLOOKUP(B2222,'Справочник ИХ'!A:D,4,0))</f>
        <v>3</v>
      </c>
      <c r="F2222" s="14" t="s">
        <v>3024</v>
      </c>
    </row>
    <row r="2223" spans="1:6">
      <c r="A2223" s="19">
        <v>41605</v>
      </c>
      <c r="B2223" s="12" t="str">
        <f t="shared" si="34"/>
        <v>416</v>
      </c>
      <c r="C2223" s="1" t="s">
        <v>3182</v>
      </c>
      <c r="D2223" s="13" t="str">
        <f>IF(RIGHT(A2223,3)="000",C2223,VLOOKUP(B2223,'Справочник ИХ'!A:C,3,0))</f>
        <v>Остальные грузы</v>
      </c>
      <c r="E2223" s="13">
        <f>IF(RIGHT(A2223,3)="000","х",VLOOKUP(B2223,'Справочник ИХ'!A:D,4,0))</f>
        <v>3</v>
      </c>
      <c r="F2223" s="14" t="s">
        <v>3024</v>
      </c>
    </row>
    <row r="2224" spans="1:6">
      <c r="A2224" s="19">
        <v>41606</v>
      </c>
      <c r="B2224" s="12" t="str">
        <f t="shared" si="34"/>
        <v>416</v>
      </c>
      <c r="C2224" s="1" t="s">
        <v>3183</v>
      </c>
      <c r="D2224" s="13" t="str">
        <f>IF(RIGHT(A2224,3)="000",C2224,VLOOKUP(B2224,'Справочник ИХ'!A:C,3,0))</f>
        <v>Остальные грузы</v>
      </c>
      <c r="E2224" s="13">
        <f>IF(RIGHT(A2224,3)="000","х",VLOOKUP(B2224,'Справочник ИХ'!A:D,4,0))</f>
        <v>3</v>
      </c>
      <c r="F2224" s="14" t="s">
        <v>3024</v>
      </c>
    </row>
    <row r="2225" spans="1:6">
      <c r="A2225" s="19">
        <v>41607</v>
      </c>
      <c r="B2225" s="12" t="str">
        <f t="shared" si="34"/>
        <v>416</v>
      </c>
      <c r="C2225" s="1" t="s">
        <v>3184</v>
      </c>
      <c r="D2225" s="13" t="str">
        <f>IF(RIGHT(A2225,3)="000",C2225,VLOOKUP(B2225,'Справочник ИХ'!A:C,3,0))</f>
        <v>Остальные грузы</v>
      </c>
      <c r="E2225" s="13">
        <f>IF(RIGHT(A2225,3)="000","х",VLOOKUP(B2225,'Справочник ИХ'!A:D,4,0))</f>
        <v>3</v>
      </c>
      <c r="F2225" s="14" t="s">
        <v>3024</v>
      </c>
    </row>
    <row r="2226" spans="1:6">
      <c r="A2226" s="19">
        <v>41608</v>
      </c>
      <c r="B2226" s="12" t="str">
        <f t="shared" si="34"/>
        <v>416</v>
      </c>
      <c r="C2226" s="1" t="s">
        <v>3185</v>
      </c>
      <c r="D2226" s="13" t="str">
        <f>IF(RIGHT(A2226,3)="000",C2226,VLOOKUP(B2226,'Справочник ИХ'!A:C,3,0))</f>
        <v>Остальные грузы</v>
      </c>
      <c r="E2226" s="13">
        <f>IF(RIGHT(A2226,3)="000","х",VLOOKUP(B2226,'Справочник ИХ'!A:D,4,0))</f>
        <v>3</v>
      </c>
      <c r="F2226" s="14" t="s">
        <v>3024</v>
      </c>
    </row>
    <row r="2227" spans="1:6">
      <c r="A2227" s="19">
        <v>41609</v>
      </c>
      <c r="B2227" s="12" t="str">
        <f t="shared" si="34"/>
        <v>416</v>
      </c>
      <c r="C2227" s="1" t="s">
        <v>3186</v>
      </c>
      <c r="D2227" s="13" t="str">
        <f>IF(RIGHT(A2227,3)="000",C2227,VLOOKUP(B2227,'Справочник ИХ'!A:C,3,0))</f>
        <v>Остальные грузы</v>
      </c>
      <c r="E2227" s="13">
        <f>IF(RIGHT(A2227,3)="000","х",VLOOKUP(B2227,'Справочник ИХ'!A:D,4,0))</f>
        <v>3</v>
      </c>
      <c r="F2227" s="14" t="s">
        <v>3024</v>
      </c>
    </row>
    <row r="2228" spans="1:6">
      <c r="A2228" s="19">
        <v>41610</v>
      </c>
      <c r="B2228" s="12" t="str">
        <f t="shared" si="34"/>
        <v>416</v>
      </c>
      <c r="C2228" s="1" t="s">
        <v>3187</v>
      </c>
      <c r="D2228" s="13" t="str">
        <f>IF(RIGHT(A2228,3)="000",C2228,VLOOKUP(B2228,'Справочник ИХ'!A:C,3,0))</f>
        <v>Остальные грузы</v>
      </c>
      <c r="E2228" s="13">
        <f>IF(RIGHT(A2228,3)="000","х",VLOOKUP(B2228,'Справочник ИХ'!A:D,4,0))</f>
        <v>3</v>
      </c>
      <c r="F2228" s="14" t="s">
        <v>3024</v>
      </c>
    </row>
    <row r="2229" spans="1:6">
      <c r="A2229" s="19">
        <v>41611</v>
      </c>
      <c r="B2229" s="12" t="str">
        <f t="shared" si="34"/>
        <v>416</v>
      </c>
      <c r="C2229" s="1" t="s">
        <v>3188</v>
      </c>
      <c r="D2229" s="13" t="str">
        <f>IF(RIGHT(A2229,3)="000",C2229,VLOOKUP(B2229,'Справочник ИХ'!A:C,3,0))</f>
        <v>Остальные грузы</v>
      </c>
      <c r="E2229" s="13">
        <f>IF(RIGHT(A2229,3)="000","х",VLOOKUP(B2229,'Справочник ИХ'!A:D,4,0))</f>
        <v>3</v>
      </c>
      <c r="F2229" s="14" t="s">
        <v>3024</v>
      </c>
    </row>
    <row r="2230" spans="1:6">
      <c r="A2230" s="19">
        <v>41612</v>
      </c>
      <c r="B2230" s="12" t="str">
        <f t="shared" si="34"/>
        <v>416</v>
      </c>
      <c r="C2230" s="1" t="s">
        <v>3189</v>
      </c>
      <c r="D2230" s="13" t="str">
        <f>IF(RIGHT(A2230,3)="000",C2230,VLOOKUP(B2230,'Справочник ИХ'!A:C,3,0))</f>
        <v>Остальные грузы</v>
      </c>
      <c r="E2230" s="13">
        <f>IF(RIGHT(A2230,3)="000","х",VLOOKUP(B2230,'Справочник ИХ'!A:D,4,0))</f>
        <v>3</v>
      </c>
      <c r="F2230" s="14" t="s">
        <v>3024</v>
      </c>
    </row>
    <row r="2231" spans="1:6" ht="31.75">
      <c r="A2231" s="19">
        <v>41613</v>
      </c>
      <c r="B2231" s="12" t="str">
        <f t="shared" si="34"/>
        <v>416</v>
      </c>
      <c r="C2231" s="1" t="s">
        <v>3190</v>
      </c>
      <c r="D2231" s="13" t="str">
        <f>IF(RIGHT(A2231,3)="000",C2231,VLOOKUP(B2231,'Справочник ИХ'!A:C,3,0))</f>
        <v>Остальные грузы</v>
      </c>
      <c r="E2231" s="13">
        <f>IF(RIGHT(A2231,3)="000","х",VLOOKUP(B2231,'Справочник ИХ'!A:D,4,0))</f>
        <v>3</v>
      </c>
      <c r="F2231" s="14" t="s">
        <v>3024</v>
      </c>
    </row>
    <row r="2232" spans="1:6">
      <c r="A2232" s="19">
        <v>41614</v>
      </c>
      <c r="B2232" s="12" t="str">
        <f t="shared" si="34"/>
        <v>416</v>
      </c>
      <c r="C2232" s="1" t="s">
        <v>3191</v>
      </c>
      <c r="D2232" s="13" t="str">
        <f>IF(RIGHT(A2232,3)="000",C2232,VLOOKUP(B2232,'Справочник ИХ'!A:C,3,0))</f>
        <v>Остальные грузы</v>
      </c>
      <c r="E2232" s="13">
        <f>IF(RIGHT(A2232,3)="000","х",VLOOKUP(B2232,'Справочник ИХ'!A:D,4,0))</f>
        <v>3</v>
      </c>
      <c r="F2232" s="14" t="s">
        <v>3024</v>
      </c>
    </row>
    <row r="2233" spans="1:6">
      <c r="A2233" s="19">
        <v>41615</v>
      </c>
      <c r="B2233" s="12" t="str">
        <f t="shared" si="34"/>
        <v>416</v>
      </c>
      <c r="C2233" s="1" t="s">
        <v>3192</v>
      </c>
      <c r="D2233" s="13" t="str">
        <f>IF(RIGHT(A2233,3)="000",C2233,VLOOKUP(B2233,'Справочник ИХ'!A:C,3,0))</f>
        <v>Остальные грузы</v>
      </c>
      <c r="E2233" s="13">
        <f>IF(RIGHT(A2233,3)="000","х",VLOOKUP(B2233,'Справочник ИХ'!A:D,4,0))</f>
        <v>3</v>
      </c>
      <c r="F2233" s="14" t="s">
        <v>3024</v>
      </c>
    </row>
    <row r="2234" spans="1:6">
      <c r="A2234" s="19">
        <v>41616</v>
      </c>
      <c r="B2234" s="12" t="str">
        <f t="shared" si="34"/>
        <v>416</v>
      </c>
      <c r="C2234" s="1" t="s">
        <v>3193</v>
      </c>
      <c r="D2234" s="13" t="str">
        <f>IF(RIGHT(A2234,3)="000",C2234,VLOOKUP(B2234,'Справочник ИХ'!A:C,3,0))</f>
        <v>Остальные грузы</v>
      </c>
      <c r="E2234" s="13">
        <f>IF(RIGHT(A2234,3)="000","х",VLOOKUP(B2234,'Справочник ИХ'!A:D,4,0))</f>
        <v>3</v>
      </c>
      <c r="F2234" s="14" t="s">
        <v>3024</v>
      </c>
    </row>
    <row r="2235" spans="1:6">
      <c r="A2235" s="19">
        <v>41617</v>
      </c>
      <c r="B2235" s="12" t="str">
        <f t="shared" si="34"/>
        <v>416</v>
      </c>
      <c r="C2235" s="1" t="s">
        <v>3194</v>
      </c>
      <c r="D2235" s="13" t="str">
        <f>IF(RIGHT(A2235,3)="000",C2235,VLOOKUP(B2235,'Справочник ИХ'!A:C,3,0))</f>
        <v>Остальные грузы</v>
      </c>
      <c r="E2235" s="13">
        <f>IF(RIGHT(A2235,3)="000","х",VLOOKUP(B2235,'Справочник ИХ'!A:D,4,0))</f>
        <v>3</v>
      </c>
      <c r="F2235" s="14" t="s">
        <v>3024</v>
      </c>
    </row>
    <row r="2236" spans="1:6">
      <c r="A2236" s="19">
        <v>41618</v>
      </c>
      <c r="B2236" s="12" t="str">
        <f t="shared" si="34"/>
        <v>416</v>
      </c>
      <c r="C2236" s="1" t="s">
        <v>3195</v>
      </c>
      <c r="D2236" s="13" t="str">
        <f>IF(RIGHT(A2236,3)="000",C2236,VLOOKUP(B2236,'Справочник ИХ'!A:C,3,0))</f>
        <v>Остальные грузы</v>
      </c>
      <c r="E2236" s="13">
        <f>IF(RIGHT(A2236,3)="000","х",VLOOKUP(B2236,'Справочник ИХ'!A:D,4,0))</f>
        <v>3</v>
      </c>
      <c r="F2236" s="14" t="s">
        <v>3024</v>
      </c>
    </row>
    <row r="2237" spans="1:6">
      <c r="A2237" s="19">
        <v>41619</v>
      </c>
      <c r="B2237" s="12" t="str">
        <f t="shared" si="34"/>
        <v>416</v>
      </c>
      <c r="C2237" s="1" t="s">
        <v>3196</v>
      </c>
      <c r="D2237" s="13" t="str">
        <f>IF(RIGHT(A2237,3)="000",C2237,VLOOKUP(B2237,'Справочник ИХ'!A:C,3,0))</f>
        <v>Остальные грузы</v>
      </c>
      <c r="E2237" s="13">
        <f>IF(RIGHT(A2237,3)="000","х",VLOOKUP(B2237,'Справочник ИХ'!A:D,4,0))</f>
        <v>3</v>
      </c>
      <c r="F2237" s="14" t="s">
        <v>3024</v>
      </c>
    </row>
    <row r="2238" spans="1:6">
      <c r="A2238" s="19">
        <v>41620</v>
      </c>
      <c r="B2238" s="12" t="str">
        <f t="shared" si="34"/>
        <v>416</v>
      </c>
      <c r="C2238" s="1" t="s">
        <v>3197</v>
      </c>
      <c r="D2238" s="13" t="str">
        <f>IF(RIGHT(A2238,3)="000",C2238,VLOOKUP(B2238,'Справочник ИХ'!A:C,3,0))</f>
        <v>Остальные грузы</v>
      </c>
      <c r="E2238" s="13">
        <f>IF(RIGHT(A2238,3)="000","х",VLOOKUP(B2238,'Справочник ИХ'!A:D,4,0))</f>
        <v>3</v>
      </c>
      <c r="F2238" s="14" t="s">
        <v>3024</v>
      </c>
    </row>
    <row r="2239" spans="1:6">
      <c r="A2239" s="19">
        <v>41621</v>
      </c>
      <c r="B2239" s="12" t="str">
        <f t="shared" si="34"/>
        <v>416</v>
      </c>
      <c r="C2239" s="1" t="s">
        <v>3198</v>
      </c>
      <c r="D2239" s="13" t="str">
        <f>IF(RIGHT(A2239,3)="000",C2239,VLOOKUP(B2239,'Справочник ИХ'!A:C,3,0))</f>
        <v>Остальные грузы</v>
      </c>
      <c r="E2239" s="13">
        <f>IF(RIGHT(A2239,3)="000","х",VLOOKUP(B2239,'Справочник ИХ'!A:D,4,0))</f>
        <v>3</v>
      </c>
      <c r="F2239" s="14" t="s">
        <v>3024</v>
      </c>
    </row>
    <row r="2240" spans="1:6">
      <c r="A2240" s="19">
        <v>41622</v>
      </c>
      <c r="B2240" s="12" t="str">
        <f t="shared" si="34"/>
        <v>416</v>
      </c>
      <c r="C2240" s="1" t="s">
        <v>3199</v>
      </c>
      <c r="D2240" s="13" t="str">
        <f>IF(RIGHT(A2240,3)="000",C2240,VLOOKUP(B2240,'Справочник ИХ'!A:C,3,0))</f>
        <v>Остальные грузы</v>
      </c>
      <c r="E2240" s="13">
        <f>IF(RIGHT(A2240,3)="000","х",VLOOKUP(B2240,'Справочник ИХ'!A:D,4,0))</f>
        <v>3</v>
      </c>
      <c r="F2240" s="14" t="s">
        <v>3024</v>
      </c>
    </row>
    <row r="2241" spans="1:6">
      <c r="A2241" s="19">
        <v>41623</v>
      </c>
      <c r="B2241" s="12" t="str">
        <f t="shared" si="34"/>
        <v>416</v>
      </c>
      <c r="C2241" s="1" t="s">
        <v>3200</v>
      </c>
      <c r="D2241" s="13" t="str">
        <f>IF(RIGHT(A2241,3)="000",C2241,VLOOKUP(B2241,'Справочник ИХ'!A:C,3,0))</f>
        <v>Остальные грузы</v>
      </c>
      <c r="E2241" s="13">
        <f>IF(RIGHT(A2241,3)="000","х",VLOOKUP(B2241,'Справочник ИХ'!A:D,4,0))</f>
        <v>3</v>
      </c>
      <c r="F2241" s="14" t="s">
        <v>3024</v>
      </c>
    </row>
    <row r="2242" spans="1:6">
      <c r="A2242" s="19">
        <v>41624</v>
      </c>
      <c r="B2242" s="12" t="str">
        <f t="shared" si="34"/>
        <v>416</v>
      </c>
      <c r="C2242" s="1" t="s">
        <v>3201</v>
      </c>
      <c r="D2242" s="13" t="str">
        <f>IF(RIGHT(A2242,3)="000",C2242,VLOOKUP(B2242,'Справочник ИХ'!A:C,3,0))</f>
        <v>Остальные грузы</v>
      </c>
      <c r="E2242" s="13">
        <f>IF(RIGHT(A2242,3)="000","х",VLOOKUP(B2242,'Справочник ИХ'!A:D,4,0))</f>
        <v>3</v>
      </c>
      <c r="F2242" s="14" t="s">
        <v>3024</v>
      </c>
    </row>
    <row r="2243" spans="1:6">
      <c r="A2243" s="19">
        <v>41625</v>
      </c>
      <c r="B2243" s="12" t="str">
        <f t="shared" si="34"/>
        <v>416</v>
      </c>
      <c r="C2243" s="1" t="s">
        <v>3202</v>
      </c>
      <c r="D2243" s="13" t="str">
        <f>IF(RIGHT(A2243,3)="000",C2243,VLOOKUP(B2243,'Справочник ИХ'!A:C,3,0))</f>
        <v>Остальные грузы</v>
      </c>
      <c r="E2243" s="13">
        <f>IF(RIGHT(A2243,3)="000","х",VLOOKUP(B2243,'Справочник ИХ'!A:D,4,0))</f>
        <v>3</v>
      </c>
      <c r="F2243" s="14" t="s">
        <v>3024</v>
      </c>
    </row>
    <row r="2244" spans="1:6" ht="31.75">
      <c r="A2244" s="19">
        <v>41626</v>
      </c>
      <c r="B2244" s="12" t="str">
        <f t="shared" ref="B2244:B2307" si="35">LEFT(A2244,3)</f>
        <v>416</v>
      </c>
      <c r="C2244" s="1" t="s">
        <v>3203</v>
      </c>
      <c r="D2244" s="13" t="str">
        <f>IF(RIGHT(A2244,3)="000",C2244,VLOOKUP(B2244,'Справочник ИХ'!A:C,3,0))</f>
        <v>Остальные грузы</v>
      </c>
      <c r="E2244" s="13">
        <f>IF(RIGHT(A2244,3)="000","х",VLOOKUP(B2244,'Справочник ИХ'!A:D,4,0))</f>
        <v>3</v>
      </c>
      <c r="F2244" s="14" t="s">
        <v>3024</v>
      </c>
    </row>
    <row r="2245" spans="1:6">
      <c r="A2245" s="19">
        <v>41627</v>
      </c>
      <c r="B2245" s="12" t="str">
        <f t="shared" si="35"/>
        <v>416</v>
      </c>
      <c r="C2245" s="1" t="s">
        <v>3204</v>
      </c>
      <c r="D2245" s="13" t="str">
        <f>IF(RIGHT(A2245,3)="000",C2245,VLOOKUP(B2245,'Справочник ИХ'!A:C,3,0))</f>
        <v>Остальные грузы</v>
      </c>
      <c r="E2245" s="13">
        <f>IF(RIGHT(A2245,3)="000","х",VLOOKUP(B2245,'Справочник ИХ'!A:D,4,0))</f>
        <v>3</v>
      </c>
      <c r="F2245" s="14" t="s">
        <v>3024</v>
      </c>
    </row>
    <row r="2246" spans="1:6">
      <c r="A2246" s="19">
        <v>41628</v>
      </c>
      <c r="B2246" s="12" t="str">
        <f t="shared" si="35"/>
        <v>416</v>
      </c>
      <c r="C2246" s="1" t="s">
        <v>3205</v>
      </c>
      <c r="D2246" s="13" t="str">
        <f>IF(RIGHT(A2246,3)="000",C2246,VLOOKUP(B2246,'Справочник ИХ'!A:C,3,0))</f>
        <v>Остальные грузы</v>
      </c>
      <c r="E2246" s="13">
        <f>IF(RIGHT(A2246,3)="000","х",VLOOKUP(B2246,'Справочник ИХ'!A:D,4,0))</f>
        <v>3</v>
      </c>
      <c r="F2246" s="14" t="s">
        <v>3024</v>
      </c>
    </row>
    <row r="2247" spans="1:6" ht="31.75">
      <c r="A2247" s="19">
        <v>41629</v>
      </c>
      <c r="B2247" s="12" t="str">
        <f t="shared" si="35"/>
        <v>416</v>
      </c>
      <c r="C2247" s="1" t="s">
        <v>3206</v>
      </c>
      <c r="D2247" s="13" t="str">
        <f>IF(RIGHT(A2247,3)="000",C2247,VLOOKUP(B2247,'Справочник ИХ'!A:C,3,0))</f>
        <v>Остальные грузы</v>
      </c>
      <c r="E2247" s="13">
        <f>IF(RIGHT(A2247,3)="000","х",VLOOKUP(B2247,'Справочник ИХ'!A:D,4,0))</f>
        <v>3</v>
      </c>
      <c r="F2247" s="14" t="s">
        <v>3024</v>
      </c>
    </row>
    <row r="2248" spans="1:6">
      <c r="A2248" s="19">
        <v>41630</v>
      </c>
      <c r="B2248" s="12" t="str">
        <f t="shared" si="35"/>
        <v>416</v>
      </c>
      <c r="C2248" s="1" t="s">
        <v>3207</v>
      </c>
      <c r="D2248" s="13" t="str">
        <f>IF(RIGHT(A2248,3)="000",C2248,VLOOKUP(B2248,'Справочник ИХ'!A:C,3,0))</f>
        <v>Остальные грузы</v>
      </c>
      <c r="E2248" s="13">
        <f>IF(RIGHT(A2248,3)="000","х",VLOOKUP(B2248,'Справочник ИХ'!A:D,4,0))</f>
        <v>3</v>
      </c>
      <c r="F2248" s="14" t="s">
        <v>3024</v>
      </c>
    </row>
    <row r="2249" spans="1:6">
      <c r="A2249" s="19">
        <v>41631</v>
      </c>
      <c r="B2249" s="12" t="str">
        <f t="shared" si="35"/>
        <v>416</v>
      </c>
      <c r="C2249" s="1" t="s">
        <v>3208</v>
      </c>
      <c r="D2249" s="13" t="str">
        <f>IF(RIGHT(A2249,3)="000",C2249,VLOOKUP(B2249,'Справочник ИХ'!A:C,3,0))</f>
        <v>Остальные грузы</v>
      </c>
      <c r="E2249" s="13">
        <f>IF(RIGHT(A2249,3)="000","х",VLOOKUP(B2249,'Справочник ИХ'!A:D,4,0))</f>
        <v>3</v>
      </c>
      <c r="F2249" s="14" t="s">
        <v>3024</v>
      </c>
    </row>
    <row r="2250" spans="1:6">
      <c r="A2250" s="19">
        <v>41632</v>
      </c>
      <c r="B2250" s="12" t="str">
        <f t="shared" si="35"/>
        <v>416</v>
      </c>
      <c r="C2250" s="1" t="s">
        <v>3209</v>
      </c>
      <c r="D2250" s="13" t="str">
        <f>IF(RIGHT(A2250,3)="000",C2250,VLOOKUP(B2250,'Справочник ИХ'!A:C,3,0))</f>
        <v>Остальные грузы</v>
      </c>
      <c r="E2250" s="13">
        <f>IF(RIGHT(A2250,3)="000","х",VLOOKUP(B2250,'Справочник ИХ'!A:D,4,0))</f>
        <v>3</v>
      </c>
      <c r="F2250" s="14" t="s">
        <v>3024</v>
      </c>
    </row>
    <row r="2251" spans="1:6">
      <c r="A2251" s="19">
        <v>41633</v>
      </c>
      <c r="B2251" s="12" t="str">
        <f t="shared" si="35"/>
        <v>416</v>
      </c>
      <c r="C2251" s="1" t="s">
        <v>3210</v>
      </c>
      <c r="D2251" s="13" t="str">
        <f>IF(RIGHT(A2251,3)="000",C2251,VLOOKUP(B2251,'Справочник ИХ'!A:C,3,0))</f>
        <v>Остальные грузы</v>
      </c>
      <c r="E2251" s="13">
        <f>IF(RIGHT(A2251,3)="000","х",VLOOKUP(B2251,'Справочник ИХ'!A:D,4,0))</f>
        <v>3</v>
      </c>
      <c r="F2251" s="14" t="s">
        <v>3024</v>
      </c>
    </row>
    <row r="2252" spans="1:6">
      <c r="A2252" s="19">
        <v>41634</v>
      </c>
      <c r="B2252" s="12" t="str">
        <f t="shared" si="35"/>
        <v>416</v>
      </c>
      <c r="C2252" s="1" t="s">
        <v>3211</v>
      </c>
      <c r="D2252" s="13" t="str">
        <f>IF(RIGHT(A2252,3)="000",C2252,VLOOKUP(B2252,'Справочник ИХ'!A:C,3,0))</f>
        <v>Остальные грузы</v>
      </c>
      <c r="E2252" s="13">
        <f>IF(RIGHT(A2252,3)="000","х",VLOOKUP(B2252,'Справочник ИХ'!A:D,4,0))</f>
        <v>3</v>
      </c>
      <c r="F2252" s="14" t="s">
        <v>3024</v>
      </c>
    </row>
    <row r="2253" spans="1:6">
      <c r="A2253" s="19">
        <v>41635</v>
      </c>
      <c r="B2253" s="12" t="str">
        <f t="shared" si="35"/>
        <v>416</v>
      </c>
      <c r="C2253" s="1" t="s">
        <v>3212</v>
      </c>
      <c r="D2253" s="13" t="str">
        <f>IF(RIGHT(A2253,3)="000",C2253,VLOOKUP(B2253,'Справочник ИХ'!A:C,3,0))</f>
        <v>Остальные грузы</v>
      </c>
      <c r="E2253" s="13">
        <f>IF(RIGHT(A2253,3)="000","х",VLOOKUP(B2253,'Справочник ИХ'!A:D,4,0))</f>
        <v>3</v>
      </c>
      <c r="F2253" s="14" t="s">
        <v>3024</v>
      </c>
    </row>
    <row r="2254" spans="1:6" s="18" customFormat="1">
      <c r="A2254" s="16">
        <v>41700</v>
      </c>
      <c r="B2254" s="12" t="str">
        <f t="shared" si="35"/>
        <v>417</v>
      </c>
      <c r="C2254" s="17" t="s">
        <v>3213</v>
      </c>
      <c r="D2254" s="13" t="str">
        <f>IF(RIGHT(A2254,3)="000",C2254,VLOOKUP(B2254,'Справочник ИХ'!A:C,3,0))</f>
        <v>Остальные грузы</v>
      </c>
      <c r="E2254" s="13">
        <f>IF(RIGHT(A2254,3)="000","х",VLOOKUP(B2254,'Справочник ИХ'!A:D,4,0))</f>
        <v>3</v>
      </c>
      <c r="F2254" s="14" t="s">
        <v>3024</v>
      </c>
    </row>
    <row r="2255" spans="1:6">
      <c r="A2255" s="19">
        <v>41701</v>
      </c>
      <c r="B2255" s="12" t="str">
        <f t="shared" si="35"/>
        <v>417</v>
      </c>
      <c r="C2255" s="1" t="s">
        <v>3214</v>
      </c>
      <c r="D2255" s="13" t="str">
        <f>IF(RIGHT(A2255,3)="000",C2255,VLOOKUP(B2255,'Справочник ИХ'!A:C,3,0))</f>
        <v>Остальные грузы</v>
      </c>
      <c r="E2255" s="13">
        <f>IF(RIGHT(A2255,3)="000","х",VLOOKUP(B2255,'Справочник ИХ'!A:D,4,0))</f>
        <v>3</v>
      </c>
      <c r="F2255" s="14" t="s">
        <v>3024</v>
      </c>
    </row>
    <row r="2256" spans="1:6">
      <c r="A2256" s="19">
        <v>41702</v>
      </c>
      <c r="B2256" s="12" t="str">
        <f t="shared" si="35"/>
        <v>417</v>
      </c>
      <c r="C2256" s="1" t="s">
        <v>3215</v>
      </c>
      <c r="D2256" s="13" t="str">
        <f>IF(RIGHT(A2256,3)="000",C2256,VLOOKUP(B2256,'Справочник ИХ'!A:C,3,0))</f>
        <v>Остальные грузы</v>
      </c>
      <c r="E2256" s="13">
        <f>IF(RIGHT(A2256,3)="000","х",VLOOKUP(B2256,'Справочник ИХ'!A:D,4,0))</f>
        <v>3</v>
      </c>
      <c r="F2256" s="14" t="s">
        <v>3024</v>
      </c>
    </row>
    <row r="2257" spans="1:6">
      <c r="A2257" s="19">
        <v>41703</v>
      </c>
      <c r="B2257" s="12" t="str">
        <f t="shared" si="35"/>
        <v>417</v>
      </c>
      <c r="C2257" s="1" t="s">
        <v>3216</v>
      </c>
      <c r="D2257" s="13" t="str">
        <f>IF(RIGHT(A2257,3)="000",C2257,VLOOKUP(B2257,'Справочник ИХ'!A:C,3,0))</f>
        <v>Остальные грузы</v>
      </c>
      <c r="E2257" s="13">
        <f>IF(RIGHT(A2257,3)="000","х",VLOOKUP(B2257,'Справочник ИХ'!A:D,4,0))</f>
        <v>3</v>
      </c>
      <c r="F2257" s="14" t="s">
        <v>3024</v>
      </c>
    </row>
    <row r="2258" spans="1:6">
      <c r="A2258" s="19">
        <v>41704</v>
      </c>
      <c r="B2258" s="12" t="str">
        <f t="shared" si="35"/>
        <v>417</v>
      </c>
      <c r="C2258" s="1" t="s">
        <v>3217</v>
      </c>
      <c r="D2258" s="13" t="str">
        <f>IF(RIGHT(A2258,3)="000",C2258,VLOOKUP(B2258,'Справочник ИХ'!A:C,3,0))</f>
        <v>Остальные грузы</v>
      </c>
      <c r="E2258" s="13">
        <f>IF(RIGHT(A2258,3)="000","х",VLOOKUP(B2258,'Справочник ИХ'!A:D,4,0))</f>
        <v>3</v>
      </c>
      <c r="F2258" s="14" t="s">
        <v>3024</v>
      </c>
    </row>
    <row r="2259" spans="1:6">
      <c r="A2259" s="19">
        <v>41705</v>
      </c>
      <c r="B2259" s="12" t="str">
        <f t="shared" si="35"/>
        <v>417</v>
      </c>
      <c r="C2259" s="1" t="s">
        <v>3218</v>
      </c>
      <c r="D2259" s="13" t="str">
        <f>IF(RIGHT(A2259,3)="000",C2259,VLOOKUP(B2259,'Справочник ИХ'!A:C,3,0))</f>
        <v>Остальные грузы</v>
      </c>
      <c r="E2259" s="13">
        <f>IF(RIGHT(A2259,3)="000","х",VLOOKUP(B2259,'Справочник ИХ'!A:D,4,0))</f>
        <v>3</v>
      </c>
      <c r="F2259" s="14" t="s">
        <v>3024</v>
      </c>
    </row>
    <row r="2260" spans="1:6">
      <c r="A2260" s="19">
        <v>41706</v>
      </c>
      <c r="B2260" s="12" t="str">
        <f t="shared" si="35"/>
        <v>417</v>
      </c>
      <c r="C2260" s="1" t="s">
        <v>3219</v>
      </c>
      <c r="D2260" s="13" t="str">
        <f>IF(RIGHT(A2260,3)="000",C2260,VLOOKUP(B2260,'Справочник ИХ'!A:C,3,0))</f>
        <v>Остальные грузы</v>
      </c>
      <c r="E2260" s="13">
        <f>IF(RIGHT(A2260,3)="000","х",VLOOKUP(B2260,'Справочник ИХ'!A:D,4,0))</f>
        <v>3</v>
      </c>
      <c r="F2260" s="14" t="s">
        <v>3024</v>
      </c>
    </row>
    <row r="2261" spans="1:6" s="18" customFormat="1">
      <c r="A2261" s="16">
        <v>41800</v>
      </c>
      <c r="B2261" s="12" t="str">
        <f t="shared" si="35"/>
        <v>418</v>
      </c>
      <c r="C2261" s="17" t="s">
        <v>3220</v>
      </c>
      <c r="D2261" s="13" t="str">
        <f>IF(RIGHT(A2261,3)="000",C2261,VLOOKUP(B2261,'Справочник ИХ'!A:C,3,0))</f>
        <v>Остальные грузы</v>
      </c>
      <c r="E2261" s="13">
        <f>IF(RIGHT(A2261,3)="000","х",VLOOKUP(B2261,'Справочник ИХ'!A:D,4,0))</f>
        <v>3</v>
      </c>
      <c r="F2261" s="14" t="s">
        <v>3024</v>
      </c>
    </row>
    <row r="2262" spans="1:6">
      <c r="A2262" s="19">
        <v>41801</v>
      </c>
      <c r="B2262" s="12" t="str">
        <f t="shared" si="35"/>
        <v>418</v>
      </c>
      <c r="C2262" s="1" t="s">
        <v>3221</v>
      </c>
      <c r="D2262" s="13" t="str">
        <f>IF(RIGHT(A2262,3)="000",C2262,VLOOKUP(B2262,'Справочник ИХ'!A:C,3,0))</f>
        <v>Остальные грузы</v>
      </c>
      <c r="E2262" s="13">
        <f>IF(RIGHT(A2262,3)="000","х",VLOOKUP(B2262,'Справочник ИХ'!A:D,4,0))</f>
        <v>3</v>
      </c>
      <c r="F2262" s="14" t="s">
        <v>3024</v>
      </c>
    </row>
    <row r="2263" spans="1:6" ht="31.75">
      <c r="A2263" s="19">
        <v>41802</v>
      </c>
      <c r="B2263" s="12" t="str">
        <f t="shared" si="35"/>
        <v>418</v>
      </c>
      <c r="C2263" s="1" t="s">
        <v>3222</v>
      </c>
      <c r="D2263" s="13" t="str">
        <f>IF(RIGHT(A2263,3)="000",C2263,VLOOKUP(B2263,'Справочник ИХ'!A:C,3,0))</f>
        <v>Остальные грузы</v>
      </c>
      <c r="E2263" s="13">
        <f>IF(RIGHT(A2263,3)="000","х",VLOOKUP(B2263,'Справочник ИХ'!A:D,4,0))</f>
        <v>3</v>
      </c>
      <c r="F2263" s="14" t="s">
        <v>3024</v>
      </c>
    </row>
    <row r="2264" spans="1:6">
      <c r="A2264" s="19">
        <v>41803</v>
      </c>
      <c r="B2264" s="12" t="str">
        <f t="shared" si="35"/>
        <v>418</v>
      </c>
      <c r="C2264" s="1" t="s">
        <v>3223</v>
      </c>
      <c r="D2264" s="13" t="str">
        <f>IF(RIGHT(A2264,3)="000",C2264,VLOOKUP(B2264,'Справочник ИХ'!A:C,3,0))</f>
        <v>Остальные грузы</v>
      </c>
      <c r="E2264" s="13">
        <f>IF(RIGHT(A2264,3)="000","х",VLOOKUP(B2264,'Справочник ИХ'!A:D,4,0))</f>
        <v>3</v>
      </c>
      <c r="F2264" s="14" t="s">
        <v>3024</v>
      </c>
    </row>
    <row r="2265" spans="1:6" s="15" customFormat="1" ht="79.3">
      <c r="A2265" s="7">
        <v>42000</v>
      </c>
      <c r="B2265" s="12" t="str">
        <f t="shared" si="35"/>
        <v>420</v>
      </c>
      <c r="C2265" s="11" t="s">
        <v>3224</v>
      </c>
      <c r="D2265" s="13" t="str">
        <f>IF(RIGHT(A2265,3)="000",C2265,VLOOKUP(B2265,'Справочник ИХ'!A:C,3,0))</f>
        <v xml:space="preserve">Рельсовый подвижной состав и краны грузоподъемные, перевозимые на своих осях </v>
      </c>
      <c r="E2265" s="13" t="str">
        <f>IF(RIGHT(A2265,3)="000","х",VLOOKUP(B2265,'Справочник ИХ'!A:D,4,0))</f>
        <v>х</v>
      </c>
      <c r="F2265" s="14" t="s">
        <v>3224</v>
      </c>
    </row>
    <row r="2266" spans="1:6" s="18" customFormat="1" ht="47.6">
      <c r="A2266" s="16">
        <v>42100</v>
      </c>
      <c r="B2266" s="12" t="str">
        <f t="shared" si="35"/>
        <v>421</v>
      </c>
      <c r="C2266" s="17" t="s">
        <v>3225</v>
      </c>
      <c r="D2266" s="13" t="str">
        <f>IF(RIGHT(A2266,3)="000",C2266,VLOOKUP(B2266,'Справочник ИХ'!A:C,3,0))</f>
        <v>Остальные грузы</v>
      </c>
      <c r="E2266" s="13">
        <f>IF(RIGHT(A2266,3)="000","х",VLOOKUP(B2266,'Справочник ИХ'!A:D,4,0))</f>
        <v>2</v>
      </c>
      <c r="F2266" s="14" t="s">
        <v>3224</v>
      </c>
    </row>
    <row r="2267" spans="1:6" ht="47.6">
      <c r="A2267" s="19">
        <v>42101</v>
      </c>
      <c r="B2267" s="12" t="str">
        <f t="shared" si="35"/>
        <v>421</v>
      </c>
      <c r="C2267" s="1" t="s">
        <v>3226</v>
      </c>
      <c r="D2267" s="13" t="str">
        <f>IF(RIGHT(A2267,3)="000",C2267,VLOOKUP(B2267,'Справочник ИХ'!A:C,3,0))</f>
        <v>Остальные грузы</v>
      </c>
      <c r="E2267" s="13">
        <f>IF(RIGHT(A2267,3)="000","х",VLOOKUP(B2267,'Справочник ИХ'!A:D,4,0))</f>
        <v>2</v>
      </c>
      <c r="F2267" s="14" t="s">
        <v>3224</v>
      </c>
    </row>
    <row r="2268" spans="1:6" ht="47.6">
      <c r="A2268" s="19">
        <v>42102</v>
      </c>
      <c r="B2268" s="12" t="str">
        <f t="shared" si="35"/>
        <v>421</v>
      </c>
      <c r="C2268" s="1" t="s">
        <v>3227</v>
      </c>
      <c r="D2268" s="13" t="str">
        <f>IF(RIGHT(A2268,3)="000",C2268,VLOOKUP(B2268,'Справочник ИХ'!A:C,3,0))</f>
        <v>Остальные грузы</v>
      </c>
      <c r="E2268" s="13">
        <f>IF(RIGHT(A2268,3)="000","х",VLOOKUP(B2268,'Справочник ИХ'!A:D,4,0))</f>
        <v>2</v>
      </c>
      <c r="F2268" s="14" t="s">
        <v>3224</v>
      </c>
    </row>
    <row r="2269" spans="1:6" ht="47.6">
      <c r="A2269" s="19">
        <v>42103</v>
      </c>
      <c r="B2269" s="12" t="str">
        <f t="shared" si="35"/>
        <v>421</v>
      </c>
      <c r="C2269" s="1" t="s">
        <v>3228</v>
      </c>
      <c r="D2269" s="13" t="str">
        <f>IF(RIGHT(A2269,3)="000",C2269,VLOOKUP(B2269,'Справочник ИХ'!A:C,3,0))</f>
        <v>Остальные грузы</v>
      </c>
      <c r="E2269" s="13">
        <f>IF(RIGHT(A2269,3)="000","х",VLOOKUP(B2269,'Справочник ИХ'!A:D,4,0))</f>
        <v>2</v>
      </c>
      <c r="F2269" s="14" t="s">
        <v>3224</v>
      </c>
    </row>
    <row r="2270" spans="1:6" ht="47.6">
      <c r="A2270" s="19">
        <v>42104</v>
      </c>
      <c r="B2270" s="12" t="str">
        <f t="shared" si="35"/>
        <v>421</v>
      </c>
      <c r="C2270" s="1" t="s">
        <v>3229</v>
      </c>
      <c r="D2270" s="13" t="str">
        <f>IF(RIGHT(A2270,3)="000",C2270,VLOOKUP(B2270,'Справочник ИХ'!A:C,3,0))</f>
        <v>Остальные грузы</v>
      </c>
      <c r="E2270" s="13">
        <f>IF(RIGHT(A2270,3)="000","х",VLOOKUP(B2270,'Справочник ИХ'!A:D,4,0))</f>
        <v>2</v>
      </c>
      <c r="F2270" s="14" t="s">
        <v>3224</v>
      </c>
    </row>
    <row r="2271" spans="1:6" ht="47.6">
      <c r="A2271" s="19">
        <v>42105</v>
      </c>
      <c r="B2271" s="12" t="str">
        <f t="shared" si="35"/>
        <v>421</v>
      </c>
      <c r="C2271" s="1" t="s">
        <v>3230</v>
      </c>
      <c r="D2271" s="13" t="str">
        <f>IF(RIGHT(A2271,3)="000",C2271,VLOOKUP(B2271,'Справочник ИХ'!A:C,3,0))</f>
        <v>Остальные грузы</v>
      </c>
      <c r="E2271" s="13">
        <f>IF(RIGHT(A2271,3)="000","х",VLOOKUP(B2271,'Справочник ИХ'!A:D,4,0))</f>
        <v>2</v>
      </c>
      <c r="F2271" s="14" t="s">
        <v>3224</v>
      </c>
    </row>
    <row r="2272" spans="1:6" ht="47.6">
      <c r="A2272" s="19">
        <v>42106</v>
      </c>
      <c r="B2272" s="12" t="str">
        <f t="shared" si="35"/>
        <v>421</v>
      </c>
      <c r="C2272" s="1" t="s">
        <v>3231</v>
      </c>
      <c r="D2272" s="13" t="str">
        <f>IF(RIGHT(A2272,3)="000",C2272,VLOOKUP(B2272,'Справочник ИХ'!A:C,3,0))</f>
        <v>Остальные грузы</v>
      </c>
      <c r="E2272" s="13">
        <f>IF(RIGHT(A2272,3)="000","х",VLOOKUP(B2272,'Справочник ИХ'!A:D,4,0))</f>
        <v>2</v>
      </c>
      <c r="F2272" s="14" t="s">
        <v>3224</v>
      </c>
    </row>
    <row r="2273" spans="1:6" ht="47.6">
      <c r="A2273" s="19">
        <v>42107</v>
      </c>
      <c r="B2273" s="12" t="str">
        <f t="shared" si="35"/>
        <v>421</v>
      </c>
      <c r="C2273" s="1" t="s">
        <v>3232</v>
      </c>
      <c r="D2273" s="13" t="str">
        <f>IF(RIGHT(A2273,3)="000",C2273,VLOOKUP(B2273,'Справочник ИХ'!A:C,3,0))</f>
        <v>Остальные грузы</v>
      </c>
      <c r="E2273" s="13">
        <f>IF(RIGHT(A2273,3)="000","х",VLOOKUP(B2273,'Справочник ИХ'!A:D,4,0))</f>
        <v>2</v>
      </c>
      <c r="F2273" s="14" t="s">
        <v>3224</v>
      </c>
    </row>
    <row r="2274" spans="1:6" ht="47.6">
      <c r="A2274" s="19">
        <v>42108</v>
      </c>
      <c r="B2274" s="12" t="str">
        <f t="shared" si="35"/>
        <v>421</v>
      </c>
      <c r="C2274" s="1" t="s">
        <v>3233</v>
      </c>
      <c r="D2274" s="13" t="str">
        <f>IF(RIGHT(A2274,3)="000",C2274,VLOOKUP(B2274,'Справочник ИХ'!A:C,3,0))</f>
        <v>Остальные грузы</v>
      </c>
      <c r="E2274" s="13">
        <f>IF(RIGHT(A2274,3)="000","х",VLOOKUP(B2274,'Справочник ИХ'!A:D,4,0))</f>
        <v>2</v>
      </c>
      <c r="F2274" s="14" t="s">
        <v>3224</v>
      </c>
    </row>
    <row r="2275" spans="1:6" ht="47.6">
      <c r="A2275" s="19">
        <v>42109</v>
      </c>
      <c r="B2275" s="12" t="str">
        <f t="shared" si="35"/>
        <v>421</v>
      </c>
      <c r="C2275" s="1" t="s">
        <v>3234</v>
      </c>
      <c r="D2275" s="13" t="str">
        <f>IF(RIGHT(A2275,3)="000",C2275,VLOOKUP(B2275,'Справочник ИХ'!A:C,3,0))</f>
        <v>Остальные грузы</v>
      </c>
      <c r="E2275" s="13">
        <f>IF(RIGHT(A2275,3)="000","х",VLOOKUP(B2275,'Справочник ИХ'!A:D,4,0))</f>
        <v>2</v>
      </c>
      <c r="F2275" s="14" t="s">
        <v>3224</v>
      </c>
    </row>
    <row r="2276" spans="1:6" ht="47.6">
      <c r="A2276" s="19">
        <v>42110</v>
      </c>
      <c r="B2276" s="12" t="str">
        <f t="shared" si="35"/>
        <v>421</v>
      </c>
      <c r="C2276" s="1" t="s">
        <v>3235</v>
      </c>
      <c r="D2276" s="13" t="str">
        <f>IF(RIGHT(A2276,3)="000",C2276,VLOOKUP(B2276,'Справочник ИХ'!A:C,3,0))</f>
        <v>Остальные грузы</v>
      </c>
      <c r="E2276" s="13">
        <f>IF(RIGHT(A2276,3)="000","х",VLOOKUP(B2276,'Справочник ИХ'!A:D,4,0))</f>
        <v>2</v>
      </c>
      <c r="F2276" s="14" t="s">
        <v>3224</v>
      </c>
    </row>
    <row r="2277" spans="1:6" ht="47.6">
      <c r="A2277" s="19">
        <v>42111</v>
      </c>
      <c r="B2277" s="12" t="str">
        <f t="shared" si="35"/>
        <v>421</v>
      </c>
      <c r="C2277" s="1" t="s">
        <v>3236</v>
      </c>
      <c r="D2277" s="13" t="str">
        <f>IF(RIGHT(A2277,3)="000",C2277,VLOOKUP(B2277,'Справочник ИХ'!A:C,3,0))</f>
        <v>Остальные грузы</v>
      </c>
      <c r="E2277" s="13">
        <f>IF(RIGHT(A2277,3)="000","х",VLOOKUP(B2277,'Справочник ИХ'!A:D,4,0))</f>
        <v>2</v>
      </c>
      <c r="F2277" s="14" t="s">
        <v>3224</v>
      </c>
    </row>
    <row r="2278" spans="1:6" ht="47.6">
      <c r="A2278" s="19">
        <v>42112</v>
      </c>
      <c r="B2278" s="12" t="str">
        <f t="shared" si="35"/>
        <v>421</v>
      </c>
      <c r="C2278" s="1" t="s">
        <v>3237</v>
      </c>
      <c r="D2278" s="13" t="str">
        <f>IF(RIGHT(A2278,3)="000",C2278,VLOOKUP(B2278,'Справочник ИХ'!A:C,3,0))</f>
        <v>Остальные грузы</v>
      </c>
      <c r="E2278" s="13">
        <f>IF(RIGHT(A2278,3)="000","х",VLOOKUP(B2278,'Справочник ИХ'!A:D,4,0))</f>
        <v>2</v>
      </c>
      <c r="F2278" s="14" t="s">
        <v>3224</v>
      </c>
    </row>
    <row r="2279" spans="1:6" ht="47.6">
      <c r="A2279" s="19">
        <v>42113</v>
      </c>
      <c r="B2279" s="12" t="str">
        <f t="shared" si="35"/>
        <v>421</v>
      </c>
      <c r="C2279" s="1" t="s">
        <v>3238</v>
      </c>
      <c r="D2279" s="13" t="str">
        <f>IF(RIGHT(A2279,3)="000",C2279,VLOOKUP(B2279,'Справочник ИХ'!A:C,3,0))</f>
        <v>Остальные грузы</v>
      </c>
      <c r="E2279" s="13">
        <f>IF(RIGHT(A2279,3)="000","х",VLOOKUP(B2279,'Справочник ИХ'!A:D,4,0))</f>
        <v>2</v>
      </c>
      <c r="F2279" s="14" t="s">
        <v>3224</v>
      </c>
    </row>
    <row r="2280" spans="1:6" ht="47.6">
      <c r="A2280" s="19">
        <v>42114</v>
      </c>
      <c r="B2280" s="12" t="str">
        <f t="shared" si="35"/>
        <v>421</v>
      </c>
      <c r="C2280" s="1" t="s">
        <v>3239</v>
      </c>
      <c r="D2280" s="13" t="str">
        <f>IF(RIGHT(A2280,3)="000",C2280,VLOOKUP(B2280,'Справочник ИХ'!A:C,3,0))</f>
        <v>Остальные грузы</v>
      </c>
      <c r="E2280" s="13">
        <f>IF(RIGHT(A2280,3)="000","х",VLOOKUP(B2280,'Справочник ИХ'!A:D,4,0))</f>
        <v>2</v>
      </c>
      <c r="F2280" s="14" t="s">
        <v>3224</v>
      </c>
    </row>
    <row r="2281" spans="1:6" ht="47.6">
      <c r="A2281" s="19">
        <v>42115</v>
      </c>
      <c r="B2281" s="12" t="str">
        <f t="shared" si="35"/>
        <v>421</v>
      </c>
      <c r="C2281" s="1" t="s">
        <v>3240</v>
      </c>
      <c r="D2281" s="13" t="str">
        <f>IF(RIGHT(A2281,3)="000",C2281,VLOOKUP(B2281,'Справочник ИХ'!A:C,3,0))</f>
        <v>Остальные грузы</v>
      </c>
      <c r="E2281" s="13">
        <f>IF(RIGHT(A2281,3)="000","х",VLOOKUP(B2281,'Справочник ИХ'!A:D,4,0))</f>
        <v>2</v>
      </c>
      <c r="F2281" s="14" t="s">
        <v>3224</v>
      </c>
    </row>
    <row r="2282" spans="1:6" s="18" customFormat="1" ht="47.6">
      <c r="A2282" s="16">
        <v>42200</v>
      </c>
      <c r="B2282" s="12" t="str">
        <f t="shared" si="35"/>
        <v>422</v>
      </c>
      <c r="C2282" s="17" t="s">
        <v>3241</v>
      </c>
      <c r="D2282" s="13" t="str">
        <f>IF(RIGHT(A2282,3)="000",C2282,VLOOKUP(B2282,'Справочник ИХ'!A:C,3,0))</f>
        <v>Остальные грузы</v>
      </c>
      <c r="E2282" s="13">
        <f>IF(RIGHT(A2282,3)="000","х",VLOOKUP(B2282,'Справочник ИХ'!A:D,4,0))</f>
        <v>2</v>
      </c>
      <c r="F2282" s="14" t="s">
        <v>3224</v>
      </c>
    </row>
    <row r="2283" spans="1:6" ht="47.6">
      <c r="A2283" s="19">
        <v>42201</v>
      </c>
      <c r="B2283" s="12" t="str">
        <f t="shared" si="35"/>
        <v>422</v>
      </c>
      <c r="C2283" s="1" t="s">
        <v>3242</v>
      </c>
      <c r="D2283" s="13" t="str">
        <f>IF(RIGHT(A2283,3)="000",C2283,VLOOKUP(B2283,'Справочник ИХ'!A:C,3,0))</f>
        <v>Остальные грузы</v>
      </c>
      <c r="E2283" s="13">
        <f>IF(RIGHT(A2283,3)="000","х",VLOOKUP(B2283,'Справочник ИХ'!A:D,4,0))</f>
        <v>2</v>
      </c>
      <c r="F2283" s="14" t="s">
        <v>3224</v>
      </c>
    </row>
    <row r="2284" spans="1:6" ht="47.6">
      <c r="A2284" s="19">
        <v>42202</v>
      </c>
      <c r="B2284" s="12" t="str">
        <f t="shared" si="35"/>
        <v>422</v>
      </c>
      <c r="C2284" s="1" t="s">
        <v>3243</v>
      </c>
      <c r="D2284" s="13" t="str">
        <f>IF(RIGHT(A2284,3)="000",C2284,VLOOKUP(B2284,'Справочник ИХ'!A:C,3,0))</f>
        <v>Остальные грузы</v>
      </c>
      <c r="E2284" s="13">
        <f>IF(RIGHT(A2284,3)="000","х",VLOOKUP(B2284,'Справочник ИХ'!A:D,4,0))</f>
        <v>2</v>
      </c>
      <c r="F2284" s="14" t="s">
        <v>3224</v>
      </c>
    </row>
    <row r="2285" spans="1:6" ht="47.6">
      <c r="A2285" s="19">
        <v>42203</v>
      </c>
      <c r="B2285" s="12" t="str">
        <f t="shared" si="35"/>
        <v>422</v>
      </c>
      <c r="C2285" s="1" t="s">
        <v>3244</v>
      </c>
      <c r="D2285" s="13" t="str">
        <f>IF(RIGHT(A2285,3)="000",C2285,VLOOKUP(B2285,'Справочник ИХ'!A:C,3,0))</f>
        <v>Остальные грузы</v>
      </c>
      <c r="E2285" s="13">
        <f>IF(RIGHT(A2285,3)="000","х",VLOOKUP(B2285,'Справочник ИХ'!A:D,4,0))</f>
        <v>2</v>
      </c>
      <c r="F2285" s="14" t="s">
        <v>3224</v>
      </c>
    </row>
    <row r="2286" spans="1:6" ht="47.6">
      <c r="A2286" s="19">
        <v>42204</v>
      </c>
      <c r="B2286" s="12" t="str">
        <f t="shared" si="35"/>
        <v>422</v>
      </c>
      <c r="C2286" s="1" t="s">
        <v>3245</v>
      </c>
      <c r="D2286" s="13" t="str">
        <f>IF(RIGHT(A2286,3)="000",C2286,VLOOKUP(B2286,'Справочник ИХ'!A:C,3,0))</f>
        <v>Остальные грузы</v>
      </c>
      <c r="E2286" s="13">
        <f>IF(RIGHT(A2286,3)="000","х",VLOOKUP(B2286,'Справочник ИХ'!A:D,4,0))</f>
        <v>2</v>
      </c>
      <c r="F2286" s="14" t="s">
        <v>3224</v>
      </c>
    </row>
    <row r="2287" spans="1:6" ht="47.6">
      <c r="A2287" s="19">
        <v>42205</v>
      </c>
      <c r="B2287" s="12" t="str">
        <f t="shared" si="35"/>
        <v>422</v>
      </c>
      <c r="C2287" s="1" t="s">
        <v>3246</v>
      </c>
      <c r="D2287" s="13" t="str">
        <f>IF(RIGHT(A2287,3)="000",C2287,VLOOKUP(B2287,'Справочник ИХ'!A:C,3,0))</f>
        <v>Остальные грузы</v>
      </c>
      <c r="E2287" s="13">
        <f>IF(RIGHT(A2287,3)="000","х",VLOOKUP(B2287,'Справочник ИХ'!A:D,4,0))</f>
        <v>2</v>
      </c>
      <c r="F2287" s="14" t="s">
        <v>3224</v>
      </c>
    </row>
    <row r="2288" spans="1:6" s="18" customFormat="1" ht="47.6">
      <c r="A2288" s="16">
        <v>42300</v>
      </c>
      <c r="B2288" s="12" t="str">
        <f t="shared" si="35"/>
        <v>423</v>
      </c>
      <c r="C2288" s="17" t="s">
        <v>3247</v>
      </c>
      <c r="D2288" s="13" t="str">
        <f>IF(RIGHT(A2288,3)="000",C2288,VLOOKUP(B2288,'Справочник ИХ'!A:C,3,0))</f>
        <v>Остальные грузы</v>
      </c>
      <c r="E2288" s="13">
        <f>IF(RIGHT(A2288,3)="000","х",VLOOKUP(B2288,'Справочник ИХ'!A:D,4,0))</f>
        <v>2</v>
      </c>
      <c r="F2288" s="14" t="s">
        <v>3224</v>
      </c>
    </row>
    <row r="2289" spans="1:6" ht="47.6">
      <c r="A2289" s="19">
        <v>42301</v>
      </c>
      <c r="B2289" s="12" t="str">
        <f t="shared" si="35"/>
        <v>423</v>
      </c>
      <c r="C2289" s="1" t="s">
        <v>3248</v>
      </c>
      <c r="D2289" s="13" t="str">
        <f>IF(RIGHT(A2289,3)="000",C2289,VLOOKUP(B2289,'Справочник ИХ'!A:C,3,0))</f>
        <v>Остальные грузы</v>
      </c>
      <c r="E2289" s="13">
        <f>IF(RIGHT(A2289,3)="000","х",VLOOKUP(B2289,'Справочник ИХ'!A:D,4,0))</f>
        <v>2</v>
      </c>
      <c r="F2289" s="14" t="s">
        <v>3224</v>
      </c>
    </row>
    <row r="2290" spans="1:6" ht="47.6">
      <c r="A2290" s="19">
        <v>42302</v>
      </c>
      <c r="B2290" s="12" t="str">
        <f t="shared" si="35"/>
        <v>423</v>
      </c>
      <c r="C2290" s="1" t="s">
        <v>3249</v>
      </c>
      <c r="D2290" s="13" t="str">
        <f>IF(RIGHT(A2290,3)="000",C2290,VLOOKUP(B2290,'Справочник ИХ'!A:C,3,0))</f>
        <v>Остальные грузы</v>
      </c>
      <c r="E2290" s="13">
        <f>IF(RIGHT(A2290,3)="000","х",VLOOKUP(B2290,'Справочник ИХ'!A:D,4,0))</f>
        <v>2</v>
      </c>
      <c r="F2290" s="14" t="s">
        <v>3224</v>
      </c>
    </row>
    <row r="2291" spans="1:6" ht="47.6">
      <c r="A2291" s="19">
        <v>42303</v>
      </c>
      <c r="B2291" s="12" t="str">
        <f t="shared" si="35"/>
        <v>423</v>
      </c>
      <c r="C2291" s="1" t="s">
        <v>3250</v>
      </c>
      <c r="D2291" s="13" t="str">
        <f>IF(RIGHT(A2291,3)="000",C2291,VLOOKUP(B2291,'Справочник ИХ'!A:C,3,0))</f>
        <v>Остальные грузы</v>
      </c>
      <c r="E2291" s="13">
        <f>IF(RIGHT(A2291,3)="000","х",VLOOKUP(B2291,'Справочник ИХ'!A:D,4,0))</f>
        <v>2</v>
      </c>
      <c r="F2291" s="14" t="s">
        <v>3224</v>
      </c>
    </row>
    <row r="2292" spans="1:6" s="15" customFormat="1" ht="47.6">
      <c r="A2292" s="7"/>
      <c r="B2292" s="12" t="str">
        <f t="shared" si="35"/>
        <v/>
      </c>
      <c r="C2292" s="11" t="s">
        <v>3251</v>
      </c>
      <c r="D2292" s="1" t="str">
        <f>C2292</f>
        <v xml:space="preserve">Раздел 8. Продукция химической промышленности </v>
      </c>
      <c r="E2292" s="13" t="s">
        <v>562</v>
      </c>
      <c r="F2292" s="14" t="s">
        <v>3224</v>
      </c>
    </row>
    <row r="2293" spans="1:6" s="15" customFormat="1" ht="63.45">
      <c r="A2293" s="7">
        <v>43000</v>
      </c>
      <c r="B2293" s="12" t="str">
        <f t="shared" si="35"/>
        <v>430</v>
      </c>
      <c r="C2293" s="11" t="s">
        <v>3252</v>
      </c>
      <c r="D2293" s="13" t="str">
        <f>IF(RIGHT(A2293,3)="000",C2293,VLOOKUP(B2293,'Справочник ИХ'!A:C,3,0))</f>
        <v>Удобрения минеральные,сырье горнохимическое для производства удобрений</v>
      </c>
      <c r="E2293" s="13" t="str">
        <f>IF(RIGHT(A2293,3)="000","х",VLOOKUP(B2293,'Справочник ИХ'!A:D,4,0))</f>
        <v>х</v>
      </c>
      <c r="F2293" s="14" t="s">
        <v>3252</v>
      </c>
    </row>
    <row r="2294" spans="1:6" s="18" customFormat="1" ht="47.6">
      <c r="A2294" s="16">
        <v>43100</v>
      </c>
      <c r="B2294" s="12" t="str">
        <f t="shared" si="35"/>
        <v>431</v>
      </c>
      <c r="C2294" s="17" t="s">
        <v>3253</v>
      </c>
      <c r="D2294" s="13" t="str">
        <f>IF(RIGHT(A2294,3)="000",C2294,VLOOKUP(B2294,'Справочник ИХ'!A:C,3,0))</f>
        <v>Удобрения</v>
      </c>
      <c r="E2294" s="13">
        <f>IF(RIGHT(A2294,3)="000","х",VLOOKUP(B2294,'Справочник ИХ'!A:D,4,0))</f>
        <v>1</v>
      </c>
      <c r="F2294" s="14" t="s">
        <v>3252</v>
      </c>
    </row>
    <row r="2295" spans="1:6" ht="47.6">
      <c r="A2295" s="19">
        <v>43101</v>
      </c>
      <c r="B2295" s="12" t="str">
        <f t="shared" si="35"/>
        <v>431</v>
      </c>
      <c r="C2295" s="1" t="s">
        <v>3254</v>
      </c>
      <c r="D2295" s="13" t="str">
        <f>IF(RIGHT(A2295,3)="000",C2295,VLOOKUP(B2295,'Справочник ИХ'!A:C,3,0))</f>
        <v>Удобрения</v>
      </c>
      <c r="E2295" s="13">
        <f>IF(RIGHT(A2295,3)="000","х",VLOOKUP(B2295,'Справочник ИХ'!A:D,4,0))</f>
        <v>1</v>
      </c>
      <c r="F2295" s="14" t="s">
        <v>3252</v>
      </c>
    </row>
    <row r="2296" spans="1:6" ht="47.6">
      <c r="A2296" s="19">
        <v>43102</v>
      </c>
      <c r="B2296" s="12" t="str">
        <f t="shared" si="35"/>
        <v>431</v>
      </c>
      <c r="C2296" s="1" t="s">
        <v>3255</v>
      </c>
      <c r="D2296" s="13" t="str">
        <f>IF(RIGHT(A2296,3)="000",C2296,VLOOKUP(B2296,'Справочник ИХ'!A:C,3,0))</f>
        <v>Удобрения</v>
      </c>
      <c r="E2296" s="13">
        <f>IF(RIGHT(A2296,3)="000","х",VLOOKUP(B2296,'Справочник ИХ'!A:D,4,0))</f>
        <v>1</v>
      </c>
      <c r="F2296" s="14" t="s">
        <v>3252</v>
      </c>
    </row>
    <row r="2297" spans="1:6" ht="47.6">
      <c r="A2297" s="19">
        <v>43103</v>
      </c>
      <c r="B2297" s="12" t="str">
        <f t="shared" si="35"/>
        <v>431</v>
      </c>
      <c r="C2297" s="1" t="s">
        <v>3256</v>
      </c>
      <c r="D2297" s="13" t="str">
        <f>IF(RIGHT(A2297,3)="000",C2297,VLOOKUP(B2297,'Справочник ИХ'!A:C,3,0))</f>
        <v>Удобрения</v>
      </c>
      <c r="E2297" s="13">
        <f>IF(RIGHT(A2297,3)="000","х",VLOOKUP(B2297,'Справочник ИХ'!A:D,4,0))</f>
        <v>1</v>
      </c>
      <c r="F2297" s="14" t="s">
        <v>3252</v>
      </c>
    </row>
    <row r="2298" spans="1:6" ht="47.6">
      <c r="A2298" s="19">
        <v>43104</v>
      </c>
      <c r="B2298" s="12" t="str">
        <f t="shared" si="35"/>
        <v>431</v>
      </c>
      <c r="C2298" s="1" t="s">
        <v>3257</v>
      </c>
      <c r="D2298" s="13" t="str">
        <f>IF(RIGHT(A2298,3)="000",C2298,VLOOKUP(B2298,'Справочник ИХ'!A:C,3,0))</f>
        <v>Удобрения</v>
      </c>
      <c r="E2298" s="13">
        <f>IF(RIGHT(A2298,3)="000","х",VLOOKUP(B2298,'Справочник ИХ'!A:D,4,0))</f>
        <v>1</v>
      </c>
      <c r="F2298" s="14" t="s">
        <v>3252</v>
      </c>
    </row>
    <row r="2299" spans="1:6" ht="47.6">
      <c r="A2299" s="19">
        <v>43105</v>
      </c>
      <c r="B2299" s="12" t="str">
        <f t="shared" si="35"/>
        <v>431</v>
      </c>
      <c r="C2299" s="1" t="s">
        <v>3258</v>
      </c>
      <c r="D2299" s="13" t="str">
        <f>IF(RIGHT(A2299,3)="000",C2299,VLOOKUP(B2299,'Справочник ИХ'!A:C,3,0))</f>
        <v>Удобрения</v>
      </c>
      <c r="E2299" s="13">
        <f>IF(RIGHT(A2299,3)="000","х",VLOOKUP(B2299,'Справочник ИХ'!A:D,4,0))</f>
        <v>1</v>
      </c>
      <c r="F2299" s="14" t="s">
        <v>3252</v>
      </c>
    </row>
    <row r="2300" spans="1:6" ht="47.6">
      <c r="A2300" s="19">
        <v>43106</v>
      </c>
      <c r="B2300" s="12" t="str">
        <f t="shared" si="35"/>
        <v>431</v>
      </c>
      <c r="C2300" s="1" t="s">
        <v>3259</v>
      </c>
      <c r="D2300" s="13" t="str">
        <f>IF(RIGHT(A2300,3)="000",C2300,VLOOKUP(B2300,'Справочник ИХ'!A:C,3,0))</f>
        <v>Удобрения</v>
      </c>
      <c r="E2300" s="13">
        <f>IF(RIGHT(A2300,3)="000","х",VLOOKUP(B2300,'Справочник ИХ'!A:D,4,0))</f>
        <v>1</v>
      </c>
      <c r="F2300" s="14" t="s">
        <v>3252</v>
      </c>
    </row>
    <row r="2301" spans="1:6" ht="47.6">
      <c r="A2301" s="19">
        <v>43107</v>
      </c>
      <c r="B2301" s="12" t="str">
        <f t="shared" si="35"/>
        <v>431</v>
      </c>
      <c r="C2301" s="1" t="s">
        <v>3260</v>
      </c>
      <c r="D2301" s="13" t="str">
        <f>IF(RIGHT(A2301,3)="000",C2301,VLOOKUP(B2301,'Справочник ИХ'!A:C,3,0))</f>
        <v>Удобрения</v>
      </c>
      <c r="E2301" s="13">
        <f>IF(RIGHT(A2301,3)="000","х",VLOOKUP(B2301,'Справочник ИХ'!A:D,4,0))</f>
        <v>1</v>
      </c>
      <c r="F2301" s="14" t="s">
        <v>3252</v>
      </c>
    </row>
    <row r="2302" spans="1:6" ht="47.6">
      <c r="A2302" s="19" t="s">
        <v>3261</v>
      </c>
      <c r="B2302" s="12" t="str">
        <f t="shared" si="35"/>
        <v>431</v>
      </c>
      <c r="C2302" s="1" t="s">
        <v>3262</v>
      </c>
      <c r="D2302" s="13" t="str">
        <f>IF(RIGHT(A2302,3)="000",C2302,VLOOKUP(B2302,'Справочник ИХ'!A:C,3,0))</f>
        <v>Удобрения</v>
      </c>
      <c r="E2302" s="13">
        <f>IF(RIGHT(A2302,3)="000","х",VLOOKUP(B2302,'Справочник ИХ'!A:D,4,0))</f>
        <v>1</v>
      </c>
      <c r="F2302" s="14" t="s">
        <v>3252</v>
      </c>
    </row>
    <row r="2303" spans="1:6" s="18" customFormat="1" ht="47.6">
      <c r="A2303" s="16">
        <v>43200</v>
      </c>
      <c r="B2303" s="12" t="str">
        <f t="shared" si="35"/>
        <v>432</v>
      </c>
      <c r="C2303" s="17" t="s">
        <v>3263</v>
      </c>
      <c r="D2303" s="13" t="str">
        <f>IF(RIGHT(A2303,3)="000",C2303,VLOOKUP(B2303,'Справочник ИХ'!A:C,3,0))</f>
        <v>Удобрения</v>
      </c>
      <c r="E2303" s="13">
        <f>IF(RIGHT(A2303,3)="000","х",VLOOKUP(B2303,'Справочник ИХ'!A:D,4,0))</f>
        <v>2</v>
      </c>
      <c r="F2303" s="14" t="s">
        <v>3252</v>
      </c>
    </row>
    <row r="2304" spans="1:6" s="18" customFormat="1" ht="47.6">
      <c r="A2304" s="16">
        <v>43300</v>
      </c>
      <c r="B2304" s="12" t="str">
        <f t="shared" si="35"/>
        <v>433</v>
      </c>
      <c r="C2304" s="17" t="s">
        <v>3264</v>
      </c>
      <c r="D2304" s="13" t="str">
        <f>IF(RIGHT(A2304,3)="000",C2304,VLOOKUP(B2304,'Справочник ИХ'!A:C,3,0))</f>
        <v>Удобрения</v>
      </c>
      <c r="E2304" s="13">
        <f>IF(RIGHT(A2304,3)="000","х",VLOOKUP(B2304,'Справочник ИХ'!A:D,4,0))</f>
        <v>2</v>
      </c>
      <c r="F2304" s="14" t="s">
        <v>3252</v>
      </c>
    </row>
    <row r="2305" spans="1:6" ht="47.6">
      <c r="A2305" s="19">
        <v>43301</v>
      </c>
      <c r="B2305" s="12" t="str">
        <f t="shared" si="35"/>
        <v>433</v>
      </c>
      <c r="C2305" s="1" t="s">
        <v>3265</v>
      </c>
      <c r="D2305" s="13" t="str">
        <f>IF(RIGHT(A2305,3)="000",C2305,VLOOKUP(B2305,'Справочник ИХ'!A:C,3,0))</f>
        <v>Удобрения</v>
      </c>
      <c r="E2305" s="13">
        <f>IF(RIGHT(A2305,3)="000","х",VLOOKUP(B2305,'Справочник ИХ'!A:D,4,0))</f>
        <v>2</v>
      </c>
      <c r="F2305" s="14" t="s">
        <v>3252</v>
      </c>
    </row>
    <row r="2306" spans="1:6" ht="47.6">
      <c r="A2306" s="19" t="s">
        <v>3266</v>
      </c>
      <c r="B2306" s="12" t="str">
        <f t="shared" si="35"/>
        <v>433</v>
      </c>
      <c r="C2306" s="1" t="s">
        <v>3267</v>
      </c>
      <c r="D2306" s="13" t="str">
        <f>IF(RIGHT(A2306,3)="000",C2306,VLOOKUP(B2306,'Справочник ИХ'!A:C,3,0))</f>
        <v>Удобрения</v>
      </c>
      <c r="E2306" s="13">
        <f>IF(RIGHT(A2306,3)="000","х",VLOOKUP(B2306,'Справочник ИХ'!A:D,4,0))</f>
        <v>2</v>
      </c>
      <c r="F2306" s="14" t="s">
        <v>3252</v>
      </c>
    </row>
    <row r="2307" spans="1:6" ht="47.6">
      <c r="A2307" s="19" t="s">
        <v>3268</v>
      </c>
      <c r="B2307" s="12" t="str">
        <f t="shared" si="35"/>
        <v>433</v>
      </c>
      <c r="C2307" s="1" t="s">
        <v>3269</v>
      </c>
      <c r="D2307" s="13" t="str">
        <f>IF(RIGHT(A2307,3)="000",C2307,VLOOKUP(B2307,'Справочник ИХ'!A:C,3,0))</f>
        <v>Удобрения</v>
      </c>
      <c r="E2307" s="13">
        <f>IF(RIGHT(A2307,3)="000","х",VLOOKUP(B2307,'Справочник ИХ'!A:D,4,0))</f>
        <v>2</v>
      </c>
      <c r="F2307" s="14" t="s">
        <v>3252</v>
      </c>
    </row>
    <row r="2308" spans="1:6" ht="47.6">
      <c r="A2308" s="19" t="s">
        <v>3270</v>
      </c>
      <c r="B2308" s="12" t="str">
        <f t="shared" ref="B2308:B2371" si="36">LEFT(A2308,3)</f>
        <v>433</v>
      </c>
      <c r="C2308" s="1" t="s">
        <v>3271</v>
      </c>
      <c r="D2308" s="13" t="str">
        <f>IF(RIGHT(A2308,3)="000",C2308,VLOOKUP(B2308,'Справочник ИХ'!A:C,3,0))</f>
        <v>Удобрения</v>
      </c>
      <c r="E2308" s="13">
        <f>IF(RIGHT(A2308,3)="000","х",VLOOKUP(B2308,'Справочник ИХ'!A:D,4,0))</f>
        <v>2</v>
      </c>
      <c r="F2308" s="14" t="s">
        <v>3252</v>
      </c>
    </row>
    <row r="2309" spans="1:6" ht="47.6">
      <c r="A2309" s="19" t="s">
        <v>3272</v>
      </c>
      <c r="B2309" s="12" t="str">
        <f t="shared" si="36"/>
        <v>433</v>
      </c>
      <c r="C2309" s="1" t="s">
        <v>3273</v>
      </c>
      <c r="D2309" s="13" t="str">
        <f>IF(RIGHT(A2309,3)="000",C2309,VLOOKUP(B2309,'Справочник ИХ'!A:C,3,0))</f>
        <v>Удобрения</v>
      </c>
      <c r="E2309" s="13">
        <f>IF(RIGHT(A2309,3)="000","х",VLOOKUP(B2309,'Справочник ИХ'!A:D,4,0))</f>
        <v>2</v>
      </c>
      <c r="F2309" s="14" t="s">
        <v>3252</v>
      </c>
    </row>
    <row r="2310" spans="1:6" ht="47.6">
      <c r="A2310" s="19" t="s">
        <v>3274</v>
      </c>
      <c r="B2310" s="12" t="str">
        <f t="shared" si="36"/>
        <v>433</v>
      </c>
      <c r="C2310" s="1" t="s">
        <v>3275</v>
      </c>
      <c r="D2310" s="13" t="str">
        <f>IF(RIGHT(A2310,3)="000",C2310,VLOOKUP(B2310,'Справочник ИХ'!A:C,3,0))</f>
        <v>Удобрения</v>
      </c>
      <c r="E2310" s="13">
        <f>IF(RIGHT(A2310,3)="000","х",VLOOKUP(B2310,'Справочник ИХ'!A:D,4,0))</f>
        <v>2</v>
      </c>
      <c r="F2310" s="14" t="s">
        <v>3252</v>
      </c>
    </row>
    <row r="2311" spans="1:6" ht="47.6">
      <c r="A2311" s="19" t="s">
        <v>3276</v>
      </c>
      <c r="B2311" s="12" t="str">
        <f t="shared" si="36"/>
        <v>433</v>
      </c>
      <c r="C2311" s="1" t="s">
        <v>3277</v>
      </c>
      <c r="D2311" s="13" t="str">
        <f>IF(RIGHT(A2311,3)="000",C2311,VLOOKUP(B2311,'Справочник ИХ'!A:C,3,0))</f>
        <v>Удобрения</v>
      </c>
      <c r="E2311" s="13">
        <f>IF(RIGHT(A2311,3)="000","х",VLOOKUP(B2311,'Справочник ИХ'!A:D,4,0))</f>
        <v>2</v>
      </c>
      <c r="F2311" s="14" t="s">
        <v>3252</v>
      </c>
    </row>
    <row r="2312" spans="1:6" ht="47.6">
      <c r="A2312" s="19" t="s">
        <v>3278</v>
      </c>
      <c r="B2312" s="12" t="str">
        <f t="shared" si="36"/>
        <v>433</v>
      </c>
      <c r="C2312" s="1" t="s">
        <v>3279</v>
      </c>
      <c r="D2312" s="13" t="str">
        <f>IF(RIGHT(A2312,3)="000",C2312,VLOOKUP(B2312,'Справочник ИХ'!A:C,3,0))</f>
        <v>Удобрения</v>
      </c>
      <c r="E2312" s="13">
        <f>IF(RIGHT(A2312,3)="000","х",VLOOKUP(B2312,'Справочник ИХ'!A:D,4,0))</f>
        <v>2</v>
      </c>
      <c r="F2312" s="14" t="s">
        <v>3252</v>
      </c>
    </row>
    <row r="2313" spans="1:6" ht="47.6">
      <c r="A2313" s="19" t="s">
        <v>3280</v>
      </c>
      <c r="B2313" s="12" t="str">
        <f t="shared" si="36"/>
        <v>433</v>
      </c>
      <c r="C2313" s="1" t="s">
        <v>3281</v>
      </c>
      <c r="D2313" s="13" t="str">
        <f>IF(RIGHT(A2313,3)="000",C2313,VLOOKUP(B2313,'Справочник ИХ'!A:C,3,0))</f>
        <v>Удобрения</v>
      </c>
      <c r="E2313" s="13">
        <f>IF(RIGHT(A2313,3)="000","х",VLOOKUP(B2313,'Справочник ИХ'!A:D,4,0))</f>
        <v>2</v>
      </c>
      <c r="F2313" s="14" t="s">
        <v>3252</v>
      </c>
    </row>
    <row r="2314" spans="1:6" ht="47.6">
      <c r="A2314" s="19" t="s">
        <v>3282</v>
      </c>
      <c r="B2314" s="12" t="str">
        <f t="shared" si="36"/>
        <v>433</v>
      </c>
      <c r="C2314" s="1" t="s">
        <v>3283</v>
      </c>
      <c r="D2314" s="13" t="str">
        <f>IF(RIGHT(A2314,3)="000",C2314,VLOOKUP(B2314,'Справочник ИХ'!A:C,3,0))</f>
        <v>Удобрения</v>
      </c>
      <c r="E2314" s="13">
        <f>IF(RIGHT(A2314,3)="000","х",VLOOKUP(B2314,'Справочник ИХ'!A:D,4,0))</f>
        <v>2</v>
      </c>
      <c r="F2314" s="14" t="s">
        <v>3252</v>
      </c>
    </row>
    <row r="2315" spans="1:6" ht="47.6">
      <c r="A2315" s="19" t="s">
        <v>3284</v>
      </c>
      <c r="B2315" s="12" t="str">
        <f t="shared" si="36"/>
        <v>433</v>
      </c>
      <c r="C2315" s="1" t="s">
        <v>3285</v>
      </c>
      <c r="D2315" s="13" t="str">
        <f>IF(RIGHT(A2315,3)="000",C2315,VLOOKUP(B2315,'Справочник ИХ'!A:C,3,0))</f>
        <v>Удобрения</v>
      </c>
      <c r="E2315" s="13">
        <f>IF(RIGHT(A2315,3)="000","х",VLOOKUP(B2315,'Справочник ИХ'!A:D,4,0))</f>
        <v>2</v>
      </c>
      <c r="F2315" s="14" t="s">
        <v>3252</v>
      </c>
    </row>
    <row r="2316" spans="1:6" ht="47.6">
      <c r="A2316" s="19" t="s">
        <v>3286</v>
      </c>
      <c r="B2316" s="12" t="str">
        <f t="shared" si="36"/>
        <v>433</v>
      </c>
      <c r="C2316" s="1" t="s">
        <v>3287</v>
      </c>
      <c r="D2316" s="13" t="str">
        <f>IF(RIGHT(A2316,3)="000",C2316,VLOOKUP(B2316,'Справочник ИХ'!A:C,3,0))</f>
        <v>Удобрения</v>
      </c>
      <c r="E2316" s="13">
        <f>IF(RIGHT(A2316,3)="000","х",VLOOKUP(B2316,'Справочник ИХ'!A:D,4,0))</f>
        <v>2</v>
      </c>
      <c r="F2316" s="14" t="s">
        <v>3252</v>
      </c>
    </row>
    <row r="2317" spans="1:6" ht="47.6">
      <c r="A2317" s="19" t="s">
        <v>3288</v>
      </c>
      <c r="B2317" s="12" t="str">
        <f t="shared" si="36"/>
        <v>433</v>
      </c>
      <c r="C2317" s="1" t="s">
        <v>3289</v>
      </c>
      <c r="D2317" s="13" t="str">
        <f>IF(RIGHT(A2317,3)="000",C2317,VLOOKUP(B2317,'Справочник ИХ'!A:C,3,0))</f>
        <v>Удобрения</v>
      </c>
      <c r="E2317" s="13">
        <f>IF(RIGHT(A2317,3)="000","х",VLOOKUP(B2317,'Справочник ИХ'!A:D,4,0))</f>
        <v>2</v>
      </c>
      <c r="F2317" s="14" t="s">
        <v>3252</v>
      </c>
    </row>
    <row r="2318" spans="1:6" ht="47.6">
      <c r="A2318" s="19" t="s">
        <v>3290</v>
      </c>
      <c r="B2318" s="12" t="str">
        <f t="shared" si="36"/>
        <v>433</v>
      </c>
      <c r="C2318" s="1" t="s">
        <v>3291</v>
      </c>
      <c r="D2318" s="13" t="str">
        <f>IF(RIGHT(A2318,3)="000",C2318,VLOOKUP(B2318,'Справочник ИХ'!A:C,3,0))</f>
        <v>Удобрения</v>
      </c>
      <c r="E2318" s="13">
        <f>IF(RIGHT(A2318,3)="000","х",VLOOKUP(B2318,'Справочник ИХ'!A:D,4,0))</f>
        <v>2</v>
      </c>
      <c r="F2318" s="14" t="s">
        <v>3252</v>
      </c>
    </row>
    <row r="2319" spans="1:6" ht="47.6">
      <c r="A2319" s="19" t="s">
        <v>3292</v>
      </c>
      <c r="B2319" s="12" t="str">
        <f t="shared" si="36"/>
        <v>433</v>
      </c>
      <c r="C2319" s="1" t="s">
        <v>3293</v>
      </c>
      <c r="D2319" s="13" t="str">
        <f>IF(RIGHT(A2319,3)="000",C2319,VLOOKUP(B2319,'Справочник ИХ'!A:C,3,0))</f>
        <v>Удобрения</v>
      </c>
      <c r="E2319" s="13">
        <f>IF(RIGHT(A2319,3)="000","х",VLOOKUP(B2319,'Справочник ИХ'!A:D,4,0))</f>
        <v>2</v>
      </c>
      <c r="F2319" s="14" t="s">
        <v>3252</v>
      </c>
    </row>
    <row r="2320" spans="1:6" ht="111">
      <c r="A2320" s="23">
        <v>43319</v>
      </c>
      <c r="B2320" s="12" t="str">
        <f t="shared" si="36"/>
        <v>433</v>
      </c>
      <c r="C2320" s="14" t="s">
        <v>3294</v>
      </c>
      <c r="D2320" s="13" t="str">
        <f>IF(RIGHT(A2320,3)="000",C2320,VLOOKUP(B2320,'Справочник ИХ'!A:C,3,0))</f>
        <v>Удобрения</v>
      </c>
      <c r="E2320" s="13">
        <f>IF(RIGHT(A2320,3)="000","х",VLOOKUP(B2320,'Справочник ИХ'!A:D,4,0))</f>
        <v>2</v>
      </c>
      <c r="F2320" s="14" t="s">
        <v>3252</v>
      </c>
    </row>
    <row r="2321" spans="1:6" ht="158.6">
      <c r="A2321" s="23">
        <v>43320</v>
      </c>
      <c r="B2321" s="12" t="str">
        <f t="shared" si="36"/>
        <v>433</v>
      </c>
      <c r="C2321" s="14" t="s">
        <v>3295</v>
      </c>
      <c r="D2321" s="13" t="str">
        <f>IF(RIGHT(A2321,3)="000",C2321,VLOOKUP(B2321,'Справочник ИХ'!A:C,3,0))</f>
        <v>Удобрения</v>
      </c>
      <c r="E2321" s="13">
        <f>IF(RIGHT(A2321,3)="000","х",VLOOKUP(B2321,'Справочник ИХ'!A:D,4,0))</f>
        <v>2</v>
      </c>
      <c r="F2321" s="14" t="s">
        <v>3252</v>
      </c>
    </row>
    <row r="2322" spans="1:6" ht="158.6">
      <c r="A2322" s="23">
        <v>43321</v>
      </c>
      <c r="B2322" s="12" t="str">
        <f t="shared" si="36"/>
        <v>433</v>
      </c>
      <c r="C2322" s="14" t="s">
        <v>3296</v>
      </c>
      <c r="D2322" s="13" t="str">
        <f>IF(RIGHT(A2322,3)="000",C2322,VLOOKUP(B2322,'Справочник ИХ'!A:C,3,0))</f>
        <v>Удобрения</v>
      </c>
      <c r="E2322" s="13">
        <f>IF(RIGHT(A2322,3)="000","х",VLOOKUP(B2322,'Справочник ИХ'!A:D,4,0))</f>
        <v>2</v>
      </c>
      <c r="F2322" s="14" t="s">
        <v>3252</v>
      </c>
    </row>
    <row r="2323" spans="1:6" ht="95.15">
      <c r="A2323" s="23">
        <v>43322</v>
      </c>
      <c r="B2323" s="12" t="str">
        <f t="shared" si="36"/>
        <v>433</v>
      </c>
      <c r="C2323" s="14" t="s">
        <v>3297</v>
      </c>
      <c r="D2323" s="13" t="str">
        <f>IF(RIGHT(A2323,3)="000",C2323,VLOOKUP(B2323,'Справочник ИХ'!A:C,3,0))</f>
        <v>Удобрения</v>
      </c>
      <c r="E2323" s="13">
        <f>IF(RIGHT(A2323,3)="000","х",VLOOKUP(B2323,'Справочник ИХ'!A:D,4,0))</f>
        <v>2</v>
      </c>
      <c r="F2323" s="14" t="s">
        <v>3252</v>
      </c>
    </row>
    <row r="2324" spans="1:6" ht="95.15">
      <c r="A2324" s="23">
        <v>43323</v>
      </c>
      <c r="B2324" s="12" t="str">
        <f t="shared" si="36"/>
        <v>433</v>
      </c>
      <c r="C2324" s="14" t="s">
        <v>3298</v>
      </c>
      <c r="D2324" s="13" t="str">
        <f>IF(RIGHT(A2324,3)="000",C2324,VLOOKUP(B2324,'Справочник ИХ'!A:C,3,0))</f>
        <v>Удобрения</v>
      </c>
      <c r="E2324" s="13">
        <f>IF(RIGHT(A2324,3)="000","х",VLOOKUP(B2324,'Справочник ИХ'!A:D,4,0))</f>
        <v>2</v>
      </c>
      <c r="F2324" s="14" t="s">
        <v>3252</v>
      </c>
    </row>
    <row r="2325" spans="1:6" s="18" customFormat="1" ht="47.6">
      <c r="A2325" s="16">
        <v>43400</v>
      </c>
      <c r="B2325" s="12" t="str">
        <f t="shared" si="36"/>
        <v>434</v>
      </c>
      <c r="C2325" s="17" t="s">
        <v>3299</v>
      </c>
      <c r="D2325" s="13" t="str">
        <f>IF(RIGHT(A2325,3)="000",C2325,VLOOKUP(B2325,'Справочник ИХ'!A:C,3,0))</f>
        <v>Удобрения</v>
      </c>
      <c r="E2325" s="13">
        <f>IF(RIGHT(A2325,3)="000","х",VLOOKUP(B2325,'Справочник ИХ'!A:D,4,0))</f>
        <v>2</v>
      </c>
      <c r="F2325" s="14" t="s">
        <v>3252</v>
      </c>
    </row>
    <row r="2326" spans="1:6" ht="47.6">
      <c r="A2326" s="19">
        <v>43401</v>
      </c>
      <c r="B2326" s="12" t="str">
        <f t="shared" si="36"/>
        <v>434</v>
      </c>
      <c r="C2326" s="1" t="s">
        <v>3300</v>
      </c>
      <c r="D2326" s="13" t="str">
        <f>IF(RIGHT(A2326,3)="000",C2326,VLOOKUP(B2326,'Справочник ИХ'!A:C,3,0))</f>
        <v>Удобрения</v>
      </c>
      <c r="E2326" s="13">
        <f>IF(RIGHT(A2326,3)="000","х",VLOOKUP(B2326,'Справочник ИХ'!A:D,4,0))</f>
        <v>2</v>
      </c>
      <c r="F2326" s="14" t="s">
        <v>3252</v>
      </c>
    </row>
    <row r="2327" spans="1:6" ht="47.6">
      <c r="A2327" s="19">
        <v>43402</v>
      </c>
      <c r="B2327" s="12" t="str">
        <f t="shared" si="36"/>
        <v>434</v>
      </c>
      <c r="C2327" s="1" t="s">
        <v>3301</v>
      </c>
      <c r="D2327" s="13" t="str">
        <f>IF(RIGHT(A2327,3)="000",C2327,VLOOKUP(B2327,'Справочник ИХ'!A:C,3,0))</f>
        <v>Удобрения</v>
      </c>
      <c r="E2327" s="13">
        <f>IF(RIGHT(A2327,3)="000","х",VLOOKUP(B2327,'Справочник ИХ'!A:D,4,0))</f>
        <v>2</v>
      </c>
      <c r="F2327" s="14" t="s">
        <v>3252</v>
      </c>
    </row>
    <row r="2328" spans="1:6" ht="47.6">
      <c r="A2328" s="19">
        <v>43403</v>
      </c>
      <c r="B2328" s="12" t="str">
        <f t="shared" si="36"/>
        <v>434</v>
      </c>
      <c r="C2328" s="1" t="s">
        <v>3302</v>
      </c>
      <c r="D2328" s="13" t="str">
        <f>IF(RIGHT(A2328,3)="000",C2328,VLOOKUP(B2328,'Справочник ИХ'!A:C,3,0))</f>
        <v>Удобрения</v>
      </c>
      <c r="E2328" s="13">
        <f>IF(RIGHT(A2328,3)="000","х",VLOOKUP(B2328,'Справочник ИХ'!A:D,4,0))</f>
        <v>2</v>
      </c>
      <c r="F2328" s="14" t="s">
        <v>3252</v>
      </c>
    </row>
    <row r="2329" spans="1:6" ht="47.6">
      <c r="A2329" s="19">
        <v>43404</v>
      </c>
      <c r="B2329" s="12" t="str">
        <f t="shared" si="36"/>
        <v>434</v>
      </c>
      <c r="C2329" s="1" t="s">
        <v>3303</v>
      </c>
      <c r="D2329" s="13" t="str">
        <f>IF(RIGHT(A2329,3)="000",C2329,VLOOKUP(B2329,'Справочник ИХ'!A:C,3,0))</f>
        <v>Удобрения</v>
      </c>
      <c r="E2329" s="13">
        <f>IF(RIGHT(A2329,3)="000","х",VLOOKUP(B2329,'Справочник ИХ'!A:D,4,0))</f>
        <v>2</v>
      </c>
      <c r="F2329" s="14" t="s">
        <v>3252</v>
      </c>
    </row>
    <row r="2330" spans="1:6" ht="47.6">
      <c r="A2330" s="19">
        <v>43405</v>
      </c>
      <c r="B2330" s="12" t="str">
        <f t="shared" si="36"/>
        <v>434</v>
      </c>
      <c r="C2330" s="1" t="s">
        <v>3304</v>
      </c>
      <c r="D2330" s="13" t="str">
        <f>IF(RIGHT(A2330,3)="000",C2330,VLOOKUP(B2330,'Справочник ИХ'!A:C,3,0))</f>
        <v>Удобрения</v>
      </c>
      <c r="E2330" s="13">
        <f>IF(RIGHT(A2330,3)="000","х",VLOOKUP(B2330,'Справочник ИХ'!A:D,4,0))</f>
        <v>2</v>
      </c>
      <c r="F2330" s="14" t="s">
        <v>3252</v>
      </c>
    </row>
    <row r="2331" spans="1:6" ht="47.6">
      <c r="A2331" s="19">
        <v>43406</v>
      </c>
      <c r="B2331" s="12" t="str">
        <f t="shared" si="36"/>
        <v>434</v>
      </c>
      <c r="C2331" s="1" t="s">
        <v>3305</v>
      </c>
      <c r="D2331" s="13" t="str">
        <f>IF(RIGHT(A2331,3)="000",C2331,VLOOKUP(B2331,'Справочник ИХ'!A:C,3,0))</f>
        <v>Удобрения</v>
      </c>
      <c r="E2331" s="13">
        <f>IF(RIGHT(A2331,3)="000","х",VLOOKUP(B2331,'Справочник ИХ'!A:D,4,0))</f>
        <v>2</v>
      </c>
      <c r="F2331" s="14" t="s">
        <v>3252</v>
      </c>
    </row>
    <row r="2332" spans="1:6" ht="47.6">
      <c r="A2332" s="19">
        <v>43407</v>
      </c>
      <c r="B2332" s="12" t="str">
        <f t="shared" si="36"/>
        <v>434</v>
      </c>
      <c r="C2332" s="1" t="s">
        <v>3306</v>
      </c>
      <c r="D2332" s="13" t="str">
        <f>IF(RIGHT(A2332,3)="000",C2332,VLOOKUP(B2332,'Справочник ИХ'!A:C,3,0))</f>
        <v>Удобрения</v>
      </c>
      <c r="E2332" s="13">
        <f>IF(RIGHT(A2332,3)="000","х",VLOOKUP(B2332,'Справочник ИХ'!A:D,4,0))</f>
        <v>2</v>
      </c>
      <c r="F2332" s="14" t="s">
        <v>3252</v>
      </c>
    </row>
    <row r="2333" spans="1:6" ht="47.6">
      <c r="A2333" s="19">
        <v>43409</v>
      </c>
      <c r="B2333" s="12" t="str">
        <f t="shared" si="36"/>
        <v>434</v>
      </c>
      <c r="C2333" s="1" t="s">
        <v>3307</v>
      </c>
      <c r="D2333" s="13" t="str">
        <f>IF(RIGHT(A2333,3)="000",C2333,VLOOKUP(B2333,'Справочник ИХ'!A:C,3,0))</f>
        <v>Удобрения</v>
      </c>
      <c r="E2333" s="13">
        <f>IF(RIGHT(A2333,3)="000","х",VLOOKUP(B2333,'Справочник ИХ'!A:D,4,0))</f>
        <v>2</v>
      </c>
      <c r="F2333" s="14" t="s">
        <v>3252</v>
      </c>
    </row>
    <row r="2334" spans="1:6" ht="47.6">
      <c r="A2334" s="19">
        <v>43410</v>
      </c>
      <c r="B2334" s="12" t="str">
        <f t="shared" si="36"/>
        <v>434</v>
      </c>
      <c r="C2334" s="1" t="s">
        <v>3308</v>
      </c>
      <c r="D2334" s="13" t="str">
        <f>IF(RIGHT(A2334,3)="000",C2334,VLOOKUP(B2334,'Справочник ИХ'!A:C,3,0))</f>
        <v>Удобрения</v>
      </c>
      <c r="E2334" s="13">
        <f>IF(RIGHT(A2334,3)="000","х",VLOOKUP(B2334,'Справочник ИХ'!A:D,4,0))</f>
        <v>2</v>
      </c>
      <c r="F2334" s="14" t="s">
        <v>3252</v>
      </c>
    </row>
    <row r="2335" spans="1:6" s="18" customFormat="1" ht="47.6">
      <c r="A2335" s="16">
        <v>43500</v>
      </c>
      <c r="B2335" s="12" t="str">
        <f t="shared" si="36"/>
        <v>435</v>
      </c>
      <c r="C2335" s="17" t="s">
        <v>3309</v>
      </c>
      <c r="D2335" s="13" t="str">
        <f>IF(RIGHT(A2335,3)="000",C2335,VLOOKUP(B2335,'Справочник ИХ'!A:C,3,0))</f>
        <v>Удобрения</v>
      </c>
      <c r="E2335" s="13">
        <f>IF(RIGHT(A2335,3)="000","х",VLOOKUP(B2335,'Справочник ИХ'!A:D,4,0))</f>
        <v>2</v>
      </c>
      <c r="F2335" s="14" t="s">
        <v>3252</v>
      </c>
    </row>
    <row r="2336" spans="1:6" ht="47.6">
      <c r="A2336" s="19" t="s">
        <v>3310</v>
      </c>
      <c r="B2336" s="12" t="str">
        <f t="shared" si="36"/>
        <v>435</v>
      </c>
      <c r="C2336" s="1" t="s">
        <v>3311</v>
      </c>
      <c r="D2336" s="13" t="str">
        <f>IF(RIGHT(A2336,3)="000",C2336,VLOOKUP(B2336,'Справочник ИХ'!A:C,3,0))</f>
        <v>Удобрения</v>
      </c>
      <c r="E2336" s="13">
        <f>IF(RIGHT(A2336,3)="000","х",VLOOKUP(B2336,'Справочник ИХ'!A:D,4,0))</f>
        <v>2</v>
      </c>
      <c r="F2336" s="14" t="s">
        <v>3252</v>
      </c>
    </row>
    <row r="2337" spans="1:6" ht="47.6">
      <c r="A2337" s="19" t="s">
        <v>3312</v>
      </c>
      <c r="B2337" s="12" t="str">
        <f t="shared" si="36"/>
        <v>435</v>
      </c>
      <c r="C2337" s="1" t="s">
        <v>3313</v>
      </c>
      <c r="D2337" s="13" t="str">
        <f>IF(RIGHT(A2337,3)="000",C2337,VLOOKUP(B2337,'Справочник ИХ'!A:C,3,0))</f>
        <v>Удобрения</v>
      </c>
      <c r="E2337" s="13">
        <f>IF(RIGHT(A2337,3)="000","х",VLOOKUP(B2337,'Справочник ИХ'!A:D,4,0))</f>
        <v>2</v>
      </c>
      <c r="F2337" s="14" t="s">
        <v>3252</v>
      </c>
    </row>
    <row r="2338" spans="1:6" ht="47.6">
      <c r="A2338" s="19" t="s">
        <v>3314</v>
      </c>
      <c r="B2338" s="12" t="str">
        <f t="shared" si="36"/>
        <v>435</v>
      </c>
      <c r="C2338" s="1" t="s">
        <v>3315</v>
      </c>
      <c r="D2338" s="13" t="str">
        <f>IF(RIGHT(A2338,3)="000",C2338,VLOOKUP(B2338,'Справочник ИХ'!A:C,3,0))</f>
        <v>Удобрения</v>
      </c>
      <c r="E2338" s="13">
        <f>IF(RIGHT(A2338,3)="000","х",VLOOKUP(B2338,'Справочник ИХ'!A:D,4,0))</f>
        <v>2</v>
      </c>
      <c r="F2338" s="14" t="s">
        <v>3252</v>
      </c>
    </row>
    <row r="2339" spans="1:6" ht="47.6">
      <c r="A2339" s="19" t="s">
        <v>3316</v>
      </c>
      <c r="B2339" s="12" t="str">
        <f t="shared" si="36"/>
        <v>435</v>
      </c>
      <c r="C2339" s="1" t="s">
        <v>3317</v>
      </c>
      <c r="D2339" s="13" t="str">
        <f>IF(RIGHT(A2339,3)="000",C2339,VLOOKUP(B2339,'Справочник ИХ'!A:C,3,0))</f>
        <v>Удобрения</v>
      </c>
      <c r="E2339" s="13">
        <f>IF(RIGHT(A2339,3)="000","х",VLOOKUP(B2339,'Справочник ИХ'!A:D,4,0))</f>
        <v>2</v>
      </c>
      <c r="F2339" s="14" t="s">
        <v>3252</v>
      </c>
    </row>
    <row r="2340" spans="1:6" ht="47.6">
      <c r="A2340" s="19" t="s">
        <v>3318</v>
      </c>
      <c r="B2340" s="12" t="str">
        <f t="shared" si="36"/>
        <v>435</v>
      </c>
      <c r="C2340" s="1" t="s">
        <v>3319</v>
      </c>
      <c r="D2340" s="13" t="str">
        <f>IF(RIGHT(A2340,3)="000",C2340,VLOOKUP(B2340,'Справочник ИХ'!A:C,3,0))</f>
        <v>Удобрения</v>
      </c>
      <c r="E2340" s="13">
        <f>IF(RIGHT(A2340,3)="000","х",VLOOKUP(B2340,'Справочник ИХ'!A:D,4,0))</f>
        <v>2</v>
      </c>
      <c r="F2340" s="14" t="s">
        <v>3252</v>
      </c>
    </row>
    <row r="2341" spans="1:6" ht="47.6">
      <c r="A2341" s="19" t="s">
        <v>3320</v>
      </c>
      <c r="B2341" s="12" t="str">
        <f t="shared" si="36"/>
        <v>435</v>
      </c>
      <c r="C2341" s="1" t="s">
        <v>3321</v>
      </c>
      <c r="D2341" s="13" t="str">
        <f>IF(RIGHT(A2341,3)="000",C2341,VLOOKUP(B2341,'Справочник ИХ'!A:C,3,0))</f>
        <v>Удобрения</v>
      </c>
      <c r="E2341" s="13">
        <f>IF(RIGHT(A2341,3)="000","х",VLOOKUP(B2341,'Справочник ИХ'!A:D,4,0))</f>
        <v>2</v>
      </c>
      <c r="F2341" s="14" t="s">
        <v>3252</v>
      </c>
    </row>
    <row r="2342" spans="1:6" ht="47.6">
      <c r="A2342" s="19" t="s">
        <v>3322</v>
      </c>
      <c r="B2342" s="12" t="str">
        <f t="shared" si="36"/>
        <v>435</v>
      </c>
      <c r="C2342" s="1" t="s">
        <v>3323</v>
      </c>
      <c r="D2342" s="13" t="str">
        <f>IF(RIGHT(A2342,3)="000",C2342,VLOOKUP(B2342,'Справочник ИХ'!A:C,3,0))</f>
        <v>Удобрения</v>
      </c>
      <c r="E2342" s="13">
        <f>IF(RIGHT(A2342,3)="000","х",VLOOKUP(B2342,'Справочник ИХ'!A:D,4,0))</f>
        <v>2</v>
      </c>
      <c r="F2342" s="14" t="s">
        <v>3252</v>
      </c>
    </row>
    <row r="2343" spans="1:6" ht="47.6">
      <c r="A2343" s="19" t="s">
        <v>3324</v>
      </c>
      <c r="B2343" s="12" t="str">
        <f t="shared" si="36"/>
        <v>435</v>
      </c>
      <c r="C2343" s="1" t="s">
        <v>3325</v>
      </c>
      <c r="D2343" s="13" t="str">
        <f>IF(RIGHT(A2343,3)="000",C2343,VLOOKUP(B2343,'Справочник ИХ'!A:C,3,0))</f>
        <v>Удобрения</v>
      </c>
      <c r="E2343" s="13">
        <f>IF(RIGHT(A2343,3)="000","х",VLOOKUP(B2343,'Справочник ИХ'!A:D,4,0))</f>
        <v>2</v>
      </c>
      <c r="F2343" s="14" t="s">
        <v>3252</v>
      </c>
    </row>
    <row r="2344" spans="1:6" ht="47.6">
      <c r="A2344" s="19" t="s">
        <v>3326</v>
      </c>
      <c r="B2344" s="12" t="str">
        <f t="shared" si="36"/>
        <v>435</v>
      </c>
      <c r="C2344" s="1" t="s">
        <v>3327</v>
      </c>
      <c r="D2344" s="13" t="str">
        <f>IF(RIGHT(A2344,3)="000",C2344,VLOOKUP(B2344,'Справочник ИХ'!A:C,3,0))</f>
        <v>Удобрения</v>
      </c>
      <c r="E2344" s="13">
        <f>IF(RIGHT(A2344,3)="000","х",VLOOKUP(B2344,'Справочник ИХ'!A:D,4,0))</f>
        <v>2</v>
      </c>
      <c r="F2344" s="14" t="s">
        <v>3252</v>
      </c>
    </row>
    <row r="2345" spans="1:6" ht="47.6">
      <c r="A2345" s="19" t="s">
        <v>3328</v>
      </c>
      <c r="B2345" s="12" t="str">
        <f t="shared" si="36"/>
        <v>435</v>
      </c>
      <c r="C2345" s="1" t="s">
        <v>3329</v>
      </c>
      <c r="D2345" s="13" t="str">
        <f>IF(RIGHT(A2345,3)="000",C2345,VLOOKUP(B2345,'Справочник ИХ'!A:C,3,0))</f>
        <v>Удобрения</v>
      </c>
      <c r="E2345" s="13">
        <f>IF(RIGHT(A2345,3)="000","х",VLOOKUP(B2345,'Справочник ИХ'!A:D,4,0))</f>
        <v>2</v>
      </c>
      <c r="F2345" s="14" t="s">
        <v>3252</v>
      </c>
    </row>
    <row r="2346" spans="1:6" s="18" customFormat="1" ht="47.6">
      <c r="A2346" s="16">
        <v>43600</v>
      </c>
      <c r="B2346" s="12" t="str">
        <f t="shared" si="36"/>
        <v>436</v>
      </c>
      <c r="C2346" s="17" t="s">
        <v>3330</v>
      </c>
      <c r="D2346" s="13" t="str">
        <f>IF(RIGHT(A2346,3)="000",C2346,VLOOKUP(B2346,'Справочник ИХ'!A:C,3,0))</f>
        <v>Удобрения</v>
      </c>
      <c r="E2346" s="13">
        <f>IF(RIGHT(A2346,3)="000","х",VLOOKUP(B2346,'Справочник ИХ'!A:D,4,0))</f>
        <v>2</v>
      </c>
      <c r="F2346" s="14" t="s">
        <v>3252</v>
      </c>
    </row>
    <row r="2347" spans="1:6" ht="47.6">
      <c r="A2347" s="19">
        <v>43601</v>
      </c>
      <c r="B2347" s="12" t="str">
        <f t="shared" si="36"/>
        <v>436</v>
      </c>
      <c r="C2347" s="1" t="s">
        <v>3331</v>
      </c>
      <c r="D2347" s="13" t="str">
        <f>IF(RIGHT(A2347,3)="000",C2347,VLOOKUP(B2347,'Справочник ИХ'!A:C,3,0))</f>
        <v>Удобрения</v>
      </c>
      <c r="E2347" s="13">
        <f>IF(RIGHT(A2347,3)="000","х",VLOOKUP(B2347,'Справочник ИХ'!A:D,4,0))</f>
        <v>2</v>
      </c>
      <c r="F2347" s="14" t="s">
        <v>3252</v>
      </c>
    </row>
    <row r="2348" spans="1:6" ht="47.6">
      <c r="A2348" s="19">
        <v>43602</v>
      </c>
      <c r="B2348" s="12" t="str">
        <f t="shared" si="36"/>
        <v>436</v>
      </c>
      <c r="C2348" s="1" t="s">
        <v>3332</v>
      </c>
      <c r="D2348" s="13" t="str">
        <f>IF(RIGHT(A2348,3)="000",C2348,VLOOKUP(B2348,'Справочник ИХ'!A:C,3,0))</f>
        <v>Удобрения</v>
      </c>
      <c r="E2348" s="13">
        <f>IF(RIGHT(A2348,3)="000","х",VLOOKUP(B2348,'Справочник ИХ'!A:D,4,0))</f>
        <v>2</v>
      </c>
      <c r="F2348" s="14" t="s">
        <v>3252</v>
      </c>
    </row>
    <row r="2349" spans="1:6" ht="47.6">
      <c r="A2349" s="19">
        <v>43603</v>
      </c>
      <c r="B2349" s="12" t="str">
        <f t="shared" si="36"/>
        <v>436</v>
      </c>
      <c r="C2349" s="1" t="s">
        <v>3333</v>
      </c>
      <c r="D2349" s="13" t="str">
        <f>IF(RIGHT(A2349,3)="000",C2349,VLOOKUP(B2349,'Справочник ИХ'!A:C,3,0))</f>
        <v>Удобрения</v>
      </c>
      <c r="E2349" s="13">
        <f>IF(RIGHT(A2349,3)="000","х",VLOOKUP(B2349,'Справочник ИХ'!A:D,4,0))</f>
        <v>2</v>
      </c>
      <c r="F2349" s="14" t="s">
        <v>3252</v>
      </c>
    </row>
    <row r="2350" spans="1:6" ht="47.6">
      <c r="A2350" s="19">
        <v>43604</v>
      </c>
      <c r="B2350" s="12" t="str">
        <f t="shared" si="36"/>
        <v>436</v>
      </c>
      <c r="C2350" s="1" t="s">
        <v>3334</v>
      </c>
      <c r="D2350" s="13" t="str">
        <f>IF(RIGHT(A2350,3)="000",C2350,VLOOKUP(B2350,'Справочник ИХ'!A:C,3,0))</f>
        <v>Удобрения</v>
      </c>
      <c r="E2350" s="13">
        <f>IF(RIGHT(A2350,3)="000","х",VLOOKUP(B2350,'Справочник ИХ'!A:D,4,0))</f>
        <v>2</v>
      </c>
      <c r="F2350" s="14" t="s">
        <v>3252</v>
      </c>
    </row>
    <row r="2351" spans="1:6" ht="47.6">
      <c r="A2351" s="19">
        <v>43605</v>
      </c>
      <c r="B2351" s="12" t="str">
        <f t="shared" si="36"/>
        <v>436</v>
      </c>
      <c r="C2351" s="1" t="s">
        <v>3335</v>
      </c>
      <c r="D2351" s="13" t="str">
        <f>IF(RIGHT(A2351,3)="000",C2351,VLOOKUP(B2351,'Справочник ИХ'!A:C,3,0))</f>
        <v>Удобрения</v>
      </c>
      <c r="E2351" s="13">
        <f>IF(RIGHT(A2351,3)="000","х",VLOOKUP(B2351,'Справочник ИХ'!A:D,4,0))</f>
        <v>2</v>
      </c>
      <c r="F2351" s="14" t="s">
        <v>3252</v>
      </c>
    </row>
    <row r="2352" spans="1:6" ht="47.6">
      <c r="A2352" s="19">
        <v>43606</v>
      </c>
      <c r="B2352" s="12" t="str">
        <f t="shared" si="36"/>
        <v>436</v>
      </c>
      <c r="C2352" s="1" t="s">
        <v>3336</v>
      </c>
      <c r="D2352" s="13" t="str">
        <f>IF(RIGHT(A2352,3)="000",C2352,VLOOKUP(B2352,'Справочник ИХ'!A:C,3,0))</f>
        <v>Удобрения</v>
      </c>
      <c r="E2352" s="13">
        <f>IF(RIGHT(A2352,3)="000","х",VLOOKUP(B2352,'Справочник ИХ'!A:D,4,0))</f>
        <v>2</v>
      </c>
      <c r="F2352" s="14" t="s">
        <v>3252</v>
      </c>
    </row>
    <row r="2353" spans="1:6" ht="47.6">
      <c r="A2353" s="19">
        <v>43607</v>
      </c>
      <c r="B2353" s="12" t="str">
        <f t="shared" si="36"/>
        <v>436</v>
      </c>
      <c r="C2353" s="1" t="s">
        <v>3337</v>
      </c>
      <c r="D2353" s="13" t="str">
        <f>IF(RIGHT(A2353,3)="000",C2353,VLOOKUP(B2353,'Справочник ИХ'!A:C,3,0))</f>
        <v>Удобрения</v>
      </c>
      <c r="E2353" s="13">
        <f>IF(RIGHT(A2353,3)="000","х",VLOOKUP(B2353,'Справочник ИХ'!A:D,4,0))</f>
        <v>2</v>
      </c>
      <c r="F2353" s="14" t="s">
        <v>3252</v>
      </c>
    </row>
    <row r="2354" spans="1:6" ht="47.6">
      <c r="A2354" s="19">
        <v>43608</v>
      </c>
      <c r="B2354" s="12" t="str">
        <f t="shared" si="36"/>
        <v>436</v>
      </c>
      <c r="C2354" s="1" t="s">
        <v>3338</v>
      </c>
      <c r="D2354" s="13" t="str">
        <f>IF(RIGHT(A2354,3)="000",C2354,VLOOKUP(B2354,'Справочник ИХ'!A:C,3,0))</f>
        <v>Удобрения</v>
      </c>
      <c r="E2354" s="13">
        <f>IF(RIGHT(A2354,3)="000","х",VLOOKUP(B2354,'Справочник ИХ'!A:D,4,0))</f>
        <v>2</v>
      </c>
      <c r="F2354" s="14" t="s">
        <v>3252</v>
      </c>
    </row>
    <row r="2355" spans="1:6" ht="47.6">
      <c r="A2355" s="19">
        <v>43609</v>
      </c>
      <c r="B2355" s="12" t="str">
        <f t="shared" si="36"/>
        <v>436</v>
      </c>
      <c r="C2355" s="1" t="s">
        <v>3339</v>
      </c>
      <c r="D2355" s="13" t="str">
        <f>IF(RIGHT(A2355,3)="000",C2355,VLOOKUP(B2355,'Справочник ИХ'!A:C,3,0))</f>
        <v>Удобрения</v>
      </c>
      <c r="E2355" s="13">
        <f>IF(RIGHT(A2355,3)="000","х",VLOOKUP(B2355,'Справочник ИХ'!A:D,4,0))</f>
        <v>2</v>
      </c>
      <c r="F2355" s="14" t="s">
        <v>3252</v>
      </c>
    </row>
    <row r="2356" spans="1:6" ht="47.6">
      <c r="A2356" s="19">
        <v>43610</v>
      </c>
      <c r="B2356" s="12" t="str">
        <f t="shared" si="36"/>
        <v>436</v>
      </c>
      <c r="C2356" s="1" t="s">
        <v>3340</v>
      </c>
      <c r="D2356" s="13" t="str">
        <f>IF(RIGHT(A2356,3)="000",C2356,VLOOKUP(B2356,'Справочник ИХ'!A:C,3,0))</f>
        <v>Удобрения</v>
      </c>
      <c r="E2356" s="13">
        <f>IF(RIGHT(A2356,3)="000","х",VLOOKUP(B2356,'Справочник ИХ'!A:D,4,0))</f>
        <v>2</v>
      </c>
      <c r="F2356" s="14" t="s">
        <v>3252</v>
      </c>
    </row>
    <row r="2357" spans="1:6" ht="47.6">
      <c r="A2357" s="19">
        <v>43611</v>
      </c>
      <c r="B2357" s="12" t="str">
        <f t="shared" si="36"/>
        <v>436</v>
      </c>
      <c r="C2357" s="1" t="s">
        <v>3341</v>
      </c>
      <c r="D2357" s="13" t="str">
        <f>IF(RIGHT(A2357,3)="000",C2357,VLOOKUP(B2357,'Справочник ИХ'!A:C,3,0))</f>
        <v>Удобрения</v>
      </c>
      <c r="E2357" s="13">
        <f>IF(RIGHT(A2357,3)="000","х",VLOOKUP(B2357,'Справочник ИХ'!A:D,4,0))</f>
        <v>2</v>
      </c>
      <c r="F2357" s="14" t="s">
        <v>3252</v>
      </c>
    </row>
    <row r="2358" spans="1:6" ht="47.6">
      <c r="A2358" s="19">
        <v>43612</v>
      </c>
      <c r="B2358" s="12" t="str">
        <f t="shared" si="36"/>
        <v>436</v>
      </c>
      <c r="C2358" s="1" t="s">
        <v>3342</v>
      </c>
      <c r="D2358" s="13" t="str">
        <f>IF(RIGHT(A2358,3)="000",C2358,VLOOKUP(B2358,'Справочник ИХ'!A:C,3,0))</f>
        <v>Удобрения</v>
      </c>
      <c r="E2358" s="13">
        <f>IF(RIGHT(A2358,3)="000","х",VLOOKUP(B2358,'Справочник ИХ'!A:D,4,0))</f>
        <v>2</v>
      </c>
      <c r="F2358" s="14" t="s">
        <v>3252</v>
      </c>
    </row>
    <row r="2359" spans="1:6" ht="47.6">
      <c r="A2359" s="19">
        <v>43613</v>
      </c>
      <c r="B2359" s="12" t="str">
        <f t="shared" si="36"/>
        <v>436</v>
      </c>
      <c r="C2359" s="1" t="s">
        <v>3343</v>
      </c>
      <c r="D2359" s="13" t="str">
        <f>IF(RIGHT(A2359,3)="000",C2359,VLOOKUP(B2359,'Справочник ИХ'!A:C,3,0))</f>
        <v>Удобрения</v>
      </c>
      <c r="E2359" s="13">
        <f>IF(RIGHT(A2359,3)="000","х",VLOOKUP(B2359,'Справочник ИХ'!A:D,4,0))</f>
        <v>2</v>
      </c>
      <c r="F2359" s="14" t="s">
        <v>3252</v>
      </c>
    </row>
    <row r="2360" spans="1:6" ht="47.6">
      <c r="A2360" s="19">
        <v>43614</v>
      </c>
      <c r="B2360" s="12" t="str">
        <f t="shared" si="36"/>
        <v>436</v>
      </c>
      <c r="C2360" s="1" t="s">
        <v>3344</v>
      </c>
      <c r="D2360" s="13" t="str">
        <f>IF(RIGHT(A2360,3)="000",C2360,VLOOKUP(B2360,'Справочник ИХ'!A:C,3,0))</f>
        <v>Удобрения</v>
      </c>
      <c r="E2360" s="13">
        <f>IF(RIGHT(A2360,3)="000","х",VLOOKUP(B2360,'Справочник ИХ'!A:D,4,0))</f>
        <v>2</v>
      </c>
      <c r="F2360" s="14" t="s">
        <v>3252</v>
      </c>
    </row>
    <row r="2361" spans="1:6" ht="47.6">
      <c r="A2361" s="19">
        <v>43615</v>
      </c>
      <c r="B2361" s="12" t="str">
        <f t="shared" si="36"/>
        <v>436</v>
      </c>
      <c r="C2361" s="1" t="s">
        <v>3345</v>
      </c>
      <c r="D2361" s="13" t="str">
        <f>IF(RIGHT(A2361,3)="000",C2361,VLOOKUP(B2361,'Справочник ИХ'!A:C,3,0))</f>
        <v>Удобрения</v>
      </c>
      <c r="E2361" s="13">
        <f>IF(RIGHT(A2361,3)="000","х",VLOOKUP(B2361,'Справочник ИХ'!A:D,4,0))</f>
        <v>2</v>
      </c>
      <c r="F2361" s="14" t="s">
        <v>3252</v>
      </c>
    </row>
    <row r="2362" spans="1:6" ht="47.6">
      <c r="A2362" s="19">
        <v>43616</v>
      </c>
      <c r="B2362" s="12" t="str">
        <f t="shared" si="36"/>
        <v>436</v>
      </c>
      <c r="C2362" s="1" t="s">
        <v>3346</v>
      </c>
      <c r="D2362" s="13" t="str">
        <f>IF(RIGHT(A2362,3)="000",C2362,VLOOKUP(B2362,'Справочник ИХ'!A:C,3,0))</f>
        <v>Удобрения</v>
      </c>
      <c r="E2362" s="13">
        <f>IF(RIGHT(A2362,3)="000","х",VLOOKUP(B2362,'Справочник ИХ'!A:D,4,0))</f>
        <v>2</v>
      </c>
      <c r="F2362" s="14" t="s">
        <v>3252</v>
      </c>
    </row>
    <row r="2363" spans="1:6" ht="47.6">
      <c r="A2363" s="19">
        <v>43617</v>
      </c>
      <c r="B2363" s="12" t="str">
        <f t="shared" si="36"/>
        <v>436</v>
      </c>
      <c r="C2363" s="1" t="s">
        <v>3347</v>
      </c>
      <c r="D2363" s="13" t="str">
        <f>IF(RIGHT(A2363,3)="000",C2363,VLOOKUP(B2363,'Справочник ИХ'!A:C,3,0))</f>
        <v>Удобрения</v>
      </c>
      <c r="E2363" s="13">
        <f>IF(RIGHT(A2363,3)="000","х",VLOOKUP(B2363,'Справочник ИХ'!A:D,4,0))</f>
        <v>2</v>
      </c>
      <c r="F2363" s="14" t="s">
        <v>3252</v>
      </c>
    </row>
    <row r="2364" spans="1:6" ht="47.6">
      <c r="A2364" s="19">
        <v>43618</v>
      </c>
      <c r="B2364" s="12" t="str">
        <f t="shared" si="36"/>
        <v>436</v>
      </c>
      <c r="C2364" s="1" t="s">
        <v>3348</v>
      </c>
      <c r="D2364" s="13" t="str">
        <f>IF(RIGHT(A2364,3)="000",C2364,VLOOKUP(B2364,'Справочник ИХ'!A:C,3,0))</f>
        <v>Удобрения</v>
      </c>
      <c r="E2364" s="13">
        <f>IF(RIGHT(A2364,3)="000","х",VLOOKUP(B2364,'Справочник ИХ'!A:D,4,0))</f>
        <v>2</v>
      </c>
      <c r="F2364" s="14" t="s">
        <v>3252</v>
      </c>
    </row>
    <row r="2365" spans="1:6" ht="47.6">
      <c r="A2365" s="19">
        <v>43619</v>
      </c>
      <c r="B2365" s="12" t="str">
        <f t="shared" si="36"/>
        <v>436</v>
      </c>
      <c r="C2365" s="1" t="s">
        <v>3349</v>
      </c>
      <c r="D2365" s="13" t="str">
        <f>IF(RIGHT(A2365,3)="000",C2365,VLOOKUP(B2365,'Справочник ИХ'!A:C,3,0))</f>
        <v>Удобрения</v>
      </c>
      <c r="E2365" s="13">
        <f>IF(RIGHT(A2365,3)="000","х",VLOOKUP(B2365,'Справочник ИХ'!A:D,4,0))</f>
        <v>2</v>
      </c>
      <c r="F2365" s="14" t="s">
        <v>3252</v>
      </c>
    </row>
    <row r="2366" spans="1:6" ht="47.6">
      <c r="A2366" s="19">
        <v>43620</v>
      </c>
      <c r="B2366" s="12" t="str">
        <f t="shared" si="36"/>
        <v>436</v>
      </c>
      <c r="C2366" s="1" t="s">
        <v>3350</v>
      </c>
      <c r="D2366" s="13" t="str">
        <f>IF(RIGHT(A2366,3)="000",C2366,VLOOKUP(B2366,'Справочник ИХ'!A:C,3,0))</f>
        <v>Удобрения</v>
      </c>
      <c r="E2366" s="13">
        <f>IF(RIGHT(A2366,3)="000","х",VLOOKUP(B2366,'Справочник ИХ'!A:D,4,0))</f>
        <v>2</v>
      </c>
      <c r="F2366" s="14" t="s">
        <v>3252</v>
      </c>
    </row>
    <row r="2367" spans="1:6" s="15" customFormat="1" ht="79.3">
      <c r="A2367" s="7">
        <v>44000</v>
      </c>
      <c r="B2367" s="12" t="str">
        <f t="shared" si="36"/>
        <v>440</v>
      </c>
      <c r="C2367" s="11" t="s">
        <v>3351</v>
      </c>
      <c r="D2367" s="13" t="str">
        <f>IF(RIGHT(A2367,3)="000",C2367,VLOOKUP(B2367,'Справочник ИХ'!A:C,3,0))</f>
        <v>Продукция химико-фармацевтической и парфюмерно-косметической промышленности. Мыло</v>
      </c>
      <c r="E2367" s="13" t="str">
        <f>IF(RIGHT(A2367,3)="000","х",VLOOKUP(B2367,'Справочник ИХ'!A:D,4,0))</f>
        <v>х</v>
      </c>
      <c r="F2367" s="14" t="s">
        <v>3351</v>
      </c>
    </row>
    <row r="2368" spans="1:6" s="18" customFormat="1" ht="47.6">
      <c r="A2368" s="16">
        <v>44100</v>
      </c>
      <c r="B2368" s="12" t="str">
        <f t="shared" si="36"/>
        <v>441</v>
      </c>
      <c r="C2368" s="17" t="s">
        <v>3352</v>
      </c>
      <c r="D2368" s="13" t="str">
        <f>IF(RIGHT(A2368,3)="000",C2368,VLOOKUP(B2368,'Справочник ИХ'!A:C,3,0))</f>
        <v>Остальные грузы</v>
      </c>
      <c r="E2368" s="13">
        <f>IF(RIGHT(A2368,3)="000","х",VLOOKUP(B2368,'Справочник ИХ'!A:D,4,0))</f>
        <v>2</v>
      </c>
      <c r="F2368" s="14" t="s">
        <v>3351</v>
      </c>
    </row>
    <row r="2369" spans="1:6" ht="47.6">
      <c r="A2369" s="19">
        <v>44101</v>
      </c>
      <c r="B2369" s="12" t="str">
        <f t="shared" si="36"/>
        <v>441</v>
      </c>
      <c r="C2369" s="1" t="s">
        <v>3353</v>
      </c>
      <c r="D2369" s="13" t="str">
        <f>IF(RIGHT(A2369,3)="000",C2369,VLOOKUP(B2369,'Справочник ИХ'!A:C,3,0))</f>
        <v>Остальные грузы</v>
      </c>
      <c r="E2369" s="13">
        <f>IF(RIGHT(A2369,3)="000","х",VLOOKUP(B2369,'Справочник ИХ'!A:D,4,0))</f>
        <v>2</v>
      </c>
      <c r="F2369" s="14" t="s">
        <v>3351</v>
      </c>
    </row>
    <row r="2370" spans="1:6" ht="47.6">
      <c r="A2370" s="19">
        <v>44102</v>
      </c>
      <c r="B2370" s="12" t="str">
        <f t="shared" si="36"/>
        <v>441</v>
      </c>
      <c r="C2370" s="1" t="s">
        <v>3354</v>
      </c>
      <c r="D2370" s="13" t="str">
        <f>IF(RIGHT(A2370,3)="000",C2370,VLOOKUP(B2370,'Справочник ИХ'!A:C,3,0))</f>
        <v>Остальные грузы</v>
      </c>
      <c r="E2370" s="13">
        <f>IF(RIGHT(A2370,3)="000","х",VLOOKUP(B2370,'Справочник ИХ'!A:D,4,0))</f>
        <v>2</v>
      </c>
      <c r="F2370" s="14" t="s">
        <v>3351</v>
      </c>
    </row>
    <row r="2371" spans="1:6" ht="47.6">
      <c r="A2371" s="19">
        <v>44103</v>
      </c>
      <c r="B2371" s="12" t="str">
        <f t="shared" si="36"/>
        <v>441</v>
      </c>
      <c r="C2371" s="1" t="s">
        <v>3355</v>
      </c>
      <c r="D2371" s="13" t="str">
        <f>IF(RIGHT(A2371,3)="000",C2371,VLOOKUP(B2371,'Справочник ИХ'!A:C,3,0))</f>
        <v>Остальные грузы</v>
      </c>
      <c r="E2371" s="13">
        <f>IF(RIGHT(A2371,3)="000","х",VLOOKUP(B2371,'Справочник ИХ'!A:D,4,0))</f>
        <v>2</v>
      </c>
      <c r="F2371" s="14" t="s">
        <v>3351</v>
      </c>
    </row>
    <row r="2372" spans="1:6" ht="47.6">
      <c r="A2372" s="19">
        <v>44104</v>
      </c>
      <c r="B2372" s="12" t="str">
        <f t="shared" ref="B2372:B2435" si="37">LEFT(A2372,3)</f>
        <v>441</v>
      </c>
      <c r="C2372" s="1" t="s">
        <v>3356</v>
      </c>
      <c r="D2372" s="13" t="str">
        <f>IF(RIGHT(A2372,3)="000",C2372,VLOOKUP(B2372,'Справочник ИХ'!A:C,3,0))</f>
        <v>Остальные грузы</v>
      </c>
      <c r="E2372" s="13">
        <f>IF(RIGHT(A2372,3)="000","х",VLOOKUP(B2372,'Справочник ИХ'!A:D,4,0))</f>
        <v>2</v>
      </c>
      <c r="F2372" s="14" t="s">
        <v>3351</v>
      </c>
    </row>
    <row r="2373" spans="1:6" ht="47.6">
      <c r="A2373" s="19">
        <v>44105</v>
      </c>
      <c r="B2373" s="12" t="str">
        <f t="shared" si="37"/>
        <v>441</v>
      </c>
      <c r="C2373" s="1" t="s">
        <v>3357</v>
      </c>
      <c r="D2373" s="13" t="str">
        <f>IF(RIGHT(A2373,3)="000",C2373,VLOOKUP(B2373,'Справочник ИХ'!A:C,3,0))</f>
        <v>Остальные грузы</v>
      </c>
      <c r="E2373" s="13">
        <f>IF(RIGHT(A2373,3)="000","х",VLOOKUP(B2373,'Справочник ИХ'!A:D,4,0))</f>
        <v>2</v>
      </c>
      <c r="F2373" s="14" t="s">
        <v>3351</v>
      </c>
    </row>
    <row r="2374" spans="1:6" ht="47.6">
      <c r="A2374" s="19">
        <v>44106</v>
      </c>
      <c r="B2374" s="12" t="str">
        <f t="shared" si="37"/>
        <v>441</v>
      </c>
      <c r="C2374" s="1" t="s">
        <v>3358</v>
      </c>
      <c r="D2374" s="13" t="str">
        <f>IF(RIGHT(A2374,3)="000",C2374,VLOOKUP(B2374,'Справочник ИХ'!A:C,3,0))</f>
        <v>Остальные грузы</v>
      </c>
      <c r="E2374" s="13">
        <f>IF(RIGHT(A2374,3)="000","х",VLOOKUP(B2374,'Справочник ИХ'!A:D,4,0))</f>
        <v>2</v>
      </c>
      <c r="F2374" s="14" t="s">
        <v>3351</v>
      </c>
    </row>
    <row r="2375" spans="1:6" ht="47.6">
      <c r="A2375" s="19">
        <v>44107</v>
      </c>
      <c r="B2375" s="12" t="str">
        <f t="shared" si="37"/>
        <v>441</v>
      </c>
      <c r="C2375" s="1" t="s">
        <v>3359</v>
      </c>
      <c r="D2375" s="13" t="str">
        <f>IF(RIGHT(A2375,3)="000",C2375,VLOOKUP(B2375,'Справочник ИХ'!A:C,3,0))</f>
        <v>Остальные грузы</v>
      </c>
      <c r="E2375" s="13">
        <f>IF(RIGHT(A2375,3)="000","х",VLOOKUP(B2375,'Справочник ИХ'!A:D,4,0))</f>
        <v>2</v>
      </c>
      <c r="F2375" s="14" t="s">
        <v>3351</v>
      </c>
    </row>
    <row r="2376" spans="1:6" ht="47.6">
      <c r="A2376" s="19">
        <v>44108</v>
      </c>
      <c r="B2376" s="12" t="str">
        <f t="shared" si="37"/>
        <v>441</v>
      </c>
      <c r="C2376" s="1" t="s">
        <v>3360</v>
      </c>
      <c r="D2376" s="13" t="str">
        <f>IF(RIGHT(A2376,3)="000",C2376,VLOOKUP(B2376,'Справочник ИХ'!A:C,3,0))</f>
        <v>Остальные грузы</v>
      </c>
      <c r="E2376" s="13">
        <f>IF(RIGHT(A2376,3)="000","х",VLOOKUP(B2376,'Справочник ИХ'!A:D,4,0))</f>
        <v>2</v>
      </c>
      <c r="F2376" s="14" t="s">
        <v>3351</v>
      </c>
    </row>
    <row r="2377" spans="1:6" ht="47.6">
      <c r="A2377" s="19">
        <v>44109</v>
      </c>
      <c r="B2377" s="12" t="str">
        <f t="shared" si="37"/>
        <v>441</v>
      </c>
      <c r="C2377" s="1" t="s">
        <v>3361</v>
      </c>
      <c r="D2377" s="13" t="str">
        <f>IF(RIGHT(A2377,3)="000",C2377,VLOOKUP(B2377,'Справочник ИХ'!A:C,3,0))</f>
        <v>Остальные грузы</v>
      </c>
      <c r="E2377" s="13">
        <f>IF(RIGHT(A2377,3)="000","х",VLOOKUP(B2377,'Справочник ИХ'!A:D,4,0))</f>
        <v>2</v>
      </c>
      <c r="F2377" s="14" t="s">
        <v>3351</v>
      </c>
    </row>
    <row r="2378" spans="1:6" ht="47.6">
      <c r="A2378" s="19">
        <v>44110</v>
      </c>
      <c r="B2378" s="12" t="str">
        <f t="shared" si="37"/>
        <v>441</v>
      </c>
      <c r="C2378" s="1" t="s">
        <v>3362</v>
      </c>
      <c r="D2378" s="13" t="str">
        <f>IF(RIGHT(A2378,3)="000",C2378,VLOOKUP(B2378,'Справочник ИХ'!A:C,3,0))</f>
        <v>Остальные грузы</v>
      </c>
      <c r="E2378" s="13">
        <f>IF(RIGHT(A2378,3)="000","х",VLOOKUP(B2378,'Справочник ИХ'!A:D,4,0))</f>
        <v>2</v>
      </c>
      <c r="F2378" s="14" t="s">
        <v>3351</v>
      </c>
    </row>
    <row r="2379" spans="1:6" ht="47.6">
      <c r="A2379" s="19">
        <v>44111</v>
      </c>
      <c r="B2379" s="12" t="str">
        <f t="shared" si="37"/>
        <v>441</v>
      </c>
      <c r="C2379" s="1" t="s">
        <v>3363</v>
      </c>
      <c r="D2379" s="13" t="str">
        <f>IF(RIGHT(A2379,3)="000",C2379,VLOOKUP(B2379,'Справочник ИХ'!A:C,3,0))</f>
        <v>Остальные грузы</v>
      </c>
      <c r="E2379" s="13">
        <f>IF(RIGHT(A2379,3)="000","х",VLOOKUP(B2379,'Справочник ИХ'!A:D,4,0))</f>
        <v>2</v>
      </c>
      <c r="F2379" s="14" t="s">
        <v>3351</v>
      </c>
    </row>
    <row r="2380" spans="1:6" ht="47.6">
      <c r="A2380" s="19">
        <v>44112</v>
      </c>
      <c r="B2380" s="12" t="str">
        <f t="shared" si="37"/>
        <v>441</v>
      </c>
      <c r="C2380" s="1" t="s">
        <v>3364</v>
      </c>
      <c r="D2380" s="13" t="str">
        <f>IF(RIGHT(A2380,3)="000",C2380,VLOOKUP(B2380,'Справочник ИХ'!A:C,3,0))</f>
        <v>Остальные грузы</v>
      </c>
      <c r="E2380" s="13">
        <f>IF(RIGHT(A2380,3)="000","х",VLOOKUP(B2380,'Справочник ИХ'!A:D,4,0))</f>
        <v>2</v>
      </c>
      <c r="F2380" s="14" t="s">
        <v>3351</v>
      </c>
    </row>
    <row r="2381" spans="1:6" ht="47.6">
      <c r="A2381" s="19">
        <v>44113</v>
      </c>
      <c r="B2381" s="12" t="str">
        <f t="shared" si="37"/>
        <v>441</v>
      </c>
      <c r="C2381" s="1" t="s">
        <v>3365</v>
      </c>
      <c r="D2381" s="13" t="str">
        <f>IF(RIGHT(A2381,3)="000",C2381,VLOOKUP(B2381,'Справочник ИХ'!A:C,3,0))</f>
        <v>Остальные грузы</v>
      </c>
      <c r="E2381" s="13">
        <f>IF(RIGHT(A2381,3)="000","х",VLOOKUP(B2381,'Справочник ИХ'!A:D,4,0))</f>
        <v>2</v>
      </c>
      <c r="F2381" s="14" t="s">
        <v>3351</v>
      </c>
    </row>
    <row r="2382" spans="1:6" ht="47.6">
      <c r="A2382" s="19">
        <v>44114</v>
      </c>
      <c r="B2382" s="12" t="str">
        <f t="shared" si="37"/>
        <v>441</v>
      </c>
      <c r="C2382" s="1" t="s">
        <v>3366</v>
      </c>
      <c r="D2382" s="13" t="str">
        <f>IF(RIGHT(A2382,3)="000",C2382,VLOOKUP(B2382,'Справочник ИХ'!A:C,3,0))</f>
        <v>Остальные грузы</v>
      </c>
      <c r="E2382" s="13">
        <f>IF(RIGHT(A2382,3)="000","х",VLOOKUP(B2382,'Справочник ИХ'!A:D,4,0))</f>
        <v>2</v>
      </c>
      <c r="F2382" s="14" t="s">
        <v>3351</v>
      </c>
    </row>
    <row r="2383" spans="1:6" ht="47.6">
      <c r="A2383" s="19">
        <v>44115</v>
      </c>
      <c r="B2383" s="12" t="str">
        <f t="shared" si="37"/>
        <v>441</v>
      </c>
      <c r="C2383" s="1" t="s">
        <v>3367</v>
      </c>
      <c r="D2383" s="13" t="str">
        <f>IF(RIGHT(A2383,3)="000",C2383,VLOOKUP(B2383,'Справочник ИХ'!A:C,3,0))</f>
        <v>Остальные грузы</v>
      </c>
      <c r="E2383" s="13">
        <f>IF(RIGHT(A2383,3)="000","х",VLOOKUP(B2383,'Справочник ИХ'!A:D,4,0))</f>
        <v>2</v>
      </c>
      <c r="F2383" s="14" t="s">
        <v>3351</v>
      </c>
    </row>
    <row r="2384" spans="1:6" ht="47.6">
      <c r="A2384" s="19">
        <v>44116</v>
      </c>
      <c r="B2384" s="12" t="str">
        <f t="shared" si="37"/>
        <v>441</v>
      </c>
      <c r="C2384" s="1" t="s">
        <v>3368</v>
      </c>
      <c r="D2384" s="13" t="str">
        <f>IF(RIGHT(A2384,3)="000",C2384,VLOOKUP(B2384,'Справочник ИХ'!A:C,3,0))</f>
        <v>Остальные грузы</v>
      </c>
      <c r="E2384" s="13">
        <f>IF(RIGHT(A2384,3)="000","х",VLOOKUP(B2384,'Справочник ИХ'!A:D,4,0))</f>
        <v>2</v>
      </c>
      <c r="F2384" s="14" t="s">
        <v>3351</v>
      </c>
    </row>
    <row r="2385" spans="1:6" ht="47.6">
      <c r="A2385" s="19">
        <v>44117</v>
      </c>
      <c r="B2385" s="12" t="str">
        <f t="shared" si="37"/>
        <v>441</v>
      </c>
      <c r="C2385" s="1" t="s">
        <v>3369</v>
      </c>
      <c r="D2385" s="13" t="str">
        <f>IF(RIGHT(A2385,3)="000",C2385,VLOOKUP(B2385,'Справочник ИХ'!A:C,3,0))</f>
        <v>Остальные грузы</v>
      </c>
      <c r="E2385" s="13">
        <f>IF(RIGHT(A2385,3)="000","х",VLOOKUP(B2385,'Справочник ИХ'!A:D,4,0))</f>
        <v>2</v>
      </c>
      <c r="F2385" s="14" t="s">
        <v>3351</v>
      </c>
    </row>
    <row r="2386" spans="1:6" ht="47.6">
      <c r="A2386" s="19">
        <v>44118</v>
      </c>
      <c r="B2386" s="12" t="str">
        <f t="shared" si="37"/>
        <v>441</v>
      </c>
      <c r="C2386" s="1" t="s">
        <v>3370</v>
      </c>
      <c r="D2386" s="13" t="str">
        <f>IF(RIGHT(A2386,3)="000",C2386,VLOOKUP(B2386,'Справочник ИХ'!A:C,3,0))</f>
        <v>Остальные грузы</v>
      </c>
      <c r="E2386" s="13">
        <f>IF(RIGHT(A2386,3)="000","х",VLOOKUP(B2386,'Справочник ИХ'!A:D,4,0))</f>
        <v>2</v>
      </c>
      <c r="F2386" s="14" t="s">
        <v>3351</v>
      </c>
    </row>
    <row r="2387" spans="1:6" ht="47.6">
      <c r="A2387" s="19">
        <v>44119</v>
      </c>
      <c r="B2387" s="12" t="str">
        <f t="shared" si="37"/>
        <v>441</v>
      </c>
      <c r="C2387" s="1" t="s">
        <v>3371</v>
      </c>
      <c r="D2387" s="13" t="str">
        <f>IF(RIGHT(A2387,3)="000",C2387,VLOOKUP(B2387,'Справочник ИХ'!A:C,3,0))</f>
        <v>Остальные грузы</v>
      </c>
      <c r="E2387" s="13">
        <f>IF(RIGHT(A2387,3)="000","х",VLOOKUP(B2387,'Справочник ИХ'!A:D,4,0))</f>
        <v>2</v>
      </c>
      <c r="F2387" s="14" t="s">
        <v>3351</v>
      </c>
    </row>
    <row r="2388" spans="1:6" ht="47.6">
      <c r="A2388" s="19">
        <v>44120</v>
      </c>
      <c r="B2388" s="12" t="str">
        <f t="shared" si="37"/>
        <v>441</v>
      </c>
      <c r="C2388" s="1" t="s">
        <v>3372</v>
      </c>
      <c r="D2388" s="13" t="str">
        <f>IF(RIGHT(A2388,3)="000",C2388,VLOOKUP(B2388,'Справочник ИХ'!A:C,3,0))</f>
        <v>Остальные грузы</v>
      </c>
      <c r="E2388" s="13">
        <f>IF(RIGHT(A2388,3)="000","х",VLOOKUP(B2388,'Справочник ИХ'!A:D,4,0))</f>
        <v>2</v>
      </c>
      <c r="F2388" s="14" t="s">
        <v>3351</v>
      </c>
    </row>
    <row r="2389" spans="1:6" ht="47.6">
      <c r="A2389" s="19">
        <v>44121</v>
      </c>
      <c r="B2389" s="12" t="str">
        <f t="shared" si="37"/>
        <v>441</v>
      </c>
      <c r="C2389" s="1" t="s">
        <v>3373</v>
      </c>
      <c r="D2389" s="13" t="str">
        <f>IF(RIGHT(A2389,3)="000",C2389,VLOOKUP(B2389,'Справочник ИХ'!A:C,3,0))</f>
        <v>Остальные грузы</v>
      </c>
      <c r="E2389" s="13">
        <f>IF(RIGHT(A2389,3)="000","х",VLOOKUP(B2389,'Справочник ИХ'!A:D,4,0))</f>
        <v>2</v>
      </c>
      <c r="F2389" s="14" t="s">
        <v>3351</v>
      </c>
    </row>
    <row r="2390" spans="1:6" ht="47.6">
      <c r="A2390" s="19">
        <v>44122</v>
      </c>
      <c r="B2390" s="12" t="str">
        <f t="shared" si="37"/>
        <v>441</v>
      </c>
      <c r="C2390" s="1" t="s">
        <v>3374</v>
      </c>
      <c r="D2390" s="13" t="str">
        <f>IF(RIGHT(A2390,3)="000",C2390,VLOOKUP(B2390,'Справочник ИХ'!A:C,3,0))</f>
        <v>Остальные грузы</v>
      </c>
      <c r="E2390" s="13">
        <f>IF(RIGHT(A2390,3)="000","х",VLOOKUP(B2390,'Справочник ИХ'!A:D,4,0))</f>
        <v>2</v>
      </c>
      <c r="F2390" s="14" t="s">
        <v>3351</v>
      </c>
    </row>
    <row r="2391" spans="1:6" ht="47.6">
      <c r="A2391" s="19">
        <v>44123</v>
      </c>
      <c r="B2391" s="12" t="str">
        <f t="shared" si="37"/>
        <v>441</v>
      </c>
      <c r="C2391" s="1" t="s">
        <v>3375</v>
      </c>
      <c r="D2391" s="13" t="str">
        <f>IF(RIGHT(A2391,3)="000",C2391,VLOOKUP(B2391,'Справочник ИХ'!A:C,3,0))</f>
        <v>Остальные грузы</v>
      </c>
      <c r="E2391" s="13">
        <f>IF(RIGHT(A2391,3)="000","х",VLOOKUP(B2391,'Справочник ИХ'!A:D,4,0))</f>
        <v>2</v>
      </c>
      <c r="F2391" s="14" t="s">
        <v>3351</v>
      </c>
    </row>
    <row r="2392" spans="1:6" ht="47.6">
      <c r="A2392" s="19">
        <v>44124</v>
      </c>
      <c r="B2392" s="12" t="str">
        <f t="shared" si="37"/>
        <v>441</v>
      </c>
      <c r="C2392" s="1" t="s">
        <v>3376</v>
      </c>
      <c r="D2392" s="13" t="str">
        <f>IF(RIGHT(A2392,3)="000",C2392,VLOOKUP(B2392,'Справочник ИХ'!A:C,3,0))</f>
        <v>Остальные грузы</v>
      </c>
      <c r="E2392" s="13">
        <f>IF(RIGHT(A2392,3)="000","х",VLOOKUP(B2392,'Справочник ИХ'!A:D,4,0))</f>
        <v>2</v>
      </c>
      <c r="F2392" s="14" t="s">
        <v>3351</v>
      </c>
    </row>
    <row r="2393" spans="1:6" ht="47.6">
      <c r="A2393" s="19">
        <v>44125</v>
      </c>
      <c r="B2393" s="12" t="str">
        <f t="shared" si="37"/>
        <v>441</v>
      </c>
      <c r="C2393" s="1" t="s">
        <v>3377</v>
      </c>
      <c r="D2393" s="13" t="str">
        <f>IF(RIGHT(A2393,3)="000",C2393,VLOOKUP(B2393,'Справочник ИХ'!A:C,3,0))</f>
        <v>Остальные грузы</v>
      </c>
      <c r="E2393" s="13">
        <f>IF(RIGHT(A2393,3)="000","х",VLOOKUP(B2393,'Справочник ИХ'!A:D,4,0))</f>
        <v>2</v>
      </c>
      <c r="F2393" s="14" t="s">
        <v>3351</v>
      </c>
    </row>
    <row r="2394" spans="1:6" ht="47.6">
      <c r="A2394" s="19">
        <v>44126</v>
      </c>
      <c r="B2394" s="12" t="str">
        <f t="shared" si="37"/>
        <v>441</v>
      </c>
      <c r="C2394" s="1" t="s">
        <v>3378</v>
      </c>
      <c r="D2394" s="13" t="str">
        <f>IF(RIGHT(A2394,3)="000",C2394,VLOOKUP(B2394,'Справочник ИХ'!A:C,3,0))</f>
        <v>Остальные грузы</v>
      </c>
      <c r="E2394" s="13">
        <f>IF(RIGHT(A2394,3)="000","х",VLOOKUP(B2394,'Справочник ИХ'!A:D,4,0))</f>
        <v>2</v>
      </c>
      <c r="F2394" s="14" t="s">
        <v>3351</v>
      </c>
    </row>
    <row r="2395" spans="1:6" ht="47.6">
      <c r="A2395" s="19">
        <v>44127</v>
      </c>
      <c r="B2395" s="12" t="str">
        <f t="shared" si="37"/>
        <v>441</v>
      </c>
      <c r="C2395" s="1" t="s">
        <v>3379</v>
      </c>
      <c r="D2395" s="13" t="str">
        <f>IF(RIGHT(A2395,3)="000",C2395,VLOOKUP(B2395,'Справочник ИХ'!A:C,3,0))</f>
        <v>Остальные грузы</v>
      </c>
      <c r="E2395" s="13">
        <f>IF(RIGHT(A2395,3)="000","х",VLOOKUP(B2395,'Справочник ИХ'!A:D,4,0))</f>
        <v>2</v>
      </c>
      <c r="F2395" s="14" t="s">
        <v>3351</v>
      </c>
    </row>
    <row r="2396" spans="1:6" ht="47.6">
      <c r="A2396" s="19">
        <v>44128</v>
      </c>
      <c r="B2396" s="12" t="str">
        <f t="shared" si="37"/>
        <v>441</v>
      </c>
      <c r="C2396" s="1" t="s">
        <v>3380</v>
      </c>
      <c r="D2396" s="13" t="str">
        <f>IF(RIGHT(A2396,3)="000",C2396,VLOOKUP(B2396,'Справочник ИХ'!A:C,3,0))</f>
        <v>Остальные грузы</v>
      </c>
      <c r="E2396" s="13">
        <f>IF(RIGHT(A2396,3)="000","х",VLOOKUP(B2396,'Справочник ИХ'!A:D,4,0))</f>
        <v>2</v>
      </c>
      <c r="F2396" s="14" t="s">
        <v>3351</v>
      </c>
    </row>
    <row r="2397" spans="1:6" ht="47.6">
      <c r="A2397" s="19">
        <v>44129</v>
      </c>
      <c r="B2397" s="12" t="str">
        <f t="shared" si="37"/>
        <v>441</v>
      </c>
      <c r="C2397" s="1" t="s">
        <v>3381</v>
      </c>
      <c r="D2397" s="13" t="str">
        <f>IF(RIGHT(A2397,3)="000",C2397,VLOOKUP(B2397,'Справочник ИХ'!A:C,3,0))</f>
        <v>Остальные грузы</v>
      </c>
      <c r="E2397" s="13">
        <f>IF(RIGHT(A2397,3)="000","х",VLOOKUP(B2397,'Справочник ИХ'!A:D,4,0))</f>
        <v>2</v>
      </c>
      <c r="F2397" s="14" t="s">
        <v>3351</v>
      </c>
    </row>
    <row r="2398" spans="1:6" ht="47.6">
      <c r="A2398" s="19">
        <v>44130</v>
      </c>
      <c r="B2398" s="12" t="str">
        <f t="shared" si="37"/>
        <v>441</v>
      </c>
      <c r="C2398" s="1" t="s">
        <v>3382</v>
      </c>
      <c r="D2398" s="13" t="str">
        <f>IF(RIGHT(A2398,3)="000",C2398,VLOOKUP(B2398,'Справочник ИХ'!A:C,3,0))</f>
        <v>Остальные грузы</v>
      </c>
      <c r="E2398" s="13">
        <f>IF(RIGHT(A2398,3)="000","х",VLOOKUP(B2398,'Справочник ИХ'!A:D,4,0))</f>
        <v>2</v>
      </c>
      <c r="F2398" s="14" t="s">
        <v>3351</v>
      </c>
    </row>
    <row r="2399" spans="1:6" ht="47.6">
      <c r="A2399" s="19">
        <v>44131</v>
      </c>
      <c r="B2399" s="12" t="str">
        <f t="shared" si="37"/>
        <v>441</v>
      </c>
      <c r="C2399" s="1" t="s">
        <v>3383</v>
      </c>
      <c r="D2399" s="13" t="str">
        <f>IF(RIGHT(A2399,3)="000",C2399,VLOOKUP(B2399,'Справочник ИХ'!A:C,3,0))</f>
        <v>Остальные грузы</v>
      </c>
      <c r="E2399" s="13">
        <f>IF(RIGHT(A2399,3)="000","х",VLOOKUP(B2399,'Справочник ИХ'!A:D,4,0))</f>
        <v>2</v>
      </c>
      <c r="F2399" s="14" t="s">
        <v>3351</v>
      </c>
    </row>
    <row r="2400" spans="1:6" ht="47.6">
      <c r="A2400" s="19">
        <v>44132</v>
      </c>
      <c r="B2400" s="12" t="str">
        <f t="shared" si="37"/>
        <v>441</v>
      </c>
      <c r="C2400" s="1" t="s">
        <v>3384</v>
      </c>
      <c r="D2400" s="13" t="str">
        <f>IF(RIGHT(A2400,3)="000",C2400,VLOOKUP(B2400,'Справочник ИХ'!A:C,3,0))</f>
        <v>Остальные грузы</v>
      </c>
      <c r="E2400" s="13">
        <f>IF(RIGHT(A2400,3)="000","х",VLOOKUP(B2400,'Справочник ИХ'!A:D,4,0))</f>
        <v>2</v>
      </c>
      <c r="F2400" s="14" t="s">
        <v>3351</v>
      </c>
    </row>
    <row r="2401" spans="1:6" ht="47.6">
      <c r="A2401" s="19">
        <v>44133</v>
      </c>
      <c r="B2401" s="12" t="str">
        <f t="shared" si="37"/>
        <v>441</v>
      </c>
      <c r="C2401" s="1" t="s">
        <v>3385</v>
      </c>
      <c r="D2401" s="13" t="str">
        <f>IF(RIGHT(A2401,3)="000",C2401,VLOOKUP(B2401,'Справочник ИХ'!A:C,3,0))</f>
        <v>Остальные грузы</v>
      </c>
      <c r="E2401" s="13">
        <f>IF(RIGHT(A2401,3)="000","х",VLOOKUP(B2401,'Справочник ИХ'!A:D,4,0))</f>
        <v>2</v>
      </c>
      <c r="F2401" s="14" t="s">
        <v>3351</v>
      </c>
    </row>
    <row r="2402" spans="1:6" ht="47.6">
      <c r="A2402" s="19">
        <v>44134</v>
      </c>
      <c r="B2402" s="12" t="str">
        <f t="shared" si="37"/>
        <v>441</v>
      </c>
      <c r="C2402" s="1" t="s">
        <v>3386</v>
      </c>
      <c r="D2402" s="13" t="str">
        <f>IF(RIGHT(A2402,3)="000",C2402,VLOOKUP(B2402,'Справочник ИХ'!A:C,3,0))</f>
        <v>Остальные грузы</v>
      </c>
      <c r="E2402" s="13">
        <f>IF(RIGHT(A2402,3)="000","х",VLOOKUP(B2402,'Справочник ИХ'!A:D,4,0))</f>
        <v>2</v>
      </c>
      <c r="F2402" s="14" t="s">
        <v>3351</v>
      </c>
    </row>
    <row r="2403" spans="1:6" ht="47.6">
      <c r="A2403" s="19">
        <v>44135</v>
      </c>
      <c r="B2403" s="12" t="str">
        <f t="shared" si="37"/>
        <v>441</v>
      </c>
      <c r="C2403" s="1" t="s">
        <v>3387</v>
      </c>
      <c r="D2403" s="13" t="str">
        <f>IF(RIGHT(A2403,3)="000",C2403,VLOOKUP(B2403,'Справочник ИХ'!A:C,3,0))</f>
        <v>Остальные грузы</v>
      </c>
      <c r="E2403" s="13">
        <f>IF(RIGHT(A2403,3)="000","х",VLOOKUP(B2403,'Справочник ИХ'!A:D,4,0))</f>
        <v>2</v>
      </c>
      <c r="F2403" s="14" t="s">
        <v>3351</v>
      </c>
    </row>
    <row r="2404" spans="1:6" ht="47.6">
      <c r="A2404" s="19">
        <v>44136</v>
      </c>
      <c r="B2404" s="12" t="str">
        <f t="shared" si="37"/>
        <v>441</v>
      </c>
      <c r="C2404" s="1" t="s">
        <v>3388</v>
      </c>
      <c r="D2404" s="13" t="str">
        <f>IF(RIGHT(A2404,3)="000",C2404,VLOOKUP(B2404,'Справочник ИХ'!A:C,3,0))</f>
        <v>Остальные грузы</v>
      </c>
      <c r="E2404" s="13">
        <f>IF(RIGHT(A2404,3)="000","х",VLOOKUP(B2404,'Справочник ИХ'!A:D,4,0))</f>
        <v>2</v>
      </c>
      <c r="F2404" s="14" t="s">
        <v>3351</v>
      </c>
    </row>
    <row r="2405" spans="1:6" ht="47.6">
      <c r="A2405" s="19">
        <v>44137</v>
      </c>
      <c r="B2405" s="12" t="str">
        <f t="shared" si="37"/>
        <v>441</v>
      </c>
      <c r="C2405" s="1" t="s">
        <v>3389</v>
      </c>
      <c r="D2405" s="13" t="str">
        <f>IF(RIGHT(A2405,3)="000",C2405,VLOOKUP(B2405,'Справочник ИХ'!A:C,3,0))</f>
        <v>Остальные грузы</v>
      </c>
      <c r="E2405" s="13">
        <f>IF(RIGHT(A2405,3)="000","х",VLOOKUP(B2405,'Справочник ИХ'!A:D,4,0))</f>
        <v>2</v>
      </c>
      <c r="F2405" s="14" t="s">
        <v>3351</v>
      </c>
    </row>
    <row r="2406" spans="1:6" ht="47.6">
      <c r="A2406" s="19">
        <v>44138</v>
      </c>
      <c r="B2406" s="12" t="str">
        <f t="shared" si="37"/>
        <v>441</v>
      </c>
      <c r="C2406" s="1" t="s">
        <v>3390</v>
      </c>
      <c r="D2406" s="13" t="str">
        <f>IF(RIGHT(A2406,3)="000",C2406,VLOOKUP(B2406,'Справочник ИХ'!A:C,3,0))</f>
        <v>Остальные грузы</v>
      </c>
      <c r="E2406" s="13">
        <f>IF(RIGHT(A2406,3)="000","х",VLOOKUP(B2406,'Справочник ИХ'!A:D,4,0))</f>
        <v>2</v>
      </c>
      <c r="F2406" s="14" t="s">
        <v>3351</v>
      </c>
    </row>
    <row r="2407" spans="1:6" ht="47.6">
      <c r="A2407" s="19">
        <v>44139</v>
      </c>
      <c r="B2407" s="12" t="str">
        <f t="shared" si="37"/>
        <v>441</v>
      </c>
      <c r="C2407" s="1" t="s">
        <v>3391</v>
      </c>
      <c r="D2407" s="13" t="str">
        <f>IF(RIGHT(A2407,3)="000",C2407,VLOOKUP(B2407,'Справочник ИХ'!A:C,3,0))</f>
        <v>Остальные грузы</v>
      </c>
      <c r="E2407" s="13">
        <f>IF(RIGHT(A2407,3)="000","х",VLOOKUP(B2407,'Справочник ИХ'!A:D,4,0))</f>
        <v>2</v>
      </c>
      <c r="F2407" s="14" t="s">
        <v>3351</v>
      </c>
    </row>
    <row r="2408" spans="1:6" ht="47.6">
      <c r="A2408" s="19">
        <v>44140</v>
      </c>
      <c r="B2408" s="12" t="str">
        <f t="shared" si="37"/>
        <v>441</v>
      </c>
      <c r="C2408" s="1" t="s">
        <v>3392</v>
      </c>
      <c r="D2408" s="13" t="str">
        <f>IF(RIGHT(A2408,3)="000",C2408,VLOOKUP(B2408,'Справочник ИХ'!A:C,3,0))</f>
        <v>Остальные грузы</v>
      </c>
      <c r="E2408" s="13">
        <f>IF(RIGHT(A2408,3)="000","х",VLOOKUP(B2408,'Справочник ИХ'!A:D,4,0))</f>
        <v>2</v>
      </c>
      <c r="F2408" s="14" t="s">
        <v>3351</v>
      </c>
    </row>
    <row r="2409" spans="1:6" ht="47.6">
      <c r="A2409" s="19">
        <v>44141</v>
      </c>
      <c r="B2409" s="12" t="str">
        <f t="shared" si="37"/>
        <v>441</v>
      </c>
      <c r="C2409" s="1" t="s">
        <v>3393</v>
      </c>
      <c r="D2409" s="13" t="str">
        <f>IF(RIGHT(A2409,3)="000",C2409,VLOOKUP(B2409,'Справочник ИХ'!A:C,3,0))</f>
        <v>Остальные грузы</v>
      </c>
      <c r="E2409" s="13">
        <f>IF(RIGHT(A2409,3)="000","х",VLOOKUP(B2409,'Справочник ИХ'!A:D,4,0))</f>
        <v>2</v>
      </c>
      <c r="F2409" s="14" t="s">
        <v>3351</v>
      </c>
    </row>
    <row r="2410" spans="1:6" ht="47.6">
      <c r="A2410" s="19">
        <v>44142</v>
      </c>
      <c r="B2410" s="12" t="str">
        <f t="shared" si="37"/>
        <v>441</v>
      </c>
      <c r="C2410" s="1" t="s">
        <v>3394</v>
      </c>
      <c r="D2410" s="13" t="str">
        <f>IF(RIGHT(A2410,3)="000",C2410,VLOOKUP(B2410,'Справочник ИХ'!A:C,3,0))</f>
        <v>Остальные грузы</v>
      </c>
      <c r="E2410" s="13">
        <f>IF(RIGHT(A2410,3)="000","х",VLOOKUP(B2410,'Справочник ИХ'!A:D,4,0))</f>
        <v>2</v>
      </c>
      <c r="F2410" s="14" t="s">
        <v>3351</v>
      </c>
    </row>
    <row r="2411" spans="1:6" ht="47.6">
      <c r="A2411" s="19">
        <v>44143</v>
      </c>
      <c r="B2411" s="12" t="str">
        <f t="shared" si="37"/>
        <v>441</v>
      </c>
      <c r="C2411" s="1" t="s">
        <v>3395</v>
      </c>
      <c r="D2411" s="13" t="str">
        <f>IF(RIGHT(A2411,3)="000",C2411,VLOOKUP(B2411,'Справочник ИХ'!A:C,3,0))</f>
        <v>Остальные грузы</v>
      </c>
      <c r="E2411" s="13">
        <f>IF(RIGHT(A2411,3)="000","х",VLOOKUP(B2411,'Справочник ИХ'!A:D,4,0))</f>
        <v>2</v>
      </c>
      <c r="F2411" s="14" t="s">
        <v>3351</v>
      </c>
    </row>
    <row r="2412" spans="1:6" ht="47.6">
      <c r="A2412" s="19">
        <v>44144</v>
      </c>
      <c r="B2412" s="12" t="str">
        <f t="shared" si="37"/>
        <v>441</v>
      </c>
      <c r="C2412" s="1" t="s">
        <v>3396</v>
      </c>
      <c r="D2412" s="13" t="str">
        <f>IF(RIGHT(A2412,3)="000",C2412,VLOOKUP(B2412,'Справочник ИХ'!A:C,3,0))</f>
        <v>Остальные грузы</v>
      </c>
      <c r="E2412" s="13">
        <f>IF(RIGHT(A2412,3)="000","х",VLOOKUP(B2412,'Справочник ИХ'!A:D,4,0))</f>
        <v>2</v>
      </c>
      <c r="F2412" s="14" t="s">
        <v>3351</v>
      </c>
    </row>
    <row r="2413" spans="1:6" ht="47.6">
      <c r="A2413" s="19">
        <v>44145</v>
      </c>
      <c r="B2413" s="12" t="str">
        <f t="shared" si="37"/>
        <v>441</v>
      </c>
      <c r="C2413" s="1" t="s">
        <v>3397</v>
      </c>
      <c r="D2413" s="13" t="str">
        <f>IF(RIGHT(A2413,3)="000",C2413,VLOOKUP(B2413,'Справочник ИХ'!A:C,3,0))</f>
        <v>Остальные грузы</v>
      </c>
      <c r="E2413" s="13">
        <f>IF(RIGHT(A2413,3)="000","х",VLOOKUP(B2413,'Справочник ИХ'!A:D,4,0))</f>
        <v>2</v>
      </c>
      <c r="F2413" s="14" t="s">
        <v>3351</v>
      </c>
    </row>
    <row r="2414" spans="1:6" ht="47.6">
      <c r="A2414" s="19">
        <v>44146</v>
      </c>
      <c r="B2414" s="12" t="str">
        <f t="shared" si="37"/>
        <v>441</v>
      </c>
      <c r="C2414" s="1" t="s">
        <v>3398</v>
      </c>
      <c r="D2414" s="13" t="str">
        <f>IF(RIGHT(A2414,3)="000",C2414,VLOOKUP(B2414,'Справочник ИХ'!A:C,3,0))</f>
        <v>Остальные грузы</v>
      </c>
      <c r="E2414" s="13">
        <f>IF(RIGHT(A2414,3)="000","х",VLOOKUP(B2414,'Справочник ИХ'!A:D,4,0))</f>
        <v>2</v>
      </c>
      <c r="F2414" s="14" t="s">
        <v>3351</v>
      </c>
    </row>
    <row r="2415" spans="1:6" ht="47.6">
      <c r="A2415" s="19">
        <v>44147</v>
      </c>
      <c r="B2415" s="12" t="str">
        <f t="shared" si="37"/>
        <v>441</v>
      </c>
      <c r="C2415" s="1" t="s">
        <v>3399</v>
      </c>
      <c r="D2415" s="13" t="str">
        <f>IF(RIGHT(A2415,3)="000",C2415,VLOOKUP(B2415,'Справочник ИХ'!A:C,3,0))</f>
        <v>Остальные грузы</v>
      </c>
      <c r="E2415" s="13">
        <f>IF(RIGHT(A2415,3)="000","х",VLOOKUP(B2415,'Справочник ИХ'!A:D,4,0))</f>
        <v>2</v>
      </c>
      <c r="F2415" s="14" t="s">
        <v>3351</v>
      </c>
    </row>
    <row r="2416" spans="1:6" ht="47.6">
      <c r="A2416" s="19">
        <v>44148</v>
      </c>
      <c r="B2416" s="12" t="str">
        <f t="shared" si="37"/>
        <v>441</v>
      </c>
      <c r="C2416" s="1" t="s">
        <v>3400</v>
      </c>
      <c r="D2416" s="13" t="str">
        <f>IF(RIGHT(A2416,3)="000",C2416,VLOOKUP(B2416,'Справочник ИХ'!A:C,3,0))</f>
        <v>Остальные грузы</v>
      </c>
      <c r="E2416" s="13">
        <f>IF(RIGHT(A2416,3)="000","х",VLOOKUP(B2416,'Справочник ИХ'!A:D,4,0))</f>
        <v>2</v>
      </c>
      <c r="F2416" s="14" t="s">
        <v>3351</v>
      </c>
    </row>
    <row r="2417" spans="1:6" ht="47.6">
      <c r="A2417" s="19">
        <v>44149</v>
      </c>
      <c r="B2417" s="12" t="str">
        <f t="shared" si="37"/>
        <v>441</v>
      </c>
      <c r="C2417" s="1" t="s">
        <v>3401</v>
      </c>
      <c r="D2417" s="13" t="str">
        <f>IF(RIGHT(A2417,3)="000",C2417,VLOOKUP(B2417,'Справочник ИХ'!A:C,3,0))</f>
        <v>Остальные грузы</v>
      </c>
      <c r="E2417" s="13">
        <f>IF(RIGHT(A2417,3)="000","х",VLOOKUP(B2417,'Справочник ИХ'!A:D,4,0))</f>
        <v>2</v>
      </c>
      <c r="F2417" s="14" t="s">
        <v>3351</v>
      </c>
    </row>
    <row r="2418" spans="1:6" ht="47.6">
      <c r="A2418" s="19">
        <v>44150</v>
      </c>
      <c r="B2418" s="12" t="str">
        <f t="shared" si="37"/>
        <v>441</v>
      </c>
      <c r="C2418" s="1" t="s">
        <v>3402</v>
      </c>
      <c r="D2418" s="13" t="str">
        <f>IF(RIGHT(A2418,3)="000",C2418,VLOOKUP(B2418,'Справочник ИХ'!A:C,3,0))</f>
        <v>Остальные грузы</v>
      </c>
      <c r="E2418" s="13">
        <f>IF(RIGHT(A2418,3)="000","х",VLOOKUP(B2418,'Справочник ИХ'!A:D,4,0))</f>
        <v>2</v>
      </c>
      <c r="F2418" s="14" t="s">
        <v>3351</v>
      </c>
    </row>
    <row r="2419" spans="1:6" ht="47.6">
      <c r="A2419" s="19">
        <v>44151</v>
      </c>
      <c r="B2419" s="12" t="str">
        <f t="shared" si="37"/>
        <v>441</v>
      </c>
      <c r="C2419" s="1" t="s">
        <v>3403</v>
      </c>
      <c r="D2419" s="13" t="str">
        <f>IF(RIGHT(A2419,3)="000",C2419,VLOOKUP(B2419,'Справочник ИХ'!A:C,3,0))</f>
        <v>Остальные грузы</v>
      </c>
      <c r="E2419" s="13">
        <f>IF(RIGHT(A2419,3)="000","х",VLOOKUP(B2419,'Справочник ИХ'!A:D,4,0))</f>
        <v>2</v>
      </c>
      <c r="F2419" s="14" t="s">
        <v>3351</v>
      </c>
    </row>
    <row r="2420" spans="1:6" ht="47.6">
      <c r="A2420" s="19">
        <v>44152</v>
      </c>
      <c r="B2420" s="12" t="str">
        <f t="shared" si="37"/>
        <v>441</v>
      </c>
      <c r="C2420" s="1" t="s">
        <v>3404</v>
      </c>
      <c r="D2420" s="13" t="str">
        <f>IF(RIGHT(A2420,3)="000",C2420,VLOOKUP(B2420,'Справочник ИХ'!A:C,3,0))</f>
        <v>Остальные грузы</v>
      </c>
      <c r="E2420" s="13">
        <f>IF(RIGHT(A2420,3)="000","х",VLOOKUP(B2420,'Справочник ИХ'!A:D,4,0))</f>
        <v>2</v>
      </c>
      <c r="F2420" s="14" t="s">
        <v>3351</v>
      </c>
    </row>
    <row r="2421" spans="1:6" ht="47.6">
      <c r="A2421" s="19">
        <v>44153</v>
      </c>
      <c r="B2421" s="12" t="str">
        <f t="shared" si="37"/>
        <v>441</v>
      </c>
      <c r="C2421" s="1" t="s">
        <v>3405</v>
      </c>
      <c r="D2421" s="13" t="str">
        <f>IF(RIGHT(A2421,3)="000",C2421,VLOOKUP(B2421,'Справочник ИХ'!A:C,3,0))</f>
        <v>Остальные грузы</v>
      </c>
      <c r="E2421" s="13">
        <f>IF(RIGHT(A2421,3)="000","х",VLOOKUP(B2421,'Справочник ИХ'!A:D,4,0))</f>
        <v>2</v>
      </c>
      <c r="F2421" s="14" t="s">
        <v>3351</v>
      </c>
    </row>
    <row r="2422" spans="1:6" ht="47.6">
      <c r="A2422" s="19">
        <v>44154</v>
      </c>
      <c r="B2422" s="12" t="str">
        <f t="shared" si="37"/>
        <v>441</v>
      </c>
      <c r="C2422" s="1" t="s">
        <v>3406</v>
      </c>
      <c r="D2422" s="13" t="str">
        <f>IF(RIGHT(A2422,3)="000",C2422,VLOOKUP(B2422,'Справочник ИХ'!A:C,3,0))</f>
        <v>Остальные грузы</v>
      </c>
      <c r="E2422" s="13">
        <f>IF(RIGHT(A2422,3)="000","х",VLOOKUP(B2422,'Справочник ИХ'!A:D,4,0))</f>
        <v>2</v>
      </c>
      <c r="F2422" s="14" t="s">
        <v>3351</v>
      </c>
    </row>
    <row r="2423" spans="1:6" ht="47.6">
      <c r="A2423" s="19">
        <v>44155</v>
      </c>
      <c r="B2423" s="12" t="str">
        <f t="shared" si="37"/>
        <v>441</v>
      </c>
      <c r="C2423" s="1" t="s">
        <v>3407</v>
      </c>
      <c r="D2423" s="13" t="str">
        <f>IF(RIGHT(A2423,3)="000",C2423,VLOOKUP(B2423,'Справочник ИХ'!A:C,3,0))</f>
        <v>Остальные грузы</v>
      </c>
      <c r="E2423" s="13">
        <f>IF(RIGHT(A2423,3)="000","х",VLOOKUP(B2423,'Справочник ИХ'!A:D,4,0))</f>
        <v>2</v>
      </c>
      <c r="F2423" s="14" t="s">
        <v>3351</v>
      </c>
    </row>
    <row r="2424" spans="1:6" ht="47.6">
      <c r="A2424" s="19">
        <v>44156</v>
      </c>
      <c r="B2424" s="12" t="str">
        <f t="shared" si="37"/>
        <v>441</v>
      </c>
      <c r="C2424" s="1" t="s">
        <v>3408</v>
      </c>
      <c r="D2424" s="13" t="str">
        <f>IF(RIGHT(A2424,3)="000",C2424,VLOOKUP(B2424,'Справочник ИХ'!A:C,3,0))</f>
        <v>Остальные грузы</v>
      </c>
      <c r="E2424" s="13">
        <f>IF(RIGHT(A2424,3)="000","х",VLOOKUP(B2424,'Справочник ИХ'!A:D,4,0))</f>
        <v>2</v>
      </c>
      <c r="F2424" s="14" t="s">
        <v>3351</v>
      </c>
    </row>
    <row r="2425" spans="1:6" s="18" customFormat="1" ht="47.6">
      <c r="A2425" s="16">
        <v>44200</v>
      </c>
      <c r="B2425" s="12" t="str">
        <f t="shared" si="37"/>
        <v>442</v>
      </c>
      <c r="C2425" s="17" t="s">
        <v>3409</v>
      </c>
      <c r="D2425" s="13" t="str">
        <f>IF(RIGHT(A2425,3)="000",C2425,VLOOKUP(B2425,'Справочник ИХ'!A:C,3,0))</f>
        <v>Остальные грузы</v>
      </c>
      <c r="E2425" s="13">
        <f>IF(RIGHT(A2425,3)="000","х",VLOOKUP(B2425,'Справочник ИХ'!A:D,4,0))</f>
        <v>3</v>
      </c>
      <c r="F2425" s="14" t="s">
        <v>3351</v>
      </c>
    </row>
    <row r="2426" spans="1:6" ht="47.6">
      <c r="A2426" s="19">
        <v>44201</v>
      </c>
      <c r="B2426" s="12" t="str">
        <f t="shared" si="37"/>
        <v>442</v>
      </c>
      <c r="C2426" s="1" t="s">
        <v>3410</v>
      </c>
      <c r="D2426" s="13" t="str">
        <f>IF(RIGHT(A2426,3)="000",C2426,VLOOKUP(B2426,'Справочник ИХ'!A:C,3,0))</f>
        <v>Остальные грузы</v>
      </c>
      <c r="E2426" s="13">
        <f>IF(RIGHT(A2426,3)="000","х",VLOOKUP(B2426,'Справочник ИХ'!A:D,4,0))</f>
        <v>3</v>
      </c>
      <c r="F2426" s="14" t="s">
        <v>3351</v>
      </c>
    </row>
    <row r="2427" spans="1:6" ht="47.6">
      <c r="A2427" s="19">
        <v>44202</v>
      </c>
      <c r="B2427" s="12" t="str">
        <f t="shared" si="37"/>
        <v>442</v>
      </c>
      <c r="C2427" s="1" t="s">
        <v>3411</v>
      </c>
      <c r="D2427" s="13" t="str">
        <f>IF(RIGHT(A2427,3)="000",C2427,VLOOKUP(B2427,'Справочник ИХ'!A:C,3,0))</f>
        <v>Остальные грузы</v>
      </c>
      <c r="E2427" s="13">
        <f>IF(RIGHT(A2427,3)="000","х",VLOOKUP(B2427,'Справочник ИХ'!A:D,4,0))</f>
        <v>3</v>
      </c>
      <c r="F2427" s="14" t="s">
        <v>3351</v>
      </c>
    </row>
    <row r="2428" spans="1:6" ht="47.6">
      <c r="A2428" s="19">
        <v>44203</v>
      </c>
      <c r="B2428" s="12" t="str">
        <f t="shared" si="37"/>
        <v>442</v>
      </c>
      <c r="C2428" s="1" t="s">
        <v>3412</v>
      </c>
      <c r="D2428" s="13" t="str">
        <f>IF(RIGHT(A2428,3)="000",C2428,VLOOKUP(B2428,'Справочник ИХ'!A:C,3,0))</f>
        <v>Остальные грузы</v>
      </c>
      <c r="E2428" s="13">
        <f>IF(RIGHT(A2428,3)="000","х",VLOOKUP(B2428,'Справочник ИХ'!A:D,4,0))</f>
        <v>3</v>
      </c>
      <c r="F2428" s="14" t="s">
        <v>3351</v>
      </c>
    </row>
    <row r="2429" spans="1:6" ht="47.6">
      <c r="A2429" s="19">
        <v>44204</v>
      </c>
      <c r="B2429" s="12" t="str">
        <f t="shared" si="37"/>
        <v>442</v>
      </c>
      <c r="C2429" s="1" t="s">
        <v>3413</v>
      </c>
      <c r="D2429" s="13" t="str">
        <f>IF(RIGHT(A2429,3)="000",C2429,VLOOKUP(B2429,'Справочник ИХ'!A:C,3,0))</f>
        <v>Остальные грузы</v>
      </c>
      <c r="E2429" s="13">
        <f>IF(RIGHT(A2429,3)="000","х",VLOOKUP(B2429,'Справочник ИХ'!A:D,4,0))</f>
        <v>3</v>
      </c>
      <c r="F2429" s="14" t="s">
        <v>3351</v>
      </c>
    </row>
    <row r="2430" spans="1:6" ht="47.6">
      <c r="A2430" s="19">
        <v>44205</v>
      </c>
      <c r="B2430" s="12" t="str">
        <f t="shared" si="37"/>
        <v>442</v>
      </c>
      <c r="C2430" s="1" t="s">
        <v>3414</v>
      </c>
      <c r="D2430" s="13" t="str">
        <f>IF(RIGHT(A2430,3)="000",C2430,VLOOKUP(B2430,'Справочник ИХ'!A:C,3,0))</f>
        <v>Остальные грузы</v>
      </c>
      <c r="E2430" s="13">
        <f>IF(RIGHT(A2430,3)="000","х",VLOOKUP(B2430,'Справочник ИХ'!A:D,4,0))</f>
        <v>3</v>
      </c>
      <c r="F2430" s="14" t="s">
        <v>3351</v>
      </c>
    </row>
    <row r="2431" spans="1:6" ht="47.6">
      <c r="A2431" s="19">
        <v>44206</v>
      </c>
      <c r="B2431" s="12" t="str">
        <f t="shared" si="37"/>
        <v>442</v>
      </c>
      <c r="C2431" s="1" t="s">
        <v>3415</v>
      </c>
      <c r="D2431" s="13" t="str">
        <f>IF(RIGHT(A2431,3)="000",C2431,VLOOKUP(B2431,'Справочник ИХ'!A:C,3,0))</f>
        <v>Остальные грузы</v>
      </c>
      <c r="E2431" s="13">
        <f>IF(RIGHT(A2431,3)="000","х",VLOOKUP(B2431,'Справочник ИХ'!A:D,4,0))</f>
        <v>3</v>
      </c>
      <c r="F2431" s="14" t="s">
        <v>3351</v>
      </c>
    </row>
    <row r="2432" spans="1:6" ht="47.6">
      <c r="A2432" s="19">
        <v>44207</v>
      </c>
      <c r="B2432" s="12" t="str">
        <f t="shared" si="37"/>
        <v>442</v>
      </c>
      <c r="C2432" s="1" t="s">
        <v>3416</v>
      </c>
      <c r="D2432" s="13" t="str">
        <f>IF(RIGHT(A2432,3)="000",C2432,VLOOKUP(B2432,'Справочник ИХ'!A:C,3,0))</f>
        <v>Остальные грузы</v>
      </c>
      <c r="E2432" s="13">
        <f>IF(RIGHT(A2432,3)="000","х",VLOOKUP(B2432,'Справочник ИХ'!A:D,4,0))</f>
        <v>3</v>
      </c>
      <c r="F2432" s="14" t="s">
        <v>3351</v>
      </c>
    </row>
    <row r="2433" spans="1:6" ht="47.6">
      <c r="A2433" s="19">
        <v>44208</v>
      </c>
      <c r="B2433" s="12" t="str">
        <f t="shared" si="37"/>
        <v>442</v>
      </c>
      <c r="C2433" s="1" t="s">
        <v>3417</v>
      </c>
      <c r="D2433" s="13" t="str">
        <f>IF(RIGHT(A2433,3)="000",C2433,VLOOKUP(B2433,'Справочник ИХ'!A:C,3,0))</f>
        <v>Остальные грузы</v>
      </c>
      <c r="E2433" s="13">
        <f>IF(RIGHT(A2433,3)="000","х",VLOOKUP(B2433,'Справочник ИХ'!A:D,4,0))</f>
        <v>3</v>
      </c>
      <c r="F2433" s="14" t="s">
        <v>3351</v>
      </c>
    </row>
    <row r="2434" spans="1:6" ht="47.6">
      <c r="A2434" s="19">
        <v>44209</v>
      </c>
      <c r="B2434" s="12" t="str">
        <f t="shared" si="37"/>
        <v>442</v>
      </c>
      <c r="C2434" s="1" t="s">
        <v>3418</v>
      </c>
      <c r="D2434" s="13" t="str">
        <f>IF(RIGHT(A2434,3)="000",C2434,VLOOKUP(B2434,'Справочник ИХ'!A:C,3,0))</f>
        <v>Остальные грузы</v>
      </c>
      <c r="E2434" s="13">
        <f>IF(RIGHT(A2434,3)="000","х",VLOOKUP(B2434,'Справочник ИХ'!A:D,4,0))</f>
        <v>3</v>
      </c>
      <c r="F2434" s="14" t="s">
        <v>3351</v>
      </c>
    </row>
    <row r="2435" spans="1:6" ht="47.6">
      <c r="A2435" s="19">
        <v>44210</v>
      </c>
      <c r="B2435" s="12" t="str">
        <f t="shared" si="37"/>
        <v>442</v>
      </c>
      <c r="C2435" s="1" t="s">
        <v>3419</v>
      </c>
      <c r="D2435" s="13" t="str">
        <f>IF(RIGHT(A2435,3)="000",C2435,VLOOKUP(B2435,'Справочник ИХ'!A:C,3,0))</f>
        <v>Остальные грузы</v>
      </c>
      <c r="E2435" s="13">
        <f>IF(RIGHT(A2435,3)="000","х",VLOOKUP(B2435,'Справочник ИХ'!A:D,4,0))</f>
        <v>3</v>
      </c>
      <c r="F2435" s="14" t="s">
        <v>3351</v>
      </c>
    </row>
    <row r="2436" spans="1:6" ht="47.6">
      <c r="A2436" s="19">
        <v>44211</v>
      </c>
      <c r="B2436" s="12" t="str">
        <f t="shared" ref="B2436:B2499" si="38">LEFT(A2436,3)</f>
        <v>442</v>
      </c>
      <c r="C2436" s="1" t="s">
        <v>3420</v>
      </c>
      <c r="D2436" s="13" t="str">
        <f>IF(RIGHT(A2436,3)="000",C2436,VLOOKUP(B2436,'Справочник ИХ'!A:C,3,0))</f>
        <v>Остальные грузы</v>
      </c>
      <c r="E2436" s="13">
        <f>IF(RIGHT(A2436,3)="000","х",VLOOKUP(B2436,'Справочник ИХ'!A:D,4,0))</f>
        <v>3</v>
      </c>
      <c r="F2436" s="14" t="s">
        <v>3351</v>
      </c>
    </row>
    <row r="2437" spans="1:6" ht="47.6">
      <c r="A2437" s="19">
        <v>44212</v>
      </c>
      <c r="B2437" s="12" t="str">
        <f t="shared" si="38"/>
        <v>442</v>
      </c>
      <c r="C2437" s="1" t="s">
        <v>3421</v>
      </c>
      <c r="D2437" s="13" t="str">
        <f>IF(RIGHT(A2437,3)="000",C2437,VLOOKUP(B2437,'Справочник ИХ'!A:C,3,0))</f>
        <v>Остальные грузы</v>
      </c>
      <c r="E2437" s="13">
        <f>IF(RIGHT(A2437,3)="000","х",VLOOKUP(B2437,'Справочник ИХ'!A:D,4,0))</f>
        <v>3</v>
      </c>
      <c r="F2437" s="14" t="s">
        <v>3351</v>
      </c>
    </row>
    <row r="2438" spans="1:6" ht="47.6">
      <c r="A2438" s="19">
        <v>44213</v>
      </c>
      <c r="B2438" s="12" t="str">
        <f t="shared" si="38"/>
        <v>442</v>
      </c>
      <c r="C2438" s="1" t="s">
        <v>3422</v>
      </c>
      <c r="D2438" s="13" t="str">
        <f>IF(RIGHT(A2438,3)="000",C2438,VLOOKUP(B2438,'Справочник ИХ'!A:C,3,0))</f>
        <v>Остальные грузы</v>
      </c>
      <c r="E2438" s="13">
        <f>IF(RIGHT(A2438,3)="000","х",VLOOKUP(B2438,'Справочник ИХ'!A:D,4,0))</f>
        <v>3</v>
      </c>
      <c r="F2438" s="14" t="s">
        <v>3351</v>
      </c>
    </row>
    <row r="2439" spans="1:6" ht="47.6">
      <c r="A2439" s="19">
        <v>44214</v>
      </c>
      <c r="B2439" s="12" t="str">
        <f t="shared" si="38"/>
        <v>442</v>
      </c>
      <c r="C2439" s="1" t="s">
        <v>3423</v>
      </c>
      <c r="D2439" s="13" t="str">
        <f>IF(RIGHT(A2439,3)="000",C2439,VLOOKUP(B2439,'Справочник ИХ'!A:C,3,0))</f>
        <v>Остальные грузы</v>
      </c>
      <c r="E2439" s="13">
        <f>IF(RIGHT(A2439,3)="000","х",VLOOKUP(B2439,'Справочник ИХ'!A:D,4,0))</f>
        <v>3</v>
      </c>
      <c r="F2439" s="14" t="s">
        <v>3351</v>
      </c>
    </row>
    <row r="2440" spans="1:6" ht="47.6">
      <c r="A2440" s="19">
        <v>44215</v>
      </c>
      <c r="B2440" s="12" t="str">
        <f t="shared" si="38"/>
        <v>442</v>
      </c>
      <c r="C2440" s="1" t="s">
        <v>3424</v>
      </c>
      <c r="D2440" s="13" t="str">
        <f>IF(RIGHT(A2440,3)="000",C2440,VLOOKUP(B2440,'Справочник ИХ'!A:C,3,0))</f>
        <v>Остальные грузы</v>
      </c>
      <c r="E2440" s="13">
        <f>IF(RIGHT(A2440,3)="000","х",VLOOKUP(B2440,'Справочник ИХ'!A:D,4,0))</f>
        <v>3</v>
      </c>
      <c r="F2440" s="14" t="s">
        <v>3351</v>
      </c>
    </row>
    <row r="2441" spans="1:6" s="18" customFormat="1" ht="47.6">
      <c r="A2441" s="16">
        <v>44300</v>
      </c>
      <c r="B2441" s="12" t="str">
        <f t="shared" si="38"/>
        <v>443</v>
      </c>
      <c r="C2441" s="17" t="s">
        <v>3425</v>
      </c>
      <c r="D2441" s="13" t="str">
        <f>IF(RIGHT(A2441,3)="000",C2441,VLOOKUP(B2441,'Справочник ИХ'!A:C,3,0))</f>
        <v>Остальные грузы</v>
      </c>
      <c r="E2441" s="13">
        <f>IF(RIGHT(A2441,3)="000","х",VLOOKUP(B2441,'Справочник ИХ'!A:D,4,0))</f>
        <v>2</v>
      </c>
      <c r="F2441" s="14" t="s">
        <v>3351</v>
      </c>
    </row>
    <row r="2442" spans="1:6" ht="47.6">
      <c r="A2442" s="19">
        <v>44301</v>
      </c>
      <c r="B2442" s="12" t="str">
        <f t="shared" si="38"/>
        <v>443</v>
      </c>
      <c r="C2442" s="1" t="s">
        <v>3426</v>
      </c>
      <c r="D2442" s="13" t="str">
        <f>IF(RIGHT(A2442,3)="000",C2442,VLOOKUP(B2442,'Справочник ИХ'!A:C,3,0))</f>
        <v>Остальные грузы</v>
      </c>
      <c r="E2442" s="13">
        <f>IF(RIGHT(A2442,3)="000","х",VLOOKUP(B2442,'Справочник ИХ'!A:D,4,0))</f>
        <v>2</v>
      </c>
      <c r="F2442" s="14" t="s">
        <v>3351</v>
      </c>
    </row>
    <row r="2443" spans="1:6" ht="47.6">
      <c r="A2443" s="19">
        <v>44302</v>
      </c>
      <c r="B2443" s="12" t="str">
        <f t="shared" si="38"/>
        <v>443</v>
      </c>
      <c r="C2443" s="1" t="s">
        <v>3427</v>
      </c>
      <c r="D2443" s="13" t="str">
        <f>IF(RIGHT(A2443,3)="000",C2443,VLOOKUP(B2443,'Справочник ИХ'!A:C,3,0))</f>
        <v>Остальные грузы</v>
      </c>
      <c r="E2443" s="13">
        <f>IF(RIGHT(A2443,3)="000","х",VLOOKUP(B2443,'Справочник ИХ'!A:D,4,0))</f>
        <v>2</v>
      </c>
      <c r="F2443" s="14" t="s">
        <v>3351</v>
      </c>
    </row>
    <row r="2444" spans="1:6" ht="47.6">
      <c r="A2444" s="19">
        <v>44303</v>
      </c>
      <c r="B2444" s="12" t="str">
        <f t="shared" si="38"/>
        <v>443</v>
      </c>
      <c r="C2444" s="1" t="s">
        <v>3428</v>
      </c>
      <c r="D2444" s="13" t="str">
        <f>IF(RIGHT(A2444,3)="000",C2444,VLOOKUP(B2444,'Справочник ИХ'!A:C,3,0))</f>
        <v>Остальные грузы</v>
      </c>
      <c r="E2444" s="13">
        <f>IF(RIGHT(A2444,3)="000","х",VLOOKUP(B2444,'Справочник ИХ'!A:D,4,0))</f>
        <v>2</v>
      </c>
      <c r="F2444" s="14" t="s">
        <v>3351</v>
      </c>
    </row>
    <row r="2445" spans="1:6" ht="47.6">
      <c r="A2445" s="19">
        <v>44304</v>
      </c>
      <c r="B2445" s="12" t="str">
        <f t="shared" si="38"/>
        <v>443</v>
      </c>
      <c r="C2445" s="1" t="s">
        <v>3429</v>
      </c>
      <c r="D2445" s="13" t="str">
        <f>IF(RIGHT(A2445,3)="000",C2445,VLOOKUP(B2445,'Справочник ИХ'!A:C,3,0))</f>
        <v>Остальные грузы</v>
      </c>
      <c r="E2445" s="13">
        <f>IF(RIGHT(A2445,3)="000","х",VLOOKUP(B2445,'Справочник ИХ'!A:D,4,0))</f>
        <v>2</v>
      </c>
      <c r="F2445" s="14" t="s">
        <v>3351</v>
      </c>
    </row>
    <row r="2446" spans="1:6" ht="47.6">
      <c r="A2446" s="19">
        <v>44305</v>
      </c>
      <c r="B2446" s="12" t="str">
        <f t="shared" si="38"/>
        <v>443</v>
      </c>
      <c r="C2446" s="1" t="s">
        <v>3430</v>
      </c>
      <c r="D2446" s="13" t="str">
        <f>IF(RIGHT(A2446,3)="000",C2446,VLOOKUP(B2446,'Справочник ИХ'!A:C,3,0))</f>
        <v>Остальные грузы</v>
      </c>
      <c r="E2446" s="13">
        <f>IF(RIGHT(A2446,3)="000","х",VLOOKUP(B2446,'Справочник ИХ'!A:D,4,0))</f>
        <v>2</v>
      </c>
      <c r="F2446" s="14" t="s">
        <v>3351</v>
      </c>
    </row>
    <row r="2447" spans="1:6" s="15" customFormat="1" ht="63.45">
      <c r="A2447" s="7">
        <v>45000</v>
      </c>
      <c r="B2447" s="12" t="str">
        <f t="shared" si="38"/>
        <v>450</v>
      </c>
      <c r="C2447" s="11" t="s">
        <v>3431</v>
      </c>
      <c r="D2447" s="13" t="str">
        <f>IF(RIGHT(A2447,3)="000",C2447,VLOOKUP(B2447,'Справочник ИХ'!A:C,3,0))</f>
        <v>Каучуки, резина, изделия резино-технические, углерод технический (сажа)</v>
      </c>
      <c r="E2447" s="13" t="str">
        <f>IF(RIGHT(A2447,3)="000","х",VLOOKUP(B2447,'Справочник ИХ'!A:D,4,0))</f>
        <v>х</v>
      </c>
      <c r="F2447" s="14" t="s">
        <v>3431</v>
      </c>
    </row>
    <row r="2448" spans="1:6" s="18" customFormat="1" ht="31.75">
      <c r="A2448" s="16">
        <v>45100</v>
      </c>
      <c r="B2448" s="12" t="str">
        <f t="shared" si="38"/>
        <v>451</v>
      </c>
      <c r="C2448" s="17" t="s">
        <v>3432</v>
      </c>
      <c r="D2448" s="13" t="str">
        <f>IF(RIGHT(A2448,3)="000",C2448,VLOOKUP(B2448,'Справочник ИХ'!A:C,3,0))</f>
        <v>Остальные грузы</v>
      </c>
      <c r="E2448" s="13">
        <f>IF(RIGHT(A2448,3)="000","х",VLOOKUP(B2448,'Справочник ИХ'!A:D,4,0))</f>
        <v>3</v>
      </c>
      <c r="F2448" s="14" t="s">
        <v>3431</v>
      </c>
    </row>
    <row r="2449" spans="1:6" ht="31.75">
      <c r="A2449" s="19">
        <v>45101</v>
      </c>
      <c r="B2449" s="12" t="str">
        <f t="shared" si="38"/>
        <v>451</v>
      </c>
      <c r="C2449" s="1" t="s">
        <v>3433</v>
      </c>
      <c r="D2449" s="13" t="str">
        <f>IF(RIGHT(A2449,3)="000",C2449,VLOOKUP(B2449,'Справочник ИХ'!A:C,3,0))</f>
        <v>Остальные грузы</v>
      </c>
      <c r="E2449" s="13">
        <f>IF(RIGHT(A2449,3)="000","х",VLOOKUP(B2449,'Справочник ИХ'!A:D,4,0))</f>
        <v>3</v>
      </c>
      <c r="F2449" s="14" t="s">
        <v>3431</v>
      </c>
    </row>
    <row r="2450" spans="1:6" ht="31.75">
      <c r="A2450" s="19">
        <v>45102</v>
      </c>
      <c r="B2450" s="12" t="str">
        <f t="shared" si="38"/>
        <v>451</v>
      </c>
      <c r="C2450" s="1" t="s">
        <v>3434</v>
      </c>
      <c r="D2450" s="13" t="str">
        <f>IF(RIGHT(A2450,3)="000",C2450,VLOOKUP(B2450,'Справочник ИХ'!A:C,3,0))</f>
        <v>Остальные грузы</v>
      </c>
      <c r="E2450" s="13">
        <f>IF(RIGHT(A2450,3)="000","х",VLOOKUP(B2450,'Справочник ИХ'!A:D,4,0))</f>
        <v>3</v>
      </c>
      <c r="F2450" s="14" t="s">
        <v>3431</v>
      </c>
    </row>
    <row r="2451" spans="1:6" ht="31.75">
      <c r="A2451" s="19">
        <v>45103</v>
      </c>
      <c r="B2451" s="12" t="str">
        <f t="shared" si="38"/>
        <v>451</v>
      </c>
      <c r="C2451" s="1" t="s">
        <v>3435</v>
      </c>
      <c r="D2451" s="13" t="str">
        <f>IF(RIGHT(A2451,3)="000",C2451,VLOOKUP(B2451,'Справочник ИХ'!A:C,3,0))</f>
        <v>Остальные грузы</v>
      </c>
      <c r="E2451" s="13">
        <f>IF(RIGHT(A2451,3)="000","х",VLOOKUP(B2451,'Справочник ИХ'!A:D,4,0))</f>
        <v>3</v>
      </c>
      <c r="F2451" s="14" t="s">
        <v>3431</v>
      </c>
    </row>
    <row r="2452" spans="1:6" ht="31.75">
      <c r="A2452" s="19">
        <v>45104</v>
      </c>
      <c r="B2452" s="12" t="str">
        <f t="shared" si="38"/>
        <v>451</v>
      </c>
      <c r="C2452" s="1" t="s">
        <v>3436</v>
      </c>
      <c r="D2452" s="13" t="str">
        <f>IF(RIGHT(A2452,3)="000",C2452,VLOOKUP(B2452,'Справочник ИХ'!A:C,3,0))</f>
        <v>Остальные грузы</v>
      </c>
      <c r="E2452" s="13">
        <f>IF(RIGHT(A2452,3)="000","х",VLOOKUP(B2452,'Справочник ИХ'!A:D,4,0))</f>
        <v>3</v>
      </c>
      <c r="F2452" s="14" t="s">
        <v>3431</v>
      </c>
    </row>
    <row r="2453" spans="1:6" ht="31.75">
      <c r="A2453" s="19">
        <v>45105</v>
      </c>
      <c r="B2453" s="12" t="str">
        <f t="shared" si="38"/>
        <v>451</v>
      </c>
      <c r="C2453" s="1" t="s">
        <v>3437</v>
      </c>
      <c r="D2453" s="13" t="str">
        <f>IF(RIGHT(A2453,3)="000",C2453,VLOOKUP(B2453,'Справочник ИХ'!A:C,3,0))</f>
        <v>Остальные грузы</v>
      </c>
      <c r="E2453" s="13">
        <f>IF(RIGHT(A2453,3)="000","х",VLOOKUP(B2453,'Справочник ИХ'!A:D,4,0))</f>
        <v>3</v>
      </c>
      <c r="F2453" s="14" t="s">
        <v>3431</v>
      </c>
    </row>
    <row r="2454" spans="1:6" ht="31.75">
      <c r="A2454" s="19">
        <v>45106</v>
      </c>
      <c r="B2454" s="12" t="str">
        <f t="shared" si="38"/>
        <v>451</v>
      </c>
      <c r="C2454" s="1" t="s">
        <v>3438</v>
      </c>
      <c r="D2454" s="13" t="str">
        <f>IF(RIGHT(A2454,3)="000",C2454,VLOOKUP(B2454,'Справочник ИХ'!A:C,3,0))</f>
        <v>Остальные грузы</v>
      </c>
      <c r="E2454" s="13">
        <f>IF(RIGHT(A2454,3)="000","х",VLOOKUP(B2454,'Справочник ИХ'!A:D,4,0))</f>
        <v>3</v>
      </c>
      <c r="F2454" s="14" t="s">
        <v>3431</v>
      </c>
    </row>
    <row r="2455" spans="1:6" s="18" customFormat="1" ht="31.75">
      <c r="A2455" s="16">
        <v>45200</v>
      </c>
      <c r="B2455" s="12" t="str">
        <f t="shared" si="38"/>
        <v>452</v>
      </c>
      <c r="C2455" s="17" t="s">
        <v>3439</v>
      </c>
      <c r="D2455" s="13" t="str">
        <f>IF(RIGHT(A2455,3)="000",C2455,VLOOKUP(B2455,'Справочник ИХ'!A:C,3,0))</f>
        <v>Остальные грузы</v>
      </c>
      <c r="E2455" s="13">
        <f>IF(RIGHT(A2455,3)="000","х",VLOOKUP(B2455,'Справочник ИХ'!A:D,4,0))</f>
        <v>3</v>
      </c>
      <c r="F2455" s="14" t="s">
        <v>3431</v>
      </c>
    </row>
    <row r="2456" spans="1:6" ht="31.75">
      <c r="A2456" s="19">
        <v>45201</v>
      </c>
      <c r="B2456" s="12" t="str">
        <f t="shared" si="38"/>
        <v>452</v>
      </c>
      <c r="C2456" s="1" t="s">
        <v>3440</v>
      </c>
      <c r="D2456" s="13" t="str">
        <f>IF(RIGHT(A2456,3)="000",C2456,VLOOKUP(B2456,'Справочник ИХ'!A:C,3,0))</f>
        <v>Остальные грузы</v>
      </c>
      <c r="E2456" s="13">
        <f>IF(RIGHT(A2456,3)="000","х",VLOOKUP(B2456,'Справочник ИХ'!A:D,4,0))</f>
        <v>3</v>
      </c>
      <c r="F2456" s="14" t="s">
        <v>3431</v>
      </c>
    </row>
    <row r="2457" spans="1:6" ht="31.75">
      <c r="A2457" s="19">
        <v>45202</v>
      </c>
      <c r="B2457" s="12" t="str">
        <f t="shared" si="38"/>
        <v>452</v>
      </c>
      <c r="C2457" s="1" t="s">
        <v>3441</v>
      </c>
      <c r="D2457" s="13" t="str">
        <f>IF(RIGHT(A2457,3)="000",C2457,VLOOKUP(B2457,'Справочник ИХ'!A:C,3,0))</f>
        <v>Остальные грузы</v>
      </c>
      <c r="E2457" s="13">
        <f>IF(RIGHT(A2457,3)="000","х",VLOOKUP(B2457,'Справочник ИХ'!A:D,4,0))</f>
        <v>3</v>
      </c>
      <c r="F2457" s="14" t="s">
        <v>3431</v>
      </c>
    </row>
    <row r="2458" spans="1:6" ht="31.75">
      <c r="A2458" s="19">
        <v>45203</v>
      </c>
      <c r="B2458" s="12" t="str">
        <f t="shared" si="38"/>
        <v>452</v>
      </c>
      <c r="C2458" s="1" t="s">
        <v>3442</v>
      </c>
      <c r="D2458" s="13" t="str">
        <f>IF(RIGHT(A2458,3)="000",C2458,VLOOKUP(B2458,'Справочник ИХ'!A:C,3,0))</f>
        <v>Остальные грузы</v>
      </c>
      <c r="E2458" s="13">
        <f>IF(RIGHT(A2458,3)="000","х",VLOOKUP(B2458,'Справочник ИХ'!A:D,4,0))</f>
        <v>3</v>
      </c>
      <c r="F2458" s="14" t="s">
        <v>3431</v>
      </c>
    </row>
    <row r="2459" spans="1:6" ht="31.75">
      <c r="A2459" s="19">
        <v>45204</v>
      </c>
      <c r="B2459" s="12" t="str">
        <f t="shared" si="38"/>
        <v>452</v>
      </c>
      <c r="C2459" s="1" t="s">
        <v>3443</v>
      </c>
      <c r="D2459" s="13" t="str">
        <f>IF(RIGHT(A2459,3)="000",C2459,VLOOKUP(B2459,'Справочник ИХ'!A:C,3,0))</f>
        <v>Остальные грузы</v>
      </c>
      <c r="E2459" s="13">
        <f>IF(RIGHT(A2459,3)="000","х",VLOOKUP(B2459,'Справочник ИХ'!A:D,4,0))</f>
        <v>3</v>
      </c>
      <c r="F2459" s="14" t="s">
        <v>3431</v>
      </c>
    </row>
    <row r="2460" spans="1:6" ht="31.75">
      <c r="A2460" s="19">
        <v>45205</v>
      </c>
      <c r="B2460" s="12" t="str">
        <f t="shared" si="38"/>
        <v>452</v>
      </c>
      <c r="C2460" s="1" t="s">
        <v>3444</v>
      </c>
      <c r="D2460" s="13" t="str">
        <f>IF(RIGHT(A2460,3)="000",C2460,VLOOKUP(B2460,'Справочник ИХ'!A:C,3,0))</f>
        <v>Остальные грузы</v>
      </c>
      <c r="E2460" s="13">
        <f>IF(RIGHT(A2460,3)="000","х",VLOOKUP(B2460,'Справочник ИХ'!A:D,4,0))</f>
        <v>3</v>
      </c>
      <c r="F2460" s="14" t="s">
        <v>3431</v>
      </c>
    </row>
    <row r="2461" spans="1:6" ht="31.75">
      <c r="A2461" s="19">
        <v>45206</v>
      </c>
      <c r="B2461" s="12" t="str">
        <f t="shared" si="38"/>
        <v>452</v>
      </c>
      <c r="C2461" s="1" t="s">
        <v>3445</v>
      </c>
      <c r="D2461" s="13" t="str">
        <f>IF(RIGHT(A2461,3)="000",C2461,VLOOKUP(B2461,'Справочник ИХ'!A:C,3,0))</f>
        <v>Остальные грузы</v>
      </c>
      <c r="E2461" s="13">
        <f>IF(RIGHT(A2461,3)="000","х",VLOOKUP(B2461,'Справочник ИХ'!A:D,4,0))</f>
        <v>3</v>
      </c>
      <c r="F2461" s="14" t="s">
        <v>3431</v>
      </c>
    </row>
    <row r="2462" spans="1:6" ht="31.75">
      <c r="A2462" s="19">
        <v>45207</v>
      </c>
      <c r="B2462" s="12" t="str">
        <f t="shared" si="38"/>
        <v>452</v>
      </c>
      <c r="C2462" s="1" t="s">
        <v>3446</v>
      </c>
      <c r="D2462" s="13" t="str">
        <f>IF(RIGHT(A2462,3)="000",C2462,VLOOKUP(B2462,'Справочник ИХ'!A:C,3,0))</f>
        <v>Остальные грузы</v>
      </c>
      <c r="E2462" s="13">
        <f>IF(RIGHT(A2462,3)="000","х",VLOOKUP(B2462,'Справочник ИХ'!A:D,4,0))</f>
        <v>3</v>
      </c>
      <c r="F2462" s="14" t="s">
        <v>3431</v>
      </c>
    </row>
    <row r="2463" spans="1:6" ht="31.75">
      <c r="A2463" s="19">
        <v>45208</v>
      </c>
      <c r="B2463" s="12" t="str">
        <f t="shared" si="38"/>
        <v>452</v>
      </c>
      <c r="C2463" s="1" t="s">
        <v>3447</v>
      </c>
      <c r="D2463" s="13" t="str">
        <f>IF(RIGHT(A2463,3)="000",C2463,VLOOKUP(B2463,'Справочник ИХ'!A:C,3,0))</f>
        <v>Остальные грузы</v>
      </c>
      <c r="E2463" s="13">
        <f>IF(RIGHT(A2463,3)="000","х",VLOOKUP(B2463,'Справочник ИХ'!A:D,4,0))</f>
        <v>3</v>
      </c>
      <c r="F2463" s="14" t="s">
        <v>3431</v>
      </c>
    </row>
    <row r="2464" spans="1:6" ht="31.75">
      <c r="A2464" s="19">
        <v>45209</v>
      </c>
      <c r="B2464" s="12" t="str">
        <f t="shared" si="38"/>
        <v>452</v>
      </c>
      <c r="C2464" s="1" t="s">
        <v>3448</v>
      </c>
      <c r="D2464" s="13" t="str">
        <f>IF(RIGHT(A2464,3)="000",C2464,VLOOKUP(B2464,'Справочник ИХ'!A:C,3,0))</f>
        <v>Остальные грузы</v>
      </c>
      <c r="E2464" s="13">
        <f>IF(RIGHT(A2464,3)="000","х",VLOOKUP(B2464,'Справочник ИХ'!A:D,4,0))</f>
        <v>3</v>
      </c>
      <c r="F2464" s="14" t="s">
        <v>3431</v>
      </c>
    </row>
    <row r="2465" spans="1:6" ht="31.75">
      <c r="A2465" s="19">
        <v>45210</v>
      </c>
      <c r="B2465" s="12" t="str">
        <f t="shared" si="38"/>
        <v>452</v>
      </c>
      <c r="C2465" s="1" t="s">
        <v>3449</v>
      </c>
      <c r="D2465" s="13" t="str">
        <f>IF(RIGHT(A2465,3)="000",C2465,VLOOKUP(B2465,'Справочник ИХ'!A:C,3,0))</f>
        <v>Остальные грузы</v>
      </c>
      <c r="E2465" s="13">
        <f>IF(RIGHT(A2465,3)="000","х",VLOOKUP(B2465,'Справочник ИХ'!A:D,4,0))</f>
        <v>3</v>
      </c>
      <c r="F2465" s="14" t="s">
        <v>3431</v>
      </c>
    </row>
    <row r="2466" spans="1:6" ht="31.75">
      <c r="A2466" s="19">
        <v>45211</v>
      </c>
      <c r="B2466" s="12" t="str">
        <f t="shared" si="38"/>
        <v>452</v>
      </c>
      <c r="C2466" s="1" t="s">
        <v>3450</v>
      </c>
      <c r="D2466" s="13" t="str">
        <f>IF(RIGHT(A2466,3)="000",C2466,VLOOKUP(B2466,'Справочник ИХ'!A:C,3,0))</f>
        <v>Остальные грузы</v>
      </c>
      <c r="E2466" s="13">
        <f>IF(RIGHT(A2466,3)="000","х",VLOOKUP(B2466,'Справочник ИХ'!A:D,4,0))</f>
        <v>3</v>
      </c>
      <c r="F2466" s="14" t="s">
        <v>3431</v>
      </c>
    </row>
    <row r="2467" spans="1:6" ht="31.75">
      <c r="A2467" s="19">
        <v>45212</v>
      </c>
      <c r="B2467" s="12" t="str">
        <f t="shared" si="38"/>
        <v>452</v>
      </c>
      <c r="C2467" s="1" t="s">
        <v>3451</v>
      </c>
      <c r="D2467" s="13" t="str">
        <f>IF(RIGHT(A2467,3)="000",C2467,VLOOKUP(B2467,'Справочник ИХ'!A:C,3,0))</f>
        <v>Остальные грузы</v>
      </c>
      <c r="E2467" s="13">
        <f>IF(RIGHT(A2467,3)="000","х",VLOOKUP(B2467,'Справочник ИХ'!A:D,4,0))</f>
        <v>3</v>
      </c>
      <c r="F2467" s="14" t="s">
        <v>3431</v>
      </c>
    </row>
    <row r="2468" spans="1:6" ht="31.75">
      <c r="A2468" s="19">
        <v>45213</v>
      </c>
      <c r="B2468" s="12" t="str">
        <f t="shared" si="38"/>
        <v>452</v>
      </c>
      <c r="C2468" s="1" t="s">
        <v>3452</v>
      </c>
      <c r="D2468" s="13" t="str">
        <f>IF(RIGHT(A2468,3)="000",C2468,VLOOKUP(B2468,'Справочник ИХ'!A:C,3,0))</f>
        <v>Остальные грузы</v>
      </c>
      <c r="E2468" s="13">
        <f>IF(RIGHT(A2468,3)="000","х",VLOOKUP(B2468,'Справочник ИХ'!A:D,4,0))</f>
        <v>3</v>
      </c>
      <c r="F2468" s="14" t="s">
        <v>3431</v>
      </c>
    </row>
    <row r="2469" spans="1:6" ht="31.75">
      <c r="A2469" s="19">
        <v>45214</v>
      </c>
      <c r="B2469" s="12" t="str">
        <f t="shared" si="38"/>
        <v>452</v>
      </c>
      <c r="C2469" s="1" t="s">
        <v>3453</v>
      </c>
      <c r="D2469" s="13" t="str">
        <f>IF(RIGHT(A2469,3)="000",C2469,VLOOKUP(B2469,'Справочник ИХ'!A:C,3,0))</f>
        <v>Остальные грузы</v>
      </c>
      <c r="E2469" s="13">
        <f>IF(RIGHT(A2469,3)="000","х",VLOOKUP(B2469,'Справочник ИХ'!A:D,4,0))</f>
        <v>3</v>
      </c>
      <c r="F2469" s="14" t="s">
        <v>3431</v>
      </c>
    </row>
    <row r="2470" spans="1:6" ht="31.75">
      <c r="A2470" s="19">
        <v>45215</v>
      </c>
      <c r="B2470" s="12" t="str">
        <f t="shared" si="38"/>
        <v>452</v>
      </c>
      <c r="C2470" s="1" t="s">
        <v>3454</v>
      </c>
      <c r="D2470" s="13" t="str">
        <f>IF(RIGHT(A2470,3)="000",C2470,VLOOKUP(B2470,'Справочник ИХ'!A:C,3,0))</f>
        <v>Остальные грузы</v>
      </c>
      <c r="E2470" s="13">
        <f>IF(RIGHT(A2470,3)="000","х",VLOOKUP(B2470,'Справочник ИХ'!A:D,4,0))</f>
        <v>3</v>
      </c>
      <c r="F2470" s="14" t="s">
        <v>3431</v>
      </c>
    </row>
    <row r="2471" spans="1:6" ht="31.75">
      <c r="A2471" s="19">
        <v>45216</v>
      </c>
      <c r="B2471" s="12" t="str">
        <f t="shared" si="38"/>
        <v>452</v>
      </c>
      <c r="C2471" s="1" t="s">
        <v>3455</v>
      </c>
      <c r="D2471" s="13" t="str">
        <f>IF(RIGHT(A2471,3)="000",C2471,VLOOKUP(B2471,'Справочник ИХ'!A:C,3,0))</f>
        <v>Остальные грузы</v>
      </c>
      <c r="E2471" s="13">
        <f>IF(RIGHT(A2471,3)="000","х",VLOOKUP(B2471,'Справочник ИХ'!A:D,4,0))</f>
        <v>3</v>
      </c>
      <c r="F2471" s="14" t="s">
        <v>3431</v>
      </c>
    </row>
    <row r="2472" spans="1:6" ht="31.75">
      <c r="A2472" s="19">
        <v>45217</v>
      </c>
      <c r="B2472" s="12" t="str">
        <f t="shared" si="38"/>
        <v>452</v>
      </c>
      <c r="C2472" s="1" t="s">
        <v>3456</v>
      </c>
      <c r="D2472" s="13" t="str">
        <f>IF(RIGHT(A2472,3)="000",C2472,VLOOKUP(B2472,'Справочник ИХ'!A:C,3,0))</f>
        <v>Остальные грузы</v>
      </c>
      <c r="E2472" s="13">
        <f>IF(RIGHT(A2472,3)="000","х",VLOOKUP(B2472,'Справочник ИХ'!A:D,4,0))</f>
        <v>3</v>
      </c>
      <c r="F2472" s="14" t="s">
        <v>3431</v>
      </c>
    </row>
    <row r="2473" spans="1:6" ht="31.75">
      <c r="A2473" s="19">
        <v>45218</v>
      </c>
      <c r="B2473" s="12" t="str">
        <f t="shared" si="38"/>
        <v>452</v>
      </c>
      <c r="C2473" s="1" t="s">
        <v>3457</v>
      </c>
      <c r="D2473" s="13" t="str">
        <f>IF(RIGHT(A2473,3)="000",C2473,VLOOKUP(B2473,'Справочник ИХ'!A:C,3,0))</f>
        <v>Остальные грузы</v>
      </c>
      <c r="E2473" s="13">
        <f>IF(RIGHT(A2473,3)="000","х",VLOOKUP(B2473,'Справочник ИХ'!A:D,4,0))</f>
        <v>3</v>
      </c>
      <c r="F2473" s="14" t="s">
        <v>3431</v>
      </c>
    </row>
    <row r="2474" spans="1:6" ht="31.75">
      <c r="A2474" s="19">
        <v>45219</v>
      </c>
      <c r="B2474" s="12" t="str">
        <f t="shared" si="38"/>
        <v>452</v>
      </c>
      <c r="C2474" s="1" t="s">
        <v>3458</v>
      </c>
      <c r="D2474" s="13" t="str">
        <f>IF(RIGHT(A2474,3)="000",C2474,VLOOKUP(B2474,'Справочник ИХ'!A:C,3,0))</f>
        <v>Остальные грузы</v>
      </c>
      <c r="E2474" s="13">
        <f>IF(RIGHT(A2474,3)="000","х",VLOOKUP(B2474,'Справочник ИХ'!A:D,4,0))</f>
        <v>3</v>
      </c>
      <c r="F2474" s="14" t="s">
        <v>3431</v>
      </c>
    </row>
    <row r="2475" spans="1:6" ht="31.75">
      <c r="A2475" s="19">
        <v>45220</v>
      </c>
      <c r="B2475" s="12" t="str">
        <f t="shared" si="38"/>
        <v>452</v>
      </c>
      <c r="C2475" s="1" t="s">
        <v>3459</v>
      </c>
      <c r="D2475" s="13" t="str">
        <f>IF(RIGHT(A2475,3)="000",C2475,VLOOKUP(B2475,'Справочник ИХ'!A:C,3,0))</f>
        <v>Остальные грузы</v>
      </c>
      <c r="E2475" s="13">
        <f>IF(RIGHT(A2475,3)="000","х",VLOOKUP(B2475,'Справочник ИХ'!A:D,4,0))</f>
        <v>3</v>
      </c>
      <c r="F2475" s="14" t="s">
        <v>3431</v>
      </c>
    </row>
    <row r="2476" spans="1:6" ht="31.75">
      <c r="A2476" s="19">
        <v>45221</v>
      </c>
      <c r="B2476" s="12" t="str">
        <f t="shared" si="38"/>
        <v>452</v>
      </c>
      <c r="C2476" s="1" t="s">
        <v>3460</v>
      </c>
      <c r="D2476" s="13" t="str">
        <f>IF(RIGHT(A2476,3)="000",C2476,VLOOKUP(B2476,'Справочник ИХ'!A:C,3,0))</f>
        <v>Остальные грузы</v>
      </c>
      <c r="E2476" s="13">
        <f>IF(RIGHT(A2476,3)="000","х",VLOOKUP(B2476,'Справочник ИХ'!A:D,4,0))</f>
        <v>3</v>
      </c>
      <c r="F2476" s="14" t="s">
        <v>3431</v>
      </c>
    </row>
    <row r="2477" spans="1:6" ht="31.75">
      <c r="A2477" s="19">
        <v>45222</v>
      </c>
      <c r="B2477" s="12" t="str">
        <f t="shared" si="38"/>
        <v>452</v>
      </c>
      <c r="C2477" s="1" t="s">
        <v>3461</v>
      </c>
      <c r="D2477" s="13" t="str">
        <f>IF(RIGHT(A2477,3)="000",C2477,VLOOKUP(B2477,'Справочник ИХ'!A:C,3,0))</f>
        <v>Остальные грузы</v>
      </c>
      <c r="E2477" s="13">
        <f>IF(RIGHT(A2477,3)="000","х",VLOOKUP(B2477,'Справочник ИХ'!A:D,4,0))</f>
        <v>3</v>
      </c>
      <c r="F2477" s="14" t="s">
        <v>3431</v>
      </c>
    </row>
    <row r="2478" spans="1:6" ht="31.75">
      <c r="A2478" s="19">
        <v>45223</v>
      </c>
      <c r="B2478" s="12" t="str">
        <f t="shared" si="38"/>
        <v>452</v>
      </c>
      <c r="C2478" s="1" t="s">
        <v>3462</v>
      </c>
      <c r="D2478" s="13" t="str">
        <f>IF(RIGHT(A2478,3)="000",C2478,VLOOKUP(B2478,'Справочник ИХ'!A:C,3,0))</f>
        <v>Остальные грузы</v>
      </c>
      <c r="E2478" s="13">
        <f>IF(RIGHT(A2478,3)="000","х",VLOOKUP(B2478,'Справочник ИХ'!A:D,4,0))</f>
        <v>3</v>
      </c>
      <c r="F2478" s="14" t="s">
        <v>3431</v>
      </c>
    </row>
    <row r="2479" spans="1:6" ht="31.75">
      <c r="A2479" s="19">
        <v>45224</v>
      </c>
      <c r="B2479" s="12" t="str">
        <f t="shared" si="38"/>
        <v>452</v>
      </c>
      <c r="C2479" s="1" t="s">
        <v>3463</v>
      </c>
      <c r="D2479" s="13" t="str">
        <f>IF(RIGHT(A2479,3)="000",C2479,VLOOKUP(B2479,'Справочник ИХ'!A:C,3,0))</f>
        <v>Остальные грузы</v>
      </c>
      <c r="E2479" s="13">
        <f>IF(RIGHT(A2479,3)="000","х",VLOOKUP(B2479,'Справочник ИХ'!A:D,4,0))</f>
        <v>3</v>
      </c>
      <c r="F2479" s="14" t="s">
        <v>3431</v>
      </c>
    </row>
    <row r="2480" spans="1:6" ht="31.75">
      <c r="A2480" s="19">
        <v>45225</v>
      </c>
      <c r="B2480" s="12" t="str">
        <f t="shared" si="38"/>
        <v>452</v>
      </c>
      <c r="C2480" s="1" t="s">
        <v>3464</v>
      </c>
      <c r="D2480" s="13" t="str">
        <f>IF(RIGHT(A2480,3)="000",C2480,VLOOKUP(B2480,'Справочник ИХ'!A:C,3,0))</f>
        <v>Остальные грузы</v>
      </c>
      <c r="E2480" s="13">
        <f>IF(RIGHT(A2480,3)="000","х",VLOOKUP(B2480,'Справочник ИХ'!A:D,4,0))</f>
        <v>3</v>
      </c>
      <c r="F2480" s="14" t="s">
        <v>3431</v>
      </c>
    </row>
    <row r="2481" spans="1:6" ht="31.75">
      <c r="A2481" s="19">
        <v>45226</v>
      </c>
      <c r="B2481" s="12" t="str">
        <f t="shared" si="38"/>
        <v>452</v>
      </c>
      <c r="C2481" s="1" t="s">
        <v>3465</v>
      </c>
      <c r="D2481" s="13" t="str">
        <f>IF(RIGHT(A2481,3)="000",C2481,VLOOKUP(B2481,'Справочник ИХ'!A:C,3,0))</f>
        <v>Остальные грузы</v>
      </c>
      <c r="E2481" s="13">
        <f>IF(RIGHT(A2481,3)="000","х",VLOOKUP(B2481,'Справочник ИХ'!A:D,4,0))</f>
        <v>3</v>
      </c>
      <c r="F2481" s="14" t="s">
        <v>3431</v>
      </c>
    </row>
    <row r="2482" spans="1:6" ht="31.75">
      <c r="A2482" s="19">
        <v>45227</v>
      </c>
      <c r="B2482" s="12" t="str">
        <f t="shared" si="38"/>
        <v>452</v>
      </c>
      <c r="C2482" s="1" t="s">
        <v>3466</v>
      </c>
      <c r="D2482" s="13" t="str">
        <f>IF(RIGHT(A2482,3)="000",C2482,VLOOKUP(B2482,'Справочник ИХ'!A:C,3,0))</f>
        <v>Остальные грузы</v>
      </c>
      <c r="E2482" s="13">
        <f>IF(RIGHT(A2482,3)="000","х",VLOOKUP(B2482,'Справочник ИХ'!A:D,4,0))</f>
        <v>3</v>
      </c>
      <c r="F2482" s="14" t="s">
        <v>3431</v>
      </c>
    </row>
    <row r="2483" spans="1:6" ht="31.75">
      <c r="A2483" s="19">
        <v>45228</v>
      </c>
      <c r="B2483" s="12" t="str">
        <f t="shared" si="38"/>
        <v>452</v>
      </c>
      <c r="C2483" s="1" t="s">
        <v>3467</v>
      </c>
      <c r="D2483" s="13" t="str">
        <f>IF(RIGHT(A2483,3)="000",C2483,VLOOKUP(B2483,'Справочник ИХ'!A:C,3,0))</f>
        <v>Остальные грузы</v>
      </c>
      <c r="E2483" s="13">
        <f>IF(RIGHT(A2483,3)="000","х",VLOOKUP(B2483,'Справочник ИХ'!A:D,4,0))</f>
        <v>3</v>
      </c>
      <c r="F2483" s="14" t="s">
        <v>3431</v>
      </c>
    </row>
    <row r="2484" spans="1:6" ht="31.75">
      <c r="A2484" s="19">
        <v>45229</v>
      </c>
      <c r="B2484" s="12" t="str">
        <f t="shared" si="38"/>
        <v>452</v>
      </c>
      <c r="C2484" s="1" t="s">
        <v>3468</v>
      </c>
      <c r="D2484" s="13" t="str">
        <f>IF(RIGHT(A2484,3)="000",C2484,VLOOKUP(B2484,'Справочник ИХ'!A:C,3,0))</f>
        <v>Остальные грузы</v>
      </c>
      <c r="E2484" s="13">
        <f>IF(RIGHT(A2484,3)="000","х",VLOOKUP(B2484,'Справочник ИХ'!A:D,4,0))</f>
        <v>3</v>
      </c>
      <c r="F2484" s="14" t="s">
        <v>3431</v>
      </c>
    </row>
    <row r="2485" spans="1:6" ht="31.75">
      <c r="A2485" s="19">
        <v>45230</v>
      </c>
      <c r="B2485" s="12" t="str">
        <f t="shared" si="38"/>
        <v>452</v>
      </c>
      <c r="C2485" s="1" t="s">
        <v>3469</v>
      </c>
      <c r="D2485" s="13" t="str">
        <f>IF(RIGHT(A2485,3)="000",C2485,VLOOKUP(B2485,'Справочник ИХ'!A:C,3,0))</f>
        <v>Остальные грузы</v>
      </c>
      <c r="E2485" s="13">
        <f>IF(RIGHT(A2485,3)="000","х",VLOOKUP(B2485,'Справочник ИХ'!A:D,4,0))</f>
        <v>3</v>
      </c>
      <c r="F2485" s="14" t="s">
        <v>3431</v>
      </c>
    </row>
    <row r="2486" spans="1:6" ht="31.75">
      <c r="A2486" s="19">
        <v>45231</v>
      </c>
      <c r="B2486" s="12" t="str">
        <f t="shared" si="38"/>
        <v>452</v>
      </c>
      <c r="C2486" s="1" t="s">
        <v>3470</v>
      </c>
      <c r="D2486" s="13" t="str">
        <f>IF(RIGHT(A2486,3)="000",C2486,VLOOKUP(B2486,'Справочник ИХ'!A:C,3,0))</f>
        <v>Остальные грузы</v>
      </c>
      <c r="E2486" s="13">
        <f>IF(RIGHT(A2486,3)="000","х",VLOOKUP(B2486,'Справочник ИХ'!A:D,4,0))</f>
        <v>3</v>
      </c>
      <c r="F2486" s="14" t="s">
        <v>3431</v>
      </c>
    </row>
    <row r="2487" spans="1:6" ht="31.75">
      <c r="A2487" s="19">
        <v>45232</v>
      </c>
      <c r="B2487" s="12" t="str">
        <f t="shared" si="38"/>
        <v>452</v>
      </c>
      <c r="C2487" s="1" t="s">
        <v>3471</v>
      </c>
      <c r="D2487" s="13" t="str">
        <f>IF(RIGHT(A2487,3)="000",C2487,VLOOKUP(B2487,'Справочник ИХ'!A:C,3,0))</f>
        <v>Остальные грузы</v>
      </c>
      <c r="E2487" s="13">
        <f>IF(RIGHT(A2487,3)="000","х",VLOOKUP(B2487,'Справочник ИХ'!A:D,4,0))</f>
        <v>3</v>
      </c>
      <c r="F2487" s="14" t="s">
        <v>3431</v>
      </c>
    </row>
    <row r="2488" spans="1:6" ht="31.75">
      <c r="A2488" s="19">
        <v>45233</v>
      </c>
      <c r="B2488" s="12" t="str">
        <f t="shared" si="38"/>
        <v>452</v>
      </c>
      <c r="C2488" s="1" t="s">
        <v>3472</v>
      </c>
      <c r="D2488" s="13" t="str">
        <f>IF(RIGHT(A2488,3)="000",C2488,VLOOKUP(B2488,'Справочник ИХ'!A:C,3,0))</f>
        <v>Остальные грузы</v>
      </c>
      <c r="E2488" s="13">
        <f>IF(RIGHT(A2488,3)="000","х",VLOOKUP(B2488,'Справочник ИХ'!A:D,4,0))</f>
        <v>3</v>
      </c>
      <c r="F2488" s="14" t="s">
        <v>3431</v>
      </c>
    </row>
    <row r="2489" spans="1:6" ht="31.75">
      <c r="A2489" s="19">
        <v>45234</v>
      </c>
      <c r="B2489" s="12" t="str">
        <f t="shared" si="38"/>
        <v>452</v>
      </c>
      <c r="C2489" s="1" t="s">
        <v>3473</v>
      </c>
      <c r="D2489" s="13" t="str">
        <f>IF(RIGHT(A2489,3)="000",C2489,VLOOKUP(B2489,'Справочник ИХ'!A:C,3,0))</f>
        <v>Остальные грузы</v>
      </c>
      <c r="E2489" s="13">
        <f>IF(RIGHT(A2489,3)="000","х",VLOOKUP(B2489,'Справочник ИХ'!A:D,4,0))</f>
        <v>3</v>
      </c>
      <c r="F2489" s="14" t="s">
        <v>3431</v>
      </c>
    </row>
    <row r="2490" spans="1:6" ht="31.75">
      <c r="A2490" s="19">
        <v>45235</v>
      </c>
      <c r="B2490" s="12" t="str">
        <f t="shared" si="38"/>
        <v>452</v>
      </c>
      <c r="C2490" s="1" t="s">
        <v>3474</v>
      </c>
      <c r="D2490" s="13" t="str">
        <f>IF(RIGHT(A2490,3)="000",C2490,VLOOKUP(B2490,'Справочник ИХ'!A:C,3,0))</f>
        <v>Остальные грузы</v>
      </c>
      <c r="E2490" s="13">
        <f>IF(RIGHT(A2490,3)="000","х",VLOOKUP(B2490,'Справочник ИХ'!A:D,4,0))</f>
        <v>3</v>
      </c>
      <c r="F2490" s="14" t="s">
        <v>3431</v>
      </c>
    </row>
    <row r="2491" spans="1:6" s="18" customFormat="1" ht="31.75">
      <c r="A2491" s="16">
        <v>45300</v>
      </c>
      <c r="B2491" s="12" t="str">
        <f t="shared" si="38"/>
        <v>453</v>
      </c>
      <c r="C2491" s="17" t="s">
        <v>3475</v>
      </c>
      <c r="D2491" s="13" t="str">
        <f>IF(RIGHT(A2491,3)="000",C2491,VLOOKUP(B2491,'Справочник ИХ'!A:C,3,0))</f>
        <v>Остальные грузы</v>
      </c>
      <c r="E2491" s="13">
        <f>IF(RIGHT(A2491,3)="000","х",VLOOKUP(B2491,'Справочник ИХ'!A:D,4,0))</f>
        <v>3</v>
      </c>
      <c r="F2491" s="14" t="s">
        <v>3431</v>
      </c>
    </row>
    <row r="2492" spans="1:6" ht="31.75">
      <c r="A2492" s="19">
        <v>45301</v>
      </c>
      <c r="B2492" s="12" t="str">
        <f t="shared" si="38"/>
        <v>453</v>
      </c>
      <c r="C2492" s="1" t="s">
        <v>3476</v>
      </c>
      <c r="D2492" s="13" t="str">
        <f>IF(RIGHT(A2492,3)="000",C2492,VLOOKUP(B2492,'Справочник ИХ'!A:C,3,0))</f>
        <v>Остальные грузы</v>
      </c>
      <c r="E2492" s="13">
        <f>IF(RIGHT(A2492,3)="000","х",VLOOKUP(B2492,'Справочник ИХ'!A:D,4,0))</f>
        <v>3</v>
      </c>
      <c r="F2492" s="14" t="s">
        <v>3431</v>
      </c>
    </row>
    <row r="2493" spans="1:6" ht="31.75">
      <c r="A2493" s="19">
        <v>45302</v>
      </c>
      <c r="B2493" s="12" t="str">
        <f t="shared" si="38"/>
        <v>453</v>
      </c>
      <c r="C2493" s="1" t="s">
        <v>3477</v>
      </c>
      <c r="D2493" s="13" t="str">
        <f>IF(RIGHT(A2493,3)="000",C2493,VLOOKUP(B2493,'Справочник ИХ'!A:C,3,0))</f>
        <v>Остальные грузы</v>
      </c>
      <c r="E2493" s="13">
        <f>IF(RIGHT(A2493,3)="000","х",VLOOKUP(B2493,'Справочник ИХ'!A:D,4,0))</f>
        <v>3</v>
      </c>
      <c r="F2493" s="14" t="s">
        <v>3431</v>
      </c>
    </row>
    <row r="2494" spans="1:6" ht="31.75">
      <c r="A2494" s="19">
        <v>45303</v>
      </c>
      <c r="B2494" s="12" t="str">
        <f t="shared" si="38"/>
        <v>453</v>
      </c>
      <c r="C2494" s="1" t="s">
        <v>3478</v>
      </c>
      <c r="D2494" s="13" t="str">
        <f>IF(RIGHT(A2494,3)="000",C2494,VLOOKUP(B2494,'Справочник ИХ'!A:C,3,0))</f>
        <v>Остальные грузы</v>
      </c>
      <c r="E2494" s="13">
        <f>IF(RIGHT(A2494,3)="000","х",VLOOKUP(B2494,'Справочник ИХ'!A:D,4,0))</f>
        <v>3</v>
      </c>
      <c r="F2494" s="14" t="s">
        <v>3431</v>
      </c>
    </row>
    <row r="2495" spans="1:6" ht="31.75">
      <c r="A2495" s="19">
        <v>45304</v>
      </c>
      <c r="B2495" s="12" t="str">
        <f t="shared" si="38"/>
        <v>453</v>
      </c>
      <c r="C2495" s="1" t="s">
        <v>3479</v>
      </c>
      <c r="D2495" s="13" t="str">
        <f>IF(RIGHT(A2495,3)="000",C2495,VLOOKUP(B2495,'Справочник ИХ'!A:C,3,0))</f>
        <v>Остальные грузы</v>
      </c>
      <c r="E2495" s="13">
        <f>IF(RIGHT(A2495,3)="000","х",VLOOKUP(B2495,'Справочник ИХ'!A:D,4,0))</f>
        <v>3</v>
      </c>
      <c r="F2495" s="14" t="s">
        <v>3431</v>
      </c>
    </row>
    <row r="2496" spans="1:6" ht="47.6">
      <c r="A2496" s="19">
        <v>45305</v>
      </c>
      <c r="B2496" s="12" t="str">
        <f t="shared" si="38"/>
        <v>453</v>
      </c>
      <c r="C2496" s="1" t="s">
        <v>3480</v>
      </c>
      <c r="D2496" s="13" t="str">
        <f>IF(RIGHT(A2496,3)="000",C2496,VLOOKUP(B2496,'Справочник ИХ'!A:C,3,0))</f>
        <v>Остальные грузы</v>
      </c>
      <c r="E2496" s="13">
        <f>IF(RIGHT(A2496,3)="000","х",VLOOKUP(B2496,'Справочник ИХ'!A:D,4,0))</f>
        <v>3</v>
      </c>
      <c r="F2496" s="14" t="s">
        <v>3431</v>
      </c>
    </row>
    <row r="2497" spans="1:6" ht="47.6">
      <c r="A2497" s="19">
        <v>45306</v>
      </c>
      <c r="B2497" s="12" t="str">
        <f t="shared" si="38"/>
        <v>453</v>
      </c>
      <c r="C2497" s="1" t="s">
        <v>3481</v>
      </c>
      <c r="D2497" s="13" t="str">
        <f>IF(RIGHT(A2497,3)="000",C2497,VLOOKUP(B2497,'Справочник ИХ'!A:C,3,0))</f>
        <v>Остальные грузы</v>
      </c>
      <c r="E2497" s="13">
        <f>IF(RIGHT(A2497,3)="000","х",VLOOKUP(B2497,'Справочник ИХ'!A:D,4,0))</f>
        <v>3</v>
      </c>
      <c r="F2497" s="14" t="s">
        <v>3431</v>
      </c>
    </row>
    <row r="2498" spans="1:6" s="18" customFormat="1" ht="31.75">
      <c r="A2498" s="16">
        <v>45400</v>
      </c>
      <c r="B2498" s="12" t="str">
        <f t="shared" si="38"/>
        <v>454</v>
      </c>
      <c r="C2498" s="17" t="s">
        <v>3482</v>
      </c>
      <c r="D2498" s="13" t="str">
        <f>IF(RIGHT(A2498,3)="000",C2498,VLOOKUP(B2498,'Справочник ИХ'!A:C,3,0))</f>
        <v>Остальные грузы</v>
      </c>
      <c r="E2498" s="13">
        <f>IF(RIGHT(A2498,3)="000","х",VLOOKUP(B2498,'Справочник ИХ'!A:D,4,0))</f>
        <v>3</v>
      </c>
      <c r="F2498" s="14" t="s">
        <v>3431</v>
      </c>
    </row>
    <row r="2499" spans="1:6" ht="31.75">
      <c r="A2499" s="19">
        <v>45401</v>
      </c>
      <c r="B2499" s="12" t="str">
        <f t="shared" si="38"/>
        <v>454</v>
      </c>
      <c r="C2499" s="1" t="s">
        <v>3483</v>
      </c>
      <c r="D2499" s="13" t="str">
        <f>IF(RIGHT(A2499,3)="000",C2499,VLOOKUP(B2499,'Справочник ИХ'!A:C,3,0))</f>
        <v>Остальные грузы</v>
      </c>
      <c r="E2499" s="13">
        <f>IF(RIGHT(A2499,3)="000","х",VLOOKUP(B2499,'Справочник ИХ'!A:D,4,0))</f>
        <v>3</v>
      </c>
      <c r="F2499" s="14" t="s">
        <v>3431</v>
      </c>
    </row>
    <row r="2500" spans="1:6" s="15" customFormat="1" ht="79.3">
      <c r="A2500" s="7">
        <v>46000</v>
      </c>
      <c r="B2500" s="12" t="str">
        <f t="shared" ref="B2500:B2563" si="39">LEFT(A2500,3)</f>
        <v>460</v>
      </c>
      <c r="C2500" s="11" t="s">
        <v>3484</v>
      </c>
      <c r="D2500" s="13" t="str">
        <f>IF(RIGHT(A2500,3)="000",C2500,VLOOKUP(B2500,'Справочник ИХ'!A:C,3,0))</f>
        <v>Смолы природные и синтетические, волокна синтетические, пластмассы и изделия из них. Клей. Краски</v>
      </c>
      <c r="E2500" s="13" t="str">
        <f>IF(RIGHT(A2500,3)="000","х",VLOOKUP(B2500,'Справочник ИХ'!A:D,4,0))</f>
        <v>х</v>
      </c>
      <c r="F2500" s="14" t="s">
        <v>3484</v>
      </c>
    </row>
    <row r="2501" spans="1:6" s="18" customFormat="1" ht="47.6">
      <c r="A2501" s="16">
        <v>46100</v>
      </c>
      <c r="B2501" s="12" t="str">
        <f t="shared" si="39"/>
        <v>461</v>
      </c>
      <c r="C2501" s="17" t="s">
        <v>3485</v>
      </c>
      <c r="D2501" s="13" t="str">
        <f>IF(RIGHT(A2501,3)="000",C2501,VLOOKUP(B2501,'Справочник ИХ'!A:C,3,0))</f>
        <v>Остальные грузы</v>
      </c>
      <c r="E2501" s="13">
        <f>IF(RIGHT(A2501,3)="000","х",VLOOKUP(B2501,'Справочник ИХ'!A:D,4,0))</f>
        <v>3</v>
      </c>
      <c r="F2501" s="14" t="s">
        <v>3484</v>
      </c>
    </row>
    <row r="2502" spans="1:6" ht="47.6">
      <c r="A2502" s="19">
        <v>46101</v>
      </c>
      <c r="B2502" s="12" t="str">
        <f t="shared" si="39"/>
        <v>461</v>
      </c>
      <c r="C2502" s="1" t="s">
        <v>3486</v>
      </c>
      <c r="D2502" s="13" t="str">
        <f>IF(RIGHT(A2502,3)="000",C2502,VLOOKUP(B2502,'Справочник ИХ'!A:C,3,0))</f>
        <v>Остальные грузы</v>
      </c>
      <c r="E2502" s="13">
        <f>IF(RIGHT(A2502,3)="000","х",VLOOKUP(B2502,'Справочник ИХ'!A:D,4,0))</f>
        <v>3</v>
      </c>
      <c r="F2502" s="14" t="s">
        <v>3484</v>
      </c>
    </row>
    <row r="2503" spans="1:6" ht="47.6">
      <c r="A2503" s="19">
        <v>46102</v>
      </c>
      <c r="B2503" s="12" t="str">
        <f t="shared" si="39"/>
        <v>461</v>
      </c>
      <c r="C2503" s="1" t="s">
        <v>3487</v>
      </c>
      <c r="D2503" s="13" t="str">
        <f>IF(RIGHT(A2503,3)="000",C2503,VLOOKUP(B2503,'Справочник ИХ'!A:C,3,0))</f>
        <v>Остальные грузы</v>
      </c>
      <c r="E2503" s="13">
        <f>IF(RIGHT(A2503,3)="000","х",VLOOKUP(B2503,'Справочник ИХ'!A:D,4,0))</f>
        <v>3</v>
      </c>
      <c r="F2503" s="14" t="s">
        <v>3484</v>
      </c>
    </row>
    <row r="2504" spans="1:6" ht="47.6">
      <c r="A2504" s="19">
        <v>46103</v>
      </c>
      <c r="B2504" s="12" t="str">
        <f t="shared" si="39"/>
        <v>461</v>
      </c>
      <c r="C2504" s="1" t="s">
        <v>3488</v>
      </c>
      <c r="D2504" s="13" t="str">
        <f>IF(RIGHT(A2504,3)="000",C2504,VLOOKUP(B2504,'Справочник ИХ'!A:C,3,0))</f>
        <v>Остальные грузы</v>
      </c>
      <c r="E2504" s="13">
        <f>IF(RIGHT(A2504,3)="000","х",VLOOKUP(B2504,'Справочник ИХ'!A:D,4,0))</f>
        <v>3</v>
      </c>
      <c r="F2504" s="14" t="s">
        <v>3484</v>
      </c>
    </row>
    <row r="2505" spans="1:6" ht="47.6">
      <c r="A2505" s="19">
        <v>46104</v>
      </c>
      <c r="B2505" s="12" t="str">
        <f t="shared" si="39"/>
        <v>461</v>
      </c>
      <c r="C2505" s="1" t="s">
        <v>3489</v>
      </c>
      <c r="D2505" s="13" t="str">
        <f>IF(RIGHT(A2505,3)="000",C2505,VLOOKUP(B2505,'Справочник ИХ'!A:C,3,0))</f>
        <v>Остальные грузы</v>
      </c>
      <c r="E2505" s="13">
        <f>IF(RIGHT(A2505,3)="000","х",VLOOKUP(B2505,'Справочник ИХ'!A:D,4,0))</f>
        <v>3</v>
      </c>
      <c r="F2505" s="14" t="s">
        <v>3484</v>
      </c>
    </row>
    <row r="2506" spans="1:6" ht="47.6">
      <c r="A2506" s="19">
        <v>46105</v>
      </c>
      <c r="B2506" s="12" t="str">
        <f t="shared" si="39"/>
        <v>461</v>
      </c>
      <c r="C2506" s="1" t="s">
        <v>3490</v>
      </c>
      <c r="D2506" s="13" t="str">
        <f>IF(RIGHT(A2506,3)="000",C2506,VLOOKUP(B2506,'Справочник ИХ'!A:C,3,0))</f>
        <v>Остальные грузы</v>
      </c>
      <c r="E2506" s="13">
        <f>IF(RIGHT(A2506,3)="000","х",VLOOKUP(B2506,'Справочник ИХ'!A:D,4,0))</f>
        <v>3</v>
      </c>
      <c r="F2506" s="14" t="s">
        <v>3484</v>
      </c>
    </row>
    <row r="2507" spans="1:6" ht="47.6">
      <c r="A2507" s="19">
        <v>46106</v>
      </c>
      <c r="B2507" s="12" t="str">
        <f t="shared" si="39"/>
        <v>461</v>
      </c>
      <c r="C2507" s="1" t="s">
        <v>3491</v>
      </c>
      <c r="D2507" s="13" t="str">
        <f>IF(RIGHT(A2507,3)="000",C2507,VLOOKUP(B2507,'Справочник ИХ'!A:C,3,0))</f>
        <v>Остальные грузы</v>
      </c>
      <c r="E2507" s="13">
        <f>IF(RIGHT(A2507,3)="000","х",VLOOKUP(B2507,'Справочник ИХ'!A:D,4,0))</f>
        <v>3</v>
      </c>
      <c r="F2507" s="14" t="s">
        <v>3484</v>
      </c>
    </row>
    <row r="2508" spans="1:6" ht="47.6">
      <c r="A2508" s="19">
        <v>46107</v>
      </c>
      <c r="B2508" s="12" t="str">
        <f t="shared" si="39"/>
        <v>461</v>
      </c>
      <c r="C2508" s="1" t="s">
        <v>3492</v>
      </c>
      <c r="D2508" s="13" t="str">
        <f>IF(RIGHT(A2508,3)="000",C2508,VLOOKUP(B2508,'Справочник ИХ'!A:C,3,0))</f>
        <v>Остальные грузы</v>
      </c>
      <c r="E2508" s="13">
        <f>IF(RIGHT(A2508,3)="000","х",VLOOKUP(B2508,'Справочник ИХ'!A:D,4,0))</f>
        <v>3</v>
      </c>
      <c r="F2508" s="14" t="s">
        <v>3484</v>
      </c>
    </row>
    <row r="2509" spans="1:6" ht="47.6">
      <c r="A2509" s="19">
        <v>46108</v>
      </c>
      <c r="B2509" s="12" t="str">
        <f t="shared" si="39"/>
        <v>461</v>
      </c>
      <c r="C2509" s="1" t="s">
        <v>3493</v>
      </c>
      <c r="D2509" s="13" t="str">
        <f>IF(RIGHT(A2509,3)="000",C2509,VLOOKUP(B2509,'Справочник ИХ'!A:C,3,0))</f>
        <v>Остальные грузы</v>
      </c>
      <c r="E2509" s="13">
        <f>IF(RIGHT(A2509,3)="000","х",VLOOKUP(B2509,'Справочник ИХ'!A:D,4,0))</f>
        <v>3</v>
      </c>
      <c r="F2509" s="14" t="s">
        <v>3484</v>
      </c>
    </row>
    <row r="2510" spans="1:6" ht="47.6">
      <c r="A2510" s="19">
        <v>46109</v>
      </c>
      <c r="B2510" s="12" t="str">
        <f t="shared" si="39"/>
        <v>461</v>
      </c>
      <c r="C2510" s="1" t="s">
        <v>3494</v>
      </c>
      <c r="D2510" s="13" t="str">
        <f>IF(RIGHT(A2510,3)="000",C2510,VLOOKUP(B2510,'Справочник ИХ'!A:C,3,0))</f>
        <v>Остальные грузы</v>
      </c>
      <c r="E2510" s="13">
        <f>IF(RIGHT(A2510,3)="000","х",VLOOKUP(B2510,'Справочник ИХ'!A:D,4,0))</f>
        <v>3</v>
      </c>
      <c r="F2510" s="14" t="s">
        <v>3484</v>
      </c>
    </row>
    <row r="2511" spans="1:6" ht="47.6">
      <c r="A2511" s="19">
        <v>46110</v>
      </c>
      <c r="B2511" s="12" t="str">
        <f t="shared" si="39"/>
        <v>461</v>
      </c>
      <c r="C2511" s="1" t="s">
        <v>3495</v>
      </c>
      <c r="D2511" s="13" t="str">
        <f>IF(RIGHT(A2511,3)="000",C2511,VLOOKUP(B2511,'Справочник ИХ'!A:C,3,0))</f>
        <v>Остальные грузы</v>
      </c>
      <c r="E2511" s="13">
        <f>IF(RIGHT(A2511,3)="000","х",VLOOKUP(B2511,'Справочник ИХ'!A:D,4,0))</f>
        <v>3</v>
      </c>
      <c r="F2511" s="14" t="s">
        <v>3484</v>
      </c>
    </row>
    <row r="2512" spans="1:6" ht="47.6">
      <c r="A2512" s="19">
        <v>46111</v>
      </c>
      <c r="B2512" s="12" t="str">
        <f t="shared" si="39"/>
        <v>461</v>
      </c>
      <c r="C2512" s="1" t="s">
        <v>3496</v>
      </c>
      <c r="D2512" s="13" t="str">
        <f>IF(RIGHT(A2512,3)="000",C2512,VLOOKUP(B2512,'Справочник ИХ'!A:C,3,0))</f>
        <v>Остальные грузы</v>
      </c>
      <c r="E2512" s="13">
        <f>IF(RIGHT(A2512,3)="000","х",VLOOKUP(B2512,'Справочник ИХ'!A:D,4,0))</f>
        <v>3</v>
      </c>
      <c r="F2512" s="14" t="s">
        <v>3484</v>
      </c>
    </row>
    <row r="2513" spans="1:6" ht="47.6">
      <c r="A2513" s="19">
        <v>46112</v>
      </c>
      <c r="B2513" s="12" t="str">
        <f t="shared" si="39"/>
        <v>461</v>
      </c>
      <c r="C2513" s="1" t="s">
        <v>3497</v>
      </c>
      <c r="D2513" s="13" t="str">
        <f>IF(RIGHT(A2513,3)="000",C2513,VLOOKUP(B2513,'Справочник ИХ'!A:C,3,0))</f>
        <v>Остальные грузы</v>
      </c>
      <c r="E2513" s="13">
        <f>IF(RIGHT(A2513,3)="000","х",VLOOKUP(B2513,'Справочник ИХ'!A:D,4,0))</f>
        <v>3</v>
      </c>
      <c r="F2513" s="14" t="s">
        <v>3484</v>
      </c>
    </row>
    <row r="2514" spans="1:6" ht="47.6">
      <c r="A2514" s="19">
        <v>46113</v>
      </c>
      <c r="B2514" s="12" t="str">
        <f t="shared" si="39"/>
        <v>461</v>
      </c>
      <c r="C2514" s="1" t="s">
        <v>3498</v>
      </c>
      <c r="D2514" s="13" t="str">
        <f>IF(RIGHT(A2514,3)="000",C2514,VLOOKUP(B2514,'Справочник ИХ'!A:C,3,0))</f>
        <v>Остальные грузы</v>
      </c>
      <c r="E2514" s="13">
        <f>IF(RIGHT(A2514,3)="000","х",VLOOKUP(B2514,'Справочник ИХ'!A:D,4,0))</f>
        <v>3</v>
      </c>
      <c r="F2514" s="14" t="s">
        <v>3484</v>
      </c>
    </row>
    <row r="2515" spans="1:6" ht="47.6">
      <c r="A2515" s="19">
        <v>46114</v>
      </c>
      <c r="B2515" s="12" t="str">
        <f t="shared" si="39"/>
        <v>461</v>
      </c>
      <c r="C2515" s="1" t="s">
        <v>3499</v>
      </c>
      <c r="D2515" s="13" t="str">
        <f>IF(RIGHT(A2515,3)="000",C2515,VLOOKUP(B2515,'Справочник ИХ'!A:C,3,0))</f>
        <v>Остальные грузы</v>
      </c>
      <c r="E2515" s="13">
        <f>IF(RIGHT(A2515,3)="000","х",VLOOKUP(B2515,'Справочник ИХ'!A:D,4,0))</f>
        <v>3</v>
      </c>
      <c r="F2515" s="14" t="s">
        <v>3484</v>
      </c>
    </row>
    <row r="2516" spans="1:6" ht="47.6">
      <c r="A2516" s="19">
        <v>46115</v>
      </c>
      <c r="B2516" s="12" t="str">
        <f t="shared" si="39"/>
        <v>461</v>
      </c>
      <c r="C2516" s="1" t="s">
        <v>3500</v>
      </c>
      <c r="D2516" s="13" t="str">
        <f>IF(RIGHT(A2516,3)="000",C2516,VLOOKUP(B2516,'Справочник ИХ'!A:C,3,0))</f>
        <v>Остальные грузы</v>
      </c>
      <c r="E2516" s="13">
        <f>IF(RIGHT(A2516,3)="000","х",VLOOKUP(B2516,'Справочник ИХ'!A:D,4,0))</f>
        <v>3</v>
      </c>
      <c r="F2516" s="14" t="s">
        <v>3484</v>
      </c>
    </row>
    <row r="2517" spans="1:6" ht="47.6">
      <c r="A2517" s="19">
        <v>46116</v>
      </c>
      <c r="B2517" s="12" t="str">
        <f t="shared" si="39"/>
        <v>461</v>
      </c>
      <c r="C2517" s="1" t="s">
        <v>3501</v>
      </c>
      <c r="D2517" s="13" t="str">
        <f>IF(RIGHT(A2517,3)="000",C2517,VLOOKUP(B2517,'Справочник ИХ'!A:C,3,0))</f>
        <v>Остальные грузы</v>
      </c>
      <c r="E2517" s="13">
        <f>IF(RIGHT(A2517,3)="000","х",VLOOKUP(B2517,'Справочник ИХ'!A:D,4,0))</f>
        <v>3</v>
      </c>
      <c r="F2517" s="14" t="s">
        <v>3484</v>
      </c>
    </row>
    <row r="2518" spans="1:6" ht="47.6">
      <c r="A2518" s="19">
        <v>46117</v>
      </c>
      <c r="B2518" s="12" t="str">
        <f t="shared" si="39"/>
        <v>461</v>
      </c>
      <c r="C2518" s="1" t="s">
        <v>3502</v>
      </c>
      <c r="D2518" s="13" t="str">
        <f>IF(RIGHT(A2518,3)="000",C2518,VLOOKUP(B2518,'Справочник ИХ'!A:C,3,0))</f>
        <v>Остальные грузы</v>
      </c>
      <c r="E2518" s="13">
        <f>IF(RIGHT(A2518,3)="000","х",VLOOKUP(B2518,'Справочник ИХ'!A:D,4,0))</f>
        <v>3</v>
      </c>
      <c r="F2518" s="14" t="s">
        <v>3484</v>
      </c>
    </row>
    <row r="2519" spans="1:6" ht="47.6">
      <c r="A2519" s="19">
        <v>46118</v>
      </c>
      <c r="B2519" s="12" t="str">
        <f t="shared" si="39"/>
        <v>461</v>
      </c>
      <c r="C2519" s="1" t="s">
        <v>3503</v>
      </c>
      <c r="D2519" s="13" t="str">
        <f>IF(RIGHT(A2519,3)="000",C2519,VLOOKUP(B2519,'Справочник ИХ'!A:C,3,0))</f>
        <v>Остальные грузы</v>
      </c>
      <c r="E2519" s="13">
        <f>IF(RIGHT(A2519,3)="000","х",VLOOKUP(B2519,'Справочник ИХ'!A:D,4,0))</f>
        <v>3</v>
      </c>
      <c r="F2519" s="14" t="s">
        <v>3484</v>
      </c>
    </row>
    <row r="2520" spans="1:6" ht="47.6">
      <c r="A2520" s="19">
        <v>46119</v>
      </c>
      <c r="B2520" s="12" t="str">
        <f t="shared" si="39"/>
        <v>461</v>
      </c>
      <c r="C2520" s="1" t="s">
        <v>3504</v>
      </c>
      <c r="D2520" s="13" t="str">
        <f>IF(RIGHT(A2520,3)="000",C2520,VLOOKUP(B2520,'Справочник ИХ'!A:C,3,0))</f>
        <v>Остальные грузы</v>
      </c>
      <c r="E2520" s="13">
        <f>IF(RIGHT(A2520,3)="000","х",VLOOKUP(B2520,'Справочник ИХ'!A:D,4,0))</f>
        <v>3</v>
      </c>
      <c r="F2520" s="14" t="s">
        <v>3484</v>
      </c>
    </row>
    <row r="2521" spans="1:6" ht="47.6">
      <c r="A2521" s="19">
        <v>46120</v>
      </c>
      <c r="B2521" s="12" t="str">
        <f t="shared" si="39"/>
        <v>461</v>
      </c>
      <c r="C2521" s="1" t="s">
        <v>3505</v>
      </c>
      <c r="D2521" s="13" t="str">
        <f>IF(RIGHT(A2521,3)="000",C2521,VLOOKUP(B2521,'Справочник ИХ'!A:C,3,0))</f>
        <v>Остальные грузы</v>
      </c>
      <c r="E2521" s="13">
        <f>IF(RIGHT(A2521,3)="000","х",VLOOKUP(B2521,'Справочник ИХ'!A:D,4,0))</f>
        <v>3</v>
      </c>
      <c r="F2521" s="14" t="s">
        <v>3484</v>
      </c>
    </row>
    <row r="2522" spans="1:6" ht="47.6">
      <c r="A2522" s="19">
        <v>46121</v>
      </c>
      <c r="B2522" s="12" t="str">
        <f t="shared" si="39"/>
        <v>461</v>
      </c>
      <c r="C2522" s="1" t="s">
        <v>3506</v>
      </c>
      <c r="D2522" s="13" t="str">
        <f>IF(RIGHT(A2522,3)="000",C2522,VLOOKUP(B2522,'Справочник ИХ'!A:C,3,0))</f>
        <v>Остальные грузы</v>
      </c>
      <c r="E2522" s="13">
        <f>IF(RIGHT(A2522,3)="000","х",VLOOKUP(B2522,'Справочник ИХ'!A:D,4,0))</f>
        <v>3</v>
      </c>
      <c r="F2522" s="14" t="s">
        <v>3484</v>
      </c>
    </row>
    <row r="2523" spans="1:6" ht="47.6">
      <c r="A2523" s="19">
        <v>46122</v>
      </c>
      <c r="B2523" s="12" t="str">
        <f t="shared" si="39"/>
        <v>461</v>
      </c>
      <c r="C2523" s="1" t="s">
        <v>3507</v>
      </c>
      <c r="D2523" s="13" t="str">
        <f>IF(RIGHT(A2523,3)="000",C2523,VLOOKUP(B2523,'Справочник ИХ'!A:C,3,0))</f>
        <v>Остальные грузы</v>
      </c>
      <c r="E2523" s="13">
        <f>IF(RIGHT(A2523,3)="000","х",VLOOKUP(B2523,'Справочник ИХ'!A:D,4,0))</f>
        <v>3</v>
      </c>
      <c r="F2523" s="14" t="s">
        <v>3484</v>
      </c>
    </row>
    <row r="2524" spans="1:6" ht="47.6">
      <c r="A2524" s="19">
        <v>46123</v>
      </c>
      <c r="B2524" s="12" t="str">
        <f t="shared" si="39"/>
        <v>461</v>
      </c>
      <c r="C2524" s="1" t="s">
        <v>3508</v>
      </c>
      <c r="D2524" s="13" t="str">
        <f>IF(RIGHT(A2524,3)="000",C2524,VLOOKUP(B2524,'Справочник ИХ'!A:C,3,0))</f>
        <v>Остальные грузы</v>
      </c>
      <c r="E2524" s="13">
        <f>IF(RIGHT(A2524,3)="000","х",VLOOKUP(B2524,'Справочник ИХ'!A:D,4,0))</f>
        <v>3</v>
      </c>
      <c r="F2524" s="14" t="s">
        <v>3484</v>
      </c>
    </row>
    <row r="2525" spans="1:6" ht="47.6">
      <c r="A2525" s="19">
        <v>46124</v>
      </c>
      <c r="B2525" s="12" t="str">
        <f t="shared" si="39"/>
        <v>461</v>
      </c>
      <c r="C2525" s="1" t="s">
        <v>3509</v>
      </c>
      <c r="D2525" s="13" t="str">
        <f>IF(RIGHT(A2525,3)="000",C2525,VLOOKUP(B2525,'Справочник ИХ'!A:C,3,0))</f>
        <v>Остальные грузы</v>
      </c>
      <c r="E2525" s="13">
        <f>IF(RIGHT(A2525,3)="000","х",VLOOKUP(B2525,'Справочник ИХ'!A:D,4,0))</f>
        <v>3</v>
      </c>
      <c r="F2525" s="14" t="s">
        <v>3484</v>
      </c>
    </row>
    <row r="2526" spans="1:6" ht="47.6">
      <c r="A2526" s="19">
        <v>46125</v>
      </c>
      <c r="B2526" s="12" t="str">
        <f t="shared" si="39"/>
        <v>461</v>
      </c>
      <c r="C2526" s="1" t="s">
        <v>3510</v>
      </c>
      <c r="D2526" s="13" t="str">
        <f>IF(RIGHT(A2526,3)="000",C2526,VLOOKUP(B2526,'Справочник ИХ'!A:C,3,0))</f>
        <v>Остальные грузы</v>
      </c>
      <c r="E2526" s="13">
        <f>IF(RIGHT(A2526,3)="000","х",VLOOKUP(B2526,'Справочник ИХ'!A:D,4,0))</f>
        <v>3</v>
      </c>
      <c r="F2526" s="14" t="s">
        <v>3484</v>
      </c>
    </row>
    <row r="2527" spans="1:6" ht="47.6">
      <c r="A2527" s="19">
        <v>46126</v>
      </c>
      <c r="B2527" s="12" t="str">
        <f t="shared" si="39"/>
        <v>461</v>
      </c>
      <c r="C2527" s="1" t="s">
        <v>3511</v>
      </c>
      <c r="D2527" s="13" t="str">
        <f>IF(RIGHT(A2527,3)="000",C2527,VLOOKUP(B2527,'Справочник ИХ'!A:C,3,0))</f>
        <v>Остальные грузы</v>
      </c>
      <c r="E2527" s="13">
        <f>IF(RIGHT(A2527,3)="000","х",VLOOKUP(B2527,'Справочник ИХ'!A:D,4,0))</f>
        <v>3</v>
      </c>
      <c r="F2527" s="14" t="s">
        <v>3484</v>
      </c>
    </row>
    <row r="2528" spans="1:6" ht="47.6">
      <c r="A2528" s="19">
        <v>46127</v>
      </c>
      <c r="B2528" s="12" t="str">
        <f t="shared" si="39"/>
        <v>461</v>
      </c>
      <c r="C2528" s="1" t="s">
        <v>3512</v>
      </c>
      <c r="D2528" s="13" t="str">
        <f>IF(RIGHT(A2528,3)="000",C2528,VLOOKUP(B2528,'Справочник ИХ'!A:C,3,0))</f>
        <v>Остальные грузы</v>
      </c>
      <c r="E2528" s="13">
        <f>IF(RIGHT(A2528,3)="000","х",VLOOKUP(B2528,'Справочник ИХ'!A:D,4,0))</f>
        <v>3</v>
      </c>
      <c r="F2528" s="14" t="s">
        <v>3484</v>
      </c>
    </row>
    <row r="2529" spans="1:6" ht="47.6">
      <c r="A2529" s="19">
        <v>46128</v>
      </c>
      <c r="B2529" s="12" t="str">
        <f t="shared" si="39"/>
        <v>461</v>
      </c>
      <c r="C2529" s="1" t="s">
        <v>3513</v>
      </c>
      <c r="D2529" s="13" t="str">
        <f>IF(RIGHT(A2529,3)="000",C2529,VLOOKUP(B2529,'Справочник ИХ'!A:C,3,0))</f>
        <v>Остальные грузы</v>
      </c>
      <c r="E2529" s="13">
        <f>IF(RIGHT(A2529,3)="000","х",VLOOKUP(B2529,'Справочник ИХ'!A:D,4,0))</f>
        <v>3</v>
      </c>
      <c r="F2529" s="14" t="s">
        <v>3484</v>
      </c>
    </row>
    <row r="2530" spans="1:6" ht="47.6">
      <c r="A2530" s="19">
        <v>46129</v>
      </c>
      <c r="B2530" s="12" t="str">
        <f t="shared" si="39"/>
        <v>461</v>
      </c>
      <c r="C2530" s="1" t="s">
        <v>3514</v>
      </c>
      <c r="D2530" s="13" t="str">
        <f>IF(RIGHT(A2530,3)="000",C2530,VLOOKUP(B2530,'Справочник ИХ'!A:C,3,0))</f>
        <v>Остальные грузы</v>
      </c>
      <c r="E2530" s="13">
        <f>IF(RIGHT(A2530,3)="000","х",VLOOKUP(B2530,'Справочник ИХ'!A:D,4,0))</f>
        <v>3</v>
      </c>
      <c r="F2530" s="14" t="s">
        <v>3484</v>
      </c>
    </row>
    <row r="2531" spans="1:6" ht="47.6">
      <c r="A2531" s="19">
        <v>46130</v>
      </c>
      <c r="B2531" s="12" t="str">
        <f t="shared" si="39"/>
        <v>461</v>
      </c>
      <c r="C2531" s="1" t="s">
        <v>3515</v>
      </c>
      <c r="D2531" s="13" t="str">
        <f>IF(RIGHT(A2531,3)="000",C2531,VLOOKUP(B2531,'Справочник ИХ'!A:C,3,0))</f>
        <v>Остальные грузы</v>
      </c>
      <c r="E2531" s="13">
        <f>IF(RIGHT(A2531,3)="000","х",VLOOKUP(B2531,'Справочник ИХ'!A:D,4,0))</f>
        <v>3</v>
      </c>
      <c r="F2531" s="14" t="s">
        <v>3484</v>
      </c>
    </row>
    <row r="2532" spans="1:6" ht="47.6">
      <c r="A2532" s="19">
        <v>46131</v>
      </c>
      <c r="B2532" s="12" t="str">
        <f t="shared" si="39"/>
        <v>461</v>
      </c>
      <c r="C2532" s="1" t="s">
        <v>3516</v>
      </c>
      <c r="D2532" s="13" t="str">
        <f>IF(RIGHT(A2532,3)="000",C2532,VLOOKUP(B2532,'Справочник ИХ'!A:C,3,0))</f>
        <v>Остальные грузы</v>
      </c>
      <c r="E2532" s="13">
        <f>IF(RIGHT(A2532,3)="000","х",VLOOKUP(B2532,'Справочник ИХ'!A:D,4,0))</f>
        <v>3</v>
      </c>
      <c r="F2532" s="14" t="s">
        <v>3484</v>
      </c>
    </row>
    <row r="2533" spans="1:6" ht="47.6">
      <c r="A2533" s="19">
        <v>46132</v>
      </c>
      <c r="B2533" s="12" t="str">
        <f t="shared" si="39"/>
        <v>461</v>
      </c>
      <c r="C2533" s="1" t="s">
        <v>3517</v>
      </c>
      <c r="D2533" s="13" t="str">
        <f>IF(RIGHT(A2533,3)="000",C2533,VLOOKUP(B2533,'Справочник ИХ'!A:C,3,0))</f>
        <v>Остальные грузы</v>
      </c>
      <c r="E2533" s="13">
        <f>IF(RIGHT(A2533,3)="000","х",VLOOKUP(B2533,'Справочник ИХ'!A:D,4,0))</f>
        <v>3</v>
      </c>
      <c r="F2533" s="14" t="s">
        <v>3484</v>
      </c>
    </row>
    <row r="2534" spans="1:6" ht="47.6">
      <c r="A2534" s="19">
        <v>46133</v>
      </c>
      <c r="B2534" s="12" t="str">
        <f t="shared" si="39"/>
        <v>461</v>
      </c>
      <c r="C2534" s="1" t="s">
        <v>3518</v>
      </c>
      <c r="D2534" s="13" t="str">
        <f>IF(RIGHT(A2534,3)="000",C2534,VLOOKUP(B2534,'Справочник ИХ'!A:C,3,0))</f>
        <v>Остальные грузы</v>
      </c>
      <c r="E2534" s="13">
        <f>IF(RIGHT(A2534,3)="000","х",VLOOKUP(B2534,'Справочник ИХ'!A:D,4,0))</f>
        <v>3</v>
      </c>
      <c r="F2534" s="14" t="s">
        <v>3484</v>
      </c>
    </row>
    <row r="2535" spans="1:6" ht="47.6">
      <c r="A2535" s="19">
        <v>46134</v>
      </c>
      <c r="B2535" s="12" t="str">
        <f t="shared" si="39"/>
        <v>461</v>
      </c>
      <c r="C2535" s="1" t="s">
        <v>3519</v>
      </c>
      <c r="D2535" s="13" t="str">
        <f>IF(RIGHT(A2535,3)="000",C2535,VLOOKUP(B2535,'Справочник ИХ'!A:C,3,0))</f>
        <v>Остальные грузы</v>
      </c>
      <c r="E2535" s="13">
        <f>IF(RIGHT(A2535,3)="000","х",VLOOKUP(B2535,'Справочник ИХ'!A:D,4,0))</f>
        <v>3</v>
      </c>
      <c r="F2535" s="14" t="s">
        <v>3484</v>
      </c>
    </row>
    <row r="2536" spans="1:6" ht="47.6">
      <c r="A2536" s="19">
        <v>46135</v>
      </c>
      <c r="B2536" s="12" t="str">
        <f t="shared" si="39"/>
        <v>461</v>
      </c>
      <c r="C2536" s="1" t="s">
        <v>3520</v>
      </c>
      <c r="D2536" s="13" t="str">
        <f>IF(RIGHT(A2536,3)="000",C2536,VLOOKUP(B2536,'Справочник ИХ'!A:C,3,0))</f>
        <v>Остальные грузы</v>
      </c>
      <c r="E2536" s="13">
        <f>IF(RIGHT(A2536,3)="000","х",VLOOKUP(B2536,'Справочник ИХ'!A:D,4,0))</f>
        <v>3</v>
      </c>
      <c r="F2536" s="14" t="s">
        <v>3484</v>
      </c>
    </row>
    <row r="2537" spans="1:6" ht="47.6">
      <c r="A2537" s="19">
        <v>46136</v>
      </c>
      <c r="B2537" s="12" t="str">
        <f t="shared" si="39"/>
        <v>461</v>
      </c>
      <c r="C2537" s="1" t="s">
        <v>3521</v>
      </c>
      <c r="D2537" s="13" t="str">
        <f>IF(RIGHT(A2537,3)="000",C2537,VLOOKUP(B2537,'Справочник ИХ'!A:C,3,0))</f>
        <v>Остальные грузы</v>
      </c>
      <c r="E2537" s="13">
        <f>IF(RIGHT(A2537,3)="000","х",VLOOKUP(B2537,'Справочник ИХ'!A:D,4,0))</f>
        <v>3</v>
      </c>
      <c r="F2537" s="14" t="s">
        <v>3484</v>
      </c>
    </row>
    <row r="2538" spans="1:6" ht="47.6">
      <c r="A2538" s="19">
        <v>46137</v>
      </c>
      <c r="B2538" s="12" t="str">
        <f t="shared" si="39"/>
        <v>461</v>
      </c>
      <c r="C2538" s="1" t="s">
        <v>3522</v>
      </c>
      <c r="D2538" s="13" t="str">
        <f>IF(RIGHT(A2538,3)="000",C2538,VLOOKUP(B2538,'Справочник ИХ'!A:C,3,0))</f>
        <v>Остальные грузы</v>
      </c>
      <c r="E2538" s="13">
        <f>IF(RIGHT(A2538,3)="000","х",VLOOKUP(B2538,'Справочник ИХ'!A:D,4,0))</f>
        <v>3</v>
      </c>
      <c r="F2538" s="14" t="s">
        <v>3484</v>
      </c>
    </row>
    <row r="2539" spans="1:6" ht="47.6">
      <c r="A2539" s="19">
        <v>46138</v>
      </c>
      <c r="B2539" s="12" t="str">
        <f t="shared" si="39"/>
        <v>461</v>
      </c>
      <c r="C2539" s="1" t="s">
        <v>3523</v>
      </c>
      <c r="D2539" s="13" t="str">
        <f>IF(RIGHT(A2539,3)="000",C2539,VLOOKUP(B2539,'Справочник ИХ'!A:C,3,0))</f>
        <v>Остальные грузы</v>
      </c>
      <c r="E2539" s="13">
        <f>IF(RIGHT(A2539,3)="000","х",VLOOKUP(B2539,'Справочник ИХ'!A:D,4,0))</f>
        <v>3</v>
      </c>
      <c r="F2539" s="14" t="s">
        <v>3484</v>
      </c>
    </row>
    <row r="2540" spans="1:6" ht="47.6">
      <c r="A2540" s="19">
        <v>46139</v>
      </c>
      <c r="B2540" s="12" t="str">
        <f t="shared" si="39"/>
        <v>461</v>
      </c>
      <c r="C2540" s="1" t="s">
        <v>3524</v>
      </c>
      <c r="D2540" s="13" t="str">
        <f>IF(RIGHT(A2540,3)="000",C2540,VLOOKUP(B2540,'Справочник ИХ'!A:C,3,0))</f>
        <v>Остальные грузы</v>
      </c>
      <c r="E2540" s="13">
        <f>IF(RIGHT(A2540,3)="000","х",VLOOKUP(B2540,'Справочник ИХ'!A:D,4,0))</f>
        <v>3</v>
      </c>
      <c r="F2540" s="14" t="s">
        <v>3484</v>
      </c>
    </row>
    <row r="2541" spans="1:6" ht="47.6">
      <c r="A2541" s="19">
        <v>46140</v>
      </c>
      <c r="B2541" s="12" t="str">
        <f t="shared" si="39"/>
        <v>461</v>
      </c>
      <c r="C2541" s="1" t="s">
        <v>3525</v>
      </c>
      <c r="D2541" s="13" t="str">
        <f>IF(RIGHT(A2541,3)="000",C2541,VLOOKUP(B2541,'Справочник ИХ'!A:C,3,0))</f>
        <v>Остальные грузы</v>
      </c>
      <c r="E2541" s="13">
        <f>IF(RIGHT(A2541,3)="000","х",VLOOKUP(B2541,'Справочник ИХ'!A:D,4,0))</f>
        <v>3</v>
      </c>
      <c r="F2541" s="14" t="s">
        <v>3484</v>
      </c>
    </row>
    <row r="2542" spans="1:6" ht="47.6">
      <c r="A2542" s="19">
        <v>46141</v>
      </c>
      <c r="B2542" s="12" t="str">
        <f t="shared" si="39"/>
        <v>461</v>
      </c>
      <c r="C2542" s="1" t="s">
        <v>3526</v>
      </c>
      <c r="D2542" s="13" t="str">
        <f>IF(RIGHT(A2542,3)="000",C2542,VLOOKUP(B2542,'Справочник ИХ'!A:C,3,0))</f>
        <v>Остальные грузы</v>
      </c>
      <c r="E2542" s="13">
        <f>IF(RIGHT(A2542,3)="000","х",VLOOKUP(B2542,'Справочник ИХ'!A:D,4,0))</f>
        <v>3</v>
      </c>
      <c r="F2542" s="14" t="s">
        <v>3484</v>
      </c>
    </row>
    <row r="2543" spans="1:6" ht="47.6">
      <c r="A2543" s="19">
        <v>46142</v>
      </c>
      <c r="B2543" s="12" t="str">
        <f t="shared" si="39"/>
        <v>461</v>
      </c>
      <c r="C2543" s="1" t="s">
        <v>3527</v>
      </c>
      <c r="D2543" s="13" t="str">
        <f>IF(RIGHT(A2543,3)="000",C2543,VLOOKUP(B2543,'Справочник ИХ'!A:C,3,0))</f>
        <v>Остальные грузы</v>
      </c>
      <c r="E2543" s="13">
        <f>IF(RIGHT(A2543,3)="000","х",VLOOKUP(B2543,'Справочник ИХ'!A:D,4,0))</f>
        <v>3</v>
      </c>
      <c r="F2543" s="14" t="s">
        <v>3484</v>
      </c>
    </row>
    <row r="2544" spans="1:6" ht="47.6">
      <c r="A2544" s="19">
        <v>46143</v>
      </c>
      <c r="B2544" s="12" t="str">
        <f t="shared" si="39"/>
        <v>461</v>
      </c>
      <c r="C2544" s="1" t="s">
        <v>3528</v>
      </c>
      <c r="D2544" s="13" t="str">
        <f>IF(RIGHT(A2544,3)="000",C2544,VLOOKUP(B2544,'Справочник ИХ'!A:C,3,0))</f>
        <v>Остальные грузы</v>
      </c>
      <c r="E2544" s="13">
        <f>IF(RIGHT(A2544,3)="000","х",VLOOKUP(B2544,'Справочник ИХ'!A:D,4,0))</f>
        <v>3</v>
      </c>
      <c r="F2544" s="14" t="s">
        <v>3484</v>
      </c>
    </row>
    <row r="2545" spans="1:6" ht="47.6">
      <c r="A2545" s="19">
        <v>46144</v>
      </c>
      <c r="B2545" s="12" t="str">
        <f t="shared" si="39"/>
        <v>461</v>
      </c>
      <c r="C2545" s="1" t="s">
        <v>3529</v>
      </c>
      <c r="D2545" s="13" t="str">
        <f>IF(RIGHT(A2545,3)="000",C2545,VLOOKUP(B2545,'Справочник ИХ'!A:C,3,0))</f>
        <v>Остальные грузы</v>
      </c>
      <c r="E2545" s="13">
        <f>IF(RIGHT(A2545,3)="000","х",VLOOKUP(B2545,'Справочник ИХ'!A:D,4,0))</f>
        <v>3</v>
      </c>
      <c r="F2545" s="14" t="s">
        <v>3484</v>
      </c>
    </row>
    <row r="2546" spans="1:6" ht="47.6">
      <c r="A2546" s="19">
        <v>46145</v>
      </c>
      <c r="B2546" s="12" t="str">
        <f t="shared" si="39"/>
        <v>461</v>
      </c>
      <c r="C2546" s="1" t="s">
        <v>3530</v>
      </c>
      <c r="D2546" s="13" t="str">
        <f>IF(RIGHT(A2546,3)="000",C2546,VLOOKUP(B2546,'Справочник ИХ'!A:C,3,0))</f>
        <v>Остальные грузы</v>
      </c>
      <c r="E2546" s="13">
        <f>IF(RIGHT(A2546,3)="000","х",VLOOKUP(B2546,'Справочник ИХ'!A:D,4,0))</f>
        <v>3</v>
      </c>
      <c r="F2546" s="14" t="s">
        <v>3484</v>
      </c>
    </row>
    <row r="2547" spans="1:6" ht="47.6">
      <c r="A2547" s="19">
        <v>46146</v>
      </c>
      <c r="B2547" s="12" t="str">
        <f t="shared" si="39"/>
        <v>461</v>
      </c>
      <c r="C2547" s="1" t="s">
        <v>3531</v>
      </c>
      <c r="D2547" s="13" t="str">
        <f>IF(RIGHT(A2547,3)="000",C2547,VLOOKUP(B2547,'Справочник ИХ'!A:C,3,0))</f>
        <v>Остальные грузы</v>
      </c>
      <c r="E2547" s="13">
        <f>IF(RIGHT(A2547,3)="000","х",VLOOKUP(B2547,'Справочник ИХ'!A:D,4,0))</f>
        <v>3</v>
      </c>
      <c r="F2547" s="14" t="s">
        <v>3484</v>
      </c>
    </row>
    <row r="2548" spans="1:6" ht="47.6">
      <c r="A2548" s="19">
        <v>46147</v>
      </c>
      <c r="B2548" s="12" t="str">
        <f t="shared" si="39"/>
        <v>461</v>
      </c>
      <c r="C2548" s="1" t="s">
        <v>3532</v>
      </c>
      <c r="D2548" s="13" t="str">
        <f>IF(RIGHT(A2548,3)="000",C2548,VLOOKUP(B2548,'Справочник ИХ'!A:C,3,0))</f>
        <v>Остальные грузы</v>
      </c>
      <c r="E2548" s="13">
        <f>IF(RIGHT(A2548,3)="000","х",VLOOKUP(B2548,'Справочник ИХ'!A:D,4,0))</f>
        <v>3</v>
      </c>
      <c r="F2548" s="14" t="s">
        <v>3484</v>
      </c>
    </row>
    <row r="2549" spans="1:6" ht="47.6">
      <c r="A2549" s="19">
        <v>46148</v>
      </c>
      <c r="B2549" s="12" t="str">
        <f t="shared" si="39"/>
        <v>461</v>
      </c>
      <c r="C2549" s="1" t="s">
        <v>3533</v>
      </c>
      <c r="D2549" s="13" t="str">
        <f>IF(RIGHT(A2549,3)="000",C2549,VLOOKUP(B2549,'Справочник ИХ'!A:C,3,0))</f>
        <v>Остальные грузы</v>
      </c>
      <c r="E2549" s="13">
        <f>IF(RIGHT(A2549,3)="000","х",VLOOKUP(B2549,'Справочник ИХ'!A:D,4,0))</f>
        <v>3</v>
      </c>
      <c r="F2549" s="14" t="s">
        <v>3484</v>
      </c>
    </row>
    <row r="2550" spans="1:6" ht="47.6">
      <c r="A2550" s="19">
        <v>46149</v>
      </c>
      <c r="B2550" s="12" t="str">
        <f t="shared" si="39"/>
        <v>461</v>
      </c>
      <c r="C2550" s="1" t="s">
        <v>3534</v>
      </c>
      <c r="D2550" s="13" t="str">
        <f>IF(RIGHT(A2550,3)="000",C2550,VLOOKUP(B2550,'Справочник ИХ'!A:C,3,0))</f>
        <v>Остальные грузы</v>
      </c>
      <c r="E2550" s="13">
        <f>IF(RIGHT(A2550,3)="000","х",VLOOKUP(B2550,'Справочник ИХ'!A:D,4,0))</f>
        <v>3</v>
      </c>
      <c r="F2550" s="14" t="s">
        <v>3484</v>
      </c>
    </row>
    <row r="2551" spans="1:6" ht="47.6">
      <c r="A2551" s="19">
        <v>46150</v>
      </c>
      <c r="B2551" s="12" t="str">
        <f t="shared" si="39"/>
        <v>461</v>
      </c>
      <c r="C2551" s="1" t="s">
        <v>3535</v>
      </c>
      <c r="D2551" s="13" t="str">
        <f>IF(RIGHT(A2551,3)="000",C2551,VLOOKUP(B2551,'Справочник ИХ'!A:C,3,0))</f>
        <v>Остальные грузы</v>
      </c>
      <c r="E2551" s="13">
        <f>IF(RIGHT(A2551,3)="000","х",VLOOKUP(B2551,'Справочник ИХ'!A:D,4,0))</f>
        <v>3</v>
      </c>
      <c r="F2551" s="14" t="s">
        <v>3484</v>
      </c>
    </row>
    <row r="2552" spans="1:6" ht="47.6">
      <c r="A2552" s="19">
        <v>46151</v>
      </c>
      <c r="B2552" s="12" t="str">
        <f t="shared" si="39"/>
        <v>461</v>
      </c>
      <c r="C2552" s="1" t="s">
        <v>3536</v>
      </c>
      <c r="D2552" s="13" t="str">
        <f>IF(RIGHT(A2552,3)="000",C2552,VLOOKUP(B2552,'Справочник ИХ'!A:C,3,0))</f>
        <v>Остальные грузы</v>
      </c>
      <c r="E2552" s="13">
        <f>IF(RIGHT(A2552,3)="000","х",VLOOKUP(B2552,'Справочник ИХ'!A:D,4,0))</f>
        <v>3</v>
      </c>
      <c r="F2552" s="14" t="s">
        <v>3484</v>
      </c>
    </row>
    <row r="2553" spans="1:6" ht="47.6">
      <c r="A2553" s="19">
        <v>46152</v>
      </c>
      <c r="B2553" s="12" t="str">
        <f t="shared" si="39"/>
        <v>461</v>
      </c>
      <c r="C2553" s="1" t="s">
        <v>3537</v>
      </c>
      <c r="D2553" s="13" t="str">
        <f>IF(RIGHT(A2553,3)="000",C2553,VLOOKUP(B2553,'Справочник ИХ'!A:C,3,0))</f>
        <v>Остальные грузы</v>
      </c>
      <c r="E2553" s="13">
        <f>IF(RIGHT(A2553,3)="000","х",VLOOKUP(B2553,'Справочник ИХ'!A:D,4,0))</f>
        <v>3</v>
      </c>
      <c r="F2553" s="14" t="s">
        <v>3484</v>
      </c>
    </row>
    <row r="2554" spans="1:6" ht="47.6">
      <c r="A2554" s="19">
        <v>46153</v>
      </c>
      <c r="B2554" s="12" t="str">
        <f t="shared" si="39"/>
        <v>461</v>
      </c>
      <c r="C2554" s="1" t="s">
        <v>3538</v>
      </c>
      <c r="D2554" s="13" t="str">
        <f>IF(RIGHT(A2554,3)="000",C2554,VLOOKUP(B2554,'Справочник ИХ'!A:C,3,0))</f>
        <v>Остальные грузы</v>
      </c>
      <c r="E2554" s="13">
        <f>IF(RIGHT(A2554,3)="000","х",VLOOKUP(B2554,'Справочник ИХ'!A:D,4,0))</f>
        <v>3</v>
      </c>
      <c r="F2554" s="14" t="s">
        <v>3484</v>
      </c>
    </row>
    <row r="2555" spans="1:6" s="18" customFormat="1" ht="47.6">
      <c r="A2555" s="16">
        <v>46200</v>
      </c>
      <c r="B2555" s="12" t="str">
        <f t="shared" si="39"/>
        <v>462</v>
      </c>
      <c r="C2555" s="17" t="s">
        <v>3539</v>
      </c>
      <c r="D2555" s="13" t="str">
        <f>IF(RIGHT(A2555,3)="000",C2555,VLOOKUP(B2555,'Справочник ИХ'!A:C,3,0))</f>
        <v>Остальные грузы</v>
      </c>
      <c r="E2555" s="13">
        <f>IF(RIGHT(A2555,3)="000","х",VLOOKUP(B2555,'Справочник ИХ'!A:D,4,0))</f>
        <v>3</v>
      </c>
      <c r="F2555" s="14" t="s">
        <v>3484</v>
      </c>
    </row>
    <row r="2556" spans="1:6" ht="47.6">
      <c r="A2556" s="19">
        <v>46201</v>
      </c>
      <c r="B2556" s="12" t="str">
        <f t="shared" si="39"/>
        <v>462</v>
      </c>
      <c r="C2556" s="1" t="s">
        <v>3540</v>
      </c>
      <c r="D2556" s="13" t="str">
        <f>IF(RIGHT(A2556,3)="000",C2556,VLOOKUP(B2556,'Справочник ИХ'!A:C,3,0))</f>
        <v>Остальные грузы</v>
      </c>
      <c r="E2556" s="13">
        <f>IF(RIGHT(A2556,3)="000","х",VLOOKUP(B2556,'Справочник ИХ'!A:D,4,0))</f>
        <v>3</v>
      </c>
      <c r="F2556" s="14" t="s">
        <v>3484</v>
      </c>
    </row>
    <row r="2557" spans="1:6" ht="47.6">
      <c r="A2557" s="19">
        <v>46202</v>
      </c>
      <c r="B2557" s="12" t="str">
        <f t="shared" si="39"/>
        <v>462</v>
      </c>
      <c r="C2557" s="1" t="s">
        <v>3541</v>
      </c>
      <c r="D2557" s="13" t="str">
        <f>IF(RIGHT(A2557,3)="000",C2557,VLOOKUP(B2557,'Справочник ИХ'!A:C,3,0))</f>
        <v>Остальные грузы</v>
      </c>
      <c r="E2557" s="13">
        <f>IF(RIGHT(A2557,3)="000","х",VLOOKUP(B2557,'Справочник ИХ'!A:D,4,0))</f>
        <v>3</v>
      </c>
      <c r="F2557" s="14" t="s">
        <v>3484</v>
      </c>
    </row>
    <row r="2558" spans="1:6" ht="47.6">
      <c r="A2558" s="19">
        <v>46203</v>
      </c>
      <c r="B2558" s="12" t="str">
        <f t="shared" si="39"/>
        <v>462</v>
      </c>
      <c r="C2558" s="1" t="s">
        <v>3542</v>
      </c>
      <c r="D2558" s="13" t="str">
        <f>IF(RIGHT(A2558,3)="000",C2558,VLOOKUP(B2558,'Справочник ИХ'!A:C,3,0))</f>
        <v>Остальные грузы</v>
      </c>
      <c r="E2558" s="13">
        <f>IF(RIGHT(A2558,3)="000","х",VLOOKUP(B2558,'Справочник ИХ'!A:D,4,0))</f>
        <v>3</v>
      </c>
      <c r="F2558" s="14" t="s">
        <v>3484</v>
      </c>
    </row>
    <row r="2559" spans="1:6" ht="47.6">
      <c r="A2559" s="19">
        <v>46204</v>
      </c>
      <c r="B2559" s="12" t="str">
        <f t="shared" si="39"/>
        <v>462</v>
      </c>
      <c r="C2559" s="1" t="s">
        <v>3543</v>
      </c>
      <c r="D2559" s="13" t="str">
        <f>IF(RIGHT(A2559,3)="000",C2559,VLOOKUP(B2559,'Справочник ИХ'!A:C,3,0))</f>
        <v>Остальные грузы</v>
      </c>
      <c r="E2559" s="13">
        <f>IF(RIGHT(A2559,3)="000","х",VLOOKUP(B2559,'Справочник ИХ'!A:D,4,0))</f>
        <v>3</v>
      </c>
      <c r="F2559" s="14" t="s">
        <v>3484</v>
      </c>
    </row>
    <row r="2560" spans="1:6" ht="47.6">
      <c r="A2560" s="19">
        <v>46205</v>
      </c>
      <c r="B2560" s="12" t="str">
        <f t="shared" si="39"/>
        <v>462</v>
      </c>
      <c r="C2560" s="1" t="s">
        <v>3544</v>
      </c>
      <c r="D2560" s="13" t="str">
        <f>IF(RIGHT(A2560,3)="000",C2560,VLOOKUP(B2560,'Справочник ИХ'!A:C,3,0))</f>
        <v>Остальные грузы</v>
      </c>
      <c r="E2560" s="13">
        <f>IF(RIGHT(A2560,3)="000","х",VLOOKUP(B2560,'Справочник ИХ'!A:D,4,0))</f>
        <v>3</v>
      </c>
      <c r="F2560" s="14" t="s">
        <v>3484</v>
      </c>
    </row>
    <row r="2561" spans="1:6" ht="47.6">
      <c r="A2561" s="19">
        <v>46206</v>
      </c>
      <c r="B2561" s="12" t="str">
        <f t="shared" si="39"/>
        <v>462</v>
      </c>
      <c r="C2561" s="1" t="s">
        <v>3545</v>
      </c>
      <c r="D2561" s="13" t="str">
        <f>IF(RIGHT(A2561,3)="000",C2561,VLOOKUP(B2561,'Справочник ИХ'!A:C,3,0))</f>
        <v>Остальные грузы</v>
      </c>
      <c r="E2561" s="13">
        <f>IF(RIGHT(A2561,3)="000","х",VLOOKUP(B2561,'Справочник ИХ'!A:D,4,0))</f>
        <v>3</v>
      </c>
      <c r="F2561" s="14" t="s">
        <v>3484</v>
      </c>
    </row>
    <row r="2562" spans="1:6" ht="47.6">
      <c r="A2562" s="19">
        <v>46207</v>
      </c>
      <c r="B2562" s="12" t="str">
        <f t="shared" si="39"/>
        <v>462</v>
      </c>
      <c r="C2562" s="1" t="s">
        <v>3546</v>
      </c>
      <c r="D2562" s="13" t="str">
        <f>IF(RIGHT(A2562,3)="000",C2562,VLOOKUP(B2562,'Справочник ИХ'!A:C,3,0))</f>
        <v>Остальные грузы</v>
      </c>
      <c r="E2562" s="13">
        <f>IF(RIGHT(A2562,3)="000","х",VLOOKUP(B2562,'Справочник ИХ'!A:D,4,0))</f>
        <v>3</v>
      </c>
      <c r="F2562" s="14" t="s">
        <v>3484</v>
      </c>
    </row>
    <row r="2563" spans="1:6" ht="47.6">
      <c r="A2563" s="19">
        <v>46208</v>
      </c>
      <c r="B2563" s="12" t="str">
        <f t="shared" si="39"/>
        <v>462</v>
      </c>
      <c r="C2563" s="1" t="s">
        <v>3547</v>
      </c>
      <c r="D2563" s="13" t="str">
        <f>IF(RIGHT(A2563,3)="000",C2563,VLOOKUP(B2563,'Справочник ИХ'!A:C,3,0))</f>
        <v>Остальные грузы</v>
      </c>
      <c r="E2563" s="13">
        <f>IF(RIGHT(A2563,3)="000","х",VLOOKUP(B2563,'Справочник ИХ'!A:D,4,0))</f>
        <v>3</v>
      </c>
      <c r="F2563" s="14" t="s">
        <v>3484</v>
      </c>
    </row>
    <row r="2564" spans="1:6" ht="47.6">
      <c r="A2564" s="19">
        <v>46209</v>
      </c>
      <c r="B2564" s="12" t="str">
        <f t="shared" ref="B2564:B2627" si="40">LEFT(A2564,3)</f>
        <v>462</v>
      </c>
      <c r="C2564" s="1" t="s">
        <v>3548</v>
      </c>
      <c r="D2564" s="13" t="str">
        <f>IF(RIGHT(A2564,3)="000",C2564,VLOOKUP(B2564,'Справочник ИХ'!A:C,3,0))</f>
        <v>Остальные грузы</v>
      </c>
      <c r="E2564" s="13">
        <f>IF(RIGHT(A2564,3)="000","х",VLOOKUP(B2564,'Справочник ИХ'!A:D,4,0))</f>
        <v>3</v>
      </c>
      <c r="F2564" s="14" t="s">
        <v>3484</v>
      </c>
    </row>
    <row r="2565" spans="1:6" ht="47.6">
      <c r="A2565" s="19">
        <v>46210</v>
      </c>
      <c r="B2565" s="12" t="str">
        <f t="shared" si="40"/>
        <v>462</v>
      </c>
      <c r="C2565" s="1" t="s">
        <v>3549</v>
      </c>
      <c r="D2565" s="13" t="str">
        <f>IF(RIGHT(A2565,3)="000",C2565,VLOOKUP(B2565,'Справочник ИХ'!A:C,3,0))</f>
        <v>Остальные грузы</v>
      </c>
      <c r="E2565" s="13">
        <f>IF(RIGHT(A2565,3)="000","х",VLOOKUP(B2565,'Справочник ИХ'!A:D,4,0))</f>
        <v>3</v>
      </c>
      <c r="F2565" s="14" t="s">
        <v>3484</v>
      </c>
    </row>
    <row r="2566" spans="1:6" ht="47.6">
      <c r="A2566" s="19">
        <v>46211</v>
      </c>
      <c r="B2566" s="12" t="str">
        <f t="shared" si="40"/>
        <v>462</v>
      </c>
      <c r="C2566" s="1" t="s">
        <v>3550</v>
      </c>
      <c r="D2566" s="13" t="str">
        <f>IF(RIGHT(A2566,3)="000",C2566,VLOOKUP(B2566,'Справочник ИХ'!A:C,3,0))</f>
        <v>Остальные грузы</v>
      </c>
      <c r="E2566" s="13">
        <f>IF(RIGHT(A2566,3)="000","х",VLOOKUP(B2566,'Справочник ИХ'!A:D,4,0))</f>
        <v>3</v>
      </c>
      <c r="F2566" s="14" t="s">
        <v>3484</v>
      </c>
    </row>
    <row r="2567" spans="1:6" ht="47.6">
      <c r="A2567" s="19">
        <v>46212</v>
      </c>
      <c r="B2567" s="12" t="str">
        <f t="shared" si="40"/>
        <v>462</v>
      </c>
      <c r="C2567" s="1" t="s">
        <v>3551</v>
      </c>
      <c r="D2567" s="13" t="str">
        <f>IF(RIGHT(A2567,3)="000",C2567,VLOOKUP(B2567,'Справочник ИХ'!A:C,3,0))</f>
        <v>Остальные грузы</v>
      </c>
      <c r="E2567" s="13">
        <f>IF(RIGHT(A2567,3)="000","х",VLOOKUP(B2567,'Справочник ИХ'!A:D,4,0))</f>
        <v>3</v>
      </c>
      <c r="F2567" s="14" t="s">
        <v>3484</v>
      </c>
    </row>
    <row r="2568" spans="1:6" ht="47.6">
      <c r="A2568" s="19">
        <v>46213</v>
      </c>
      <c r="B2568" s="12" t="str">
        <f t="shared" si="40"/>
        <v>462</v>
      </c>
      <c r="C2568" s="1" t="s">
        <v>3552</v>
      </c>
      <c r="D2568" s="13" t="str">
        <f>IF(RIGHT(A2568,3)="000",C2568,VLOOKUP(B2568,'Справочник ИХ'!A:C,3,0))</f>
        <v>Остальные грузы</v>
      </c>
      <c r="E2568" s="13">
        <f>IF(RIGHT(A2568,3)="000","х",VLOOKUP(B2568,'Справочник ИХ'!A:D,4,0))</f>
        <v>3</v>
      </c>
      <c r="F2568" s="14" t="s">
        <v>3484</v>
      </c>
    </row>
    <row r="2569" spans="1:6" ht="47.6">
      <c r="A2569" s="19">
        <v>46214</v>
      </c>
      <c r="B2569" s="12" t="str">
        <f t="shared" si="40"/>
        <v>462</v>
      </c>
      <c r="C2569" s="1" t="s">
        <v>3553</v>
      </c>
      <c r="D2569" s="13" t="str">
        <f>IF(RIGHT(A2569,3)="000",C2569,VLOOKUP(B2569,'Справочник ИХ'!A:C,3,0))</f>
        <v>Остальные грузы</v>
      </c>
      <c r="E2569" s="13">
        <f>IF(RIGHT(A2569,3)="000","х",VLOOKUP(B2569,'Справочник ИХ'!A:D,4,0))</f>
        <v>3</v>
      </c>
      <c r="F2569" s="14" t="s">
        <v>3484</v>
      </c>
    </row>
    <row r="2570" spans="1:6" ht="47.6">
      <c r="A2570" s="19">
        <v>46215</v>
      </c>
      <c r="B2570" s="12" t="str">
        <f t="shared" si="40"/>
        <v>462</v>
      </c>
      <c r="C2570" s="1" t="s">
        <v>3554</v>
      </c>
      <c r="D2570" s="13" t="str">
        <f>IF(RIGHT(A2570,3)="000",C2570,VLOOKUP(B2570,'Справочник ИХ'!A:C,3,0))</f>
        <v>Остальные грузы</v>
      </c>
      <c r="E2570" s="13">
        <f>IF(RIGHT(A2570,3)="000","х",VLOOKUP(B2570,'Справочник ИХ'!A:D,4,0))</f>
        <v>3</v>
      </c>
      <c r="F2570" s="14" t="s">
        <v>3484</v>
      </c>
    </row>
    <row r="2571" spans="1:6" ht="47.6">
      <c r="A2571" s="19">
        <v>46216</v>
      </c>
      <c r="B2571" s="12" t="str">
        <f t="shared" si="40"/>
        <v>462</v>
      </c>
      <c r="C2571" s="1" t="s">
        <v>3555</v>
      </c>
      <c r="D2571" s="13" t="str">
        <f>IF(RIGHT(A2571,3)="000",C2571,VLOOKUP(B2571,'Справочник ИХ'!A:C,3,0))</f>
        <v>Остальные грузы</v>
      </c>
      <c r="E2571" s="13">
        <f>IF(RIGHT(A2571,3)="000","х",VLOOKUP(B2571,'Справочник ИХ'!A:D,4,0))</f>
        <v>3</v>
      </c>
      <c r="F2571" s="14" t="s">
        <v>3484</v>
      </c>
    </row>
    <row r="2572" spans="1:6" ht="47.6">
      <c r="A2572" s="19">
        <v>46217</v>
      </c>
      <c r="B2572" s="12" t="str">
        <f t="shared" si="40"/>
        <v>462</v>
      </c>
      <c r="C2572" s="1" t="s">
        <v>3556</v>
      </c>
      <c r="D2572" s="13" t="str">
        <f>IF(RIGHT(A2572,3)="000",C2572,VLOOKUP(B2572,'Справочник ИХ'!A:C,3,0))</f>
        <v>Остальные грузы</v>
      </c>
      <c r="E2572" s="13">
        <f>IF(RIGHT(A2572,3)="000","х",VLOOKUP(B2572,'Справочник ИХ'!A:D,4,0))</f>
        <v>3</v>
      </c>
      <c r="F2572" s="14" t="s">
        <v>3484</v>
      </c>
    </row>
    <row r="2573" spans="1:6" ht="47.6">
      <c r="A2573" s="19">
        <v>46218</v>
      </c>
      <c r="B2573" s="12" t="str">
        <f t="shared" si="40"/>
        <v>462</v>
      </c>
      <c r="C2573" s="1" t="s">
        <v>3557</v>
      </c>
      <c r="D2573" s="13" t="str">
        <f>IF(RIGHT(A2573,3)="000",C2573,VLOOKUP(B2573,'Справочник ИХ'!A:C,3,0))</f>
        <v>Остальные грузы</v>
      </c>
      <c r="E2573" s="13">
        <f>IF(RIGHT(A2573,3)="000","х",VLOOKUP(B2573,'Справочник ИХ'!A:D,4,0))</f>
        <v>3</v>
      </c>
      <c r="F2573" s="14" t="s">
        <v>3484</v>
      </c>
    </row>
    <row r="2574" spans="1:6" ht="47.6">
      <c r="A2574" s="19">
        <v>46219</v>
      </c>
      <c r="B2574" s="12" t="str">
        <f t="shared" si="40"/>
        <v>462</v>
      </c>
      <c r="C2574" s="1" t="s">
        <v>3558</v>
      </c>
      <c r="D2574" s="13" t="str">
        <f>IF(RIGHT(A2574,3)="000",C2574,VLOOKUP(B2574,'Справочник ИХ'!A:C,3,0))</f>
        <v>Остальные грузы</v>
      </c>
      <c r="E2574" s="13">
        <f>IF(RIGHT(A2574,3)="000","х",VLOOKUP(B2574,'Справочник ИХ'!A:D,4,0))</f>
        <v>3</v>
      </c>
      <c r="F2574" s="14" t="s">
        <v>3484</v>
      </c>
    </row>
    <row r="2575" spans="1:6" ht="47.6">
      <c r="A2575" s="19">
        <v>46220</v>
      </c>
      <c r="B2575" s="12" t="str">
        <f t="shared" si="40"/>
        <v>462</v>
      </c>
      <c r="C2575" s="1" t="s">
        <v>3559</v>
      </c>
      <c r="D2575" s="13" t="str">
        <f>IF(RIGHT(A2575,3)="000",C2575,VLOOKUP(B2575,'Справочник ИХ'!A:C,3,0))</f>
        <v>Остальные грузы</v>
      </c>
      <c r="E2575" s="13">
        <f>IF(RIGHT(A2575,3)="000","х",VLOOKUP(B2575,'Справочник ИХ'!A:D,4,0))</f>
        <v>3</v>
      </c>
      <c r="F2575" s="14" t="s">
        <v>3484</v>
      </c>
    </row>
    <row r="2576" spans="1:6" ht="47.6">
      <c r="A2576" s="19">
        <v>46221</v>
      </c>
      <c r="B2576" s="12" t="str">
        <f t="shared" si="40"/>
        <v>462</v>
      </c>
      <c r="C2576" s="1" t="s">
        <v>3560</v>
      </c>
      <c r="D2576" s="13" t="str">
        <f>IF(RIGHT(A2576,3)="000",C2576,VLOOKUP(B2576,'Справочник ИХ'!A:C,3,0))</f>
        <v>Остальные грузы</v>
      </c>
      <c r="E2576" s="13">
        <f>IF(RIGHT(A2576,3)="000","х",VLOOKUP(B2576,'Справочник ИХ'!A:D,4,0))</f>
        <v>3</v>
      </c>
      <c r="F2576" s="14" t="s">
        <v>3484</v>
      </c>
    </row>
    <row r="2577" spans="1:6" ht="47.6">
      <c r="A2577" s="19">
        <v>46222</v>
      </c>
      <c r="B2577" s="12" t="str">
        <f t="shared" si="40"/>
        <v>462</v>
      </c>
      <c r="C2577" s="1" t="s">
        <v>3561</v>
      </c>
      <c r="D2577" s="13" t="str">
        <f>IF(RIGHT(A2577,3)="000",C2577,VLOOKUP(B2577,'Справочник ИХ'!A:C,3,0))</f>
        <v>Остальные грузы</v>
      </c>
      <c r="E2577" s="13">
        <f>IF(RIGHT(A2577,3)="000","х",VLOOKUP(B2577,'Справочник ИХ'!A:D,4,0))</f>
        <v>3</v>
      </c>
      <c r="F2577" s="14" t="s">
        <v>3484</v>
      </c>
    </row>
    <row r="2578" spans="1:6" ht="47.6">
      <c r="A2578" s="19">
        <v>46223</v>
      </c>
      <c r="B2578" s="12" t="str">
        <f t="shared" si="40"/>
        <v>462</v>
      </c>
      <c r="C2578" s="1" t="s">
        <v>3562</v>
      </c>
      <c r="D2578" s="13" t="str">
        <f>IF(RIGHT(A2578,3)="000",C2578,VLOOKUP(B2578,'Справочник ИХ'!A:C,3,0))</f>
        <v>Остальные грузы</v>
      </c>
      <c r="E2578" s="13">
        <f>IF(RIGHT(A2578,3)="000","х",VLOOKUP(B2578,'Справочник ИХ'!A:D,4,0))</f>
        <v>3</v>
      </c>
      <c r="F2578" s="14" t="s">
        <v>3484</v>
      </c>
    </row>
    <row r="2579" spans="1:6" ht="47.6">
      <c r="A2579" s="19">
        <v>46224</v>
      </c>
      <c r="B2579" s="12" t="str">
        <f t="shared" si="40"/>
        <v>462</v>
      </c>
      <c r="C2579" s="1" t="s">
        <v>3563</v>
      </c>
      <c r="D2579" s="13" t="str">
        <f>IF(RIGHT(A2579,3)="000",C2579,VLOOKUP(B2579,'Справочник ИХ'!A:C,3,0))</f>
        <v>Остальные грузы</v>
      </c>
      <c r="E2579" s="13">
        <f>IF(RIGHT(A2579,3)="000","х",VLOOKUP(B2579,'Справочник ИХ'!A:D,4,0))</f>
        <v>3</v>
      </c>
      <c r="F2579" s="14" t="s">
        <v>3484</v>
      </c>
    </row>
    <row r="2580" spans="1:6" ht="47.6">
      <c r="A2580" s="19">
        <v>46225</v>
      </c>
      <c r="B2580" s="12" t="str">
        <f t="shared" si="40"/>
        <v>462</v>
      </c>
      <c r="C2580" s="1" t="s">
        <v>3564</v>
      </c>
      <c r="D2580" s="13" t="str">
        <f>IF(RIGHT(A2580,3)="000",C2580,VLOOKUP(B2580,'Справочник ИХ'!A:C,3,0))</f>
        <v>Остальные грузы</v>
      </c>
      <c r="E2580" s="13">
        <f>IF(RIGHT(A2580,3)="000","х",VLOOKUP(B2580,'Справочник ИХ'!A:D,4,0))</f>
        <v>3</v>
      </c>
      <c r="F2580" s="14" t="s">
        <v>3484</v>
      </c>
    </row>
    <row r="2581" spans="1:6" ht="47.6">
      <c r="A2581" s="19">
        <v>46226</v>
      </c>
      <c r="B2581" s="12" t="str">
        <f t="shared" si="40"/>
        <v>462</v>
      </c>
      <c r="C2581" s="1" t="s">
        <v>3565</v>
      </c>
      <c r="D2581" s="13" t="str">
        <f>IF(RIGHT(A2581,3)="000",C2581,VLOOKUP(B2581,'Справочник ИХ'!A:C,3,0))</f>
        <v>Остальные грузы</v>
      </c>
      <c r="E2581" s="13">
        <f>IF(RIGHT(A2581,3)="000","х",VLOOKUP(B2581,'Справочник ИХ'!A:D,4,0))</f>
        <v>3</v>
      </c>
      <c r="F2581" s="14" t="s">
        <v>3484</v>
      </c>
    </row>
    <row r="2582" spans="1:6" ht="47.6">
      <c r="A2582" s="19">
        <v>46227</v>
      </c>
      <c r="B2582" s="12" t="str">
        <f t="shared" si="40"/>
        <v>462</v>
      </c>
      <c r="C2582" s="1" t="s">
        <v>3566</v>
      </c>
      <c r="D2582" s="13" t="str">
        <f>IF(RIGHT(A2582,3)="000",C2582,VLOOKUP(B2582,'Справочник ИХ'!A:C,3,0))</f>
        <v>Остальные грузы</v>
      </c>
      <c r="E2582" s="13">
        <f>IF(RIGHT(A2582,3)="000","х",VLOOKUP(B2582,'Справочник ИХ'!A:D,4,0))</f>
        <v>3</v>
      </c>
      <c r="F2582" s="14" t="s">
        <v>3484</v>
      </c>
    </row>
    <row r="2583" spans="1:6" ht="47.6">
      <c r="A2583" s="19">
        <v>46228</v>
      </c>
      <c r="B2583" s="12" t="str">
        <f t="shared" si="40"/>
        <v>462</v>
      </c>
      <c r="C2583" s="1" t="s">
        <v>3567</v>
      </c>
      <c r="D2583" s="13" t="str">
        <f>IF(RIGHT(A2583,3)="000",C2583,VLOOKUP(B2583,'Справочник ИХ'!A:C,3,0))</f>
        <v>Остальные грузы</v>
      </c>
      <c r="E2583" s="13">
        <f>IF(RIGHT(A2583,3)="000","х",VLOOKUP(B2583,'Справочник ИХ'!A:D,4,0))</f>
        <v>3</v>
      </c>
      <c r="F2583" s="14" t="s">
        <v>3484</v>
      </c>
    </row>
    <row r="2584" spans="1:6" ht="47.6">
      <c r="A2584" s="19">
        <v>46229</v>
      </c>
      <c r="B2584" s="12" t="str">
        <f t="shared" si="40"/>
        <v>462</v>
      </c>
      <c r="C2584" s="1" t="s">
        <v>3568</v>
      </c>
      <c r="D2584" s="13" t="str">
        <f>IF(RIGHT(A2584,3)="000",C2584,VLOOKUP(B2584,'Справочник ИХ'!A:C,3,0))</f>
        <v>Остальные грузы</v>
      </c>
      <c r="E2584" s="13">
        <f>IF(RIGHT(A2584,3)="000","х",VLOOKUP(B2584,'Справочник ИХ'!A:D,4,0))</f>
        <v>3</v>
      </c>
      <c r="F2584" s="14" t="s">
        <v>3484</v>
      </c>
    </row>
    <row r="2585" spans="1:6" ht="47.6">
      <c r="A2585" s="19">
        <v>46230</v>
      </c>
      <c r="B2585" s="12" t="str">
        <f t="shared" si="40"/>
        <v>462</v>
      </c>
      <c r="C2585" s="1" t="s">
        <v>3569</v>
      </c>
      <c r="D2585" s="13" t="str">
        <f>IF(RIGHT(A2585,3)="000",C2585,VLOOKUP(B2585,'Справочник ИХ'!A:C,3,0))</f>
        <v>Остальные грузы</v>
      </c>
      <c r="E2585" s="13">
        <f>IF(RIGHT(A2585,3)="000","х",VLOOKUP(B2585,'Справочник ИХ'!A:D,4,0))</f>
        <v>3</v>
      </c>
      <c r="F2585" s="14" t="s">
        <v>3484</v>
      </c>
    </row>
    <row r="2586" spans="1:6" s="18" customFormat="1" ht="47.6">
      <c r="A2586" s="16">
        <v>46300</v>
      </c>
      <c r="B2586" s="12" t="str">
        <f t="shared" si="40"/>
        <v>463</v>
      </c>
      <c r="C2586" s="17" t="s">
        <v>3570</v>
      </c>
      <c r="D2586" s="13" t="str">
        <f>IF(RIGHT(A2586,3)="000",C2586,VLOOKUP(B2586,'Справочник ИХ'!A:C,3,0))</f>
        <v>Остальные грузы</v>
      </c>
      <c r="E2586" s="13">
        <f>IF(RIGHT(A2586,3)="000","х",VLOOKUP(B2586,'Справочник ИХ'!A:D,4,0))</f>
        <v>3</v>
      </c>
      <c r="F2586" s="14" t="s">
        <v>3484</v>
      </c>
    </row>
    <row r="2587" spans="1:6" ht="47.6">
      <c r="A2587" s="19">
        <v>46301</v>
      </c>
      <c r="B2587" s="12" t="str">
        <f t="shared" si="40"/>
        <v>463</v>
      </c>
      <c r="C2587" s="1" t="s">
        <v>3571</v>
      </c>
      <c r="D2587" s="13" t="str">
        <f>IF(RIGHT(A2587,3)="000",C2587,VLOOKUP(B2587,'Справочник ИХ'!A:C,3,0))</f>
        <v>Остальные грузы</v>
      </c>
      <c r="E2587" s="13">
        <f>IF(RIGHT(A2587,3)="000","х",VLOOKUP(B2587,'Справочник ИХ'!A:D,4,0))</f>
        <v>3</v>
      </c>
      <c r="F2587" s="14" t="s">
        <v>3484</v>
      </c>
    </row>
    <row r="2588" spans="1:6" ht="47.6">
      <c r="A2588" s="19">
        <v>46302</v>
      </c>
      <c r="B2588" s="12" t="str">
        <f t="shared" si="40"/>
        <v>463</v>
      </c>
      <c r="C2588" s="1" t="s">
        <v>3572</v>
      </c>
      <c r="D2588" s="13" t="str">
        <f>IF(RIGHT(A2588,3)="000",C2588,VLOOKUP(B2588,'Справочник ИХ'!A:C,3,0))</f>
        <v>Остальные грузы</v>
      </c>
      <c r="E2588" s="13">
        <f>IF(RIGHT(A2588,3)="000","х",VLOOKUP(B2588,'Справочник ИХ'!A:D,4,0))</f>
        <v>3</v>
      </c>
      <c r="F2588" s="14" t="s">
        <v>3484</v>
      </c>
    </row>
    <row r="2589" spans="1:6" ht="47.6">
      <c r="A2589" s="19">
        <v>46303</v>
      </c>
      <c r="B2589" s="12" t="str">
        <f t="shared" si="40"/>
        <v>463</v>
      </c>
      <c r="C2589" s="1" t="s">
        <v>3573</v>
      </c>
      <c r="D2589" s="13" t="str">
        <f>IF(RIGHT(A2589,3)="000",C2589,VLOOKUP(B2589,'Справочник ИХ'!A:C,3,0))</f>
        <v>Остальные грузы</v>
      </c>
      <c r="E2589" s="13">
        <f>IF(RIGHT(A2589,3)="000","х",VLOOKUP(B2589,'Справочник ИХ'!A:D,4,0))</f>
        <v>3</v>
      </c>
      <c r="F2589" s="14" t="s">
        <v>3484</v>
      </c>
    </row>
    <row r="2590" spans="1:6" ht="47.6">
      <c r="A2590" s="19">
        <v>46304</v>
      </c>
      <c r="B2590" s="12" t="str">
        <f t="shared" si="40"/>
        <v>463</v>
      </c>
      <c r="C2590" s="1" t="s">
        <v>3574</v>
      </c>
      <c r="D2590" s="13" t="str">
        <f>IF(RIGHT(A2590,3)="000",C2590,VLOOKUP(B2590,'Справочник ИХ'!A:C,3,0))</f>
        <v>Остальные грузы</v>
      </c>
      <c r="E2590" s="13">
        <f>IF(RIGHT(A2590,3)="000","х",VLOOKUP(B2590,'Справочник ИХ'!A:D,4,0))</f>
        <v>3</v>
      </c>
      <c r="F2590" s="14" t="s">
        <v>3484</v>
      </c>
    </row>
    <row r="2591" spans="1:6" ht="47.6">
      <c r="A2591" s="19">
        <v>46305</v>
      </c>
      <c r="B2591" s="12" t="str">
        <f t="shared" si="40"/>
        <v>463</v>
      </c>
      <c r="C2591" s="1" t="s">
        <v>3575</v>
      </c>
      <c r="D2591" s="13" t="str">
        <f>IF(RIGHT(A2591,3)="000",C2591,VLOOKUP(B2591,'Справочник ИХ'!A:C,3,0))</f>
        <v>Остальные грузы</v>
      </c>
      <c r="E2591" s="13">
        <f>IF(RIGHT(A2591,3)="000","х",VLOOKUP(B2591,'Справочник ИХ'!A:D,4,0))</f>
        <v>3</v>
      </c>
      <c r="F2591" s="14" t="s">
        <v>3484</v>
      </c>
    </row>
    <row r="2592" spans="1:6" ht="47.6">
      <c r="A2592" s="19">
        <v>46306</v>
      </c>
      <c r="B2592" s="12" t="str">
        <f t="shared" si="40"/>
        <v>463</v>
      </c>
      <c r="C2592" s="1" t="s">
        <v>3576</v>
      </c>
      <c r="D2592" s="13" t="str">
        <f>IF(RIGHT(A2592,3)="000",C2592,VLOOKUP(B2592,'Справочник ИХ'!A:C,3,0))</f>
        <v>Остальные грузы</v>
      </c>
      <c r="E2592" s="13">
        <f>IF(RIGHT(A2592,3)="000","х",VLOOKUP(B2592,'Справочник ИХ'!A:D,4,0))</f>
        <v>3</v>
      </c>
      <c r="F2592" s="14" t="s">
        <v>3484</v>
      </c>
    </row>
    <row r="2593" spans="1:6" ht="47.6">
      <c r="A2593" s="19">
        <v>46307</v>
      </c>
      <c r="B2593" s="12" t="str">
        <f t="shared" si="40"/>
        <v>463</v>
      </c>
      <c r="C2593" s="1" t="s">
        <v>3577</v>
      </c>
      <c r="D2593" s="13" t="str">
        <f>IF(RIGHT(A2593,3)="000",C2593,VLOOKUP(B2593,'Справочник ИХ'!A:C,3,0))</f>
        <v>Остальные грузы</v>
      </c>
      <c r="E2593" s="13">
        <f>IF(RIGHT(A2593,3)="000","х",VLOOKUP(B2593,'Справочник ИХ'!A:D,4,0))</f>
        <v>3</v>
      </c>
      <c r="F2593" s="14" t="s">
        <v>3484</v>
      </c>
    </row>
    <row r="2594" spans="1:6" ht="47.6">
      <c r="A2594" s="19">
        <v>46308</v>
      </c>
      <c r="B2594" s="12" t="str">
        <f t="shared" si="40"/>
        <v>463</v>
      </c>
      <c r="C2594" s="1" t="s">
        <v>3578</v>
      </c>
      <c r="D2594" s="13" t="str">
        <f>IF(RIGHT(A2594,3)="000",C2594,VLOOKUP(B2594,'Справочник ИХ'!A:C,3,0))</f>
        <v>Остальные грузы</v>
      </c>
      <c r="E2594" s="13">
        <f>IF(RIGHT(A2594,3)="000","х",VLOOKUP(B2594,'Справочник ИХ'!A:D,4,0))</f>
        <v>3</v>
      </c>
      <c r="F2594" s="14" t="s">
        <v>3484</v>
      </c>
    </row>
    <row r="2595" spans="1:6" ht="47.6">
      <c r="A2595" s="19">
        <v>46309</v>
      </c>
      <c r="B2595" s="12" t="str">
        <f t="shared" si="40"/>
        <v>463</v>
      </c>
      <c r="C2595" s="1" t="s">
        <v>3579</v>
      </c>
      <c r="D2595" s="13" t="str">
        <f>IF(RIGHT(A2595,3)="000",C2595,VLOOKUP(B2595,'Справочник ИХ'!A:C,3,0))</f>
        <v>Остальные грузы</v>
      </c>
      <c r="E2595" s="13">
        <f>IF(RIGHT(A2595,3)="000","х",VLOOKUP(B2595,'Справочник ИХ'!A:D,4,0))</f>
        <v>3</v>
      </c>
      <c r="F2595" s="14" t="s">
        <v>3484</v>
      </c>
    </row>
    <row r="2596" spans="1:6" s="18" customFormat="1" ht="47.6">
      <c r="A2596" s="16">
        <v>46400</v>
      </c>
      <c r="B2596" s="12" t="str">
        <f t="shared" si="40"/>
        <v>464</v>
      </c>
      <c r="C2596" s="17" t="s">
        <v>3580</v>
      </c>
      <c r="D2596" s="13" t="str">
        <f>IF(RIGHT(A2596,3)="000",C2596,VLOOKUP(B2596,'Справочник ИХ'!A:C,3,0))</f>
        <v>Остальные грузы</v>
      </c>
      <c r="E2596" s="13">
        <f>IF(RIGHT(A2596,3)="000","х",VLOOKUP(B2596,'Справочник ИХ'!A:D,4,0))</f>
        <v>3</v>
      </c>
      <c r="F2596" s="14" t="s">
        <v>3484</v>
      </c>
    </row>
    <row r="2597" spans="1:6" ht="47.6">
      <c r="A2597" s="19">
        <v>46401</v>
      </c>
      <c r="B2597" s="12" t="str">
        <f t="shared" si="40"/>
        <v>464</v>
      </c>
      <c r="C2597" s="1" t="s">
        <v>3581</v>
      </c>
      <c r="D2597" s="13" t="str">
        <f>IF(RIGHT(A2597,3)="000",C2597,VLOOKUP(B2597,'Справочник ИХ'!A:C,3,0))</f>
        <v>Остальные грузы</v>
      </c>
      <c r="E2597" s="13">
        <f>IF(RIGHT(A2597,3)="000","х",VLOOKUP(B2597,'Справочник ИХ'!A:D,4,0))</f>
        <v>3</v>
      </c>
      <c r="F2597" s="14" t="s">
        <v>3484</v>
      </c>
    </row>
    <row r="2598" spans="1:6" ht="47.6">
      <c r="A2598" s="19">
        <v>46402</v>
      </c>
      <c r="B2598" s="12" t="str">
        <f t="shared" si="40"/>
        <v>464</v>
      </c>
      <c r="C2598" s="1" t="s">
        <v>3582</v>
      </c>
      <c r="D2598" s="13" t="str">
        <f>IF(RIGHT(A2598,3)="000",C2598,VLOOKUP(B2598,'Справочник ИХ'!A:C,3,0))</f>
        <v>Остальные грузы</v>
      </c>
      <c r="E2598" s="13">
        <f>IF(RIGHT(A2598,3)="000","х",VLOOKUP(B2598,'Справочник ИХ'!A:D,4,0))</f>
        <v>3</v>
      </c>
      <c r="F2598" s="14" t="s">
        <v>3484</v>
      </c>
    </row>
    <row r="2599" spans="1:6" ht="47.6">
      <c r="A2599" s="19">
        <v>46403</v>
      </c>
      <c r="B2599" s="12" t="str">
        <f t="shared" si="40"/>
        <v>464</v>
      </c>
      <c r="C2599" s="1" t="s">
        <v>3583</v>
      </c>
      <c r="D2599" s="13" t="str">
        <f>IF(RIGHT(A2599,3)="000",C2599,VLOOKUP(B2599,'Справочник ИХ'!A:C,3,0))</f>
        <v>Остальные грузы</v>
      </c>
      <c r="E2599" s="13">
        <f>IF(RIGHT(A2599,3)="000","х",VLOOKUP(B2599,'Справочник ИХ'!A:D,4,0))</f>
        <v>3</v>
      </c>
      <c r="F2599" s="14" t="s">
        <v>3484</v>
      </c>
    </row>
    <row r="2600" spans="1:6" ht="47.6">
      <c r="A2600" s="19">
        <v>46404</v>
      </c>
      <c r="B2600" s="12" t="str">
        <f t="shared" si="40"/>
        <v>464</v>
      </c>
      <c r="C2600" s="1" t="s">
        <v>3584</v>
      </c>
      <c r="D2600" s="13" t="str">
        <f>IF(RIGHT(A2600,3)="000",C2600,VLOOKUP(B2600,'Справочник ИХ'!A:C,3,0))</f>
        <v>Остальные грузы</v>
      </c>
      <c r="E2600" s="13">
        <f>IF(RIGHT(A2600,3)="000","х",VLOOKUP(B2600,'Справочник ИХ'!A:D,4,0))</f>
        <v>3</v>
      </c>
      <c r="F2600" s="14" t="s">
        <v>3484</v>
      </c>
    </row>
    <row r="2601" spans="1:6" ht="47.6">
      <c r="A2601" s="19">
        <v>46405</v>
      </c>
      <c r="B2601" s="12" t="str">
        <f t="shared" si="40"/>
        <v>464</v>
      </c>
      <c r="C2601" s="1" t="s">
        <v>3585</v>
      </c>
      <c r="D2601" s="13" t="str">
        <f>IF(RIGHT(A2601,3)="000",C2601,VLOOKUP(B2601,'Справочник ИХ'!A:C,3,0))</f>
        <v>Остальные грузы</v>
      </c>
      <c r="E2601" s="13">
        <f>IF(RIGHT(A2601,3)="000","х",VLOOKUP(B2601,'Справочник ИХ'!A:D,4,0))</f>
        <v>3</v>
      </c>
      <c r="F2601" s="14" t="s">
        <v>3484</v>
      </c>
    </row>
    <row r="2602" spans="1:6" ht="47.6">
      <c r="A2602" s="19">
        <v>46406</v>
      </c>
      <c r="B2602" s="12" t="str">
        <f t="shared" si="40"/>
        <v>464</v>
      </c>
      <c r="C2602" s="1" t="s">
        <v>3586</v>
      </c>
      <c r="D2602" s="13" t="str">
        <f>IF(RIGHT(A2602,3)="000",C2602,VLOOKUP(B2602,'Справочник ИХ'!A:C,3,0))</f>
        <v>Остальные грузы</v>
      </c>
      <c r="E2602" s="13">
        <f>IF(RIGHT(A2602,3)="000","х",VLOOKUP(B2602,'Справочник ИХ'!A:D,4,0))</f>
        <v>3</v>
      </c>
      <c r="F2602" s="14" t="s">
        <v>3484</v>
      </c>
    </row>
    <row r="2603" spans="1:6" ht="47.6">
      <c r="A2603" s="19">
        <v>46407</v>
      </c>
      <c r="B2603" s="12" t="str">
        <f t="shared" si="40"/>
        <v>464</v>
      </c>
      <c r="C2603" s="1" t="s">
        <v>3587</v>
      </c>
      <c r="D2603" s="13" t="str">
        <f>IF(RIGHT(A2603,3)="000",C2603,VLOOKUP(B2603,'Справочник ИХ'!A:C,3,0))</f>
        <v>Остальные грузы</v>
      </c>
      <c r="E2603" s="13">
        <f>IF(RIGHT(A2603,3)="000","х",VLOOKUP(B2603,'Справочник ИХ'!A:D,4,0))</f>
        <v>3</v>
      </c>
      <c r="F2603" s="14" t="s">
        <v>3484</v>
      </c>
    </row>
    <row r="2604" spans="1:6" ht="47.6">
      <c r="A2604" s="19">
        <v>46408</v>
      </c>
      <c r="B2604" s="12" t="str">
        <f t="shared" si="40"/>
        <v>464</v>
      </c>
      <c r="C2604" s="1" t="s">
        <v>3588</v>
      </c>
      <c r="D2604" s="13" t="str">
        <f>IF(RIGHT(A2604,3)="000",C2604,VLOOKUP(B2604,'Справочник ИХ'!A:C,3,0))</f>
        <v>Остальные грузы</v>
      </c>
      <c r="E2604" s="13">
        <f>IF(RIGHT(A2604,3)="000","х",VLOOKUP(B2604,'Справочник ИХ'!A:D,4,0))</f>
        <v>3</v>
      </c>
      <c r="F2604" s="14" t="s">
        <v>3484</v>
      </c>
    </row>
    <row r="2605" spans="1:6" ht="47.6">
      <c r="A2605" s="19">
        <v>46409</v>
      </c>
      <c r="B2605" s="12" t="str">
        <f t="shared" si="40"/>
        <v>464</v>
      </c>
      <c r="C2605" s="1" t="s">
        <v>3589</v>
      </c>
      <c r="D2605" s="13" t="str">
        <f>IF(RIGHT(A2605,3)="000",C2605,VLOOKUP(B2605,'Справочник ИХ'!A:C,3,0))</f>
        <v>Остальные грузы</v>
      </c>
      <c r="E2605" s="13">
        <f>IF(RIGHT(A2605,3)="000","х",VLOOKUP(B2605,'Справочник ИХ'!A:D,4,0))</f>
        <v>3</v>
      </c>
      <c r="F2605" s="14" t="s">
        <v>3484</v>
      </c>
    </row>
    <row r="2606" spans="1:6" ht="47.6">
      <c r="A2606" s="19">
        <v>46410</v>
      </c>
      <c r="B2606" s="12" t="str">
        <f t="shared" si="40"/>
        <v>464</v>
      </c>
      <c r="C2606" s="1" t="s">
        <v>3590</v>
      </c>
      <c r="D2606" s="13" t="str">
        <f>IF(RIGHT(A2606,3)="000",C2606,VLOOKUP(B2606,'Справочник ИХ'!A:C,3,0))</f>
        <v>Остальные грузы</v>
      </c>
      <c r="E2606" s="13">
        <f>IF(RIGHT(A2606,3)="000","х",VLOOKUP(B2606,'Справочник ИХ'!A:D,4,0))</f>
        <v>3</v>
      </c>
      <c r="F2606" s="14" t="s">
        <v>3484</v>
      </c>
    </row>
    <row r="2607" spans="1:6" ht="47.6">
      <c r="A2607" s="19">
        <v>46411</v>
      </c>
      <c r="B2607" s="12" t="str">
        <f t="shared" si="40"/>
        <v>464</v>
      </c>
      <c r="C2607" s="1" t="s">
        <v>3591</v>
      </c>
      <c r="D2607" s="13" t="str">
        <f>IF(RIGHT(A2607,3)="000",C2607,VLOOKUP(B2607,'Справочник ИХ'!A:C,3,0))</f>
        <v>Остальные грузы</v>
      </c>
      <c r="E2607" s="13">
        <f>IF(RIGHT(A2607,3)="000","х",VLOOKUP(B2607,'Справочник ИХ'!A:D,4,0))</f>
        <v>3</v>
      </c>
      <c r="F2607" s="14" t="s">
        <v>3484</v>
      </c>
    </row>
    <row r="2608" spans="1:6" ht="47.6">
      <c r="A2608" s="19">
        <v>46412</v>
      </c>
      <c r="B2608" s="12" t="str">
        <f t="shared" si="40"/>
        <v>464</v>
      </c>
      <c r="C2608" s="1" t="s">
        <v>3592</v>
      </c>
      <c r="D2608" s="13" t="str">
        <f>IF(RIGHT(A2608,3)="000",C2608,VLOOKUP(B2608,'Справочник ИХ'!A:C,3,0))</f>
        <v>Остальные грузы</v>
      </c>
      <c r="E2608" s="13">
        <f>IF(RIGHT(A2608,3)="000","х",VLOOKUP(B2608,'Справочник ИХ'!A:D,4,0))</f>
        <v>3</v>
      </c>
      <c r="F2608" s="14" t="s">
        <v>3484</v>
      </c>
    </row>
    <row r="2609" spans="1:6" ht="47.6">
      <c r="A2609" s="19">
        <v>46413</v>
      </c>
      <c r="B2609" s="12" t="str">
        <f t="shared" si="40"/>
        <v>464</v>
      </c>
      <c r="C2609" s="1" t="s">
        <v>3593</v>
      </c>
      <c r="D2609" s="13" t="str">
        <f>IF(RIGHT(A2609,3)="000",C2609,VLOOKUP(B2609,'Справочник ИХ'!A:C,3,0))</f>
        <v>Остальные грузы</v>
      </c>
      <c r="E2609" s="13">
        <f>IF(RIGHT(A2609,3)="000","х",VLOOKUP(B2609,'Справочник ИХ'!A:D,4,0))</f>
        <v>3</v>
      </c>
      <c r="F2609" s="14" t="s">
        <v>3484</v>
      </c>
    </row>
    <row r="2610" spans="1:6" s="18" customFormat="1" ht="47.6">
      <c r="A2610" s="16">
        <v>46500</v>
      </c>
      <c r="B2610" s="12" t="str">
        <f t="shared" si="40"/>
        <v>465</v>
      </c>
      <c r="C2610" s="17" t="s">
        <v>3594</v>
      </c>
      <c r="D2610" s="13" t="str">
        <f>IF(RIGHT(A2610,3)="000",C2610,VLOOKUP(B2610,'Справочник ИХ'!A:C,3,0))</f>
        <v>Остальные грузы</v>
      </c>
      <c r="E2610" s="13">
        <f>IF(RIGHT(A2610,3)="000","х",VLOOKUP(B2610,'Справочник ИХ'!A:D,4,0))</f>
        <v>3</v>
      </c>
      <c r="F2610" s="14" t="s">
        <v>3484</v>
      </c>
    </row>
    <row r="2611" spans="1:6" ht="47.6">
      <c r="A2611" s="19">
        <v>46501</v>
      </c>
      <c r="B2611" s="12" t="str">
        <f t="shared" si="40"/>
        <v>465</v>
      </c>
      <c r="C2611" s="1" t="s">
        <v>3595</v>
      </c>
      <c r="D2611" s="13" t="str">
        <f>IF(RIGHT(A2611,3)="000",C2611,VLOOKUP(B2611,'Справочник ИХ'!A:C,3,0))</f>
        <v>Остальные грузы</v>
      </c>
      <c r="E2611" s="13">
        <f>IF(RIGHT(A2611,3)="000","х",VLOOKUP(B2611,'Справочник ИХ'!A:D,4,0))</f>
        <v>3</v>
      </c>
      <c r="F2611" s="14" t="s">
        <v>3484</v>
      </c>
    </row>
    <row r="2612" spans="1:6" ht="47.6">
      <c r="A2612" s="19">
        <v>46502</v>
      </c>
      <c r="B2612" s="12" t="str">
        <f t="shared" si="40"/>
        <v>465</v>
      </c>
      <c r="C2612" s="1" t="s">
        <v>3596</v>
      </c>
      <c r="D2612" s="13" t="str">
        <f>IF(RIGHT(A2612,3)="000",C2612,VLOOKUP(B2612,'Справочник ИХ'!A:C,3,0))</f>
        <v>Остальные грузы</v>
      </c>
      <c r="E2612" s="13">
        <f>IF(RIGHT(A2612,3)="000","х",VLOOKUP(B2612,'Справочник ИХ'!A:D,4,0))</f>
        <v>3</v>
      </c>
      <c r="F2612" s="14" t="s">
        <v>3484</v>
      </c>
    </row>
    <row r="2613" spans="1:6" ht="47.6">
      <c r="A2613" s="19">
        <v>46503</v>
      </c>
      <c r="B2613" s="12" t="str">
        <f t="shared" si="40"/>
        <v>465</v>
      </c>
      <c r="C2613" s="1" t="s">
        <v>3597</v>
      </c>
      <c r="D2613" s="13" t="str">
        <f>IF(RIGHT(A2613,3)="000",C2613,VLOOKUP(B2613,'Справочник ИХ'!A:C,3,0))</f>
        <v>Остальные грузы</v>
      </c>
      <c r="E2613" s="13">
        <f>IF(RIGHT(A2613,3)="000","х",VLOOKUP(B2613,'Справочник ИХ'!A:D,4,0))</f>
        <v>3</v>
      </c>
      <c r="F2613" s="14" t="s">
        <v>3484</v>
      </c>
    </row>
    <row r="2614" spans="1:6" ht="47.6">
      <c r="A2614" s="19">
        <v>46504</v>
      </c>
      <c r="B2614" s="12" t="str">
        <f t="shared" si="40"/>
        <v>465</v>
      </c>
      <c r="C2614" s="1" t="s">
        <v>3598</v>
      </c>
      <c r="D2614" s="13" t="str">
        <f>IF(RIGHT(A2614,3)="000",C2614,VLOOKUP(B2614,'Справочник ИХ'!A:C,3,0))</f>
        <v>Остальные грузы</v>
      </c>
      <c r="E2614" s="13">
        <f>IF(RIGHT(A2614,3)="000","х",VLOOKUP(B2614,'Справочник ИХ'!A:D,4,0))</f>
        <v>3</v>
      </c>
      <c r="F2614" s="14" t="s">
        <v>3484</v>
      </c>
    </row>
    <row r="2615" spans="1:6" ht="47.6">
      <c r="A2615" s="19">
        <v>46505</v>
      </c>
      <c r="B2615" s="12" t="str">
        <f t="shared" si="40"/>
        <v>465</v>
      </c>
      <c r="C2615" s="1" t="s">
        <v>3599</v>
      </c>
      <c r="D2615" s="13" t="str">
        <f>IF(RIGHT(A2615,3)="000",C2615,VLOOKUP(B2615,'Справочник ИХ'!A:C,3,0))</f>
        <v>Остальные грузы</v>
      </c>
      <c r="E2615" s="13">
        <f>IF(RIGHT(A2615,3)="000","х",VLOOKUP(B2615,'Справочник ИХ'!A:D,4,0))</f>
        <v>3</v>
      </c>
      <c r="F2615" s="14" t="s">
        <v>3484</v>
      </c>
    </row>
    <row r="2616" spans="1:6" ht="47.6">
      <c r="A2616" s="19">
        <v>46506</v>
      </c>
      <c r="B2616" s="12" t="str">
        <f t="shared" si="40"/>
        <v>465</v>
      </c>
      <c r="C2616" s="1" t="s">
        <v>3600</v>
      </c>
      <c r="D2616" s="13" t="str">
        <f>IF(RIGHT(A2616,3)="000",C2616,VLOOKUP(B2616,'Справочник ИХ'!A:C,3,0))</f>
        <v>Остальные грузы</v>
      </c>
      <c r="E2616" s="13">
        <f>IF(RIGHT(A2616,3)="000","х",VLOOKUP(B2616,'Справочник ИХ'!A:D,4,0))</f>
        <v>3</v>
      </c>
      <c r="F2616" s="14" t="s">
        <v>3484</v>
      </c>
    </row>
    <row r="2617" spans="1:6" ht="47.6">
      <c r="A2617" s="19">
        <v>46507</v>
      </c>
      <c r="B2617" s="12" t="str">
        <f t="shared" si="40"/>
        <v>465</v>
      </c>
      <c r="C2617" s="1" t="s">
        <v>3601</v>
      </c>
      <c r="D2617" s="13" t="str">
        <f>IF(RIGHT(A2617,3)="000",C2617,VLOOKUP(B2617,'Справочник ИХ'!A:C,3,0))</f>
        <v>Остальные грузы</v>
      </c>
      <c r="E2617" s="13">
        <f>IF(RIGHT(A2617,3)="000","х",VLOOKUP(B2617,'Справочник ИХ'!A:D,4,0))</f>
        <v>3</v>
      </c>
      <c r="F2617" s="14" t="s">
        <v>3484</v>
      </c>
    </row>
    <row r="2618" spans="1:6" ht="47.6">
      <c r="A2618" s="19">
        <v>46508</v>
      </c>
      <c r="B2618" s="12" t="str">
        <f t="shared" si="40"/>
        <v>465</v>
      </c>
      <c r="C2618" s="1" t="s">
        <v>3602</v>
      </c>
      <c r="D2618" s="13" t="str">
        <f>IF(RIGHT(A2618,3)="000",C2618,VLOOKUP(B2618,'Справочник ИХ'!A:C,3,0))</f>
        <v>Остальные грузы</v>
      </c>
      <c r="E2618" s="13">
        <f>IF(RIGHT(A2618,3)="000","х",VLOOKUP(B2618,'Справочник ИХ'!A:D,4,0))</f>
        <v>3</v>
      </c>
      <c r="F2618" s="14" t="s">
        <v>3484</v>
      </c>
    </row>
    <row r="2619" spans="1:6" ht="47.6">
      <c r="A2619" s="19">
        <v>46509</v>
      </c>
      <c r="B2619" s="12" t="str">
        <f t="shared" si="40"/>
        <v>465</v>
      </c>
      <c r="C2619" s="1" t="s">
        <v>3603</v>
      </c>
      <c r="D2619" s="13" t="str">
        <f>IF(RIGHT(A2619,3)="000",C2619,VLOOKUP(B2619,'Справочник ИХ'!A:C,3,0))</f>
        <v>Остальные грузы</v>
      </c>
      <c r="E2619" s="13">
        <f>IF(RIGHT(A2619,3)="000","х",VLOOKUP(B2619,'Справочник ИХ'!A:D,4,0))</f>
        <v>3</v>
      </c>
      <c r="F2619" s="14" t="s">
        <v>3484</v>
      </c>
    </row>
    <row r="2620" spans="1:6" ht="47.6">
      <c r="A2620" s="19">
        <v>46510</v>
      </c>
      <c r="B2620" s="12" t="str">
        <f t="shared" si="40"/>
        <v>465</v>
      </c>
      <c r="C2620" s="1" t="s">
        <v>3604</v>
      </c>
      <c r="D2620" s="13" t="str">
        <f>IF(RIGHT(A2620,3)="000",C2620,VLOOKUP(B2620,'Справочник ИХ'!A:C,3,0))</f>
        <v>Остальные грузы</v>
      </c>
      <c r="E2620" s="13">
        <f>IF(RIGHT(A2620,3)="000","х",VLOOKUP(B2620,'Справочник ИХ'!A:D,4,0))</f>
        <v>3</v>
      </c>
      <c r="F2620" s="14" t="s">
        <v>3484</v>
      </c>
    </row>
    <row r="2621" spans="1:6" ht="47.6">
      <c r="A2621" s="19">
        <v>46511</v>
      </c>
      <c r="B2621" s="12" t="str">
        <f t="shared" si="40"/>
        <v>465</v>
      </c>
      <c r="C2621" s="1" t="s">
        <v>3605</v>
      </c>
      <c r="D2621" s="13" t="str">
        <f>IF(RIGHT(A2621,3)="000",C2621,VLOOKUP(B2621,'Справочник ИХ'!A:C,3,0))</f>
        <v>Остальные грузы</v>
      </c>
      <c r="E2621" s="13">
        <f>IF(RIGHT(A2621,3)="000","х",VLOOKUP(B2621,'Справочник ИХ'!A:D,4,0))</f>
        <v>3</v>
      </c>
      <c r="F2621" s="14" t="s">
        <v>3484</v>
      </c>
    </row>
    <row r="2622" spans="1:6" ht="47.6">
      <c r="A2622" s="19">
        <v>46512</v>
      </c>
      <c r="B2622" s="12" t="str">
        <f t="shared" si="40"/>
        <v>465</v>
      </c>
      <c r="C2622" s="1" t="s">
        <v>3606</v>
      </c>
      <c r="D2622" s="13" t="str">
        <f>IF(RIGHT(A2622,3)="000",C2622,VLOOKUP(B2622,'Справочник ИХ'!A:C,3,0))</f>
        <v>Остальные грузы</v>
      </c>
      <c r="E2622" s="13">
        <f>IF(RIGHT(A2622,3)="000","х",VLOOKUP(B2622,'Справочник ИХ'!A:D,4,0))</f>
        <v>3</v>
      </c>
      <c r="F2622" s="14" t="s">
        <v>3484</v>
      </c>
    </row>
    <row r="2623" spans="1:6" ht="47.6">
      <c r="A2623" s="19">
        <v>46513</v>
      </c>
      <c r="B2623" s="12" t="str">
        <f t="shared" si="40"/>
        <v>465</v>
      </c>
      <c r="C2623" s="1" t="s">
        <v>3607</v>
      </c>
      <c r="D2623" s="13" t="str">
        <f>IF(RIGHT(A2623,3)="000",C2623,VLOOKUP(B2623,'Справочник ИХ'!A:C,3,0))</f>
        <v>Остальные грузы</v>
      </c>
      <c r="E2623" s="13">
        <f>IF(RIGHT(A2623,3)="000","х",VLOOKUP(B2623,'Справочник ИХ'!A:D,4,0))</f>
        <v>3</v>
      </c>
      <c r="F2623" s="14" t="s">
        <v>3484</v>
      </c>
    </row>
    <row r="2624" spans="1:6" s="15" customFormat="1" ht="47.6">
      <c r="A2624" s="7">
        <v>46600</v>
      </c>
      <c r="B2624" s="12" t="str">
        <f t="shared" si="40"/>
        <v>466</v>
      </c>
      <c r="C2624" s="11" t="s">
        <v>3608</v>
      </c>
      <c r="D2624" s="13" t="str">
        <f>IF(RIGHT(A2624,3)="000",C2624,VLOOKUP(B2624,'Справочник ИХ'!A:C,3,0))</f>
        <v>Остальные грузы</v>
      </c>
      <c r="E2624" s="13">
        <f>IF(RIGHT(A2624,3)="000","х",VLOOKUP(B2624,'Справочник ИХ'!A:D,4,0))</f>
        <v>3</v>
      </c>
      <c r="F2624" s="14" t="s">
        <v>3484</v>
      </c>
    </row>
    <row r="2625" spans="1:6" ht="47.6">
      <c r="A2625" s="19">
        <v>46601</v>
      </c>
      <c r="B2625" s="12" t="str">
        <f t="shared" si="40"/>
        <v>466</v>
      </c>
      <c r="C2625" s="1" t="s">
        <v>3609</v>
      </c>
      <c r="D2625" s="13" t="str">
        <f>IF(RIGHT(A2625,3)="000",C2625,VLOOKUP(B2625,'Справочник ИХ'!A:C,3,0))</f>
        <v>Остальные грузы</v>
      </c>
      <c r="E2625" s="13">
        <f>IF(RIGHT(A2625,3)="000","х",VLOOKUP(B2625,'Справочник ИХ'!A:D,4,0))</f>
        <v>3</v>
      </c>
      <c r="F2625" s="14" t="s">
        <v>3484</v>
      </c>
    </row>
    <row r="2626" spans="1:6" ht="47.6">
      <c r="A2626" s="19">
        <v>46602</v>
      </c>
      <c r="B2626" s="12" t="str">
        <f t="shared" si="40"/>
        <v>466</v>
      </c>
      <c r="C2626" s="1" t="s">
        <v>3610</v>
      </c>
      <c r="D2626" s="13" t="str">
        <f>IF(RIGHT(A2626,3)="000",C2626,VLOOKUP(B2626,'Справочник ИХ'!A:C,3,0))</f>
        <v>Остальные грузы</v>
      </c>
      <c r="E2626" s="13">
        <f>IF(RIGHT(A2626,3)="000","х",VLOOKUP(B2626,'Справочник ИХ'!A:D,4,0))</f>
        <v>3</v>
      </c>
      <c r="F2626" s="14" t="s">
        <v>3484</v>
      </c>
    </row>
    <row r="2627" spans="1:6" ht="47.6">
      <c r="A2627" s="19">
        <v>46603</v>
      </c>
      <c r="B2627" s="12" t="str">
        <f t="shared" si="40"/>
        <v>466</v>
      </c>
      <c r="C2627" s="1" t="s">
        <v>3611</v>
      </c>
      <c r="D2627" s="13" t="str">
        <f>IF(RIGHT(A2627,3)="000",C2627,VLOOKUP(B2627,'Справочник ИХ'!A:C,3,0))</f>
        <v>Остальные грузы</v>
      </c>
      <c r="E2627" s="13">
        <f>IF(RIGHT(A2627,3)="000","х",VLOOKUP(B2627,'Справочник ИХ'!A:D,4,0))</f>
        <v>3</v>
      </c>
      <c r="F2627" s="14" t="s">
        <v>3484</v>
      </c>
    </row>
    <row r="2628" spans="1:6" ht="47.6">
      <c r="A2628" s="19">
        <v>46604</v>
      </c>
      <c r="B2628" s="12" t="str">
        <f t="shared" ref="B2628:B2691" si="41">LEFT(A2628,3)</f>
        <v>466</v>
      </c>
      <c r="C2628" s="1" t="s">
        <v>3612</v>
      </c>
      <c r="D2628" s="13" t="str">
        <f>IF(RIGHT(A2628,3)="000",C2628,VLOOKUP(B2628,'Справочник ИХ'!A:C,3,0))</f>
        <v>Остальные грузы</v>
      </c>
      <c r="E2628" s="13">
        <f>IF(RIGHT(A2628,3)="000","х",VLOOKUP(B2628,'Справочник ИХ'!A:D,4,0))</f>
        <v>3</v>
      </c>
      <c r="F2628" s="14" t="s">
        <v>3484</v>
      </c>
    </row>
    <row r="2629" spans="1:6" ht="47.6">
      <c r="A2629" s="19">
        <v>46605</v>
      </c>
      <c r="B2629" s="12" t="str">
        <f t="shared" si="41"/>
        <v>466</v>
      </c>
      <c r="C2629" s="1" t="s">
        <v>3613</v>
      </c>
      <c r="D2629" s="13" t="str">
        <f>IF(RIGHT(A2629,3)="000",C2629,VLOOKUP(B2629,'Справочник ИХ'!A:C,3,0))</f>
        <v>Остальные грузы</v>
      </c>
      <c r="E2629" s="13">
        <f>IF(RIGHT(A2629,3)="000","х",VLOOKUP(B2629,'Справочник ИХ'!A:D,4,0))</f>
        <v>3</v>
      </c>
      <c r="F2629" s="14" t="s">
        <v>3484</v>
      </c>
    </row>
    <row r="2630" spans="1:6" ht="47.6">
      <c r="A2630" s="19">
        <v>46606</v>
      </c>
      <c r="B2630" s="12" t="str">
        <f t="shared" si="41"/>
        <v>466</v>
      </c>
      <c r="C2630" s="1" t="s">
        <v>3614</v>
      </c>
      <c r="D2630" s="13" t="str">
        <f>IF(RIGHT(A2630,3)="000",C2630,VLOOKUP(B2630,'Справочник ИХ'!A:C,3,0))</f>
        <v>Остальные грузы</v>
      </c>
      <c r="E2630" s="13">
        <f>IF(RIGHT(A2630,3)="000","х",VLOOKUP(B2630,'Справочник ИХ'!A:D,4,0))</f>
        <v>3</v>
      </c>
      <c r="F2630" s="14" t="s">
        <v>3484</v>
      </c>
    </row>
    <row r="2631" spans="1:6" ht="47.6">
      <c r="A2631" s="19">
        <v>46607</v>
      </c>
      <c r="B2631" s="12" t="str">
        <f t="shared" si="41"/>
        <v>466</v>
      </c>
      <c r="C2631" s="1" t="s">
        <v>3615</v>
      </c>
      <c r="D2631" s="13" t="str">
        <f>IF(RIGHT(A2631,3)="000",C2631,VLOOKUP(B2631,'Справочник ИХ'!A:C,3,0))</f>
        <v>Остальные грузы</v>
      </c>
      <c r="E2631" s="13">
        <f>IF(RIGHT(A2631,3)="000","х",VLOOKUP(B2631,'Справочник ИХ'!A:D,4,0))</f>
        <v>3</v>
      </c>
      <c r="F2631" s="14" t="s">
        <v>3484</v>
      </c>
    </row>
    <row r="2632" spans="1:6" ht="47.6">
      <c r="A2632" s="19">
        <v>46608</v>
      </c>
      <c r="B2632" s="12" t="str">
        <f t="shared" si="41"/>
        <v>466</v>
      </c>
      <c r="C2632" s="1" t="s">
        <v>3616</v>
      </c>
      <c r="D2632" s="13" t="str">
        <f>IF(RIGHT(A2632,3)="000",C2632,VLOOKUP(B2632,'Справочник ИХ'!A:C,3,0))</f>
        <v>Остальные грузы</v>
      </c>
      <c r="E2632" s="13">
        <f>IF(RIGHT(A2632,3)="000","х",VLOOKUP(B2632,'Справочник ИХ'!A:D,4,0))</f>
        <v>3</v>
      </c>
      <c r="F2632" s="14" t="s">
        <v>3484</v>
      </c>
    </row>
    <row r="2633" spans="1:6" ht="47.6">
      <c r="A2633" s="19">
        <v>46609</v>
      </c>
      <c r="B2633" s="12" t="str">
        <f t="shared" si="41"/>
        <v>466</v>
      </c>
      <c r="C2633" s="1" t="s">
        <v>3617</v>
      </c>
      <c r="D2633" s="13" t="str">
        <f>IF(RIGHT(A2633,3)="000",C2633,VLOOKUP(B2633,'Справочник ИХ'!A:C,3,0))</f>
        <v>Остальные грузы</v>
      </c>
      <c r="E2633" s="13">
        <f>IF(RIGHT(A2633,3)="000","х",VLOOKUP(B2633,'Справочник ИХ'!A:D,4,0))</f>
        <v>3</v>
      </c>
      <c r="F2633" s="14" t="s">
        <v>3484</v>
      </c>
    </row>
    <row r="2634" spans="1:6" ht="47.6">
      <c r="A2634" s="19">
        <v>46610</v>
      </c>
      <c r="B2634" s="12" t="str">
        <f t="shared" si="41"/>
        <v>466</v>
      </c>
      <c r="C2634" s="1" t="s">
        <v>3618</v>
      </c>
      <c r="D2634" s="13" t="str">
        <f>IF(RIGHT(A2634,3)="000",C2634,VLOOKUP(B2634,'Справочник ИХ'!A:C,3,0))</f>
        <v>Остальные грузы</v>
      </c>
      <c r="E2634" s="13">
        <f>IF(RIGHT(A2634,3)="000","х",VLOOKUP(B2634,'Справочник ИХ'!A:D,4,0))</f>
        <v>3</v>
      </c>
      <c r="F2634" s="14" t="s">
        <v>3484</v>
      </c>
    </row>
    <row r="2635" spans="1:6" ht="47.6">
      <c r="A2635" s="19">
        <v>46611</v>
      </c>
      <c r="B2635" s="12" t="str">
        <f t="shared" si="41"/>
        <v>466</v>
      </c>
      <c r="C2635" s="1" t="s">
        <v>3619</v>
      </c>
      <c r="D2635" s="13" t="str">
        <f>IF(RIGHT(A2635,3)="000",C2635,VLOOKUP(B2635,'Справочник ИХ'!A:C,3,0))</f>
        <v>Остальные грузы</v>
      </c>
      <c r="E2635" s="13">
        <f>IF(RIGHT(A2635,3)="000","х",VLOOKUP(B2635,'Справочник ИХ'!A:D,4,0))</f>
        <v>3</v>
      </c>
      <c r="F2635" s="14" t="s">
        <v>3484</v>
      </c>
    </row>
    <row r="2636" spans="1:6" ht="47.6">
      <c r="A2636" s="19">
        <v>46612</v>
      </c>
      <c r="B2636" s="12" t="str">
        <f t="shared" si="41"/>
        <v>466</v>
      </c>
      <c r="C2636" s="1" t="s">
        <v>3620</v>
      </c>
      <c r="D2636" s="13" t="str">
        <f>IF(RIGHT(A2636,3)="000",C2636,VLOOKUP(B2636,'Справочник ИХ'!A:C,3,0))</f>
        <v>Остальные грузы</v>
      </c>
      <c r="E2636" s="13">
        <f>IF(RIGHT(A2636,3)="000","х",VLOOKUP(B2636,'Справочник ИХ'!A:D,4,0))</f>
        <v>3</v>
      </c>
      <c r="F2636" s="14" t="s">
        <v>3484</v>
      </c>
    </row>
    <row r="2637" spans="1:6" ht="47.6">
      <c r="A2637" s="19">
        <v>46613</v>
      </c>
      <c r="B2637" s="12" t="str">
        <f t="shared" si="41"/>
        <v>466</v>
      </c>
      <c r="C2637" s="1" t="s">
        <v>3621</v>
      </c>
      <c r="D2637" s="13" t="str">
        <f>IF(RIGHT(A2637,3)="000",C2637,VLOOKUP(B2637,'Справочник ИХ'!A:C,3,0))</f>
        <v>Остальные грузы</v>
      </c>
      <c r="E2637" s="13">
        <f>IF(RIGHT(A2637,3)="000","х",VLOOKUP(B2637,'Справочник ИХ'!A:D,4,0))</f>
        <v>3</v>
      </c>
      <c r="F2637" s="14" t="s">
        <v>3484</v>
      </c>
    </row>
    <row r="2638" spans="1:6" ht="47.6">
      <c r="A2638" s="19">
        <v>46614</v>
      </c>
      <c r="B2638" s="12" t="str">
        <f t="shared" si="41"/>
        <v>466</v>
      </c>
      <c r="C2638" s="1" t="s">
        <v>3622</v>
      </c>
      <c r="D2638" s="13" t="str">
        <f>IF(RIGHT(A2638,3)="000",C2638,VLOOKUP(B2638,'Справочник ИХ'!A:C,3,0))</f>
        <v>Остальные грузы</v>
      </c>
      <c r="E2638" s="13">
        <f>IF(RIGHT(A2638,3)="000","х",VLOOKUP(B2638,'Справочник ИХ'!A:D,4,0))</f>
        <v>3</v>
      </c>
      <c r="F2638" s="14" t="s">
        <v>3484</v>
      </c>
    </row>
    <row r="2639" spans="1:6" ht="47.6">
      <c r="A2639" s="19">
        <v>46615</v>
      </c>
      <c r="B2639" s="12" t="str">
        <f t="shared" si="41"/>
        <v>466</v>
      </c>
      <c r="C2639" s="1" t="s">
        <v>3623</v>
      </c>
      <c r="D2639" s="13" t="str">
        <f>IF(RIGHT(A2639,3)="000",C2639,VLOOKUP(B2639,'Справочник ИХ'!A:C,3,0))</f>
        <v>Остальные грузы</v>
      </c>
      <c r="E2639" s="13">
        <f>IF(RIGHT(A2639,3)="000","х",VLOOKUP(B2639,'Справочник ИХ'!A:D,4,0))</f>
        <v>3</v>
      </c>
      <c r="F2639" s="14" t="s">
        <v>3484</v>
      </c>
    </row>
    <row r="2640" spans="1:6" ht="47.6">
      <c r="A2640" s="19">
        <v>46616</v>
      </c>
      <c r="B2640" s="12" t="str">
        <f t="shared" si="41"/>
        <v>466</v>
      </c>
      <c r="C2640" s="1" t="s">
        <v>3624</v>
      </c>
      <c r="D2640" s="13" t="str">
        <f>IF(RIGHT(A2640,3)="000",C2640,VLOOKUP(B2640,'Справочник ИХ'!A:C,3,0))</f>
        <v>Остальные грузы</v>
      </c>
      <c r="E2640" s="13">
        <f>IF(RIGHT(A2640,3)="000","х",VLOOKUP(B2640,'Справочник ИХ'!A:D,4,0))</f>
        <v>3</v>
      </c>
      <c r="F2640" s="14" t="s">
        <v>3484</v>
      </c>
    </row>
    <row r="2641" spans="1:6" ht="47.6">
      <c r="A2641" s="19">
        <v>46617</v>
      </c>
      <c r="B2641" s="12" t="str">
        <f t="shared" si="41"/>
        <v>466</v>
      </c>
      <c r="C2641" s="1" t="s">
        <v>3625</v>
      </c>
      <c r="D2641" s="13" t="str">
        <f>IF(RIGHT(A2641,3)="000",C2641,VLOOKUP(B2641,'Справочник ИХ'!A:C,3,0))</f>
        <v>Остальные грузы</v>
      </c>
      <c r="E2641" s="13">
        <f>IF(RIGHT(A2641,3)="000","х",VLOOKUP(B2641,'Справочник ИХ'!A:D,4,0))</f>
        <v>3</v>
      </c>
      <c r="F2641" s="14" t="s">
        <v>3484</v>
      </c>
    </row>
    <row r="2642" spans="1:6" ht="47.6">
      <c r="A2642" s="19">
        <v>46618</v>
      </c>
      <c r="B2642" s="12" t="str">
        <f t="shared" si="41"/>
        <v>466</v>
      </c>
      <c r="C2642" s="1" t="s">
        <v>3626</v>
      </c>
      <c r="D2642" s="13" t="str">
        <f>IF(RIGHT(A2642,3)="000",C2642,VLOOKUP(B2642,'Справочник ИХ'!A:C,3,0))</f>
        <v>Остальные грузы</v>
      </c>
      <c r="E2642" s="13">
        <f>IF(RIGHT(A2642,3)="000","х",VLOOKUP(B2642,'Справочник ИХ'!A:D,4,0))</f>
        <v>3</v>
      </c>
      <c r="F2642" s="14" t="s">
        <v>3484</v>
      </c>
    </row>
    <row r="2643" spans="1:6" ht="47.6">
      <c r="A2643" s="19">
        <v>46619</v>
      </c>
      <c r="B2643" s="12" t="str">
        <f t="shared" si="41"/>
        <v>466</v>
      </c>
      <c r="C2643" s="1" t="s">
        <v>3627</v>
      </c>
      <c r="D2643" s="13" t="str">
        <f>IF(RIGHT(A2643,3)="000",C2643,VLOOKUP(B2643,'Справочник ИХ'!A:C,3,0))</f>
        <v>Остальные грузы</v>
      </c>
      <c r="E2643" s="13">
        <f>IF(RIGHT(A2643,3)="000","х",VLOOKUP(B2643,'Справочник ИХ'!A:D,4,0))</f>
        <v>3</v>
      </c>
      <c r="F2643" s="14" t="s">
        <v>3484</v>
      </c>
    </row>
    <row r="2644" spans="1:6" ht="47.6">
      <c r="A2644" s="19">
        <v>46620</v>
      </c>
      <c r="B2644" s="12" t="str">
        <f t="shared" si="41"/>
        <v>466</v>
      </c>
      <c r="C2644" s="1" t="s">
        <v>3628</v>
      </c>
      <c r="D2644" s="13" t="str">
        <f>IF(RIGHT(A2644,3)="000",C2644,VLOOKUP(B2644,'Справочник ИХ'!A:C,3,0))</f>
        <v>Остальные грузы</v>
      </c>
      <c r="E2644" s="13">
        <f>IF(RIGHT(A2644,3)="000","х",VLOOKUP(B2644,'Справочник ИХ'!A:D,4,0))</f>
        <v>3</v>
      </c>
      <c r="F2644" s="14" t="s">
        <v>3484</v>
      </c>
    </row>
    <row r="2645" spans="1:6" ht="47.6">
      <c r="A2645" s="19">
        <v>46621</v>
      </c>
      <c r="B2645" s="12" t="str">
        <f t="shared" si="41"/>
        <v>466</v>
      </c>
      <c r="C2645" s="1" t="s">
        <v>3629</v>
      </c>
      <c r="D2645" s="13" t="str">
        <f>IF(RIGHT(A2645,3)="000",C2645,VLOOKUP(B2645,'Справочник ИХ'!A:C,3,0))</f>
        <v>Остальные грузы</v>
      </c>
      <c r="E2645" s="13">
        <f>IF(RIGHT(A2645,3)="000","х",VLOOKUP(B2645,'Справочник ИХ'!A:D,4,0))</f>
        <v>3</v>
      </c>
      <c r="F2645" s="14" t="s">
        <v>3484</v>
      </c>
    </row>
    <row r="2646" spans="1:6" ht="47.6">
      <c r="A2646" s="19">
        <v>46622</v>
      </c>
      <c r="B2646" s="12" t="str">
        <f t="shared" si="41"/>
        <v>466</v>
      </c>
      <c r="C2646" s="1" t="s">
        <v>3630</v>
      </c>
      <c r="D2646" s="13" t="str">
        <f>IF(RIGHT(A2646,3)="000",C2646,VLOOKUP(B2646,'Справочник ИХ'!A:C,3,0))</f>
        <v>Остальные грузы</v>
      </c>
      <c r="E2646" s="13">
        <f>IF(RIGHT(A2646,3)="000","х",VLOOKUP(B2646,'Справочник ИХ'!A:D,4,0))</f>
        <v>3</v>
      </c>
      <c r="F2646" s="14" t="s">
        <v>3484</v>
      </c>
    </row>
    <row r="2647" spans="1:6" ht="47.6">
      <c r="A2647" s="19">
        <v>46623</v>
      </c>
      <c r="B2647" s="12" t="str">
        <f t="shared" si="41"/>
        <v>466</v>
      </c>
      <c r="C2647" s="1" t="s">
        <v>3631</v>
      </c>
      <c r="D2647" s="13" t="str">
        <f>IF(RIGHT(A2647,3)="000",C2647,VLOOKUP(B2647,'Справочник ИХ'!A:C,3,0))</f>
        <v>Остальные грузы</v>
      </c>
      <c r="E2647" s="13">
        <f>IF(RIGHT(A2647,3)="000","х",VLOOKUP(B2647,'Справочник ИХ'!A:D,4,0))</f>
        <v>3</v>
      </c>
      <c r="F2647" s="14" t="s">
        <v>3484</v>
      </c>
    </row>
    <row r="2648" spans="1:6" ht="47.6">
      <c r="A2648" s="19">
        <v>46624</v>
      </c>
      <c r="B2648" s="12" t="str">
        <f t="shared" si="41"/>
        <v>466</v>
      </c>
      <c r="C2648" s="1" t="s">
        <v>3632</v>
      </c>
      <c r="D2648" s="13" t="str">
        <f>IF(RIGHT(A2648,3)="000",C2648,VLOOKUP(B2648,'Справочник ИХ'!A:C,3,0))</f>
        <v>Остальные грузы</v>
      </c>
      <c r="E2648" s="13">
        <f>IF(RIGHT(A2648,3)="000","х",VLOOKUP(B2648,'Справочник ИХ'!A:D,4,0))</f>
        <v>3</v>
      </c>
      <c r="F2648" s="14" t="s">
        <v>3484</v>
      </c>
    </row>
    <row r="2649" spans="1:6" ht="47.6">
      <c r="A2649" s="19">
        <v>46625</v>
      </c>
      <c r="B2649" s="12" t="str">
        <f t="shared" si="41"/>
        <v>466</v>
      </c>
      <c r="C2649" s="1" t="s">
        <v>3633</v>
      </c>
      <c r="D2649" s="13" t="str">
        <f>IF(RIGHT(A2649,3)="000",C2649,VLOOKUP(B2649,'Справочник ИХ'!A:C,3,0))</f>
        <v>Остальные грузы</v>
      </c>
      <c r="E2649" s="13">
        <f>IF(RIGHT(A2649,3)="000","х",VLOOKUP(B2649,'Справочник ИХ'!A:D,4,0))</f>
        <v>3</v>
      </c>
      <c r="F2649" s="14" t="s">
        <v>3484</v>
      </c>
    </row>
    <row r="2650" spans="1:6" ht="47.6">
      <c r="A2650" s="19">
        <v>46626</v>
      </c>
      <c r="B2650" s="12" t="str">
        <f t="shared" si="41"/>
        <v>466</v>
      </c>
      <c r="C2650" s="1" t="s">
        <v>3634</v>
      </c>
      <c r="D2650" s="13" t="str">
        <f>IF(RIGHT(A2650,3)="000",C2650,VLOOKUP(B2650,'Справочник ИХ'!A:C,3,0))</f>
        <v>Остальные грузы</v>
      </c>
      <c r="E2650" s="13">
        <f>IF(RIGHT(A2650,3)="000","х",VLOOKUP(B2650,'Справочник ИХ'!A:D,4,0))</f>
        <v>3</v>
      </c>
      <c r="F2650" s="14" t="s">
        <v>3484</v>
      </c>
    </row>
    <row r="2651" spans="1:6" ht="47.6">
      <c r="A2651" s="19">
        <v>46627</v>
      </c>
      <c r="B2651" s="12" t="str">
        <f t="shared" si="41"/>
        <v>466</v>
      </c>
      <c r="C2651" s="1" t="s">
        <v>3635</v>
      </c>
      <c r="D2651" s="13" t="str">
        <f>IF(RIGHT(A2651,3)="000",C2651,VLOOKUP(B2651,'Справочник ИХ'!A:C,3,0))</f>
        <v>Остальные грузы</v>
      </c>
      <c r="E2651" s="13">
        <f>IF(RIGHT(A2651,3)="000","х",VLOOKUP(B2651,'Справочник ИХ'!A:D,4,0))</f>
        <v>3</v>
      </c>
      <c r="F2651" s="14" t="s">
        <v>3484</v>
      </c>
    </row>
    <row r="2652" spans="1:6" ht="47.6">
      <c r="A2652" s="19">
        <v>46628</v>
      </c>
      <c r="B2652" s="12" t="str">
        <f t="shared" si="41"/>
        <v>466</v>
      </c>
      <c r="C2652" s="1" t="s">
        <v>3636</v>
      </c>
      <c r="D2652" s="13" t="str">
        <f>IF(RIGHT(A2652,3)="000",C2652,VLOOKUP(B2652,'Справочник ИХ'!A:C,3,0))</f>
        <v>Остальные грузы</v>
      </c>
      <c r="E2652" s="13">
        <f>IF(RIGHT(A2652,3)="000","х",VLOOKUP(B2652,'Справочник ИХ'!A:D,4,0))</f>
        <v>3</v>
      </c>
      <c r="F2652" s="14" t="s">
        <v>3484</v>
      </c>
    </row>
    <row r="2653" spans="1:6" ht="47.6">
      <c r="A2653" s="19">
        <v>46629</v>
      </c>
      <c r="B2653" s="12" t="str">
        <f t="shared" si="41"/>
        <v>466</v>
      </c>
      <c r="C2653" s="1" t="s">
        <v>3637</v>
      </c>
      <c r="D2653" s="13" t="str">
        <f>IF(RIGHT(A2653,3)="000",C2653,VLOOKUP(B2653,'Справочник ИХ'!A:C,3,0))</f>
        <v>Остальные грузы</v>
      </c>
      <c r="E2653" s="13">
        <f>IF(RIGHT(A2653,3)="000","х",VLOOKUP(B2653,'Справочник ИХ'!A:D,4,0))</f>
        <v>3</v>
      </c>
      <c r="F2653" s="14" t="s">
        <v>3484</v>
      </c>
    </row>
    <row r="2654" spans="1:6" ht="47.6">
      <c r="A2654" s="19">
        <v>46630</v>
      </c>
      <c r="B2654" s="12" t="str">
        <f t="shared" si="41"/>
        <v>466</v>
      </c>
      <c r="C2654" s="1" t="s">
        <v>3638</v>
      </c>
      <c r="D2654" s="13" t="str">
        <f>IF(RIGHT(A2654,3)="000",C2654,VLOOKUP(B2654,'Справочник ИХ'!A:C,3,0))</f>
        <v>Остальные грузы</v>
      </c>
      <c r="E2654" s="13">
        <f>IF(RIGHT(A2654,3)="000","х",VLOOKUP(B2654,'Справочник ИХ'!A:D,4,0))</f>
        <v>3</v>
      </c>
      <c r="F2654" s="14" t="s">
        <v>3484</v>
      </c>
    </row>
    <row r="2655" spans="1:6" ht="47.6">
      <c r="A2655" s="19">
        <v>46631</v>
      </c>
      <c r="B2655" s="12" t="str">
        <f t="shared" si="41"/>
        <v>466</v>
      </c>
      <c r="C2655" s="1" t="s">
        <v>3639</v>
      </c>
      <c r="D2655" s="13" t="str">
        <f>IF(RIGHT(A2655,3)="000",C2655,VLOOKUP(B2655,'Справочник ИХ'!A:C,3,0))</f>
        <v>Остальные грузы</v>
      </c>
      <c r="E2655" s="13">
        <f>IF(RIGHT(A2655,3)="000","х",VLOOKUP(B2655,'Справочник ИХ'!A:D,4,0))</f>
        <v>3</v>
      </c>
      <c r="F2655" s="14" t="s">
        <v>3484</v>
      </c>
    </row>
    <row r="2656" spans="1:6" ht="47.6">
      <c r="A2656" s="19">
        <v>46632</v>
      </c>
      <c r="B2656" s="12" t="str">
        <f t="shared" si="41"/>
        <v>466</v>
      </c>
      <c r="C2656" s="1" t="s">
        <v>3640</v>
      </c>
      <c r="D2656" s="13" t="str">
        <f>IF(RIGHT(A2656,3)="000",C2656,VLOOKUP(B2656,'Справочник ИХ'!A:C,3,0))</f>
        <v>Остальные грузы</v>
      </c>
      <c r="E2656" s="13">
        <f>IF(RIGHT(A2656,3)="000","х",VLOOKUP(B2656,'Справочник ИХ'!A:D,4,0))</f>
        <v>3</v>
      </c>
      <c r="F2656" s="14" t="s">
        <v>3484</v>
      </c>
    </row>
    <row r="2657" spans="1:6" ht="47.6">
      <c r="A2657" s="19">
        <v>46633</v>
      </c>
      <c r="B2657" s="12" t="str">
        <f t="shared" si="41"/>
        <v>466</v>
      </c>
      <c r="C2657" s="1" t="s">
        <v>3641</v>
      </c>
      <c r="D2657" s="13" t="str">
        <f>IF(RIGHT(A2657,3)="000",C2657,VLOOKUP(B2657,'Справочник ИХ'!A:C,3,0))</f>
        <v>Остальные грузы</v>
      </c>
      <c r="E2657" s="13">
        <f>IF(RIGHT(A2657,3)="000","х",VLOOKUP(B2657,'Справочник ИХ'!A:D,4,0))</f>
        <v>3</v>
      </c>
      <c r="F2657" s="14" t="s">
        <v>3484</v>
      </c>
    </row>
    <row r="2658" spans="1:6" ht="47.6">
      <c r="A2658" s="19">
        <v>46634</v>
      </c>
      <c r="B2658" s="12" t="str">
        <f t="shared" si="41"/>
        <v>466</v>
      </c>
      <c r="C2658" s="1" t="s">
        <v>3642</v>
      </c>
      <c r="D2658" s="13" t="str">
        <f>IF(RIGHT(A2658,3)="000",C2658,VLOOKUP(B2658,'Справочник ИХ'!A:C,3,0))</f>
        <v>Остальные грузы</v>
      </c>
      <c r="E2658" s="13">
        <f>IF(RIGHT(A2658,3)="000","х",VLOOKUP(B2658,'Справочник ИХ'!A:D,4,0))</f>
        <v>3</v>
      </c>
      <c r="F2658" s="14" t="s">
        <v>3484</v>
      </c>
    </row>
    <row r="2659" spans="1:6" ht="47.6">
      <c r="A2659" s="19">
        <v>46635</v>
      </c>
      <c r="B2659" s="12" t="str">
        <f t="shared" si="41"/>
        <v>466</v>
      </c>
      <c r="C2659" s="1" t="s">
        <v>3643</v>
      </c>
      <c r="D2659" s="13" t="str">
        <f>IF(RIGHT(A2659,3)="000",C2659,VLOOKUP(B2659,'Справочник ИХ'!A:C,3,0))</f>
        <v>Остальные грузы</v>
      </c>
      <c r="E2659" s="13">
        <f>IF(RIGHT(A2659,3)="000","х",VLOOKUP(B2659,'Справочник ИХ'!A:D,4,0))</f>
        <v>3</v>
      </c>
      <c r="F2659" s="14" t="s">
        <v>3484</v>
      </c>
    </row>
    <row r="2660" spans="1:6" ht="47.6">
      <c r="A2660" s="19">
        <v>46636</v>
      </c>
      <c r="B2660" s="12" t="str">
        <f t="shared" si="41"/>
        <v>466</v>
      </c>
      <c r="C2660" s="1" t="s">
        <v>3644</v>
      </c>
      <c r="D2660" s="13" t="str">
        <f>IF(RIGHT(A2660,3)="000",C2660,VLOOKUP(B2660,'Справочник ИХ'!A:C,3,0))</f>
        <v>Остальные грузы</v>
      </c>
      <c r="E2660" s="13">
        <f>IF(RIGHT(A2660,3)="000","х",VLOOKUP(B2660,'Справочник ИХ'!A:D,4,0))</f>
        <v>3</v>
      </c>
      <c r="F2660" s="14" t="s">
        <v>3484</v>
      </c>
    </row>
    <row r="2661" spans="1:6" ht="47.6">
      <c r="A2661" s="19">
        <v>46637</v>
      </c>
      <c r="B2661" s="12" t="str">
        <f t="shared" si="41"/>
        <v>466</v>
      </c>
      <c r="C2661" s="1" t="s">
        <v>3645</v>
      </c>
      <c r="D2661" s="13" t="str">
        <f>IF(RIGHT(A2661,3)="000",C2661,VLOOKUP(B2661,'Справочник ИХ'!A:C,3,0))</f>
        <v>Остальные грузы</v>
      </c>
      <c r="E2661" s="13">
        <f>IF(RIGHT(A2661,3)="000","х",VLOOKUP(B2661,'Справочник ИХ'!A:D,4,0))</f>
        <v>3</v>
      </c>
      <c r="F2661" s="14" t="s">
        <v>3484</v>
      </c>
    </row>
    <row r="2662" spans="1:6" ht="47.6">
      <c r="A2662" s="19">
        <v>46638</v>
      </c>
      <c r="B2662" s="12" t="str">
        <f t="shared" si="41"/>
        <v>466</v>
      </c>
      <c r="C2662" s="1" t="s">
        <v>3646</v>
      </c>
      <c r="D2662" s="13" t="str">
        <f>IF(RIGHT(A2662,3)="000",C2662,VLOOKUP(B2662,'Справочник ИХ'!A:C,3,0))</f>
        <v>Остальные грузы</v>
      </c>
      <c r="E2662" s="13">
        <f>IF(RIGHT(A2662,3)="000","х",VLOOKUP(B2662,'Справочник ИХ'!A:D,4,0))</f>
        <v>3</v>
      </c>
      <c r="F2662" s="14" t="s">
        <v>3484</v>
      </c>
    </row>
    <row r="2663" spans="1:6" ht="47.6">
      <c r="A2663" s="19">
        <v>46639</v>
      </c>
      <c r="B2663" s="12" t="str">
        <f t="shared" si="41"/>
        <v>466</v>
      </c>
      <c r="C2663" s="1" t="s">
        <v>3647</v>
      </c>
      <c r="D2663" s="13" t="str">
        <f>IF(RIGHT(A2663,3)="000",C2663,VLOOKUP(B2663,'Справочник ИХ'!A:C,3,0))</f>
        <v>Остальные грузы</v>
      </c>
      <c r="E2663" s="13">
        <f>IF(RIGHT(A2663,3)="000","х",VLOOKUP(B2663,'Справочник ИХ'!A:D,4,0))</f>
        <v>3</v>
      </c>
      <c r="F2663" s="14" t="s">
        <v>3484</v>
      </c>
    </row>
    <row r="2664" spans="1:6" ht="47.6">
      <c r="A2664" s="19">
        <v>46640</v>
      </c>
      <c r="B2664" s="12" t="str">
        <f t="shared" si="41"/>
        <v>466</v>
      </c>
      <c r="C2664" s="1" t="s">
        <v>3648</v>
      </c>
      <c r="D2664" s="13" t="str">
        <f>IF(RIGHT(A2664,3)="000",C2664,VLOOKUP(B2664,'Справочник ИХ'!A:C,3,0))</f>
        <v>Остальные грузы</v>
      </c>
      <c r="E2664" s="13">
        <f>IF(RIGHT(A2664,3)="000","х",VLOOKUP(B2664,'Справочник ИХ'!A:D,4,0))</f>
        <v>3</v>
      </c>
      <c r="F2664" s="14" t="s">
        <v>3484</v>
      </c>
    </row>
    <row r="2665" spans="1:6" ht="47.6">
      <c r="A2665" s="19">
        <v>46641</v>
      </c>
      <c r="B2665" s="12" t="str">
        <f t="shared" si="41"/>
        <v>466</v>
      </c>
      <c r="C2665" s="1" t="s">
        <v>3649</v>
      </c>
      <c r="D2665" s="13" t="str">
        <f>IF(RIGHT(A2665,3)="000",C2665,VLOOKUP(B2665,'Справочник ИХ'!A:C,3,0))</f>
        <v>Остальные грузы</v>
      </c>
      <c r="E2665" s="13">
        <f>IF(RIGHT(A2665,3)="000","х",VLOOKUP(B2665,'Справочник ИХ'!A:D,4,0))</f>
        <v>3</v>
      </c>
      <c r="F2665" s="14" t="s">
        <v>3484</v>
      </c>
    </row>
    <row r="2666" spans="1:6" ht="47.6">
      <c r="A2666" s="19">
        <v>46642</v>
      </c>
      <c r="B2666" s="12" t="str">
        <f t="shared" si="41"/>
        <v>466</v>
      </c>
      <c r="C2666" s="1" t="s">
        <v>3650</v>
      </c>
      <c r="D2666" s="13" t="str">
        <f>IF(RIGHT(A2666,3)="000",C2666,VLOOKUP(B2666,'Справочник ИХ'!A:C,3,0))</f>
        <v>Остальные грузы</v>
      </c>
      <c r="E2666" s="13">
        <f>IF(RIGHT(A2666,3)="000","х",VLOOKUP(B2666,'Справочник ИХ'!A:D,4,0))</f>
        <v>3</v>
      </c>
      <c r="F2666" s="14" t="s">
        <v>3484</v>
      </c>
    </row>
    <row r="2667" spans="1:6" ht="47.6">
      <c r="A2667" s="19">
        <v>46643</v>
      </c>
      <c r="B2667" s="12" t="str">
        <f t="shared" si="41"/>
        <v>466</v>
      </c>
      <c r="C2667" s="1" t="s">
        <v>3651</v>
      </c>
      <c r="D2667" s="13" t="str">
        <f>IF(RIGHT(A2667,3)="000",C2667,VLOOKUP(B2667,'Справочник ИХ'!A:C,3,0))</f>
        <v>Остальные грузы</v>
      </c>
      <c r="E2667" s="13">
        <f>IF(RIGHT(A2667,3)="000","х",VLOOKUP(B2667,'Справочник ИХ'!A:D,4,0))</f>
        <v>3</v>
      </c>
      <c r="F2667" s="14" t="s">
        <v>3484</v>
      </c>
    </row>
    <row r="2668" spans="1:6" ht="47.6">
      <c r="A2668" s="19">
        <v>46644</v>
      </c>
      <c r="B2668" s="12" t="str">
        <f t="shared" si="41"/>
        <v>466</v>
      </c>
      <c r="C2668" s="1" t="s">
        <v>3652</v>
      </c>
      <c r="D2668" s="13" t="str">
        <f>IF(RIGHT(A2668,3)="000",C2668,VLOOKUP(B2668,'Справочник ИХ'!A:C,3,0))</f>
        <v>Остальные грузы</v>
      </c>
      <c r="E2668" s="13">
        <f>IF(RIGHT(A2668,3)="000","х",VLOOKUP(B2668,'Справочник ИХ'!A:D,4,0))</f>
        <v>3</v>
      </c>
      <c r="F2668" s="14" t="s">
        <v>3484</v>
      </c>
    </row>
    <row r="2669" spans="1:6" ht="47.6">
      <c r="A2669" s="19">
        <v>46645</v>
      </c>
      <c r="B2669" s="12" t="str">
        <f t="shared" si="41"/>
        <v>466</v>
      </c>
      <c r="C2669" s="1" t="s">
        <v>3653</v>
      </c>
      <c r="D2669" s="13" t="str">
        <f>IF(RIGHT(A2669,3)="000",C2669,VLOOKUP(B2669,'Справочник ИХ'!A:C,3,0))</f>
        <v>Остальные грузы</v>
      </c>
      <c r="E2669" s="13">
        <f>IF(RIGHT(A2669,3)="000","х",VLOOKUP(B2669,'Справочник ИХ'!A:D,4,0))</f>
        <v>3</v>
      </c>
      <c r="F2669" s="14" t="s">
        <v>3484</v>
      </c>
    </row>
    <row r="2670" spans="1:6" ht="47.6">
      <c r="A2670" s="19">
        <v>46646</v>
      </c>
      <c r="B2670" s="12" t="str">
        <f t="shared" si="41"/>
        <v>466</v>
      </c>
      <c r="C2670" s="1" t="s">
        <v>3654</v>
      </c>
      <c r="D2670" s="13" t="str">
        <f>IF(RIGHT(A2670,3)="000",C2670,VLOOKUP(B2670,'Справочник ИХ'!A:C,3,0))</f>
        <v>Остальные грузы</v>
      </c>
      <c r="E2670" s="13">
        <f>IF(RIGHT(A2670,3)="000","х",VLOOKUP(B2670,'Справочник ИХ'!A:D,4,0))</f>
        <v>3</v>
      </c>
      <c r="F2670" s="14" t="s">
        <v>3484</v>
      </c>
    </row>
    <row r="2671" spans="1:6" ht="47.6">
      <c r="A2671" s="19">
        <v>46647</v>
      </c>
      <c r="B2671" s="12" t="str">
        <f t="shared" si="41"/>
        <v>466</v>
      </c>
      <c r="C2671" s="1" t="s">
        <v>3655</v>
      </c>
      <c r="D2671" s="13" t="str">
        <f>IF(RIGHT(A2671,3)="000",C2671,VLOOKUP(B2671,'Справочник ИХ'!A:C,3,0))</f>
        <v>Остальные грузы</v>
      </c>
      <c r="E2671" s="13">
        <f>IF(RIGHT(A2671,3)="000","х",VLOOKUP(B2671,'Справочник ИХ'!A:D,4,0))</f>
        <v>3</v>
      </c>
      <c r="F2671" s="14" t="s">
        <v>3484</v>
      </c>
    </row>
    <row r="2672" spans="1:6" ht="47.6">
      <c r="A2672" s="19">
        <v>46648</v>
      </c>
      <c r="B2672" s="12" t="str">
        <f t="shared" si="41"/>
        <v>466</v>
      </c>
      <c r="C2672" s="1" t="s">
        <v>3656</v>
      </c>
      <c r="D2672" s="13" t="str">
        <f>IF(RIGHT(A2672,3)="000",C2672,VLOOKUP(B2672,'Справочник ИХ'!A:C,3,0))</f>
        <v>Остальные грузы</v>
      </c>
      <c r="E2672" s="13">
        <f>IF(RIGHT(A2672,3)="000","х",VLOOKUP(B2672,'Справочник ИХ'!A:D,4,0))</f>
        <v>3</v>
      </c>
      <c r="F2672" s="14" t="s">
        <v>3484</v>
      </c>
    </row>
    <row r="2673" spans="1:6" ht="47.6">
      <c r="A2673" s="19">
        <v>46649</v>
      </c>
      <c r="B2673" s="12" t="str">
        <f t="shared" si="41"/>
        <v>466</v>
      </c>
      <c r="C2673" s="1" t="s">
        <v>3657</v>
      </c>
      <c r="D2673" s="13" t="str">
        <f>IF(RIGHT(A2673,3)="000",C2673,VLOOKUP(B2673,'Справочник ИХ'!A:C,3,0))</f>
        <v>Остальные грузы</v>
      </c>
      <c r="E2673" s="13">
        <f>IF(RIGHT(A2673,3)="000","х",VLOOKUP(B2673,'Справочник ИХ'!A:D,4,0))</f>
        <v>3</v>
      </c>
      <c r="F2673" s="14" t="s">
        <v>3484</v>
      </c>
    </row>
    <row r="2674" spans="1:6" ht="47.6">
      <c r="A2674" s="19">
        <v>46650</v>
      </c>
      <c r="B2674" s="12" t="str">
        <f t="shared" si="41"/>
        <v>466</v>
      </c>
      <c r="C2674" s="1" t="s">
        <v>3658</v>
      </c>
      <c r="D2674" s="13" t="str">
        <f>IF(RIGHT(A2674,3)="000",C2674,VLOOKUP(B2674,'Справочник ИХ'!A:C,3,0))</f>
        <v>Остальные грузы</v>
      </c>
      <c r="E2674" s="13">
        <f>IF(RIGHT(A2674,3)="000","х",VLOOKUP(B2674,'Справочник ИХ'!A:D,4,0))</f>
        <v>3</v>
      </c>
      <c r="F2674" s="14" t="s">
        <v>3484</v>
      </c>
    </row>
    <row r="2675" spans="1:6" ht="47.6">
      <c r="A2675" s="19">
        <v>46651</v>
      </c>
      <c r="B2675" s="12" t="str">
        <f t="shared" si="41"/>
        <v>466</v>
      </c>
      <c r="C2675" s="1" t="s">
        <v>3659</v>
      </c>
      <c r="D2675" s="13" t="str">
        <f>IF(RIGHT(A2675,3)="000",C2675,VLOOKUP(B2675,'Справочник ИХ'!A:C,3,0))</f>
        <v>Остальные грузы</v>
      </c>
      <c r="E2675" s="13">
        <f>IF(RIGHT(A2675,3)="000","х",VLOOKUP(B2675,'Справочник ИХ'!A:D,4,0))</f>
        <v>3</v>
      </c>
      <c r="F2675" s="14" t="s">
        <v>3484</v>
      </c>
    </row>
    <row r="2676" spans="1:6" ht="47.6">
      <c r="A2676" s="19">
        <v>46652</v>
      </c>
      <c r="B2676" s="12" t="str">
        <f t="shared" si="41"/>
        <v>466</v>
      </c>
      <c r="C2676" s="1" t="s">
        <v>3660</v>
      </c>
      <c r="D2676" s="13" t="str">
        <f>IF(RIGHT(A2676,3)="000",C2676,VLOOKUP(B2676,'Справочник ИХ'!A:C,3,0))</f>
        <v>Остальные грузы</v>
      </c>
      <c r="E2676" s="13">
        <f>IF(RIGHT(A2676,3)="000","х",VLOOKUP(B2676,'Справочник ИХ'!A:D,4,0))</f>
        <v>3</v>
      </c>
      <c r="F2676" s="14" t="s">
        <v>3484</v>
      </c>
    </row>
    <row r="2677" spans="1:6" ht="47.6">
      <c r="A2677" s="19">
        <v>46653</v>
      </c>
      <c r="B2677" s="12" t="str">
        <f t="shared" si="41"/>
        <v>466</v>
      </c>
      <c r="C2677" s="1" t="s">
        <v>3661</v>
      </c>
      <c r="D2677" s="13" t="str">
        <f>IF(RIGHT(A2677,3)="000",C2677,VLOOKUP(B2677,'Справочник ИХ'!A:C,3,0))</f>
        <v>Остальные грузы</v>
      </c>
      <c r="E2677" s="13">
        <f>IF(RIGHT(A2677,3)="000","х",VLOOKUP(B2677,'Справочник ИХ'!A:D,4,0))</f>
        <v>3</v>
      </c>
      <c r="F2677" s="14" t="s">
        <v>3484</v>
      </c>
    </row>
    <row r="2678" spans="1:6" ht="47.6">
      <c r="A2678" s="19">
        <v>46654</v>
      </c>
      <c r="B2678" s="12" t="str">
        <f t="shared" si="41"/>
        <v>466</v>
      </c>
      <c r="C2678" s="1" t="s">
        <v>3662</v>
      </c>
      <c r="D2678" s="13" t="str">
        <f>IF(RIGHT(A2678,3)="000",C2678,VLOOKUP(B2678,'Справочник ИХ'!A:C,3,0))</f>
        <v>Остальные грузы</v>
      </c>
      <c r="E2678" s="13">
        <f>IF(RIGHT(A2678,3)="000","х",VLOOKUP(B2678,'Справочник ИХ'!A:D,4,0))</f>
        <v>3</v>
      </c>
      <c r="F2678" s="14" t="s">
        <v>3484</v>
      </c>
    </row>
    <row r="2679" spans="1:6" ht="47.6">
      <c r="A2679" s="19">
        <v>46655</v>
      </c>
      <c r="B2679" s="12" t="str">
        <f t="shared" si="41"/>
        <v>466</v>
      </c>
      <c r="C2679" s="1" t="s">
        <v>3663</v>
      </c>
      <c r="D2679" s="13" t="str">
        <f>IF(RIGHT(A2679,3)="000",C2679,VLOOKUP(B2679,'Справочник ИХ'!A:C,3,0))</f>
        <v>Остальные грузы</v>
      </c>
      <c r="E2679" s="13">
        <f>IF(RIGHT(A2679,3)="000","х",VLOOKUP(B2679,'Справочник ИХ'!A:D,4,0))</f>
        <v>3</v>
      </c>
      <c r="F2679" s="14" t="s">
        <v>3484</v>
      </c>
    </row>
    <row r="2680" spans="1:6" ht="47.6">
      <c r="A2680" s="19">
        <v>46656</v>
      </c>
      <c r="B2680" s="12" t="str">
        <f t="shared" si="41"/>
        <v>466</v>
      </c>
      <c r="C2680" s="1" t="s">
        <v>3664</v>
      </c>
      <c r="D2680" s="13" t="str">
        <f>IF(RIGHT(A2680,3)="000",C2680,VLOOKUP(B2680,'Справочник ИХ'!A:C,3,0))</f>
        <v>Остальные грузы</v>
      </c>
      <c r="E2680" s="13">
        <f>IF(RIGHT(A2680,3)="000","х",VLOOKUP(B2680,'Справочник ИХ'!A:D,4,0))</f>
        <v>3</v>
      </c>
      <c r="F2680" s="14" t="s">
        <v>3484</v>
      </c>
    </row>
    <row r="2681" spans="1:6" ht="47.6">
      <c r="A2681" s="19">
        <v>46657</v>
      </c>
      <c r="B2681" s="12" t="str">
        <f t="shared" si="41"/>
        <v>466</v>
      </c>
      <c r="C2681" s="1" t="s">
        <v>3665</v>
      </c>
      <c r="D2681" s="13" t="str">
        <f>IF(RIGHT(A2681,3)="000",C2681,VLOOKUP(B2681,'Справочник ИХ'!A:C,3,0))</f>
        <v>Остальные грузы</v>
      </c>
      <c r="E2681" s="13">
        <f>IF(RIGHT(A2681,3)="000","х",VLOOKUP(B2681,'Справочник ИХ'!A:D,4,0))</f>
        <v>3</v>
      </c>
      <c r="F2681" s="14" t="s">
        <v>3484</v>
      </c>
    </row>
    <row r="2682" spans="1:6" ht="47.6">
      <c r="A2682" s="19">
        <v>46658</v>
      </c>
      <c r="B2682" s="12" t="str">
        <f t="shared" si="41"/>
        <v>466</v>
      </c>
      <c r="C2682" s="1" t="s">
        <v>3666</v>
      </c>
      <c r="D2682" s="13" t="str">
        <f>IF(RIGHT(A2682,3)="000",C2682,VLOOKUP(B2682,'Справочник ИХ'!A:C,3,0))</f>
        <v>Остальные грузы</v>
      </c>
      <c r="E2682" s="13">
        <f>IF(RIGHT(A2682,3)="000","х",VLOOKUP(B2682,'Справочник ИХ'!A:D,4,0))</f>
        <v>3</v>
      </c>
      <c r="F2682" s="14" t="s">
        <v>3484</v>
      </c>
    </row>
    <row r="2683" spans="1:6" ht="47.6">
      <c r="A2683" s="19">
        <v>46659</v>
      </c>
      <c r="B2683" s="12" t="str">
        <f t="shared" si="41"/>
        <v>466</v>
      </c>
      <c r="C2683" s="1" t="s">
        <v>3667</v>
      </c>
      <c r="D2683" s="13" t="str">
        <f>IF(RIGHT(A2683,3)="000",C2683,VLOOKUP(B2683,'Справочник ИХ'!A:C,3,0))</f>
        <v>Остальные грузы</v>
      </c>
      <c r="E2683" s="13">
        <f>IF(RIGHT(A2683,3)="000","х",VLOOKUP(B2683,'Справочник ИХ'!A:D,4,0))</f>
        <v>3</v>
      </c>
      <c r="F2683" s="14" t="s">
        <v>3484</v>
      </c>
    </row>
    <row r="2684" spans="1:6" ht="47.6">
      <c r="A2684" s="19">
        <v>46660</v>
      </c>
      <c r="B2684" s="12" t="str">
        <f t="shared" si="41"/>
        <v>466</v>
      </c>
      <c r="C2684" s="1" t="s">
        <v>3668</v>
      </c>
      <c r="D2684" s="13" t="str">
        <f>IF(RIGHT(A2684,3)="000",C2684,VLOOKUP(B2684,'Справочник ИХ'!A:C,3,0))</f>
        <v>Остальные грузы</v>
      </c>
      <c r="E2684" s="13">
        <f>IF(RIGHT(A2684,3)="000","х",VLOOKUP(B2684,'Справочник ИХ'!A:D,4,0))</f>
        <v>3</v>
      </c>
      <c r="F2684" s="14" t="s">
        <v>3484</v>
      </c>
    </row>
    <row r="2685" spans="1:6" ht="47.6">
      <c r="A2685" s="19">
        <v>46661</v>
      </c>
      <c r="B2685" s="12" t="str">
        <f t="shared" si="41"/>
        <v>466</v>
      </c>
      <c r="C2685" s="1" t="s">
        <v>3669</v>
      </c>
      <c r="D2685" s="13" t="str">
        <f>IF(RIGHT(A2685,3)="000",C2685,VLOOKUP(B2685,'Справочник ИХ'!A:C,3,0))</f>
        <v>Остальные грузы</v>
      </c>
      <c r="E2685" s="13">
        <f>IF(RIGHT(A2685,3)="000","х",VLOOKUP(B2685,'Справочник ИХ'!A:D,4,0))</f>
        <v>3</v>
      </c>
      <c r="F2685" s="14" t="s">
        <v>3484</v>
      </c>
    </row>
    <row r="2686" spans="1:6" ht="47.6">
      <c r="A2686" s="19">
        <v>46662</v>
      </c>
      <c r="B2686" s="12" t="str">
        <f t="shared" si="41"/>
        <v>466</v>
      </c>
      <c r="C2686" s="1" t="s">
        <v>3670</v>
      </c>
      <c r="D2686" s="13" t="str">
        <f>IF(RIGHT(A2686,3)="000",C2686,VLOOKUP(B2686,'Справочник ИХ'!A:C,3,0))</f>
        <v>Остальные грузы</v>
      </c>
      <c r="E2686" s="13">
        <f>IF(RIGHT(A2686,3)="000","х",VLOOKUP(B2686,'Справочник ИХ'!A:D,4,0))</f>
        <v>3</v>
      </c>
      <c r="F2686" s="14" t="s">
        <v>3484</v>
      </c>
    </row>
    <row r="2687" spans="1:6" ht="47.6">
      <c r="A2687" s="19">
        <v>46663</v>
      </c>
      <c r="B2687" s="12" t="str">
        <f t="shared" si="41"/>
        <v>466</v>
      </c>
      <c r="C2687" s="1" t="s">
        <v>3671</v>
      </c>
      <c r="D2687" s="13" t="str">
        <f>IF(RIGHT(A2687,3)="000",C2687,VLOOKUP(B2687,'Справочник ИХ'!A:C,3,0))</f>
        <v>Остальные грузы</v>
      </c>
      <c r="E2687" s="13">
        <f>IF(RIGHT(A2687,3)="000","х",VLOOKUP(B2687,'Справочник ИХ'!A:D,4,0))</f>
        <v>3</v>
      </c>
      <c r="F2687" s="14" t="s">
        <v>3484</v>
      </c>
    </row>
    <row r="2688" spans="1:6" ht="47.6">
      <c r="A2688" s="19">
        <v>46664</v>
      </c>
      <c r="B2688" s="12" t="str">
        <f t="shared" si="41"/>
        <v>466</v>
      </c>
      <c r="C2688" s="1" t="s">
        <v>3672</v>
      </c>
      <c r="D2688" s="13" t="str">
        <f>IF(RIGHT(A2688,3)="000",C2688,VLOOKUP(B2688,'Справочник ИХ'!A:C,3,0))</f>
        <v>Остальные грузы</v>
      </c>
      <c r="E2688" s="13">
        <f>IF(RIGHT(A2688,3)="000","х",VLOOKUP(B2688,'Справочник ИХ'!A:D,4,0))</f>
        <v>3</v>
      </c>
      <c r="F2688" s="14" t="s">
        <v>3484</v>
      </c>
    </row>
    <row r="2689" spans="1:6" ht="47.6">
      <c r="A2689" s="19">
        <v>46665</v>
      </c>
      <c r="B2689" s="12" t="str">
        <f t="shared" si="41"/>
        <v>466</v>
      </c>
      <c r="C2689" s="1" t="s">
        <v>3673</v>
      </c>
      <c r="D2689" s="13" t="str">
        <f>IF(RIGHT(A2689,3)="000",C2689,VLOOKUP(B2689,'Справочник ИХ'!A:C,3,0))</f>
        <v>Остальные грузы</v>
      </c>
      <c r="E2689" s="13">
        <f>IF(RIGHT(A2689,3)="000","х",VLOOKUP(B2689,'Справочник ИХ'!A:D,4,0))</f>
        <v>3</v>
      </c>
      <c r="F2689" s="14" t="s">
        <v>3484</v>
      </c>
    </row>
    <row r="2690" spans="1:6" ht="47.6">
      <c r="A2690" s="19">
        <v>46666</v>
      </c>
      <c r="B2690" s="12" t="str">
        <f t="shared" si="41"/>
        <v>466</v>
      </c>
      <c r="C2690" s="1" t="s">
        <v>3674</v>
      </c>
      <c r="D2690" s="13" t="str">
        <f>IF(RIGHT(A2690,3)="000",C2690,VLOOKUP(B2690,'Справочник ИХ'!A:C,3,0))</f>
        <v>Остальные грузы</v>
      </c>
      <c r="E2690" s="13">
        <f>IF(RIGHT(A2690,3)="000","х",VLOOKUP(B2690,'Справочник ИХ'!A:D,4,0))</f>
        <v>3</v>
      </c>
      <c r="F2690" s="14" t="s">
        <v>3484</v>
      </c>
    </row>
    <row r="2691" spans="1:6" ht="47.6">
      <c r="A2691" s="19">
        <v>46667</v>
      </c>
      <c r="B2691" s="12" t="str">
        <f t="shared" si="41"/>
        <v>466</v>
      </c>
      <c r="C2691" s="1" t="s">
        <v>3675</v>
      </c>
      <c r="D2691" s="13" t="str">
        <f>IF(RIGHT(A2691,3)="000",C2691,VLOOKUP(B2691,'Справочник ИХ'!A:C,3,0))</f>
        <v>Остальные грузы</v>
      </c>
      <c r="E2691" s="13">
        <f>IF(RIGHT(A2691,3)="000","х",VLOOKUP(B2691,'Справочник ИХ'!A:D,4,0))</f>
        <v>3</v>
      </c>
      <c r="F2691" s="14" t="s">
        <v>3484</v>
      </c>
    </row>
    <row r="2692" spans="1:6" ht="47.6">
      <c r="A2692" s="19">
        <v>46668</v>
      </c>
      <c r="B2692" s="12" t="str">
        <f t="shared" ref="B2692:B2756" si="42">LEFT(A2692,3)</f>
        <v>466</v>
      </c>
      <c r="C2692" s="1" t="s">
        <v>3676</v>
      </c>
      <c r="D2692" s="13" t="str">
        <f>IF(RIGHT(A2692,3)="000",C2692,VLOOKUP(B2692,'Справочник ИХ'!A:C,3,0))</f>
        <v>Остальные грузы</v>
      </c>
      <c r="E2692" s="13">
        <f>IF(RIGHT(A2692,3)="000","х",VLOOKUP(B2692,'Справочник ИХ'!A:D,4,0))</f>
        <v>3</v>
      </c>
      <c r="F2692" s="14" t="s">
        <v>3484</v>
      </c>
    </row>
    <row r="2693" spans="1:6" ht="47.6">
      <c r="A2693" s="19">
        <v>46669</v>
      </c>
      <c r="B2693" s="12" t="str">
        <f t="shared" si="42"/>
        <v>466</v>
      </c>
      <c r="C2693" s="1" t="s">
        <v>3677</v>
      </c>
      <c r="D2693" s="13" t="str">
        <f>IF(RIGHT(A2693,3)="000",C2693,VLOOKUP(B2693,'Справочник ИХ'!A:C,3,0))</f>
        <v>Остальные грузы</v>
      </c>
      <c r="E2693" s="13">
        <f>IF(RIGHT(A2693,3)="000","х",VLOOKUP(B2693,'Справочник ИХ'!A:D,4,0))</f>
        <v>3</v>
      </c>
      <c r="F2693" s="14" t="s">
        <v>3484</v>
      </c>
    </row>
    <row r="2694" spans="1:6" ht="47.6">
      <c r="A2694" s="19">
        <v>46670</v>
      </c>
      <c r="B2694" s="12" t="str">
        <f t="shared" si="42"/>
        <v>466</v>
      </c>
      <c r="C2694" s="1" t="s">
        <v>3678</v>
      </c>
      <c r="D2694" s="13" t="str">
        <f>IF(RIGHT(A2694,3)="000",C2694,VLOOKUP(B2694,'Справочник ИХ'!A:C,3,0))</f>
        <v>Остальные грузы</v>
      </c>
      <c r="E2694" s="13">
        <f>IF(RIGHT(A2694,3)="000","х",VLOOKUP(B2694,'Справочник ИХ'!A:D,4,0))</f>
        <v>3</v>
      </c>
      <c r="F2694" s="14" t="s">
        <v>3484</v>
      </c>
    </row>
    <row r="2695" spans="1:6" ht="47.6">
      <c r="A2695" s="19">
        <v>46671</v>
      </c>
      <c r="B2695" s="12" t="str">
        <f t="shared" si="42"/>
        <v>466</v>
      </c>
      <c r="C2695" s="1" t="s">
        <v>3679</v>
      </c>
      <c r="D2695" s="13" t="str">
        <f>IF(RIGHT(A2695,3)="000",C2695,VLOOKUP(B2695,'Справочник ИХ'!A:C,3,0))</f>
        <v>Остальные грузы</v>
      </c>
      <c r="E2695" s="13">
        <f>IF(RIGHT(A2695,3)="000","х",VLOOKUP(B2695,'Справочник ИХ'!A:D,4,0))</f>
        <v>3</v>
      </c>
      <c r="F2695" s="14" t="s">
        <v>3484</v>
      </c>
    </row>
    <row r="2696" spans="1:6" ht="47.6">
      <c r="A2696" s="19">
        <v>46672</v>
      </c>
      <c r="B2696" s="12" t="str">
        <f t="shared" si="42"/>
        <v>466</v>
      </c>
      <c r="C2696" s="1" t="s">
        <v>3680</v>
      </c>
      <c r="D2696" s="13" t="str">
        <f>IF(RIGHT(A2696,3)="000",C2696,VLOOKUP(B2696,'Справочник ИХ'!A:C,3,0))</f>
        <v>Остальные грузы</v>
      </c>
      <c r="E2696" s="13">
        <f>IF(RIGHT(A2696,3)="000","х",VLOOKUP(B2696,'Справочник ИХ'!A:D,4,0))</f>
        <v>3</v>
      </c>
      <c r="F2696" s="14" t="s">
        <v>3484</v>
      </c>
    </row>
    <row r="2697" spans="1:6" ht="47.6">
      <c r="A2697" s="19">
        <v>46673</v>
      </c>
      <c r="B2697" s="12" t="str">
        <f t="shared" si="42"/>
        <v>466</v>
      </c>
      <c r="C2697" s="1" t="s">
        <v>3681</v>
      </c>
      <c r="D2697" s="13" t="str">
        <f>IF(RIGHT(A2697,3)="000",C2697,VLOOKUP(B2697,'Справочник ИХ'!A:C,3,0))</f>
        <v>Остальные грузы</v>
      </c>
      <c r="E2697" s="13">
        <f>IF(RIGHT(A2697,3)="000","х",VLOOKUP(B2697,'Справочник ИХ'!A:D,4,0))</f>
        <v>3</v>
      </c>
      <c r="F2697" s="14" t="s">
        <v>3484</v>
      </c>
    </row>
    <row r="2698" spans="1:6" ht="47.6">
      <c r="A2698" s="19">
        <v>46674</v>
      </c>
      <c r="B2698" s="12" t="str">
        <f t="shared" si="42"/>
        <v>466</v>
      </c>
      <c r="C2698" s="1" t="s">
        <v>3682</v>
      </c>
      <c r="D2698" s="13" t="str">
        <f>IF(RIGHT(A2698,3)="000",C2698,VLOOKUP(B2698,'Справочник ИХ'!A:C,3,0))</f>
        <v>Остальные грузы</v>
      </c>
      <c r="E2698" s="13">
        <f>IF(RIGHT(A2698,3)="000","х",VLOOKUP(B2698,'Справочник ИХ'!A:D,4,0))</f>
        <v>3</v>
      </c>
      <c r="F2698" s="14" t="s">
        <v>3484</v>
      </c>
    </row>
    <row r="2699" spans="1:6" ht="47.6">
      <c r="A2699" s="19">
        <v>46675</v>
      </c>
      <c r="B2699" s="12" t="str">
        <f t="shared" si="42"/>
        <v>466</v>
      </c>
      <c r="C2699" s="1" t="s">
        <v>3683</v>
      </c>
      <c r="D2699" s="13" t="str">
        <f>IF(RIGHT(A2699,3)="000",C2699,VLOOKUP(B2699,'Справочник ИХ'!A:C,3,0))</f>
        <v>Остальные грузы</v>
      </c>
      <c r="E2699" s="13">
        <f>IF(RIGHT(A2699,3)="000","х",VLOOKUP(B2699,'Справочник ИХ'!A:D,4,0))</f>
        <v>3</v>
      </c>
      <c r="F2699" s="14" t="s">
        <v>3484</v>
      </c>
    </row>
    <row r="2700" spans="1:6" ht="47.6">
      <c r="A2700" s="19"/>
      <c r="B2700" s="12" t="s">
        <v>345</v>
      </c>
      <c r="C2700" s="1" t="s">
        <v>346</v>
      </c>
      <c r="D2700" s="13" t="str">
        <f>IF(RIGHT(A2700,3)="000",C2700,VLOOKUP(B2700,'Справочник ИХ'!A:C,3,0))</f>
        <v>Остальные грузы</v>
      </c>
      <c r="E2700" s="13">
        <v>3</v>
      </c>
      <c r="F2700" s="14" t="str">
        <f>F2699</f>
        <v>Смолы природные и синтетические, волокна синтетические, пластмассы и изделия из них. Клей. Краски</v>
      </c>
    </row>
    <row r="2701" spans="1:6" s="15" customFormat="1" ht="63.45">
      <c r="A2701" s="7">
        <v>47000</v>
      </c>
      <c r="B2701" s="12" t="str">
        <f t="shared" si="42"/>
        <v>470</v>
      </c>
      <c r="C2701" s="11" t="s">
        <v>3684</v>
      </c>
      <c r="D2701" s="13" t="str">
        <f>IF(RIGHT(A2701,3)="000",C2701,VLOOKUP(B2701,'Справочник ИХ'!A:C,3,0))</f>
        <v xml:space="preserve">Продукция коксохимической и лесохимической промышленности </v>
      </c>
      <c r="E2701" s="13" t="str">
        <f>IF(RIGHT(A2701,3)="000","х",VLOOKUP(B2701,'Справочник ИХ'!A:D,4,0))</f>
        <v>х</v>
      </c>
      <c r="F2701" s="14" t="s">
        <v>3684</v>
      </c>
    </row>
    <row r="2702" spans="1:6" s="18" customFormat="1" ht="31.75">
      <c r="A2702" s="16">
        <v>47100</v>
      </c>
      <c r="B2702" s="12" t="str">
        <f t="shared" si="42"/>
        <v>471</v>
      </c>
      <c r="C2702" s="17" t="s">
        <v>3685</v>
      </c>
      <c r="D2702" s="13" t="str">
        <f>IF(RIGHT(A2702,3)="000",C2702,VLOOKUP(B2702,'Справочник ИХ'!A:C,3,0))</f>
        <v>Остальные грузы</v>
      </c>
      <c r="E2702" s="13">
        <f>IF(RIGHT(A2702,3)="000","х",VLOOKUP(B2702,'Справочник ИХ'!A:D,4,0))</f>
        <v>3</v>
      </c>
      <c r="F2702" s="14" t="s">
        <v>3684</v>
      </c>
    </row>
    <row r="2703" spans="1:6" ht="31.75">
      <c r="A2703" s="19">
        <v>47101</v>
      </c>
      <c r="B2703" s="12" t="str">
        <f t="shared" si="42"/>
        <v>471</v>
      </c>
      <c r="C2703" s="1" t="s">
        <v>3686</v>
      </c>
      <c r="D2703" s="13" t="str">
        <f>IF(RIGHT(A2703,3)="000",C2703,VLOOKUP(B2703,'Справочник ИХ'!A:C,3,0))</f>
        <v>Остальные грузы</v>
      </c>
      <c r="E2703" s="13">
        <f>IF(RIGHT(A2703,3)="000","х",VLOOKUP(B2703,'Справочник ИХ'!A:D,4,0))</f>
        <v>3</v>
      </c>
      <c r="F2703" s="14" t="s">
        <v>3684</v>
      </c>
    </row>
    <row r="2704" spans="1:6" ht="31.75">
      <c r="A2704" s="19">
        <v>47102</v>
      </c>
      <c r="B2704" s="12" t="str">
        <f t="shared" si="42"/>
        <v>471</v>
      </c>
      <c r="C2704" s="1" t="s">
        <v>3687</v>
      </c>
      <c r="D2704" s="13" t="str">
        <f>IF(RIGHT(A2704,3)="000",C2704,VLOOKUP(B2704,'Справочник ИХ'!A:C,3,0))</f>
        <v>Остальные грузы</v>
      </c>
      <c r="E2704" s="13">
        <f>IF(RIGHT(A2704,3)="000","х",VLOOKUP(B2704,'Справочник ИХ'!A:D,4,0))</f>
        <v>3</v>
      </c>
      <c r="F2704" s="14" t="s">
        <v>3684</v>
      </c>
    </row>
    <row r="2705" spans="1:6" ht="31.75">
      <c r="A2705" s="19">
        <v>47103</v>
      </c>
      <c r="B2705" s="12" t="str">
        <f t="shared" si="42"/>
        <v>471</v>
      </c>
      <c r="C2705" s="1" t="s">
        <v>3688</v>
      </c>
      <c r="D2705" s="13" t="str">
        <f>IF(RIGHT(A2705,3)="000",C2705,VLOOKUP(B2705,'Справочник ИХ'!A:C,3,0))</f>
        <v>Остальные грузы</v>
      </c>
      <c r="E2705" s="13">
        <f>IF(RIGHT(A2705,3)="000","х",VLOOKUP(B2705,'Справочник ИХ'!A:D,4,0))</f>
        <v>3</v>
      </c>
      <c r="F2705" s="14" t="s">
        <v>3684</v>
      </c>
    </row>
    <row r="2706" spans="1:6" ht="31.75">
      <c r="A2706" s="19">
        <v>47104</v>
      </c>
      <c r="B2706" s="12" t="str">
        <f t="shared" si="42"/>
        <v>471</v>
      </c>
      <c r="C2706" s="1" t="s">
        <v>3689</v>
      </c>
      <c r="D2706" s="13" t="str">
        <f>IF(RIGHT(A2706,3)="000",C2706,VLOOKUP(B2706,'Справочник ИХ'!A:C,3,0))</f>
        <v>Остальные грузы</v>
      </c>
      <c r="E2706" s="13">
        <f>IF(RIGHT(A2706,3)="000","х",VLOOKUP(B2706,'Справочник ИХ'!A:D,4,0))</f>
        <v>3</v>
      </c>
      <c r="F2706" s="14" t="s">
        <v>3684</v>
      </c>
    </row>
    <row r="2707" spans="1:6" ht="47.6">
      <c r="A2707" s="19" t="s">
        <v>3690</v>
      </c>
      <c r="B2707" s="12" t="str">
        <f t="shared" si="42"/>
        <v>471</v>
      </c>
      <c r="C2707" s="1" t="s">
        <v>3691</v>
      </c>
      <c r="D2707" s="13" t="str">
        <f>IF(RIGHT(A2707,3)="000",C2707,VLOOKUP(B2707,'Справочник ИХ'!A:C,3,0))</f>
        <v>Остальные грузы</v>
      </c>
      <c r="E2707" s="13">
        <f>IF(RIGHT(A2707,3)="000","х",VLOOKUP(B2707,'Справочник ИХ'!A:D,4,0))</f>
        <v>3</v>
      </c>
      <c r="F2707" s="14" t="s">
        <v>3684</v>
      </c>
    </row>
    <row r="2708" spans="1:6" ht="31.75">
      <c r="A2708" s="19" t="s">
        <v>3692</v>
      </c>
      <c r="B2708" s="12" t="str">
        <f t="shared" si="42"/>
        <v>471</v>
      </c>
      <c r="C2708" s="1" t="s">
        <v>3693</v>
      </c>
      <c r="D2708" s="13" t="str">
        <f>IF(RIGHT(A2708,3)="000",C2708,VLOOKUP(B2708,'Справочник ИХ'!A:C,3,0))</f>
        <v>Остальные грузы</v>
      </c>
      <c r="E2708" s="13">
        <f>IF(RIGHT(A2708,3)="000","х",VLOOKUP(B2708,'Справочник ИХ'!A:D,4,0))</f>
        <v>3</v>
      </c>
      <c r="F2708" s="14" t="s">
        <v>3684</v>
      </c>
    </row>
    <row r="2709" spans="1:6" ht="31.75">
      <c r="A2709" s="19" t="s">
        <v>3694</v>
      </c>
      <c r="B2709" s="12" t="str">
        <f t="shared" si="42"/>
        <v>471</v>
      </c>
      <c r="C2709" s="1" t="s">
        <v>3695</v>
      </c>
      <c r="D2709" s="13" t="str">
        <f>IF(RIGHT(A2709,3)="000",C2709,VLOOKUP(B2709,'Справочник ИХ'!A:C,3,0))</f>
        <v>Остальные грузы</v>
      </c>
      <c r="E2709" s="13">
        <f>IF(RIGHT(A2709,3)="000","х",VLOOKUP(B2709,'Справочник ИХ'!A:D,4,0))</f>
        <v>3</v>
      </c>
      <c r="F2709" s="14" t="s">
        <v>3684</v>
      </c>
    </row>
    <row r="2710" spans="1:6" ht="31.75">
      <c r="A2710" s="19" t="s">
        <v>3696</v>
      </c>
      <c r="B2710" s="12" t="str">
        <f t="shared" si="42"/>
        <v>471</v>
      </c>
      <c r="C2710" s="1" t="s">
        <v>3697</v>
      </c>
      <c r="D2710" s="13" t="str">
        <f>IF(RIGHT(A2710,3)="000",C2710,VLOOKUP(B2710,'Справочник ИХ'!A:C,3,0))</f>
        <v>Остальные грузы</v>
      </c>
      <c r="E2710" s="13">
        <f>IF(RIGHT(A2710,3)="000","х",VLOOKUP(B2710,'Справочник ИХ'!A:D,4,0))</f>
        <v>3</v>
      </c>
      <c r="F2710" s="14" t="s">
        <v>3684</v>
      </c>
    </row>
    <row r="2711" spans="1:6" ht="31.75">
      <c r="A2711" s="19" t="s">
        <v>3698</v>
      </c>
      <c r="B2711" s="12" t="str">
        <f t="shared" si="42"/>
        <v>471</v>
      </c>
      <c r="C2711" s="1" t="s">
        <v>3699</v>
      </c>
      <c r="D2711" s="13" t="str">
        <f>IF(RIGHT(A2711,3)="000",C2711,VLOOKUP(B2711,'Справочник ИХ'!A:C,3,0))</f>
        <v>Остальные грузы</v>
      </c>
      <c r="E2711" s="13">
        <f>IF(RIGHT(A2711,3)="000","х",VLOOKUP(B2711,'Справочник ИХ'!A:D,4,0))</f>
        <v>3</v>
      </c>
      <c r="F2711" s="14" t="s">
        <v>3684</v>
      </c>
    </row>
    <row r="2712" spans="1:6" ht="31.75">
      <c r="A2712" s="19" t="s">
        <v>3700</v>
      </c>
      <c r="B2712" s="12" t="str">
        <f t="shared" si="42"/>
        <v>471</v>
      </c>
      <c r="C2712" s="1" t="s">
        <v>3701</v>
      </c>
      <c r="D2712" s="13" t="str">
        <f>IF(RIGHT(A2712,3)="000",C2712,VLOOKUP(B2712,'Справочник ИХ'!A:C,3,0))</f>
        <v>Остальные грузы</v>
      </c>
      <c r="E2712" s="13">
        <f>IF(RIGHT(A2712,3)="000","х",VLOOKUP(B2712,'Справочник ИХ'!A:D,4,0))</f>
        <v>3</v>
      </c>
      <c r="F2712" s="14" t="s">
        <v>3684</v>
      </c>
    </row>
    <row r="2713" spans="1:6" ht="31.75">
      <c r="A2713" s="19" t="s">
        <v>3702</v>
      </c>
      <c r="B2713" s="12" t="str">
        <f t="shared" si="42"/>
        <v>471</v>
      </c>
      <c r="C2713" s="1" t="s">
        <v>3703</v>
      </c>
      <c r="D2713" s="13" t="str">
        <f>IF(RIGHT(A2713,3)="000",C2713,VLOOKUP(B2713,'Справочник ИХ'!A:C,3,0))</f>
        <v>Остальные грузы</v>
      </c>
      <c r="E2713" s="13">
        <f>IF(RIGHT(A2713,3)="000","х",VLOOKUP(B2713,'Справочник ИХ'!A:D,4,0))</f>
        <v>3</v>
      </c>
      <c r="F2713" s="14" t="s">
        <v>3684</v>
      </c>
    </row>
    <row r="2714" spans="1:6" ht="31.75">
      <c r="A2714" s="19" t="s">
        <v>3704</v>
      </c>
      <c r="B2714" s="12" t="str">
        <f t="shared" si="42"/>
        <v>471</v>
      </c>
      <c r="C2714" s="1" t="s">
        <v>3705</v>
      </c>
      <c r="D2714" s="13" t="str">
        <f>IF(RIGHT(A2714,3)="000",C2714,VLOOKUP(B2714,'Справочник ИХ'!A:C,3,0))</f>
        <v>Остальные грузы</v>
      </c>
      <c r="E2714" s="13">
        <f>IF(RIGHT(A2714,3)="000","х",VLOOKUP(B2714,'Справочник ИХ'!A:D,4,0))</f>
        <v>3</v>
      </c>
      <c r="F2714" s="14" t="s">
        <v>3684</v>
      </c>
    </row>
    <row r="2715" spans="1:6" ht="31.75">
      <c r="A2715" s="19" t="s">
        <v>3706</v>
      </c>
      <c r="B2715" s="12" t="str">
        <f t="shared" si="42"/>
        <v>471</v>
      </c>
      <c r="C2715" s="1" t="s">
        <v>3707</v>
      </c>
      <c r="D2715" s="13" t="str">
        <f>IF(RIGHT(A2715,3)="000",C2715,VLOOKUP(B2715,'Справочник ИХ'!A:C,3,0))</f>
        <v>Остальные грузы</v>
      </c>
      <c r="E2715" s="13">
        <f>IF(RIGHT(A2715,3)="000","х",VLOOKUP(B2715,'Справочник ИХ'!A:D,4,0))</f>
        <v>3</v>
      </c>
      <c r="F2715" s="14" t="s">
        <v>3684</v>
      </c>
    </row>
    <row r="2716" spans="1:6" ht="31.75">
      <c r="A2716" s="19" t="s">
        <v>3708</v>
      </c>
      <c r="B2716" s="12" t="str">
        <f t="shared" si="42"/>
        <v>471</v>
      </c>
      <c r="C2716" s="1" t="s">
        <v>3709</v>
      </c>
      <c r="D2716" s="13" t="str">
        <f>IF(RIGHT(A2716,3)="000",C2716,VLOOKUP(B2716,'Справочник ИХ'!A:C,3,0))</f>
        <v>Остальные грузы</v>
      </c>
      <c r="E2716" s="13">
        <f>IF(RIGHT(A2716,3)="000","х",VLOOKUP(B2716,'Справочник ИХ'!A:D,4,0))</f>
        <v>3</v>
      </c>
      <c r="F2716" s="14" t="s">
        <v>3684</v>
      </c>
    </row>
    <row r="2717" spans="1:6" s="18" customFormat="1" ht="31.75">
      <c r="A2717" s="16">
        <v>47200</v>
      </c>
      <c r="B2717" s="12" t="str">
        <f t="shared" si="42"/>
        <v>472</v>
      </c>
      <c r="C2717" s="17" t="s">
        <v>3710</v>
      </c>
      <c r="D2717" s="13" t="str">
        <f>IF(RIGHT(A2717,3)="000",C2717,VLOOKUP(B2717,'Справочник ИХ'!A:C,3,0))</f>
        <v>Остальные грузы</v>
      </c>
      <c r="E2717" s="13">
        <f>IF(RIGHT(A2717,3)="000","х",VLOOKUP(B2717,'Справочник ИХ'!A:D,4,0))</f>
        <v>3</v>
      </c>
      <c r="F2717" s="14" t="s">
        <v>3684</v>
      </c>
    </row>
    <row r="2718" spans="1:6" ht="31.75">
      <c r="A2718" s="19">
        <v>47201</v>
      </c>
      <c r="B2718" s="12" t="str">
        <f t="shared" si="42"/>
        <v>472</v>
      </c>
      <c r="C2718" s="1" t="s">
        <v>3711</v>
      </c>
      <c r="D2718" s="13" t="str">
        <f>IF(RIGHT(A2718,3)="000",C2718,VLOOKUP(B2718,'Справочник ИХ'!A:C,3,0))</f>
        <v>Остальные грузы</v>
      </c>
      <c r="E2718" s="13">
        <f>IF(RIGHT(A2718,3)="000","х",VLOOKUP(B2718,'Справочник ИХ'!A:D,4,0))</f>
        <v>3</v>
      </c>
      <c r="F2718" s="14" t="s">
        <v>3684</v>
      </c>
    </row>
    <row r="2719" spans="1:6" ht="31.75">
      <c r="A2719" s="19">
        <v>47202</v>
      </c>
      <c r="B2719" s="12" t="str">
        <f t="shared" si="42"/>
        <v>472</v>
      </c>
      <c r="C2719" s="1" t="s">
        <v>3712</v>
      </c>
      <c r="D2719" s="13" t="str">
        <f>IF(RIGHT(A2719,3)="000",C2719,VLOOKUP(B2719,'Справочник ИХ'!A:C,3,0))</f>
        <v>Остальные грузы</v>
      </c>
      <c r="E2719" s="13">
        <f>IF(RIGHT(A2719,3)="000","х",VLOOKUP(B2719,'Справочник ИХ'!A:D,4,0))</f>
        <v>3</v>
      </c>
      <c r="F2719" s="14" t="s">
        <v>3684</v>
      </c>
    </row>
    <row r="2720" spans="1:6" ht="31.75">
      <c r="A2720" s="19">
        <v>47203</v>
      </c>
      <c r="B2720" s="12" t="str">
        <f t="shared" si="42"/>
        <v>472</v>
      </c>
      <c r="C2720" s="1" t="s">
        <v>3713</v>
      </c>
      <c r="D2720" s="13" t="str">
        <f>IF(RIGHT(A2720,3)="000",C2720,VLOOKUP(B2720,'Справочник ИХ'!A:C,3,0))</f>
        <v>Остальные грузы</v>
      </c>
      <c r="E2720" s="13">
        <f>IF(RIGHT(A2720,3)="000","х",VLOOKUP(B2720,'Справочник ИХ'!A:D,4,0))</f>
        <v>3</v>
      </c>
      <c r="F2720" s="14" t="s">
        <v>3684</v>
      </c>
    </row>
    <row r="2721" spans="1:6" ht="31.75">
      <c r="A2721" s="19">
        <v>47204</v>
      </c>
      <c r="B2721" s="12" t="str">
        <f t="shared" si="42"/>
        <v>472</v>
      </c>
      <c r="C2721" s="1" t="s">
        <v>3714</v>
      </c>
      <c r="D2721" s="13" t="str">
        <f>IF(RIGHT(A2721,3)="000",C2721,VLOOKUP(B2721,'Справочник ИХ'!A:C,3,0))</f>
        <v>Остальные грузы</v>
      </c>
      <c r="E2721" s="13">
        <f>IF(RIGHT(A2721,3)="000","х",VLOOKUP(B2721,'Справочник ИХ'!A:D,4,0))</f>
        <v>3</v>
      </c>
      <c r="F2721" s="14" t="s">
        <v>3684</v>
      </c>
    </row>
    <row r="2722" spans="1:6" ht="31.75">
      <c r="A2722" s="19">
        <v>47205</v>
      </c>
      <c r="B2722" s="12" t="str">
        <f t="shared" si="42"/>
        <v>472</v>
      </c>
      <c r="C2722" s="1" t="s">
        <v>3715</v>
      </c>
      <c r="D2722" s="13" t="str">
        <f>IF(RIGHT(A2722,3)="000",C2722,VLOOKUP(B2722,'Справочник ИХ'!A:C,3,0))</f>
        <v>Остальные грузы</v>
      </c>
      <c r="E2722" s="13">
        <f>IF(RIGHT(A2722,3)="000","х",VLOOKUP(B2722,'Справочник ИХ'!A:D,4,0))</f>
        <v>3</v>
      </c>
      <c r="F2722" s="14" t="s">
        <v>3684</v>
      </c>
    </row>
    <row r="2723" spans="1:6" ht="31.75">
      <c r="A2723" s="19">
        <v>47206</v>
      </c>
      <c r="B2723" s="12" t="str">
        <f t="shared" si="42"/>
        <v>472</v>
      </c>
      <c r="C2723" s="1" t="s">
        <v>3716</v>
      </c>
      <c r="D2723" s="13" t="str">
        <f>IF(RIGHT(A2723,3)="000",C2723,VLOOKUP(B2723,'Справочник ИХ'!A:C,3,0))</f>
        <v>Остальные грузы</v>
      </c>
      <c r="E2723" s="13">
        <f>IF(RIGHT(A2723,3)="000","х",VLOOKUP(B2723,'Справочник ИХ'!A:D,4,0))</f>
        <v>3</v>
      </c>
      <c r="F2723" s="14" t="s">
        <v>3684</v>
      </c>
    </row>
    <row r="2724" spans="1:6" ht="31.75">
      <c r="A2724" s="19">
        <v>47207</v>
      </c>
      <c r="B2724" s="12" t="str">
        <f t="shared" si="42"/>
        <v>472</v>
      </c>
      <c r="C2724" s="1" t="s">
        <v>3717</v>
      </c>
      <c r="D2724" s="13" t="str">
        <f>IF(RIGHT(A2724,3)="000",C2724,VLOOKUP(B2724,'Справочник ИХ'!A:C,3,0))</f>
        <v>Остальные грузы</v>
      </c>
      <c r="E2724" s="13">
        <f>IF(RIGHT(A2724,3)="000","х",VLOOKUP(B2724,'Справочник ИХ'!A:D,4,0))</f>
        <v>3</v>
      </c>
      <c r="F2724" s="14" t="s">
        <v>3684</v>
      </c>
    </row>
    <row r="2725" spans="1:6" ht="31.75">
      <c r="A2725" s="19">
        <v>47208</v>
      </c>
      <c r="B2725" s="12" t="str">
        <f t="shared" si="42"/>
        <v>472</v>
      </c>
      <c r="C2725" s="1" t="s">
        <v>3718</v>
      </c>
      <c r="D2725" s="13" t="str">
        <f>IF(RIGHT(A2725,3)="000",C2725,VLOOKUP(B2725,'Справочник ИХ'!A:C,3,0))</f>
        <v>Остальные грузы</v>
      </c>
      <c r="E2725" s="13">
        <f>IF(RIGHT(A2725,3)="000","х",VLOOKUP(B2725,'Справочник ИХ'!A:D,4,0))</f>
        <v>3</v>
      </c>
      <c r="F2725" s="14" t="s">
        <v>3684</v>
      </c>
    </row>
    <row r="2726" spans="1:6" ht="31.75">
      <c r="A2726" s="19">
        <v>47209</v>
      </c>
      <c r="B2726" s="12" t="str">
        <f t="shared" si="42"/>
        <v>472</v>
      </c>
      <c r="C2726" s="1" t="s">
        <v>3719</v>
      </c>
      <c r="D2726" s="13" t="str">
        <f>IF(RIGHT(A2726,3)="000",C2726,VLOOKUP(B2726,'Справочник ИХ'!A:C,3,0))</f>
        <v>Остальные грузы</v>
      </c>
      <c r="E2726" s="13">
        <f>IF(RIGHT(A2726,3)="000","х",VLOOKUP(B2726,'Справочник ИХ'!A:D,4,0))</f>
        <v>3</v>
      </c>
      <c r="F2726" s="14" t="s">
        <v>3684</v>
      </c>
    </row>
    <row r="2727" spans="1:6" ht="31.75">
      <c r="A2727" s="19">
        <v>47210</v>
      </c>
      <c r="B2727" s="12" t="str">
        <f t="shared" si="42"/>
        <v>472</v>
      </c>
      <c r="C2727" s="1" t="s">
        <v>3720</v>
      </c>
      <c r="D2727" s="13" t="str">
        <f>IF(RIGHT(A2727,3)="000",C2727,VLOOKUP(B2727,'Справочник ИХ'!A:C,3,0))</f>
        <v>Остальные грузы</v>
      </c>
      <c r="E2727" s="13">
        <f>IF(RIGHT(A2727,3)="000","х",VLOOKUP(B2727,'Справочник ИХ'!A:D,4,0))</f>
        <v>3</v>
      </c>
      <c r="F2727" s="14" t="s">
        <v>3684</v>
      </c>
    </row>
    <row r="2728" spans="1:6" ht="31.75">
      <c r="A2728" s="19">
        <v>47211</v>
      </c>
      <c r="B2728" s="12" t="str">
        <f t="shared" si="42"/>
        <v>472</v>
      </c>
      <c r="C2728" s="1" t="s">
        <v>3721</v>
      </c>
      <c r="D2728" s="13" t="str">
        <f>IF(RIGHT(A2728,3)="000",C2728,VLOOKUP(B2728,'Справочник ИХ'!A:C,3,0))</f>
        <v>Остальные грузы</v>
      </c>
      <c r="E2728" s="13">
        <f>IF(RIGHT(A2728,3)="000","х",VLOOKUP(B2728,'Справочник ИХ'!A:D,4,0))</f>
        <v>3</v>
      </c>
      <c r="F2728" s="14" t="s">
        <v>3684</v>
      </c>
    </row>
    <row r="2729" spans="1:6" ht="31.75">
      <c r="A2729" s="19">
        <v>47212</v>
      </c>
      <c r="B2729" s="12" t="str">
        <f t="shared" si="42"/>
        <v>472</v>
      </c>
      <c r="C2729" s="1" t="s">
        <v>3722</v>
      </c>
      <c r="D2729" s="13" t="str">
        <f>IF(RIGHT(A2729,3)="000",C2729,VLOOKUP(B2729,'Справочник ИХ'!A:C,3,0))</f>
        <v>Остальные грузы</v>
      </c>
      <c r="E2729" s="13">
        <f>IF(RIGHT(A2729,3)="000","х",VLOOKUP(B2729,'Справочник ИХ'!A:D,4,0))</f>
        <v>3</v>
      </c>
      <c r="F2729" s="14" t="s">
        <v>3684</v>
      </c>
    </row>
    <row r="2730" spans="1:6" ht="31.75">
      <c r="A2730" s="19">
        <v>47213</v>
      </c>
      <c r="B2730" s="12" t="str">
        <f t="shared" si="42"/>
        <v>472</v>
      </c>
      <c r="C2730" s="1" t="s">
        <v>3723</v>
      </c>
      <c r="D2730" s="13" t="str">
        <f>IF(RIGHT(A2730,3)="000",C2730,VLOOKUP(B2730,'Справочник ИХ'!A:C,3,0))</f>
        <v>Остальные грузы</v>
      </c>
      <c r="E2730" s="13">
        <f>IF(RIGHT(A2730,3)="000","х",VLOOKUP(B2730,'Справочник ИХ'!A:D,4,0))</f>
        <v>3</v>
      </c>
      <c r="F2730" s="14" t="s">
        <v>3684</v>
      </c>
    </row>
    <row r="2731" spans="1:6" ht="31.75">
      <c r="A2731" s="19">
        <v>47214</v>
      </c>
      <c r="B2731" s="12" t="str">
        <f t="shared" si="42"/>
        <v>472</v>
      </c>
      <c r="C2731" s="1" t="s">
        <v>3724</v>
      </c>
      <c r="D2731" s="13" t="str">
        <f>IF(RIGHT(A2731,3)="000",C2731,VLOOKUP(B2731,'Справочник ИХ'!A:C,3,0))</f>
        <v>Остальные грузы</v>
      </c>
      <c r="E2731" s="13">
        <f>IF(RIGHT(A2731,3)="000","х",VLOOKUP(B2731,'Справочник ИХ'!A:D,4,0))</f>
        <v>3</v>
      </c>
      <c r="F2731" s="14" t="s">
        <v>3684</v>
      </c>
    </row>
    <row r="2732" spans="1:6" ht="31.75">
      <c r="A2732" s="19">
        <v>47215</v>
      </c>
      <c r="B2732" s="12" t="str">
        <f t="shared" si="42"/>
        <v>472</v>
      </c>
      <c r="C2732" s="1" t="s">
        <v>3725</v>
      </c>
      <c r="D2732" s="13" t="str">
        <f>IF(RIGHT(A2732,3)="000",C2732,VLOOKUP(B2732,'Справочник ИХ'!A:C,3,0))</f>
        <v>Остальные грузы</v>
      </c>
      <c r="E2732" s="13">
        <f>IF(RIGHT(A2732,3)="000","х",VLOOKUP(B2732,'Справочник ИХ'!A:D,4,0))</f>
        <v>3</v>
      </c>
      <c r="F2732" s="14" t="s">
        <v>3684</v>
      </c>
    </row>
    <row r="2733" spans="1:6" ht="31.75">
      <c r="A2733" s="19" t="s">
        <v>3726</v>
      </c>
      <c r="B2733" s="12" t="str">
        <f t="shared" si="42"/>
        <v>472</v>
      </c>
      <c r="C2733" s="1" t="s">
        <v>3727</v>
      </c>
      <c r="D2733" s="13" t="str">
        <f>IF(RIGHT(A2733,3)="000",C2733,VLOOKUP(B2733,'Справочник ИХ'!A:C,3,0))</f>
        <v>Остальные грузы</v>
      </c>
      <c r="E2733" s="13">
        <f>IF(RIGHT(A2733,3)="000","х",VLOOKUP(B2733,'Справочник ИХ'!A:D,4,0))</f>
        <v>3</v>
      </c>
      <c r="F2733" s="14" t="s">
        <v>3684</v>
      </c>
    </row>
    <row r="2734" spans="1:6" ht="31.75">
      <c r="A2734" s="19" t="s">
        <v>3728</v>
      </c>
      <c r="B2734" s="12" t="str">
        <f t="shared" si="42"/>
        <v>472</v>
      </c>
      <c r="C2734" s="1" t="s">
        <v>3729</v>
      </c>
      <c r="D2734" s="13" t="str">
        <f>IF(RIGHT(A2734,3)="000",C2734,VLOOKUP(B2734,'Справочник ИХ'!A:C,3,0))</f>
        <v>Остальные грузы</v>
      </c>
      <c r="E2734" s="13">
        <f>IF(RIGHT(A2734,3)="000","х",VLOOKUP(B2734,'Справочник ИХ'!A:D,4,0))</f>
        <v>3</v>
      </c>
      <c r="F2734" s="14" t="s">
        <v>3684</v>
      </c>
    </row>
    <row r="2735" spans="1:6" ht="31.75">
      <c r="A2735" s="19" t="s">
        <v>3730</v>
      </c>
      <c r="B2735" s="12" t="str">
        <f t="shared" si="42"/>
        <v>472</v>
      </c>
      <c r="C2735" s="1" t="s">
        <v>3731</v>
      </c>
      <c r="D2735" s="13" t="str">
        <f>IF(RIGHT(A2735,3)="000",C2735,VLOOKUP(B2735,'Справочник ИХ'!A:C,3,0))</f>
        <v>Остальные грузы</v>
      </c>
      <c r="E2735" s="13">
        <f>IF(RIGHT(A2735,3)="000","х",VLOOKUP(B2735,'Справочник ИХ'!A:D,4,0))</f>
        <v>3</v>
      </c>
      <c r="F2735" s="14" t="s">
        <v>3684</v>
      </c>
    </row>
    <row r="2736" spans="1:6" ht="31.75">
      <c r="A2736" s="19" t="s">
        <v>3732</v>
      </c>
      <c r="B2736" s="12" t="str">
        <f t="shared" si="42"/>
        <v>472</v>
      </c>
      <c r="C2736" s="1" t="s">
        <v>3733</v>
      </c>
      <c r="D2736" s="13" t="str">
        <f>IF(RIGHT(A2736,3)="000",C2736,VLOOKUP(B2736,'Справочник ИХ'!A:C,3,0))</f>
        <v>Остальные грузы</v>
      </c>
      <c r="E2736" s="13">
        <f>IF(RIGHT(A2736,3)="000","х",VLOOKUP(B2736,'Справочник ИХ'!A:D,4,0))</f>
        <v>3</v>
      </c>
      <c r="F2736" s="14" t="s">
        <v>3684</v>
      </c>
    </row>
    <row r="2737" spans="1:6" ht="31.75">
      <c r="A2737" s="19" t="s">
        <v>3734</v>
      </c>
      <c r="B2737" s="12" t="str">
        <f t="shared" si="42"/>
        <v>472</v>
      </c>
      <c r="C2737" s="1" t="s">
        <v>3735</v>
      </c>
      <c r="D2737" s="13" t="str">
        <f>IF(RIGHT(A2737,3)="000",C2737,VLOOKUP(B2737,'Справочник ИХ'!A:C,3,0))</f>
        <v>Остальные грузы</v>
      </c>
      <c r="E2737" s="13">
        <f>IF(RIGHT(A2737,3)="000","х",VLOOKUP(B2737,'Справочник ИХ'!A:D,4,0))</f>
        <v>3</v>
      </c>
      <c r="F2737" s="14" t="s">
        <v>3684</v>
      </c>
    </row>
    <row r="2738" spans="1:6" ht="31.75">
      <c r="A2738" s="19" t="s">
        <v>3736</v>
      </c>
      <c r="B2738" s="12" t="str">
        <f t="shared" si="42"/>
        <v>472</v>
      </c>
      <c r="C2738" s="1" t="s">
        <v>3737</v>
      </c>
      <c r="D2738" s="13" t="str">
        <f>IF(RIGHT(A2738,3)="000",C2738,VLOOKUP(B2738,'Справочник ИХ'!A:C,3,0))</f>
        <v>Остальные грузы</v>
      </c>
      <c r="E2738" s="13">
        <f>IF(RIGHT(A2738,3)="000","х",VLOOKUP(B2738,'Справочник ИХ'!A:D,4,0))</f>
        <v>3</v>
      </c>
      <c r="F2738" s="14" t="s">
        <v>3684</v>
      </c>
    </row>
    <row r="2739" spans="1:6" ht="31.75">
      <c r="A2739" s="19" t="s">
        <v>3738</v>
      </c>
      <c r="B2739" s="12" t="str">
        <f t="shared" si="42"/>
        <v>472</v>
      </c>
      <c r="C2739" s="1" t="s">
        <v>3739</v>
      </c>
      <c r="D2739" s="13" t="str">
        <f>IF(RIGHT(A2739,3)="000",C2739,VLOOKUP(B2739,'Справочник ИХ'!A:C,3,0))</f>
        <v>Остальные грузы</v>
      </c>
      <c r="E2739" s="13">
        <f>IF(RIGHT(A2739,3)="000","х",VLOOKUP(B2739,'Справочник ИХ'!A:D,4,0))</f>
        <v>3</v>
      </c>
      <c r="F2739" s="14" t="s">
        <v>3684</v>
      </c>
    </row>
    <row r="2740" spans="1:6" ht="31.75">
      <c r="A2740" s="19" t="s">
        <v>3740</v>
      </c>
      <c r="B2740" s="12" t="str">
        <f t="shared" si="42"/>
        <v>472</v>
      </c>
      <c r="C2740" s="1" t="s">
        <v>3741</v>
      </c>
      <c r="D2740" s="13" t="str">
        <f>IF(RIGHT(A2740,3)="000",C2740,VLOOKUP(B2740,'Справочник ИХ'!A:C,3,0))</f>
        <v>Остальные грузы</v>
      </c>
      <c r="E2740" s="13">
        <f>IF(RIGHT(A2740,3)="000","х",VLOOKUP(B2740,'Справочник ИХ'!A:D,4,0))</f>
        <v>3</v>
      </c>
      <c r="F2740" s="14" t="s">
        <v>3684</v>
      </c>
    </row>
    <row r="2741" spans="1:6" ht="31.75">
      <c r="A2741" s="19" t="s">
        <v>3742</v>
      </c>
      <c r="B2741" s="12" t="str">
        <f t="shared" si="42"/>
        <v>472</v>
      </c>
      <c r="C2741" s="1" t="s">
        <v>3743</v>
      </c>
      <c r="D2741" s="13" t="str">
        <f>IF(RIGHT(A2741,3)="000",C2741,VLOOKUP(B2741,'Справочник ИХ'!A:C,3,0))</f>
        <v>Остальные грузы</v>
      </c>
      <c r="E2741" s="13">
        <f>IF(RIGHT(A2741,3)="000","х",VLOOKUP(B2741,'Справочник ИХ'!A:D,4,0))</f>
        <v>3</v>
      </c>
      <c r="F2741" s="14" t="s">
        <v>3684</v>
      </c>
    </row>
    <row r="2742" spans="1:6" ht="31.75">
      <c r="A2742" s="19" t="s">
        <v>3744</v>
      </c>
      <c r="B2742" s="12" t="str">
        <f t="shared" si="42"/>
        <v>472</v>
      </c>
      <c r="C2742" s="1" t="s">
        <v>3745</v>
      </c>
      <c r="D2742" s="13" t="str">
        <f>IF(RIGHT(A2742,3)="000",C2742,VLOOKUP(B2742,'Справочник ИХ'!A:C,3,0))</f>
        <v>Остальные грузы</v>
      </c>
      <c r="E2742" s="13">
        <f>IF(RIGHT(A2742,3)="000","х",VLOOKUP(B2742,'Справочник ИХ'!A:D,4,0))</f>
        <v>3</v>
      </c>
      <c r="F2742" s="14" t="s">
        <v>3684</v>
      </c>
    </row>
    <row r="2743" spans="1:6" s="18" customFormat="1" ht="31.75">
      <c r="A2743" s="16">
        <v>47300</v>
      </c>
      <c r="B2743" s="12" t="str">
        <f t="shared" si="42"/>
        <v>473</v>
      </c>
      <c r="C2743" s="17" t="s">
        <v>3746</v>
      </c>
      <c r="D2743" s="13" t="str">
        <f>IF(RIGHT(A2743,3)="000",C2743,VLOOKUP(B2743,'Справочник ИХ'!A:C,3,0))</f>
        <v>Остальные грузы</v>
      </c>
      <c r="E2743" s="13">
        <f>IF(RIGHT(A2743,3)="000","х",VLOOKUP(B2743,'Справочник ИХ'!A:D,4,0))</f>
        <v>3</v>
      </c>
      <c r="F2743" s="14" t="s">
        <v>3684</v>
      </c>
    </row>
    <row r="2744" spans="1:6" ht="31.75">
      <c r="A2744" s="19">
        <v>47301</v>
      </c>
      <c r="B2744" s="12" t="str">
        <f t="shared" si="42"/>
        <v>473</v>
      </c>
      <c r="C2744" s="1" t="s">
        <v>3747</v>
      </c>
      <c r="D2744" s="13" t="str">
        <f>IF(RIGHT(A2744,3)="000",C2744,VLOOKUP(B2744,'Справочник ИХ'!A:C,3,0))</f>
        <v>Остальные грузы</v>
      </c>
      <c r="E2744" s="13">
        <f>IF(RIGHT(A2744,3)="000","х",VLOOKUP(B2744,'Справочник ИХ'!A:D,4,0))</f>
        <v>3</v>
      </c>
      <c r="F2744" s="14" t="s">
        <v>3684</v>
      </c>
    </row>
    <row r="2745" spans="1:6" ht="31.75">
      <c r="A2745" s="19">
        <v>47302</v>
      </c>
      <c r="B2745" s="12" t="str">
        <f t="shared" si="42"/>
        <v>473</v>
      </c>
      <c r="C2745" s="1" t="s">
        <v>3748</v>
      </c>
      <c r="D2745" s="13" t="str">
        <f>IF(RIGHT(A2745,3)="000",C2745,VLOOKUP(B2745,'Справочник ИХ'!A:C,3,0))</f>
        <v>Остальные грузы</v>
      </c>
      <c r="E2745" s="13">
        <f>IF(RIGHT(A2745,3)="000","х",VLOOKUP(B2745,'Справочник ИХ'!A:D,4,0))</f>
        <v>3</v>
      </c>
      <c r="F2745" s="14" t="s">
        <v>3684</v>
      </c>
    </row>
    <row r="2746" spans="1:6" ht="31.75">
      <c r="A2746" s="19">
        <v>47303</v>
      </c>
      <c r="B2746" s="12" t="str">
        <f t="shared" si="42"/>
        <v>473</v>
      </c>
      <c r="C2746" s="1" t="s">
        <v>3749</v>
      </c>
      <c r="D2746" s="13" t="str">
        <f>IF(RIGHT(A2746,3)="000",C2746,VLOOKUP(B2746,'Справочник ИХ'!A:C,3,0))</f>
        <v>Остальные грузы</v>
      </c>
      <c r="E2746" s="13">
        <f>IF(RIGHT(A2746,3)="000","х",VLOOKUP(B2746,'Справочник ИХ'!A:D,4,0))</f>
        <v>3</v>
      </c>
      <c r="F2746" s="14" t="s">
        <v>3684</v>
      </c>
    </row>
    <row r="2747" spans="1:6" ht="31.75">
      <c r="A2747" s="19">
        <v>47304</v>
      </c>
      <c r="B2747" s="12" t="str">
        <f t="shared" si="42"/>
        <v>473</v>
      </c>
      <c r="C2747" s="1" t="s">
        <v>3750</v>
      </c>
      <c r="D2747" s="13" t="str">
        <f>IF(RIGHT(A2747,3)="000",C2747,VLOOKUP(B2747,'Справочник ИХ'!A:C,3,0))</f>
        <v>Остальные грузы</v>
      </c>
      <c r="E2747" s="13">
        <f>IF(RIGHT(A2747,3)="000","х",VLOOKUP(B2747,'Справочник ИХ'!A:D,4,0))</f>
        <v>3</v>
      </c>
      <c r="F2747" s="14" t="s">
        <v>3684</v>
      </c>
    </row>
    <row r="2748" spans="1:6" ht="31.75">
      <c r="A2748" s="19">
        <v>47305</v>
      </c>
      <c r="B2748" s="12" t="str">
        <f t="shared" si="42"/>
        <v>473</v>
      </c>
      <c r="C2748" s="1" t="s">
        <v>3751</v>
      </c>
      <c r="D2748" s="13" t="str">
        <f>IF(RIGHT(A2748,3)="000",C2748,VLOOKUP(B2748,'Справочник ИХ'!A:C,3,0))</f>
        <v>Остальные грузы</v>
      </c>
      <c r="E2748" s="13">
        <f>IF(RIGHT(A2748,3)="000","х",VLOOKUP(B2748,'Справочник ИХ'!A:D,4,0))</f>
        <v>3</v>
      </c>
      <c r="F2748" s="14" t="s">
        <v>3684</v>
      </c>
    </row>
    <row r="2749" spans="1:6" ht="31.75">
      <c r="A2749" s="19">
        <v>47306</v>
      </c>
      <c r="B2749" s="12" t="str">
        <f t="shared" si="42"/>
        <v>473</v>
      </c>
      <c r="C2749" s="1" t="s">
        <v>3752</v>
      </c>
      <c r="D2749" s="13" t="str">
        <f>IF(RIGHT(A2749,3)="000",C2749,VLOOKUP(B2749,'Справочник ИХ'!A:C,3,0))</f>
        <v>Остальные грузы</v>
      </c>
      <c r="E2749" s="13">
        <f>IF(RIGHT(A2749,3)="000","х",VLOOKUP(B2749,'Справочник ИХ'!A:D,4,0))</f>
        <v>3</v>
      </c>
      <c r="F2749" s="14" t="s">
        <v>3684</v>
      </c>
    </row>
    <row r="2750" spans="1:6" ht="31.75">
      <c r="A2750" s="19">
        <v>47307</v>
      </c>
      <c r="B2750" s="12" t="str">
        <f t="shared" si="42"/>
        <v>473</v>
      </c>
      <c r="C2750" s="1" t="s">
        <v>3753</v>
      </c>
      <c r="D2750" s="13" t="str">
        <f>IF(RIGHT(A2750,3)="000",C2750,VLOOKUP(B2750,'Справочник ИХ'!A:C,3,0))</f>
        <v>Остальные грузы</v>
      </c>
      <c r="E2750" s="13">
        <f>IF(RIGHT(A2750,3)="000","х",VLOOKUP(B2750,'Справочник ИХ'!A:D,4,0))</f>
        <v>3</v>
      </c>
      <c r="F2750" s="14" t="s">
        <v>3684</v>
      </c>
    </row>
    <row r="2751" spans="1:6" ht="31.75">
      <c r="A2751" s="19" t="s">
        <v>3754</v>
      </c>
      <c r="B2751" s="12" t="str">
        <f t="shared" si="42"/>
        <v>473</v>
      </c>
      <c r="C2751" s="1" t="s">
        <v>3755</v>
      </c>
      <c r="D2751" s="13" t="str">
        <f>IF(RIGHT(A2751,3)="000",C2751,VLOOKUP(B2751,'Справочник ИХ'!A:C,3,0))</f>
        <v>Остальные грузы</v>
      </c>
      <c r="E2751" s="13">
        <f>IF(RIGHT(A2751,3)="000","х",VLOOKUP(B2751,'Справочник ИХ'!A:D,4,0))</f>
        <v>3</v>
      </c>
      <c r="F2751" s="14" t="s">
        <v>3684</v>
      </c>
    </row>
    <row r="2752" spans="1:6" s="18" customFormat="1" ht="31.75">
      <c r="A2752" s="16">
        <v>47400</v>
      </c>
      <c r="B2752" s="12" t="str">
        <f t="shared" si="42"/>
        <v>474</v>
      </c>
      <c r="C2752" s="17" t="s">
        <v>3756</v>
      </c>
      <c r="D2752" s="13" t="str">
        <f>IF(RIGHT(A2752,3)="000",C2752,VLOOKUP(B2752,'Справочник ИХ'!A:C,3,0))</f>
        <v>Остальные грузы</v>
      </c>
      <c r="E2752" s="13">
        <f>IF(RIGHT(A2752,3)="000","х",VLOOKUP(B2752,'Справочник ИХ'!A:D,4,0))</f>
        <v>2</v>
      </c>
      <c r="F2752" s="14" t="s">
        <v>3684</v>
      </c>
    </row>
    <row r="2753" spans="1:6" ht="31.75">
      <c r="A2753" s="19" t="s">
        <v>3757</v>
      </c>
      <c r="B2753" s="12" t="str">
        <f t="shared" si="42"/>
        <v>474</v>
      </c>
      <c r="C2753" s="1" t="s">
        <v>3758</v>
      </c>
      <c r="D2753" s="13" t="str">
        <f>IF(RIGHT(A2753,3)="000",C2753,VLOOKUP(B2753,'Справочник ИХ'!A:C,3,0))</f>
        <v>Остальные грузы</v>
      </c>
      <c r="E2753" s="13">
        <f>IF(RIGHT(A2753,3)="000","х",VLOOKUP(B2753,'Справочник ИХ'!A:D,4,0))</f>
        <v>2</v>
      </c>
      <c r="F2753" s="14" t="s">
        <v>3684</v>
      </c>
    </row>
    <row r="2754" spans="1:6" s="18" customFormat="1" ht="31.75">
      <c r="A2754" s="16">
        <v>47500</v>
      </c>
      <c r="B2754" s="12" t="str">
        <f t="shared" si="42"/>
        <v>475</v>
      </c>
      <c r="C2754" s="17" t="s">
        <v>3759</v>
      </c>
      <c r="D2754" s="13" t="str">
        <f>IF(RIGHT(A2754,3)="000",C2754,VLOOKUP(B2754,'Справочник ИХ'!A:C,3,0))</f>
        <v>Остальные грузы</v>
      </c>
      <c r="E2754" s="13">
        <f>IF(RIGHT(A2754,3)="000","х",VLOOKUP(B2754,'Справочник ИХ'!A:D,4,0))</f>
        <v>3</v>
      </c>
      <c r="F2754" s="14" t="s">
        <v>3684</v>
      </c>
    </row>
    <row r="2755" spans="1:6" ht="31.75">
      <c r="A2755" s="19">
        <v>47501</v>
      </c>
      <c r="B2755" s="12" t="str">
        <f t="shared" si="42"/>
        <v>475</v>
      </c>
      <c r="C2755" s="1" t="s">
        <v>3760</v>
      </c>
      <c r="D2755" s="13" t="str">
        <f>IF(RIGHT(A2755,3)="000",C2755,VLOOKUP(B2755,'Справочник ИХ'!A:C,3,0))</f>
        <v>Остальные грузы</v>
      </c>
      <c r="E2755" s="13">
        <f>IF(RIGHT(A2755,3)="000","х",VLOOKUP(B2755,'Справочник ИХ'!A:D,4,0))</f>
        <v>3</v>
      </c>
      <c r="F2755" s="14" t="s">
        <v>3684</v>
      </c>
    </row>
    <row r="2756" spans="1:6" ht="31.75">
      <c r="A2756" s="19">
        <v>47502</v>
      </c>
      <c r="B2756" s="12" t="str">
        <f t="shared" si="42"/>
        <v>475</v>
      </c>
      <c r="C2756" s="1" t="s">
        <v>3761</v>
      </c>
      <c r="D2756" s="13" t="str">
        <f>IF(RIGHT(A2756,3)="000",C2756,VLOOKUP(B2756,'Справочник ИХ'!A:C,3,0))</f>
        <v>Остальные грузы</v>
      </c>
      <c r="E2756" s="13">
        <f>IF(RIGHT(A2756,3)="000","х",VLOOKUP(B2756,'Справочник ИХ'!A:D,4,0))</f>
        <v>3</v>
      </c>
      <c r="F2756" s="14" t="s">
        <v>3684</v>
      </c>
    </row>
    <row r="2757" spans="1:6" ht="31.75">
      <c r="A2757" s="19" t="s">
        <v>3762</v>
      </c>
      <c r="B2757" s="12" t="str">
        <f t="shared" ref="B2757:B2820" si="43">LEFT(A2757,3)</f>
        <v>475</v>
      </c>
      <c r="C2757" s="1" t="s">
        <v>3763</v>
      </c>
      <c r="D2757" s="13" t="str">
        <f>IF(RIGHT(A2757,3)="000",C2757,VLOOKUP(B2757,'Справочник ИХ'!A:C,3,0))</f>
        <v>Остальные грузы</v>
      </c>
      <c r="E2757" s="13">
        <f>IF(RIGHT(A2757,3)="000","х",VLOOKUP(B2757,'Справочник ИХ'!A:D,4,0))</f>
        <v>3</v>
      </c>
      <c r="F2757" s="14" t="s">
        <v>3684</v>
      </c>
    </row>
    <row r="2758" spans="1:6" ht="31.75">
      <c r="A2758" s="19" t="s">
        <v>3764</v>
      </c>
      <c r="B2758" s="12" t="str">
        <f t="shared" si="43"/>
        <v>475</v>
      </c>
      <c r="C2758" s="1" t="s">
        <v>3765</v>
      </c>
      <c r="D2758" s="13" t="str">
        <f>IF(RIGHT(A2758,3)="000",C2758,VLOOKUP(B2758,'Справочник ИХ'!A:C,3,0))</f>
        <v>Остальные грузы</v>
      </c>
      <c r="E2758" s="13">
        <f>IF(RIGHT(A2758,3)="000","х",VLOOKUP(B2758,'Справочник ИХ'!A:D,4,0))</f>
        <v>3</v>
      </c>
      <c r="F2758" s="14" t="s">
        <v>3684</v>
      </c>
    </row>
    <row r="2759" spans="1:6" ht="31.75">
      <c r="A2759" s="19" t="s">
        <v>3766</v>
      </c>
      <c r="B2759" s="12" t="str">
        <f t="shared" si="43"/>
        <v>475</v>
      </c>
      <c r="C2759" s="1" t="s">
        <v>3767</v>
      </c>
      <c r="D2759" s="13" t="str">
        <f>IF(RIGHT(A2759,3)="000",C2759,VLOOKUP(B2759,'Справочник ИХ'!A:C,3,0))</f>
        <v>Остальные грузы</v>
      </c>
      <c r="E2759" s="13">
        <f>IF(RIGHT(A2759,3)="000","х",VLOOKUP(B2759,'Справочник ИХ'!A:D,4,0))</f>
        <v>3</v>
      </c>
      <c r="F2759" s="14" t="s">
        <v>3684</v>
      </c>
    </row>
    <row r="2760" spans="1:6" ht="31.75">
      <c r="A2760" s="19" t="s">
        <v>3768</v>
      </c>
      <c r="B2760" s="12" t="str">
        <f t="shared" si="43"/>
        <v>475</v>
      </c>
      <c r="C2760" s="1" t="s">
        <v>3769</v>
      </c>
      <c r="D2760" s="13" t="str">
        <f>IF(RIGHT(A2760,3)="000",C2760,VLOOKUP(B2760,'Справочник ИХ'!A:C,3,0))</f>
        <v>Остальные грузы</v>
      </c>
      <c r="E2760" s="13">
        <f>IF(RIGHT(A2760,3)="000","х",VLOOKUP(B2760,'Справочник ИХ'!A:D,4,0))</f>
        <v>3</v>
      </c>
      <c r="F2760" s="14" t="s">
        <v>3684</v>
      </c>
    </row>
    <row r="2761" spans="1:6" ht="31.75">
      <c r="A2761" s="19" t="s">
        <v>3770</v>
      </c>
      <c r="B2761" s="12" t="str">
        <f t="shared" si="43"/>
        <v>475</v>
      </c>
      <c r="C2761" s="1" t="s">
        <v>3771</v>
      </c>
      <c r="D2761" s="13" t="str">
        <f>IF(RIGHT(A2761,3)="000",C2761,VLOOKUP(B2761,'Справочник ИХ'!A:C,3,0))</f>
        <v>Остальные грузы</v>
      </c>
      <c r="E2761" s="13">
        <f>IF(RIGHT(A2761,3)="000","х",VLOOKUP(B2761,'Справочник ИХ'!A:D,4,0))</f>
        <v>3</v>
      </c>
      <c r="F2761" s="14" t="s">
        <v>3684</v>
      </c>
    </row>
    <row r="2762" spans="1:6" ht="31.75">
      <c r="A2762" s="19" t="s">
        <v>3772</v>
      </c>
      <c r="B2762" s="12" t="str">
        <f t="shared" si="43"/>
        <v>475</v>
      </c>
      <c r="C2762" s="1" t="s">
        <v>3773</v>
      </c>
      <c r="D2762" s="13" t="str">
        <f>IF(RIGHT(A2762,3)="000",C2762,VLOOKUP(B2762,'Справочник ИХ'!A:C,3,0))</f>
        <v>Остальные грузы</v>
      </c>
      <c r="E2762" s="13">
        <f>IF(RIGHT(A2762,3)="000","х",VLOOKUP(B2762,'Справочник ИХ'!A:D,4,0))</f>
        <v>3</v>
      </c>
      <c r="F2762" s="14" t="s">
        <v>3684</v>
      </c>
    </row>
    <row r="2763" spans="1:6" ht="31.75">
      <c r="A2763" s="19" t="s">
        <v>3774</v>
      </c>
      <c r="B2763" s="12" t="str">
        <f t="shared" si="43"/>
        <v>475</v>
      </c>
      <c r="C2763" s="1" t="s">
        <v>3775</v>
      </c>
      <c r="D2763" s="13" t="str">
        <f>IF(RIGHT(A2763,3)="000",C2763,VLOOKUP(B2763,'Справочник ИХ'!A:C,3,0))</f>
        <v>Остальные грузы</v>
      </c>
      <c r="E2763" s="13">
        <f>IF(RIGHT(A2763,3)="000","х",VLOOKUP(B2763,'Справочник ИХ'!A:D,4,0))</f>
        <v>3</v>
      </c>
      <c r="F2763" s="14" t="s">
        <v>3684</v>
      </c>
    </row>
    <row r="2764" spans="1:6" ht="31.75">
      <c r="A2764" s="19" t="s">
        <v>3776</v>
      </c>
      <c r="B2764" s="12" t="str">
        <f t="shared" si="43"/>
        <v>475</v>
      </c>
      <c r="C2764" s="1" t="s">
        <v>3777</v>
      </c>
      <c r="D2764" s="13" t="str">
        <f>IF(RIGHT(A2764,3)="000",C2764,VLOOKUP(B2764,'Справочник ИХ'!A:C,3,0))</f>
        <v>Остальные грузы</v>
      </c>
      <c r="E2764" s="13">
        <f>IF(RIGHT(A2764,3)="000","х",VLOOKUP(B2764,'Справочник ИХ'!A:D,4,0))</f>
        <v>3</v>
      </c>
      <c r="F2764" s="14" t="s">
        <v>3684</v>
      </c>
    </row>
    <row r="2765" spans="1:6" ht="31.75">
      <c r="A2765" s="19" t="s">
        <v>3778</v>
      </c>
      <c r="B2765" s="12" t="str">
        <f t="shared" si="43"/>
        <v>475</v>
      </c>
      <c r="C2765" s="1" t="s">
        <v>3779</v>
      </c>
      <c r="D2765" s="13" t="str">
        <f>IF(RIGHT(A2765,3)="000",C2765,VLOOKUP(B2765,'Справочник ИХ'!A:C,3,0))</f>
        <v>Остальные грузы</v>
      </c>
      <c r="E2765" s="13">
        <f>IF(RIGHT(A2765,3)="000","х",VLOOKUP(B2765,'Справочник ИХ'!A:D,4,0))</f>
        <v>3</v>
      </c>
      <c r="F2765" s="14" t="s">
        <v>3684</v>
      </c>
    </row>
    <row r="2766" spans="1:6" ht="31.75">
      <c r="A2766" s="19" t="s">
        <v>3780</v>
      </c>
      <c r="B2766" s="12" t="str">
        <f t="shared" si="43"/>
        <v>475</v>
      </c>
      <c r="C2766" s="1" t="s">
        <v>3781</v>
      </c>
      <c r="D2766" s="13" t="str">
        <f>IF(RIGHT(A2766,3)="000",C2766,VLOOKUP(B2766,'Справочник ИХ'!A:C,3,0))</f>
        <v>Остальные грузы</v>
      </c>
      <c r="E2766" s="13">
        <f>IF(RIGHT(A2766,3)="000","х",VLOOKUP(B2766,'Справочник ИХ'!A:D,4,0))</f>
        <v>3</v>
      </c>
      <c r="F2766" s="14" t="s">
        <v>3684</v>
      </c>
    </row>
    <row r="2767" spans="1:6" ht="31.75">
      <c r="A2767" s="19" t="s">
        <v>3782</v>
      </c>
      <c r="B2767" s="12" t="str">
        <f t="shared" si="43"/>
        <v>475</v>
      </c>
      <c r="C2767" s="1" t="s">
        <v>3783</v>
      </c>
      <c r="D2767" s="13" t="str">
        <f>IF(RIGHT(A2767,3)="000",C2767,VLOOKUP(B2767,'Справочник ИХ'!A:C,3,0))</f>
        <v>Остальные грузы</v>
      </c>
      <c r="E2767" s="13">
        <f>IF(RIGHT(A2767,3)="000","х",VLOOKUP(B2767,'Справочник ИХ'!A:D,4,0))</f>
        <v>3</v>
      </c>
      <c r="F2767" s="14" t="s">
        <v>3684</v>
      </c>
    </row>
    <row r="2768" spans="1:6" ht="31.75">
      <c r="A2768" s="19" t="s">
        <v>3784</v>
      </c>
      <c r="B2768" s="12" t="str">
        <f t="shared" si="43"/>
        <v>475</v>
      </c>
      <c r="C2768" s="1" t="s">
        <v>3785</v>
      </c>
      <c r="D2768" s="13" t="str">
        <f>IF(RIGHT(A2768,3)="000",C2768,VLOOKUP(B2768,'Справочник ИХ'!A:C,3,0))</f>
        <v>Остальные грузы</v>
      </c>
      <c r="E2768" s="13">
        <f>IF(RIGHT(A2768,3)="000","х",VLOOKUP(B2768,'Справочник ИХ'!A:D,4,0))</f>
        <v>3</v>
      </c>
      <c r="F2768" s="14" t="s">
        <v>3684</v>
      </c>
    </row>
    <row r="2769" spans="1:6" ht="31.75">
      <c r="A2769" s="19" t="s">
        <v>3786</v>
      </c>
      <c r="B2769" s="12" t="str">
        <f t="shared" si="43"/>
        <v>475</v>
      </c>
      <c r="C2769" s="1" t="s">
        <v>3787</v>
      </c>
      <c r="D2769" s="13" t="str">
        <f>IF(RIGHT(A2769,3)="000",C2769,VLOOKUP(B2769,'Справочник ИХ'!A:C,3,0))</f>
        <v>Остальные грузы</v>
      </c>
      <c r="E2769" s="13">
        <f>IF(RIGHT(A2769,3)="000","х",VLOOKUP(B2769,'Справочник ИХ'!A:D,4,0))</f>
        <v>3</v>
      </c>
      <c r="F2769" s="14" t="s">
        <v>3684</v>
      </c>
    </row>
    <row r="2770" spans="1:6" ht="31.75">
      <c r="A2770" s="19" t="s">
        <v>3788</v>
      </c>
      <c r="B2770" s="12" t="str">
        <f t="shared" si="43"/>
        <v>475</v>
      </c>
      <c r="C2770" s="1" t="s">
        <v>3789</v>
      </c>
      <c r="D2770" s="13" t="str">
        <f>IF(RIGHT(A2770,3)="000",C2770,VLOOKUP(B2770,'Справочник ИХ'!A:C,3,0))</f>
        <v>Остальные грузы</v>
      </c>
      <c r="E2770" s="13">
        <f>IF(RIGHT(A2770,3)="000","х",VLOOKUP(B2770,'Справочник ИХ'!A:D,4,0))</f>
        <v>3</v>
      </c>
      <c r="F2770" s="14" t="s">
        <v>3684</v>
      </c>
    </row>
    <row r="2771" spans="1:6" ht="31.75">
      <c r="A2771" s="19" t="s">
        <v>3790</v>
      </c>
      <c r="B2771" s="12" t="str">
        <f t="shared" si="43"/>
        <v>475</v>
      </c>
      <c r="C2771" s="1" t="s">
        <v>3791</v>
      </c>
      <c r="D2771" s="13" t="str">
        <f>IF(RIGHT(A2771,3)="000",C2771,VLOOKUP(B2771,'Справочник ИХ'!A:C,3,0))</f>
        <v>Остальные грузы</v>
      </c>
      <c r="E2771" s="13">
        <f>IF(RIGHT(A2771,3)="000","х",VLOOKUP(B2771,'Справочник ИХ'!A:D,4,0))</f>
        <v>3</v>
      </c>
      <c r="F2771" s="14" t="s">
        <v>3684</v>
      </c>
    </row>
    <row r="2772" spans="1:6" ht="31.75">
      <c r="A2772" s="19" t="s">
        <v>3792</v>
      </c>
      <c r="B2772" s="12" t="str">
        <f t="shared" si="43"/>
        <v>475</v>
      </c>
      <c r="C2772" s="1" t="s">
        <v>3793</v>
      </c>
      <c r="D2772" s="13" t="str">
        <f>IF(RIGHT(A2772,3)="000",C2772,VLOOKUP(B2772,'Справочник ИХ'!A:C,3,0))</f>
        <v>Остальные грузы</v>
      </c>
      <c r="E2772" s="13">
        <f>IF(RIGHT(A2772,3)="000","х",VLOOKUP(B2772,'Справочник ИХ'!A:D,4,0))</f>
        <v>3</v>
      </c>
      <c r="F2772" s="14" t="s">
        <v>3684</v>
      </c>
    </row>
    <row r="2773" spans="1:6" ht="31.75">
      <c r="A2773" s="19" t="s">
        <v>3794</v>
      </c>
      <c r="B2773" s="12" t="str">
        <f t="shared" si="43"/>
        <v>475</v>
      </c>
      <c r="C2773" s="1" t="s">
        <v>3795</v>
      </c>
      <c r="D2773" s="13" t="str">
        <f>IF(RIGHT(A2773,3)="000",C2773,VLOOKUP(B2773,'Справочник ИХ'!A:C,3,0))</f>
        <v>Остальные грузы</v>
      </c>
      <c r="E2773" s="13">
        <f>IF(RIGHT(A2773,3)="000","х",VLOOKUP(B2773,'Справочник ИХ'!A:D,4,0))</f>
        <v>3</v>
      </c>
      <c r="F2773" s="14" t="s">
        <v>3684</v>
      </c>
    </row>
    <row r="2774" spans="1:6" ht="31.75">
      <c r="A2774" s="19" t="s">
        <v>3796</v>
      </c>
      <c r="B2774" s="12" t="str">
        <f t="shared" si="43"/>
        <v>475</v>
      </c>
      <c r="C2774" s="1" t="s">
        <v>3797</v>
      </c>
      <c r="D2774" s="13" t="str">
        <f>IF(RIGHT(A2774,3)="000",C2774,VLOOKUP(B2774,'Справочник ИХ'!A:C,3,0))</f>
        <v>Остальные грузы</v>
      </c>
      <c r="E2774" s="13">
        <f>IF(RIGHT(A2774,3)="000","х",VLOOKUP(B2774,'Справочник ИХ'!A:D,4,0))</f>
        <v>3</v>
      </c>
      <c r="F2774" s="14" t="s">
        <v>3684</v>
      </c>
    </row>
    <row r="2775" spans="1:6" ht="31.75">
      <c r="A2775" s="19" t="s">
        <v>3798</v>
      </c>
      <c r="B2775" s="12" t="str">
        <f t="shared" si="43"/>
        <v>475</v>
      </c>
      <c r="C2775" s="1" t="s">
        <v>3799</v>
      </c>
      <c r="D2775" s="13" t="str">
        <f>IF(RIGHT(A2775,3)="000",C2775,VLOOKUP(B2775,'Справочник ИХ'!A:C,3,0))</f>
        <v>Остальные грузы</v>
      </c>
      <c r="E2775" s="13">
        <f>IF(RIGHT(A2775,3)="000","х",VLOOKUP(B2775,'Справочник ИХ'!A:D,4,0))</f>
        <v>3</v>
      </c>
      <c r="F2775" s="14" t="s">
        <v>3684</v>
      </c>
    </row>
    <row r="2776" spans="1:6" ht="31.75">
      <c r="A2776" s="19" t="s">
        <v>3800</v>
      </c>
      <c r="B2776" s="12" t="str">
        <f t="shared" si="43"/>
        <v>475</v>
      </c>
      <c r="C2776" s="1" t="s">
        <v>3801</v>
      </c>
      <c r="D2776" s="13" t="str">
        <f>IF(RIGHT(A2776,3)="000",C2776,VLOOKUP(B2776,'Справочник ИХ'!A:C,3,0))</f>
        <v>Остальные грузы</v>
      </c>
      <c r="E2776" s="13">
        <f>IF(RIGHT(A2776,3)="000","х",VLOOKUP(B2776,'Справочник ИХ'!A:D,4,0))</f>
        <v>3</v>
      </c>
      <c r="F2776" s="14" t="s">
        <v>3684</v>
      </c>
    </row>
    <row r="2777" spans="1:6" ht="31.75">
      <c r="A2777" s="19" t="s">
        <v>3802</v>
      </c>
      <c r="B2777" s="12" t="str">
        <f t="shared" si="43"/>
        <v>475</v>
      </c>
      <c r="C2777" s="1" t="s">
        <v>3803</v>
      </c>
      <c r="D2777" s="13" t="str">
        <f>IF(RIGHT(A2777,3)="000",C2777,VLOOKUP(B2777,'Справочник ИХ'!A:C,3,0))</f>
        <v>Остальные грузы</v>
      </c>
      <c r="E2777" s="13">
        <f>IF(RIGHT(A2777,3)="000","х",VLOOKUP(B2777,'Справочник ИХ'!A:D,4,0))</f>
        <v>3</v>
      </c>
      <c r="F2777" s="14" t="s">
        <v>3684</v>
      </c>
    </row>
    <row r="2778" spans="1:6" ht="47.6">
      <c r="A2778" s="19" t="s">
        <v>3804</v>
      </c>
      <c r="B2778" s="12" t="str">
        <f t="shared" si="43"/>
        <v>475</v>
      </c>
      <c r="C2778" s="1" t="s">
        <v>3805</v>
      </c>
      <c r="D2778" s="13" t="str">
        <f>IF(RIGHT(A2778,3)="000",C2778,VLOOKUP(B2778,'Справочник ИХ'!A:C,3,0))</f>
        <v>Остальные грузы</v>
      </c>
      <c r="E2778" s="13">
        <f>IF(RIGHT(A2778,3)="000","х",VLOOKUP(B2778,'Справочник ИХ'!A:D,4,0))</f>
        <v>3</v>
      </c>
      <c r="F2778" s="14" t="s">
        <v>3684</v>
      </c>
    </row>
    <row r="2779" spans="1:6" ht="31.75">
      <c r="A2779" s="19" t="s">
        <v>3806</v>
      </c>
      <c r="B2779" s="12" t="str">
        <f t="shared" si="43"/>
        <v>475</v>
      </c>
      <c r="C2779" s="1" t="s">
        <v>3807</v>
      </c>
      <c r="D2779" s="13" t="str">
        <f>IF(RIGHT(A2779,3)="000",C2779,VLOOKUP(B2779,'Справочник ИХ'!A:C,3,0))</f>
        <v>Остальные грузы</v>
      </c>
      <c r="E2779" s="13">
        <f>IF(RIGHT(A2779,3)="000","х",VLOOKUP(B2779,'Справочник ИХ'!A:D,4,0))</f>
        <v>3</v>
      </c>
      <c r="F2779" s="14" t="s">
        <v>3684</v>
      </c>
    </row>
    <row r="2780" spans="1:6" ht="31.75">
      <c r="A2780" s="19" t="s">
        <v>3808</v>
      </c>
      <c r="B2780" s="12" t="str">
        <f t="shared" si="43"/>
        <v>475</v>
      </c>
      <c r="C2780" s="1" t="s">
        <v>3809</v>
      </c>
      <c r="D2780" s="13" t="str">
        <f>IF(RIGHT(A2780,3)="000",C2780,VLOOKUP(B2780,'Справочник ИХ'!A:C,3,0))</f>
        <v>Остальные грузы</v>
      </c>
      <c r="E2780" s="13">
        <f>IF(RIGHT(A2780,3)="000","х",VLOOKUP(B2780,'Справочник ИХ'!A:D,4,0))</f>
        <v>3</v>
      </c>
      <c r="F2780" s="14" t="s">
        <v>3684</v>
      </c>
    </row>
    <row r="2781" spans="1:6" ht="31.75">
      <c r="A2781" s="19" t="s">
        <v>3810</v>
      </c>
      <c r="B2781" s="12" t="str">
        <f t="shared" si="43"/>
        <v>475</v>
      </c>
      <c r="C2781" s="1" t="s">
        <v>3811</v>
      </c>
      <c r="D2781" s="13" t="str">
        <f>IF(RIGHT(A2781,3)="000",C2781,VLOOKUP(B2781,'Справочник ИХ'!A:C,3,0))</f>
        <v>Остальные грузы</v>
      </c>
      <c r="E2781" s="13">
        <f>IF(RIGHT(A2781,3)="000","х",VLOOKUP(B2781,'Справочник ИХ'!A:D,4,0))</f>
        <v>3</v>
      </c>
      <c r="F2781" s="14" t="s">
        <v>3684</v>
      </c>
    </row>
    <row r="2782" spans="1:6" ht="31.75">
      <c r="A2782" s="19" t="s">
        <v>3812</v>
      </c>
      <c r="B2782" s="12" t="str">
        <f t="shared" si="43"/>
        <v>475</v>
      </c>
      <c r="C2782" s="1" t="s">
        <v>3813</v>
      </c>
      <c r="D2782" s="13" t="str">
        <f>IF(RIGHT(A2782,3)="000",C2782,VLOOKUP(B2782,'Справочник ИХ'!A:C,3,0))</f>
        <v>Остальные грузы</v>
      </c>
      <c r="E2782" s="13">
        <f>IF(RIGHT(A2782,3)="000","х",VLOOKUP(B2782,'Справочник ИХ'!A:D,4,0))</f>
        <v>3</v>
      </c>
      <c r="F2782" s="14" t="s">
        <v>3684</v>
      </c>
    </row>
    <row r="2783" spans="1:6" ht="31.75">
      <c r="A2783" s="19" t="s">
        <v>3814</v>
      </c>
      <c r="B2783" s="12" t="str">
        <f t="shared" si="43"/>
        <v>475</v>
      </c>
      <c r="C2783" s="1" t="s">
        <v>3815</v>
      </c>
      <c r="D2783" s="13" t="str">
        <f>IF(RIGHT(A2783,3)="000",C2783,VLOOKUP(B2783,'Справочник ИХ'!A:C,3,0))</f>
        <v>Остальные грузы</v>
      </c>
      <c r="E2783" s="13">
        <f>IF(RIGHT(A2783,3)="000","х",VLOOKUP(B2783,'Справочник ИХ'!A:D,4,0))</f>
        <v>3</v>
      </c>
      <c r="F2783" s="14" t="s">
        <v>3684</v>
      </c>
    </row>
    <row r="2784" spans="1:6" s="15" customFormat="1" ht="31.75">
      <c r="A2784" s="7">
        <v>48000</v>
      </c>
      <c r="B2784" s="12" t="str">
        <f t="shared" si="43"/>
        <v>480</v>
      </c>
      <c r="C2784" s="11" t="s">
        <v>3816</v>
      </c>
      <c r="D2784" s="13" t="str">
        <f>IF(RIGHT(A2784,3)="000",C2784,VLOOKUP(B2784,'Справочник ИХ'!A:C,3,0))</f>
        <v xml:space="preserve">Продукция неорганической химии </v>
      </c>
      <c r="E2784" s="13" t="str">
        <f>IF(RIGHT(A2784,3)="000","х",VLOOKUP(B2784,'Справочник ИХ'!A:D,4,0))</f>
        <v>х</v>
      </c>
      <c r="F2784" s="14" t="s">
        <v>3816</v>
      </c>
    </row>
    <row r="2785" spans="1:6" s="18" customFormat="1" ht="31.75">
      <c r="A2785" s="16">
        <v>48100</v>
      </c>
      <c r="B2785" s="12" t="str">
        <f t="shared" si="43"/>
        <v>481</v>
      </c>
      <c r="C2785" s="17" t="s">
        <v>3817</v>
      </c>
      <c r="D2785" s="13" t="str">
        <f>IF(RIGHT(A2785,3)="000",C2785,VLOOKUP(B2785,'Справочник ИХ'!A:C,3,0))</f>
        <v>Остальные грузы</v>
      </c>
      <c r="E2785" s="13">
        <f>IF(RIGHT(A2785,3)="000","х",VLOOKUP(B2785,'Справочник ИХ'!A:D,4,0))</f>
        <v>3</v>
      </c>
      <c r="F2785" s="14" t="s">
        <v>3816</v>
      </c>
    </row>
    <row r="2786" spans="1:6">
      <c r="A2786" s="19">
        <v>48101</v>
      </c>
      <c r="B2786" s="12" t="str">
        <f t="shared" si="43"/>
        <v>481</v>
      </c>
      <c r="C2786" s="1" t="s">
        <v>3818</v>
      </c>
      <c r="D2786" s="13" t="str">
        <f>IF(RIGHT(A2786,3)="000",C2786,VLOOKUP(B2786,'Справочник ИХ'!A:C,3,0))</f>
        <v>Остальные грузы</v>
      </c>
      <c r="E2786" s="13">
        <f>IF(RIGHT(A2786,3)="000","х",VLOOKUP(B2786,'Справочник ИХ'!A:D,4,0))</f>
        <v>3</v>
      </c>
      <c r="F2786" s="14" t="s">
        <v>3816</v>
      </c>
    </row>
    <row r="2787" spans="1:6">
      <c r="A2787" s="19">
        <v>48102</v>
      </c>
      <c r="B2787" s="12" t="str">
        <f t="shared" si="43"/>
        <v>481</v>
      </c>
      <c r="C2787" s="1" t="s">
        <v>3819</v>
      </c>
      <c r="D2787" s="13" t="str">
        <f>IF(RIGHT(A2787,3)="000",C2787,VLOOKUP(B2787,'Справочник ИХ'!A:C,3,0))</f>
        <v>Остальные грузы</v>
      </c>
      <c r="E2787" s="13">
        <f>IF(RIGHT(A2787,3)="000","х",VLOOKUP(B2787,'Справочник ИХ'!A:D,4,0))</f>
        <v>3</v>
      </c>
      <c r="F2787" s="14" t="s">
        <v>3816</v>
      </c>
    </row>
    <row r="2788" spans="1:6">
      <c r="A2788" s="19">
        <v>48103</v>
      </c>
      <c r="B2788" s="12" t="str">
        <f t="shared" si="43"/>
        <v>481</v>
      </c>
      <c r="C2788" s="1" t="s">
        <v>3820</v>
      </c>
      <c r="D2788" s="13" t="str">
        <f>IF(RIGHT(A2788,3)="000",C2788,VLOOKUP(B2788,'Справочник ИХ'!A:C,3,0))</f>
        <v>Остальные грузы</v>
      </c>
      <c r="E2788" s="13">
        <f>IF(RIGHT(A2788,3)="000","х",VLOOKUP(B2788,'Справочник ИХ'!A:D,4,0))</f>
        <v>3</v>
      </c>
      <c r="F2788" s="14" t="s">
        <v>3816</v>
      </c>
    </row>
    <row r="2789" spans="1:6" ht="47.6">
      <c r="A2789" s="19">
        <v>48104</v>
      </c>
      <c r="B2789" s="12" t="str">
        <f t="shared" si="43"/>
        <v>481</v>
      </c>
      <c r="C2789" s="1" t="s">
        <v>3821</v>
      </c>
      <c r="D2789" s="13" t="str">
        <f>IF(RIGHT(A2789,3)="000",C2789,VLOOKUP(B2789,'Справочник ИХ'!A:C,3,0))</f>
        <v>Остальные грузы</v>
      </c>
      <c r="E2789" s="13">
        <f>IF(RIGHT(A2789,3)="000","х",VLOOKUP(B2789,'Справочник ИХ'!A:D,4,0))</f>
        <v>3</v>
      </c>
      <c r="F2789" s="14" t="s">
        <v>3816</v>
      </c>
    </row>
    <row r="2790" spans="1:6" ht="31.75">
      <c r="A2790" s="19">
        <v>48105</v>
      </c>
      <c r="B2790" s="12" t="str">
        <f t="shared" si="43"/>
        <v>481</v>
      </c>
      <c r="C2790" s="1" t="s">
        <v>3822</v>
      </c>
      <c r="D2790" s="13" t="str">
        <f>IF(RIGHT(A2790,3)="000",C2790,VLOOKUP(B2790,'Справочник ИХ'!A:C,3,0))</f>
        <v>Остальные грузы</v>
      </c>
      <c r="E2790" s="13">
        <f>IF(RIGHT(A2790,3)="000","х",VLOOKUP(B2790,'Справочник ИХ'!A:D,4,0))</f>
        <v>3</v>
      </c>
      <c r="F2790" s="14" t="s">
        <v>3816</v>
      </c>
    </row>
    <row r="2791" spans="1:6" ht="31.75">
      <c r="A2791" s="19" t="s">
        <v>3823</v>
      </c>
      <c r="B2791" s="12" t="str">
        <f t="shared" si="43"/>
        <v>481</v>
      </c>
      <c r="C2791" s="1" t="s">
        <v>3824</v>
      </c>
      <c r="D2791" s="13" t="str">
        <f>IF(RIGHT(A2791,3)="000",C2791,VLOOKUP(B2791,'Справочник ИХ'!A:C,3,0))</f>
        <v>Остальные грузы</v>
      </c>
      <c r="E2791" s="13">
        <f>IF(RIGHT(A2791,3)="000","х",VLOOKUP(B2791,'Справочник ИХ'!A:D,4,0))</f>
        <v>3</v>
      </c>
      <c r="F2791" s="14" t="s">
        <v>3816</v>
      </c>
    </row>
    <row r="2792" spans="1:6" ht="31.75">
      <c r="A2792" s="19">
        <v>48107</v>
      </c>
      <c r="B2792" s="12" t="str">
        <f t="shared" si="43"/>
        <v>481</v>
      </c>
      <c r="C2792" s="1" t="s">
        <v>3825</v>
      </c>
      <c r="D2792" s="13" t="str">
        <f>IF(RIGHT(A2792,3)="000",C2792,VLOOKUP(B2792,'Справочник ИХ'!A:C,3,0))</f>
        <v>Остальные грузы</v>
      </c>
      <c r="E2792" s="13">
        <f>IF(RIGHT(A2792,3)="000","х",VLOOKUP(B2792,'Справочник ИХ'!A:D,4,0))</f>
        <v>3</v>
      </c>
      <c r="F2792" s="14" t="s">
        <v>3816</v>
      </c>
    </row>
    <row r="2793" spans="1:6" ht="31.75">
      <c r="A2793" s="19">
        <v>48108</v>
      </c>
      <c r="B2793" s="12" t="str">
        <f t="shared" si="43"/>
        <v>481</v>
      </c>
      <c r="C2793" s="1" t="s">
        <v>3826</v>
      </c>
      <c r="D2793" s="13" t="str">
        <f>IF(RIGHT(A2793,3)="000",C2793,VLOOKUP(B2793,'Справочник ИХ'!A:C,3,0))</f>
        <v>Остальные грузы</v>
      </c>
      <c r="E2793" s="13">
        <f>IF(RIGHT(A2793,3)="000","х",VLOOKUP(B2793,'Справочник ИХ'!A:D,4,0))</f>
        <v>3</v>
      </c>
      <c r="F2793" s="14" t="s">
        <v>3816</v>
      </c>
    </row>
    <row r="2794" spans="1:6">
      <c r="A2794" s="19">
        <v>48109</v>
      </c>
      <c r="B2794" s="12" t="str">
        <f t="shared" si="43"/>
        <v>481</v>
      </c>
      <c r="C2794" s="1" t="s">
        <v>3827</v>
      </c>
      <c r="D2794" s="13" t="str">
        <f>IF(RIGHT(A2794,3)="000",C2794,VLOOKUP(B2794,'Справочник ИХ'!A:C,3,0))</f>
        <v>Остальные грузы</v>
      </c>
      <c r="E2794" s="13">
        <f>IF(RIGHT(A2794,3)="000","х",VLOOKUP(B2794,'Справочник ИХ'!A:D,4,0))</f>
        <v>3</v>
      </c>
      <c r="F2794" s="14" t="s">
        <v>3816</v>
      </c>
    </row>
    <row r="2795" spans="1:6">
      <c r="A2795" s="19">
        <v>48110</v>
      </c>
      <c r="B2795" s="12" t="str">
        <f t="shared" si="43"/>
        <v>481</v>
      </c>
      <c r="C2795" s="1" t="s">
        <v>3828</v>
      </c>
      <c r="D2795" s="13" t="str">
        <f>IF(RIGHT(A2795,3)="000",C2795,VLOOKUP(B2795,'Справочник ИХ'!A:C,3,0))</f>
        <v>Остальные грузы</v>
      </c>
      <c r="E2795" s="13">
        <f>IF(RIGHT(A2795,3)="000","х",VLOOKUP(B2795,'Справочник ИХ'!A:D,4,0))</f>
        <v>3</v>
      </c>
      <c r="F2795" s="14" t="s">
        <v>3816</v>
      </c>
    </row>
    <row r="2796" spans="1:6">
      <c r="A2796" s="19">
        <v>48111</v>
      </c>
      <c r="B2796" s="12" t="str">
        <f t="shared" si="43"/>
        <v>481</v>
      </c>
      <c r="C2796" s="1" t="s">
        <v>3829</v>
      </c>
      <c r="D2796" s="13" t="str">
        <f>IF(RIGHT(A2796,3)="000",C2796,VLOOKUP(B2796,'Справочник ИХ'!A:C,3,0))</f>
        <v>Остальные грузы</v>
      </c>
      <c r="E2796" s="13">
        <f>IF(RIGHT(A2796,3)="000","х",VLOOKUP(B2796,'Справочник ИХ'!A:D,4,0))</f>
        <v>3</v>
      </c>
      <c r="F2796" s="14" t="s">
        <v>3816</v>
      </c>
    </row>
    <row r="2797" spans="1:6">
      <c r="A2797" s="19">
        <v>48112</v>
      </c>
      <c r="B2797" s="12" t="str">
        <f t="shared" si="43"/>
        <v>481</v>
      </c>
      <c r="C2797" s="1" t="s">
        <v>3830</v>
      </c>
      <c r="D2797" s="13" t="str">
        <f>IF(RIGHT(A2797,3)="000",C2797,VLOOKUP(B2797,'Справочник ИХ'!A:C,3,0))</f>
        <v>Остальные грузы</v>
      </c>
      <c r="E2797" s="13">
        <f>IF(RIGHT(A2797,3)="000","х",VLOOKUP(B2797,'Справочник ИХ'!A:D,4,0))</f>
        <v>3</v>
      </c>
      <c r="F2797" s="14" t="s">
        <v>3816</v>
      </c>
    </row>
    <row r="2798" spans="1:6">
      <c r="A2798" s="19" t="s">
        <v>3831</v>
      </c>
      <c r="B2798" s="12" t="str">
        <f t="shared" si="43"/>
        <v>481</v>
      </c>
      <c r="C2798" s="1" t="s">
        <v>3832</v>
      </c>
      <c r="D2798" s="13" t="str">
        <f>IF(RIGHT(A2798,3)="000",C2798,VLOOKUP(B2798,'Справочник ИХ'!A:C,3,0))</f>
        <v>Остальные грузы</v>
      </c>
      <c r="E2798" s="13">
        <f>IF(RIGHT(A2798,3)="000","х",VLOOKUP(B2798,'Справочник ИХ'!A:D,4,0))</f>
        <v>3</v>
      </c>
      <c r="F2798" s="14" t="s">
        <v>3816</v>
      </c>
    </row>
    <row r="2799" spans="1:6">
      <c r="A2799" s="19" t="s">
        <v>3833</v>
      </c>
      <c r="B2799" s="12" t="str">
        <f t="shared" si="43"/>
        <v>481</v>
      </c>
      <c r="C2799" s="1" t="s">
        <v>3834</v>
      </c>
      <c r="D2799" s="13" t="str">
        <f>IF(RIGHT(A2799,3)="000",C2799,VLOOKUP(B2799,'Справочник ИХ'!A:C,3,0))</f>
        <v>Остальные грузы</v>
      </c>
      <c r="E2799" s="13">
        <f>IF(RIGHT(A2799,3)="000","х",VLOOKUP(B2799,'Справочник ИХ'!A:D,4,0))</f>
        <v>3</v>
      </c>
      <c r="F2799" s="14" t="s">
        <v>3816</v>
      </c>
    </row>
    <row r="2800" spans="1:6">
      <c r="A2800" s="19" t="s">
        <v>3835</v>
      </c>
      <c r="B2800" s="12" t="str">
        <f t="shared" si="43"/>
        <v>481</v>
      </c>
      <c r="C2800" s="1" t="s">
        <v>3836</v>
      </c>
      <c r="D2800" s="13" t="str">
        <f>IF(RIGHT(A2800,3)="000",C2800,VLOOKUP(B2800,'Справочник ИХ'!A:C,3,0))</f>
        <v>Остальные грузы</v>
      </c>
      <c r="E2800" s="13">
        <f>IF(RIGHT(A2800,3)="000","х",VLOOKUP(B2800,'Справочник ИХ'!A:D,4,0))</f>
        <v>3</v>
      </c>
      <c r="F2800" s="14" t="s">
        <v>3816</v>
      </c>
    </row>
    <row r="2801" spans="1:6">
      <c r="A2801" s="19" t="s">
        <v>3837</v>
      </c>
      <c r="B2801" s="12" t="str">
        <f t="shared" si="43"/>
        <v>481</v>
      </c>
      <c r="C2801" s="1" t="s">
        <v>3838</v>
      </c>
      <c r="D2801" s="13" t="str">
        <f>IF(RIGHT(A2801,3)="000",C2801,VLOOKUP(B2801,'Справочник ИХ'!A:C,3,0))</f>
        <v>Остальные грузы</v>
      </c>
      <c r="E2801" s="13">
        <f>IF(RIGHT(A2801,3)="000","х",VLOOKUP(B2801,'Справочник ИХ'!A:D,4,0))</f>
        <v>3</v>
      </c>
      <c r="F2801" s="14" t="s">
        <v>3816</v>
      </c>
    </row>
    <row r="2802" spans="1:6">
      <c r="A2802" s="19" t="s">
        <v>3839</v>
      </c>
      <c r="B2802" s="12" t="str">
        <f t="shared" si="43"/>
        <v>481</v>
      </c>
      <c r="C2802" s="1" t="s">
        <v>3840</v>
      </c>
      <c r="D2802" s="13" t="str">
        <f>IF(RIGHT(A2802,3)="000",C2802,VLOOKUP(B2802,'Справочник ИХ'!A:C,3,0))</f>
        <v>Остальные грузы</v>
      </c>
      <c r="E2802" s="13">
        <f>IF(RIGHT(A2802,3)="000","х",VLOOKUP(B2802,'Справочник ИХ'!A:D,4,0))</f>
        <v>3</v>
      </c>
      <c r="F2802" s="14" t="s">
        <v>3816</v>
      </c>
    </row>
    <row r="2803" spans="1:6">
      <c r="A2803" s="19" t="s">
        <v>3841</v>
      </c>
      <c r="B2803" s="12" t="str">
        <f t="shared" si="43"/>
        <v>481</v>
      </c>
      <c r="C2803" s="1" t="s">
        <v>3842</v>
      </c>
      <c r="D2803" s="13" t="str">
        <f>IF(RIGHT(A2803,3)="000",C2803,VLOOKUP(B2803,'Справочник ИХ'!A:C,3,0))</f>
        <v>Остальные грузы</v>
      </c>
      <c r="E2803" s="13">
        <f>IF(RIGHT(A2803,3)="000","х",VLOOKUP(B2803,'Справочник ИХ'!A:D,4,0))</f>
        <v>3</v>
      </c>
      <c r="F2803" s="14" t="s">
        <v>3816</v>
      </c>
    </row>
    <row r="2804" spans="1:6">
      <c r="A2804" s="19" t="s">
        <v>3843</v>
      </c>
      <c r="B2804" s="12" t="str">
        <f t="shared" si="43"/>
        <v>481</v>
      </c>
      <c r="C2804" s="1" t="s">
        <v>3844</v>
      </c>
      <c r="D2804" s="13" t="str">
        <f>IF(RIGHT(A2804,3)="000",C2804,VLOOKUP(B2804,'Справочник ИХ'!A:C,3,0))</f>
        <v>Остальные грузы</v>
      </c>
      <c r="E2804" s="13">
        <f>IF(RIGHT(A2804,3)="000","х",VLOOKUP(B2804,'Справочник ИХ'!A:D,4,0))</f>
        <v>3</v>
      </c>
      <c r="F2804" s="14" t="s">
        <v>3816</v>
      </c>
    </row>
    <row r="2805" spans="1:6" ht="31.75">
      <c r="A2805" s="19" t="s">
        <v>3845</v>
      </c>
      <c r="B2805" s="12" t="str">
        <f t="shared" si="43"/>
        <v>481</v>
      </c>
      <c r="C2805" s="1" t="s">
        <v>3846</v>
      </c>
      <c r="D2805" s="13" t="str">
        <f>IF(RIGHT(A2805,3)="000",C2805,VLOOKUP(B2805,'Справочник ИХ'!A:C,3,0))</f>
        <v>Остальные грузы</v>
      </c>
      <c r="E2805" s="13">
        <f>IF(RIGHT(A2805,3)="000","х",VLOOKUP(B2805,'Справочник ИХ'!A:D,4,0))</f>
        <v>3</v>
      </c>
      <c r="F2805" s="14" t="s">
        <v>3816</v>
      </c>
    </row>
    <row r="2806" spans="1:6">
      <c r="A2806" s="19" t="s">
        <v>3847</v>
      </c>
      <c r="B2806" s="12" t="str">
        <f t="shared" si="43"/>
        <v>481</v>
      </c>
      <c r="C2806" s="1" t="s">
        <v>3848</v>
      </c>
      <c r="D2806" s="13" t="str">
        <f>IF(RIGHT(A2806,3)="000",C2806,VLOOKUP(B2806,'Справочник ИХ'!A:C,3,0))</f>
        <v>Остальные грузы</v>
      </c>
      <c r="E2806" s="13">
        <f>IF(RIGHT(A2806,3)="000","х",VLOOKUP(B2806,'Справочник ИХ'!A:D,4,0))</f>
        <v>3</v>
      </c>
      <c r="F2806" s="14" t="s">
        <v>3816</v>
      </c>
    </row>
    <row r="2807" spans="1:6">
      <c r="A2807" s="19" t="s">
        <v>3849</v>
      </c>
      <c r="B2807" s="12" t="str">
        <f t="shared" si="43"/>
        <v>481</v>
      </c>
      <c r="C2807" s="1" t="s">
        <v>3850</v>
      </c>
      <c r="D2807" s="13" t="str">
        <f>IF(RIGHT(A2807,3)="000",C2807,VLOOKUP(B2807,'Справочник ИХ'!A:C,3,0))</f>
        <v>Остальные грузы</v>
      </c>
      <c r="E2807" s="13">
        <f>IF(RIGHT(A2807,3)="000","х",VLOOKUP(B2807,'Справочник ИХ'!A:D,4,0))</f>
        <v>3</v>
      </c>
      <c r="F2807" s="14" t="s">
        <v>3816</v>
      </c>
    </row>
    <row r="2808" spans="1:6">
      <c r="A2808" s="19" t="s">
        <v>3851</v>
      </c>
      <c r="B2808" s="12" t="str">
        <f t="shared" si="43"/>
        <v>481</v>
      </c>
      <c r="C2808" s="1" t="s">
        <v>3852</v>
      </c>
      <c r="D2808" s="13" t="str">
        <f>IF(RIGHT(A2808,3)="000",C2808,VLOOKUP(B2808,'Справочник ИХ'!A:C,3,0))</f>
        <v>Остальные грузы</v>
      </c>
      <c r="E2808" s="13">
        <f>IF(RIGHT(A2808,3)="000","х",VLOOKUP(B2808,'Справочник ИХ'!A:D,4,0))</f>
        <v>3</v>
      </c>
      <c r="F2808" s="14" t="s">
        <v>3816</v>
      </c>
    </row>
    <row r="2809" spans="1:6">
      <c r="A2809" s="19" t="s">
        <v>3853</v>
      </c>
      <c r="B2809" s="12" t="str">
        <f t="shared" si="43"/>
        <v>481</v>
      </c>
      <c r="C2809" s="1" t="s">
        <v>3854</v>
      </c>
      <c r="D2809" s="13" t="str">
        <f>IF(RIGHT(A2809,3)="000",C2809,VLOOKUP(B2809,'Справочник ИХ'!A:C,3,0))</f>
        <v>Остальные грузы</v>
      </c>
      <c r="E2809" s="13">
        <f>IF(RIGHT(A2809,3)="000","х",VLOOKUP(B2809,'Справочник ИХ'!A:D,4,0))</f>
        <v>3</v>
      </c>
      <c r="F2809" s="14" t="s">
        <v>3816</v>
      </c>
    </row>
    <row r="2810" spans="1:6">
      <c r="A2810" s="19" t="s">
        <v>3855</v>
      </c>
      <c r="B2810" s="12" t="str">
        <f t="shared" si="43"/>
        <v>481</v>
      </c>
      <c r="C2810" s="1" t="s">
        <v>3856</v>
      </c>
      <c r="D2810" s="13" t="str">
        <f>IF(RIGHT(A2810,3)="000",C2810,VLOOKUP(B2810,'Справочник ИХ'!A:C,3,0))</f>
        <v>Остальные грузы</v>
      </c>
      <c r="E2810" s="13">
        <f>IF(RIGHT(A2810,3)="000","х",VLOOKUP(B2810,'Справочник ИХ'!A:D,4,0))</f>
        <v>3</v>
      </c>
      <c r="F2810" s="14" t="s">
        <v>3816</v>
      </c>
    </row>
    <row r="2811" spans="1:6">
      <c r="A2811" s="19" t="s">
        <v>3857</v>
      </c>
      <c r="B2811" s="12" t="str">
        <f t="shared" si="43"/>
        <v>481</v>
      </c>
      <c r="C2811" s="1" t="s">
        <v>3858</v>
      </c>
      <c r="D2811" s="13" t="str">
        <f>IF(RIGHT(A2811,3)="000",C2811,VLOOKUP(B2811,'Справочник ИХ'!A:C,3,0))</f>
        <v>Остальные грузы</v>
      </c>
      <c r="E2811" s="13">
        <f>IF(RIGHT(A2811,3)="000","х",VLOOKUP(B2811,'Справочник ИХ'!A:D,4,0))</f>
        <v>3</v>
      </c>
      <c r="F2811" s="14" t="s">
        <v>3816</v>
      </c>
    </row>
    <row r="2812" spans="1:6">
      <c r="A2812" s="19" t="s">
        <v>3859</v>
      </c>
      <c r="B2812" s="12" t="str">
        <f t="shared" si="43"/>
        <v>481</v>
      </c>
      <c r="C2812" s="1" t="s">
        <v>3860</v>
      </c>
      <c r="D2812" s="13" t="str">
        <f>IF(RIGHT(A2812,3)="000",C2812,VLOOKUP(B2812,'Справочник ИХ'!A:C,3,0))</f>
        <v>Остальные грузы</v>
      </c>
      <c r="E2812" s="13">
        <f>IF(RIGHT(A2812,3)="000","х",VLOOKUP(B2812,'Справочник ИХ'!A:D,4,0))</f>
        <v>3</v>
      </c>
      <c r="F2812" s="14" t="s">
        <v>3816</v>
      </c>
    </row>
    <row r="2813" spans="1:6" ht="31.75">
      <c r="A2813" s="19" t="s">
        <v>3861</v>
      </c>
      <c r="B2813" s="12" t="str">
        <f t="shared" si="43"/>
        <v>481</v>
      </c>
      <c r="C2813" s="1" t="s">
        <v>3862</v>
      </c>
      <c r="D2813" s="13" t="str">
        <f>IF(RIGHT(A2813,3)="000",C2813,VLOOKUP(B2813,'Справочник ИХ'!A:C,3,0))</f>
        <v>Остальные грузы</v>
      </c>
      <c r="E2813" s="13">
        <f>IF(RIGHT(A2813,3)="000","х",VLOOKUP(B2813,'Справочник ИХ'!A:D,4,0))</f>
        <v>3</v>
      </c>
      <c r="F2813" s="14" t="s">
        <v>3816</v>
      </c>
    </row>
    <row r="2814" spans="1:6">
      <c r="A2814" s="19" t="s">
        <v>3863</v>
      </c>
      <c r="B2814" s="12" t="str">
        <f t="shared" si="43"/>
        <v>481</v>
      </c>
      <c r="C2814" s="1" t="s">
        <v>3864</v>
      </c>
      <c r="D2814" s="13" t="str">
        <f>IF(RIGHT(A2814,3)="000",C2814,VLOOKUP(B2814,'Справочник ИХ'!A:C,3,0))</f>
        <v>Остальные грузы</v>
      </c>
      <c r="E2814" s="13">
        <f>IF(RIGHT(A2814,3)="000","х",VLOOKUP(B2814,'Справочник ИХ'!A:D,4,0))</f>
        <v>3</v>
      </c>
      <c r="F2814" s="14" t="s">
        <v>3816</v>
      </c>
    </row>
    <row r="2815" spans="1:6" ht="31.75">
      <c r="A2815" s="19" t="s">
        <v>3865</v>
      </c>
      <c r="B2815" s="12" t="str">
        <f t="shared" si="43"/>
        <v>481</v>
      </c>
      <c r="C2815" s="1" t="s">
        <v>3866</v>
      </c>
      <c r="D2815" s="13" t="str">
        <f>IF(RIGHT(A2815,3)="000",C2815,VLOOKUP(B2815,'Справочник ИХ'!A:C,3,0))</f>
        <v>Остальные грузы</v>
      </c>
      <c r="E2815" s="13">
        <f>IF(RIGHT(A2815,3)="000","х",VLOOKUP(B2815,'Справочник ИХ'!A:D,4,0))</f>
        <v>3</v>
      </c>
      <c r="F2815" s="14" t="s">
        <v>3816</v>
      </c>
    </row>
    <row r="2816" spans="1:6">
      <c r="A2816" s="19">
        <v>48133</v>
      </c>
      <c r="B2816" s="12" t="str">
        <f t="shared" si="43"/>
        <v>481</v>
      </c>
      <c r="C2816" s="1" t="s">
        <v>3867</v>
      </c>
      <c r="D2816" s="13" t="str">
        <f>IF(RIGHT(A2816,3)="000",C2816,VLOOKUP(B2816,'Справочник ИХ'!A:C,3,0))</f>
        <v>Остальные грузы</v>
      </c>
      <c r="E2816" s="13">
        <f>IF(RIGHT(A2816,3)="000","х",VLOOKUP(B2816,'Справочник ИХ'!A:D,4,0))</f>
        <v>3</v>
      </c>
      <c r="F2816" s="14" t="s">
        <v>3816</v>
      </c>
    </row>
    <row r="2817" spans="1:6">
      <c r="A2817" s="19" t="s">
        <v>3868</v>
      </c>
      <c r="B2817" s="12" t="str">
        <f t="shared" si="43"/>
        <v>481</v>
      </c>
      <c r="C2817" s="1" t="s">
        <v>3869</v>
      </c>
      <c r="D2817" s="13" t="str">
        <f>IF(RIGHT(A2817,3)="000",C2817,VLOOKUP(B2817,'Справочник ИХ'!A:C,3,0))</f>
        <v>Остальные грузы</v>
      </c>
      <c r="E2817" s="13">
        <f>IF(RIGHT(A2817,3)="000","х",VLOOKUP(B2817,'Справочник ИХ'!A:D,4,0))</f>
        <v>3</v>
      </c>
      <c r="F2817" s="14" t="s">
        <v>3816</v>
      </c>
    </row>
    <row r="2818" spans="1:6" ht="31.75">
      <c r="A2818" s="19" t="s">
        <v>3870</v>
      </c>
      <c r="B2818" s="12" t="str">
        <f t="shared" si="43"/>
        <v>481</v>
      </c>
      <c r="C2818" s="1" t="s">
        <v>3871</v>
      </c>
      <c r="D2818" s="13" t="str">
        <f>IF(RIGHT(A2818,3)="000",C2818,VLOOKUP(B2818,'Справочник ИХ'!A:C,3,0))</f>
        <v>Остальные грузы</v>
      </c>
      <c r="E2818" s="13">
        <f>IF(RIGHT(A2818,3)="000","х",VLOOKUP(B2818,'Справочник ИХ'!A:D,4,0))</f>
        <v>3</v>
      </c>
      <c r="F2818" s="14" t="s">
        <v>3816</v>
      </c>
    </row>
    <row r="2819" spans="1:6">
      <c r="A2819" s="19" t="s">
        <v>3872</v>
      </c>
      <c r="B2819" s="12" t="str">
        <f t="shared" si="43"/>
        <v>481</v>
      </c>
      <c r="C2819" s="1" t="s">
        <v>3873</v>
      </c>
      <c r="D2819" s="13" t="str">
        <f>IF(RIGHT(A2819,3)="000",C2819,VLOOKUP(B2819,'Справочник ИХ'!A:C,3,0))</f>
        <v>Остальные грузы</v>
      </c>
      <c r="E2819" s="13">
        <f>IF(RIGHT(A2819,3)="000","х",VLOOKUP(B2819,'Справочник ИХ'!A:D,4,0))</f>
        <v>3</v>
      </c>
      <c r="F2819" s="14" t="s">
        <v>3816</v>
      </c>
    </row>
    <row r="2820" spans="1:6" ht="31.75">
      <c r="A2820" s="19" t="s">
        <v>3874</v>
      </c>
      <c r="B2820" s="12" t="str">
        <f t="shared" si="43"/>
        <v>481</v>
      </c>
      <c r="C2820" s="1" t="s">
        <v>3875</v>
      </c>
      <c r="D2820" s="13" t="str">
        <f>IF(RIGHT(A2820,3)="000",C2820,VLOOKUP(B2820,'Справочник ИХ'!A:C,3,0))</f>
        <v>Остальные грузы</v>
      </c>
      <c r="E2820" s="13">
        <f>IF(RIGHT(A2820,3)="000","х",VLOOKUP(B2820,'Справочник ИХ'!A:D,4,0))</f>
        <v>3</v>
      </c>
      <c r="F2820" s="14" t="s">
        <v>3816</v>
      </c>
    </row>
    <row r="2821" spans="1:6" ht="31.75">
      <c r="A2821" s="19" t="s">
        <v>3876</v>
      </c>
      <c r="B2821" s="12" t="str">
        <f t="shared" ref="B2821:B2884" si="44">LEFT(A2821,3)</f>
        <v>481</v>
      </c>
      <c r="C2821" s="1" t="s">
        <v>3877</v>
      </c>
      <c r="D2821" s="13" t="str">
        <f>IF(RIGHT(A2821,3)="000",C2821,VLOOKUP(B2821,'Справочник ИХ'!A:C,3,0))</f>
        <v>Остальные грузы</v>
      </c>
      <c r="E2821" s="13">
        <f>IF(RIGHT(A2821,3)="000","х",VLOOKUP(B2821,'Справочник ИХ'!A:D,4,0))</f>
        <v>3</v>
      </c>
      <c r="F2821" s="14" t="s">
        <v>3816</v>
      </c>
    </row>
    <row r="2822" spans="1:6">
      <c r="A2822" s="19" t="s">
        <v>3878</v>
      </c>
      <c r="B2822" s="12" t="str">
        <f t="shared" si="44"/>
        <v>481</v>
      </c>
      <c r="C2822" s="1" t="s">
        <v>3879</v>
      </c>
      <c r="D2822" s="13" t="str">
        <f>IF(RIGHT(A2822,3)="000",C2822,VLOOKUP(B2822,'Справочник ИХ'!A:C,3,0))</f>
        <v>Остальные грузы</v>
      </c>
      <c r="E2822" s="13">
        <f>IF(RIGHT(A2822,3)="000","х",VLOOKUP(B2822,'Справочник ИХ'!A:D,4,0))</f>
        <v>3</v>
      </c>
      <c r="F2822" s="14" t="s">
        <v>3816</v>
      </c>
    </row>
    <row r="2823" spans="1:6">
      <c r="A2823" s="19" t="s">
        <v>3880</v>
      </c>
      <c r="B2823" s="12" t="str">
        <f t="shared" si="44"/>
        <v>481</v>
      </c>
      <c r="C2823" s="1" t="s">
        <v>3881</v>
      </c>
      <c r="D2823" s="13" t="str">
        <f>IF(RIGHT(A2823,3)="000",C2823,VLOOKUP(B2823,'Справочник ИХ'!A:C,3,0))</f>
        <v>Остальные грузы</v>
      </c>
      <c r="E2823" s="13">
        <f>IF(RIGHT(A2823,3)="000","х",VLOOKUP(B2823,'Справочник ИХ'!A:D,4,0))</f>
        <v>3</v>
      </c>
      <c r="F2823" s="14" t="s">
        <v>3816</v>
      </c>
    </row>
    <row r="2824" spans="1:6">
      <c r="A2824" s="19" t="s">
        <v>3882</v>
      </c>
      <c r="B2824" s="12" t="str">
        <f t="shared" si="44"/>
        <v>481</v>
      </c>
      <c r="C2824" s="1" t="s">
        <v>3883</v>
      </c>
      <c r="D2824" s="13" t="str">
        <f>IF(RIGHT(A2824,3)="000",C2824,VLOOKUP(B2824,'Справочник ИХ'!A:C,3,0))</f>
        <v>Остальные грузы</v>
      </c>
      <c r="E2824" s="13">
        <f>IF(RIGHT(A2824,3)="000","х",VLOOKUP(B2824,'Справочник ИХ'!A:D,4,0))</f>
        <v>3</v>
      </c>
      <c r="F2824" s="14" t="s">
        <v>3816</v>
      </c>
    </row>
    <row r="2825" spans="1:6" ht="31.75">
      <c r="A2825" s="19" t="s">
        <v>3884</v>
      </c>
      <c r="B2825" s="12" t="str">
        <f t="shared" si="44"/>
        <v>481</v>
      </c>
      <c r="C2825" s="1" t="s">
        <v>3885</v>
      </c>
      <c r="D2825" s="13" t="str">
        <f>IF(RIGHT(A2825,3)="000",C2825,VLOOKUP(B2825,'Справочник ИХ'!A:C,3,0))</f>
        <v>Остальные грузы</v>
      </c>
      <c r="E2825" s="13">
        <f>IF(RIGHT(A2825,3)="000","х",VLOOKUP(B2825,'Справочник ИХ'!A:D,4,0))</f>
        <v>3</v>
      </c>
      <c r="F2825" s="14" t="s">
        <v>3816</v>
      </c>
    </row>
    <row r="2826" spans="1:6">
      <c r="A2826" s="19" t="s">
        <v>3886</v>
      </c>
      <c r="B2826" s="12" t="str">
        <f t="shared" si="44"/>
        <v>481</v>
      </c>
      <c r="C2826" s="1" t="s">
        <v>3887</v>
      </c>
      <c r="D2826" s="13" t="str">
        <f>IF(RIGHT(A2826,3)="000",C2826,VLOOKUP(B2826,'Справочник ИХ'!A:C,3,0))</f>
        <v>Остальные грузы</v>
      </c>
      <c r="E2826" s="13">
        <f>IF(RIGHT(A2826,3)="000","х",VLOOKUP(B2826,'Справочник ИХ'!A:D,4,0))</f>
        <v>3</v>
      </c>
      <c r="F2826" s="14" t="s">
        <v>3816</v>
      </c>
    </row>
    <row r="2827" spans="1:6">
      <c r="A2827" s="19" t="s">
        <v>3888</v>
      </c>
      <c r="B2827" s="12" t="str">
        <f t="shared" si="44"/>
        <v>481</v>
      </c>
      <c r="C2827" s="1" t="s">
        <v>3889</v>
      </c>
      <c r="D2827" s="13" t="str">
        <f>IF(RIGHT(A2827,3)="000",C2827,VLOOKUP(B2827,'Справочник ИХ'!A:C,3,0))</f>
        <v>Остальные грузы</v>
      </c>
      <c r="E2827" s="13">
        <f>IF(RIGHT(A2827,3)="000","х",VLOOKUP(B2827,'Справочник ИХ'!A:D,4,0))</f>
        <v>3</v>
      </c>
      <c r="F2827" s="14" t="s">
        <v>3816</v>
      </c>
    </row>
    <row r="2828" spans="1:6" ht="31.75">
      <c r="A2828" s="19" t="s">
        <v>3890</v>
      </c>
      <c r="B2828" s="12" t="str">
        <f t="shared" si="44"/>
        <v>481</v>
      </c>
      <c r="C2828" s="1" t="s">
        <v>3891</v>
      </c>
      <c r="D2828" s="13" t="str">
        <f>IF(RIGHT(A2828,3)="000",C2828,VLOOKUP(B2828,'Справочник ИХ'!A:C,3,0))</f>
        <v>Остальные грузы</v>
      </c>
      <c r="E2828" s="13">
        <f>IF(RIGHT(A2828,3)="000","х",VLOOKUP(B2828,'Справочник ИХ'!A:D,4,0))</f>
        <v>3</v>
      </c>
      <c r="F2828" s="14" t="s">
        <v>3816</v>
      </c>
    </row>
    <row r="2829" spans="1:6">
      <c r="A2829" s="19" t="s">
        <v>3892</v>
      </c>
      <c r="B2829" s="12" t="str">
        <f t="shared" si="44"/>
        <v>481</v>
      </c>
      <c r="C2829" s="1" t="s">
        <v>3893</v>
      </c>
      <c r="D2829" s="13" t="str">
        <f>IF(RIGHT(A2829,3)="000",C2829,VLOOKUP(B2829,'Справочник ИХ'!A:C,3,0))</f>
        <v>Остальные грузы</v>
      </c>
      <c r="E2829" s="13">
        <f>IF(RIGHT(A2829,3)="000","х",VLOOKUP(B2829,'Справочник ИХ'!A:D,4,0))</f>
        <v>3</v>
      </c>
      <c r="F2829" s="14" t="s">
        <v>3816</v>
      </c>
    </row>
    <row r="2830" spans="1:6">
      <c r="A2830" s="19" t="s">
        <v>3894</v>
      </c>
      <c r="B2830" s="12" t="str">
        <f t="shared" si="44"/>
        <v>481</v>
      </c>
      <c r="C2830" s="1" t="s">
        <v>3895</v>
      </c>
      <c r="D2830" s="13" t="str">
        <f>IF(RIGHT(A2830,3)="000",C2830,VLOOKUP(B2830,'Справочник ИХ'!A:C,3,0))</f>
        <v>Остальные грузы</v>
      </c>
      <c r="E2830" s="13">
        <f>IF(RIGHT(A2830,3)="000","х",VLOOKUP(B2830,'Справочник ИХ'!A:D,4,0))</f>
        <v>3</v>
      </c>
      <c r="F2830" s="14" t="s">
        <v>3816</v>
      </c>
    </row>
    <row r="2831" spans="1:6">
      <c r="A2831" s="19" t="s">
        <v>3896</v>
      </c>
      <c r="B2831" s="12" t="str">
        <f t="shared" si="44"/>
        <v>481</v>
      </c>
      <c r="C2831" s="1" t="s">
        <v>3897</v>
      </c>
      <c r="D2831" s="13" t="str">
        <f>IF(RIGHT(A2831,3)="000",C2831,VLOOKUP(B2831,'Справочник ИХ'!A:C,3,0))</f>
        <v>Остальные грузы</v>
      </c>
      <c r="E2831" s="13">
        <f>IF(RIGHT(A2831,3)="000","х",VLOOKUP(B2831,'Справочник ИХ'!A:D,4,0))</f>
        <v>3</v>
      </c>
      <c r="F2831" s="14" t="s">
        <v>3816</v>
      </c>
    </row>
    <row r="2832" spans="1:6">
      <c r="A2832" s="19" t="s">
        <v>3898</v>
      </c>
      <c r="B2832" s="12" t="str">
        <f t="shared" si="44"/>
        <v>481</v>
      </c>
      <c r="C2832" s="1" t="s">
        <v>3899</v>
      </c>
      <c r="D2832" s="13" t="str">
        <f>IF(RIGHT(A2832,3)="000",C2832,VLOOKUP(B2832,'Справочник ИХ'!A:C,3,0))</f>
        <v>Остальные грузы</v>
      </c>
      <c r="E2832" s="13">
        <f>IF(RIGHT(A2832,3)="000","х",VLOOKUP(B2832,'Справочник ИХ'!A:D,4,0))</f>
        <v>3</v>
      </c>
      <c r="F2832" s="14" t="s">
        <v>3816</v>
      </c>
    </row>
    <row r="2833" spans="1:6" ht="31.75">
      <c r="A2833" s="19" t="s">
        <v>3900</v>
      </c>
      <c r="B2833" s="12" t="str">
        <f t="shared" si="44"/>
        <v>481</v>
      </c>
      <c r="C2833" s="1" t="s">
        <v>3901</v>
      </c>
      <c r="D2833" s="13" t="str">
        <f>IF(RIGHT(A2833,3)="000",C2833,VLOOKUP(B2833,'Справочник ИХ'!A:C,3,0))</f>
        <v>Остальные грузы</v>
      </c>
      <c r="E2833" s="13">
        <f>IF(RIGHT(A2833,3)="000","х",VLOOKUP(B2833,'Справочник ИХ'!A:D,4,0))</f>
        <v>3</v>
      </c>
      <c r="F2833" s="14" t="s">
        <v>3816</v>
      </c>
    </row>
    <row r="2834" spans="1:6" ht="31.75">
      <c r="A2834" s="19" t="s">
        <v>3902</v>
      </c>
      <c r="B2834" s="12" t="str">
        <f t="shared" si="44"/>
        <v>481</v>
      </c>
      <c r="C2834" s="1" t="s">
        <v>3903</v>
      </c>
      <c r="D2834" s="13" t="str">
        <f>IF(RIGHT(A2834,3)="000",C2834,VLOOKUP(B2834,'Справочник ИХ'!A:C,3,0))</f>
        <v>Остальные грузы</v>
      </c>
      <c r="E2834" s="13">
        <f>IF(RIGHT(A2834,3)="000","х",VLOOKUP(B2834,'Справочник ИХ'!A:D,4,0))</f>
        <v>3</v>
      </c>
      <c r="F2834" s="14" t="s">
        <v>3816</v>
      </c>
    </row>
    <row r="2835" spans="1:6" ht="31.75">
      <c r="A2835" s="19" t="s">
        <v>3904</v>
      </c>
      <c r="B2835" s="12" t="str">
        <f t="shared" si="44"/>
        <v>481</v>
      </c>
      <c r="C2835" s="1" t="s">
        <v>3905</v>
      </c>
      <c r="D2835" s="13" t="str">
        <f>IF(RIGHT(A2835,3)="000",C2835,VLOOKUP(B2835,'Справочник ИХ'!A:C,3,0))</f>
        <v>Остальные грузы</v>
      </c>
      <c r="E2835" s="13">
        <f>IF(RIGHT(A2835,3)="000","х",VLOOKUP(B2835,'Справочник ИХ'!A:D,4,0))</f>
        <v>3</v>
      </c>
      <c r="F2835" s="14" t="s">
        <v>3816</v>
      </c>
    </row>
    <row r="2836" spans="1:6">
      <c r="A2836" s="19" t="s">
        <v>3906</v>
      </c>
      <c r="B2836" s="12" t="str">
        <f t="shared" si="44"/>
        <v>481</v>
      </c>
      <c r="C2836" s="1" t="s">
        <v>3907</v>
      </c>
      <c r="D2836" s="13" t="str">
        <f>IF(RIGHT(A2836,3)="000",C2836,VLOOKUP(B2836,'Справочник ИХ'!A:C,3,0))</f>
        <v>Остальные грузы</v>
      </c>
      <c r="E2836" s="13">
        <f>IF(RIGHT(A2836,3)="000","х",VLOOKUP(B2836,'Справочник ИХ'!A:D,4,0))</f>
        <v>3</v>
      </c>
      <c r="F2836" s="14" t="s">
        <v>3816</v>
      </c>
    </row>
    <row r="2837" spans="1:6">
      <c r="A2837" s="19" t="s">
        <v>3908</v>
      </c>
      <c r="B2837" s="12" t="str">
        <f t="shared" si="44"/>
        <v>481</v>
      </c>
      <c r="C2837" s="1" t="s">
        <v>3909</v>
      </c>
      <c r="D2837" s="13" t="str">
        <f>IF(RIGHT(A2837,3)="000",C2837,VLOOKUP(B2837,'Справочник ИХ'!A:C,3,0))</f>
        <v>Остальные грузы</v>
      </c>
      <c r="E2837" s="13">
        <f>IF(RIGHT(A2837,3)="000","х",VLOOKUP(B2837,'Справочник ИХ'!A:D,4,0))</f>
        <v>3</v>
      </c>
      <c r="F2837" s="14" t="s">
        <v>3816</v>
      </c>
    </row>
    <row r="2838" spans="1:6">
      <c r="A2838" s="19" t="s">
        <v>3910</v>
      </c>
      <c r="B2838" s="12" t="str">
        <f t="shared" si="44"/>
        <v>481</v>
      </c>
      <c r="C2838" s="1" t="s">
        <v>3911</v>
      </c>
      <c r="D2838" s="13" t="str">
        <f>IF(RIGHT(A2838,3)="000",C2838,VLOOKUP(B2838,'Справочник ИХ'!A:C,3,0))</f>
        <v>Остальные грузы</v>
      </c>
      <c r="E2838" s="13">
        <f>IF(RIGHT(A2838,3)="000","х",VLOOKUP(B2838,'Справочник ИХ'!A:D,4,0))</f>
        <v>3</v>
      </c>
      <c r="F2838" s="14" t="s">
        <v>3816</v>
      </c>
    </row>
    <row r="2839" spans="1:6">
      <c r="A2839" s="19" t="s">
        <v>3912</v>
      </c>
      <c r="B2839" s="12" t="str">
        <f t="shared" si="44"/>
        <v>481</v>
      </c>
      <c r="C2839" s="1" t="s">
        <v>3913</v>
      </c>
      <c r="D2839" s="13" t="str">
        <f>IF(RIGHT(A2839,3)="000",C2839,VLOOKUP(B2839,'Справочник ИХ'!A:C,3,0))</f>
        <v>Остальные грузы</v>
      </c>
      <c r="E2839" s="13">
        <f>IF(RIGHT(A2839,3)="000","х",VLOOKUP(B2839,'Справочник ИХ'!A:D,4,0))</f>
        <v>3</v>
      </c>
      <c r="F2839" s="14" t="s">
        <v>3816</v>
      </c>
    </row>
    <row r="2840" spans="1:6" ht="31.75">
      <c r="A2840" s="19" t="s">
        <v>3914</v>
      </c>
      <c r="B2840" s="12" t="str">
        <f t="shared" si="44"/>
        <v>481</v>
      </c>
      <c r="C2840" s="1" t="s">
        <v>3915</v>
      </c>
      <c r="D2840" s="13" t="str">
        <f>IF(RIGHT(A2840,3)="000",C2840,VLOOKUP(B2840,'Справочник ИХ'!A:C,3,0))</f>
        <v>Остальные грузы</v>
      </c>
      <c r="E2840" s="13">
        <f>IF(RIGHT(A2840,3)="000","х",VLOOKUP(B2840,'Справочник ИХ'!A:D,4,0))</f>
        <v>3</v>
      </c>
      <c r="F2840" s="14" t="s">
        <v>3816</v>
      </c>
    </row>
    <row r="2841" spans="1:6" ht="31.75">
      <c r="A2841" s="19" t="s">
        <v>3916</v>
      </c>
      <c r="B2841" s="12" t="str">
        <f t="shared" si="44"/>
        <v>481</v>
      </c>
      <c r="C2841" s="1" t="s">
        <v>3917</v>
      </c>
      <c r="D2841" s="13" t="str">
        <f>IF(RIGHT(A2841,3)="000",C2841,VLOOKUP(B2841,'Справочник ИХ'!A:C,3,0))</f>
        <v>Остальные грузы</v>
      </c>
      <c r="E2841" s="13">
        <f>IF(RIGHT(A2841,3)="000","х",VLOOKUP(B2841,'Справочник ИХ'!A:D,4,0))</f>
        <v>3</v>
      </c>
      <c r="F2841" s="14" t="s">
        <v>3816</v>
      </c>
    </row>
    <row r="2842" spans="1:6">
      <c r="A2842" s="19" t="s">
        <v>3918</v>
      </c>
      <c r="B2842" s="12" t="str">
        <f t="shared" si="44"/>
        <v>481</v>
      </c>
      <c r="C2842" s="1" t="s">
        <v>3919</v>
      </c>
      <c r="D2842" s="13" t="str">
        <f>IF(RIGHT(A2842,3)="000",C2842,VLOOKUP(B2842,'Справочник ИХ'!A:C,3,0))</f>
        <v>Остальные грузы</v>
      </c>
      <c r="E2842" s="13">
        <f>IF(RIGHT(A2842,3)="000","х",VLOOKUP(B2842,'Справочник ИХ'!A:D,4,0))</f>
        <v>3</v>
      </c>
      <c r="F2842" s="14" t="s">
        <v>3816</v>
      </c>
    </row>
    <row r="2843" spans="1:6">
      <c r="A2843" s="19" t="s">
        <v>3920</v>
      </c>
      <c r="B2843" s="12" t="str">
        <f t="shared" si="44"/>
        <v>481</v>
      </c>
      <c r="C2843" s="1" t="s">
        <v>3921</v>
      </c>
      <c r="D2843" s="13" t="str">
        <f>IF(RIGHT(A2843,3)="000",C2843,VLOOKUP(B2843,'Справочник ИХ'!A:C,3,0))</f>
        <v>Остальные грузы</v>
      </c>
      <c r="E2843" s="13">
        <f>IF(RIGHT(A2843,3)="000","х",VLOOKUP(B2843,'Справочник ИХ'!A:D,4,0))</f>
        <v>3</v>
      </c>
      <c r="F2843" s="14" t="s">
        <v>3816</v>
      </c>
    </row>
    <row r="2844" spans="1:6">
      <c r="A2844" s="19" t="s">
        <v>3922</v>
      </c>
      <c r="B2844" s="12" t="str">
        <f t="shared" si="44"/>
        <v>481</v>
      </c>
      <c r="C2844" s="1" t="s">
        <v>3923</v>
      </c>
      <c r="D2844" s="13" t="str">
        <f>IF(RIGHT(A2844,3)="000",C2844,VLOOKUP(B2844,'Справочник ИХ'!A:C,3,0))</f>
        <v>Остальные грузы</v>
      </c>
      <c r="E2844" s="13">
        <f>IF(RIGHT(A2844,3)="000","х",VLOOKUP(B2844,'Справочник ИХ'!A:D,4,0))</f>
        <v>3</v>
      </c>
      <c r="F2844" s="14" t="s">
        <v>3816</v>
      </c>
    </row>
    <row r="2845" spans="1:6" s="18" customFormat="1">
      <c r="A2845" s="16" t="s">
        <v>3924</v>
      </c>
      <c r="B2845" s="12" t="str">
        <f t="shared" si="44"/>
        <v>482</v>
      </c>
      <c r="C2845" s="17" t="s">
        <v>3925</v>
      </c>
      <c r="D2845" s="13" t="str">
        <f>IF(RIGHT(A2845,3)="000",C2845,VLOOKUP(B2845,'Справочник ИХ'!A:C,3,0))</f>
        <v>Остальные грузы</v>
      </c>
      <c r="E2845" s="13">
        <f>IF(RIGHT(A2845,3)="000","х",VLOOKUP(B2845,'Справочник ИХ'!A:D,4,0))</f>
        <v>2</v>
      </c>
      <c r="F2845" s="14" t="s">
        <v>3816</v>
      </c>
    </row>
    <row r="2846" spans="1:6">
      <c r="A2846" s="19" t="s">
        <v>3926</v>
      </c>
      <c r="B2846" s="12" t="str">
        <f t="shared" si="44"/>
        <v>482</v>
      </c>
      <c r="C2846" s="1" t="s">
        <v>3927</v>
      </c>
      <c r="D2846" s="13" t="str">
        <f>IF(RIGHT(A2846,3)="000",C2846,VLOOKUP(B2846,'Справочник ИХ'!A:C,3,0))</f>
        <v>Остальные грузы</v>
      </c>
      <c r="E2846" s="13">
        <f>IF(RIGHT(A2846,3)="000","х",VLOOKUP(B2846,'Справочник ИХ'!A:D,4,0))</f>
        <v>2</v>
      </c>
      <c r="F2846" s="14" t="s">
        <v>3816</v>
      </c>
    </row>
    <row r="2847" spans="1:6">
      <c r="A2847" s="19" t="s">
        <v>3928</v>
      </c>
      <c r="B2847" s="12" t="str">
        <f t="shared" si="44"/>
        <v>482</v>
      </c>
      <c r="C2847" s="1" t="s">
        <v>3929</v>
      </c>
      <c r="D2847" s="13" t="str">
        <f>IF(RIGHT(A2847,3)="000",C2847,VLOOKUP(B2847,'Справочник ИХ'!A:C,3,0))</f>
        <v>Остальные грузы</v>
      </c>
      <c r="E2847" s="13">
        <f>IF(RIGHT(A2847,3)="000","х",VLOOKUP(B2847,'Справочник ИХ'!A:D,4,0))</f>
        <v>2</v>
      </c>
      <c r="F2847" s="14" t="s">
        <v>3816</v>
      </c>
    </row>
    <row r="2848" spans="1:6">
      <c r="A2848" s="19" t="s">
        <v>3930</v>
      </c>
      <c r="B2848" s="12" t="str">
        <f t="shared" si="44"/>
        <v>482</v>
      </c>
      <c r="C2848" s="1" t="s">
        <v>3931</v>
      </c>
      <c r="D2848" s="13" t="str">
        <f>IF(RIGHT(A2848,3)="000",C2848,VLOOKUP(B2848,'Справочник ИХ'!A:C,3,0))</f>
        <v>Остальные грузы</v>
      </c>
      <c r="E2848" s="13">
        <f>IF(RIGHT(A2848,3)="000","х",VLOOKUP(B2848,'Справочник ИХ'!A:D,4,0))</f>
        <v>2</v>
      </c>
      <c r="F2848" s="14" t="s">
        <v>3816</v>
      </c>
    </row>
    <row r="2849" spans="1:6" ht="31.75">
      <c r="A2849" s="19" t="s">
        <v>3932</v>
      </c>
      <c r="B2849" s="12" t="str">
        <f t="shared" si="44"/>
        <v>482</v>
      </c>
      <c r="C2849" s="1" t="s">
        <v>3933</v>
      </c>
      <c r="D2849" s="13" t="str">
        <f>IF(RIGHT(A2849,3)="000",C2849,VLOOKUP(B2849,'Справочник ИХ'!A:C,3,0))</f>
        <v>Остальные грузы</v>
      </c>
      <c r="E2849" s="13">
        <f>IF(RIGHT(A2849,3)="000","х",VLOOKUP(B2849,'Справочник ИХ'!A:D,4,0))</f>
        <v>2</v>
      </c>
      <c r="F2849" s="14" t="s">
        <v>3816</v>
      </c>
    </row>
    <row r="2850" spans="1:6">
      <c r="A2850" s="19" t="s">
        <v>3934</v>
      </c>
      <c r="B2850" s="12" t="str">
        <f t="shared" si="44"/>
        <v>482</v>
      </c>
      <c r="C2850" s="1" t="s">
        <v>3935</v>
      </c>
      <c r="D2850" s="13" t="str">
        <f>IF(RIGHT(A2850,3)="000",C2850,VLOOKUP(B2850,'Справочник ИХ'!A:C,3,0))</f>
        <v>Остальные грузы</v>
      </c>
      <c r="E2850" s="13">
        <f>IF(RIGHT(A2850,3)="000","х",VLOOKUP(B2850,'Справочник ИХ'!A:D,4,0))</f>
        <v>2</v>
      </c>
      <c r="F2850" s="14" t="s">
        <v>3816</v>
      </c>
    </row>
    <row r="2851" spans="1:6">
      <c r="A2851" s="19" t="s">
        <v>3936</v>
      </c>
      <c r="B2851" s="12" t="str">
        <f t="shared" si="44"/>
        <v>482</v>
      </c>
      <c r="C2851" s="1" t="s">
        <v>3937</v>
      </c>
      <c r="D2851" s="13" t="str">
        <f>IF(RIGHT(A2851,3)="000",C2851,VLOOKUP(B2851,'Справочник ИХ'!A:C,3,0))</f>
        <v>Остальные грузы</v>
      </c>
      <c r="E2851" s="13">
        <f>IF(RIGHT(A2851,3)="000","х",VLOOKUP(B2851,'Справочник ИХ'!A:D,4,0))</f>
        <v>2</v>
      </c>
      <c r="F2851" s="14" t="s">
        <v>3816</v>
      </c>
    </row>
    <row r="2852" spans="1:6" ht="31.75">
      <c r="A2852" s="19" t="s">
        <v>3938</v>
      </c>
      <c r="B2852" s="12" t="str">
        <f t="shared" si="44"/>
        <v>482</v>
      </c>
      <c r="C2852" s="1" t="s">
        <v>3939</v>
      </c>
      <c r="D2852" s="13" t="str">
        <f>IF(RIGHT(A2852,3)="000",C2852,VLOOKUP(B2852,'Справочник ИХ'!A:C,3,0))</f>
        <v>Остальные грузы</v>
      </c>
      <c r="E2852" s="13">
        <f>IF(RIGHT(A2852,3)="000","х",VLOOKUP(B2852,'Справочник ИХ'!A:D,4,0))</f>
        <v>2</v>
      </c>
      <c r="F2852" s="14" t="s">
        <v>3816</v>
      </c>
    </row>
    <row r="2853" spans="1:6">
      <c r="A2853" s="19" t="s">
        <v>3940</v>
      </c>
      <c r="B2853" s="12" t="str">
        <f t="shared" si="44"/>
        <v>482</v>
      </c>
      <c r="C2853" s="1" t="s">
        <v>3941</v>
      </c>
      <c r="D2853" s="13" t="str">
        <f>IF(RIGHT(A2853,3)="000",C2853,VLOOKUP(B2853,'Справочник ИХ'!A:C,3,0))</f>
        <v>Остальные грузы</v>
      </c>
      <c r="E2853" s="13">
        <f>IF(RIGHT(A2853,3)="000","х",VLOOKUP(B2853,'Справочник ИХ'!A:D,4,0))</f>
        <v>2</v>
      </c>
      <c r="F2853" s="14" t="s">
        <v>3816</v>
      </c>
    </row>
    <row r="2854" spans="1:6">
      <c r="A2854" s="19" t="s">
        <v>3942</v>
      </c>
      <c r="B2854" s="12" t="str">
        <f t="shared" si="44"/>
        <v>482</v>
      </c>
      <c r="C2854" s="1" t="s">
        <v>3943</v>
      </c>
      <c r="D2854" s="13" t="str">
        <f>IF(RIGHT(A2854,3)="000",C2854,VLOOKUP(B2854,'Справочник ИХ'!A:C,3,0))</f>
        <v>Остальные грузы</v>
      </c>
      <c r="E2854" s="13">
        <f>IF(RIGHT(A2854,3)="000","х",VLOOKUP(B2854,'Справочник ИХ'!A:D,4,0))</f>
        <v>2</v>
      </c>
      <c r="F2854" s="14" t="s">
        <v>3816</v>
      </c>
    </row>
    <row r="2855" spans="1:6">
      <c r="A2855" s="19" t="s">
        <v>3944</v>
      </c>
      <c r="B2855" s="12" t="str">
        <f t="shared" si="44"/>
        <v>482</v>
      </c>
      <c r="C2855" s="1" t="s">
        <v>3945</v>
      </c>
      <c r="D2855" s="13" t="str">
        <f>IF(RIGHT(A2855,3)="000",C2855,VLOOKUP(B2855,'Справочник ИХ'!A:C,3,0))</f>
        <v>Остальные грузы</v>
      </c>
      <c r="E2855" s="13">
        <f>IF(RIGHT(A2855,3)="000","х",VLOOKUP(B2855,'Справочник ИХ'!A:D,4,0))</f>
        <v>2</v>
      </c>
      <c r="F2855" s="14" t="s">
        <v>3816</v>
      </c>
    </row>
    <row r="2856" spans="1:6">
      <c r="A2856" s="19" t="s">
        <v>3946</v>
      </c>
      <c r="B2856" s="12" t="str">
        <f t="shared" si="44"/>
        <v>482</v>
      </c>
      <c r="C2856" s="1" t="s">
        <v>3947</v>
      </c>
      <c r="D2856" s="13" t="str">
        <f>IF(RIGHT(A2856,3)="000",C2856,VLOOKUP(B2856,'Справочник ИХ'!A:C,3,0))</f>
        <v>Остальные грузы</v>
      </c>
      <c r="E2856" s="13">
        <f>IF(RIGHT(A2856,3)="000","х",VLOOKUP(B2856,'Справочник ИХ'!A:D,4,0))</f>
        <v>2</v>
      </c>
      <c r="F2856" s="14" t="s">
        <v>3816</v>
      </c>
    </row>
    <row r="2857" spans="1:6">
      <c r="A2857" s="19" t="s">
        <v>3948</v>
      </c>
      <c r="B2857" s="12" t="str">
        <f t="shared" si="44"/>
        <v>482</v>
      </c>
      <c r="C2857" s="1" t="s">
        <v>3949</v>
      </c>
      <c r="D2857" s="13" t="str">
        <f>IF(RIGHT(A2857,3)="000",C2857,VLOOKUP(B2857,'Справочник ИХ'!A:C,3,0))</f>
        <v>Остальные грузы</v>
      </c>
      <c r="E2857" s="13">
        <f>IF(RIGHT(A2857,3)="000","х",VLOOKUP(B2857,'Справочник ИХ'!A:D,4,0))</f>
        <v>2</v>
      </c>
      <c r="F2857" s="14" t="s">
        <v>3816</v>
      </c>
    </row>
    <row r="2858" spans="1:6" ht="31.75">
      <c r="A2858" s="19" t="s">
        <v>3950</v>
      </c>
      <c r="B2858" s="12" t="str">
        <f t="shared" si="44"/>
        <v>482</v>
      </c>
      <c r="C2858" s="1" t="s">
        <v>3951</v>
      </c>
      <c r="D2858" s="13" t="str">
        <f>IF(RIGHT(A2858,3)="000",C2858,VLOOKUP(B2858,'Справочник ИХ'!A:C,3,0))</f>
        <v>Остальные грузы</v>
      </c>
      <c r="E2858" s="13">
        <f>IF(RIGHT(A2858,3)="000","х",VLOOKUP(B2858,'Справочник ИХ'!A:D,4,0))</f>
        <v>2</v>
      </c>
      <c r="F2858" s="14" t="s">
        <v>3816</v>
      </c>
    </row>
    <row r="2859" spans="1:6" ht="31.75">
      <c r="A2859" s="19" t="s">
        <v>3952</v>
      </c>
      <c r="B2859" s="12" t="str">
        <f t="shared" si="44"/>
        <v>482</v>
      </c>
      <c r="C2859" s="1" t="s">
        <v>3953</v>
      </c>
      <c r="D2859" s="13" t="str">
        <f>IF(RIGHT(A2859,3)="000",C2859,VLOOKUP(B2859,'Справочник ИХ'!A:C,3,0))</f>
        <v>Остальные грузы</v>
      </c>
      <c r="E2859" s="13">
        <f>IF(RIGHT(A2859,3)="000","х",VLOOKUP(B2859,'Справочник ИХ'!A:D,4,0))</f>
        <v>2</v>
      </c>
      <c r="F2859" s="14" t="s">
        <v>3816</v>
      </c>
    </row>
    <row r="2860" spans="1:6" ht="31.75">
      <c r="A2860" s="19" t="s">
        <v>3954</v>
      </c>
      <c r="B2860" s="12" t="str">
        <f t="shared" si="44"/>
        <v>482</v>
      </c>
      <c r="C2860" s="1" t="s">
        <v>3955</v>
      </c>
      <c r="D2860" s="13" t="str">
        <f>IF(RIGHT(A2860,3)="000",C2860,VLOOKUP(B2860,'Справочник ИХ'!A:C,3,0))</f>
        <v>Остальные грузы</v>
      </c>
      <c r="E2860" s="13">
        <f>IF(RIGHT(A2860,3)="000","х",VLOOKUP(B2860,'Справочник ИХ'!A:D,4,0))</f>
        <v>2</v>
      </c>
      <c r="F2860" s="14" t="s">
        <v>3816</v>
      </c>
    </row>
    <row r="2861" spans="1:6">
      <c r="A2861" s="19" t="s">
        <v>3956</v>
      </c>
      <c r="B2861" s="12" t="str">
        <f t="shared" si="44"/>
        <v>482</v>
      </c>
      <c r="C2861" s="1" t="s">
        <v>3957</v>
      </c>
      <c r="D2861" s="13" t="str">
        <f>IF(RIGHT(A2861,3)="000",C2861,VLOOKUP(B2861,'Справочник ИХ'!A:C,3,0))</f>
        <v>Остальные грузы</v>
      </c>
      <c r="E2861" s="13">
        <f>IF(RIGHT(A2861,3)="000","х",VLOOKUP(B2861,'Справочник ИХ'!A:D,4,0))</f>
        <v>2</v>
      </c>
      <c r="F2861" s="14" t="s">
        <v>3816</v>
      </c>
    </row>
    <row r="2862" spans="1:6">
      <c r="A2862" s="19" t="s">
        <v>3958</v>
      </c>
      <c r="B2862" s="12" t="str">
        <f t="shared" si="44"/>
        <v>482</v>
      </c>
      <c r="C2862" s="1" t="s">
        <v>3959</v>
      </c>
      <c r="D2862" s="13" t="str">
        <f>IF(RIGHT(A2862,3)="000",C2862,VLOOKUP(B2862,'Справочник ИХ'!A:C,3,0))</f>
        <v>Остальные грузы</v>
      </c>
      <c r="E2862" s="13">
        <f>IF(RIGHT(A2862,3)="000","х",VLOOKUP(B2862,'Справочник ИХ'!A:D,4,0))</f>
        <v>2</v>
      </c>
      <c r="F2862" s="14" t="s">
        <v>3816</v>
      </c>
    </row>
    <row r="2863" spans="1:6" s="18" customFormat="1">
      <c r="A2863" s="16">
        <v>48300</v>
      </c>
      <c r="B2863" s="12" t="str">
        <f t="shared" si="44"/>
        <v>483</v>
      </c>
      <c r="C2863" s="17" t="s">
        <v>3960</v>
      </c>
      <c r="D2863" s="13" t="str">
        <f>IF(RIGHT(A2863,3)="000",C2863,VLOOKUP(B2863,'Справочник ИХ'!A:C,3,0))</f>
        <v>Остальные грузы</v>
      </c>
      <c r="E2863" s="13">
        <f>IF(RIGHT(A2863,3)="000","х",VLOOKUP(B2863,'Справочник ИХ'!A:D,4,0))</f>
        <v>3</v>
      </c>
      <c r="F2863" s="14" t="s">
        <v>3816</v>
      </c>
    </row>
    <row r="2864" spans="1:6">
      <c r="A2864" s="19">
        <v>48301</v>
      </c>
      <c r="B2864" s="12" t="str">
        <f t="shared" si="44"/>
        <v>483</v>
      </c>
      <c r="C2864" s="1" t="s">
        <v>3961</v>
      </c>
      <c r="D2864" s="13" t="str">
        <f>IF(RIGHT(A2864,3)="000",C2864,VLOOKUP(B2864,'Справочник ИХ'!A:C,3,0))</f>
        <v>Остальные грузы</v>
      </c>
      <c r="E2864" s="13">
        <f>IF(RIGHT(A2864,3)="000","х",VLOOKUP(B2864,'Справочник ИХ'!A:D,4,0))</f>
        <v>3</v>
      </c>
      <c r="F2864" s="14" t="s">
        <v>3816</v>
      </c>
    </row>
    <row r="2865" spans="1:6" ht="31.75">
      <c r="A2865" s="19">
        <v>48302</v>
      </c>
      <c r="B2865" s="12" t="str">
        <f t="shared" si="44"/>
        <v>483</v>
      </c>
      <c r="C2865" s="1" t="s">
        <v>3962</v>
      </c>
      <c r="D2865" s="13" t="str">
        <f>IF(RIGHT(A2865,3)="000",C2865,VLOOKUP(B2865,'Справочник ИХ'!A:C,3,0))</f>
        <v>Остальные грузы</v>
      </c>
      <c r="E2865" s="13">
        <f>IF(RIGHT(A2865,3)="000","х",VLOOKUP(B2865,'Справочник ИХ'!A:D,4,0))</f>
        <v>3</v>
      </c>
      <c r="F2865" s="14" t="s">
        <v>3816</v>
      </c>
    </row>
    <row r="2866" spans="1:6" ht="31.75">
      <c r="A2866" s="19">
        <v>48303</v>
      </c>
      <c r="B2866" s="12" t="str">
        <f t="shared" si="44"/>
        <v>483</v>
      </c>
      <c r="C2866" s="1" t="s">
        <v>3963</v>
      </c>
      <c r="D2866" s="13" t="str">
        <f>IF(RIGHT(A2866,3)="000",C2866,VLOOKUP(B2866,'Справочник ИХ'!A:C,3,0))</f>
        <v>Остальные грузы</v>
      </c>
      <c r="E2866" s="13">
        <f>IF(RIGHT(A2866,3)="000","х",VLOOKUP(B2866,'Справочник ИХ'!A:D,4,0))</f>
        <v>3</v>
      </c>
      <c r="F2866" s="14" t="s">
        <v>3816</v>
      </c>
    </row>
    <row r="2867" spans="1:6">
      <c r="A2867" s="19" t="s">
        <v>3964</v>
      </c>
      <c r="B2867" s="12" t="str">
        <f t="shared" si="44"/>
        <v>483</v>
      </c>
      <c r="C2867" s="1" t="s">
        <v>3965</v>
      </c>
      <c r="D2867" s="13" t="str">
        <f>IF(RIGHT(A2867,3)="000",C2867,VLOOKUP(B2867,'Справочник ИХ'!A:C,3,0))</f>
        <v>Остальные грузы</v>
      </c>
      <c r="E2867" s="13">
        <f>IF(RIGHT(A2867,3)="000","х",VLOOKUP(B2867,'Справочник ИХ'!A:D,4,0))</f>
        <v>3</v>
      </c>
      <c r="F2867" s="14" t="s">
        <v>3816</v>
      </c>
    </row>
    <row r="2868" spans="1:6">
      <c r="A2868" s="19" t="s">
        <v>3966</v>
      </c>
      <c r="B2868" s="12" t="str">
        <f t="shared" si="44"/>
        <v>483</v>
      </c>
      <c r="C2868" s="1" t="s">
        <v>3967</v>
      </c>
      <c r="D2868" s="13" t="str">
        <f>IF(RIGHT(A2868,3)="000",C2868,VLOOKUP(B2868,'Справочник ИХ'!A:C,3,0))</f>
        <v>Остальные грузы</v>
      </c>
      <c r="E2868" s="13">
        <f>IF(RIGHT(A2868,3)="000","х",VLOOKUP(B2868,'Справочник ИХ'!A:D,4,0))</f>
        <v>3</v>
      </c>
      <c r="F2868" s="14" t="s">
        <v>3816</v>
      </c>
    </row>
    <row r="2869" spans="1:6">
      <c r="A2869" s="19" t="s">
        <v>3968</v>
      </c>
      <c r="B2869" s="12" t="str">
        <f t="shared" si="44"/>
        <v>483</v>
      </c>
      <c r="C2869" s="1" t="s">
        <v>3969</v>
      </c>
      <c r="D2869" s="13" t="str">
        <f>IF(RIGHT(A2869,3)="000",C2869,VLOOKUP(B2869,'Справочник ИХ'!A:C,3,0))</f>
        <v>Остальные грузы</v>
      </c>
      <c r="E2869" s="13">
        <f>IF(RIGHT(A2869,3)="000","х",VLOOKUP(B2869,'Справочник ИХ'!A:D,4,0))</f>
        <v>3</v>
      </c>
      <c r="F2869" s="14" t="s">
        <v>3816</v>
      </c>
    </row>
    <row r="2870" spans="1:6">
      <c r="A2870" s="19" t="s">
        <v>3970</v>
      </c>
      <c r="B2870" s="12" t="str">
        <f t="shared" si="44"/>
        <v>483</v>
      </c>
      <c r="C2870" s="1" t="s">
        <v>3971</v>
      </c>
      <c r="D2870" s="13" t="str">
        <f>IF(RIGHT(A2870,3)="000",C2870,VLOOKUP(B2870,'Справочник ИХ'!A:C,3,0))</f>
        <v>Остальные грузы</v>
      </c>
      <c r="E2870" s="13">
        <f>IF(RIGHT(A2870,3)="000","х",VLOOKUP(B2870,'Справочник ИХ'!A:D,4,0))</f>
        <v>3</v>
      </c>
      <c r="F2870" s="14" t="s">
        <v>3816</v>
      </c>
    </row>
    <row r="2871" spans="1:6" ht="31.75">
      <c r="A2871" s="19" t="s">
        <v>3972</v>
      </c>
      <c r="B2871" s="12" t="str">
        <f t="shared" si="44"/>
        <v>483</v>
      </c>
      <c r="C2871" s="1" t="s">
        <v>3973</v>
      </c>
      <c r="D2871" s="13" t="str">
        <f>IF(RIGHT(A2871,3)="000",C2871,VLOOKUP(B2871,'Справочник ИХ'!A:C,3,0))</f>
        <v>Остальные грузы</v>
      </c>
      <c r="E2871" s="13">
        <f>IF(RIGHT(A2871,3)="000","х",VLOOKUP(B2871,'Справочник ИХ'!A:D,4,0))</f>
        <v>3</v>
      </c>
      <c r="F2871" s="14" t="s">
        <v>3816</v>
      </c>
    </row>
    <row r="2872" spans="1:6">
      <c r="A2872" s="19" t="s">
        <v>3974</v>
      </c>
      <c r="B2872" s="12" t="str">
        <f t="shared" si="44"/>
        <v>483</v>
      </c>
      <c r="C2872" s="1" t="s">
        <v>3975</v>
      </c>
      <c r="D2872" s="13" t="str">
        <f>IF(RIGHT(A2872,3)="000",C2872,VLOOKUP(B2872,'Справочник ИХ'!A:C,3,0))</f>
        <v>Остальные грузы</v>
      </c>
      <c r="E2872" s="13">
        <f>IF(RIGHT(A2872,3)="000","х",VLOOKUP(B2872,'Справочник ИХ'!A:D,4,0))</f>
        <v>3</v>
      </c>
      <c r="F2872" s="14" t="s">
        <v>3816</v>
      </c>
    </row>
    <row r="2873" spans="1:6" ht="31.75">
      <c r="A2873" s="19" t="s">
        <v>3976</v>
      </c>
      <c r="B2873" s="12" t="str">
        <f t="shared" si="44"/>
        <v>483</v>
      </c>
      <c r="C2873" s="1" t="s">
        <v>3977</v>
      </c>
      <c r="D2873" s="13" t="str">
        <f>IF(RIGHT(A2873,3)="000",C2873,VLOOKUP(B2873,'Справочник ИХ'!A:C,3,0))</f>
        <v>Остальные грузы</v>
      </c>
      <c r="E2873" s="13">
        <f>IF(RIGHT(A2873,3)="000","х",VLOOKUP(B2873,'Справочник ИХ'!A:D,4,0))</f>
        <v>3</v>
      </c>
      <c r="F2873" s="14" t="s">
        <v>3816</v>
      </c>
    </row>
    <row r="2874" spans="1:6" ht="31.75">
      <c r="A2874" s="19" t="s">
        <v>3978</v>
      </c>
      <c r="B2874" s="12" t="str">
        <f t="shared" si="44"/>
        <v>483</v>
      </c>
      <c r="C2874" s="1" t="s">
        <v>3979</v>
      </c>
      <c r="D2874" s="13" t="str">
        <f>IF(RIGHT(A2874,3)="000",C2874,VLOOKUP(B2874,'Справочник ИХ'!A:C,3,0))</f>
        <v>Остальные грузы</v>
      </c>
      <c r="E2874" s="13">
        <f>IF(RIGHT(A2874,3)="000","х",VLOOKUP(B2874,'Справочник ИХ'!A:D,4,0))</f>
        <v>3</v>
      </c>
      <c r="F2874" s="14" t="s">
        <v>3816</v>
      </c>
    </row>
    <row r="2875" spans="1:6" ht="31.75">
      <c r="A2875" s="19" t="s">
        <v>3980</v>
      </c>
      <c r="B2875" s="12" t="str">
        <f t="shared" si="44"/>
        <v>483</v>
      </c>
      <c r="C2875" s="1" t="s">
        <v>3981</v>
      </c>
      <c r="D2875" s="13" t="str">
        <f>IF(RIGHT(A2875,3)="000",C2875,VLOOKUP(B2875,'Справочник ИХ'!A:C,3,0))</f>
        <v>Остальные грузы</v>
      </c>
      <c r="E2875" s="13">
        <f>IF(RIGHT(A2875,3)="000","х",VLOOKUP(B2875,'Справочник ИХ'!A:D,4,0))</f>
        <v>3</v>
      </c>
      <c r="F2875" s="14" t="s">
        <v>3816</v>
      </c>
    </row>
    <row r="2876" spans="1:6" ht="31.75">
      <c r="A2876" s="19" t="s">
        <v>3982</v>
      </c>
      <c r="B2876" s="12" t="str">
        <f t="shared" si="44"/>
        <v>483</v>
      </c>
      <c r="C2876" s="1" t="s">
        <v>3983</v>
      </c>
      <c r="D2876" s="13" t="str">
        <f>IF(RIGHT(A2876,3)="000",C2876,VLOOKUP(B2876,'Справочник ИХ'!A:C,3,0))</f>
        <v>Остальные грузы</v>
      </c>
      <c r="E2876" s="13">
        <f>IF(RIGHT(A2876,3)="000","х",VLOOKUP(B2876,'Справочник ИХ'!A:D,4,0))</f>
        <v>3</v>
      </c>
      <c r="F2876" s="14" t="s">
        <v>3816</v>
      </c>
    </row>
    <row r="2877" spans="1:6">
      <c r="A2877" s="19" t="s">
        <v>3984</v>
      </c>
      <c r="B2877" s="12" t="str">
        <f t="shared" si="44"/>
        <v>483</v>
      </c>
      <c r="C2877" s="1" t="s">
        <v>3985</v>
      </c>
      <c r="D2877" s="13" t="str">
        <f>IF(RIGHT(A2877,3)="000",C2877,VLOOKUP(B2877,'Справочник ИХ'!A:C,3,0))</f>
        <v>Остальные грузы</v>
      </c>
      <c r="E2877" s="13">
        <f>IF(RIGHT(A2877,3)="000","х",VLOOKUP(B2877,'Справочник ИХ'!A:D,4,0))</f>
        <v>3</v>
      </c>
      <c r="F2877" s="14" t="s">
        <v>3816</v>
      </c>
    </row>
    <row r="2878" spans="1:6">
      <c r="A2878" s="19" t="s">
        <v>3986</v>
      </c>
      <c r="B2878" s="12" t="str">
        <f t="shared" si="44"/>
        <v>483</v>
      </c>
      <c r="C2878" s="1" t="s">
        <v>3987</v>
      </c>
      <c r="D2878" s="13" t="str">
        <f>IF(RIGHT(A2878,3)="000",C2878,VLOOKUP(B2878,'Справочник ИХ'!A:C,3,0))</f>
        <v>Остальные грузы</v>
      </c>
      <c r="E2878" s="13">
        <f>IF(RIGHT(A2878,3)="000","х",VLOOKUP(B2878,'Справочник ИХ'!A:D,4,0))</f>
        <v>3</v>
      </c>
      <c r="F2878" s="14" t="s">
        <v>3816</v>
      </c>
    </row>
    <row r="2879" spans="1:6">
      <c r="A2879" s="19" t="s">
        <v>3988</v>
      </c>
      <c r="B2879" s="12" t="str">
        <f t="shared" si="44"/>
        <v>483</v>
      </c>
      <c r="C2879" s="1" t="s">
        <v>3989</v>
      </c>
      <c r="D2879" s="13" t="str">
        <f>IF(RIGHT(A2879,3)="000",C2879,VLOOKUP(B2879,'Справочник ИХ'!A:C,3,0))</f>
        <v>Остальные грузы</v>
      </c>
      <c r="E2879" s="13">
        <f>IF(RIGHT(A2879,3)="000","х",VLOOKUP(B2879,'Справочник ИХ'!A:D,4,0))</f>
        <v>3</v>
      </c>
      <c r="F2879" s="14" t="s">
        <v>3816</v>
      </c>
    </row>
    <row r="2880" spans="1:6" ht="31.75">
      <c r="A2880" s="19" t="s">
        <v>3990</v>
      </c>
      <c r="B2880" s="12" t="str">
        <f t="shared" si="44"/>
        <v>483</v>
      </c>
      <c r="C2880" s="1" t="s">
        <v>3991</v>
      </c>
      <c r="D2880" s="13" t="str">
        <f>IF(RIGHT(A2880,3)="000",C2880,VLOOKUP(B2880,'Справочник ИХ'!A:C,3,0))</f>
        <v>Остальные грузы</v>
      </c>
      <c r="E2880" s="13">
        <f>IF(RIGHT(A2880,3)="000","х",VLOOKUP(B2880,'Справочник ИХ'!A:D,4,0))</f>
        <v>3</v>
      </c>
      <c r="F2880" s="14" t="s">
        <v>3816</v>
      </c>
    </row>
    <row r="2881" spans="1:6">
      <c r="A2881" s="19" t="s">
        <v>3992</v>
      </c>
      <c r="B2881" s="12" t="str">
        <f t="shared" si="44"/>
        <v>483</v>
      </c>
      <c r="C2881" s="1" t="s">
        <v>3993</v>
      </c>
      <c r="D2881" s="13" t="str">
        <f>IF(RIGHT(A2881,3)="000",C2881,VLOOKUP(B2881,'Справочник ИХ'!A:C,3,0))</f>
        <v>Остальные грузы</v>
      </c>
      <c r="E2881" s="13">
        <f>IF(RIGHT(A2881,3)="000","х",VLOOKUP(B2881,'Справочник ИХ'!A:D,4,0))</f>
        <v>3</v>
      </c>
      <c r="F2881" s="14" t="s">
        <v>3816</v>
      </c>
    </row>
    <row r="2882" spans="1:6">
      <c r="A2882" s="19" t="s">
        <v>3994</v>
      </c>
      <c r="B2882" s="12" t="str">
        <f t="shared" si="44"/>
        <v>483</v>
      </c>
      <c r="C2882" s="1" t="s">
        <v>3995</v>
      </c>
      <c r="D2882" s="13" t="str">
        <f>IF(RIGHT(A2882,3)="000",C2882,VLOOKUP(B2882,'Справочник ИХ'!A:C,3,0))</f>
        <v>Остальные грузы</v>
      </c>
      <c r="E2882" s="13">
        <f>IF(RIGHT(A2882,3)="000","х",VLOOKUP(B2882,'Справочник ИХ'!A:D,4,0))</f>
        <v>3</v>
      </c>
      <c r="F2882" s="14" t="s">
        <v>3816</v>
      </c>
    </row>
    <row r="2883" spans="1:6">
      <c r="A2883" s="19" t="s">
        <v>3996</v>
      </c>
      <c r="B2883" s="12" t="str">
        <f t="shared" si="44"/>
        <v>483</v>
      </c>
      <c r="C2883" s="1" t="s">
        <v>3997</v>
      </c>
      <c r="D2883" s="13" t="str">
        <f>IF(RIGHT(A2883,3)="000",C2883,VLOOKUP(B2883,'Справочник ИХ'!A:C,3,0))</f>
        <v>Остальные грузы</v>
      </c>
      <c r="E2883" s="13">
        <f>IF(RIGHT(A2883,3)="000","х",VLOOKUP(B2883,'Справочник ИХ'!A:D,4,0))</f>
        <v>3</v>
      </c>
      <c r="F2883" s="14" t="s">
        <v>3816</v>
      </c>
    </row>
    <row r="2884" spans="1:6">
      <c r="A2884" s="19" t="s">
        <v>3998</v>
      </c>
      <c r="B2884" s="12" t="str">
        <f t="shared" si="44"/>
        <v>483</v>
      </c>
      <c r="C2884" s="1" t="s">
        <v>3999</v>
      </c>
      <c r="D2884" s="13" t="str">
        <f>IF(RIGHT(A2884,3)="000",C2884,VLOOKUP(B2884,'Справочник ИХ'!A:C,3,0))</f>
        <v>Остальные грузы</v>
      </c>
      <c r="E2884" s="13">
        <f>IF(RIGHT(A2884,3)="000","х",VLOOKUP(B2884,'Справочник ИХ'!A:D,4,0))</f>
        <v>3</v>
      </c>
      <c r="F2884" s="14" t="s">
        <v>3816</v>
      </c>
    </row>
    <row r="2885" spans="1:6">
      <c r="A2885" s="19" t="s">
        <v>4000</v>
      </c>
      <c r="B2885" s="12" t="str">
        <f t="shared" ref="B2885:B2948" si="45">LEFT(A2885,3)</f>
        <v>483</v>
      </c>
      <c r="C2885" s="1" t="s">
        <v>4001</v>
      </c>
      <c r="D2885" s="13" t="str">
        <f>IF(RIGHT(A2885,3)="000",C2885,VLOOKUP(B2885,'Справочник ИХ'!A:C,3,0))</f>
        <v>Остальные грузы</v>
      </c>
      <c r="E2885" s="13">
        <f>IF(RIGHT(A2885,3)="000","х",VLOOKUP(B2885,'Справочник ИХ'!A:D,4,0))</f>
        <v>3</v>
      </c>
      <c r="F2885" s="14" t="s">
        <v>3816</v>
      </c>
    </row>
    <row r="2886" spans="1:6">
      <c r="A2886" s="19" t="s">
        <v>4002</v>
      </c>
      <c r="B2886" s="12" t="str">
        <f t="shared" si="45"/>
        <v>483</v>
      </c>
      <c r="C2886" s="1" t="s">
        <v>4003</v>
      </c>
      <c r="D2886" s="13" t="str">
        <f>IF(RIGHT(A2886,3)="000",C2886,VLOOKUP(B2886,'Справочник ИХ'!A:C,3,0))</f>
        <v>Остальные грузы</v>
      </c>
      <c r="E2886" s="13">
        <f>IF(RIGHT(A2886,3)="000","х",VLOOKUP(B2886,'Справочник ИХ'!A:D,4,0))</f>
        <v>3</v>
      </c>
      <c r="F2886" s="14" t="s">
        <v>3816</v>
      </c>
    </row>
    <row r="2887" spans="1:6" ht="31.75">
      <c r="A2887" s="19" t="s">
        <v>4004</v>
      </c>
      <c r="B2887" s="12" t="str">
        <f t="shared" si="45"/>
        <v>483</v>
      </c>
      <c r="C2887" s="1" t="s">
        <v>4005</v>
      </c>
      <c r="D2887" s="13" t="str">
        <f>IF(RIGHT(A2887,3)="000",C2887,VLOOKUP(B2887,'Справочник ИХ'!A:C,3,0))</f>
        <v>Остальные грузы</v>
      </c>
      <c r="E2887" s="13">
        <f>IF(RIGHT(A2887,3)="000","х",VLOOKUP(B2887,'Справочник ИХ'!A:D,4,0))</f>
        <v>3</v>
      </c>
      <c r="F2887" s="14" t="s">
        <v>3816</v>
      </c>
    </row>
    <row r="2888" spans="1:6">
      <c r="A2888" s="19" t="s">
        <v>4006</v>
      </c>
      <c r="B2888" s="12" t="str">
        <f t="shared" si="45"/>
        <v>483</v>
      </c>
      <c r="C2888" s="1" t="s">
        <v>4007</v>
      </c>
      <c r="D2888" s="13" t="str">
        <f>IF(RIGHT(A2888,3)="000",C2888,VLOOKUP(B2888,'Справочник ИХ'!A:C,3,0))</f>
        <v>Остальные грузы</v>
      </c>
      <c r="E2888" s="13">
        <f>IF(RIGHT(A2888,3)="000","х",VLOOKUP(B2888,'Справочник ИХ'!A:D,4,0))</f>
        <v>3</v>
      </c>
      <c r="F2888" s="14" t="s">
        <v>3816</v>
      </c>
    </row>
    <row r="2889" spans="1:6">
      <c r="A2889" s="19">
        <v>48328</v>
      </c>
      <c r="B2889" s="12" t="str">
        <f t="shared" si="45"/>
        <v>483</v>
      </c>
      <c r="C2889" s="1" t="s">
        <v>4008</v>
      </c>
      <c r="D2889" s="13" t="str">
        <f>IF(RIGHT(A2889,3)="000",C2889,VLOOKUP(B2889,'Справочник ИХ'!A:C,3,0))</f>
        <v>Остальные грузы</v>
      </c>
      <c r="E2889" s="13">
        <f>IF(RIGHT(A2889,3)="000","х",VLOOKUP(B2889,'Справочник ИХ'!A:D,4,0))</f>
        <v>3</v>
      </c>
      <c r="F2889" s="14" t="s">
        <v>3816</v>
      </c>
    </row>
    <row r="2890" spans="1:6">
      <c r="A2890" s="19" t="s">
        <v>4009</v>
      </c>
      <c r="B2890" s="12" t="str">
        <f t="shared" si="45"/>
        <v>483</v>
      </c>
      <c r="C2890" s="1" t="s">
        <v>4010</v>
      </c>
      <c r="D2890" s="13" t="str">
        <f>IF(RIGHT(A2890,3)="000",C2890,VLOOKUP(B2890,'Справочник ИХ'!A:C,3,0))</f>
        <v>Остальные грузы</v>
      </c>
      <c r="E2890" s="13">
        <f>IF(RIGHT(A2890,3)="000","х",VLOOKUP(B2890,'Справочник ИХ'!A:D,4,0))</f>
        <v>3</v>
      </c>
      <c r="F2890" s="14" t="s">
        <v>3816</v>
      </c>
    </row>
    <row r="2891" spans="1:6">
      <c r="A2891" s="19" t="s">
        <v>4011</v>
      </c>
      <c r="B2891" s="12" t="str">
        <f t="shared" si="45"/>
        <v>483</v>
      </c>
      <c r="C2891" s="1" t="s">
        <v>4012</v>
      </c>
      <c r="D2891" s="13" t="str">
        <f>IF(RIGHT(A2891,3)="000",C2891,VLOOKUP(B2891,'Справочник ИХ'!A:C,3,0))</f>
        <v>Остальные грузы</v>
      </c>
      <c r="E2891" s="13">
        <f>IF(RIGHT(A2891,3)="000","х",VLOOKUP(B2891,'Справочник ИХ'!A:D,4,0))</f>
        <v>3</v>
      </c>
      <c r="F2891" s="14" t="s">
        <v>3816</v>
      </c>
    </row>
    <row r="2892" spans="1:6">
      <c r="A2892" s="19" t="s">
        <v>4013</v>
      </c>
      <c r="B2892" s="12" t="str">
        <f t="shared" si="45"/>
        <v>483</v>
      </c>
      <c r="C2892" s="1" t="s">
        <v>4014</v>
      </c>
      <c r="D2892" s="13" t="str">
        <f>IF(RIGHT(A2892,3)="000",C2892,VLOOKUP(B2892,'Справочник ИХ'!A:C,3,0))</f>
        <v>Остальные грузы</v>
      </c>
      <c r="E2892" s="13">
        <f>IF(RIGHT(A2892,3)="000","х",VLOOKUP(B2892,'Справочник ИХ'!A:D,4,0))</f>
        <v>3</v>
      </c>
      <c r="F2892" s="14" t="s">
        <v>3816</v>
      </c>
    </row>
    <row r="2893" spans="1:6">
      <c r="A2893" s="19" t="s">
        <v>4015</v>
      </c>
      <c r="B2893" s="12" t="str">
        <f t="shared" si="45"/>
        <v>483</v>
      </c>
      <c r="C2893" s="1" t="s">
        <v>4016</v>
      </c>
      <c r="D2893" s="13" t="str">
        <f>IF(RIGHT(A2893,3)="000",C2893,VLOOKUP(B2893,'Справочник ИХ'!A:C,3,0))</f>
        <v>Остальные грузы</v>
      </c>
      <c r="E2893" s="13">
        <f>IF(RIGHT(A2893,3)="000","х",VLOOKUP(B2893,'Справочник ИХ'!A:D,4,0))</f>
        <v>3</v>
      </c>
      <c r="F2893" s="14" t="s">
        <v>3816</v>
      </c>
    </row>
    <row r="2894" spans="1:6" ht="31.75">
      <c r="A2894" s="19" t="s">
        <v>4017</v>
      </c>
      <c r="B2894" s="12" t="str">
        <f t="shared" si="45"/>
        <v>483</v>
      </c>
      <c r="C2894" s="1" t="s">
        <v>4018</v>
      </c>
      <c r="D2894" s="13" t="str">
        <f>IF(RIGHT(A2894,3)="000",C2894,VLOOKUP(B2894,'Справочник ИХ'!A:C,3,0))</f>
        <v>Остальные грузы</v>
      </c>
      <c r="E2894" s="13">
        <f>IF(RIGHT(A2894,3)="000","х",VLOOKUP(B2894,'Справочник ИХ'!A:D,4,0))</f>
        <v>3</v>
      </c>
      <c r="F2894" s="14" t="s">
        <v>3816</v>
      </c>
    </row>
    <row r="2895" spans="1:6" ht="31.75">
      <c r="A2895" s="19" t="s">
        <v>4019</v>
      </c>
      <c r="B2895" s="12" t="str">
        <f t="shared" si="45"/>
        <v>483</v>
      </c>
      <c r="C2895" s="1" t="s">
        <v>4020</v>
      </c>
      <c r="D2895" s="13" t="str">
        <f>IF(RIGHT(A2895,3)="000",C2895,VLOOKUP(B2895,'Справочник ИХ'!A:C,3,0))</f>
        <v>Остальные грузы</v>
      </c>
      <c r="E2895" s="13">
        <f>IF(RIGHT(A2895,3)="000","х",VLOOKUP(B2895,'Справочник ИХ'!A:D,4,0))</f>
        <v>3</v>
      </c>
      <c r="F2895" s="14" t="s">
        <v>3816</v>
      </c>
    </row>
    <row r="2896" spans="1:6">
      <c r="A2896" s="19" t="s">
        <v>4021</v>
      </c>
      <c r="B2896" s="12" t="str">
        <f t="shared" si="45"/>
        <v>483</v>
      </c>
      <c r="C2896" s="1" t="s">
        <v>4022</v>
      </c>
      <c r="D2896" s="13" t="str">
        <f>IF(RIGHT(A2896,3)="000",C2896,VLOOKUP(B2896,'Справочник ИХ'!A:C,3,0))</f>
        <v>Остальные грузы</v>
      </c>
      <c r="E2896" s="13">
        <f>IF(RIGHT(A2896,3)="000","х",VLOOKUP(B2896,'Справочник ИХ'!A:D,4,0))</f>
        <v>3</v>
      </c>
      <c r="F2896" s="14" t="s">
        <v>3816</v>
      </c>
    </row>
    <row r="2897" spans="1:6">
      <c r="A2897" s="19" t="s">
        <v>4023</v>
      </c>
      <c r="B2897" s="12" t="str">
        <f t="shared" si="45"/>
        <v>483</v>
      </c>
      <c r="C2897" s="1" t="s">
        <v>4024</v>
      </c>
      <c r="D2897" s="13" t="str">
        <f>IF(RIGHT(A2897,3)="000",C2897,VLOOKUP(B2897,'Справочник ИХ'!A:C,3,0))</f>
        <v>Остальные грузы</v>
      </c>
      <c r="E2897" s="13">
        <f>IF(RIGHT(A2897,3)="000","х",VLOOKUP(B2897,'Справочник ИХ'!A:D,4,0))</f>
        <v>3</v>
      </c>
      <c r="F2897" s="14" t="s">
        <v>3816</v>
      </c>
    </row>
    <row r="2898" spans="1:6" ht="31.75">
      <c r="A2898" s="19" t="s">
        <v>4025</v>
      </c>
      <c r="B2898" s="12" t="str">
        <f t="shared" si="45"/>
        <v>483</v>
      </c>
      <c r="C2898" s="1" t="s">
        <v>4026</v>
      </c>
      <c r="D2898" s="13" t="str">
        <f>IF(RIGHT(A2898,3)="000",C2898,VLOOKUP(B2898,'Справочник ИХ'!A:C,3,0))</f>
        <v>Остальные грузы</v>
      </c>
      <c r="E2898" s="13">
        <f>IF(RIGHT(A2898,3)="000","х",VLOOKUP(B2898,'Справочник ИХ'!A:D,4,0))</f>
        <v>3</v>
      </c>
      <c r="F2898" s="14" t="s">
        <v>3816</v>
      </c>
    </row>
    <row r="2899" spans="1:6" ht="31.75">
      <c r="A2899" s="19" t="s">
        <v>4027</v>
      </c>
      <c r="B2899" s="12" t="str">
        <f t="shared" si="45"/>
        <v>483</v>
      </c>
      <c r="C2899" s="1" t="s">
        <v>4028</v>
      </c>
      <c r="D2899" s="13" t="str">
        <f>IF(RIGHT(A2899,3)="000",C2899,VLOOKUP(B2899,'Справочник ИХ'!A:C,3,0))</f>
        <v>Остальные грузы</v>
      </c>
      <c r="E2899" s="13">
        <f>IF(RIGHT(A2899,3)="000","х",VLOOKUP(B2899,'Справочник ИХ'!A:D,4,0))</f>
        <v>3</v>
      </c>
      <c r="F2899" s="14" t="s">
        <v>3816</v>
      </c>
    </row>
    <row r="2900" spans="1:6" ht="31.75">
      <c r="A2900" s="19" t="s">
        <v>4029</v>
      </c>
      <c r="B2900" s="12" t="str">
        <f t="shared" si="45"/>
        <v>483</v>
      </c>
      <c r="C2900" s="1" t="s">
        <v>4030</v>
      </c>
      <c r="D2900" s="13" t="str">
        <f>IF(RIGHT(A2900,3)="000",C2900,VLOOKUP(B2900,'Справочник ИХ'!A:C,3,0))</f>
        <v>Остальные грузы</v>
      </c>
      <c r="E2900" s="13">
        <f>IF(RIGHT(A2900,3)="000","х",VLOOKUP(B2900,'Справочник ИХ'!A:D,4,0))</f>
        <v>3</v>
      </c>
      <c r="F2900" s="14" t="s">
        <v>3816</v>
      </c>
    </row>
    <row r="2901" spans="1:6">
      <c r="A2901" s="19" t="s">
        <v>4031</v>
      </c>
      <c r="B2901" s="12" t="str">
        <f t="shared" si="45"/>
        <v>483</v>
      </c>
      <c r="C2901" s="1" t="s">
        <v>4032</v>
      </c>
      <c r="D2901" s="13" t="str">
        <f>IF(RIGHT(A2901,3)="000",C2901,VLOOKUP(B2901,'Справочник ИХ'!A:C,3,0))</f>
        <v>Остальные грузы</v>
      </c>
      <c r="E2901" s="13">
        <f>IF(RIGHT(A2901,3)="000","х",VLOOKUP(B2901,'Справочник ИХ'!A:D,4,0))</f>
        <v>3</v>
      </c>
      <c r="F2901" s="14" t="s">
        <v>3816</v>
      </c>
    </row>
    <row r="2902" spans="1:6" ht="63.45">
      <c r="A2902" s="19" t="s">
        <v>4033</v>
      </c>
      <c r="B2902" s="12" t="str">
        <f t="shared" si="45"/>
        <v>483</v>
      </c>
      <c r="C2902" s="1" t="s">
        <v>4034</v>
      </c>
      <c r="D2902" s="13" t="str">
        <f>IF(RIGHT(A2902,3)="000",C2902,VLOOKUP(B2902,'Справочник ИХ'!A:C,3,0))</f>
        <v>Остальные грузы</v>
      </c>
      <c r="E2902" s="13">
        <f>IF(RIGHT(A2902,3)="000","х",VLOOKUP(B2902,'Справочник ИХ'!A:D,4,0))</f>
        <v>3</v>
      </c>
      <c r="F2902" s="14" t="s">
        <v>3816</v>
      </c>
    </row>
    <row r="2903" spans="1:6" ht="63.45">
      <c r="A2903" s="19" t="s">
        <v>4035</v>
      </c>
      <c r="B2903" s="12" t="str">
        <f t="shared" si="45"/>
        <v>483</v>
      </c>
      <c r="C2903" s="1" t="s">
        <v>4036</v>
      </c>
      <c r="D2903" s="13" t="str">
        <f>IF(RIGHT(A2903,3)="000",C2903,VLOOKUP(B2903,'Справочник ИХ'!A:C,3,0))</f>
        <v>Остальные грузы</v>
      </c>
      <c r="E2903" s="13">
        <f>IF(RIGHT(A2903,3)="000","х",VLOOKUP(B2903,'Справочник ИХ'!A:D,4,0))</f>
        <v>3</v>
      </c>
      <c r="F2903" s="14" t="s">
        <v>3816</v>
      </c>
    </row>
    <row r="2904" spans="1:6">
      <c r="A2904" s="19" t="s">
        <v>4037</v>
      </c>
      <c r="B2904" s="12" t="str">
        <f t="shared" si="45"/>
        <v>483</v>
      </c>
      <c r="C2904" s="1" t="s">
        <v>4038</v>
      </c>
      <c r="D2904" s="13" t="str">
        <f>IF(RIGHT(A2904,3)="000",C2904,VLOOKUP(B2904,'Справочник ИХ'!A:C,3,0))</f>
        <v>Остальные грузы</v>
      </c>
      <c r="E2904" s="13">
        <f>IF(RIGHT(A2904,3)="000","х",VLOOKUP(B2904,'Справочник ИХ'!A:D,4,0))</f>
        <v>3</v>
      </c>
      <c r="F2904" s="14" t="s">
        <v>3816</v>
      </c>
    </row>
    <row r="2905" spans="1:6">
      <c r="A2905" s="19" t="s">
        <v>4039</v>
      </c>
      <c r="B2905" s="12" t="str">
        <f t="shared" si="45"/>
        <v>483</v>
      </c>
      <c r="C2905" s="1" t="s">
        <v>4040</v>
      </c>
      <c r="D2905" s="13" t="str">
        <f>IF(RIGHT(A2905,3)="000",C2905,VLOOKUP(B2905,'Справочник ИХ'!A:C,3,0))</f>
        <v>Остальные грузы</v>
      </c>
      <c r="E2905" s="13">
        <f>IF(RIGHT(A2905,3)="000","х",VLOOKUP(B2905,'Справочник ИХ'!A:D,4,0))</f>
        <v>3</v>
      </c>
      <c r="F2905" s="14" t="s">
        <v>3816</v>
      </c>
    </row>
    <row r="2906" spans="1:6" ht="31.75">
      <c r="A2906" s="19" t="s">
        <v>4041</v>
      </c>
      <c r="B2906" s="12" t="str">
        <f t="shared" si="45"/>
        <v>483</v>
      </c>
      <c r="C2906" s="1" t="s">
        <v>4042</v>
      </c>
      <c r="D2906" s="13" t="str">
        <f>IF(RIGHT(A2906,3)="000",C2906,VLOOKUP(B2906,'Справочник ИХ'!A:C,3,0))</f>
        <v>Остальные грузы</v>
      </c>
      <c r="E2906" s="13">
        <f>IF(RIGHT(A2906,3)="000","х",VLOOKUP(B2906,'Справочник ИХ'!A:D,4,0))</f>
        <v>3</v>
      </c>
      <c r="F2906" s="14" t="s">
        <v>3816</v>
      </c>
    </row>
    <row r="2907" spans="1:6">
      <c r="A2907" s="19" t="s">
        <v>4043</v>
      </c>
      <c r="B2907" s="12" t="str">
        <f t="shared" si="45"/>
        <v>483</v>
      </c>
      <c r="C2907" s="1" t="s">
        <v>4044</v>
      </c>
      <c r="D2907" s="13" t="str">
        <f>IF(RIGHT(A2907,3)="000",C2907,VLOOKUP(B2907,'Справочник ИХ'!A:C,3,0))</f>
        <v>Остальные грузы</v>
      </c>
      <c r="E2907" s="13">
        <f>IF(RIGHT(A2907,3)="000","х",VLOOKUP(B2907,'Справочник ИХ'!A:D,4,0))</f>
        <v>3</v>
      </c>
      <c r="F2907" s="14" t="s">
        <v>3816</v>
      </c>
    </row>
    <row r="2908" spans="1:6">
      <c r="A2908" s="19" t="s">
        <v>4045</v>
      </c>
      <c r="B2908" s="12" t="str">
        <f t="shared" si="45"/>
        <v>483</v>
      </c>
      <c r="C2908" s="1" t="s">
        <v>4046</v>
      </c>
      <c r="D2908" s="13" t="str">
        <f>IF(RIGHT(A2908,3)="000",C2908,VLOOKUP(B2908,'Справочник ИХ'!A:C,3,0))</f>
        <v>Остальные грузы</v>
      </c>
      <c r="E2908" s="13">
        <f>IF(RIGHT(A2908,3)="000","х",VLOOKUP(B2908,'Справочник ИХ'!A:D,4,0))</f>
        <v>3</v>
      </c>
      <c r="F2908" s="14" t="s">
        <v>3816</v>
      </c>
    </row>
    <row r="2909" spans="1:6">
      <c r="A2909" s="19" t="s">
        <v>4047</v>
      </c>
      <c r="B2909" s="12" t="str">
        <f t="shared" si="45"/>
        <v>483</v>
      </c>
      <c r="C2909" s="1" t="s">
        <v>4048</v>
      </c>
      <c r="D2909" s="13" t="str">
        <f>IF(RIGHT(A2909,3)="000",C2909,VLOOKUP(B2909,'Справочник ИХ'!A:C,3,0))</f>
        <v>Остальные грузы</v>
      </c>
      <c r="E2909" s="13">
        <f>IF(RIGHT(A2909,3)="000","х",VLOOKUP(B2909,'Справочник ИХ'!A:D,4,0))</f>
        <v>3</v>
      </c>
      <c r="F2909" s="14" t="s">
        <v>3816</v>
      </c>
    </row>
    <row r="2910" spans="1:6">
      <c r="A2910" s="19" t="s">
        <v>4049</v>
      </c>
      <c r="B2910" s="12" t="str">
        <f t="shared" si="45"/>
        <v>483</v>
      </c>
      <c r="C2910" s="1" t="s">
        <v>4050</v>
      </c>
      <c r="D2910" s="13" t="str">
        <f>IF(RIGHT(A2910,3)="000",C2910,VLOOKUP(B2910,'Справочник ИХ'!A:C,3,0))</f>
        <v>Остальные грузы</v>
      </c>
      <c r="E2910" s="13">
        <f>IF(RIGHT(A2910,3)="000","х",VLOOKUP(B2910,'Справочник ИХ'!A:D,4,0))</f>
        <v>3</v>
      </c>
      <c r="F2910" s="14" t="s">
        <v>3816</v>
      </c>
    </row>
    <row r="2911" spans="1:6">
      <c r="A2911" s="19" t="s">
        <v>4051</v>
      </c>
      <c r="B2911" s="12" t="str">
        <f t="shared" si="45"/>
        <v>483</v>
      </c>
      <c r="C2911" s="1" t="s">
        <v>4052</v>
      </c>
      <c r="D2911" s="13" t="str">
        <f>IF(RIGHT(A2911,3)="000",C2911,VLOOKUP(B2911,'Справочник ИХ'!A:C,3,0))</f>
        <v>Остальные грузы</v>
      </c>
      <c r="E2911" s="13">
        <f>IF(RIGHT(A2911,3)="000","х",VLOOKUP(B2911,'Справочник ИХ'!A:D,4,0))</f>
        <v>3</v>
      </c>
      <c r="F2911" s="14" t="s">
        <v>3816</v>
      </c>
    </row>
    <row r="2912" spans="1:6">
      <c r="A2912" s="19" t="s">
        <v>4053</v>
      </c>
      <c r="B2912" s="12" t="str">
        <f t="shared" si="45"/>
        <v>483</v>
      </c>
      <c r="C2912" s="1" t="s">
        <v>4054</v>
      </c>
      <c r="D2912" s="13" t="str">
        <f>IF(RIGHT(A2912,3)="000",C2912,VLOOKUP(B2912,'Справочник ИХ'!A:C,3,0))</f>
        <v>Остальные грузы</v>
      </c>
      <c r="E2912" s="13">
        <f>IF(RIGHT(A2912,3)="000","х",VLOOKUP(B2912,'Справочник ИХ'!A:D,4,0))</f>
        <v>3</v>
      </c>
      <c r="F2912" s="14" t="s">
        <v>3816</v>
      </c>
    </row>
    <row r="2913" spans="1:6" ht="31.75">
      <c r="A2913" s="19" t="s">
        <v>4055</v>
      </c>
      <c r="B2913" s="12" t="str">
        <f t="shared" si="45"/>
        <v>483</v>
      </c>
      <c r="C2913" s="1" t="s">
        <v>4056</v>
      </c>
      <c r="D2913" s="13" t="str">
        <f>IF(RIGHT(A2913,3)="000",C2913,VLOOKUP(B2913,'Справочник ИХ'!A:C,3,0))</f>
        <v>Остальные грузы</v>
      </c>
      <c r="E2913" s="13">
        <f>IF(RIGHT(A2913,3)="000","х",VLOOKUP(B2913,'Справочник ИХ'!A:D,4,0))</f>
        <v>3</v>
      </c>
      <c r="F2913" s="14" t="s">
        <v>3816</v>
      </c>
    </row>
    <row r="2914" spans="1:6">
      <c r="A2914" s="19" t="s">
        <v>4057</v>
      </c>
      <c r="B2914" s="12" t="str">
        <f t="shared" si="45"/>
        <v>483</v>
      </c>
      <c r="C2914" s="1" t="s">
        <v>4058</v>
      </c>
      <c r="D2914" s="13" t="str">
        <f>IF(RIGHT(A2914,3)="000",C2914,VLOOKUP(B2914,'Справочник ИХ'!A:C,3,0))</f>
        <v>Остальные грузы</v>
      </c>
      <c r="E2914" s="13">
        <f>IF(RIGHT(A2914,3)="000","х",VLOOKUP(B2914,'Справочник ИХ'!A:D,4,0))</f>
        <v>3</v>
      </c>
      <c r="F2914" s="14" t="s">
        <v>3816</v>
      </c>
    </row>
    <row r="2915" spans="1:6">
      <c r="A2915" s="19" t="s">
        <v>4059</v>
      </c>
      <c r="B2915" s="12" t="str">
        <f t="shared" si="45"/>
        <v>483</v>
      </c>
      <c r="C2915" s="1" t="s">
        <v>4060</v>
      </c>
      <c r="D2915" s="13" t="str">
        <f>IF(RIGHT(A2915,3)="000",C2915,VLOOKUP(B2915,'Справочник ИХ'!A:C,3,0))</f>
        <v>Остальные грузы</v>
      </c>
      <c r="E2915" s="13">
        <f>IF(RIGHT(A2915,3)="000","х",VLOOKUP(B2915,'Справочник ИХ'!A:D,4,0))</f>
        <v>3</v>
      </c>
      <c r="F2915" s="14" t="s">
        <v>3816</v>
      </c>
    </row>
    <row r="2916" spans="1:6">
      <c r="A2916" s="19" t="s">
        <v>4061</v>
      </c>
      <c r="B2916" s="12" t="str">
        <f t="shared" si="45"/>
        <v>483</v>
      </c>
      <c r="C2916" s="1" t="s">
        <v>4062</v>
      </c>
      <c r="D2916" s="13" t="str">
        <f>IF(RIGHT(A2916,3)="000",C2916,VLOOKUP(B2916,'Справочник ИХ'!A:C,3,0))</f>
        <v>Остальные грузы</v>
      </c>
      <c r="E2916" s="13">
        <f>IF(RIGHT(A2916,3)="000","х",VLOOKUP(B2916,'Справочник ИХ'!A:D,4,0))</f>
        <v>3</v>
      </c>
      <c r="F2916" s="14" t="s">
        <v>3816</v>
      </c>
    </row>
    <row r="2917" spans="1:6" ht="31.75">
      <c r="A2917" s="19" t="s">
        <v>4063</v>
      </c>
      <c r="B2917" s="12" t="str">
        <f t="shared" si="45"/>
        <v>483</v>
      </c>
      <c r="C2917" s="1" t="s">
        <v>4064</v>
      </c>
      <c r="D2917" s="13" t="str">
        <f>IF(RIGHT(A2917,3)="000",C2917,VLOOKUP(B2917,'Справочник ИХ'!A:C,3,0))</f>
        <v>Остальные грузы</v>
      </c>
      <c r="E2917" s="13">
        <f>IF(RIGHT(A2917,3)="000","х",VLOOKUP(B2917,'Справочник ИХ'!A:D,4,0))</f>
        <v>3</v>
      </c>
      <c r="F2917" s="14" t="s">
        <v>3816</v>
      </c>
    </row>
    <row r="2918" spans="1:6" ht="31.75">
      <c r="A2918" s="19" t="s">
        <v>4065</v>
      </c>
      <c r="B2918" s="12" t="str">
        <f t="shared" si="45"/>
        <v>483</v>
      </c>
      <c r="C2918" s="1" t="s">
        <v>4066</v>
      </c>
      <c r="D2918" s="13" t="str">
        <f>IF(RIGHT(A2918,3)="000",C2918,VLOOKUP(B2918,'Справочник ИХ'!A:C,3,0))</f>
        <v>Остальные грузы</v>
      </c>
      <c r="E2918" s="13">
        <f>IF(RIGHT(A2918,3)="000","х",VLOOKUP(B2918,'Справочник ИХ'!A:D,4,0))</f>
        <v>3</v>
      </c>
      <c r="F2918" s="14" t="s">
        <v>3816</v>
      </c>
    </row>
    <row r="2919" spans="1:6">
      <c r="A2919" s="19" t="s">
        <v>4067</v>
      </c>
      <c r="B2919" s="12" t="str">
        <f t="shared" si="45"/>
        <v>483</v>
      </c>
      <c r="C2919" s="1" t="s">
        <v>4068</v>
      </c>
      <c r="D2919" s="13" t="str">
        <f>IF(RIGHT(A2919,3)="000",C2919,VLOOKUP(B2919,'Справочник ИХ'!A:C,3,0))</f>
        <v>Остальные грузы</v>
      </c>
      <c r="E2919" s="13">
        <f>IF(RIGHT(A2919,3)="000","х",VLOOKUP(B2919,'Справочник ИХ'!A:D,4,0))</f>
        <v>3</v>
      </c>
      <c r="F2919" s="14" t="s">
        <v>3816</v>
      </c>
    </row>
    <row r="2920" spans="1:6" ht="31.75">
      <c r="A2920" s="19" t="s">
        <v>4069</v>
      </c>
      <c r="B2920" s="12" t="str">
        <f t="shared" si="45"/>
        <v>483</v>
      </c>
      <c r="C2920" s="1" t="s">
        <v>4070</v>
      </c>
      <c r="D2920" s="13" t="str">
        <f>IF(RIGHT(A2920,3)="000",C2920,VLOOKUP(B2920,'Справочник ИХ'!A:C,3,0))</f>
        <v>Остальные грузы</v>
      </c>
      <c r="E2920" s="13">
        <f>IF(RIGHT(A2920,3)="000","х",VLOOKUP(B2920,'Справочник ИХ'!A:D,4,0))</f>
        <v>3</v>
      </c>
      <c r="F2920" s="14" t="s">
        <v>3816</v>
      </c>
    </row>
    <row r="2921" spans="1:6" ht="31.75">
      <c r="A2921" s="19" t="s">
        <v>4071</v>
      </c>
      <c r="B2921" s="12" t="str">
        <f t="shared" si="45"/>
        <v>483</v>
      </c>
      <c r="C2921" s="1" t="s">
        <v>4072</v>
      </c>
      <c r="D2921" s="13" t="str">
        <f>IF(RIGHT(A2921,3)="000",C2921,VLOOKUP(B2921,'Справочник ИХ'!A:C,3,0))</f>
        <v>Остальные грузы</v>
      </c>
      <c r="E2921" s="13">
        <f>IF(RIGHT(A2921,3)="000","х",VLOOKUP(B2921,'Справочник ИХ'!A:D,4,0))</f>
        <v>3</v>
      </c>
      <c r="F2921" s="14" t="s">
        <v>3816</v>
      </c>
    </row>
    <row r="2922" spans="1:6">
      <c r="A2922" s="19" t="s">
        <v>4073</v>
      </c>
      <c r="B2922" s="12" t="str">
        <f t="shared" si="45"/>
        <v>483</v>
      </c>
      <c r="C2922" s="1" t="s">
        <v>4074</v>
      </c>
      <c r="D2922" s="13" t="str">
        <f>IF(RIGHT(A2922,3)="000",C2922,VLOOKUP(B2922,'Справочник ИХ'!A:C,3,0))</f>
        <v>Остальные грузы</v>
      </c>
      <c r="E2922" s="13">
        <f>IF(RIGHT(A2922,3)="000","х",VLOOKUP(B2922,'Справочник ИХ'!A:D,4,0))</f>
        <v>3</v>
      </c>
      <c r="F2922" s="14" t="s">
        <v>3816</v>
      </c>
    </row>
    <row r="2923" spans="1:6" ht="31.75">
      <c r="A2923" s="19" t="s">
        <v>4075</v>
      </c>
      <c r="B2923" s="12" t="str">
        <f t="shared" si="45"/>
        <v>483</v>
      </c>
      <c r="C2923" s="1" t="s">
        <v>4076</v>
      </c>
      <c r="D2923" s="13" t="str">
        <f>IF(RIGHT(A2923,3)="000",C2923,VLOOKUP(B2923,'Справочник ИХ'!A:C,3,0))</f>
        <v>Остальные грузы</v>
      </c>
      <c r="E2923" s="13">
        <f>IF(RIGHT(A2923,3)="000","х",VLOOKUP(B2923,'Справочник ИХ'!A:D,4,0))</f>
        <v>3</v>
      </c>
      <c r="F2923" s="14" t="s">
        <v>3816</v>
      </c>
    </row>
    <row r="2924" spans="1:6">
      <c r="A2924" s="19" t="s">
        <v>4077</v>
      </c>
      <c r="B2924" s="12" t="str">
        <f t="shared" si="45"/>
        <v>483</v>
      </c>
      <c r="C2924" s="1" t="s">
        <v>4078</v>
      </c>
      <c r="D2924" s="13" t="str">
        <f>IF(RIGHT(A2924,3)="000",C2924,VLOOKUP(B2924,'Справочник ИХ'!A:C,3,0))</f>
        <v>Остальные грузы</v>
      </c>
      <c r="E2924" s="13">
        <f>IF(RIGHT(A2924,3)="000","х",VLOOKUP(B2924,'Справочник ИХ'!A:D,4,0))</f>
        <v>3</v>
      </c>
      <c r="F2924" s="14" t="s">
        <v>3816</v>
      </c>
    </row>
    <row r="2925" spans="1:6">
      <c r="A2925" s="19" t="s">
        <v>4079</v>
      </c>
      <c r="B2925" s="12" t="str">
        <f t="shared" si="45"/>
        <v>483</v>
      </c>
      <c r="C2925" s="1" t="s">
        <v>4080</v>
      </c>
      <c r="D2925" s="13" t="str">
        <f>IF(RIGHT(A2925,3)="000",C2925,VLOOKUP(B2925,'Справочник ИХ'!A:C,3,0))</f>
        <v>Остальные грузы</v>
      </c>
      <c r="E2925" s="13">
        <f>IF(RIGHT(A2925,3)="000","х",VLOOKUP(B2925,'Справочник ИХ'!A:D,4,0))</f>
        <v>3</v>
      </c>
      <c r="F2925" s="14" t="s">
        <v>3816</v>
      </c>
    </row>
    <row r="2926" spans="1:6">
      <c r="A2926" s="19" t="s">
        <v>4081</v>
      </c>
      <c r="B2926" s="12" t="str">
        <f t="shared" si="45"/>
        <v>483</v>
      </c>
      <c r="C2926" s="1" t="s">
        <v>4082</v>
      </c>
      <c r="D2926" s="13" t="str">
        <f>IF(RIGHT(A2926,3)="000",C2926,VLOOKUP(B2926,'Справочник ИХ'!A:C,3,0))</f>
        <v>Остальные грузы</v>
      </c>
      <c r="E2926" s="13">
        <f>IF(RIGHT(A2926,3)="000","х",VLOOKUP(B2926,'Справочник ИХ'!A:D,4,0))</f>
        <v>3</v>
      </c>
      <c r="F2926" s="14" t="s">
        <v>3816</v>
      </c>
    </row>
    <row r="2927" spans="1:6">
      <c r="A2927" s="19" t="s">
        <v>4083</v>
      </c>
      <c r="B2927" s="12" t="str">
        <f t="shared" si="45"/>
        <v>483</v>
      </c>
      <c r="C2927" s="1" t="s">
        <v>4084</v>
      </c>
      <c r="D2927" s="13" t="str">
        <f>IF(RIGHT(A2927,3)="000",C2927,VLOOKUP(B2927,'Справочник ИХ'!A:C,3,0))</f>
        <v>Остальные грузы</v>
      </c>
      <c r="E2927" s="13">
        <f>IF(RIGHT(A2927,3)="000","х",VLOOKUP(B2927,'Справочник ИХ'!A:D,4,0))</f>
        <v>3</v>
      </c>
      <c r="F2927" s="14" t="s">
        <v>3816</v>
      </c>
    </row>
    <row r="2928" spans="1:6">
      <c r="A2928" s="19" t="s">
        <v>4085</v>
      </c>
      <c r="B2928" s="12" t="str">
        <f t="shared" si="45"/>
        <v>483</v>
      </c>
      <c r="C2928" s="1" t="s">
        <v>4086</v>
      </c>
      <c r="D2928" s="13" t="str">
        <f>IF(RIGHT(A2928,3)="000",C2928,VLOOKUP(B2928,'Справочник ИХ'!A:C,3,0))</f>
        <v>Остальные грузы</v>
      </c>
      <c r="E2928" s="13">
        <f>IF(RIGHT(A2928,3)="000","х",VLOOKUP(B2928,'Справочник ИХ'!A:D,4,0))</f>
        <v>3</v>
      </c>
      <c r="F2928" s="14" t="s">
        <v>3816</v>
      </c>
    </row>
    <row r="2929" spans="1:6" ht="31.75">
      <c r="A2929" s="19" t="s">
        <v>4087</v>
      </c>
      <c r="B2929" s="12" t="str">
        <f t="shared" si="45"/>
        <v>483</v>
      </c>
      <c r="C2929" s="1" t="s">
        <v>4088</v>
      </c>
      <c r="D2929" s="13" t="str">
        <f>IF(RIGHT(A2929,3)="000",C2929,VLOOKUP(B2929,'Справочник ИХ'!A:C,3,0))</f>
        <v>Остальные грузы</v>
      </c>
      <c r="E2929" s="13">
        <f>IF(RIGHT(A2929,3)="000","х",VLOOKUP(B2929,'Справочник ИХ'!A:D,4,0))</f>
        <v>3</v>
      </c>
      <c r="F2929" s="14" t="s">
        <v>3816</v>
      </c>
    </row>
    <row r="2930" spans="1:6" ht="31.75">
      <c r="A2930" s="19" t="s">
        <v>4089</v>
      </c>
      <c r="B2930" s="12" t="str">
        <f t="shared" si="45"/>
        <v>483</v>
      </c>
      <c r="C2930" s="1" t="s">
        <v>4090</v>
      </c>
      <c r="D2930" s="13" t="str">
        <f>IF(RIGHT(A2930,3)="000",C2930,VLOOKUP(B2930,'Справочник ИХ'!A:C,3,0))</f>
        <v>Остальные грузы</v>
      </c>
      <c r="E2930" s="13">
        <f>IF(RIGHT(A2930,3)="000","х",VLOOKUP(B2930,'Справочник ИХ'!A:D,4,0))</f>
        <v>3</v>
      </c>
      <c r="F2930" s="14" t="s">
        <v>3816</v>
      </c>
    </row>
    <row r="2931" spans="1:6" ht="31.75">
      <c r="A2931" s="19" t="s">
        <v>4091</v>
      </c>
      <c r="B2931" s="12" t="str">
        <f t="shared" si="45"/>
        <v>483</v>
      </c>
      <c r="C2931" s="1" t="s">
        <v>4092</v>
      </c>
      <c r="D2931" s="13" t="str">
        <f>IF(RIGHT(A2931,3)="000",C2931,VLOOKUP(B2931,'Справочник ИХ'!A:C,3,0))</f>
        <v>Остальные грузы</v>
      </c>
      <c r="E2931" s="13">
        <f>IF(RIGHT(A2931,3)="000","х",VLOOKUP(B2931,'Справочник ИХ'!A:D,4,0))</f>
        <v>3</v>
      </c>
      <c r="F2931" s="14" t="s">
        <v>3816</v>
      </c>
    </row>
    <row r="2932" spans="1:6">
      <c r="A2932" s="19" t="s">
        <v>4093</v>
      </c>
      <c r="B2932" s="12" t="str">
        <f t="shared" si="45"/>
        <v>483</v>
      </c>
      <c r="C2932" s="1" t="s">
        <v>4094</v>
      </c>
      <c r="D2932" s="13" t="str">
        <f>IF(RIGHT(A2932,3)="000",C2932,VLOOKUP(B2932,'Справочник ИХ'!A:C,3,0))</f>
        <v>Остальные грузы</v>
      </c>
      <c r="E2932" s="13">
        <f>IF(RIGHT(A2932,3)="000","х",VLOOKUP(B2932,'Справочник ИХ'!A:D,4,0))</f>
        <v>3</v>
      </c>
      <c r="F2932" s="14" t="s">
        <v>3816</v>
      </c>
    </row>
    <row r="2933" spans="1:6">
      <c r="A2933" s="19" t="s">
        <v>4095</v>
      </c>
      <c r="B2933" s="12" t="str">
        <f t="shared" si="45"/>
        <v>483</v>
      </c>
      <c r="C2933" s="1" t="s">
        <v>4096</v>
      </c>
      <c r="D2933" s="13" t="str">
        <f>IF(RIGHT(A2933,3)="000",C2933,VLOOKUP(B2933,'Справочник ИХ'!A:C,3,0))</f>
        <v>Остальные грузы</v>
      </c>
      <c r="E2933" s="13">
        <f>IF(RIGHT(A2933,3)="000","х",VLOOKUP(B2933,'Справочник ИХ'!A:D,4,0))</f>
        <v>3</v>
      </c>
      <c r="F2933" s="14" t="s">
        <v>3816</v>
      </c>
    </row>
    <row r="2934" spans="1:6" ht="31.75">
      <c r="A2934" s="19" t="s">
        <v>4097</v>
      </c>
      <c r="B2934" s="12" t="str">
        <f t="shared" si="45"/>
        <v>483</v>
      </c>
      <c r="C2934" s="1" t="s">
        <v>4098</v>
      </c>
      <c r="D2934" s="13" t="str">
        <f>IF(RIGHT(A2934,3)="000",C2934,VLOOKUP(B2934,'Справочник ИХ'!A:C,3,0))</f>
        <v>Остальные грузы</v>
      </c>
      <c r="E2934" s="13">
        <f>IF(RIGHT(A2934,3)="000","х",VLOOKUP(B2934,'Справочник ИХ'!A:D,4,0))</f>
        <v>3</v>
      </c>
      <c r="F2934" s="14" t="s">
        <v>3816</v>
      </c>
    </row>
    <row r="2935" spans="1:6" ht="31.75">
      <c r="A2935" s="19" t="s">
        <v>4099</v>
      </c>
      <c r="B2935" s="12" t="str">
        <f t="shared" si="45"/>
        <v>483</v>
      </c>
      <c r="C2935" s="1" t="s">
        <v>4100</v>
      </c>
      <c r="D2935" s="13" t="str">
        <f>IF(RIGHT(A2935,3)="000",C2935,VLOOKUP(B2935,'Справочник ИХ'!A:C,3,0))</f>
        <v>Остальные грузы</v>
      </c>
      <c r="E2935" s="13">
        <f>IF(RIGHT(A2935,3)="000","х",VLOOKUP(B2935,'Справочник ИХ'!A:D,4,0))</f>
        <v>3</v>
      </c>
      <c r="F2935" s="14" t="s">
        <v>3816</v>
      </c>
    </row>
    <row r="2936" spans="1:6">
      <c r="A2936" s="19" t="s">
        <v>4101</v>
      </c>
      <c r="B2936" s="12" t="str">
        <f t="shared" si="45"/>
        <v>483</v>
      </c>
      <c r="C2936" s="1" t="s">
        <v>4102</v>
      </c>
      <c r="D2936" s="13" t="str">
        <f>IF(RIGHT(A2936,3)="000",C2936,VLOOKUP(B2936,'Справочник ИХ'!A:C,3,0))</f>
        <v>Остальные грузы</v>
      </c>
      <c r="E2936" s="13">
        <f>IF(RIGHT(A2936,3)="000","х",VLOOKUP(B2936,'Справочник ИХ'!A:D,4,0))</f>
        <v>3</v>
      </c>
      <c r="F2936" s="14" t="s">
        <v>3816</v>
      </c>
    </row>
    <row r="2937" spans="1:6">
      <c r="A2937" s="19" t="s">
        <v>4103</v>
      </c>
      <c r="B2937" s="12" t="str">
        <f t="shared" si="45"/>
        <v>483</v>
      </c>
      <c r="C2937" s="1" t="s">
        <v>4104</v>
      </c>
      <c r="D2937" s="13" t="str">
        <f>IF(RIGHT(A2937,3)="000",C2937,VLOOKUP(B2937,'Справочник ИХ'!A:C,3,0))</f>
        <v>Остальные грузы</v>
      </c>
      <c r="E2937" s="13">
        <f>IF(RIGHT(A2937,3)="000","х",VLOOKUP(B2937,'Справочник ИХ'!A:D,4,0))</f>
        <v>3</v>
      </c>
      <c r="F2937" s="14" t="s">
        <v>3816</v>
      </c>
    </row>
    <row r="2938" spans="1:6">
      <c r="A2938" s="19" t="s">
        <v>4105</v>
      </c>
      <c r="B2938" s="12" t="str">
        <f t="shared" si="45"/>
        <v>483</v>
      </c>
      <c r="C2938" s="1" t="s">
        <v>4106</v>
      </c>
      <c r="D2938" s="13" t="str">
        <f>IF(RIGHT(A2938,3)="000",C2938,VLOOKUP(B2938,'Справочник ИХ'!A:C,3,0))</f>
        <v>Остальные грузы</v>
      </c>
      <c r="E2938" s="13">
        <f>IF(RIGHT(A2938,3)="000","х",VLOOKUP(B2938,'Справочник ИХ'!A:D,4,0))</f>
        <v>3</v>
      </c>
      <c r="F2938" s="14" t="s">
        <v>3816</v>
      </c>
    </row>
    <row r="2939" spans="1:6">
      <c r="A2939" s="19" t="s">
        <v>4107</v>
      </c>
      <c r="B2939" s="12" t="str">
        <f t="shared" si="45"/>
        <v>483</v>
      </c>
      <c r="C2939" s="1" t="s">
        <v>4108</v>
      </c>
      <c r="D2939" s="13" t="str">
        <f>IF(RIGHT(A2939,3)="000",C2939,VLOOKUP(B2939,'Справочник ИХ'!A:C,3,0))</f>
        <v>Остальные грузы</v>
      </c>
      <c r="E2939" s="13">
        <f>IF(RIGHT(A2939,3)="000","х",VLOOKUP(B2939,'Справочник ИХ'!A:D,4,0))</f>
        <v>3</v>
      </c>
      <c r="F2939" s="14" t="s">
        <v>3816</v>
      </c>
    </row>
    <row r="2940" spans="1:6">
      <c r="A2940" s="19" t="s">
        <v>4109</v>
      </c>
      <c r="B2940" s="12" t="str">
        <f t="shared" si="45"/>
        <v>483</v>
      </c>
      <c r="C2940" s="1" t="s">
        <v>4110</v>
      </c>
      <c r="D2940" s="13" t="str">
        <f>IF(RIGHT(A2940,3)="000",C2940,VLOOKUP(B2940,'Справочник ИХ'!A:C,3,0))</f>
        <v>Остальные грузы</v>
      </c>
      <c r="E2940" s="13">
        <f>IF(RIGHT(A2940,3)="000","х",VLOOKUP(B2940,'Справочник ИХ'!A:D,4,0))</f>
        <v>3</v>
      </c>
      <c r="F2940" s="14" t="s">
        <v>3816</v>
      </c>
    </row>
    <row r="2941" spans="1:6">
      <c r="A2941" s="19" t="s">
        <v>4111</v>
      </c>
      <c r="B2941" s="12" t="str">
        <f t="shared" si="45"/>
        <v>483</v>
      </c>
      <c r="C2941" s="1" t="s">
        <v>4112</v>
      </c>
      <c r="D2941" s="13" t="str">
        <f>IF(RIGHT(A2941,3)="000",C2941,VLOOKUP(B2941,'Справочник ИХ'!A:C,3,0))</f>
        <v>Остальные грузы</v>
      </c>
      <c r="E2941" s="13">
        <f>IF(RIGHT(A2941,3)="000","х",VLOOKUP(B2941,'Справочник ИХ'!A:D,4,0))</f>
        <v>3</v>
      </c>
      <c r="F2941" s="14" t="s">
        <v>3816</v>
      </c>
    </row>
    <row r="2942" spans="1:6">
      <c r="A2942" s="19" t="s">
        <v>4113</v>
      </c>
      <c r="B2942" s="12" t="str">
        <f t="shared" si="45"/>
        <v>483</v>
      </c>
      <c r="C2942" s="1" t="s">
        <v>4114</v>
      </c>
      <c r="D2942" s="13" t="str">
        <f>IF(RIGHT(A2942,3)="000",C2942,VLOOKUP(B2942,'Справочник ИХ'!A:C,3,0))</f>
        <v>Остальные грузы</v>
      </c>
      <c r="E2942" s="13">
        <f>IF(RIGHT(A2942,3)="000","х",VLOOKUP(B2942,'Справочник ИХ'!A:D,4,0))</f>
        <v>3</v>
      </c>
      <c r="F2942" s="14" t="s">
        <v>3816</v>
      </c>
    </row>
    <row r="2943" spans="1:6">
      <c r="A2943" s="19" t="s">
        <v>4115</v>
      </c>
      <c r="B2943" s="12" t="str">
        <f t="shared" si="45"/>
        <v>483</v>
      </c>
      <c r="C2943" s="1" t="s">
        <v>4116</v>
      </c>
      <c r="D2943" s="13" t="str">
        <f>IF(RIGHT(A2943,3)="000",C2943,VLOOKUP(B2943,'Справочник ИХ'!A:C,3,0))</f>
        <v>Остальные грузы</v>
      </c>
      <c r="E2943" s="13">
        <f>IF(RIGHT(A2943,3)="000","х",VLOOKUP(B2943,'Справочник ИХ'!A:D,4,0))</f>
        <v>3</v>
      </c>
      <c r="F2943" s="14" t="s">
        <v>3816</v>
      </c>
    </row>
    <row r="2944" spans="1:6">
      <c r="A2944" s="19" t="s">
        <v>4117</v>
      </c>
      <c r="B2944" s="12" t="str">
        <f t="shared" si="45"/>
        <v>483</v>
      </c>
      <c r="C2944" s="1" t="s">
        <v>4118</v>
      </c>
      <c r="D2944" s="13" t="str">
        <f>IF(RIGHT(A2944,3)="000",C2944,VLOOKUP(B2944,'Справочник ИХ'!A:C,3,0))</f>
        <v>Остальные грузы</v>
      </c>
      <c r="E2944" s="13">
        <f>IF(RIGHT(A2944,3)="000","х",VLOOKUP(B2944,'Справочник ИХ'!A:D,4,0))</f>
        <v>3</v>
      </c>
      <c r="F2944" s="14" t="s">
        <v>3816</v>
      </c>
    </row>
    <row r="2945" spans="1:6">
      <c r="A2945" s="19" t="s">
        <v>4119</v>
      </c>
      <c r="B2945" s="12" t="str">
        <f t="shared" si="45"/>
        <v>483</v>
      </c>
      <c r="C2945" s="1" t="s">
        <v>4120</v>
      </c>
      <c r="D2945" s="13" t="str">
        <f>IF(RIGHT(A2945,3)="000",C2945,VLOOKUP(B2945,'Справочник ИХ'!A:C,3,0))</f>
        <v>Остальные грузы</v>
      </c>
      <c r="E2945" s="13">
        <f>IF(RIGHT(A2945,3)="000","х",VLOOKUP(B2945,'Справочник ИХ'!A:D,4,0))</f>
        <v>3</v>
      </c>
      <c r="F2945" s="14" t="s">
        <v>3816</v>
      </c>
    </row>
    <row r="2946" spans="1:6">
      <c r="A2946" s="19" t="s">
        <v>4121</v>
      </c>
      <c r="B2946" s="12" t="str">
        <f t="shared" si="45"/>
        <v>483</v>
      </c>
      <c r="C2946" s="1" t="s">
        <v>4122</v>
      </c>
      <c r="D2946" s="13" t="str">
        <f>IF(RIGHT(A2946,3)="000",C2946,VLOOKUP(B2946,'Справочник ИХ'!A:C,3,0))</f>
        <v>Остальные грузы</v>
      </c>
      <c r="E2946" s="13">
        <f>IF(RIGHT(A2946,3)="000","х",VLOOKUP(B2946,'Справочник ИХ'!A:D,4,0))</f>
        <v>3</v>
      </c>
      <c r="F2946" s="14" t="s">
        <v>3816</v>
      </c>
    </row>
    <row r="2947" spans="1:6" ht="31.75">
      <c r="A2947" s="19" t="s">
        <v>4123</v>
      </c>
      <c r="B2947" s="12" t="str">
        <f t="shared" si="45"/>
        <v>483</v>
      </c>
      <c r="C2947" s="1" t="s">
        <v>4124</v>
      </c>
      <c r="D2947" s="13" t="str">
        <f>IF(RIGHT(A2947,3)="000",C2947,VLOOKUP(B2947,'Справочник ИХ'!A:C,3,0))</f>
        <v>Остальные грузы</v>
      </c>
      <c r="E2947" s="13">
        <f>IF(RIGHT(A2947,3)="000","х",VLOOKUP(B2947,'Справочник ИХ'!A:D,4,0))</f>
        <v>3</v>
      </c>
      <c r="F2947" s="14" t="s">
        <v>3816</v>
      </c>
    </row>
    <row r="2948" spans="1:6">
      <c r="A2948" s="19" t="s">
        <v>4125</v>
      </c>
      <c r="B2948" s="12" t="str">
        <f t="shared" si="45"/>
        <v>483</v>
      </c>
      <c r="C2948" s="1" t="s">
        <v>4126</v>
      </c>
      <c r="D2948" s="13" t="str">
        <f>IF(RIGHT(A2948,3)="000",C2948,VLOOKUP(B2948,'Справочник ИХ'!A:C,3,0))</f>
        <v>Остальные грузы</v>
      </c>
      <c r="E2948" s="13">
        <f>IF(RIGHT(A2948,3)="000","х",VLOOKUP(B2948,'Справочник ИХ'!A:D,4,0))</f>
        <v>3</v>
      </c>
      <c r="F2948" s="14" t="s">
        <v>3816</v>
      </c>
    </row>
    <row r="2949" spans="1:6">
      <c r="A2949" s="19" t="s">
        <v>4127</v>
      </c>
      <c r="B2949" s="12" t="str">
        <f t="shared" ref="B2949:B3012" si="46">LEFT(A2949,3)</f>
        <v>483</v>
      </c>
      <c r="C2949" s="1" t="s">
        <v>4128</v>
      </c>
      <c r="D2949" s="13" t="str">
        <f>IF(RIGHT(A2949,3)="000",C2949,VLOOKUP(B2949,'Справочник ИХ'!A:C,3,0))</f>
        <v>Остальные грузы</v>
      </c>
      <c r="E2949" s="13">
        <f>IF(RIGHT(A2949,3)="000","х",VLOOKUP(B2949,'Справочник ИХ'!A:D,4,0))</f>
        <v>3</v>
      </c>
      <c r="F2949" s="14" t="s">
        <v>3816</v>
      </c>
    </row>
    <row r="2950" spans="1:6" ht="31.75">
      <c r="A2950" s="19" t="s">
        <v>4129</v>
      </c>
      <c r="B2950" s="12" t="str">
        <f t="shared" si="46"/>
        <v>483</v>
      </c>
      <c r="C2950" s="1" t="s">
        <v>4130</v>
      </c>
      <c r="D2950" s="13" t="str">
        <f>IF(RIGHT(A2950,3)="000",C2950,VLOOKUP(B2950,'Справочник ИХ'!A:C,3,0))</f>
        <v>Остальные грузы</v>
      </c>
      <c r="E2950" s="13">
        <f>IF(RIGHT(A2950,3)="000","х",VLOOKUP(B2950,'Справочник ИХ'!A:D,4,0))</f>
        <v>3</v>
      </c>
      <c r="F2950" s="14" t="s">
        <v>3816</v>
      </c>
    </row>
    <row r="2951" spans="1:6">
      <c r="A2951" s="19" t="s">
        <v>4131</v>
      </c>
      <c r="B2951" s="12" t="str">
        <f t="shared" si="46"/>
        <v>483</v>
      </c>
      <c r="C2951" s="1" t="s">
        <v>4132</v>
      </c>
      <c r="D2951" s="13" t="str">
        <f>IF(RIGHT(A2951,3)="000",C2951,VLOOKUP(B2951,'Справочник ИХ'!A:C,3,0))</f>
        <v>Остальные грузы</v>
      </c>
      <c r="E2951" s="13">
        <f>IF(RIGHT(A2951,3)="000","х",VLOOKUP(B2951,'Справочник ИХ'!A:D,4,0))</f>
        <v>3</v>
      </c>
      <c r="F2951" s="14" t="s">
        <v>3816</v>
      </c>
    </row>
    <row r="2952" spans="1:6">
      <c r="A2952" s="19" t="s">
        <v>4133</v>
      </c>
      <c r="B2952" s="12" t="str">
        <f t="shared" si="46"/>
        <v>483</v>
      </c>
      <c r="C2952" s="1" t="s">
        <v>4134</v>
      </c>
      <c r="D2952" s="13" t="str">
        <f>IF(RIGHT(A2952,3)="000",C2952,VLOOKUP(B2952,'Справочник ИХ'!A:C,3,0))</f>
        <v>Остальные грузы</v>
      </c>
      <c r="E2952" s="13">
        <f>IF(RIGHT(A2952,3)="000","х",VLOOKUP(B2952,'Справочник ИХ'!A:D,4,0))</f>
        <v>3</v>
      </c>
      <c r="F2952" s="14" t="s">
        <v>3816</v>
      </c>
    </row>
    <row r="2953" spans="1:6">
      <c r="A2953" s="19" t="s">
        <v>4135</v>
      </c>
      <c r="B2953" s="12" t="str">
        <f t="shared" si="46"/>
        <v>483</v>
      </c>
      <c r="C2953" s="1" t="s">
        <v>4136</v>
      </c>
      <c r="D2953" s="13" t="str">
        <f>IF(RIGHT(A2953,3)="000",C2953,VLOOKUP(B2953,'Справочник ИХ'!A:C,3,0))</f>
        <v>Остальные грузы</v>
      </c>
      <c r="E2953" s="13">
        <f>IF(RIGHT(A2953,3)="000","х",VLOOKUP(B2953,'Справочник ИХ'!A:D,4,0))</f>
        <v>3</v>
      </c>
      <c r="F2953" s="14" t="s">
        <v>3816</v>
      </c>
    </row>
    <row r="2954" spans="1:6" ht="31.75">
      <c r="A2954" s="19" t="s">
        <v>4137</v>
      </c>
      <c r="B2954" s="12" t="str">
        <f t="shared" si="46"/>
        <v>483</v>
      </c>
      <c r="C2954" s="1" t="s">
        <v>4138</v>
      </c>
      <c r="D2954" s="13" t="str">
        <f>IF(RIGHT(A2954,3)="000",C2954,VLOOKUP(B2954,'Справочник ИХ'!A:C,3,0))</f>
        <v>Остальные грузы</v>
      </c>
      <c r="E2954" s="13">
        <f>IF(RIGHT(A2954,3)="000","х",VLOOKUP(B2954,'Справочник ИХ'!A:D,4,0))</f>
        <v>3</v>
      </c>
      <c r="F2954" s="14" t="s">
        <v>3816</v>
      </c>
    </row>
    <row r="2955" spans="1:6" s="18" customFormat="1">
      <c r="A2955" s="16" t="s">
        <v>4139</v>
      </c>
      <c r="B2955" s="12" t="str">
        <f t="shared" si="46"/>
        <v>484</v>
      </c>
      <c r="C2955" s="17" t="s">
        <v>3960</v>
      </c>
      <c r="D2955" s="13" t="str">
        <f>IF(RIGHT(A2955,3)="000",C2955,VLOOKUP(B2955,'Справочник ИХ'!A:C,3,0))</f>
        <v>Остальные грузы</v>
      </c>
      <c r="E2955" s="13">
        <f>IF(RIGHT(A2955,3)="000","х",VLOOKUP(B2955,'Справочник ИХ'!A:D,4,0))</f>
        <v>3</v>
      </c>
      <c r="F2955" s="14" t="s">
        <v>3816</v>
      </c>
    </row>
    <row r="2956" spans="1:6" ht="31.75">
      <c r="A2956" s="19" t="s">
        <v>4140</v>
      </c>
      <c r="B2956" s="12" t="str">
        <f t="shared" si="46"/>
        <v>484</v>
      </c>
      <c r="C2956" s="1" t="s">
        <v>4141</v>
      </c>
      <c r="D2956" s="13" t="str">
        <f>IF(RIGHT(A2956,3)="000",C2956,VLOOKUP(B2956,'Справочник ИХ'!A:C,3,0))</f>
        <v>Остальные грузы</v>
      </c>
      <c r="E2956" s="13">
        <f>IF(RIGHT(A2956,3)="000","х",VLOOKUP(B2956,'Справочник ИХ'!A:D,4,0))</f>
        <v>3</v>
      </c>
      <c r="F2956" s="14" t="s">
        <v>3816</v>
      </c>
    </row>
    <row r="2957" spans="1:6" ht="31.75">
      <c r="A2957" s="19" t="s">
        <v>4142</v>
      </c>
      <c r="B2957" s="12" t="str">
        <f t="shared" si="46"/>
        <v>484</v>
      </c>
      <c r="C2957" s="1" t="s">
        <v>4143</v>
      </c>
      <c r="D2957" s="13" t="str">
        <f>IF(RIGHT(A2957,3)="000",C2957,VLOOKUP(B2957,'Справочник ИХ'!A:C,3,0))</f>
        <v>Остальные грузы</v>
      </c>
      <c r="E2957" s="13">
        <f>IF(RIGHT(A2957,3)="000","х",VLOOKUP(B2957,'Справочник ИХ'!A:D,4,0))</f>
        <v>3</v>
      </c>
      <c r="F2957" s="14" t="s">
        <v>3816</v>
      </c>
    </row>
    <row r="2958" spans="1:6" ht="31.75">
      <c r="A2958" s="19" t="s">
        <v>4144</v>
      </c>
      <c r="B2958" s="12" t="str">
        <f t="shared" si="46"/>
        <v>484</v>
      </c>
      <c r="C2958" s="1" t="s">
        <v>4145</v>
      </c>
      <c r="D2958" s="13" t="str">
        <f>IF(RIGHT(A2958,3)="000",C2958,VLOOKUP(B2958,'Справочник ИХ'!A:C,3,0))</f>
        <v>Остальные грузы</v>
      </c>
      <c r="E2958" s="13">
        <f>IF(RIGHT(A2958,3)="000","х",VLOOKUP(B2958,'Справочник ИХ'!A:D,4,0))</f>
        <v>3</v>
      </c>
      <c r="F2958" s="14" t="s">
        <v>3816</v>
      </c>
    </row>
    <row r="2959" spans="1:6" ht="31.75">
      <c r="A2959" s="19" t="s">
        <v>4146</v>
      </c>
      <c r="B2959" s="12" t="str">
        <f t="shared" si="46"/>
        <v>484</v>
      </c>
      <c r="C2959" s="1" t="s">
        <v>4147</v>
      </c>
      <c r="D2959" s="13" t="str">
        <f>IF(RIGHT(A2959,3)="000",C2959,VLOOKUP(B2959,'Справочник ИХ'!A:C,3,0))</f>
        <v>Остальные грузы</v>
      </c>
      <c r="E2959" s="13">
        <f>IF(RIGHT(A2959,3)="000","х",VLOOKUP(B2959,'Справочник ИХ'!A:D,4,0))</f>
        <v>3</v>
      </c>
      <c r="F2959" s="14" t="s">
        <v>3816</v>
      </c>
    </row>
    <row r="2960" spans="1:6" ht="31.75">
      <c r="A2960" s="19" t="s">
        <v>4148</v>
      </c>
      <c r="B2960" s="12" t="str">
        <f t="shared" si="46"/>
        <v>484</v>
      </c>
      <c r="C2960" s="1" t="s">
        <v>4149</v>
      </c>
      <c r="D2960" s="13" t="str">
        <f>IF(RIGHT(A2960,3)="000",C2960,VLOOKUP(B2960,'Справочник ИХ'!A:C,3,0))</f>
        <v>Остальные грузы</v>
      </c>
      <c r="E2960" s="13">
        <f>IF(RIGHT(A2960,3)="000","х",VLOOKUP(B2960,'Справочник ИХ'!A:D,4,0))</f>
        <v>3</v>
      </c>
      <c r="F2960" s="14" t="s">
        <v>3816</v>
      </c>
    </row>
    <row r="2961" spans="1:6" ht="31.75">
      <c r="A2961" s="19" t="s">
        <v>4150</v>
      </c>
      <c r="B2961" s="12" t="str">
        <f t="shared" si="46"/>
        <v>484</v>
      </c>
      <c r="C2961" s="1" t="s">
        <v>4151</v>
      </c>
      <c r="D2961" s="13" t="str">
        <f>IF(RIGHT(A2961,3)="000",C2961,VLOOKUP(B2961,'Справочник ИХ'!A:C,3,0))</f>
        <v>Остальные грузы</v>
      </c>
      <c r="E2961" s="13">
        <f>IF(RIGHT(A2961,3)="000","х",VLOOKUP(B2961,'Справочник ИХ'!A:D,4,0))</f>
        <v>3</v>
      </c>
      <c r="F2961" s="14" t="s">
        <v>3816</v>
      </c>
    </row>
    <row r="2962" spans="1:6" ht="31.75">
      <c r="A2962" s="19" t="s">
        <v>4152</v>
      </c>
      <c r="B2962" s="12" t="str">
        <f t="shared" si="46"/>
        <v>484</v>
      </c>
      <c r="C2962" s="1" t="s">
        <v>4153</v>
      </c>
      <c r="D2962" s="13" t="str">
        <f>IF(RIGHT(A2962,3)="000",C2962,VLOOKUP(B2962,'Справочник ИХ'!A:C,3,0))</f>
        <v>Остальные грузы</v>
      </c>
      <c r="E2962" s="13">
        <f>IF(RIGHT(A2962,3)="000","х",VLOOKUP(B2962,'Справочник ИХ'!A:D,4,0))</f>
        <v>3</v>
      </c>
      <c r="F2962" s="14" t="s">
        <v>3816</v>
      </c>
    </row>
    <row r="2963" spans="1:6" ht="31.75">
      <c r="A2963" s="19" t="s">
        <v>4154</v>
      </c>
      <c r="B2963" s="12" t="str">
        <f t="shared" si="46"/>
        <v>484</v>
      </c>
      <c r="C2963" s="1" t="s">
        <v>4155</v>
      </c>
      <c r="D2963" s="13" t="str">
        <f>IF(RIGHT(A2963,3)="000",C2963,VLOOKUP(B2963,'Справочник ИХ'!A:C,3,0))</f>
        <v>Остальные грузы</v>
      </c>
      <c r="E2963" s="13">
        <f>IF(RIGHT(A2963,3)="000","х",VLOOKUP(B2963,'Справочник ИХ'!A:D,4,0))</f>
        <v>3</v>
      </c>
      <c r="F2963" s="14" t="s">
        <v>3816</v>
      </c>
    </row>
    <row r="2964" spans="1:6" ht="31.75">
      <c r="A2964" s="19" t="s">
        <v>4156</v>
      </c>
      <c r="B2964" s="12" t="str">
        <f t="shared" si="46"/>
        <v>484</v>
      </c>
      <c r="C2964" s="1" t="s">
        <v>4157</v>
      </c>
      <c r="D2964" s="13" t="str">
        <f>IF(RIGHT(A2964,3)="000",C2964,VLOOKUP(B2964,'Справочник ИХ'!A:C,3,0))</f>
        <v>Остальные грузы</v>
      </c>
      <c r="E2964" s="13">
        <f>IF(RIGHT(A2964,3)="000","х",VLOOKUP(B2964,'Справочник ИХ'!A:D,4,0))</f>
        <v>3</v>
      </c>
      <c r="F2964" s="14" t="s">
        <v>3816</v>
      </c>
    </row>
    <row r="2965" spans="1:6">
      <c r="A2965" s="19" t="s">
        <v>4158</v>
      </c>
      <c r="B2965" s="12" t="str">
        <f t="shared" si="46"/>
        <v>484</v>
      </c>
      <c r="C2965" s="1" t="s">
        <v>4159</v>
      </c>
      <c r="D2965" s="13" t="str">
        <f>IF(RIGHT(A2965,3)="000",C2965,VLOOKUP(B2965,'Справочник ИХ'!A:C,3,0))</f>
        <v>Остальные грузы</v>
      </c>
      <c r="E2965" s="13">
        <f>IF(RIGHT(A2965,3)="000","х",VLOOKUP(B2965,'Справочник ИХ'!A:D,4,0))</f>
        <v>3</v>
      </c>
      <c r="F2965" s="14" t="s">
        <v>3816</v>
      </c>
    </row>
    <row r="2966" spans="1:6">
      <c r="A2966" s="19" t="s">
        <v>4160</v>
      </c>
      <c r="B2966" s="12" t="str">
        <f t="shared" si="46"/>
        <v>484</v>
      </c>
      <c r="C2966" s="1" t="s">
        <v>4161</v>
      </c>
      <c r="D2966" s="13" t="str">
        <f>IF(RIGHT(A2966,3)="000",C2966,VLOOKUP(B2966,'Справочник ИХ'!A:C,3,0))</f>
        <v>Остальные грузы</v>
      </c>
      <c r="E2966" s="13">
        <f>IF(RIGHT(A2966,3)="000","х",VLOOKUP(B2966,'Справочник ИХ'!A:D,4,0))</f>
        <v>3</v>
      </c>
      <c r="F2966" s="14" t="s">
        <v>3816</v>
      </c>
    </row>
    <row r="2967" spans="1:6" ht="31.75">
      <c r="A2967" s="19" t="s">
        <v>4162</v>
      </c>
      <c r="B2967" s="12" t="str">
        <f t="shared" si="46"/>
        <v>484</v>
      </c>
      <c r="C2967" s="1" t="s">
        <v>4163</v>
      </c>
      <c r="D2967" s="13" t="str">
        <f>IF(RIGHT(A2967,3)="000",C2967,VLOOKUP(B2967,'Справочник ИХ'!A:C,3,0))</f>
        <v>Остальные грузы</v>
      </c>
      <c r="E2967" s="13">
        <f>IF(RIGHT(A2967,3)="000","х",VLOOKUP(B2967,'Справочник ИХ'!A:D,4,0))</f>
        <v>3</v>
      </c>
      <c r="F2967" s="14" t="s">
        <v>3816</v>
      </c>
    </row>
    <row r="2968" spans="1:6">
      <c r="A2968" s="19" t="s">
        <v>4164</v>
      </c>
      <c r="B2968" s="12" t="str">
        <f t="shared" si="46"/>
        <v>484</v>
      </c>
      <c r="C2968" s="1" t="s">
        <v>4165</v>
      </c>
      <c r="D2968" s="13" t="str">
        <f>IF(RIGHT(A2968,3)="000",C2968,VLOOKUP(B2968,'Справочник ИХ'!A:C,3,0))</f>
        <v>Остальные грузы</v>
      </c>
      <c r="E2968" s="13">
        <f>IF(RIGHT(A2968,3)="000","х",VLOOKUP(B2968,'Справочник ИХ'!A:D,4,0))</f>
        <v>3</v>
      </c>
      <c r="F2968" s="14" t="s">
        <v>3816</v>
      </c>
    </row>
    <row r="2969" spans="1:6">
      <c r="A2969" s="19" t="s">
        <v>4166</v>
      </c>
      <c r="B2969" s="12" t="str">
        <f t="shared" si="46"/>
        <v>484</v>
      </c>
      <c r="C2969" s="1" t="s">
        <v>4167</v>
      </c>
      <c r="D2969" s="13" t="str">
        <f>IF(RIGHT(A2969,3)="000",C2969,VLOOKUP(B2969,'Справочник ИХ'!A:C,3,0))</f>
        <v>Остальные грузы</v>
      </c>
      <c r="E2969" s="13">
        <f>IF(RIGHT(A2969,3)="000","х",VLOOKUP(B2969,'Справочник ИХ'!A:D,4,0))</f>
        <v>3</v>
      </c>
      <c r="F2969" s="14" t="s">
        <v>3816</v>
      </c>
    </row>
    <row r="2970" spans="1:6">
      <c r="A2970" s="19" t="s">
        <v>4168</v>
      </c>
      <c r="B2970" s="12" t="str">
        <f t="shared" si="46"/>
        <v>484</v>
      </c>
      <c r="C2970" s="1" t="s">
        <v>4169</v>
      </c>
      <c r="D2970" s="13" t="str">
        <f>IF(RIGHT(A2970,3)="000",C2970,VLOOKUP(B2970,'Справочник ИХ'!A:C,3,0))</f>
        <v>Остальные грузы</v>
      </c>
      <c r="E2970" s="13">
        <f>IF(RIGHT(A2970,3)="000","х",VLOOKUP(B2970,'Справочник ИХ'!A:D,4,0))</f>
        <v>3</v>
      </c>
      <c r="F2970" s="14" t="s">
        <v>3816</v>
      </c>
    </row>
    <row r="2971" spans="1:6" ht="31.75">
      <c r="A2971" s="19" t="s">
        <v>4170</v>
      </c>
      <c r="B2971" s="12" t="str">
        <f t="shared" si="46"/>
        <v>484</v>
      </c>
      <c r="C2971" s="1" t="s">
        <v>4171</v>
      </c>
      <c r="D2971" s="13" t="str">
        <f>IF(RIGHT(A2971,3)="000",C2971,VLOOKUP(B2971,'Справочник ИХ'!A:C,3,0))</f>
        <v>Остальные грузы</v>
      </c>
      <c r="E2971" s="13">
        <f>IF(RIGHT(A2971,3)="000","х",VLOOKUP(B2971,'Справочник ИХ'!A:D,4,0))</f>
        <v>3</v>
      </c>
      <c r="F2971" s="14" t="s">
        <v>3816</v>
      </c>
    </row>
    <row r="2972" spans="1:6">
      <c r="A2972" s="19">
        <v>48444</v>
      </c>
      <c r="B2972" s="12" t="str">
        <f t="shared" si="46"/>
        <v>484</v>
      </c>
      <c r="C2972" s="1" t="s">
        <v>4172</v>
      </c>
      <c r="D2972" s="13" t="str">
        <f>IF(RIGHT(A2972,3)="000",C2972,VLOOKUP(B2972,'Справочник ИХ'!A:C,3,0))</f>
        <v>Остальные грузы</v>
      </c>
      <c r="E2972" s="13">
        <f>IF(RIGHT(A2972,3)="000","х",VLOOKUP(B2972,'Справочник ИХ'!A:D,4,0))</f>
        <v>3</v>
      </c>
      <c r="F2972" s="14" t="s">
        <v>3816</v>
      </c>
    </row>
    <row r="2973" spans="1:6">
      <c r="A2973" s="19">
        <v>48445</v>
      </c>
      <c r="B2973" s="12" t="str">
        <f t="shared" si="46"/>
        <v>484</v>
      </c>
      <c r="C2973" s="1" t="s">
        <v>4173</v>
      </c>
      <c r="D2973" s="13" t="str">
        <f>IF(RIGHT(A2973,3)="000",C2973,VLOOKUP(B2973,'Справочник ИХ'!A:C,3,0))</f>
        <v>Остальные грузы</v>
      </c>
      <c r="E2973" s="13">
        <f>IF(RIGHT(A2973,3)="000","х",VLOOKUP(B2973,'Справочник ИХ'!A:D,4,0))</f>
        <v>3</v>
      </c>
      <c r="F2973" s="14" t="s">
        <v>3816</v>
      </c>
    </row>
    <row r="2974" spans="1:6">
      <c r="A2974" s="19">
        <v>48446</v>
      </c>
      <c r="B2974" s="12" t="str">
        <f t="shared" si="46"/>
        <v>484</v>
      </c>
      <c r="C2974" s="1" t="s">
        <v>4174</v>
      </c>
      <c r="D2974" s="13" t="str">
        <f>IF(RIGHT(A2974,3)="000",C2974,VLOOKUP(B2974,'Справочник ИХ'!A:C,3,0))</f>
        <v>Остальные грузы</v>
      </c>
      <c r="E2974" s="13">
        <f>IF(RIGHT(A2974,3)="000","х",VLOOKUP(B2974,'Справочник ИХ'!A:D,4,0))</f>
        <v>3</v>
      </c>
      <c r="F2974" s="14" t="s">
        <v>3816</v>
      </c>
    </row>
    <row r="2975" spans="1:6">
      <c r="A2975" s="19">
        <v>48447</v>
      </c>
      <c r="B2975" s="12" t="str">
        <f t="shared" si="46"/>
        <v>484</v>
      </c>
      <c r="C2975" s="1" t="s">
        <v>4175</v>
      </c>
      <c r="D2975" s="13" t="str">
        <f>IF(RIGHT(A2975,3)="000",C2975,VLOOKUP(B2975,'Справочник ИХ'!A:C,3,0))</f>
        <v>Остальные грузы</v>
      </c>
      <c r="E2975" s="13">
        <f>IF(RIGHT(A2975,3)="000","х",VLOOKUP(B2975,'Справочник ИХ'!A:D,4,0))</f>
        <v>3</v>
      </c>
      <c r="F2975" s="14" t="s">
        <v>3816</v>
      </c>
    </row>
    <row r="2976" spans="1:6">
      <c r="A2976" s="19">
        <v>48448</v>
      </c>
      <c r="B2976" s="12" t="str">
        <f t="shared" si="46"/>
        <v>484</v>
      </c>
      <c r="C2976" s="1" t="s">
        <v>4176</v>
      </c>
      <c r="D2976" s="13" t="str">
        <f>IF(RIGHT(A2976,3)="000",C2976,VLOOKUP(B2976,'Справочник ИХ'!A:C,3,0))</f>
        <v>Остальные грузы</v>
      </c>
      <c r="E2976" s="13">
        <f>IF(RIGHT(A2976,3)="000","х",VLOOKUP(B2976,'Справочник ИХ'!A:D,4,0))</f>
        <v>3</v>
      </c>
      <c r="F2976" s="14" t="s">
        <v>3816</v>
      </c>
    </row>
    <row r="2977" spans="1:6">
      <c r="A2977" s="19">
        <v>48449</v>
      </c>
      <c r="B2977" s="12" t="str">
        <f t="shared" si="46"/>
        <v>484</v>
      </c>
      <c r="C2977" s="1" t="s">
        <v>4177</v>
      </c>
      <c r="D2977" s="13" t="str">
        <f>IF(RIGHT(A2977,3)="000",C2977,VLOOKUP(B2977,'Справочник ИХ'!A:C,3,0))</f>
        <v>Остальные грузы</v>
      </c>
      <c r="E2977" s="13">
        <f>IF(RIGHT(A2977,3)="000","х",VLOOKUP(B2977,'Справочник ИХ'!A:D,4,0))</f>
        <v>3</v>
      </c>
      <c r="F2977" s="14" t="s">
        <v>3816</v>
      </c>
    </row>
    <row r="2978" spans="1:6">
      <c r="A2978" s="19">
        <v>48450</v>
      </c>
      <c r="B2978" s="12" t="str">
        <f t="shared" si="46"/>
        <v>484</v>
      </c>
      <c r="C2978" s="1" t="s">
        <v>4178</v>
      </c>
      <c r="D2978" s="13" t="str">
        <f>IF(RIGHT(A2978,3)="000",C2978,VLOOKUP(B2978,'Справочник ИХ'!A:C,3,0))</f>
        <v>Остальные грузы</v>
      </c>
      <c r="E2978" s="13">
        <f>IF(RIGHT(A2978,3)="000","х",VLOOKUP(B2978,'Справочник ИХ'!A:D,4,0))</f>
        <v>3</v>
      </c>
      <c r="F2978" s="14" t="s">
        <v>3816</v>
      </c>
    </row>
    <row r="2979" spans="1:6">
      <c r="A2979" s="19">
        <v>48451</v>
      </c>
      <c r="B2979" s="12" t="str">
        <f t="shared" si="46"/>
        <v>484</v>
      </c>
      <c r="C2979" s="1" t="s">
        <v>4179</v>
      </c>
      <c r="D2979" s="13" t="str">
        <f>IF(RIGHT(A2979,3)="000",C2979,VLOOKUP(B2979,'Справочник ИХ'!A:C,3,0))</f>
        <v>Остальные грузы</v>
      </c>
      <c r="E2979" s="13">
        <f>IF(RIGHT(A2979,3)="000","х",VLOOKUP(B2979,'Справочник ИХ'!A:D,4,0))</f>
        <v>3</v>
      </c>
      <c r="F2979" s="14" t="s">
        <v>3816</v>
      </c>
    </row>
    <row r="2980" spans="1:6">
      <c r="A2980" s="19">
        <v>48452</v>
      </c>
      <c r="B2980" s="12" t="str">
        <f t="shared" si="46"/>
        <v>484</v>
      </c>
      <c r="C2980" s="1" t="s">
        <v>4180</v>
      </c>
      <c r="D2980" s="13" t="str">
        <f>IF(RIGHT(A2980,3)="000",C2980,VLOOKUP(B2980,'Справочник ИХ'!A:C,3,0))</f>
        <v>Остальные грузы</v>
      </c>
      <c r="E2980" s="13">
        <f>IF(RIGHT(A2980,3)="000","х",VLOOKUP(B2980,'Справочник ИХ'!A:D,4,0))</f>
        <v>3</v>
      </c>
      <c r="F2980" s="14" t="s">
        <v>3816</v>
      </c>
    </row>
    <row r="2981" spans="1:6">
      <c r="A2981" s="19">
        <v>48453</v>
      </c>
      <c r="B2981" s="12" t="str">
        <f t="shared" si="46"/>
        <v>484</v>
      </c>
      <c r="C2981" s="1" t="s">
        <v>4181</v>
      </c>
      <c r="D2981" s="13" t="str">
        <f>IF(RIGHT(A2981,3)="000",C2981,VLOOKUP(B2981,'Справочник ИХ'!A:C,3,0))</f>
        <v>Остальные грузы</v>
      </c>
      <c r="E2981" s="13">
        <f>IF(RIGHT(A2981,3)="000","х",VLOOKUP(B2981,'Справочник ИХ'!A:D,4,0))</f>
        <v>3</v>
      </c>
      <c r="F2981" s="14" t="s">
        <v>3816</v>
      </c>
    </row>
    <row r="2982" spans="1:6">
      <c r="A2982" s="19">
        <v>48454</v>
      </c>
      <c r="B2982" s="12" t="str">
        <f t="shared" si="46"/>
        <v>484</v>
      </c>
      <c r="C2982" s="1" t="s">
        <v>4182</v>
      </c>
      <c r="D2982" s="13" t="str">
        <f>IF(RIGHT(A2982,3)="000",C2982,VLOOKUP(B2982,'Справочник ИХ'!A:C,3,0))</f>
        <v>Остальные грузы</v>
      </c>
      <c r="E2982" s="13">
        <f>IF(RIGHT(A2982,3)="000","х",VLOOKUP(B2982,'Справочник ИХ'!A:D,4,0))</f>
        <v>3</v>
      </c>
      <c r="F2982" s="14" t="s">
        <v>3816</v>
      </c>
    </row>
    <row r="2983" spans="1:6">
      <c r="A2983" s="19">
        <v>48455</v>
      </c>
      <c r="B2983" s="12" t="str">
        <f t="shared" si="46"/>
        <v>484</v>
      </c>
      <c r="C2983" s="1" t="s">
        <v>4183</v>
      </c>
      <c r="D2983" s="13" t="str">
        <f>IF(RIGHT(A2983,3)="000",C2983,VLOOKUP(B2983,'Справочник ИХ'!A:C,3,0))</f>
        <v>Остальные грузы</v>
      </c>
      <c r="E2983" s="13">
        <f>IF(RIGHT(A2983,3)="000","х",VLOOKUP(B2983,'Справочник ИХ'!A:D,4,0))</f>
        <v>3</v>
      </c>
      <c r="F2983" s="14" t="s">
        <v>3816</v>
      </c>
    </row>
    <row r="2984" spans="1:6">
      <c r="A2984" s="19">
        <v>48456</v>
      </c>
      <c r="B2984" s="12" t="str">
        <f t="shared" si="46"/>
        <v>484</v>
      </c>
      <c r="C2984" s="1" t="s">
        <v>4184</v>
      </c>
      <c r="D2984" s="13" t="str">
        <f>IF(RIGHT(A2984,3)="000",C2984,VLOOKUP(B2984,'Справочник ИХ'!A:C,3,0))</f>
        <v>Остальные грузы</v>
      </c>
      <c r="E2984" s="13">
        <f>IF(RIGHT(A2984,3)="000","х",VLOOKUP(B2984,'Справочник ИХ'!A:D,4,0))</f>
        <v>3</v>
      </c>
      <c r="F2984" s="14" t="s">
        <v>3816</v>
      </c>
    </row>
    <row r="2985" spans="1:6" ht="31.75">
      <c r="A2985" s="19">
        <v>48457</v>
      </c>
      <c r="B2985" s="12" t="str">
        <f t="shared" si="46"/>
        <v>484</v>
      </c>
      <c r="C2985" s="1" t="s">
        <v>4185</v>
      </c>
      <c r="D2985" s="13" t="str">
        <f>IF(RIGHT(A2985,3)="000",C2985,VLOOKUP(B2985,'Справочник ИХ'!A:C,3,0))</f>
        <v>Остальные грузы</v>
      </c>
      <c r="E2985" s="13">
        <f>IF(RIGHT(A2985,3)="000","х",VLOOKUP(B2985,'Справочник ИХ'!A:D,4,0))</f>
        <v>3</v>
      </c>
      <c r="F2985" s="14" t="s">
        <v>3816</v>
      </c>
    </row>
    <row r="2986" spans="1:6" ht="31.75">
      <c r="A2986" s="19">
        <v>48458</v>
      </c>
      <c r="B2986" s="12" t="str">
        <f t="shared" si="46"/>
        <v>484</v>
      </c>
      <c r="C2986" s="1" t="s">
        <v>4186</v>
      </c>
      <c r="D2986" s="13" t="str">
        <f>IF(RIGHT(A2986,3)="000",C2986,VLOOKUP(B2986,'Справочник ИХ'!A:C,3,0))</f>
        <v>Остальные грузы</v>
      </c>
      <c r="E2986" s="13">
        <f>IF(RIGHT(A2986,3)="000","х",VLOOKUP(B2986,'Справочник ИХ'!A:D,4,0))</f>
        <v>3</v>
      </c>
      <c r="F2986" s="14" t="s">
        <v>3816</v>
      </c>
    </row>
    <row r="2987" spans="1:6" ht="31.75">
      <c r="A2987" s="19">
        <v>48459</v>
      </c>
      <c r="B2987" s="12" t="str">
        <f t="shared" si="46"/>
        <v>484</v>
      </c>
      <c r="C2987" s="1" t="s">
        <v>4187</v>
      </c>
      <c r="D2987" s="13" t="str">
        <f>IF(RIGHT(A2987,3)="000",C2987,VLOOKUP(B2987,'Справочник ИХ'!A:C,3,0))</f>
        <v>Остальные грузы</v>
      </c>
      <c r="E2987" s="13">
        <f>IF(RIGHT(A2987,3)="000","х",VLOOKUP(B2987,'Справочник ИХ'!A:D,4,0))</f>
        <v>3</v>
      </c>
      <c r="F2987" s="14" t="s">
        <v>3816</v>
      </c>
    </row>
    <row r="2988" spans="1:6" ht="31.75">
      <c r="A2988" s="19">
        <v>48460</v>
      </c>
      <c r="B2988" s="12" t="str">
        <f t="shared" si="46"/>
        <v>484</v>
      </c>
      <c r="C2988" s="1" t="s">
        <v>4188</v>
      </c>
      <c r="D2988" s="13" t="str">
        <f>IF(RIGHT(A2988,3)="000",C2988,VLOOKUP(B2988,'Справочник ИХ'!A:C,3,0))</f>
        <v>Остальные грузы</v>
      </c>
      <c r="E2988" s="13">
        <f>IF(RIGHT(A2988,3)="000","х",VLOOKUP(B2988,'Справочник ИХ'!A:D,4,0))</f>
        <v>3</v>
      </c>
      <c r="F2988" s="14" t="s">
        <v>3816</v>
      </c>
    </row>
    <row r="2989" spans="1:6" ht="31.75">
      <c r="A2989" s="19">
        <v>48461</v>
      </c>
      <c r="B2989" s="12" t="str">
        <f t="shared" si="46"/>
        <v>484</v>
      </c>
      <c r="C2989" s="1" t="s">
        <v>4189</v>
      </c>
      <c r="D2989" s="13" t="str">
        <f>IF(RIGHT(A2989,3)="000",C2989,VLOOKUP(B2989,'Справочник ИХ'!A:C,3,0))</f>
        <v>Остальные грузы</v>
      </c>
      <c r="E2989" s="13">
        <f>IF(RIGHT(A2989,3)="000","х",VLOOKUP(B2989,'Справочник ИХ'!A:D,4,0))</f>
        <v>3</v>
      </c>
      <c r="F2989" s="14" t="s">
        <v>3816</v>
      </c>
    </row>
    <row r="2990" spans="1:6">
      <c r="A2990" s="19">
        <v>48462</v>
      </c>
      <c r="B2990" s="12" t="str">
        <f t="shared" si="46"/>
        <v>484</v>
      </c>
      <c r="C2990" s="1" t="s">
        <v>4190</v>
      </c>
      <c r="D2990" s="13" t="str">
        <f>IF(RIGHT(A2990,3)="000",C2990,VLOOKUP(B2990,'Справочник ИХ'!A:C,3,0))</f>
        <v>Остальные грузы</v>
      </c>
      <c r="E2990" s="13">
        <f>IF(RIGHT(A2990,3)="000","х",VLOOKUP(B2990,'Справочник ИХ'!A:D,4,0))</f>
        <v>3</v>
      </c>
      <c r="F2990" s="14" t="s">
        <v>3816</v>
      </c>
    </row>
    <row r="2991" spans="1:6">
      <c r="A2991" s="19">
        <v>48463</v>
      </c>
      <c r="B2991" s="12" t="str">
        <f t="shared" si="46"/>
        <v>484</v>
      </c>
      <c r="C2991" s="1" t="s">
        <v>4191</v>
      </c>
      <c r="D2991" s="13" t="str">
        <f>IF(RIGHT(A2991,3)="000",C2991,VLOOKUP(B2991,'Справочник ИХ'!A:C,3,0))</f>
        <v>Остальные грузы</v>
      </c>
      <c r="E2991" s="13">
        <f>IF(RIGHT(A2991,3)="000","х",VLOOKUP(B2991,'Справочник ИХ'!A:D,4,0))</f>
        <v>3</v>
      </c>
      <c r="F2991" s="14" t="s">
        <v>3816</v>
      </c>
    </row>
    <row r="2992" spans="1:6">
      <c r="A2992" s="19">
        <v>48464</v>
      </c>
      <c r="B2992" s="12" t="str">
        <f t="shared" si="46"/>
        <v>484</v>
      </c>
      <c r="C2992" s="1" t="s">
        <v>4192</v>
      </c>
      <c r="D2992" s="13" t="str">
        <f>IF(RIGHT(A2992,3)="000",C2992,VLOOKUP(B2992,'Справочник ИХ'!A:C,3,0))</f>
        <v>Остальные грузы</v>
      </c>
      <c r="E2992" s="13">
        <f>IF(RIGHT(A2992,3)="000","х",VLOOKUP(B2992,'Справочник ИХ'!A:D,4,0))</f>
        <v>3</v>
      </c>
      <c r="F2992" s="14" t="s">
        <v>3816</v>
      </c>
    </row>
    <row r="2993" spans="1:6">
      <c r="A2993" s="19">
        <v>48465</v>
      </c>
      <c r="B2993" s="12" t="str">
        <f t="shared" si="46"/>
        <v>484</v>
      </c>
      <c r="C2993" s="1" t="s">
        <v>4193</v>
      </c>
      <c r="D2993" s="13" t="str">
        <f>IF(RIGHT(A2993,3)="000",C2993,VLOOKUP(B2993,'Справочник ИХ'!A:C,3,0))</f>
        <v>Остальные грузы</v>
      </c>
      <c r="E2993" s="13">
        <f>IF(RIGHT(A2993,3)="000","х",VLOOKUP(B2993,'Справочник ИХ'!A:D,4,0))</f>
        <v>3</v>
      </c>
      <c r="F2993" s="14" t="s">
        <v>3816</v>
      </c>
    </row>
    <row r="2994" spans="1:6">
      <c r="A2994" s="19">
        <v>48466</v>
      </c>
      <c r="B2994" s="12" t="str">
        <f t="shared" si="46"/>
        <v>484</v>
      </c>
      <c r="C2994" s="1" t="s">
        <v>4194</v>
      </c>
      <c r="D2994" s="13" t="str">
        <f>IF(RIGHT(A2994,3)="000",C2994,VLOOKUP(B2994,'Справочник ИХ'!A:C,3,0))</f>
        <v>Остальные грузы</v>
      </c>
      <c r="E2994" s="13">
        <f>IF(RIGHT(A2994,3)="000","х",VLOOKUP(B2994,'Справочник ИХ'!A:D,4,0))</f>
        <v>3</v>
      </c>
      <c r="F2994" s="14" t="s">
        <v>3816</v>
      </c>
    </row>
    <row r="2995" spans="1:6">
      <c r="A2995" s="19">
        <v>48467</v>
      </c>
      <c r="B2995" s="12" t="str">
        <f t="shared" si="46"/>
        <v>484</v>
      </c>
      <c r="C2995" s="1" t="s">
        <v>4195</v>
      </c>
      <c r="D2995" s="13" t="str">
        <f>IF(RIGHT(A2995,3)="000",C2995,VLOOKUP(B2995,'Справочник ИХ'!A:C,3,0))</f>
        <v>Остальные грузы</v>
      </c>
      <c r="E2995" s="13">
        <f>IF(RIGHT(A2995,3)="000","х",VLOOKUP(B2995,'Справочник ИХ'!A:D,4,0))</f>
        <v>3</v>
      </c>
      <c r="F2995" s="14" t="s">
        <v>3816</v>
      </c>
    </row>
    <row r="2996" spans="1:6">
      <c r="A2996" s="19">
        <v>48468</v>
      </c>
      <c r="B2996" s="12" t="str">
        <f t="shared" si="46"/>
        <v>484</v>
      </c>
      <c r="C2996" s="1" t="s">
        <v>4196</v>
      </c>
      <c r="D2996" s="13" t="str">
        <f>IF(RIGHT(A2996,3)="000",C2996,VLOOKUP(B2996,'Справочник ИХ'!A:C,3,0))</f>
        <v>Остальные грузы</v>
      </c>
      <c r="E2996" s="13">
        <f>IF(RIGHT(A2996,3)="000","х",VLOOKUP(B2996,'Справочник ИХ'!A:D,4,0))</f>
        <v>3</v>
      </c>
      <c r="F2996" s="14" t="s">
        <v>3816</v>
      </c>
    </row>
    <row r="2997" spans="1:6">
      <c r="A2997" s="19">
        <v>48469</v>
      </c>
      <c r="B2997" s="12" t="str">
        <f t="shared" si="46"/>
        <v>484</v>
      </c>
      <c r="C2997" s="1" t="s">
        <v>4197</v>
      </c>
      <c r="D2997" s="13" t="str">
        <f>IF(RIGHT(A2997,3)="000",C2997,VLOOKUP(B2997,'Справочник ИХ'!A:C,3,0))</f>
        <v>Остальные грузы</v>
      </c>
      <c r="E2997" s="13">
        <f>IF(RIGHT(A2997,3)="000","х",VLOOKUP(B2997,'Справочник ИХ'!A:D,4,0))</f>
        <v>3</v>
      </c>
      <c r="F2997" s="14" t="s">
        <v>3816</v>
      </c>
    </row>
    <row r="2998" spans="1:6">
      <c r="A2998" s="19">
        <v>48470</v>
      </c>
      <c r="B2998" s="12" t="str">
        <f t="shared" si="46"/>
        <v>484</v>
      </c>
      <c r="C2998" s="1" t="s">
        <v>4198</v>
      </c>
      <c r="D2998" s="13" t="str">
        <f>IF(RIGHT(A2998,3)="000",C2998,VLOOKUP(B2998,'Справочник ИХ'!A:C,3,0))</f>
        <v>Остальные грузы</v>
      </c>
      <c r="E2998" s="13">
        <f>IF(RIGHT(A2998,3)="000","х",VLOOKUP(B2998,'Справочник ИХ'!A:D,4,0))</f>
        <v>3</v>
      </c>
      <c r="F2998" s="14" t="s">
        <v>3816</v>
      </c>
    </row>
    <row r="2999" spans="1:6">
      <c r="A2999" s="19">
        <v>48471</v>
      </c>
      <c r="B2999" s="12" t="str">
        <f t="shared" si="46"/>
        <v>484</v>
      </c>
      <c r="C2999" s="1" t="s">
        <v>4199</v>
      </c>
      <c r="D2999" s="13" t="str">
        <f>IF(RIGHT(A2999,3)="000",C2999,VLOOKUP(B2999,'Справочник ИХ'!A:C,3,0))</f>
        <v>Остальные грузы</v>
      </c>
      <c r="E2999" s="13">
        <f>IF(RIGHT(A2999,3)="000","х",VLOOKUP(B2999,'Справочник ИХ'!A:D,4,0))</f>
        <v>3</v>
      </c>
      <c r="F2999" s="14" t="s">
        <v>3816</v>
      </c>
    </row>
    <row r="3000" spans="1:6">
      <c r="A3000" s="19">
        <v>48472</v>
      </c>
      <c r="B3000" s="12" t="str">
        <f t="shared" si="46"/>
        <v>484</v>
      </c>
      <c r="C3000" s="1" t="s">
        <v>4200</v>
      </c>
      <c r="D3000" s="13" t="str">
        <f>IF(RIGHT(A3000,3)="000",C3000,VLOOKUP(B3000,'Справочник ИХ'!A:C,3,0))</f>
        <v>Остальные грузы</v>
      </c>
      <c r="E3000" s="13">
        <f>IF(RIGHT(A3000,3)="000","х",VLOOKUP(B3000,'Справочник ИХ'!A:D,4,0))</f>
        <v>3</v>
      </c>
      <c r="F3000" s="14" t="s">
        <v>3816</v>
      </c>
    </row>
    <row r="3001" spans="1:6">
      <c r="A3001" s="19">
        <v>48473</v>
      </c>
      <c r="B3001" s="12" t="str">
        <f t="shared" si="46"/>
        <v>484</v>
      </c>
      <c r="C3001" s="1" t="s">
        <v>4201</v>
      </c>
      <c r="D3001" s="13" t="str">
        <f>IF(RIGHT(A3001,3)="000",C3001,VLOOKUP(B3001,'Справочник ИХ'!A:C,3,0))</f>
        <v>Остальные грузы</v>
      </c>
      <c r="E3001" s="13">
        <f>IF(RIGHT(A3001,3)="000","х",VLOOKUP(B3001,'Справочник ИХ'!A:D,4,0))</f>
        <v>3</v>
      </c>
      <c r="F3001" s="14" t="s">
        <v>3816</v>
      </c>
    </row>
    <row r="3002" spans="1:6" s="18" customFormat="1">
      <c r="A3002" s="16">
        <v>48500</v>
      </c>
      <c r="B3002" s="12" t="str">
        <f t="shared" si="46"/>
        <v>485</v>
      </c>
      <c r="C3002" s="17" t="s">
        <v>4202</v>
      </c>
      <c r="D3002" s="13" t="str">
        <f>IF(RIGHT(A3002,3)="000",C3002,VLOOKUP(B3002,'Справочник ИХ'!A:C,3,0))</f>
        <v>Остальные грузы</v>
      </c>
      <c r="E3002" s="13">
        <f>IF(RIGHT(A3002,3)="000","х",VLOOKUP(B3002,'Справочник ИХ'!A:D,4,0))</f>
        <v>3</v>
      </c>
      <c r="F3002" s="14" t="s">
        <v>3816</v>
      </c>
    </row>
    <row r="3003" spans="1:6">
      <c r="A3003" s="19">
        <v>48501</v>
      </c>
      <c r="B3003" s="12" t="str">
        <f t="shared" si="46"/>
        <v>485</v>
      </c>
      <c r="C3003" s="1" t="s">
        <v>4203</v>
      </c>
      <c r="D3003" s="13" t="str">
        <f>IF(RIGHT(A3003,3)="000",C3003,VLOOKUP(B3003,'Справочник ИХ'!A:C,3,0))</f>
        <v>Остальные грузы</v>
      </c>
      <c r="E3003" s="13">
        <f>IF(RIGHT(A3003,3)="000","х",VLOOKUP(B3003,'Справочник ИХ'!A:D,4,0))</f>
        <v>3</v>
      </c>
      <c r="F3003" s="14" t="s">
        <v>3816</v>
      </c>
    </row>
    <row r="3004" spans="1:6">
      <c r="A3004" s="19">
        <v>48502</v>
      </c>
      <c r="B3004" s="12" t="str">
        <f t="shared" si="46"/>
        <v>485</v>
      </c>
      <c r="C3004" s="1" t="s">
        <v>4204</v>
      </c>
      <c r="D3004" s="13" t="str">
        <f>IF(RIGHT(A3004,3)="000",C3004,VLOOKUP(B3004,'Справочник ИХ'!A:C,3,0))</f>
        <v>Остальные грузы</v>
      </c>
      <c r="E3004" s="13">
        <f>IF(RIGHT(A3004,3)="000","х",VLOOKUP(B3004,'Справочник ИХ'!A:D,4,0))</f>
        <v>3</v>
      </c>
      <c r="F3004" s="14" t="s">
        <v>3816</v>
      </c>
    </row>
    <row r="3005" spans="1:6">
      <c r="A3005" s="19">
        <v>48503</v>
      </c>
      <c r="B3005" s="12" t="str">
        <f t="shared" si="46"/>
        <v>485</v>
      </c>
      <c r="C3005" s="1" t="s">
        <v>4205</v>
      </c>
      <c r="D3005" s="13" t="str">
        <f>IF(RIGHT(A3005,3)="000",C3005,VLOOKUP(B3005,'Справочник ИХ'!A:C,3,0))</f>
        <v>Остальные грузы</v>
      </c>
      <c r="E3005" s="13">
        <f>IF(RIGHT(A3005,3)="000","х",VLOOKUP(B3005,'Справочник ИХ'!A:D,4,0))</f>
        <v>3</v>
      </c>
      <c r="F3005" s="14" t="s">
        <v>3816</v>
      </c>
    </row>
    <row r="3006" spans="1:6">
      <c r="A3006" s="19">
        <v>48504</v>
      </c>
      <c r="B3006" s="12" t="str">
        <f t="shared" si="46"/>
        <v>485</v>
      </c>
      <c r="C3006" s="1" t="s">
        <v>4206</v>
      </c>
      <c r="D3006" s="13" t="str">
        <f>IF(RIGHT(A3006,3)="000",C3006,VLOOKUP(B3006,'Справочник ИХ'!A:C,3,0))</f>
        <v>Остальные грузы</v>
      </c>
      <c r="E3006" s="13">
        <f>IF(RIGHT(A3006,3)="000","х",VLOOKUP(B3006,'Справочник ИХ'!A:D,4,0))</f>
        <v>3</v>
      </c>
      <c r="F3006" s="14" t="s">
        <v>3816</v>
      </c>
    </row>
    <row r="3007" spans="1:6">
      <c r="A3007" s="19">
        <v>48505</v>
      </c>
      <c r="B3007" s="12" t="str">
        <f t="shared" si="46"/>
        <v>485</v>
      </c>
      <c r="C3007" s="1" t="s">
        <v>4207</v>
      </c>
      <c r="D3007" s="13" t="str">
        <f>IF(RIGHT(A3007,3)="000",C3007,VLOOKUP(B3007,'Справочник ИХ'!A:C,3,0))</f>
        <v>Остальные грузы</v>
      </c>
      <c r="E3007" s="13">
        <f>IF(RIGHT(A3007,3)="000","х",VLOOKUP(B3007,'Справочник ИХ'!A:D,4,0))</f>
        <v>3</v>
      </c>
      <c r="F3007" s="14" t="s">
        <v>3816</v>
      </c>
    </row>
    <row r="3008" spans="1:6">
      <c r="A3008" s="19">
        <v>48506</v>
      </c>
      <c r="B3008" s="12" t="str">
        <f t="shared" si="46"/>
        <v>485</v>
      </c>
      <c r="C3008" s="1" t="s">
        <v>4208</v>
      </c>
      <c r="D3008" s="13" t="str">
        <f>IF(RIGHT(A3008,3)="000",C3008,VLOOKUP(B3008,'Справочник ИХ'!A:C,3,0))</f>
        <v>Остальные грузы</v>
      </c>
      <c r="E3008" s="13">
        <f>IF(RIGHT(A3008,3)="000","х",VLOOKUP(B3008,'Справочник ИХ'!A:D,4,0))</f>
        <v>3</v>
      </c>
      <c r="F3008" s="14" t="s">
        <v>3816</v>
      </c>
    </row>
    <row r="3009" spans="1:6">
      <c r="A3009" s="19">
        <v>48507</v>
      </c>
      <c r="B3009" s="12" t="str">
        <f t="shared" si="46"/>
        <v>485</v>
      </c>
      <c r="C3009" s="1" t="s">
        <v>4209</v>
      </c>
      <c r="D3009" s="13" t="str">
        <f>IF(RIGHT(A3009,3)="000",C3009,VLOOKUP(B3009,'Справочник ИХ'!A:C,3,0))</f>
        <v>Остальные грузы</v>
      </c>
      <c r="E3009" s="13">
        <f>IF(RIGHT(A3009,3)="000","х",VLOOKUP(B3009,'Справочник ИХ'!A:D,4,0))</f>
        <v>3</v>
      </c>
      <c r="F3009" s="14" t="s">
        <v>3816</v>
      </c>
    </row>
    <row r="3010" spans="1:6">
      <c r="A3010" s="19">
        <v>48508</v>
      </c>
      <c r="B3010" s="12" t="str">
        <f t="shared" si="46"/>
        <v>485</v>
      </c>
      <c r="C3010" s="1" t="s">
        <v>4210</v>
      </c>
      <c r="D3010" s="13" t="str">
        <f>IF(RIGHT(A3010,3)="000",C3010,VLOOKUP(B3010,'Справочник ИХ'!A:C,3,0))</f>
        <v>Остальные грузы</v>
      </c>
      <c r="E3010" s="13">
        <f>IF(RIGHT(A3010,3)="000","х",VLOOKUP(B3010,'Справочник ИХ'!A:D,4,0))</f>
        <v>3</v>
      </c>
      <c r="F3010" s="14" t="s">
        <v>3816</v>
      </c>
    </row>
    <row r="3011" spans="1:6">
      <c r="A3011" s="19">
        <v>48509</v>
      </c>
      <c r="B3011" s="12" t="str">
        <f t="shared" si="46"/>
        <v>485</v>
      </c>
      <c r="C3011" s="1" t="s">
        <v>4211</v>
      </c>
      <c r="D3011" s="13" t="str">
        <f>IF(RIGHT(A3011,3)="000",C3011,VLOOKUP(B3011,'Справочник ИХ'!A:C,3,0))</f>
        <v>Остальные грузы</v>
      </c>
      <c r="E3011" s="13">
        <f>IF(RIGHT(A3011,3)="000","х",VLOOKUP(B3011,'Справочник ИХ'!A:D,4,0))</f>
        <v>3</v>
      </c>
      <c r="F3011" s="14" t="s">
        <v>3816</v>
      </c>
    </row>
    <row r="3012" spans="1:6">
      <c r="A3012" s="19">
        <v>48510</v>
      </c>
      <c r="B3012" s="12" t="str">
        <f t="shared" si="46"/>
        <v>485</v>
      </c>
      <c r="C3012" s="1" t="s">
        <v>4212</v>
      </c>
      <c r="D3012" s="13" t="str">
        <f>IF(RIGHT(A3012,3)="000",C3012,VLOOKUP(B3012,'Справочник ИХ'!A:C,3,0))</f>
        <v>Остальные грузы</v>
      </c>
      <c r="E3012" s="13">
        <f>IF(RIGHT(A3012,3)="000","х",VLOOKUP(B3012,'Справочник ИХ'!A:D,4,0))</f>
        <v>3</v>
      </c>
      <c r="F3012" s="14" t="s">
        <v>3816</v>
      </c>
    </row>
    <row r="3013" spans="1:6">
      <c r="A3013" s="19">
        <v>48511</v>
      </c>
      <c r="B3013" s="12" t="str">
        <f t="shared" ref="B3013:B3074" si="47">LEFT(A3013,3)</f>
        <v>485</v>
      </c>
      <c r="C3013" s="1" t="s">
        <v>4213</v>
      </c>
      <c r="D3013" s="13" t="str">
        <f>IF(RIGHT(A3013,3)="000",C3013,VLOOKUP(B3013,'Справочник ИХ'!A:C,3,0))</f>
        <v>Остальные грузы</v>
      </c>
      <c r="E3013" s="13">
        <f>IF(RIGHT(A3013,3)="000","х",VLOOKUP(B3013,'Справочник ИХ'!A:D,4,0))</f>
        <v>3</v>
      </c>
      <c r="F3013" s="14" t="s">
        <v>3816</v>
      </c>
    </row>
    <row r="3014" spans="1:6">
      <c r="A3014" s="19">
        <v>48512</v>
      </c>
      <c r="B3014" s="12" t="str">
        <f t="shared" si="47"/>
        <v>485</v>
      </c>
      <c r="C3014" s="1" t="s">
        <v>4214</v>
      </c>
      <c r="D3014" s="13" t="str">
        <f>IF(RIGHT(A3014,3)="000",C3014,VLOOKUP(B3014,'Справочник ИХ'!A:C,3,0))</f>
        <v>Остальные грузы</v>
      </c>
      <c r="E3014" s="13">
        <f>IF(RIGHT(A3014,3)="000","х",VLOOKUP(B3014,'Справочник ИХ'!A:D,4,0))</f>
        <v>3</v>
      </c>
      <c r="F3014" s="14" t="s">
        <v>3816</v>
      </c>
    </row>
    <row r="3015" spans="1:6">
      <c r="A3015" s="19">
        <v>48513</v>
      </c>
      <c r="B3015" s="12" t="str">
        <f t="shared" si="47"/>
        <v>485</v>
      </c>
      <c r="C3015" s="1" t="s">
        <v>4215</v>
      </c>
      <c r="D3015" s="13" t="str">
        <f>IF(RIGHT(A3015,3)="000",C3015,VLOOKUP(B3015,'Справочник ИХ'!A:C,3,0))</f>
        <v>Остальные грузы</v>
      </c>
      <c r="E3015" s="13">
        <f>IF(RIGHT(A3015,3)="000","х",VLOOKUP(B3015,'Справочник ИХ'!A:D,4,0))</f>
        <v>3</v>
      </c>
      <c r="F3015" s="14" t="s">
        <v>3816</v>
      </c>
    </row>
    <row r="3016" spans="1:6">
      <c r="A3016" s="19">
        <v>48514</v>
      </c>
      <c r="B3016" s="12" t="str">
        <f t="shared" si="47"/>
        <v>485</v>
      </c>
      <c r="C3016" s="1" t="s">
        <v>4216</v>
      </c>
      <c r="D3016" s="13" t="str">
        <f>IF(RIGHT(A3016,3)="000",C3016,VLOOKUP(B3016,'Справочник ИХ'!A:C,3,0))</f>
        <v>Остальные грузы</v>
      </c>
      <c r="E3016" s="13">
        <f>IF(RIGHT(A3016,3)="000","х",VLOOKUP(B3016,'Справочник ИХ'!A:D,4,0))</f>
        <v>3</v>
      </c>
      <c r="F3016" s="14" t="s">
        <v>3816</v>
      </c>
    </row>
    <row r="3017" spans="1:6">
      <c r="A3017" s="19">
        <v>48515</v>
      </c>
      <c r="B3017" s="12" t="str">
        <f t="shared" si="47"/>
        <v>485</v>
      </c>
      <c r="C3017" s="1" t="s">
        <v>4217</v>
      </c>
      <c r="D3017" s="13" t="str">
        <f>IF(RIGHT(A3017,3)="000",C3017,VLOOKUP(B3017,'Справочник ИХ'!A:C,3,0))</f>
        <v>Остальные грузы</v>
      </c>
      <c r="E3017" s="13">
        <f>IF(RIGHT(A3017,3)="000","х",VLOOKUP(B3017,'Справочник ИХ'!A:D,4,0))</f>
        <v>3</v>
      </c>
      <c r="F3017" s="14" t="s">
        <v>3816</v>
      </c>
    </row>
    <row r="3018" spans="1:6">
      <c r="A3018" s="19">
        <v>48516</v>
      </c>
      <c r="B3018" s="12" t="str">
        <f t="shared" si="47"/>
        <v>485</v>
      </c>
      <c r="C3018" s="1" t="s">
        <v>4218</v>
      </c>
      <c r="D3018" s="13" t="str">
        <f>IF(RIGHT(A3018,3)="000",C3018,VLOOKUP(B3018,'Справочник ИХ'!A:C,3,0))</f>
        <v>Остальные грузы</v>
      </c>
      <c r="E3018" s="13">
        <f>IF(RIGHT(A3018,3)="000","х",VLOOKUP(B3018,'Справочник ИХ'!A:D,4,0))</f>
        <v>3</v>
      </c>
      <c r="F3018" s="14" t="s">
        <v>3816</v>
      </c>
    </row>
    <row r="3019" spans="1:6">
      <c r="A3019" s="19">
        <v>48517</v>
      </c>
      <c r="B3019" s="12" t="str">
        <f t="shared" si="47"/>
        <v>485</v>
      </c>
      <c r="C3019" s="1" t="s">
        <v>4219</v>
      </c>
      <c r="D3019" s="13" t="str">
        <f>IF(RIGHT(A3019,3)="000",C3019,VLOOKUP(B3019,'Справочник ИХ'!A:C,3,0))</f>
        <v>Остальные грузы</v>
      </c>
      <c r="E3019" s="13">
        <f>IF(RIGHT(A3019,3)="000","х",VLOOKUP(B3019,'Справочник ИХ'!A:D,4,0))</f>
        <v>3</v>
      </c>
      <c r="F3019" s="14" t="s">
        <v>3816</v>
      </c>
    </row>
    <row r="3020" spans="1:6">
      <c r="A3020" s="19">
        <v>48518</v>
      </c>
      <c r="B3020" s="12" t="str">
        <f t="shared" si="47"/>
        <v>485</v>
      </c>
      <c r="C3020" s="1" t="s">
        <v>4220</v>
      </c>
      <c r="D3020" s="13" t="str">
        <f>IF(RIGHT(A3020,3)="000",C3020,VLOOKUP(B3020,'Справочник ИХ'!A:C,3,0))</f>
        <v>Остальные грузы</v>
      </c>
      <c r="E3020" s="13">
        <f>IF(RIGHT(A3020,3)="000","х",VLOOKUP(B3020,'Справочник ИХ'!A:D,4,0))</f>
        <v>3</v>
      </c>
      <c r="F3020" s="14" t="s">
        <v>3816</v>
      </c>
    </row>
    <row r="3021" spans="1:6">
      <c r="A3021" s="19">
        <v>48519</v>
      </c>
      <c r="B3021" s="12" t="str">
        <f t="shared" si="47"/>
        <v>485</v>
      </c>
      <c r="C3021" s="1" t="s">
        <v>4221</v>
      </c>
      <c r="D3021" s="13" t="str">
        <f>IF(RIGHT(A3021,3)="000",C3021,VLOOKUP(B3021,'Справочник ИХ'!A:C,3,0))</f>
        <v>Остальные грузы</v>
      </c>
      <c r="E3021" s="13">
        <f>IF(RIGHT(A3021,3)="000","х",VLOOKUP(B3021,'Справочник ИХ'!A:D,4,0))</f>
        <v>3</v>
      </c>
      <c r="F3021" s="14" t="s">
        <v>3816</v>
      </c>
    </row>
    <row r="3022" spans="1:6" s="18" customFormat="1">
      <c r="A3022" s="16">
        <v>48600</v>
      </c>
      <c r="B3022" s="12" t="str">
        <f t="shared" si="47"/>
        <v>486</v>
      </c>
      <c r="C3022" s="17" t="s">
        <v>4222</v>
      </c>
      <c r="D3022" s="13" t="str">
        <f>IF(RIGHT(A3022,3)="000",C3022,VLOOKUP(B3022,'Справочник ИХ'!A:C,3,0))</f>
        <v>Остальные грузы</v>
      </c>
      <c r="E3022" s="13">
        <f>IF(RIGHT(A3022,3)="000","х",VLOOKUP(B3022,'Справочник ИХ'!A:D,4,0))</f>
        <v>3</v>
      </c>
      <c r="F3022" s="14" t="s">
        <v>3816</v>
      </c>
    </row>
    <row r="3023" spans="1:6">
      <c r="A3023" s="19">
        <v>48601</v>
      </c>
      <c r="B3023" s="12" t="str">
        <f t="shared" si="47"/>
        <v>486</v>
      </c>
      <c r="C3023" s="1" t="s">
        <v>4223</v>
      </c>
      <c r="D3023" s="13" t="str">
        <f>IF(RIGHT(A3023,3)="000",C3023,VLOOKUP(B3023,'Справочник ИХ'!A:C,3,0))</f>
        <v>Остальные грузы</v>
      </c>
      <c r="E3023" s="13">
        <f>IF(RIGHT(A3023,3)="000","х",VLOOKUP(B3023,'Справочник ИХ'!A:D,4,0))</f>
        <v>3</v>
      </c>
      <c r="F3023" s="14" t="s">
        <v>3816</v>
      </c>
    </row>
    <row r="3024" spans="1:6">
      <c r="A3024" s="19">
        <v>48602</v>
      </c>
      <c r="B3024" s="12" t="str">
        <f t="shared" si="47"/>
        <v>486</v>
      </c>
      <c r="C3024" s="1" t="s">
        <v>4224</v>
      </c>
      <c r="D3024" s="13" t="str">
        <f>IF(RIGHT(A3024,3)="000",C3024,VLOOKUP(B3024,'Справочник ИХ'!A:C,3,0))</f>
        <v>Остальные грузы</v>
      </c>
      <c r="E3024" s="13">
        <f>IF(RIGHT(A3024,3)="000","х",VLOOKUP(B3024,'Справочник ИХ'!A:D,4,0))</f>
        <v>3</v>
      </c>
      <c r="F3024" s="14" t="s">
        <v>3816</v>
      </c>
    </row>
    <row r="3025" spans="1:6">
      <c r="A3025" s="19">
        <v>48603</v>
      </c>
      <c r="B3025" s="12" t="str">
        <f t="shared" si="47"/>
        <v>486</v>
      </c>
      <c r="C3025" s="1" t="s">
        <v>4225</v>
      </c>
      <c r="D3025" s="13" t="str">
        <f>IF(RIGHT(A3025,3)="000",C3025,VLOOKUP(B3025,'Справочник ИХ'!A:C,3,0))</f>
        <v>Остальные грузы</v>
      </c>
      <c r="E3025" s="13">
        <f>IF(RIGHT(A3025,3)="000","х",VLOOKUP(B3025,'Справочник ИХ'!A:D,4,0))</f>
        <v>3</v>
      </c>
      <c r="F3025" s="14" t="s">
        <v>3816</v>
      </c>
    </row>
    <row r="3026" spans="1:6">
      <c r="A3026" s="19">
        <v>48604</v>
      </c>
      <c r="B3026" s="12" t="str">
        <f t="shared" si="47"/>
        <v>486</v>
      </c>
      <c r="C3026" s="1" t="s">
        <v>4226</v>
      </c>
      <c r="D3026" s="13" t="str">
        <f>IF(RIGHT(A3026,3)="000",C3026,VLOOKUP(B3026,'Справочник ИХ'!A:C,3,0))</f>
        <v>Остальные грузы</v>
      </c>
      <c r="E3026" s="13">
        <f>IF(RIGHT(A3026,3)="000","х",VLOOKUP(B3026,'Справочник ИХ'!A:D,4,0))</f>
        <v>3</v>
      </c>
      <c r="F3026" s="14" t="s">
        <v>3816</v>
      </c>
    </row>
    <row r="3027" spans="1:6">
      <c r="A3027" s="19">
        <v>48605</v>
      </c>
      <c r="B3027" s="12" t="str">
        <f t="shared" si="47"/>
        <v>486</v>
      </c>
      <c r="C3027" s="1" t="s">
        <v>4227</v>
      </c>
      <c r="D3027" s="13" t="str">
        <f>IF(RIGHT(A3027,3)="000",C3027,VLOOKUP(B3027,'Справочник ИХ'!A:C,3,0))</f>
        <v>Остальные грузы</v>
      </c>
      <c r="E3027" s="13">
        <f>IF(RIGHT(A3027,3)="000","х",VLOOKUP(B3027,'Справочник ИХ'!A:D,4,0))</f>
        <v>3</v>
      </c>
      <c r="F3027" s="14" t="s">
        <v>3816</v>
      </c>
    </row>
    <row r="3028" spans="1:6">
      <c r="A3028" s="19">
        <v>48606</v>
      </c>
      <c r="B3028" s="12" t="str">
        <f t="shared" si="47"/>
        <v>486</v>
      </c>
      <c r="C3028" s="1" t="s">
        <v>4228</v>
      </c>
      <c r="D3028" s="13" t="str">
        <f>IF(RIGHT(A3028,3)="000",C3028,VLOOKUP(B3028,'Справочник ИХ'!A:C,3,0))</f>
        <v>Остальные грузы</v>
      </c>
      <c r="E3028" s="13">
        <f>IF(RIGHT(A3028,3)="000","х",VLOOKUP(B3028,'Справочник ИХ'!A:D,4,0))</f>
        <v>3</v>
      </c>
      <c r="F3028" s="14" t="s">
        <v>3816</v>
      </c>
    </row>
    <row r="3029" spans="1:6">
      <c r="A3029" s="19">
        <v>48607</v>
      </c>
      <c r="B3029" s="12" t="str">
        <f t="shared" si="47"/>
        <v>486</v>
      </c>
      <c r="C3029" s="1" t="s">
        <v>4229</v>
      </c>
      <c r="D3029" s="13" t="str">
        <f>IF(RIGHT(A3029,3)="000",C3029,VLOOKUP(B3029,'Справочник ИХ'!A:C,3,0))</f>
        <v>Остальные грузы</v>
      </c>
      <c r="E3029" s="13">
        <f>IF(RIGHT(A3029,3)="000","х",VLOOKUP(B3029,'Справочник ИХ'!A:D,4,0))</f>
        <v>3</v>
      </c>
      <c r="F3029" s="14" t="s">
        <v>3816</v>
      </c>
    </row>
    <row r="3030" spans="1:6" ht="31.75">
      <c r="A3030" s="19">
        <v>48608</v>
      </c>
      <c r="B3030" s="12" t="str">
        <f t="shared" si="47"/>
        <v>486</v>
      </c>
      <c r="C3030" s="1" t="s">
        <v>4230</v>
      </c>
      <c r="D3030" s="13" t="str">
        <f>IF(RIGHT(A3030,3)="000",C3030,VLOOKUP(B3030,'Справочник ИХ'!A:C,3,0))</f>
        <v>Остальные грузы</v>
      </c>
      <c r="E3030" s="13">
        <f>IF(RIGHT(A3030,3)="000","х",VLOOKUP(B3030,'Справочник ИХ'!A:D,4,0))</f>
        <v>3</v>
      </c>
      <c r="F3030" s="14" t="s">
        <v>3816</v>
      </c>
    </row>
    <row r="3031" spans="1:6">
      <c r="A3031" s="19">
        <v>48609</v>
      </c>
      <c r="B3031" s="12" t="str">
        <f t="shared" si="47"/>
        <v>486</v>
      </c>
      <c r="C3031" s="1" t="s">
        <v>4231</v>
      </c>
      <c r="D3031" s="13" t="str">
        <f>IF(RIGHT(A3031,3)="000",C3031,VLOOKUP(B3031,'Справочник ИХ'!A:C,3,0))</f>
        <v>Остальные грузы</v>
      </c>
      <c r="E3031" s="13">
        <f>IF(RIGHT(A3031,3)="000","х",VLOOKUP(B3031,'Справочник ИХ'!A:D,4,0))</f>
        <v>3</v>
      </c>
      <c r="F3031" s="14" t="s">
        <v>3816</v>
      </c>
    </row>
    <row r="3032" spans="1:6">
      <c r="A3032" s="19">
        <v>48610</v>
      </c>
      <c r="B3032" s="12" t="str">
        <f t="shared" si="47"/>
        <v>486</v>
      </c>
      <c r="C3032" s="1" t="s">
        <v>4232</v>
      </c>
      <c r="D3032" s="13" t="str">
        <f>IF(RIGHT(A3032,3)="000",C3032,VLOOKUP(B3032,'Справочник ИХ'!A:C,3,0))</f>
        <v>Остальные грузы</v>
      </c>
      <c r="E3032" s="13">
        <f>IF(RIGHT(A3032,3)="000","х",VLOOKUP(B3032,'Справочник ИХ'!A:D,4,0))</f>
        <v>3</v>
      </c>
      <c r="F3032" s="14" t="s">
        <v>3816</v>
      </c>
    </row>
    <row r="3033" spans="1:6">
      <c r="A3033" s="19">
        <v>48611</v>
      </c>
      <c r="B3033" s="12" t="str">
        <f t="shared" si="47"/>
        <v>486</v>
      </c>
      <c r="C3033" s="1" t="s">
        <v>4233</v>
      </c>
      <c r="D3033" s="13" t="str">
        <f>IF(RIGHT(A3033,3)="000",C3033,VLOOKUP(B3033,'Справочник ИХ'!A:C,3,0))</f>
        <v>Остальные грузы</v>
      </c>
      <c r="E3033" s="13">
        <f>IF(RIGHT(A3033,3)="000","х",VLOOKUP(B3033,'Справочник ИХ'!A:D,4,0))</f>
        <v>3</v>
      </c>
      <c r="F3033" s="14" t="s">
        <v>3816</v>
      </c>
    </row>
    <row r="3034" spans="1:6">
      <c r="A3034" s="19">
        <v>48612</v>
      </c>
      <c r="B3034" s="12" t="str">
        <f t="shared" si="47"/>
        <v>486</v>
      </c>
      <c r="C3034" s="1" t="s">
        <v>4234</v>
      </c>
      <c r="D3034" s="13" t="str">
        <f>IF(RIGHT(A3034,3)="000",C3034,VLOOKUP(B3034,'Справочник ИХ'!A:C,3,0))</f>
        <v>Остальные грузы</v>
      </c>
      <c r="E3034" s="13">
        <f>IF(RIGHT(A3034,3)="000","х",VLOOKUP(B3034,'Справочник ИХ'!A:D,4,0))</f>
        <v>3</v>
      </c>
      <c r="F3034" s="14" t="s">
        <v>3816</v>
      </c>
    </row>
    <row r="3035" spans="1:6">
      <c r="A3035" s="19">
        <v>48613</v>
      </c>
      <c r="B3035" s="12" t="str">
        <f t="shared" si="47"/>
        <v>486</v>
      </c>
      <c r="C3035" s="1" t="s">
        <v>4235</v>
      </c>
      <c r="D3035" s="13" t="str">
        <f>IF(RIGHT(A3035,3)="000",C3035,VLOOKUP(B3035,'Справочник ИХ'!A:C,3,0))</f>
        <v>Остальные грузы</v>
      </c>
      <c r="E3035" s="13">
        <f>IF(RIGHT(A3035,3)="000","х",VLOOKUP(B3035,'Справочник ИХ'!A:D,4,0))</f>
        <v>3</v>
      </c>
      <c r="F3035" s="14" t="s">
        <v>3816</v>
      </c>
    </row>
    <row r="3036" spans="1:6">
      <c r="A3036" s="19">
        <v>48614</v>
      </c>
      <c r="B3036" s="12" t="str">
        <f t="shared" si="47"/>
        <v>486</v>
      </c>
      <c r="C3036" s="1" t="s">
        <v>4236</v>
      </c>
      <c r="D3036" s="13" t="str">
        <f>IF(RIGHT(A3036,3)="000",C3036,VLOOKUP(B3036,'Справочник ИХ'!A:C,3,0))</f>
        <v>Остальные грузы</v>
      </c>
      <c r="E3036" s="13">
        <f>IF(RIGHT(A3036,3)="000","х",VLOOKUP(B3036,'Справочник ИХ'!A:D,4,0))</f>
        <v>3</v>
      </c>
      <c r="F3036" s="14" t="s">
        <v>3816</v>
      </c>
    </row>
    <row r="3037" spans="1:6">
      <c r="A3037" s="19">
        <v>48615</v>
      </c>
      <c r="B3037" s="12" t="str">
        <f t="shared" si="47"/>
        <v>486</v>
      </c>
      <c r="C3037" s="1" t="s">
        <v>4237</v>
      </c>
      <c r="D3037" s="13" t="str">
        <f>IF(RIGHT(A3037,3)="000",C3037,VLOOKUP(B3037,'Справочник ИХ'!A:C,3,0))</f>
        <v>Остальные грузы</v>
      </c>
      <c r="E3037" s="13">
        <f>IF(RIGHT(A3037,3)="000","х",VLOOKUP(B3037,'Справочник ИХ'!A:D,4,0))</f>
        <v>3</v>
      </c>
      <c r="F3037" s="14" t="s">
        <v>3816</v>
      </c>
    </row>
    <row r="3038" spans="1:6">
      <c r="A3038" s="19">
        <v>48616</v>
      </c>
      <c r="B3038" s="12" t="str">
        <f t="shared" si="47"/>
        <v>486</v>
      </c>
      <c r="C3038" s="1" t="s">
        <v>4238</v>
      </c>
      <c r="D3038" s="13" t="str">
        <f>IF(RIGHT(A3038,3)="000",C3038,VLOOKUP(B3038,'Справочник ИХ'!A:C,3,0))</f>
        <v>Остальные грузы</v>
      </c>
      <c r="E3038" s="13">
        <f>IF(RIGHT(A3038,3)="000","х",VLOOKUP(B3038,'Справочник ИХ'!A:D,4,0))</f>
        <v>3</v>
      </c>
      <c r="F3038" s="14" t="s">
        <v>3816</v>
      </c>
    </row>
    <row r="3039" spans="1:6">
      <c r="A3039" s="19">
        <v>48617</v>
      </c>
      <c r="B3039" s="12" t="str">
        <f t="shared" si="47"/>
        <v>486</v>
      </c>
      <c r="C3039" s="1" t="s">
        <v>4239</v>
      </c>
      <c r="D3039" s="13" t="str">
        <f>IF(RIGHT(A3039,3)="000",C3039,VLOOKUP(B3039,'Справочник ИХ'!A:C,3,0))</f>
        <v>Остальные грузы</v>
      </c>
      <c r="E3039" s="13">
        <f>IF(RIGHT(A3039,3)="000","х",VLOOKUP(B3039,'Справочник ИХ'!A:D,4,0))</f>
        <v>3</v>
      </c>
      <c r="F3039" s="14" t="s">
        <v>3816</v>
      </c>
    </row>
    <row r="3040" spans="1:6">
      <c r="A3040" s="19">
        <v>48618</v>
      </c>
      <c r="B3040" s="12" t="str">
        <f t="shared" si="47"/>
        <v>486</v>
      </c>
      <c r="C3040" s="1" t="s">
        <v>4240</v>
      </c>
      <c r="D3040" s="13" t="str">
        <f>IF(RIGHT(A3040,3)="000",C3040,VLOOKUP(B3040,'Справочник ИХ'!A:C,3,0))</f>
        <v>Остальные грузы</v>
      </c>
      <c r="E3040" s="13">
        <f>IF(RIGHT(A3040,3)="000","х",VLOOKUP(B3040,'Справочник ИХ'!A:D,4,0))</f>
        <v>3</v>
      </c>
      <c r="F3040" s="14" t="s">
        <v>3816</v>
      </c>
    </row>
    <row r="3041" spans="1:6" s="18" customFormat="1" ht="31.75">
      <c r="A3041" s="16">
        <v>48700</v>
      </c>
      <c r="B3041" s="12" t="str">
        <f t="shared" si="47"/>
        <v>487</v>
      </c>
      <c r="C3041" s="17" t="s">
        <v>4241</v>
      </c>
      <c r="D3041" s="13" t="str">
        <f>IF(RIGHT(A3041,3)="000",C3041,VLOOKUP(B3041,'Справочник ИХ'!A:C,3,0))</f>
        <v>Остальные грузы</v>
      </c>
      <c r="E3041" s="13">
        <f>IF(RIGHT(A3041,3)="000","х",VLOOKUP(B3041,'Справочник ИХ'!A:D,4,0))</f>
        <v>3</v>
      </c>
      <c r="F3041" s="14" t="s">
        <v>3816</v>
      </c>
    </row>
    <row r="3042" spans="1:6">
      <c r="A3042" s="19">
        <v>48701</v>
      </c>
      <c r="B3042" s="12" t="str">
        <f t="shared" si="47"/>
        <v>487</v>
      </c>
      <c r="C3042" s="1" t="s">
        <v>4242</v>
      </c>
      <c r="D3042" s="13" t="str">
        <f>IF(RIGHT(A3042,3)="000",C3042,VLOOKUP(B3042,'Справочник ИХ'!A:C,3,0))</f>
        <v>Остальные грузы</v>
      </c>
      <c r="E3042" s="13">
        <f>IF(RIGHT(A3042,3)="000","х",VLOOKUP(B3042,'Справочник ИХ'!A:D,4,0))</f>
        <v>3</v>
      </c>
      <c r="F3042" s="14" t="s">
        <v>3816</v>
      </c>
    </row>
    <row r="3043" spans="1:6" ht="31.75">
      <c r="A3043" s="19">
        <v>48702</v>
      </c>
      <c r="B3043" s="12" t="str">
        <f t="shared" si="47"/>
        <v>487</v>
      </c>
      <c r="C3043" s="1" t="s">
        <v>4243</v>
      </c>
      <c r="D3043" s="13" t="str">
        <f>IF(RIGHT(A3043,3)="000",C3043,VLOOKUP(B3043,'Справочник ИХ'!A:C,3,0))</f>
        <v>Остальные грузы</v>
      </c>
      <c r="E3043" s="13">
        <f>IF(RIGHT(A3043,3)="000","х",VLOOKUP(B3043,'Справочник ИХ'!A:D,4,0))</f>
        <v>3</v>
      </c>
      <c r="F3043" s="14" t="s">
        <v>3816</v>
      </c>
    </row>
    <row r="3044" spans="1:6">
      <c r="A3044" s="19">
        <v>48703</v>
      </c>
      <c r="B3044" s="12" t="str">
        <f t="shared" si="47"/>
        <v>487</v>
      </c>
      <c r="C3044" s="1" t="s">
        <v>4244</v>
      </c>
      <c r="D3044" s="13" t="str">
        <f>IF(RIGHT(A3044,3)="000",C3044,VLOOKUP(B3044,'Справочник ИХ'!A:C,3,0))</f>
        <v>Остальные грузы</v>
      </c>
      <c r="E3044" s="13">
        <f>IF(RIGHT(A3044,3)="000","х",VLOOKUP(B3044,'Справочник ИХ'!A:D,4,0))</f>
        <v>3</v>
      </c>
      <c r="F3044" s="14" t="s">
        <v>3816</v>
      </c>
    </row>
    <row r="3045" spans="1:6">
      <c r="A3045" s="19">
        <v>48704</v>
      </c>
      <c r="B3045" s="12" t="str">
        <f t="shared" si="47"/>
        <v>487</v>
      </c>
      <c r="C3045" s="1" t="s">
        <v>4245</v>
      </c>
      <c r="D3045" s="13" t="str">
        <f>IF(RIGHT(A3045,3)="000",C3045,VLOOKUP(B3045,'Справочник ИХ'!A:C,3,0))</f>
        <v>Остальные грузы</v>
      </c>
      <c r="E3045" s="13">
        <f>IF(RIGHT(A3045,3)="000","х",VLOOKUP(B3045,'Справочник ИХ'!A:D,4,0))</f>
        <v>3</v>
      </c>
      <c r="F3045" s="14" t="s">
        <v>3816</v>
      </c>
    </row>
    <row r="3046" spans="1:6">
      <c r="A3046" s="19">
        <v>48705</v>
      </c>
      <c r="B3046" s="12" t="str">
        <f t="shared" si="47"/>
        <v>487</v>
      </c>
      <c r="C3046" s="1" t="s">
        <v>4246</v>
      </c>
      <c r="D3046" s="13" t="str">
        <f>IF(RIGHT(A3046,3)="000",C3046,VLOOKUP(B3046,'Справочник ИХ'!A:C,3,0))</f>
        <v>Остальные грузы</v>
      </c>
      <c r="E3046" s="13">
        <f>IF(RIGHT(A3046,3)="000","х",VLOOKUP(B3046,'Справочник ИХ'!A:D,4,0))</f>
        <v>3</v>
      </c>
      <c r="F3046" s="14" t="s">
        <v>3816</v>
      </c>
    </row>
    <row r="3047" spans="1:6">
      <c r="A3047" s="19">
        <v>48706</v>
      </c>
      <c r="B3047" s="12" t="str">
        <f t="shared" si="47"/>
        <v>487</v>
      </c>
      <c r="C3047" s="1" t="s">
        <v>4247</v>
      </c>
      <c r="D3047" s="13" t="str">
        <f>IF(RIGHT(A3047,3)="000",C3047,VLOOKUP(B3047,'Справочник ИХ'!A:C,3,0))</f>
        <v>Остальные грузы</v>
      </c>
      <c r="E3047" s="13">
        <f>IF(RIGHT(A3047,3)="000","х",VLOOKUP(B3047,'Справочник ИХ'!A:D,4,0))</f>
        <v>3</v>
      </c>
      <c r="F3047" s="14" t="s">
        <v>3816</v>
      </c>
    </row>
    <row r="3048" spans="1:6">
      <c r="A3048" s="19">
        <v>48707</v>
      </c>
      <c r="B3048" s="12" t="str">
        <f t="shared" si="47"/>
        <v>487</v>
      </c>
      <c r="C3048" s="1" t="s">
        <v>4248</v>
      </c>
      <c r="D3048" s="13" t="str">
        <f>IF(RIGHT(A3048,3)="000",C3048,VLOOKUP(B3048,'Справочник ИХ'!A:C,3,0))</f>
        <v>Остальные грузы</v>
      </c>
      <c r="E3048" s="13">
        <f>IF(RIGHT(A3048,3)="000","х",VLOOKUP(B3048,'Справочник ИХ'!A:D,4,0))</f>
        <v>3</v>
      </c>
      <c r="F3048" s="14" t="s">
        <v>3816</v>
      </c>
    </row>
    <row r="3049" spans="1:6">
      <c r="A3049" s="19">
        <v>48708</v>
      </c>
      <c r="B3049" s="12" t="str">
        <f t="shared" si="47"/>
        <v>487</v>
      </c>
      <c r="C3049" s="1" t="s">
        <v>4249</v>
      </c>
      <c r="D3049" s="13" t="str">
        <f>IF(RIGHT(A3049,3)="000",C3049,VLOOKUP(B3049,'Справочник ИХ'!A:C,3,0))</f>
        <v>Остальные грузы</v>
      </c>
      <c r="E3049" s="13">
        <f>IF(RIGHT(A3049,3)="000","х",VLOOKUP(B3049,'Справочник ИХ'!A:D,4,0))</f>
        <v>3</v>
      </c>
      <c r="F3049" s="14" t="s">
        <v>3816</v>
      </c>
    </row>
    <row r="3050" spans="1:6">
      <c r="A3050" s="19">
        <v>48709</v>
      </c>
      <c r="B3050" s="12" t="str">
        <f t="shared" si="47"/>
        <v>487</v>
      </c>
      <c r="C3050" s="1" t="s">
        <v>4250</v>
      </c>
      <c r="D3050" s="13" t="str">
        <f>IF(RIGHT(A3050,3)="000",C3050,VLOOKUP(B3050,'Справочник ИХ'!A:C,3,0))</f>
        <v>Остальные грузы</v>
      </c>
      <c r="E3050" s="13">
        <f>IF(RIGHT(A3050,3)="000","х",VLOOKUP(B3050,'Справочник ИХ'!A:D,4,0))</f>
        <v>3</v>
      </c>
      <c r="F3050" s="14" t="s">
        <v>3816</v>
      </c>
    </row>
    <row r="3051" spans="1:6">
      <c r="A3051" s="19">
        <v>48710</v>
      </c>
      <c r="B3051" s="12" t="str">
        <f t="shared" si="47"/>
        <v>487</v>
      </c>
      <c r="C3051" s="1" t="s">
        <v>4251</v>
      </c>
      <c r="D3051" s="13" t="str">
        <f>IF(RIGHT(A3051,3)="000",C3051,VLOOKUP(B3051,'Справочник ИХ'!A:C,3,0))</f>
        <v>Остальные грузы</v>
      </c>
      <c r="E3051" s="13">
        <f>IF(RIGHT(A3051,3)="000","х",VLOOKUP(B3051,'Справочник ИХ'!A:D,4,0))</f>
        <v>3</v>
      </c>
      <c r="F3051" s="14" t="s">
        <v>3816</v>
      </c>
    </row>
    <row r="3052" spans="1:6">
      <c r="A3052" s="19">
        <v>48711</v>
      </c>
      <c r="B3052" s="12" t="str">
        <f t="shared" si="47"/>
        <v>487</v>
      </c>
      <c r="C3052" s="1" t="s">
        <v>4252</v>
      </c>
      <c r="D3052" s="13" t="str">
        <f>IF(RIGHT(A3052,3)="000",C3052,VLOOKUP(B3052,'Справочник ИХ'!A:C,3,0))</f>
        <v>Остальные грузы</v>
      </c>
      <c r="E3052" s="13">
        <f>IF(RIGHT(A3052,3)="000","х",VLOOKUP(B3052,'Справочник ИХ'!A:D,4,0))</f>
        <v>3</v>
      </c>
      <c r="F3052" s="14" t="s">
        <v>3816</v>
      </c>
    </row>
    <row r="3053" spans="1:6" ht="31.75">
      <c r="A3053" s="19">
        <v>48712</v>
      </c>
      <c r="B3053" s="12" t="str">
        <f t="shared" si="47"/>
        <v>487</v>
      </c>
      <c r="C3053" s="1" t="s">
        <v>4253</v>
      </c>
      <c r="D3053" s="13" t="str">
        <f>IF(RIGHT(A3053,3)="000",C3053,VLOOKUP(B3053,'Справочник ИХ'!A:C,3,0))</f>
        <v>Остальные грузы</v>
      </c>
      <c r="E3053" s="13">
        <f>IF(RIGHT(A3053,3)="000","х",VLOOKUP(B3053,'Справочник ИХ'!A:D,4,0))</f>
        <v>3</v>
      </c>
      <c r="F3053" s="14" t="s">
        <v>3816</v>
      </c>
    </row>
    <row r="3054" spans="1:6" ht="31.75">
      <c r="A3054" s="19">
        <v>48713</v>
      </c>
      <c r="B3054" s="12" t="str">
        <f t="shared" si="47"/>
        <v>487</v>
      </c>
      <c r="C3054" s="1" t="s">
        <v>4254</v>
      </c>
      <c r="D3054" s="13" t="str">
        <f>IF(RIGHT(A3054,3)="000",C3054,VLOOKUP(B3054,'Справочник ИХ'!A:C,3,0))</f>
        <v>Остальные грузы</v>
      </c>
      <c r="E3054" s="13">
        <f>IF(RIGHT(A3054,3)="000","х",VLOOKUP(B3054,'Справочник ИХ'!A:D,4,0))</f>
        <v>3</v>
      </c>
      <c r="F3054" s="14" t="s">
        <v>3816</v>
      </c>
    </row>
    <row r="3055" spans="1:6" ht="31.75">
      <c r="A3055" s="19">
        <v>48714</v>
      </c>
      <c r="B3055" s="12" t="str">
        <f t="shared" si="47"/>
        <v>487</v>
      </c>
      <c r="C3055" s="1" t="s">
        <v>4255</v>
      </c>
      <c r="D3055" s="13" t="str">
        <f>IF(RIGHT(A3055,3)="000",C3055,VLOOKUP(B3055,'Справочник ИХ'!A:C,3,0))</f>
        <v>Остальные грузы</v>
      </c>
      <c r="E3055" s="13">
        <f>IF(RIGHT(A3055,3)="000","х",VLOOKUP(B3055,'Справочник ИХ'!A:D,4,0))</f>
        <v>3</v>
      </c>
      <c r="F3055" s="14" t="s">
        <v>3816</v>
      </c>
    </row>
    <row r="3056" spans="1:6">
      <c r="A3056" s="19">
        <v>48715</v>
      </c>
      <c r="B3056" s="12" t="str">
        <f t="shared" si="47"/>
        <v>487</v>
      </c>
      <c r="C3056" s="1" t="s">
        <v>4256</v>
      </c>
      <c r="D3056" s="13" t="str">
        <f>IF(RIGHT(A3056,3)="000",C3056,VLOOKUP(B3056,'Справочник ИХ'!A:C,3,0))</f>
        <v>Остальные грузы</v>
      </c>
      <c r="E3056" s="13">
        <f>IF(RIGHT(A3056,3)="000","х",VLOOKUP(B3056,'Справочник ИХ'!A:D,4,0))</f>
        <v>3</v>
      </c>
      <c r="F3056" s="14" t="s">
        <v>3816</v>
      </c>
    </row>
    <row r="3057" spans="1:6">
      <c r="A3057" s="19">
        <v>48716</v>
      </c>
      <c r="B3057" s="12" t="str">
        <f t="shared" si="47"/>
        <v>487</v>
      </c>
      <c r="C3057" s="1" t="s">
        <v>4257</v>
      </c>
      <c r="D3057" s="13" t="str">
        <f>IF(RIGHT(A3057,3)="000",C3057,VLOOKUP(B3057,'Справочник ИХ'!A:C,3,0))</f>
        <v>Остальные грузы</v>
      </c>
      <c r="E3057" s="13">
        <f>IF(RIGHT(A3057,3)="000","х",VLOOKUP(B3057,'Справочник ИХ'!A:D,4,0))</f>
        <v>3</v>
      </c>
      <c r="F3057" s="14" t="s">
        <v>3816</v>
      </c>
    </row>
    <row r="3058" spans="1:6">
      <c r="A3058" s="19">
        <v>48717</v>
      </c>
      <c r="B3058" s="12" t="str">
        <f t="shared" si="47"/>
        <v>487</v>
      </c>
      <c r="C3058" s="1" t="s">
        <v>4258</v>
      </c>
      <c r="D3058" s="13" t="str">
        <f>IF(RIGHT(A3058,3)="000",C3058,VLOOKUP(B3058,'Справочник ИХ'!A:C,3,0))</f>
        <v>Остальные грузы</v>
      </c>
      <c r="E3058" s="13">
        <f>IF(RIGHT(A3058,3)="000","х",VLOOKUP(B3058,'Справочник ИХ'!A:D,4,0))</f>
        <v>3</v>
      </c>
      <c r="F3058" s="14" t="s">
        <v>3816</v>
      </c>
    </row>
    <row r="3059" spans="1:6">
      <c r="A3059" s="19">
        <v>48718</v>
      </c>
      <c r="B3059" s="12" t="str">
        <f t="shared" si="47"/>
        <v>487</v>
      </c>
      <c r="C3059" s="1" t="s">
        <v>4259</v>
      </c>
      <c r="D3059" s="13" t="str">
        <f>IF(RIGHT(A3059,3)="000",C3059,VLOOKUP(B3059,'Справочник ИХ'!A:C,3,0))</f>
        <v>Остальные грузы</v>
      </c>
      <c r="E3059" s="13">
        <f>IF(RIGHT(A3059,3)="000","х",VLOOKUP(B3059,'Справочник ИХ'!A:D,4,0))</f>
        <v>3</v>
      </c>
      <c r="F3059" s="14" t="s">
        <v>3816</v>
      </c>
    </row>
    <row r="3060" spans="1:6">
      <c r="A3060" s="19">
        <v>48719</v>
      </c>
      <c r="B3060" s="12" t="str">
        <f t="shared" si="47"/>
        <v>487</v>
      </c>
      <c r="C3060" s="1" t="s">
        <v>4260</v>
      </c>
      <c r="D3060" s="13" t="str">
        <f>IF(RIGHT(A3060,3)="000",C3060,VLOOKUP(B3060,'Справочник ИХ'!A:C,3,0))</f>
        <v>Остальные грузы</v>
      </c>
      <c r="E3060" s="13">
        <f>IF(RIGHT(A3060,3)="000","х",VLOOKUP(B3060,'Справочник ИХ'!A:D,4,0))</f>
        <v>3</v>
      </c>
      <c r="F3060" s="14" t="s">
        <v>3816</v>
      </c>
    </row>
    <row r="3061" spans="1:6">
      <c r="A3061" s="19">
        <v>48720</v>
      </c>
      <c r="B3061" s="12" t="str">
        <f t="shared" si="47"/>
        <v>487</v>
      </c>
      <c r="C3061" s="1" t="s">
        <v>4261</v>
      </c>
      <c r="D3061" s="13" t="str">
        <f>IF(RIGHT(A3061,3)="000",C3061,VLOOKUP(B3061,'Справочник ИХ'!A:C,3,0))</f>
        <v>Остальные грузы</v>
      </c>
      <c r="E3061" s="13">
        <f>IF(RIGHT(A3061,3)="000","х",VLOOKUP(B3061,'Справочник ИХ'!A:D,4,0))</f>
        <v>3</v>
      </c>
      <c r="F3061" s="14" t="s">
        <v>3816</v>
      </c>
    </row>
    <row r="3062" spans="1:6">
      <c r="A3062" s="19">
        <v>48721</v>
      </c>
      <c r="B3062" s="12" t="str">
        <f t="shared" si="47"/>
        <v>487</v>
      </c>
      <c r="C3062" s="1" t="s">
        <v>4262</v>
      </c>
      <c r="D3062" s="13" t="str">
        <f>IF(RIGHT(A3062,3)="000",C3062,VLOOKUP(B3062,'Справочник ИХ'!A:C,3,0))</f>
        <v>Остальные грузы</v>
      </c>
      <c r="E3062" s="13">
        <f>IF(RIGHT(A3062,3)="000","х",VLOOKUP(B3062,'Справочник ИХ'!A:D,4,0))</f>
        <v>3</v>
      </c>
      <c r="F3062" s="14" t="s">
        <v>3816</v>
      </c>
    </row>
    <row r="3063" spans="1:6">
      <c r="A3063" s="19">
        <v>48722</v>
      </c>
      <c r="B3063" s="12" t="str">
        <f t="shared" si="47"/>
        <v>487</v>
      </c>
      <c r="C3063" s="1" t="s">
        <v>4263</v>
      </c>
      <c r="D3063" s="13" t="str">
        <f>IF(RIGHT(A3063,3)="000",C3063,VLOOKUP(B3063,'Справочник ИХ'!A:C,3,0))</f>
        <v>Остальные грузы</v>
      </c>
      <c r="E3063" s="13">
        <f>IF(RIGHT(A3063,3)="000","х",VLOOKUP(B3063,'Справочник ИХ'!A:D,4,0))</f>
        <v>3</v>
      </c>
      <c r="F3063" s="14" t="s">
        <v>3816</v>
      </c>
    </row>
    <row r="3064" spans="1:6">
      <c r="A3064" s="19">
        <v>48723</v>
      </c>
      <c r="B3064" s="12" t="str">
        <f t="shared" si="47"/>
        <v>487</v>
      </c>
      <c r="C3064" s="1" t="s">
        <v>4264</v>
      </c>
      <c r="D3064" s="13" t="str">
        <f>IF(RIGHT(A3064,3)="000",C3064,VLOOKUP(B3064,'Справочник ИХ'!A:C,3,0))</f>
        <v>Остальные грузы</v>
      </c>
      <c r="E3064" s="13">
        <f>IF(RIGHT(A3064,3)="000","х",VLOOKUP(B3064,'Справочник ИХ'!A:D,4,0))</f>
        <v>3</v>
      </c>
      <c r="F3064" s="14" t="s">
        <v>3816</v>
      </c>
    </row>
    <row r="3065" spans="1:6">
      <c r="A3065" s="19">
        <v>48724</v>
      </c>
      <c r="B3065" s="12" t="str">
        <f t="shared" si="47"/>
        <v>487</v>
      </c>
      <c r="C3065" s="1" t="s">
        <v>4265</v>
      </c>
      <c r="D3065" s="13" t="str">
        <f>IF(RIGHT(A3065,3)="000",C3065,VLOOKUP(B3065,'Справочник ИХ'!A:C,3,0))</f>
        <v>Остальные грузы</v>
      </c>
      <c r="E3065" s="13">
        <f>IF(RIGHT(A3065,3)="000","х",VLOOKUP(B3065,'Справочник ИХ'!A:D,4,0))</f>
        <v>3</v>
      </c>
      <c r="F3065" s="14" t="s">
        <v>3816</v>
      </c>
    </row>
    <row r="3066" spans="1:6">
      <c r="A3066" s="19">
        <v>48725</v>
      </c>
      <c r="B3066" s="12" t="str">
        <f t="shared" si="47"/>
        <v>487</v>
      </c>
      <c r="C3066" s="1" t="s">
        <v>4266</v>
      </c>
      <c r="D3066" s="13" t="str">
        <f>IF(RIGHT(A3066,3)="000",C3066,VLOOKUP(B3066,'Справочник ИХ'!A:C,3,0))</f>
        <v>Остальные грузы</v>
      </c>
      <c r="E3066" s="13">
        <f>IF(RIGHT(A3066,3)="000","х",VLOOKUP(B3066,'Справочник ИХ'!A:D,4,0))</f>
        <v>3</v>
      </c>
      <c r="F3066" s="14" t="s">
        <v>3816</v>
      </c>
    </row>
    <row r="3067" spans="1:6">
      <c r="A3067" s="19">
        <v>48726</v>
      </c>
      <c r="B3067" s="12" t="str">
        <f t="shared" si="47"/>
        <v>487</v>
      </c>
      <c r="C3067" s="1" t="s">
        <v>4267</v>
      </c>
      <c r="D3067" s="13" t="str">
        <f>IF(RIGHT(A3067,3)="000",C3067,VLOOKUP(B3067,'Справочник ИХ'!A:C,3,0))</f>
        <v>Остальные грузы</v>
      </c>
      <c r="E3067" s="13">
        <f>IF(RIGHT(A3067,3)="000","х",VLOOKUP(B3067,'Справочник ИХ'!A:D,4,0))</f>
        <v>3</v>
      </c>
      <c r="F3067" s="14" t="s">
        <v>3816</v>
      </c>
    </row>
    <row r="3068" spans="1:6">
      <c r="A3068" s="19">
        <v>48727</v>
      </c>
      <c r="B3068" s="12" t="str">
        <f t="shared" si="47"/>
        <v>487</v>
      </c>
      <c r="C3068" s="1" t="s">
        <v>4268</v>
      </c>
      <c r="D3068" s="13" t="str">
        <f>IF(RIGHT(A3068,3)="000",C3068,VLOOKUP(B3068,'Справочник ИХ'!A:C,3,0))</f>
        <v>Остальные грузы</v>
      </c>
      <c r="E3068" s="13">
        <f>IF(RIGHT(A3068,3)="000","х",VLOOKUP(B3068,'Справочник ИХ'!A:D,4,0))</f>
        <v>3</v>
      </c>
      <c r="F3068" s="14" t="s">
        <v>3816</v>
      </c>
    </row>
    <row r="3069" spans="1:6">
      <c r="A3069" s="19">
        <v>48728</v>
      </c>
      <c r="B3069" s="12" t="str">
        <f t="shared" si="47"/>
        <v>487</v>
      </c>
      <c r="C3069" s="1" t="s">
        <v>4269</v>
      </c>
      <c r="D3069" s="13" t="str">
        <f>IF(RIGHT(A3069,3)="000",C3069,VLOOKUP(B3069,'Справочник ИХ'!A:C,3,0))</f>
        <v>Остальные грузы</v>
      </c>
      <c r="E3069" s="13">
        <f>IF(RIGHT(A3069,3)="000","х",VLOOKUP(B3069,'Справочник ИХ'!A:D,4,0))</f>
        <v>3</v>
      </c>
      <c r="F3069" s="14" t="s">
        <v>3816</v>
      </c>
    </row>
    <row r="3070" spans="1:6">
      <c r="A3070" s="19">
        <v>48729</v>
      </c>
      <c r="B3070" s="12" t="str">
        <f t="shared" si="47"/>
        <v>487</v>
      </c>
      <c r="C3070" s="1" t="s">
        <v>4270</v>
      </c>
      <c r="D3070" s="13" t="str">
        <f>IF(RIGHT(A3070,3)="000",C3070,VLOOKUP(B3070,'Справочник ИХ'!A:C,3,0))</f>
        <v>Остальные грузы</v>
      </c>
      <c r="E3070" s="13">
        <f>IF(RIGHT(A3070,3)="000","х",VLOOKUP(B3070,'Справочник ИХ'!A:D,4,0))</f>
        <v>3</v>
      </c>
      <c r="F3070" s="14" t="s">
        <v>3816</v>
      </c>
    </row>
    <row r="3071" spans="1:6">
      <c r="A3071" s="19">
        <v>48730</v>
      </c>
      <c r="B3071" s="12" t="str">
        <f t="shared" si="47"/>
        <v>487</v>
      </c>
      <c r="C3071" s="1" t="s">
        <v>4271</v>
      </c>
      <c r="D3071" s="13" t="str">
        <f>IF(RIGHT(A3071,3)="000",C3071,VLOOKUP(B3071,'Справочник ИХ'!A:C,3,0))</f>
        <v>Остальные грузы</v>
      </c>
      <c r="E3071" s="13">
        <f>IF(RIGHT(A3071,3)="000","х",VLOOKUP(B3071,'Справочник ИХ'!A:D,4,0))</f>
        <v>3</v>
      </c>
      <c r="F3071" s="14" t="s">
        <v>3816</v>
      </c>
    </row>
    <row r="3072" spans="1:6">
      <c r="A3072" s="19">
        <v>48731</v>
      </c>
      <c r="B3072" s="12" t="str">
        <f t="shared" si="47"/>
        <v>487</v>
      </c>
      <c r="C3072" s="1" t="s">
        <v>4272</v>
      </c>
      <c r="D3072" s="13" t="str">
        <f>IF(RIGHT(A3072,3)="000",C3072,VLOOKUP(B3072,'Справочник ИХ'!A:C,3,0))</f>
        <v>Остальные грузы</v>
      </c>
      <c r="E3072" s="13">
        <f>IF(RIGHT(A3072,3)="000","х",VLOOKUP(B3072,'Справочник ИХ'!A:D,4,0))</f>
        <v>3</v>
      </c>
      <c r="F3072" s="14" t="s">
        <v>3816</v>
      </c>
    </row>
    <row r="3073" spans="1:6">
      <c r="A3073" s="19">
        <v>48732</v>
      </c>
      <c r="B3073" s="12" t="str">
        <f t="shared" si="47"/>
        <v>487</v>
      </c>
      <c r="C3073" s="1" t="s">
        <v>4273</v>
      </c>
      <c r="D3073" s="13" t="str">
        <f>IF(RIGHT(A3073,3)="000",C3073,VLOOKUP(B3073,'Справочник ИХ'!A:C,3,0))</f>
        <v>Остальные грузы</v>
      </c>
      <c r="E3073" s="13">
        <f>IF(RIGHT(A3073,3)="000","х",VLOOKUP(B3073,'Справочник ИХ'!A:D,4,0))</f>
        <v>3</v>
      </c>
      <c r="F3073" s="14" t="s">
        <v>3816</v>
      </c>
    </row>
    <row r="3074" spans="1:6">
      <c r="A3074" s="19">
        <v>48733</v>
      </c>
      <c r="B3074" s="12" t="str">
        <f t="shared" si="47"/>
        <v>487</v>
      </c>
      <c r="C3074" s="1" t="s">
        <v>4274</v>
      </c>
      <c r="D3074" s="13" t="str">
        <f>IF(RIGHT(A3074,3)="000",C3074,VLOOKUP(B3074,'Справочник ИХ'!A:C,3,0))</f>
        <v>Остальные грузы</v>
      </c>
      <c r="E3074" s="13">
        <f>IF(RIGHT(A3074,3)="000","х",VLOOKUP(B3074,'Справочник ИХ'!A:D,4,0))</f>
        <v>3</v>
      </c>
      <c r="F3074" s="14" t="s">
        <v>3816</v>
      </c>
    </row>
    <row r="3075" spans="1:6">
      <c r="A3075" s="19"/>
      <c r="B3075" s="3" t="s">
        <v>370</v>
      </c>
      <c r="C3075" t="s">
        <v>371</v>
      </c>
      <c r="D3075" s="13" t="str">
        <f>IF(RIGHT(A3075,3)="000",C3075,VLOOKUP(B3075,'Справочник ИХ'!A:C,3,0))</f>
        <v>Остальные грузы</v>
      </c>
      <c r="E3075" s="13">
        <f>IF(RIGHT(A3075,3)="000","х",VLOOKUP(B3075,'Справочник ИХ'!A:D,4,0))</f>
        <v>3</v>
      </c>
      <c r="F3075" s="14" t="str">
        <f>F3074</f>
        <v xml:space="preserve">Продукция неорганической химии </v>
      </c>
    </row>
    <row r="3076" spans="1:6">
      <c r="A3076" s="19"/>
      <c r="B3076" s="3" t="s">
        <v>372</v>
      </c>
      <c r="C3076" t="s">
        <v>373</v>
      </c>
      <c r="D3076" s="13" t="str">
        <f>IF(RIGHT(A3076,3)="000",C3076,VLOOKUP(B3076,'Справочник ИХ'!A:C,3,0))</f>
        <v>Остальные грузы</v>
      </c>
      <c r="E3076" s="13">
        <f>IF(RIGHT(A3076,3)="000","х",VLOOKUP(B3076,'Справочник ИХ'!A:D,4,0))</f>
        <v>3</v>
      </c>
      <c r="F3076" s="14" t="str">
        <f>F3075</f>
        <v xml:space="preserve">Продукция неорганической химии </v>
      </c>
    </row>
    <row r="3077" spans="1:6" s="15" customFormat="1" ht="63.45">
      <c r="A3077" s="7"/>
      <c r="B3077" s="12" t="str">
        <f t="shared" ref="B3077:B3140" si="48">LEFT(A3077,3)</f>
        <v/>
      </c>
      <c r="C3077" s="11" t="s">
        <v>4275</v>
      </c>
      <c r="D3077" s="13" t="s">
        <v>4275</v>
      </c>
      <c r="E3077" s="13" t="s">
        <v>562</v>
      </c>
      <c r="F3077" s="14" t="s">
        <v>4276</v>
      </c>
    </row>
    <row r="3078" spans="1:6" s="15" customFormat="1" ht="47.6">
      <c r="A3078" s="7">
        <v>50000</v>
      </c>
      <c r="B3078" s="12" t="str">
        <f t="shared" si="48"/>
        <v>500</v>
      </c>
      <c r="C3078" s="11" t="s">
        <v>4277</v>
      </c>
      <c r="D3078" s="13" t="str">
        <f>IF(RIGHT(A3078,3)="000",C3078,VLOOKUP(B3078,'Справочник ИХ'!A:C,3,0))</f>
        <v xml:space="preserve">Продукция мукомольно-крупяной промышленности </v>
      </c>
      <c r="E3078" s="13" t="str">
        <f>IF(RIGHT(A3078,3)="000","х",VLOOKUP(B3078,'Справочник ИХ'!A:D,4,0))</f>
        <v>х</v>
      </c>
      <c r="F3078" s="14" t="s">
        <v>4277</v>
      </c>
    </row>
    <row r="3079" spans="1:6" s="18" customFormat="1" ht="31.75">
      <c r="A3079" s="16">
        <v>50100</v>
      </c>
      <c r="B3079" s="12" t="str">
        <f t="shared" si="48"/>
        <v>501</v>
      </c>
      <c r="C3079" s="17" t="s">
        <v>4278</v>
      </c>
      <c r="D3079" s="13" t="str">
        <f>IF(RIGHT(A3079,3)="000",C3079,VLOOKUP(B3079,'Справочник ИХ'!A:C,3,0))</f>
        <v>Хлебные грузы</v>
      </c>
      <c r="E3079" s="13">
        <f>IF(RIGHT(A3079,3)="000","х",VLOOKUP(B3079,'Справочник ИХ'!A:D,4,0))</f>
        <v>2</v>
      </c>
      <c r="F3079" s="14" t="s">
        <v>4277</v>
      </c>
    </row>
    <row r="3080" spans="1:6" ht="31.75">
      <c r="A3080" s="19">
        <v>50101</v>
      </c>
      <c r="B3080" s="12" t="str">
        <f t="shared" si="48"/>
        <v>501</v>
      </c>
      <c r="C3080" s="1" t="s">
        <v>4279</v>
      </c>
      <c r="D3080" s="13" t="str">
        <f>IF(RIGHT(A3080,3)="000",C3080,VLOOKUP(B3080,'Справочник ИХ'!A:C,3,0))</f>
        <v>Хлебные грузы</v>
      </c>
      <c r="E3080" s="13">
        <f>IF(RIGHT(A3080,3)="000","х",VLOOKUP(B3080,'Справочник ИХ'!A:D,4,0))</f>
        <v>2</v>
      </c>
      <c r="F3080" s="14" t="s">
        <v>4277</v>
      </c>
    </row>
    <row r="3081" spans="1:6" ht="31.75">
      <c r="A3081" s="19">
        <v>50102</v>
      </c>
      <c r="B3081" s="12" t="str">
        <f t="shared" si="48"/>
        <v>501</v>
      </c>
      <c r="C3081" s="1" t="s">
        <v>4280</v>
      </c>
      <c r="D3081" s="13" t="str">
        <f>IF(RIGHT(A3081,3)="000",C3081,VLOOKUP(B3081,'Справочник ИХ'!A:C,3,0))</f>
        <v>Хлебные грузы</v>
      </c>
      <c r="E3081" s="13">
        <f>IF(RIGHT(A3081,3)="000","х",VLOOKUP(B3081,'Справочник ИХ'!A:D,4,0))</f>
        <v>2</v>
      </c>
      <c r="F3081" s="14" t="s">
        <v>4277</v>
      </c>
    </row>
    <row r="3082" spans="1:6" ht="31.75">
      <c r="A3082" s="19">
        <v>50103</v>
      </c>
      <c r="B3082" s="12" t="str">
        <f t="shared" si="48"/>
        <v>501</v>
      </c>
      <c r="C3082" s="1" t="s">
        <v>4281</v>
      </c>
      <c r="D3082" s="13" t="str">
        <f>IF(RIGHT(A3082,3)="000",C3082,VLOOKUP(B3082,'Справочник ИХ'!A:C,3,0))</f>
        <v>Хлебные грузы</v>
      </c>
      <c r="E3082" s="13">
        <f>IF(RIGHT(A3082,3)="000","х",VLOOKUP(B3082,'Справочник ИХ'!A:D,4,0))</f>
        <v>2</v>
      </c>
      <c r="F3082" s="14" t="s">
        <v>4277</v>
      </c>
    </row>
    <row r="3083" spans="1:6" ht="31.75">
      <c r="A3083" s="19">
        <v>50104</v>
      </c>
      <c r="B3083" s="12" t="str">
        <f t="shared" si="48"/>
        <v>501</v>
      </c>
      <c r="C3083" s="1" t="s">
        <v>4282</v>
      </c>
      <c r="D3083" s="13" t="str">
        <f>IF(RIGHT(A3083,3)="000",C3083,VLOOKUP(B3083,'Справочник ИХ'!A:C,3,0))</f>
        <v>Хлебные грузы</v>
      </c>
      <c r="E3083" s="13">
        <f>IF(RIGHT(A3083,3)="000","х",VLOOKUP(B3083,'Справочник ИХ'!A:D,4,0))</f>
        <v>2</v>
      </c>
      <c r="F3083" s="14" t="s">
        <v>4277</v>
      </c>
    </row>
    <row r="3084" spans="1:6" s="18" customFormat="1" ht="31.75">
      <c r="A3084" s="16">
        <v>50200</v>
      </c>
      <c r="B3084" s="12" t="str">
        <f t="shared" si="48"/>
        <v>502</v>
      </c>
      <c r="C3084" s="17" t="s">
        <v>4283</v>
      </c>
      <c r="D3084" s="13" t="str">
        <f>IF(RIGHT(A3084,3)="000",C3084,VLOOKUP(B3084,'Справочник ИХ'!A:C,3,0))</f>
        <v>Хлебные грузы</v>
      </c>
      <c r="E3084" s="13">
        <f>IF(RIGHT(A3084,3)="000","х",VLOOKUP(B3084,'Справочник ИХ'!A:D,4,0))</f>
        <v>2</v>
      </c>
      <c r="F3084" s="14" t="s">
        <v>4277</v>
      </c>
    </row>
    <row r="3085" spans="1:6" ht="31.75">
      <c r="A3085" s="19">
        <v>50201</v>
      </c>
      <c r="B3085" s="12" t="str">
        <f t="shared" si="48"/>
        <v>502</v>
      </c>
      <c r="C3085" s="1" t="s">
        <v>4284</v>
      </c>
      <c r="D3085" s="13" t="str">
        <f>IF(RIGHT(A3085,3)="000",C3085,VLOOKUP(B3085,'Справочник ИХ'!A:C,3,0))</f>
        <v>Хлебные грузы</v>
      </c>
      <c r="E3085" s="13">
        <f>IF(RIGHT(A3085,3)="000","х",VLOOKUP(B3085,'Справочник ИХ'!A:D,4,0))</f>
        <v>2</v>
      </c>
      <c r="F3085" s="14" t="s">
        <v>4277</v>
      </c>
    </row>
    <row r="3086" spans="1:6" ht="31.75">
      <c r="A3086" s="19">
        <v>50202</v>
      </c>
      <c r="B3086" s="12" t="str">
        <f t="shared" si="48"/>
        <v>502</v>
      </c>
      <c r="C3086" s="1" t="s">
        <v>4285</v>
      </c>
      <c r="D3086" s="13" t="str">
        <f>IF(RIGHT(A3086,3)="000",C3086,VLOOKUP(B3086,'Справочник ИХ'!A:C,3,0))</f>
        <v>Хлебные грузы</v>
      </c>
      <c r="E3086" s="13">
        <f>IF(RIGHT(A3086,3)="000","х",VLOOKUP(B3086,'Справочник ИХ'!A:D,4,0))</f>
        <v>2</v>
      </c>
      <c r="F3086" s="14" t="s">
        <v>4277</v>
      </c>
    </row>
    <row r="3087" spans="1:6" s="18" customFormat="1" ht="31.75">
      <c r="A3087" s="16">
        <v>50300</v>
      </c>
      <c r="B3087" s="12" t="str">
        <f t="shared" si="48"/>
        <v>503</v>
      </c>
      <c r="C3087" s="17" t="s">
        <v>4286</v>
      </c>
      <c r="D3087" s="13" t="str">
        <f>IF(RIGHT(A3087,3)="000",C3087,VLOOKUP(B3087,'Справочник ИХ'!A:C,3,0))</f>
        <v>Хлебные грузы</v>
      </c>
      <c r="E3087" s="13">
        <f>IF(RIGHT(A3087,3)="000","х",VLOOKUP(B3087,'Справочник ИХ'!A:D,4,0))</f>
        <v>2</v>
      </c>
      <c r="F3087" s="14" t="s">
        <v>4277</v>
      </c>
    </row>
    <row r="3088" spans="1:6" ht="31.75">
      <c r="A3088" s="19">
        <v>50301</v>
      </c>
      <c r="B3088" s="12" t="str">
        <f t="shared" si="48"/>
        <v>503</v>
      </c>
      <c r="C3088" s="1" t="s">
        <v>4287</v>
      </c>
      <c r="D3088" s="13" t="str">
        <f>IF(RIGHT(A3088,3)="000",C3088,VLOOKUP(B3088,'Справочник ИХ'!A:C,3,0))</f>
        <v>Хлебные грузы</v>
      </c>
      <c r="E3088" s="13">
        <f>IF(RIGHT(A3088,3)="000","х",VLOOKUP(B3088,'Справочник ИХ'!A:D,4,0))</f>
        <v>2</v>
      </c>
      <c r="F3088" s="14" t="s">
        <v>4277</v>
      </c>
    </row>
    <row r="3089" spans="1:6" ht="31.75">
      <c r="A3089" s="19">
        <v>50302</v>
      </c>
      <c r="B3089" s="12" t="str">
        <f t="shared" si="48"/>
        <v>503</v>
      </c>
      <c r="C3089" s="1" t="s">
        <v>4288</v>
      </c>
      <c r="D3089" s="13" t="str">
        <f>IF(RIGHT(A3089,3)="000",C3089,VLOOKUP(B3089,'Справочник ИХ'!A:C,3,0))</f>
        <v>Хлебные грузы</v>
      </c>
      <c r="E3089" s="13">
        <f>IF(RIGHT(A3089,3)="000","х",VLOOKUP(B3089,'Справочник ИХ'!A:D,4,0))</f>
        <v>2</v>
      </c>
      <c r="F3089" s="14" t="s">
        <v>4277</v>
      </c>
    </row>
    <row r="3090" spans="1:6" ht="31.75">
      <c r="A3090" s="19">
        <v>50303</v>
      </c>
      <c r="B3090" s="12" t="str">
        <f t="shared" si="48"/>
        <v>503</v>
      </c>
      <c r="C3090" s="1" t="s">
        <v>4289</v>
      </c>
      <c r="D3090" s="13" t="str">
        <f>IF(RIGHT(A3090,3)="000",C3090,VLOOKUP(B3090,'Справочник ИХ'!A:C,3,0))</f>
        <v>Хлебные грузы</v>
      </c>
      <c r="E3090" s="13">
        <f>IF(RIGHT(A3090,3)="000","х",VLOOKUP(B3090,'Справочник ИХ'!A:D,4,0))</f>
        <v>2</v>
      </c>
      <c r="F3090" s="14" t="s">
        <v>4277</v>
      </c>
    </row>
    <row r="3091" spans="1:6" ht="31.75">
      <c r="A3091" s="19">
        <v>50304</v>
      </c>
      <c r="B3091" s="12" t="str">
        <f t="shared" si="48"/>
        <v>503</v>
      </c>
      <c r="C3091" s="1" t="s">
        <v>4290</v>
      </c>
      <c r="D3091" s="13" t="str">
        <f>IF(RIGHT(A3091,3)="000",C3091,VLOOKUP(B3091,'Справочник ИХ'!A:C,3,0))</f>
        <v>Хлебные грузы</v>
      </c>
      <c r="E3091" s="13">
        <f>IF(RIGHT(A3091,3)="000","х",VLOOKUP(B3091,'Справочник ИХ'!A:D,4,0))</f>
        <v>2</v>
      </c>
      <c r="F3091" s="14" t="s">
        <v>4277</v>
      </c>
    </row>
    <row r="3092" spans="1:6" ht="31.75">
      <c r="A3092" s="19">
        <v>50305</v>
      </c>
      <c r="B3092" s="12" t="str">
        <f t="shared" si="48"/>
        <v>503</v>
      </c>
      <c r="C3092" s="1" t="s">
        <v>4291</v>
      </c>
      <c r="D3092" s="13" t="str">
        <f>IF(RIGHT(A3092,3)="000",C3092,VLOOKUP(B3092,'Справочник ИХ'!A:C,3,0))</f>
        <v>Хлебные грузы</v>
      </c>
      <c r="E3092" s="13">
        <f>IF(RIGHT(A3092,3)="000","х",VLOOKUP(B3092,'Справочник ИХ'!A:D,4,0))</f>
        <v>2</v>
      </c>
      <c r="F3092" s="14" t="s">
        <v>4277</v>
      </c>
    </row>
    <row r="3093" spans="1:6" ht="31.75">
      <c r="A3093" s="19">
        <v>50306</v>
      </c>
      <c r="B3093" s="12" t="str">
        <f t="shared" si="48"/>
        <v>503</v>
      </c>
      <c r="C3093" s="1" t="s">
        <v>4292</v>
      </c>
      <c r="D3093" s="13" t="str">
        <f>IF(RIGHT(A3093,3)="000",C3093,VLOOKUP(B3093,'Справочник ИХ'!A:C,3,0))</f>
        <v>Хлебные грузы</v>
      </c>
      <c r="E3093" s="13">
        <f>IF(RIGHT(A3093,3)="000","х",VLOOKUP(B3093,'Справочник ИХ'!A:D,4,0))</f>
        <v>2</v>
      </c>
      <c r="F3093" s="14" t="s">
        <v>4277</v>
      </c>
    </row>
    <row r="3094" spans="1:6" ht="31.75">
      <c r="A3094" s="19">
        <v>50307</v>
      </c>
      <c r="B3094" s="12" t="str">
        <f t="shared" si="48"/>
        <v>503</v>
      </c>
      <c r="C3094" s="1" t="s">
        <v>4293</v>
      </c>
      <c r="D3094" s="13" t="str">
        <f>IF(RIGHT(A3094,3)="000",C3094,VLOOKUP(B3094,'Справочник ИХ'!A:C,3,0))</f>
        <v>Хлебные грузы</v>
      </c>
      <c r="E3094" s="13">
        <f>IF(RIGHT(A3094,3)="000","х",VLOOKUP(B3094,'Справочник ИХ'!A:D,4,0))</f>
        <v>2</v>
      </c>
      <c r="F3094" s="14" t="s">
        <v>4277</v>
      </c>
    </row>
    <row r="3095" spans="1:6" ht="31.75">
      <c r="A3095" s="19">
        <v>50308</v>
      </c>
      <c r="B3095" s="12" t="str">
        <f t="shared" si="48"/>
        <v>503</v>
      </c>
      <c r="C3095" s="1" t="s">
        <v>4294</v>
      </c>
      <c r="D3095" s="13" t="str">
        <f>IF(RIGHT(A3095,3)="000",C3095,VLOOKUP(B3095,'Справочник ИХ'!A:C,3,0))</f>
        <v>Хлебные грузы</v>
      </c>
      <c r="E3095" s="13">
        <f>IF(RIGHT(A3095,3)="000","х",VLOOKUP(B3095,'Справочник ИХ'!A:D,4,0))</f>
        <v>2</v>
      </c>
      <c r="F3095" s="14" t="s">
        <v>4277</v>
      </c>
    </row>
    <row r="3096" spans="1:6" ht="31.75">
      <c r="A3096" s="19">
        <v>50309</v>
      </c>
      <c r="B3096" s="12" t="str">
        <f t="shared" si="48"/>
        <v>503</v>
      </c>
      <c r="C3096" s="1" t="s">
        <v>4295</v>
      </c>
      <c r="D3096" s="13" t="str">
        <f>IF(RIGHT(A3096,3)="000",C3096,VLOOKUP(B3096,'Справочник ИХ'!A:C,3,0))</f>
        <v>Хлебные грузы</v>
      </c>
      <c r="E3096" s="13">
        <f>IF(RIGHT(A3096,3)="000","х",VLOOKUP(B3096,'Справочник ИХ'!A:D,4,0))</f>
        <v>2</v>
      </c>
      <c r="F3096" s="14" t="s">
        <v>4277</v>
      </c>
    </row>
    <row r="3097" spans="1:6" ht="31.75">
      <c r="A3097" s="19">
        <v>50310</v>
      </c>
      <c r="B3097" s="12" t="str">
        <f t="shared" si="48"/>
        <v>503</v>
      </c>
      <c r="C3097" s="1" t="s">
        <v>4296</v>
      </c>
      <c r="D3097" s="13" t="str">
        <f>IF(RIGHT(A3097,3)="000",C3097,VLOOKUP(B3097,'Справочник ИХ'!A:C,3,0))</f>
        <v>Хлебные грузы</v>
      </c>
      <c r="E3097" s="13">
        <f>IF(RIGHT(A3097,3)="000","х",VLOOKUP(B3097,'Справочник ИХ'!A:D,4,0))</f>
        <v>2</v>
      </c>
      <c r="F3097" s="14" t="s">
        <v>4277</v>
      </c>
    </row>
    <row r="3098" spans="1:6" ht="31.75">
      <c r="A3098" s="19">
        <v>50311</v>
      </c>
      <c r="B3098" s="12" t="str">
        <f t="shared" si="48"/>
        <v>503</v>
      </c>
      <c r="C3098" s="1" t="s">
        <v>4297</v>
      </c>
      <c r="D3098" s="13" t="str">
        <f>IF(RIGHT(A3098,3)="000",C3098,VLOOKUP(B3098,'Справочник ИХ'!A:C,3,0))</f>
        <v>Хлебные грузы</v>
      </c>
      <c r="E3098" s="13">
        <f>IF(RIGHT(A3098,3)="000","х",VLOOKUP(B3098,'Справочник ИХ'!A:D,4,0))</f>
        <v>2</v>
      </c>
      <c r="F3098" s="14" t="s">
        <v>4277</v>
      </c>
    </row>
    <row r="3099" spans="1:6" ht="31.75">
      <c r="A3099" s="19">
        <v>50312</v>
      </c>
      <c r="B3099" s="12" t="str">
        <f t="shared" si="48"/>
        <v>503</v>
      </c>
      <c r="C3099" s="1" t="s">
        <v>4298</v>
      </c>
      <c r="D3099" s="13" t="str">
        <f>IF(RIGHT(A3099,3)="000",C3099,VLOOKUP(B3099,'Справочник ИХ'!A:C,3,0))</f>
        <v>Хлебные грузы</v>
      </c>
      <c r="E3099" s="13">
        <f>IF(RIGHT(A3099,3)="000","х",VLOOKUP(B3099,'Справочник ИХ'!A:D,4,0))</f>
        <v>2</v>
      </c>
      <c r="F3099" s="14" t="s">
        <v>4277</v>
      </c>
    </row>
    <row r="3100" spans="1:6" ht="31.75">
      <c r="A3100" s="19">
        <v>50313</v>
      </c>
      <c r="B3100" s="12" t="str">
        <f t="shared" si="48"/>
        <v>503</v>
      </c>
      <c r="C3100" s="1" t="s">
        <v>4299</v>
      </c>
      <c r="D3100" s="13" t="str">
        <f>IF(RIGHT(A3100,3)="000",C3100,VLOOKUP(B3100,'Справочник ИХ'!A:C,3,0))</f>
        <v>Хлебные грузы</v>
      </c>
      <c r="E3100" s="13">
        <f>IF(RIGHT(A3100,3)="000","х",VLOOKUP(B3100,'Справочник ИХ'!A:D,4,0))</f>
        <v>2</v>
      </c>
      <c r="F3100" s="14" t="s">
        <v>4277</v>
      </c>
    </row>
    <row r="3101" spans="1:6" ht="31.75">
      <c r="A3101" s="19">
        <v>50314</v>
      </c>
      <c r="B3101" s="12" t="str">
        <f t="shared" si="48"/>
        <v>503</v>
      </c>
      <c r="C3101" s="1" t="s">
        <v>4300</v>
      </c>
      <c r="D3101" s="13" t="str">
        <f>IF(RIGHT(A3101,3)="000",C3101,VLOOKUP(B3101,'Справочник ИХ'!A:C,3,0))</f>
        <v>Хлебные грузы</v>
      </c>
      <c r="E3101" s="13">
        <f>IF(RIGHT(A3101,3)="000","х",VLOOKUP(B3101,'Справочник ИХ'!A:D,4,0))</f>
        <v>2</v>
      </c>
      <c r="F3101" s="14" t="s">
        <v>4277</v>
      </c>
    </row>
    <row r="3102" spans="1:6" ht="31.75">
      <c r="A3102" s="19">
        <v>50315</v>
      </c>
      <c r="B3102" s="12" t="str">
        <f t="shared" si="48"/>
        <v>503</v>
      </c>
      <c r="C3102" s="1" t="s">
        <v>4301</v>
      </c>
      <c r="D3102" s="13" t="str">
        <f>IF(RIGHT(A3102,3)="000",C3102,VLOOKUP(B3102,'Справочник ИХ'!A:C,3,0))</f>
        <v>Хлебные грузы</v>
      </c>
      <c r="E3102" s="13">
        <f>IF(RIGHT(A3102,3)="000","х",VLOOKUP(B3102,'Справочник ИХ'!A:D,4,0))</f>
        <v>2</v>
      </c>
      <c r="F3102" s="14" t="s">
        <v>4277</v>
      </c>
    </row>
    <row r="3103" spans="1:6" ht="31.75">
      <c r="A3103" s="19">
        <v>50316</v>
      </c>
      <c r="B3103" s="12" t="str">
        <f t="shared" si="48"/>
        <v>503</v>
      </c>
      <c r="C3103" s="1" t="s">
        <v>4302</v>
      </c>
      <c r="D3103" s="13" t="str">
        <f>IF(RIGHT(A3103,3)="000",C3103,VLOOKUP(B3103,'Справочник ИХ'!A:C,3,0))</f>
        <v>Хлебные грузы</v>
      </c>
      <c r="E3103" s="13">
        <f>IF(RIGHT(A3103,3)="000","х",VLOOKUP(B3103,'Справочник ИХ'!A:D,4,0))</f>
        <v>2</v>
      </c>
      <c r="F3103" s="14" t="s">
        <v>4277</v>
      </c>
    </row>
    <row r="3104" spans="1:6" ht="31.75">
      <c r="A3104" s="19">
        <v>50317</v>
      </c>
      <c r="B3104" s="12" t="str">
        <f t="shared" si="48"/>
        <v>503</v>
      </c>
      <c r="C3104" s="1" t="s">
        <v>4303</v>
      </c>
      <c r="D3104" s="13" t="str">
        <f>IF(RIGHT(A3104,3)="000",C3104,VLOOKUP(B3104,'Справочник ИХ'!A:C,3,0))</f>
        <v>Хлебные грузы</v>
      </c>
      <c r="E3104" s="13">
        <f>IF(RIGHT(A3104,3)="000","х",VLOOKUP(B3104,'Справочник ИХ'!A:D,4,0))</f>
        <v>2</v>
      </c>
      <c r="F3104" s="14" t="s">
        <v>4277</v>
      </c>
    </row>
    <row r="3105" spans="1:6" ht="31.75">
      <c r="A3105" s="19">
        <v>50318</v>
      </c>
      <c r="B3105" s="12" t="str">
        <f t="shared" si="48"/>
        <v>503</v>
      </c>
      <c r="C3105" s="1" t="s">
        <v>4304</v>
      </c>
      <c r="D3105" s="13" t="str">
        <f>IF(RIGHT(A3105,3)="000",C3105,VLOOKUP(B3105,'Справочник ИХ'!A:C,3,0))</f>
        <v>Хлебные грузы</v>
      </c>
      <c r="E3105" s="13">
        <f>IF(RIGHT(A3105,3)="000","х",VLOOKUP(B3105,'Справочник ИХ'!A:D,4,0))</f>
        <v>2</v>
      </c>
      <c r="F3105" s="14" t="s">
        <v>4277</v>
      </c>
    </row>
    <row r="3106" spans="1:6" ht="31.75">
      <c r="A3106" s="19">
        <v>50319</v>
      </c>
      <c r="B3106" s="12" t="str">
        <f t="shared" si="48"/>
        <v>503</v>
      </c>
      <c r="C3106" s="1" t="s">
        <v>4305</v>
      </c>
      <c r="D3106" s="13" t="str">
        <f>IF(RIGHT(A3106,3)="000",C3106,VLOOKUP(B3106,'Справочник ИХ'!A:C,3,0))</f>
        <v>Хлебные грузы</v>
      </c>
      <c r="E3106" s="13">
        <f>IF(RIGHT(A3106,3)="000","х",VLOOKUP(B3106,'Справочник ИХ'!A:D,4,0))</f>
        <v>2</v>
      </c>
      <c r="F3106" s="14" t="s">
        <v>4277</v>
      </c>
    </row>
    <row r="3107" spans="1:6" ht="31.75">
      <c r="A3107" s="19">
        <v>50320</v>
      </c>
      <c r="B3107" s="12" t="str">
        <f t="shared" si="48"/>
        <v>503</v>
      </c>
      <c r="C3107" s="1" t="s">
        <v>4306</v>
      </c>
      <c r="D3107" s="13" t="str">
        <f>IF(RIGHT(A3107,3)="000",C3107,VLOOKUP(B3107,'Справочник ИХ'!A:C,3,0))</f>
        <v>Хлебные грузы</v>
      </c>
      <c r="E3107" s="13">
        <f>IF(RIGHT(A3107,3)="000","х",VLOOKUP(B3107,'Справочник ИХ'!A:D,4,0))</f>
        <v>2</v>
      </c>
      <c r="F3107" s="14" t="s">
        <v>4277</v>
      </c>
    </row>
    <row r="3108" spans="1:6" ht="31.75">
      <c r="A3108" s="19">
        <v>50321</v>
      </c>
      <c r="B3108" s="12" t="str">
        <f t="shared" si="48"/>
        <v>503</v>
      </c>
      <c r="C3108" s="1" t="s">
        <v>4307</v>
      </c>
      <c r="D3108" s="13" t="str">
        <f>IF(RIGHT(A3108,3)="000",C3108,VLOOKUP(B3108,'Справочник ИХ'!A:C,3,0))</f>
        <v>Хлебные грузы</v>
      </c>
      <c r="E3108" s="13">
        <f>IF(RIGHT(A3108,3)="000","х",VLOOKUP(B3108,'Справочник ИХ'!A:D,4,0))</f>
        <v>2</v>
      </c>
      <c r="F3108" s="14" t="s">
        <v>4277</v>
      </c>
    </row>
    <row r="3109" spans="1:6" ht="31.75">
      <c r="A3109" s="19">
        <v>50322</v>
      </c>
      <c r="B3109" s="12" t="str">
        <f t="shared" si="48"/>
        <v>503</v>
      </c>
      <c r="C3109" s="1" t="s">
        <v>4308</v>
      </c>
      <c r="D3109" s="13" t="str">
        <f>IF(RIGHT(A3109,3)="000",C3109,VLOOKUP(B3109,'Справочник ИХ'!A:C,3,0))</f>
        <v>Хлебные грузы</v>
      </c>
      <c r="E3109" s="13">
        <f>IF(RIGHT(A3109,3)="000","х",VLOOKUP(B3109,'Справочник ИХ'!A:D,4,0))</f>
        <v>2</v>
      </c>
      <c r="F3109" s="14" t="s">
        <v>4277</v>
      </c>
    </row>
    <row r="3110" spans="1:6" ht="31.75">
      <c r="A3110" s="19">
        <v>50323</v>
      </c>
      <c r="B3110" s="12" t="str">
        <f t="shared" si="48"/>
        <v>503</v>
      </c>
      <c r="C3110" s="1" t="s">
        <v>4309</v>
      </c>
      <c r="D3110" s="13" t="str">
        <f>IF(RIGHT(A3110,3)="000",C3110,VLOOKUP(B3110,'Справочник ИХ'!A:C,3,0))</f>
        <v>Хлебные грузы</v>
      </c>
      <c r="E3110" s="13">
        <f>IF(RIGHT(A3110,3)="000","х",VLOOKUP(B3110,'Справочник ИХ'!A:D,4,0))</f>
        <v>2</v>
      </c>
      <c r="F3110" s="14" t="s">
        <v>4277</v>
      </c>
    </row>
    <row r="3111" spans="1:6" ht="31.75">
      <c r="A3111" s="19">
        <v>50324</v>
      </c>
      <c r="B3111" s="12" t="str">
        <f t="shared" si="48"/>
        <v>503</v>
      </c>
      <c r="C3111" s="1" t="s">
        <v>4310</v>
      </c>
      <c r="D3111" s="13" t="str">
        <f>IF(RIGHT(A3111,3)="000",C3111,VLOOKUP(B3111,'Справочник ИХ'!A:C,3,0))</f>
        <v>Хлебные грузы</v>
      </c>
      <c r="E3111" s="13">
        <f>IF(RIGHT(A3111,3)="000","х",VLOOKUP(B3111,'Справочник ИХ'!A:D,4,0))</f>
        <v>2</v>
      </c>
      <c r="F3111" s="14" t="s">
        <v>4277</v>
      </c>
    </row>
    <row r="3112" spans="1:6" ht="31.75">
      <c r="A3112" s="19">
        <v>50325</v>
      </c>
      <c r="B3112" s="12" t="str">
        <f t="shared" si="48"/>
        <v>503</v>
      </c>
      <c r="C3112" s="1" t="s">
        <v>4311</v>
      </c>
      <c r="D3112" s="13" t="str">
        <f>IF(RIGHT(A3112,3)="000",C3112,VLOOKUP(B3112,'Справочник ИХ'!A:C,3,0))</f>
        <v>Хлебные грузы</v>
      </c>
      <c r="E3112" s="13">
        <f>IF(RIGHT(A3112,3)="000","х",VLOOKUP(B3112,'Справочник ИХ'!A:D,4,0))</f>
        <v>2</v>
      </c>
      <c r="F3112" s="14" t="s">
        <v>4277</v>
      </c>
    </row>
    <row r="3113" spans="1:6" s="18" customFormat="1" ht="31.75">
      <c r="A3113" s="16">
        <v>50400</v>
      </c>
      <c r="B3113" s="12" t="str">
        <f t="shared" si="48"/>
        <v>504</v>
      </c>
      <c r="C3113" s="17" t="s">
        <v>4312</v>
      </c>
      <c r="D3113" s="13" t="str">
        <f>IF(RIGHT(A3113,3)="000",C3113,VLOOKUP(B3113,'Справочник ИХ'!A:C,3,0))</f>
        <v>Хлебные грузы</v>
      </c>
      <c r="E3113" s="13">
        <f>IF(RIGHT(A3113,3)="000","х",VLOOKUP(B3113,'Справочник ИХ'!A:D,4,0))</f>
        <v>2</v>
      </c>
      <c r="F3113" s="14" t="s">
        <v>4277</v>
      </c>
    </row>
    <row r="3114" spans="1:6" ht="31.75">
      <c r="A3114" s="19">
        <v>50401</v>
      </c>
      <c r="B3114" s="12" t="str">
        <f t="shared" si="48"/>
        <v>504</v>
      </c>
      <c r="C3114" s="1" t="s">
        <v>4313</v>
      </c>
      <c r="D3114" s="13" t="str">
        <f>IF(RIGHT(A3114,3)="000",C3114,VLOOKUP(B3114,'Справочник ИХ'!A:C,3,0))</f>
        <v>Хлебные грузы</v>
      </c>
      <c r="E3114" s="13">
        <f>IF(RIGHT(A3114,3)="000","х",VLOOKUP(B3114,'Справочник ИХ'!A:D,4,0))</f>
        <v>2</v>
      </c>
      <c r="F3114" s="14" t="s">
        <v>4277</v>
      </c>
    </row>
    <row r="3115" spans="1:6" ht="31.75">
      <c r="A3115" s="19">
        <v>50402</v>
      </c>
      <c r="B3115" s="12" t="str">
        <f t="shared" si="48"/>
        <v>504</v>
      </c>
      <c r="C3115" s="1" t="s">
        <v>4314</v>
      </c>
      <c r="D3115" s="13" t="str">
        <f>IF(RIGHT(A3115,3)="000",C3115,VLOOKUP(B3115,'Справочник ИХ'!A:C,3,0))</f>
        <v>Хлебные грузы</v>
      </c>
      <c r="E3115" s="13">
        <f>IF(RIGHT(A3115,3)="000","х",VLOOKUP(B3115,'Справочник ИХ'!A:D,4,0))</f>
        <v>2</v>
      </c>
      <c r="F3115" s="14" t="s">
        <v>4277</v>
      </c>
    </row>
    <row r="3116" spans="1:6" ht="31.75">
      <c r="A3116" s="19">
        <v>50403</v>
      </c>
      <c r="B3116" s="12" t="str">
        <f t="shared" si="48"/>
        <v>504</v>
      </c>
      <c r="C3116" s="1" t="s">
        <v>4315</v>
      </c>
      <c r="D3116" s="13" t="str">
        <f>IF(RIGHT(A3116,3)="000",C3116,VLOOKUP(B3116,'Справочник ИХ'!A:C,3,0))</f>
        <v>Хлебные грузы</v>
      </c>
      <c r="E3116" s="13">
        <f>IF(RIGHT(A3116,3)="000","х",VLOOKUP(B3116,'Справочник ИХ'!A:D,4,0))</f>
        <v>2</v>
      </c>
      <c r="F3116" s="14" t="s">
        <v>4277</v>
      </c>
    </row>
    <row r="3117" spans="1:6" ht="31.75">
      <c r="A3117" s="19">
        <v>50404</v>
      </c>
      <c r="B3117" s="12" t="str">
        <f t="shared" si="48"/>
        <v>504</v>
      </c>
      <c r="C3117" s="1" t="s">
        <v>4316</v>
      </c>
      <c r="D3117" s="13" t="str">
        <f>IF(RIGHT(A3117,3)="000",C3117,VLOOKUP(B3117,'Справочник ИХ'!A:C,3,0))</f>
        <v>Хлебные грузы</v>
      </c>
      <c r="E3117" s="13">
        <f>IF(RIGHT(A3117,3)="000","х",VLOOKUP(B3117,'Справочник ИХ'!A:D,4,0))</f>
        <v>2</v>
      </c>
      <c r="F3117" s="14" t="s">
        <v>4277</v>
      </c>
    </row>
    <row r="3118" spans="1:6" ht="31.75">
      <c r="A3118" s="19">
        <v>50405</v>
      </c>
      <c r="B3118" s="12" t="str">
        <f t="shared" si="48"/>
        <v>504</v>
      </c>
      <c r="C3118" s="1" t="s">
        <v>4317</v>
      </c>
      <c r="D3118" s="13" t="str">
        <f>IF(RIGHT(A3118,3)="000",C3118,VLOOKUP(B3118,'Справочник ИХ'!A:C,3,0))</f>
        <v>Хлебные грузы</v>
      </c>
      <c r="E3118" s="13">
        <f>IF(RIGHT(A3118,3)="000","х",VLOOKUP(B3118,'Справочник ИХ'!A:D,4,0))</f>
        <v>2</v>
      </c>
      <c r="F3118" s="14" t="s">
        <v>4277</v>
      </c>
    </row>
    <row r="3119" spans="1:6" s="18" customFormat="1" ht="31.75">
      <c r="A3119" s="16">
        <v>50500</v>
      </c>
      <c r="B3119" s="12" t="str">
        <f t="shared" si="48"/>
        <v>505</v>
      </c>
      <c r="C3119" s="17" t="s">
        <v>4318</v>
      </c>
      <c r="D3119" s="13" t="str">
        <f>IF(RIGHT(A3119,3)="000",C3119,VLOOKUP(B3119,'Справочник ИХ'!A:C,3,0))</f>
        <v>Хлебные грузы</v>
      </c>
      <c r="E3119" s="13">
        <f>IF(RIGHT(A3119,3)="000","х",VLOOKUP(B3119,'Справочник ИХ'!A:D,4,0))</f>
        <v>2</v>
      </c>
      <c r="F3119" s="14" t="s">
        <v>4277</v>
      </c>
    </row>
    <row r="3120" spans="1:6" ht="31.75">
      <c r="A3120" s="19">
        <v>50501</v>
      </c>
      <c r="B3120" s="12" t="str">
        <f t="shared" si="48"/>
        <v>505</v>
      </c>
      <c r="C3120" s="1" t="s">
        <v>4319</v>
      </c>
      <c r="D3120" s="13" t="str">
        <f>IF(RIGHT(A3120,3)="000",C3120,VLOOKUP(B3120,'Справочник ИХ'!A:C,3,0))</f>
        <v>Хлебные грузы</v>
      </c>
      <c r="E3120" s="13">
        <f>IF(RIGHT(A3120,3)="000","х",VLOOKUP(B3120,'Справочник ИХ'!A:D,4,0))</f>
        <v>2</v>
      </c>
      <c r="F3120" s="14" t="s">
        <v>4277</v>
      </c>
    </row>
    <row r="3121" spans="1:6" ht="31.75">
      <c r="A3121" s="19">
        <v>50502</v>
      </c>
      <c r="B3121" s="12" t="str">
        <f t="shared" si="48"/>
        <v>505</v>
      </c>
      <c r="C3121" s="1" t="s">
        <v>4320</v>
      </c>
      <c r="D3121" s="13" t="str">
        <f>IF(RIGHT(A3121,3)="000",C3121,VLOOKUP(B3121,'Справочник ИХ'!A:C,3,0))</f>
        <v>Хлебные грузы</v>
      </c>
      <c r="E3121" s="13">
        <f>IF(RIGHT(A3121,3)="000","х",VLOOKUP(B3121,'Справочник ИХ'!A:D,4,0))</f>
        <v>2</v>
      </c>
      <c r="F3121" s="14" t="s">
        <v>4277</v>
      </c>
    </row>
    <row r="3122" spans="1:6" ht="31.75">
      <c r="A3122" s="19">
        <v>50503</v>
      </c>
      <c r="B3122" s="12" t="str">
        <f t="shared" si="48"/>
        <v>505</v>
      </c>
      <c r="C3122" s="1" t="s">
        <v>4321</v>
      </c>
      <c r="D3122" s="13" t="str">
        <f>IF(RIGHT(A3122,3)="000",C3122,VLOOKUP(B3122,'Справочник ИХ'!A:C,3,0))</f>
        <v>Хлебные грузы</v>
      </c>
      <c r="E3122" s="13">
        <f>IF(RIGHT(A3122,3)="000","х",VLOOKUP(B3122,'Справочник ИХ'!A:D,4,0))</f>
        <v>2</v>
      </c>
      <c r="F3122" s="14" t="s">
        <v>4277</v>
      </c>
    </row>
    <row r="3123" spans="1:6" ht="31.75">
      <c r="A3123" s="19">
        <v>50504</v>
      </c>
      <c r="B3123" s="12" t="str">
        <f t="shared" si="48"/>
        <v>505</v>
      </c>
      <c r="C3123" s="1" t="s">
        <v>4322</v>
      </c>
      <c r="D3123" s="13" t="str">
        <f>IF(RIGHT(A3123,3)="000",C3123,VLOOKUP(B3123,'Справочник ИХ'!A:C,3,0))</f>
        <v>Хлебные грузы</v>
      </c>
      <c r="E3123" s="13">
        <f>IF(RIGHT(A3123,3)="000","х",VLOOKUP(B3123,'Справочник ИХ'!A:D,4,0))</f>
        <v>2</v>
      </c>
      <c r="F3123" s="14" t="s">
        <v>4277</v>
      </c>
    </row>
    <row r="3124" spans="1:6" ht="31.75">
      <c r="A3124" s="19">
        <v>50505</v>
      </c>
      <c r="B3124" s="12" t="str">
        <f t="shared" si="48"/>
        <v>505</v>
      </c>
      <c r="C3124" s="1" t="s">
        <v>4323</v>
      </c>
      <c r="D3124" s="13" t="str">
        <f>IF(RIGHT(A3124,3)="000",C3124,VLOOKUP(B3124,'Справочник ИХ'!A:C,3,0))</f>
        <v>Хлебные грузы</v>
      </c>
      <c r="E3124" s="13">
        <f>IF(RIGHT(A3124,3)="000","х",VLOOKUP(B3124,'Справочник ИХ'!A:D,4,0))</f>
        <v>2</v>
      </c>
      <c r="F3124" s="14" t="s">
        <v>4277</v>
      </c>
    </row>
    <row r="3125" spans="1:6" ht="31.75">
      <c r="A3125" s="19">
        <v>50506</v>
      </c>
      <c r="B3125" s="12" t="str">
        <f t="shared" si="48"/>
        <v>505</v>
      </c>
      <c r="C3125" s="1" t="s">
        <v>4324</v>
      </c>
      <c r="D3125" s="13" t="str">
        <f>IF(RIGHT(A3125,3)="000",C3125,VLOOKUP(B3125,'Справочник ИХ'!A:C,3,0))</f>
        <v>Хлебные грузы</v>
      </c>
      <c r="E3125" s="13">
        <f>IF(RIGHT(A3125,3)="000","х",VLOOKUP(B3125,'Справочник ИХ'!A:D,4,0))</f>
        <v>2</v>
      </c>
      <c r="F3125" s="14" t="s">
        <v>4277</v>
      </c>
    </row>
    <row r="3126" spans="1:6" ht="31.75">
      <c r="A3126" s="19">
        <v>50507</v>
      </c>
      <c r="B3126" s="12" t="str">
        <f t="shared" si="48"/>
        <v>505</v>
      </c>
      <c r="C3126" s="1" t="s">
        <v>4325</v>
      </c>
      <c r="D3126" s="13" t="str">
        <f>IF(RIGHT(A3126,3)="000",C3126,VLOOKUP(B3126,'Справочник ИХ'!A:C,3,0))</f>
        <v>Хлебные грузы</v>
      </c>
      <c r="E3126" s="13">
        <f>IF(RIGHT(A3126,3)="000","х",VLOOKUP(B3126,'Справочник ИХ'!A:D,4,0))</f>
        <v>2</v>
      </c>
      <c r="F3126" s="14" t="s">
        <v>4277</v>
      </c>
    </row>
    <row r="3127" spans="1:6" s="15" customFormat="1" ht="31.75">
      <c r="A3127" s="7">
        <v>51000</v>
      </c>
      <c r="B3127" s="12" t="str">
        <f t="shared" si="48"/>
        <v>510</v>
      </c>
      <c r="C3127" s="11" t="s">
        <v>4326</v>
      </c>
      <c r="D3127" s="13" t="str">
        <f>IF(RIGHT(A3127,3)="000",C3127,VLOOKUP(B3127,'Справочник ИХ'!A:C,3,0))</f>
        <v xml:space="preserve">Продукция пищевой промышленности </v>
      </c>
      <c r="E3127" s="13" t="str">
        <f>IF(RIGHT(A3127,3)="000","х",VLOOKUP(B3127,'Справочник ИХ'!A:D,4,0))</f>
        <v>х</v>
      </c>
      <c r="F3127" s="14" t="s">
        <v>4326</v>
      </c>
    </row>
    <row r="3128" spans="1:6" s="18" customFormat="1">
      <c r="A3128" s="16">
        <v>51100</v>
      </c>
      <c r="B3128" s="12" t="str">
        <f t="shared" si="48"/>
        <v>511</v>
      </c>
      <c r="C3128" s="17" t="s">
        <v>4327</v>
      </c>
      <c r="D3128" s="13" t="str">
        <f>IF(RIGHT(A3128,3)="000",C3128,VLOOKUP(B3128,'Справочник ИХ'!A:C,3,0))</f>
        <v>Остальные грузы</v>
      </c>
      <c r="E3128" s="13">
        <f>IF(RIGHT(A3128,3)="000","х",VLOOKUP(B3128,'Справочник ИХ'!A:D,4,0))</f>
        <v>2</v>
      </c>
      <c r="F3128" s="14" t="s">
        <v>4326</v>
      </c>
    </row>
    <row r="3129" spans="1:6" ht="31.75">
      <c r="A3129" s="19">
        <v>51101</v>
      </c>
      <c r="B3129" s="12" t="str">
        <f t="shared" si="48"/>
        <v>511</v>
      </c>
      <c r="C3129" s="1" t="s">
        <v>4328</v>
      </c>
      <c r="D3129" s="13" t="str">
        <f>IF(RIGHT(A3129,3)="000",C3129,VLOOKUP(B3129,'Справочник ИХ'!A:C,3,0))</f>
        <v>Остальные грузы</v>
      </c>
      <c r="E3129" s="13">
        <f>IF(RIGHT(A3129,3)="000","х",VLOOKUP(B3129,'Справочник ИХ'!A:D,4,0))</f>
        <v>2</v>
      </c>
      <c r="F3129" s="14" t="s">
        <v>4326</v>
      </c>
    </row>
    <row r="3130" spans="1:6" ht="31.75">
      <c r="A3130" s="19">
        <v>51102</v>
      </c>
      <c r="B3130" s="12" t="str">
        <f t="shared" si="48"/>
        <v>511</v>
      </c>
      <c r="C3130" s="1" t="s">
        <v>4329</v>
      </c>
      <c r="D3130" s="13" t="str">
        <f>IF(RIGHT(A3130,3)="000",C3130,VLOOKUP(B3130,'Справочник ИХ'!A:C,3,0))</f>
        <v>Остальные грузы</v>
      </c>
      <c r="E3130" s="13">
        <f>IF(RIGHT(A3130,3)="000","х",VLOOKUP(B3130,'Справочник ИХ'!A:D,4,0))</f>
        <v>2</v>
      </c>
      <c r="F3130" s="14" t="s">
        <v>4326</v>
      </c>
    </row>
    <row r="3131" spans="1:6">
      <c r="A3131" s="19">
        <v>51103</v>
      </c>
      <c r="B3131" s="12" t="str">
        <f t="shared" si="48"/>
        <v>511</v>
      </c>
      <c r="C3131" s="1" t="s">
        <v>4330</v>
      </c>
      <c r="D3131" s="13" t="str">
        <f>IF(RIGHT(A3131,3)="000",C3131,VLOOKUP(B3131,'Справочник ИХ'!A:C,3,0))</f>
        <v>Остальные грузы</v>
      </c>
      <c r="E3131" s="13">
        <f>IF(RIGHT(A3131,3)="000","х",VLOOKUP(B3131,'Справочник ИХ'!A:D,4,0))</f>
        <v>2</v>
      </c>
      <c r="F3131" s="14" t="s">
        <v>4326</v>
      </c>
    </row>
    <row r="3132" spans="1:6" s="18" customFormat="1">
      <c r="A3132" s="16">
        <v>51200</v>
      </c>
      <c r="B3132" s="12" t="str">
        <f t="shared" si="48"/>
        <v>512</v>
      </c>
      <c r="C3132" s="17" t="s">
        <v>4331</v>
      </c>
      <c r="D3132" s="13" t="str">
        <f>IF(RIGHT(A3132,3)="000",C3132,VLOOKUP(B3132,'Справочник ИХ'!A:C,3,0))</f>
        <v>Остальные грузы</v>
      </c>
      <c r="E3132" s="13">
        <f>IF(RIGHT(A3132,3)="000","х",VLOOKUP(B3132,'Справочник ИХ'!A:D,4,0))</f>
        <v>2</v>
      </c>
      <c r="F3132" s="14" t="s">
        <v>4326</v>
      </c>
    </row>
    <row r="3133" spans="1:6">
      <c r="A3133" s="19">
        <v>51201</v>
      </c>
      <c r="B3133" s="12" t="str">
        <f t="shared" si="48"/>
        <v>512</v>
      </c>
      <c r="C3133" s="1" t="s">
        <v>4332</v>
      </c>
      <c r="D3133" s="13" t="str">
        <f>IF(RIGHT(A3133,3)="000",C3133,VLOOKUP(B3133,'Справочник ИХ'!A:C,3,0))</f>
        <v>Остальные грузы</v>
      </c>
      <c r="E3133" s="13">
        <f>IF(RIGHT(A3133,3)="000","х",VLOOKUP(B3133,'Справочник ИХ'!A:D,4,0))</f>
        <v>2</v>
      </c>
      <c r="F3133" s="14" t="s">
        <v>4326</v>
      </c>
    </row>
    <row r="3134" spans="1:6">
      <c r="A3134" s="19">
        <v>51202</v>
      </c>
      <c r="B3134" s="12" t="str">
        <f t="shared" si="48"/>
        <v>512</v>
      </c>
      <c r="C3134" s="1" t="s">
        <v>4333</v>
      </c>
      <c r="D3134" s="13" t="str">
        <f>IF(RIGHT(A3134,3)="000",C3134,VLOOKUP(B3134,'Справочник ИХ'!A:C,3,0))</f>
        <v>Остальные грузы</v>
      </c>
      <c r="E3134" s="13">
        <f>IF(RIGHT(A3134,3)="000","х",VLOOKUP(B3134,'Справочник ИХ'!A:D,4,0))</f>
        <v>2</v>
      </c>
      <c r="F3134" s="14" t="s">
        <v>4326</v>
      </c>
    </row>
    <row r="3135" spans="1:6" ht="31.75">
      <c r="A3135" s="19">
        <v>51203</v>
      </c>
      <c r="B3135" s="12" t="str">
        <f t="shared" si="48"/>
        <v>512</v>
      </c>
      <c r="C3135" s="1" t="s">
        <v>4334</v>
      </c>
      <c r="D3135" s="13" t="str">
        <f>IF(RIGHT(A3135,3)="000",C3135,VLOOKUP(B3135,'Справочник ИХ'!A:C,3,0))</f>
        <v>Остальные грузы</v>
      </c>
      <c r="E3135" s="13">
        <f>IF(RIGHT(A3135,3)="000","х",VLOOKUP(B3135,'Справочник ИХ'!A:D,4,0))</f>
        <v>2</v>
      </c>
      <c r="F3135" s="14" t="s">
        <v>4326</v>
      </c>
    </row>
    <row r="3136" spans="1:6">
      <c r="A3136" s="19">
        <v>51204</v>
      </c>
      <c r="B3136" s="12" t="str">
        <f t="shared" si="48"/>
        <v>512</v>
      </c>
      <c r="C3136" s="1" t="s">
        <v>4335</v>
      </c>
      <c r="D3136" s="13" t="str">
        <f>IF(RIGHT(A3136,3)="000",C3136,VLOOKUP(B3136,'Справочник ИХ'!A:C,3,0))</f>
        <v>Остальные грузы</v>
      </c>
      <c r="E3136" s="13">
        <f>IF(RIGHT(A3136,3)="000","х",VLOOKUP(B3136,'Справочник ИХ'!A:D,4,0))</f>
        <v>2</v>
      </c>
      <c r="F3136" s="14" t="s">
        <v>4326</v>
      </c>
    </row>
    <row r="3137" spans="1:6" s="18" customFormat="1">
      <c r="A3137" s="16">
        <v>51300</v>
      </c>
      <c r="B3137" s="12" t="str">
        <f t="shared" si="48"/>
        <v>513</v>
      </c>
      <c r="C3137" s="17" t="s">
        <v>4336</v>
      </c>
      <c r="D3137" s="13" t="str">
        <f>IF(RIGHT(A3137,3)="000",C3137,VLOOKUP(B3137,'Справочник ИХ'!A:C,3,0))</f>
        <v>Остальные грузы</v>
      </c>
      <c r="E3137" s="13">
        <f>IF(RIGHT(A3137,3)="000","х",VLOOKUP(B3137,'Справочник ИХ'!A:D,4,0))</f>
        <v>2</v>
      </c>
      <c r="F3137" s="14" t="s">
        <v>4326</v>
      </c>
    </row>
    <row r="3138" spans="1:6">
      <c r="A3138" s="19">
        <v>51301</v>
      </c>
      <c r="B3138" s="12" t="str">
        <f t="shared" si="48"/>
        <v>513</v>
      </c>
      <c r="C3138" s="1" t="s">
        <v>4337</v>
      </c>
      <c r="D3138" s="13" t="str">
        <f>IF(RIGHT(A3138,3)="000",C3138,VLOOKUP(B3138,'Справочник ИХ'!A:C,3,0))</f>
        <v>Остальные грузы</v>
      </c>
      <c r="E3138" s="13">
        <f>IF(RIGHT(A3138,3)="000","х",VLOOKUP(B3138,'Справочник ИХ'!A:D,4,0))</f>
        <v>2</v>
      </c>
      <c r="F3138" s="14" t="s">
        <v>4326</v>
      </c>
    </row>
    <row r="3139" spans="1:6">
      <c r="A3139" s="19">
        <v>51302</v>
      </c>
      <c r="B3139" s="12" t="str">
        <f t="shared" si="48"/>
        <v>513</v>
      </c>
      <c r="C3139" s="1" t="s">
        <v>4338</v>
      </c>
      <c r="D3139" s="13" t="str">
        <f>IF(RIGHT(A3139,3)="000",C3139,VLOOKUP(B3139,'Справочник ИХ'!A:C,3,0))</f>
        <v>Остальные грузы</v>
      </c>
      <c r="E3139" s="13">
        <f>IF(RIGHT(A3139,3)="000","х",VLOOKUP(B3139,'Справочник ИХ'!A:D,4,0))</f>
        <v>2</v>
      </c>
      <c r="F3139" s="14" t="s">
        <v>4326</v>
      </c>
    </row>
    <row r="3140" spans="1:6" ht="31.75">
      <c r="A3140" s="19">
        <v>51303</v>
      </c>
      <c r="B3140" s="12" t="str">
        <f t="shared" si="48"/>
        <v>513</v>
      </c>
      <c r="C3140" s="1" t="s">
        <v>4339</v>
      </c>
      <c r="D3140" s="13" t="str">
        <f>IF(RIGHT(A3140,3)="000",C3140,VLOOKUP(B3140,'Справочник ИХ'!A:C,3,0))</f>
        <v>Остальные грузы</v>
      </c>
      <c r="E3140" s="13">
        <f>IF(RIGHT(A3140,3)="000","х",VLOOKUP(B3140,'Справочник ИХ'!A:D,4,0))</f>
        <v>2</v>
      </c>
      <c r="F3140" s="14" t="s">
        <v>4326</v>
      </c>
    </row>
    <row r="3141" spans="1:6">
      <c r="A3141" s="19">
        <v>51304</v>
      </c>
      <c r="B3141" s="12" t="str">
        <f t="shared" ref="B3141:B3204" si="49">LEFT(A3141,3)</f>
        <v>513</v>
      </c>
      <c r="C3141" s="1" t="s">
        <v>4340</v>
      </c>
      <c r="D3141" s="13" t="str">
        <f>IF(RIGHT(A3141,3)="000",C3141,VLOOKUP(B3141,'Справочник ИХ'!A:C,3,0))</f>
        <v>Остальные грузы</v>
      </c>
      <c r="E3141" s="13">
        <f>IF(RIGHT(A3141,3)="000","х",VLOOKUP(B3141,'Справочник ИХ'!A:D,4,0))</f>
        <v>2</v>
      </c>
      <c r="F3141" s="14" t="s">
        <v>4326</v>
      </c>
    </row>
    <row r="3142" spans="1:6">
      <c r="A3142" s="19">
        <v>51305</v>
      </c>
      <c r="B3142" s="12" t="str">
        <f t="shared" si="49"/>
        <v>513</v>
      </c>
      <c r="C3142" s="1" t="s">
        <v>4341</v>
      </c>
      <c r="D3142" s="13" t="str">
        <f>IF(RIGHT(A3142,3)="000",C3142,VLOOKUP(B3142,'Справочник ИХ'!A:C,3,0))</f>
        <v>Остальные грузы</v>
      </c>
      <c r="E3142" s="13">
        <f>IF(RIGHT(A3142,3)="000","х",VLOOKUP(B3142,'Справочник ИХ'!A:D,4,0))</f>
        <v>2</v>
      </c>
      <c r="F3142" s="14" t="s">
        <v>4326</v>
      </c>
    </row>
    <row r="3143" spans="1:6">
      <c r="A3143" s="19">
        <v>51306</v>
      </c>
      <c r="B3143" s="12" t="str">
        <f t="shared" si="49"/>
        <v>513</v>
      </c>
      <c r="C3143" s="1" t="s">
        <v>4342</v>
      </c>
      <c r="D3143" s="13" t="str">
        <f>IF(RIGHT(A3143,3)="000",C3143,VLOOKUP(B3143,'Справочник ИХ'!A:C,3,0))</f>
        <v>Остальные грузы</v>
      </c>
      <c r="E3143" s="13">
        <f>IF(RIGHT(A3143,3)="000","х",VLOOKUP(B3143,'Справочник ИХ'!A:D,4,0))</f>
        <v>2</v>
      </c>
      <c r="F3143" s="14" t="s">
        <v>4326</v>
      </c>
    </row>
    <row r="3144" spans="1:6">
      <c r="A3144" s="19">
        <v>51307</v>
      </c>
      <c r="B3144" s="12" t="str">
        <f t="shared" si="49"/>
        <v>513</v>
      </c>
      <c r="C3144" s="1" t="s">
        <v>4343</v>
      </c>
      <c r="D3144" s="13" t="str">
        <f>IF(RIGHT(A3144,3)="000",C3144,VLOOKUP(B3144,'Справочник ИХ'!A:C,3,0))</f>
        <v>Остальные грузы</v>
      </c>
      <c r="E3144" s="13">
        <f>IF(RIGHT(A3144,3)="000","х",VLOOKUP(B3144,'Справочник ИХ'!A:D,4,0))</f>
        <v>2</v>
      </c>
      <c r="F3144" s="14" t="s">
        <v>4326</v>
      </c>
    </row>
    <row r="3145" spans="1:6" s="18" customFormat="1" ht="31.75">
      <c r="A3145" s="16">
        <v>51400</v>
      </c>
      <c r="B3145" s="12" t="str">
        <f t="shared" si="49"/>
        <v>514</v>
      </c>
      <c r="C3145" s="17" t="s">
        <v>4344</v>
      </c>
      <c r="D3145" s="13" t="str">
        <f>IF(RIGHT(A3145,3)="000",C3145,VLOOKUP(B3145,'Справочник ИХ'!A:C,3,0))</f>
        <v>Остальные грузы</v>
      </c>
      <c r="E3145" s="13">
        <f>IF(RIGHT(A3145,3)="000","х",VLOOKUP(B3145,'Справочник ИХ'!A:D,4,0))</f>
        <v>2</v>
      </c>
      <c r="F3145" s="14" t="s">
        <v>4326</v>
      </c>
    </row>
    <row r="3146" spans="1:6">
      <c r="A3146" s="19">
        <v>51401</v>
      </c>
      <c r="B3146" s="12" t="str">
        <f t="shared" si="49"/>
        <v>514</v>
      </c>
      <c r="C3146" s="1" t="s">
        <v>4345</v>
      </c>
      <c r="D3146" s="13" t="str">
        <f>IF(RIGHT(A3146,3)="000",C3146,VLOOKUP(B3146,'Справочник ИХ'!A:C,3,0))</f>
        <v>Остальные грузы</v>
      </c>
      <c r="E3146" s="13">
        <f>IF(RIGHT(A3146,3)="000","х",VLOOKUP(B3146,'Справочник ИХ'!A:D,4,0))</f>
        <v>2</v>
      </c>
      <c r="F3146" s="14" t="s">
        <v>4326</v>
      </c>
    </row>
    <row r="3147" spans="1:6">
      <c r="A3147" s="19">
        <v>51402</v>
      </c>
      <c r="B3147" s="12" t="str">
        <f t="shared" si="49"/>
        <v>514</v>
      </c>
      <c r="C3147" s="1" t="s">
        <v>4346</v>
      </c>
      <c r="D3147" s="13" t="str">
        <f>IF(RIGHT(A3147,3)="000",C3147,VLOOKUP(B3147,'Справочник ИХ'!A:C,3,0))</f>
        <v>Остальные грузы</v>
      </c>
      <c r="E3147" s="13">
        <f>IF(RIGHT(A3147,3)="000","х",VLOOKUP(B3147,'Справочник ИХ'!A:D,4,0))</f>
        <v>2</v>
      </c>
      <c r="F3147" s="14" t="s">
        <v>4326</v>
      </c>
    </row>
    <row r="3148" spans="1:6" ht="31.75">
      <c r="A3148" s="19">
        <v>51403</v>
      </c>
      <c r="B3148" s="12" t="str">
        <f t="shared" si="49"/>
        <v>514</v>
      </c>
      <c r="C3148" s="1" t="s">
        <v>4347</v>
      </c>
      <c r="D3148" s="13" t="str">
        <f>IF(RIGHT(A3148,3)="000",C3148,VLOOKUP(B3148,'Справочник ИХ'!A:C,3,0))</f>
        <v>Остальные грузы</v>
      </c>
      <c r="E3148" s="13">
        <f>IF(RIGHT(A3148,3)="000","х",VLOOKUP(B3148,'Справочник ИХ'!A:D,4,0))</f>
        <v>2</v>
      </c>
      <c r="F3148" s="14" t="s">
        <v>4326</v>
      </c>
    </row>
    <row r="3149" spans="1:6">
      <c r="A3149" s="19">
        <v>51404</v>
      </c>
      <c r="B3149" s="12" t="str">
        <f t="shared" si="49"/>
        <v>514</v>
      </c>
      <c r="C3149" s="1" t="s">
        <v>4348</v>
      </c>
      <c r="D3149" s="13" t="str">
        <f>IF(RIGHT(A3149,3)="000",C3149,VLOOKUP(B3149,'Справочник ИХ'!A:C,3,0))</f>
        <v>Остальные грузы</v>
      </c>
      <c r="E3149" s="13">
        <f>IF(RIGHT(A3149,3)="000","х",VLOOKUP(B3149,'Справочник ИХ'!A:D,4,0))</f>
        <v>2</v>
      </c>
      <c r="F3149" s="14" t="s">
        <v>4326</v>
      </c>
    </row>
    <row r="3150" spans="1:6">
      <c r="A3150" s="19">
        <v>51405</v>
      </c>
      <c r="B3150" s="12" t="str">
        <f t="shared" si="49"/>
        <v>514</v>
      </c>
      <c r="C3150" s="1" t="s">
        <v>4349</v>
      </c>
      <c r="D3150" s="13" t="str">
        <f>IF(RIGHT(A3150,3)="000",C3150,VLOOKUP(B3150,'Справочник ИХ'!A:C,3,0))</f>
        <v>Остальные грузы</v>
      </c>
      <c r="E3150" s="13">
        <f>IF(RIGHT(A3150,3)="000","х",VLOOKUP(B3150,'Справочник ИХ'!A:D,4,0))</f>
        <v>2</v>
      </c>
      <c r="F3150" s="14" t="s">
        <v>4326</v>
      </c>
    </row>
    <row r="3151" spans="1:6">
      <c r="A3151" s="19">
        <v>51406</v>
      </c>
      <c r="B3151" s="12" t="str">
        <f t="shared" si="49"/>
        <v>514</v>
      </c>
      <c r="C3151" s="1" t="s">
        <v>4350</v>
      </c>
      <c r="D3151" s="13" t="str">
        <f>IF(RIGHT(A3151,3)="000",C3151,VLOOKUP(B3151,'Справочник ИХ'!A:C,3,0))</f>
        <v>Остальные грузы</v>
      </c>
      <c r="E3151" s="13">
        <f>IF(RIGHT(A3151,3)="000","х",VLOOKUP(B3151,'Справочник ИХ'!A:D,4,0))</f>
        <v>2</v>
      </c>
      <c r="F3151" s="14" t="s">
        <v>4326</v>
      </c>
    </row>
    <row r="3152" spans="1:6">
      <c r="A3152" s="19">
        <v>51407</v>
      </c>
      <c r="B3152" s="12" t="str">
        <f t="shared" si="49"/>
        <v>514</v>
      </c>
      <c r="C3152" s="1" t="s">
        <v>4351</v>
      </c>
      <c r="D3152" s="13" t="str">
        <f>IF(RIGHT(A3152,3)="000",C3152,VLOOKUP(B3152,'Справочник ИХ'!A:C,3,0))</f>
        <v>Остальные грузы</v>
      </c>
      <c r="E3152" s="13">
        <f>IF(RIGHT(A3152,3)="000","х",VLOOKUP(B3152,'Справочник ИХ'!A:D,4,0))</f>
        <v>2</v>
      </c>
      <c r="F3152" s="14" t="s">
        <v>4326</v>
      </c>
    </row>
    <row r="3153" spans="1:6">
      <c r="A3153" s="19">
        <v>51408</v>
      </c>
      <c r="B3153" s="12" t="str">
        <f t="shared" si="49"/>
        <v>514</v>
      </c>
      <c r="C3153" s="1" t="s">
        <v>4352</v>
      </c>
      <c r="D3153" s="13" t="str">
        <f>IF(RIGHT(A3153,3)="000",C3153,VLOOKUP(B3153,'Справочник ИХ'!A:C,3,0))</f>
        <v>Остальные грузы</v>
      </c>
      <c r="E3153" s="13">
        <f>IF(RIGHT(A3153,3)="000","х",VLOOKUP(B3153,'Справочник ИХ'!A:D,4,0))</f>
        <v>2</v>
      </c>
      <c r="F3153" s="14" t="s">
        <v>4326</v>
      </c>
    </row>
    <row r="3154" spans="1:6">
      <c r="A3154" s="19">
        <v>51409</v>
      </c>
      <c r="B3154" s="12" t="str">
        <f t="shared" si="49"/>
        <v>514</v>
      </c>
      <c r="C3154" s="1" t="s">
        <v>4353</v>
      </c>
      <c r="D3154" s="13" t="str">
        <f>IF(RIGHT(A3154,3)="000",C3154,VLOOKUP(B3154,'Справочник ИХ'!A:C,3,0))</f>
        <v>Остальные грузы</v>
      </c>
      <c r="E3154" s="13">
        <f>IF(RIGHT(A3154,3)="000","х",VLOOKUP(B3154,'Справочник ИХ'!A:D,4,0))</f>
        <v>2</v>
      </c>
      <c r="F3154" s="14" t="s">
        <v>4326</v>
      </c>
    </row>
    <row r="3155" spans="1:6">
      <c r="A3155" s="19">
        <v>51410</v>
      </c>
      <c r="B3155" s="12" t="str">
        <f t="shared" si="49"/>
        <v>514</v>
      </c>
      <c r="C3155" s="1" t="s">
        <v>4354</v>
      </c>
      <c r="D3155" s="13" t="str">
        <f>IF(RIGHT(A3155,3)="000",C3155,VLOOKUP(B3155,'Справочник ИХ'!A:C,3,0))</f>
        <v>Остальные грузы</v>
      </c>
      <c r="E3155" s="13">
        <f>IF(RIGHT(A3155,3)="000","х",VLOOKUP(B3155,'Справочник ИХ'!A:D,4,0))</f>
        <v>2</v>
      </c>
      <c r="F3155" s="14" t="s">
        <v>4326</v>
      </c>
    </row>
    <row r="3156" spans="1:6">
      <c r="A3156" s="19">
        <v>51411</v>
      </c>
      <c r="B3156" s="12" t="str">
        <f t="shared" si="49"/>
        <v>514</v>
      </c>
      <c r="C3156" s="1" t="s">
        <v>4355</v>
      </c>
      <c r="D3156" s="13" t="str">
        <f>IF(RIGHT(A3156,3)="000",C3156,VLOOKUP(B3156,'Справочник ИХ'!A:C,3,0))</f>
        <v>Остальные грузы</v>
      </c>
      <c r="E3156" s="13">
        <f>IF(RIGHT(A3156,3)="000","х",VLOOKUP(B3156,'Справочник ИХ'!A:D,4,0))</f>
        <v>2</v>
      </c>
      <c r="F3156" s="14" t="s">
        <v>4326</v>
      </c>
    </row>
    <row r="3157" spans="1:6" ht="31.75">
      <c r="A3157" s="19">
        <v>51412</v>
      </c>
      <c r="B3157" s="12" t="str">
        <f t="shared" si="49"/>
        <v>514</v>
      </c>
      <c r="C3157" s="1" t="s">
        <v>4356</v>
      </c>
      <c r="D3157" s="13" t="str">
        <f>IF(RIGHT(A3157,3)="000",C3157,VLOOKUP(B3157,'Справочник ИХ'!A:C,3,0))</f>
        <v>Остальные грузы</v>
      </c>
      <c r="E3157" s="13">
        <f>IF(RIGHT(A3157,3)="000","х",VLOOKUP(B3157,'Справочник ИХ'!A:D,4,0))</f>
        <v>2</v>
      </c>
      <c r="F3157" s="14" t="s">
        <v>4326</v>
      </c>
    </row>
    <row r="3158" spans="1:6">
      <c r="A3158" s="19">
        <v>51413</v>
      </c>
      <c r="B3158" s="12" t="str">
        <f t="shared" si="49"/>
        <v>514</v>
      </c>
      <c r="C3158" s="1" t="s">
        <v>4357</v>
      </c>
      <c r="D3158" s="13" t="str">
        <f>IF(RIGHT(A3158,3)="000",C3158,VLOOKUP(B3158,'Справочник ИХ'!A:C,3,0))</f>
        <v>Остальные грузы</v>
      </c>
      <c r="E3158" s="13">
        <f>IF(RIGHT(A3158,3)="000","х",VLOOKUP(B3158,'Справочник ИХ'!A:D,4,0))</f>
        <v>2</v>
      </c>
      <c r="F3158" s="14" t="s">
        <v>4326</v>
      </c>
    </row>
    <row r="3159" spans="1:6">
      <c r="A3159" s="19">
        <v>51414</v>
      </c>
      <c r="B3159" s="12" t="str">
        <f t="shared" si="49"/>
        <v>514</v>
      </c>
      <c r="C3159" s="1" t="s">
        <v>4358</v>
      </c>
      <c r="D3159" s="13" t="str">
        <f>IF(RIGHT(A3159,3)="000",C3159,VLOOKUP(B3159,'Справочник ИХ'!A:C,3,0))</f>
        <v>Остальные грузы</v>
      </c>
      <c r="E3159" s="13">
        <f>IF(RIGHT(A3159,3)="000","х",VLOOKUP(B3159,'Справочник ИХ'!A:D,4,0))</f>
        <v>2</v>
      </c>
      <c r="F3159" s="14" t="s">
        <v>4326</v>
      </c>
    </row>
    <row r="3160" spans="1:6">
      <c r="A3160" s="19">
        <v>51415</v>
      </c>
      <c r="B3160" s="12" t="str">
        <f t="shared" si="49"/>
        <v>514</v>
      </c>
      <c r="C3160" s="1" t="s">
        <v>4359</v>
      </c>
      <c r="D3160" s="13" t="str">
        <f>IF(RIGHT(A3160,3)="000",C3160,VLOOKUP(B3160,'Справочник ИХ'!A:C,3,0))</f>
        <v>Остальные грузы</v>
      </c>
      <c r="E3160" s="13">
        <f>IF(RIGHT(A3160,3)="000","х",VLOOKUP(B3160,'Справочник ИХ'!A:D,4,0))</f>
        <v>2</v>
      </c>
      <c r="F3160" s="14" t="s">
        <v>4326</v>
      </c>
    </row>
    <row r="3161" spans="1:6">
      <c r="A3161" s="19">
        <v>51416</v>
      </c>
      <c r="B3161" s="12" t="str">
        <f t="shared" si="49"/>
        <v>514</v>
      </c>
      <c r="C3161" s="1" t="s">
        <v>4360</v>
      </c>
      <c r="D3161" s="13" t="str">
        <f>IF(RIGHT(A3161,3)="000",C3161,VLOOKUP(B3161,'Справочник ИХ'!A:C,3,0))</f>
        <v>Остальные грузы</v>
      </c>
      <c r="E3161" s="13">
        <f>IF(RIGHT(A3161,3)="000","х",VLOOKUP(B3161,'Справочник ИХ'!A:D,4,0))</f>
        <v>2</v>
      </c>
      <c r="F3161" s="14" t="s">
        <v>4326</v>
      </c>
    </row>
    <row r="3162" spans="1:6">
      <c r="A3162" s="19">
        <v>51417</v>
      </c>
      <c r="B3162" s="12" t="str">
        <f t="shared" si="49"/>
        <v>514</v>
      </c>
      <c r="C3162" s="1" t="s">
        <v>4361</v>
      </c>
      <c r="D3162" s="13" t="str">
        <f>IF(RIGHT(A3162,3)="000",C3162,VLOOKUP(B3162,'Справочник ИХ'!A:C,3,0))</f>
        <v>Остальные грузы</v>
      </c>
      <c r="E3162" s="13">
        <f>IF(RIGHT(A3162,3)="000","х",VLOOKUP(B3162,'Справочник ИХ'!A:D,4,0))</f>
        <v>2</v>
      </c>
      <c r="F3162" s="14" t="s">
        <v>4326</v>
      </c>
    </row>
    <row r="3163" spans="1:6">
      <c r="A3163" s="19">
        <v>51418</v>
      </c>
      <c r="B3163" s="12" t="str">
        <f t="shared" si="49"/>
        <v>514</v>
      </c>
      <c r="C3163" s="1" t="s">
        <v>4362</v>
      </c>
      <c r="D3163" s="13" t="str">
        <f>IF(RIGHT(A3163,3)="000",C3163,VLOOKUP(B3163,'Справочник ИХ'!A:C,3,0))</f>
        <v>Остальные грузы</v>
      </c>
      <c r="E3163" s="13">
        <f>IF(RIGHT(A3163,3)="000","х",VLOOKUP(B3163,'Справочник ИХ'!A:D,4,0))</f>
        <v>2</v>
      </c>
      <c r="F3163" s="14" t="s">
        <v>4326</v>
      </c>
    </row>
    <row r="3164" spans="1:6" s="18" customFormat="1" ht="31.75">
      <c r="A3164" s="16">
        <v>51500</v>
      </c>
      <c r="B3164" s="12" t="str">
        <f t="shared" si="49"/>
        <v>515</v>
      </c>
      <c r="C3164" s="17" t="s">
        <v>4363</v>
      </c>
      <c r="D3164" s="13" t="str">
        <f>IF(RIGHT(A3164,3)="000",C3164,VLOOKUP(B3164,'Справочник ИХ'!A:C,3,0))</f>
        <v>Остальные грузы</v>
      </c>
      <c r="E3164" s="13">
        <f>IF(RIGHT(A3164,3)="000","х",VLOOKUP(B3164,'Справочник ИХ'!A:D,4,0))</f>
        <v>3</v>
      </c>
      <c r="F3164" s="14" t="s">
        <v>4326</v>
      </c>
    </row>
    <row r="3165" spans="1:6">
      <c r="A3165" s="19">
        <v>51501</v>
      </c>
      <c r="B3165" s="12" t="str">
        <f t="shared" si="49"/>
        <v>515</v>
      </c>
      <c r="C3165" s="1" t="s">
        <v>4364</v>
      </c>
      <c r="D3165" s="13" t="str">
        <f>IF(RIGHT(A3165,3)="000",C3165,VLOOKUP(B3165,'Справочник ИХ'!A:C,3,0))</f>
        <v>Остальные грузы</v>
      </c>
      <c r="E3165" s="13">
        <f>IF(RIGHT(A3165,3)="000","х",VLOOKUP(B3165,'Справочник ИХ'!A:D,4,0))</f>
        <v>3</v>
      </c>
      <c r="F3165" s="14" t="s">
        <v>4326</v>
      </c>
    </row>
    <row r="3166" spans="1:6">
      <c r="A3166" s="19">
        <v>51502</v>
      </c>
      <c r="B3166" s="12" t="str">
        <f t="shared" si="49"/>
        <v>515</v>
      </c>
      <c r="C3166" s="1" t="s">
        <v>4365</v>
      </c>
      <c r="D3166" s="13" t="str">
        <f>IF(RIGHT(A3166,3)="000",C3166,VLOOKUP(B3166,'Справочник ИХ'!A:C,3,0))</f>
        <v>Остальные грузы</v>
      </c>
      <c r="E3166" s="13">
        <f>IF(RIGHT(A3166,3)="000","х",VLOOKUP(B3166,'Справочник ИХ'!A:D,4,0))</f>
        <v>3</v>
      </c>
      <c r="F3166" s="14" t="s">
        <v>4326</v>
      </c>
    </row>
    <row r="3167" spans="1:6">
      <c r="A3167" s="19">
        <v>51503</v>
      </c>
      <c r="B3167" s="12" t="str">
        <f t="shared" si="49"/>
        <v>515</v>
      </c>
      <c r="C3167" s="1" t="s">
        <v>4366</v>
      </c>
      <c r="D3167" s="13" t="str">
        <f>IF(RIGHT(A3167,3)="000",C3167,VLOOKUP(B3167,'Справочник ИХ'!A:C,3,0))</f>
        <v>Остальные грузы</v>
      </c>
      <c r="E3167" s="13">
        <f>IF(RIGHT(A3167,3)="000","х",VLOOKUP(B3167,'Справочник ИХ'!A:D,4,0))</f>
        <v>3</v>
      </c>
      <c r="F3167" s="14" t="s">
        <v>4326</v>
      </c>
    </row>
    <row r="3168" spans="1:6">
      <c r="A3168" s="19">
        <v>51504</v>
      </c>
      <c r="B3168" s="12" t="str">
        <f t="shared" si="49"/>
        <v>515</v>
      </c>
      <c r="C3168" s="1" t="s">
        <v>4367</v>
      </c>
      <c r="D3168" s="13" t="str">
        <f>IF(RIGHT(A3168,3)="000",C3168,VLOOKUP(B3168,'Справочник ИХ'!A:C,3,0))</f>
        <v>Остальные грузы</v>
      </c>
      <c r="E3168" s="13">
        <f>IF(RIGHT(A3168,3)="000","х",VLOOKUP(B3168,'Справочник ИХ'!A:D,4,0))</f>
        <v>3</v>
      </c>
      <c r="F3168" s="14" t="s">
        <v>4326</v>
      </c>
    </row>
    <row r="3169" spans="1:6" ht="31.75">
      <c r="A3169" s="19">
        <v>51505</v>
      </c>
      <c r="B3169" s="12" t="str">
        <f t="shared" si="49"/>
        <v>515</v>
      </c>
      <c r="C3169" s="1" t="s">
        <v>4368</v>
      </c>
      <c r="D3169" s="13" t="str">
        <f>IF(RIGHT(A3169,3)="000",C3169,VLOOKUP(B3169,'Справочник ИХ'!A:C,3,0))</f>
        <v>Остальные грузы</v>
      </c>
      <c r="E3169" s="13">
        <f>IF(RIGHT(A3169,3)="000","х",VLOOKUP(B3169,'Справочник ИХ'!A:D,4,0))</f>
        <v>3</v>
      </c>
      <c r="F3169" s="14" t="s">
        <v>4326</v>
      </c>
    </row>
    <row r="3170" spans="1:6">
      <c r="A3170" s="19">
        <v>51506</v>
      </c>
      <c r="B3170" s="12" t="str">
        <f t="shared" si="49"/>
        <v>515</v>
      </c>
      <c r="C3170" s="1" t="s">
        <v>4369</v>
      </c>
      <c r="D3170" s="13" t="str">
        <f>IF(RIGHT(A3170,3)="000",C3170,VLOOKUP(B3170,'Справочник ИХ'!A:C,3,0))</f>
        <v>Остальные грузы</v>
      </c>
      <c r="E3170" s="13">
        <f>IF(RIGHT(A3170,3)="000","х",VLOOKUP(B3170,'Справочник ИХ'!A:D,4,0))</f>
        <v>3</v>
      </c>
      <c r="F3170" s="14" t="s">
        <v>4326</v>
      </c>
    </row>
    <row r="3171" spans="1:6">
      <c r="A3171" s="19">
        <v>51507</v>
      </c>
      <c r="B3171" s="12" t="str">
        <f t="shared" si="49"/>
        <v>515</v>
      </c>
      <c r="C3171" s="1" t="s">
        <v>4370</v>
      </c>
      <c r="D3171" s="13" t="str">
        <f>IF(RIGHT(A3171,3)="000",C3171,VLOOKUP(B3171,'Справочник ИХ'!A:C,3,0))</f>
        <v>Остальные грузы</v>
      </c>
      <c r="E3171" s="13">
        <f>IF(RIGHT(A3171,3)="000","х",VLOOKUP(B3171,'Справочник ИХ'!A:D,4,0))</f>
        <v>3</v>
      </c>
      <c r="F3171" s="14" t="s">
        <v>4326</v>
      </c>
    </row>
    <row r="3172" spans="1:6">
      <c r="A3172" s="19">
        <v>51508</v>
      </c>
      <c r="B3172" s="12" t="str">
        <f t="shared" si="49"/>
        <v>515</v>
      </c>
      <c r="C3172" s="1" t="s">
        <v>4371</v>
      </c>
      <c r="D3172" s="13" t="str">
        <f>IF(RIGHT(A3172,3)="000",C3172,VLOOKUP(B3172,'Справочник ИХ'!A:C,3,0))</f>
        <v>Остальные грузы</v>
      </c>
      <c r="E3172" s="13">
        <f>IF(RIGHT(A3172,3)="000","х",VLOOKUP(B3172,'Справочник ИХ'!A:D,4,0))</f>
        <v>3</v>
      </c>
      <c r="F3172" s="14" t="s">
        <v>4326</v>
      </c>
    </row>
    <row r="3173" spans="1:6">
      <c r="A3173" s="19">
        <v>51509</v>
      </c>
      <c r="B3173" s="12" t="str">
        <f t="shared" si="49"/>
        <v>515</v>
      </c>
      <c r="C3173" s="1" t="s">
        <v>4372</v>
      </c>
      <c r="D3173" s="13" t="str">
        <f>IF(RIGHT(A3173,3)="000",C3173,VLOOKUP(B3173,'Справочник ИХ'!A:C,3,0))</f>
        <v>Остальные грузы</v>
      </c>
      <c r="E3173" s="13">
        <f>IF(RIGHT(A3173,3)="000","х",VLOOKUP(B3173,'Справочник ИХ'!A:D,4,0))</f>
        <v>3</v>
      </c>
      <c r="F3173" s="14" t="s">
        <v>4326</v>
      </c>
    </row>
    <row r="3174" spans="1:6" ht="31.75">
      <c r="A3174" s="19">
        <v>51510</v>
      </c>
      <c r="B3174" s="12" t="str">
        <f t="shared" si="49"/>
        <v>515</v>
      </c>
      <c r="C3174" s="1" t="s">
        <v>4373</v>
      </c>
      <c r="D3174" s="13" t="str">
        <f>IF(RIGHT(A3174,3)="000",C3174,VLOOKUP(B3174,'Справочник ИХ'!A:C,3,0))</f>
        <v>Остальные грузы</v>
      </c>
      <c r="E3174" s="13">
        <f>IF(RIGHT(A3174,3)="000","х",VLOOKUP(B3174,'Справочник ИХ'!A:D,4,0))</f>
        <v>3</v>
      </c>
      <c r="F3174" s="14" t="s">
        <v>4326</v>
      </c>
    </row>
    <row r="3175" spans="1:6">
      <c r="A3175" s="19">
        <v>51511</v>
      </c>
      <c r="B3175" s="12" t="str">
        <f t="shared" si="49"/>
        <v>515</v>
      </c>
      <c r="C3175" s="1" t="s">
        <v>4374</v>
      </c>
      <c r="D3175" s="13" t="str">
        <f>IF(RIGHT(A3175,3)="000",C3175,VLOOKUP(B3175,'Справочник ИХ'!A:C,3,0))</f>
        <v>Остальные грузы</v>
      </c>
      <c r="E3175" s="13">
        <f>IF(RIGHT(A3175,3)="000","х",VLOOKUP(B3175,'Справочник ИХ'!A:D,4,0))</f>
        <v>3</v>
      </c>
      <c r="F3175" s="14" t="s">
        <v>4326</v>
      </c>
    </row>
    <row r="3176" spans="1:6">
      <c r="A3176" s="19">
        <v>51512</v>
      </c>
      <c r="B3176" s="12" t="str">
        <f t="shared" si="49"/>
        <v>515</v>
      </c>
      <c r="C3176" s="1" t="s">
        <v>4375</v>
      </c>
      <c r="D3176" s="13" t="str">
        <f>IF(RIGHT(A3176,3)="000",C3176,VLOOKUP(B3176,'Справочник ИХ'!A:C,3,0))</f>
        <v>Остальные грузы</v>
      </c>
      <c r="E3176" s="13">
        <f>IF(RIGHT(A3176,3)="000","х",VLOOKUP(B3176,'Справочник ИХ'!A:D,4,0))</f>
        <v>3</v>
      </c>
      <c r="F3176" s="14" t="s">
        <v>4326</v>
      </c>
    </row>
    <row r="3177" spans="1:6">
      <c r="A3177" s="19">
        <v>51513</v>
      </c>
      <c r="B3177" s="12" t="str">
        <f t="shared" si="49"/>
        <v>515</v>
      </c>
      <c r="C3177" s="1" t="s">
        <v>4376</v>
      </c>
      <c r="D3177" s="13" t="str">
        <f>IF(RIGHT(A3177,3)="000",C3177,VLOOKUP(B3177,'Справочник ИХ'!A:C,3,0))</f>
        <v>Остальные грузы</v>
      </c>
      <c r="E3177" s="13">
        <f>IF(RIGHT(A3177,3)="000","х",VLOOKUP(B3177,'Справочник ИХ'!A:D,4,0))</f>
        <v>3</v>
      </c>
      <c r="F3177" s="14" t="s">
        <v>4326</v>
      </c>
    </row>
    <row r="3178" spans="1:6">
      <c r="A3178" s="19">
        <v>51514</v>
      </c>
      <c r="B3178" s="12" t="str">
        <f t="shared" si="49"/>
        <v>515</v>
      </c>
      <c r="C3178" s="1" t="s">
        <v>4377</v>
      </c>
      <c r="D3178" s="13" t="str">
        <f>IF(RIGHT(A3178,3)="000",C3178,VLOOKUP(B3178,'Справочник ИХ'!A:C,3,0))</f>
        <v>Остальные грузы</v>
      </c>
      <c r="E3178" s="13">
        <f>IF(RIGHT(A3178,3)="000","х",VLOOKUP(B3178,'Справочник ИХ'!A:D,4,0))</f>
        <v>3</v>
      </c>
      <c r="F3178" s="14" t="s">
        <v>4326</v>
      </c>
    </row>
    <row r="3179" spans="1:6" s="18" customFormat="1" ht="31.75">
      <c r="A3179" s="16">
        <v>51600</v>
      </c>
      <c r="B3179" s="12" t="str">
        <f t="shared" si="49"/>
        <v>516</v>
      </c>
      <c r="C3179" s="17" t="s">
        <v>4378</v>
      </c>
      <c r="D3179" s="13" t="str">
        <f>IF(RIGHT(A3179,3)="000",C3179,VLOOKUP(B3179,'Справочник ИХ'!A:C,3,0))</f>
        <v>Остальные грузы</v>
      </c>
      <c r="E3179" s="13">
        <f>IF(RIGHT(A3179,3)="000","х",VLOOKUP(B3179,'Справочник ИХ'!A:D,4,0))</f>
        <v>2</v>
      </c>
      <c r="F3179" s="14" t="s">
        <v>4326</v>
      </c>
    </row>
    <row r="3180" spans="1:6">
      <c r="A3180" s="19">
        <v>51601</v>
      </c>
      <c r="B3180" s="12" t="str">
        <f t="shared" si="49"/>
        <v>516</v>
      </c>
      <c r="C3180" s="1" t="s">
        <v>4379</v>
      </c>
      <c r="D3180" s="13" t="str">
        <f>IF(RIGHT(A3180,3)="000",C3180,VLOOKUP(B3180,'Справочник ИХ'!A:C,3,0))</f>
        <v>Остальные грузы</v>
      </c>
      <c r="E3180" s="13">
        <f>IF(RIGHT(A3180,3)="000","х",VLOOKUP(B3180,'Справочник ИХ'!A:D,4,0))</f>
        <v>2</v>
      </c>
      <c r="F3180" s="14" t="s">
        <v>4326</v>
      </c>
    </row>
    <row r="3181" spans="1:6">
      <c r="A3181" s="19">
        <v>51602</v>
      </c>
      <c r="B3181" s="12" t="str">
        <f t="shared" si="49"/>
        <v>516</v>
      </c>
      <c r="C3181" s="1" t="s">
        <v>4380</v>
      </c>
      <c r="D3181" s="13" t="str">
        <f>IF(RIGHT(A3181,3)="000",C3181,VLOOKUP(B3181,'Справочник ИХ'!A:C,3,0))</f>
        <v>Остальные грузы</v>
      </c>
      <c r="E3181" s="13">
        <f>IF(RIGHT(A3181,3)="000","х",VLOOKUP(B3181,'Справочник ИХ'!A:D,4,0))</f>
        <v>2</v>
      </c>
      <c r="F3181" s="14" t="s">
        <v>4326</v>
      </c>
    </row>
    <row r="3182" spans="1:6">
      <c r="A3182" s="19">
        <v>51603</v>
      </c>
      <c r="B3182" s="12" t="str">
        <f t="shared" si="49"/>
        <v>516</v>
      </c>
      <c r="C3182" s="1" t="s">
        <v>4381</v>
      </c>
      <c r="D3182" s="13" t="str">
        <f>IF(RIGHT(A3182,3)="000",C3182,VLOOKUP(B3182,'Справочник ИХ'!A:C,3,0))</f>
        <v>Остальные грузы</v>
      </c>
      <c r="E3182" s="13">
        <f>IF(RIGHT(A3182,3)="000","х",VLOOKUP(B3182,'Справочник ИХ'!A:D,4,0))</f>
        <v>2</v>
      </c>
      <c r="F3182" s="14" t="s">
        <v>4326</v>
      </c>
    </row>
    <row r="3183" spans="1:6">
      <c r="A3183" s="19">
        <v>51604</v>
      </c>
      <c r="B3183" s="12" t="str">
        <f t="shared" si="49"/>
        <v>516</v>
      </c>
      <c r="C3183" s="1" t="s">
        <v>4382</v>
      </c>
      <c r="D3183" s="13" t="str">
        <f>IF(RIGHT(A3183,3)="000",C3183,VLOOKUP(B3183,'Справочник ИХ'!A:C,3,0))</f>
        <v>Остальные грузы</v>
      </c>
      <c r="E3183" s="13">
        <f>IF(RIGHT(A3183,3)="000","х",VLOOKUP(B3183,'Справочник ИХ'!A:D,4,0))</f>
        <v>2</v>
      </c>
      <c r="F3183" s="14" t="s">
        <v>4326</v>
      </c>
    </row>
    <row r="3184" spans="1:6">
      <c r="A3184" s="19">
        <v>51605</v>
      </c>
      <c r="B3184" s="12" t="str">
        <f t="shared" si="49"/>
        <v>516</v>
      </c>
      <c r="C3184" s="1" t="s">
        <v>4383</v>
      </c>
      <c r="D3184" s="13" t="str">
        <f>IF(RIGHT(A3184,3)="000",C3184,VLOOKUP(B3184,'Справочник ИХ'!A:C,3,0))</f>
        <v>Остальные грузы</v>
      </c>
      <c r="E3184" s="13">
        <f>IF(RIGHT(A3184,3)="000","х",VLOOKUP(B3184,'Справочник ИХ'!A:D,4,0))</f>
        <v>2</v>
      </c>
      <c r="F3184" s="14" t="s">
        <v>4326</v>
      </c>
    </row>
    <row r="3185" spans="1:6" ht="31.75">
      <c r="A3185" s="19">
        <v>51606</v>
      </c>
      <c r="B3185" s="12" t="str">
        <f t="shared" si="49"/>
        <v>516</v>
      </c>
      <c r="C3185" s="1" t="s">
        <v>4384</v>
      </c>
      <c r="D3185" s="13" t="str">
        <f>IF(RIGHT(A3185,3)="000",C3185,VLOOKUP(B3185,'Справочник ИХ'!A:C,3,0))</f>
        <v>Остальные грузы</v>
      </c>
      <c r="E3185" s="13">
        <f>IF(RIGHT(A3185,3)="000","х",VLOOKUP(B3185,'Справочник ИХ'!A:D,4,0))</f>
        <v>2</v>
      </c>
      <c r="F3185" s="14" t="s">
        <v>4326</v>
      </c>
    </row>
    <row r="3186" spans="1:6">
      <c r="A3186" s="19">
        <v>51607</v>
      </c>
      <c r="B3186" s="12" t="str">
        <f t="shared" si="49"/>
        <v>516</v>
      </c>
      <c r="C3186" s="1" t="s">
        <v>4385</v>
      </c>
      <c r="D3186" s="13" t="str">
        <f>IF(RIGHT(A3186,3)="000",C3186,VLOOKUP(B3186,'Справочник ИХ'!A:C,3,0))</f>
        <v>Остальные грузы</v>
      </c>
      <c r="E3186" s="13">
        <f>IF(RIGHT(A3186,3)="000","х",VLOOKUP(B3186,'Справочник ИХ'!A:D,4,0))</f>
        <v>2</v>
      </c>
      <c r="F3186" s="14" t="s">
        <v>4326</v>
      </c>
    </row>
    <row r="3187" spans="1:6">
      <c r="A3187" s="19">
        <v>51608</v>
      </c>
      <c r="B3187" s="12" t="str">
        <f t="shared" si="49"/>
        <v>516</v>
      </c>
      <c r="C3187" s="1" t="s">
        <v>4386</v>
      </c>
      <c r="D3187" s="13" t="str">
        <f>IF(RIGHT(A3187,3)="000",C3187,VLOOKUP(B3187,'Справочник ИХ'!A:C,3,0))</f>
        <v>Остальные грузы</v>
      </c>
      <c r="E3187" s="13">
        <f>IF(RIGHT(A3187,3)="000","х",VLOOKUP(B3187,'Справочник ИХ'!A:D,4,0))</f>
        <v>2</v>
      </c>
      <c r="F3187" s="14" t="s">
        <v>4326</v>
      </c>
    </row>
    <row r="3188" spans="1:6">
      <c r="A3188" s="19">
        <v>51609</v>
      </c>
      <c r="B3188" s="12" t="str">
        <f t="shared" si="49"/>
        <v>516</v>
      </c>
      <c r="C3188" s="1" t="s">
        <v>4387</v>
      </c>
      <c r="D3188" s="13" t="str">
        <f>IF(RIGHT(A3188,3)="000",C3188,VLOOKUP(B3188,'Справочник ИХ'!A:C,3,0))</f>
        <v>Остальные грузы</v>
      </c>
      <c r="E3188" s="13">
        <f>IF(RIGHT(A3188,3)="000","х",VLOOKUP(B3188,'Справочник ИХ'!A:D,4,0))</f>
        <v>2</v>
      </c>
      <c r="F3188" s="14" t="s">
        <v>4326</v>
      </c>
    </row>
    <row r="3189" spans="1:6">
      <c r="A3189" s="19">
        <v>51610</v>
      </c>
      <c r="B3189" s="12" t="str">
        <f t="shared" si="49"/>
        <v>516</v>
      </c>
      <c r="C3189" s="1" t="s">
        <v>4388</v>
      </c>
      <c r="D3189" s="13" t="str">
        <f>IF(RIGHT(A3189,3)="000",C3189,VLOOKUP(B3189,'Справочник ИХ'!A:C,3,0))</f>
        <v>Остальные грузы</v>
      </c>
      <c r="E3189" s="13">
        <f>IF(RIGHT(A3189,3)="000","х",VLOOKUP(B3189,'Справочник ИХ'!A:D,4,0))</f>
        <v>2</v>
      </c>
      <c r="F3189" s="14" t="s">
        <v>4326</v>
      </c>
    </row>
    <row r="3190" spans="1:6">
      <c r="A3190" s="19">
        <v>51611</v>
      </c>
      <c r="B3190" s="12" t="str">
        <f t="shared" si="49"/>
        <v>516</v>
      </c>
      <c r="C3190" s="1" t="s">
        <v>4389</v>
      </c>
      <c r="D3190" s="13" t="str">
        <f>IF(RIGHT(A3190,3)="000",C3190,VLOOKUP(B3190,'Справочник ИХ'!A:C,3,0))</f>
        <v>Остальные грузы</v>
      </c>
      <c r="E3190" s="13">
        <f>IF(RIGHT(A3190,3)="000","х",VLOOKUP(B3190,'Справочник ИХ'!A:D,4,0))</f>
        <v>2</v>
      </c>
      <c r="F3190" s="14" t="s">
        <v>4326</v>
      </c>
    </row>
    <row r="3191" spans="1:6">
      <c r="A3191" s="19">
        <v>51612</v>
      </c>
      <c r="B3191" s="12" t="str">
        <f t="shared" si="49"/>
        <v>516</v>
      </c>
      <c r="C3191" s="1" t="s">
        <v>4390</v>
      </c>
      <c r="D3191" s="13" t="str">
        <f>IF(RIGHT(A3191,3)="000",C3191,VLOOKUP(B3191,'Справочник ИХ'!A:C,3,0))</f>
        <v>Остальные грузы</v>
      </c>
      <c r="E3191" s="13">
        <f>IF(RIGHT(A3191,3)="000","х",VLOOKUP(B3191,'Справочник ИХ'!A:D,4,0))</f>
        <v>2</v>
      </c>
      <c r="F3191" s="14" t="s">
        <v>4326</v>
      </c>
    </row>
    <row r="3192" spans="1:6">
      <c r="A3192" s="19">
        <v>51613</v>
      </c>
      <c r="B3192" s="12" t="str">
        <f t="shared" si="49"/>
        <v>516</v>
      </c>
      <c r="C3192" s="1" t="s">
        <v>4391</v>
      </c>
      <c r="D3192" s="13" t="str">
        <f>IF(RIGHT(A3192,3)="000",C3192,VLOOKUP(B3192,'Справочник ИХ'!A:C,3,0))</f>
        <v>Остальные грузы</v>
      </c>
      <c r="E3192" s="13">
        <f>IF(RIGHT(A3192,3)="000","х",VLOOKUP(B3192,'Справочник ИХ'!A:D,4,0))</f>
        <v>2</v>
      </c>
      <c r="F3192" s="14" t="s">
        <v>4326</v>
      </c>
    </row>
    <row r="3193" spans="1:6">
      <c r="A3193" s="19">
        <v>51614</v>
      </c>
      <c r="B3193" s="12" t="str">
        <f t="shared" si="49"/>
        <v>516</v>
      </c>
      <c r="C3193" s="1" t="s">
        <v>4392</v>
      </c>
      <c r="D3193" s="13" t="str">
        <f>IF(RIGHT(A3193,3)="000",C3193,VLOOKUP(B3193,'Справочник ИХ'!A:C,3,0))</f>
        <v>Остальные грузы</v>
      </c>
      <c r="E3193" s="13">
        <f>IF(RIGHT(A3193,3)="000","х",VLOOKUP(B3193,'Справочник ИХ'!A:D,4,0))</f>
        <v>2</v>
      </c>
      <c r="F3193" s="14" t="s">
        <v>4326</v>
      </c>
    </row>
    <row r="3194" spans="1:6">
      <c r="A3194" s="19">
        <v>51615</v>
      </c>
      <c r="B3194" s="12" t="str">
        <f t="shared" si="49"/>
        <v>516</v>
      </c>
      <c r="C3194" s="1" t="s">
        <v>4393</v>
      </c>
      <c r="D3194" s="13" t="str">
        <f>IF(RIGHT(A3194,3)="000",C3194,VLOOKUP(B3194,'Справочник ИХ'!A:C,3,0))</f>
        <v>Остальные грузы</v>
      </c>
      <c r="E3194" s="13">
        <f>IF(RIGHT(A3194,3)="000","х",VLOOKUP(B3194,'Справочник ИХ'!A:D,4,0))</f>
        <v>2</v>
      </c>
      <c r="F3194" s="14" t="s">
        <v>4326</v>
      </c>
    </row>
    <row r="3195" spans="1:6">
      <c r="A3195" s="19">
        <v>51616</v>
      </c>
      <c r="B3195" s="12" t="str">
        <f t="shared" si="49"/>
        <v>516</v>
      </c>
      <c r="C3195" s="1" t="s">
        <v>4394</v>
      </c>
      <c r="D3195" s="13" t="str">
        <f>IF(RIGHT(A3195,3)="000",C3195,VLOOKUP(B3195,'Справочник ИХ'!A:C,3,0))</f>
        <v>Остальные грузы</v>
      </c>
      <c r="E3195" s="13">
        <f>IF(RIGHT(A3195,3)="000","х",VLOOKUP(B3195,'Справочник ИХ'!A:D,4,0))</f>
        <v>2</v>
      </c>
      <c r="F3195" s="14" t="s">
        <v>4326</v>
      </c>
    </row>
    <row r="3196" spans="1:6">
      <c r="A3196" s="19">
        <v>51617</v>
      </c>
      <c r="B3196" s="12" t="str">
        <f t="shared" si="49"/>
        <v>516</v>
      </c>
      <c r="C3196" s="1" t="s">
        <v>4395</v>
      </c>
      <c r="D3196" s="13" t="str">
        <f>IF(RIGHT(A3196,3)="000",C3196,VLOOKUP(B3196,'Справочник ИХ'!A:C,3,0))</f>
        <v>Остальные грузы</v>
      </c>
      <c r="E3196" s="13">
        <f>IF(RIGHT(A3196,3)="000","х",VLOOKUP(B3196,'Справочник ИХ'!A:D,4,0))</f>
        <v>2</v>
      </c>
      <c r="F3196" s="14" t="s">
        <v>4326</v>
      </c>
    </row>
    <row r="3197" spans="1:6">
      <c r="A3197" s="19">
        <v>51618</v>
      </c>
      <c r="B3197" s="12" t="str">
        <f t="shared" si="49"/>
        <v>516</v>
      </c>
      <c r="C3197" s="1" t="s">
        <v>4396</v>
      </c>
      <c r="D3197" s="13" t="str">
        <f>IF(RIGHT(A3197,3)="000",C3197,VLOOKUP(B3197,'Справочник ИХ'!A:C,3,0))</f>
        <v>Остальные грузы</v>
      </c>
      <c r="E3197" s="13">
        <f>IF(RIGHT(A3197,3)="000","х",VLOOKUP(B3197,'Справочник ИХ'!A:D,4,0))</f>
        <v>2</v>
      </c>
      <c r="F3197" s="14" t="s">
        <v>4326</v>
      </c>
    </row>
    <row r="3198" spans="1:6" ht="31.75">
      <c r="A3198" s="19">
        <v>51619</v>
      </c>
      <c r="B3198" s="12" t="str">
        <f t="shared" si="49"/>
        <v>516</v>
      </c>
      <c r="C3198" s="1" t="s">
        <v>4397</v>
      </c>
      <c r="D3198" s="13" t="str">
        <f>IF(RIGHT(A3198,3)="000",C3198,VLOOKUP(B3198,'Справочник ИХ'!A:C,3,0))</f>
        <v>Остальные грузы</v>
      </c>
      <c r="E3198" s="13">
        <f>IF(RIGHT(A3198,3)="000","х",VLOOKUP(B3198,'Справочник ИХ'!A:D,4,0))</f>
        <v>2</v>
      </c>
      <c r="F3198" s="14" t="s">
        <v>4326</v>
      </c>
    </row>
    <row r="3199" spans="1:6" ht="31.75">
      <c r="A3199" s="19">
        <v>51620</v>
      </c>
      <c r="B3199" s="12" t="str">
        <f t="shared" si="49"/>
        <v>516</v>
      </c>
      <c r="C3199" s="1" t="s">
        <v>4398</v>
      </c>
      <c r="D3199" s="13" t="str">
        <f>IF(RIGHT(A3199,3)="000",C3199,VLOOKUP(B3199,'Справочник ИХ'!A:C,3,0))</f>
        <v>Остальные грузы</v>
      </c>
      <c r="E3199" s="13">
        <f>IF(RIGHT(A3199,3)="000","х",VLOOKUP(B3199,'Справочник ИХ'!A:D,4,0))</f>
        <v>2</v>
      </c>
      <c r="F3199" s="14" t="s">
        <v>4326</v>
      </c>
    </row>
    <row r="3200" spans="1:6">
      <c r="A3200" s="19">
        <v>51621</v>
      </c>
      <c r="B3200" s="12" t="str">
        <f t="shared" si="49"/>
        <v>516</v>
      </c>
      <c r="C3200" s="1" t="s">
        <v>4399</v>
      </c>
      <c r="D3200" s="13" t="str">
        <f>IF(RIGHT(A3200,3)="000",C3200,VLOOKUP(B3200,'Справочник ИХ'!A:C,3,0))</f>
        <v>Остальные грузы</v>
      </c>
      <c r="E3200" s="13">
        <f>IF(RIGHT(A3200,3)="000","х",VLOOKUP(B3200,'Справочник ИХ'!A:D,4,0))</f>
        <v>2</v>
      </c>
      <c r="F3200" s="14" t="s">
        <v>4326</v>
      </c>
    </row>
    <row r="3201" spans="1:6">
      <c r="A3201" s="19">
        <v>51622</v>
      </c>
      <c r="B3201" s="12" t="str">
        <f t="shared" si="49"/>
        <v>516</v>
      </c>
      <c r="C3201" s="1" t="s">
        <v>4400</v>
      </c>
      <c r="D3201" s="13" t="str">
        <f>IF(RIGHT(A3201,3)="000",C3201,VLOOKUP(B3201,'Справочник ИХ'!A:C,3,0))</f>
        <v>Остальные грузы</v>
      </c>
      <c r="E3201" s="13">
        <f>IF(RIGHT(A3201,3)="000","х",VLOOKUP(B3201,'Справочник ИХ'!A:D,4,0))</f>
        <v>2</v>
      </c>
      <c r="F3201" s="14" t="s">
        <v>4326</v>
      </c>
    </row>
    <row r="3202" spans="1:6">
      <c r="A3202" s="19">
        <v>51623</v>
      </c>
      <c r="B3202" s="12" t="str">
        <f t="shared" si="49"/>
        <v>516</v>
      </c>
      <c r="C3202" s="1" t="s">
        <v>4401</v>
      </c>
      <c r="D3202" s="13" t="str">
        <f>IF(RIGHT(A3202,3)="000",C3202,VLOOKUP(B3202,'Справочник ИХ'!A:C,3,0))</f>
        <v>Остальные грузы</v>
      </c>
      <c r="E3202" s="13">
        <f>IF(RIGHT(A3202,3)="000","х",VLOOKUP(B3202,'Справочник ИХ'!A:D,4,0))</f>
        <v>2</v>
      </c>
      <c r="F3202" s="14" t="s">
        <v>4326</v>
      </c>
    </row>
    <row r="3203" spans="1:6">
      <c r="A3203" s="19">
        <v>51624</v>
      </c>
      <c r="B3203" s="12" t="str">
        <f t="shared" si="49"/>
        <v>516</v>
      </c>
      <c r="C3203" s="1" t="s">
        <v>4402</v>
      </c>
      <c r="D3203" s="13" t="str">
        <f>IF(RIGHT(A3203,3)="000",C3203,VLOOKUP(B3203,'Справочник ИХ'!A:C,3,0))</f>
        <v>Остальные грузы</v>
      </c>
      <c r="E3203" s="13">
        <f>IF(RIGHT(A3203,3)="000","х",VLOOKUP(B3203,'Справочник ИХ'!A:D,4,0))</f>
        <v>2</v>
      </c>
      <c r="F3203" s="14" t="s">
        <v>4326</v>
      </c>
    </row>
    <row r="3204" spans="1:6">
      <c r="A3204" s="19">
        <v>51625</v>
      </c>
      <c r="B3204" s="12" t="str">
        <f t="shared" si="49"/>
        <v>516</v>
      </c>
      <c r="C3204" s="1" t="s">
        <v>4403</v>
      </c>
      <c r="D3204" s="13" t="str">
        <f>IF(RIGHT(A3204,3)="000",C3204,VLOOKUP(B3204,'Справочник ИХ'!A:C,3,0))</f>
        <v>Остальные грузы</v>
      </c>
      <c r="E3204" s="13">
        <f>IF(RIGHT(A3204,3)="000","х",VLOOKUP(B3204,'Справочник ИХ'!A:D,4,0))</f>
        <v>2</v>
      </c>
      <c r="F3204" s="14" t="s">
        <v>4326</v>
      </c>
    </row>
    <row r="3205" spans="1:6">
      <c r="A3205" s="19">
        <v>51626</v>
      </c>
      <c r="B3205" s="12" t="str">
        <f t="shared" ref="B3205:B3268" si="50">LEFT(A3205,3)</f>
        <v>516</v>
      </c>
      <c r="C3205" s="1" t="s">
        <v>4404</v>
      </c>
      <c r="D3205" s="13" t="str">
        <f>IF(RIGHT(A3205,3)="000",C3205,VLOOKUP(B3205,'Справочник ИХ'!A:C,3,0))</f>
        <v>Остальные грузы</v>
      </c>
      <c r="E3205" s="13">
        <f>IF(RIGHT(A3205,3)="000","х",VLOOKUP(B3205,'Справочник ИХ'!A:D,4,0))</f>
        <v>2</v>
      </c>
      <c r="F3205" s="14" t="s">
        <v>4326</v>
      </c>
    </row>
    <row r="3206" spans="1:6">
      <c r="A3206" s="19">
        <v>51627</v>
      </c>
      <c r="B3206" s="12" t="str">
        <f t="shared" si="50"/>
        <v>516</v>
      </c>
      <c r="C3206" s="1" t="s">
        <v>4405</v>
      </c>
      <c r="D3206" s="13" t="str">
        <f>IF(RIGHT(A3206,3)="000",C3206,VLOOKUP(B3206,'Справочник ИХ'!A:C,3,0))</f>
        <v>Остальные грузы</v>
      </c>
      <c r="E3206" s="13">
        <f>IF(RIGHT(A3206,3)="000","х",VLOOKUP(B3206,'Справочник ИХ'!A:D,4,0))</f>
        <v>2</v>
      </c>
      <c r="F3206" s="14" t="s">
        <v>4326</v>
      </c>
    </row>
    <row r="3207" spans="1:6">
      <c r="A3207" s="19">
        <v>51628</v>
      </c>
      <c r="B3207" s="12" t="str">
        <f t="shared" si="50"/>
        <v>516</v>
      </c>
      <c r="C3207" s="1" t="s">
        <v>4406</v>
      </c>
      <c r="D3207" s="13" t="str">
        <f>IF(RIGHT(A3207,3)="000",C3207,VLOOKUP(B3207,'Справочник ИХ'!A:C,3,0))</f>
        <v>Остальные грузы</v>
      </c>
      <c r="E3207" s="13">
        <f>IF(RIGHT(A3207,3)="000","х",VLOOKUP(B3207,'Справочник ИХ'!A:D,4,0))</f>
        <v>2</v>
      </c>
      <c r="F3207" s="14" t="s">
        <v>4326</v>
      </c>
    </row>
    <row r="3208" spans="1:6">
      <c r="A3208" s="19">
        <v>51629</v>
      </c>
      <c r="B3208" s="12" t="str">
        <f t="shared" si="50"/>
        <v>516</v>
      </c>
      <c r="C3208" s="1" t="s">
        <v>4407</v>
      </c>
      <c r="D3208" s="13" t="str">
        <f>IF(RIGHT(A3208,3)="000",C3208,VLOOKUP(B3208,'Справочник ИХ'!A:C,3,0))</f>
        <v>Остальные грузы</v>
      </c>
      <c r="E3208" s="13">
        <f>IF(RIGHT(A3208,3)="000","х",VLOOKUP(B3208,'Справочник ИХ'!A:D,4,0))</f>
        <v>2</v>
      </c>
      <c r="F3208" s="14" t="s">
        <v>4326</v>
      </c>
    </row>
    <row r="3209" spans="1:6" ht="31.75">
      <c r="A3209" s="19">
        <v>51630</v>
      </c>
      <c r="B3209" s="12" t="str">
        <f t="shared" si="50"/>
        <v>516</v>
      </c>
      <c r="C3209" s="1" t="s">
        <v>4408</v>
      </c>
      <c r="D3209" s="13" t="str">
        <f>IF(RIGHT(A3209,3)="000",C3209,VLOOKUP(B3209,'Справочник ИХ'!A:C,3,0))</f>
        <v>Остальные грузы</v>
      </c>
      <c r="E3209" s="13">
        <f>IF(RIGHT(A3209,3)="000","х",VLOOKUP(B3209,'Справочник ИХ'!A:D,4,0))</f>
        <v>2</v>
      </c>
      <c r="F3209" s="14" t="s">
        <v>4326</v>
      </c>
    </row>
    <row r="3210" spans="1:6">
      <c r="A3210" s="19">
        <v>51631</v>
      </c>
      <c r="B3210" s="12" t="str">
        <f t="shared" si="50"/>
        <v>516</v>
      </c>
      <c r="C3210" s="1" t="s">
        <v>4409</v>
      </c>
      <c r="D3210" s="13" t="str">
        <f>IF(RIGHT(A3210,3)="000",C3210,VLOOKUP(B3210,'Справочник ИХ'!A:C,3,0))</f>
        <v>Остальные грузы</v>
      </c>
      <c r="E3210" s="13">
        <f>IF(RIGHT(A3210,3)="000","х",VLOOKUP(B3210,'Справочник ИХ'!A:D,4,0))</f>
        <v>2</v>
      </c>
      <c r="F3210" s="14" t="s">
        <v>4326</v>
      </c>
    </row>
    <row r="3211" spans="1:6" ht="31.75">
      <c r="A3211" s="19">
        <v>51632</v>
      </c>
      <c r="B3211" s="12" t="str">
        <f t="shared" si="50"/>
        <v>516</v>
      </c>
      <c r="C3211" s="1" t="s">
        <v>4410</v>
      </c>
      <c r="D3211" s="13" t="str">
        <f>IF(RIGHT(A3211,3)="000",C3211,VLOOKUP(B3211,'Справочник ИХ'!A:C,3,0))</f>
        <v>Остальные грузы</v>
      </c>
      <c r="E3211" s="13">
        <f>IF(RIGHT(A3211,3)="000","х",VLOOKUP(B3211,'Справочник ИХ'!A:D,4,0))</f>
        <v>2</v>
      </c>
      <c r="F3211" s="14" t="s">
        <v>4326</v>
      </c>
    </row>
    <row r="3212" spans="1:6">
      <c r="A3212" s="19">
        <v>51633</v>
      </c>
      <c r="B3212" s="12" t="str">
        <f t="shared" si="50"/>
        <v>516</v>
      </c>
      <c r="C3212" s="1" t="s">
        <v>4411</v>
      </c>
      <c r="D3212" s="13" t="str">
        <f>IF(RIGHT(A3212,3)="000",C3212,VLOOKUP(B3212,'Справочник ИХ'!A:C,3,0))</f>
        <v>Остальные грузы</v>
      </c>
      <c r="E3212" s="13">
        <f>IF(RIGHT(A3212,3)="000","х",VLOOKUP(B3212,'Справочник ИХ'!A:D,4,0))</f>
        <v>2</v>
      </c>
      <c r="F3212" s="14" t="s">
        <v>4326</v>
      </c>
    </row>
    <row r="3213" spans="1:6">
      <c r="A3213" s="19">
        <v>51634</v>
      </c>
      <c r="B3213" s="12" t="str">
        <f t="shared" si="50"/>
        <v>516</v>
      </c>
      <c r="C3213" s="1" t="s">
        <v>4412</v>
      </c>
      <c r="D3213" s="13" t="str">
        <f>IF(RIGHT(A3213,3)="000",C3213,VLOOKUP(B3213,'Справочник ИХ'!A:C,3,0))</f>
        <v>Остальные грузы</v>
      </c>
      <c r="E3213" s="13">
        <f>IF(RIGHT(A3213,3)="000","х",VLOOKUP(B3213,'Справочник ИХ'!A:D,4,0))</f>
        <v>2</v>
      </c>
      <c r="F3213" s="14" t="s">
        <v>4326</v>
      </c>
    </row>
    <row r="3214" spans="1:6">
      <c r="A3214" s="19">
        <v>51635</v>
      </c>
      <c r="B3214" s="12" t="str">
        <f t="shared" si="50"/>
        <v>516</v>
      </c>
      <c r="C3214" s="1" t="s">
        <v>4413</v>
      </c>
      <c r="D3214" s="13" t="str">
        <f>IF(RIGHT(A3214,3)="000",C3214,VLOOKUP(B3214,'Справочник ИХ'!A:C,3,0))</f>
        <v>Остальные грузы</v>
      </c>
      <c r="E3214" s="13">
        <f>IF(RIGHT(A3214,3)="000","х",VLOOKUP(B3214,'Справочник ИХ'!A:D,4,0))</f>
        <v>2</v>
      </c>
      <c r="F3214" s="14" t="s">
        <v>4326</v>
      </c>
    </row>
    <row r="3215" spans="1:6">
      <c r="A3215" s="19">
        <v>51636</v>
      </c>
      <c r="B3215" s="12" t="str">
        <f t="shared" si="50"/>
        <v>516</v>
      </c>
      <c r="C3215" s="1" t="s">
        <v>4414</v>
      </c>
      <c r="D3215" s="13" t="str">
        <f>IF(RIGHT(A3215,3)="000",C3215,VLOOKUP(B3215,'Справочник ИХ'!A:C,3,0))</f>
        <v>Остальные грузы</v>
      </c>
      <c r="E3215" s="13">
        <f>IF(RIGHT(A3215,3)="000","х",VLOOKUP(B3215,'Справочник ИХ'!A:D,4,0))</f>
        <v>2</v>
      </c>
      <c r="F3215" s="14" t="s">
        <v>4326</v>
      </c>
    </row>
    <row r="3216" spans="1:6">
      <c r="A3216" s="19">
        <v>51637</v>
      </c>
      <c r="B3216" s="12" t="str">
        <f t="shared" si="50"/>
        <v>516</v>
      </c>
      <c r="C3216" s="1" t="s">
        <v>4415</v>
      </c>
      <c r="D3216" s="13" t="str">
        <f>IF(RIGHT(A3216,3)="000",C3216,VLOOKUP(B3216,'Справочник ИХ'!A:C,3,0))</f>
        <v>Остальные грузы</v>
      </c>
      <c r="E3216" s="13">
        <f>IF(RIGHT(A3216,3)="000","х",VLOOKUP(B3216,'Справочник ИХ'!A:D,4,0))</f>
        <v>2</v>
      </c>
      <c r="F3216" s="14" t="s">
        <v>4326</v>
      </c>
    </row>
    <row r="3217" spans="1:6">
      <c r="A3217" s="19">
        <v>51638</v>
      </c>
      <c r="B3217" s="12" t="str">
        <f t="shared" si="50"/>
        <v>516</v>
      </c>
      <c r="C3217" s="1" t="s">
        <v>4416</v>
      </c>
      <c r="D3217" s="13" t="str">
        <f>IF(RIGHT(A3217,3)="000",C3217,VLOOKUP(B3217,'Справочник ИХ'!A:C,3,0))</f>
        <v>Остальные грузы</v>
      </c>
      <c r="E3217" s="13">
        <f>IF(RIGHT(A3217,3)="000","х",VLOOKUP(B3217,'Справочник ИХ'!A:D,4,0))</f>
        <v>2</v>
      </c>
      <c r="F3217" s="14" t="s">
        <v>4326</v>
      </c>
    </row>
    <row r="3218" spans="1:6">
      <c r="A3218" s="19">
        <v>51639</v>
      </c>
      <c r="B3218" s="12" t="str">
        <f t="shared" si="50"/>
        <v>516</v>
      </c>
      <c r="C3218" s="1" t="s">
        <v>4417</v>
      </c>
      <c r="D3218" s="13" t="str">
        <f>IF(RIGHT(A3218,3)="000",C3218,VLOOKUP(B3218,'Справочник ИХ'!A:C,3,0))</f>
        <v>Остальные грузы</v>
      </c>
      <c r="E3218" s="13">
        <f>IF(RIGHT(A3218,3)="000","х",VLOOKUP(B3218,'Справочник ИХ'!A:D,4,0))</f>
        <v>2</v>
      </c>
      <c r="F3218" s="14" t="s">
        <v>4326</v>
      </c>
    </row>
    <row r="3219" spans="1:6">
      <c r="A3219" s="19">
        <v>51640</v>
      </c>
      <c r="B3219" s="12" t="str">
        <f t="shared" si="50"/>
        <v>516</v>
      </c>
      <c r="C3219" s="1" t="s">
        <v>4418</v>
      </c>
      <c r="D3219" s="13" t="str">
        <f>IF(RIGHT(A3219,3)="000",C3219,VLOOKUP(B3219,'Справочник ИХ'!A:C,3,0))</f>
        <v>Остальные грузы</v>
      </c>
      <c r="E3219" s="13">
        <f>IF(RIGHT(A3219,3)="000","х",VLOOKUP(B3219,'Справочник ИХ'!A:D,4,0))</f>
        <v>2</v>
      </c>
      <c r="F3219" s="14" t="s">
        <v>4326</v>
      </c>
    </row>
    <row r="3220" spans="1:6">
      <c r="A3220" s="19">
        <v>51641</v>
      </c>
      <c r="B3220" s="12" t="str">
        <f t="shared" si="50"/>
        <v>516</v>
      </c>
      <c r="C3220" s="1" t="s">
        <v>4419</v>
      </c>
      <c r="D3220" s="13" t="str">
        <f>IF(RIGHT(A3220,3)="000",C3220,VLOOKUP(B3220,'Справочник ИХ'!A:C,3,0))</f>
        <v>Остальные грузы</v>
      </c>
      <c r="E3220" s="13">
        <f>IF(RIGHT(A3220,3)="000","х",VLOOKUP(B3220,'Справочник ИХ'!A:D,4,0))</f>
        <v>2</v>
      </c>
      <c r="F3220" s="14" t="s">
        <v>4326</v>
      </c>
    </row>
    <row r="3221" spans="1:6">
      <c r="A3221" s="19">
        <v>51642</v>
      </c>
      <c r="B3221" s="12" t="str">
        <f t="shared" si="50"/>
        <v>516</v>
      </c>
      <c r="C3221" s="1" t="s">
        <v>4420</v>
      </c>
      <c r="D3221" s="13" t="str">
        <f>IF(RIGHT(A3221,3)="000",C3221,VLOOKUP(B3221,'Справочник ИХ'!A:C,3,0))</f>
        <v>Остальные грузы</v>
      </c>
      <c r="E3221" s="13">
        <f>IF(RIGHT(A3221,3)="000","х",VLOOKUP(B3221,'Справочник ИХ'!A:D,4,0))</f>
        <v>2</v>
      </c>
      <c r="F3221" s="14" t="s">
        <v>4326</v>
      </c>
    </row>
    <row r="3222" spans="1:6">
      <c r="A3222" s="19">
        <v>51643</v>
      </c>
      <c r="B3222" s="12" t="str">
        <f t="shared" si="50"/>
        <v>516</v>
      </c>
      <c r="C3222" s="1" t="s">
        <v>4421</v>
      </c>
      <c r="D3222" s="13" t="str">
        <f>IF(RIGHT(A3222,3)="000",C3222,VLOOKUP(B3222,'Справочник ИХ'!A:C,3,0))</f>
        <v>Остальные грузы</v>
      </c>
      <c r="E3222" s="13">
        <f>IF(RIGHT(A3222,3)="000","х",VLOOKUP(B3222,'Справочник ИХ'!A:D,4,0))</f>
        <v>2</v>
      </c>
      <c r="F3222" s="14" t="s">
        <v>4326</v>
      </c>
    </row>
    <row r="3223" spans="1:6">
      <c r="A3223" s="19">
        <v>51644</v>
      </c>
      <c r="B3223" s="12" t="str">
        <f t="shared" si="50"/>
        <v>516</v>
      </c>
      <c r="C3223" s="1" t="s">
        <v>4422</v>
      </c>
      <c r="D3223" s="13" t="str">
        <f>IF(RIGHT(A3223,3)="000",C3223,VLOOKUP(B3223,'Справочник ИХ'!A:C,3,0))</f>
        <v>Остальные грузы</v>
      </c>
      <c r="E3223" s="13">
        <f>IF(RIGHT(A3223,3)="000","х",VLOOKUP(B3223,'Справочник ИХ'!A:D,4,0))</f>
        <v>2</v>
      </c>
      <c r="F3223" s="14" t="s">
        <v>4326</v>
      </c>
    </row>
    <row r="3224" spans="1:6">
      <c r="A3224" s="19">
        <v>51645</v>
      </c>
      <c r="B3224" s="12" t="str">
        <f t="shared" si="50"/>
        <v>516</v>
      </c>
      <c r="C3224" s="1" t="s">
        <v>4423</v>
      </c>
      <c r="D3224" s="13" t="str">
        <f>IF(RIGHT(A3224,3)="000",C3224,VLOOKUP(B3224,'Справочник ИХ'!A:C,3,0))</f>
        <v>Остальные грузы</v>
      </c>
      <c r="E3224" s="13">
        <f>IF(RIGHT(A3224,3)="000","х",VLOOKUP(B3224,'Справочник ИХ'!A:D,4,0))</f>
        <v>2</v>
      </c>
      <c r="F3224" s="14" t="s">
        <v>4326</v>
      </c>
    </row>
    <row r="3225" spans="1:6">
      <c r="A3225" s="19">
        <v>51646</v>
      </c>
      <c r="B3225" s="12" t="str">
        <f t="shared" si="50"/>
        <v>516</v>
      </c>
      <c r="C3225" s="1" t="s">
        <v>4424</v>
      </c>
      <c r="D3225" s="13" t="str">
        <f>IF(RIGHT(A3225,3)="000",C3225,VLOOKUP(B3225,'Справочник ИХ'!A:C,3,0))</f>
        <v>Остальные грузы</v>
      </c>
      <c r="E3225" s="13">
        <f>IF(RIGHT(A3225,3)="000","х",VLOOKUP(B3225,'Справочник ИХ'!A:D,4,0))</f>
        <v>2</v>
      </c>
      <c r="F3225" s="14" t="s">
        <v>4326</v>
      </c>
    </row>
    <row r="3226" spans="1:6">
      <c r="A3226" s="19">
        <v>51647</v>
      </c>
      <c r="B3226" s="12" t="str">
        <f t="shared" si="50"/>
        <v>516</v>
      </c>
      <c r="C3226" s="1" t="s">
        <v>4425</v>
      </c>
      <c r="D3226" s="13" t="str">
        <f>IF(RIGHT(A3226,3)="000",C3226,VLOOKUP(B3226,'Справочник ИХ'!A:C,3,0))</f>
        <v>Остальные грузы</v>
      </c>
      <c r="E3226" s="13">
        <f>IF(RIGHT(A3226,3)="000","х",VLOOKUP(B3226,'Справочник ИХ'!A:D,4,0))</f>
        <v>2</v>
      </c>
      <c r="F3226" s="14" t="s">
        <v>4326</v>
      </c>
    </row>
    <row r="3227" spans="1:6">
      <c r="A3227" s="19">
        <v>51648</v>
      </c>
      <c r="B3227" s="12" t="str">
        <f t="shared" si="50"/>
        <v>516</v>
      </c>
      <c r="C3227" s="1" t="s">
        <v>4426</v>
      </c>
      <c r="D3227" s="13" t="str">
        <f>IF(RIGHT(A3227,3)="000",C3227,VLOOKUP(B3227,'Справочник ИХ'!A:C,3,0))</f>
        <v>Остальные грузы</v>
      </c>
      <c r="E3227" s="13">
        <f>IF(RIGHT(A3227,3)="000","х",VLOOKUP(B3227,'Справочник ИХ'!A:D,4,0))</f>
        <v>2</v>
      </c>
      <c r="F3227" s="14" t="s">
        <v>4326</v>
      </c>
    </row>
    <row r="3228" spans="1:6">
      <c r="A3228" s="19">
        <v>51649</v>
      </c>
      <c r="B3228" s="12" t="str">
        <f t="shared" si="50"/>
        <v>516</v>
      </c>
      <c r="C3228" s="1" t="s">
        <v>4427</v>
      </c>
      <c r="D3228" s="13" t="str">
        <f>IF(RIGHT(A3228,3)="000",C3228,VLOOKUP(B3228,'Справочник ИХ'!A:C,3,0))</f>
        <v>Остальные грузы</v>
      </c>
      <c r="E3228" s="13">
        <f>IF(RIGHT(A3228,3)="000","х",VLOOKUP(B3228,'Справочник ИХ'!A:D,4,0))</f>
        <v>2</v>
      </c>
      <c r="F3228" s="14" t="s">
        <v>4326</v>
      </c>
    </row>
    <row r="3229" spans="1:6">
      <c r="A3229" s="19">
        <v>51650</v>
      </c>
      <c r="B3229" s="12" t="str">
        <f t="shared" si="50"/>
        <v>516</v>
      </c>
      <c r="C3229" s="1" t="s">
        <v>4428</v>
      </c>
      <c r="D3229" s="13" t="str">
        <f>IF(RIGHT(A3229,3)="000",C3229,VLOOKUP(B3229,'Справочник ИХ'!A:C,3,0))</f>
        <v>Остальные грузы</v>
      </c>
      <c r="E3229" s="13">
        <f>IF(RIGHT(A3229,3)="000","х",VLOOKUP(B3229,'Справочник ИХ'!A:D,4,0))</f>
        <v>2</v>
      </c>
      <c r="F3229" s="14" t="s">
        <v>4326</v>
      </c>
    </row>
    <row r="3230" spans="1:6">
      <c r="A3230" s="19">
        <v>51651</v>
      </c>
      <c r="B3230" s="12" t="str">
        <f t="shared" si="50"/>
        <v>516</v>
      </c>
      <c r="C3230" s="1" t="s">
        <v>4429</v>
      </c>
      <c r="D3230" s="13" t="str">
        <f>IF(RIGHT(A3230,3)="000",C3230,VLOOKUP(B3230,'Справочник ИХ'!A:C,3,0))</f>
        <v>Остальные грузы</v>
      </c>
      <c r="E3230" s="13">
        <f>IF(RIGHT(A3230,3)="000","х",VLOOKUP(B3230,'Справочник ИХ'!A:D,4,0))</f>
        <v>2</v>
      </c>
      <c r="F3230" s="14" t="s">
        <v>4326</v>
      </c>
    </row>
    <row r="3231" spans="1:6" ht="31.75">
      <c r="A3231" s="19">
        <v>51652</v>
      </c>
      <c r="B3231" s="12" t="str">
        <f t="shared" si="50"/>
        <v>516</v>
      </c>
      <c r="C3231" s="1" t="s">
        <v>4430</v>
      </c>
      <c r="D3231" s="13" t="str">
        <f>IF(RIGHT(A3231,3)="000",C3231,VLOOKUP(B3231,'Справочник ИХ'!A:C,3,0))</f>
        <v>Остальные грузы</v>
      </c>
      <c r="E3231" s="13">
        <f>IF(RIGHT(A3231,3)="000","х",VLOOKUP(B3231,'Справочник ИХ'!A:D,4,0))</f>
        <v>2</v>
      </c>
      <c r="F3231" s="14" t="s">
        <v>4326</v>
      </c>
    </row>
    <row r="3232" spans="1:6">
      <c r="A3232" s="19">
        <v>51653</v>
      </c>
      <c r="B3232" s="12" t="str">
        <f t="shared" si="50"/>
        <v>516</v>
      </c>
      <c r="C3232" s="1" t="s">
        <v>4431</v>
      </c>
      <c r="D3232" s="13" t="str">
        <f>IF(RIGHT(A3232,3)="000",C3232,VLOOKUP(B3232,'Справочник ИХ'!A:C,3,0))</f>
        <v>Остальные грузы</v>
      </c>
      <c r="E3232" s="13">
        <f>IF(RIGHT(A3232,3)="000","х",VLOOKUP(B3232,'Справочник ИХ'!A:D,4,0))</f>
        <v>2</v>
      </c>
      <c r="F3232" s="14" t="s">
        <v>4326</v>
      </c>
    </row>
    <row r="3233" spans="1:6">
      <c r="A3233" s="19">
        <v>51654</v>
      </c>
      <c r="B3233" s="12" t="str">
        <f t="shared" si="50"/>
        <v>516</v>
      </c>
      <c r="C3233" s="1" t="s">
        <v>4432</v>
      </c>
      <c r="D3233" s="13" t="str">
        <f>IF(RIGHT(A3233,3)="000",C3233,VLOOKUP(B3233,'Справочник ИХ'!A:C,3,0))</f>
        <v>Остальные грузы</v>
      </c>
      <c r="E3233" s="13">
        <f>IF(RIGHT(A3233,3)="000","х",VLOOKUP(B3233,'Справочник ИХ'!A:D,4,0))</f>
        <v>2</v>
      </c>
      <c r="F3233" s="14" t="s">
        <v>4326</v>
      </c>
    </row>
    <row r="3234" spans="1:6">
      <c r="A3234" s="19">
        <v>51655</v>
      </c>
      <c r="B3234" s="12" t="str">
        <f t="shared" si="50"/>
        <v>516</v>
      </c>
      <c r="C3234" s="1" t="s">
        <v>4433</v>
      </c>
      <c r="D3234" s="13" t="str">
        <f>IF(RIGHT(A3234,3)="000",C3234,VLOOKUP(B3234,'Справочник ИХ'!A:C,3,0))</f>
        <v>Остальные грузы</v>
      </c>
      <c r="E3234" s="13">
        <f>IF(RIGHT(A3234,3)="000","х",VLOOKUP(B3234,'Справочник ИХ'!A:D,4,0))</f>
        <v>2</v>
      </c>
      <c r="F3234" s="14" t="s">
        <v>4326</v>
      </c>
    </row>
    <row r="3235" spans="1:6">
      <c r="A3235" s="19">
        <v>51656</v>
      </c>
      <c r="B3235" s="12" t="str">
        <f t="shared" si="50"/>
        <v>516</v>
      </c>
      <c r="C3235" s="1" t="s">
        <v>4434</v>
      </c>
      <c r="D3235" s="13" t="str">
        <f>IF(RIGHT(A3235,3)="000",C3235,VLOOKUP(B3235,'Справочник ИХ'!A:C,3,0))</f>
        <v>Остальные грузы</v>
      </c>
      <c r="E3235" s="13">
        <f>IF(RIGHT(A3235,3)="000","х",VLOOKUP(B3235,'Справочник ИХ'!A:D,4,0))</f>
        <v>2</v>
      </c>
      <c r="F3235" s="14" t="s">
        <v>4326</v>
      </c>
    </row>
    <row r="3236" spans="1:6">
      <c r="A3236" s="19">
        <v>51657</v>
      </c>
      <c r="B3236" s="12" t="str">
        <f t="shared" si="50"/>
        <v>516</v>
      </c>
      <c r="C3236" s="1" t="s">
        <v>4435</v>
      </c>
      <c r="D3236" s="13" t="str">
        <f>IF(RIGHT(A3236,3)="000",C3236,VLOOKUP(B3236,'Справочник ИХ'!A:C,3,0))</f>
        <v>Остальные грузы</v>
      </c>
      <c r="E3236" s="13">
        <f>IF(RIGHT(A3236,3)="000","х",VLOOKUP(B3236,'Справочник ИХ'!A:D,4,0))</f>
        <v>2</v>
      </c>
      <c r="F3236" s="14" t="s">
        <v>4326</v>
      </c>
    </row>
    <row r="3237" spans="1:6">
      <c r="A3237" s="19">
        <v>51658</v>
      </c>
      <c r="B3237" s="12" t="str">
        <f t="shared" si="50"/>
        <v>516</v>
      </c>
      <c r="C3237" s="1" t="s">
        <v>4436</v>
      </c>
      <c r="D3237" s="13" t="str">
        <f>IF(RIGHT(A3237,3)="000",C3237,VLOOKUP(B3237,'Справочник ИХ'!A:C,3,0))</f>
        <v>Остальные грузы</v>
      </c>
      <c r="E3237" s="13">
        <f>IF(RIGHT(A3237,3)="000","х",VLOOKUP(B3237,'Справочник ИХ'!A:D,4,0))</f>
        <v>2</v>
      </c>
      <c r="F3237" s="14" t="s">
        <v>4326</v>
      </c>
    </row>
    <row r="3238" spans="1:6">
      <c r="A3238" s="19">
        <v>51659</v>
      </c>
      <c r="B3238" s="12" t="str">
        <f t="shared" si="50"/>
        <v>516</v>
      </c>
      <c r="C3238" s="1" t="s">
        <v>4437</v>
      </c>
      <c r="D3238" s="13" t="str">
        <f>IF(RIGHT(A3238,3)="000",C3238,VLOOKUP(B3238,'Справочник ИХ'!A:C,3,0))</f>
        <v>Остальные грузы</v>
      </c>
      <c r="E3238" s="13">
        <f>IF(RIGHT(A3238,3)="000","х",VLOOKUP(B3238,'Справочник ИХ'!A:D,4,0))</f>
        <v>2</v>
      </c>
      <c r="F3238" s="14" t="s">
        <v>4326</v>
      </c>
    </row>
    <row r="3239" spans="1:6" s="18" customFormat="1">
      <c r="A3239" s="16">
        <v>51700</v>
      </c>
      <c r="B3239" s="12" t="str">
        <f t="shared" si="50"/>
        <v>517</v>
      </c>
      <c r="C3239" s="17" t="s">
        <v>4438</v>
      </c>
      <c r="D3239" s="13" t="str">
        <f>IF(RIGHT(A3239,3)="000",C3239,VLOOKUP(B3239,'Справочник ИХ'!A:C,3,0))</f>
        <v>Остальные грузы</v>
      </c>
      <c r="E3239" s="13">
        <f>IF(RIGHT(A3239,3)="000","х",VLOOKUP(B3239,'Справочник ИХ'!A:D,4,0))</f>
        <v>3</v>
      </c>
      <c r="F3239" s="14" t="s">
        <v>4326</v>
      </c>
    </row>
    <row r="3240" spans="1:6">
      <c r="A3240" s="19">
        <v>51701</v>
      </c>
      <c r="B3240" s="12" t="str">
        <f t="shared" si="50"/>
        <v>517</v>
      </c>
      <c r="C3240" s="1" t="s">
        <v>4439</v>
      </c>
      <c r="D3240" s="13" t="str">
        <f>IF(RIGHT(A3240,3)="000",C3240,VLOOKUP(B3240,'Справочник ИХ'!A:C,3,0))</f>
        <v>Остальные грузы</v>
      </c>
      <c r="E3240" s="13">
        <f>IF(RIGHT(A3240,3)="000","х",VLOOKUP(B3240,'Справочник ИХ'!A:D,4,0))</f>
        <v>3</v>
      </c>
      <c r="F3240" s="14" t="s">
        <v>4326</v>
      </c>
    </row>
    <row r="3241" spans="1:6">
      <c r="A3241" s="19">
        <v>51702</v>
      </c>
      <c r="B3241" s="12" t="str">
        <f t="shared" si="50"/>
        <v>517</v>
      </c>
      <c r="C3241" s="1" t="s">
        <v>4440</v>
      </c>
      <c r="D3241" s="13" t="str">
        <f>IF(RIGHT(A3241,3)="000",C3241,VLOOKUP(B3241,'Справочник ИХ'!A:C,3,0))</f>
        <v>Остальные грузы</v>
      </c>
      <c r="E3241" s="13">
        <f>IF(RIGHT(A3241,3)="000","х",VLOOKUP(B3241,'Справочник ИХ'!A:D,4,0))</f>
        <v>3</v>
      </c>
      <c r="F3241" s="14" t="s">
        <v>4326</v>
      </c>
    </row>
    <row r="3242" spans="1:6">
      <c r="A3242" s="19">
        <v>51703</v>
      </c>
      <c r="B3242" s="12" t="str">
        <f t="shared" si="50"/>
        <v>517</v>
      </c>
      <c r="C3242" s="1" t="s">
        <v>4441</v>
      </c>
      <c r="D3242" s="13" t="str">
        <f>IF(RIGHT(A3242,3)="000",C3242,VLOOKUP(B3242,'Справочник ИХ'!A:C,3,0))</f>
        <v>Остальные грузы</v>
      </c>
      <c r="E3242" s="13">
        <f>IF(RIGHT(A3242,3)="000","х",VLOOKUP(B3242,'Справочник ИХ'!A:D,4,0))</f>
        <v>3</v>
      </c>
      <c r="F3242" s="14" t="s">
        <v>4326</v>
      </c>
    </row>
    <row r="3243" spans="1:6">
      <c r="A3243" s="19">
        <v>51704</v>
      </c>
      <c r="B3243" s="12" t="str">
        <f t="shared" si="50"/>
        <v>517</v>
      </c>
      <c r="C3243" s="1" t="s">
        <v>4442</v>
      </c>
      <c r="D3243" s="13" t="str">
        <f>IF(RIGHT(A3243,3)="000",C3243,VLOOKUP(B3243,'Справочник ИХ'!A:C,3,0))</f>
        <v>Остальные грузы</v>
      </c>
      <c r="E3243" s="13">
        <f>IF(RIGHT(A3243,3)="000","х",VLOOKUP(B3243,'Справочник ИХ'!A:D,4,0))</f>
        <v>3</v>
      </c>
      <c r="F3243" s="14" t="s">
        <v>4326</v>
      </c>
    </row>
    <row r="3244" spans="1:6">
      <c r="A3244" s="19">
        <v>51705</v>
      </c>
      <c r="B3244" s="12" t="str">
        <f t="shared" si="50"/>
        <v>517</v>
      </c>
      <c r="C3244" s="1" t="s">
        <v>4443</v>
      </c>
      <c r="D3244" s="13" t="str">
        <f>IF(RIGHT(A3244,3)="000",C3244,VLOOKUP(B3244,'Справочник ИХ'!A:C,3,0))</f>
        <v>Остальные грузы</v>
      </c>
      <c r="E3244" s="13">
        <f>IF(RIGHT(A3244,3)="000","х",VLOOKUP(B3244,'Справочник ИХ'!A:D,4,0))</f>
        <v>3</v>
      </c>
      <c r="F3244" s="14" t="s">
        <v>4326</v>
      </c>
    </row>
    <row r="3245" spans="1:6">
      <c r="A3245" s="19">
        <v>51706</v>
      </c>
      <c r="B3245" s="12" t="str">
        <f t="shared" si="50"/>
        <v>517</v>
      </c>
      <c r="C3245" s="1" t="s">
        <v>4444</v>
      </c>
      <c r="D3245" s="13" t="str">
        <f>IF(RIGHT(A3245,3)="000",C3245,VLOOKUP(B3245,'Справочник ИХ'!A:C,3,0))</f>
        <v>Остальные грузы</v>
      </c>
      <c r="E3245" s="13">
        <f>IF(RIGHT(A3245,3)="000","х",VLOOKUP(B3245,'Справочник ИХ'!A:D,4,0))</f>
        <v>3</v>
      </c>
      <c r="F3245" s="14" t="s">
        <v>4326</v>
      </c>
    </row>
    <row r="3246" spans="1:6" ht="31.75">
      <c r="A3246" s="19">
        <v>51707</v>
      </c>
      <c r="B3246" s="12" t="str">
        <f t="shared" si="50"/>
        <v>517</v>
      </c>
      <c r="C3246" s="1" t="s">
        <v>4445</v>
      </c>
      <c r="D3246" s="13" t="str">
        <f>IF(RIGHT(A3246,3)="000",C3246,VLOOKUP(B3246,'Справочник ИХ'!A:C,3,0))</f>
        <v>Остальные грузы</v>
      </c>
      <c r="E3246" s="13">
        <f>IF(RIGHT(A3246,3)="000","х",VLOOKUP(B3246,'Справочник ИХ'!A:D,4,0))</f>
        <v>3</v>
      </c>
      <c r="F3246" s="14" t="s">
        <v>4326</v>
      </c>
    </row>
    <row r="3247" spans="1:6" s="15" customFormat="1" ht="31.75">
      <c r="A3247" s="7">
        <v>52000</v>
      </c>
      <c r="B3247" s="12" t="str">
        <f t="shared" si="50"/>
        <v>520</v>
      </c>
      <c r="C3247" s="11" t="s">
        <v>4446</v>
      </c>
      <c r="D3247" s="13" t="str">
        <f>IF(RIGHT(A3247,3)="000",C3247,VLOOKUP(B3247,'Справочник ИХ'!A:C,3,0))</f>
        <v xml:space="preserve">Продукция сахарной промышленности </v>
      </c>
      <c r="E3247" s="13" t="str">
        <f>IF(RIGHT(A3247,3)="000","х",VLOOKUP(B3247,'Справочник ИХ'!A:D,4,0))</f>
        <v>х</v>
      </c>
      <c r="F3247" s="14" t="s">
        <v>4446</v>
      </c>
    </row>
    <row r="3248" spans="1:6" s="18" customFormat="1">
      <c r="A3248" s="16">
        <v>52100</v>
      </c>
      <c r="B3248" s="12" t="str">
        <f t="shared" si="50"/>
        <v>521</v>
      </c>
      <c r="C3248" s="17" t="s">
        <v>4447</v>
      </c>
      <c r="D3248" s="13" t="str">
        <f>IF(RIGHT(A3248,3)="000",C3248,VLOOKUP(B3248,'Справочник ИХ'!A:C,3,0))</f>
        <v>Остальные грузы</v>
      </c>
      <c r="E3248" s="13">
        <f>IF(RIGHT(A3248,3)="000","х",VLOOKUP(B3248,'Справочник ИХ'!A:D,4,0))</f>
        <v>2</v>
      </c>
      <c r="F3248" s="14" t="s">
        <v>4446</v>
      </c>
    </row>
    <row r="3249" spans="1:6">
      <c r="A3249" s="19">
        <v>52101</v>
      </c>
      <c r="B3249" s="12" t="str">
        <f t="shared" si="50"/>
        <v>521</v>
      </c>
      <c r="C3249" s="1" t="s">
        <v>4448</v>
      </c>
      <c r="D3249" s="13" t="str">
        <f>IF(RIGHT(A3249,3)="000",C3249,VLOOKUP(B3249,'Справочник ИХ'!A:C,3,0))</f>
        <v>Остальные грузы</v>
      </c>
      <c r="E3249" s="13">
        <f>IF(RIGHT(A3249,3)="000","х",VLOOKUP(B3249,'Справочник ИХ'!A:D,4,0))</f>
        <v>2</v>
      </c>
      <c r="F3249" s="14" t="s">
        <v>4446</v>
      </c>
    </row>
    <row r="3250" spans="1:6">
      <c r="A3250" s="19">
        <v>52102</v>
      </c>
      <c r="B3250" s="12" t="str">
        <f t="shared" si="50"/>
        <v>521</v>
      </c>
      <c r="C3250" s="1" t="s">
        <v>4449</v>
      </c>
      <c r="D3250" s="13" t="str">
        <f>IF(RIGHT(A3250,3)="000",C3250,VLOOKUP(B3250,'Справочник ИХ'!A:C,3,0))</f>
        <v>Остальные грузы</v>
      </c>
      <c r="E3250" s="13">
        <f>IF(RIGHT(A3250,3)="000","х",VLOOKUP(B3250,'Справочник ИХ'!A:D,4,0))</f>
        <v>2</v>
      </c>
      <c r="F3250" s="14" t="s">
        <v>4446</v>
      </c>
    </row>
    <row r="3251" spans="1:6">
      <c r="A3251" s="19">
        <v>52103</v>
      </c>
      <c r="B3251" s="12" t="str">
        <f t="shared" si="50"/>
        <v>521</v>
      </c>
      <c r="C3251" s="1" t="s">
        <v>4450</v>
      </c>
      <c r="D3251" s="13" t="str">
        <f>IF(RIGHT(A3251,3)="000",C3251,VLOOKUP(B3251,'Справочник ИХ'!A:C,3,0))</f>
        <v>Остальные грузы</v>
      </c>
      <c r="E3251" s="13">
        <f>IF(RIGHT(A3251,3)="000","х",VLOOKUP(B3251,'Справочник ИХ'!A:D,4,0))</f>
        <v>2</v>
      </c>
      <c r="F3251" s="14" t="s">
        <v>4446</v>
      </c>
    </row>
    <row r="3252" spans="1:6">
      <c r="A3252" s="19">
        <v>52104</v>
      </c>
      <c r="B3252" s="12" t="str">
        <f t="shared" si="50"/>
        <v>521</v>
      </c>
      <c r="C3252" s="1" t="s">
        <v>4451</v>
      </c>
      <c r="D3252" s="13" t="str">
        <f>IF(RIGHT(A3252,3)="000",C3252,VLOOKUP(B3252,'Справочник ИХ'!A:C,3,0))</f>
        <v>Остальные грузы</v>
      </c>
      <c r="E3252" s="13">
        <f>IF(RIGHT(A3252,3)="000","х",VLOOKUP(B3252,'Справочник ИХ'!A:D,4,0))</f>
        <v>2</v>
      </c>
      <c r="F3252" s="14" t="s">
        <v>4446</v>
      </c>
    </row>
    <row r="3253" spans="1:6">
      <c r="A3253" s="19">
        <v>52105</v>
      </c>
      <c r="B3253" s="12" t="str">
        <f t="shared" si="50"/>
        <v>521</v>
      </c>
      <c r="C3253" s="1" t="s">
        <v>4452</v>
      </c>
      <c r="D3253" s="13" t="str">
        <f>IF(RIGHT(A3253,3)="000",C3253,VLOOKUP(B3253,'Справочник ИХ'!A:C,3,0))</f>
        <v>Остальные грузы</v>
      </c>
      <c r="E3253" s="13">
        <f>IF(RIGHT(A3253,3)="000","х",VLOOKUP(B3253,'Справочник ИХ'!A:D,4,0))</f>
        <v>2</v>
      </c>
      <c r="F3253" s="14" t="s">
        <v>4446</v>
      </c>
    </row>
    <row r="3254" spans="1:6">
      <c r="A3254" s="19">
        <v>52106</v>
      </c>
      <c r="B3254" s="12" t="str">
        <f t="shared" si="50"/>
        <v>521</v>
      </c>
      <c r="C3254" s="1" t="s">
        <v>4453</v>
      </c>
      <c r="D3254" s="13" t="str">
        <f>IF(RIGHT(A3254,3)="000",C3254,VLOOKUP(B3254,'Справочник ИХ'!A:C,3,0))</f>
        <v>Остальные грузы</v>
      </c>
      <c r="E3254" s="13">
        <f>IF(RIGHT(A3254,3)="000","х",VLOOKUP(B3254,'Справочник ИХ'!A:D,4,0))</f>
        <v>2</v>
      </c>
      <c r="F3254" s="14" t="s">
        <v>4446</v>
      </c>
    </row>
    <row r="3255" spans="1:6" ht="31.75">
      <c r="A3255" s="19">
        <v>52107</v>
      </c>
      <c r="B3255" s="12" t="str">
        <f t="shared" si="50"/>
        <v>521</v>
      </c>
      <c r="C3255" s="1" t="s">
        <v>4454</v>
      </c>
      <c r="D3255" s="13" t="str">
        <f>IF(RIGHT(A3255,3)="000",C3255,VLOOKUP(B3255,'Справочник ИХ'!A:C,3,0))</f>
        <v>Остальные грузы</v>
      </c>
      <c r="E3255" s="13">
        <f>IF(RIGHT(A3255,3)="000","х",VLOOKUP(B3255,'Справочник ИХ'!A:D,4,0))</f>
        <v>2</v>
      </c>
      <c r="F3255" s="14" t="s">
        <v>4446</v>
      </c>
    </row>
    <row r="3256" spans="1:6" s="15" customFormat="1">
      <c r="A3256" s="7">
        <v>53000</v>
      </c>
      <c r="B3256" s="12" t="str">
        <f t="shared" si="50"/>
        <v>530</v>
      </c>
      <c r="C3256" s="11" t="s">
        <v>4455</v>
      </c>
      <c r="D3256" s="13" t="str">
        <f>IF(RIGHT(A3256,3)="000",C3256,VLOOKUP(B3256,'Справочник ИХ'!A:C,3,0))</f>
        <v xml:space="preserve">Соль </v>
      </c>
      <c r="E3256" s="13" t="str">
        <f>IF(RIGHT(A3256,3)="000","х",VLOOKUP(B3256,'Справочник ИХ'!A:D,4,0))</f>
        <v>х</v>
      </c>
      <c r="F3256" s="14" t="s">
        <v>4455</v>
      </c>
    </row>
    <row r="3257" spans="1:6" s="18" customFormat="1">
      <c r="A3257" s="16">
        <v>53100</v>
      </c>
      <c r="B3257" s="12" t="str">
        <f t="shared" si="50"/>
        <v>531</v>
      </c>
      <c r="C3257" s="17" t="s">
        <v>4456</v>
      </c>
      <c r="D3257" s="13" t="str">
        <f>IF(RIGHT(A3257,3)="000",C3257,VLOOKUP(B3257,'Справочник ИХ'!A:C,3,0))</f>
        <v>Остальные грузы</v>
      </c>
      <c r="E3257" s="13">
        <f>IF(RIGHT(A3257,3)="000","х",VLOOKUP(B3257,'Справочник ИХ'!A:D,4,0))</f>
        <v>2</v>
      </c>
      <c r="F3257" s="14" t="s">
        <v>4455</v>
      </c>
    </row>
    <row r="3258" spans="1:6" ht="31.75">
      <c r="A3258" s="19">
        <v>53102</v>
      </c>
      <c r="B3258" s="12" t="str">
        <f t="shared" si="50"/>
        <v>531</v>
      </c>
      <c r="C3258" s="1" t="s">
        <v>4457</v>
      </c>
      <c r="D3258" s="13" t="str">
        <f>IF(RIGHT(A3258,3)="000",C3258,VLOOKUP(B3258,'Справочник ИХ'!A:C,3,0))</f>
        <v>Остальные грузы</v>
      </c>
      <c r="E3258" s="13">
        <f>IF(RIGHT(A3258,3)="000","х",VLOOKUP(B3258,'Справочник ИХ'!A:D,4,0))</f>
        <v>2</v>
      </c>
      <c r="F3258" s="14" t="s">
        <v>4455</v>
      </c>
    </row>
    <row r="3259" spans="1:6">
      <c r="A3259" s="19">
        <v>53103</v>
      </c>
      <c r="B3259" s="12" t="str">
        <f t="shared" si="50"/>
        <v>531</v>
      </c>
      <c r="C3259" s="1" t="s">
        <v>4458</v>
      </c>
      <c r="D3259" s="13" t="str">
        <f>IF(RIGHT(A3259,3)="000",C3259,VLOOKUP(B3259,'Справочник ИХ'!A:C,3,0))</f>
        <v>Остальные грузы</v>
      </c>
      <c r="E3259" s="13">
        <f>IF(RIGHT(A3259,3)="000","х",VLOOKUP(B3259,'Справочник ИХ'!A:D,4,0))</f>
        <v>2</v>
      </c>
      <c r="F3259" s="14" t="s">
        <v>4455</v>
      </c>
    </row>
    <row r="3260" spans="1:6">
      <c r="A3260" s="19">
        <v>53104</v>
      </c>
      <c r="B3260" s="12" t="str">
        <f t="shared" si="50"/>
        <v>531</v>
      </c>
      <c r="C3260" s="1" t="s">
        <v>4459</v>
      </c>
      <c r="D3260" s="13" t="str">
        <f>IF(RIGHT(A3260,3)="000",C3260,VLOOKUP(B3260,'Справочник ИХ'!A:C,3,0))</f>
        <v>Остальные грузы</v>
      </c>
      <c r="E3260" s="13">
        <f>IF(RIGHT(A3260,3)="000","х",VLOOKUP(B3260,'Справочник ИХ'!A:D,4,0))</f>
        <v>2</v>
      </c>
      <c r="F3260" s="14" t="s">
        <v>4455</v>
      </c>
    </row>
    <row r="3261" spans="1:6">
      <c r="A3261" s="19">
        <v>53105</v>
      </c>
      <c r="B3261" s="12" t="str">
        <f t="shared" si="50"/>
        <v>531</v>
      </c>
      <c r="C3261" s="1" t="s">
        <v>4460</v>
      </c>
      <c r="D3261" s="13" t="str">
        <f>IF(RIGHT(A3261,3)="000",C3261,VLOOKUP(B3261,'Справочник ИХ'!A:C,3,0))</f>
        <v>Остальные грузы</v>
      </c>
      <c r="E3261" s="13">
        <f>IF(RIGHT(A3261,3)="000","х",VLOOKUP(B3261,'Справочник ИХ'!A:D,4,0))</f>
        <v>2</v>
      </c>
      <c r="F3261" s="14" t="s">
        <v>4455</v>
      </c>
    </row>
    <row r="3262" spans="1:6">
      <c r="A3262" s="19">
        <v>53106</v>
      </c>
      <c r="B3262" s="12" t="str">
        <f t="shared" si="50"/>
        <v>531</v>
      </c>
      <c r="C3262" s="1" t="s">
        <v>4461</v>
      </c>
      <c r="D3262" s="13" t="str">
        <f>IF(RIGHT(A3262,3)="000",C3262,VLOOKUP(B3262,'Справочник ИХ'!A:C,3,0))</f>
        <v>Остальные грузы</v>
      </c>
      <c r="E3262" s="13">
        <f>IF(RIGHT(A3262,3)="000","х",VLOOKUP(B3262,'Справочник ИХ'!A:D,4,0))</f>
        <v>2</v>
      </c>
      <c r="F3262" s="14" t="s">
        <v>4455</v>
      </c>
    </row>
    <row r="3263" spans="1:6">
      <c r="A3263" s="19">
        <v>53107</v>
      </c>
      <c r="B3263" s="12" t="str">
        <f t="shared" si="50"/>
        <v>531</v>
      </c>
      <c r="C3263" s="1" t="s">
        <v>4462</v>
      </c>
      <c r="D3263" s="13" t="str">
        <f>IF(RIGHT(A3263,3)="000",C3263,VLOOKUP(B3263,'Справочник ИХ'!A:C,3,0))</f>
        <v>Остальные грузы</v>
      </c>
      <c r="E3263" s="13">
        <f>IF(RIGHT(A3263,3)="000","х",VLOOKUP(B3263,'Справочник ИХ'!A:D,4,0))</f>
        <v>2</v>
      </c>
      <c r="F3263" s="14" t="s">
        <v>4455</v>
      </c>
    </row>
    <row r="3264" spans="1:6" s="15" customFormat="1" ht="47.6">
      <c r="A3264" s="7">
        <v>54000</v>
      </c>
      <c r="B3264" s="12" t="str">
        <f t="shared" si="50"/>
        <v>540</v>
      </c>
      <c r="C3264" s="11" t="s">
        <v>4463</v>
      </c>
      <c r="D3264" s="13" t="str">
        <f>IF(RIGHT(A3264,3)="000",C3264,VLOOKUP(B3264,'Справочник ИХ'!A:C,3,0))</f>
        <v xml:space="preserve">Продукция комбикормовой промышленности </v>
      </c>
      <c r="E3264" s="13" t="str">
        <f>IF(RIGHT(A3264,3)="000","х",VLOOKUP(B3264,'Справочник ИХ'!A:D,4,0))</f>
        <v>х</v>
      </c>
      <c r="F3264" s="14" t="s">
        <v>4463</v>
      </c>
    </row>
    <row r="3265" spans="1:6" s="18" customFormat="1" ht="31.75">
      <c r="A3265" s="16">
        <v>54100</v>
      </c>
      <c r="B3265" s="12" t="str">
        <f t="shared" si="50"/>
        <v>541</v>
      </c>
      <c r="C3265" s="17" t="s">
        <v>4464</v>
      </c>
      <c r="D3265" s="13" t="str">
        <f>IF(RIGHT(A3265,3)="000",C3265,VLOOKUP(B3265,'Справочник ИХ'!A:C,3,0))</f>
        <v>Остальные грузы</v>
      </c>
      <c r="E3265" s="13">
        <f>IF(RIGHT(A3265,3)="000","х",VLOOKUP(B3265,'Справочник ИХ'!A:D,4,0))</f>
        <v>2</v>
      </c>
      <c r="F3265" s="14" t="s">
        <v>4463</v>
      </c>
    </row>
    <row r="3266" spans="1:6" s="18" customFormat="1" ht="31.75">
      <c r="A3266" s="19" t="s">
        <v>4465</v>
      </c>
      <c r="B3266" s="12" t="str">
        <f t="shared" si="50"/>
        <v>541</v>
      </c>
      <c r="C3266" s="1" t="s">
        <v>4466</v>
      </c>
      <c r="D3266" s="13" t="str">
        <f>IF(RIGHT(A3266,3)="000",C3266,VLOOKUP(B3266,'Справочник ИХ'!A:C,3,0))</f>
        <v>Остальные грузы</v>
      </c>
      <c r="E3266" s="13">
        <f>IF(RIGHT(A3266,3)="000","х",VLOOKUP(B3266,'Справочник ИХ'!A:D,4,0))</f>
        <v>2</v>
      </c>
      <c r="F3266" s="14" t="s">
        <v>4463</v>
      </c>
    </row>
    <row r="3267" spans="1:6" ht="31.75">
      <c r="A3267" s="19" t="s">
        <v>4467</v>
      </c>
      <c r="B3267" s="12" t="str">
        <f t="shared" si="50"/>
        <v>541</v>
      </c>
      <c r="C3267" s="1" t="s">
        <v>4468</v>
      </c>
      <c r="D3267" s="13" t="str">
        <f>IF(RIGHT(A3267,3)="000",C3267,VLOOKUP(B3267,'Справочник ИХ'!A:C,3,0))</f>
        <v>Остальные грузы</v>
      </c>
      <c r="E3267" s="13">
        <f>IF(RIGHT(A3267,3)="000","х",VLOOKUP(B3267,'Справочник ИХ'!A:D,4,0))</f>
        <v>2</v>
      </c>
      <c r="F3267" s="14" t="s">
        <v>4463</v>
      </c>
    </row>
    <row r="3268" spans="1:6" ht="31.75">
      <c r="A3268" s="19" t="s">
        <v>4469</v>
      </c>
      <c r="B3268" s="12" t="str">
        <f t="shared" si="50"/>
        <v>541</v>
      </c>
      <c r="C3268" s="1" t="s">
        <v>4470</v>
      </c>
      <c r="D3268" s="13" t="str">
        <f>IF(RIGHT(A3268,3)="000",C3268,VLOOKUP(B3268,'Справочник ИХ'!A:C,3,0))</f>
        <v>Остальные грузы</v>
      </c>
      <c r="E3268" s="13">
        <f>IF(RIGHT(A3268,3)="000","х",VLOOKUP(B3268,'Справочник ИХ'!A:D,4,0))</f>
        <v>2</v>
      </c>
      <c r="F3268" s="14" t="s">
        <v>4463</v>
      </c>
    </row>
    <row r="3269" spans="1:6" ht="31.75">
      <c r="A3269" s="19" t="s">
        <v>4471</v>
      </c>
      <c r="B3269" s="12" t="str">
        <f t="shared" ref="B3269:B3332" si="51">LEFT(A3269,3)</f>
        <v>511</v>
      </c>
      <c r="C3269" s="1" t="s">
        <v>4472</v>
      </c>
      <c r="D3269" s="13" t="str">
        <f>IF(RIGHT(A3269,3)="000",C3269,VLOOKUP(B3269,'Справочник ИХ'!A:C,3,0))</f>
        <v>Остальные грузы</v>
      </c>
      <c r="E3269" s="13">
        <f>IF(RIGHT(A3269,3)="000","х",VLOOKUP(B3269,'Справочник ИХ'!A:D,4,0))</f>
        <v>2</v>
      </c>
      <c r="F3269" s="14" t="s">
        <v>4463</v>
      </c>
    </row>
    <row r="3270" spans="1:6" ht="31.75">
      <c r="A3270" s="19" t="s">
        <v>4473</v>
      </c>
      <c r="B3270" s="12" t="str">
        <f t="shared" si="51"/>
        <v>541</v>
      </c>
      <c r="C3270" s="1" t="s">
        <v>4474</v>
      </c>
      <c r="D3270" s="13" t="str">
        <f>IF(RIGHT(A3270,3)="000",C3270,VLOOKUP(B3270,'Справочник ИХ'!A:C,3,0))</f>
        <v>Остальные грузы</v>
      </c>
      <c r="E3270" s="13">
        <f>IF(RIGHT(A3270,3)="000","х",VLOOKUP(B3270,'Справочник ИХ'!A:D,4,0))</f>
        <v>2</v>
      </c>
      <c r="F3270" s="14" t="s">
        <v>4463</v>
      </c>
    </row>
    <row r="3271" spans="1:6" ht="31.75">
      <c r="A3271" s="19" t="s">
        <v>4475</v>
      </c>
      <c r="B3271" s="12" t="str">
        <f t="shared" si="51"/>
        <v>541</v>
      </c>
      <c r="C3271" s="1" t="s">
        <v>4476</v>
      </c>
      <c r="D3271" s="13" t="str">
        <f>IF(RIGHT(A3271,3)="000",C3271,VLOOKUP(B3271,'Справочник ИХ'!A:C,3,0))</f>
        <v>Остальные грузы</v>
      </c>
      <c r="E3271" s="13">
        <f>IF(RIGHT(A3271,3)="000","х",VLOOKUP(B3271,'Справочник ИХ'!A:D,4,0))</f>
        <v>2</v>
      </c>
      <c r="F3271" s="14" t="s">
        <v>4463</v>
      </c>
    </row>
    <row r="3272" spans="1:6" ht="31.75">
      <c r="A3272" s="19" t="s">
        <v>4477</v>
      </c>
      <c r="B3272" s="12" t="str">
        <f t="shared" si="51"/>
        <v>541</v>
      </c>
      <c r="C3272" s="1" t="s">
        <v>4478</v>
      </c>
      <c r="D3272" s="13" t="str">
        <f>IF(RIGHT(A3272,3)="000",C3272,VLOOKUP(B3272,'Справочник ИХ'!A:C,3,0))</f>
        <v>Остальные грузы</v>
      </c>
      <c r="E3272" s="13">
        <f>IF(RIGHT(A3272,3)="000","х",VLOOKUP(B3272,'Справочник ИХ'!A:D,4,0))</f>
        <v>2</v>
      </c>
      <c r="F3272" s="14" t="s">
        <v>4463</v>
      </c>
    </row>
    <row r="3273" spans="1:6" s="18" customFormat="1" ht="31.75">
      <c r="A3273" s="16">
        <v>54200</v>
      </c>
      <c r="B3273" s="12" t="str">
        <f t="shared" si="51"/>
        <v>542</v>
      </c>
      <c r="C3273" s="17" t="s">
        <v>4479</v>
      </c>
      <c r="D3273" s="13" t="str">
        <f>IF(RIGHT(A3273,3)="000",C3273,VLOOKUP(B3273,'Справочник ИХ'!A:C,3,0))</f>
        <v>Остальные грузы</v>
      </c>
      <c r="E3273" s="13">
        <f>IF(RIGHT(A3273,3)="000","х",VLOOKUP(B3273,'Справочник ИХ'!A:D,4,0))</f>
        <v>2</v>
      </c>
      <c r="F3273" s="14" t="s">
        <v>4463</v>
      </c>
    </row>
    <row r="3274" spans="1:6" ht="31.75">
      <c r="A3274" s="19">
        <v>54201</v>
      </c>
      <c r="B3274" s="12" t="str">
        <f t="shared" si="51"/>
        <v>542</v>
      </c>
      <c r="C3274" s="1" t="s">
        <v>4480</v>
      </c>
      <c r="D3274" s="13" t="str">
        <f>IF(RIGHT(A3274,3)="000",C3274,VLOOKUP(B3274,'Справочник ИХ'!A:C,3,0))</f>
        <v>Остальные грузы</v>
      </c>
      <c r="E3274" s="13">
        <f>IF(RIGHT(A3274,3)="000","х",VLOOKUP(B3274,'Справочник ИХ'!A:D,4,0))</f>
        <v>2</v>
      </c>
      <c r="F3274" s="14" t="s">
        <v>4463</v>
      </c>
    </row>
    <row r="3275" spans="1:6" ht="31.75">
      <c r="A3275" s="19">
        <v>54202</v>
      </c>
      <c r="B3275" s="12" t="str">
        <f t="shared" si="51"/>
        <v>542</v>
      </c>
      <c r="C3275" s="1" t="s">
        <v>4481</v>
      </c>
      <c r="D3275" s="13" t="str">
        <f>IF(RIGHT(A3275,3)="000",C3275,VLOOKUP(B3275,'Справочник ИХ'!A:C,3,0))</f>
        <v>Остальные грузы</v>
      </c>
      <c r="E3275" s="13">
        <f>IF(RIGHT(A3275,3)="000","х",VLOOKUP(B3275,'Справочник ИХ'!A:D,4,0))</f>
        <v>2</v>
      </c>
      <c r="F3275" s="14" t="s">
        <v>4463</v>
      </c>
    </row>
    <row r="3276" spans="1:6" ht="31.75">
      <c r="A3276" s="19">
        <v>54203</v>
      </c>
      <c r="B3276" s="12" t="str">
        <f t="shared" si="51"/>
        <v>542</v>
      </c>
      <c r="C3276" s="1" t="s">
        <v>4482</v>
      </c>
      <c r="D3276" s="13" t="str">
        <f>IF(RIGHT(A3276,3)="000",C3276,VLOOKUP(B3276,'Справочник ИХ'!A:C,3,0))</f>
        <v>Остальные грузы</v>
      </c>
      <c r="E3276" s="13">
        <f>IF(RIGHT(A3276,3)="000","х",VLOOKUP(B3276,'Справочник ИХ'!A:D,4,0))</f>
        <v>2</v>
      </c>
      <c r="F3276" s="14" t="s">
        <v>4463</v>
      </c>
    </row>
    <row r="3277" spans="1:6" ht="31.75">
      <c r="A3277" s="19">
        <v>54204</v>
      </c>
      <c r="B3277" s="12" t="str">
        <f t="shared" si="51"/>
        <v>542</v>
      </c>
      <c r="C3277" s="1" t="s">
        <v>4483</v>
      </c>
      <c r="D3277" s="13" t="str">
        <f>IF(RIGHT(A3277,3)="000",C3277,VLOOKUP(B3277,'Справочник ИХ'!A:C,3,0))</f>
        <v>Остальные грузы</v>
      </c>
      <c r="E3277" s="13">
        <f>IF(RIGHT(A3277,3)="000","х",VLOOKUP(B3277,'Справочник ИХ'!A:D,4,0))</f>
        <v>2</v>
      </c>
      <c r="F3277" s="14" t="s">
        <v>4463</v>
      </c>
    </row>
    <row r="3278" spans="1:6" ht="31.75">
      <c r="A3278" s="19" t="s">
        <v>4484</v>
      </c>
      <c r="B3278" s="12" t="str">
        <f t="shared" si="51"/>
        <v>542</v>
      </c>
      <c r="C3278" s="1" t="s">
        <v>4485</v>
      </c>
      <c r="D3278" s="13" t="str">
        <f>IF(RIGHT(A3278,3)="000",C3278,VLOOKUP(B3278,'Справочник ИХ'!A:C,3,0))</f>
        <v>Остальные грузы</v>
      </c>
      <c r="E3278" s="13">
        <f>IF(RIGHT(A3278,3)="000","х",VLOOKUP(B3278,'Справочник ИХ'!A:D,4,0))</f>
        <v>2</v>
      </c>
      <c r="F3278" s="14" t="s">
        <v>4463</v>
      </c>
    </row>
    <row r="3279" spans="1:6" ht="31.75">
      <c r="A3279" s="19" t="s">
        <v>4486</v>
      </c>
      <c r="B3279" s="12" t="str">
        <f t="shared" si="51"/>
        <v>542</v>
      </c>
      <c r="C3279" s="1" t="s">
        <v>4487</v>
      </c>
      <c r="D3279" s="13" t="str">
        <f>IF(RIGHT(A3279,3)="000",C3279,VLOOKUP(B3279,'Справочник ИХ'!A:C,3,0))</f>
        <v>Остальные грузы</v>
      </c>
      <c r="E3279" s="13">
        <f>IF(RIGHT(A3279,3)="000","х",VLOOKUP(B3279,'Справочник ИХ'!A:D,4,0))</f>
        <v>2</v>
      </c>
      <c r="F3279" s="14" t="s">
        <v>4463</v>
      </c>
    </row>
    <row r="3280" spans="1:6" ht="31.75">
      <c r="A3280" s="19" t="s">
        <v>4488</v>
      </c>
      <c r="B3280" s="12" t="str">
        <f t="shared" si="51"/>
        <v>542</v>
      </c>
      <c r="C3280" s="1" t="s">
        <v>4489</v>
      </c>
      <c r="D3280" s="13" t="str">
        <f>IF(RIGHT(A3280,3)="000",C3280,VLOOKUP(B3280,'Справочник ИХ'!A:C,3,0))</f>
        <v>Остальные грузы</v>
      </c>
      <c r="E3280" s="13">
        <f>IF(RIGHT(A3280,3)="000","х",VLOOKUP(B3280,'Справочник ИХ'!A:D,4,0))</f>
        <v>2</v>
      </c>
      <c r="F3280" s="14" t="s">
        <v>4463</v>
      </c>
    </row>
    <row r="3281" spans="1:6" ht="31.75">
      <c r="A3281" s="19" t="s">
        <v>4490</v>
      </c>
      <c r="B3281" s="12" t="str">
        <f t="shared" si="51"/>
        <v>542</v>
      </c>
      <c r="C3281" s="1" t="s">
        <v>4491</v>
      </c>
      <c r="D3281" s="13" t="str">
        <f>IF(RIGHT(A3281,3)="000",C3281,VLOOKUP(B3281,'Справочник ИХ'!A:C,3,0))</f>
        <v>Остальные грузы</v>
      </c>
      <c r="E3281" s="13">
        <f>IF(RIGHT(A3281,3)="000","х",VLOOKUP(B3281,'Справочник ИХ'!A:D,4,0))</f>
        <v>2</v>
      </c>
      <c r="F3281" s="14" t="s">
        <v>4463</v>
      </c>
    </row>
    <row r="3282" spans="1:6" ht="31.75">
      <c r="A3282" s="19" t="s">
        <v>4492</v>
      </c>
      <c r="B3282" s="12" t="str">
        <f t="shared" si="51"/>
        <v>542</v>
      </c>
      <c r="C3282" s="1" t="s">
        <v>4493</v>
      </c>
      <c r="D3282" s="13" t="str">
        <f>IF(RIGHT(A3282,3)="000",C3282,VLOOKUP(B3282,'Справочник ИХ'!A:C,3,0))</f>
        <v>Остальные грузы</v>
      </c>
      <c r="E3282" s="13">
        <f>IF(RIGHT(A3282,3)="000","х",VLOOKUP(B3282,'Справочник ИХ'!A:D,4,0))</f>
        <v>2</v>
      </c>
      <c r="F3282" s="14" t="s">
        <v>4463</v>
      </c>
    </row>
    <row r="3283" spans="1:6" ht="31.75">
      <c r="A3283" s="19" t="s">
        <v>4494</v>
      </c>
      <c r="B3283" s="12" t="str">
        <f t="shared" si="51"/>
        <v>542</v>
      </c>
      <c r="C3283" s="1" t="s">
        <v>4495</v>
      </c>
      <c r="D3283" s="13" t="str">
        <f>IF(RIGHT(A3283,3)="000",C3283,VLOOKUP(B3283,'Справочник ИХ'!A:C,3,0))</f>
        <v>Остальные грузы</v>
      </c>
      <c r="E3283" s="13">
        <f>IF(RIGHT(A3283,3)="000","х",VLOOKUP(B3283,'Справочник ИХ'!A:D,4,0))</f>
        <v>2</v>
      </c>
      <c r="F3283" s="14" t="s">
        <v>4463</v>
      </c>
    </row>
    <row r="3284" spans="1:6" ht="31.75">
      <c r="A3284" s="19" t="s">
        <v>4496</v>
      </c>
      <c r="B3284" s="12" t="str">
        <f t="shared" si="51"/>
        <v>542</v>
      </c>
      <c r="C3284" s="1" t="s">
        <v>4497</v>
      </c>
      <c r="D3284" s="13" t="str">
        <f>IF(RIGHT(A3284,3)="000",C3284,VLOOKUP(B3284,'Справочник ИХ'!A:C,3,0))</f>
        <v>Остальные грузы</v>
      </c>
      <c r="E3284" s="13">
        <f>IF(RIGHT(A3284,3)="000","х",VLOOKUP(B3284,'Справочник ИХ'!A:D,4,0))</f>
        <v>2</v>
      </c>
      <c r="F3284" s="14" t="s">
        <v>4463</v>
      </c>
    </row>
    <row r="3285" spans="1:6" ht="31.75">
      <c r="A3285" s="19" t="s">
        <v>4498</v>
      </c>
      <c r="B3285" s="12" t="str">
        <f t="shared" si="51"/>
        <v>542</v>
      </c>
      <c r="C3285" s="1" t="s">
        <v>4499</v>
      </c>
      <c r="D3285" s="13" t="str">
        <f>IF(RIGHT(A3285,3)="000",C3285,VLOOKUP(B3285,'Справочник ИХ'!A:C,3,0))</f>
        <v>Остальные грузы</v>
      </c>
      <c r="E3285" s="13">
        <f>IF(RIGHT(A3285,3)="000","х",VLOOKUP(B3285,'Справочник ИХ'!A:D,4,0))</f>
        <v>2</v>
      </c>
      <c r="F3285" s="14" t="s">
        <v>4463</v>
      </c>
    </row>
    <row r="3286" spans="1:6" ht="31.75">
      <c r="A3286" s="19" t="s">
        <v>4500</v>
      </c>
      <c r="B3286" s="12" t="str">
        <f t="shared" si="51"/>
        <v>542</v>
      </c>
      <c r="C3286" s="1" t="s">
        <v>4501</v>
      </c>
      <c r="D3286" s="13" t="str">
        <f>IF(RIGHT(A3286,3)="000",C3286,VLOOKUP(B3286,'Справочник ИХ'!A:C,3,0))</f>
        <v>Остальные грузы</v>
      </c>
      <c r="E3286" s="13">
        <f>IF(RIGHT(A3286,3)="000","х",VLOOKUP(B3286,'Справочник ИХ'!A:D,4,0))</f>
        <v>2</v>
      </c>
      <c r="F3286" s="14" t="s">
        <v>4463</v>
      </c>
    </row>
    <row r="3287" spans="1:6" ht="31.75">
      <c r="A3287" s="19" t="s">
        <v>4502</v>
      </c>
      <c r="B3287" s="12" t="str">
        <f t="shared" si="51"/>
        <v>542</v>
      </c>
      <c r="C3287" s="1" t="s">
        <v>4503</v>
      </c>
      <c r="D3287" s="13" t="str">
        <f>IF(RIGHT(A3287,3)="000",C3287,VLOOKUP(B3287,'Справочник ИХ'!A:C,3,0))</f>
        <v>Остальные грузы</v>
      </c>
      <c r="E3287" s="13">
        <f>IF(RIGHT(A3287,3)="000","х",VLOOKUP(B3287,'Справочник ИХ'!A:D,4,0))</f>
        <v>2</v>
      </c>
      <c r="F3287" s="14" t="s">
        <v>4463</v>
      </c>
    </row>
    <row r="3288" spans="1:6" ht="31.75">
      <c r="A3288" s="19" t="s">
        <v>4504</v>
      </c>
      <c r="B3288" s="12" t="str">
        <f t="shared" si="51"/>
        <v>542</v>
      </c>
      <c r="C3288" s="1" t="s">
        <v>4505</v>
      </c>
      <c r="D3288" s="13" t="str">
        <f>IF(RIGHT(A3288,3)="000",C3288,VLOOKUP(B3288,'Справочник ИХ'!A:C,3,0))</f>
        <v>Остальные грузы</v>
      </c>
      <c r="E3288" s="13">
        <f>IF(RIGHT(A3288,3)="000","х",VLOOKUP(B3288,'Справочник ИХ'!A:D,4,0))</f>
        <v>2</v>
      </c>
      <c r="F3288" s="14" t="s">
        <v>4463</v>
      </c>
    </row>
    <row r="3289" spans="1:6" ht="31.75">
      <c r="A3289" s="19" t="s">
        <v>4506</v>
      </c>
      <c r="B3289" s="12" t="str">
        <f t="shared" si="51"/>
        <v>542</v>
      </c>
      <c r="C3289" s="1" t="s">
        <v>4507</v>
      </c>
      <c r="D3289" s="13" t="str">
        <f>IF(RIGHT(A3289,3)="000",C3289,VLOOKUP(B3289,'Справочник ИХ'!A:C,3,0))</f>
        <v>Остальные грузы</v>
      </c>
      <c r="E3289" s="13">
        <f>IF(RIGHT(A3289,3)="000","х",VLOOKUP(B3289,'Справочник ИХ'!A:D,4,0))</f>
        <v>2</v>
      </c>
      <c r="F3289" s="14" t="s">
        <v>4463</v>
      </c>
    </row>
    <row r="3290" spans="1:6" ht="31.75">
      <c r="A3290" s="19" t="s">
        <v>4508</v>
      </c>
      <c r="B3290" s="12" t="str">
        <f t="shared" si="51"/>
        <v>542</v>
      </c>
      <c r="C3290" s="1" t="s">
        <v>4509</v>
      </c>
      <c r="D3290" s="13" t="str">
        <f>IF(RIGHT(A3290,3)="000",C3290,VLOOKUP(B3290,'Справочник ИХ'!A:C,3,0))</f>
        <v>Остальные грузы</v>
      </c>
      <c r="E3290" s="13">
        <f>IF(RIGHT(A3290,3)="000","х",VLOOKUP(B3290,'Справочник ИХ'!A:D,4,0))</f>
        <v>2</v>
      </c>
      <c r="F3290" s="14" t="s">
        <v>4463</v>
      </c>
    </row>
    <row r="3291" spans="1:6" ht="31.75">
      <c r="A3291" s="19" t="s">
        <v>4510</v>
      </c>
      <c r="B3291" s="12" t="str">
        <f t="shared" si="51"/>
        <v>542</v>
      </c>
      <c r="C3291" s="1" t="s">
        <v>4511</v>
      </c>
      <c r="D3291" s="13" t="str">
        <f>IF(RIGHT(A3291,3)="000",C3291,VLOOKUP(B3291,'Справочник ИХ'!A:C,3,0))</f>
        <v>Остальные грузы</v>
      </c>
      <c r="E3291" s="13">
        <f>IF(RIGHT(A3291,3)="000","х",VLOOKUP(B3291,'Справочник ИХ'!A:D,4,0))</f>
        <v>2</v>
      </c>
      <c r="F3291" s="14" t="s">
        <v>4463</v>
      </c>
    </row>
    <row r="3292" spans="1:6" ht="31.75">
      <c r="A3292" s="19" t="s">
        <v>4512</v>
      </c>
      <c r="B3292" s="12" t="str">
        <f t="shared" si="51"/>
        <v>542</v>
      </c>
      <c r="C3292" s="1" t="s">
        <v>4513</v>
      </c>
      <c r="D3292" s="13" t="str">
        <f>IF(RIGHT(A3292,3)="000",C3292,VLOOKUP(B3292,'Справочник ИХ'!A:C,3,0))</f>
        <v>Остальные грузы</v>
      </c>
      <c r="E3292" s="13">
        <f>IF(RIGHT(A3292,3)="000","х",VLOOKUP(B3292,'Справочник ИХ'!A:D,4,0))</f>
        <v>2</v>
      </c>
      <c r="F3292" s="14" t="s">
        <v>4463</v>
      </c>
    </row>
    <row r="3293" spans="1:6" ht="31.75">
      <c r="A3293" s="19" t="s">
        <v>4514</v>
      </c>
      <c r="B3293" s="12" t="str">
        <f t="shared" si="51"/>
        <v>542</v>
      </c>
      <c r="C3293" s="1" t="s">
        <v>4515</v>
      </c>
      <c r="D3293" s="13" t="str">
        <f>IF(RIGHT(A3293,3)="000",C3293,VLOOKUP(B3293,'Справочник ИХ'!A:C,3,0))</f>
        <v>Остальные грузы</v>
      </c>
      <c r="E3293" s="13">
        <f>IF(RIGHT(A3293,3)="000","х",VLOOKUP(B3293,'Справочник ИХ'!A:D,4,0))</f>
        <v>2</v>
      </c>
      <c r="F3293" s="14" t="s">
        <v>4463</v>
      </c>
    </row>
    <row r="3294" spans="1:6" ht="31.75">
      <c r="A3294" s="19" t="s">
        <v>4516</v>
      </c>
      <c r="B3294" s="12" t="str">
        <f t="shared" si="51"/>
        <v>542</v>
      </c>
      <c r="C3294" s="1" t="s">
        <v>4517</v>
      </c>
      <c r="D3294" s="13" t="str">
        <f>IF(RIGHT(A3294,3)="000",C3294,VLOOKUP(B3294,'Справочник ИХ'!A:C,3,0))</f>
        <v>Остальные грузы</v>
      </c>
      <c r="E3294" s="13">
        <f>IF(RIGHT(A3294,3)="000","х",VLOOKUP(B3294,'Справочник ИХ'!A:D,4,0))</f>
        <v>2</v>
      </c>
      <c r="F3294" s="14" t="s">
        <v>4463</v>
      </c>
    </row>
    <row r="3295" spans="1:6" ht="31.75">
      <c r="A3295" s="19" t="s">
        <v>4518</v>
      </c>
      <c r="B3295" s="12" t="str">
        <f t="shared" si="51"/>
        <v>542</v>
      </c>
      <c r="C3295" s="1" t="s">
        <v>4519</v>
      </c>
      <c r="D3295" s="13" t="str">
        <f>IF(RIGHT(A3295,3)="000",C3295,VLOOKUP(B3295,'Справочник ИХ'!A:C,3,0))</f>
        <v>Остальные грузы</v>
      </c>
      <c r="E3295" s="13">
        <f>IF(RIGHT(A3295,3)="000","х",VLOOKUP(B3295,'Справочник ИХ'!A:D,4,0))</f>
        <v>2</v>
      </c>
      <c r="F3295" s="14" t="s">
        <v>4463</v>
      </c>
    </row>
    <row r="3296" spans="1:6" ht="31.75">
      <c r="A3296" s="19" t="s">
        <v>4520</v>
      </c>
      <c r="B3296" s="12" t="str">
        <f t="shared" si="51"/>
        <v>542</v>
      </c>
      <c r="C3296" s="1" t="s">
        <v>4521</v>
      </c>
      <c r="D3296" s="13" t="str">
        <f>IF(RIGHT(A3296,3)="000",C3296,VLOOKUP(B3296,'Справочник ИХ'!A:C,3,0))</f>
        <v>Остальные грузы</v>
      </c>
      <c r="E3296" s="13">
        <f>IF(RIGHT(A3296,3)="000","х",VLOOKUP(B3296,'Справочник ИХ'!A:D,4,0))</f>
        <v>2</v>
      </c>
      <c r="F3296" s="14" t="s">
        <v>4463</v>
      </c>
    </row>
    <row r="3297" spans="1:6" ht="31.75">
      <c r="A3297" s="19" t="s">
        <v>4522</v>
      </c>
      <c r="B3297" s="12" t="str">
        <f t="shared" si="51"/>
        <v>542</v>
      </c>
      <c r="C3297" s="1" t="s">
        <v>4523</v>
      </c>
      <c r="D3297" s="13" t="str">
        <f>IF(RIGHT(A3297,3)="000",C3297,VLOOKUP(B3297,'Справочник ИХ'!A:C,3,0))</f>
        <v>Остальные грузы</v>
      </c>
      <c r="E3297" s="13">
        <f>IF(RIGHT(A3297,3)="000","х",VLOOKUP(B3297,'Справочник ИХ'!A:D,4,0))</f>
        <v>2</v>
      </c>
      <c r="F3297" s="14" t="s">
        <v>4463</v>
      </c>
    </row>
    <row r="3298" spans="1:6" ht="31.75">
      <c r="A3298" s="19" t="s">
        <v>4524</v>
      </c>
      <c r="B3298" s="12" t="str">
        <f t="shared" si="51"/>
        <v>542</v>
      </c>
      <c r="C3298" s="1" t="s">
        <v>4525</v>
      </c>
      <c r="D3298" s="13" t="str">
        <f>IF(RIGHT(A3298,3)="000",C3298,VLOOKUP(B3298,'Справочник ИХ'!A:C,3,0))</f>
        <v>Остальные грузы</v>
      </c>
      <c r="E3298" s="13">
        <f>IF(RIGHT(A3298,3)="000","х",VLOOKUP(B3298,'Справочник ИХ'!A:D,4,0))</f>
        <v>2</v>
      </c>
      <c r="F3298" s="14" t="s">
        <v>4463</v>
      </c>
    </row>
    <row r="3299" spans="1:6" ht="31.75">
      <c r="A3299" s="19" t="s">
        <v>4526</v>
      </c>
      <c r="B3299" s="12" t="str">
        <f t="shared" si="51"/>
        <v>542</v>
      </c>
      <c r="C3299" s="1" t="s">
        <v>4527</v>
      </c>
      <c r="D3299" s="13" t="str">
        <f>IF(RIGHT(A3299,3)="000",C3299,VLOOKUP(B3299,'Справочник ИХ'!A:C,3,0))</f>
        <v>Остальные грузы</v>
      </c>
      <c r="E3299" s="13">
        <f>IF(RIGHT(A3299,3)="000","х",VLOOKUP(B3299,'Справочник ИХ'!A:D,4,0))</f>
        <v>2</v>
      </c>
      <c r="F3299" s="14" t="s">
        <v>4463</v>
      </c>
    </row>
    <row r="3300" spans="1:6" ht="31.75">
      <c r="A3300" s="19" t="s">
        <v>4528</v>
      </c>
      <c r="B3300" s="12" t="str">
        <f t="shared" si="51"/>
        <v>542</v>
      </c>
      <c r="C3300" s="1" t="s">
        <v>4529</v>
      </c>
      <c r="D3300" s="13" t="str">
        <f>IF(RIGHT(A3300,3)="000",C3300,VLOOKUP(B3300,'Справочник ИХ'!A:C,3,0))</f>
        <v>Остальные грузы</v>
      </c>
      <c r="E3300" s="13">
        <f>IF(RIGHT(A3300,3)="000","х",VLOOKUP(B3300,'Справочник ИХ'!A:D,4,0))</f>
        <v>2</v>
      </c>
      <c r="F3300" s="14" t="s">
        <v>4463</v>
      </c>
    </row>
    <row r="3301" spans="1:6" s="15" customFormat="1" ht="47.6">
      <c r="A3301" s="7">
        <v>55000</v>
      </c>
      <c r="B3301" s="12" t="str">
        <f t="shared" si="51"/>
        <v>550</v>
      </c>
      <c r="C3301" s="11" t="s">
        <v>4530</v>
      </c>
      <c r="D3301" s="13" t="str">
        <f>IF(RIGHT(A3301,3)="000",C3301,VLOOKUP(B3301,'Справочник ИХ'!A:C,3,0))</f>
        <v>Продукция молочной и маслосыродельной промышленности, яйца</v>
      </c>
      <c r="E3301" s="13" t="str">
        <f>IF(RIGHT(A3301,3)="000","х",VLOOKUP(B3301,'Справочник ИХ'!A:D,4,0))</f>
        <v>х</v>
      </c>
      <c r="F3301" s="14" t="s">
        <v>4530</v>
      </c>
    </row>
    <row r="3302" spans="1:6" s="18" customFormat="1" ht="31.75">
      <c r="A3302" s="16">
        <v>55100</v>
      </c>
      <c r="B3302" s="12" t="str">
        <f t="shared" si="51"/>
        <v>551</v>
      </c>
      <c r="C3302" s="17" t="s">
        <v>4531</v>
      </c>
      <c r="D3302" s="13" t="str">
        <f>IF(RIGHT(A3302,3)="000",C3302,VLOOKUP(B3302,'Справочник ИХ'!A:C,3,0))</f>
        <v>Остальные грузы</v>
      </c>
      <c r="E3302" s="13">
        <f>IF(RIGHT(A3302,3)="000","х",VLOOKUP(B3302,'Справочник ИХ'!A:D,4,0))</f>
        <v>2</v>
      </c>
      <c r="F3302" s="14" t="s">
        <v>4530</v>
      </c>
    </row>
    <row r="3303" spans="1:6" ht="31.75">
      <c r="A3303" s="19">
        <v>55101</v>
      </c>
      <c r="B3303" s="12" t="str">
        <f t="shared" si="51"/>
        <v>551</v>
      </c>
      <c r="C3303" s="1" t="s">
        <v>4532</v>
      </c>
      <c r="D3303" s="13" t="str">
        <f>IF(RIGHT(A3303,3)="000",C3303,VLOOKUP(B3303,'Справочник ИХ'!A:C,3,0))</f>
        <v>Остальные грузы</v>
      </c>
      <c r="E3303" s="13">
        <f>IF(RIGHT(A3303,3)="000","х",VLOOKUP(B3303,'Справочник ИХ'!A:D,4,0))</f>
        <v>2</v>
      </c>
      <c r="F3303" s="14" t="s">
        <v>4530</v>
      </c>
    </row>
    <row r="3304" spans="1:6" ht="31.75">
      <c r="A3304" s="19">
        <v>55102</v>
      </c>
      <c r="B3304" s="12" t="str">
        <f t="shared" si="51"/>
        <v>551</v>
      </c>
      <c r="C3304" s="1" t="s">
        <v>4533</v>
      </c>
      <c r="D3304" s="13" t="str">
        <f>IF(RIGHT(A3304,3)="000",C3304,VLOOKUP(B3304,'Справочник ИХ'!A:C,3,0))</f>
        <v>Остальные грузы</v>
      </c>
      <c r="E3304" s="13">
        <f>IF(RIGHT(A3304,3)="000","х",VLOOKUP(B3304,'Справочник ИХ'!A:D,4,0))</f>
        <v>2</v>
      </c>
      <c r="F3304" s="14" t="s">
        <v>4530</v>
      </c>
    </row>
    <row r="3305" spans="1:6" s="18" customFormat="1" ht="31.75">
      <c r="A3305" s="16">
        <v>55200</v>
      </c>
      <c r="B3305" s="12" t="str">
        <f t="shared" si="51"/>
        <v>552</v>
      </c>
      <c r="C3305" s="17" t="s">
        <v>4534</v>
      </c>
      <c r="D3305" s="13" t="str">
        <f>IF(RIGHT(A3305,3)="000",C3305,VLOOKUP(B3305,'Справочник ИХ'!A:C,3,0))</f>
        <v>Остальные грузы</v>
      </c>
      <c r="E3305" s="13">
        <f>IF(RIGHT(A3305,3)="000","х",VLOOKUP(B3305,'Справочник ИХ'!A:D,4,0))</f>
        <v>2</v>
      </c>
      <c r="F3305" s="14" t="s">
        <v>4530</v>
      </c>
    </row>
    <row r="3306" spans="1:6" ht="31.75">
      <c r="A3306" s="19">
        <v>55201</v>
      </c>
      <c r="B3306" s="12" t="str">
        <f t="shared" si="51"/>
        <v>552</v>
      </c>
      <c r="C3306" s="1" t="s">
        <v>4535</v>
      </c>
      <c r="D3306" s="13" t="str">
        <f>IF(RIGHT(A3306,3)="000",C3306,VLOOKUP(B3306,'Справочник ИХ'!A:C,3,0))</f>
        <v>Остальные грузы</v>
      </c>
      <c r="E3306" s="13">
        <f>IF(RIGHT(A3306,3)="000","х",VLOOKUP(B3306,'Справочник ИХ'!A:D,4,0))</f>
        <v>2</v>
      </c>
      <c r="F3306" s="14" t="s">
        <v>4530</v>
      </c>
    </row>
    <row r="3307" spans="1:6" ht="31.75">
      <c r="A3307" s="19">
        <v>55202</v>
      </c>
      <c r="B3307" s="12" t="str">
        <f t="shared" si="51"/>
        <v>552</v>
      </c>
      <c r="C3307" s="1" t="s">
        <v>4536</v>
      </c>
      <c r="D3307" s="13" t="str">
        <f>IF(RIGHT(A3307,3)="000",C3307,VLOOKUP(B3307,'Справочник ИХ'!A:C,3,0))</f>
        <v>Остальные грузы</v>
      </c>
      <c r="E3307" s="13">
        <f>IF(RIGHT(A3307,3)="000","х",VLOOKUP(B3307,'Справочник ИХ'!A:D,4,0))</f>
        <v>2</v>
      </c>
      <c r="F3307" s="14" t="s">
        <v>4530</v>
      </c>
    </row>
    <row r="3308" spans="1:6" ht="31.75">
      <c r="A3308" s="19">
        <v>55203</v>
      </c>
      <c r="B3308" s="12" t="str">
        <f t="shared" si="51"/>
        <v>552</v>
      </c>
      <c r="C3308" s="1" t="s">
        <v>4537</v>
      </c>
      <c r="D3308" s="13" t="str">
        <f>IF(RIGHT(A3308,3)="000",C3308,VLOOKUP(B3308,'Справочник ИХ'!A:C,3,0))</f>
        <v>Остальные грузы</v>
      </c>
      <c r="E3308" s="13">
        <f>IF(RIGHT(A3308,3)="000","х",VLOOKUP(B3308,'Справочник ИХ'!A:D,4,0))</f>
        <v>2</v>
      </c>
      <c r="F3308" s="14" t="s">
        <v>4530</v>
      </c>
    </row>
    <row r="3309" spans="1:6" ht="31.75">
      <c r="A3309" s="19">
        <v>55204</v>
      </c>
      <c r="B3309" s="12" t="str">
        <f t="shared" si="51"/>
        <v>552</v>
      </c>
      <c r="C3309" s="1" t="s">
        <v>4538</v>
      </c>
      <c r="D3309" s="13" t="str">
        <f>IF(RIGHT(A3309,3)="000",C3309,VLOOKUP(B3309,'Справочник ИХ'!A:C,3,0))</f>
        <v>Остальные грузы</v>
      </c>
      <c r="E3309" s="13">
        <f>IF(RIGHT(A3309,3)="000","х",VLOOKUP(B3309,'Справочник ИХ'!A:D,4,0))</f>
        <v>2</v>
      </c>
      <c r="F3309" s="14" t="s">
        <v>4530</v>
      </c>
    </row>
    <row r="3310" spans="1:6" ht="31.75">
      <c r="A3310" s="19">
        <v>55205</v>
      </c>
      <c r="B3310" s="12" t="str">
        <f t="shared" si="51"/>
        <v>552</v>
      </c>
      <c r="C3310" s="1" t="s">
        <v>4539</v>
      </c>
      <c r="D3310" s="13" t="str">
        <f>IF(RIGHT(A3310,3)="000",C3310,VLOOKUP(B3310,'Справочник ИХ'!A:C,3,0))</f>
        <v>Остальные грузы</v>
      </c>
      <c r="E3310" s="13">
        <f>IF(RIGHT(A3310,3)="000","х",VLOOKUP(B3310,'Справочник ИХ'!A:D,4,0))</f>
        <v>2</v>
      </c>
      <c r="F3310" s="14" t="s">
        <v>4530</v>
      </c>
    </row>
    <row r="3311" spans="1:6" ht="31.75">
      <c r="A3311" s="19">
        <v>55206</v>
      </c>
      <c r="B3311" s="12" t="str">
        <f t="shared" si="51"/>
        <v>552</v>
      </c>
      <c r="C3311" s="1" t="s">
        <v>4540</v>
      </c>
      <c r="D3311" s="13" t="str">
        <f>IF(RIGHT(A3311,3)="000",C3311,VLOOKUP(B3311,'Справочник ИХ'!A:C,3,0))</f>
        <v>Остальные грузы</v>
      </c>
      <c r="E3311" s="13">
        <f>IF(RIGHT(A3311,3)="000","х",VLOOKUP(B3311,'Справочник ИХ'!A:D,4,0))</f>
        <v>2</v>
      </c>
      <c r="F3311" s="14" t="s">
        <v>4530</v>
      </c>
    </row>
    <row r="3312" spans="1:6" ht="31.75">
      <c r="A3312" s="19">
        <v>55207</v>
      </c>
      <c r="B3312" s="12" t="str">
        <f t="shared" si="51"/>
        <v>552</v>
      </c>
      <c r="C3312" s="1" t="s">
        <v>4541</v>
      </c>
      <c r="D3312" s="13" t="str">
        <f>IF(RIGHT(A3312,3)="000",C3312,VLOOKUP(B3312,'Справочник ИХ'!A:C,3,0))</f>
        <v>Остальные грузы</v>
      </c>
      <c r="E3312" s="13">
        <f>IF(RIGHT(A3312,3)="000","х",VLOOKUP(B3312,'Справочник ИХ'!A:D,4,0))</f>
        <v>2</v>
      </c>
      <c r="F3312" s="14" t="s">
        <v>4530</v>
      </c>
    </row>
    <row r="3313" spans="1:6" ht="31.75">
      <c r="A3313" s="19">
        <v>55208</v>
      </c>
      <c r="B3313" s="12" t="str">
        <f t="shared" si="51"/>
        <v>552</v>
      </c>
      <c r="C3313" s="1" t="s">
        <v>4542</v>
      </c>
      <c r="D3313" s="13" t="str">
        <f>IF(RIGHT(A3313,3)="000",C3313,VLOOKUP(B3313,'Справочник ИХ'!A:C,3,0))</f>
        <v>Остальные грузы</v>
      </c>
      <c r="E3313" s="13">
        <f>IF(RIGHT(A3313,3)="000","х",VLOOKUP(B3313,'Справочник ИХ'!A:D,4,0))</f>
        <v>2</v>
      </c>
      <c r="F3313" s="14" t="s">
        <v>4530</v>
      </c>
    </row>
    <row r="3314" spans="1:6" ht="31.75">
      <c r="A3314" s="19">
        <v>55209</v>
      </c>
      <c r="B3314" s="12" t="str">
        <f t="shared" si="51"/>
        <v>552</v>
      </c>
      <c r="C3314" s="1" t="s">
        <v>4543</v>
      </c>
      <c r="D3314" s="13" t="str">
        <f>IF(RIGHT(A3314,3)="000",C3314,VLOOKUP(B3314,'Справочник ИХ'!A:C,3,0))</f>
        <v>Остальные грузы</v>
      </c>
      <c r="E3314" s="13">
        <f>IF(RIGHT(A3314,3)="000","х",VLOOKUP(B3314,'Справочник ИХ'!A:D,4,0))</f>
        <v>2</v>
      </c>
      <c r="F3314" s="14" t="s">
        <v>4530</v>
      </c>
    </row>
    <row r="3315" spans="1:6" ht="31.75">
      <c r="A3315" s="19">
        <v>55210</v>
      </c>
      <c r="B3315" s="12" t="str">
        <f t="shared" si="51"/>
        <v>552</v>
      </c>
      <c r="C3315" s="1" t="s">
        <v>4544</v>
      </c>
      <c r="D3315" s="13" t="str">
        <f>IF(RIGHT(A3315,3)="000",C3315,VLOOKUP(B3315,'Справочник ИХ'!A:C,3,0))</f>
        <v>Остальные грузы</v>
      </c>
      <c r="E3315" s="13">
        <f>IF(RIGHT(A3315,3)="000","х",VLOOKUP(B3315,'Справочник ИХ'!A:D,4,0))</f>
        <v>2</v>
      </c>
      <c r="F3315" s="14" t="s">
        <v>4530</v>
      </c>
    </row>
    <row r="3316" spans="1:6" ht="31.75">
      <c r="A3316" s="19">
        <v>55211</v>
      </c>
      <c r="B3316" s="12" t="str">
        <f t="shared" si="51"/>
        <v>552</v>
      </c>
      <c r="C3316" s="1" t="s">
        <v>4545</v>
      </c>
      <c r="D3316" s="13" t="str">
        <f>IF(RIGHT(A3316,3)="000",C3316,VLOOKUP(B3316,'Справочник ИХ'!A:C,3,0))</f>
        <v>Остальные грузы</v>
      </c>
      <c r="E3316" s="13">
        <f>IF(RIGHT(A3316,3)="000","х",VLOOKUP(B3316,'Справочник ИХ'!A:D,4,0))</f>
        <v>2</v>
      </c>
      <c r="F3316" s="14" t="s">
        <v>4530</v>
      </c>
    </row>
    <row r="3317" spans="1:6" ht="31.75">
      <c r="A3317" s="19">
        <v>55212</v>
      </c>
      <c r="B3317" s="12" t="str">
        <f t="shared" si="51"/>
        <v>552</v>
      </c>
      <c r="C3317" s="1" t="s">
        <v>4546</v>
      </c>
      <c r="D3317" s="13" t="str">
        <f>IF(RIGHT(A3317,3)="000",C3317,VLOOKUP(B3317,'Справочник ИХ'!A:C,3,0))</f>
        <v>Остальные грузы</v>
      </c>
      <c r="E3317" s="13">
        <f>IF(RIGHT(A3317,3)="000","х",VLOOKUP(B3317,'Справочник ИХ'!A:D,4,0))</f>
        <v>2</v>
      </c>
      <c r="F3317" s="14" t="s">
        <v>4530</v>
      </c>
    </row>
    <row r="3318" spans="1:6" s="18" customFormat="1" ht="31.75">
      <c r="A3318" s="16">
        <v>55300</v>
      </c>
      <c r="B3318" s="12" t="str">
        <f t="shared" si="51"/>
        <v>553</v>
      </c>
      <c r="C3318" s="17" t="s">
        <v>4547</v>
      </c>
      <c r="D3318" s="13" t="str">
        <f>IF(RIGHT(A3318,3)="000",C3318,VLOOKUP(B3318,'Справочник ИХ'!A:C,3,0))</f>
        <v>Остальные грузы</v>
      </c>
      <c r="E3318" s="13">
        <f>IF(RIGHT(A3318,3)="000","х",VLOOKUP(B3318,'Справочник ИХ'!A:D,4,0))</f>
        <v>2</v>
      </c>
      <c r="F3318" s="14" t="s">
        <v>4530</v>
      </c>
    </row>
    <row r="3319" spans="1:6" ht="31.75">
      <c r="A3319" s="19" t="s">
        <v>4548</v>
      </c>
      <c r="B3319" s="12" t="str">
        <f t="shared" si="51"/>
        <v>553</v>
      </c>
      <c r="C3319" s="1" t="s">
        <v>4549</v>
      </c>
      <c r="D3319" s="13" t="str">
        <f>IF(RIGHT(A3319,3)="000",C3319,VLOOKUP(B3319,'Справочник ИХ'!A:C,3,0))</f>
        <v>Остальные грузы</v>
      </c>
      <c r="E3319" s="13">
        <f>IF(RIGHT(A3319,3)="000","х",VLOOKUP(B3319,'Справочник ИХ'!A:D,4,0))</f>
        <v>2</v>
      </c>
      <c r="F3319" s="14" t="s">
        <v>4530</v>
      </c>
    </row>
    <row r="3320" spans="1:6" ht="31.75">
      <c r="A3320" s="19" t="s">
        <v>4550</v>
      </c>
      <c r="B3320" s="12" t="str">
        <f t="shared" si="51"/>
        <v>553</v>
      </c>
      <c r="C3320" s="1" t="s">
        <v>4551</v>
      </c>
      <c r="D3320" s="13" t="str">
        <f>IF(RIGHT(A3320,3)="000",C3320,VLOOKUP(B3320,'Справочник ИХ'!A:C,3,0))</f>
        <v>Остальные грузы</v>
      </c>
      <c r="E3320" s="13">
        <f>IF(RIGHT(A3320,3)="000","х",VLOOKUP(B3320,'Справочник ИХ'!A:D,4,0))</f>
        <v>2</v>
      </c>
      <c r="F3320" s="14" t="s">
        <v>4530</v>
      </c>
    </row>
    <row r="3321" spans="1:6" ht="31.75">
      <c r="A3321" s="19" t="s">
        <v>4552</v>
      </c>
      <c r="B3321" s="12" t="str">
        <f t="shared" si="51"/>
        <v>553</v>
      </c>
      <c r="C3321" s="1" t="s">
        <v>4553</v>
      </c>
      <c r="D3321" s="13" t="str">
        <f>IF(RIGHT(A3321,3)="000",C3321,VLOOKUP(B3321,'Справочник ИХ'!A:C,3,0))</f>
        <v>Остальные грузы</v>
      </c>
      <c r="E3321" s="13">
        <f>IF(RIGHT(A3321,3)="000","х",VLOOKUP(B3321,'Справочник ИХ'!A:D,4,0))</f>
        <v>2</v>
      </c>
      <c r="F3321" s="14" t="s">
        <v>4530</v>
      </c>
    </row>
    <row r="3322" spans="1:6" ht="31.75">
      <c r="A3322" s="19" t="s">
        <v>4554</v>
      </c>
      <c r="B3322" s="12" t="str">
        <f t="shared" si="51"/>
        <v>553</v>
      </c>
      <c r="C3322" s="1" t="s">
        <v>4555</v>
      </c>
      <c r="D3322" s="13" t="str">
        <f>IF(RIGHT(A3322,3)="000",C3322,VLOOKUP(B3322,'Справочник ИХ'!A:C,3,0))</f>
        <v>Остальные грузы</v>
      </c>
      <c r="E3322" s="13">
        <f>IF(RIGHT(A3322,3)="000","х",VLOOKUP(B3322,'Справочник ИХ'!A:D,4,0))</f>
        <v>2</v>
      </c>
      <c r="F3322" s="14" t="s">
        <v>4530</v>
      </c>
    </row>
    <row r="3323" spans="1:6" s="18" customFormat="1" ht="31.75">
      <c r="A3323" s="16">
        <v>55400</v>
      </c>
      <c r="B3323" s="12" t="str">
        <f t="shared" si="51"/>
        <v>554</v>
      </c>
      <c r="C3323" s="17" t="s">
        <v>4556</v>
      </c>
      <c r="D3323" s="13" t="str">
        <f>IF(RIGHT(A3323,3)="000",C3323,VLOOKUP(B3323,'Справочник ИХ'!A:C,3,0))</f>
        <v>Остальные грузы</v>
      </c>
      <c r="E3323" s="13">
        <f>IF(RIGHT(A3323,3)="000","х",VLOOKUP(B3323,'Справочник ИХ'!A:D,4,0))</f>
        <v>2</v>
      </c>
      <c r="F3323" s="14" t="s">
        <v>4530</v>
      </c>
    </row>
    <row r="3324" spans="1:6" ht="31.75">
      <c r="A3324" s="19">
        <v>55401</v>
      </c>
      <c r="B3324" s="12" t="str">
        <f t="shared" si="51"/>
        <v>554</v>
      </c>
      <c r="C3324" s="1" t="s">
        <v>4557</v>
      </c>
      <c r="D3324" s="13" t="str">
        <f>IF(RIGHT(A3324,3)="000",C3324,VLOOKUP(B3324,'Справочник ИХ'!A:C,3,0))</f>
        <v>Остальные грузы</v>
      </c>
      <c r="E3324" s="13">
        <f>IF(RIGHT(A3324,3)="000","х",VLOOKUP(B3324,'Справочник ИХ'!A:D,4,0))</f>
        <v>2</v>
      </c>
      <c r="F3324" s="14" t="s">
        <v>4530</v>
      </c>
    </row>
    <row r="3325" spans="1:6" ht="31.75">
      <c r="A3325" s="19">
        <v>55402</v>
      </c>
      <c r="B3325" s="12" t="str">
        <f t="shared" si="51"/>
        <v>554</v>
      </c>
      <c r="C3325" s="1" t="s">
        <v>4558</v>
      </c>
      <c r="D3325" s="13" t="str">
        <f>IF(RIGHT(A3325,3)="000",C3325,VLOOKUP(B3325,'Справочник ИХ'!A:C,3,0))</f>
        <v>Остальные грузы</v>
      </c>
      <c r="E3325" s="13">
        <f>IF(RIGHT(A3325,3)="000","х",VLOOKUP(B3325,'Справочник ИХ'!A:D,4,0))</f>
        <v>2</v>
      </c>
      <c r="F3325" s="14" t="s">
        <v>4530</v>
      </c>
    </row>
    <row r="3326" spans="1:6" ht="31.75">
      <c r="A3326" s="19">
        <v>55403</v>
      </c>
      <c r="B3326" s="12" t="str">
        <f t="shared" si="51"/>
        <v>554</v>
      </c>
      <c r="C3326" s="1" t="s">
        <v>4559</v>
      </c>
      <c r="D3326" s="13" t="str">
        <f>IF(RIGHT(A3326,3)="000",C3326,VLOOKUP(B3326,'Справочник ИХ'!A:C,3,0))</f>
        <v>Остальные грузы</v>
      </c>
      <c r="E3326" s="13">
        <f>IF(RIGHT(A3326,3)="000","х",VLOOKUP(B3326,'Справочник ИХ'!A:D,4,0))</f>
        <v>2</v>
      </c>
      <c r="F3326" s="14" t="s">
        <v>4530</v>
      </c>
    </row>
    <row r="3327" spans="1:6" ht="31.75">
      <c r="A3327" s="19">
        <v>55404</v>
      </c>
      <c r="B3327" s="12" t="str">
        <f t="shared" si="51"/>
        <v>554</v>
      </c>
      <c r="C3327" s="1" t="s">
        <v>4560</v>
      </c>
      <c r="D3327" s="13" t="str">
        <f>IF(RIGHT(A3327,3)="000",C3327,VLOOKUP(B3327,'Справочник ИХ'!A:C,3,0))</f>
        <v>Остальные грузы</v>
      </c>
      <c r="E3327" s="13">
        <f>IF(RIGHT(A3327,3)="000","х",VLOOKUP(B3327,'Справочник ИХ'!A:D,4,0))</f>
        <v>2</v>
      </c>
      <c r="F3327" s="14" t="s">
        <v>4530</v>
      </c>
    </row>
    <row r="3328" spans="1:6" ht="31.75">
      <c r="A3328" s="19">
        <v>55405</v>
      </c>
      <c r="B3328" s="12" t="str">
        <f t="shared" si="51"/>
        <v>554</v>
      </c>
      <c r="C3328" s="1" t="s">
        <v>4561</v>
      </c>
      <c r="D3328" s="13" t="str">
        <f>IF(RIGHT(A3328,3)="000",C3328,VLOOKUP(B3328,'Справочник ИХ'!A:C,3,0))</f>
        <v>Остальные грузы</v>
      </c>
      <c r="E3328" s="13">
        <f>IF(RIGHT(A3328,3)="000","х",VLOOKUP(B3328,'Справочник ИХ'!A:D,4,0))</f>
        <v>2</v>
      </c>
      <c r="F3328" s="14" t="s">
        <v>4530</v>
      </c>
    </row>
    <row r="3329" spans="1:6" ht="31.75">
      <c r="A3329" s="19" t="s">
        <v>4562</v>
      </c>
      <c r="B3329" s="12" t="str">
        <f t="shared" si="51"/>
        <v>554</v>
      </c>
      <c r="C3329" s="1" t="s">
        <v>4563</v>
      </c>
      <c r="D3329" s="13" t="str">
        <f>IF(RIGHT(A3329,3)="000",C3329,VLOOKUP(B3329,'Справочник ИХ'!A:C,3,0))</f>
        <v>Остальные грузы</v>
      </c>
      <c r="E3329" s="13">
        <f>IF(RIGHT(A3329,3)="000","х",VLOOKUP(B3329,'Справочник ИХ'!A:D,4,0))</f>
        <v>2</v>
      </c>
      <c r="F3329" s="14" t="s">
        <v>4530</v>
      </c>
    </row>
    <row r="3330" spans="1:6" ht="31.75">
      <c r="A3330" s="19" t="s">
        <v>4564</v>
      </c>
      <c r="B3330" s="12" t="str">
        <f t="shared" si="51"/>
        <v>554</v>
      </c>
      <c r="C3330" s="1" t="s">
        <v>4565</v>
      </c>
      <c r="D3330" s="13" t="str">
        <f>IF(RIGHT(A3330,3)="000",C3330,VLOOKUP(B3330,'Справочник ИХ'!A:C,3,0))</f>
        <v>Остальные грузы</v>
      </c>
      <c r="E3330" s="13">
        <f>IF(RIGHT(A3330,3)="000","х",VLOOKUP(B3330,'Справочник ИХ'!A:D,4,0))</f>
        <v>2</v>
      </c>
      <c r="F3330" s="14" t="s">
        <v>4530</v>
      </c>
    </row>
    <row r="3331" spans="1:6" ht="31.75">
      <c r="A3331" s="19" t="s">
        <v>4566</v>
      </c>
      <c r="B3331" s="12" t="str">
        <f t="shared" si="51"/>
        <v>554</v>
      </c>
      <c r="C3331" s="1" t="s">
        <v>4567</v>
      </c>
      <c r="D3331" s="13" t="str">
        <f>IF(RIGHT(A3331,3)="000",C3331,VLOOKUP(B3331,'Справочник ИХ'!A:C,3,0))</f>
        <v>Остальные грузы</v>
      </c>
      <c r="E3331" s="13">
        <f>IF(RIGHT(A3331,3)="000","х",VLOOKUP(B3331,'Справочник ИХ'!A:D,4,0))</f>
        <v>2</v>
      </c>
      <c r="F3331" s="14" t="s">
        <v>4530</v>
      </c>
    </row>
    <row r="3332" spans="1:6" s="18" customFormat="1" ht="31.75">
      <c r="A3332" s="16">
        <v>55500</v>
      </c>
      <c r="B3332" s="12" t="str">
        <f t="shared" si="51"/>
        <v>555</v>
      </c>
      <c r="C3332" s="17" t="s">
        <v>4568</v>
      </c>
      <c r="D3332" s="13" t="str">
        <f>IF(RIGHT(A3332,3)="000",C3332,VLOOKUP(B3332,'Справочник ИХ'!A:C,3,0))</f>
        <v>Остальные грузы</v>
      </c>
      <c r="E3332" s="13">
        <f>IF(RIGHT(A3332,3)="000","х",VLOOKUP(B3332,'Справочник ИХ'!A:D,4,0))</f>
        <v>2</v>
      </c>
      <c r="F3332" s="14" t="s">
        <v>4530</v>
      </c>
    </row>
    <row r="3333" spans="1:6" ht="31.75">
      <c r="A3333" s="19">
        <v>55501</v>
      </c>
      <c r="B3333" s="12" t="str">
        <f t="shared" ref="B3333:B3396" si="52">LEFT(A3333,3)</f>
        <v>555</v>
      </c>
      <c r="C3333" s="1" t="s">
        <v>4569</v>
      </c>
      <c r="D3333" s="13" t="str">
        <f>IF(RIGHT(A3333,3)="000",C3333,VLOOKUP(B3333,'Справочник ИХ'!A:C,3,0))</f>
        <v>Остальные грузы</v>
      </c>
      <c r="E3333" s="13">
        <f>IF(RIGHT(A3333,3)="000","х",VLOOKUP(B3333,'Справочник ИХ'!A:D,4,0))</f>
        <v>2</v>
      </c>
      <c r="F3333" s="14" t="s">
        <v>4530</v>
      </c>
    </row>
    <row r="3334" spans="1:6" ht="31.75">
      <c r="A3334" s="19">
        <v>55502</v>
      </c>
      <c r="B3334" s="12" t="str">
        <f t="shared" si="52"/>
        <v>555</v>
      </c>
      <c r="C3334" s="1" t="s">
        <v>4570</v>
      </c>
      <c r="D3334" s="13" t="str">
        <f>IF(RIGHT(A3334,3)="000",C3334,VLOOKUP(B3334,'Справочник ИХ'!A:C,3,0))</f>
        <v>Остальные грузы</v>
      </c>
      <c r="E3334" s="13">
        <f>IF(RIGHT(A3334,3)="000","х",VLOOKUP(B3334,'Справочник ИХ'!A:D,4,0))</f>
        <v>2</v>
      </c>
      <c r="F3334" s="14" t="s">
        <v>4530</v>
      </c>
    </row>
    <row r="3335" spans="1:6" s="18" customFormat="1" ht="31.75">
      <c r="A3335" s="16">
        <v>55600</v>
      </c>
      <c r="B3335" s="12" t="str">
        <f t="shared" si="52"/>
        <v>556</v>
      </c>
      <c r="C3335" s="17" t="s">
        <v>4571</v>
      </c>
      <c r="D3335" s="13" t="str">
        <f>IF(RIGHT(A3335,3)="000",C3335,VLOOKUP(B3335,'Справочник ИХ'!A:C,3,0))</f>
        <v>Остальные грузы</v>
      </c>
      <c r="E3335" s="13">
        <f>IF(RIGHT(A3335,3)="000","х",VLOOKUP(B3335,'Справочник ИХ'!A:D,4,0))</f>
        <v>2</v>
      </c>
      <c r="F3335" s="14" t="s">
        <v>4530</v>
      </c>
    </row>
    <row r="3336" spans="1:6" ht="31.75">
      <c r="A3336" s="19">
        <v>55601</v>
      </c>
      <c r="B3336" s="12" t="str">
        <f t="shared" si="52"/>
        <v>556</v>
      </c>
      <c r="C3336" s="1" t="s">
        <v>4572</v>
      </c>
      <c r="D3336" s="13" t="str">
        <f>IF(RIGHT(A3336,3)="000",C3336,VLOOKUP(B3336,'Справочник ИХ'!A:C,3,0))</f>
        <v>Остальные грузы</v>
      </c>
      <c r="E3336" s="13">
        <f>IF(RIGHT(A3336,3)="000","х",VLOOKUP(B3336,'Справочник ИХ'!A:D,4,0))</f>
        <v>2</v>
      </c>
      <c r="F3336" s="14" t="s">
        <v>4530</v>
      </c>
    </row>
    <row r="3337" spans="1:6" ht="31.75">
      <c r="A3337" s="19">
        <v>55602</v>
      </c>
      <c r="B3337" s="12" t="str">
        <f t="shared" si="52"/>
        <v>556</v>
      </c>
      <c r="C3337" s="1" t="s">
        <v>4573</v>
      </c>
      <c r="D3337" s="13" t="str">
        <f>IF(RIGHT(A3337,3)="000",C3337,VLOOKUP(B3337,'Справочник ИХ'!A:C,3,0))</f>
        <v>Остальные грузы</v>
      </c>
      <c r="E3337" s="13">
        <f>IF(RIGHT(A3337,3)="000","х",VLOOKUP(B3337,'Справочник ИХ'!A:D,4,0))</f>
        <v>2</v>
      </c>
      <c r="F3337" s="14" t="s">
        <v>4530</v>
      </c>
    </row>
    <row r="3338" spans="1:6" ht="31.75">
      <c r="A3338" s="19">
        <v>55603</v>
      </c>
      <c r="B3338" s="12" t="str">
        <f t="shared" si="52"/>
        <v>556</v>
      </c>
      <c r="C3338" s="1" t="s">
        <v>4574</v>
      </c>
      <c r="D3338" s="13" t="str">
        <f>IF(RIGHT(A3338,3)="000",C3338,VLOOKUP(B3338,'Справочник ИХ'!A:C,3,0))</f>
        <v>Остальные грузы</v>
      </c>
      <c r="E3338" s="13">
        <f>IF(RIGHT(A3338,3)="000","х",VLOOKUP(B3338,'Справочник ИХ'!A:D,4,0))</f>
        <v>2</v>
      </c>
      <c r="F3338" s="14" t="s">
        <v>4530</v>
      </c>
    </row>
    <row r="3339" spans="1:6" ht="31.75">
      <c r="A3339" s="19">
        <v>55604</v>
      </c>
      <c r="B3339" s="12" t="str">
        <f t="shared" si="52"/>
        <v>556</v>
      </c>
      <c r="C3339" s="1" t="s">
        <v>4575</v>
      </c>
      <c r="D3339" s="13" t="str">
        <f>IF(RIGHT(A3339,3)="000",C3339,VLOOKUP(B3339,'Справочник ИХ'!A:C,3,0))</f>
        <v>Остальные грузы</v>
      </c>
      <c r="E3339" s="13">
        <f>IF(RIGHT(A3339,3)="000","х",VLOOKUP(B3339,'Справочник ИХ'!A:D,4,0))</f>
        <v>2</v>
      </c>
      <c r="F3339" s="14" t="s">
        <v>4530</v>
      </c>
    </row>
    <row r="3340" spans="1:6" ht="31.75">
      <c r="A3340" s="19">
        <v>55605</v>
      </c>
      <c r="B3340" s="12" t="str">
        <f t="shared" si="52"/>
        <v>556</v>
      </c>
      <c r="C3340" s="1" t="s">
        <v>4576</v>
      </c>
      <c r="D3340" s="13" t="str">
        <f>IF(RIGHT(A3340,3)="000",C3340,VLOOKUP(B3340,'Справочник ИХ'!A:C,3,0))</f>
        <v>Остальные грузы</v>
      </c>
      <c r="E3340" s="13">
        <f>IF(RIGHT(A3340,3)="000","х",VLOOKUP(B3340,'Справочник ИХ'!A:D,4,0))</f>
        <v>2</v>
      </c>
      <c r="F3340" s="14" t="s">
        <v>4530</v>
      </c>
    </row>
    <row r="3341" spans="1:6" ht="31.75">
      <c r="A3341" s="19" t="s">
        <v>4577</v>
      </c>
      <c r="B3341" s="12" t="str">
        <f t="shared" si="52"/>
        <v>556</v>
      </c>
      <c r="C3341" s="1" t="s">
        <v>4578</v>
      </c>
      <c r="D3341" s="13" t="str">
        <f>IF(RIGHT(A3341,3)="000",C3341,VLOOKUP(B3341,'Справочник ИХ'!A:C,3,0))</f>
        <v>Остальные грузы</v>
      </c>
      <c r="E3341" s="13">
        <f>IF(RIGHT(A3341,3)="000","х",VLOOKUP(B3341,'Справочник ИХ'!A:D,4,0))</f>
        <v>2</v>
      </c>
      <c r="F3341" s="14" t="s">
        <v>4530</v>
      </c>
    </row>
    <row r="3342" spans="1:6" ht="31.75">
      <c r="A3342" s="19" t="s">
        <v>4579</v>
      </c>
      <c r="B3342" s="12" t="str">
        <f t="shared" si="52"/>
        <v>556</v>
      </c>
      <c r="C3342" s="1" t="s">
        <v>4580</v>
      </c>
      <c r="D3342" s="13" t="str">
        <f>IF(RIGHT(A3342,3)="000",C3342,VLOOKUP(B3342,'Справочник ИХ'!A:C,3,0))</f>
        <v>Остальные грузы</v>
      </c>
      <c r="E3342" s="13">
        <f>IF(RIGHT(A3342,3)="000","х",VLOOKUP(B3342,'Справочник ИХ'!A:D,4,0))</f>
        <v>2</v>
      </c>
      <c r="F3342" s="14" t="s">
        <v>4530</v>
      </c>
    </row>
    <row r="3343" spans="1:6" ht="31.75">
      <c r="A3343" s="19" t="s">
        <v>4581</v>
      </c>
      <c r="B3343" s="12" t="str">
        <f t="shared" si="52"/>
        <v>556</v>
      </c>
      <c r="C3343" s="1" t="s">
        <v>4582</v>
      </c>
      <c r="D3343" s="13" t="str">
        <f>IF(RIGHT(A3343,3)="000",C3343,VLOOKUP(B3343,'Справочник ИХ'!A:C,3,0))</f>
        <v>Остальные грузы</v>
      </c>
      <c r="E3343" s="13">
        <f>IF(RIGHT(A3343,3)="000","х",VLOOKUP(B3343,'Справочник ИХ'!A:D,4,0))</f>
        <v>2</v>
      </c>
      <c r="F3343" s="14" t="s">
        <v>4530</v>
      </c>
    </row>
    <row r="3344" spans="1:6" ht="31.75">
      <c r="A3344" s="19" t="s">
        <v>4583</v>
      </c>
      <c r="B3344" s="12" t="str">
        <f t="shared" si="52"/>
        <v>556</v>
      </c>
      <c r="C3344" s="1" t="s">
        <v>4584</v>
      </c>
      <c r="D3344" s="13" t="str">
        <f>IF(RIGHT(A3344,3)="000",C3344,VLOOKUP(B3344,'Справочник ИХ'!A:C,3,0))</f>
        <v>Остальные грузы</v>
      </c>
      <c r="E3344" s="13">
        <f>IF(RIGHT(A3344,3)="000","х",VLOOKUP(B3344,'Справочник ИХ'!A:D,4,0))</f>
        <v>2</v>
      </c>
      <c r="F3344" s="14" t="s">
        <v>4530</v>
      </c>
    </row>
    <row r="3345" spans="1:6" ht="31.75">
      <c r="A3345" s="19" t="s">
        <v>4585</v>
      </c>
      <c r="B3345" s="12" t="str">
        <f t="shared" si="52"/>
        <v>556</v>
      </c>
      <c r="C3345" s="1" t="s">
        <v>4586</v>
      </c>
      <c r="D3345" s="13" t="str">
        <f>IF(RIGHT(A3345,3)="000",C3345,VLOOKUP(B3345,'Справочник ИХ'!A:C,3,0))</f>
        <v>Остальные грузы</v>
      </c>
      <c r="E3345" s="13">
        <f>IF(RIGHT(A3345,3)="000","х",VLOOKUP(B3345,'Справочник ИХ'!A:D,4,0))</f>
        <v>2</v>
      </c>
      <c r="F3345" s="14" t="s">
        <v>4530</v>
      </c>
    </row>
    <row r="3346" spans="1:6" ht="31.75">
      <c r="A3346" s="19" t="s">
        <v>4587</v>
      </c>
      <c r="B3346" s="12" t="str">
        <f t="shared" si="52"/>
        <v>556</v>
      </c>
      <c r="C3346" s="1" t="s">
        <v>4588</v>
      </c>
      <c r="D3346" s="13" t="str">
        <f>IF(RIGHT(A3346,3)="000",C3346,VLOOKUP(B3346,'Справочник ИХ'!A:C,3,0))</f>
        <v>Остальные грузы</v>
      </c>
      <c r="E3346" s="13">
        <f>IF(RIGHT(A3346,3)="000","х",VLOOKUP(B3346,'Справочник ИХ'!A:D,4,0))</f>
        <v>2</v>
      </c>
      <c r="F3346" s="14" t="s">
        <v>4530</v>
      </c>
    </row>
    <row r="3347" spans="1:6" ht="31.75">
      <c r="A3347" s="19" t="s">
        <v>4589</v>
      </c>
      <c r="B3347" s="12" t="str">
        <f t="shared" si="52"/>
        <v>556</v>
      </c>
      <c r="C3347" s="1" t="s">
        <v>4590</v>
      </c>
      <c r="D3347" s="13" t="str">
        <f>IF(RIGHT(A3347,3)="000",C3347,VLOOKUP(B3347,'Справочник ИХ'!A:C,3,0))</f>
        <v>Остальные грузы</v>
      </c>
      <c r="E3347" s="13">
        <f>IF(RIGHT(A3347,3)="000","х",VLOOKUP(B3347,'Справочник ИХ'!A:D,4,0))</f>
        <v>2</v>
      </c>
      <c r="F3347" s="14" t="s">
        <v>4530</v>
      </c>
    </row>
    <row r="3348" spans="1:6" ht="31.75">
      <c r="A3348" s="19" t="s">
        <v>4591</v>
      </c>
      <c r="B3348" s="12" t="str">
        <f t="shared" si="52"/>
        <v>556</v>
      </c>
      <c r="C3348" s="1" t="s">
        <v>4592</v>
      </c>
      <c r="D3348" s="13" t="str">
        <f>IF(RIGHT(A3348,3)="000",C3348,VLOOKUP(B3348,'Справочник ИХ'!A:C,3,0))</f>
        <v>Остальные грузы</v>
      </c>
      <c r="E3348" s="13">
        <f>IF(RIGHT(A3348,3)="000","х",VLOOKUP(B3348,'Справочник ИХ'!A:D,4,0))</f>
        <v>2</v>
      </c>
      <c r="F3348" s="14" t="s">
        <v>4530</v>
      </c>
    </row>
    <row r="3349" spans="1:6" ht="31.75">
      <c r="A3349" s="19" t="s">
        <v>4593</v>
      </c>
      <c r="B3349" s="12" t="str">
        <f t="shared" si="52"/>
        <v>556</v>
      </c>
      <c r="C3349" s="1" t="s">
        <v>4594</v>
      </c>
      <c r="D3349" s="13" t="str">
        <f>IF(RIGHT(A3349,3)="000",C3349,VLOOKUP(B3349,'Справочник ИХ'!A:C,3,0))</f>
        <v>Остальные грузы</v>
      </c>
      <c r="E3349" s="13">
        <f>IF(RIGHT(A3349,3)="000","х",VLOOKUP(B3349,'Справочник ИХ'!A:D,4,0))</f>
        <v>2</v>
      </c>
      <c r="F3349" s="14" t="s">
        <v>4530</v>
      </c>
    </row>
    <row r="3350" spans="1:6" ht="31.75">
      <c r="A3350" s="19" t="s">
        <v>4595</v>
      </c>
      <c r="B3350" s="12" t="str">
        <f t="shared" si="52"/>
        <v>556</v>
      </c>
      <c r="C3350" s="1" t="s">
        <v>4596</v>
      </c>
      <c r="D3350" s="13" t="str">
        <f>IF(RIGHT(A3350,3)="000",C3350,VLOOKUP(B3350,'Справочник ИХ'!A:C,3,0))</f>
        <v>Остальные грузы</v>
      </c>
      <c r="E3350" s="13">
        <f>IF(RIGHT(A3350,3)="000","х",VLOOKUP(B3350,'Справочник ИХ'!A:D,4,0))</f>
        <v>2</v>
      </c>
      <c r="F3350" s="14" t="s">
        <v>4530</v>
      </c>
    </row>
    <row r="3351" spans="1:6" ht="31.75">
      <c r="A3351" s="19" t="s">
        <v>4597</v>
      </c>
      <c r="B3351" s="12" t="str">
        <f t="shared" si="52"/>
        <v>556</v>
      </c>
      <c r="C3351" s="1" t="s">
        <v>4598</v>
      </c>
      <c r="D3351" s="13" t="str">
        <f>IF(RIGHT(A3351,3)="000",C3351,VLOOKUP(B3351,'Справочник ИХ'!A:C,3,0))</f>
        <v>Остальные грузы</v>
      </c>
      <c r="E3351" s="13">
        <f>IF(RIGHT(A3351,3)="000","х",VLOOKUP(B3351,'Справочник ИХ'!A:D,4,0))</f>
        <v>2</v>
      </c>
      <c r="F3351" s="14" t="s">
        <v>4530</v>
      </c>
    </row>
    <row r="3352" spans="1:6" ht="31.75">
      <c r="A3352" s="19" t="s">
        <v>4599</v>
      </c>
      <c r="B3352" s="12" t="str">
        <f t="shared" si="52"/>
        <v>556</v>
      </c>
      <c r="C3352" s="1" t="s">
        <v>4600</v>
      </c>
      <c r="D3352" s="13" t="str">
        <f>IF(RIGHT(A3352,3)="000",C3352,VLOOKUP(B3352,'Справочник ИХ'!A:C,3,0))</f>
        <v>Остальные грузы</v>
      </c>
      <c r="E3352" s="13">
        <f>IF(RIGHT(A3352,3)="000","х",VLOOKUP(B3352,'Справочник ИХ'!A:D,4,0))</f>
        <v>2</v>
      </c>
      <c r="F3352" s="14" t="s">
        <v>4530</v>
      </c>
    </row>
    <row r="3353" spans="1:6" ht="31.75">
      <c r="A3353" s="19" t="s">
        <v>4601</v>
      </c>
      <c r="B3353" s="12" t="str">
        <f t="shared" si="52"/>
        <v>556</v>
      </c>
      <c r="C3353" s="1" t="s">
        <v>4602</v>
      </c>
      <c r="D3353" s="13" t="str">
        <f>IF(RIGHT(A3353,3)="000",C3353,VLOOKUP(B3353,'Справочник ИХ'!A:C,3,0))</f>
        <v>Остальные грузы</v>
      </c>
      <c r="E3353" s="13">
        <f>IF(RIGHT(A3353,3)="000","х",VLOOKUP(B3353,'Справочник ИХ'!A:D,4,0))</f>
        <v>2</v>
      </c>
      <c r="F3353" s="14" t="s">
        <v>4530</v>
      </c>
    </row>
    <row r="3354" spans="1:6" ht="31.75">
      <c r="A3354" s="19" t="s">
        <v>4603</v>
      </c>
      <c r="B3354" s="12" t="str">
        <f t="shared" si="52"/>
        <v>556</v>
      </c>
      <c r="C3354" s="1" t="s">
        <v>4604</v>
      </c>
      <c r="D3354" s="13" t="str">
        <f>IF(RIGHT(A3354,3)="000",C3354,VLOOKUP(B3354,'Справочник ИХ'!A:C,3,0))</f>
        <v>Остальные грузы</v>
      </c>
      <c r="E3354" s="13">
        <f>IF(RIGHT(A3354,3)="000","х",VLOOKUP(B3354,'Справочник ИХ'!A:D,4,0))</f>
        <v>2</v>
      </c>
      <c r="F3354" s="14" t="s">
        <v>4530</v>
      </c>
    </row>
    <row r="3355" spans="1:6" ht="31.75">
      <c r="A3355" s="19" t="s">
        <v>4605</v>
      </c>
      <c r="B3355" s="12" t="str">
        <f t="shared" si="52"/>
        <v>556</v>
      </c>
      <c r="C3355" s="1" t="s">
        <v>4606</v>
      </c>
      <c r="D3355" s="13" t="str">
        <f>IF(RIGHT(A3355,3)="000",C3355,VLOOKUP(B3355,'Справочник ИХ'!A:C,3,0))</f>
        <v>Остальные грузы</v>
      </c>
      <c r="E3355" s="13">
        <f>IF(RIGHT(A3355,3)="000","х",VLOOKUP(B3355,'Справочник ИХ'!A:D,4,0))</f>
        <v>2</v>
      </c>
      <c r="F3355" s="14" t="s">
        <v>4530</v>
      </c>
    </row>
    <row r="3356" spans="1:6" ht="31.75">
      <c r="A3356" s="19">
        <v>55621</v>
      </c>
      <c r="B3356" s="12" t="str">
        <f t="shared" si="52"/>
        <v>556</v>
      </c>
      <c r="C3356" s="1" t="s">
        <v>4607</v>
      </c>
      <c r="D3356" s="13" t="str">
        <f>IF(RIGHT(A3356,3)="000",C3356,VLOOKUP(B3356,'Справочник ИХ'!A:C,3,0))</f>
        <v>Остальные грузы</v>
      </c>
      <c r="E3356" s="13">
        <f>IF(RIGHT(A3356,3)="000","х",VLOOKUP(B3356,'Справочник ИХ'!A:D,4,0))</f>
        <v>2</v>
      </c>
      <c r="F3356" s="14" t="s">
        <v>4530</v>
      </c>
    </row>
    <row r="3357" spans="1:6" ht="31.75">
      <c r="A3357" s="19">
        <v>55622</v>
      </c>
      <c r="B3357" s="12" t="str">
        <f t="shared" si="52"/>
        <v>556</v>
      </c>
      <c r="C3357" s="1" t="s">
        <v>4608</v>
      </c>
      <c r="D3357" s="13" t="str">
        <f>IF(RIGHT(A3357,3)="000",C3357,VLOOKUP(B3357,'Справочник ИХ'!A:C,3,0))</f>
        <v>Остальные грузы</v>
      </c>
      <c r="E3357" s="13">
        <f>IF(RIGHT(A3357,3)="000","х",VLOOKUP(B3357,'Справочник ИХ'!A:D,4,0))</f>
        <v>2</v>
      </c>
      <c r="F3357" s="14" t="s">
        <v>4530</v>
      </c>
    </row>
    <row r="3358" spans="1:6" ht="31.75">
      <c r="A3358" s="19">
        <v>55623</v>
      </c>
      <c r="B3358" s="12" t="str">
        <f t="shared" si="52"/>
        <v>556</v>
      </c>
      <c r="C3358" s="1" t="s">
        <v>4609</v>
      </c>
      <c r="D3358" s="13" t="str">
        <f>IF(RIGHT(A3358,3)="000",C3358,VLOOKUP(B3358,'Справочник ИХ'!A:C,3,0))</f>
        <v>Остальные грузы</v>
      </c>
      <c r="E3358" s="13">
        <f>IF(RIGHT(A3358,3)="000","х",VLOOKUP(B3358,'Справочник ИХ'!A:D,4,0))</f>
        <v>2</v>
      </c>
      <c r="F3358" s="14" t="s">
        <v>4530</v>
      </c>
    </row>
    <row r="3359" spans="1:6" ht="31.75">
      <c r="A3359" s="19">
        <v>55624</v>
      </c>
      <c r="B3359" s="12" t="str">
        <f t="shared" si="52"/>
        <v>556</v>
      </c>
      <c r="C3359" s="1" t="s">
        <v>4610</v>
      </c>
      <c r="D3359" s="13" t="str">
        <f>IF(RIGHT(A3359,3)="000",C3359,VLOOKUP(B3359,'Справочник ИХ'!A:C,3,0))</f>
        <v>Остальные грузы</v>
      </c>
      <c r="E3359" s="13">
        <f>IF(RIGHT(A3359,3)="000","х",VLOOKUP(B3359,'Справочник ИХ'!A:D,4,0))</f>
        <v>2</v>
      </c>
      <c r="F3359" s="14" t="s">
        <v>4530</v>
      </c>
    </row>
    <row r="3360" spans="1:6" ht="31.75">
      <c r="A3360" s="19">
        <v>55625</v>
      </c>
      <c r="B3360" s="12" t="str">
        <f t="shared" si="52"/>
        <v>556</v>
      </c>
      <c r="C3360" s="1" t="s">
        <v>4611</v>
      </c>
      <c r="D3360" s="13" t="str">
        <f>IF(RIGHT(A3360,3)="000",C3360,VLOOKUP(B3360,'Справочник ИХ'!A:C,3,0))</f>
        <v>Остальные грузы</v>
      </c>
      <c r="E3360" s="13">
        <f>IF(RIGHT(A3360,3)="000","х",VLOOKUP(B3360,'Справочник ИХ'!A:D,4,0))</f>
        <v>2</v>
      </c>
      <c r="F3360" s="14" t="s">
        <v>4530</v>
      </c>
    </row>
    <row r="3361" spans="1:6" ht="31.75">
      <c r="A3361" s="19">
        <v>55626</v>
      </c>
      <c r="B3361" s="12" t="str">
        <f t="shared" si="52"/>
        <v>556</v>
      </c>
      <c r="C3361" s="1" t="s">
        <v>4612</v>
      </c>
      <c r="D3361" s="13" t="str">
        <f>IF(RIGHT(A3361,3)="000",C3361,VLOOKUP(B3361,'Справочник ИХ'!A:C,3,0))</f>
        <v>Остальные грузы</v>
      </c>
      <c r="E3361" s="13">
        <f>IF(RIGHT(A3361,3)="000","х",VLOOKUP(B3361,'Справочник ИХ'!A:D,4,0))</f>
        <v>2</v>
      </c>
      <c r="F3361" s="14" t="s">
        <v>4530</v>
      </c>
    </row>
    <row r="3362" spans="1:6" ht="31.75">
      <c r="A3362" s="19">
        <v>55627</v>
      </c>
      <c r="B3362" s="12" t="str">
        <f t="shared" si="52"/>
        <v>556</v>
      </c>
      <c r="C3362" s="1" t="s">
        <v>4613</v>
      </c>
      <c r="D3362" s="13" t="str">
        <f>IF(RIGHT(A3362,3)="000",C3362,VLOOKUP(B3362,'Справочник ИХ'!A:C,3,0))</f>
        <v>Остальные грузы</v>
      </c>
      <c r="E3362" s="13">
        <f>IF(RIGHT(A3362,3)="000","х",VLOOKUP(B3362,'Справочник ИХ'!A:D,4,0))</f>
        <v>2</v>
      </c>
      <c r="F3362" s="14" t="s">
        <v>4530</v>
      </c>
    </row>
    <row r="3363" spans="1:6" ht="31.75">
      <c r="A3363" s="19">
        <v>55628</v>
      </c>
      <c r="B3363" s="12" t="str">
        <f t="shared" si="52"/>
        <v>556</v>
      </c>
      <c r="C3363" s="1" t="s">
        <v>4614</v>
      </c>
      <c r="D3363" s="13" t="str">
        <f>IF(RIGHT(A3363,3)="000",C3363,VLOOKUP(B3363,'Справочник ИХ'!A:C,3,0))</f>
        <v>Остальные грузы</v>
      </c>
      <c r="E3363" s="13">
        <f>IF(RIGHT(A3363,3)="000","х",VLOOKUP(B3363,'Справочник ИХ'!A:D,4,0))</f>
        <v>2</v>
      </c>
      <c r="F3363" s="14" t="s">
        <v>4530</v>
      </c>
    </row>
    <row r="3364" spans="1:6" ht="31.75">
      <c r="A3364" s="19">
        <v>55629</v>
      </c>
      <c r="B3364" s="12" t="str">
        <f t="shared" si="52"/>
        <v>556</v>
      </c>
      <c r="C3364" s="1" t="s">
        <v>4615</v>
      </c>
      <c r="D3364" s="13" t="str">
        <f>IF(RIGHT(A3364,3)="000",C3364,VLOOKUP(B3364,'Справочник ИХ'!A:C,3,0))</f>
        <v>Остальные грузы</v>
      </c>
      <c r="E3364" s="13">
        <f>IF(RIGHT(A3364,3)="000","х",VLOOKUP(B3364,'Справочник ИХ'!A:D,4,0))</f>
        <v>2</v>
      </c>
      <c r="F3364" s="14" t="s">
        <v>4530</v>
      </c>
    </row>
    <row r="3365" spans="1:6" ht="31.75">
      <c r="A3365" s="19">
        <v>55630</v>
      </c>
      <c r="B3365" s="12" t="str">
        <f t="shared" si="52"/>
        <v>556</v>
      </c>
      <c r="C3365" s="1" t="s">
        <v>4616</v>
      </c>
      <c r="D3365" s="13" t="str">
        <f>IF(RIGHT(A3365,3)="000",C3365,VLOOKUP(B3365,'Справочник ИХ'!A:C,3,0))</f>
        <v>Остальные грузы</v>
      </c>
      <c r="E3365" s="13">
        <f>IF(RIGHT(A3365,3)="000","х",VLOOKUP(B3365,'Справочник ИХ'!A:D,4,0))</f>
        <v>2</v>
      </c>
      <c r="F3365" s="14" t="s">
        <v>4530</v>
      </c>
    </row>
    <row r="3366" spans="1:6" ht="31.75">
      <c r="A3366" s="19">
        <v>55631</v>
      </c>
      <c r="B3366" s="12" t="str">
        <f t="shared" si="52"/>
        <v>556</v>
      </c>
      <c r="C3366" s="1" t="s">
        <v>4617</v>
      </c>
      <c r="D3366" s="13" t="str">
        <f>IF(RIGHT(A3366,3)="000",C3366,VLOOKUP(B3366,'Справочник ИХ'!A:C,3,0))</f>
        <v>Остальные грузы</v>
      </c>
      <c r="E3366" s="13">
        <f>IF(RIGHT(A3366,3)="000","х",VLOOKUP(B3366,'Справочник ИХ'!A:D,4,0))</f>
        <v>2</v>
      </c>
      <c r="F3366" s="14" t="s">
        <v>4530</v>
      </c>
    </row>
    <row r="3367" spans="1:6" ht="31.75">
      <c r="A3367" s="19">
        <v>55632</v>
      </c>
      <c r="B3367" s="12" t="str">
        <f t="shared" si="52"/>
        <v>556</v>
      </c>
      <c r="C3367" s="1" t="s">
        <v>4618</v>
      </c>
      <c r="D3367" s="13" t="str">
        <f>IF(RIGHT(A3367,3)="000",C3367,VLOOKUP(B3367,'Справочник ИХ'!A:C,3,0))</f>
        <v>Остальные грузы</v>
      </c>
      <c r="E3367" s="13">
        <f>IF(RIGHT(A3367,3)="000","х",VLOOKUP(B3367,'Справочник ИХ'!A:D,4,0))</f>
        <v>2</v>
      </c>
      <c r="F3367" s="14" t="s">
        <v>4530</v>
      </c>
    </row>
    <row r="3368" spans="1:6" ht="31.75">
      <c r="A3368" s="19">
        <v>55633</v>
      </c>
      <c r="B3368" s="12" t="str">
        <f t="shared" si="52"/>
        <v>556</v>
      </c>
      <c r="C3368" s="1" t="s">
        <v>4619</v>
      </c>
      <c r="D3368" s="13" t="str">
        <f>IF(RIGHT(A3368,3)="000",C3368,VLOOKUP(B3368,'Справочник ИХ'!A:C,3,0))</f>
        <v>Остальные грузы</v>
      </c>
      <c r="E3368" s="13">
        <f>IF(RIGHT(A3368,3)="000","х",VLOOKUP(B3368,'Справочник ИХ'!A:D,4,0))</f>
        <v>2</v>
      </c>
      <c r="F3368" s="14" t="s">
        <v>4530</v>
      </c>
    </row>
    <row r="3369" spans="1:6" s="15" customFormat="1" ht="31.75">
      <c r="A3369" s="7">
        <v>56000</v>
      </c>
      <c r="B3369" s="12" t="str">
        <f t="shared" si="52"/>
        <v>560</v>
      </c>
      <c r="C3369" s="11" t="s">
        <v>4620</v>
      </c>
      <c r="D3369" s="13" t="str">
        <f>IF(RIGHT(A3369,3)="000",C3369,VLOOKUP(B3369,'Справочник ИХ'!A:C,3,0))</f>
        <v xml:space="preserve">Продукция мясной промышленности </v>
      </c>
      <c r="E3369" s="13" t="str">
        <f>IF(RIGHT(A3369,3)="000","х",VLOOKUP(B3369,'Справочник ИХ'!A:D,4,0))</f>
        <v>х</v>
      </c>
      <c r="F3369" s="14" t="s">
        <v>4620</v>
      </c>
    </row>
    <row r="3370" spans="1:6" s="18" customFormat="1">
      <c r="A3370" s="16">
        <v>56100</v>
      </c>
      <c r="B3370" s="12" t="str">
        <f t="shared" si="52"/>
        <v>561</v>
      </c>
      <c r="C3370" s="17" t="s">
        <v>4621</v>
      </c>
      <c r="D3370" s="13" t="str">
        <f>IF(RIGHT(A3370,3)="000",C3370,VLOOKUP(B3370,'Справочник ИХ'!A:C,3,0))</f>
        <v>Остальные грузы</v>
      </c>
      <c r="E3370" s="13">
        <f>IF(RIGHT(A3370,3)="000","х",VLOOKUP(B3370,'Справочник ИХ'!A:D,4,0))</f>
        <v>2</v>
      </c>
      <c r="F3370" s="14" t="s">
        <v>4620</v>
      </c>
    </row>
    <row r="3371" spans="1:6">
      <c r="A3371" s="19">
        <v>56101</v>
      </c>
      <c r="B3371" s="12" t="str">
        <f t="shared" si="52"/>
        <v>561</v>
      </c>
      <c r="C3371" s="1" t="s">
        <v>4622</v>
      </c>
      <c r="D3371" s="13" t="str">
        <f>IF(RIGHT(A3371,3)="000",C3371,VLOOKUP(B3371,'Справочник ИХ'!A:C,3,0))</f>
        <v>Остальные грузы</v>
      </c>
      <c r="E3371" s="13">
        <f>IF(RIGHT(A3371,3)="000","х",VLOOKUP(B3371,'Справочник ИХ'!A:D,4,0))</f>
        <v>2</v>
      </c>
      <c r="F3371" s="14" t="s">
        <v>4620</v>
      </c>
    </row>
    <row r="3372" spans="1:6">
      <c r="A3372" s="19" t="s">
        <v>4623</v>
      </c>
      <c r="B3372" s="12" t="str">
        <f t="shared" si="52"/>
        <v>561</v>
      </c>
      <c r="C3372" s="1" t="s">
        <v>4624</v>
      </c>
      <c r="D3372" s="13" t="str">
        <f>IF(RIGHT(A3372,3)="000",C3372,VLOOKUP(B3372,'Справочник ИХ'!A:C,3,0))</f>
        <v>Остальные грузы</v>
      </c>
      <c r="E3372" s="13">
        <f>IF(RIGHT(A3372,3)="000","х",VLOOKUP(B3372,'Справочник ИХ'!A:D,4,0))</f>
        <v>2</v>
      </c>
      <c r="F3372" s="14" t="s">
        <v>4620</v>
      </c>
    </row>
    <row r="3373" spans="1:6">
      <c r="A3373" s="19" t="s">
        <v>4625</v>
      </c>
      <c r="B3373" s="12" t="str">
        <f t="shared" si="52"/>
        <v>561</v>
      </c>
      <c r="C3373" s="1" t="s">
        <v>4626</v>
      </c>
      <c r="D3373" s="13" t="str">
        <f>IF(RIGHT(A3373,3)="000",C3373,VLOOKUP(B3373,'Справочник ИХ'!A:C,3,0))</f>
        <v>Остальные грузы</v>
      </c>
      <c r="E3373" s="13">
        <f>IF(RIGHT(A3373,3)="000","х",VLOOKUP(B3373,'Справочник ИХ'!A:D,4,0))</f>
        <v>2</v>
      </c>
      <c r="F3373" s="14" t="s">
        <v>4620</v>
      </c>
    </row>
    <row r="3374" spans="1:6">
      <c r="A3374" s="19" t="s">
        <v>4627</v>
      </c>
      <c r="B3374" s="12" t="str">
        <f t="shared" si="52"/>
        <v>561</v>
      </c>
      <c r="C3374" s="1" t="s">
        <v>4628</v>
      </c>
      <c r="D3374" s="13" t="str">
        <f>IF(RIGHT(A3374,3)="000",C3374,VLOOKUP(B3374,'Справочник ИХ'!A:C,3,0))</f>
        <v>Остальные грузы</v>
      </c>
      <c r="E3374" s="13">
        <f>IF(RIGHT(A3374,3)="000","х",VLOOKUP(B3374,'Справочник ИХ'!A:D,4,0))</f>
        <v>2</v>
      </c>
      <c r="F3374" s="14" t="s">
        <v>4620</v>
      </c>
    </row>
    <row r="3375" spans="1:6">
      <c r="A3375" s="19" t="s">
        <v>4629</v>
      </c>
      <c r="B3375" s="12" t="str">
        <f t="shared" si="52"/>
        <v>561</v>
      </c>
      <c r="C3375" s="1" t="s">
        <v>4630</v>
      </c>
      <c r="D3375" s="13" t="str">
        <f>IF(RIGHT(A3375,3)="000",C3375,VLOOKUP(B3375,'Справочник ИХ'!A:C,3,0))</f>
        <v>Остальные грузы</v>
      </c>
      <c r="E3375" s="13">
        <f>IF(RIGHT(A3375,3)="000","х",VLOOKUP(B3375,'Справочник ИХ'!A:D,4,0))</f>
        <v>2</v>
      </c>
      <c r="F3375" s="14" t="s">
        <v>4620</v>
      </c>
    </row>
    <row r="3376" spans="1:6">
      <c r="A3376" s="19" t="s">
        <v>4631</v>
      </c>
      <c r="B3376" s="12" t="str">
        <f t="shared" si="52"/>
        <v>561</v>
      </c>
      <c r="C3376" s="1" t="s">
        <v>4632</v>
      </c>
      <c r="D3376" s="13" t="str">
        <f>IF(RIGHT(A3376,3)="000",C3376,VLOOKUP(B3376,'Справочник ИХ'!A:C,3,0))</f>
        <v>Остальные грузы</v>
      </c>
      <c r="E3376" s="13">
        <f>IF(RIGHT(A3376,3)="000","х",VLOOKUP(B3376,'Справочник ИХ'!A:D,4,0))</f>
        <v>2</v>
      </c>
      <c r="F3376" s="14" t="s">
        <v>4620</v>
      </c>
    </row>
    <row r="3377" spans="1:6">
      <c r="A3377" s="19" t="s">
        <v>4633</v>
      </c>
      <c r="B3377" s="12" t="str">
        <f t="shared" si="52"/>
        <v>561</v>
      </c>
      <c r="C3377" s="1" t="s">
        <v>4634</v>
      </c>
      <c r="D3377" s="13" t="str">
        <f>IF(RIGHT(A3377,3)="000",C3377,VLOOKUP(B3377,'Справочник ИХ'!A:C,3,0))</f>
        <v>Остальные грузы</v>
      </c>
      <c r="E3377" s="13">
        <f>IF(RIGHT(A3377,3)="000","х",VLOOKUP(B3377,'Справочник ИХ'!A:D,4,0))</f>
        <v>2</v>
      </c>
      <c r="F3377" s="14" t="s">
        <v>4620</v>
      </c>
    </row>
    <row r="3378" spans="1:6">
      <c r="A3378" s="19" t="s">
        <v>4635</v>
      </c>
      <c r="B3378" s="12" t="str">
        <f t="shared" si="52"/>
        <v>561</v>
      </c>
      <c r="C3378" s="1" t="s">
        <v>4636</v>
      </c>
      <c r="D3378" s="13" t="str">
        <f>IF(RIGHT(A3378,3)="000",C3378,VLOOKUP(B3378,'Справочник ИХ'!A:C,3,0))</f>
        <v>Остальные грузы</v>
      </c>
      <c r="E3378" s="13">
        <f>IF(RIGHT(A3378,3)="000","х",VLOOKUP(B3378,'Справочник ИХ'!A:D,4,0))</f>
        <v>2</v>
      </c>
      <c r="F3378" s="14" t="s">
        <v>4620</v>
      </c>
    </row>
    <row r="3379" spans="1:6" ht="31.75">
      <c r="A3379" s="19" t="s">
        <v>4637</v>
      </c>
      <c r="B3379" s="12" t="str">
        <f t="shared" si="52"/>
        <v>561</v>
      </c>
      <c r="C3379" s="1" t="s">
        <v>4638</v>
      </c>
      <c r="D3379" s="13" t="str">
        <f>IF(RIGHT(A3379,3)="000",C3379,VLOOKUP(B3379,'Справочник ИХ'!A:C,3,0))</f>
        <v>Остальные грузы</v>
      </c>
      <c r="E3379" s="13">
        <f>IF(RIGHT(A3379,3)="000","х",VLOOKUP(B3379,'Справочник ИХ'!A:D,4,0))</f>
        <v>2</v>
      </c>
      <c r="F3379" s="14" t="s">
        <v>4620</v>
      </c>
    </row>
    <row r="3380" spans="1:6">
      <c r="A3380" s="19" t="s">
        <v>4639</v>
      </c>
      <c r="B3380" s="12" t="str">
        <f t="shared" si="52"/>
        <v>561</v>
      </c>
      <c r="C3380" s="1" t="s">
        <v>4640</v>
      </c>
      <c r="D3380" s="13" t="str">
        <f>IF(RIGHT(A3380,3)="000",C3380,VLOOKUP(B3380,'Справочник ИХ'!A:C,3,0))</f>
        <v>Остальные грузы</v>
      </c>
      <c r="E3380" s="13">
        <f>IF(RIGHT(A3380,3)="000","х",VLOOKUP(B3380,'Справочник ИХ'!A:D,4,0))</f>
        <v>2</v>
      </c>
      <c r="F3380" s="14" t="s">
        <v>4620</v>
      </c>
    </row>
    <row r="3381" spans="1:6">
      <c r="A3381" s="19" t="s">
        <v>4641</v>
      </c>
      <c r="B3381" s="12" t="str">
        <f t="shared" si="52"/>
        <v>561</v>
      </c>
      <c r="C3381" s="1" t="s">
        <v>4642</v>
      </c>
      <c r="D3381" s="13" t="str">
        <f>IF(RIGHT(A3381,3)="000",C3381,VLOOKUP(B3381,'Справочник ИХ'!A:C,3,0))</f>
        <v>Остальные грузы</v>
      </c>
      <c r="E3381" s="13">
        <f>IF(RIGHT(A3381,3)="000","х",VLOOKUP(B3381,'Справочник ИХ'!A:D,4,0))</f>
        <v>2</v>
      </c>
      <c r="F3381" s="14" t="s">
        <v>4620</v>
      </c>
    </row>
    <row r="3382" spans="1:6">
      <c r="A3382" s="19" t="s">
        <v>4643</v>
      </c>
      <c r="B3382" s="12" t="str">
        <f t="shared" si="52"/>
        <v>561</v>
      </c>
      <c r="C3382" s="1" t="s">
        <v>4644</v>
      </c>
      <c r="D3382" s="13" t="str">
        <f>IF(RIGHT(A3382,3)="000",C3382,VLOOKUP(B3382,'Справочник ИХ'!A:C,3,0))</f>
        <v>Остальные грузы</v>
      </c>
      <c r="E3382" s="13">
        <f>IF(RIGHT(A3382,3)="000","х",VLOOKUP(B3382,'Справочник ИХ'!A:D,4,0))</f>
        <v>2</v>
      </c>
      <c r="F3382" s="14" t="s">
        <v>4620</v>
      </c>
    </row>
    <row r="3383" spans="1:6">
      <c r="A3383" s="19" t="s">
        <v>4645</v>
      </c>
      <c r="B3383" s="12" t="str">
        <f t="shared" si="52"/>
        <v>561</v>
      </c>
      <c r="C3383" s="1" t="s">
        <v>4646</v>
      </c>
      <c r="D3383" s="13" t="str">
        <f>IF(RIGHT(A3383,3)="000",C3383,VLOOKUP(B3383,'Справочник ИХ'!A:C,3,0))</f>
        <v>Остальные грузы</v>
      </c>
      <c r="E3383" s="13">
        <f>IF(RIGHT(A3383,3)="000","х",VLOOKUP(B3383,'Справочник ИХ'!A:D,4,0))</f>
        <v>2</v>
      </c>
      <c r="F3383" s="14" t="s">
        <v>4620</v>
      </c>
    </row>
    <row r="3384" spans="1:6" ht="31.75">
      <c r="A3384" s="19" t="s">
        <v>4647</v>
      </c>
      <c r="B3384" s="12" t="str">
        <f t="shared" si="52"/>
        <v>561</v>
      </c>
      <c r="C3384" s="1" t="s">
        <v>4648</v>
      </c>
      <c r="D3384" s="13" t="str">
        <f>IF(RIGHT(A3384,3)="000",C3384,VLOOKUP(B3384,'Справочник ИХ'!A:C,3,0))</f>
        <v>Остальные грузы</v>
      </c>
      <c r="E3384" s="13">
        <f>IF(RIGHT(A3384,3)="000","х",VLOOKUP(B3384,'Справочник ИХ'!A:D,4,0))</f>
        <v>2</v>
      </c>
      <c r="F3384" s="14" t="s">
        <v>4620</v>
      </c>
    </row>
    <row r="3385" spans="1:6" s="18" customFormat="1" ht="31.75">
      <c r="A3385" s="16">
        <v>56200</v>
      </c>
      <c r="B3385" s="12" t="str">
        <f t="shared" si="52"/>
        <v>562</v>
      </c>
      <c r="C3385" s="17" t="s">
        <v>4649</v>
      </c>
      <c r="D3385" s="13" t="str">
        <f>IF(RIGHT(A3385,3)="000",C3385,VLOOKUP(B3385,'Справочник ИХ'!A:C,3,0))</f>
        <v>Остальные грузы</v>
      </c>
      <c r="E3385" s="13">
        <f>IF(RIGHT(A3385,3)="000","х",VLOOKUP(B3385,'Справочник ИХ'!A:D,4,0))</f>
        <v>2</v>
      </c>
      <c r="F3385" s="14" t="s">
        <v>4620</v>
      </c>
    </row>
    <row r="3386" spans="1:6">
      <c r="A3386" s="19">
        <v>56201</v>
      </c>
      <c r="B3386" s="12" t="str">
        <f t="shared" si="52"/>
        <v>562</v>
      </c>
      <c r="C3386" s="1" t="s">
        <v>4650</v>
      </c>
      <c r="D3386" s="13" t="str">
        <f>IF(RIGHT(A3386,3)="000",C3386,VLOOKUP(B3386,'Справочник ИХ'!A:C,3,0))</f>
        <v>Остальные грузы</v>
      </c>
      <c r="E3386" s="13">
        <f>IF(RIGHT(A3386,3)="000","х",VLOOKUP(B3386,'Справочник ИХ'!A:D,4,0))</f>
        <v>2</v>
      </c>
      <c r="F3386" s="14" t="s">
        <v>4620</v>
      </c>
    </row>
    <row r="3387" spans="1:6">
      <c r="A3387" s="19">
        <v>56202</v>
      </c>
      <c r="B3387" s="12" t="str">
        <f t="shared" si="52"/>
        <v>562</v>
      </c>
      <c r="C3387" s="1" t="s">
        <v>4651</v>
      </c>
      <c r="D3387" s="13" t="str">
        <f>IF(RIGHT(A3387,3)="000",C3387,VLOOKUP(B3387,'Справочник ИХ'!A:C,3,0))</f>
        <v>Остальные грузы</v>
      </c>
      <c r="E3387" s="13">
        <f>IF(RIGHT(A3387,3)="000","х",VLOOKUP(B3387,'Справочник ИХ'!A:D,4,0))</f>
        <v>2</v>
      </c>
      <c r="F3387" s="14" t="s">
        <v>4620</v>
      </c>
    </row>
    <row r="3388" spans="1:6">
      <c r="A3388" s="19">
        <v>56203</v>
      </c>
      <c r="B3388" s="12" t="str">
        <f t="shared" si="52"/>
        <v>562</v>
      </c>
      <c r="C3388" s="1" t="s">
        <v>4652</v>
      </c>
      <c r="D3388" s="13" t="str">
        <f>IF(RIGHT(A3388,3)="000",C3388,VLOOKUP(B3388,'Справочник ИХ'!A:C,3,0))</f>
        <v>Остальные грузы</v>
      </c>
      <c r="E3388" s="13">
        <f>IF(RIGHT(A3388,3)="000","х",VLOOKUP(B3388,'Справочник ИХ'!A:D,4,0))</f>
        <v>2</v>
      </c>
      <c r="F3388" s="14" t="s">
        <v>4620</v>
      </c>
    </row>
    <row r="3389" spans="1:6">
      <c r="A3389" s="19">
        <v>56204</v>
      </c>
      <c r="B3389" s="12" t="str">
        <f t="shared" si="52"/>
        <v>562</v>
      </c>
      <c r="C3389" s="1" t="s">
        <v>4653</v>
      </c>
      <c r="D3389" s="13" t="str">
        <f>IF(RIGHT(A3389,3)="000",C3389,VLOOKUP(B3389,'Справочник ИХ'!A:C,3,0))</f>
        <v>Остальные грузы</v>
      </c>
      <c r="E3389" s="13">
        <f>IF(RIGHT(A3389,3)="000","х",VLOOKUP(B3389,'Справочник ИХ'!A:D,4,0))</f>
        <v>2</v>
      </c>
      <c r="F3389" s="14" t="s">
        <v>4620</v>
      </c>
    </row>
    <row r="3390" spans="1:6" ht="31.75">
      <c r="A3390" s="19">
        <v>56205</v>
      </c>
      <c r="B3390" s="12" t="str">
        <f t="shared" si="52"/>
        <v>562</v>
      </c>
      <c r="C3390" s="1" t="s">
        <v>4654</v>
      </c>
      <c r="D3390" s="13" t="str">
        <f>IF(RIGHT(A3390,3)="000",C3390,VLOOKUP(B3390,'Справочник ИХ'!A:C,3,0))</f>
        <v>Остальные грузы</v>
      </c>
      <c r="E3390" s="13">
        <f>IF(RIGHT(A3390,3)="000","х",VLOOKUP(B3390,'Справочник ИХ'!A:D,4,0))</f>
        <v>2</v>
      </c>
      <c r="F3390" s="14" t="s">
        <v>4620</v>
      </c>
    </row>
    <row r="3391" spans="1:6">
      <c r="A3391" s="19">
        <v>56206</v>
      </c>
      <c r="B3391" s="12" t="str">
        <f t="shared" si="52"/>
        <v>562</v>
      </c>
      <c r="C3391" s="1" t="s">
        <v>4655</v>
      </c>
      <c r="D3391" s="13" t="str">
        <f>IF(RIGHT(A3391,3)="000",C3391,VLOOKUP(B3391,'Справочник ИХ'!A:C,3,0))</f>
        <v>Остальные грузы</v>
      </c>
      <c r="E3391" s="13">
        <f>IF(RIGHT(A3391,3)="000","х",VLOOKUP(B3391,'Справочник ИХ'!A:D,4,0))</f>
        <v>2</v>
      </c>
      <c r="F3391" s="14" t="s">
        <v>4620</v>
      </c>
    </row>
    <row r="3392" spans="1:6">
      <c r="A3392" s="19">
        <v>56207</v>
      </c>
      <c r="B3392" s="12" t="str">
        <f t="shared" si="52"/>
        <v>562</v>
      </c>
      <c r="C3392" s="1" t="s">
        <v>4656</v>
      </c>
      <c r="D3392" s="13" t="str">
        <f>IF(RIGHT(A3392,3)="000",C3392,VLOOKUP(B3392,'Справочник ИХ'!A:C,3,0))</f>
        <v>Остальные грузы</v>
      </c>
      <c r="E3392" s="13">
        <f>IF(RIGHT(A3392,3)="000","х",VLOOKUP(B3392,'Справочник ИХ'!A:D,4,0))</f>
        <v>2</v>
      </c>
      <c r="F3392" s="14" t="s">
        <v>4620</v>
      </c>
    </row>
    <row r="3393" spans="1:6" s="18" customFormat="1">
      <c r="A3393" s="16">
        <v>56300</v>
      </c>
      <c r="B3393" s="12" t="str">
        <f t="shared" si="52"/>
        <v>563</v>
      </c>
      <c r="C3393" s="17" t="s">
        <v>4657</v>
      </c>
      <c r="D3393" s="13" t="str">
        <f>IF(RIGHT(A3393,3)="000",C3393,VLOOKUP(B3393,'Справочник ИХ'!A:C,3,0))</f>
        <v>Остальные грузы</v>
      </c>
      <c r="E3393" s="13">
        <f>IF(RIGHT(A3393,3)="000","х",VLOOKUP(B3393,'Справочник ИХ'!A:D,4,0))</f>
        <v>2</v>
      </c>
      <c r="F3393" s="14" t="s">
        <v>4620</v>
      </c>
    </row>
    <row r="3394" spans="1:6">
      <c r="A3394" s="19">
        <v>56301</v>
      </c>
      <c r="B3394" s="12" t="str">
        <f t="shared" si="52"/>
        <v>563</v>
      </c>
      <c r="C3394" s="1" t="s">
        <v>4658</v>
      </c>
      <c r="D3394" s="13" t="str">
        <f>IF(RIGHT(A3394,3)="000",C3394,VLOOKUP(B3394,'Справочник ИХ'!A:C,3,0))</f>
        <v>Остальные грузы</v>
      </c>
      <c r="E3394" s="13">
        <f>IF(RIGHT(A3394,3)="000","х",VLOOKUP(B3394,'Справочник ИХ'!A:D,4,0))</f>
        <v>2</v>
      </c>
      <c r="F3394" s="14" t="s">
        <v>4620</v>
      </c>
    </row>
    <row r="3395" spans="1:6">
      <c r="A3395" s="19">
        <v>56302</v>
      </c>
      <c r="B3395" s="12" t="str">
        <f t="shared" si="52"/>
        <v>563</v>
      </c>
      <c r="C3395" s="1" t="s">
        <v>4659</v>
      </c>
      <c r="D3395" s="13" t="str">
        <f>IF(RIGHT(A3395,3)="000",C3395,VLOOKUP(B3395,'Справочник ИХ'!A:C,3,0))</f>
        <v>Остальные грузы</v>
      </c>
      <c r="E3395" s="13">
        <f>IF(RIGHT(A3395,3)="000","х",VLOOKUP(B3395,'Справочник ИХ'!A:D,4,0))</f>
        <v>2</v>
      </c>
      <c r="F3395" s="14" t="s">
        <v>4620</v>
      </c>
    </row>
    <row r="3396" spans="1:6" ht="31.75">
      <c r="A3396" s="19">
        <v>56303</v>
      </c>
      <c r="B3396" s="12" t="str">
        <f t="shared" si="52"/>
        <v>563</v>
      </c>
      <c r="C3396" s="1" t="s">
        <v>4660</v>
      </c>
      <c r="D3396" s="13" t="str">
        <f>IF(RIGHT(A3396,3)="000",C3396,VLOOKUP(B3396,'Справочник ИХ'!A:C,3,0))</f>
        <v>Остальные грузы</v>
      </c>
      <c r="E3396" s="13">
        <f>IF(RIGHT(A3396,3)="000","х",VLOOKUP(B3396,'Справочник ИХ'!A:D,4,0))</f>
        <v>2</v>
      </c>
      <c r="F3396" s="14" t="s">
        <v>4620</v>
      </c>
    </row>
    <row r="3397" spans="1:6">
      <c r="A3397" s="19">
        <v>56305</v>
      </c>
      <c r="B3397" s="12" t="str">
        <f t="shared" ref="B3397:B3460" si="53">LEFT(A3397,3)</f>
        <v>563</v>
      </c>
      <c r="C3397" s="1" t="s">
        <v>4661</v>
      </c>
      <c r="D3397" s="13" t="str">
        <f>IF(RIGHT(A3397,3)="000",C3397,VLOOKUP(B3397,'Справочник ИХ'!A:C,3,0))</f>
        <v>Остальные грузы</v>
      </c>
      <c r="E3397" s="13">
        <f>IF(RIGHT(A3397,3)="000","х",VLOOKUP(B3397,'Справочник ИХ'!A:D,4,0))</f>
        <v>2</v>
      </c>
      <c r="F3397" s="14" t="s">
        <v>4620</v>
      </c>
    </row>
    <row r="3398" spans="1:6">
      <c r="A3398" s="19">
        <v>56306</v>
      </c>
      <c r="B3398" s="12" t="str">
        <f t="shared" si="53"/>
        <v>563</v>
      </c>
      <c r="C3398" s="1" t="s">
        <v>4662</v>
      </c>
      <c r="D3398" s="13" t="str">
        <f>IF(RIGHT(A3398,3)="000",C3398,VLOOKUP(B3398,'Справочник ИХ'!A:C,3,0))</f>
        <v>Остальные грузы</v>
      </c>
      <c r="E3398" s="13">
        <f>IF(RIGHT(A3398,3)="000","х",VLOOKUP(B3398,'Справочник ИХ'!A:D,4,0))</f>
        <v>2</v>
      </c>
      <c r="F3398" s="14" t="s">
        <v>4620</v>
      </c>
    </row>
    <row r="3399" spans="1:6">
      <c r="A3399" s="19" t="s">
        <v>4663</v>
      </c>
      <c r="B3399" s="12" t="str">
        <f t="shared" si="53"/>
        <v>563</v>
      </c>
      <c r="C3399" s="1" t="s">
        <v>4664</v>
      </c>
      <c r="D3399" s="13" t="str">
        <f>IF(RIGHT(A3399,3)="000",C3399,VLOOKUP(B3399,'Справочник ИХ'!A:C,3,0))</f>
        <v>Остальные грузы</v>
      </c>
      <c r="E3399" s="13">
        <f>IF(RIGHT(A3399,3)="000","х",VLOOKUP(B3399,'Справочник ИХ'!A:D,4,0))</f>
        <v>2</v>
      </c>
      <c r="F3399" s="14" t="s">
        <v>4620</v>
      </c>
    </row>
    <row r="3400" spans="1:6">
      <c r="A3400" s="19" t="s">
        <v>4665</v>
      </c>
      <c r="B3400" s="12" t="str">
        <f t="shared" si="53"/>
        <v>563</v>
      </c>
      <c r="C3400" s="1" t="s">
        <v>4666</v>
      </c>
      <c r="D3400" s="13" t="str">
        <f>IF(RIGHT(A3400,3)="000",C3400,VLOOKUP(B3400,'Справочник ИХ'!A:C,3,0))</f>
        <v>Остальные грузы</v>
      </c>
      <c r="E3400" s="13">
        <f>IF(RIGHT(A3400,3)="000","х",VLOOKUP(B3400,'Справочник ИХ'!A:D,4,0))</f>
        <v>2</v>
      </c>
      <c r="F3400" s="14" t="s">
        <v>4620</v>
      </c>
    </row>
    <row r="3401" spans="1:6" s="18" customFormat="1">
      <c r="A3401" s="16">
        <v>56400</v>
      </c>
      <c r="B3401" s="12" t="str">
        <f t="shared" si="53"/>
        <v>564</v>
      </c>
      <c r="C3401" s="17" t="s">
        <v>4667</v>
      </c>
      <c r="D3401" s="13" t="str">
        <f>IF(RIGHT(A3401,3)="000",C3401,VLOOKUP(B3401,'Справочник ИХ'!A:C,3,0))</f>
        <v>Остальные грузы</v>
      </c>
      <c r="E3401" s="13">
        <f>IF(RIGHT(A3401,3)="000","х",VLOOKUP(B3401,'Справочник ИХ'!A:D,4,0))</f>
        <v>3</v>
      </c>
      <c r="F3401" s="14" t="s">
        <v>4620</v>
      </c>
    </row>
    <row r="3402" spans="1:6">
      <c r="A3402" s="19">
        <v>56401</v>
      </c>
      <c r="B3402" s="12" t="str">
        <f t="shared" si="53"/>
        <v>564</v>
      </c>
      <c r="C3402" s="1" t="s">
        <v>4668</v>
      </c>
      <c r="D3402" s="13" t="str">
        <f>IF(RIGHT(A3402,3)="000",C3402,VLOOKUP(B3402,'Справочник ИХ'!A:C,3,0))</f>
        <v>Остальные грузы</v>
      </c>
      <c r="E3402" s="13">
        <f>IF(RIGHT(A3402,3)="000","х",VLOOKUP(B3402,'Справочник ИХ'!A:D,4,0))</f>
        <v>3</v>
      </c>
      <c r="F3402" s="14" t="s">
        <v>4620</v>
      </c>
    </row>
    <row r="3403" spans="1:6">
      <c r="A3403" s="19">
        <v>56402</v>
      </c>
      <c r="B3403" s="12" t="str">
        <f t="shared" si="53"/>
        <v>564</v>
      </c>
      <c r="C3403" s="1" t="s">
        <v>4669</v>
      </c>
      <c r="D3403" s="13" t="str">
        <f>IF(RIGHT(A3403,3)="000",C3403,VLOOKUP(B3403,'Справочник ИХ'!A:C,3,0))</f>
        <v>Остальные грузы</v>
      </c>
      <c r="E3403" s="13">
        <f>IF(RIGHT(A3403,3)="000","х",VLOOKUP(B3403,'Справочник ИХ'!A:D,4,0))</f>
        <v>3</v>
      </c>
      <c r="F3403" s="14" t="s">
        <v>4620</v>
      </c>
    </row>
    <row r="3404" spans="1:6">
      <c r="A3404" s="19">
        <v>56403</v>
      </c>
      <c r="B3404" s="12" t="str">
        <f t="shared" si="53"/>
        <v>564</v>
      </c>
      <c r="C3404" s="1" t="s">
        <v>4670</v>
      </c>
      <c r="D3404" s="13" t="str">
        <f>IF(RIGHT(A3404,3)="000",C3404,VLOOKUP(B3404,'Справочник ИХ'!A:C,3,0))</f>
        <v>Остальные грузы</v>
      </c>
      <c r="E3404" s="13">
        <f>IF(RIGHT(A3404,3)="000","х",VLOOKUP(B3404,'Справочник ИХ'!A:D,4,0))</f>
        <v>3</v>
      </c>
      <c r="F3404" s="14" t="s">
        <v>4620</v>
      </c>
    </row>
    <row r="3405" spans="1:6">
      <c r="A3405" s="19">
        <v>56404</v>
      </c>
      <c r="B3405" s="12" t="str">
        <f t="shared" si="53"/>
        <v>564</v>
      </c>
      <c r="C3405" s="1" t="s">
        <v>4671</v>
      </c>
      <c r="D3405" s="13" t="str">
        <f>IF(RIGHT(A3405,3)="000",C3405,VLOOKUP(B3405,'Справочник ИХ'!A:C,3,0))</f>
        <v>Остальные грузы</v>
      </c>
      <c r="E3405" s="13">
        <f>IF(RIGHT(A3405,3)="000","х",VLOOKUP(B3405,'Справочник ИХ'!A:D,4,0))</f>
        <v>3</v>
      </c>
      <c r="F3405" s="14" t="s">
        <v>4620</v>
      </c>
    </row>
    <row r="3406" spans="1:6">
      <c r="A3406" s="19">
        <v>56405</v>
      </c>
      <c r="B3406" s="12" t="str">
        <f t="shared" si="53"/>
        <v>564</v>
      </c>
      <c r="C3406" s="1" t="s">
        <v>4672</v>
      </c>
      <c r="D3406" s="13" t="str">
        <f>IF(RIGHT(A3406,3)="000",C3406,VLOOKUP(B3406,'Справочник ИХ'!A:C,3,0))</f>
        <v>Остальные грузы</v>
      </c>
      <c r="E3406" s="13">
        <f>IF(RIGHT(A3406,3)="000","х",VLOOKUP(B3406,'Справочник ИХ'!A:D,4,0))</f>
        <v>3</v>
      </c>
      <c r="F3406" s="14" t="s">
        <v>4620</v>
      </c>
    </row>
    <row r="3407" spans="1:6">
      <c r="A3407" s="19">
        <v>56406</v>
      </c>
      <c r="B3407" s="12" t="str">
        <f t="shared" si="53"/>
        <v>564</v>
      </c>
      <c r="C3407" s="1" t="s">
        <v>4673</v>
      </c>
      <c r="D3407" s="13" t="str">
        <f>IF(RIGHT(A3407,3)="000",C3407,VLOOKUP(B3407,'Справочник ИХ'!A:C,3,0))</f>
        <v>Остальные грузы</v>
      </c>
      <c r="E3407" s="13">
        <f>IF(RIGHT(A3407,3)="000","х",VLOOKUP(B3407,'Справочник ИХ'!A:D,4,0))</f>
        <v>3</v>
      </c>
      <c r="F3407" s="14" t="s">
        <v>4620</v>
      </c>
    </row>
    <row r="3408" spans="1:6" ht="31.75">
      <c r="A3408" s="19">
        <v>56407</v>
      </c>
      <c r="B3408" s="12" t="str">
        <f t="shared" si="53"/>
        <v>564</v>
      </c>
      <c r="C3408" s="1" t="s">
        <v>4674</v>
      </c>
      <c r="D3408" s="13" t="str">
        <f>IF(RIGHT(A3408,3)="000",C3408,VLOOKUP(B3408,'Справочник ИХ'!A:C,3,0))</f>
        <v>Остальные грузы</v>
      </c>
      <c r="E3408" s="13">
        <f>IF(RIGHT(A3408,3)="000","х",VLOOKUP(B3408,'Справочник ИХ'!A:D,4,0))</f>
        <v>3</v>
      </c>
      <c r="F3408" s="14" t="s">
        <v>4620</v>
      </c>
    </row>
    <row r="3409" spans="1:6">
      <c r="A3409" s="19">
        <v>56408</v>
      </c>
      <c r="B3409" s="12" t="str">
        <f t="shared" si="53"/>
        <v>564</v>
      </c>
      <c r="C3409" s="1" t="s">
        <v>4675</v>
      </c>
      <c r="D3409" s="13" t="str">
        <f>IF(RIGHT(A3409,3)="000",C3409,VLOOKUP(B3409,'Справочник ИХ'!A:C,3,0))</f>
        <v>Остальные грузы</v>
      </c>
      <c r="E3409" s="13">
        <f>IF(RIGHT(A3409,3)="000","х",VLOOKUP(B3409,'Справочник ИХ'!A:D,4,0))</f>
        <v>3</v>
      </c>
      <c r="F3409" s="14" t="s">
        <v>4620</v>
      </c>
    </row>
    <row r="3410" spans="1:6">
      <c r="A3410" s="19">
        <v>56409</v>
      </c>
      <c r="B3410" s="12" t="str">
        <f t="shared" si="53"/>
        <v>564</v>
      </c>
      <c r="C3410" s="1" t="s">
        <v>4676</v>
      </c>
      <c r="D3410" s="13" t="str">
        <f>IF(RIGHT(A3410,3)="000",C3410,VLOOKUP(B3410,'Справочник ИХ'!A:C,3,0))</f>
        <v>Остальные грузы</v>
      </c>
      <c r="E3410" s="13">
        <f>IF(RIGHT(A3410,3)="000","х",VLOOKUP(B3410,'Справочник ИХ'!A:D,4,0))</f>
        <v>3</v>
      </c>
      <c r="F3410" s="14" t="s">
        <v>4620</v>
      </c>
    </row>
    <row r="3411" spans="1:6" s="15" customFormat="1">
      <c r="A3411" s="7">
        <v>57000</v>
      </c>
      <c r="B3411" s="12" t="str">
        <f t="shared" si="53"/>
        <v>570</v>
      </c>
      <c r="C3411" s="11" t="s">
        <v>4677</v>
      </c>
      <c r="D3411" s="13" t="str">
        <f>IF(RIGHT(A3411,3)="000",C3411,VLOOKUP(B3411,'Справочник ИХ'!A:C,3,0))</f>
        <v xml:space="preserve">Рыба и рыбопродукты </v>
      </c>
      <c r="E3411" s="13" t="str">
        <f>IF(RIGHT(A3411,3)="000","х",VLOOKUP(B3411,'Справочник ИХ'!A:D,4,0))</f>
        <v>х</v>
      </c>
      <c r="F3411" s="14" t="s">
        <v>4677</v>
      </c>
    </row>
    <row r="3412" spans="1:6" s="18" customFormat="1" ht="31.75">
      <c r="A3412" s="16">
        <v>57100</v>
      </c>
      <c r="B3412" s="12" t="str">
        <f t="shared" si="53"/>
        <v>571</v>
      </c>
      <c r="C3412" s="17" t="s">
        <v>4678</v>
      </c>
      <c r="D3412" s="13" t="str">
        <f>IF(RIGHT(A3412,3)="000",C3412,VLOOKUP(B3412,'Справочник ИХ'!A:C,3,0))</f>
        <v>Остальные грузы</v>
      </c>
      <c r="E3412" s="13">
        <f>IF(RIGHT(A3412,3)="000","х",VLOOKUP(B3412,'Справочник ИХ'!A:D,4,0))</f>
        <v>2</v>
      </c>
      <c r="F3412" s="14" t="s">
        <v>4677</v>
      </c>
    </row>
    <row r="3413" spans="1:6">
      <c r="A3413" s="19">
        <v>57101</v>
      </c>
      <c r="B3413" s="12" t="str">
        <f t="shared" si="53"/>
        <v>571</v>
      </c>
      <c r="C3413" s="1" t="s">
        <v>4679</v>
      </c>
      <c r="D3413" s="13" t="str">
        <f>IF(RIGHT(A3413,3)="000",C3413,VLOOKUP(B3413,'Справочник ИХ'!A:C,3,0))</f>
        <v>Остальные грузы</v>
      </c>
      <c r="E3413" s="13">
        <f>IF(RIGHT(A3413,3)="000","х",VLOOKUP(B3413,'Справочник ИХ'!A:D,4,0))</f>
        <v>2</v>
      </c>
      <c r="F3413" s="14" t="s">
        <v>4677</v>
      </c>
    </row>
    <row r="3414" spans="1:6">
      <c r="A3414" s="19">
        <v>57102</v>
      </c>
      <c r="B3414" s="12" t="str">
        <f t="shared" si="53"/>
        <v>571</v>
      </c>
      <c r="C3414" s="1" t="s">
        <v>4680</v>
      </c>
      <c r="D3414" s="13" t="str">
        <f>IF(RIGHT(A3414,3)="000",C3414,VLOOKUP(B3414,'Справочник ИХ'!A:C,3,0))</f>
        <v>Остальные грузы</v>
      </c>
      <c r="E3414" s="13">
        <f>IF(RIGHT(A3414,3)="000","х",VLOOKUP(B3414,'Справочник ИХ'!A:D,4,0))</f>
        <v>2</v>
      </c>
      <c r="F3414" s="14" t="s">
        <v>4677</v>
      </c>
    </row>
    <row r="3415" spans="1:6">
      <c r="A3415" s="19">
        <v>57103</v>
      </c>
      <c r="B3415" s="12" t="str">
        <f t="shared" si="53"/>
        <v>571</v>
      </c>
      <c r="C3415" s="1" t="s">
        <v>4681</v>
      </c>
      <c r="D3415" s="13" t="str">
        <f>IF(RIGHT(A3415,3)="000",C3415,VLOOKUP(B3415,'Справочник ИХ'!A:C,3,0))</f>
        <v>Остальные грузы</v>
      </c>
      <c r="E3415" s="13">
        <f>IF(RIGHT(A3415,3)="000","х",VLOOKUP(B3415,'Справочник ИХ'!A:D,4,0))</f>
        <v>2</v>
      </c>
      <c r="F3415" s="14" t="s">
        <v>4677</v>
      </c>
    </row>
    <row r="3416" spans="1:6">
      <c r="A3416" s="19">
        <v>57104</v>
      </c>
      <c r="B3416" s="12" t="str">
        <f t="shared" si="53"/>
        <v>571</v>
      </c>
      <c r="C3416" s="1" t="s">
        <v>4682</v>
      </c>
      <c r="D3416" s="13" t="str">
        <f>IF(RIGHT(A3416,3)="000",C3416,VLOOKUP(B3416,'Справочник ИХ'!A:C,3,0))</f>
        <v>Остальные грузы</v>
      </c>
      <c r="E3416" s="13">
        <f>IF(RIGHT(A3416,3)="000","х",VLOOKUP(B3416,'Справочник ИХ'!A:D,4,0))</f>
        <v>2</v>
      </c>
      <c r="F3416" s="14" t="s">
        <v>4677</v>
      </c>
    </row>
    <row r="3417" spans="1:6" s="18" customFormat="1" ht="47.6">
      <c r="A3417" s="16">
        <v>57200</v>
      </c>
      <c r="B3417" s="12" t="str">
        <f t="shared" si="53"/>
        <v>572</v>
      </c>
      <c r="C3417" s="17" t="s">
        <v>4683</v>
      </c>
      <c r="D3417" s="13" t="str">
        <f>IF(RIGHT(A3417,3)="000",C3417,VLOOKUP(B3417,'Справочник ИХ'!A:C,3,0))</f>
        <v>Остальные грузы</v>
      </c>
      <c r="E3417" s="13">
        <f>IF(RIGHT(A3417,3)="000","х",VLOOKUP(B3417,'Справочник ИХ'!A:D,4,0))</f>
        <v>2</v>
      </c>
      <c r="F3417" s="14" t="s">
        <v>4677</v>
      </c>
    </row>
    <row r="3418" spans="1:6">
      <c r="A3418" s="19">
        <v>57201</v>
      </c>
      <c r="B3418" s="12" t="str">
        <f t="shared" si="53"/>
        <v>572</v>
      </c>
      <c r="C3418" s="1" t="s">
        <v>4684</v>
      </c>
      <c r="D3418" s="13" t="str">
        <f>IF(RIGHT(A3418,3)="000",C3418,VLOOKUP(B3418,'Справочник ИХ'!A:C,3,0))</f>
        <v>Остальные грузы</v>
      </c>
      <c r="E3418" s="13">
        <f>IF(RIGHT(A3418,3)="000","х",VLOOKUP(B3418,'Справочник ИХ'!A:D,4,0))</f>
        <v>2</v>
      </c>
      <c r="F3418" s="14" t="s">
        <v>4677</v>
      </c>
    </row>
    <row r="3419" spans="1:6">
      <c r="A3419" s="19">
        <v>57202</v>
      </c>
      <c r="B3419" s="12" t="str">
        <f t="shared" si="53"/>
        <v>572</v>
      </c>
      <c r="C3419" s="1" t="s">
        <v>4685</v>
      </c>
      <c r="D3419" s="13" t="str">
        <f>IF(RIGHT(A3419,3)="000",C3419,VLOOKUP(B3419,'Справочник ИХ'!A:C,3,0))</f>
        <v>Остальные грузы</v>
      </c>
      <c r="E3419" s="13">
        <f>IF(RIGHT(A3419,3)="000","х",VLOOKUP(B3419,'Справочник ИХ'!A:D,4,0))</f>
        <v>2</v>
      </c>
      <c r="F3419" s="14" t="s">
        <v>4677</v>
      </c>
    </row>
    <row r="3420" spans="1:6">
      <c r="A3420" s="19">
        <v>57203</v>
      </c>
      <c r="B3420" s="12" t="str">
        <f t="shared" si="53"/>
        <v>572</v>
      </c>
      <c r="C3420" s="1" t="s">
        <v>4686</v>
      </c>
      <c r="D3420" s="13" t="str">
        <f>IF(RIGHT(A3420,3)="000",C3420,VLOOKUP(B3420,'Справочник ИХ'!A:C,3,0))</f>
        <v>Остальные грузы</v>
      </c>
      <c r="E3420" s="13">
        <f>IF(RIGHT(A3420,3)="000","х",VLOOKUP(B3420,'Справочник ИХ'!A:D,4,0))</f>
        <v>2</v>
      </c>
      <c r="F3420" s="14" t="s">
        <v>4677</v>
      </c>
    </row>
    <row r="3421" spans="1:6">
      <c r="A3421" s="19">
        <v>57204</v>
      </c>
      <c r="B3421" s="12" t="str">
        <f t="shared" si="53"/>
        <v>572</v>
      </c>
      <c r="C3421" s="1" t="s">
        <v>4687</v>
      </c>
      <c r="D3421" s="13" t="str">
        <f>IF(RIGHT(A3421,3)="000",C3421,VLOOKUP(B3421,'Справочник ИХ'!A:C,3,0))</f>
        <v>Остальные грузы</v>
      </c>
      <c r="E3421" s="13">
        <f>IF(RIGHT(A3421,3)="000","х",VLOOKUP(B3421,'Справочник ИХ'!A:D,4,0))</f>
        <v>2</v>
      </c>
      <c r="F3421" s="14" t="s">
        <v>4677</v>
      </c>
    </row>
    <row r="3422" spans="1:6">
      <c r="A3422" s="19">
        <v>57205</v>
      </c>
      <c r="B3422" s="12" t="str">
        <f t="shared" si="53"/>
        <v>572</v>
      </c>
      <c r="C3422" s="1" t="s">
        <v>4688</v>
      </c>
      <c r="D3422" s="13" t="str">
        <f>IF(RIGHT(A3422,3)="000",C3422,VLOOKUP(B3422,'Справочник ИХ'!A:C,3,0))</f>
        <v>Остальные грузы</v>
      </c>
      <c r="E3422" s="13">
        <f>IF(RIGHT(A3422,3)="000","х",VLOOKUP(B3422,'Справочник ИХ'!A:D,4,0))</f>
        <v>2</v>
      </c>
      <c r="F3422" s="14" t="s">
        <v>4677</v>
      </c>
    </row>
    <row r="3423" spans="1:6" ht="31.75">
      <c r="A3423" s="19">
        <v>57206</v>
      </c>
      <c r="B3423" s="12" t="str">
        <f t="shared" si="53"/>
        <v>572</v>
      </c>
      <c r="C3423" s="1" t="s">
        <v>4689</v>
      </c>
      <c r="D3423" s="13" t="str">
        <f>IF(RIGHT(A3423,3)="000",C3423,VLOOKUP(B3423,'Справочник ИХ'!A:C,3,0))</f>
        <v>Остальные грузы</v>
      </c>
      <c r="E3423" s="13">
        <f>IF(RIGHT(A3423,3)="000","х",VLOOKUP(B3423,'Справочник ИХ'!A:D,4,0))</f>
        <v>2</v>
      </c>
      <c r="F3423" s="14" t="s">
        <v>4677</v>
      </c>
    </row>
    <row r="3424" spans="1:6">
      <c r="A3424" s="19">
        <v>57207</v>
      </c>
      <c r="B3424" s="12" t="str">
        <f t="shared" si="53"/>
        <v>572</v>
      </c>
      <c r="C3424" s="1" t="s">
        <v>4690</v>
      </c>
      <c r="D3424" s="13" t="str">
        <f>IF(RIGHT(A3424,3)="000",C3424,VLOOKUP(B3424,'Справочник ИХ'!A:C,3,0))</f>
        <v>Остальные грузы</v>
      </c>
      <c r="E3424" s="13">
        <f>IF(RIGHT(A3424,3)="000","х",VLOOKUP(B3424,'Справочник ИХ'!A:D,4,0))</f>
        <v>2</v>
      </c>
      <c r="F3424" s="14" t="s">
        <v>4677</v>
      </c>
    </row>
    <row r="3425" spans="1:6">
      <c r="A3425" s="19">
        <v>57208</v>
      </c>
      <c r="B3425" s="12" t="str">
        <f t="shared" si="53"/>
        <v>572</v>
      </c>
      <c r="C3425" s="1" t="s">
        <v>4691</v>
      </c>
      <c r="D3425" s="13" t="str">
        <f>IF(RIGHT(A3425,3)="000",C3425,VLOOKUP(B3425,'Справочник ИХ'!A:C,3,0))</f>
        <v>Остальные грузы</v>
      </c>
      <c r="E3425" s="13">
        <f>IF(RIGHT(A3425,3)="000","х",VLOOKUP(B3425,'Справочник ИХ'!A:D,4,0))</f>
        <v>2</v>
      </c>
      <c r="F3425" s="14" t="s">
        <v>4677</v>
      </c>
    </row>
    <row r="3426" spans="1:6" ht="31.75">
      <c r="A3426" s="19">
        <v>57209</v>
      </c>
      <c r="B3426" s="12" t="str">
        <f t="shared" si="53"/>
        <v>572</v>
      </c>
      <c r="C3426" s="1" t="s">
        <v>4692</v>
      </c>
      <c r="D3426" s="13" t="str">
        <f>IF(RIGHT(A3426,3)="000",C3426,VLOOKUP(B3426,'Справочник ИХ'!A:C,3,0))</f>
        <v>Остальные грузы</v>
      </c>
      <c r="E3426" s="13">
        <f>IF(RIGHT(A3426,3)="000","х",VLOOKUP(B3426,'Справочник ИХ'!A:D,4,0))</f>
        <v>2</v>
      </c>
      <c r="F3426" s="14" t="s">
        <v>4677</v>
      </c>
    </row>
    <row r="3427" spans="1:6">
      <c r="A3427" s="19">
        <v>57210</v>
      </c>
      <c r="B3427" s="12" t="str">
        <f t="shared" si="53"/>
        <v>572</v>
      </c>
      <c r="C3427" s="1" t="s">
        <v>4693</v>
      </c>
      <c r="D3427" s="13" t="str">
        <f>IF(RIGHT(A3427,3)="000",C3427,VLOOKUP(B3427,'Справочник ИХ'!A:C,3,0))</f>
        <v>Остальные грузы</v>
      </c>
      <c r="E3427" s="13">
        <f>IF(RIGHT(A3427,3)="000","х",VLOOKUP(B3427,'Справочник ИХ'!A:D,4,0))</f>
        <v>2</v>
      </c>
      <c r="F3427" s="14" t="s">
        <v>4677</v>
      </c>
    </row>
    <row r="3428" spans="1:6">
      <c r="A3428" s="19">
        <v>57211</v>
      </c>
      <c r="B3428" s="12" t="str">
        <f t="shared" si="53"/>
        <v>572</v>
      </c>
      <c r="C3428" s="1" t="s">
        <v>4694</v>
      </c>
      <c r="D3428" s="13" t="str">
        <f>IF(RIGHT(A3428,3)="000",C3428,VLOOKUP(B3428,'Справочник ИХ'!A:C,3,0))</f>
        <v>Остальные грузы</v>
      </c>
      <c r="E3428" s="13">
        <f>IF(RIGHT(A3428,3)="000","х",VLOOKUP(B3428,'Справочник ИХ'!A:D,4,0))</f>
        <v>2</v>
      </c>
      <c r="F3428" s="14" t="s">
        <v>4677</v>
      </c>
    </row>
    <row r="3429" spans="1:6">
      <c r="A3429" s="19">
        <v>57212</v>
      </c>
      <c r="B3429" s="12" t="str">
        <f t="shared" si="53"/>
        <v>572</v>
      </c>
      <c r="C3429" s="1" t="s">
        <v>4695</v>
      </c>
      <c r="D3429" s="13" t="str">
        <f>IF(RIGHT(A3429,3)="000",C3429,VLOOKUP(B3429,'Справочник ИХ'!A:C,3,0))</f>
        <v>Остальные грузы</v>
      </c>
      <c r="E3429" s="13">
        <f>IF(RIGHT(A3429,3)="000","х",VLOOKUP(B3429,'Справочник ИХ'!A:D,4,0))</f>
        <v>2</v>
      </c>
      <c r="F3429" s="14" t="s">
        <v>4677</v>
      </c>
    </row>
    <row r="3430" spans="1:6">
      <c r="A3430" s="19">
        <v>57213</v>
      </c>
      <c r="B3430" s="12" t="str">
        <f t="shared" si="53"/>
        <v>572</v>
      </c>
      <c r="C3430" s="1" t="s">
        <v>4696</v>
      </c>
      <c r="D3430" s="13" t="str">
        <f>IF(RIGHT(A3430,3)="000",C3430,VLOOKUP(B3430,'Справочник ИХ'!A:C,3,0))</f>
        <v>Остальные грузы</v>
      </c>
      <c r="E3430" s="13">
        <f>IF(RIGHT(A3430,3)="000","х",VLOOKUP(B3430,'Справочник ИХ'!A:D,4,0))</f>
        <v>2</v>
      </c>
      <c r="F3430" s="14" t="s">
        <v>4677</v>
      </c>
    </row>
    <row r="3431" spans="1:6" s="18" customFormat="1" ht="31.75">
      <c r="A3431" s="16">
        <v>57300</v>
      </c>
      <c r="B3431" s="12" t="str">
        <f t="shared" si="53"/>
        <v>573</v>
      </c>
      <c r="C3431" s="17" t="s">
        <v>4697</v>
      </c>
      <c r="D3431" s="13" t="str">
        <f>IF(RIGHT(A3431,3)="000",C3431,VLOOKUP(B3431,'Справочник ИХ'!A:C,3,0))</f>
        <v>Остальные грузы</v>
      </c>
      <c r="E3431" s="13">
        <f>IF(RIGHT(A3431,3)="000","х",VLOOKUP(B3431,'Справочник ИХ'!A:D,4,0))</f>
        <v>2</v>
      </c>
      <c r="F3431" s="14" t="s">
        <v>4677</v>
      </c>
    </row>
    <row r="3432" spans="1:6">
      <c r="A3432" s="19">
        <v>57301</v>
      </c>
      <c r="B3432" s="12" t="str">
        <f t="shared" si="53"/>
        <v>573</v>
      </c>
      <c r="C3432" s="1" t="s">
        <v>4698</v>
      </c>
      <c r="D3432" s="13" t="str">
        <f>IF(RIGHT(A3432,3)="000",C3432,VLOOKUP(B3432,'Справочник ИХ'!A:C,3,0))</f>
        <v>Остальные грузы</v>
      </c>
      <c r="E3432" s="13">
        <f>IF(RIGHT(A3432,3)="000","х",VLOOKUP(B3432,'Справочник ИХ'!A:D,4,0))</f>
        <v>2</v>
      </c>
      <c r="F3432" s="14" t="s">
        <v>4677</v>
      </c>
    </row>
    <row r="3433" spans="1:6">
      <c r="A3433" s="19">
        <v>57302</v>
      </c>
      <c r="B3433" s="12" t="str">
        <f t="shared" si="53"/>
        <v>573</v>
      </c>
      <c r="C3433" s="1" t="s">
        <v>4699</v>
      </c>
      <c r="D3433" s="13" t="str">
        <f>IF(RIGHT(A3433,3)="000",C3433,VLOOKUP(B3433,'Справочник ИХ'!A:C,3,0))</f>
        <v>Остальные грузы</v>
      </c>
      <c r="E3433" s="13">
        <f>IF(RIGHT(A3433,3)="000","х",VLOOKUP(B3433,'Справочник ИХ'!A:D,4,0))</f>
        <v>2</v>
      </c>
      <c r="F3433" s="14" t="s">
        <v>4677</v>
      </c>
    </row>
    <row r="3434" spans="1:6">
      <c r="A3434" s="19">
        <v>57303</v>
      </c>
      <c r="B3434" s="12" t="str">
        <f t="shared" si="53"/>
        <v>573</v>
      </c>
      <c r="C3434" s="1" t="s">
        <v>4700</v>
      </c>
      <c r="D3434" s="13" t="str">
        <f>IF(RIGHT(A3434,3)="000",C3434,VLOOKUP(B3434,'Справочник ИХ'!A:C,3,0))</f>
        <v>Остальные грузы</v>
      </c>
      <c r="E3434" s="13">
        <f>IF(RIGHT(A3434,3)="000","х",VLOOKUP(B3434,'Справочник ИХ'!A:D,4,0))</f>
        <v>2</v>
      </c>
      <c r="F3434" s="14" t="s">
        <v>4677</v>
      </c>
    </row>
    <row r="3435" spans="1:6">
      <c r="A3435" s="19">
        <v>57304</v>
      </c>
      <c r="B3435" s="12" t="str">
        <f t="shared" si="53"/>
        <v>573</v>
      </c>
      <c r="C3435" s="1" t="s">
        <v>4701</v>
      </c>
      <c r="D3435" s="13" t="str">
        <f>IF(RIGHT(A3435,3)="000",C3435,VLOOKUP(B3435,'Справочник ИХ'!A:C,3,0))</f>
        <v>Остальные грузы</v>
      </c>
      <c r="E3435" s="13">
        <f>IF(RIGHT(A3435,3)="000","х",VLOOKUP(B3435,'Справочник ИХ'!A:D,4,0))</f>
        <v>2</v>
      </c>
      <c r="F3435" s="14" t="s">
        <v>4677</v>
      </c>
    </row>
    <row r="3436" spans="1:6">
      <c r="A3436" s="19" t="s">
        <v>4702</v>
      </c>
      <c r="B3436" s="12" t="str">
        <f t="shared" si="53"/>
        <v>573</v>
      </c>
      <c r="C3436" s="1" t="s">
        <v>4703</v>
      </c>
      <c r="D3436" s="13" t="str">
        <f>IF(RIGHT(A3436,3)="000",C3436,VLOOKUP(B3436,'Справочник ИХ'!A:C,3,0))</f>
        <v>Остальные грузы</v>
      </c>
      <c r="E3436" s="13">
        <f>IF(RIGHT(A3436,3)="000","х",VLOOKUP(B3436,'Справочник ИХ'!A:D,4,0))</f>
        <v>2</v>
      </c>
      <c r="F3436" s="14" t="s">
        <v>4677</v>
      </c>
    </row>
    <row r="3437" spans="1:6" ht="31.75">
      <c r="A3437" s="19" t="s">
        <v>4704</v>
      </c>
      <c r="B3437" s="12" t="str">
        <f t="shared" si="53"/>
        <v>573</v>
      </c>
      <c r="C3437" s="1" t="s">
        <v>4705</v>
      </c>
      <c r="D3437" s="13" t="str">
        <f>IF(RIGHT(A3437,3)="000",C3437,VLOOKUP(B3437,'Справочник ИХ'!A:C,3,0))</f>
        <v>Остальные грузы</v>
      </c>
      <c r="E3437" s="13">
        <f>IF(RIGHT(A3437,3)="000","х",VLOOKUP(B3437,'Справочник ИХ'!A:D,4,0))</f>
        <v>2</v>
      </c>
      <c r="F3437" s="14" t="s">
        <v>4677</v>
      </c>
    </row>
    <row r="3438" spans="1:6">
      <c r="A3438" s="19" t="s">
        <v>4706</v>
      </c>
      <c r="B3438" s="12" t="str">
        <f t="shared" si="53"/>
        <v>573</v>
      </c>
      <c r="C3438" s="1" t="s">
        <v>4707</v>
      </c>
      <c r="D3438" s="13" t="str">
        <f>IF(RIGHT(A3438,3)="000",C3438,VLOOKUP(B3438,'Справочник ИХ'!A:C,3,0))</f>
        <v>Остальные грузы</v>
      </c>
      <c r="E3438" s="13">
        <f>IF(RIGHT(A3438,3)="000","х",VLOOKUP(B3438,'Справочник ИХ'!A:D,4,0))</f>
        <v>2</v>
      </c>
      <c r="F3438" s="14" t="s">
        <v>4677</v>
      </c>
    </row>
    <row r="3439" spans="1:6">
      <c r="A3439" s="19" t="s">
        <v>4708</v>
      </c>
      <c r="B3439" s="12" t="str">
        <f t="shared" si="53"/>
        <v>573</v>
      </c>
      <c r="C3439" s="1" t="s">
        <v>4709</v>
      </c>
      <c r="D3439" s="13" t="str">
        <f>IF(RIGHT(A3439,3)="000",C3439,VLOOKUP(B3439,'Справочник ИХ'!A:C,3,0))</f>
        <v>Остальные грузы</v>
      </c>
      <c r="E3439" s="13">
        <f>IF(RIGHT(A3439,3)="000","х",VLOOKUP(B3439,'Справочник ИХ'!A:D,4,0))</f>
        <v>2</v>
      </c>
      <c r="F3439" s="14" t="s">
        <v>4677</v>
      </c>
    </row>
    <row r="3440" spans="1:6">
      <c r="A3440" s="19" t="s">
        <v>4710</v>
      </c>
      <c r="B3440" s="12" t="str">
        <f t="shared" si="53"/>
        <v>573</v>
      </c>
      <c r="C3440" s="1" t="s">
        <v>4711</v>
      </c>
      <c r="D3440" s="13" t="str">
        <f>IF(RIGHT(A3440,3)="000",C3440,VLOOKUP(B3440,'Справочник ИХ'!A:C,3,0))</f>
        <v>Остальные грузы</v>
      </c>
      <c r="E3440" s="13">
        <f>IF(RIGHT(A3440,3)="000","х",VLOOKUP(B3440,'Справочник ИХ'!A:D,4,0))</f>
        <v>2</v>
      </c>
      <c r="F3440" s="14" t="s">
        <v>4677</v>
      </c>
    </row>
    <row r="3441" spans="1:6">
      <c r="A3441" s="19" t="s">
        <v>4712</v>
      </c>
      <c r="B3441" s="12" t="str">
        <f t="shared" si="53"/>
        <v>573</v>
      </c>
      <c r="C3441" s="1" t="s">
        <v>4713</v>
      </c>
      <c r="D3441" s="13" t="str">
        <f>IF(RIGHT(A3441,3)="000",C3441,VLOOKUP(B3441,'Справочник ИХ'!A:C,3,0))</f>
        <v>Остальные грузы</v>
      </c>
      <c r="E3441" s="13">
        <f>IF(RIGHT(A3441,3)="000","х",VLOOKUP(B3441,'Справочник ИХ'!A:D,4,0))</f>
        <v>2</v>
      </c>
      <c r="F3441" s="14" t="s">
        <v>4677</v>
      </c>
    </row>
    <row r="3442" spans="1:6">
      <c r="A3442" s="19" t="s">
        <v>4714</v>
      </c>
      <c r="B3442" s="12" t="str">
        <f t="shared" si="53"/>
        <v>573</v>
      </c>
      <c r="C3442" s="1" t="s">
        <v>4715</v>
      </c>
      <c r="D3442" s="13" t="str">
        <f>IF(RIGHT(A3442,3)="000",C3442,VLOOKUP(B3442,'Справочник ИХ'!A:C,3,0))</f>
        <v>Остальные грузы</v>
      </c>
      <c r="E3442" s="13">
        <f>IF(RIGHT(A3442,3)="000","х",VLOOKUP(B3442,'Справочник ИХ'!A:D,4,0))</f>
        <v>2</v>
      </c>
      <c r="F3442" s="14" t="s">
        <v>4677</v>
      </c>
    </row>
    <row r="3443" spans="1:6">
      <c r="A3443" s="19">
        <v>57311</v>
      </c>
      <c r="B3443" s="12" t="str">
        <f t="shared" si="53"/>
        <v>573</v>
      </c>
      <c r="C3443" s="1" t="s">
        <v>4716</v>
      </c>
      <c r="D3443" s="13" t="str">
        <f>IF(RIGHT(A3443,3)="000",C3443,VLOOKUP(B3443,'Справочник ИХ'!A:C,3,0))</f>
        <v>Остальные грузы</v>
      </c>
      <c r="E3443" s="13">
        <f>IF(RIGHT(A3443,3)="000","х",VLOOKUP(B3443,'Справочник ИХ'!A:D,4,0))</f>
        <v>2</v>
      </c>
      <c r="F3443" s="14" t="s">
        <v>4677</v>
      </c>
    </row>
    <row r="3444" spans="1:6">
      <c r="A3444" s="19">
        <v>57312</v>
      </c>
      <c r="B3444" s="12" t="str">
        <f t="shared" si="53"/>
        <v>573</v>
      </c>
      <c r="C3444" s="1" t="s">
        <v>4717</v>
      </c>
      <c r="D3444" s="13" t="str">
        <f>IF(RIGHT(A3444,3)="000",C3444,VLOOKUP(B3444,'Справочник ИХ'!A:C,3,0))</f>
        <v>Остальные грузы</v>
      </c>
      <c r="E3444" s="13">
        <f>IF(RIGHT(A3444,3)="000","х",VLOOKUP(B3444,'Справочник ИХ'!A:D,4,0))</f>
        <v>2</v>
      </c>
      <c r="F3444" s="14" t="s">
        <v>4677</v>
      </c>
    </row>
    <row r="3445" spans="1:6" s="18" customFormat="1">
      <c r="A3445" s="16">
        <v>57400</v>
      </c>
      <c r="B3445" s="12" t="str">
        <f t="shared" si="53"/>
        <v>574</v>
      </c>
      <c r="C3445" s="17" t="s">
        <v>4718</v>
      </c>
      <c r="D3445" s="13" t="str">
        <f>IF(RIGHT(A3445,3)="000",C3445,VLOOKUP(B3445,'Справочник ИХ'!A:C,3,0))</f>
        <v>Остальные грузы</v>
      </c>
      <c r="E3445" s="13">
        <f>IF(RIGHT(A3445,3)="000","х",VLOOKUP(B3445,'Справочник ИХ'!A:D,4,0))</f>
        <v>3</v>
      </c>
      <c r="F3445" s="14" t="s">
        <v>4677</v>
      </c>
    </row>
    <row r="3446" spans="1:6">
      <c r="A3446" s="19">
        <v>57401</v>
      </c>
      <c r="B3446" s="12" t="str">
        <f t="shared" si="53"/>
        <v>574</v>
      </c>
      <c r="C3446" s="1" t="s">
        <v>4719</v>
      </c>
      <c r="D3446" s="13" t="str">
        <f>IF(RIGHT(A3446,3)="000",C3446,VLOOKUP(B3446,'Справочник ИХ'!A:C,3,0))</f>
        <v>Остальные грузы</v>
      </c>
      <c r="E3446" s="13">
        <f>IF(RIGHT(A3446,3)="000","х",VLOOKUP(B3446,'Справочник ИХ'!A:D,4,0))</f>
        <v>3</v>
      </c>
      <c r="F3446" s="14" t="s">
        <v>4677</v>
      </c>
    </row>
    <row r="3447" spans="1:6">
      <c r="A3447" s="19">
        <v>57402</v>
      </c>
      <c r="B3447" s="12" t="str">
        <f t="shared" si="53"/>
        <v>574</v>
      </c>
      <c r="C3447" s="1" t="s">
        <v>4720</v>
      </c>
      <c r="D3447" s="13" t="str">
        <f>IF(RIGHT(A3447,3)="000",C3447,VLOOKUP(B3447,'Справочник ИХ'!A:C,3,0))</f>
        <v>Остальные грузы</v>
      </c>
      <c r="E3447" s="13">
        <f>IF(RIGHT(A3447,3)="000","х",VLOOKUP(B3447,'Справочник ИХ'!A:D,4,0))</f>
        <v>3</v>
      </c>
      <c r="F3447" s="14" t="s">
        <v>4677</v>
      </c>
    </row>
    <row r="3448" spans="1:6">
      <c r="A3448" s="19">
        <v>57403</v>
      </c>
      <c r="B3448" s="12" t="str">
        <f t="shared" si="53"/>
        <v>574</v>
      </c>
      <c r="C3448" s="1" t="s">
        <v>4721</v>
      </c>
      <c r="D3448" s="13" t="str">
        <f>IF(RIGHT(A3448,3)="000",C3448,VLOOKUP(B3448,'Справочник ИХ'!A:C,3,0))</f>
        <v>Остальные грузы</v>
      </c>
      <c r="E3448" s="13">
        <f>IF(RIGHT(A3448,3)="000","х",VLOOKUP(B3448,'Справочник ИХ'!A:D,4,0))</f>
        <v>3</v>
      </c>
      <c r="F3448" s="14" t="s">
        <v>4677</v>
      </c>
    </row>
    <row r="3449" spans="1:6" ht="31.75">
      <c r="A3449" s="19" t="s">
        <v>4722</v>
      </c>
      <c r="B3449" s="12" t="str">
        <f t="shared" si="53"/>
        <v>574</v>
      </c>
      <c r="C3449" s="1" t="s">
        <v>4723</v>
      </c>
      <c r="D3449" s="13" t="str">
        <f>IF(RIGHT(A3449,3)="000",C3449,VLOOKUP(B3449,'Справочник ИХ'!A:C,3,0))</f>
        <v>Остальные грузы</v>
      </c>
      <c r="E3449" s="13">
        <f>IF(RIGHT(A3449,3)="000","х",VLOOKUP(B3449,'Справочник ИХ'!A:D,4,0))</f>
        <v>3</v>
      </c>
      <c r="F3449" s="14" t="s">
        <v>4677</v>
      </c>
    </row>
    <row r="3450" spans="1:6" ht="31.75">
      <c r="A3450" s="19" t="s">
        <v>4724</v>
      </c>
      <c r="B3450" s="12" t="str">
        <f t="shared" si="53"/>
        <v>574</v>
      </c>
      <c r="C3450" s="1" t="s">
        <v>4725</v>
      </c>
      <c r="D3450" s="13" t="str">
        <f>IF(RIGHT(A3450,3)="000",C3450,VLOOKUP(B3450,'Справочник ИХ'!A:C,3,0))</f>
        <v>Остальные грузы</v>
      </c>
      <c r="E3450" s="13">
        <f>IF(RIGHT(A3450,3)="000","х",VLOOKUP(B3450,'Справочник ИХ'!A:D,4,0))</f>
        <v>3</v>
      </c>
      <c r="F3450" s="14" t="s">
        <v>4677</v>
      </c>
    </row>
    <row r="3451" spans="1:6">
      <c r="A3451" s="19" t="s">
        <v>4726</v>
      </c>
      <c r="B3451" s="12" t="str">
        <f t="shared" si="53"/>
        <v>574</v>
      </c>
      <c r="C3451" s="1" t="s">
        <v>4727</v>
      </c>
      <c r="D3451" s="13" t="str">
        <f>IF(RIGHT(A3451,3)="000",C3451,VLOOKUP(B3451,'Справочник ИХ'!A:C,3,0))</f>
        <v>Остальные грузы</v>
      </c>
      <c r="E3451" s="13">
        <f>IF(RIGHT(A3451,3)="000","х",VLOOKUP(B3451,'Справочник ИХ'!A:D,4,0))</f>
        <v>3</v>
      </c>
      <c r="F3451" s="14" t="s">
        <v>4677</v>
      </c>
    </row>
    <row r="3452" spans="1:6" ht="31.75">
      <c r="A3452" s="19" t="s">
        <v>4728</v>
      </c>
      <c r="B3452" s="12" t="str">
        <f t="shared" si="53"/>
        <v>574</v>
      </c>
      <c r="C3452" s="1" t="s">
        <v>4729</v>
      </c>
      <c r="D3452" s="13" t="str">
        <f>IF(RIGHT(A3452,3)="000",C3452,VLOOKUP(B3452,'Справочник ИХ'!A:C,3,0))</f>
        <v>Остальные грузы</v>
      </c>
      <c r="E3452" s="13">
        <f>IF(RIGHT(A3452,3)="000","х",VLOOKUP(B3452,'Справочник ИХ'!A:D,4,0))</f>
        <v>3</v>
      </c>
      <c r="F3452" s="14" t="s">
        <v>4677</v>
      </c>
    </row>
    <row r="3453" spans="1:6" s="15" customFormat="1" ht="47.6">
      <c r="A3453" s="7">
        <v>58000</v>
      </c>
      <c r="B3453" s="12" t="str">
        <f t="shared" si="53"/>
        <v>580</v>
      </c>
      <c r="C3453" s="11" t="s">
        <v>4730</v>
      </c>
      <c r="D3453" s="13" t="str">
        <f>IF(RIGHT(A3453,3)="000",C3453,VLOOKUP(B3453,'Справочник ИХ'!A:C,3,0))</f>
        <v xml:space="preserve">Продукция плодо-овощной промышленности </v>
      </c>
      <c r="E3453" s="13" t="str">
        <f>IF(RIGHT(A3453,3)="000","х",VLOOKUP(B3453,'Справочник ИХ'!A:D,4,0))</f>
        <v>х</v>
      </c>
      <c r="F3453" s="14" t="s">
        <v>4730</v>
      </c>
    </row>
    <row r="3454" spans="1:6" s="18" customFormat="1" ht="47.6">
      <c r="A3454" s="16">
        <v>58100</v>
      </c>
      <c r="B3454" s="12" t="str">
        <f t="shared" si="53"/>
        <v>581</v>
      </c>
      <c r="C3454" s="17" t="s">
        <v>4731</v>
      </c>
      <c r="D3454" s="13" t="str">
        <f>IF(RIGHT(A3454,3)="000",C3454,VLOOKUP(B3454,'Справочник ИХ'!A:C,3,0))</f>
        <v>Остальные грузы</v>
      </c>
      <c r="E3454" s="13">
        <f>IF(RIGHT(A3454,3)="000","х",VLOOKUP(B3454,'Справочник ИХ'!A:D,4,0))</f>
        <v>2</v>
      </c>
      <c r="F3454" s="14" t="s">
        <v>4730</v>
      </c>
    </row>
    <row r="3455" spans="1:6" ht="31.75">
      <c r="A3455" s="19">
        <v>58101</v>
      </c>
      <c r="B3455" s="12" t="str">
        <f t="shared" si="53"/>
        <v>581</v>
      </c>
      <c r="C3455" s="1" t="s">
        <v>4732</v>
      </c>
      <c r="D3455" s="13" t="str">
        <f>IF(RIGHT(A3455,3)="000",C3455,VLOOKUP(B3455,'Справочник ИХ'!A:C,3,0))</f>
        <v>Остальные грузы</v>
      </c>
      <c r="E3455" s="13">
        <f>IF(RIGHT(A3455,3)="000","х",VLOOKUP(B3455,'Справочник ИХ'!A:D,4,0))</f>
        <v>2</v>
      </c>
      <c r="F3455" s="14" t="s">
        <v>4730</v>
      </c>
    </row>
    <row r="3456" spans="1:6" ht="31.75">
      <c r="A3456" s="19">
        <v>58102</v>
      </c>
      <c r="B3456" s="12" t="str">
        <f t="shared" si="53"/>
        <v>581</v>
      </c>
      <c r="C3456" s="1" t="s">
        <v>4733</v>
      </c>
      <c r="D3456" s="13" t="str">
        <f>IF(RIGHT(A3456,3)="000",C3456,VLOOKUP(B3456,'Справочник ИХ'!A:C,3,0))</f>
        <v>Остальные грузы</v>
      </c>
      <c r="E3456" s="13">
        <f>IF(RIGHT(A3456,3)="000","х",VLOOKUP(B3456,'Справочник ИХ'!A:D,4,0))</f>
        <v>2</v>
      </c>
      <c r="F3456" s="14" t="s">
        <v>4730</v>
      </c>
    </row>
    <row r="3457" spans="1:6" ht="31.75">
      <c r="A3457" s="19">
        <v>58103</v>
      </c>
      <c r="B3457" s="12" t="str">
        <f t="shared" si="53"/>
        <v>581</v>
      </c>
      <c r="C3457" s="1" t="s">
        <v>4734</v>
      </c>
      <c r="D3457" s="13" t="str">
        <f>IF(RIGHT(A3457,3)="000",C3457,VLOOKUP(B3457,'Справочник ИХ'!A:C,3,0))</f>
        <v>Остальные грузы</v>
      </c>
      <c r="E3457" s="13">
        <f>IF(RIGHT(A3457,3)="000","х",VLOOKUP(B3457,'Справочник ИХ'!A:D,4,0))</f>
        <v>2</v>
      </c>
      <c r="F3457" s="14" t="s">
        <v>4730</v>
      </c>
    </row>
    <row r="3458" spans="1:6" ht="31.75">
      <c r="A3458" s="19">
        <v>58104</v>
      </c>
      <c r="B3458" s="12" t="str">
        <f t="shared" si="53"/>
        <v>581</v>
      </c>
      <c r="C3458" s="1" t="s">
        <v>4735</v>
      </c>
      <c r="D3458" s="13" t="str">
        <f>IF(RIGHT(A3458,3)="000",C3458,VLOOKUP(B3458,'Справочник ИХ'!A:C,3,0))</f>
        <v>Остальные грузы</v>
      </c>
      <c r="E3458" s="13">
        <f>IF(RIGHT(A3458,3)="000","х",VLOOKUP(B3458,'Справочник ИХ'!A:D,4,0))</f>
        <v>2</v>
      </c>
      <c r="F3458" s="14" t="s">
        <v>4730</v>
      </c>
    </row>
    <row r="3459" spans="1:6" ht="31.75">
      <c r="A3459" s="19">
        <v>58105</v>
      </c>
      <c r="B3459" s="12" t="str">
        <f t="shared" si="53"/>
        <v>581</v>
      </c>
      <c r="C3459" s="1" t="s">
        <v>4736</v>
      </c>
      <c r="D3459" s="13" t="str">
        <f>IF(RIGHT(A3459,3)="000",C3459,VLOOKUP(B3459,'Справочник ИХ'!A:C,3,0))</f>
        <v>Остальные грузы</v>
      </c>
      <c r="E3459" s="13">
        <f>IF(RIGHT(A3459,3)="000","х",VLOOKUP(B3459,'Справочник ИХ'!A:D,4,0))</f>
        <v>2</v>
      </c>
      <c r="F3459" s="14" t="s">
        <v>4730</v>
      </c>
    </row>
    <row r="3460" spans="1:6" ht="31.75">
      <c r="A3460" s="19">
        <v>58106</v>
      </c>
      <c r="B3460" s="12" t="str">
        <f t="shared" si="53"/>
        <v>581</v>
      </c>
      <c r="C3460" s="1" t="s">
        <v>4737</v>
      </c>
      <c r="D3460" s="13" t="str">
        <f>IF(RIGHT(A3460,3)="000",C3460,VLOOKUP(B3460,'Справочник ИХ'!A:C,3,0))</f>
        <v>Остальные грузы</v>
      </c>
      <c r="E3460" s="13">
        <f>IF(RIGHT(A3460,3)="000","х",VLOOKUP(B3460,'Справочник ИХ'!A:D,4,0))</f>
        <v>2</v>
      </c>
      <c r="F3460" s="14" t="s">
        <v>4730</v>
      </c>
    </row>
    <row r="3461" spans="1:6" ht="31.75">
      <c r="A3461" s="19">
        <v>58107</v>
      </c>
      <c r="B3461" s="12" t="str">
        <f t="shared" ref="B3461:B3524" si="54">LEFT(A3461,3)</f>
        <v>581</v>
      </c>
      <c r="C3461" s="1" t="s">
        <v>4738</v>
      </c>
      <c r="D3461" s="13" t="str">
        <f>IF(RIGHT(A3461,3)="000",C3461,VLOOKUP(B3461,'Справочник ИХ'!A:C,3,0))</f>
        <v>Остальные грузы</v>
      </c>
      <c r="E3461" s="13">
        <f>IF(RIGHT(A3461,3)="000","х",VLOOKUP(B3461,'Справочник ИХ'!A:D,4,0))</f>
        <v>2</v>
      </c>
      <c r="F3461" s="14" t="s">
        <v>4730</v>
      </c>
    </row>
    <row r="3462" spans="1:6" ht="31.75">
      <c r="A3462" s="19">
        <v>58108</v>
      </c>
      <c r="B3462" s="12" t="str">
        <f t="shared" si="54"/>
        <v>581</v>
      </c>
      <c r="C3462" s="1" t="s">
        <v>4739</v>
      </c>
      <c r="D3462" s="13" t="str">
        <f>IF(RIGHT(A3462,3)="000",C3462,VLOOKUP(B3462,'Справочник ИХ'!A:C,3,0))</f>
        <v>Остальные грузы</v>
      </c>
      <c r="E3462" s="13">
        <f>IF(RIGHT(A3462,3)="000","х",VLOOKUP(B3462,'Справочник ИХ'!A:D,4,0))</f>
        <v>2</v>
      </c>
      <c r="F3462" s="14" t="s">
        <v>4730</v>
      </c>
    </row>
    <row r="3463" spans="1:6" ht="31.75">
      <c r="A3463" s="19">
        <v>58109</v>
      </c>
      <c r="B3463" s="12" t="str">
        <f t="shared" si="54"/>
        <v>581</v>
      </c>
      <c r="C3463" s="1" t="s">
        <v>4740</v>
      </c>
      <c r="D3463" s="13" t="str">
        <f>IF(RIGHT(A3463,3)="000",C3463,VLOOKUP(B3463,'Справочник ИХ'!A:C,3,0))</f>
        <v>Остальные грузы</v>
      </c>
      <c r="E3463" s="13">
        <f>IF(RIGHT(A3463,3)="000","х",VLOOKUP(B3463,'Справочник ИХ'!A:D,4,0))</f>
        <v>2</v>
      </c>
      <c r="F3463" s="14" t="s">
        <v>4730</v>
      </c>
    </row>
    <row r="3464" spans="1:6" ht="31.75">
      <c r="A3464" s="19">
        <v>58110</v>
      </c>
      <c r="B3464" s="12" t="str">
        <f t="shared" si="54"/>
        <v>581</v>
      </c>
      <c r="C3464" s="1" t="s">
        <v>4741</v>
      </c>
      <c r="D3464" s="13" t="str">
        <f>IF(RIGHT(A3464,3)="000",C3464,VLOOKUP(B3464,'Справочник ИХ'!A:C,3,0))</f>
        <v>Остальные грузы</v>
      </c>
      <c r="E3464" s="13">
        <f>IF(RIGHT(A3464,3)="000","х",VLOOKUP(B3464,'Справочник ИХ'!A:D,4,0))</f>
        <v>2</v>
      </c>
      <c r="F3464" s="14" t="s">
        <v>4730</v>
      </c>
    </row>
    <row r="3465" spans="1:6" ht="31.75">
      <c r="A3465" s="19">
        <v>58111</v>
      </c>
      <c r="B3465" s="12" t="str">
        <f t="shared" si="54"/>
        <v>581</v>
      </c>
      <c r="C3465" s="1" t="s">
        <v>4742</v>
      </c>
      <c r="D3465" s="13" t="str">
        <f>IF(RIGHT(A3465,3)="000",C3465,VLOOKUP(B3465,'Справочник ИХ'!A:C,3,0))</f>
        <v>Остальные грузы</v>
      </c>
      <c r="E3465" s="13">
        <f>IF(RIGHT(A3465,3)="000","х",VLOOKUP(B3465,'Справочник ИХ'!A:D,4,0))</f>
        <v>2</v>
      </c>
      <c r="F3465" s="14" t="s">
        <v>4730</v>
      </c>
    </row>
    <row r="3466" spans="1:6" ht="31.75">
      <c r="A3466" s="19">
        <v>58112</v>
      </c>
      <c r="B3466" s="12" t="str">
        <f t="shared" si="54"/>
        <v>581</v>
      </c>
      <c r="C3466" s="1" t="s">
        <v>4743</v>
      </c>
      <c r="D3466" s="13" t="str">
        <f>IF(RIGHT(A3466,3)="000",C3466,VLOOKUP(B3466,'Справочник ИХ'!A:C,3,0))</f>
        <v>Остальные грузы</v>
      </c>
      <c r="E3466" s="13">
        <f>IF(RIGHT(A3466,3)="000","х",VLOOKUP(B3466,'Справочник ИХ'!A:D,4,0))</f>
        <v>2</v>
      </c>
      <c r="F3466" s="14" t="s">
        <v>4730</v>
      </c>
    </row>
    <row r="3467" spans="1:6" ht="31.75">
      <c r="A3467" s="19">
        <v>58113</v>
      </c>
      <c r="B3467" s="12" t="str">
        <f t="shared" si="54"/>
        <v>581</v>
      </c>
      <c r="C3467" s="1" t="s">
        <v>4744</v>
      </c>
      <c r="D3467" s="13" t="str">
        <f>IF(RIGHT(A3467,3)="000",C3467,VLOOKUP(B3467,'Справочник ИХ'!A:C,3,0))</f>
        <v>Остальные грузы</v>
      </c>
      <c r="E3467" s="13">
        <f>IF(RIGHT(A3467,3)="000","х",VLOOKUP(B3467,'Справочник ИХ'!A:D,4,0))</f>
        <v>2</v>
      </c>
      <c r="F3467" s="14" t="s">
        <v>4730</v>
      </c>
    </row>
    <row r="3468" spans="1:6" ht="31.75">
      <c r="A3468" s="19">
        <v>58114</v>
      </c>
      <c r="B3468" s="12" t="str">
        <f t="shared" si="54"/>
        <v>581</v>
      </c>
      <c r="C3468" s="1" t="s">
        <v>4745</v>
      </c>
      <c r="D3468" s="13" t="str">
        <f>IF(RIGHT(A3468,3)="000",C3468,VLOOKUP(B3468,'Справочник ИХ'!A:C,3,0))</f>
        <v>Остальные грузы</v>
      </c>
      <c r="E3468" s="13">
        <f>IF(RIGHT(A3468,3)="000","х",VLOOKUP(B3468,'Справочник ИХ'!A:D,4,0))</f>
        <v>2</v>
      </c>
      <c r="F3468" s="14" t="s">
        <v>4730</v>
      </c>
    </row>
    <row r="3469" spans="1:6" ht="31.75">
      <c r="A3469" s="19">
        <v>58115</v>
      </c>
      <c r="B3469" s="12" t="str">
        <f t="shared" si="54"/>
        <v>581</v>
      </c>
      <c r="C3469" s="1" t="s">
        <v>4746</v>
      </c>
      <c r="D3469" s="13" t="str">
        <f>IF(RIGHT(A3469,3)="000",C3469,VLOOKUP(B3469,'Справочник ИХ'!A:C,3,0))</f>
        <v>Остальные грузы</v>
      </c>
      <c r="E3469" s="13">
        <f>IF(RIGHT(A3469,3)="000","х",VLOOKUP(B3469,'Справочник ИХ'!A:D,4,0))</f>
        <v>2</v>
      </c>
      <c r="F3469" s="14" t="s">
        <v>4730</v>
      </c>
    </row>
    <row r="3470" spans="1:6" ht="31.75">
      <c r="A3470" s="19">
        <v>58116</v>
      </c>
      <c r="B3470" s="12" t="str">
        <f t="shared" si="54"/>
        <v>581</v>
      </c>
      <c r="C3470" s="1" t="s">
        <v>4747</v>
      </c>
      <c r="D3470" s="13" t="str">
        <f>IF(RIGHT(A3470,3)="000",C3470,VLOOKUP(B3470,'Справочник ИХ'!A:C,3,0))</f>
        <v>Остальные грузы</v>
      </c>
      <c r="E3470" s="13">
        <f>IF(RIGHT(A3470,3)="000","х",VLOOKUP(B3470,'Справочник ИХ'!A:D,4,0))</f>
        <v>2</v>
      </c>
      <c r="F3470" s="14" t="s">
        <v>4730</v>
      </c>
    </row>
    <row r="3471" spans="1:6" ht="31.75">
      <c r="A3471" s="19">
        <v>58117</v>
      </c>
      <c r="B3471" s="12" t="str">
        <f t="shared" si="54"/>
        <v>581</v>
      </c>
      <c r="C3471" s="1" t="s">
        <v>4748</v>
      </c>
      <c r="D3471" s="13" t="str">
        <f>IF(RIGHT(A3471,3)="000",C3471,VLOOKUP(B3471,'Справочник ИХ'!A:C,3,0))</f>
        <v>Остальные грузы</v>
      </c>
      <c r="E3471" s="13">
        <f>IF(RIGHT(A3471,3)="000","х",VLOOKUP(B3471,'Справочник ИХ'!A:D,4,0))</f>
        <v>2</v>
      </c>
      <c r="F3471" s="14" t="s">
        <v>4730</v>
      </c>
    </row>
    <row r="3472" spans="1:6" ht="31.75">
      <c r="A3472" s="19">
        <v>58118</v>
      </c>
      <c r="B3472" s="12" t="str">
        <f t="shared" si="54"/>
        <v>581</v>
      </c>
      <c r="C3472" s="1" t="s">
        <v>4749</v>
      </c>
      <c r="D3472" s="13" t="str">
        <f>IF(RIGHT(A3472,3)="000",C3472,VLOOKUP(B3472,'Справочник ИХ'!A:C,3,0))</f>
        <v>Остальные грузы</v>
      </c>
      <c r="E3472" s="13">
        <f>IF(RIGHT(A3472,3)="000","х",VLOOKUP(B3472,'Справочник ИХ'!A:D,4,0))</f>
        <v>2</v>
      </c>
      <c r="F3472" s="14" t="s">
        <v>4730</v>
      </c>
    </row>
    <row r="3473" spans="1:6" ht="31.75">
      <c r="A3473" s="19">
        <v>58119</v>
      </c>
      <c r="B3473" s="12" t="str">
        <f t="shared" si="54"/>
        <v>581</v>
      </c>
      <c r="C3473" s="1" t="s">
        <v>4750</v>
      </c>
      <c r="D3473" s="13" t="str">
        <f>IF(RIGHT(A3473,3)="000",C3473,VLOOKUP(B3473,'Справочник ИХ'!A:C,3,0))</f>
        <v>Остальные грузы</v>
      </c>
      <c r="E3473" s="13">
        <f>IF(RIGHT(A3473,3)="000","х",VLOOKUP(B3473,'Справочник ИХ'!A:D,4,0))</f>
        <v>2</v>
      </c>
      <c r="F3473" s="14" t="s">
        <v>4730</v>
      </c>
    </row>
    <row r="3474" spans="1:6" ht="31.75">
      <c r="A3474" s="19">
        <v>58120</v>
      </c>
      <c r="B3474" s="12" t="str">
        <f t="shared" si="54"/>
        <v>581</v>
      </c>
      <c r="C3474" s="1" t="s">
        <v>4751</v>
      </c>
      <c r="D3474" s="13" t="str">
        <f>IF(RIGHT(A3474,3)="000",C3474,VLOOKUP(B3474,'Справочник ИХ'!A:C,3,0))</f>
        <v>Остальные грузы</v>
      </c>
      <c r="E3474" s="13">
        <f>IF(RIGHT(A3474,3)="000","х",VLOOKUP(B3474,'Справочник ИХ'!A:D,4,0))</f>
        <v>2</v>
      </c>
      <c r="F3474" s="14" t="s">
        <v>4730</v>
      </c>
    </row>
    <row r="3475" spans="1:6" ht="47.6">
      <c r="A3475" s="19">
        <v>58121</v>
      </c>
      <c r="B3475" s="12" t="str">
        <f t="shared" si="54"/>
        <v>581</v>
      </c>
      <c r="C3475" s="1" t="s">
        <v>4752</v>
      </c>
      <c r="D3475" s="13" t="str">
        <f>IF(RIGHT(A3475,3)="000",C3475,VLOOKUP(B3475,'Справочник ИХ'!A:C,3,0))</f>
        <v>Остальные грузы</v>
      </c>
      <c r="E3475" s="13">
        <f>IF(RIGHT(A3475,3)="000","х",VLOOKUP(B3475,'Справочник ИХ'!A:D,4,0))</f>
        <v>2</v>
      </c>
      <c r="F3475" s="14" t="s">
        <v>4730</v>
      </c>
    </row>
    <row r="3476" spans="1:6" ht="31.75">
      <c r="A3476" s="19">
        <v>58122</v>
      </c>
      <c r="B3476" s="12" t="str">
        <f t="shared" si="54"/>
        <v>581</v>
      </c>
      <c r="C3476" s="1" t="s">
        <v>4753</v>
      </c>
      <c r="D3476" s="13" t="str">
        <f>IF(RIGHT(A3476,3)="000",C3476,VLOOKUP(B3476,'Справочник ИХ'!A:C,3,0))</f>
        <v>Остальные грузы</v>
      </c>
      <c r="E3476" s="13">
        <f>IF(RIGHT(A3476,3)="000","х",VLOOKUP(B3476,'Справочник ИХ'!A:D,4,0))</f>
        <v>2</v>
      </c>
      <c r="F3476" s="14" t="s">
        <v>4730</v>
      </c>
    </row>
    <row r="3477" spans="1:6" ht="31.75">
      <c r="A3477" s="19">
        <v>58123</v>
      </c>
      <c r="B3477" s="12" t="str">
        <f t="shared" si="54"/>
        <v>581</v>
      </c>
      <c r="C3477" s="1" t="s">
        <v>4754</v>
      </c>
      <c r="D3477" s="13" t="str">
        <f>IF(RIGHT(A3477,3)="000",C3477,VLOOKUP(B3477,'Справочник ИХ'!A:C,3,0))</f>
        <v>Остальные грузы</v>
      </c>
      <c r="E3477" s="13">
        <f>IF(RIGHT(A3477,3)="000","х",VLOOKUP(B3477,'Справочник ИХ'!A:D,4,0))</f>
        <v>2</v>
      </c>
      <c r="F3477" s="14" t="s">
        <v>4730</v>
      </c>
    </row>
    <row r="3478" spans="1:6" ht="31.75">
      <c r="A3478" s="19">
        <v>58124</v>
      </c>
      <c r="B3478" s="12" t="str">
        <f t="shared" si="54"/>
        <v>581</v>
      </c>
      <c r="C3478" s="1" t="s">
        <v>4755</v>
      </c>
      <c r="D3478" s="13" t="str">
        <f>IF(RIGHT(A3478,3)="000",C3478,VLOOKUP(B3478,'Справочник ИХ'!A:C,3,0))</f>
        <v>Остальные грузы</v>
      </c>
      <c r="E3478" s="13">
        <f>IF(RIGHT(A3478,3)="000","х",VLOOKUP(B3478,'Справочник ИХ'!A:D,4,0))</f>
        <v>2</v>
      </c>
      <c r="F3478" s="14" t="s">
        <v>4730</v>
      </c>
    </row>
    <row r="3479" spans="1:6" ht="31.75">
      <c r="A3479" s="19">
        <v>58125</v>
      </c>
      <c r="B3479" s="12" t="str">
        <f t="shared" si="54"/>
        <v>581</v>
      </c>
      <c r="C3479" s="1" t="s">
        <v>4756</v>
      </c>
      <c r="D3479" s="13" t="str">
        <f>IF(RIGHT(A3479,3)="000",C3479,VLOOKUP(B3479,'Справочник ИХ'!A:C,3,0))</f>
        <v>Остальные грузы</v>
      </c>
      <c r="E3479" s="13">
        <f>IF(RIGHT(A3479,3)="000","х",VLOOKUP(B3479,'Справочник ИХ'!A:D,4,0))</f>
        <v>2</v>
      </c>
      <c r="F3479" s="14" t="s">
        <v>4730</v>
      </c>
    </row>
    <row r="3480" spans="1:6" ht="31.75">
      <c r="A3480" s="19">
        <v>58126</v>
      </c>
      <c r="B3480" s="12" t="str">
        <f t="shared" si="54"/>
        <v>581</v>
      </c>
      <c r="C3480" s="1" t="s">
        <v>4757</v>
      </c>
      <c r="D3480" s="13" t="str">
        <f>IF(RIGHT(A3480,3)="000",C3480,VLOOKUP(B3480,'Справочник ИХ'!A:C,3,0))</f>
        <v>Остальные грузы</v>
      </c>
      <c r="E3480" s="13">
        <f>IF(RIGHT(A3480,3)="000","х",VLOOKUP(B3480,'Справочник ИХ'!A:D,4,0))</f>
        <v>2</v>
      </c>
      <c r="F3480" s="14" t="s">
        <v>4730</v>
      </c>
    </row>
    <row r="3481" spans="1:6" ht="31.75">
      <c r="A3481" s="19">
        <v>58127</v>
      </c>
      <c r="B3481" s="12" t="str">
        <f t="shared" si="54"/>
        <v>581</v>
      </c>
      <c r="C3481" s="1" t="s">
        <v>4758</v>
      </c>
      <c r="D3481" s="13" t="str">
        <f>IF(RIGHT(A3481,3)="000",C3481,VLOOKUP(B3481,'Справочник ИХ'!A:C,3,0))</f>
        <v>Остальные грузы</v>
      </c>
      <c r="E3481" s="13">
        <f>IF(RIGHT(A3481,3)="000","х",VLOOKUP(B3481,'Справочник ИХ'!A:D,4,0))</f>
        <v>2</v>
      </c>
      <c r="F3481" s="14" t="s">
        <v>4730</v>
      </c>
    </row>
    <row r="3482" spans="1:6" ht="31.75">
      <c r="A3482" s="19">
        <v>58128</v>
      </c>
      <c r="B3482" s="12" t="str">
        <f t="shared" si="54"/>
        <v>581</v>
      </c>
      <c r="C3482" s="1" t="s">
        <v>4759</v>
      </c>
      <c r="D3482" s="13" t="str">
        <f>IF(RIGHT(A3482,3)="000",C3482,VLOOKUP(B3482,'Справочник ИХ'!A:C,3,0))</f>
        <v>Остальные грузы</v>
      </c>
      <c r="E3482" s="13">
        <f>IF(RIGHT(A3482,3)="000","х",VLOOKUP(B3482,'Справочник ИХ'!A:D,4,0))</f>
        <v>2</v>
      </c>
      <c r="F3482" s="14" t="s">
        <v>4730</v>
      </c>
    </row>
    <row r="3483" spans="1:6" ht="31.75">
      <c r="A3483" s="19">
        <v>58129</v>
      </c>
      <c r="B3483" s="12" t="str">
        <f t="shared" si="54"/>
        <v>581</v>
      </c>
      <c r="C3483" s="1" t="s">
        <v>4760</v>
      </c>
      <c r="D3483" s="13" t="str">
        <f>IF(RIGHT(A3483,3)="000",C3483,VLOOKUP(B3483,'Справочник ИХ'!A:C,3,0))</f>
        <v>Остальные грузы</v>
      </c>
      <c r="E3483" s="13">
        <f>IF(RIGHT(A3483,3)="000","х",VLOOKUP(B3483,'Справочник ИХ'!A:D,4,0))</f>
        <v>2</v>
      </c>
      <c r="F3483" s="14" t="s">
        <v>4730</v>
      </c>
    </row>
    <row r="3484" spans="1:6" ht="31.75">
      <c r="A3484" s="19">
        <v>58130</v>
      </c>
      <c r="B3484" s="12" t="str">
        <f t="shared" si="54"/>
        <v>581</v>
      </c>
      <c r="C3484" s="1" t="s">
        <v>4761</v>
      </c>
      <c r="D3484" s="13" t="str">
        <f>IF(RIGHT(A3484,3)="000",C3484,VLOOKUP(B3484,'Справочник ИХ'!A:C,3,0))</f>
        <v>Остальные грузы</v>
      </c>
      <c r="E3484" s="13">
        <f>IF(RIGHT(A3484,3)="000","х",VLOOKUP(B3484,'Справочник ИХ'!A:D,4,0))</f>
        <v>2</v>
      </c>
      <c r="F3484" s="14" t="s">
        <v>4730</v>
      </c>
    </row>
    <row r="3485" spans="1:6" ht="31.75">
      <c r="A3485" s="19">
        <v>58131</v>
      </c>
      <c r="B3485" s="12" t="str">
        <f t="shared" si="54"/>
        <v>581</v>
      </c>
      <c r="C3485" s="1" t="s">
        <v>4762</v>
      </c>
      <c r="D3485" s="13" t="str">
        <f>IF(RIGHT(A3485,3)="000",C3485,VLOOKUP(B3485,'Справочник ИХ'!A:C,3,0))</f>
        <v>Остальные грузы</v>
      </c>
      <c r="E3485" s="13">
        <f>IF(RIGHT(A3485,3)="000","х",VLOOKUP(B3485,'Справочник ИХ'!A:D,4,0))</f>
        <v>2</v>
      </c>
      <c r="F3485" s="14" t="s">
        <v>4730</v>
      </c>
    </row>
    <row r="3486" spans="1:6" ht="31.75">
      <c r="A3486" s="19">
        <v>58132</v>
      </c>
      <c r="B3486" s="12" t="str">
        <f t="shared" si="54"/>
        <v>581</v>
      </c>
      <c r="C3486" s="1" t="s">
        <v>4763</v>
      </c>
      <c r="D3486" s="13" t="str">
        <f>IF(RIGHT(A3486,3)="000",C3486,VLOOKUP(B3486,'Справочник ИХ'!A:C,3,0))</f>
        <v>Остальные грузы</v>
      </c>
      <c r="E3486" s="13">
        <f>IF(RIGHT(A3486,3)="000","х",VLOOKUP(B3486,'Справочник ИХ'!A:D,4,0))</f>
        <v>2</v>
      </c>
      <c r="F3486" s="14" t="s">
        <v>4730</v>
      </c>
    </row>
    <row r="3487" spans="1:6" ht="31.75">
      <c r="A3487" s="19">
        <v>58133</v>
      </c>
      <c r="B3487" s="12" t="str">
        <f t="shared" si="54"/>
        <v>581</v>
      </c>
      <c r="C3487" s="1" t="s">
        <v>4764</v>
      </c>
      <c r="D3487" s="13" t="str">
        <f>IF(RIGHT(A3487,3)="000",C3487,VLOOKUP(B3487,'Справочник ИХ'!A:C,3,0))</f>
        <v>Остальные грузы</v>
      </c>
      <c r="E3487" s="13">
        <f>IF(RIGHT(A3487,3)="000","х",VLOOKUP(B3487,'Справочник ИХ'!A:D,4,0))</f>
        <v>2</v>
      </c>
      <c r="F3487" s="14" t="s">
        <v>4730</v>
      </c>
    </row>
    <row r="3488" spans="1:6" ht="31.75">
      <c r="A3488" s="19">
        <v>58134</v>
      </c>
      <c r="B3488" s="12" t="str">
        <f t="shared" si="54"/>
        <v>581</v>
      </c>
      <c r="C3488" s="1" t="s">
        <v>4765</v>
      </c>
      <c r="D3488" s="13" t="str">
        <f>IF(RIGHT(A3488,3)="000",C3488,VLOOKUP(B3488,'Справочник ИХ'!A:C,3,0))</f>
        <v>Остальные грузы</v>
      </c>
      <c r="E3488" s="13">
        <f>IF(RIGHT(A3488,3)="000","х",VLOOKUP(B3488,'Справочник ИХ'!A:D,4,0))</f>
        <v>2</v>
      </c>
      <c r="F3488" s="14" t="s">
        <v>4730</v>
      </c>
    </row>
    <row r="3489" spans="1:6" ht="31.75">
      <c r="A3489" s="19" t="s">
        <v>4766</v>
      </c>
      <c r="B3489" s="12" t="str">
        <f t="shared" si="54"/>
        <v>581</v>
      </c>
      <c r="C3489" s="1" t="s">
        <v>4767</v>
      </c>
      <c r="D3489" s="13" t="str">
        <f>IF(RIGHT(A3489,3)="000",C3489,VLOOKUP(B3489,'Справочник ИХ'!A:C,3,0))</f>
        <v>Остальные грузы</v>
      </c>
      <c r="E3489" s="13">
        <f>IF(RIGHT(A3489,3)="000","х",VLOOKUP(B3489,'Справочник ИХ'!A:D,4,0))</f>
        <v>2</v>
      </c>
      <c r="F3489" s="14" t="s">
        <v>4730</v>
      </c>
    </row>
    <row r="3490" spans="1:6" s="18" customFormat="1" ht="31.75">
      <c r="A3490" s="16">
        <v>58200</v>
      </c>
      <c r="B3490" s="12" t="str">
        <f t="shared" si="54"/>
        <v>582</v>
      </c>
      <c r="C3490" s="17" t="s">
        <v>4768</v>
      </c>
      <c r="D3490" s="13" t="str">
        <f>IF(RIGHT(A3490,3)="000",C3490,VLOOKUP(B3490,'Справочник ИХ'!A:C,3,0))</f>
        <v>Остальные грузы</v>
      </c>
      <c r="E3490" s="13">
        <f>IF(RIGHT(A3490,3)="000","х",VLOOKUP(B3490,'Справочник ИХ'!A:D,4,0))</f>
        <v>2</v>
      </c>
      <c r="F3490" s="14" t="s">
        <v>4730</v>
      </c>
    </row>
    <row r="3491" spans="1:6" ht="31.75">
      <c r="A3491" s="19">
        <v>58201</v>
      </c>
      <c r="B3491" s="12" t="str">
        <f t="shared" si="54"/>
        <v>582</v>
      </c>
      <c r="C3491" s="1" t="s">
        <v>4769</v>
      </c>
      <c r="D3491" s="13" t="str">
        <f>IF(RIGHT(A3491,3)="000",C3491,VLOOKUP(B3491,'Справочник ИХ'!A:C,3,0))</f>
        <v>Остальные грузы</v>
      </c>
      <c r="E3491" s="13">
        <f>IF(RIGHT(A3491,3)="000","х",VLOOKUP(B3491,'Справочник ИХ'!A:D,4,0))</f>
        <v>2</v>
      </c>
      <c r="F3491" s="14" t="s">
        <v>4730</v>
      </c>
    </row>
    <row r="3492" spans="1:6" ht="31.75">
      <c r="A3492" s="19">
        <v>58202</v>
      </c>
      <c r="B3492" s="12" t="str">
        <f t="shared" si="54"/>
        <v>582</v>
      </c>
      <c r="C3492" s="1" t="s">
        <v>4770</v>
      </c>
      <c r="D3492" s="13" t="str">
        <f>IF(RIGHT(A3492,3)="000",C3492,VLOOKUP(B3492,'Справочник ИХ'!A:C,3,0))</f>
        <v>Остальные грузы</v>
      </c>
      <c r="E3492" s="13">
        <f>IF(RIGHT(A3492,3)="000","х",VLOOKUP(B3492,'Справочник ИХ'!A:D,4,0))</f>
        <v>2</v>
      </c>
      <c r="F3492" s="14" t="s">
        <v>4730</v>
      </c>
    </row>
    <row r="3493" spans="1:6" ht="31.75">
      <c r="A3493" s="19">
        <v>58203</v>
      </c>
      <c r="B3493" s="12" t="str">
        <f t="shared" si="54"/>
        <v>582</v>
      </c>
      <c r="C3493" s="1" t="s">
        <v>4771</v>
      </c>
      <c r="D3493" s="13" t="str">
        <f>IF(RIGHT(A3493,3)="000",C3493,VLOOKUP(B3493,'Справочник ИХ'!A:C,3,0))</f>
        <v>Остальные грузы</v>
      </c>
      <c r="E3493" s="13">
        <f>IF(RIGHT(A3493,3)="000","х",VLOOKUP(B3493,'Справочник ИХ'!A:D,4,0))</f>
        <v>2</v>
      </c>
      <c r="F3493" s="14" t="s">
        <v>4730</v>
      </c>
    </row>
    <row r="3494" spans="1:6" ht="31.75">
      <c r="A3494" s="19">
        <v>58204</v>
      </c>
      <c r="B3494" s="12" t="str">
        <f t="shared" si="54"/>
        <v>582</v>
      </c>
      <c r="C3494" s="1" t="s">
        <v>4772</v>
      </c>
      <c r="D3494" s="13" t="str">
        <f>IF(RIGHT(A3494,3)="000",C3494,VLOOKUP(B3494,'Справочник ИХ'!A:C,3,0))</f>
        <v>Остальные грузы</v>
      </c>
      <c r="E3494" s="13">
        <f>IF(RIGHT(A3494,3)="000","х",VLOOKUP(B3494,'Справочник ИХ'!A:D,4,0))</f>
        <v>2</v>
      </c>
      <c r="F3494" s="14" t="s">
        <v>4730</v>
      </c>
    </row>
    <row r="3495" spans="1:6" ht="31.75">
      <c r="A3495" s="19">
        <v>58205</v>
      </c>
      <c r="B3495" s="12" t="str">
        <f t="shared" si="54"/>
        <v>582</v>
      </c>
      <c r="C3495" s="1" t="s">
        <v>4773</v>
      </c>
      <c r="D3495" s="13" t="str">
        <f>IF(RIGHT(A3495,3)="000",C3495,VLOOKUP(B3495,'Справочник ИХ'!A:C,3,0))</f>
        <v>Остальные грузы</v>
      </c>
      <c r="E3495" s="13">
        <f>IF(RIGHT(A3495,3)="000","х",VLOOKUP(B3495,'Справочник ИХ'!A:D,4,0))</f>
        <v>2</v>
      </c>
      <c r="F3495" s="14" t="s">
        <v>4730</v>
      </c>
    </row>
    <row r="3496" spans="1:6" ht="31.75">
      <c r="A3496" s="19">
        <v>58206</v>
      </c>
      <c r="B3496" s="12" t="str">
        <f t="shared" si="54"/>
        <v>582</v>
      </c>
      <c r="C3496" s="1" t="s">
        <v>4774</v>
      </c>
      <c r="D3496" s="13" t="str">
        <f>IF(RIGHT(A3496,3)="000",C3496,VLOOKUP(B3496,'Справочник ИХ'!A:C,3,0))</f>
        <v>Остальные грузы</v>
      </c>
      <c r="E3496" s="13">
        <f>IF(RIGHT(A3496,3)="000","х",VLOOKUP(B3496,'Справочник ИХ'!A:D,4,0))</f>
        <v>2</v>
      </c>
      <c r="F3496" s="14" t="s">
        <v>4730</v>
      </c>
    </row>
    <row r="3497" spans="1:6" ht="31.75">
      <c r="A3497" s="19">
        <v>58207</v>
      </c>
      <c r="B3497" s="12" t="str">
        <f t="shared" si="54"/>
        <v>582</v>
      </c>
      <c r="C3497" s="1" t="s">
        <v>4775</v>
      </c>
      <c r="D3497" s="13" t="str">
        <f>IF(RIGHT(A3497,3)="000",C3497,VLOOKUP(B3497,'Справочник ИХ'!A:C,3,0))</f>
        <v>Остальные грузы</v>
      </c>
      <c r="E3497" s="13">
        <f>IF(RIGHT(A3497,3)="000","х",VLOOKUP(B3497,'Справочник ИХ'!A:D,4,0))</f>
        <v>2</v>
      </c>
      <c r="F3497" s="14" t="s">
        <v>4730</v>
      </c>
    </row>
    <row r="3498" spans="1:6" ht="31.75">
      <c r="A3498" s="19">
        <v>58208</v>
      </c>
      <c r="B3498" s="12" t="str">
        <f t="shared" si="54"/>
        <v>582</v>
      </c>
      <c r="C3498" s="1" t="s">
        <v>4776</v>
      </c>
      <c r="D3498" s="13" t="str">
        <f>IF(RIGHT(A3498,3)="000",C3498,VLOOKUP(B3498,'Справочник ИХ'!A:C,3,0))</f>
        <v>Остальные грузы</v>
      </c>
      <c r="E3498" s="13">
        <f>IF(RIGHT(A3498,3)="000","х",VLOOKUP(B3498,'Справочник ИХ'!A:D,4,0))</f>
        <v>2</v>
      </c>
      <c r="F3498" s="14" t="s">
        <v>4730</v>
      </c>
    </row>
    <row r="3499" spans="1:6" ht="31.75">
      <c r="A3499" s="19">
        <v>58209</v>
      </c>
      <c r="B3499" s="12" t="str">
        <f t="shared" si="54"/>
        <v>582</v>
      </c>
      <c r="C3499" s="1" t="s">
        <v>4777</v>
      </c>
      <c r="D3499" s="13" t="str">
        <f>IF(RIGHT(A3499,3)="000",C3499,VLOOKUP(B3499,'Справочник ИХ'!A:C,3,0))</f>
        <v>Остальные грузы</v>
      </c>
      <c r="E3499" s="13">
        <f>IF(RIGHT(A3499,3)="000","х",VLOOKUP(B3499,'Справочник ИХ'!A:D,4,0))</f>
        <v>2</v>
      </c>
      <c r="F3499" s="14" t="s">
        <v>4730</v>
      </c>
    </row>
    <row r="3500" spans="1:6" ht="31.75">
      <c r="A3500" s="19">
        <v>58210</v>
      </c>
      <c r="B3500" s="12" t="str">
        <f t="shared" si="54"/>
        <v>582</v>
      </c>
      <c r="C3500" s="1" t="s">
        <v>4778</v>
      </c>
      <c r="D3500" s="13" t="str">
        <f>IF(RIGHT(A3500,3)="000",C3500,VLOOKUP(B3500,'Справочник ИХ'!A:C,3,0))</f>
        <v>Остальные грузы</v>
      </c>
      <c r="E3500" s="13">
        <f>IF(RIGHT(A3500,3)="000","х",VLOOKUP(B3500,'Справочник ИХ'!A:D,4,0))</f>
        <v>2</v>
      </c>
      <c r="F3500" s="14" t="s">
        <v>4730</v>
      </c>
    </row>
    <row r="3501" spans="1:6" ht="31.75">
      <c r="A3501" s="19">
        <v>58211</v>
      </c>
      <c r="B3501" s="12" t="str">
        <f t="shared" si="54"/>
        <v>582</v>
      </c>
      <c r="C3501" s="1" t="s">
        <v>4779</v>
      </c>
      <c r="D3501" s="13" t="str">
        <f>IF(RIGHT(A3501,3)="000",C3501,VLOOKUP(B3501,'Справочник ИХ'!A:C,3,0))</f>
        <v>Остальные грузы</v>
      </c>
      <c r="E3501" s="13">
        <f>IF(RIGHT(A3501,3)="000","х",VLOOKUP(B3501,'Справочник ИХ'!A:D,4,0))</f>
        <v>2</v>
      </c>
      <c r="F3501" s="14" t="s">
        <v>4730</v>
      </c>
    </row>
    <row r="3502" spans="1:6" ht="31.75">
      <c r="A3502" s="19">
        <v>58212</v>
      </c>
      <c r="B3502" s="12" t="str">
        <f t="shared" si="54"/>
        <v>582</v>
      </c>
      <c r="C3502" s="1" t="s">
        <v>4780</v>
      </c>
      <c r="D3502" s="13" t="str">
        <f>IF(RIGHT(A3502,3)="000",C3502,VLOOKUP(B3502,'Справочник ИХ'!A:C,3,0))</f>
        <v>Остальные грузы</v>
      </c>
      <c r="E3502" s="13">
        <f>IF(RIGHT(A3502,3)="000","х",VLOOKUP(B3502,'Справочник ИХ'!A:D,4,0))</f>
        <v>2</v>
      </c>
      <c r="F3502" s="14" t="s">
        <v>4730</v>
      </c>
    </row>
    <row r="3503" spans="1:6" ht="31.75">
      <c r="A3503" s="19">
        <v>58213</v>
      </c>
      <c r="B3503" s="12" t="str">
        <f t="shared" si="54"/>
        <v>582</v>
      </c>
      <c r="C3503" s="1" t="s">
        <v>4781</v>
      </c>
      <c r="D3503" s="13" t="str">
        <f>IF(RIGHT(A3503,3)="000",C3503,VLOOKUP(B3503,'Справочник ИХ'!A:C,3,0))</f>
        <v>Остальные грузы</v>
      </c>
      <c r="E3503" s="13">
        <f>IF(RIGHT(A3503,3)="000","х",VLOOKUP(B3503,'Справочник ИХ'!A:D,4,0))</f>
        <v>2</v>
      </c>
      <c r="F3503" s="14" t="s">
        <v>4730</v>
      </c>
    </row>
    <row r="3504" spans="1:6" ht="31.75">
      <c r="A3504" s="19">
        <v>58214</v>
      </c>
      <c r="B3504" s="12" t="str">
        <f t="shared" si="54"/>
        <v>582</v>
      </c>
      <c r="C3504" s="1" t="s">
        <v>4782</v>
      </c>
      <c r="D3504" s="13" t="str">
        <f>IF(RIGHT(A3504,3)="000",C3504,VLOOKUP(B3504,'Справочник ИХ'!A:C,3,0))</f>
        <v>Остальные грузы</v>
      </c>
      <c r="E3504" s="13">
        <f>IF(RIGHT(A3504,3)="000","х",VLOOKUP(B3504,'Справочник ИХ'!A:D,4,0))</f>
        <v>2</v>
      </c>
      <c r="F3504" s="14" t="s">
        <v>4730</v>
      </c>
    </row>
    <row r="3505" spans="1:6" ht="31.75">
      <c r="A3505" s="19">
        <v>58215</v>
      </c>
      <c r="B3505" s="12" t="str">
        <f t="shared" si="54"/>
        <v>582</v>
      </c>
      <c r="C3505" s="1" t="s">
        <v>4783</v>
      </c>
      <c r="D3505" s="13" t="str">
        <f>IF(RIGHT(A3505,3)="000",C3505,VLOOKUP(B3505,'Справочник ИХ'!A:C,3,0))</f>
        <v>Остальные грузы</v>
      </c>
      <c r="E3505" s="13">
        <f>IF(RIGHT(A3505,3)="000","х",VLOOKUP(B3505,'Справочник ИХ'!A:D,4,0))</f>
        <v>2</v>
      </c>
      <c r="F3505" s="14" t="s">
        <v>4730</v>
      </c>
    </row>
    <row r="3506" spans="1:6" ht="31.75">
      <c r="A3506" s="19">
        <v>58216</v>
      </c>
      <c r="B3506" s="12" t="str">
        <f t="shared" si="54"/>
        <v>582</v>
      </c>
      <c r="C3506" s="1" t="s">
        <v>4784</v>
      </c>
      <c r="D3506" s="13" t="str">
        <f>IF(RIGHT(A3506,3)="000",C3506,VLOOKUP(B3506,'Справочник ИХ'!A:C,3,0))</f>
        <v>Остальные грузы</v>
      </c>
      <c r="E3506" s="13">
        <f>IF(RIGHT(A3506,3)="000","х",VLOOKUP(B3506,'Справочник ИХ'!A:D,4,0))</f>
        <v>2</v>
      </c>
      <c r="F3506" s="14" t="s">
        <v>4730</v>
      </c>
    </row>
    <row r="3507" spans="1:6" ht="31.75">
      <c r="A3507" s="19">
        <v>58217</v>
      </c>
      <c r="B3507" s="12" t="str">
        <f t="shared" si="54"/>
        <v>582</v>
      </c>
      <c r="C3507" s="1" t="s">
        <v>4785</v>
      </c>
      <c r="D3507" s="13" t="str">
        <f>IF(RIGHT(A3507,3)="000",C3507,VLOOKUP(B3507,'Справочник ИХ'!A:C,3,0))</f>
        <v>Остальные грузы</v>
      </c>
      <c r="E3507" s="13">
        <f>IF(RIGHT(A3507,3)="000","х",VLOOKUP(B3507,'Справочник ИХ'!A:D,4,0))</f>
        <v>2</v>
      </c>
      <c r="F3507" s="14" t="s">
        <v>4730</v>
      </c>
    </row>
    <row r="3508" spans="1:6" ht="31.75">
      <c r="A3508" s="19">
        <v>58218</v>
      </c>
      <c r="B3508" s="12" t="str">
        <f t="shared" si="54"/>
        <v>582</v>
      </c>
      <c r="C3508" s="1" t="s">
        <v>4786</v>
      </c>
      <c r="D3508" s="13" t="str">
        <f>IF(RIGHT(A3508,3)="000",C3508,VLOOKUP(B3508,'Справочник ИХ'!A:C,3,0))</f>
        <v>Остальные грузы</v>
      </c>
      <c r="E3508" s="13">
        <f>IF(RIGHT(A3508,3)="000","х",VLOOKUP(B3508,'Справочник ИХ'!A:D,4,0))</f>
        <v>2</v>
      </c>
      <c r="F3508" s="14" t="s">
        <v>4730</v>
      </c>
    </row>
    <row r="3509" spans="1:6" s="18" customFormat="1" ht="31.75">
      <c r="A3509" s="16">
        <v>58300</v>
      </c>
      <c r="B3509" s="12" t="str">
        <f t="shared" si="54"/>
        <v>583</v>
      </c>
      <c r="C3509" s="17" t="s">
        <v>4787</v>
      </c>
      <c r="D3509" s="13" t="str">
        <f>IF(RIGHT(A3509,3)="000",C3509,VLOOKUP(B3509,'Справочник ИХ'!A:C,3,0))</f>
        <v>Остальные грузы</v>
      </c>
      <c r="E3509" s="13">
        <f>IF(RIGHT(A3509,3)="000","х",VLOOKUP(B3509,'Справочник ИХ'!A:D,4,0))</f>
        <v>2</v>
      </c>
      <c r="F3509" s="14" t="s">
        <v>4730</v>
      </c>
    </row>
    <row r="3510" spans="1:6" ht="31.75">
      <c r="A3510" s="19">
        <v>58301</v>
      </c>
      <c r="B3510" s="12" t="str">
        <f t="shared" si="54"/>
        <v>583</v>
      </c>
      <c r="C3510" s="1" t="s">
        <v>4788</v>
      </c>
      <c r="D3510" s="13" t="str">
        <f>IF(RIGHT(A3510,3)="000",C3510,VLOOKUP(B3510,'Справочник ИХ'!A:C,3,0))</f>
        <v>Остальные грузы</v>
      </c>
      <c r="E3510" s="13">
        <f>IF(RIGHT(A3510,3)="000","х",VLOOKUP(B3510,'Справочник ИХ'!A:D,4,0))</f>
        <v>2</v>
      </c>
      <c r="F3510" s="14" t="s">
        <v>4730</v>
      </c>
    </row>
    <row r="3511" spans="1:6" ht="31.75">
      <c r="A3511" s="19">
        <v>58302</v>
      </c>
      <c r="B3511" s="12" t="str">
        <f t="shared" si="54"/>
        <v>583</v>
      </c>
      <c r="C3511" s="1" t="s">
        <v>4789</v>
      </c>
      <c r="D3511" s="13" t="str">
        <f>IF(RIGHT(A3511,3)="000",C3511,VLOOKUP(B3511,'Справочник ИХ'!A:C,3,0))</f>
        <v>Остальные грузы</v>
      </c>
      <c r="E3511" s="13">
        <f>IF(RIGHT(A3511,3)="000","х",VLOOKUP(B3511,'Справочник ИХ'!A:D,4,0))</f>
        <v>2</v>
      </c>
      <c r="F3511" s="14" t="s">
        <v>4730</v>
      </c>
    </row>
    <row r="3512" spans="1:6" ht="31.75">
      <c r="A3512" s="19">
        <v>58303</v>
      </c>
      <c r="B3512" s="12" t="str">
        <f t="shared" si="54"/>
        <v>583</v>
      </c>
      <c r="C3512" s="1" t="s">
        <v>4790</v>
      </c>
      <c r="D3512" s="13" t="str">
        <f>IF(RIGHT(A3512,3)="000",C3512,VLOOKUP(B3512,'Справочник ИХ'!A:C,3,0))</f>
        <v>Остальные грузы</v>
      </c>
      <c r="E3512" s="13">
        <f>IF(RIGHT(A3512,3)="000","х",VLOOKUP(B3512,'Справочник ИХ'!A:D,4,0))</f>
        <v>2</v>
      </c>
      <c r="F3512" s="14" t="s">
        <v>4730</v>
      </c>
    </row>
    <row r="3513" spans="1:6" ht="31.75">
      <c r="A3513" s="19">
        <v>58304</v>
      </c>
      <c r="B3513" s="12" t="str">
        <f t="shared" si="54"/>
        <v>583</v>
      </c>
      <c r="C3513" s="1" t="s">
        <v>4791</v>
      </c>
      <c r="D3513" s="13" t="str">
        <f>IF(RIGHT(A3513,3)="000",C3513,VLOOKUP(B3513,'Справочник ИХ'!A:C,3,0))</f>
        <v>Остальные грузы</v>
      </c>
      <c r="E3513" s="13">
        <f>IF(RIGHT(A3513,3)="000","х",VLOOKUP(B3513,'Справочник ИХ'!A:D,4,0))</f>
        <v>2</v>
      </c>
      <c r="F3513" s="14" t="s">
        <v>4730</v>
      </c>
    </row>
    <row r="3514" spans="1:6" ht="31.75">
      <c r="A3514" s="19">
        <v>58305</v>
      </c>
      <c r="B3514" s="12" t="str">
        <f t="shared" si="54"/>
        <v>583</v>
      </c>
      <c r="C3514" s="1" t="s">
        <v>4792</v>
      </c>
      <c r="D3514" s="13" t="str">
        <f>IF(RIGHT(A3514,3)="000",C3514,VLOOKUP(B3514,'Справочник ИХ'!A:C,3,0))</f>
        <v>Остальные грузы</v>
      </c>
      <c r="E3514" s="13">
        <f>IF(RIGHT(A3514,3)="000","х",VLOOKUP(B3514,'Справочник ИХ'!A:D,4,0))</f>
        <v>2</v>
      </c>
      <c r="F3514" s="14" t="s">
        <v>4730</v>
      </c>
    </row>
    <row r="3515" spans="1:6" ht="31.75">
      <c r="A3515" s="19">
        <v>58306</v>
      </c>
      <c r="B3515" s="12" t="str">
        <f t="shared" si="54"/>
        <v>583</v>
      </c>
      <c r="C3515" s="1" t="s">
        <v>4793</v>
      </c>
      <c r="D3515" s="13" t="str">
        <f>IF(RIGHT(A3515,3)="000",C3515,VLOOKUP(B3515,'Справочник ИХ'!A:C,3,0))</f>
        <v>Остальные грузы</v>
      </c>
      <c r="E3515" s="13">
        <f>IF(RIGHT(A3515,3)="000","х",VLOOKUP(B3515,'Справочник ИХ'!A:D,4,0))</f>
        <v>2</v>
      </c>
      <c r="F3515" s="14" t="s">
        <v>4730</v>
      </c>
    </row>
    <row r="3516" spans="1:6" s="18" customFormat="1" ht="31.75">
      <c r="A3516" s="16">
        <v>58400</v>
      </c>
      <c r="B3516" s="12" t="str">
        <f t="shared" si="54"/>
        <v>584</v>
      </c>
      <c r="C3516" s="17" t="s">
        <v>4794</v>
      </c>
      <c r="D3516" s="13" t="str">
        <f>IF(RIGHT(A3516,3)="000",C3516,VLOOKUP(B3516,'Справочник ИХ'!A:C,3,0))</f>
        <v>Остальные грузы</v>
      </c>
      <c r="E3516" s="13">
        <f>IF(RIGHT(A3516,3)="000","х",VLOOKUP(B3516,'Справочник ИХ'!A:D,4,0))</f>
        <v>2</v>
      </c>
      <c r="F3516" s="14" t="s">
        <v>4730</v>
      </c>
    </row>
    <row r="3517" spans="1:6" ht="31.75">
      <c r="A3517" s="19">
        <v>58401</v>
      </c>
      <c r="B3517" s="12" t="str">
        <f t="shared" si="54"/>
        <v>584</v>
      </c>
      <c r="C3517" s="1" t="s">
        <v>4795</v>
      </c>
      <c r="D3517" s="13" t="str">
        <f>IF(RIGHT(A3517,3)="000",C3517,VLOOKUP(B3517,'Справочник ИХ'!A:C,3,0))</f>
        <v>Остальные грузы</v>
      </c>
      <c r="E3517" s="13">
        <f>IF(RIGHT(A3517,3)="000","х",VLOOKUP(B3517,'Справочник ИХ'!A:D,4,0))</f>
        <v>2</v>
      </c>
      <c r="F3517" s="14" t="s">
        <v>4730</v>
      </c>
    </row>
    <row r="3518" spans="1:6" ht="31.75">
      <c r="A3518" s="19">
        <v>58402</v>
      </c>
      <c r="B3518" s="12" t="str">
        <f t="shared" si="54"/>
        <v>584</v>
      </c>
      <c r="C3518" s="1" t="s">
        <v>4796</v>
      </c>
      <c r="D3518" s="13" t="str">
        <f>IF(RIGHT(A3518,3)="000",C3518,VLOOKUP(B3518,'Справочник ИХ'!A:C,3,0))</f>
        <v>Остальные грузы</v>
      </c>
      <c r="E3518" s="13">
        <f>IF(RIGHT(A3518,3)="000","х",VLOOKUP(B3518,'Справочник ИХ'!A:D,4,0))</f>
        <v>2</v>
      </c>
      <c r="F3518" s="14" t="s">
        <v>4730</v>
      </c>
    </row>
    <row r="3519" spans="1:6" ht="31.75">
      <c r="A3519" s="19">
        <v>58403</v>
      </c>
      <c r="B3519" s="12" t="str">
        <f t="shared" si="54"/>
        <v>584</v>
      </c>
      <c r="C3519" s="1" t="s">
        <v>4797</v>
      </c>
      <c r="D3519" s="13" t="str">
        <f>IF(RIGHT(A3519,3)="000",C3519,VLOOKUP(B3519,'Справочник ИХ'!A:C,3,0))</f>
        <v>Остальные грузы</v>
      </c>
      <c r="E3519" s="13">
        <f>IF(RIGHT(A3519,3)="000","х",VLOOKUP(B3519,'Справочник ИХ'!A:D,4,0))</f>
        <v>2</v>
      </c>
      <c r="F3519" s="14" t="s">
        <v>4730</v>
      </c>
    </row>
    <row r="3520" spans="1:6" ht="31.75">
      <c r="A3520" s="19">
        <v>58404</v>
      </c>
      <c r="B3520" s="12" t="str">
        <f t="shared" si="54"/>
        <v>584</v>
      </c>
      <c r="C3520" s="1" t="s">
        <v>4798</v>
      </c>
      <c r="D3520" s="13" t="str">
        <f>IF(RIGHT(A3520,3)="000",C3520,VLOOKUP(B3520,'Справочник ИХ'!A:C,3,0))</f>
        <v>Остальные грузы</v>
      </c>
      <c r="E3520" s="13">
        <f>IF(RIGHT(A3520,3)="000","х",VLOOKUP(B3520,'Справочник ИХ'!A:D,4,0))</f>
        <v>2</v>
      </c>
      <c r="F3520" s="14" t="s">
        <v>4730</v>
      </c>
    </row>
    <row r="3521" spans="1:6" ht="31.75">
      <c r="A3521" s="19">
        <v>58405</v>
      </c>
      <c r="B3521" s="12" t="str">
        <f t="shared" si="54"/>
        <v>584</v>
      </c>
      <c r="C3521" s="1" t="s">
        <v>4799</v>
      </c>
      <c r="D3521" s="13" t="str">
        <f>IF(RIGHT(A3521,3)="000",C3521,VLOOKUP(B3521,'Справочник ИХ'!A:C,3,0))</f>
        <v>Остальные грузы</v>
      </c>
      <c r="E3521" s="13">
        <f>IF(RIGHT(A3521,3)="000","х",VLOOKUP(B3521,'Справочник ИХ'!A:D,4,0))</f>
        <v>2</v>
      </c>
      <c r="F3521" s="14" t="s">
        <v>4730</v>
      </c>
    </row>
    <row r="3522" spans="1:6" ht="31.75">
      <c r="A3522" s="19">
        <v>58406</v>
      </c>
      <c r="B3522" s="12" t="str">
        <f t="shared" si="54"/>
        <v>584</v>
      </c>
      <c r="C3522" s="1" t="s">
        <v>4800</v>
      </c>
      <c r="D3522" s="13" t="str">
        <f>IF(RIGHT(A3522,3)="000",C3522,VLOOKUP(B3522,'Справочник ИХ'!A:C,3,0))</f>
        <v>Остальные грузы</v>
      </c>
      <c r="E3522" s="13">
        <f>IF(RIGHT(A3522,3)="000","х",VLOOKUP(B3522,'Справочник ИХ'!A:D,4,0))</f>
        <v>2</v>
      </c>
      <c r="F3522" s="14" t="s">
        <v>4730</v>
      </c>
    </row>
    <row r="3523" spans="1:6" ht="31.75">
      <c r="A3523" s="19">
        <v>58407</v>
      </c>
      <c r="B3523" s="12" t="str">
        <f t="shared" si="54"/>
        <v>584</v>
      </c>
      <c r="C3523" s="1" t="s">
        <v>4801</v>
      </c>
      <c r="D3523" s="13" t="str">
        <f>IF(RIGHT(A3523,3)="000",C3523,VLOOKUP(B3523,'Справочник ИХ'!A:C,3,0))</f>
        <v>Остальные грузы</v>
      </c>
      <c r="E3523" s="13">
        <f>IF(RIGHT(A3523,3)="000","х",VLOOKUP(B3523,'Справочник ИХ'!A:D,4,0))</f>
        <v>2</v>
      </c>
      <c r="F3523" s="14" t="s">
        <v>4730</v>
      </c>
    </row>
    <row r="3524" spans="1:6" ht="31.75">
      <c r="A3524" s="19">
        <v>58408</v>
      </c>
      <c r="B3524" s="12" t="str">
        <f t="shared" si="54"/>
        <v>584</v>
      </c>
      <c r="C3524" s="1" t="s">
        <v>4802</v>
      </c>
      <c r="D3524" s="13" t="str">
        <f>IF(RIGHT(A3524,3)="000",C3524,VLOOKUP(B3524,'Справочник ИХ'!A:C,3,0))</f>
        <v>Остальные грузы</v>
      </c>
      <c r="E3524" s="13">
        <f>IF(RIGHT(A3524,3)="000","х",VLOOKUP(B3524,'Справочник ИХ'!A:D,4,0))</f>
        <v>2</v>
      </c>
      <c r="F3524" s="14" t="s">
        <v>4730</v>
      </c>
    </row>
    <row r="3525" spans="1:6" ht="31.75">
      <c r="A3525" s="19">
        <v>58409</v>
      </c>
      <c r="B3525" s="12" t="str">
        <f t="shared" ref="B3525:B3588" si="55">LEFT(A3525,3)</f>
        <v>584</v>
      </c>
      <c r="C3525" s="1" t="s">
        <v>4803</v>
      </c>
      <c r="D3525" s="13" t="str">
        <f>IF(RIGHT(A3525,3)="000",C3525,VLOOKUP(B3525,'Справочник ИХ'!A:C,3,0))</f>
        <v>Остальные грузы</v>
      </c>
      <c r="E3525" s="13">
        <f>IF(RIGHT(A3525,3)="000","х",VLOOKUP(B3525,'Справочник ИХ'!A:D,4,0))</f>
        <v>2</v>
      </c>
      <c r="F3525" s="14" t="s">
        <v>4730</v>
      </c>
    </row>
    <row r="3526" spans="1:6" s="15" customFormat="1" ht="47.6">
      <c r="A3526" s="7">
        <v>59000</v>
      </c>
      <c r="B3526" s="12" t="str">
        <f t="shared" si="55"/>
        <v>590</v>
      </c>
      <c r="C3526" s="11" t="s">
        <v>4804</v>
      </c>
      <c r="D3526" s="13" t="str">
        <f>IF(RIGHT(A3526,3)="000",C3526,VLOOKUP(B3526,'Справочник ИХ'!A:C,3,0))</f>
        <v xml:space="preserve">Спирт, напитки алкогольные и безалкогольные </v>
      </c>
      <c r="E3526" s="13" t="str">
        <f>IF(RIGHT(A3526,3)="000","х",VLOOKUP(B3526,'Справочник ИХ'!A:D,4,0))</f>
        <v>х</v>
      </c>
      <c r="F3526" s="14" t="s">
        <v>4804</v>
      </c>
    </row>
    <row r="3527" spans="1:6" s="18" customFormat="1" ht="31.75">
      <c r="A3527" s="16">
        <v>59100</v>
      </c>
      <c r="B3527" s="12" t="str">
        <f t="shared" si="55"/>
        <v>591</v>
      </c>
      <c r="C3527" s="17" t="s">
        <v>4805</v>
      </c>
      <c r="D3527" s="13" t="str">
        <f>IF(RIGHT(A3527,3)="000",C3527,VLOOKUP(B3527,'Справочник ИХ'!A:C,3,0))</f>
        <v>Остальные грузы</v>
      </c>
      <c r="E3527" s="13">
        <f>IF(RIGHT(A3527,3)="000","х",VLOOKUP(B3527,'Справочник ИХ'!A:D,4,0))</f>
        <v>3</v>
      </c>
      <c r="F3527" s="14" t="s">
        <v>4804</v>
      </c>
    </row>
    <row r="3528" spans="1:6" ht="31.75">
      <c r="A3528" s="19">
        <v>59101</v>
      </c>
      <c r="B3528" s="12" t="str">
        <f t="shared" si="55"/>
        <v>591</v>
      </c>
      <c r="C3528" s="1" t="s">
        <v>4806</v>
      </c>
      <c r="D3528" s="13" t="str">
        <f>IF(RIGHT(A3528,3)="000",C3528,VLOOKUP(B3528,'Справочник ИХ'!A:C,3,0))</f>
        <v>Остальные грузы</v>
      </c>
      <c r="E3528" s="13">
        <f>IF(RIGHT(A3528,3)="000","х",VLOOKUP(B3528,'Справочник ИХ'!A:D,4,0))</f>
        <v>3</v>
      </c>
      <c r="F3528" s="14" t="s">
        <v>4804</v>
      </c>
    </row>
    <row r="3529" spans="1:6" ht="31.75">
      <c r="A3529" s="19">
        <v>59102</v>
      </c>
      <c r="B3529" s="12" t="str">
        <f t="shared" si="55"/>
        <v>591</v>
      </c>
      <c r="C3529" s="1" t="s">
        <v>4807</v>
      </c>
      <c r="D3529" s="13" t="str">
        <f>IF(RIGHT(A3529,3)="000",C3529,VLOOKUP(B3529,'Справочник ИХ'!A:C,3,0))</f>
        <v>Остальные грузы</v>
      </c>
      <c r="E3529" s="13">
        <f>IF(RIGHT(A3529,3)="000","х",VLOOKUP(B3529,'Справочник ИХ'!A:D,4,0))</f>
        <v>3</v>
      </c>
      <c r="F3529" s="14" t="s">
        <v>4804</v>
      </c>
    </row>
    <row r="3530" spans="1:6" ht="31.75">
      <c r="A3530" s="19">
        <v>59103</v>
      </c>
      <c r="B3530" s="12" t="str">
        <f t="shared" si="55"/>
        <v>591</v>
      </c>
      <c r="C3530" s="1" t="s">
        <v>4808</v>
      </c>
      <c r="D3530" s="13" t="str">
        <f>IF(RIGHT(A3530,3)="000",C3530,VLOOKUP(B3530,'Справочник ИХ'!A:C,3,0))</f>
        <v>Остальные грузы</v>
      </c>
      <c r="E3530" s="13">
        <f>IF(RIGHT(A3530,3)="000","х",VLOOKUP(B3530,'Справочник ИХ'!A:D,4,0))</f>
        <v>3</v>
      </c>
      <c r="F3530" s="14" t="s">
        <v>4804</v>
      </c>
    </row>
    <row r="3531" spans="1:6" ht="31.75">
      <c r="A3531" s="19" t="s">
        <v>4809</v>
      </c>
      <c r="B3531" s="12" t="str">
        <f t="shared" si="55"/>
        <v>591</v>
      </c>
      <c r="C3531" s="1" t="s">
        <v>4810</v>
      </c>
      <c r="D3531" s="13" t="str">
        <f>IF(RIGHT(A3531,3)="000",C3531,VLOOKUP(B3531,'Справочник ИХ'!A:C,3,0))</f>
        <v>Остальные грузы</v>
      </c>
      <c r="E3531" s="13">
        <f>IF(RIGHT(A3531,3)="000","х",VLOOKUP(B3531,'Справочник ИХ'!A:D,4,0))</f>
        <v>3</v>
      </c>
      <c r="F3531" s="14" t="s">
        <v>4804</v>
      </c>
    </row>
    <row r="3532" spans="1:6" ht="31.75">
      <c r="A3532" s="19" t="s">
        <v>4811</v>
      </c>
      <c r="B3532" s="12" t="str">
        <f t="shared" si="55"/>
        <v>591</v>
      </c>
      <c r="C3532" s="1" t="s">
        <v>4812</v>
      </c>
      <c r="D3532" s="13" t="str">
        <f>IF(RIGHT(A3532,3)="000",C3532,VLOOKUP(B3532,'Справочник ИХ'!A:C,3,0))</f>
        <v>Остальные грузы</v>
      </c>
      <c r="E3532" s="13">
        <f>IF(RIGHT(A3532,3)="000","х",VLOOKUP(B3532,'Справочник ИХ'!A:D,4,0))</f>
        <v>3</v>
      </c>
      <c r="F3532" s="14" t="s">
        <v>4804</v>
      </c>
    </row>
    <row r="3533" spans="1:6" ht="31.75">
      <c r="A3533" s="19" t="s">
        <v>4813</v>
      </c>
      <c r="B3533" s="12" t="str">
        <f t="shared" si="55"/>
        <v>591</v>
      </c>
      <c r="C3533" s="1" t="s">
        <v>4814</v>
      </c>
      <c r="D3533" s="13" t="str">
        <f>IF(RIGHT(A3533,3)="000",C3533,VLOOKUP(B3533,'Справочник ИХ'!A:C,3,0))</f>
        <v>Остальные грузы</v>
      </c>
      <c r="E3533" s="13">
        <f>IF(RIGHT(A3533,3)="000","х",VLOOKUP(B3533,'Справочник ИХ'!A:D,4,0))</f>
        <v>3</v>
      </c>
      <c r="F3533" s="14" t="s">
        <v>4804</v>
      </c>
    </row>
    <row r="3534" spans="1:6" s="18" customFormat="1" ht="31.75">
      <c r="A3534" s="16">
        <v>59200</v>
      </c>
      <c r="B3534" s="12" t="str">
        <f t="shared" si="55"/>
        <v>592</v>
      </c>
      <c r="C3534" s="17" t="s">
        <v>4815</v>
      </c>
      <c r="D3534" s="13" t="str">
        <f>IF(RIGHT(A3534,3)="000",C3534,VLOOKUP(B3534,'Справочник ИХ'!A:C,3,0))</f>
        <v>Остальные грузы</v>
      </c>
      <c r="E3534" s="13">
        <f>IF(RIGHT(A3534,3)="000","х",VLOOKUP(B3534,'Справочник ИХ'!A:D,4,0))</f>
        <v>3</v>
      </c>
      <c r="F3534" s="14" t="s">
        <v>4804</v>
      </c>
    </row>
    <row r="3535" spans="1:6" ht="31.75">
      <c r="A3535" s="19">
        <v>59201</v>
      </c>
      <c r="B3535" s="12" t="str">
        <f t="shared" si="55"/>
        <v>592</v>
      </c>
      <c r="C3535" s="1" t="s">
        <v>4816</v>
      </c>
      <c r="D3535" s="13" t="str">
        <f>IF(RIGHT(A3535,3)="000",C3535,VLOOKUP(B3535,'Справочник ИХ'!A:C,3,0))</f>
        <v>Остальные грузы</v>
      </c>
      <c r="E3535" s="13">
        <f>IF(RIGHT(A3535,3)="000","х",VLOOKUP(B3535,'Справочник ИХ'!A:D,4,0))</f>
        <v>3</v>
      </c>
      <c r="F3535" s="14" t="s">
        <v>4804</v>
      </c>
    </row>
    <row r="3536" spans="1:6" ht="31.75">
      <c r="A3536" s="19">
        <v>59202</v>
      </c>
      <c r="B3536" s="12" t="str">
        <f t="shared" si="55"/>
        <v>592</v>
      </c>
      <c r="C3536" s="1" t="s">
        <v>4817</v>
      </c>
      <c r="D3536" s="13" t="str">
        <f>IF(RIGHT(A3536,3)="000",C3536,VLOOKUP(B3536,'Справочник ИХ'!A:C,3,0))</f>
        <v>Остальные грузы</v>
      </c>
      <c r="E3536" s="13">
        <f>IF(RIGHT(A3536,3)="000","х",VLOOKUP(B3536,'Справочник ИХ'!A:D,4,0))</f>
        <v>3</v>
      </c>
      <c r="F3536" s="14" t="s">
        <v>4804</v>
      </c>
    </row>
    <row r="3537" spans="1:6" ht="31.75">
      <c r="A3537" s="19">
        <v>59203</v>
      </c>
      <c r="B3537" s="12" t="str">
        <f t="shared" si="55"/>
        <v>592</v>
      </c>
      <c r="C3537" s="1" t="s">
        <v>4818</v>
      </c>
      <c r="D3537" s="13" t="str">
        <f>IF(RIGHT(A3537,3)="000",C3537,VLOOKUP(B3537,'Справочник ИХ'!A:C,3,0))</f>
        <v>Остальные грузы</v>
      </c>
      <c r="E3537" s="13">
        <f>IF(RIGHT(A3537,3)="000","х",VLOOKUP(B3537,'Справочник ИХ'!A:D,4,0))</f>
        <v>3</v>
      </c>
      <c r="F3537" s="14" t="s">
        <v>4804</v>
      </c>
    </row>
    <row r="3538" spans="1:6" s="18" customFormat="1" ht="31.75">
      <c r="A3538" s="16">
        <v>59300</v>
      </c>
      <c r="B3538" s="12" t="str">
        <f t="shared" si="55"/>
        <v>593</v>
      </c>
      <c r="C3538" s="17" t="s">
        <v>4819</v>
      </c>
      <c r="D3538" s="13" t="str">
        <f>IF(RIGHT(A3538,3)="000",C3538,VLOOKUP(B3538,'Справочник ИХ'!A:C,3,0))</f>
        <v>Остальные грузы</v>
      </c>
      <c r="E3538" s="13">
        <f>IF(RIGHT(A3538,3)="000","х",VLOOKUP(B3538,'Справочник ИХ'!A:D,4,0))</f>
        <v>3</v>
      </c>
      <c r="F3538" s="14" t="s">
        <v>4804</v>
      </c>
    </row>
    <row r="3539" spans="1:6" ht="31.75">
      <c r="A3539" s="19">
        <v>59301</v>
      </c>
      <c r="B3539" s="12" t="str">
        <f t="shared" si="55"/>
        <v>593</v>
      </c>
      <c r="C3539" s="1" t="s">
        <v>4820</v>
      </c>
      <c r="D3539" s="13" t="str">
        <f>IF(RIGHT(A3539,3)="000",C3539,VLOOKUP(B3539,'Справочник ИХ'!A:C,3,0))</f>
        <v>Остальные грузы</v>
      </c>
      <c r="E3539" s="13">
        <f>IF(RIGHT(A3539,3)="000","х",VLOOKUP(B3539,'Справочник ИХ'!A:D,4,0))</f>
        <v>3</v>
      </c>
      <c r="F3539" s="14" t="s">
        <v>4804</v>
      </c>
    </row>
    <row r="3540" spans="1:6" ht="31.75">
      <c r="A3540" s="19">
        <v>59302</v>
      </c>
      <c r="B3540" s="12" t="str">
        <f t="shared" si="55"/>
        <v>593</v>
      </c>
      <c r="C3540" s="1" t="s">
        <v>4821</v>
      </c>
      <c r="D3540" s="13" t="str">
        <f>IF(RIGHT(A3540,3)="000",C3540,VLOOKUP(B3540,'Справочник ИХ'!A:C,3,0))</f>
        <v>Остальные грузы</v>
      </c>
      <c r="E3540" s="13">
        <f>IF(RIGHT(A3540,3)="000","х",VLOOKUP(B3540,'Справочник ИХ'!A:D,4,0))</f>
        <v>3</v>
      </c>
      <c r="F3540" s="14" t="s">
        <v>4804</v>
      </c>
    </row>
    <row r="3541" spans="1:6" ht="31.75">
      <c r="A3541" s="19">
        <v>59303</v>
      </c>
      <c r="B3541" s="12" t="str">
        <f t="shared" si="55"/>
        <v>593</v>
      </c>
      <c r="C3541" s="1" t="s">
        <v>4822</v>
      </c>
      <c r="D3541" s="13" t="str">
        <f>IF(RIGHT(A3541,3)="000",C3541,VLOOKUP(B3541,'Справочник ИХ'!A:C,3,0))</f>
        <v>Остальные грузы</v>
      </c>
      <c r="E3541" s="13">
        <f>IF(RIGHT(A3541,3)="000","х",VLOOKUP(B3541,'Справочник ИХ'!A:D,4,0))</f>
        <v>3</v>
      </c>
      <c r="F3541" s="14" t="s">
        <v>4804</v>
      </c>
    </row>
    <row r="3542" spans="1:6" ht="31.75">
      <c r="A3542" s="19">
        <v>59304</v>
      </c>
      <c r="B3542" s="12" t="str">
        <f t="shared" si="55"/>
        <v>593</v>
      </c>
      <c r="C3542" s="1" t="s">
        <v>4823</v>
      </c>
      <c r="D3542" s="13" t="str">
        <f>IF(RIGHT(A3542,3)="000",C3542,VLOOKUP(B3542,'Справочник ИХ'!A:C,3,0))</f>
        <v>Остальные грузы</v>
      </c>
      <c r="E3542" s="13">
        <f>IF(RIGHT(A3542,3)="000","х",VLOOKUP(B3542,'Справочник ИХ'!A:D,4,0))</f>
        <v>3</v>
      </c>
      <c r="F3542" s="14" t="s">
        <v>4804</v>
      </c>
    </row>
    <row r="3543" spans="1:6" ht="31.75">
      <c r="A3543" s="19">
        <v>59305</v>
      </c>
      <c r="B3543" s="12" t="str">
        <f t="shared" si="55"/>
        <v>593</v>
      </c>
      <c r="C3543" s="1" t="s">
        <v>4824</v>
      </c>
      <c r="D3543" s="13" t="str">
        <f>IF(RIGHT(A3543,3)="000",C3543,VLOOKUP(B3543,'Справочник ИХ'!A:C,3,0))</f>
        <v>Остальные грузы</v>
      </c>
      <c r="E3543" s="13">
        <f>IF(RIGHT(A3543,3)="000","х",VLOOKUP(B3543,'Справочник ИХ'!A:D,4,0))</f>
        <v>3</v>
      </c>
      <c r="F3543" s="14" t="s">
        <v>4804</v>
      </c>
    </row>
    <row r="3544" spans="1:6" ht="31.75">
      <c r="A3544" s="19">
        <v>59306</v>
      </c>
      <c r="B3544" s="12" t="str">
        <f t="shared" si="55"/>
        <v>593</v>
      </c>
      <c r="C3544" s="1" t="s">
        <v>4825</v>
      </c>
      <c r="D3544" s="13" t="str">
        <f>IF(RIGHT(A3544,3)="000",C3544,VLOOKUP(B3544,'Справочник ИХ'!A:C,3,0))</f>
        <v>Остальные грузы</v>
      </c>
      <c r="E3544" s="13">
        <f>IF(RIGHT(A3544,3)="000","х",VLOOKUP(B3544,'Справочник ИХ'!A:D,4,0))</f>
        <v>3</v>
      </c>
      <c r="F3544" s="14" t="s">
        <v>4804</v>
      </c>
    </row>
    <row r="3545" spans="1:6" ht="31.75">
      <c r="A3545" s="19">
        <v>59307</v>
      </c>
      <c r="B3545" s="12" t="str">
        <f t="shared" si="55"/>
        <v>593</v>
      </c>
      <c r="C3545" s="1" t="s">
        <v>4826</v>
      </c>
      <c r="D3545" s="13" t="str">
        <f>IF(RIGHT(A3545,3)="000",C3545,VLOOKUP(B3545,'Справочник ИХ'!A:C,3,0))</f>
        <v>Остальные грузы</v>
      </c>
      <c r="E3545" s="13">
        <f>IF(RIGHT(A3545,3)="000","х",VLOOKUP(B3545,'Справочник ИХ'!A:D,4,0))</f>
        <v>3</v>
      </c>
      <c r="F3545" s="14" t="s">
        <v>4804</v>
      </c>
    </row>
    <row r="3546" spans="1:6" ht="31.75">
      <c r="A3546" s="19">
        <v>59308</v>
      </c>
      <c r="B3546" s="12" t="str">
        <f t="shared" si="55"/>
        <v>593</v>
      </c>
      <c r="C3546" s="1" t="s">
        <v>4827</v>
      </c>
      <c r="D3546" s="13" t="str">
        <f>IF(RIGHT(A3546,3)="000",C3546,VLOOKUP(B3546,'Справочник ИХ'!A:C,3,0))</f>
        <v>Остальные грузы</v>
      </c>
      <c r="E3546" s="13">
        <f>IF(RIGHT(A3546,3)="000","х",VLOOKUP(B3546,'Справочник ИХ'!A:D,4,0))</f>
        <v>3</v>
      </c>
      <c r="F3546" s="14" t="s">
        <v>4804</v>
      </c>
    </row>
    <row r="3547" spans="1:6" ht="31.75">
      <c r="A3547" s="19">
        <v>59309</v>
      </c>
      <c r="B3547" s="12" t="str">
        <f t="shared" si="55"/>
        <v>593</v>
      </c>
      <c r="C3547" s="1" t="s">
        <v>4828</v>
      </c>
      <c r="D3547" s="13" t="str">
        <f>IF(RIGHT(A3547,3)="000",C3547,VLOOKUP(B3547,'Справочник ИХ'!A:C,3,0))</f>
        <v>Остальные грузы</v>
      </c>
      <c r="E3547" s="13">
        <f>IF(RIGHT(A3547,3)="000","х",VLOOKUP(B3547,'Справочник ИХ'!A:D,4,0))</f>
        <v>3</v>
      </c>
      <c r="F3547" s="14" t="s">
        <v>4804</v>
      </c>
    </row>
    <row r="3548" spans="1:6" ht="31.75">
      <c r="A3548" s="19">
        <v>59310</v>
      </c>
      <c r="B3548" s="12" t="str">
        <f t="shared" si="55"/>
        <v>593</v>
      </c>
      <c r="C3548" s="1" t="s">
        <v>4829</v>
      </c>
      <c r="D3548" s="13" t="str">
        <f>IF(RIGHT(A3548,3)="000",C3548,VLOOKUP(B3548,'Справочник ИХ'!A:C,3,0))</f>
        <v>Остальные грузы</v>
      </c>
      <c r="E3548" s="13">
        <f>IF(RIGHT(A3548,3)="000","х",VLOOKUP(B3548,'Справочник ИХ'!A:D,4,0))</f>
        <v>3</v>
      </c>
      <c r="F3548" s="14" t="s">
        <v>4804</v>
      </c>
    </row>
    <row r="3549" spans="1:6" s="18" customFormat="1" ht="31.75">
      <c r="A3549" s="16">
        <v>59400</v>
      </c>
      <c r="B3549" s="12" t="str">
        <f t="shared" si="55"/>
        <v>594</v>
      </c>
      <c r="C3549" s="17" t="s">
        <v>4830</v>
      </c>
      <c r="D3549" s="13" t="str">
        <f>IF(RIGHT(A3549,3)="000",C3549,VLOOKUP(B3549,'Справочник ИХ'!A:C,3,0))</f>
        <v>Остальные грузы</v>
      </c>
      <c r="E3549" s="13">
        <f>IF(RIGHT(A3549,3)="000","х",VLOOKUP(B3549,'Справочник ИХ'!A:D,4,0))</f>
        <v>3</v>
      </c>
      <c r="F3549" s="14" t="s">
        <v>4804</v>
      </c>
    </row>
    <row r="3550" spans="1:6" ht="31.75">
      <c r="A3550" s="19">
        <v>59401</v>
      </c>
      <c r="B3550" s="12" t="str">
        <f t="shared" si="55"/>
        <v>594</v>
      </c>
      <c r="C3550" s="1" t="s">
        <v>4831</v>
      </c>
      <c r="D3550" s="13" t="str">
        <f>IF(RIGHT(A3550,3)="000",C3550,VLOOKUP(B3550,'Справочник ИХ'!A:C,3,0))</f>
        <v>Остальные грузы</v>
      </c>
      <c r="E3550" s="13">
        <f>IF(RIGHT(A3550,3)="000","х",VLOOKUP(B3550,'Справочник ИХ'!A:D,4,0))</f>
        <v>3</v>
      </c>
      <c r="F3550" s="14" t="s">
        <v>4804</v>
      </c>
    </row>
    <row r="3551" spans="1:6" ht="31.75">
      <c r="A3551" s="19">
        <v>59402</v>
      </c>
      <c r="B3551" s="12" t="str">
        <f t="shared" si="55"/>
        <v>594</v>
      </c>
      <c r="C3551" s="1" t="s">
        <v>4832</v>
      </c>
      <c r="D3551" s="13" t="str">
        <f>IF(RIGHT(A3551,3)="000",C3551,VLOOKUP(B3551,'Справочник ИХ'!A:C,3,0))</f>
        <v>Остальные грузы</v>
      </c>
      <c r="E3551" s="13">
        <f>IF(RIGHT(A3551,3)="000","х",VLOOKUP(B3551,'Справочник ИХ'!A:D,4,0))</f>
        <v>3</v>
      </c>
      <c r="F3551" s="14" t="s">
        <v>4804</v>
      </c>
    </row>
    <row r="3552" spans="1:6" ht="31.75">
      <c r="A3552" s="19">
        <v>59403</v>
      </c>
      <c r="B3552" s="12" t="str">
        <f t="shared" si="55"/>
        <v>594</v>
      </c>
      <c r="C3552" s="1" t="s">
        <v>4833</v>
      </c>
      <c r="D3552" s="13" t="str">
        <f>IF(RIGHT(A3552,3)="000",C3552,VLOOKUP(B3552,'Справочник ИХ'!A:C,3,0))</f>
        <v>Остальные грузы</v>
      </c>
      <c r="E3552" s="13">
        <f>IF(RIGHT(A3552,3)="000","х",VLOOKUP(B3552,'Справочник ИХ'!A:D,4,0))</f>
        <v>3</v>
      </c>
      <c r="F3552" s="14" t="s">
        <v>4804</v>
      </c>
    </row>
    <row r="3553" spans="1:6" ht="31.75">
      <c r="A3553" s="19" t="s">
        <v>4834</v>
      </c>
      <c r="B3553" s="12" t="str">
        <f t="shared" si="55"/>
        <v>594</v>
      </c>
      <c r="C3553" s="1" t="s">
        <v>4835</v>
      </c>
      <c r="D3553" s="13" t="str">
        <f>IF(RIGHT(A3553,3)="000",C3553,VLOOKUP(B3553,'Справочник ИХ'!A:C,3,0))</f>
        <v>Остальные грузы</v>
      </c>
      <c r="E3553" s="13">
        <f>IF(RIGHT(A3553,3)="000","х",VLOOKUP(B3553,'Справочник ИХ'!A:D,4,0))</f>
        <v>3</v>
      </c>
      <c r="F3553" s="14" t="s">
        <v>4804</v>
      </c>
    </row>
    <row r="3554" spans="1:6" ht="31.75">
      <c r="A3554" s="19" t="s">
        <v>4836</v>
      </c>
      <c r="B3554" s="12" t="str">
        <f t="shared" si="55"/>
        <v>594</v>
      </c>
      <c r="C3554" s="1" t="s">
        <v>4837</v>
      </c>
      <c r="D3554" s="13" t="str">
        <f>IF(RIGHT(A3554,3)="000",C3554,VLOOKUP(B3554,'Справочник ИХ'!A:C,3,0))</f>
        <v>Остальные грузы</v>
      </c>
      <c r="E3554" s="13">
        <f>IF(RIGHT(A3554,3)="000","х",VLOOKUP(B3554,'Справочник ИХ'!A:D,4,0))</f>
        <v>3</v>
      </c>
      <c r="F3554" s="14" t="s">
        <v>4804</v>
      </c>
    </row>
    <row r="3555" spans="1:6" ht="31.75">
      <c r="A3555" s="19" t="s">
        <v>4838</v>
      </c>
      <c r="B3555" s="12" t="str">
        <f t="shared" si="55"/>
        <v>594</v>
      </c>
      <c r="C3555" s="1" t="s">
        <v>4839</v>
      </c>
      <c r="D3555" s="13" t="str">
        <f>IF(RIGHT(A3555,3)="000",C3555,VLOOKUP(B3555,'Справочник ИХ'!A:C,3,0))</f>
        <v>Остальные грузы</v>
      </c>
      <c r="E3555" s="13">
        <f>IF(RIGHT(A3555,3)="000","х",VLOOKUP(B3555,'Справочник ИХ'!A:D,4,0))</f>
        <v>3</v>
      </c>
      <c r="F3555" s="14" t="s">
        <v>4804</v>
      </c>
    </row>
    <row r="3556" spans="1:6" s="18" customFormat="1" ht="31.75">
      <c r="A3556" s="16">
        <v>59500</v>
      </c>
      <c r="B3556" s="12" t="str">
        <f t="shared" si="55"/>
        <v>595</v>
      </c>
      <c r="C3556" s="17" t="s">
        <v>4840</v>
      </c>
      <c r="D3556" s="13" t="str">
        <f>IF(RIGHT(A3556,3)="000",C3556,VLOOKUP(B3556,'Справочник ИХ'!A:C,3,0))</f>
        <v>Остальные грузы</v>
      </c>
      <c r="E3556" s="13">
        <f>IF(RIGHT(A3556,3)="000","х",VLOOKUP(B3556,'Справочник ИХ'!A:D,4,0))</f>
        <v>2</v>
      </c>
      <c r="F3556" s="14" t="s">
        <v>4804</v>
      </c>
    </row>
    <row r="3557" spans="1:6" ht="31.75">
      <c r="A3557" s="19">
        <v>59501</v>
      </c>
      <c r="B3557" s="12" t="str">
        <f t="shared" si="55"/>
        <v>595</v>
      </c>
      <c r="C3557" s="1" t="s">
        <v>4841</v>
      </c>
      <c r="D3557" s="13" t="str">
        <f>IF(RIGHT(A3557,3)="000",C3557,VLOOKUP(B3557,'Справочник ИХ'!A:C,3,0))</f>
        <v>Остальные грузы</v>
      </c>
      <c r="E3557" s="13">
        <f>IF(RIGHT(A3557,3)="000","х",VLOOKUP(B3557,'Справочник ИХ'!A:D,4,0))</f>
        <v>2</v>
      </c>
      <c r="F3557" s="14" t="s">
        <v>4804</v>
      </c>
    </row>
    <row r="3558" spans="1:6" ht="31.75">
      <c r="A3558" s="19">
        <v>59502</v>
      </c>
      <c r="B3558" s="12" t="str">
        <f t="shared" si="55"/>
        <v>595</v>
      </c>
      <c r="C3558" s="1" t="s">
        <v>4842</v>
      </c>
      <c r="D3558" s="13" t="str">
        <f>IF(RIGHT(A3558,3)="000",C3558,VLOOKUP(B3558,'Справочник ИХ'!A:C,3,0))</f>
        <v>Остальные грузы</v>
      </c>
      <c r="E3558" s="13">
        <f>IF(RIGHT(A3558,3)="000","х",VLOOKUP(B3558,'Справочник ИХ'!A:D,4,0))</f>
        <v>2</v>
      </c>
      <c r="F3558" s="14" t="s">
        <v>4804</v>
      </c>
    </row>
    <row r="3559" spans="1:6" ht="31.75">
      <c r="A3559" s="19">
        <v>59503</v>
      </c>
      <c r="B3559" s="12" t="str">
        <f t="shared" si="55"/>
        <v>595</v>
      </c>
      <c r="C3559" s="1" t="s">
        <v>4843</v>
      </c>
      <c r="D3559" s="13" t="str">
        <f>IF(RIGHT(A3559,3)="000",C3559,VLOOKUP(B3559,'Справочник ИХ'!A:C,3,0))</f>
        <v>Остальные грузы</v>
      </c>
      <c r="E3559" s="13">
        <f>IF(RIGHT(A3559,3)="000","х",VLOOKUP(B3559,'Справочник ИХ'!A:D,4,0))</f>
        <v>2</v>
      </c>
      <c r="F3559" s="14" t="s">
        <v>4804</v>
      </c>
    </row>
    <row r="3560" spans="1:6" ht="31.75">
      <c r="A3560" s="19">
        <v>59504</v>
      </c>
      <c r="B3560" s="12" t="str">
        <f t="shared" si="55"/>
        <v>595</v>
      </c>
      <c r="C3560" s="1" t="s">
        <v>4844</v>
      </c>
      <c r="D3560" s="13" t="str">
        <f>IF(RIGHT(A3560,3)="000",C3560,VLOOKUP(B3560,'Справочник ИХ'!A:C,3,0))</f>
        <v>Остальные грузы</v>
      </c>
      <c r="E3560" s="13">
        <f>IF(RIGHT(A3560,3)="000","х",VLOOKUP(B3560,'Справочник ИХ'!A:D,4,0))</f>
        <v>2</v>
      </c>
      <c r="F3560" s="14" t="s">
        <v>4804</v>
      </c>
    </row>
    <row r="3561" spans="1:6" ht="31.75">
      <c r="A3561" s="19">
        <v>59505</v>
      </c>
      <c r="B3561" s="12" t="str">
        <f t="shared" si="55"/>
        <v>595</v>
      </c>
      <c r="C3561" s="1" t="s">
        <v>4845</v>
      </c>
      <c r="D3561" s="13" t="str">
        <f>IF(RIGHT(A3561,3)="000",C3561,VLOOKUP(B3561,'Справочник ИХ'!A:C,3,0))</f>
        <v>Остальные грузы</v>
      </c>
      <c r="E3561" s="13">
        <f>IF(RIGHT(A3561,3)="000","х",VLOOKUP(B3561,'Справочник ИХ'!A:D,4,0))</f>
        <v>2</v>
      </c>
      <c r="F3561" s="14" t="s">
        <v>4804</v>
      </c>
    </row>
    <row r="3562" spans="1:6" ht="31.75">
      <c r="A3562" s="19">
        <v>59506</v>
      </c>
      <c r="B3562" s="12" t="str">
        <f t="shared" si="55"/>
        <v>595</v>
      </c>
      <c r="C3562" s="1" t="s">
        <v>4846</v>
      </c>
      <c r="D3562" s="13" t="str">
        <f>IF(RIGHT(A3562,3)="000",C3562,VLOOKUP(B3562,'Справочник ИХ'!A:C,3,0))</f>
        <v>Остальные грузы</v>
      </c>
      <c r="E3562" s="13">
        <f>IF(RIGHT(A3562,3)="000","х",VLOOKUP(B3562,'Справочник ИХ'!A:D,4,0))</f>
        <v>2</v>
      </c>
      <c r="F3562" s="14" t="s">
        <v>4804</v>
      </c>
    </row>
    <row r="3563" spans="1:6" ht="31.75">
      <c r="A3563" s="19">
        <v>59507</v>
      </c>
      <c r="B3563" s="12" t="str">
        <f t="shared" si="55"/>
        <v>595</v>
      </c>
      <c r="C3563" s="1" t="s">
        <v>4847</v>
      </c>
      <c r="D3563" s="13" t="str">
        <f>IF(RIGHT(A3563,3)="000",C3563,VLOOKUP(B3563,'Справочник ИХ'!A:C,3,0))</f>
        <v>Остальные грузы</v>
      </c>
      <c r="E3563" s="13">
        <f>IF(RIGHT(A3563,3)="000","х",VLOOKUP(B3563,'Справочник ИХ'!A:D,4,0))</f>
        <v>2</v>
      </c>
      <c r="F3563" s="14" t="s">
        <v>4804</v>
      </c>
    </row>
    <row r="3564" spans="1:6" s="15" customFormat="1">
      <c r="A3564" s="7">
        <v>60000</v>
      </c>
      <c r="B3564" s="12" t="str">
        <f t="shared" si="55"/>
        <v>600</v>
      </c>
      <c r="C3564" s="11" t="s">
        <v>4848</v>
      </c>
      <c r="D3564" s="13" t="str">
        <f>IF(RIGHT(A3564,3)="000",C3564,VLOOKUP(B3564,'Справочник ИХ'!A:C,3,0))</f>
        <v xml:space="preserve">Барда, вода и лед </v>
      </c>
      <c r="E3564" s="13" t="str">
        <f>IF(RIGHT(A3564,3)="000","х",VLOOKUP(B3564,'Справочник ИХ'!A:D,4,0))</f>
        <v>х</v>
      </c>
      <c r="F3564" s="14" t="s">
        <v>4848</v>
      </c>
    </row>
    <row r="3565" spans="1:6" s="18" customFormat="1">
      <c r="A3565" s="16">
        <v>60100</v>
      </c>
      <c r="B3565" s="12" t="str">
        <f t="shared" si="55"/>
        <v>601</v>
      </c>
      <c r="C3565" s="17" t="s">
        <v>4849</v>
      </c>
      <c r="D3565" s="13" t="str">
        <f>IF(RIGHT(A3565,3)="000",C3565,VLOOKUP(B3565,'Справочник ИХ'!A:C,3,0))</f>
        <v>Остальные грузы</v>
      </c>
      <c r="E3565" s="13">
        <f>IF(RIGHT(A3565,3)="000","х",VLOOKUP(B3565,'Справочник ИХ'!A:D,4,0))</f>
        <v>3</v>
      </c>
      <c r="F3565" s="14" t="s">
        <v>4848</v>
      </c>
    </row>
    <row r="3566" spans="1:6">
      <c r="A3566" s="19">
        <v>60101</v>
      </c>
      <c r="B3566" s="12" t="str">
        <f t="shared" si="55"/>
        <v>601</v>
      </c>
      <c r="C3566" s="1" t="s">
        <v>4850</v>
      </c>
      <c r="D3566" s="13" t="str">
        <f>IF(RIGHT(A3566,3)="000",C3566,VLOOKUP(B3566,'Справочник ИХ'!A:C,3,0))</f>
        <v>Остальные грузы</v>
      </c>
      <c r="E3566" s="13">
        <f>IF(RIGHT(A3566,3)="000","х",VLOOKUP(B3566,'Справочник ИХ'!A:D,4,0))</f>
        <v>3</v>
      </c>
      <c r="F3566" s="14" t="s">
        <v>4848</v>
      </c>
    </row>
    <row r="3567" spans="1:6" s="18" customFormat="1">
      <c r="A3567" s="16">
        <v>60200</v>
      </c>
      <c r="B3567" s="12" t="str">
        <f t="shared" si="55"/>
        <v>602</v>
      </c>
      <c r="C3567" s="17" t="s">
        <v>4851</v>
      </c>
      <c r="D3567" s="13" t="str">
        <f>IF(RIGHT(A3567,3)="000",C3567,VLOOKUP(B3567,'Справочник ИХ'!A:C,3,0))</f>
        <v>Остальные грузы</v>
      </c>
      <c r="E3567" s="13">
        <f>IF(RIGHT(A3567,3)="000","х",VLOOKUP(B3567,'Справочник ИХ'!A:D,4,0))</f>
        <v>3</v>
      </c>
      <c r="F3567" s="14" t="s">
        <v>4848</v>
      </c>
    </row>
    <row r="3568" spans="1:6">
      <c r="A3568" s="19">
        <v>60201</v>
      </c>
      <c r="B3568" s="12" t="str">
        <f t="shared" si="55"/>
        <v>602</v>
      </c>
      <c r="C3568" s="1" t="s">
        <v>4852</v>
      </c>
      <c r="D3568" s="13" t="str">
        <f>IF(RIGHT(A3568,3)="000",C3568,VLOOKUP(B3568,'Справочник ИХ'!A:C,3,0))</f>
        <v>Остальные грузы</v>
      </c>
      <c r="E3568" s="13">
        <f>IF(RIGHT(A3568,3)="000","х",VLOOKUP(B3568,'Справочник ИХ'!A:D,4,0))</f>
        <v>3</v>
      </c>
      <c r="F3568" s="14" t="s">
        <v>4848</v>
      </c>
    </row>
    <row r="3569" spans="1:6">
      <c r="A3569" s="19">
        <v>60202</v>
      </c>
      <c r="B3569" s="12" t="str">
        <f t="shared" si="55"/>
        <v>602</v>
      </c>
      <c r="C3569" s="1" t="s">
        <v>4853</v>
      </c>
      <c r="D3569" s="13" t="str">
        <f>IF(RIGHT(A3569,3)="000",C3569,VLOOKUP(B3569,'Справочник ИХ'!A:C,3,0))</f>
        <v>Остальные грузы</v>
      </c>
      <c r="E3569" s="13">
        <f>IF(RIGHT(A3569,3)="000","х",VLOOKUP(B3569,'Справочник ИХ'!A:D,4,0))</f>
        <v>3</v>
      </c>
      <c r="F3569" s="14" t="s">
        <v>4848</v>
      </c>
    </row>
    <row r="3570" spans="1:6" s="33" customFormat="1" ht="47.6">
      <c r="A3570" s="7"/>
      <c r="B3570" s="12" t="str">
        <f t="shared" si="55"/>
        <v/>
      </c>
      <c r="C3570" s="7" t="s">
        <v>4854</v>
      </c>
      <c r="D3570" s="13" t="s">
        <v>4854</v>
      </c>
      <c r="E3570" s="13" t="s">
        <v>562</v>
      </c>
      <c r="F3570" s="14" t="s">
        <v>4848</v>
      </c>
    </row>
    <row r="3571" spans="1:6" s="15" customFormat="1">
      <c r="A3571" s="7">
        <v>61000</v>
      </c>
      <c r="B3571" s="12" t="str">
        <f t="shared" si="55"/>
        <v>610</v>
      </c>
      <c r="C3571" s="11" t="s">
        <v>4855</v>
      </c>
      <c r="D3571" s="13" t="str">
        <f>IF(RIGHT(A3571,3)="000",C3571,VLOOKUP(B3571,'Справочник ИХ'!A:C,3,0))</f>
        <v xml:space="preserve">Волокно хлопковое </v>
      </c>
      <c r="E3571" s="13" t="str">
        <f>IF(RIGHT(A3571,3)="000","х",VLOOKUP(B3571,'Справочник ИХ'!A:D,4,0))</f>
        <v>х</v>
      </c>
      <c r="F3571" s="14" t="s">
        <v>4855</v>
      </c>
    </row>
    <row r="3572" spans="1:6" s="18" customFormat="1">
      <c r="A3572" s="16" t="s">
        <v>4856</v>
      </c>
      <c r="B3572" s="12" t="str">
        <f t="shared" si="55"/>
        <v>611</v>
      </c>
      <c r="C3572" s="17" t="s">
        <v>4855</v>
      </c>
      <c r="D3572" s="13" t="str">
        <f>IF(RIGHT(A3572,3)="000",C3572,VLOOKUP(B3572,'Справочник ИХ'!A:C,3,0))</f>
        <v>Остальные грузы</v>
      </c>
      <c r="E3572" s="13">
        <f>IF(RIGHT(A3572,3)="000","х",VLOOKUP(B3572,'Справочник ИХ'!A:D,4,0))</f>
        <v>3</v>
      </c>
      <c r="F3572" s="14" t="s">
        <v>4855</v>
      </c>
    </row>
    <row r="3573" spans="1:6">
      <c r="A3573" s="19">
        <v>61101</v>
      </c>
      <c r="B3573" s="12" t="str">
        <f t="shared" si="55"/>
        <v>611</v>
      </c>
      <c r="C3573" s="1" t="s">
        <v>4857</v>
      </c>
      <c r="D3573" s="13" t="str">
        <f>IF(RIGHT(A3573,3)="000",C3573,VLOOKUP(B3573,'Справочник ИХ'!A:C,3,0))</f>
        <v>Остальные грузы</v>
      </c>
      <c r="E3573" s="13">
        <f>IF(RIGHT(A3573,3)="000","х",VLOOKUP(B3573,'Справочник ИХ'!A:D,4,0))</f>
        <v>3</v>
      </c>
      <c r="F3573" s="14" t="s">
        <v>4855</v>
      </c>
    </row>
    <row r="3574" spans="1:6">
      <c r="A3574" s="19">
        <v>61102</v>
      </c>
      <c r="B3574" s="12" t="str">
        <f t="shared" si="55"/>
        <v>611</v>
      </c>
      <c r="C3574" s="1" t="s">
        <v>4858</v>
      </c>
      <c r="D3574" s="13" t="str">
        <f>IF(RIGHT(A3574,3)="000",C3574,VLOOKUP(B3574,'Справочник ИХ'!A:C,3,0))</f>
        <v>Остальные грузы</v>
      </c>
      <c r="E3574" s="13">
        <f>IF(RIGHT(A3574,3)="000","х",VLOOKUP(B3574,'Справочник ИХ'!A:D,4,0))</f>
        <v>3</v>
      </c>
      <c r="F3574" s="14" t="s">
        <v>4855</v>
      </c>
    </row>
    <row r="3575" spans="1:6">
      <c r="A3575" s="19">
        <v>61103</v>
      </c>
      <c r="B3575" s="12" t="str">
        <f t="shared" si="55"/>
        <v>611</v>
      </c>
      <c r="C3575" s="1" t="s">
        <v>4859</v>
      </c>
      <c r="D3575" s="13" t="str">
        <f>IF(RIGHT(A3575,3)="000",C3575,VLOOKUP(B3575,'Справочник ИХ'!A:C,3,0))</f>
        <v>Остальные грузы</v>
      </c>
      <c r="E3575" s="13">
        <f>IF(RIGHT(A3575,3)="000","х",VLOOKUP(B3575,'Справочник ИХ'!A:D,4,0))</f>
        <v>3</v>
      </c>
      <c r="F3575" s="14" t="s">
        <v>4855</v>
      </c>
    </row>
    <row r="3576" spans="1:6">
      <c r="A3576" s="19">
        <v>61104</v>
      </c>
      <c r="B3576" s="12" t="str">
        <f t="shared" si="55"/>
        <v>611</v>
      </c>
      <c r="C3576" s="1" t="s">
        <v>4860</v>
      </c>
      <c r="D3576" s="13" t="str">
        <f>IF(RIGHT(A3576,3)="000",C3576,VLOOKUP(B3576,'Справочник ИХ'!A:C,3,0))</f>
        <v>Остальные грузы</v>
      </c>
      <c r="E3576" s="13">
        <f>IF(RIGHT(A3576,3)="000","х",VLOOKUP(B3576,'Справочник ИХ'!A:D,4,0))</f>
        <v>3</v>
      </c>
      <c r="F3576" s="14" t="s">
        <v>4855</v>
      </c>
    </row>
    <row r="3577" spans="1:6" ht="31.75">
      <c r="A3577" s="19" t="s">
        <v>4861</v>
      </c>
      <c r="B3577" s="12" t="str">
        <f t="shared" si="55"/>
        <v>611</v>
      </c>
      <c r="C3577" s="1" t="s">
        <v>4862</v>
      </c>
      <c r="D3577" s="13" t="str">
        <f>IF(RIGHT(A3577,3)="000",C3577,VLOOKUP(B3577,'Справочник ИХ'!A:C,3,0))</f>
        <v>Остальные грузы</v>
      </c>
      <c r="E3577" s="13">
        <f>IF(RIGHT(A3577,3)="000","х",VLOOKUP(B3577,'Справочник ИХ'!A:D,4,0))</f>
        <v>3</v>
      </c>
      <c r="F3577" s="14" t="s">
        <v>4855</v>
      </c>
    </row>
    <row r="3578" spans="1:6" s="15" customFormat="1" ht="47.6">
      <c r="A3578" s="7">
        <v>62000</v>
      </c>
      <c r="B3578" s="12" t="str">
        <f t="shared" si="55"/>
        <v>620</v>
      </c>
      <c r="C3578" s="11" t="s">
        <v>4863</v>
      </c>
      <c r="D3578" s="13" t="str">
        <f>IF(RIGHT(A3578,3)="000",C3578,VLOOKUP(B3578,'Справочник ИХ'!A:C,3,0))</f>
        <v xml:space="preserve">Продукция переработки растительных волокон шерсти и волоса </v>
      </c>
      <c r="E3578" s="13" t="str">
        <f>IF(RIGHT(A3578,3)="000","х",VLOOKUP(B3578,'Справочник ИХ'!A:D,4,0))</f>
        <v>х</v>
      </c>
      <c r="F3578" s="14" t="s">
        <v>4863</v>
      </c>
    </row>
    <row r="3579" spans="1:6" s="18" customFormat="1" ht="31.75">
      <c r="A3579" s="16">
        <v>62100</v>
      </c>
      <c r="B3579" s="12" t="str">
        <f t="shared" si="55"/>
        <v>621</v>
      </c>
      <c r="C3579" s="17" t="s">
        <v>4864</v>
      </c>
      <c r="D3579" s="13" t="str">
        <f>IF(RIGHT(A3579,3)="000",C3579,VLOOKUP(B3579,'Справочник ИХ'!A:C,3,0))</f>
        <v>Остальные грузы</v>
      </c>
      <c r="E3579" s="13">
        <f>IF(RIGHT(A3579,3)="000","х",VLOOKUP(B3579,'Справочник ИХ'!A:D,4,0))</f>
        <v>3</v>
      </c>
      <c r="F3579" s="14" t="s">
        <v>4863</v>
      </c>
    </row>
    <row r="3580" spans="1:6" ht="31.75">
      <c r="A3580" s="19">
        <v>62101</v>
      </c>
      <c r="B3580" s="12" t="str">
        <f t="shared" si="55"/>
        <v>621</v>
      </c>
      <c r="C3580" s="1" t="s">
        <v>4865</v>
      </c>
      <c r="D3580" s="13" t="str">
        <f>IF(RIGHT(A3580,3)="000",C3580,VLOOKUP(B3580,'Справочник ИХ'!A:C,3,0))</f>
        <v>Остальные грузы</v>
      </c>
      <c r="E3580" s="13">
        <f>IF(RIGHT(A3580,3)="000","х",VLOOKUP(B3580,'Справочник ИХ'!A:D,4,0))</f>
        <v>3</v>
      </c>
      <c r="F3580" s="14" t="s">
        <v>4863</v>
      </c>
    </row>
    <row r="3581" spans="1:6" ht="31.75">
      <c r="A3581" s="19">
        <v>62102</v>
      </c>
      <c r="B3581" s="12" t="str">
        <f t="shared" si="55"/>
        <v>621</v>
      </c>
      <c r="C3581" s="1" t="s">
        <v>4866</v>
      </c>
      <c r="D3581" s="13" t="str">
        <f>IF(RIGHT(A3581,3)="000",C3581,VLOOKUP(B3581,'Справочник ИХ'!A:C,3,0))</f>
        <v>Остальные грузы</v>
      </c>
      <c r="E3581" s="13">
        <f>IF(RIGHT(A3581,3)="000","х",VLOOKUP(B3581,'Справочник ИХ'!A:D,4,0))</f>
        <v>3</v>
      </c>
      <c r="F3581" s="14" t="s">
        <v>4863</v>
      </c>
    </row>
    <row r="3582" spans="1:6" ht="31.75">
      <c r="A3582" s="19">
        <v>62103</v>
      </c>
      <c r="B3582" s="12" t="str">
        <f t="shared" si="55"/>
        <v>621</v>
      </c>
      <c r="C3582" s="1" t="s">
        <v>4867</v>
      </c>
      <c r="D3582" s="13" t="str">
        <f>IF(RIGHT(A3582,3)="000",C3582,VLOOKUP(B3582,'Справочник ИХ'!A:C,3,0))</f>
        <v>Остальные грузы</v>
      </c>
      <c r="E3582" s="13">
        <f>IF(RIGHT(A3582,3)="000","х",VLOOKUP(B3582,'Справочник ИХ'!A:D,4,0))</f>
        <v>3</v>
      </c>
      <c r="F3582" s="14" t="s">
        <v>4863</v>
      </c>
    </row>
    <row r="3583" spans="1:6" ht="31.75">
      <c r="A3583" s="19">
        <v>62104</v>
      </c>
      <c r="B3583" s="12" t="str">
        <f t="shared" si="55"/>
        <v>621</v>
      </c>
      <c r="C3583" s="1" t="s">
        <v>4868</v>
      </c>
      <c r="D3583" s="13" t="str">
        <f>IF(RIGHT(A3583,3)="000",C3583,VLOOKUP(B3583,'Справочник ИХ'!A:C,3,0))</f>
        <v>Остальные грузы</v>
      </c>
      <c r="E3583" s="13">
        <f>IF(RIGHT(A3583,3)="000","х",VLOOKUP(B3583,'Справочник ИХ'!A:D,4,0))</f>
        <v>3</v>
      </c>
      <c r="F3583" s="14" t="s">
        <v>4863</v>
      </c>
    </row>
    <row r="3584" spans="1:6" ht="31.75">
      <c r="A3584" s="19">
        <v>62105</v>
      </c>
      <c r="B3584" s="12" t="str">
        <f t="shared" si="55"/>
        <v>621</v>
      </c>
      <c r="C3584" s="1" t="s">
        <v>4869</v>
      </c>
      <c r="D3584" s="13" t="str">
        <f>IF(RIGHT(A3584,3)="000",C3584,VLOOKUP(B3584,'Справочник ИХ'!A:C,3,0))</f>
        <v>Остальные грузы</v>
      </c>
      <c r="E3584" s="13">
        <f>IF(RIGHT(A3584,3)="000","х",VLOOKUP(B3584,'Справочник ИХ'!A:D,4,0))</f>
        <v>3</v>
      </c>
      <c r="F3584" s="14" t="s">
        <v>4863</v>
      </c>
    </row>
    <row r="3585" spans="1:6" ht="31.75">
      <c r="A3585" s="19">
        <v>62106</v>
      </c>
      <c r="B3585" s="12" t="str">
        <f t="shared" si="55"/>
        <v>621</v>
      </c>
      <c r="C3585" s="1" t="s">
        <v>4870</v>
      </c>
      <c r="D3585" s="13" t="str">
        <f>IF(RIGHT(A3585,3)="000",C3585,VLOOKUP(B3585,'Справочник ИХ'!A:C,3,0))</f>
        <v>Остальные грузы</v>
      </c>
      <c r="E3585" s="13">
        <f>IF(RIGHT(A3585,3)="000","х",VLOOKUP(B3585,'Справочник ИХ'!A:D,4,0))</f>
        <v>3</v>
      </c>
      <c r="F3585" s="14" t="s">
        <v>4863</v>
      </c>
    </row>
    <row r="3586" spans="1:6" ht="31.75">
      <c r="A3586" s="19">
        <v>62107</v>
      </c>
      <c r="B3586" s="12" t="str">
        <f t="shared" si="55"/>
        <v>621</v>
      </c>
      <c r="C3586" s="1" t="s">
        <v>4871</v>
      </c>
      <c r="D3586" s="13" t="str">
        <f>IF(RIGHT(A3586,3)="000",C3586,VLOOKUP(B3586,'Справочник ИХ'!A:C,3,0))</f>
        <v>Остальные грузы</v>
      </c>
      <c r="E3586" s="13">
        <f>IF(RIGHT(A3586,3)="000","х",VLOOKUP(B3586,'Справочник ИХ'!A:D,4,0))</f>
        <v>3</v>
      </c>
      <c r="F3586" s="14" t="s">
        <v>4863</v>
      </c>
    </row>
    <row r="3587" spans="1:6" ht="31.75">
      <c r="A3587" s="19">
        <v>62108</v>
      </c>
      <c r="B3587" s="12" t="str">
        <f t="shared" si="55"/>
        <v>621</v>
      </c>
      <c r="C3587" s="1" t="s">
        <v>4872</v>
      </c>
      <c r="D3587" s="13" t="str">
        <f>IF(RIGHT(A3587,3)="000",C3587,VLOOKUP(B3587,'Справочник ИХ'!A:C,3,0))</f>
        <v>Остальные грузы</v>
      </c>
      <c r="E3587" s="13">
        <f>IF(RIGHT(A3587,3)="000","х",VLOOKUP(B3587,'Справочник ИХ'!A:D,4,0))</f>
        <v>3</v>
      </c>
      <c r="F3587" s="14" t="s">
        <v>4863</v>
      </c>
    </row>
    <row r="3588" spans="1:6" ht="31.75">
      <c r="A3588" s="19">
        <v>62109</v>
      </c>
      <c r="B3588" s="12" t="str">
        <f t="shared" si="55"/>
        <v>621</v>
      </c>
      <c r="C3588" s="1" t="s">
        <v>4873</v>
      </c>
      <c r="D3588" s="13" t="str">
        <f>IF(RIGHT(A3588,3)="000",C3588,VLOOKUP(B3588,'Справочник ИХ'!A:C,3,0))</f>
        <v>Остальные грузы</v>
      </c>
      <c r="E3588" s="13">
        <f>IF(RIGHT(A3588,3)="000","х",VLOOKUP(B3588,'Справочник ИХ'!A:D,4,0))</f>
        <v>3</v>
      </c>
      <c r="F3588" s="14" t="s">
        <v>4863</v>
      </c>
    </row>
    <row r="3589" spans="1:6" ht="31.75">
      <c r="A3589" s="19">
        <v>62110</v>
      </c>
      <c r="B3589" s="12" t="str">
        <f t="shared" ref="B3589:B3652" si="56">LEFT(A3589,3)</f>
        <v>621</v>
      </c>
      <c r="C3589" s="1" t="s">
        <v>4874</v>
      </c>
      <c r="D3589" s="13" t="str">
        <f>IF(RIGHT(A3589,3)="000",C3589,VLOOKUP(B3589,'Справочник ИХ'!A:C,3,0))</f>
        <v>Остальные грузы</v>
      </c>
      <c r="E3589" s="13">
        <f>IF(RIGHT(A3589,3)="000","х",VLOOKUP(B3589,'Справочник ИХ'!A:D,4,0))</f>
        <v>3</v>
      </c>
      <c r="F3589" s="14" t="s">
        <v>4863</v>
      </c>
    </row>
    <row r="3590" spans="1:6" ht="31.75">
      <c r="A3590" s="19">
        <v>62111</v>
      </c>
      <c r="B3590" s="12" t="str">
        <f t="shared" si="56"/>
        <v>621</v>
      </c>
      <c r="C3590" s="1" t="s">
        <v>4875</v>
      </c>
      <c r="D3590" s="13" t="str">
        <f>IF(RIGHT(A3590,3)="000",C3590,VLOOKUP(B3590,'Справочник ИХ'!A:C,3,0))</f>
        <v>Остальные грузы</v>
      </c>
      <c r="E3590" s="13">
        <f>IF(RIGHT(A3590,3)="000","х",VLOOKUP(B3590,'Справочник ИХ'!A:D,4,0))</f>
        <v>3</v>
      </c>
      <c r="F3590" s="14" t="s">
        <v>4863</v>
      </c>
    </row>
    <row r="3591" spans="1:6" ht="31.75">
      <c r="A3591" s="19">
        <v>62112</v>
      </c>
      <c r="B3591" s="12" t="str">
        <f t="shared" si="56"/>
        <v>621</v>
      </c>
      <c r="C3591" s="1" t="s">
        <v>4876</v>
      </c>
      <c r="D3591" s="13" t="str">
        <f>IF(RIGHT(A3591,3)="000",C3591,VLOOKUP(B3591,'Справочник ИХ'!A:C,3,0))</f>
        <v>Остальные грузы</v>
      </c>
      <c r="E3591" s="13">
        <f>IF(RIGHT(A3591,3)="000","х",VLOOKUP(B3591,'Справочник ИХ'!A:D,4,0))</f>
        <v>3</v>
      </c>
      <c r="F3591" s="14" t="s">
        <v>4863</v>
      </c>
    </row>
    <row r="3592" spans="1:6" ht="31.75">
      <c r="A3592" s="19">
        <v>62113</v>
      </c>
      <c r="B3592" s="12" t="str">
        <f t="shared" si="56"/>
        <v>621</v>
      </c>
      <c r="C3592" s="1" t="s">
        <v>4877</v>
      </c>
      <c r="D3592" s="13" t="str">
        <f>IF(RIGHT(A3592,3)="000",C3592,VLOOKUP(B3592,'Справочник ИХ'!A:C,3,0))</f>
        <v>Остальные грузы</v>
      </c>
      <c r="E3592" s="13">
        <f>IF(RIGHT(A3592,3)="000","х",VLOOKUP(B3592,'Справочник ИХ'!A:D,4,0))</f>
        <v>3</v>
      </c>
      <c r="F3592" s="14" t="s">
        <v>4863</v>
      </c>
    </row>
    <row r="3593" spans="1:6" ht="31.75">
      <c r="A3593" s="19">
        <v>62114</v>
      </c>
      <c r="B3593" s="12" t="str">
        <f t="shared" si="56"/>
        <v>621</v>
      </c>
      <c r="C3593" s="1" t="s">
        <v>4878</v>
      </c>
      <c r="D3593" s="13" t="str">
        <f>IF(RIGHT(A3593,3)="000",C3593,VLOOKUP(B3593,'Справочник ИХ'!A:C,3,0))</f>
        <v>Остальные грузы</v>
      </c>
      <c r="E3593" s="13">
        <f>IF(RIGHT(A3593,3)="000","х",VLOOKUP(B3593,'Справочник ИХ'!A:D,4,0))</f>
        <v>3</v>
      </c>
      <c r="F3593" s="14" t="s">
        <v>4863</v>
      </c>
    </row>
    <row r="3594" spans="1:6" ht="31.75">
      <c r="A3594" s="19">
        <v>62115</v>
      </c>
      <c r="B3594" s="12" t="str">
        <f t="shared" si="56"/>
        <v>621</v>
      </c>
      <c r="C3594" s="1" t="s">
        <v>4879</v>
      </c>
      <c r="D3594" s="13" t="str">
        <f>IF(RIGHT(A3594,3)="000",C3594,VLOOKUP(B3594,'Справочник ИХ'!A:C,3,0))</f>
        <v>Остальные грузы</v>
      </c>
      <c r="E3594" s="13">
        <f>IF(RIGHT(A3594,3)="000","х",VLOOKUP(B3594,'Справочник ИХ'!A:D,4,0))</f>
        <v>3</v>
      </c>
      <c r="F3594" s="14" t="s">
        <v>4863</v>
      </c>
    </row>
    <row r="3595" spans="1:6" ht="31.75">
      <c r="A3595" s="19">
        <v>62116</v>
      </c>
      <c r="B3595" s="12" t="str">
        <f t="shared" si="56"/>
        <v>621</v>
      </c>
      <c r="C3595" s="1" t="s">
        <v>4880</v>
      </c>
      <c r="D3595" s="13" t="str">
        <f>IF(RIGHT(A3595,3)="000",C3595,VLOOKUP(B3595,'Справочник ИХ'!A:C,3,0))</f>
        <v>Остальные грузы</v>
      </c>
      <c r="E3595" s="13">
        <f>IF(RIGHT(A3595,3)="000","х",VLOOKUP(B3595,'Справочник ИХ'!A:D,4,0))</f>
        <v>3</v>
      </c>
      <c r="F3595" s="14" t="s">
        <v>4863</v>
      </c>
    </row>
    <row r="3596" spans="1:6" ht="31.75">
      <c r="A3596" s="19" t="s">
        <v>4881</v>
      </c>
      <c r="B3596" s="12" t="str">
        <f t="shared" si="56"/>
        <v>621</v>
      </c>
      <c r="C3596" s="1" t="s">
        <v>4882</v>
      </c>
      <c r="D3596" s="13" t="str">
        <f>IF(RIGHT(A3596,3)="000",C3596,VLOOKUP(B3596,'Справочник ИХ'!A:C,3,0))</f>
        <v>Остальные грузы</v>
      </c>
      <c r="E3596" s="13">
        <f>IF(RIGHT(A3596,3)="000","х",VLOOKUP(B3596,'Справочник ИХ'!A:D,4,0))</f>
        <v>3</v>
      </c>
      <c r="F3596" s="14" t="s">
        <v>4863</v>
      </c>
    </row>
    <row r="3597" spans="1:6" s="18" customFormat="1" ht="31.75">
      <c r="A3597" s="16">
        <v>62200</v>
      </c>
      <c r="B3597" s="12" t="str">
        <f t="shared" si="56"/>
        <v>622</v>
      </c>
      <c r="C3597" s="17" t="s">
        <v>4883</v>
      </c>
      <c r="D3597" s="13" t="str">
        <f>IF(RIGHT(A3597,3)="000",C3597,VLOOKUP(B3597,'Справочник ИХ'!A:C,3,0))</f>
        <v>Остальные грузы</v>
      </c>
      <c r="E3597" s="13">
        <f>IF(RIGHT(A3597,3)="000","х",VLOOKUP(B3597,'Справочник ИХ'!A:D,4,0))</f>
        <v>3</v>
      </c>
      <c r="F3597" s="14" t="s">
        <v>4863</v>
      </c>
    </row>
    <row r="3598" spans="1:6" ht="31.75">
      <c r="A3598" s="19">
        <v>62201</v>
      </c>
      <c r="B3598" s="12" t="str">
        <f t="shared" si="56"/>
        <v>622</v>
      </c>
      <c r="C3598" s="1" t="s">
        <v>4884</v>
      </c>
      <c r="D3598" s="13" t="str">
        <f>IF(RIGHT(A3598,3)="000",C3598,VLOOKUP(B3598,'Справочник ИХ'!A:C,3,0))</f>
        <v>Остальные грузы</v>
      </c>
      <c r="E3598" s="13">
        <f>IF(RIGHT(A3598,3)="000","х",VLOOKUP(B3598,'Справочник ИХ'!A:D,4,0))</f>
        <v>3</v>
      </c>
      <c r="F3598" s="14" t="s">
        <v>4863</v>
      </c>
    </row>
    <row r="3599" spans="1:6" ht="31.75">
      <c r="A3599" s="19">
        <v>62202</v>
      </c>
      <c r="B3599" s="12" t="str">
        <f t="shared" si="56"/>
        <v>622</v>
      </c>
      <c r="C3599" s="1" t="s">
        <v>4885</v>
      </c>
      <c r="D3599" s="13" t="str">
        <f>IF(RIGHT(A3599,3)="000",C3599,VLOOKUP(B3599,'Справочник ИХ'!A:C,3,0))</f>
        <v>Остальные грузы</v>
      </c>
      <c r="E3599" s="13">
        <f>IF(RIGHT(A3599,3)="000","х",VLOOKUP(B3599,'Справочник ИХ'!A:D,4,0))</f>
        <v>3</v>
      </c>
      <c r="F3599" s="14" t="s">
        <v>4863</v>
      </c>
    </row>
    <row r="3600" spans="1:6" ht="31.75">
      <c r="A3600" s="19">
        <v>62203</v>
      </c>
      <c r="B3600" s="12" t="str">
        <f t="shared" si="56"/>
        <v>622</v>
      </c>
      <c r="C3600" s="1" t="s">
        <v>4886</v>
      </c>
      <c r="D3600" s="13" t="str">
        <f>IF(RIGHT(A3600,3)="000",C3600,VLOOKUP(B3600,'Справочник ИХ'!A:C,3,0))</f>
        <v>Остальные грузы</v>
      </c>
      <c r="E3600" s="13">
        <f>IF(RIGHT(A3600,3)="000","х",VLOOKUP(B3600,'Справочник ИХ'!A:D,4,0))</f>
        <v>3</v>
      </c>
      <c r="F3600" s="14" t="s">
        <v>4863</v>
      </c>
    </row>
    <row r="3601" spans="1:6" ht="31.75">
      <c r="A3601" s="19">
        <v>62204</v>
      </c>
      <c r="B3601" s="12" t="str">
        <f t="shared" si="56"/>
        <v>622</v>
      </c>
      <c r="C3601" s="1" t="s">
        <v>4887</v>
      </c>
      <c r="D3601" s="13" t="str">
        <f>IF(RIGHT(A3601,3)="000",C3601,VLOOKUP(B3601,'Справочник ИХ'!A:C,3,0))</f>
        <v>Остальные грузы</v>
      </c>
      <c r="E3601" s="13">
        <f>IF(RIGHT(A3601,3)="000","х",VLOOKUP(B3601,'Справочник ИХ'!A:D,4,0))</f>
        <v>3</v>
      </c>
      <c r="F3601" s="14" t="s">
        <v>4863</v>
      </c>
    </row>
    <row r="3602" spans="1:6" ht="31.75">
      <c r="A3602" s="19">
        <v>62205</v>
      </c>
      <c r="B3602" s="12" t="str">
        <f t="shared" si="56"/>
        <v>622</v>
      </c>
      <c r="C3602" s="1" t="s">
        <v>4888</v>
      </c>
      <c r="D3602" s="13" t="str">
        <f>IF(RIGHT(A3602,3)="000",C3602,VLOOKUP(B3602,'Справочник ИХ'!A:C,3,0))</f>
        <v>Остальные грузы</v>
      </c>
      <c r="E3602" s="13">
        <f>IF(RIGHT(A3602,3)="000","х",VLOOKUP(B3602,'Справочник ИХ'!A:D,4,0))</f>
        <v>3</v>
      </c>
      <c r="F3602" s="14" t="s">
        <v>4863</v>
      </c>
    </row>
    <row r="3603" spans="1:6" ht="31.75">
      <c r="A3603" s="19">
        <v>62206</v>
      </c>
      <c r="B3603" s="12" t="str">
        <f t="shared" si="56"/>
        <v>622</v>
      </c>
      <c r="C3603" s="1" t="s">
        <v>4889</v>
      </c>
      <c r="D3603" s="13" t="str">
        <f>IF(RIGHT(A3603,3)="000",C3603,VLOOKUP(B3603,'Справочник ИХ'!A:C,3,0))</f>
        <v>Остальные грузы</v>
      </c>
      <c r="E3603" s="13">
        <f>IF(RIGHT(A3603,3)="000","х",VLOOKUP(B3603,'Справочник ИХ'!A:D,4,0))</f>
        <v>3</v>
      </c>
      <c r="F3603" s="14" t="s">
        <v>4863</v>
      </c>
    </row>
    <row r="3604" spans="1:6" ht="31.75">
      <c r="A3604" s="19">
        <v>62207</v>
      </c>
      <c r="B3604" s="12" t="str">
        <f t="shared" si="56"/>
        <v>622</v>
      </c>
      <c r="C3604" s="1" t="s">
        <v>4890</v>
      </c>
      <c r="D3604" s="13" t="str">
        <f>IF(RIGHT(A3604,3)="000",C3604,VLOOKUP(B3604,'Справочник ИХ'!A:C,3,0))</f>
        <v>Остальные грузы</v>
      </c>
      <c r="E3604" s="13">
        <f>IF(RIGHT(A3604,3)="000","х",VLOOKUP(B3604,'Справочник ИХ'!A:D,4,0))</f>
        <v>3</v>
      </c>
      <c r="F3604" s="14" t="s">
        <v>4863</v>
      </c>
    </row>
    <row r="3605" spans="1:6" ht="31.75">
      <c r="A3605" s="19">
        <v>62208</v>
      </c>
      <c r="B3605" s="12" t="str">
        <f t="shared" si="56"/>
        <v>622</v>
      </c>
      <c r="C3605" s="1" t="s">
        <v>4891</v>
      </c>
      <c r="D3605" s="13" t="str">
        <f>IF(RIGHT(A3605,3)="000",C3605,VLOOKUP(B3605,'Справочник ИХ'!A:C,3,0))</f>
        <v>Остальные грузы</v>
      </c>
      <c r="E3605" s="13">
        <f>IF(RIGHT(A3605,3)="000","х",VLOOKUP(B3605,'Справочник ИХ'!A:D,4,0))</f>
        <v>3</v>
      </c>
      <c r="F3605" s="14" t="s">
        <v>4863</v>
      </c>
    </row>
    <row r="3606" spans="1:6" ht="31.75">
      <c r="A3606" s="19">
        <v>62209</v>
      </c>
      <c r="B3606" s="12" t="str">
        <f t="shared" si="56"/>
        <v>622</v>
      </c>
      <c r="C3606" s="1" t="s">
        <v>4892</v>
      </c>
      <c r="D3606" s="13" t="str">
        <f>IF(RIGHT(A3606,3)="000",C3606,VLOOKUP(B3606,'Справочник ИХ'!A:C,3,0))</f>
        <v>Остальные грузы</v>
      </c>
      <c r="E3606" s="13">
        <f>IF(RIGHT(A3606,3)="000","х",VLOOKUP(B3606,'Справочник ИХ'!A:D,4,0))</f>
        <v>3</v>
      </c>
      <c r="F3606" s="14" t="s">
        <v>4863</v>
      </c>
    </row>
    <row r="3607" spans="1:6" ht="31.75">
      <c r="A3607" s="19">
        <v>62210</v>
      </c>
      <c r="B3607" s="12" t="str">
        <f t="shared" si="56"/>
        <v>622</v>
      </c>
      <c r="C3607" s="1" t="s">
        <v>4893</v>
      </c>
      <c r="D3607" s="13" t="str">
        <f>IF(RIGHT(A3607,3)="000",C3607,VLOOKUP(B3607,'Справочник ИХ'!A:C,3,0))</f>
        <v>Остальные грузы</v>
      </c>
      <c r="E3607" s="13">
        <f>IF(RIGHT(A3607,3)="000","х",VLOOKUP(B3607,'Справочник ИХ'!A:D,4,0))</f>
        <v>3</v>
      </c>
      <c r="F3607" s="14" t="s">
        <v>4863</v>
      </c>
    </row>
    <row r="3608" spans="1:6" ht="31.75">
      <c r="A3608" s="19">
        <v>62211</v>
      </c>
      <c r="B3608" s="12" t="str">
        <f t="shared" si="56"/>
        <v>622</v>
      </c>
      <c r="C3608" s="1" t="s">
        <v>4894</v>
      </c>
      <c r="D3608" s="13" t="str">
        <f>IF(RIGHT(A3608,3)="000",C3608,VLOOKUP(B3608,'Справочник ИХ'!A:C,3,0))</f>
        <v>Остальные грузы</v>
      </c>
      <c r="E3608" s="13">
        <f>IF(RIGHT(A3608,3)="000","х",VLOOKUP(B3608,'Справочник ИХ'!A:D,4,0))</f>
        <v>3</v>
      </c>
      <c r="F3608" s="14" t="s">
        <v>4863</v>
      </c>
    </row>
    <row r="3609" spans="1:6" ht="31.75">
      <c r="A3609" s="19">
        <v>62212</v>
      </c>
      <c r="B3609" s="12" t="str">
        <f t="shared" si="56"/>
        <v>622</v>
      </c>
      <c r="C3609" s="1" t="s">
        <v>4895</v>
      </c>
      <c r="D3609" s="13" t="str">
        <f>IF(RIGHT(A3609,3)="000",C3609,VLOOKUP(B3609,'Справочник ИХ'!A:C,3,0))</f>
        <v>Остальные грузы</v>
      </c>
      <c r="E3609" s="13">
        <f>IF(RIGHT(A3609,3)="000","х",VLOOKUP(B3609,'Справочник ИХ'!A:D,4,0))</f>
        <v>3</v>
      </c>
      <c r="F3609" s="14" t="s">
        <v>4863</v>
      </c>
    </row>
    <row r="3610" spans="1:6" ht="31.75">
      <c r="A3610" s="19">
        <v>62213</v>
      </c>
      <c r="B3610" s="12" t="str">
        <f t="shared" si="56"/>
        <v>622</v>
      </c>
      <c r="C3610" s="1" t="s">
        <v>4896</v>
      </c>
      <c r="D3610" s="13" t="str">
        <f>IF(RIGHT(A3610,3)="000",C3610,VLOOKUP(B3610,'Справочник ИХ'!A:C,3,0))</f>
        <v>Остальные грузы</v>
      </c>
      <c r="E3610" s="13">
        <f>IF(RIGHT(A3610,3)="000","х",VLOOKUP(B3610,'Справочник ИХ'!A:D,4,0))</f>
        <v>3</v>
      </c>
      <c r="F3610" s="14" t="s">
        <v>4863</v>
      </c>
    </row>
    <row r="3611" spans="1:6" ht="31.75">
      <c r="A3611" s="19">
        <v>62214</v>
      </c>
      <c r="B3611" s="12" t="str">
        <f t="shared" si="56"/>
        <v>622</v>
      </c>
      <c r="C3611" s="1" t="s">
        <v>4897</v>
      </c>
      <c r="D3611" s="13" t="str">
        <f>IF(RIGHT(A3611,3)="000",C3611,VLOOKUP(B3611,'Справочник ИХ'!A:C,3,0))</f>
        <v>Остальные грузы</v>
      </c>
      <c r="E3611" s="13">
        <f>IF(RIGHT(A3611,3)="000","х",VLOOKUP(B3611,'Справочник ИХ'!A:D,4,0))</f>
        <v>3</v>
      </c>
      <c r="F3611" s="14" t="s">
        <v>4863</v>
      </c>
    </row>
    <row r="3612" spans="1:6" ht="31.75">
      <c r="A3612" s="19">
        <v>62215</v>
      </c>
      <c r="B3612" s="12" t="str">
        <f t="shared" si="56"/>
        <v>622</v>
      </c>
      <c r="C3612" s="1" t="s">
        <v>4898</v>
      </c>
      <c r="D3612" s="13" t="str">
        <f>IF(RIGHT(A3612,3)="000",C3612,VLOOKUP(B3612,'Справочник ИХ'!A:C,3,0))</f>
        <v>Остальные грузы</v>
      </c>
      <c r="E3612" s="13">
        <f>IF(RIGHT(A3612,3)="000","х",VLOOKUP(B3612,'Справочник ИХ'!A:D,4,0))</f>
        <v>3</v>
      </c>
      <c r="F3612" s="14" t="s">
        <v>4863</v>
      </c>
    </row>
    <row r="3613" spans="1:6" ht="31.75">
      <c r="A3613" s="19">
        <v>62216</v>
      </c>
      <c r="B3613" s="12" t="str">
        <f t="shared" si="56"/>
        <v>622</v>
      </c>
      <c r="C3613" s="1" t="s">
        <v>4899</v>
      </c>
      <c r="D3613" s="13" t="str">
        <f>IF(RIGHT(A3613,3)="000",C3613,VLOOKUP(B3613,'Справочник ИХ'!A:C,3,0))</f>
        <v>Остальные грузы</v>
      </c>
      <c r="E3613" s="13">
        <f>IF(RIGHT(A3613,3)="000","х",VLOOKUP(B3613,'Справочник ИХ'!A:D,4,0))</f>
        <v>3</v>
      </c>
      <c r="F3613" s="14" t="s">
        <v>4863</v>
      </c>
    </row>
    <row r="3614" spans="1:6" ht="31.75">
      <c r="A3614" s="19">
        <v>62217</v>
      </c>
      <c r="B3614" s="12" t="str">
        <f t="shared" si="56"/>
        <v>622</v>
      </c>
      <c r="C3614" s="1" t="s">
        <v>4900</v>
      </c>
      <c r="D3614" s="13" t="str">
        <f>IF(RIGHT(A3614,3)="000",C3614,VLOOKUP(B3614,'Справочник ИХ'!A:C,3,0))</f>
        <v>Остальные грузы</v>
      </c>
      <c r="E3614" s="13">
        <f>IF(RIGHT(A3614,3)="000","х",VLOOKUP(B3614,'Справочник ИХ'!A:D,4,0))</f>
        <v>3</v>
      </c>
      <c r="F3614" s="14" t="s">
        <v>4863</v>
      </c>
    </row>
    <row r="3615" spans="1:6" ht="31.75">
      <c r="A3615" s="19">
        <v>62218</v>
      </c>
      <c r="B3615" s="12" t="str">
        <f t="shared" si="56"/>
        <v>622</v>
      </c>
      <c r="C3615" s="1" t="s">
        <v>4901</v>
      </c>
      <c r="D3615" s="13" t="str">
        <f>IF(RIGHT(A3615,3)="000",C3615,VLOOKUP(B3615,'Справочник ИХ'!A:C,3,0))</f>
        <v>Остальные грузы</v>
      </c>
      <c r="E3615" s="13">
        <f>IF(RIGHT(A3615,3)="000","х",VLOOKUP(B3615,'Справочник ИХ'!A:D,4,0))</f>
        <v>3</v>
      </c>
      <c r="F3615" s="14" t="s">
        <v>4863</v>
      </c>
    </row>
    <row r="3616" spans="1:6" s="15" customFormat="1" ht="31.75">
      <c r="A3616" s="7">
        <v>62300</v>
      </c>
      <c r="B3616" s="12" t="str">
        <f t="shared" si="56"/>
        <v>623</v>
      </c>
      <c r="C3616" s="11" t="s">
        <v>4902</v>
      </c>
      <c r="D3616" s="13" t="str">
        <f>IF(RIGHT(A3616,3)="000",C3616,VLOOKUP(B3616,'Справочник ИХ'!A:C,3,0))</f>
        <v>Остальные грузы</v>
      </c>
      <c r="E3616" s="13">
        <f>IF(RIGHT(A3616,3)="000","х",VLOOKUP(B3616,'Справочник ИХ'!A:D,4,0))</f>
        <v>3</v>
      </c>
      <c r="F3616" s="14" t="s">
        <v>4863</v>
      </c>
    </row>
    <row r="3617" spans="1:6" ht="31.75">
      <c r="A3617" s="19">
        <v>62301</v>
      </c>
      <c r="B3617" s="12" t="str">
        <f t="shared" si="56"/>
        <v>623</v>
      </c>
      <c r="C3617" s="1" t="s">
        <v>4903</v>
      </c>
      <c r="D3617" s="13" t="str">
        <f>IF(RIGHT(A3617,3)="000",C3617,VLOOKUP(B3617,'Справочник ИХ'!A:C,3,0))</f>
        <v>Остальные грузы</v>
      </c>
      <c r="E3617" s="13">
        <f>IF(RIGHT(A3617,3)="000","х",VLOOKUP(B3617,'Справочник ИХ'!A:D,4,0))</f>
        <v>3</v>
      </c>
      <c r="F3617" s="14" t="s">
        <v>4863</v>
      </c>
    </row>
    <row r="3618" spans="1:6" ht="31.75">
      <c r="A3618" s="19">
        <v>62302</v>
      </c>
      <c r="B3618" s="12" t="str">
        <f t="shared" si="56"/>
        <v>623</v>
      </c>
      <c r="C3618" s="1" t="s">
        <v>4904</v>
      </c>
      <c r="D3618" s="13" t="str">
        <f>IF(RIGHT(A3618,3)="000",C3618,VLOOKUP(B3618,'Справочник ИХ'!A:C,3,0))</f>
        <v>Остальные грузы</v>
      </c>
      <c r="E3618" s="13">
        <f>IF(RIGHT(A3618,3)="000","х",VLOOKUP(B3618,'Справочник ИХ'!A:D,4,0))</f>
        <v>3</v>
      </c>
      <c r="F3618" s="14" t="s">
        <v>4863</v>
      </c>
    </row>
    <row r="3619" spans="1:6" ht="31.75">
      <c r="A3619" s="19">
        <v>62303</v>
      </c>
      <c r="B3619" s="12" t="str">
        <f t="shared" si="56"/>
        <v>623</v>
      </c>
      <c r="C3619" s="1" t="s">
        <v>4905</v>
      </c>
      <c r="D3619" s="13" t="str">
        <f>IF(RIGHT(A3619,3)="000",C3619,VLOOKUP(B3619,'Справочник ИХ'!A:C,3,0))</f>
        <v>Остальные грузы</v>
      </c>
      <c r="E3619" s="13">
        <f>IF(RIGHT(A3619,3)="000","х",VLOOKUP(B3619,'Справочник ИХ'!A:D,4,0))</f>
        <v>3</v>
      </c>
      <c r="F3619" s="14" t="s">
        <v>4863</v>
      </c>
    </row>
    <row r="3620" spans="1:6" ht="31.75">
      <c r="A3620" s="19">
        <v>62304</v>
      </c>
      <c r="B3620" s="12" t="str">
        <f t="shared" si="56"/>
        <v>623</v>
      </c>
      <c r="C3620" s="1" t="s">
        <v>4906</v>
      </c>
      <c r="D3620" s="13" t="str">
        <f>IF(RIGHT(A3620,3)="000",C3620,VLOOKUP(B3620,'Справочник ИХ'!A:C,3,0))</f>
        <v>Остальные грузы</v>
      </c>
      <c r="E3620" s="13">
        <f>IF(RIGHT(A3620,3)="000","х",VLOOKUP(B3620,'Справочник ИХ'!A:D,4,0))</f>
        <v>3</v>
      </c>
      <c r="F3620" s="14" t="s">
        <v>4863</v>
      </c>
    </row>
    <row r="3621" spans="1:6" ht="31.75">
      <c r="A3621" s="19">
        <v>62305</v>
      </c>
      <c r="B3621" s="12" t="str">
        <f t="shared" si="56"/>
        <v>623</v>
      </c>
      <c r="C3621" s="1" t="s">
        <v>4907</v>
      </c>
      <c r="D3621" s="13" t="str">
        <f>IF(RIGHT(A3621,3)="000",C3621,VLOOKUP(B3621,'Справочник ИХ'!A:C,3,0))</f>
        <v>Остальные грузы</v>
      </c>
      <c r="E3621" s="13">
        <f>IF(RIGHT(A3621,3)="000","х",VLOOKUP(B3621,'Справочник ИХ'!A:D,4,0))</f>
        <v>3</v>
      </c>
      <c r="F3621" s="14" t="s">
        <v>4863</v>
      </c>
    </row>
    <row r="3622" spans="1:6" ht="31.75">
      <c r="A3622" s="19">
        <v>62306</v>
      </c>
      <c r="B3622" s="12" t="str">
        <f t="shared" si="56"/>
        <v>623</v>
      </c>
      <c r="C3622" s="1" t="s">
        <v>4908</v>
      </c>
      <c r="D3622" s="13" t="str">
        <f>IF(RIGHT(A3622,3)="000",C3622,VLOOKUP(B3622,'Справочник ИХ'!A:C,3,0))</f>
        <v>Остальные грузы</v>
      </c>
      <c r="E3622" s="13">
        <f>IF(RIGHT(A3622,3)="000","х",VLOOKUP(B3622,'Справочник ИХ'!A:D,4,0))</f>
        <v>3</v>
      </c>
      <c r="F3622" s="14" t="s">
        <v>4863</v>
      </c>
    </row>
    <row r="3623" spans="1:6" ht="31.75">
      <c r="A3623" s="19">
        <v>62307</v>
      </c>
      <c r="B3623" s="12" t="str">
        <f t="shared" si="56"/>
        <v>623</v>
      </c>
      <c r="C3623" s="1" t="s">
        <v>4909</v>
      </c>
      <c r="D3623" s="13" t="str">
        <f>IF(RIGHT(A3623,3)="000",C3623,VLOOKUP(B3623,'Справочник ИХ'!A:C,3,0))</f>
        <v>Остальные грузы</v>
      </c>
      <c r="E3623" s="13">
        <f>IF(RIGHT(A3623,3)="000","х",VLOOKUP(B3623,'Справочник ИХ'!A:D,4,0))</f>
        <v>3</v>
      </c>
      <c r="F3623" s="14" t="s">
        <v>4863</v>
      </c>
    </row>
    <row r="3624" spans="1:6" ht="31.75">
      <c r="A3624" s="19">
        <v>62308</v>
      </c>
      <c r="B3624" s="12" t="str">
        <f t="shared" si="56"/>
        <v>623</v>
      </c>
      <c r="C3624" s="1" t="s">
        <v>4910</v>
      </c>
      <c r="D3624" s="13" t="str">
        <f>IF(RIGHT(A3624,3)="000",C3624,VLOOKUP(B3624,'Справочник ИХ'!A:C,3,0))</f>
        <v>Остальные грузы</v>
      </c>
      <c r="E3624" s="13">
        <f>IF(RIGHT(A3624,3)="000","х",VLOOKUP(B3624,'Справочник ИХ'!A:D,4,0))</f>
        <v>3</v>
      </c>
      <c r="F3624" s="14" t="s">
        <v>4863</v>
      </c>
    </row>
    <row r="3625" spans="1:6" ht="31.75">
      <c r="A3625" s="19">
        <v>62309</v>
      </c>
      <c r="B3625" s="12" t="str">
        <f t="shared" si="56"/>
        <v>623</v>
      </c>
      <c r="C3625" s="1" t="s">
        <v>4911</v>
      </c>
      <c r="D3625" s="13" t="str">
        <f>IF(RIGHT(A3625,3)="000",C3625,VLOOKUP(B3625,'Справочник ИХ'!A:C,3,0))</f>
        <v>Остальные грузы</v>
      </c>
      <c r="E3625" s="13">
        <f>IF(RIGHT(A3625,3)="000","х",VLOOKUP(B3625,'Справочник ИХ'!A:D,4,0))</f>
        <v>3</v>
      </c>
      <c r="F3625" s="14" t="s">
        <v>4863</v>
      </c>
    </row>
    <row r="3626" spans="1:6" ht="31.75">
      <c r="A3626" s="19">
        <v>62310</v>
      </c>
      <c r="B3626" s="12" t="str">
        <f t="shared" si="56"/>
        <v>623</v>
      </c>
      <c r="C3626" s="1" t="s">
        <v>4912</v>
      </c>
      <c r="D3626" s="13" t="str">
        <f>IF(RIGHT(A3626,3)="000",C3626,VLOOKUP(B3626,'Справочник ИХ'!A:C,3,0))</f>
        <v>Остальные грузы</v>
      </c>
      <c r="E3626" s="13">
        <f>IF(RIGHT(A3626,3)="000","х",VLOOKUP(B3626,'Справочник ИХ'!A:D,4,0))</f>
        <v>3</v>
      </c>
      <c r="F3626" s="14" t="s">
        <v>4863</v>
      </c>
    </row>
    <row r="3627" spans="1:6" ht="31.75">
      <c r="A3627" s="19">
        <v>62311</v>
      </c>
      <c r="B3627" s="12" t="str">
        <f t="shared" si="56"/>
        <v>623</v>
      </c>
      <c r="C3627" s="1" t="s">
        <v>4913</v>
      </c>
      <c r="D3627" s="13" t="str">
        <f>IF(RIGHT(A3627,3)="000",C3627,VLOOKUP(B3627,'Справочник ИХ'!A:C,3,0))</f>
        <v>Остальные грузы</v>
      </c>
      <c r="E3627" s="13">
        <f>IF(RIGHT(A3627,3)="000","х",VLOOKUP(B3627,'Справочник ИХ'!A:D,4,0))</f>
        <v>3</v>
      </c>
      <c r="F3627" s="14" t="s">
        <v>4863</v>
      </c>
    </row>
    <row r="3628" spans="1:6" ht="31.75">
      <c r="A3628" s="19">
        <v>62312</v>
      </c>
      <c r="B3628" s="12" t="str">
        <f t="shared" si="56"/>
        <v>623</v>
      </c>
      <c r="C3628" s="1" t="s">
        <v>4914</v>
      </c>
      <c r="D3628" s="13" t="str">
        <f>IF(RIGHT(A3628,3)="000",C3628,VLOOKUP(B3628,'Справочник ИХ'!A:C,3,0))</f>
        <v>Остальные грузы</v>
      </c>
      <c r="E3628" s="13">
        <f>IF(RIGHT(A3628,3)="000","х",VLOOKUP(B3628,'Справочник ИХ'!A:D,4,0))</f>
        <v>3</v>
      </c>
      <c r="F3628" s="14" t="s">
        <v>4863</v>
      </c>
    </row>
    <row r="3629" spans="1:6" ht="31.75">
      <c r="A3629" s="19" t="s">
        <v>4915</v>
      </c>
      <c r="B3629" s="12" t="str">
        <f t="shared" si="56"/>
        <v>623</v>
      </c>
      <c r="C3629" s="1" t="s">
        <v>4916</v>
      </c>
      <c r="D3629" s="13" t="str">
        <f>IF(RIGHT(A3629,3)="000",C3629,VLOOKUP(B3629,'Справочник ИХ'!A:C,3,0))</f>
        <v>Остальные грузы</v>
      </c>
      <c r="E3629" s="13">
        <f>IF(RIGHT(A3629,3)="000","х",VLOOKUP(B3629,'Справочник ИХ'!A:D,4,0))</f>
        <v>3</v>
      </c>
      <c r="F3629" s="14" t="s">
        <v>4863</v>
      </c>
    </row>
    <row r="3630" spans="1:6" s="18" customFormat="1" ht="31.75">
      <c r="A3630" s="16">
        <v>62400</v>
      </c>
      <c r="B3630" s="12" t="str">
        <f t="shared" si="56"/>
        <v>624</v>
      </c>
      <c r="C3630" s="17" t="s">
        <v>4917</v>
      </c>
      <c r="D3630" s="13" t="str">
        <f>IF(RIGHT(A3630,3)="000",C3630,VLOOKUP(B3630,'Справочник ИХ'!A:C,3,0))</f>
        <v>Остальные грузы</v>
      </c>
      <c r="E3630" s="13">
        <f>IF(RIGHT(A3630,3)="000","х",VLOOKUP(B3630,'Справочник ИХ'!A:D,4,0))</f>
        <v>3</v>
      </c>
      <c r="F3630" s="14" t="s">
        <v>4863</v>
      </c>
    </row>
    <row r="3631" spans="1:6" ht="31.75">
      <c r="A3631" s="19">
        <v>62401</v>
      </c>
      <c r="B3631" s="12" t="str">
        <f t="shared" si="56"/>
        <v>624</v>
      </c>
      <c r="C3631" s="1" t="s">
        <v>4918</v>
      </c>
      <c r="D3631" s="13" t="str">
        <f>IF(RIGHT(A3631,3)="000",C3631,VLOOKUP(B3631,'Справочник ИХ'!A:C,3,0))</f>
        <v>Остальные грузы</v>
      </c>
      <c r="E3631" s="13">
        <f>IF(RIGHT(A3631,3)="000","х",VLOOKUP(B3631,'Справочник ИХ'!A:D,4,0))</f>
        <v>3</v>
      </c>
      <c r="F3631" s="14" t="s">
        <v>4863</v>
      </c>
    </row>
    <row r="3632" spans="1:6" ht="31.75">
      <c r="A3632" s="19" t="s">
        <v>4919</v>
      </c>
      <c r="B3632" s="12" t="str">
        <f t="shared" si="56"/>
        <v>624</v>
      </c>
      <c r="C3632" s="14" t="s">
        <v>4920</v>
      </c>
      <c r="D3632" s="13" t="str">
        <f>IF(RIGHT(A3632,3)="000",C3632,VLOOKUP(B3632,'Справочник ИХ'!A:C,3,0))</f>
        <v>Остальные грузы</v>
      </c>
      <c r="E3632" s="13">
        <f>IF(RIGHT(A3632,3)="000","х",VLOOKUP(B3632,'Справочник ИХ'!A:D,4,0))</f>
        <v>3</v>
      </c>
      <c r="F3632" s="14" t="s">
        <v>4863</v>
      </c>
    </row>
    <row r="3633" spans="1:6" s="18" customFormat="1" ht="31.75">
      <c r="A3633" s="16">
        <v>62500</v>
      </c>
      <c r="B3633" s="12" t="str">
        <f t="shared" si="56"/>
        <v>625</v>
      </c>
      <c r="C3633" s="17" t="s">
        <v>4921</v>
      </c>
      <c r="D3633" s="13" t="str">
        <f>IF(RIGHT(A3633,3)="000",C3633,VLOOKUP(B3633,'Справочник ИХ'!A:C,3,0))</f>
        <v>Остальные грузы</v>
      </c>
      <c r="E3633" s="13">
        <f>IF(RIGHT(A3633,3)="000","х",VLOOKUP(B3633,'Справочник ИХ'!A:D,4,0))</f>
        <v>3</v>
      </c>
      <c r="F3633" s="14" t="s">
        <v>4863</v>
      </c>
    </row>
    <row r="3634" spans="1:6" ht="31.75">
      <c r="A3634" s="19">
        <v>62501</v>
      </c>
      <c r="B3634" s="12" t="str">
        <f t="shared" si="56"/>
        <v>625</v>
      </c>
      <c r="C3634" s="1" t="s">
        <v>4922</v>
      </c>
      <c r="D3634" s="13" t="str">
        <f>IF(RIGHT(A3634,3)="000",C3634,VLOOKUP(B3634,'Справочник ИХ'!A:C,3,0))</f>
        <v>Остальные грузы</v>
      </c>
      <c r="E3634" s="13">
        <f>IF(RIGHT(A3634,3)="000","х",VLOOKUP(B3634,'Справочник ИХ'!A:D,4,0))</f>
        <v>3</v>
      </c>
      <c r="F3634" s="14" t="s">
        <v>4863</v>
      </c>
    </row>
    <row r="3635" spans="1:6" ht="31.75">
      <c r="A3635" s="19">
        <v>62502</v>
      </c>
      <c r="B3635" s="12" t="str">
        <f t="shared" si="56"/>
        <v>625</v>
      </c>
      <c r="C3635" s="1" t="s">
        <v>4923</v>
      </c>
      <c r="D3635" s="13" t="str">
        <f>IF(RIGHT(A3635,3)="000",C3635,VLOOKUP(B3635,'Справочник ИХ'!A:C,3,0))</f>
        <v>Остальные грузы</v>
      </c>
      <c r="E3635" s="13">
        <f>IF(RIGHT(A3635,3)="000","х",VLOOKUP(B3635,'Справочник ИХ'!A:D,4,0))</f>
        <v>3</v>
      </c>
      <c r="F3635" s="14" t="s">
        <v>4863</v>
      </c>
    </row>
    <row r="3636" spans="1:6" ht="31.75">
      <c r="A3636" s="19">
        <v>62503</v>
      </c>
      <c r="B3636" s="12" t="str">
        <f t="shared" si="56"/>
        <v>625</v>
      </c>
      <c r="C3636" s="1" t="s">
        <v>4924</v>
      </c>
      <c r="D3636" s="13" t="str">
        <f>IF(RIGHT(A3636,3)="000",C3636,VLOOKUP(B3636,'Справочник ИХ'!A:C,3,0))</f>
        <v>Остальные грузы</v>
      </c>
      <c r="E3636" s="13">
        <f>IF(RIGHT(A3636,3)="000","х",VLOOKUP(B3636,'Справочник ИХ'!A:D,4,0))</f>
        <v>3</v>
      </c>
      <c r="F3636" s="14" t="s">
        <v>4863</v>
      </c>
    </row>
    <row r="3637" spans="1:6" s="18" customFormat="1" ht="31.75">
      <c r="A3637" s="16">
        <v>62600</v>
      </c>
      <c r="B3637" s="12" t="str">
        <f t="shared" si="56"/>
        <v>626</v>
      </c>
      <c r="C3637" s="17" t="s">
        <v>4925</v>
      </c>
      <c r="D3637" s="13" t="str">
        <f>IF(RIGHT(A3637,3)="000",C3637,VLOOKUP(B3637,'Справочник ИХ'!A:C,3,0))</f>
        <v>Остальные грузы</v>
      </c>
      <c r="E3637" s="13">
        <f>IF(RIGHT(A3637,3)="000","х",VLOOKUP(B3637,'Справочник ИХ'!A:D,4,0))</f>
        <v>3</v>
      </c>
      <c r="F3637" s="14" t="s">
        <v>4863</v>
      </c>
    </row>
    <row r="3638" spans="1:6" ht="31.75">
      <c r="A3638" s="19">
        <v>62601</v>
      </c>
      <c r="B3638" s="12" t="str">
        <f t="shared" si="56"/>
        <v>626</v>
      </c>
      <c r="C3638" s="1" t="s">
        <v>4926</v>
      </c>
      <c r="D3638" s="13" t="str">
        <f>IF(RIGHT(A3638,3)="000",C3638,VLOOKUP(B3638,'Справочник ИХ'!A:C,3,0))</f>
        <v>Остальные грузы</v>
      </c>
      <c r="E3638" s="13">
        <f>IF(RIGHT(A3638,3)="000","х",VLOOKUP(B3638,'Справочник ИХ'!A:D,4,0))</f>
        <v>3</v>
      </c>
      <c r="F3638" s="14" t="s">
        <v>4863</v>
      </c>
    </row>
    <row r="3639" spans="1:6" ht="31.75">
      <c r="A3639" s="19">
        <v>62602</v>
      </c>
      <c r="B3639" s="12" t="str">
        <f t="shared" si="56"/>
        <v>626</v>
      </c>
      <c r="C3639" s="1" t="s">
        <v>4927</v>
      </c>
      <c r="D3639" s="13" t="str">
        <f>IF(RIGHT(A3639,3)="000",C3639,VLOOKUP(B3639,'Справочник ИХ'!A:C,3,0))</f>
        <v>Остальные грузы</v>
      </c>
      <c r="E3639" s="13">
        <f>IF(RIGHT(A3639,3)="000","х",VLOOKUP(B3639,'Справочник ИХ'!A:D,4,0))</f>
        <v>3</v>
      </c>
      <c r="F3639" s="14" t="s">
        <v>4863</v>
      </c>
    </row>
    <row r="3640" spans="1:6" ht="31.75">
      <c r="A3640" s="19">
        <v>62603</v>
      </c>
      <c r="B3640" s="12" t="str">
        <f t="shared" si="56"/>
        <v>626</v>
      </c>
      <c r="C3640" s="1" t="s">
        <v>4928</v>
      </c>
      <c r="D3640" s="13" t="str">
        <f>IF(RIGHT(A3640,3)="000",C3640,VLOOKUP(B3640,'Справочник ИХ'!A:C,3,0))</f>
        <v>Остальные грузы</v>
      </c>
      <c r="E3640" s="13">
        <f>IF(RIGHT(A3640,3)="000","х",VLOOKUP(B3640,'Справочник ИХ'!A:D,4,0))</f>
        <v>3</v>
      </c>
      <c r="F3640" s="14" t="s">
        <v>4863</v>
      </c>
    </row>
    <row r="3641" spans="1:6" ht="31.75">
      <c r="A3641" s="19">
        <v>62604</v>
      </c>
      <c r="B3641" s="12" t="str">
        <f t="shared" si="56"/>
        <v>626</v>
      </c>
      <c r="C3641" s="1" t="s">
        <v>4929</v>
      </c>
      <c r="D3641" s="13" t="str">
        <f>IF(RIGHT(A3641,3)="000",C3641,VLOOKUP(B3641,'Справочник ИХ'!A:C,3,0))</f>
        <v>Остальные грузы</v>
      </c>
      <c r="E3641" s="13">
        <f>IF(RIGHT(A3641,3)="000","х",VLOOKUP(B3641,'Справочник ИХ'!A:D,4,0))</f>
        <v>3</v>
      </c>
      <c r="F3641" s="14" t="s">
        <v>4863</v>
      </c>
    </row>
    <row r="3642" spans="1:6" ht="31.75">
      <c r="A3642" s="19">
        <v>62605</v>
      </c>
      <c r="B3642" s="12" t="str">
        <f t="shared" si="56"/>
        <v>626</v>
      </c>
      <c r="C3642" s="1" t="s">
        <v>4930</v>
      </c>
      <c r="D3642" s="13" t="str">
        <f>IF(RIGHT(A3642,3)="000",C3642,VLOOKUP(B3642,'Справочник ИХ'!A:C,3,0))</f>
        <v>Остальные грузы</v>
      </c>
      <c r="E3642" s="13">
        <f>IF(RIGHT(A3642,3)="000","х",VLOOKUP(B3642,'Справочник ИХ'!A:D,4,0))</f>
        <v>3</v>
      </c>
      <c r="F3642" s="14" t="s">
        <v>4863</v>
      </c>
    </row>
    <row r="3643" spans="1:6" ht="31.75">
      <c r="A3643" s="19">
        <v>62606</v>
      </c>
      <c r="B3643" s="12" t="str">
        <f t="shared" si="56"/>
        <v>626</v>
      </c>
      <c r="C3643" s="1" t="s">
        <v>4931</v>
      </c>
      <c r="D3643" s="13" t="str">
        <f>IF(RIGHT(A3643,3)="000",C3643,VLOOKUP(B3643,'Справочник ИХ'!A:C,3,0))</f>
        <v>Остальные грузы</v>
      </c>
      <c r="E3643" s="13">
        <f>IF(RIGHT(A3643,3)="000","х",VLOOKUP(B3643,'Справочник ИХ'!A:D,4,0))</f>
        <v>3</v>
      </c>
      <c r="F3643" s="14" t="s">
        <v>4863</v>
      </c>
    </row>
    <row r="3644" spans="1:6" ht="31.75">
      <c r="A3644" s="19">
        <v>62607</v>
      </c>
      <c r="B3644" s="12" t="str">
        <f t="shared" si="56"/>
        <v>626</v>
      </c>
      <c r="C3644" s="1" t="s">
        <v>4932</v>
      </c>
      <c r="D3644" s="13" t="str">
        <f>IF(RIGHT(A3644,3)="000",C3644,VLOOKUP(B3644,'Справочник ИХ'!A:C,3,0))</f>
        <v>Остальные грузы</v>
      </c>
      <c r="E3644" s="13">
        <f>IF(RIGHT(A3644,3)="000","х",VLOOKUP(B3644,'Справочник ИХ'!A:D,4,0))</f>
        <v>3</v>
      </c>
      <c r="F3644" s="14" t="s">
        <v>4863</v>
      </c>
    </row>
    <row r="3645" spans="1:6" s="15" customFormat="1" ht="47.6">
      <c r="A3645" s="7">
        <v>63000</v>
      </c>
      <c r="B3645" s="12" t="str">
        <f t="shared" si="56"/>
        <v>630</v>
      </c>
      <c r="C3645" s="11" t="s">
        <v>4933</v>
      </c>
      <c r="D3645" s="13" t="str">
        <f>IF(RIGHT(A3645,3)="000",C3645,VLOOKUP(B3645,'Справочник ИХ'!A:C,3,0))</f>
        <v xml:space="preserve">Ткани, изделия швейной и трикотажной промышленности </v>
      </c>
      <c r="E3645" s="13" t="str">
        <f>IF(RIGHT(A3645,3)="000","х",VLOOKUP(B3645,'Справочник ИХ'!A:D,4,0))</f>
        <v>х</v>
      </c>
      <c r="F3645" s="14" t="s">
        <v>4933</v>
      </c>
    </row>
    <row r="3646" spans="1:6" s="18" customFormat="1" ht="31.75">
      <c r="A3646" s="16">
        <v>63100</v>
      </c>
      <c r="B3646" s="12" t="str">
        <f t="shared" si="56"/>
        <v>631</v>
      </c>
      <c r="C3646" s="17" t="s">
        <v>4934</v>
      </c>
      <c r="D3646" s="13" t="str">
        <f>IF(RIGHT(A3646,3)="000",C3646,VLOOKUP(B3646,'Справочник ИХ'!A:C,3,0))</f>
        <v>Остальные грузы</v>
      </c>
      <c r="E3646" s="13">
        <f>IF(RIGHT(A3646,3)="000","х",VLOOKUP(B3646,'Справочник ИХ'!A:D,4,0))</f>
        <v>3</v>
      </c>
      <c r="F3646" s="14" t="s">
        <v>4933</v>
      </c>
    </row>
    <row r="3647" spans="1:6" ht="31.75">
      <c r="A3647" s="19">
        <v>63101</v>
      </c>
      <c r="B3647" s="12" t="str">
        <f t="shared" si="56"/>
        <v>631</v>
      </c>
      <c r="C3647" s="1" t="s">
        <v>4935</v>
      </c>
      <c r="D3647" s="13" t="str">
        <f>IF(RIGHT(A3647,3)="000",C3647,VLOOKUP(B3647,'Справочник ИХ'!A:C,3,0))</f>
        <v>Остальные грузы</v>
      </c>
      <c r="E3647" s="13">
        <f>IF(RIGHT(A3647,3)="000","х",VLOOKUP(B3647,'Справочник ИХ'!A:D,4,0))</f>
        <v>3</v>
      </c>
      <c r="F3647" s="14" t="s">
        <v>4933</v>
      </c>
    </row>
    <row r="3648" spans="1:6" ht="31.75">
      <c r="A3648" s="19">
        <v>63102</v>
      </c>
      <c r="B3648" s="12" t="str">
        <f t="shared" si="56"/>
        <v>631</v>
      </c>
      <c r="C3648" s="1" t="s">
        <v>4936</v>
      </c>
      <c r="D3648" s="13" t="str">
        <f>IF(RIGHT(A3648,3)="000",C3648,VLOOKUP(B3648,'Справочник ИХ'!A:C,3,0))</f>
        <v>Остальные грузы</v>
      </c>
      <c r="E3648" s="13">
        <f>IF(RIGHT(A3648,3)="000","х",VLOOKUP(B3648,'Справочник ИХ'!A:D,4,0))</f>
        <v>3</v>
      </c>
      <c r="F3648" s="14" t="s">
        <v>4933</v>
      </c>
    </row>
    <row r="3649" spans="1:6" ht="31.75">
      <c r="A3649" s="19">
        <v>63103</v>
      </c>
      <c r="B3649" s="12" t="str">
        <f t="shared" si="56"/>
        <v>631</v>
      </c>
      <c r="C3649" s="1" t="s">
        <v>4937</v>
      </c>
      <c r="D3649" s="13" t="str">
        <f>IF(RIGHT(A3649,3)="000",C3649,VLOOKUP(B3649,'Справочник ИХ'!A:C,3,0))</f>
        <v>Остальные грузы</v>
      </c>
      <c r="E3649" s="13">
        <f>IF(RIGHT(A3649,3)="000","х",VLOOKUP(B3649,'Справочник ИХ'!A:D,4,0))</f>
        <v>3</v>
      </c>
      <c r="F3649" s="14" t="s">
        <v>4933</v>
      </c>
    </row>
    <row r="3650" spans="1:6" ht="31.75">
      <c r="A3650" s="19">
        <v>63104</v>
      </c>
      <c r="B3650" s="12" t="str">
        <f t="shared" si="56"/>
        <v>631</v>
      </c>
      <c r="C3650" s="1" t="s">
        <v>4938</v>
      </c>
      <c r="D3650" s="13" t="str">
        <f>IF(RIGHT(A3650,3)="000",C3650,VLOOKUP(B3650,'Справочник ИХ'!A:C,3,0))</f>
        <v>Остальные грузы</v>
      </c>
      <c r="E3650" s="13">
        <f>IF(RIGHT(A3650,3)="000","х",VLOOKUP(B3650,'Справочник ИХ'!A:D,4,0))</f>
        <v>3</v>
      </c>
      <c r="F3650" s="14" t="s">
        <v>4933</v>
      </c>
    </row>
    <row r="3651" spans="1:6" ht="31.75">
      <c r="A3651" s="19">
        <v>63105</v>
      </c>
      <c r="B3651" s="12" t="str">
        <f t="shared" si="56"/>
        <v>631</v>
      </c>
      <c r="C3651" s="1" t="s">
        <v>4939</v>
      </c>
      <c r="D3651" s="13" t="str">
        <f>IF(RIGHT(A3651,3)="000",C3651,VLOOKUP(B3651,'Справочник ИХ'!A:C,3,0))</f>
        <v>Остальные грузы</v>
      </c>
      <c r="E3651" s="13">
        <f>IF(RIGHT(A3651,3)="000","х",VLOOKUP(B3651,'Справочник ИХ'!A:D,4,0))</f>
        <v>3</v>
      </c>
      <c r="F3651" s="14" t="s">
        <v>4933</v>
      </c>
    </row>
    <row r="3652" spans="1:6" ht="31.75">
      <c r="A3652" s="19">
        <v>63106</v>
      </c>
      <c r="B3652" s="12" t="str">
        <f t="shared" si="56"/>
        <v>631</v>
      </c>
      <c r="C3652" s="1" t="s">
        <v>4940</v>
      </c>
      <c r="D3652" s="13" t="str">
        <f>IF(RIGHT(A3652,3)="000",C3652,VLOOKUP(B3652,'Справочник ИХ'!A:C,3,0))</f>
        <v>Остальные грузы</v>
      </c>
      <c r="E3652" s="13">
        <f>IF(RIGHT(A3652,3)="000","х",VLOOKUP(B3652,'Справочник ИХ'!A:D,4,0))</f>
        <v>3</v>
      </c>
      <c r="F3652" s="14" t="s">
        <v>4933</v>
      </c>
    </row>
    <row r="3653" spans="1:6" ht="31.75">
      <c r="A3653" s="19">
        <v>63107</v>
      </c>
      <c r="B3653" s="12" t="str">
        <f t="shared" ref="B3653:B3716" si="57">LEFT(A3653,3)</f>
        <v>631</v>
      </c>
      <c r="C3653" s="1" t="s">
        <v>4941</v>
      </c>
      <c r="D3653" s="13" t="str">
        <f>IF(RIGHT(A3653,3)="000",C3653,VLOOKUP(B3653,'Справочник ИХ'!A:C,3,0))</f>
        <v>Остальные грузы</v>
      </c>
      <c r="E3653" s="13">
        <f>IF(RIGHT(A3653,3)="000","х",VLOOKUP(B3653,'Справочник ИХ'!A:D,4,0))</f>
        <v>3</v>
      </c>
      <c r="F3653" s="14" t="s">
        <v>4933</v>
      </c>
    </row>
    <row r="3654" spans="1:6" ht="31.75">
      <c r="A3654" s="19">
        <v>63108</v>
      </c>
      <c r="B3654" s="12" t="str">
        <f t="shared" si="57"/>
        <v>631</v>
      </c>
      <c r="C3654" s="1" t="s">
        <v>4942</v>
      </c>
      <c r="D3654" s="13" t="str">
        <f>IF(RIGHT(A3654,3)="000",C3654,VLOOKUP(B3654,'Справочник ИХ'!A:C,3,0))</f>
        <v>Остальные грузы</v>
      </c>
      <c r="E3654" s="13">
        <f>IF(RIGHT(A3654,3)="000","х",VLOOKUP(B3654,'Справочник ИХ'!A:D,4,0))</f>
        <v>3</v>
      </c>
      <c r="F3654" s="14" t="s">
        <v>4933</v>
      </c>
    </row>
    <row r="3655" spans="1:6" ht="31.75">
      <c r="A3655" s="19">
        <v>63109</v>
      </c>
      <c r="B3655" s="12" t="str">
        <f t="shared" si="57"/>
        <v>631</v>
      </c>
      <c r="C3655" s="1" t="s">
        <v>4943</v>
      </c>
      <c r="D3655" s="13" t="str">
        <f>IF(RIGHT(A3655,3)="000",C3655,VLOOKUP(B3655,'Справочник ИХ'!A:C,3,0))</f>
        <v>Остальные грузы</v>
      </c>
      <c r="E3655" s="13">
        <f>IF(RIGHT(A3655,3)="000","х",VLOOKUP(B3655,'Справочник ИХ'!A:D,4,0))</f>
        <v>3</v>
      </c>
      <c r="F3655" s="14" t="s">
        <v>4933</v>
      </c>
    </row>
    <row r="3656" spans="1:6" ht="31.75">
      <c r="A3656" s="19">
        <v>63110</v>
      </c>
      <c r="B3656" s="12" t="str">
        <f t="shared" si="57"/>
        <v>631</v>
      </c>
      <c r="C3656" s="1" t="s">
        <v>4944</v>
      </c>
      <c r="D3656" s="13" t="str">
        <f>IF(RIGHT(A3656,3)="000",C3656,VLOOKUP(B3656,'Справочник ИХ'!A:C,3,0))</f>
        <v>Остальные грузы</v>
      </c>
      <c r="E3656" s="13">
        <f>IF(RIGHT(A3656,3)="000","х",VLOOKUP(B3656,'Справочник ИХ'!A:D,4,0))</f>
        <v>3</v>
      </c>
      <c r="F3656" s="14" t="s">
        <v>4933</v>
      </c>
    </row>
    <row r="3657" spans="1:6" ht="31.75">
      <c r="A3657" s="19">
        <v>63111</v>
      </c>
      <c r="B3657" s="12" t="str">
        <f t="shared" si="57"/>
        <v>631</v>
      </c>
      <c r="C3657" s="1" t="s">
        <v>4945</v>
      </c>
      <c r="D3657" s="13" t="str">
        <f>IF(RIGHT(A3657,3)="000",C3657,VLOOKUP(B3657,'Справочник ИХ'!A:C,3,0))</f>
        <v>Остальные грузы</v>
      </c>
      <c r="E3657" s="13">
        <f>IF(RIGHT(A3657,3)="000","х",VLOOKUP(B3657,'Справочник ИХ'!A:D,4,0))</f>
        <v>3</v>
      </c>
      <c r="F3657" s="14" t="s">
        <v>4933</v>
      </c>
    </row>
    <row r="3658" spans="1:6" ht="63.45">
      <c r="A3658" s="19">
        <v>63112</v>
      </c>
      <c r="B3658" s="12" t="str">
        <f t="shared" si="57"/>
        <v>631</v>
      </c>
      <c r="C3658" s="1" t="s">
        <v>4946</v>
      </c>
      <c r="D3658" s="13" t="str">
        <f>IF(RIGHT(A3658,3)="000",C3658,VLOOKUP(B3658,'Справочник ИХ'!A:C,3,0))</f>
        <v>Остальные грузы</v>
      </c>
      <c r="E3658" s="13">
        <f>IF(RIGHT(A3658,3)="000","х",VLOOKUP(B3658,'Справочник ИХ'!A:D,4,0))</f>
        <v>3</v>
      </c>
      <c r="F3658" s="14" t="s">
        <v>4933</v>
      </c>
    </row>
    <row r="3659" spans="1:6" ht="31.75">
      <c r="A3659" s="19">
        <v>63113</v>
      </c>
      <c r="B3659" s="12" t="str">
        <f t="shared" si="57"/>
        <v>631</v>
      </c>
      <c r="C3659" s="1" t="s">
        <v>4947</v>
      </c>
      <c r="D3659" s="13" t="str">
        <f>IF(RIGHT(A3659,3)="000",C3659,VLOOKUP(B3659,'Справочник ИХ'!A:C,3,0))</f>
        <v>Остальные грузы</v>
      </c>
      <c r="E3659" s="13">
        <f>IF(RIGHT(A3659,3)="000","х",VLOOKUP(B3659,'Справочник ИХ'!A:D,4,0))</f>
        <v>3</v>
      </c>
      <c r="F3659" s="14" t="s">
        <v>4933</v>
      </c>
    </row>
    <row r="3660" spans="1:6" ht="31.75">
      <c r="A3660" s="19">
        <v>63114</v>
      </c>
      <c r="B3660" s="12" t="str">
        <f t="shared" si="57"/>
        <v>631</v>
      </c>
      <c r="C3660" s="1" t="s">
        <v>4948</v>
      </c>
      <c r="D3660" s="13" t="str">
        <f>IF(RIGHT(A3660,3)="000",C3660,VLOOKUP(B3660,'Справочник ИХ'!A:C,3,0))</f>
        <v>Остальные грузы</v>
      </c>
      <c r="E3660" s="13">
        <f>IF(RIGHT(A3660,3)="000","х",VLOOKUP(B3660,'Справочник ИХ'!A:D,4,0))</f>
        <v>3</v>
      </c>
      <c r="F3660" s="14" t="s">
        <v>4933</v>
      </c>
    </row>
    <row r="3661" spans="1:6" ht="31.75">
      <c r="A3661" s="19">
        <v>63115</v>
      </c>
      <c r="B3661" s="12" t="str">
        <f t="shared" si="57"/>
        <v>631</v>
      </c>
      <c r="C3661" s="1" t="s">
        <v>4949</v>
      </c>
      <c r="D3661" s="13" t="str">
        <f>IF(RIGHT(A3661,3)="000",C3661,VLOOKUP(B3661,'Справочник ИХ'!A:C,3,0))</f>
        <v>Остальные грузы</v>
      </c>
      <c r="E3661" s="13">
        <f>IF(RIGHT(A3661,3)="000","х",VLOOKUP(B3661,'Справочник ИХ'!A:D,4,0))</f>
        <v>3</v>
      </c>
      <c r="F3661" s="14" t="s">
        <v>4933</v>
      </c>
    </row>
    <row r="3662" spans="1:6" ht="31.75">
      <c r="A3662" s="19">
        <v>63116</v>
      </c>
      <c r="B3662" s="12" t="str">
        <f t="shared" si="57"/>
        <v>631</v>
      </c>
      <c r="C3662" s="1" t="s">
        <v>4950</v>
      </c>
      <c r="D3662" s="13" t="str">
        <f>IF(RIGHT(A3662,3)="000",C3662,VLOOKUP(B3662,'Справочник ИХ'!A:C,3,0))</f>
        <v>Остальные грузы</v>
      </c>
      <c r="E3662" s="13">
        <f>IF(RIGHT(A3662,3)="000","х",VLOOKUP(B3662,'Справочник ИХ'!A:D,4,0))</f>
        <v>3</v>
      </c>
      <c r="F3662" s="14" t="s">
        <v>4933</v>
      </c>
    </row>
    <row r="3663" spans="1:6" ht="31.75">
      <c r="A3663" s="19">
        <v>63117</v>
      </c>
      <c r="B3663" s="12" t="str">
        <f t="shared" si="57"/>
        <v>631</v>
      </c>
      <c r="C3663" s="1" t="s">
        <v>4951</v>
      </c>
      <c r="D3663" s="13" t="str">
        <f>IF(RIGHT(A3663,3)="000",C3663,VLOOKUP(B3663,'Справочник ИХ'!A:C,3,0))</f>
        <v>Остальные грузы</v>
      </c>
      <c r="E3663" s="13">
        <f>IF(RIGHT(A3663,3)="000","х",VLOOKUP(B3663,'Справочник ИХ'!A:D,4,0))</f>
        <v>3</v>
      </c>
      <c r="F3663" s="14" t="s">
        <v>4933</v>
      </c>
    </row>
    <row r="3664" spans="1:6" s="18" customFormat="1" ht="31.75">
      <c r="A3664" s="16">
        <v>63200</v>
      </c>
      <c r="B3664" s="12" t="str">
        <f t="shared" si="57"/>
        <v>632</v>
      </c>
      <c r="C3664" s="17" t="s">
        <v>4952</v>
      </c>
      <c r="D3664" s="13" t="str">
        <f>IF(RIGHT(A3664,3)="000",C3664,VLOOKUP(B3664,'Справочник ИХ'!A:C,3,0))</f>
        <v>Остальные грузы</v>
      </c>
      <c r="E3664" s="13">
        <f>IF(RIGHT(A3664,3)="000","х",VLOOKUP(B3664,'Справочник ИХ'!A:D,4,0))</f>
        <v>3</v>
      </c>
      <c r="F3664" s="14" t="s">
        <v>4933</v>
      </c>
    </row>
    <row r="3665" spans="1:6" ht="31.75">
      <c r="A3665" s="19">
        <v>63201</v>
      </c>
      <c r="B3665" s="12" t="str">
        <f t="shared" si="57"/>
        <v>632</v>
      </c>
      <c r="C3665" s="1" t="s">
        <v>4953</v>
      </c>
      <c r="D3665" s="13" t="str">
        <f>IF(RIGHT(A3665,3)="000",C3665,VLOOKUP(B3665,'Справочник ИХ'!A:C,3,0))</f>
        <v>Остальные грузы</v>
      </c>
      <c r="E3665" s="13">
        <f>IF(RIGHT(A3665,3)="000","х",VLOOKUP(B3665,'Справочник ИХ'!A:D,4,0))</f>
        <v>3</v>
      </c>
      <c r="F3665" s="14" t="s">
        <v>4933</v>
      </c>
    </row>
    <row r="3666" spans="1:6" ht="31.75">
      <c r="A3666" s="19">
        <v>63202</v>
      </c>
      <c r="B3666" s="12" t="str">
        <f t="shared" si="57"/>
        <v>632</v>
      </c>
      <c r="C3666" s="1" t="s">
        <v>4954</v>
      </c>
      <c r="D3666" s="13" t="str">
        <f>IF(RIGHT(A3666,3)="000",C3666,VLOOKUP(B3666,'Справочник ИХ'!A:C,3,0))</f>
        <v>Остальные грузы</v>
      </c>
      <c r="E3666" s="13">
        <f>IF(RIGHT(A3666,3)="000","х",VLOOKUP(B3666,'Справочник ИХ'!A:D,4,0))</f>
        <v>3</v>
      </c>
      <c r="F3666" s="14" t="s">
        <v>4933</v>
      </c>
    </row>
    <row r="3667" spans="1:6" ht="31.75">
      <c r="A3667" s="19">
        <v>63203</v>
      </c>
      <c r="B3667" s="12" t="str">
        <f t="shared" si="57"/>
        <v>632</v>
      </c>
      <c r="C3667" s="1" t="s">
        <v>4955</v>
      </c>
      <c r="D3667" s="13" t="str">
        <f>IF(RIGHT(A3667,3)="000",C3667,VLOOKUP(B3667,'Справочник ИХ'!A:C,3,0))</f>
        <v>Остальные грузы</v>
      </c>
      <c r="E3667" s="13">
        <f>IF(RIGHT(A3667,3)="000","х",VLOOKUP(B3667,'Справочник ИХ'!A:D,4,0))</f>
        <v>3</v>
      </c>
      <c r="F3667" s="14" t="s">
        <v>4933</v>
      </c>
    </row>
    <row r="3668" spans="1:6" ht="31.75">
      <c r="A3668" s="19">
        <v>63204</v>
      </c>
      <c r="B3668" s="12" t="str">
        <f t="shared" si="57"/>
        <v>632</v>
      </c>
      <c r="C3668" s="1" t="s">
        <v>4956</v>
      </c>
      <c r="D3668" s="13" t="str">
        <f>IF(RIGHT(A3668,3)="000",C3668,VLOOKUP(B3668,'Справочник ИХ'!A:C,3,0))</f>
        <v>Остальные грузы</v>
      </c>
      <c r="E3668" s="13">
        <f>IF(RIGHT(A3668,3)="000","х",VLOOKUP(B3668,'Справочник ИХ'!A:D,4,0))</f>
        <v>3</v>
      </c>
      <c r="F3668" s="14" t="s">
        <v>4933</v>
      </c>
    </row>
    <row r="3669" spans="1:6" ht="31.75">
      <c r="A3669" s="19">
        <v>63205</v>
      </c>
      <c r="B3669" s="12" t="str">
        <f t="shared" si="57"/>
        <v>632</v>
      </c>
      <c r="C3669" s="1" t="s">
        <v>4957</v>
      </c>
      <c r="D3669" s="13" t="str">
        <f>IF(RIGHT(A3669,3)="000",C3669,VLOOKUP(B3669,'Справочник ИХ'!A:C,3,0))</f>
        <v>Остальные грузы</v>
      </c>
      <c r="E3669" s="13">
        <f>IF(RIGHT(A3669,3)="000","х",VLOOKUP(B3669,'Справочник ИХ'!A:D,4,0))</f>
        <v>3</v>
      </c>
      <c r="F3669" s="14" t="s">
        <v>4933</v>
      </c>
    </row>
    <row r="3670" spans="1:6" ht="31.75">
      <c r="A3670" s="19">
        <v>63206</v>
      </c>
      <c r="B3670" s="12" t="str">
        <f t="shared" si="57"/>
        <v>632</v>
      </c>
      <c r="C3670" s="1" t="s">
        <v>4958</v>
      </c>
      <c r="D3670" s="13" t="str">
        <f>IF(RIGHT(A3670,3)="000",C3670,VLOOKUP(B3670,'Справочник ИХ'!A:C,3,0))</f>
        <v>Остальные грузы</v>
      </c>
      <c r="E3670" s="13">
        <f>IF(RIGHT(A3670,3)="000","х",VLOOKUP(B3670,'Справочник ИХ'!A:D,4,0))</f>
        <v>3</v>
      </c>
      <c r="F3670" s="14" t="s">
        <v>4933</v>
      </c>
    </row>
    <row r="3671" spans="1:6" ht="31.75">
      <c r="A3671" s="19">
        <v>63207</v>
      </c>
      <c r="B3671" s="12" t="str">
        <f t="shared" si="57"/>
        <v>632</v>
      </c>
      <c r="C3671" s="1" t="s">
        <v>4959</v>
      </c>
      <c r="D3671" s="13" t="str">
        <f>IF(RIGHT(A3671,3)="000",C3671,VLOOKUP(B3671,'Справочник ИХ'!A:C,3,0))</f>
        <v>Остальные грузы</v>
      </c>
      <c r="E3671" s="13">
        <f>IF(RIGHT(A3671,3)="000","х",VLOOKUP(B3671,'Справочник ИХ'!A:D,4,0))</f>
        <v>3</v>
      </c>
      <c r="F3671" s="14" t="s">
        <v>4933</v>
      </c>
    </row>
    <row r="3672" spans="1:6" ht="31.75">
      <c r="A3672" s="19">
        <v>63208</v>
      </c>
      <c r="B3672" s="12" t="str">
        <f t="shared" si="57"/>
        <v>632</v>
      </c>
      <c r="C3672" s="1" t="s">
        <v>4960</v>
      </c>
      <c r="D3672" s="13" t="str">
        <f>IF(RIGHT(A3672,3)="000",C3672,VLOOKUP(B3672,'Справочник ИХ'!A:C,3,0))</f>
        <v>Остальные грузы</v>
      </c>
      <c r="E3672" s="13">
        <f>IF(RIGHT(A3672,3)="000","х",VLOOKUP(B3672,'Справочник ИХ'!A:D,4,0))</f>
        <v>3</v>
      </c>
      <c r="F3672" s="14" t="s">
        <v>4933</v>
      </c>
    </row>
    <row r="3673" spans="1:6" ht="31.75">
      <c r="A3673" s="19">
        <v>63209</v>
      </c>
      <c r="B3673" s="12" t="str">
        <f t="shared" si="57"/>
        <v>632</v>
      </c>
      <c r="C3673" s="1" t="s">
        <v>4961</v>
      </c>
      <c r="D3673" s="13" t="str">
        <f>IF(RIGHT(A3673,3)="000",C3673,VLOOKUP(B3673,'Справочник ИХ'!A:C,3,0))</f>
        <v>Остальные грузы</v>
      </c>
      <c r="E3673" s="13">
        <f>IF(RIGHT(A3673,3)="000","х",VLOOKUP(B3673,'Справочник ИХ'!A:D,4,0))</f>
        <v>3</v>
      </c>
      <c r="F3673" s="14" t="s">
        <v>4933</v>
      </c>
    </row>
    <row r="3674" spans="1:6" ht="31.75">
      <c r="A3674" s="19">
        <v>63210</v>
      </c>
      <c r="B3674" s="12" t="str">
        <f t="shared" si="57"/>
        <v>632</v>
      </c>
      <c r="C3674" s="1" t="s">
        <v>4962</v>
      </c>
      <c r="D3674" s="13" t="str">
        <f>IF(RIGHT(A3674,3)="000",C3674,VLOOKUP(B3674,'Справочник ИХ'!A:C,3,0))</f>
        <v>Остальные грузы</v>
      </c>
      <c r="E3674" s="13">
        <f>IF(RIGHT(A3674,3)="000","х",VLOOKUP(B3674,'Справочник ИХ'!A:D,4,0))</f>
        <v>3</v>
      </c>
      <c r="F3674" s="14" t="s">
        <v>4933</v>
      </c>
    </row>
    <row r="3675" spans="1:6" ht="31.75">
      <c r="A3675" s="19">
        <v>63211</v>
      </c>
      <c r="B3675" s="12" t="str">
        <f t="shared" si="57"/>
        <v>632</v>
      </c>
      <c r="C3675" s="1" t="s">
        <v>4963</v>
      </c>
      <c r="D3675" s="13" t="str">
        <f>IF(RIGHT(A3675,3)="000",C3675,VLOOKUP(B3675,'Справочник ИХ'!A:C,3,0))</f>
        <v>Остальные грузы</v>
      </c>
      <c r="E3675" s="13">
        <f>IF(RIGHT(A3675,3)="000","х",VLOOKUP(B3675,'Справочник ИХ'!A:D,4,0))</f>
        <v>3</v>
      </c>
      <c r="F3675" s="14" t="s">
        <v>4933</v>
      </c>
    </row>
    <row r="3676" spans="1:6" ht="31.75">
      <c r="A3676" s="19">
        <v>63212</v>
      </c>
      <c r="B3676" s="12" t="str">
        <f t="shared" si="57"/>
        <v>632</v>
      </c>
      <c r="C3676" s="1" t="s">
        <v>4964</v>
      </c>
      <c r="D3676" s="13" t="str">
        <f>IF(RIGHT(A3676,3)="000",C3676,VLOOKUP(B3676,'Справочник ИХ'!A:C,3,0))</f>
        <v>Остальные грузы</v>
      </c>
      <c r="E3676" s="13">
        <f>IF(RIGHT(A3676,3)="000","х",VLOOKUP(B3676,'Справочник ИХ'!A:D,4,0))</f>
        <v>3</v>
      </c>
      <c r="F3676" s="14" t="s">
        <v>4933</v>
      </c>
    </row>
    <row r="3677" spans="1:6" ht="31.75">
      <c r="A3677" s="19">
        <v>63213</v>
      </c>
      <c r="B3677" s="12" t="str">
        <f t="shared" si="57"/>
        <v>632</v>
      </c>
      <c r="C3677" s="1" t="s">
        <v>4965</v>
      </c>
      <c r="D3677" s="13" t="str">
        <f>IF(RIGHT(A3677,3)="000",C3677,VLOOKUP(B3677,'Справочник ИХ'!A:C,3,0))</f>
        <v>Остальные грузы</v>
      </c>
      <c r="E3677" s="13">
        <f>IF(RIGHT(A3677,3)="000","х",VLOOKUP(B3677,'Справочник ИХ'!A:D,4,0))</f>
        <v>3</v>
      </c>
      <c r="F3677" s="14" t="s">
        <v>4933</v>
      </c>
    </row>
    <row r="3678" spans="1:6" ht="31.75">
      <c r="A3678" s="19">
        <v>63214</v>
      </c>
      <c r="B3678" s="12" t="str">
        <f t="shared" si="57"/>
        <v>632</v>
      </c>
      <c r="C3678" s="1" t="s">
        <v>4966</v>
      </c>
      <c r="D3678" s="13" t="str">
        <f>IF(RIGHT(A3678,3)="000",C3678,VLOOKUP(B3678,'Справочник ИХ'!A:C,3,0))</f>
        <v>Остальные грузы</v>
      </c>
      <c r="E3678" s="13">
        <f>IF(RIGHT(A3678,3)="000","х",VLOOKUP(B3678,'Справочник ИХ'!A:D,4,0))</f>
        <v>3</v>
      </c>
      <c r="F3678" s="14" t="s">
        <v>4933</v>
      </c>
    </row>
    <row r="3679" spans="1:6" ht="31.75">
      <c r="A3679" s="19">
        <v>63215</v>
      </c>
      <c r="B3679" s="12" t="str">
        <f t="shared" si="57"/>
        <v>632</v>
      </c>
      <c r="C3679" s="1" t="s">
        <v>4967</v>
      </c>
      <c r="D3679" s="13" t="str">
        <f>IF(RIGHT(A3679,3)="000",C3679,VLOOKUP(B3679,'Справочник ИХ'!A:C,3,0))</f>
        <v>Остальные грузы</v>
      </c>
      <c r="E3679" s="13">
        <f>IF(RIGHT(A3679,3)="000","х",VLOOKUP(B3679,'Справочник ИХ'!A:D,4,0))</f>
        <v>3</v>
      </c>
      <c r="F3679" s="14" t="s">
        <v>4933</v>
      </c>
    </row>
    <row r="3680" spans="1:6" ht="31.75">
      <c r="A3680" s="19">
        <v>63216</v>
      </c>
      <c r="B3680" s="12" t="str">
        <f t="shared" si="57"/>
        <v>632</v>
      </c>
      <c r="C3680" s="1" t="s">
        <v>4968</v>
      </c>
      <c r="D3680" s="13" t="str">
        <f>IF(RIGHT(A3680,3)="000",C3680,VLOOKUP(B3680,'Справочник ИХ'!A:C,3,0))</f>
        <v>Остальные грузы</v>
      </c>
      <c r="E3680" s="13">
        <f>IF(RIGHT(A3680,3)="000","х",VLOOKUP(B3680,'Справочник ИХ'!A:D,4,0))</f>
        <v>3</v>
      </c>
      <c r="F3680" s="14" t="s">
        <v>4933</v>
      </c>
    </row>
    <row r="3681" spans="1:6" ht="31.75">
      <c r="A3681" s="19">
        <v>63217</v>
      </c>
      <c r="B3681" s="12" t="str">
        <f t="shared" si="57"/>
        <v>632</v>
      </c>
      <c r="C3681" s="1" t="s">
        <v>4969</v>
      </c>
      <c r="D3681" s="13" t="str">
        <f>IF(RIGHT(A3681,3)="000",C3681,VLOOKUP(B3681,'Справочник ИХ'!A:C,3,0))</f>
        <v>Остальные грузы</v>
      </c>
      <c r="E3681" s="13">
        <f>IF(RIGHT(A3681,3)="000","х",VLOOKUP(B3681,'Справочник ИХ'!A:D,4,0))</f>
        <v>3</v>
      </c>
      <c r="F3681" s="14" t="s">
        <v>4933</v>
      </c>
    </row>
    <row r="3682" spans="1:6" ht="31.75">
      <c r="A3682" s="19">
        <v>63218</v>
      </c>
      <c r="B3682" s="12" t="str">
        <f t="shared" si="57"/>
        <v>632</v>
      </c>
      <c r="C3682" s="1" t="s">
        <v>4970</v>
      </c>
      <c r="D3682" s="13" t="str">
        <f>IF(RIGHT(A3682,3)="000",C3682,VLOOKUP(B3682,'Справочник ИХ'!A:C,3,0))</f>
        <v>Остальные грузы</v>
      </c>
      <c r="E3682" s="13">
        <f>IF(RIGHT(A3682,3)="000","х",VLOOKUP(B3682,'Справочник ИХ'!A:D,4,0))</f>
        <v>3</v>
      </c>
      <c r="F3682" s="14" t="s">
        <v>4933</v>
      </c>
    </row>
    <row r="3683" spans="1:6" ht="31.75">
      <c r="A3683" s="19">
        <v>63219</v>
      </c>
      <c r="B3683" s="12" t="str">
        <f t="shared" si="57"/>
        <v>632</v>
      </c>
      <c r="C3683" s="1" t="s">
        <v>4971</v>
      </c>
      <c r="D3683" s="13" t="str">
        <f>IF(RIGHT(A3683,3)="000",C3683,VLOOKUP(B3683,'Справочник ИХ'!A:C,3,0))</f>
        <v>Остальные грузы</v>
      </c>
      <c r="E3683" s="13">
        <f>IF(RIGHT(A3683,3)="000","х",VLOOKUP(B3683,'Справочник ИХ'!A:D,4,0))</f>
        <v>3</v>
      </c>
      <c r="F3683" s="14" t="s">
        <v>4933</v>
      </c>
    </row>
    <row r="3684" spans="1:6" ht="31.75">
      <c r="A3684" s="19">
        <v>63220</v>
      </c>
      <c r="B3684" s="12" t="str">
        <f t="shared" si="57"/>
        <v>632</v>
      </c>
      <c r="C3684" s="1" t="s">
        <v>4972</v>
      </c>
      <c r="D3684" s="13" t="str">
        <f>IF(RIGHT(A3684,3)="000",C3684,VLOOKUP(B3684,'Справочник ИХ'!A:C,3,0))</f>
        <v>Остальные грузы</v>
      </c>
      <c r="E3684" s="13">
        <f>IF(RIGHT(A3684,3)="000","х",VLOOKUP(B3684,'Справочник ИХ'!A:D,4,0))</f>
        <v>3</v>
      </c>
      <c r="F3684" s="14" t="s">
        <v>4933</v>
      </c>
    </row>
    <row r="3685" spans="1:6" ht="31.75">
      <c r="A3685" s="19">
        <v>63221</v>
      </c>
      <c r="B3685" s="12" t="str">
        <f t="shared" si="57"/>
        <v>632</v>
      </c>
      <c r="C3685" s="1" t="s">
        <v>4973</v>
      </c>
      <c r="D3685" s="13" t="str">
        <f>IF(RIGHT(A3685,3)="000",C3685,VLOOKUP(B3685,'Справочник ИХ'!A:C,3,0))</f>
        <v>Остальные грузы</v>
      </c>
      <c r="E3685" s="13">
        <f>IF(RIGHT(A3685,3)="000","х",VLOOKUP(B3685,'Справочник ИХ'!A:D,4,0))</f>
        <v>3</v>
      </c>
      <c r="F3685" s="14" t="s">
        <v>4933</v>
      </c>
    </row>
    <row r="3686" spans="1:6" ht="31.75">
      <c r="A3686" s="19">
        <v>63222</v>
      </c>
      <c r="B3686" s="12" t="str">
        <f t="shared" si="57"/>
        <v>632</v>
      </c>
      <c r="C3686" s="1" t="s">
        <v>4974</v>
      </c>
      <c r="D3686" s="13" t="str">
        <f>IF(RIGHT(A3686,3)="000",C3686,VLOOKUP(B3686,'Справочник ИХ'!A:C,3,0))</f>
        <v>Остальные грузы</v>
      </c>
      <c r="E3686" s="13">
        <f>IF(RIGHT(A3686,3)="000","х",VLOOKUP(B3686,'Справочник ИХ'!A:D,4,0))</f>
        <v>3</v>
      </c>
      <c r="F3686" s="14" t="s">
        <v>4933</v>
      </c>
    </row>
    <row r="3687" spans="1:6" ht="31.75">
      <c r="A3687" s="19">
        <v>63223</v>
      </c>
      <c r="B3687" s="12" t="str">
        <f t="shared" si="57"/>
        <v>632</v>
      </c>
      <c r="C3687" s="1" t="s">
        <v>4975</v>
      </c>
      <c r="D3687" s="13" t="str">
        <f>IF(RIGHT(A3687,3)="000",C3687,VLOOKUP(B3687,'Справочник ИХ'!A:C,3,0))</f>
        <v>Остальные грузы</v>
      </c>
      <c r="E3687" s="13">
        <f>IF(RIGHT(A3687,3)="000","х",VLOOKUP(B3687,'Справочник ИХ'!A:D,4,0))</f>
        <v>3</v>
      </c>
      <c r="F3687" s="14" t="s">
        <v>4933</v>
      </c>
    </row>
    <row r="3688" spans="1:6" ht="31.75">
      <c r="A3688" s="19">
        <v>63224</v>
      </c>
      <c r="B3688" s="12" t="str">
        <f t="shared" si="57"/>
        <v>632</v>
      </c>
      <c r="C3688" s="1" t="s">
        <v>4976</v>
      </c>
      <c r="D3688" s="13" t="str">
        <f>IF(RIGHT(A3688,3)="000",C3688,VLOOKUP(B3688,'Справочник ИХ'!A:C,3,0))</f>
        <v>Остальные грузы</v>
      </c>
      <c r="E3688" s="13">
        <f>IF(RIGHT(A3688,3)="000","х",VLOOKUP(B3688,'Справочник ИХ'!A:D,4,0))</f>
        <v>3</v>
      </c>
      <c r="F3688" s="14" t="s">
        <v>4933</v>
      </c>
    </row>
    <row r="3689" spans="1:6" ht="31.75">
      <c r="A3689" s="19">
        <v>63225</v>
      </c>
      <c r="B3689" s="12" t="str">
        <f t="shared" si="57"/>
        <v>632</v>
      </c>
      <c r="C3689" s="1" t="s">
        <v>4977</v>
      </c>
      <c r="D3689" s="13" t="str">
        <f>IF(RIGHT(A3689,3)="000",C3689,VLOOKUP(B3689,'Справочник ИХ'!A:C,3,0))</f>
        <v>Остальные грузы</v>
      </c>
      <c r="E3689" s="13">
        <f>IF(RIGHT(A3689,3)="000","х",VLOOKUP(B3689,'Справочник ИХ'!A:D,4,0))</f>
        <v>3</v>
      </c>
      <c r="F3689" s="14" t="s">
        <v>4933</v>
      </c>
    </row>
    <row r="3690" spans="1:6" ht="31.75">
      <c r="A3690" s="19">
        <v>63226</v>
      </c>
      <c r="B3690" s="12" t="str">
        <f t="shared" si="57"/>
        <v>632</v>
      </c>
      <c r="C3690" s="1" t="s">
        <v>4978</v>
      </c>
      <c r="D3690" s="13" t="str">
        <f>IF(RIGHT(A3690,3)="000",C3690,VLOOKUP(B3690,'Справочник ИХ'!A:C,3,0))</f>
        <v>Остальные грузы</v>
      </c>
      <c r="E3690" s="13">
        <f>IF(RIGHT(A3690,3)="000","х",VLOOKUP(B3690,'Справочник ИХ'!A:D,4,0))</f>
        <v>3</v>
      </c>
      <c r="F3690" s="14" t="s">
        <v>4933</v>
      </c>
    </row>
    <row r="3691" spans="1:6" ht="31.75">
      <c r="A3691" s="19">
        <v>63227</v>
      </c>
      <c r="B3691" s="12" t="str">
        <f t="shared" si="57"/>
        <v>632</v>
      </c>
      <c r="C3691" s="1" t="s">
        <v>4979</v>
      </c>
      <c r="D3691" s="13" t="str">
        <f>IF(RIGHT(A3691,3)="000",C3691,VLOOKUP(B3691,'Справочник ИХ'!A:C,3,0))</f>
        <v>Остальные грузы</v>
      </c>
      <c r="E3691" s="13">
        <f>IF(RIGHT(A3691,3)="000","х",VLOOKUP(B3691,'Справочник ИХ'!A:D,4,0))</f>
        <v>3</v>
      </c>
      <c r="F3691" s="14" t="s">
        <v>4933</v>
      </c>
    </row>
    <row r="3692" spans="1:6" ht="31.75">
      <c r="A3692" s="19">
        <v>63228</v>
      </c>
      <c r="B3692" s="12" t="str">
        <f t="shared" si="57"/>
        <v>632</v>
      </c>
      <c r="C3692" s="1" t="s">
        <v>4980</v>
      </c>
      <c r="D3692" s="13" t="str">
        <f>IF(RIGHT(A3692,3)="000",C3692,VLOOKUP(B3692,'Справочник ИХ'!A:C,3,0))</f>
        <v>Остальные грузы</v>
      </c>
      <c r="E3692" s="13">
        <f>IF(RIGHT(A3692,3)="000","х",VLOOKUP(B3692,'Справочник ИХ'!A:D,4,0))</f>
        <v>3</v>
      </c>
      <c r="F3692" s="14" t="s">
        <v>4933</v>
      </c>
    </row>
    <row r="3693" spans="1:6" s="18" customFormat="1" ht="31.75">
      <c r="A3693" s="16">
        <v>63300</v>
      </c>
      <c r="B3693" s="12" t="str">
        <f t="shared" si="57"/>
        <v>633</v>
      </c>
      <c r="C3693" s="17" t="s">
        <v>4981</v>
      </c>
      <c r="D3693" s="13" t="str">
        <f>IF(RIGHT(A3693,3)="000",C3693,VLOOKUP(B3693,'Справочник ИХ'!A:C,3,0))</f>
        <v>Остальные грузы</v>
      </c>
      <c r="E3693" s="13">
        <f>IF(RIGHT(A3693,3)="000","х",VLOOKUP(B3693,'Справочник ИХ'!A:D,4,0))</f>
        <v>3</v>
      </c>
      <c r="F3693" s="14" t="s">
        <v>4933</v>
      </c>
    </row>
    <row r="3694" spans="1:6" ht="31.75">
      <c r="A3694" s="19">
        <v>63301</v>
      </c>
      <c r="B3694" s="12" t="str">
        <f t="shared" si="57"/>
        <v>633</v>
      </c>
      <c r="C3694" s="1" t="s">
        <v>4982</v>
      </c>
      <c r="D3694" s="13" t="str">
        <f>IF(RIGHT(A3694,3)="000",C3694,VLOOKUP(B3694,'Справочник ИХ'!A:C,3,0))</f>
        <v>Остальные грузы</v>
      </c>
      <c r="E3694" s="13">
        <f>IF(RIGHT(A3694,3)="000","х",VLOOKUP(B3694,'Справочник ИХ'!A:D,4,0))</f>
        <v>3</v>
      </c>
      <c r="F3694" s="14" t="s">
        <v>4933</v>
      </c>
    </row>
    <row r="3695" spans="1:6" ht="31.75">
      <c r="A3695" s="19">
        <v>63302</v>
      </c>
      <c r="B3695" s="12" t="str">
        <f t="shared" si="57"/>
        <v>633</v>
      </c>
      <c r="C3695" s="1" t="s">
        <v>4983</v>
      </c>
      <c r="D3695" s="13" t="str">
        <f>IF(RIGHT(A3695,3)="000",C3695,VLOOKUP(B3695,'Справочник ИХ'!A:C,3,0))</f>
        <v>Остальные грузы</v>
      </c>
      <c r="E3695" s="13">
        <f>IF(RIGHT(A3695,3)="000","х",VLOOKUP(B3695,'Справочник ИХ'!A:D,4,0))</f>
        <v>3</v>
      </c>
      <c r="F3695" s="14" t="s">
        <v>4933</v>
      </c>
    </row>
    <row r="3696" spans="1:6" ht="31.75">
      <c r="A3696" s="19">
        <v>63303</v>
      </c>
      <c r="B3696" s="12" t="str">
        <f t="shared" si="57"/>
        <v>633</v>
      </c>
      <c r="C3696" s="1" t="s">
        <v>4984</v>
      </c>
      <c r="D3696" s="13" t="str">
        <f>IF(RIGHT(A3696,3)="000",C3696,VLOOKUP(B3696,'Справочник ИХ'!A:C,3,0))</f>
        <v>Остальные грузы</v>
      </c>
      <c r="E3696" s="13">
        <f>IF(RIGHT(A3696,3)="000","х",VLOOKUP(B3696,'Справочник ИХ'!A:D,4,0))</f>
        <v>3</v>
      </c>
      <c r="F3696" s="14" t="s">
        <v>4933</v>
      </c>
    </row>
    <row r="3697" spans="1:6" ht="31.75">
      <c r="A3697" s="19">
        <v>63304</v>
      </c>
      <c r="B3697" s="12" t="str">
        <f t="shared" si="57"/>
        <v>633</v>
      </c>
      <c r="C3697" s="1" t="s">
        <v>4985</v>
      </c>
      <c r="D3697" s="13" t="str">
        <f>IF(RIGHT(A3697,3)="000",C3697,VLOOKUP(B3697,'Справочник ИХ'!A:C,3,0))</f>
        <v>Остальные грузы</v>
      </c>
      <c r="E3697" s="13">
        <f>IF(RIGHT(A3697,3)="000","х",VLOOKUP(B3697,'Справочник ИХ'!A:D,4,0))</f>
        <v>3</v>
      </c>
      <c r="F3697" s="14" t="s">
        <v>4933</v>
      </c>
    </row>
    <row r="3698" spans="1:6" ht="31.75">
      <c r="A3698" s="19">
        <v>63305</v>
      </c>
      <c r="B3698" s="12" t="str">
        <f t="shared" si="57"/>
        <v>633</v>
      </c>
      <c r="C3698" s="1" t="s">
        <v>4986</v>
      </c>
      <c r="D3698" s="13" t="str">
        <f>IF(RIGHT(A3698,3)="000",C3698,VLOOKUP(B3698,'Справочник ИХ'!A:C,3,0))</f>
        <v>Остальные грузы</v>
      </c>
      <c r="E3698" s="13">
        <f>IF(RIGHT(A3698,3)="000","х",VLOOKUP(B3698,'Справочник ИХ'!A:D,4,0))</f>
        <v>3</v>
      </c>
      <c r="F3698" s="14" t="s">
        <v>4933</v>
      </c>
    </row>
    <row r="3699" spans="1:6" ht="31.75">
      <c r="A3699" s="19">
        <v>63306</v>
      </c>
      <c r="B3699" s="12" t="str">
        <f t="shared" si="57"/>
        <v>633</v>
      </c>
      <c r="C3699" s="1" t="s">
        <v>4987</v>
      </c>
      <c r="D3699" s="13" t="str">
        <f>IF(RIGHT(A3699,3)="000",C3699,VLOOKUP(B3699,'Справочник ИХ'!A:C,3,0))</f>
        <v>Остальные грузы</v>
      </c>
      <c r="E3699" s="13">
        <f>IF(RIGHT(A3699,3)="000","х",VLOOKUP(B3699,'Справочник ИХ'!A:D,4,0))</f>
        <v>3</v>
      </c>
      <c r="F3699" s="14" t="s">
        <v>4933</v>
      </c>
    </row>
    <row r="3700" spans="1:6" ht="31.75">
      <c r="A3700" s="19">
        <v>63307</v>
      </c>
      <c r="B3700" s="12" t="str">
        <f t="shared" si="57"/>
        <v>633</v>
      </c>
      <c r="C3700" s="1" t="s">
        <v>4988</v>
      </c>
      <c r="D3700" s="13" t="str">
        <f>IF(RIGHT(A3700,3)="000",C3700,VLOOKUP(B3700,'Справочник ИХ'!A:C,3,0))</f>
        <v>Остальные грузы</v>
      </c>
      <c r="E3700" s="13">
        <f>IF(RIGHT(A3700,3)="000","х",VLOOKUP(B3700,'Справочник ИХ'!A:D,4,0))</f>
        <v>3</v>
      </c>
      <c r="F3700" s="14" t="s">
        <v>4933</v>
      </c>
    </row>
    <row r="3701" spans="1:6" ht="31.75">
      <c r="A3701" s="19">
        <v>63308</v>
      </c>
      <c r="B3701" s="12" t="str">
        <f t="shared" si="57"/>
        <v>633</v>
      </c>
      <c r="C3701" s="1" t="s">
        <v>4989</v>
      </c>
      <c r="D3701" s="13" t="str">
        <f>IF(RIGHT(A3701,3)="000",C3701,VLOOKUP(B3701,'Справочник ИХ'!A:C,3,0))</f>
        <v>Остальные грузы</v>
      </c>
      <c r="E3701" s="13">
        <f>IF(RIGHT(A3701,3)="000","х",VLOOKUP(B3701,'Справочник ИХ'!A:D,4,0))</f>
        <v>3</v>
      </c>
      <c r="F3701" s="14" t="s">
        <v>4933</v>
      </c>
    </row>
    <row r="3702" spans="1:6" ht="31.75">
      <c r="A3702" s="19">
        <v>63309</v>
      </c>
      <c r="B3702" s="12" t="str">
        <f t="shared" si="57"/>
        <v>633</v>
      </c>
      <c r="C3702" s="1" t="s">
        <v>4990</v>
      </c>
      <c r="D3702" s="13" t="str">
        <f>IF(RIGHT(A3702,3)="000",C3702,VLOOKUP(B3702,'Справочник ИХ'!A:C,3,0))</f>
        <v>Остальные грузы</v>
      </c>
      <c r="E3702" s="13">
        <f>IF(RIGHT(A3702,3)="000","х",VLOOKUP(B3702,'Справочник ИХ'!A:D,4,0))</f>
        <v>3</v>
      </c>
      <c r="F3702" s="14" t="s">
        <v>4933</v>
      </c>
    </row>
    <row r="3703" spans="1:6" ht="31.75">
      <c r="A3703" s="19">
        <v>63310</v>
      </c>
      <c r="B3703" s="12" t="str">
        <f t="shared" si="57"/>
        <v>633</v>
      </c>
      <c r="C3703" s="1" t="s">
        <v>4991</v>
      </c>
      <c r="D3703" s="13" t="str">
        <f>IF(RIGHT(A3703,3)="000",C3703,VLOOKUP(B3703,'Справочник ИХ'!A:C,3,0))</f>
        <v>Остальные грузы</v>
      </c>
      <c r="E3703" s="13">
        <f>IF(RIGHT(A3703,3)="000","х",VLOOKUP(B3703,'Справочник ИХ'!A:D,4,0))</f>
        <v>3</v>
      </c>
      <c r="F3703" s="14" t="s">
        <v>4933</v>
      </c>
    </row>
    <row r="3704" spans="1:6" ht="31.75">
      <c r="A3704" s="19">
        <v>63311</v>
      </c>
      <c r="B3704" s="12" t="str">
        <f t="shared" si="57"/>
        <v>633</v>
      </c>
      <c r="C3704" s="1" t="s">
        <v>4992</v>
      </c>
      <c r="D3704" s="13" t="str">
        <f>IF(RIGHT(A3704,3)="000",C3704,VLOOKUP(B3704,'Справочник ИХ'!A:C,3,0))</f>
        <v>Остальные грузы</v>
      </c>
      <c r="E3704" s="13">
        <f>IF(RIGHT(A3704,3)="000","х",VLOOKUP(B3704,'Справочник ИХ'!A:D,4,0))</f>
        <v>3</v>
      </c>
      <c r="F3704" s="14" t="s">
        <v>4933</v>
      </c>
    </row>
    <row r="3705" spans="1:6" ht="31.75">
      <c r="A3705" s="19">
        <v>63312</v>
      </c>
      <c r="B3705" s="12" t="str">
        <f t="shared" si="57"/>
        <v>633</v>
      </c>
      <c r="C3705" s="1" t="s">
        <v>4993</v>
      </c>
      <c r="D3705" s="13" t="str">
        <f>IF(RIGHT(A3705,3)="000",C3705,VLOOKUP(B3705,'Справочник ИХ'!A:C,3,0))</f>
        <v>Остальные грузы</v>
      </c>
      <c r="E3705" s="13">
        <f>IF(RIGHT(A3705,3)="000","х",VLOOKUP(B3705,'Справочник ИХ'!A:D,4,0))</f>
        <v>3</v>
      </c>
      <c r="F3705" s="14" t="s">
        <v>4933</v>
      </c>
    </row>
    <row r="3706" spans="1:6" s="18" customFormat="1" ht="31.75">
      <c r="A3706" s="16">
        <v>63400</v>
      </c>
      <c r="B3706" s="12" t="str">
        <f t="shared" si="57"/>
        <v>634</v>
      </c>
      <c r="C3706" s="17" t="s">
        <v>4994</v>
      </c>
      <c r="D3706" s="13" t="str">
        <f>IF(RIGHT(A3706,3)="000",C3706,VLOOKUP(B3706,'Справочник ИХ'!A:C,3,0))</f>
        <v>Остальные грузы</v>
      </c>
      <c r="E3706" s="13">
        <f>IF(RIGHT(A3706,3)="000","х",VLOOKUP(B3706,'Справочник ИХ'!A:D,4,0))</f>
        <v>3</v>
      </c>
      <c r="F3706" s="14" t="s">
        <v>4933</v>
      </c>
    </row>
    <row r="3707" spans="1:6" ht="31.75">
      <c r="A3707" s="19">
        <v>63401</v>
      </c>
      <c r="B3707" s="12" t="str">
        <f t="shared" si="57"/>
        <v>634</v>
      </c>
      <c r="C3707" s="1" t="s">
        <v>4995</v>
      </c>
      <c r="D3707" s="13" t="str">
        <f>IF(RIGHT(A3707,3)="000",C3707,VLOOKUP(B3707,'Справочник ИХ'!A:C,3,0))</f>
        <v>Остальные грузы</v>
      </c>
      <c r="E3707" s="13">
        <f>IF(RIGHT(A3707,3)="000","х",VLOOKUP(B3707,'Справочник ИХ'!A:D,4,0))</f>
        <v>3</v>
      </c>
      <c r="F3707" s="14" t="s">
        <v>4933</v>
      </c>
    </row>
    <row r="3708" spans="1:6" ht="31.75">
      <c r="A3708" s="19">
        <v>63402</v>
      </c>
      <c r="B3708" s="12" t="str">
        <f t="shared" si="57"/>
        <v>634</v>
      </c>
      <c r="C3708" s="1" t="s">
        <v>4996</v>
      </c>
      <c r="D3708" s="13" t="str">
        <f>IF(RIGHT(A3708,3)="000",C3708,VLOOKUP(B3708,'Справочник ИХ'!A:C,3,0))</f>
        <v>Остальные грузы</v>
      </c>
      <c r="E3708" s="13">
        <f>IF(RIGHT(A3708,3)="000","х",VLOOKUP(B3708,'Справочник ИХ'!A:D,4,0))</f>
        <v>3</v>
      </c>
      <c r="F3708" s="14" t="s">
        <v>4933</v>
      </c>
    </row>
    <row r="3709" spans="1:6" ht="31.75">
      <c r="A3709" s="19">
        <v>63403</v>
      </c>
      <c r="B3709" s="12" t="str">
        <f t="shared" si="57"/>
        <v>634</v>
      </c>
      <c r="C3709" s="1" t="s">
        <v>4997</v>
      </c>
      <c r="D3709" s="13" t="str">
        <f>IF(RIGHT(A3709,3)="000",C3709,VLOOKUP(B3709,'Справочник ИХ'!A:C,3,0))</f>
        <v>Остальные грузы</v>
      </c>
      <c r="E3709" s="13">
        <f>IF(RIGHT(A3709,3)="000","х",VLOOKUP(B3709,'Справочник ИХ'!A:D,4,0))</f>
        <v>3</v>
      </c>
      <c r="F3709" s="14" t="s">
        <v>4933</v>
      </c>
    </row>
    <row r="3710" spans="1:6" ht="31.75">
      <c r="A3710" s="19">
        <v>63404</v>
      </c>
      <c r="B3710" s="12" t="str">
        <f t="shared" si="57"/>
        <v>634</v>
      </c>
      <c r="C3710" s="1" t="s">
        <v>4998</v>
      </c>
      <c r="D3710" s="13" t="str">
        <f>IF(RIGHT(A3710,3)="000",C3710,VLOOKUP(B3710,'Справочник ИХ'!A:C,3,0))</f>
        <v>Остальные грузы</v>
      </c>
      <c r="E3710" s="13">
        <f>IF(RIGHT(A3710,3)="000","х",VLOOKUP(B3710,'Справочник ИХ'!A:D,4,0))</f>
        <v>3</v>
      </c>
      <c r="F3710" s="14" t="s">
        <v>4933</v>
      </c>
    </row>
    <row r="3711" spans="1:6" ht="31.75">
      <c r="A3711" s="19">
        <v>63405</v>
      </c>
      <c r="B3711" s="12" t="str">
        <f t="shared" si="57"/>
        <v>634</v>
      </c>
      <c r="C3711" s="1" t="s">
        <v>4999</v>
      </c>
      <c r="D3711" s="13" t="str">
        <f>IF(RIGHT(A3711,3)="000",C3711,VLOOKUP(B3711,'Справочник ИХ'!A:C,3,0))</f>
        <v>Остальные грузы</v>
      </c>
      <c r="E3711" s="13">
        <f>IF(RIGHT(A3711,3)="000","х",VLOOKUP(B3711,'Справочник ИХ'!A:D,4,0))</f>
        <v>3</v>
      </c>
      <c r="F3711" s="14" t="s">
        <v>4933</v>
      </c>
    </row>
    <row r="3712" spans="1:6" ht="31.75">
      <c r="A3712" s="19">
        <v>63406</v>
      </c>
      <c r="B3712" s="12" t="str">
        <f t="shared" si="57"/>
        <v>634</v>
      </c>
      <c r="C3712" s="1" t="s">
        <v>5000</v>
      </c>
      <c r="D3712" s="13" t="str">
        <f>IF(RIGHT(A3712,3)="000",C3712,VLOOKUP(B3712,'Справочник ИХ'!A:C,3,0))</f>
        <v>Остальные грузы</v>
      </c>
      <c r="E3712" s="13">
        <f>IF(RIGHT(A3712,3)="000","х",VLOOKUP(B3712,'Справочник ИХ'!A:D,4,0))</f>
        <v>3</v>
      </c>
      <c r="F3712" s="14" t="s">
        <v>4933</v>
      </c>
    </row>
    <row r="3713" spans="1:6" ht="31.75">
      <c r="A3713" s="19">
        <v>63407</v>
      </c>
      <c r="B3713" s="12" t="str">
        <f t="shared" si="57"/>
        <v>634</v>
      </c>
      <c r="C3713" s="1" t="s">
        <v>5001</v>
      </c>
      <c r="D3713" s="13" t="str">
        <f>IF(RIGHT(A3713,3)="000",C3713,VLOOKUP(B3713,'Справочник ИХ'!A:C,3,0))</f>
        <v>Остальные грузы</v>
      </c>
      <c r="E3713" s="13">
        <f>IF(RIGHT(A3713,3)="000","х",VLOOKUP(B3713,'Справочник ИХ'!A:D,4,0))</f>
        <v>3</v>
      </c>
      <c r="F3713" s="14" t="s">
        <v>4933</v>
      </c>
    </row>
    <row r="3714" spans="1:6" ht="31.75">
      <c r="A3714" s="19">
        <v>63408</v>
      </c>
      <c r="B3714" s="12" t="str">
        <f t="shared" si="57"/>
        <v>634</v>
      </c>
      <c r="C3714" s="1" t="s">
        <v>5002</v>
      </c>
      <c r="D3714" s="13" t="str">
        <f>IF(RIGHT(A3714,3)="000",C3714,VLOOKUP(B3714,'Справочник ИХ'!A:C,3,0))</f>
        <v>Остальные грузы</v>
      </c>
      <c r="E3714" s="13">
        <f>IF(RIGHT(A3714,3)="000","х",VLOOKUP(B3714,'Справочник ИХ'!A:D,4,0))</f>
        <v>3</v>
      </c>
      <c r="F3714" s="14" t="s">
        <v>4933</v>
      </c>
    </row>
    <row r="3715" spans="1:6" ht="31.75">
      <c r="A3715" s="19">
        <v>63409</v>
      </c>
      <c r="B3715" s="12" t="str">
        <f t="shared" si="57"/>
        <v>634</v>
      </c>
      <c r="C3715" s="1" t="s">
        <v>5003</v>
      </c>
      <c r="D3715" s="13" t="str">
        <f>IF(RIGHT(A3715,3)="000",C3715,VLOOKUP(B3715,'Справочник ИХ'!A:C,3,0))</f>
        <v>Остальные грузы</v>
      </c>
      <c r="E3715" s="13">
        <f>IF(RIGHT(A3715,3)="000","х",VLOOKUP(B3715,'Справочник ИХ'!A:D,4,0))</f>
        <v>3</v>
      </c>
      <c r="F3715" s="14" t="s">
        <v>4933</v>
      </c>
    </row>
    <row r="3716" spans="1:6" ht="31.75">
      <c r="A3716" s="19">
        <v>63410</v>
      </c>
      <c r="B3716" s="12" t="str">
        <f t="shared" si="57"/>
        <v>634</v>
      </c>
      <c r="C3716" s="1" t="s">
        <v>5004</v>
      </c>
      <c r="D3716" s="13" t="str">
        <f>IF(RIGHT(A3716,3)="000",C3716,VLOOKUP(B3716,'Справочник ИХ'!A:C,3,0))</f>
        <v>Остальные грузы</v>
      </c>
      <c r="E3716" s="13">
        <f>IF(RIGHT(A3716,3)="000","х",VLOOKUP(B3716,'Справочник ИХ'!A:D,4,0))</f>
        <v>3</v>
      </c>
      <c r="F3716" s="14" t="s">
        <v>4933</v>
      </c>
    </row>
    <row r="3717" spans="1:6" ht="31.75">
      <c r="A3717" s="19">
        <v>63411</v>
      </c>
      <c r="B3717" s="12" t="str">
        <f t="shared" ref="B3717:B3780" si="58">LEFT(A3717,3)</f>
        <v>634</v>
      </c>
      <c r="C3717" s="1" t="s">
        <v>5005</v>
      </c>
      <c r="D3717" s="13" t="str">
        <f>IF(RIGHT(A3717,3)="000",C3717,VLOOKUP(B3717,'Справочник ИХ'!A:C,3,0))</f>
        <v>Остальные грузы</v>
      </c>
      <c r="E3717" s="13">
        <f>IF(RIGHT(A3717,3)="000","х",VLOOKUP(B3717,'Справочник ИХ'!A:D,4,0))</f>
        <v>3</v>
      </c>
      <c r="F3717" s="14" t="s">
        <v>4933</v>
      </c>
    </row>
    <row r="3718" spans="1:6" ht="31.75">
      <c r="A3718" s="19">
        <v>63412</v>
      </c>
      <c r="B3718" s="12" t="str">
        <f t="shared" si="58"/>
        <v>634</v>
      </c>
      <c r="C3718" s="1" t="s">
        <v>5006</v>
      </c>
      <c r="D3718" s="13" t="str">
        <f>IF(RIGHT(A3718,3)="000",C3718,VLOOKUP(B3718,'Справочник ИХ'!A:C,3,0))</f>
        <v>Остальные грузы</v>
      </c>
      <c r="E3718" s="13">
        <f>IF(RIGHT(A3718,3)="000","х",VLOOKUP(B3718,'Справочник ИХ'!A:D,4,0))</f>
        <v>3</v>
      </c>
      <c r="F3718" s="14" t="s">
        <v>4933</v>
      </c>
    </row>
    <row r="3719" spans="1:6" ht="31.75">
      <c r="A3719" s="19">
        <v>63413</v>
      </c>
      <c r="B3719" s="12" t="str">
        <f t="shared" si="58"/>
        <v>634</v>
      </c>
      <c r="C3719" s="1" t="s">
        <v>5007</v>
      </c>
      <c r="D3719" s="13" t="str">
        <f>IF(RIGHT(A3719,3)="000",C3719,VLOOKUP(B3719,'Справочник ИХ'!A:C,3,0))</f>
        <v>Остальные грузы</v>
      </c>
      <c r="E3719" s="13">
        <f>IF(RIGHT(A3719,3)="000","х",VLOOKUP(B3719,'Справочник ИХ'!A:D,4,0))</f>
        <v>3</v>
      </c>
      <c r="F3719" s="14" t="s">
        <v>4933</v>
      </c>
    </row>
    <row r="3720" spans="1:6" ht="31.75">
      <c r="A3720" s="19">
        <v>63414</v>
      </c>
      <c r="B3720" s="12" t="str">
        <f t="shared" si="58"/>
        <v>634</v>
      </c>
      <c r="C3720" s="1" t="s">
        <v>5008</v>
      </c>
      <c r="D3720" s="13" t="str">
        <f>IF(RIGHT(A3720,3)="000",C3720,VLOOKUP(B3720,'Справочник ИХ'!A:C,3,0))</f>
        <v>Остальные грузы</v>
      </c>
      <c r="E3720" s="13">
        <f>IF(RIGHT(A3720,3)="000","х",VLOOKUP(B3720,'Справочник ИХ'!A:D,4,0))</f>
        <v>3</v>
      </c>
      <c r="F3720" s="14" t="s">
        <v>4933</v>
      </c>
    </row>
    <row r="3721" spans="1:6" ht="31.75">
      <c r="A3721" s="19">
        <v>63415</v>
      </c>
      <c r="B3721" s="12" t="str">
        <f t="shared" si="58"/>
        <v>634</v>
      </c>
      <c r="C3721" s="1" t="s">
        <v>5009</v>
      </c>
      <c r="D3721" s="13" t="str">
        <f>IF(RIGHT(A3721,3)="000",C3721,VLOOKUP(B3721,'Справочник ИХ'!A:C,3,0))</f>
        <v>Остальные грузы</v>
      </c>
      <c r="E3721" s="13">
        <f>IF(RIGHT(A3721,3)="000","х",VLOOKUP(B3721,'Справочник ИХ'!A:D,4,0))</f>
        <v>3</v>
      </c>
      <c r="F3721" s="14" t="s">
        <v>4933</v>
      </c>
    </row>
    <row r="3722" spans="1:6" ht="31.75">
      <c r="A3722" s="19">
        <v>63416</v>
      </c>
      <c r="B3722" s="12" t="str">
        <f t="shared" si="58"/>
        <v>634</v>
      </c>
      <c r="C3722" s="1" t="s">
        <v>5010</v>
      </c>
      <c r="D3722" s="13" t="str">
        <f>IF(RIGHT(A3722,3)="000",C3722,VLOOKUP(B3722,'Справочник ИХ'!A:C,3,0))</f>
        <v>Остальные грузы</v>
      </c>
      <c r="E3722" s="13">
        <f>IF(RIGHT(A3722,3)="000","х",VLOOKUP(B3722,'Справочник ИХ'!A:D,4,0))</f>
        <v>3</v>
      </c>
      <c r="F3722" s="14" t="s">
        <v>4933</v>
      </c>
    </row>
    <row r="3723" spans="1:6" ht="31.75">
      <c r="A3723" s="19">
        <v>63417</v>
      </c>
      <c r="B3723" s="12" t="str">
        <f t="shared" si="58"/>
        <v>634</v>
      </c>
      <c r="C3723" s="1" t="s">
        <v>5011</v>
      </c>
      <c r="D3723" s="13" t="str">
        <f>IF(RIGHT(A3723,3)="000",C3723,VLOOKUP(B3723,'Справочник ИХ'!A:C,3,0))</f>
        <v>Остальные грузы</v>
      </c>
      <c r="E3723" s="13">
        <f>IF(RIGHT(A3723,3)="000","х",VLOOKUP(B3723,'Справочник ИХ'!A:D,4,0))</f>
        <v>3</v>
      </c>
      <c r="F3723" s="14" t="s">
        <v>4933</v>
      </c>
    </row>
    <row r="3724" spans="1:6" ht="31.75">
      <c r="A3724" s="19">
        <v>63418</v>
      </c>
      <c r="B3724" s="12" t="str">
        <f t="shared" si="58"/>
        <v>634</v>
      </c>
      <c r="C3724" s="1" t="s">
        <v>5012</v>
      </c>
      <c r="D3724" s="13" t="str">
        <f>IF(RIGHT(A3724,3)="000",C3724,VLOOKUP(B3724,'Справочник ИХ'!A:C,3,0))</f>
        <v>Остальные грузы</v>
      </c>
      <c r="E3724" s="13">
        <f>IF(RIGHT(A3724,3)="000","х",VLOOKUP(B3724,'Справочник ИХ'!A:D,4,0))</f>
        <v>3</v>
      </c>
      <c r="F3724" s="14" t="s">
        <v>4933</v>
      </c>
    </row>
    <row r="3725" spans="1:6" ht="31.75">
      <c r="A3725" s="19">
        <v>63419</v>
      </c>
      <c r="B3725" s="12" t="str">
        <f t="shared" si="58"/>
        <v>634</v>
      </c>
      <c r="C3725" s="1" t="s">
        <v>5013</v>
      </c>
      <c r="D3725" s="13" t="str">
        <f>IF(RIGHT(A3725,3)="000",C3725,VLOOKUP(B3725,'Справочник ИХ'!A:C,3,0))</f>
        <v>Остальные грузы</v>
      </c>
      <c r="E3725" s="13">
        <f>IF(RIGHT(A3725,3)="000","х",VLOOKUP(B3725,'Справочник ИХ'!A:D,4,0))</f>
        <v>3</v>
      </c>
      <c r="F3725" s="14" t="s">
        <v>4933</v>
      </c>
    </row>
    <row r="3726" spans="1:6" ht="31.75">
      <c r="A3726" s="19">
        <v>63420</v>
      </c>
      <c r="B3726" s="12" t="str">
        <f t="shared" si="58"/>
        <v>634</v>
      </c>
      <c r="C3726" s="1" t="s">
        <v>5014</v>
      </c>
      <c r="D3726" s="13" t="str">
        <f>IF(RIGHT(A3726,3)="000",C3726,VLOOKUP(B3726,'Справочник ИХ'!A:C,3,0))</f>
        <v>Остальные грузы</v>
      </c>
      <c r="E3726" s="13">
        <f>IF(RIGHT(A3726,3)="000","х",VLOOKUP(B3726,'Справочник ИХ'!A:D,4,0))</f>
        <v>3</v>
      </c>
      <c r="F3726" s="14" t="s">
        <v>4933</v>
      </c>
    </row>
    <row r="3727" spans="1:6" ht="31.75">
      <c r="A3727" s="19">
        <v>63421</v>
      </c>
      <c r="B3727" s="12" t="str">
        <f t="shared" si="58"/>
        <v>634</v>
      </c>
      <c r="C3727" s="1" t="s">
        <v>5015</v>
      </c>
      <c r="D3727" s="13" t="str">
        <f>IF(RIGHT(A3727,3)="000",C3727,VLOOKUP(B3727,'Справочник ИХ'!A:C,3,0))</f>
        <v>Остальные грузы</v>
      </c>
      <c r="E3727" s="13">
        <f>IF(RIGHT(A3727,3)="000","х",VLOOKUP(B3727,'Справочник ИХ'!A:D,4,0))</f>
        <v>3</v>
      </c>
      <c r="F3727" s="14" t="s">
        <v>4933</v>
      </c>
    </row>
    <row r="3728" spans="1:6" ht="31.75">
      <c r="A3728" s="19">
        <v>63422</v>
      </c>
      <c r="B3728" s="12" t="str">
        <f t="shared" si="58"/>
        <v>634</v>
      </c>
      <c r="C3728" s="1" t="s">
        <v>5016</v>
      </c>
      <c r="D3728" s="13" t="str">
        <f>IF(RIGHT(A3728,3)="000",C3728,VLOOKUP(B3728,'Справочник ИХ'!A:C,3,0))</f>
        <v>Остальные грузы</v>
      </c>
      <c r="E3728" s="13">
        <f>IF(RIGHT(A3728,3)="000","х",VLOOKUP(B3728,'Справочник ИХ'!A:D,4,0))</f>
        <v>3</v>
      </c>
      <c r="F3728" s="14" t="s">
        <v>4933</v>
      </c>
    </row>
    <row r="3729" spans="1:6" ht="31.75">
      <c r="A3729" s="19">
        <v>63423</v>
      </c>
      <c r="B3729" s="12" t="str">
        <f t="shared" si="58"/>
        <v>634</v>
      </c>
      <c r="C3729" s="1" t="s">
        <v>5017</v>
      </c>
      <c r="D3729" s="13" t="str">
        <f>IF(RIGHT(A3729,3)="000",C3729,VLOOKUP(B3729,'Справочник ИХ'!A:C,3,0))</f>
        <v>Остальные грузы</v>
      </c>
      <c r="E3729" s="13">
        <f>IF(RIGHT(A3729,3)="000","х",VLOOKUP(B3729,'Справочник ИХ'!A:D,4,0))</f>
        <v>3</v>
      </c>
      <c r="F3729" s="14" t="s">
        <v>4933</v>
      </c>
    </row>
    <row r="3730" spans="1:6" ht="31.75">
      <c r="A3730" s="19">
        <v>63424</v>
      </c>
      <c r="B3730" s="12" t="str">
        <f t="shared" si="58"/>
        <v>634</v>
      </c>
      <c r="C3730" s="1" t="s">
        <v>5018</v>
      </c>
      <c r="D3730" s="13" t="str">
        <f>IF(RIGHT(A3730,3)="000",C3730,VLOOKUP(B3730,'Справочник ИХ'!A:C,3,0))</f>
        <v>Остальные грузы</v>
      </c>
      <c r="E3730" s="13">
        <f>IF(RIGHT(A3730,3)="000","х",VLOOKUP(B3730,'Справочник ИХ'!A:D,4,0))</f>
        <v>3</v>
      </c>
      <c r="F3730" s="14" t="s">
        <v>4933</v>
      </c>
    </row>
    <row r="3731" spans="1:6" ht="31.75">
      <c r="A3731" s="19">
        <v>63425</v>
      </c>
      <c r="B3731" s="12" t="str">
        <f t="shared" si="58"/>
        <v>634</v>
      </c>
      <c r="C3731" s="1" t="s">
        <v>5019</v>
      </c>
      <c r="D3731" s="13" t="str">
        <f>IF(RIGHT(A3731,3)="000",C3731,VLOOKUP(B3731,'Справочник ИХ'!A:C,3,0))</f>
        <v>Остальные грузы</v>
      </c>
      <c r="E3731" s="13">
        <f>IF(RIGHT(A3731,3)="000","х",VLOOKUP(B3731,'Справочник ИХ'!A:D,4,0))</f>
        <v>3</v>
      </c>
      <c r="F3731" s="14" t="s">
        <v>4933</v>
      </c>
    </row>
    <row r="3732" spans="1:6" ht="31.75">
      <c r="A3732" s="19">
        <v>63426</v>
      </c>
      <c r="B3732" s="12" t="str">
        <f t="shared" si="58"/>
        <v>634</v>
      </c>
      <c r="C3732" s="1" t="s">
        <v>5020</v>
      </c>
      <c r="D3732" s="13" t="str">
        <f>IF(RIGHT(A3732,3)="000",C3732,VLOOKUP(B3732,'Справочник ИХ'!A:C,3,0))</f>
        <v>Остальные грузы</v>
      </c>
      <c r="E3732" s="13">
        <f>IF(RIGHT(A3732,3)="000","х",VLOOKUP(B3732,'Справочник ИХ'!A:D,4,0))</f>
        <v>3</v>
      </c>
      <c r="F3732" s="14" t="s">
        <v>4933</v>
      </c>
    </row>
    <row r="3733" spans="1:6" ht="31.75">
      <c r="A3733" s="19">
        <v>63427</v>
      </c>
      <c r="B3733" s="12" t="str">
        <f t="shared" si="58"/>
        <v>634</v>
      </c>
      <c r="C3733" s="1" t="s">
        <v>5021</v>
      </c>
      <c r="D3733" s="13" t="str">
        <f>IF(RIGHT(A3733,3)="000",C3733,VLOOKUP(B3733,'Справочник ИХ'!A:C,3,0))</f>
        <v>Остальные грузы</v>
      </c>
      <c r="E3733" s="13">
        <f>IF(RIGHT(A3733,3)="000","х",VLOOKUP(B3733,'Справочник ИХ'!A:D,4,0))</f>
        <v>3</v>
      </c>
      <c r="F3733" s="14" t="s">
        <v>4933</v>
      </c>
    </row>
    <row r="3734" spans="1:6" ht="31.75">
      <c r="A3734" s="19">
        <v>63428</v>
      </c>
      <c r="B3734" s="12" t="str">
        <f t="shared" si="58"/>
        <v>634</v>
      </c>
      <c r="C3734" s="1" t="s">
        <v>5022</v>
      </c>
      <c r="D3734" s="13" t="str">
        <f>IF(RIGHT(A3734,3)="000",C3734,VLOOKUP(B3734,'Справочник ИХ'!A:C,3,0))</f>
        <v>Остальные грузы</v>
      </c>
      <c r="E3734" s="13">
        <f>IF(RIGHT(A3734,3)="000","х",VLOOKUP(B3734,'Справочник ИХ'!A:D,4,0))</f>
        <v>3</v>
      </c>
      <c r="F3734" s="14" t="s">
        <v>4933</v>
      </c>
    </row>
    <row r="3735" spans="1:6" ht="31.75">
      <c r="A3735" s="19">
        <v>63429</v>
      </c>
      <c r="B3735" s="12" t="str">
        <f t="shared" si="58"/>
        <v>634</v>
      </c>
      <c r="C3735" s="1" t="s">
        <v>5023</v>
      </c>
      <c r="D3735" s="13" t="str">
        <f>IF(RIGHT(A3735,3)="000",C3735,VLOOKUP(B3735,'Справочник ИХ'!A:C,3,0))</f>
        <v>Остальные грузы</v>
      </c>
      <c r="E3735" s="13">
        <f>IF(RIGHT(A3735,3)="000","х",VLOOKUP(B3735,'Справочник ИХ'!A:D,4,0))</f>
        <v>3</v>
      </c>
      <c r="F3735" s="14" t="s">
        <v>4933</v>
      </c>
    </row>
    <row r="3736" spans="1:6" ht="31.75">
      <c r="A3736" s="19">
        <v>63430</v>
      </c>
      <c r="B3736" s="12" t="str">
        <f t="shared" si="58"/>
        <v>634</v>
      </c>
      <c r="C3736" s="1" t="s">
        <v>5024</v>
      </c>
      <c r="D3736" s="13" t="str">
        <f>IF(RIGHT(A3736,3)="000",C3736,VLOOKUP(B3736,'Справочник ИХ'!A:C,3,0))</f>
        <v>Остальные грузы</v>
      </c>
      <c r="E3736" s="13">
        <f>IF(RIGHT(A3736,3)="000","х",VLOOKUP(B3736,'Справочник ИХ'!A:D,4,0))</f>
        <v>3</v>
      </c>
      <c r="F3736" s="14" t="s">
        <v>4933</v>
      </c>
    </row>
    <row r="3737" spans="1:6" ht="31.75">
      <c r="A3737" s="19">
        <v>63431</v>
      </c>
      <c r="B3737" s="12" t="str">
        <f t="shared" si="58"/>
        <v>634</v>
      </c>
      <c r="C3737" s="1" t="s">
        <v>5025</v>
      </c>
      <c r="D3737" s="13" t="str">
        <f>IF(RIGHT(A3737,3)="000",C3737,VLOOKUP(B3737,'Справочник ИХ'!A:C,3,0))</f>
        <v>Остальные грузы</v>
      </c>
      <c r="E3737" s="13">
        <f>IF(RIGHT(A3737,3)="000","х",VLOOKUP(B3737,'Справочник ИХ'!A:D,4,0))</f>
        <v>3</v>
      </c>
      <c r="F3737" s="14" t="s">
        <v>4933</v>
      </c>
    </row>
    <row r="3738" spans="1:6" ht="31.75">
      <c r="A3738" s="19">
        <v>63432</v>
      </c>
      <c r="B3738" s="12" t="str">
        <f t="shared" si="58"/>
        <v>634</v>
      </c>
      <c r="C3738" s="1" t="s">
        <v>5026</v>
      </c>
      <c r="D3738" s="13" t="str">
        <f>IF(RIGHT(A3738,3)="000",C3738,VLOOKUP(B3738,'Справочник ИХ'!A:C,3,0))</f>
        <v>Остальные грузы</v>
      </c>
      <c r="E3738" s="13">
        <f>IF(RIGHT(A3738,3)="000","х",VLOOKUP(B3738,'Справочник ИХ'!A:D,4,0))</f>
        <v>3</v>
      </c>
      <c r="F3738" s="14" t="s">
        <v>4933</v>
      </c>
    </row>
    <row r="3739" spans="1:6" ht="31.75">
      <c r="A3739" s="19">
        <v>63433</v>
      </c>
      <c r="B3739" s="12" t="str">
        <f t="shared" si="58"/>
        <v>634</v>
      </c>
      <c r="C3739" s="1" t="s">
        <v>5027</v>
      </c>
      <c r="D3739" s="13" t="str">
        <f>IF(RIGHT(A3739,3)="000",C3739,VLOOKUP(B3739,'Справочник ИХ'!A:C,3,0))</f>
        <v>Остальные грузы</v>
      </c>
      <c r="E3739" s="13">
        <f>IF(RIGHT(A3739,3)="000","х",VLOOKUP(B3739,'Справочник ИХ'!A:D,4,0))</f>
        <v>3</v>
      </c>
      <c r="F3739" s="14" t="s">
        <v>4933</v>
      </c>
    </row>
    <row r="3740" spans="1:6" ht="31.75">
      <c r="A3740" s="19">
        <v>63434</v>
      </c>
      <c r="B3740" s="12" t="str">
        <f t="shared" si="58"/>
        <v>634</v>
      </c>
      <c r="C3740" s="1" t="s">
        <v>5028</v>
      </c>
      <c r="D3740" s="13" t="str">
        <f>IF(RIGHT(A3740,3)="000",C3740,VLOOKUP(B3740,'Справочник ИХ'!A:C,3,0))</f>
        <v>Остальные грузы</v>
      </c>
      <c r="E3740" s="13">
        <f>IF(RIGHT(A3740,3)="000","х",VLOOKUP(B3740,'Справочник ИХ'!A:D,4,0))</f>
        <v>3</v>
      </c>
      <c r="F3740" s="14" t="s">
        <v>4933</v>
      </c>
    </row>
    <row r="3741" spans="1:6" ht="31.75">
      <c r="A3741" s="19">
        <v>63435</v>
      </c>
      <c r="B3741" s="12" t="str">
        <f t="shared" si="58"/>
        <v>634</v>
      </c>
      <c r="C3741" s="1" t="s">
        <v>5029</v>
      </c>
      <c r="D3741" s="13" t="str">
        <f>IF(RIGHT(A3741,3)="000",C3741,VLOOKUP(B3741,'Справочник ИХ'!A:C,3,0))</f>
        <v>Остальные грузы</v>
      </c>
      <c r="E3741" s="13">
        <f>IF(RIGHT(A3741,3)="000","х",VLOOKUP(B3741,'Справочник ИХ'!A:D,4,0))</f>
        <v>3</v>
      </c>
      <c r="F3741" s="14" t="s">
        <v>4933</v>
      </c>
    </row>
    <row r="3742" spans="1:6" ht="31.75">
      <c r="A3742" s="19">
        <v>63436</v>
      </c>
      <c r="B3742" s="12" t="str">
        <f t="shared" si="58"/>
        <v>634</v>
      </c>
      <c r="C3742" s="1" t="s">
        <v>5030</v>
      </c>
      <c r="D3742" s="13" t="str">
        <f>IF(RIGHT(A3742,3)="000",C3742,VLOOKUP(B3742,'Справочник ИХ'!A:C,3,0))</f>
        <v>Остальные грузы</v>
      </c>
      <c r="E3742" s="13">
        <f>IF(RIGHT(A3742,3)="000","х",VLOOKUP(B3742,'Справочник ИХ'!A:D,4,0))</f>
        <v>3</v>
      </c>
      <c r="F3742" s="14" t="s">
        <v>4933</v>
      </c>
    </row>
    <row r="3743" spans="1:6" ht="31.75">
      <c r="A3743" s="19">
        <v>63437</v>
      </c>
      <c r="B3743" s="12" t="str">
        <f t="shared" si="58"/>
        <v>634</v>
      </c>
      <c r="C3743" s="1" t="s">
        <v>5031</v>
      </c>
      <c r="D3743" s="13" t="str">
        <f>IF(RIGHT(A3743,3)="000",C3743,VLOOKUP(B3743,'Справочник ИХ'!A:C,3,0))</f>
        <v>Остальные грузы</v>
      </c>
      <c r="E3743" s="13">
        <f>IF(RIGHT(A3743,3)="000","х",VLOOKUP(B3743,'Справочник ИХ'!A:D,4,0))</f>
        <v>3</v>
      </c>
      <c r="F3743" s="14" t="s">
        <v>4933</v>
      </c>
    </row>
    <row r="3744" spans="1:6" ht="31.75">
      <c r="A3744" s="19">
        <v>63438</v>
      </c>
      <c r="B3744" s="12" t="str">
        <f t="shared" si="58"/>
        <v>634</v>
      </c>
      <c r="C3744" s="1" t="s">
        <v>5032</v>
      </c>
      <c r="D3744" s="13" t="str">
        <f>IF(RIGHT(A3744,3)="000",C3744,VLOOKUP(B3744,'Справочник ИХ'!A:C,3,0))</f>
        <v>Остальные грузы</v>
      </c>
      <c r="E3744" s="13">
        <f>IF(RIGHT(A3744,3)="000","х",VLOOKUP(B3744,'Справочник ИХ'!A:D,4,0))</f>
        <v>3</v>
      </c>
      <c r="F3744" s="14" t="s">
        <v>4933</v>
      </c>
    </row>
    <row r="3745" spans="1:6" s="18" customFormat="1" ht="31.75">
      <c r="A3745" s="16">
        <v>63500</v>
      </c>
      <c r="B3745" s="12" t="str">
        <f t="shared" si="58"/>
        <v>635</v>
      </c>
      <c r="C3745" s="17" t="s">
        <v>5033</v>
      </c>
      <c r="D3745" s="13" t="str">
        <f>IF(RIGHT(A3745,3)="000",C3745,VLOOKUP(B3745,'Справочник ИХ'!A:C,3,0))</f>
        <v>Остальные грузы</v>
      </c>
      <c r="E3745" s="13">
        <f>IF(RIGHT(A3745,3)="000","х",VLOOKUP(B3745,'Справочник ИХ'!A:D,4,0))</f>
        <v>3</v>
      </c>
      <c r="F3745" s="14" t="s">
        <v>4933</v>
      </c>
    </row>
    <row r="3746" spans="1:6" ht="31.75">
      <c r="A3746" s="19">
        <v>63501</v>
      </c>
      <c r="B3746" s="12" t="str">
        <f t="shared" si="58"/>
        <v>635</v>
      </c>
      <c r="C3746" s="1" t="s">
        <v>5034</v>
      </c>
      <c r="D3746" s="13" t="str">
        <f>IF(RIGHT(A3746,3)="000",C3746,VLOOKUP(B3746,'Справочник ИХ'!A:C,3,0))</f>
        <v>Остальные грузы</v>
      </c>
      <c r="E3746" s="13">
        <f>IF(RIGHT(A3746,3)="000","х",VLOOKUP(B3746,'Справочник ИХ'!A:D,4,0))</f>
        <v>3</v>
      </c>
      <c r="F3746" s="14" t="s">
        <v>4933</v>
      </c>
    </row>
    <row r="3747" spans="1:6" ht="47.6">
      <c r="A3747" s="19">
        <v>63502</v>
      </c>
      <c r="B3747" s="12" t="str">
        <f t="shared" si="58"/>
        <v>635</v>
      </c>
      <c r="C3747" s="1" t="s">
        <v>5035</v>
      </c>
      <c r="D3747" s="13" t="str">
        <f>IF(RIGHT(A3747,3)="000",C3747,VLOOKUP(B3747,'Справочник ИХ'!A:C,3,0))</f>
        <v>Остальные грузы</v>
      </c>
      <c r="E3747" s="13">
        <f>IF(RIGHT(A3747,3)="000","х",VLOOKUP(B3747,'Справочник ИХ'!A:D,4,0))</f>
        <v>3</v>
      </c>
      <c r="F3747" s="14" t="s">
        <v>4933</v>
      </c>
    </row>
    <row r="3748" spans="1:6" ht="31.75">
      <c r="A3748" s="19">
        <v>63503</v>
      </c>
      <c r="B3748" s="12" t="str">
        <f t="shared" si="58"/>
        <v>635</v>
      </c>
      <c r="C3748" s="1" t="s">
        <v>5036</v>
      </c>
      <c r="D3748" s="13" t="str">
        <f>IF(RIGHT(A3748,3)="000",C3748,VLOOKUP(B3748,'Справочник ИХ'!A:C,3,0))</f>
        <v>Остальные грузы</v>
      </c>
      <c r="E3748" s="13">
        <f>IF(RIGHT(A3748,3)="000","х",VLOOKUP(B3748,'Справочник ИХ'!A:D,4,0))</f>
        <v>3</v>
      </c>
      <c r="F3748" s="14" t="s">
        <v>4933</v>
      </c>
    </row>
    <row r="3749" spans="1:6" ht="31.75">
      <c r="A3749" s="19">
        <v>63504</v>
      </c>
      <c r="B3749" s="12" t="str">
        <f t="shared" si="58"/>
        <v>635</v>
      </c>
      <c r="C3749" s="1" t="s">
        <v>5037</v>
      </c>
      <c r="D3749" s="13" t="str">
        <f>IF(RIGHT(A3749,3)="000",C3749,VLOOKUP(B3749,'Справочник ИХ'!A:C,3,0))</f>
        <v>Остальные грузы</v>
      </c>
      <c r="E3749" s="13">
        <f>IF(RIGHT(A3749,3)="000","х",VLOOKUP(B3749,'Справочник ИХ'!A:D,4,0))</f>
        <v>3</v>
      </c>
      <c r="F3749" s="14" t="s">
        <v>4933</v>
      </c>
    </row>
    <row r="3750" spans="1:6" s="15" customFormat="1" ht="31.75">
      <c r="A3750" s="7">
        <v>64000</v>
      </c>
      <c r="B3750" s="12" t="str">
        <f t="shared" si="58"/>
        <v>640</v>
      </c>
      <c r="C3750" s="11" t="s">
        <v>5038</v>
      </c>
      <c r="D3750" s="13" t="str">
        <f>IF(RIGHT(A3750,3)="000",C3750,VLOOKUP(B3750,'Справочник ИХ'!A:C,3,0))</f>
        <v xml:space="preserve">Галантерея и изделия ювелирные </v>
      </c>
      <c r="E3750" s="13" t="str">
        <f>IF(RIGHT(A3750,3)="000","х",VLOOKUP(B3750,'Справочник ИХ'!A:D,4,0))</f>
        <v>х</v>
      </c>
      <c r="F3750" s="14" t="s">
        <v>5038</v>
      </c>
    </row>
    <row r="3751" spans="1:6" s="18" customFormat="1">
      <c r="A3751" s="16">
        <v>64100</v>
      </c>
      <c r="B3751" s="12" t="str">
        <f t="shared" si="58"/>
        <v>641</v>
      </c>
      <c r="C3751" s="17" t="s">
        <v>5038</v>
      </c>
      <c r="D3751" s="13" t="str">
        <f>IF(RIGHT(A3751,3)="000",C3751,VLOOKUP(B3751,'Справочник ИХ'!A:C,3,0))</f>
        <v>Остальные грузы</v>
      </c>
      <c r="E3751" s="13">
        <f>IF(RIGHT(A3751,3)="000","х",VLOOKUP(B3751,'Справочник ИХ'!A:D,4,0))</f>
        <v>3</v>
      </c>
      <c r="F3751" s="14" t="s">
        <v>5038</v>
      </c>
    </row>
    <row r="3752" spans="1:6">
      <c r="A3752" s="19">
        <v>64101</v>
      </c>
      <c r="B3752" s="12" t="str">
        <f t="shared" si="58"/>
        <v>641</v>
      </c>
      <c r="C3752" s="1" t="s">
        <v>5039</v>
      </c>
      <c r="D3752" s="13" t="str">
        <f>IF(RIGHT(A3752,3)="000",C3752,VLOOKUP(B3752,'Справочник ИХ'!A:C,3,0))</f>
        <v>Остальные грузы</v>
      </c>
      <c r="E3752" s="13">
        <f>IF(RIGHT(A3752,3)="000","х",VLOOKUP(B3752,'Справочник ИХ'!A:D,4,0))</f>
        <v>3</v>
      </c>
      <c r="F3752" s="14" t="s">
        <v>5038</v>
      </c>
    </row>
    <row r="3753" spans="1:6">
      <c r="A3753" s="19">
        <v>64102</v>
      </c>
      <c r="B3753" s="12" t="str">
        <f t="shared" si="58"/>
        <v>641</v>
      </c>
      <c r="C3753" s="1" t="s">
        <v>5040</v>
      </c>
      <c r="D3753" s="13" t="str">
        <f>IF(RIGHT(A3753,3)="000",C3753,VLOOKUP(B3753,'Справочник ИХ'!A:C,3,0))</f>
        <v>Остальные грузы</v>
      </c>
      <c r="E3753" s="13">
        <f>IF(RIGHT(A3753,3)="000","х",VLOOKUP(B3753,'Справочник ИХ'!A:D,4,0))</f>
        <v>3</v>
      </c>
      <c r="F3753" s="14" t="s">
        <v>5038</v>
      </c>
    </row>
    <row r="3754" spans="1:6">
      <c r="A3754" s="19">
        <v>64103</v>
      </c>
      <c r="B3754" s="12" t="str">
        <f t="shared" si="58"/>
        <v>641</v>
      </c>
      <c r="C3754" s="1" t="s">
        <v>5041</v>
      </c>
      <c r="D3754" s="13" t="str">
        <f>IF(RIGHT(A3754,3)="000",C3754,VLOOKUP(B3754,'Справочник ИХ'!A:C,3,0))</f>
        <v>Остальные грузы</v>
      </c>
      <c r="E3754" s="13">
        <f>IF(RIGHT(A3754,3)="000","х",VLOOKUP(B3754,'Справочник ИХ'!A:D,4,0))</f>
        <v>3</v>
      </c>
      <c r="F3754" s="14" t="s">
        <v>5038</v>
      </c>
    </row>
    <row r="3755" spans="1:6" ht="31.75">
      <c r="A3755" s="19">
        <v>64104</v>
      </c>
      <c r="B3755" s="12" t="str">
        <f t="shared" si="58"/>
        <v>641</v>
      </c>
      <c r="C3755" s="1" t="s">
        <v>5042</v>
      </c>
      <c r="D3755" s="13" t="str">
        <f>IF(RIGHT(A3755,3)="000",C3755,VLOOKUP(B3755,'Справочник ИХ'!A:C,3,0))</f>
        <v>Остальные грузы</v>
      </c>
      <c r="E3755" s="13">
        <f>IF(RIGHT(A3755,3)="000","х",VLOOKUP(B3755,'Справочник ИХ'!A:D,4,0))</f>
        <v>3</v>
      </c>
      <c r="F3755" s="14" t="s">
        <v>5038</v>
      </c>
    </row>
    <row r="3756" spans="1:6" ht="31.75">
      <c r="A3756" s="19">
        <v>64105</v>
      </c>
      <c r="B3756" s="12" t="str">
        <f t="shared" si="58"/>
        <v>641</v>
      </c>
      <c r="C3756" s="1" t="s">
        <v>5043</v>
      </c>
      <c r="D3756" s="13" t="str">
        <f>IF(RIGHT(A3756,3)="000",C3756,VLOOKUP(B3756,'Справочник ИХ'!A:C,3,0))</f>
        <v>Остальные грузы</v>
      </c>
      <c r="E3756" s="13">
        <f>IF(RIGHT(A3756,3)="000","х",VLOOKUP(B3756,'Справочник ИХ'!A:D,4,0))</f>
        <v>3</v>
      </c>
      <c r="F3756" s="14" t="s">
        <v>5038</v>
      </c>
    </row>
    <row r="3757" spans="1:6">
      <c r="A3757" s="19">
        <v>64106</v>
      </c>
      <c r="B3757" s="12" t="str">
        <f t="shared" si="58"/>
        <v>641</v>
      </c>
      <c r="C3757" s="1" t="s">
        <v>5044</v>
      </c>
      <c r="D3757" s="13" t="str">
        <f>IF(RIGHT(A3757,3)="000",C3757,VLOOKUP(B3757,'Справочник ИХ'!A:C,3,0))</f>
        <v>Остальные грузы</v>
      </c>
      <c r="E3757" s="13">
        <f>IF(RIGHT(A3757,3)="000","х",VLOOKUP(B3757,'Справочник ИХ'!A:D,4,0))</f>
        <v>3</v>
      </c>
      <c r="F3757" s="14" t="s">
        <v>5038</v>
      </c>
    </row>
    <row r="3758" spans="1:6">
      <c r="A3758" s="19">
        <v>64107</v>
      </c>
      <c r="B3758" s="12" t="str">
        <f t="shared" si="58"/>
        <v>641</v>
      </c>
      <c r="C3758" s="1" t="s">
        <v>5045</v>
      </c>
      <c r="D3758" s="13" t="str">
        <f>IF(RIGHT(A3758,3)="000",C3758,VLOOKUP(B3758,'Справочник ИХ'!A:C,3,0))</f>
        <v>Остальные грузы</v>
      </c>
      <c r="E3758" s="13">
        <f>IF(RIGHT(A3758,3)="000","х",VLOOKUP(B3758,'Справочник ИХ'!A:D,4,0))</f>
        <v>3</v>
      </c>
      <c r="F3758" s="14" t="s">
        <v>5038</v>
      </c>
    </row>
    <row r="3759" spans="1:6">
      <c r="A3759" s="19">
        <v>64108</v>
      </c>
      <c r="B3759" s="12" t="str">
        <f t="shared" si="58"/>
        <v>641</v>
      </c>
      <c r="C3759" s="1" t="s">
        <v>5046</v>
      </c>
      <c r="D3759" s="13" t="str">
        <f>IF(RIGHT(A3759,3)="000",C3759,VLOOKUP(B3759,'Справочник ИХ'!A:C,3,0))</f>
        <v>Остальные грузы</v>
      </c>
      <c r="E3759" s="13">
        <f>IF(RIGHT(A3759,3)="000","х",VLOOKUP(B3759,'Справочник ИХ'!A:D,4,0))</f>
        <v>3</v>
      </c>
      <c r="F3759" s="14" t="s">
        <v>5038</v>
      </c>
    </row>
    <row r="3760" spans="1:6">
      <c r="A3760" s="19">
        <v>64109</v>
      </c>
      <c r="B3760" s="12" t="str">
        <f t="shared" si="58"/>
        <v>641</v>
      </c>
      <c r="C3760" s="1" t="s">
        <v>5047</v>
      </c>
      <c r="D3760" s="13" t="str">
        <f>IF(RIGHT(A3760,3)="000",C3760,VLOOKUP(B3760,'Справочник ИХ'!A:C,3,0))</f>
        <v>Остальные грузы</v>
      </c>
      <c r="E3760" s="13">
        <f>IF(RIGHT(A3760,3)="000","х",VLOOKUP(B3760,'Справочник ИХ'!A:D,4,0))</f>
        <v>3</v>
      </c>
      <c r="F3760" s="14" t="s">
        <v>5038</v>
      </c>
    </row>
    <row r="3761" spans="1:6" ht="31.75">
      <c r="A3761" s="19">
        <v>64110</v>
      </c>
      <c r="B3761" s="12" t="str">
        <f t="shared" si="58"/>
        <v>641</v>
      </c>
      <c r="C3761" s="1" t="s">
        <v>5048</v>
      </c>
      <c r="D3761" s="13" t="str">
        <f>IF(RIGHT(A3761,3)="000",C3761,VLOOKUP(B3761,'Справочник ИХ'!A:C,3,0))</f>
        <v>Остальные грузы</v>
      </c>
      <c r="E3761" s="13">
        <f>IF(RIGHT(A3761,3)="000","х",VLOOKUP(B3761,'Справочник ИХ'!A:D,4,0))</f>
        <v>3</v>
      </c>
      <c r="F3761" s="14" t="s">
        <v>5038</v>
      </c>
    </row>
    <row r="3762" spans="1:6">
      <c r="A3762" s="19">
        <v>64111</v>
      </c>
      <c r="B3762" s="12" t="str">
        <f t="shared" si="58"/>
        <v>641</v>
      </c>
      <c r="C3762" s="1" t="s">
        <v>5049</v>
      </c>
      <c r="D3762" s="13" t="str">
        <f>IF(RIGHT(A3762,3)="000",C3762,VLOOKUP(B3762,'Справочник ИХ'!A:C,3,0))</f>
        <v>Остальные грузы</v>
      </c>
      <c r="E3762" s="13">
        <f>IF(RIGHT(A3762,3)="000","х",VLOOKUP(B3762,'Справочник ИХ'!A:D,4,0))</f>
        <v>3</v>
      </c>
      <c r="F3762" s="14" t="s">
        <v>5038</v>
      </c>
    </row>
    <row r="3763" spans="1:6">
      <c r="A3763" s="19">
        <v>64112</v>
      </c>
      <c r="B3763" s="12" t="str">
        <f t="shared" si="58"/>
        <v>641</v>
      </c>
      <c r="C3763" s="1" t="s">
        <v>5050</v>
      </c>
      <c r="D3763" s="13" t="str">
        <f>IF(RIGHT(A3763,3)="000",C3763,VLOOKUP(B3763,'Справочник ИХ'!A:C,3,0))</f>
        <v>Остальные грузы</v>
      </c>
      <c r="E3763" s="13">
        <f>IF(RIGHT(A3763,3)="000","х",VLOOKUP(B3763,'Справочник ИХ'!A:D,4,0))</f>
        <v>3</v>
      </c>
      <c r="F3763" s="14" t="s">
        <v>5038</v>
      </c>
    </row>
    <row r="3764" spans="1:6">
      <c r="A3764" s="19">
        <v>64113</v>
      </c>
      <c r="B3764" s="12" t="str">
        <f t="shared" si="58"/>
        <v>641</v>
      </c>
      <c r="C3764" s="1" t="s">
        <v>5051</v>
      </c>
      <c r="D3764" s="13" t="str">
        <f>IF(RIGHT(A3764,3)="000",C3764,VLOOKUP(B3764,'Справочник ИХ'!A:C,3,0))</f>
        <v>Остальные грузы</v>
      </c>
      <c r="E3764" s="13">
        <f>IF(RIGHT(A3764,3)="000","х",VLOOKUP(B3764,'Справочник ИХ'!A:D,4,0))</f>
        <v>3</v>
      </c>
      <c r="F3764" s="14" t="s">
        <v>5038</v>
      </c>
    </row>
    <row r="3765" spans="1:6">
      <c r="A3765" s="19">
        <v>64114</v>
      </c>
      <c r="B3765" s="12" t="str">
        <f t="shared" si="58"/>
        <v>641</v>
      </c>
      <c r="C3765" s="1" t="s">
        <v>5052</v>
      </c>
      <c r="D3765" s="13" t="str">
        <f>IF(RIGHT(A3765,3)="000",C3765,VLOOKUP(B3765,'Справочник ИХ'!A:C,3,0))</f>
        <v>Остальные грузы</v>
      </c>
      <c r="E3765" s="13">
        <f>IF(RIGHT(A3765,3)="000","х",VLOOKUP(B3765,'Справочник ИХ'!A:D,4,0))</f>
        <v>3</v>
      </c>
      <c r="F3765" s="14" t="s">
        <v>5038</v>
      </c>
    </row>
    <row r="3766" spans="1:6">
      <c r="A3766" s="19">
        <v>64115</v>
      </c>
      <c r="B3766" s="12" t="str">
        <f t="shared" si="58"/>
        <v>641</v>
      </c>
      <c r="C3766" s="1" t="s">
        <v>5053</v>
      </c>
      <c r="D3766" s="13" t="str">
        <f>IF(RIGHT(A3766,3)="000",C3766,VLOOKUP(B3766,'Справочник ИХ'!A:C,3,0))</f>
        <v>Остальные грузы</v>
      </c>
      <c r="E3766" s="13">
        <f>IF(RIGHT(A3766,3)="000","х",VLOOKUP(B3766,'Справочник ИХ'!A:D,4,0))</f>
        <v>3</v>
      </c>
      <c r="F3766" s="14" t="s">
        <v>5038</v>
      </c>
    </row>
    <row r="3767" spans="1:6">
      <c r="A3767" s="19">
        <v>64116</v>
      </c>
      <c r="B3767" s="12" t="str">
        <f t="shared" si="58"/>
        <v>641</v>
      </c>
      <c r="C3767" s="1" t="s">
        <v>5054</v>
      </c>
      <c r="D3767" s="13" t="str">
        <f>IF(RIGHT(A3767,3)="000",C3767,VLOOKUP(B3767,'Справочник ИХ'!A:C,3,0))</f>
        <v>Остальные грузы</v>
      </c>
      <c r="E3767" s="13">
        <f>IF(RIGHT(A3767,3)="000","х",VLOOKUP(B3767,'Справочник ИХ'!A:D,4,0))</f>
        <v>3</v>
      </c>
      <c r="F3767" s="14" t="s">
        <v>5038</v>
      </c>
    </row>
    <row r="3768" spans="1:6">
      <c r="A3768" s="19">
        <v>64117</v>
      </c>
      <c r="B3768" s="12" t="str">
        <f t="shared" si="58"/>
        <v>641</v>
      </c>
      <c r="C3768" s="1" t="s">
        <v>5055</v>
      </c>
      <c r="D3768" s="13" t="str">
        <f>IF(RIGHT(A3768,3)="000",C3768,VLOOKUP(B3768,'Справочник ИХ'!A:C,3,0))</f>
        <v>Остальные грузы</v>
      </c>
      <c r="E3768" s="13">
        <f>IF(RIGHT(A3768,3)="000","х",VLOOKUP(B3768,'Справочник ИХ'!A:D,4,0))</f>
        <v>3</v>
      </c>
      <c r="F3768" s="14" t="s">
        <v>5038</v>
      </c>
    </row>
    <row r="3769" spans="1:6" ht="31.75">
      <c r="A3769" s="19">
        <v>64118</v>
      </c>
      <c r="B3769" s="12" t="str">
        <f t="shared" si="58"/>
        <v>641</v>
      </c>
      <c r="C3769" s="1" t="s">
        <v>5056</v>
      </c>
      <c r="D3769" s="13" t="str">
        <f>IF(RIGHT(A3769,3)="000",C3769,VLOOKUP(B3769,'Справочник ИХ'!A:C,3,0))</f>
        <v>Остальные грузы</v>
      </c>
      <c r="E3769" s="13">
        <f>IF(RIGHT(A3769,3)="000","х",VLOOKUP(B3769,'Справочник ИХ'!A:D,4,0))</f>
        <v>3</v>
      </c>
      <c r="F3769" s="14" t="s">
        <v>5038</v>
      </c>
    </row>
    <row r="3770" spans="1:6">
      <c r="A3770" s="19">
        <v>64119</v>
      </c>
      <c r="B3770" s="12" t="str">
        <f t="shared" si="58"/>
        <v>641</v>
      </c>
      <c r="C3770" s="1" t="s">
        <v>5057</v>
      </c>
      <c r="D3770" s="13" t="str">
        <f>IF(RIGHT(A3770,3)="000",C3770,VLOOKUP(B3770,'Справочник ИХ'!A:C,3,0))</f>
        <v>Остальные грузы</v>
      </c>
      <c r="E3770" s="13">
        <f>IF(RIGHT(A3770,3)="000","х",VLOOKUP(B3770,'Справочник ИХ'!A:D,4,0))</f>
        <v>3</v>
      </c>
      <c r="F3770" s="14" t="s">
        <v>5038</v>
      </c>
    </row>
    <row r="3771" spans="1:6">
      <c r="A3771" s="19">
        <v>64120</v>
      </c>
      <c r="B3771" s="12" t="str">
        <f t="shared" si="58"/>
        <v>641</v>
      </c>
      <c r="C3771" s="1" t="s">
        <v>5058</v>
      </c>
      <c r="D3771" s="13" t="str">
        <f>IF(RIGHT(A3771,3)="000",C3771,VLOOKUP(B3771,'Справочник ИХ'!A:C,3,0))</f>
        <v>Остальные грузы</v>
      </c>
      <c r="E3771" s="13">
        <f>IF(RIGHT(A3771,3)="000","х",VLOOKUP(B3771,'Справочник ИХ'!A:D,4,0))</f>
        <v>3</v>
      </c>
      <c r="F3771" s="14" t="s">
        <v>5038</v>
      </c>
    </row>
    <row r="3772" spans="1:6">
      <c r="A3772" s="19">
        <v>64121</v>
      </c>
      <c r="B3772" s="12" t="str">
        <f t="shared" si="58"/>
        <v>641</v>
      </c>
      <c r="C3772" s="1" t="s">
        <v>5059</v>
      </c>
      <c r="D3772" s="13" t="str">
        <f>IF(RIGHT(A3772,3)="000",C3772,VLOOKUP(B3772,'Справочник ИХ'!A:C,3,0))</f>
        <v>Остальные грузы</v>
      </c>
      <c r="E3772" s="13">
        <f>IF(RIGHT(A3772,3)="000","х",VLOOKUP(B3772,'Справочник ИХ'!A:D,4,0))</f>
        <v>3</v>
      </c>
      <c r="F3772" s="14" t="s">
        <v>5038</v>
      </c>
    </row>
    <row r="3773" spans="1:6" ht="47.6">
      <c r="A3773" s="19">
        <v>64122</v>
      </c>
      <c r="B3773" s="12" t="str">
        <f t="shared" si="58"/>
        <v>641</v>
      </c>
      <c r="C3773" s="1" t="s">
        <v>5060</v>
      </c>
      <c r="D3773" s="13" t="str">
        <f>IF(RIGHT(A3773,3)="000",C3773,VLOOKUP(B3773,'Справочник ИХ'!A:C,3,0))</f>
        <v>Остальные грузы</v>
      </c>
      <c r="E3773" s="13">
        <f>IF(RIGHT(A3773,3)="000","х",VLOOKUP(B3773,'Справочник ИХ'!A:D,4,0))</f>
        <v>3</v>
      </c>
      <c r="F3773" s="14" t="s">
        <v>5038</v>
      </c>
    </row>
    <row r="3774" spans="1:6">
      <c r="A3774" s="19">
        <v>64123</v>
      </c>
      <c r="B3774" s="12" t="str">
        <f t="shared" si="58"/>
        <v>641</v>
      </c>
      <c r="C3774" s="1" t="s">
        <v>5061</v>
      </c>
      <c r="D3774" s="13" t="str">
        <f>IF(RIGHT(A3774,3)="000",C3774,VLOOKUP(B3774,'Справочник ИХ'!A:C,3,0))</f>
        <v>Остальные грузы</v>
      </c>
      <c r="E3774" s="13">
        <f>IF(RIGHT(A3774,3)="000","х",VLOOKUP(B3774,'Справочник ИХ'!A:D,4,0))</f>
        <v>3</v>
      </c>
      <c r="F3774" s="14" t="s">
        <v>5038</v>
      </c>
    </row>
    <row r="3775" spans="1:6" ht="31.75">
      <c r="A3775" s="19">
        <v>64124</v>
      </c>
      <c r="B3775" s="12" t="str">
        <f t="shared" si="58"/>
        <v>641</v>
      </c>
      <c r="C3775" s="1" t="s">
        <v>5062</v>
      </c>
      <c r="D3775" s="13" t="str">
        <f>IF(RIGHT(A3775,3)="000",C3775,VLOOKUP(B3775,'Справочник ИХ'!A:C,3,0))</f>
        <v>Остальные грузы</v>
      </c>
      <c r="E3775" s="13">
        <f>IF(RIGHT(A3775,3)="000","х",VLOOKUP(B3775,'Справочник ИХ'!A:D,4,0))</f>
        <v>3</v>
      </c>
      <c r="F3775" s="14" t="s">
        <v>5038</v>
      </c>
    </row>
    <row r="3776" spans="1:6">
      <c r="A3776" s="19">
        <v>64125</v>
      </c>
      <c r="B3776" s="12" t="str">
        <f t="shared" si="58"/>
        <v>641</v>
      </c>
      <c r="C3776" s="1" t="s">
        <v>5063</v>
      </c>
      <c r="D3776" s="13" t="str">
        <f>IF(RIGHT(A3776,3)="000",C3776,VLOOKUP(B3776,'Справочник ИХ'!A:C,3,0))</f>
        <v>Остальные грузы</v>
      </c>
      <c r="E3776" s="13">
        <f>IF(RIGHT(A3776,3)="000","х",VLOOKUP(B3776,'Справочник ИХ'!A:D,4,0))</f>
        <v>3</v>
      </c>
      <c r="F3776" s="14" t="s">
        <v>5038</v>
      </c>
    </row>
    <row r="3777" spans="1:6">
      <c r="A3777" s="19">
        <v>64126</v>
      </c>
      <c r="B3777" s="12" t="str">
        <f t="shared" si="58"/>
        <v>641</v>
      </c>
      <c r="C3777" s="1" t="s">
        <v>5064</v>
      </c>
      <c r="D3777" s="13" t="str">
        <f>IF(RIGHT(A3777,3)="000",C3777,VLOOKUP(B3777,'Справочник ИХ'!A:C,3,0))</f>
        <v>Остальные грузы</v>
      </c>
      <c r="E3777" s="13">
        <f>IF(RIGHT(A3777,3)="000","х",VLOOKUP(B3777,'Справочник ИХ'!A:D,4,0))</f>
        <v>3</v>
      </c>
      <c r="F3777" s="14" t="s">
        <v>5038</v>
      </c>
    </row>
    <row r="3778" spans="1:6">
      <c r="A3778" s="19">
        <v>64127</v>
      </c>
      <c r="B3778" s="12" t="str">
        <f t="shared" si="58"/>
        <v>641</v>
      </c>
      <c r="C3778" s="1" t="s">
        <v>5065</v>
      </c>
      <c r="D3778" s="13" t="str">
        <f>IF(RIGHT(A3778,3)="000",C3778,VLOOKUP(B3778,'Справочник ИХ'!A:C,3,0))</f>
        <v>Остальные грузы</v>
      </c>
      <c r="E3778" s="13">
        <f>IF(RIGHT(A3778,3)="000","х",VLOOKUP(B3778,'Справочник ИХ'!A:D,4,0))</f>
        <v>3</v>
      </c>
      <c r="F3778" s="14" t="s">
        <v>5038</v>
      </c>
    </row>
    <row r="3779" spans="1:6" ht="31.75">
      <c r="A3779" s="19">
        <v>64128</v>
      </c>
      <c r="B3779" s="12" t="str">
        <f t="shared" si="58"/>
        <v>641</v>
      </c>
      <c r="C3779" s="1" t="s">
        <v>5066</v>
      </c>
      <c r="D3779" s="13" t="str">
        <f>IF(RIGHT(A3779,3)="000",C3779,VLOOKUP(B3779,'Справочник ИХ'!A:C,3,0))</f>
        <v>Остальные грузы</v>
      </c>
      <c r="E3779" s="13">
        <f>IF(RIGHT(A3779,3)="000","х",VLOOKUP(B3779,'Справочник ИХ'!A:D,4,0))</f>
        <v>3</v>
      </c>
      <c r="F3779" s="14" t="s">
        <v>5038</v>
      </c>
    </row>
    <row r="3780" spans="1:6">
      <c r="A3780" s="19">
        <v>64129</v>
      </c>
      <c r="B3780" s="12" t="str">
        <f t="shared" si="58"/>
        <v>641</v>
      </c>
      <c r="C3780" s="1" t="s">
        <v>5067</v>
      </c>
      <c r="D3780" s="13" t="str">
        <f>IF(RIGHT(A3780,3)="000",C3780,VLOOKUP(B3780,'Справочник ИХ'!A:C,3,0))</f>
        <v>Остальные грузы</v>
      </c>
      <c r="E3780" s="13">
        <f>IF(RIGHT(A3780,3)="000","х",VLOOKUP(B3780,'Справочник ИХ'!A:D,4,0))</f>
        <v>3</v>
      </c>
      <c r="F3780" s="14" t="s">
        <v>5038</v>
      </c>
    </row>
    <row r="3781" spans="1:6">
      <c r="A3781" s="19">
        <v>64130</v>
      </c>
      <c r="B3781" s="12" t="str">
        <f t="shared" ref="B3781:B3844" si="59">LEFT(A3781,3)</f>
        <v>641</v>
      </c>
      <c r="C3781" s="1" t="s">
        <v>5068</v>
      </c>
      <c r="D3781" s="13" t="str">
        <f>IF(RIGHT(A3781,3)="000",C3781,VLOOKUP(B3781,'Справочник ИХ'!A:C,3,0))</f>
        <v>Остальные грузы</v>
      </c>
      <c r="E3781" s="13">
        <f>IF(RIGHT(A3781,3)="000","х",VLOOKUP(B3781,'Справочник ИХ'!A:D,4,0))</f>
        <v>3</v>
      </c>
      <c r="F3781" s="14" t="s">
        <v>5038</v>
      </c>
    </row>
    <row r="3782" spans="1:6">
      <c r="A3782" s="19">
        <v>64131</v>
      </c>
      <c r="B3782" s="12" t="str">
        <f t="shared" si="59"/>
        <v>641</v>
      </c>
      <c r="C3782" s="1" t="s">
        <v>5069</v>
      </c>
      <c r="D3782" s="13" t="str">
        <f>IF(RIGHT(A3782,3)="000",C3782,VLOOKUP(B3782,'Справочник ИХ'!A:C,3,0))</f>
        <v>Остальные грузы</v>
      </c>
      <c r="E3782" s="13">
        <f>IF(RIGHT(A3782,3)="000","х",VLOOKUP(B3782,'Справочник ИХ'!A:D,4,0))</f>
        <v>3</v>
      </c>
      <c r="F3782" s="14" t="s">
        <v>5038</v>
      </c>
    </row>
    <row r="3783" spans="1:6">
      <c r="A3783" s="19">
        <v>64132</v>
      </c>
      <c r="B3783" s="12" t="str">
        <f t="shared" si="59"/>
        <v>641</v>
      </c>
      <c r="C3783" s="1" t="s">
        <v>5070</v>
      </c>
      <c r="D3783" s="13" t="str">
        <f>IF(RIGHT(A3783,3)="000",C3783,VLOOKUP(B3783,'Справочник ИХ'!A:C,3,0))</f>
        <v>Остальные грузы</v>
      </c>
      <c r="E3783" s="13">
        <f>IF(RIGHT(A3783,3)="000","х",VLOOKUP(B3783,'Справочник ИХ'!A:D,4,0))</f>
        <v>3</v>
      </c>
      <c r="F3783" s="14" t="s">
        <v>5038</v>
      </c>
    </row>
    <row r="3784" spans="1:6">
      <c r="A3784" s="19">
        <v>64133</v>
      </c>
      <c r="B3784" s="12" t="str">
        <f t="shared" si="59"/>
        <v>641</v>
      </c>
      <c r="C3784" s="1" t="s">
        <v>5071</v>
      </c>
      <c r="D3784" s="13" t="str">
        <f>IF(RIGHT(A3784,3)="000",C3784,VLOOKUP(B3784,'Справочник ИХ'!A:C,3,0))</f>
        <v>Остальные грузы</v>
      </c>
      <c r="E3784" s="13">
        <f>IF(RIGHT(A3784,3)="000","х",VLOOKUP(B3784,'Справочник ИХ'!A:D,4,0))</f>
        <v>3</v>
      </c>
      <c r="F3784" s="14" t="s">
        <v>5038</v>
      </c>
    </row>
    <row r="3785" spans="1:6">
      <c r="A3785" s="19">
        <v>64134</v>
      </c>
      <c r="B3785" s="12" t="str">
        <f t="shared" si="59"/>
        <v>641</v>
      </c>
      <c r="C3785" s="1" t="s">
        <v>5072</v>
      </c>
      <c r="D3785" s="13" t="str">
        <f>IF(RIGHT(A3785,3)="000",C3785,VLOOKUP(B3785,'Справочник ИХ'!A:C,3,0))</f>
        <v>Остальные грузы</v>
      </c>
      <c r="E3785" s="13">
        <f>IF(RIGHT(A3785,3)="000","х",VLOOKUP(B3785,'Справочник ИХ'!A:D,4,0))</f>
        <v>3</v>
      </c>
      <c r="F3785" s="14" t="s">
        <v>5038</v>
      </c>
    </row>
    <row r="3786" spans="1:6">
      <c r="A3786" s="19">
        <v>64135</v>
      </c>
      <c r="B3786" s="12" t="str">
        <f t="shared" si="59"/>
        <v>641</v>
      </c>
      <c r="C3786" s="1" t="s">
        <v>5073</v>
      </c>
      <c r="D3786" s="13" t="str">
        <f>IF(RIGHT(A3786,3)="000",C3786,VLOOKUP(B3786,'Справочник ИХ'!A:C,3,0))</f>
        <v>Остальные грузы</v>
      </c>
      <c r="E3786" s="13">
        <f>IF(RIGHT(A3786,3)="000","х",VLOOKUP(B3786,'Справочник ИХ'!A:D,4,0))</f>
        <v>3</v>
      </c>
      <c r="F3786" s="14" t="s">
        <v>5038</v>
      </c>
    </row>
    <row r="3787" spans="1:6">
      <c r="A3787" s="19">
        <v>64136</v>
      </c>
      <c r="B3787" s="12" t="str">
        <f t="shared" si="59"/>
        <v>641</v>
      </c>
      <c r="C3787" s="1" t="s">
        <v>5074</v>
      </c>
      <c r="D3787" s="13" t="str">
        <f>IF(RIGHT(A3787,3)="000",C3787,VLOOKUP(B3787,'Справочник ИХ'!A:C,3,0))</f>
        <v>Остальные грузы</v>
      </c>
      <c r="E3787" s="13">
        <f>IF(RIGHT(A3787,3)="000","х",VLOOKUP(B3787,'Справочник ИХ'!A:D,4,0))</f>
        <v>3</v>
      </c>
      <c r="F3787" s="14" t="s">
        <v>5038</v>
      </c>
    </row>
    <row r="3788" spans="1:6">
      <c r="A3788" s="19">
        <v>64137</v>
      </c>
      <c r="B3788" s="12" t="str">
        <f t="shared" si="59"/>
        <v>641</v>
      </c>
      <c r="C3788" s="1" t="s">
        <v>5075</v>
      </c>
      <c r="D3788" s="13" t="str">
        <f>IF(RIGHT(A3788,3)="000",C3788,VLOOKUP(B3788,'Справочник ИХ'!A:C,3,0))</f>
        <v>Остальные грузы</v>
      </c>
      <c r="E3788" s="13">
        <f>IF(RIGHT(A3788,3)="000","х",VLOOKUP(B3788,'Справочник ИХ'!A:D,4,0))</f>
        <v>3</v>
      </c>
      <c r="F3788" s="14" t="s">
        <v>5038</v>
      </c>
    </row>
    <row r="3789" spans="1:6">
      <c r="A3789" s="19">
        <v>64138</v>
      </c>
      <c r="B3789" s="12" t="str">
        <f t="shared" si="59"/>
        <v>641</v>
      </c>
      <c r="C3789" s="1" t="s">
        <v>5076</v>
      </c>
      <c r="D3789" s="13" t="str">
        <f>IF(RIGHT(A3789,3)="000",C3789,VLOOKUP(B3789,'Справочник ИХ'!A:C,3,0))</f>
        <v>Остальные грузы</v>
      </c>
      <c r="E3789" s="13">
        <f>IF(RIGHT(A3789,3)="000","х",VLOOKUP(B3789,'Справочник ИХ'!A:D,4,0))</f>
        <v>3</v>
      </c>
      <c r="F3789" s="14" t="s">
        <v>5038</v>
      </c>
    </row>
    <row r="3790" spans="1:6">
      <c r="A3790" s="19">
        <v>64139</v>
      </c>
      <c r="B3790" s="12" t="str">
        <f t="shared" si="59"/>
        <v>641</v>
      </c>
      <c r="C3790" s="1" t="s">
        <v>5077</v>
      </c>
      <c r="D3790" s="13" t="str">
        <f>IF(RIGHT(A3790,3)="000",C3790,VLOOKUP(B3790,'Справочник ИХ'!A:C,3,0))</f>
        <v>Остальные грузы</v>
      </c>
      <c r="E3790" s="13">
        <f>IF(RIGHT(A3790,3)="000","х",VLOOKUP(B3790,'Справочник ИХ'!A:D,4,0))</f>
        <v>3</v>
      </c>
      <c r="F3790" s="14" t="s">
        <v>5038</v>
      </c>
    </row>
    <row r="3791" spans="1:6">
      <c r="A3791" s="19">
        <v>64140</v>
      </c>
      <c r="B3791" s="12" t="str">
        <f t="shared" si="59"/>
        <v>641</v>
      </c>
      <c r="C3791" s="1" t="s">
        <v>5078</v>
      </c>
      <c r="D3791" s="13" t="str">
        <f>IF(RIGHT(A3791,3)="000",C3791,VLOOKUP(B3791,'Справочник ИХ'!A:C,3,0))</f>
        <v>Остальные грузы</v>
      </c>
      <c r="E3791" s="13">
        <f>IF(RIGHT(A3791,3)="000","х",VLOOKUP(B3791,'Справочник ИХ'!A:D,4,0))</f>
        <v>3</v>
      </c>
      <c r="F3791" s="14" t="s">
        <v>5038</v>
      </c>
    </row>
    <row r="3792" spans="1:6">
      <c r="A3792" s="19">
        <v>64141</v>
      </c>
      <c r="B3792" s="12" t="str">
        <f t="shared" si="59"/>
        <v>641</v>
      </c>
      <c r="C3792" s="1" t="s">
        <v>5079</v>
      </c>
      <c r="D3792" s="13" t="str">
        <f>IF(RIGHT(A3792,3)="000",C3792,VLOOKUP(B3792,'Справочник ИХ'!A:C,3,0))</f>
        <v>Остальные грузы</v>
      </c>
      <c r="E3792" s="13">
        <f>IF(RIGHT(A3792,3)="000","х",VLOOKUP(B3792,'Справочник ИХ'!A:D,4,0))</f>
        <v>3</v>
      </c>
      <c r="F3792" s="14" t="s">
        <v>5038</v>
      </c>
    </row>
    <row r="3793" spans="1:6">
      <c r="A3793" s="19">
        <v>64142</v>
      </c>
      <c r="B3793" s="12" t="str">
        <f t="shared" si="59"/>
        <v>641</v>
      </c>
      <c r="C3793" s="1" t="s">
        <v>5080</v>
      </c>
      <c r="D3793" s="13" t="str">
        <f>IF(RIGHT(A3793,3)="000",C3793,VLOOKUP(B3793,'Справочник ИХ'!A:C,3,0))</f>
        <v>Остальные грузы</v>
      </c>
      <c r="E3793" s="13">
        <f>IF(RIGHT(A3793,3)="000","х",VLOOKUP(B3793,'Справочник ИХ'!A:D,4,0))</f>
        <v>3</v>
      </c>
      <c r="F3793" s="14" t="s">
        <v>5038</v>
      </c>
    </row>
    <row r="3794" spans="1:6">
      <c r="A3794" s="19">
        <v>64143</v>
      </c>
      <c r="B3794" s="12" t="str">
        <f t="shared" si="59"/>
        <v>641</v>
      </c>
      <c r="C3794" s="1" t="s">
        <v>5081</v>
      </c>
      <c r="D3794" s="13" t="str">
        <f>IF(RIGHT(A3794,3)="000",C3794,VLOOKUP(B3794,'Справочник ИХ'!A:C,3,0))</f>
        <v>Остальные грузы</v>
      </c>
      <c r="E3794" s="13">
        <f>IF(RIGHT(A3794,3)="000","х",VLOOKUP(B3794,'Справочник ИХ'!A:D,4,0))</f>
        <v>3</v>
      </c>
      <c r="F3794" s="14" t="s">
        <v>5038</v>
      </c>
    </row>
    <row r="3795" spans="1:6" s="15" customFormat="1" ht="79.3">
      <c r="A3795" s="7">
        <v>65000</v>
      </c>
      <c r="B3795" s="12" t="str">
        <f t="shared" si="59"/>
        <v>650</v>
      </c>
      <c r="C3795" s="11" t="s">
        <v>5082</v>
      </c>
      <c r="D3795" s="13" t="str">
        <f>IF(RIGHT(A3795,3)="000",C3795,VLOOKUP(B3795,'Справочник ИХ'!A:C,3,0))</f>
        <v>Продукция кожевенной, меховой и обувной промышленности (включая обувь резиновую)</v>
      </c>
      <c r="E3795" s="13" t="str">
        <f>IF(RIGHT(A3795,3)="000","х",VLOOKUP(B3795,'Справочник ИХ'!A:D,4,0))</f>
        <v>х</v>
      </c>
      <c r="F3795" s="14" t="s">
        <v>5082</v>
      </c>
    </row>
    <row r="3796" spans="1:6" s="18" customFormat="1" ht="47.6">
      <c r="A3796" s="16">
        <v>65100</v>
      </c>
      <c r="B3796" s="12" t="str">
        <f t="shared" si="59"/>
        <v>651</v>
      </c>
      <c r="C3796" s="17" t="s">
        <v>5083</v>
      </c>
      <c r="D3796" s="13" t="str">
        <f>IF(RIGHT(A3796,3)="000",C3796,VLOOKUP(B3796,'Справочник ИХ'!A:C,3,0))</f>
        <v>Остальные грузы</v>
      </c>
      <c r="E3796" s="13">
        <f>IF(RIGHT(A3796,3)="000","х",VLOOKUP(B3796,'Справочник ИХ'!A:D,4,0))</f>
        <v>3</v>
      </c>
      <c r="F3796" s="14" t="s">
        <v>5082</v>
      </c>
    </row>
    <row r="3797" spans="1:6" ht="47.6">
      <c r="A3797" s="19">
        <v>65101</v>
      </c>
      <c r="B3797" s="12" t="str">
        <f t="shared" si="59"/>
        <v>651</v>
      </c>
      <c r="C3797" s="1" t="s">
        <v>5084</v>
      </c>
      <c r="D3797" s="13" t="str">
        <f>IF(RIGHT(A3797,3)="000",C3797,VLOOKUP(B3797,'Справочник ИХ'!A:C,3,0))</f>
        <v>Остальные грузы</v>
      </c>
      <c r="E3797" s="13">
        <f>IF(RIGHT(A3797,3)="000","х",VLOOKUP(B3797,'Справочник ИХ'!A:D,4,0))</f>
        <v>3</v>
      </c>
      <c r="F3797" s="14" t="s">
        <v>5082</v>
      </c>
    </row>
    <row r="3798" spans="1:6" ht="47.6">
      <c r="A3798" s="19">
        <v>65102</v>
      </c>
      <c r="B3798" s="12" t="str">
        <f t="shared" si="59"/>
        <v>651</v>
      </c>
      <c r="C3798" s="1" t="s">
        <v>5085</v>
      </c>
      <c r="D3798" s="13" t="str">
        <f>IF(RIGHT(A3798,3)="000",C3798,VLOOKUP(B3798,'Справочник ИХ'!A:C,3,0))</f>
        <v>Остальные грузы</v>
      </c>
      <c r="E3798" s="13">
        <f>IF(RIGHT(A3798,3)="000","х",VLOOKUP(B3798,'Справочник ИХ'!A:D,4,0))</f>
        <v>3</v>
      </c>
      <c r="F3798" s="14" t="s">
        <v>5082</v>
      </c>
    </row>
    <row r="3799" spans="1:6" ht="47.6">
      <c r="A3799" s="19">
        <v>65103</v>
      </c>
      <c r="B3799" s="12" t="str">
        <f t="shared" si="59"/>
        <v>651</v>
      </c>
      <c r="C3799" s="1" t="s">
        <v>5086</v>
      </c>
      <c r="D3799" s="13" t="str">
        <f>IF(RIGHT(A3799,3)="000",C3799,VLOOKUP(B3799,'Справочник ИХ'!A:C,3,0))</f>
        <v>Остальные грузы</v>
      </c>
      <c r="E3799" s="13">
        <f>IF(RIGHT(A3799,3)="000","х",VLOOKUP(B3799,'Справочник ИХ'!A:D,4,0))</f>
        <v>3</v>
      </c>
      <c r="F3799" s="14" t="s">
        <v>5082</v>
      </c>
    </row>
    <row r="3800" spans="1:6" ht="47.6">
      <c r="A3800" s="19">
        <v>65104</v>
      </c>
      <c r="B3800" s="12" t="str">
        <f t="shared" si="59"/>
        <v>651</v>
      </c>
      <c r="C3800" s="1" t="s">
        <v>5087</v>
      </c>
      <c r="D3800" s="13" t="str">
        <f>IF(RIGHT(A3800,3)="000",C3800,VLOOKUP(B3800,'Справочник ИХ'!A:C,3,0))</f>
        <v>Остальные грузы</v>
      </c>
      <c r="E3800" s="13">
        <f>IF(RIGHT(A3800,3)="000","х",VLOOKUP(B3800,'Справочник ИХ'!A:D,4,0))</f>
        <v>3</v>
      </c>
      <c r="F3800" s="14" t="s">
        <v>5082</v>
      </c>
    </row>
    <row r="3801" spans="1:6" ht="47.6">
      <c r="A3801" s="19">
        <v>65105</v>
      </c>
      <c r="B3801" s="12" t="str">
        <f t="shared" si="59"/>
        <v>651</v>
      </c>
      <c r="C3801" s="1" t="s">
        <v>5088</v>
      </c>
      <c r="D3801" s="13" t="str">
        <f>IF(RIGHT(A3801,3)="000",C3801,VLOOKUP(B3801,'Справочник ИХ'!A:C,3,0))</f>
        <v>Остальные грузы</v>
      </c>
      <c r="E3801" s="13">
        <f>IF(RIGHT(A3801,3)="000","х",VLOOKUP(B3801,'Справочник ИХ'!A:D,4,0))</f>
        <v>3</v>
      </c>
      <c r="F3801" s="14" t="s">
        <v>5082</v>
      </c>
    </row>
    <row r="3802" spans="1:6" ht="47.6">
      <c r="A3802" s="19">
        <v>65106</v>
      </c>
      <c r="B3802" s="12" t="str">
        <f t="shared" si="59"/>
        <v>651</v>
      </c>
      <c r="C3802" s="1" t="s">
        <v>5089</v>
      </c>
      <c r="D3802" s="13" t="str">
        <f>IF(RIGHT(A3802,3)="000",C3802,VLOOKUP(B3802,'Справочник ИХ'!A:C,3,0))</f>
        <v>Остальные грузы</v>
      </c>
      <c r="E3802" s="13">
        <f>IF(RIGHT(A3802,3)="000","х",VLOOKUP(B3802,'Справочник ИХ'!A:D,4,0))</f>
        <v>3</v>
      </c>
      <c r="F3802" s="14" t="s">
        <v>5082</v>
      </c>
    </row>
    <row r="3803" spans="1:6" ht="47.6">
      <c r="A3803" s="19">
        <v>65107</v>
      </c>
      <c r="B3803" s="12" t="str">
        <f t="shared" si="59"/>
        <v>651</v>
      </c>
      <c r="C3803" s="1" t="s">
        <v>5090</v>
      </c>
      <c r="D3803" s="13" t="str">
        <f>IF(RIGHT(A3803,3)="000",C3803,VLOOKUP(B3803,'Справочник ИХ'!A:C,3,0))</f>
        <v>Остальные грузы</v>
      </c>
      <c r="E3803" s="13">
        <f>IF(RIGHT(A3803,3)="000","х",VLOOKUP(B3803,'Справочник ИХ'!A:D,4,0))</f>
        <v>3</v>
      </c>
      <c r="F3803" s="14" t="s">
        <v>5082</v>
      </c>
    </row>
    <row r="3804" spans="1:6" ht="47.6">
      <c r="A3804" s="19">
        <v>65108</v>
      </c>
      <c r="B3804" s="12" t="str">
        <f t="shared" si="59"/>
        <v>651</v>
      </c>
      <c r="C3804" s="1" t="s">
        <v>5091</v>
      </c>
      <c r="D3804" s="13" t="str">
        <f>IF(RIGHT(A3804,3)="000",C3804,VLOOKUP(B3804,'Справочник ИХ'!A:C,3,0))</f>
        <v>Остальные грузы</v>
      </c>
      <c r="E3804" s="13">
        <f>IF(RIGHT(A3804,3)="000","х",VLOOKUP(B3804,'Справочник ИХ'!A:D,4,0))</f>
        <v>3</v>
      </c>
      <c r="F3804" s="14" t="s">
        <v>5082</v>
      </c>
    </row>
    <row r="3805" spans="1:6" ht="47.6">
      <c r="A3805" s="19">
        <v>65109</v>
      </c>
      <c r="B3805" s="12" t="str">
        <f t="shared" si="59"/>
        <v>651</v>
      </c>
      <c r="C3805" s="1" t="s">
        <v>5092</v>
      </c>
      <c r="D3805" s="13" t="str">
        <f>IF(RIGHT(A3805,3)="000",C3805,VLOOKUP(B3805,'Справочник ИХ'!A:C,3,0))</f>
        <v>Остальные грузы</v>
      </c>
      <c r="E3805" s="13">
        <f>IF(RIGHT(A3805,3)="000","х",VLOOKUP(B3805,'Справочник ИХ'!A:D,4,0))</f>
        <v>3</v>
      </c>
      <c r="F3805" s="14" t="s">
        <v>5082</v>
      </c>
    </row>
    <row r="3806" spans="1:6" ht="47.6">
      <c r="A3806" s="19">
        <v>65110</v>
      </c>
      <c r="B3806" s="12" t="str">
        <f t="shared" si="59"/>
        <v>651</v>
      </c>
      <c r="C3806" s="1" t="s">
        <v>5093</v>
      </c>
      <c r="D3806" s="13" t="str">
        <f>IF(RIGHT(A3806,3)="000",C3806,VLOOKUP(B3806,'Справочник ИХ'!A:C,3,0))</f>
        <v>Остальные грузы</v>
      </c>
      <c r="E3806" s="13">
        <f>IF(RIGHT(A3806,3)="000","х",VLOOKUP(B3806,'Справочник ИХ'!A:D,4,0))</f>
        <v>3</v>
      </c>
      <c r="F3806" s="14" t="s">
        <v>5082</v>
      </c>
    </row>
    <row r="3807" spans="1:6" ht="47.6">
      <c r="A3807" s="19">
        <v>65111</v>
      </c>
      <c r="B3807" s="12" t="str">
        <f t="shared" si="59"/>
        <v>651</v>
      </c>
      <c r="C3807" s="1" t="s">
        <v>5094</v>
      </c>
      <c r="D3807" s="13" t="str">
        <f>IF(RIGHT(A3807,3)="000",C3807,VLOOKUP(B3807,'Справочник ИХ'!A:C,3,0))</f>
        <v>Остальные грузы</v>
      </c>
      <c r="E3807" s="13">
        <f>IF(RIGHT(A3807,3)="000","х",VLOOKUP(B3807,'Справочник ИХ'!A:D,4,0))</f>
        <v>3</v>
      </c>
      <c r="F3807" s="14" t="s">
        <v>5082</v>
      </c>
    </row>
    <row r="3808" spans="1:6" ht="47.6">
      <c r="A3808" s="19">
        <v>65112</v>
      </c>
      <c r="B3808" s="12" t="str">
        <f t="shared" si="59"/>
        <v>651</v>
      </c>
      <c r="C3808" s="1" t="s">
        <v>5095</v>
      </c>
      <c r="D3808" s="13" t="str">
        <f>IF(RIGHT(A3808,3)="000",C3808,VLOOKUP(B3808,'Справочник ИХ'!A:C,3,0))</f>
        <v>Остальные грузы</v>
      </c>
      <c r="E3808" s="13">
        <f>IF(RIGHT(A3808,3)="000","х",VLOOKUP(B3808,'Справочник ИХ'!A:D,4,0))</f>
        <v>3</v>
      </c>
      <c r="F3808" s="14" t="s">
        <v>5082</v>
      </c>
    </row>
    <row r="3809" spans="1:6" ht="47.6">
      <c r="A3809" s="19">
        <v>65113</v>
      </c>
      <c r="B3809" s="12" t="str">
        <f t="shared" si="59"/>
        <v>651</v>
      </c>
      <c r="C3809" s="1" t="s">
        <v>5096</v>
      </c>
      <c r="D3809" s="13" t="str">
        <f>IF(RIGHT(A3809,3)="000",C3809,VLOOKUP(B3809,'Справочник ИХ'!A:C,3,0))</f>
        <v>Остальные грузы</v>
      </c>
      <c r="E3809" s="13">
        <f>IF(RIGHT(A3809,3)="000","х",VLOOKUP(B3809,'Справочник ИХ'!A:D,4,0))</f>
        <v>3</v>
      </c>
      <c r="F3809" s="14" t="s">
        <v>5082</v>
      </c>
    </row>
    <row r="3810" spans="1:6" ht="47.6">
      <c r="A3810" s="19">
        <v>65114</v>
      </c>
      <c r="B3810" s="12" t="str">
        <f t="shared" si="59"/>
        <v>651</v>
      </c>
      <c r="C3810" s="1" t="s">
        <v>5097</v>
      </c>
      <c r="D3810" s="13" t="str">
        <f>IF(RIGHT(A3810,3)="000",C3810,VLOOKUP(B3810,'Справочник ИХ'!A:C,3,0))</f>
        <v>Остальные грузы</v>
      </c>
      <c r="E3810" s="13">
        <f>IF(RIGHT(A3810,3)="000","х",VLOOKUP(B3810,'Справочник ИХ'!A:D,4,0))</f>
        <v>3</v>
      </c>
      <c r="F3810" s="14" t="s">
        <v>5082</v>
      </c>
    </row>
    <row r="3811" spans="1:6" ht="47.6">
      <c r="A3811" s="19">
        <v>65115</v>
      </c>
      <c r="B3811" s="12" t="str">
        <f t="shared" si="59"/>
        <v>651</v>
      </c>
      <c r="C3811" s="1" t="s">
        <v>5098</v>
      </c>
      <c r="D3811" s="13" t="str">
        <f>IF(RIGHT(A3811,3)="000",C3811,VLOOKUP(B3811,'Справочник ИХ'!A:C,3,0))</f>
        <v>Остальные грузы</v>
      </c>
      <c r="E3811" s="13">
        <f>IF(RIGHT(A3811,3)="000","х",VLOOKUP(B3811,'Справочник ИХ'!A:D,4,0))</f>
        <v>3</v>
      </c>
      <c r="F3811" s="14" t="s">
        <v>5082</v>
      </c>
    </row>
    <row r="3812" spans="1:6" ht="47.6">
      <c r="A3812" s="19">
        <v>65116</v>
      </c>
      <c r="B3812" s="12" t="str">
        <f t="shared" si="59"/>
        <v>651</v>
      </c>
      <c r="C3812" s="1" t="s">
        <v>5099</v>
      </c>
      <c r="D3812" s="13" t="str">
        <f>IF(RIGHT(A3812,3)="000",C3812,VLOOKUP(B3812,'Справочник ИХ'!A:C,3,0))</f>
        <v>Остальные грузы</v>
      </c>
      <c r="E3812" s="13">
        <f>IF(RIGHT(A3812,3)="000","х",VLOOKUP(B3812,'Справочник ИХ'!A:D,4,0))</f>
        <v>3</v>
      </c>
      <c r="F3812" s="14" t="s">
        <v>5082</v>
      </c>
    </row>
    <row r="3813" spans="1:6" s="18" customFormat="1" ht="47.6">
      <c r="A3813" s="16">
        <v>65200</v>
      </c>
      <c r="B3813" s="12" t="str">
        <f t="shared" si="59"/>
        <v>652</v>
      </c>
      <c r="C3813" s="17" t="s">
        <v>5100</v>
      </c>
      <c r="D3813" s="13" t="str">
        <f>IF(RIGHT(A3813,3)="000",C3813,VLOOKUP(B3813,'Справочник ИХ'!A:C,3,0))</f>
        <v>Остальные грузы</v>
      </c>
      <c r="E3813" s="13">
        <f>IF(RIGHT(A3813,3)="000","х",VLOOKUP(B3813,'Справочник ИХ'!A:D,4,0))</f>
        <v>3</v>
      </c>
      <c r="F3813" s="14" t="s">
        <v>5082</v>
      </c>
    </row>
    <row r="3814" spans="1:6" ht="47.6">
      <c r="A3814" s="19">
        <v>65201</v>
      </c>
      <c r="B3814" s="12" t="str">
        <f t="shared" si="59"/>
        <v>652</v>
      </c>
      <c r="C3814" s="1" t="s">
        <v>5101</v>
      </c>
      <c r="D3814" s="13" t="str">
        <f>IF(RIGHT(A3814,3)="000",C3814,VLOOKUP(B3814,'Справочник ИХ'!A:C,3,0))</f>
        <v>Остальные грузы</v>
      </c>
      <c r="E3814" s="13">
        <f>IF(RIGHT(A3814,3)="000","х",VLOOKUP(B3814,'Справочник ИХ'!A:D,4,0))</f>
        <v>3</v>
      </c>
      <c r="F3814" s="14" t="s">
        <v>5082</v>
      </c>
    </row>
    <row r="3815" spans="1:6" ht="47.6">
      <c r="A3815" s="19">
        <v>65202</v>
      </c>
      <c r="B3815" s="12" t="str">
        <f t="shared" si="59"/>
        <v>652</v>
      </c>
      <c r="C3815" s="1" t="s">
        <v>5102</v>
      </c>
      <c r="D3815" s="13" t="str">
        <f>IF(RIGHT(A3815,3)="000",C3815,VLOOKUP(B3815,'Справочник ИХ'!A:C,3,0))</f>
        <v>Остальные грузы</v>
      </c>
      <c r="E3815" s="13">
        <f>IF(RIGHT(A3815,3)="000","х",VLOOKUP(B3815,'Справочник ИХ'!A:D,4,0))</f>
        <v>3</v>
      </c>
      <c r="F3815" s="14" t="s">
        <v>5082</v>
      </c>
    </row>
    <row r="3816" spans="1:6" ht="47.6">
      <c r="A3816" s="19">
        <v>65203</v>
      </c>
      <c r="B3816" s="12" t="str">
        <f t="shared" si="59"/>
        <v>652</v>
      </c>
      <c r="C3816" s="1" t="s">
        <v>5103</v>
      </c>
      <c r="D3816" s="13" t="str">
        <f>IF(RIGHT(A3816,3)="000",C3816,VLOOKUP(B3816,'Справочник ИХ'!A:C,3,0))</f>
        <v>Остальные грузы</v>
      </c>
      <c r="E3816" s="13">
        <f>IF(RIGHT(A3816,3)="000","х",VLOOKUP(B3816,'Справочник ИХ'!A:D,4,0))</f>
        <v>3</v>
      </c>
      <c r="F3816" s="14" t="s">
        <v>5082</v>
      </c>
    </row>
    <row r="3817" spans="1:6" ht="47.6">
      <c r="A3817" s="19">
        <v>65204</v>
      </c>
      <c r="B3817" s="12" t="str">
        <f t="shared" si="59"/>
        <v>652</v>
      </c>
      <c r="C3817" s="1" t="s">
        <v>5104</v>
      </c>
      <c r="D3817" s="13" t="str">
        <f>IF(RIGHT(A3817,3)="000",C3817,VLOOKUP(B3817,'Справочник ИХ'!A:C,3,0))</f>
        <v>Остальные грузы</v>
      </c>
      <c r="E3817" s="13">
        <f>IF(RIGHT(A3817,3)="000","х",VLOOKUP(B3817,'Справочник ИХ'!A:D,4,0))</f>
        <v>3</v>
      </c>
      <c r="F3817" s="14" t="s">
        <v>5082</v>
      </c>
    </row>
    <row r="3818" spans="1:6" ht="47.6">
      <c r="A3818" s="19">
        <v>65205</v>
      </c>
      <c r="B3818" s="12" t="str">
        <f t="shared" si="59"/>
        <v>652</v>
      </c>
      <c r="C3818" s="1" t="s">
        <v>5105</v>
      </c>
      <c r="D3818" s="13" t="str">
        <f>IF(RIGHT(A3818,3)="000",C3818,VLOOKUP(B3818,'Справочник ИХ'!A:C,3,0))</f>
        <v>Остальные грузы</v>
      </c>
      <c r="E3818" s="13">
        <f>IF(RIGHT(A3818,3)="000","х",VLOOKUP(B3818,'Справочник ИХ'!A:D,4,0))</f>
        <v>3</v>
      </c>
      <c r="F3818" s="14" t="s">
        <v>5082</v>
      </c>
    </row>
    <row r="3819" spans="1:6" ht="47.6">
      <c r="A3819" s="19">
        <v>65206</v>
      </c>
      <c r="B3819" s="12" t="str">
        <f t="shared" si="59"/>
        <v>652</v>
      </c>
      <c r="C3819" s="1" t="s">
        <v>5106</v>
      </c>
      <c r="D3819" s="13" t="str">
        <f>IF(RIGHT(A3819,3)="000",C3819,VLOOKUP(B3819,'Справочник ИХ'!A:C,3,0))</f>
        <v>Остальные грузы</v>
      </c>
      <c r="E3819" s="13">
        <f>IF(RIGHT(A3819,3)="000","х",VLOOKUP(B3819,'Справочник ИХ'!A:D,4,0))</f>
        <v>3</v>
      </c>
      <c r="F3819" s="14" t="s">
        <v>5082</v>
      </c>
    </row>
    <row r="3820" spans="1:6" ht="47.6">
      <c r="A3820" s="19">
        <v>65207</v>
      </c>
      <c r="B3820" s="12" t="str">
        <f t="shared" si="59"/>
        <v>652</v>
      </c>
      <c r="C3820" s="1" t="s">
        <v>5107</v>
      </c>
      <c r="D3820" s="13" t="str">
        <f>IF(RIGHT(A3820,3)="000",C3820,VLOOKUP(B3820,'Справочник ИХ'!A:C,3,0))</f>
        <v>Остальные грузы</v>
      </c>
      <c r="E3820" s="13">
        <f>IF(RIGHT(A3820,3)="000","х",VLOOKUP(B3820,'Справочник ИХ'!A:D,4,0))</f>
        <v>3</v>
      </c>
      <c r="F3820" s="14" t="s">
        <v>5082</v>
      </c>
    </row>
    <row r="3821" spans="1:6" ht="47.6">
      <c r="A3821" s="19">
        <v>65208</v>
      </c>
      <c r="B3821" s="12" t="str">
        <f t="shared" si="59"/>
        <v>652</v>
      </c>
      <c r="C3821" s="1" t="s">
        <v>5108</v>
      </c>
      <c r="D3821" s="13" t="str">
        <f>IF(RIGHT(A3821,3)="000",C3821,VLOOKUP(B3821,'Справочник ИХ'!A:C,3,0))</f>
        <v>Остальные грузы</v>
      </c>
      <c r="E3821" s="13">
        <f>IF(RIGHT(A3821,3)="000","х",VLOOKUP(B3821,'Справочник ИХ'!A:D,4,0))</f>
        <v>3</v>
      </c>
      <c r="F3821" s="14" t="s">
        <v>5082</v>
      </c>
    </row>
    <row r="3822" spans="1:6" ht="47.6">
      <c r="A3822" s="19">
        <v>65209</v>
      </c>
      <c r="B3822" s="12" t="str">
        <f t="shared" si="59"/>
        <v>652</v>
      </c>
      <c r="C3822" s="1" t="s">
        <v>5109</v>
      </c>
      <c r="D3822" s="13" t="str">
        <f>IF(RIGHT(A3822,3)="000",C3822,VLOOKUP(B3822,'Справочник ИХ'!A:C,3,0))</f>
        <v>Остальные грузы</v>
      </c>
      <c r="E3822" s="13">
        <f>IF(RIGHT(A3822,3)="000","х",VLOOKUP(B3822,'Справочник ИХ'!A:D,4,0))</f>
        <v>3</v>
      </c>
      <c r="F3822" s="14" t="s">
        <v>5082</v>
      </c>
    </row>
    <row r="3823" spans="1:6" s="18" customFormat="1" ht="47.6">
      <c r="A3823" s="16">
        <v>65300</v>
      </c>
      <c r="B3823" s="12" t="str">
        <f t="shared" si="59"/>
        <v>653</v>
      </c>
      <c r="C3823" s="17" t="s">
        <v>5110</v>
      </c>
      <c r="D3823" s="13" t="str">
        <f>IF(RIGHT(A3823,3)="000",C3823,VLOOKUP(B3823,'Справочник ИХ'!A:C,3,0))</f>
        <v>Остальные грузы</v>
      </c>
      <c r="E3823" s="13">
        <f>IF(RIGHT(A3823,3)="000","х",VLOOKUP(B3823,'Справочник ИХ'!A:D,4,0))</f>
        <v>3</v>
      </c>
      <c r="F3823" s="14" t="s">
        <v>5082</v>
      </c>
    </row>
    <row r="3824" spans="1:6" ht="47.6">
      <c r="A3824" s="19">
        <v>65301</v>
      </c>
      <c r="B3824" s="12" t="str">
        <f t="shared" si="59"/>
        <v>653</v>
      </c>
      <c r="C3824" s="1" t="s">
        <v>5111</v>
      </c>
      <c r="D3824" s="13" t="str">
        <f>IF(RIGHT(A3824,3)="000",C3824,VLOOKUP(B3824,'Справочник ИХ'!A:C,3,0))</f>
        <v>Остальные грузы</v>
      </c>
      <c r="E3824" s="13">
        <f>IF(RIGHT(A3824,3)="000","х",VLOOKUP(B3824,'Справочник ИХ'!A:D,4,0))</f>
        <v>3</v>
      </c>
      <c r="F3824" s="14" t="s">
        <v>5082</v>
      </c>
    </row>
    <row r="3825" spans="1:6" ht="47.6">
      <c r="A3825" s="19">
        <v>65302</v>
      </c>
      <c r="B3825" s="12" t="str">
        <f t="shared" si="59"/>
        <v>653</v>
      </c>
      <c r="C3825" s="1" t="s">
        <v>5112</v>
      </c>
      <c r="D3825" s="13" t="str">
        <f>IF(RIGHT(A3825,3)="000",C3825,VLOOKUP(B3825,'Справочник ИХ'!A:C,3,0))</f>
        <v>Остальные грузы</v>
      </c>
      <c r="E3825" s="13">
        <f>IF(RIGHT(A3825,3)="000","х",VLOOKUP(B3825,'Справочник ИХ'!A:D,4,0))</f>
        <v>3</v>
      </c>
      <c r="F3825" s="14" t="s">
        <v>5082</v>
      </c>
    </row>
    <row r="3826" spans="1:6" ht="47.6">
      <c r="A3826" s="19">
        <v>65303</v>
      </c>
      <c r="B3826" s="12" t="str">
        <f t="shared" si="59"/>
        <v>653</v>
      </c>
      <c r="C3826" s="1" t="s">
        <v>5113</v>
      </c>
      <c r="D3826" s="13" t="str">
        <f>IF(RIGHT(A3826,3)="000",C3826,VLOOKUP(B3826,'Справочник ИХ'!A:C,3,0))</f>
        <v>Остальные грузы</v>
      </c>
      <c r="E3826" s="13">
        <f>IF(RIGHT(A3826,3)="000","х",VLOOKUP(B3826,'Справочник ИХ'!A:D,4,0))</f>
        <v>3</v>
      </c>
      <c r="F3826" s="14" t="s">
        <v>5082</v>
      </c>
    </row>
    <row r="3827" spans="1:6" ht="47.6">
      <c r="A3827" s="19">
        <v>65304</v>
      </c>
      <c r="B3827" s="12" t="str">
        <f t="shared" si="59"/>
        <v>653</v>
      </c>
      <c r="C3827" s="1" t="s">
        <v>5114</v>
      </c>
      <c r="D3827" s="13" t="str">
        <f>IF(RIGHT(A3827,3)="000",C3827,VLOOKUP(B3827,'Справочник ИХ'!A:C,3,0))</f>
        <v>Остальные грузы</v>
      </c>
      <c r="E3827" s="13">
        <f>IF(RIGHT(A3827,3)="000","х",VLOOKUP(B3827,'Справочник ИХ'!A:D,4,0))</f>
        <v>3</v>
      </c>
      <c r="F3827" s="14" t="s">
        <v>5082</v>
      </c>
    </row>
    <row r="3828" spans="1:6" ht="47.6">
      <c r="A3828" s="19">
        <v>65305</v>
      </c>
      <c r="B3828" s="12" t="str">
        <f t="shared" si="59"/>
        <v>653</v>
      </c>
      <c r="C3828" s="1" t="s">
        <v>5115</v>
      </c>
      <c r="D3828" s="13" t="str">
        <f>IF(RIGHT(A3828,3)="000",C3828,VLOOKUP(B3828,'Справочник ИХ'!A:C,3,0))</f>
        <v>Остальные грузы</v>
      </c>
      <c r="E3828" s="13">
        <f>IF(RIGHT(A3828,3)="000","х",VLOOKUP(B3828,'Справочник ИХ'!A:D,4,0))</f>
        <v>3</v>
      </c>
      <c r="F3828" s="14" t="s">
        <v>5082</v>
      </c>
    </row>
    <row r="3829" spans="1:6" ht="47.6">
      <c r="A3829" s="19">
        <v>65306</v>
      </c>
      <c r="B3829" s="12" t="str">
        <f t="shared" si="59"/>
        <v>653</v>
      </c>
      <c r="C3829" s="1" t="s">
        <v>5116</v>
      </c>
      <c r="D3829" s="13" t="str">
        <f>IF(RIGHT(A3829,3)="000",C3829,VLOOKUP(B3829,'Справочник ИХ'!A:C,3,0))</f>
        <v>Остальные грузы</v>
      </c>
      <c r="E3829" s="13">
        <f>IF(RIGHT(A3829,3)="000","х",VLOOKUP(B3829,'Справочник ИХ'!A:D,4,0))</f>
        <v>3</v>
      </c>
      <c r="F3829" s="14" t="s">
        <v>5082</v>
      </c>
    </row>
    <row r="3830" spans="1:6" ht="47.6">
      <c r="A3830" s="19">
        <v>65307</v>
      </c>
      <c r="B3830" s="12" t="str">
        <f t="shared" si="59"/>
        <v>653</v>
      </c>
      <c r="C3830" s="1" t="s">
        <v>5117</v>
      </c>
      <c r="D3830" s="13" t="str">
        <f>IF(RIGHT(A3830,3)="000",C3830,VLOOKUP(B3830,'Справочник ИХ'!A:C,3,0))</f>
        <v>Остальные грузы</v>
      </c>
      <c r="E3830" s="13">
        <f>IF(RIGHT(A3830,3)="000","х",VLOOKUP(B3830,'Справочник ИХ'!A:D,4,0))</f>
        <v>3</v>
      </c>
      <c r="F3830" s="14" t="s">
        <v>5082</v>
      </c>
    </row>
    <row r="3831" spans="1:6" ht="47.6">
      <c r="A3831" s="19">
        <v>65308</v>
      </c>
      <c r="B3831" s="12" t="str">
        <f t="shared" si="59"/>
        <v>653</v>
      </c>
      <c r="C3831" s="1" t="s">
        <v>5118</v>
      </c>
      <c r="D3831" s="13" t="str">
        <f>IF(RIGHT(A3831,3)="000",C3831,VLOOKUP(B3831,'Справочник ИХ'!A:C,3,0))</f>
        <v>Остальные грузы</v>
      </c>
      <c r="E3831" s="13">
        <f>IF(RIGHT(A3831,3)="000","х",VLOOKUP(B3831,'Справочник ИХ'!A:D,4,0))</f>
        <v>3</v>
      </c>
      <c r="F3831" s="14" t="s">
        <v>5082</v>
      </c>
    </row>
    <row r="3832" spans="1:6" ht="47.6">
      <c r="A3832" s="19">
        <v>65309</v>
      </c>
      <c r="B3832" s="12" t="str">
        <f t="shared" si="59"/>
        <v>653</v>
      </c>
      <c r="C3832" s="1" t="s">
        <v>5119</v>
      </c>
      <c r="D3832" s="13" t="str">
        <f>IF(RIGHT(A3832,3)="000",C3832,VLOOKUP(B3832,'Справочник ИХ'!A:C,3,0))</f>
        <v>Остальные грузы</v>
      </c>
      <c r="E3832" s="13">
        <f>IF(RIGHT(A3832,3)="000","х",VLOOKUP(B3832,'Справочник ИХ'!A:D,4,0))</f>
        <v>3</v>
      </c>
      <c r="F3832" s="14" t="s">
        <v>5082</v>
      </c>
    </row>
    <row r="3833" spans="1:6" ht="47.6">
      <c r="A3833" s="19">
        <v>65310</v>
      </c>
      <c r="B3833" s="12" t="str">
        <f t="shared" si="59"/>
        <v>653</v>
      </c>
      <c r="C3833" s="1" t="s">
        <v>5120</v>
      </c>
      <c r="D3833" s="13" t="str">
        <f>IF(RIGHT(A3833,3)="000",C3833,VLOOKUP(B3833,'Справочник ИХ'!A:C,3,0))</f>
        <v>Остальные грузы</v>
      </c>
      <c r="E3833" s="13">
        <f>IF(RIGHT(A3833,3)="000","х",VLOOKUP(B3833,'Справочник ИХ'!A:D,4,0))</f>
        <v>3</v>
      </c>
      <c r="F3833" s="14" t="s">
        <v>5082</v>
      </c>
    </row>
    <row r="3834" spans="1:6" ht="47.6">
      <c r="A3834" s="19">
        <v>65311</v>
      </c>
      <c r="B3834" s="12" t="str">
        <f t="shared" si="59"/>
        <v>653</v>
      </c>
      <c r="C3834" s="1" t="s">
        <v>5121</v>
      </c>
      <c r="D3834" s="13" t="str">
        <f>IF(RIGHT(A3834,3)="000",C3834,VLOOKUP(B3834,'Справочник ИХ'!A:C,3,0))</f>
        <v>Остальные грузы</v>
      </c>
      <c r="E3834" s="13">
        <f>IF(RIGHT(A3834,3)="000","х",VLOOKUP(B3834,'Справочник ИХ'!A:D,4,0))</f>
        <v>3</v>
      </c>
      <c r="F3834" s="14" t="s">
        <v>5082</v>
      </c>
    </row>
    <row r="3835" spans="1:6" ht="47.6">
      <c r="A3835" s="19">
        <v>65312</v>
      </c>
      <c r="B3835" s="12" t="str">
        <f t="shared" si="59"/>
        <v>653</v>
      </c>
      <c r="C3835" s="1" t="s">
        <v>5122</v>
      </c>
      <c r="D3835" s="13" t="str">
        <f>IF(RIGHT(A3835,3)="000",C3835,VLOOKUP(B3835,'Справочник ИХ'!A:C,3,0))</f>
        <v>Остальные грузы</v>
      </c>
      <c r="E3835" s="13">
        <f>IF(RIGHT(A3835,3)="000","х",VLOOKUP(B3835,'Справочник ИХ'!A:D,4,0))</f>
        <v>3</v>
      </c>
      <c r="F3835" s="14" t="s">
        <v>5082</v>
      </c>
    </row>
    <row r="3836" spans="1:6" ht="47.6">
      <c r="A3836" s="19">
        <v>65313</v>
      </c>
      <c r="B3836" s="12" t="str">
        <f t="shared" si="59"/>
        <v>653</v>
      </c>
      <c r="C3836" s="1" t="s">
        <v>5123</v>
      </c>
      <c r="D3836" s="13" t="str">
        <f>IF(RIGHT(A3836,3)="000",C3836,VLOOKUP(B3836,'Справочник ИХ'!A:C,3,0))</f>
        <v>Остальные грузы</v>
      </c>
      <c r="E3836" s="13">
        <f>IF(RIGHT(A3836,3)="000","х",VLOOKUP(B3836,'Справочник ИХ'!A:D,4,0))</f>
        <v>3</v>
      </c>
      <c r="F3836" s="14" t="s">
        <v>5082</v>
      </c>
    </row>
    <row r="3837" spans="1:6" ht="47.6">
      <c r="A3837" s="19">
        <v>65314</v>
      </c>
      <c r="B3837" s="12" t="str">
        <f t="shared" si="59"/>
        <v>653</v>
      </c>
      <c r="C3837" s="1" t="s">
        <v>5124</v>
      </c>
      <c r="D3837" s="13" t="str">
        <f>IF(RIGHT(A3837,3)="000",C3837,VLOOKUP(B3837,'Справочник ИХ'!A:C,3,0))</f>
        <v>Остальные грузы</v>
      </c>
      <c r="E3837" s="13">
        <f>IF(RIGHT(A3837,3)="000","х",VLOOKUP(B3837,'Справочник ИХ'!A:D,4,0))</f>
        <v>3</v>
      </c>
      <c r="F3837" s="14" t="s">
        <v>5082</v>
      </c>
    </row>
    <row r="3838" spans="1:6" ht="47.6">
      <c r="A3838" s="19">
        <v>65315</v>
      </c>
      <c r="B3838" s="12" t="str">
        <f t="shared" si="59"/>
        <v>653</v>
      </c>
      <c r="C3838" s="1" t="s">
        <v>5125</v>
      </c>
      <c r="D3838" s="13" t="str">
        <f>IF(RIGHT(A3838,3)="000",C3838,VLOOKUP(B3838,'Справочник ИХ'!A:C,3,0))</f>
        <v>Остальные грузы</v>
      </c>
      <c r="E3838" s="13">
        <f>IF(RIGHT(A3838,3)="000","х",VLOOKUP(B3838,'Справочник ИХ'!A:D,4,0))</f>
        <v>3</v>
      </c>
      <c r="F3838" s="14" t="s">
        <v>5082</v>
      </c>
    </row>
    <row r="3839" spans="1:6" ht="47.6">
      <c r="A3839" s="19">
        <v>65316</v>
      </c>
      <c r="B3839" s="12" t="str">
        <f t="shared" si="59"/>
        <v>653</v>
      </c>
      <c r="C3839" s="1" t="s">
        <v>5126</v>
      </c>
      <c r="D3839" s="13" t="str">
        <f>IF(RIGHT(A3839,3)="000",C3839,VLOOKUP(B3839,'Справочник ИХ'!A:C,3,0))</f>
        <v>Остальные грузы</v>
      </c>
      <c r="E3839" s="13">
        <f>IF(RIGHT(A3839,3)="000","х",VLOOKUP(B3839,'Справочник ИХ'!A:D,4,0))</f>
        <v>3</v>
      </c>
      <c r="F3839" s="14" t="s">
        <v>5082</v>
      </c>
    </row>
    <row r="3840" spans="1:6" ht="47.6">
      <c r="A3840" s="19">
        <v>65317</v>
      </c>
      <c r="B3840" s="12" t="str">
        <f t="shared" si="59"/>
        <v>653</v>
      </c>
      <c r="C3840" s="1" t="s">
        <v>5127</v>
      </c>
      <c r="D3840" s="13" t="str">
        <f>IF(RIGHT(A3840,3)="000",C3840,VLOOKUP(B3840,'Справочник ИХ'!A:C,3,0))</f>
        <v>Остальные грузы</v>
      </c>
      <c r="E3840" s="13">
        <f>IF(RIGHT(A3840,3)="000","х",VLOOKUP(B3840,'Справочник ИХ'!A:D,4,0))</f>
        <v>3</v>
      </c>
      <c r="F3840" s="14" t="s">
        <v>5082</v>
      </c>
    </row>
    <row r="3841" spans="1:6" s="18" customFormat="1" ht="47.6">
      <c r="A3841" s="16">
        <v>65400</v>
      </c>
      <c r="B3841" s="12" t="str">
        <f t="shared" si="59"/>
        <v>654</v>
      </c>
      <c r="C3841" s="17" t="s">
        <v>5128</v>
      </c>
      <c r="D3841" s="13" t="str">
        <f>IF(RIGHT(A3841,3)="000",C3841,VLOOKUP(B3841,'Справочник ИХ'!A:C,3,0))</f>
        <v>Остальные грузы</v>
      </c>
      <c r="E3841" s="13">
        <f>IF(RIGHT(A3841,3)="000","х",VLOOKUP(B3841,'Справочник ИХ'!A:D,4,0))</f>
        <v>3</v>
      </c>
      <c r="F3841" s="14" t="s">
        <v>5082</v>
      </c>
    </row>
    <row r="3842" spans="1:6" ht="47.6">
      <c r="A3842" s="19">
        <v>65401</v>
      </c>
      <c r="B3842" s="12" t="str">
        <f t="shared" si="59"/>
        <v>654</v>
      </c>
      <c r="C3842" s="1" t="s">
        <v>5129</v>
      </c>
      <c r="D3842" s="13" t="str">
        <f>IF(RIGHT(A3842,3)="000",C3842,VLOOKUP(B3842,'Справочник ИХ'!A:C,3,0))</f>
        <v>Остальные грузы</v>
      </c>
      <c r="E3842" s="13">
        <f>IF(RIGHT(A3842,3)="000","х",VLOOKUP(B3842,'Справочник ИХ'!A:D,4,0))</f>
        <v>3</v>
      </c>
      <c r="F3842" s="14" t="s">
        <v>5082</v>
      </c>
    </row>
    <row r="3843" spans="1:6" ht="47.6">
      <c r="A3843" s="19">
        <v>65402</v>
      </c>
      <c r="B3843" s="12" t="str">
        <f t="shared" si="59"/>
        <v>654</v>
      </c>
      <c r="C3843" s="1" t="s">
        <v>5130</v>
      </c>
      <c r="D3843" s="13" t="str">
        <f>IF(RIGHT(A3843,3)="000",C3843,VLOOKUP(B3843,'Справочник ИХ'!A:C,3,0))</f>
        <v>Остальные грузы</v>
      </c>
      <c r="E3843" s="13">
        <f>IF(RIGHT(A3843,3)="000","х",VLOOKUP(B3843,'Справочник ИХ'!A:D,4,0))</f>
        <v>3</v>
      </c>
      <c r="F3843" s="14" t="s">
        <v>5082</v>
      </c>
    </row>
    <row r="3844" spans="1:6" ht="47.6">
      <c r="A3844" s="19">
        <v>65403</v>
      </c>
      <c r="B3844" s="12" t="str">
        <f t="shared" si="59"/>
        <v>654</v>
      </c>
      <c r="C3844" s="1" t="s">
        <v>5131</v>
      </c>
      <c r="D3844" s="13" t="str">
        <f>IF(RIGHT(A3844,3)="000",C3844,VLOOKUP(B3844,'Справочник ИХ'!A:C,3,0))</f>
        <v>Остальные грузы</v>
      </c>
      <c r="E3844" s="13">
        <f>IF(RIGHT(A3844,3)="000","х",VLOOKUP(B3844,'Справочник ИХ'!A:D,4,0))</f>
        <v>3</v>
      </c>
      <c r="F3844" s="14" t="s">
        <v>5082</v>
      </c>
    </row>
    <row r="3845" spans="1:6" ht="47.6">
      <c r="A3845" s="19">
        <v>65404</v>
      </c>
      <c r="B3845" s="12" t="str">
        <f t="shared" ref="B3845:B3908" si="60">LEFT(A3845,3)</f>
        <v>654</v>
      </c>
      <c r="C3845" s="1" t="s">
        <v>5132</v>
      </c>
      <c r="D3845" s="13" t="str">
        <f>IF(RIGHT(A3845,3)="000",C3845,VLOOKUP(B3845,'Справочник ИХ'!A:C,3,0))</f>
        <v>Остальные грузы</v>
      </c>
      <c r="E3845" s="13">
        <f>IF(RIGHT(A3845,3)="000","х",VLOOKUP(B3845,'Справочник ИХ'!A:D,4,0))</f>
        <v>3</v>
      </c>
      <c r="F3845" s="14" t="s">
        <v>5082</v>
      </c>
    </row>
    <row r="3846" spans="1:6" ht="47.6">
      <c r="A3846" s="19">
        <v>65405</v>
      </c>
      <c r="B3846" s="12" t="str">
        <f t="shared" si="60"/>
        <v>654</v>
      </c>
      <c r="C3846" s="1" t="s">
        <v>5133</v>
      </c>
      <c r="D3846" s="13" t="str">
        <f>IF(RIGHT(A3846,3)="000",C3846,VLOOKUP(B3846,'Справочник ИХ'!A:C,3,0))</f>
        <v>Остальные грузы</v>
      </c>
      <c r="E3846" s="13">
        <f>IF(RIGHT(A3846,3)="000","х",VLOOKUP(B3846,'Справочник ИХ'!A:D,4,0))</f>
        <v>3</v>
      </c>
      <c r="F3846" s="14" t="s">
        <v>5082</v>
      </c>
    </row>
    <row r="3847" spans="1:6" ht="47.6">
      <c r="A3847" s="19">
        <v>65406</v>
      </c>
      <c r="B3847" s="12" t="str">
        <f t="shared" si="60"/>
        <v>654</v>
      </c>
      <c r="C3847" s="1" t="s">
        <v>5134</v>
      </c>
      <c r="D3847" s="13" t="str">
        <f>IF(RIGHT(A3847,3)="000",C3847,VLOOKUP(B3847,'Справочник ИХ'!A:C,3,0))</f>
        <v>Остальные грузы</v>
      </c>
      <c r="E3847" s="13">
        <f>IF(RIGHT(A3847,3)="000","х",VLOOKUP(B3847,'Справочник ИХ'!A:D,4,0))</f>
        <v>3</v>
      </c>
      <c r="F3847" s="14" t="s">
        <v>5082</v>
      </c>
    </row>
    <row r="3848" spans="1:6" ht="47.6">
      <c r="A3848" s="19">
        <v>65407</v>
      </c>
      <c r="B3848" s="12" t="str">
        <f t="shared" si="60"/>
        <v>654</v>
      </c>
      <c r="C3848" s="1" t="s">
        <v>5135</v>
      </c>
      <c r="D3848" s="13" t="str">
        <f>IF(RIGHT(A3848,3)="000",C3848,VLOOKUP(B3848,'Справочник ИХ'!A:C,3,0))</f>
        <v>Остальные грузы</v>
      </c>
      <c r="E3848" s="13">
        <f>IF(RIGHT(A3848,3)="000","х",VLOOKUP(B3848,'Справочник ИХ'!A:D,4,0))</f>
        <v>3</v>
      </c>
      <c r="F3848" s="14" t="s">
        <v>5082</v>
      </c>
    </row>
    <row r="3849" spans="1:6" ht="47.6">
      <c r="A3849" s="19">
        <v>65408</v>
      </c>
      <c r="B3849" s="12" t="str">
        <f t="shared" si="60"/>
        <v>654</v>
      </c>
      <c r="C3849" s="1" t="s">
        <v>5136</v>
      </c>
      <c r="D3849" s="13" t="str">
        <f>IF(RIGHT(A3849,3)="000",C3849,VLOOKUP(B3849,'Справочник ИХ'!A:C,3,0))</f>
        <v>Остальные грузы</v>
      </c>
      <c r="E3849" s="13">
        <f>IF(RIGHT(A3849,3)="000","х",VLOOKUP(B3849,'Справочник ИХ'!A:D,4,0))</f>
        <v>3</v>
      </c>
      <c r="F3849" s="14" t="s">
        <v>5082</v>
      </c>
    </row>
    <row r="3850" spans="1:6" ht="47.6">
      <c r="A3850" s="19">
        <v>65409</v>
      </c>
      <c r="B3850" s="12" t="str">
        <f t="shared" si="60"/>
        <v>654</v>
      </c>
      <c r="C3850" s="1" t="s">
        <v>5137</v>
      </c>
      <c r="D3850" s="13" t="str">
        <f>IF(RIGHT(A3850,3)="000",C3850,VLOOKUP(B3850,'Справочник ИХ'!A:C,3,0))</f>
        <v>Остальные грузы</v>
      </c>
      <c r="E3850" s="13">
        <f>IF(RIGHT(A3850,3)="000","х",VLOOKUP(B3850,'Справочник ИХ'!A:D,4,0))</f>
        <v>3</v>
      </c>
      <c r="F3850" s="14" t="s">
        <v>5082</v>
      </c>
    </row>
    <row r="3851" spans="1:6" s="15" customFormat="1" ht="63.45">
      <c r="A3851" s="7">
        <v>66000</v>
      </c>
      <c r="B3851" s="12" t="str">
        <f t="shared" si="60"/>
        <v>660</v>
      </c>
      <c r="C3851" s="11" t="s">
        <v>5138</v>
      </c>
      <c r="D3851" s="13" t="str">
        <f>IF(RIGHT(A3851,3)="000",C3851,VLOOKUP(B3851,'Справочник ИХ'!A:C,3,0))</f>
        <v>Изделия из стекла, фарфора и фаянса, кроме сантехоборудования из полуфарфора и фаянса</v>
      </c>
      <c r="E3851" s="13" t="str">
        <f>IF(RIGHT(A3851,3)="000","х",VLOOKUP(B3851,'Справочник ИХ'!A:D,4,0))</f>
        <v>х</v>
      </c>
      <c r="F3851" s="14" t="s">
        <v>5138</v>
      </c>
    </row>
    <row r="3852" spans="1:6" s="18" customFormat="1" ht="47.6">
      <c r="A3852" s="16">
        <v>66100</v>
      </c>
      <c r="B3852" s="12" t="str">
        <f t="shared" si="60"/>
        <v>661</v>
      </c>
      <c r="C3852" s="17" t="s">
        <v>5139</v>
      </c>
      <c r="D3852" s="13" t="str">
        <f>IF(RIGHT(A3852,3)="000",C3852,VLOOKUP(B3852,'Справочник ИХ'!A:C,3,0))</f>
        <v>Остальные грузы</v>
      </c>
      <c r="E3852" s="13">
        <f>IF(RIGHT(A3852,3)="000","х",VLOOKUP(B3852,'Справочник ИХ'!A:D,4,0))</f>
        <v>3</v>
      </c>
      <c r="F3852" s="14" t="s">
        <v>5138</v>
      </c>
    </row>
    <row r="3853" spans="1:6" ht="47.6">
      <c r="A3853" s="19">
        <v>66101</v>
      </c>
      <c r="B3853" s="12" t="str">
        <f t="shared" si="60"/>
        <v>661</v>
      </c>
      <c r="C3853" s="1" t="s">
        <v>5140</v>
      </c>
      <c r="D3853" s="13" t="str">
        <f>IF(RIGHT(A3853,3)="000",C3853,VLOOKUP(B3853,'Справочник ИХ'!A:C,3,0))</f>
        <v>Остальные грузы</v>
      </c>
      <c r="E3853" s="13">
        <f>IF(RIGHT(A3853,3)="000","х",VLOOKUP(B3853,'Справочник ИХ'!A:D,4,0))</f>
        <v>3</v>
      </c>
      <c r="F3853" s="14" t="s">
        <v>5138</v>
      </c>
    </row>
    <row r="3854" spans="1:6" ht="47.6">
      <c r="A3854" s="19">
        <v>66102</v>
      </c>
      <c r="B3854" s="12" t="str">
        <f t="shared" si="60"/>
        <v>661</v>
      </c>
      <c r="C3854" s="1" t="s">
        <v>5141</v>
      </c>
      <c r="D3854" s="13" t="str">
        <f>IF(RIGHT(A3854,3)="000",C3854,VLOOKUP(B3854,'Справочник ИХ'!A:C,3,0))</f>
        <v>Остальные грузы</v>
      </c>
      <c r="E3854" s="13">
        <f>IF(RIGHT(A3854,3)="000","х",VLOOKUP(B3854,'Справочник ИХ'!A:D,4,0))</f>
        <v>3</v>
      </c>
      <c r="F3854" s="14" t="s">
        <v>5138</v>
      </c>
    </row>
    <row r="3855" spans="1:6" ht="47.6">
      <c r="A3855" s="19">
        <v>66103</v>
      </c>
      <c r="B3855" s="12" t="str">
        <f t="shared" si="60"/>
        <v>661</v>
      </c>
      <c r="C3855" s="1" t="s">
        <v>5142</v>
      </c>
      <c r="D3855" s="13" t="str">
        <f>IF(RIGHT(A3855,3)="000",C3855,VLOOKUP(B3855,'Справочник ИХ'!A:C,3,0))</f>
        <v>Остальные грузы</v>
      </c>
      <c r="E3855" s="13">
        <f>IF(RIGHT(A3855,3)="000","х",VLOOKUP(B3855,'Справочник ИХ'!A:D,4,0))</f>
        <v>3</v>
      </c>
      <c r="F3855" s="14" t="s">
        <v>5138</v>
      </c>
    </row>
    <row r="3856" spans="1:6" ht="47.6">
      <c r="A3856" s="19">
        <v>66104</v>
      </c>
      <c r="B3856" s="12" t="str">
        <f t="shared" si="60"/>
        <v>661</v>
      </c>
      <c r="C3856" s="1" t="s">
        <v>5143</v>
      </c>
      <c r="D3856" s="13" t="str">
        <f>IF(RIGHT(A3856,3)="000",C3856,VLOOKUP(B3856,'Справочник ИХ'!A:C,3,0))</f>
        <v>Остальные грузы</v>
      </c>
      <c r="E3856" s="13">
        <f>IF(RIGHT(A3856,3)="000","х",VLOOKUP(B3856,'Справочник ИХ'!A:D,4,0))</f>
        <v>3</v>
      </c>
      <c r="F3856" s="14" t="s">
        <v>5138</v>
      </c>
    </row>
    <row r="3857" spans="1:6" ht="47.6">
      <c r="A3857" s="19">
        <v>66105</v>
      </c>
      <c r="B3857" s="12" t="str">
        <f t="shared" si="60"/>
        <v>661</v>
      </c>
      <c r="C3857" s="1" t="s">
        <v>5144</v>
      </c>
      <c r="D3857" s="13" t="str">
        <f>IF(RIGHT(A3857,3)="000",C3857,VLOOKUP(B3857,'Справочник ИХ'!A:C,3,0))</f>
        <v>Остальные грузы</v>
      </c>
      <c r="E3857" s="13">
        <f>IF(RIGHT(A3857,3)="000","х",VLOOKUP(B3857,'Справочник ИХ'!A:D,4,0))</f>
        <v>3</v>
      </c>
      <c r="F3857" s="14" t="s">
        <v>5138</v>
      </c>
    </row>
    <row r="3858" spans="1:6" ht="47.6">
      <c r="A3858" s="19">
        <v>66106</v>
      </c>
      <c r="B3858" s="12" t="str">
        <f t="shared" si="60"/>
        <v>661</v>
      </c>
      <c r="C3858" s="1" t="s">
        <v>5145</v>
      </c>
      <c r="D3858" s="13" t="str">
        <f>IF(RIGHT(A3858,3)="000",C3858,VLOOKUP(B3858,'Справочник ИХ'!A:C,3,0))</f>
        <v>Остальные грузы</v>
      </c>
      <c r="E3858" s="13">
        <f>IF(RIGHT(A3858,3)="000","х",VLOOKUP(B3858,'Справочник ИХ'!A:D,4,0))</f>
        <v>3</v>
      </c>
      <c r="F3858" s="14" t="s">
        <v>5138</v>
      </c>
    </row>
    <row r="3859" spans="1:6" ht="47.6">
      <c r="A3859" s="19">
        <v>66107</v>
      </c>
      <c r="B3859" s="12" t="str">
        <f t="shared" si="60"/>
        <v>661</v>
      </c>
      <c r="C3859" s="1" t="s">
        <v>5146</v>
      </c>
      <c r="D3859" s="13" t="str">
        <f>IF(RIGHT(A3859,3)="000",C3859,VLOOKUP(B3859,'Справочник ИХ'!A:C,3,0))</f>
        <v>Остальные грузы</v>
      </c>
      <c r="E3859" s="13">
        <f>IF(RIGHT(A3859,3)="000","х",VLOOKUP(B3859,'Справочник ИХ'!A:D,4,0))</f>
        <v>3</v>
      </c>
      <c r="F3859" s="14" t="s">
        <v>5138</v>
      </c>
    </row>
    <row r="3860" spans="1:6" ht="47.6">
      <c r="A3860" s="19">
        <v>66108</v>
      </c>
      <c r="B3860" s="12" t="str">
        <f t="shared" si="60"/>
        <v>661</v>
      </c>
      <c r="C3860" s="1" t="s">
        <v>5147</v>
      </c>
      <c r="D3860" s="13" t="str">
        <f>IF(RIGHT(A3860,3)="000",C3860,VLOOKUP(B3860,'Справочник ИХ'!A:C,3,0))</f>
        <v>Остальные грузы</v>
      </c>
      <c r="E3860" s="13">
        <f>IF(RIGHT(A3860,3)="000","х",VLOOKUP(B3860,'Справочник ИХ'!A:D,4,0))</f>
        <v>3</v>
      </c>
      <c r="F3860" s="14" t="s">
        <v>5138</v>
      </c>
    </row>
    <row r="3861" spans="1:6" ht="47.6">
      <c r="A3861" s="19">
        <v>66109</v>
      </c>
      <c r="B3861" s="12" t="str">
        <f t="shared" si="60"/>
        <v>661</v>
      </c>
      <c r="C3861" s="1" t="s">
        <v>5148</v>
      </c>
      <c r="D3861" s="13" t="str">
        <f>IF(RIGHT(A3861,3)="000",C3861,VLOOKUP(B3861,'Справочник ИХ'!A:C,3,0))</f>
        <v>Остальные грузы</v>
      </c>
      <c r="E3861" s="13">
        <f>IF(RIGHT(A3861,3)="000","х",VLOOKUP(B3861,'Справочник ИХ'!A:D,4,0))</f>
        <v>3</v>
      </c>
      <c r="F3861" s="14" t="s">
        <v>5138</v>
      </c>
    </row>
    <row r="3862" spans="1:6" ht="47.6">
      <c r="A3862" s="19">
        <v>66110</v>
      </c>
      <c r="B3862" s="12" t="str">
        <f t="shared" si="60"/>
        <v>661</v>
      </c>
      <c r="C3862" s="1" t="s">
        <v>5149</v>
      </c>
      <c r="D3862" s="13" t="str">
        <f>IF(RIGHT(A3862,3)="000",C3862,VLOOKUP(B3862,'Справочник ИХ'!A:C,3,0))</f>
        <v>Остальные грузы</v>
      </c>
      <c r="E3862" s="13">
        <f>IF(RIGHT(A3862,3)="000","х",VLOOKUP(B3862,'Справочник ИХ'!A:D,4,0))</f>
        <v>3</v>
      </c>
      <c r="F3862" s="14" t="s">
        <v>5138</v>
      </c>
    </row>
    <row r="3863" spans="1:6" ht="47.6">
      <c r="A3863" s="19">
        <v>66111</v>
      </c>
      <c r="B3863" s="12" t="str">
        <f t="shared" si="60"/>
        <v>661</v>
      </c>
      <c r="C3863" s="1" t="s">
        <v>5150</v>
      </c>
      <c r="D3863" s="13" t="str">
        <f>IF(RIGHT(A3863,3)="000",C3863,VLOOKUP(B3863,'Справочник ИХ'!A:C,3,0))</f>
        <v>Остальные грузы</v>
      </c>
      <c r="E3863" s="13">
        <f>IF(RIGHT(A3863,3)="000","х",VLOOKUP(B3863,'Справочник ИХ'!A:D,4,0))</f>
        <v>3</v>
      </c>
      <c r="F3863" s="14" t="s">
        <v>5138</v>
      </c>
    </row>
    <row r="3864" spans="1:6" ht="47.6">
      <c r="A3864" s="19">
        <v>66112</v>
      </c>
      <c r="B3864" s="12" t="str">
        <f t="shared" si="60"/>
        <v>661</v>
      </c>
      <c r="C3864" s="1" t="s">
        <v>5151</v>
      </c>
      <c r="D3864" s="13" t="str">
        <f>IF(RIGHT(A3864,3)="000",C3864,VLOOKUP(B3864,'Справочник ИХ'!A:C,3,0))</f>
        <v>Остальные грузы</v>
      </c>
      <c r="E3864" s="13">
        <f>IF(RIGHT(A3864,3)="000","х",VLOOKUP(B3864,'Справочник ИХ'!A:D,4,0))</f>
        <v>3</v>
      </c>
      <c r="F3864" s="14" t="s">
        <v>5138</v>
      </c>
    </row>
    <row r="3865" spans="1:6" ht="47.6">
      <c r="A3865" s="19">
        <v>66113</v>
      </c>
      <c r="B3865" s="12" t="str">
        <f t="shared" si="60"/>
        <v>661</v>
      </c>
      <c r="C3865" s="1" t="s">
        <v>5152</v>
      </c>
      <c r="D3865" s="13" t="str">
        <f>IF(RIGHT(A3865,3)="000",C3865,VLOOKUP(B3865,'Справочник ИХ'!A:C,3,0))</f>
        <v>Остальные грузы</v>
      </c>
      <c r="E3865" s="13">
        <f>IF(RIGHT(A3865,3)="000","х",VLOOKUP(B3865,'Справочник ИХ'!A:D,4,0))</f>
        <v>3</v>
      </c>
      <c r="F3865" s="14" t="s">
        <v>5138</v>
      </c>
    </row>
    <row r="3866" spans="1:6" ht="47.6">
      <c r="A3866" s="19">
        <v>66114</v>
      </c>
      <c r="B3866" s="12" t="str">
        <f t="shared" si="60"/>
        <v>661</v>
      </c>
      <c r="C3866" s="1" t="s">
        <v>5153</v>
      </c>
      <c r="D3866" s="13" t="str">
        <f>IF(RIGHT(A3866,3)="000",C3866,VLOOKUP(B3866,'Справочник ИХ'!A:C,3,0))</f>
        <v>Остальные грузы</v>
      </c>
      <c r="E3866" s="13">
        <f>IF(RIGHT(A3866,3)="000","х",VLOOKUP(B3866,'Справочник ИХ'!A:D,4,0))</f>
        <v>3</v>
      </c>
      <c r="F3866" s="14" t="s">
        <v>5138</v>
      </c>
    </row>
    <row r="3867" spans="1:6" ht="47.6">
      <c r="A3867" s="19">
        <v>66115</v>
      </c>
      <c r="B3867" s="12" t="str">
        <f t="shared" si="60"/>
        <v>661</v>
      </c>
      <c r="C3867" s="1" t="s">
        <v>5154</v>
      </c>
      <c r="D3867" s="13" t="str">
        <f>IF(RIGHT(A3867,3)="000",C3867,VLOOKUP(B3867,'Справочник ИХ'!A:C,3,0))</f>
        <v>Остальные грузы</v>
      </c>
      <c r="E3867" s="13">
        <f>IF(RIGHT(A3867,3)="000","х",VLOOKUP(B3867,'Справочник ИХ'!A:D,4,0))</f>
        <v>3</v>
      </c>
      <c r="F3867" s="14" t="s">
        <v>5138</v>
      </c>
    </row>
    <row r="3868" spans="1:6" ht="47.6">
      <c r="A3868" s="19">
        <v>66116</v>
      </c>
      <c r="B3868" s="12" t="str">
        <f t="shared" si="60"/>
        <v>661</v>
      </c>
      <c r="C3868" s="1" t="s">
        <v>5155</v>
      </c>
      <c r="D3868" s="13" t="str">
        <f>IF(RIGHT(A3868,3)="000",C3868,VLOOKUP(B3868,'Справочник ИХ'!A:C,3,0))</f>
        <v>Остальные грузы</v>
      </c>
      <c r="E3868" s="13">
        <f>IF(RIGHT(A3868,3)="000","х",VLOOKUP(B3868,'Справочник ИХ'!A:D,4,0))</f>
        <v>3</v>
      </c>
      <c r="F3868" s="14" t="s">
        <v>5138</v>
      </c>
    </row>
    <row r="3869" spans="1:6" ht="47.6">
      <c r="A3869" s="19">
        <v>66117</v>
      </c>
      <c r="B3869" s="12" t="str">
        <f t="shared" si="60"/>
        <v>661</v>
      </c>
      <c r="C3869" s="1" t="s">
        <v>5156</v>
      </c>
      <c r="D3869" s="13" t="str">
        <f>IF(RIGHT(A3869,3)="000",C3869,VLOOKUP(B3869,'Справочник ИХ'!A:C,3,0))</f>
        <v>Остальные грузы</v>
      </c>
      <c r="E3869" s="13">
        <f>IF(RIGHT(A3869,3)="000","х",VLOOKUP(B3869,'Справочник ИХ'!A:D,4,0))</f>
        <v>3</v>
      </c>
      <c r="F3869" s="14" t="s">
        <v>5138</v>
      </c>
    </row>
    <row r="3870" spans="1:6" ht="47.6">
      <c r="A3870" s="19">
        <v>66118</v>
      </c>
      <c r="B3870" s="12" t="str">
        <f t="shared" si="60"/>
        <v>661</v>
      </c>
      <c r="C3870" s="1" t="s">
        <v>5157</v>
      </c>
      <c r="D3870" s="13" t="str">
        <f>IF(RIGHT(A3870,3)="000",C3870,VLOOKUP(B3870,'Справочник ИХ'!A:C,3,0))</f>
        <v>Остальные грузы</v>
      </c>
      <c r="E3870" s="13">
        <f>IF(RIGHT(A3870,3)="000","х",VLOOKUP(B3870,'Справочник ИХ'!A:D,4,0))</f>
        <v>3</v>
      </c>
      <c r="F3870" s="14" t="s">
        <v>5138</v>
      </c>
    </row>
    <row r="3871" spans="1:6" ht="47.6">
      <c r="A3871" s="19">
        <v>66119</v>
      </c>
      <c r="B3871" s="12" t="str">
        <f t="shared" si="60"/>
        <v>661</v>
      </c>
      <c r="C3871" s="1" t="s">
        <v>5158</v>
      </c>
      <c r="D3871" s="13" t="str">
        <f>IF(RIGHT(A3871,3)="000",C3871,VLOOKUP(B3871,'Справочник ИХ'!A:C,3,0))</f>
        <v>Остальные грузы</v>
      </c>
      <c r="E3871" s="13">
        <f>IF(RIGHT(A3871,3)="000","х",VLOOKUP(B3871,'Справочник ИХ'!A:D,4,0))</f>
        <v>3</v>
      </c>
      <c r="F3871" s="14" t="s">
        <v>5138</v>
      </c>
    </row>
    <row r="3872" spans="1:6" ht="47.6">
      <c r="A3872" s="19">
        <v>66120</v>
      </c>
      <c r="B3872" s="12" t="str">
        <f t="shared" si="60"/>
        <v>661</v>
      </c>
      <c r="C3872" s="1" t="s">
        <v>5159</v>
      </c>
      <c r="D3872" s="13" t="str">
        <f>IF(RIGHT(A3872,3)="000",C3872,VLOOKUP(B3872,'Справочник ИХ'!A:C,3,0))</f>
        <v>Остальные грузы</v>
      </c>
      <c r="E3872" s="13">
        <f>IF(RIGHT(A3872,3)="000","х",VLOOKUP(B3872,'Справочник ИХ'!A:D,4,0))</f>
        <v>3</v>
      </c>
      <c r="F3872" s="14" t="s">
        <v>5138</v>
      </c>
    </row>
    <row r="3873" spans="1:6" ht="47.6">
      <c r="A3873" s="19">
        <v>66121</v>
      </c>
      <c r="B3873" s="12" t="str">
        <f t="shared" si="60"/>
        <v>661</v>
      </c>
      <c r="C3873" s="1" t="s">
        <v>5160</v>
      </c>
      <c r="D3873" s="13" t="str">
        <f>IF(RIGHT(A3873,3)="000",C3873,VLOOKUP(B3873,'Справочник ИХ'!A:C,3,0))</f>
        <v>Остальные грузы</v>
      </c>
      <c r="E3873" s="13">
        <f>IF(RIGHT(A3873,3)="000","х",VLOOKUP(B3873,'Справочник ИХ'!A:D,4,0))</f>
        <v>3</v>
      </c>
      <c r="F3873" s="14" t="s">
        <v>5138</v>
      </c>
    </row>
    <row r="3874" spans="1:6" ht="47.6">
      <c r="A3874" s="19">
        <v>66122</v>
      </c>
      <c r="B3874" s="12" t="str">
        <f t="shared" si="60"/>
        <v>661</v>
      </c>
      <c r="C3874" s="1" t="s">
        <v>5161</v>
      </c>
      <c r="D3874" s="13" t="str">
        <f>IF(RIGHT(A3874,3)="000",C3874,VLOOKUP(B3874,'Справочник ИХ'!A:C,3,0))</f>
        <v>Остальные грузы</v>
      </c>
      <c r="E3874" s="13">
        <f>IF(RIGHT(A3874,3)="000","х",VLOOKUP(B3874,'Справочник ИХ'!A:D,4,0))</f>
        <v>3</v>
      </c>
      <c r="F3874" s="14" t="s">
        <v>5138</v>
      </c>
    </row>
    <row r="3875" spans="1:6" ht="47.6">
      <c r="A3875" s="19">
        <v>66123</v>
      </c>
      <c r="B3875" s="12" t="str">
        <f t="shared" si="60"/>
        <v>661</v>
      </c>
      <c r="C3875" s="1" t="s">
        <v>5162</v>
      </c>
      <c r="D3875" s="13" t="str">
        <f>IF(RIGHT(A3875,3)="000",C3875,VLOOKUP(B3875,'Справочник ИХ'!A:C,3,0))</f>
        <v>Остальные грузы</v>
      </c>
      <c r="E3875" s="13">
        <f>IF(RIGHT(A3875,3)="000","х",VLOOKUP(B3875,'Справочник ИХ'!A:D,4,0))</f>
        <v>3</v>
      </c>
      <c r="F3875" s="14" t="s">
        <v>5138</v>
      </c>
    </row>
    <row r="3876" spans="1:6" ht="47.6">
      <c r="A3876" s="19">
        <v>66124</v>
      </c>
      <c r="B3876" s="12" t="str">
        <f t="shared" si="60"/>
        <v>661</v>
      </c>
      <c r="C3876" s="1" t="s">
        <v>5163</v>
      </c>
      <c r="D3876" s="13" t="str">
        <f>IF(RIGHT(A3876,3)="000",C3876,VLOOKUP(B3876,'Справочник ИХ'!A:C,3,0))</f>
        <v>Остальные грузы</v>
      </c>
      <c r="E3876" s="13">
        <f>IF(RIGHT(A3876,3)="000","х",VLOOKUP(B3876,'Справочник ИХ'!A:D,4,0))</f>
        <v>3</v>
      </c>
      <c r="F3876" s="14" t="s">
        <v>5138</v>
      </c>
    </row>
    <row r="3877" spans="1:6" ht="47.6">
      <c r="A3877" s="19">
        <v>66125</v>
      </c>
      <c r="B3877" s="12" t="str">
        <f t="shared" si="60"/>
        <v>661</v>
      </c>
      <c r="C3877" s="1" t="s">
        <v>5164</v>
      </c>
      <c r="D3877" s="13" t="str">
        <f>IF(RIGHT(A3877,3)="000",C3877,VLOOKUP(B3877,'Справочник ИХ'!A:C,3,0))</f>
        <v>Остальные грузы</v>
      </c>
      <c r="E3877" s="13">
        <f>IF(RIGHT(A3877,3)="000","х",VLOOKUP(B3877,'Справочник ИХ'!A:D,4,0))</f>
        <v>3</v>
      </c>
      <c r="F3877" s="14" t="s">
        <v>5138</v>
      </c>
    </row>
    <row r="3878" spans="1:6" ht="47.6">
      <c r="A3878" s="19">
        <v>66126</v>
      </c>
      <c r="B3878" s="12" t="str">
        <f t="shared" si="60"/>
        <v>661</v>
      </c>
      <c r="C3878" s="1" t="s">
        <v>5165</v>
      </c>
      <c r="D3878" s="13" t="str">
        <f>IF(RIGHT(A3878,3)="000",C3878,VLOOKUP(B3878,'Справочник ИХ'!A:C,3,0))</f>
        <v>Остальные грузы</v>
      </c>
      <c r="E3878" s="13">
        <f>IF(RIGHT(A3878,3)="000","х",VLOOKUP(B3878,'Справочник ИХ'!A:D,4,0))</f>
        <v>3</v>
      </c>
      <c r="F3878" s="14" t="s">
        <v>5138</v>
      </c>
    </row>
    <row r="3879" spans="1:6" ht="47.6">
      <c r="A3879" s="19">
        <v>66127</v>
      </c>
      <c r="B3879" s="12" t="str">
        <f t="shared" si="60"/>
        <v>661</v>
      </c>
      <c r="C3879" s="1" t="s">
        <v>5166</v>
      </c>
      <c r="D3879" s="13" t="str">
        <f>IF(RIGHT(A3879,3)="000",C3879,VLOOKUP(B3879,'Справочник ИХ'!A:C,3,0))</f>
        <v>Остальные грузы</v>
      </c>
      <c r="E3879" s="13">
        <f>IF(RIGHT(A3879,3)="000","х",VLOOKUP(B3879,'Справочник ИХ'!A:D,4,0))</f>
        <v>3</v>
      </c>
      <c r="F3879" s="14" t="s">
        <v>5138</v>
      </c>
    </row>
    <row r="3880" spans="1:6" ht="47.6">
      <c r="A3880" s="19">
        <v>66128</v>
      </c>
      <c r="B3880" s="12" t="str">
        <f t="shared" si="60"/>
        <v>661</v>
      </c>
      <c r="C3880" s="1" t="s">
        <v>5167</v>
      </c>
      <c r="D3880" s="13" t="str">
        <f>IF(RIGHT(A3880,3)="000",C3880,VLOOKUP(B3880,'Справочник ИХ'!A:C,3,0))</f>
        <v>Остальные грузы</v>
      </c>
      <c r="E3880" s="13">
        <f>IF(RIGHT(A3880,3)="000","х",VLOOKUP(B3880,'Справочник ИХ'!A:D,4,0))</f>
        <v>3</v>
      </c>
      <c r="F3880" s="14" t="s">
        <v>5138</v>
      </c>
    </row>
    <row r="3881" spans="1:6" ht="47.6">
      <c r="A3881" s="19">
        <v>66129</v>
      </c>
      <c r="B3881" s="12" t="str">
        <f t="shared" si="60"/>
        <v>661</v>
      </c>
      <c r="C3881" s="1" t="s">
        <v>5168</v>
      </c>
      <c r="D3881" s="13" t="str">
        <f>IF(RIGHT(A3881,3)="000",C3881,VLOOKUP(B3881,'Справочник ИХ'!A:C,3,0))</f>
        <v>Остальные грузы</v>
      </c>
      <c r="E3881" s="13">
        <f>IF(RIGHT(A3881,3)="000","х",VLOOKUP(B3881,'Справочник ИХ'!A:D,4,0))</f>
        <v>3</v>
      </c>
      <c r="F3881" s="14" t="s">
        <v>5138</v>
      </c>
    </row>
    <row r="3882" spans="1:6" ht="47.6">
      <c r="A3882" s="19">
        <v>66130</v>
      </c>
      <c r="B3882" s="12" t="str">
        <f t="shared" si="60"/>
        <v>661</v>
      </c>
      <c r="C3882" s="1" t="s">
        <v>5169</v>
      </c>
      <c r="D3882" s="13" t="str">
        <f>IF(RIGHT(A3882,3)="000",C3882,VLOOKUP(B3882,'Справочник ИХ'!A:C,3,0))</f>
        <v>Остальные грузы</v>
      </c>
      <c r="E3882" s="13">
        <f>IF(RIGHT(A3882,3)="000","х",VLOOKUP(B3882,'Справочник ИХ'!A:D,4,0))</f>
        <v>3</v>
      </c>
      <c r="F3882" s="14" t="s">
        <v>5138</v>
      </c>
    </row>
    <row r="3883" spans="1:6" s="18" customFormat="1" ht="47.6">
      <c r="A3883" s="16">
        <v>66200</v>
      </c>
      <c r="B3883" s="12" t="str">
        <f t="shared" si="60"/>
        <v>662</v>
      </c>
      <c r="C3883" s="17" t="s">
        <v>5170</v>
      </c>
      <c r="D3883" s="13" t="str">
        <f>IF(RIGHT(A3883,3)="000",C3883,VLOOKUP(B3883,'Справочник ИХ'!A:C,3,0))</f>
        <v>Остальные грузы</v>
      </c>
      <c r="E3883" s="13">
        <f>IF(RIGHT(A3883,3)="000","х",VLOOKUP(B3883,'Справочник ИХ'!A:D,4,0))</f>
        <v>2</v>
      </c>
      <c r="F3883" s="14" t="s">
        <v>5138</v>
      </c>
    </row>
    <row r="3884" spans="1:6" ht="47.6">
      <c r="A3884" s="19">
        <v>66201</v>
      </c>
      <c r="B3884" s="12" t="str">
        <f t="shared" si="60"/>
        <v>662</v>
      </c>
      <c r="C3884" s="1" t="s">
        <v>5171</v>
      </c>
      <c r="D3884" s="13" t="str">
        <f>IF(RIGHT(A3884,3)="000",C3884,VLOOKUP(B3884,'Справочник ИХ'!A:C,3,0))</f>
        <v>Остальные грузы</v>
      </c>
      <c r="E3884" s="13">
        <f>IF(RIGHT(A3884,3)="000","х",VLOOKUP(B3884,'Справочник ИХ'!A:D,4,0))</f>
        <v>2</v>
      </c>
      <c r="F3884" s="14" t="s">
        <v>5138</v>
      </c>
    </row>
    <row r="3885" spans="1:6" ht="47.6">
      <c r="A3885" s="19">
        <v>66202</v>
      </c>
      <c r="B3885" s="12" t="str">
        <f t="shared" si="60"/>
        <v>662</v>
      </c>
      <c r="C3885" s="1" t="s">
        <v>5172</v>
      </c>
      <c r="D3885" s="13" t="str">
        <f>IF(RIGHT(A3885,3)="000",C3885,VLOOKUP(B3885,'Справочник ИХ'!A:C,3,0))</f>
        <v>Остальные грузы</v>
      </c>
      <c r="E3885" s="13">
        <f>IF(RIGHT(A3885,3)="000","х",VLOOKUP(B3885,'Справочник ИХ'!A:D,4,0))</f>
        <v>2</v>
      </c>
      <c r="F3885" s="14" t="s">
        <v>5138</v>
      </c>
    </row>
    <row r="3886" spans="1:6" ht="47.6">
      <c r="A3886" s="19">
        <v>66203</v>
      </c>
      <c r="B3886" s="12" t="str">
        <f t="shared" si="60"/>
        <v>662</v>
      </c>
      <c r="C3886" s="1" t="s">
        <v>5173</v>
      </c>
      <c r="D3886" s="13" t="str">
        <f>IF(RIGHT(A3886,3)="000",C3886,VLOOKUP(B3886,'Справочник ИХ'!A:C,3,0))</f>
        <v>Остальные грузы</v>
      </c>
      <c r="E3886" s="13">
        <f>IF(RIGHT(A3886,3)="000","х",VLOOKUP(B3886,'Справочник ИХ'!A:D,4,0))</f>
        <v>2</v>
      </c>
      <c r="F3886" s="14" t="s">
        <v>5138</v>
      </c>
    </row>
    <row r="3887" spans="1:6" ht="47.6">
      <c r="A3887" s="19">
        <v>66204</v>
      </c>
      <c r="B3887" s="12" t="str">
        <f t="shared" si="60"/>
        <v>662</v>
      </c>
      <c r="C3887" s="1" t="s">
        <v>5174</v>
      </c>
      <c r="D3887" s="13" t="str">
        <f>IF(RIGHT(A3887,3)="000",C3887,VLOOKUP(B3887,'Справочник ИХ'!A:C,3,0))</f>
        <v>Остальные грузы</v>
      </c>
      <c r="E3887" s="13">
        <f>IF(RIGHT(A3887,3)="000","х",VLOOKUP(B3887,'Справочник ИХ'!A:D,4,0))</f>
        <v>2</v>
      </c>
      <c r="F3887" s="14" t="s">
        <v>5138</v>
      </c>
    </row>
    <row r="3888" spans="1:6" ht="47.6">
      <c r="A3888" s="19">
        <v>66205</v>
      </c>
      <c r="B3888" s="12" t="str">
        <f t="shared" si="60"/>
        <v>662</v>
      </c>
      <c r="C3888" s="1" t="s">
        <v>5175</v>
      </c>
      <c r="D3888" s="13" t="str">
        <f>IF(RIGHT(A3888,3)="000",C3888,VLOOKUP(B3888,'Справочник ИХ'!A:C,3,0))</f>
        <v>Остальные грузы</v>
      </c>
      <c r="E3888" s="13">
        <f>IF(RIGHT(A3888,3)="000","х",VLOOKUP(B3888,'Справочник ИХ'!A:D,4,0))</f>
        <v>2</v>
      </c>
      <c r="F3888" s="14" t="s">
        <v>5138</v>
      </c>
    </row>
    <row r="3889" spans="1:6" ht="47.6">
      <c r="A3889" s="19">
        <v>66206</v>
      </c>
      <c r="B3889" s="12" t="str">
        <f t="shared" si="60"/>
        <v>662</v>
      </c>
      <c r="C3889" s="1" t="s">
        <v>5176</v>
      </c>
      <c r="D3889" s="13" t="str">
        <f>IF(RIGHT(A3889,3)="000",C3889,VLOOKUP(B3889,'Справочник ИХ'!A:C,3,0))</f>
        <v>Остальные грузы</v>
      </c>
      <c r="E3889" s="13">
        <f>IF(RIGHT(A3889,3)="000","х",VLOOKUP(B3889,'Справочник ИХ'!A:D,4,0))</f>
        <v>2</v>
      </c>
      <c r="F3889" s="14" t="s">
        <v>5138</v>
      </c>
    </row>
    <row r="3890" spans="1:6" ht="47.6">
      <c r="A3890" s="19">
        <v>66207</v>
      </c>
      <c r="B3890" s="12" t="str">
        <f t="shared" si="60"/>
        <v>662</v>
      </c>
      <c r="C3890" s="1" t="s">
        <v>5177</v>
      </c>
      <c r="D3890" s="13" t="str">
        <f>IF(RIGHT(A3890,3)="000",C3890,VLOOKUP(B3890,'Справочник ИХ'!A:C,3,0))</f>
        <v>Остальные грузы</v>
      </c>
      <c r="E3890" s="13">
        <f>IF(RIGHT(A3890,3)="000","х",VLOOKUP(B3890,'Справочник ИХ'!A:D,4,0))</f>
        <v>2</v>
      </c>
      <c r="F3890" s="14" t="s">
        <v>5138</v>
      </c>
    </row>
    <row r="3891" spans="1:6" ht="47.6">
      <c r="A3891" s="19">
        <v>66208</v>
      </c>
      <c r="B3891" s="12" t="str">
        <f t="shared" si="60"/>
        <v>662</v>
      </c>
      <c r="C3891" s="1" t="s">
        <v>5178</v>
      </c>
      <c r="D3891" s="13" t="str">
        <f>IF(RIGHT(A3891,3)="000",C3891,VLOOKUP(B3891,'Справочник ИХ'!A:C,3,0))</f>
        <v>Остальные грузы</v>
      </c>
      <c r="E3891" s="13">
        <f>IF(RIGHT(A3891,3)="000","х",VLOOKUP(B3891,'Справочник ИХ'!A:D,4,0))</f>
        <v>2</v>
      </c>
      <c r="F3891" s="14" t="s">
        <v>5138</v>
      </c>
    </row>
    <row r="3892" spans="1:6" ht="47.6">
      <c r="A3892" s="19">
        <v>66209</v>
      </c>
      <c r="B3892" s="12" t="str">
        <f t="shared" si="60"/>
        <v>662</v>
      </c>
      <c r="C3892" s="1" t="s">
        <v>5179</v>
      </c>
      <c r="D3892" s="13" t="str">
        <f>IF(RIGHT(A3892,3)="000",C3892,VLOOKUP(B3892,'Справочник ИХ'!A:C,3,0))</f>
        <v>Остальные грузы</v>
      </c>
      <c r="E3892" s="13">
        <f>IF(RIGHT(A3892,3)="000","х",VLOOKUP(B3892,'Справочник ИХ'!A:D,4,0))</f>
        <v>2</v>
      </c>
      <c r="F3892" s="14" t="s">
        <v>5138</v>
      </c>
    </row>
    <row r="3893" spans="1:6" s="15" customFormat="1" ht="47.6">
      <c r="A3893" s="7">
        <v>67000</v>
      </c>
      <c r="B3893" s="12" t="str">
        <f t="shared" si="60"/>
        <v>670</v>
      </c>
      <c r="C3893" s="11" t="s">
        <v>5180</v>
      </c>
      <c r="D3893" s="13" t="str">
        <f>IF(RIGHT(A3893,3)="000",C3893,VLOOKUP(B3893,'Справочник ИХ'!A:C,3,0))</f>
        <v xml:space="preserve">Продукция полиграфической промышленности </v>
      </c>
      <c r="E3893" s="13" t="str">
        <f>IF(RIGHT(A3893,3)="000","х",VLOOKUP(B3893,'Справочник ИХ'!A:D,4,0))</f>
        <v>х</v>
      </c>
      <c r="F3893" s="14" t="s">
        <v>5180</v>
      </c>
    </row>
    <row r="3894" spans="1:6" s="18" customFormat="1" ht="31.75">
      <c r="A3894" s="16">
        <v>67100</v>
      </c>
      <c r="B3894" s="12" t="str">
        <f t="shared" si="60"/>
        <v>671</v>
      </c>
      <c r="C3894" s="17" t="s">
        <v>5181</v>
      </c>
      <c r="D3894" s="13" t="str">
        <f>IF(RIGHT(A3894,3)="000",C3894,VLOOKUP(B3894,'Справочник ИХ'!A:C,3,0))</f>
        <v>Остальные грузы</v>
      </c>
      <c r="E3894" s="13">
        <f>IF(RIGHT(A3894,3)="000","х",VLOOKUP(B3894,'Справочник ИХ'!A:D,4,0))</f>
        <v>2</v>
      </c>
      <c r="F3894" s="14" t="s">
        <v>5180</v>
      </c>
    </row>
    <row r="3895" spans="1:6" ht="31.75">
      <c r="A3895" s="19">
        <v>67101</v>
      </c>
      <c r="B3895" s="12" t="str">
        <f t="shared" si="60"/>
        <v>671</v>
      </c>
      <c r="C3895" s="1" t="s">
        <v>5182</v>
      </c>
      <c r="D3895" s="13" t="str">
        <f>IF(RIGHT(A3895,3)="000",C3895,VLOOKUP(B3895,'Справочник ИХ'!A:C,3,0))</f>
        <v>Остальные грузы</v>
      </c>
      <c r="E3895" s="13">
        <f>IF(RIGHT(A3895,3)="000","х",VLOOKUP(B3895,'Справочник ИХ'!A:D,4,0))</f>
        <v>2</v>
      </c>
      <c r="F3895" s="14" t="s">
        <v>5180</v>
      </c>
    </row>
    <row r="3896" spans="1:6" ht="31.75">
      <c r="A3896" s="19">
        <v>67102</v>
      </c>
      <c r="B3896" s="12" t="str">
        <f t="shared" si="60"/>
        <v>671</v>
      </c>
      <c r="C3896" s="1" t="s">
        <v>5183</v>
      </c>
      <c r="D3896" s="13" t="str">
        <f>IF(RIGHT(A3896,3)="000",C3896,VLOOKUP(B3896,'Справочник ИХ'!A:C,3,0))</f>
        <v>Остальные грузы</v>
      </c>
      <c r="E3896" s="13">
        <f>IF(RIGHT(A3896,3)="000","х",VLOOKUP(B3896,'Справочник ИХ'!A:D,4,0))</f>
        <v>2</v>
      </c>
      <c r="F3896" s="14" t="s">
        <v>5180</v>
      </c>
    </row>
    <row r="3897" spans="1:6" ht="31.75">
      <c r="A3897" s="19">
        <v>67103</v>
      </c>
      <c r="B3897" s="12" t="str">
        <f t="shared" si="60"/>
        <v>671</v>
      </c>
      <c r="C3897" s="1" t="s">
        <v>5184</v>
      </c>
      <c r="D3897" s="13" t="str">
        <f>IF(RIGHT(A3897,3)="000",C3897,VLOOKUP(B3897,'Справочник ИХ'!A:C,3,0))</f>
        <v>Остальные грузы</v>
      </c>
      <c r="E3897" s="13">
        <f>IF(RIGHT(A3897,3)="000","х",VLOOKUP(B3897,'Справочник ИХ'!A:D,4,0))</f>
        <v>2</v>
      </c>
      <c r="F3897" s="14" t="s">
        <v>5180</v>
      </c>
    </row>
    <row r="3898" spans="1:6" ht="31.75">
      <c r="A3898" s="19">
        <v>67104</v>
      </c>
      <c r="B3898" s="12" t="str">
        <f t="shared" si="60"/>
        <v>671</v>
      </c>
      <c r="C3898" s="1" t="s">
        <v>5185</v>
      </c>
      <c r="D3898" s="13" t="str">
        <f>IF(RIGHT(A3898,3)="000",C3898,VLOOKUP(B3898,'Справочник ИХ'!A:C,3,0))</f>
        <v>Остальные грузы</v>
      </c>
      <c r="E3898" s="13">
        <f>IF(RIGHT(A3898,3)="000","х",VLOOKUP(B3898,'Справочник ИХ'!A:D,4,0))</f>
        <v>2</v>
      </c>
      <c r="F3898" s="14" t="s">
        <v>5180</v>
      </c>
    </row>
    <row r="3899" spans="1:6" ht="31.75">
      <c r="A3899" s="19">
        <v>67105</v>
      </c>
      <c r="B3899" s="12" t="str">
        <f t="shared" si="60"/>
        <v>671</v>
      </c>
      <c r="C3899" s="1" t="s">
        <v>5186</v>
      </c>
      <c r="D3899" s="13" t="str">
        <f>IF(RIGHT(A3899,3)="000",C3899,VLOOKUP(B3899,'Справочник ИХ'!A:C,3,0))</f>
        <v>Остальные грузы</v>
      </c>
      <c r="E3899" s="13">
        <f>IF(RIGHT(A3899,3)="000","х",VLOOKUP(B3899,'Справочник ИХ'!A:D,4,0))</f>
        <v>2</v>
      </c>
      <c r="F3899" s="14" t="s">
        <v>5180</v>
      </c>
    </row>
    <row r="3900" spans="1:6" ht="31.75">
      <c r="A3900" s="19">
        <v>67106</v>
      </c>
      <c r="B3900" s="12" t="str">
        <f t="shared" si="60"/>
        <v>671</v>
      </c>
      <c r="C3900" s="1" t="s">
        <v>5187</v>
      </c>
      <c r="D3900" s="13" t="str">
        <f>IF(RIGHT(A3900,3)="000",C3900,VLOOKUP(B3900,'Справочник ИХ'!A:C,3,0))</f>
        <v>Остальные грузы</v>
      </c>
      <c r="E3900" s="13">
        <f>IF(RIGHT(A3900,3)="000","х",VLOOKUP(B3900,'Справочник ИХ'!A:D,4,0))</f>
        <v>2</v>
      </c>
      <c r="F3900" s="14" t="s">
        <v>5180</v>
      </c>
    </row>
    <row r="3901" spans="1:6" ht="31.75">
      <c r="A3901" s="19">
        <v>67107</v>
      </c>
      <c r="B3901" s="12" t="str">
        <f t="shared" si="60"/>
        <v>671</v>
      </c>
      <c r="C3901" s="1" t="s">
        <v>5188</v>
      </c>
      <c r="D3901" s="13" t="str">
        <f>IF(RIGHT(A3901,3)="000",C3901,VLOOKUP(B3901,'Справочник ИХ'!A:C,3,0))</f>
        <v>Остальные грузы</v>
      </c>
      <c r="E3901" s="13">
        <f>IF(RIGHT(A3901,3)="000","х",VLOOKUP(B3901,'Справочник ИХ'!A:D,4,0))</f>
        <v>2</v>
      </c>
      <c r="F3901" s="14" t="s">
        <v>5180</v>
      </c>
    </row>
    <row r="3902" spans="1:6" ht="31.75">
      <c r="A3902" s="19">
        <v>67108</v>
      </c>
      <c r="B3902" s="12" t="str">
        <f t="shared" si="60"/>
        <v>671</v>
      </c>
      <c r="C3902" s="1" t="s">
        <v>5189</v>
      </c>
      <c r="D3902" s="13" t="str">
        <f>IF(RIGHT(A3902,3)="000",C3902,VLOOKUP(B3902,'Справочник ИХ'!A:C,3,0))</f>
        <v>Остальные грузы</v>
      </c>
      <c r="E3902" s="13">
        <f>IF(RIGHT(A3902,3)="000","х",VLOOKUP(B3902,'Справочник ИХ'!A:D,4,0))</f>
        <v>2</v>
      </c>
      <c r="F3902" s="14" t="s">
        <v>5180</v>
      </c>
    </row>
    <row r="3903" spans="1:6" ht="31.75">
      <c r="A3903" s="19">
        <v>67109</v>
      </c>
      <c r="B3903" s="12" t="str">
        <f t="shared" si="60"/>
        <v>671</v>
      </c>
      <c r="C3903" s="1" t="s">
        <v>5190</v>
      </c>
      <c r="D3903" s="13" t="str">
        <f>IF(RIGHT(A3903,3)="000",C3903,VLOOKUP(B3903,'Справочник ИХ'!A:C,3,0))</f>
        <v>Остальные грузы</v>
      </c>
      <c r="E3903" s="13">
        <f>IF(RIGHT(A3903,3)="000","х",VLOOKUP(B3903,'Справочник ИХ'!A:D,4,0))</f>
        <v>2</v>
      </c>
      <c r="F3903" s="14" t="s">
        <v>5180</v>
      </c>
    </row>
    <row r="3904" spans="1:6" ht="31.75">
      <c r="A3904" s="19">
        <v>67110</v>
      </c>
      <c r="B3904" s="12" t="str">
        <f t="shared" si="60"/>
        <v>671</v>
      </c>
      <c r="C3904" s="1" t="s">
        <v>5191</v>
      </c>
      <c r="D3904" s="13" t="str">
        <f>IF(RIGHT(A3904,3)="000",C3904,VLOOKUP(B3904,'Справочник ИХ'!A:C,3,0))</f>
        <v>Остальные грузы</v>
      </c>
      <c r="E3904" s="13">
        <f>IF(RIGHT(A3904,3)="000","х",VLOOKUP(B3904,'Справочник ИХ'!A:D,4,0))</f>
        <v>2</v>
      </c>
      <c r="F3904" s="14" t="s">
        <v>5180</v>
      </c>
    </row>
    <row r="3905" spans="1:6" ht="31.75">
      <c r="A3905" s="19">
        <v>67111</v>
      </c>
      <c r="B3905" s="12" t="str">
        <f t="shared" si="60"/>
        <v>671</v>
      </c>
      <c r="C3905" s="1" t="s">
        <v>5192</v>
      </c>
      <c r="D3905" s="13" t="str">
        <f>IF(RIGHT(A3905,3)="000",C3905,VLOOKUP(B3905,'Справочник ИХ'!A:C,3,0))</f>
        <v>Остальные грузы</v>
      </c>
      <c r="E3905" s="13">
        <f>IF(RIGHT(A3905,3)="000","х",VLOOKUP(B3905,'Справочник ИХ'!A:D,4,0))</f>
        <v>2</v>
      </c>
      <c r="F3905" s="14" t="s">
        <v>5180</v>
      </c>
    </row>
    <row r="3906" spans="1:6" ht="31.75">
      <c r="A3906" s="19">
        <v>67112</v>
      </c>
      <c r="B3906" s="12" t="str">
        <f t="shared" si="60"/>
        <v>671</v>
      </c>
      <c r="C3906" s="1" t="s">
        <v>5193</v>
      </c>
      <c r="D3906" s="13" t="str">
        <f>IF(RIGHT(A3906,3)="000",C3906,VLOOKUP(B3906,'Справочник ИХ'!A:C,3,0))</f>
        <v>Остальные грузы</v>
      </c>
      <c r="E3906" s="13">
        <f>IF(RIGHT(A3906,3)="000","х",VLOOKUP(B3906,'Справочник ИХ'!A:D,4,0))</f>
        <v>2</v>
      </c>
      <c r="F3906" s="14" t="s">
        <v>5180</v>
      </c>
    </row>
    <row r="3907" spans="1:6" ht="31.75">
      <c r="A3907" s="19">
        <v>67113</v>
      </c>
      <c r="B3907" s="12" t="str">
        <f t="shared" si="60"/>
        <v>671</v>
      </c>
      <c r="C3907" s="1" t="s">
        <v>5194</v>
      </c>
      <c r="D3907" s="13" t="str">
        <f>IF(RIGHT(A3907,3)="000",C3907,VLOOKUP(B3907,'Справочник ИХ'!A:C,3,0))</f>
        <v>Остальные грузы</v>
      </c>
      <c r="E3907" s="13">
        <f>IF(RIGHT(A3907,3)="000","х",VLOOKUP(B3907,'Справочник ИХ'!A:D,4,0))</f>
        <v>2</v>
      </c>
      <c r="F3907" s="14" t="s">
        <v>5180</v>
      </c>
    </row>
    <row r="3908" spans="1:6" ht="31.75">
      <c r="A3908" s="19">
        <v>67114</v>
      </c>
      <c r="B3908" s="12" t="str">
        <f t="shared" si="60"/>
        <v>671</v>
      </c>
      <c r="C3908" s="1" t="s">
        <v>5195</v>
      </c>
      <c r="D3908" s="13" t="str">
        <f>IF(RIGHT(A3908,3)="000",C3908,VLOOKUP(B3908,'Справочник ИХ'!A:C,3,0))</f>
        <v>Остальные грузы</v>
      </c>
      <c r="E3908" s="13">
        <f>IF(RIGHT(A3908,3)="000","х",VLOOKUP(B3908,'Справочник ИХ'!A:D,4,0))</f>
        <v>2</v>
      </c>
      <c r="F3908" s="14" t="s">
        <v>5180</v>
      </c>
    </row>
    <row r="3909" spans="1:6" ht="31.75">
      <c r="A3909" s="19">
        <v>67115</v>
      </c>
      <c r="B3909" s="12" t="str">
        <f t="shared" ref="B3909:B3972" si="61">LEFT(A3909,3)</f>
        <v>671</v>
      </c>
      <c r="C3909" s="1" t="s">
        <v>5196</v>
      </c>
      <c r="D3909" s="13" t="str">
        <f>IF(RIGHT(A3909,3)="000",C3909,VLOOKUP(B3909,'Справочник ИХ'!A:C,3,0))</f>
        <v>Остальные грузы</v>
      </c>
      <c r="E3909" s="13">
        <f>IF(RIGHT(A3909,3)="000","х",VLOOKUP(B3909,'Справочник ИХ'!A:D,4,0))</f>
        <v>2</v>
      </c>
      <c r="F3909" s="14" t="s">
        <v>5180</v>
      </c>
    </row>
    <row r="3910" spans="1:6" ht="31.75">
      <c r="A3910" s="19">
        <v>67116</v>
      </c>
      <c r="B3910" s="12" t="str">
        <f t="shared" si="61"/>
        <v>671</v>
      </c>
      <c r="C3910" s="1" t="s">
        <v>5197</v>
      </c>
      <c r="D3910" s="13" t="str">
        <f>IF(RIGHT(A3910,3)="000",C3910,VLOOKUP(B3910,'Справочник ИХ'!A:C,3,0))</f>
        <v>Остальные грузы</v>
      </c>
      <c r="E3910" s="13">
        <f>IF(RIGHT(A3910,3)="000","х",VLOOKUP(B3910,'Справочник ИХ'!A:D,4,0))</f>
        <v>2</v>
      </c>
      <c r="F3910" s="14" t="s">
        <v>5180</v>
      </c>
    </row>
    <row r="3911" spans="1:6" ht="31.75">
      <c r="A3911" s="19">
        <v>67117</v>
      </c>
      <c r="B3911" s="12" t="str">
        <f t="shared" si="61"/>
        <v>671</v>
      </c>
      <c r="C3911" s="1" t="s">
        <v>5198</v>
      </c>
      <c r="D3911" s="13" t="str">
        <f>IF(RIGHT(A3911,3)="000",C3911,VLOOKUP(B3911,'Справочник ИХ'!A:C,3,0))</f>
        <v>Остальные грузы</v>
      </c>
      <c r="E3911" s="13">
        <f>IF(RIGHT(A3911,3)="000","х",VLOOKUP(B3911,'Справочник ИХ'!A:D,4,0))</f>
        <v>2</v>
      </c>
      <c r="F3911" s="14" t="s">
        <v>5180</v>
      </c>
    </row>
    <row r="3912" spans="1:6" ht="31.75">
      <c r="A3912" s="19">
        <v>67118</v>
      </c>
      <c r="B3912" s="12" t="str">
        <f t="shared" si="61"/>
        <v>671</v>
      </c>
      <c r="C3912" s="1" t="s">
        <v>5199</v>
      </c>
      <c r="D3912" s="13" t="str">
        <f>IF(RIGHT(A3912,3)="000",C3912,VLOOKUP(B3912,'Справочник ИХ'!A:C,3,0))</f>
        <v>Остальные грузы</v>
      </c>
      <c r="E3912" s="13">
        <f>IF(RIGHT(A3912,3)="000","х",VLOOKUP(B3912,'Справочник ИХ'!A:D,4,0))</f>
        <v>2</v>
      </c>
      <c r="F3912" s="14" t="s">
        <v>5180</v>
      </c>
    </row>
    <row r="3913" spans="1:6" ht="31.75">
      <c r="A3913" s="19">
        <v>67119</v>
      </c>
      <c r="B3913" s="12" t="str">
        <f t="shared" si="61"/>
        <v>671</v>
      </c>
      <c r="C3913" s="1" t="s">
        <v>5200</v>
      </c>
      <c r="D3913" s="13" t="str">
        <f>IF(RIGHT(A3913,3)="000",C3913,VLOOKUP(B3913,'Справочник ИХ'!A:C,3,0))</f>
        <v>Остальные грузы</v>
      </c>
      <c r="E3913" s="13">
        <f>IF(RIGHT(A3913,3)="000","х",VLOOKUP(B3913,'Справочник ИХ'!A:D,4,0))</f>
        <v>2</v>
      </c>
      <c r="F3913" s="14" t="s">
        <v>5180</v>
      </c>
    </row>
    <row r="3914" spans="1:6" ht="31.75">
      <c r="A3914" s="19">
        <v>67120</v>
      </c>
      <c r="B3914" s="12" t="str">
        <f t="shared" si="61"/>
        <v>671</v>
      </c>
      <c r="C3914" s="1" t="s">
        <v>5201</v>
      </c>
      <c r="D3914" s="13" t="str">
        <f>IF(RIGHT(A3914,3)="000",C3914,VLOOKUP(B3914,'Справочник ИХ'!A:C,3,0))</f>
        <v>Остальные грузы</v>
      </c>
      <c r="E3914" s="13">
        <f>IF(RIGHT(A3914,3)="000","х",VLOOKUP(B3914,'Справочник ИХ'!A:D,4,0))</f>
        <v>2</v>
      </c>
      <c r="F3914" s="14" t="s">
        <v>5180</v>
      </c>
    </row>
    <row r="3915" spans="1:6" ht="31.75">
      <c r="A3915" s="19">
        <v>67121</v>
      </c>
      <c r="B3915" s="12" t="str">
        <f t="shared" si="61"/>
        <v>671</v>
      </c>
      <c r="C3915" s="1" t="s">
        <v>5202</v>
      </c>
      <c r="D3915" s="13" t="str">
        <f>IF(RIGHT(A3915,3)="000",C3915,VLOOKUP(B3915,'Справочник ИХ'!A:C,3,0))</f>
        <v>Остальные грузы</v>
      </c>
      <c r="E3915" s="13">
        <f>IF(RIGHT(A3915,3)="000","х",VLOOKUP(B3915,'Справочник ИХ'!A:D,4,0))</f>
        <v>2</v>
      </c>
      <c r="F3915" s="14" t="s">
        <v>5180</v>
      </c>
    </row>
    <row r="3916" spans="1:6" s="15" customFormat="1" ht="31.75">
      <c r="A3916" s="7">
        <v>68000</v>
      </c>
      <c r="B3916" s="12" t="str">
        <f t="shared" si="61"/>
        <v>680</v>
      </c>
      <c r="C3916" s="11" t="s">
        <v>5203</v>
      </c>
      <c r="D3916" s="13" t="str">
        <f>IF(RIGHT(A3916,3)="000",C3916,VLOOKUP(B3916,'Справочник ИХ'!A:C,3,0))</f>
        <v xml:space="preserve">Прочая продукция легкой промышленности </v>
      </c>
      <c r="E3916" s="13" t="str">
        <f>IF(RIGHT(A3916,3)="000","х",VLOOKUP(B3916,'Справочник ИХ'!A:D,4,0))</f>
        <v>х</v>
      </c>
      <c r="F3916" s="14" t="s">
        <v>5203</v>
      </c>
    </row>
    <row r="3917" spans="1:6" s="18" customFormat="1">
      <c r="A3917" s="16">
        <v>68100</v>
      </c>
      <c r="B3917" s="12" t="str">
        <f t="shared" si="61"/>
        <v>681</v>
      </c>
      <c r="C3917" s="17" t="s">
        <v>5204</v>
      </c>
      <c r="D3917" s="13" t="str">
        <f>IF(RIGHT(A3917,3)="000",C3917,VLOOKUP(B3917,'Справочник ИХ'!A:C,3,0))</f>
        <v>Остальные грузы</v>
      </c>
      <c r="E3917" s="13">
        <f>IF(RIGHT(A3917,3)="000","х",VLOOKUP(B3917,'Справочник ИХ'!A:D,4,0))</f>
        <v>3</v>
      </c>
      <c r="F3917" s="14" t="s">
        <v>5203</v>
      </c>
    </row>
    <row r="3918" spans="1:6">
      <c r="A3918" s="19">
        <v>68101</v>
      </c>
      <c r="B3918" s="12" t="str">
        <f t="shared" si="61"/>
        <v>681</v>
      </c>
      <c r="C3918" s="1" t="s">
        <v>5205</v>
      </c>
      <c r="D3918" s="13" t="str">
        <f>IF(RIGHT(A3918,3)="000",C3918,VLOOKUP(B3918,'Справочник ИХ'!A:C,3,0))</f>
        <v>Остальные грузы</v>
      </c>
      <c r="E3918" s="13">
        <f>IF(RIGHT(A3918,3)="000","х",VLOOKUP(B3918,'Справочник ИХ'!A:D,4,0))</f>
        <v>3</v>
      </c>
      <c r="F3918" s="14" t="s">
        <v>5203</v>
      </c>
    </row>
    <row r="3919" spans="1:6">
      <c r="A3919" s="19">
        <v>68102</v>
      </c>
      <c r="B3919" s="12" t="str">
        <f t="shared" si="61"/>
        <v>681</v>
      </c>
      <c r="C3919" s="1" t="s">
        <v>5206</v>
      </c>
      <c r="D3919" s="13" t="str">
        <f>IF(RIGHT(A3919,3)="000",C3919,VLOOKUP(B3919,'Справочник ИХ'!A:C,3,0))</f>
        <v>Остальные грузы</v>
      </c>
      <c r="E3919" s="13">
        <f>IF(RIGHT(A3919,3)="000","х",VLOOKUP(B3919,'Справочник ИХ'!A:D,4,0))</f>
        <v>3</v>
      </c>
      <c r="F3919" s="14" t="s">
        <v>5203</v>
      </c>
    </row>
    <row r="3920" spans="1:6" ht="31.75">
      <c r="A3920" s="19">
        <v>68103</v>
      </c>
      <c r="B3920" s="12" t="str">
        <f t="shared" si="61"/>
        <v>681</v>
      </c>
      <c r="C3920" s="1" t="s">
        <v>5207</v>
      </c>
      <c r="D3920" s="13" t="str">
        <f>IF(RIGHT(A3920,3)="000",C3920,VLOOKUP(B3920,'Справочник ИХ'!A:C,3,0))</f>
        <v>Остальные грузы</v>
      </c>
      <c r="E3920" s="13">
        <f>IF(RIGHT(A3920,3)="000","х",VLOOKUP(B3920,'Справочник ИХ'!A:D,4,0))</f>
        <v>3</v>
      </c>
      <c r="F3920" s="14" t="s">
        <v>5203</v>
      </c>
    </row>
    <row r="3921" spans="1:6">
      <c r="A3921" s="19">
        <v>68104</v>
      </c>
      <c r="B3921" s="12" t="str">
        <f t="shared" si="61"/>
        <v>681</v>
      </c>
      <c r="C3921" s="1" t="s">
        <v>5208</v>
      </c>
      <c r="D3921" s="13" t="str">
        <f>IF(RIGHT(A3921,3)="000",C3921,VLOOKUP(B3921,'Справочник ИХ'!A:C,3,0))</f>
        <v>Остальные грузы</v>
      </c>
      <c r="E3921" s="13">
        <f>IF(RIGHT(A3921,3)="000","х",VLOOKUP(B3921,'Справочник ИХ'!A:D,4,0))</f>
        <v>3</v>
      </c>
      <c r="F3921" s="14" t="s">
        <v>5203</v>
      </c>
    </row>
    <row r="3922" spans="1:6" ht="31.75">
      <c r="A3922" s="19">
        <v>68105</v>
      </c>
      <c r="B3922" s="12" t="str">
        <f t="shared" si="61"/>
        <v>681</v>
      </c>
      <c r="C3922" s="1" t="s">
        <v>5209</v>
      </c>
      <c r="D3922" s="13" t="str">
        <f>IF(RIGHT(A3922,3)="000",C3922,VLOOKUP(B3922,'Справочник ИХ'!A:C,3,0))</f>
        <v>Остальные грузы</v>
      </c>
      <c r="E3922" s="13">
        <f>IF(RIGHT(A3922,3)="000","х",VLOOKUP(B3922,'Справочник ИХ'!A:D,4,0))</f>
        <v>3</v>
      </c>
      <c r="F3922" s="14" t="s">
        <v>5203</v>
      </c>
    </row>
    <row r="3923" spans="1:6" ht="31.75">
      <c r="A3923" s="19">
        <v>68106</v>
      </c>
      <c r="B3923" s="12" t="str">
        <f t="shared" si="61"/>
        <v>681</v>
      </c>
      <c r="C3923" s="1" t="s">
        <v>5210</v>
      </c>
      <c r="D3923" s="13" t="str">
        <f>IF(RIGHT(A3923,3)="000",C3923,VLOOKUP(B3923,'Справочник ИХ'!A:C,3,0))</f>
        <v>Остальные грузы</v>
      </c>
      <c r="E3923" s="13">
        <f>IF(RIGHT(A3923,3)="000","х",VLOOKUP(B3923,'Справочник ИХ'!A:D,4,0))</f>
        <v>3</v>
      </c>
      <c r="F3923" s="14" t="s">
        <v>5203</v>
      </c>
    </row>
    <row r="3924" spans="1:6" ht="31.75">
      <c r="A3924" s="19">
        <v>68107</v>
      </c>
      <c r="B3924" s="12" t="str">
        <f t="shared" si="61"/>
        <v>681</v>
      </c>
      <c r="C3924" s="1" t="s">
        <v>5211</v>
      </c>
      <c r="D3924" s="13" t="str">
        <f>IF(RIGHT(A3924,3)="000",C3924,VLOOKUP(B3924,'Справочник ИХ'!A:C,3,0))</f>
        <v>Остальные грузы</v>
      </c>
      <c r="E3924" s="13">
        <f>IF(RIGHT(A3924,3)="000","х",VLOOKUP(B3924,'Справочник ИХ'!A:D,4,0))</f>
        <v>3</v>
      </c>
      <c r="F3924" s="14" t="s">
        <v>5203</v>
      </c>
    </row>
    <row r="3925" spans="1:6" ht="31.75">
      <c r="A3925" s="19">
        <v>68108</v>
      </c>
      <c r="B3925" s="12" t="str">
        <f t="shared" si="61"/>
        <v>681</v>
      </c>
      <c r="C3925" s="1" t="s">
        <v>5212</v>
      </c>
      <c r="D3925" s="13" t="str">
        <f>IF(RIGHT(A3925,3)="000",C3925,VLOOKUP(B3925,'Справочник ИХ'!A:C,3,0))</f>
        <v>Остальные грузы</v>
      </c>
      <c r="E3925" s="13">
        <f>IF(RIGHT(A3925,3)="000","х",VLOOKUP(B3925,'Справочник ИХ'!A:D,4,0))</f>
        <v>3</v>
      </c>
      <c r="F3925" s="14" t="s">
        <v>5203</v>
      </c>
    </row>
    <row r="3926" spans="1:6">
      <c r="A3926" s="19">
        <v>68109</v>
      </c>
      <c r="B3926" s="12" t="str">
        <f t="shared" si="61"/>
        <v>681</v>
      </c>
      <c r="C3926" s="1" t="s">
        <v>5213</v>
      </c>
      <c r="D3926" s="13" t="str">
        <f>IF(RIGHT(A3926,3)="000",C3926,VLOOKUP(B3926,'Справочник ИХ'!A:C,3,0))</f>
        <v>Остальные грузы</v>
      </c>
      <c r="E3926" s="13">
        <f>IF(RIGHT(A3926,3)="000","х",VLOOKUP(B3926,'Справочник ИХ'!A:D,4,0))</f>
        <v>3</v>
      </c>
      <c r="F3926" s="14" t="s">
        <v>5203</v>
      </c>
    </row>
    <row r="3927" spans="1:6">
      <c r="A3927" s="19">
        <v>68110</v>
      </c>
      <c r="B3927" s="12" t="str">
        <f t="shared" si="61"/>
        <v>681</v>
      </c>
      <c r="C3927" s="1" t="s">
        <v>5214</v>
      </c>
      <c r="D3927" s="13" t="str">
        <f>IF(RIGHT(A3927,3)="000",C3927,VLOOKUP(B3927,'Справочник ИХ'!A:C,3,0))</f>
        <v>Остальные грузы</v>
      </c>
      <c r="E3927" s="13">
        <f>IF(RIGHT(A3927,3)="000","х",VLOOKUP(B3927,'Справочник ИХ'!A:D,4,0))</f>
        <v>3</v>
      </c>
      <c r="F3927" s="14" t="s">
        <v>5203</v>
      </c>
    </row>
    <row r="3928" spans="1:6" ht="31.75">
      <c r="A3928" s="19">
        <v>68111</v>
      </c>
      <c r="B3928" s="12" t="str">
        <f t="shared" si="61"/>
        <v>681</v>
      </c>
      <c r="C3928" s="1" t="s">
        <v>5215</v>
      </c>
      <c r="D3928" s="13" t="str">
        <f>IF(RIGHT(A3928,3)="000",C3928,VLOOKUP(B3928,'Справочник ИХ'!A:C,3,0))</f>
        <v>Остальные грузы</v>
      </c>
      <c r="E3928" s="13">
        <f>IF(RIGHT(A3928,3)="000","х",VLOOKUP(B3928,'Справочник ИХ'!A:D,4,0))</f>
        <v>3</v>
      </c>
      <c r="F3928" s="14" t="s">
        <v>5203</v>
      </c>
    </row>
    <row r="3929" spans="1:6" ht="31.75">
      <c r="A3929" s="19">
        <v>68112</v>
      </c>
      <c r="B3929" s="12" t="str">
        <f t="shared" si="61"/>
        <v>681</v>
      </c>
      <c r="C3929" s="1" t="s">
        <v>5216</v>
      </c>
      <c r="D3929" s="13" t="str">
        <f>IF(RIGHT(A3929,3)="000",C3929,VLOOKUP(B3929,'Справочник ИХ'!A:C,3,0))</f>
        <v>Остальные грузы</v>
      </c>
      <c r="E3929" s="13">
        <f>IF(RIGHT(A3929,3)="000","х",VLOOKUP(B3929,'Справочник ИХ'!A:D,4,0))</f>
        <v>3</v>
      </c>
      <c r="F3929" s="14" t="s">
        <v>5203</v>
      </c>
    </row>
    <row r="3930" spans="1:6" s="18" customFormat="1" ht="31.75">
      <c r="A3930" s="16">
        <v>68200</v>
      </c>
      <c r="B3930" s="12" t="str">
        <f t="shared" si="61"/>
        <v>682</v>
      </c>
      <c r="C3930" s="17" t="s">
        <v>5217</v>
      </c>
      <c r="D3930" s="13" t="str">
        <f>IF(RIGHT(A3930,3)="000",C3930,VLOOKUP(B3930,'Справочник ИХ'!A:C,3,0))</f>
        <v>Остальные грузы</v>
      </c>
      <c r="E3930" s="13">
        <f>IF(RIGHT(A3930,3)="000","х",VLOOKUP(B3930,'Справочник ИХ'!A:D,4,0))</f>
        <v>3</v>
      </c>
      <c r="F3930" s="14" t="s">
        <v>5203</v>
      </c>
    </row>
    <row r="3931" spans="1:6">
      <c r="A3931" s="19">
        <v>68201</v>
      </c>
      <c r="B3931" s="12" t="str">
        <f t="shared" si="61"/>
        <v>682</v>
      </c>
      <c r="C3931" s="1" t="s">
        <v>5218</v>
      </c>
      <c r="D3931" s="13" t="str">
        <f>IF(RIGHT(A3931,3)="000",C3931,VLOOKUP(B3931,'Справочник ИХ'!A:C,3,0))</f>
        <v>Остальные грузы</v>
      </c>
      <c r="E3931" s="13">
        <f>IF(RIGHT(A3931,3)="000","х",VLOOKUP(B3931,'Справочник ИХ'!A:D,4,0))</f>
        <v>3</v>
      </c>
      <c r="F3931" s="14" t="s">
        <v>5203</v>
      </c>
    </row>
    <row r="3932" spans="1:6" ht="47.6">
      <c r="A3932" s="19">
        <v>68202</v>
      </c>
      <c r="B3932" s="12" t="str">
        <f t="shared" si="61"/>
        <v>682</v>
      </c>
      <c r="C3932" s="1" t="s">
        <v>5219</v>
      </c>
      <c r="D3932" s="13" t="str">
        <f>IF(RIGHT(A3932,3)="000",C3932,VLOOKUP(B3932,'Справочник ИХ'!A:C,3,0))</f>
        <v>Остальные грузы</v>
      </c>
      <c r="E3932" s="13">
        <f>IF(RIGHT(A3932,3)="000","х",VLOOKUP(B3932,'Справочник ИХ'!A:D,4,0))</f>
        <v>3</v>
      </c>
      <c r="F3932" s="14" t="s">
        <v>5203</v>
      </c>
    </row>
    <row r="3933" spans="1:6">
      <c r="A3933" s="19">
        <v>68203</v>
      </c>
      <c r="B3933" s="12" t="str">
        <f t="shared" si="61"/>
        <v>682</v>
      </c>
      <c r="C3933" s="1" t="s">
        <v>5220</v>
      </c>
      <c r="D3933" s="13" t="str">
        <f>IF(RIGHT(A3933,3)="000",C3933,VLOOKUP(B3933,'Справочник ИХ'!A:C,3,0))</f>
        <v>Остальные грузы</v>
      </c>
      <c r="E3933" s="13">
        <f>IF(RIGHT(A3933,3)="000","х",VLOOKUP(B3933,'Справочник ИХ'!A:D,4,0))</f>
        <v>3</v>
      </c>
      <c r="F3933" s="14" t="s">
        <v>5203</v>
      </c>
    </row>
    <row r="3934" spans="1:6">
      <c r="A3934" s="19">
        <v>68204</v>
      </c>
      <c r="B3934" s="12" t="str">
        <f t="shared" si="61"/>
        <v>682</v>
      </c>
      <c r="C3934" s="1" t="s">
        <v>5221</v>
      </c>
      <c r="D3934" s="13" t="str">
        <f>IF(RIGHT(A3934,3)="000",C3934,VLOOKUP(B3934,'Справочник ИХ'!A:C,3,0))</f>
        <v>Остальные грузы</v>
      </c>
      <c r="E3934" s="13">
        <f>IF(RIGHT(A3934,3)="000","х",VLOOKUP(B3934,'Справочник ИХ'!A:D,4,0))</f>
        <v>3</v>
      </c>
      <c r="F3934" s="14" t="s">
        <v>5203</v>
      </c>
    </row>
    <row r="3935" spans="1:6">
      <c r="A3935" s="19">
        <v>68205</v>
      </c>
      <c r="B3935" s="12" t="str">
        <f t="shared" si="61"/>
        <v>682</v>
      </c>
      <c r="C3935" s="1" t="s">
        <v>5222</v>
      </c>
      <c r="D3935" s="13" t="str">
        <f>IF(RIGHT(A3935,3)="000",C3935,VLOOKUP(B3935,'Справочник ИХ'!A:C,3,0))</f>
        <v>Остальные грузы</v>
      </c>
      <c r="E3935" s="13">
        <f>IF(RIGHT(A3935,3)="000","х",VLOOKUP(B3935,'Справочник ИХ'!A:D,4,0))</f>
        <v>3</v>
      </c>
      <c r="F3935" s="14" t="s">
        <v>5203</v>
      </c>
    </row>
    <row r="3936" spans="1:6" ht="31.75">
      <c r="A3936" s="19">
        <v>68206</v>
      </c>
      <c r="B3936" s="12" t="str">
        <f t="shared" si="61"/>
        <v>682</v>
      </c>
      <c r="C3936" s="1" t="s">
        <v>5223</v>
      </c>
      <c r="D3936" s="13" t="str">
        <f>IF(RIGHT(A3936,3)="000",C3936,VLOOKUP(B3936,'Справочник ИХ'!A:C,3,0))</f>
        <v>Остальные грузы</v>
      </c>
      <c r="E3936" s="13">
        <f>IF(RIGHT(A3936,3)="000","х",VLOOKUP(B3936,'Справочник ИХ'!A:D,4,0))</f>
        <v>3</v>
      </c>
      <c r="F3936" s="14" t="s">
        <v>5203</v>
      </c>
    </row>
    <row r="3937" spans="1:6">
      <c r="A3937" s="19">
        <v>68207</v>
      </c>
      <c r="B3937" s="12" t="str">
        <f t="shared" si="61"/>
        <v>682</v>
      </c>
      <c r="C3937" s="1" t="s">
        <v>5224</v>
      </c>
      <c r="D3937" s="13" t="str">
        <f>IF(RIGHT(A3937,3)="000",C3937,VLOOKUP(B3937,'Справочник ИХ'!A:C,3,0))</f>
        <v>Остальные грузы</v>
      </c>
      <c r="E3937" s="13">
        <f>IF(RIGHT(A3937,3)="000","х",VLOOKUP(B3937,'Справочник ИХ'!A:D,4,0))</f>
        <v>3</v>
      </c>
      <c r="F3937" s="14" t="s">
        <v>5203</v>
      </c>
    </row>
    <row r="3938" spans="1:6">
      <c r="A3938" s="19">
        <v>68208</v>
      </c>
      <c r="B3938" s="12" t="str">
        <f t="shared" si="61"/>
        <v>682</v>
      </c>
      <c r="C3938" s="1" t="s">
        <v>5225</v>
      </c>
      <c r="D3938" s="13" t="str">
        <f>IF(RIGHT(A3938,3)="000",C3938,VLOOKUP(B3938,'Справочник ИХ'!A:C,3,0))</f>
        <v>Остальные грузы</v>
      </c>
      <c r="E3938" s="13">
        <f>IF(RIGHT(A3938,3)="000","х",VLOOKUP(B3938,'Справочник ИХ'!A:D,4,0))</f>
        <v>3</v>
      </c>
      <c r="F3938" s="14" t="s">
        <v>5203</v>
      </c>
    </row>
    <row r="3939" spans="1:6">
      <c r="A3939" s="19">
        <v>68209</v>
      </c>
      <c r="B3939" s="12" t="str">
        <f t="shared" si="61"/>
        <v>682</v>
      </c>
      <c r="C3939" s="1" t="s">
        <v>5226</v>
      </c>
      <c r="D3939" s="13" t="str">
        <f>IF(RIGHT(A3939,3)="000",C3939,VLOOKUP(B3939,'Справочник ИХ'!A:C,3,0))</f>
        <v>Остальные грузы</v>
      </c>
      <c r="E3939" s="13">
        <f>IF(RIGHT(A3939,3)="000","х",VLOOKUP(B3939,'Справочник ИХ'!A:D,4,0))</f>
        <v>3</v>
      </c>
      <c r="F3939" s="14" t="s">
        <v>5203</v>
      </c>
    </row>
    <row r="3940" spans="1:6" ht="31.75">
      <c r="A3940" s="19">
        <v>68210</v>
      </c>
      <c r="B3940" s="12" t="str">
        <f t="shared" si="61"/>
        <v>682</v>
      </c>
      <c r="C3940" s="1" t="s">
        <v>5227</v>
      </c>
      <c r="D3940" s="13" t="str">
        <f>IF(RIGHT(A3940,3)="000",C3940,VLOOKUP(B3940,'Справочник ИХ'!A:C,3,0))</f>
        <v>Остальные грузы</v>
      </c>
      <c r="E3940" s="13">
        <f>IF(RIGHT(A3940,3)="000","х",VLOOKUP(B3940,'Справочник ИХ'!A:D,4,0))</f>
        <v>3</v>
      </c>
      <c r="F3940" s="14" t="s">
        <v>5203</v>
      </c>
    </row>
    <row r="3941" spans="1:6">
      <c r="A3941" s="19">
        <v>68211</v>
      </c>
      <c r="B3941" s="12" t="str">
        <f t="shared" si="61"/>
        <v>682</v>
      </c>
      <c r="C3941" s="1" t="s">
        <v>5228</v>
      </c>
      <c r="D3941" s="13" t="str">
        <f>IF(RIGHT(A3941,3)="000",C3941,VLOOKUP(B3941,'Справочник ИХ'!A:C,3,0))</f>
        <v>Остальные грузы</v>
      </c>
      <c r="E3941" s="13">
        <f>IF(RIGHT(A3941,3)="000","х",VLOOKUP(B3941,'Справочник ИХ'!A:D,4,0))</f>
        <v>3</v>
      </c>
      <c r="F3941" s="14" t="s">
        <v>5203</v>
      </c>
    </row>
    <row r="3942" spans="1:6">
      <c r="A3942" s="19">
        <v>68212</v>
      </c>
      <c r="B3942" s="12" t="str">
        <f t="shared" si="61"/>
        <v>682</v>
      </c>
      <c r="C3942" s="1" t="s">
        <v>5229</v>
      </c>
      <c r="D3942" s="13" t="str">
        <f>IF(RIGHT(A3942,3)="000",C3942,VLOOKUP(B3942,'Справочник ИХ'!A:C,3,0))</f>
        <v>Остальные грузы</v>
      </c>
      <c r="E3942" s="13">
        <f>IF(RIGHT(A3942,3)="000","х",VLOOKUP(B3942,'Справочник ИХ'!A:D,4,0))</f>
        <v>3</v>
      </c>
      <c r="F3942" s="14" t="s">
        <v>5203</v>
      </c>
    </row>
    <row r="3943" spans="1:6">
      <c r="A3943" s="19">
        <v>68213</v>
      </c>
      <c r="B3943" s="12" t="str">
        <f t="shared" si="61"/>
        <v>682</v>
      </c>
      <c r="C3943" s="1" t="s">
        <v>5230</v>
      </c>
      <c r="D3943" s="13" t="str">
        <f>IF(RIGHT(A3943,3)="000",C3943,VLOOKUP(B3943,'Справочник ИХ'!A:C,3,0))</f>
        <v>Остальные грузы</v>
      </c>
      <c r="E3943" s="13">
        <f>IF(RIGHT(A3943,3)="000","х",VLOOKUP(B3943,'Справочник ИХ'!A:D,4,0))</f>
        <v>3</v>
      </c>
      <c r="F3943" s="14" t="s">
        <v>5203</v>
      </c>
    </row>
    <row r="3944" spans="1:6">
      <c r="A3944" s="19">
        <v>68214</v>
      </c>
      <c r="B3944" s="12" t="str">
        <f t="shared" si="61"/>
        <v>682</v>
      </c>
      <c r="C3944" s="1" t="s">
        <v>5231</v>
      </c>
      <c r="D3944" s="13" t="str">
        <f>IF(RIGHT(A3944,3)="000",C3944,VLOOKUP(B3944,'Справочник ИХ'!A:C,3,0))</f>
        <v>Остальные грузы</v>
      </c>
      <c r="E3944" s="13">
        <f>IF(RIGHT(A3944,3)="000","х",VLOOKUP(B3944,'Справочник ИХ'!A:D,4,0))</f>
        <v>3</v>
      </c>
      <c r="F3944" s="14" t="s">
        <v>5203</v>
      </c>
    </row>
    <row r="3945" spans="1:6">
      <c r="A3945" s="19">
        <v>68215</v>
      </c>
      <c r="B3945" s="12" t="str">
        <f t="shared" si="61"/>
        <v>682</v>
      </c>
      <c r="C3945" s="1" t="s">
        <v>5232</v>
      </c>
      <c r="D3945" s="13" t="str">
        <f>IF(RIGHT(A3945,3)="000",C3945,VLOOKUP(B3945,'Справочник ИХ'!A:C,3,0))</f>
        <v>Остальные грузы</v>
      </c>
      <c r="E3945" s="13">
        <f>IF(RIGHT(A3945,3)="000","х",VLOOKUP(B3945,'Справочник ИХ'!A:D,4,0))</f>
        <v>3</v>
      </c>
      <c r="F3945" s="14" t="s">
        <v>5203</v>
      </c>
    </row>
    <row r="3946" spans="1:6">
      <c r="A3946" s="19">
        <v>68216</v>
      </c>
      <c r="B3946" s="12" t="str">
        <f t="shared" si="61"/>
        <v>682</v>
      </c>
      <c r="C3946" s="1" t="s">
        <v>5233</v>
      </c>
      <c r="D3946" s="13" t="str">
        <f>IF(RIGHT(A3946,3)="000",C3946,VLOOKUP(B3946,'Справочник ИХ'!A:C,3,0))</f>
        <v>Остальные грузы</v>
      </c>
      <c r="E3946" s="13">
        <f>IF(RIGHT(A3946,3)="000","х",VLOOKUP(B3946,'Справочник ИХ'!A:D,4,0))</f>
        <v>3</v>
      </c>
      <c r="F3946" s="14" t="s">
        <v>5203</v>
      </c>
    </row>
    <row r="3947" spans="1:6">
      <c r="A3947" s="19">
        <v>68217</v>
      </c>
      <c r="B3947" s="12" t="str">
        <f t="shared" si="61"/>
        <v>682</v>
      </c>
      <c r="C3947" s="1" t="s">
        <v>5234</v>
      </c>
      <c r="D3947" s="13" t="str">
        <f>IF(RIGHT(A3947,3)="000",C3947,VLOOKUP(B3947,'Справочник ИХ'!A:C,3,0))</f>
        <v>Остальные грузы</v>
      </c>
      <c r="E3947" s="13">
        <f>IF(RIGHT(A3947,3)="000","х",VLOOKUP(B3947,'Справочник ИХ'!A:D,4,0))</f>
        <v>3</v>
      </c>
      <c r="F3947" s="14" t="s">
        <v>5203</v>
      </c>
    </row>
    <row r="3948" spans="1:6">
      <c r="A3948" s="19">
        <v>68218</v>
      </c>
      <c r="B3948" s="12" t="str">
        <f t="shared" si="61"/>
        <v>682</v>
      </c>
      <c r="C3948" s="1" t="s">
        <v>5235</v>
      </c>
      <c r="D3948" s="13" t="str">
        <f>IF(RIGHT(A3948,3)="000",C3948,VLOOKUP(B3948,'Справочник ИХ'!A:C,3,0))</f>
        <v>Остальные грузы</v>
      </c>
      <c r="E3948" s="13">
        <f>IF(RIGHT(A3948,3)="000","х",VLOOKUP(B3948,'Справочник ИХ'!A:D,4,0))</f>
        <v>3</v>
      </c>
      <c r="F3948" s="14" t="s">
        <v>5203</v>
      </c>
    </row>
    <row r="3949" spans="1:6">
      <c r="A3949" s="19">
        <v>68219</v>
      </c>
      <c r="B3949" s="12" t="str">
        <f t="shared" si="61"/>
        <v>682</v>
      </c>
      <c r="C3949" s="1" t="s">
        <v>5236</v>
      </c>
      <c r="D3949" s="13" t="str">
        <f>IF(RIGHT(A3949,3)="000",C3949,VLOOKUP(B3949,'Справочник ИХ'!A:C,3,0))</f>
        <v>Остальные грузы</v>
      </c>
      <c r="E3949" s="13">
        <f>IF(RIGHT(A3949,3)="000","х",VLOOKUP(B3949,'Справочник ИХ'!A:D,4,0))</f>
        <v>3</v>
      </c>
      <c r="F3949" s="14" t="s">
        <v>5203</v>
      </c>
    </row>
    <row r="3950" spans="1:6">
      <c r="A3950" s="19">
        <v>68220</v>
      </c>
      <c r="B3950" s="12" t="str">
        <f t="shared" si="61"/>
        <v>682</v>
      </c>
      <c r="C3950" s="1" t="s">
        <v>5237</v>
      </c>
      <c r="D3950" s="13" t="str">
        <f>IF(RIGHT(A3950,3)="000",C3950,VLOOKUP(B3950,'Справочник ИХ'!A:C,3,0))</f>
        <v>Остальные грузы</v>
      </c>
      <c r="E3950" s="13">
        <f>IF(RIGHT(A3950,3)="000","х",VLOOKUP(B3950,'Справочник ИХ'!A:D,4,0))</f>
        <v>3</v>
      </c>
      <c r="F3950" s="14" t="s">
        <v>5203</v>
      </c>
    </row>
    <row r="3951" spans="1:6" ht="31.75">
      <c r="A3951" s="19">
        <v>68221</v>
      </c>
      <c r="B3951" s="12" t="str">
        <f t="shared" si="61"/>
        <v>682</v>
      </c>
      <c r="C3951" s="1" t="s">
        <v>5238</v>
      </c>
      <c r="D3951" s="13" t="str">
        <f>IF(RIGHT(A3951,3)="000",C3951,VLOOKUP(B3951,'Справочник ИХ'!A:C,3,0))</f>
        <v>Остальные грузы</v>
      </c>
      <c r="E3951" s="13">
        <f>IF(RIGHT(A3951,3)="000","х",VLOOKUP(B3951,'Справочник ИХ'!A:D,4,0))</f>
        <v>3</v>
      </c>
      <c r="F3951" s="14" t="s">
        <v>5203</v>
      </c>
    </row>
    <row r="3952" spans="1:6">
      <c r="A3952" s="19">
        <v>68222</v>
      </c>
      <c r="B3952" s="12" t="str">
        <f t="shared" si="61"/>
        <v>682</v>
      </c>
      <c r="C3952" s="1" t="s">
        <v>5239</v>
      </c>
      <c r="D3952" s="13" t="str">
        <f>IF(RIGHT(A3952,3)="000",C3952,VLOOKUP(B3952,'Справочник ИХ'!A:C,3,0))</f>
        <v>Остальные грузы</v>
      </c>
      <c r="E3952" s="13">
        <f>IF(RIGHT(A3952,3)="000","х",VLOOKUP(B3952,'Справочник ИХ'!A:D,4,0))</f>
        <v>3</v>
      </c>
      <c r="F3952" s="14" t="s">
        <v>5203</v>
      </c>
    </row>
    <row r="3953" spans="1:6">
      <c r="A3953" s="19">
        <v>68223</v>
      </c>
      <c r="B3953" s="12" t="str">
        <f t="shared" si="61"/>
        <v>682</v>
      </c>
      <c r="C3953" s="1" t="s">
        <v>5240</v>
      </c>
      <c r="D3953" s="13" t="str">
        <f>IF(RIGHT(A3953,3)="000",C3953,VLOOKUP(B3953,'Справочник ИХ'!A:C,3,0))</f>
        <v>Остальные грузы</v>
      </c>
      <c r="E3953" s="13">
        <f>IF(RIGHT(A3953,3)="000","х",VLOOKUP(B3953,'Справочник ИХ'!A:D,4,0))</f>
        <v>3</v>
      </c>
      <c r="F3953" s="14" t="s">
        <v>5203</v>
      </c>
    </row>
    <row r="3954" spans="1:6">
      <c r="A3954" s="19">
        <v>68224</v>
      </c>
      <c r="B3954" s="12" t="str">
        <f t="shared" si="61"/>
        <v>682</v>
      </c>
      <c r="C3954" s="1" t="s">
        <v>5241</v>
      </c>
      <c r="D3954" s="13" t="str">
        <f>IF(RIGHT(A3954,3)="000",C3954,VLOOKUP(B3954,'Справочник ИХ'!A:C,3,0))</f>
        <v>Остальные грузы</v>
      </c>
      <c r="E3954" s="13">
        <f>IF(RIGHT(A3954,3)="000","х",VLOOKUP(B3954,'Справочник ИХ'!A:D,4,0))</f>
        <v>3</v>
      </c>
      <c r="F3954" s="14" t="s">
        <v>5203</v>
      </c>
    </row>
    <row r="3955" spans="1:6">
      <c r="A3955" s="19">
        <v>68225</v>
      </c>
      <c r="B3955" s="12" t="str">
        <f t="shared" si="61"/>
        <v>682</v>
      </c>
      <c r="C3955" s="1" t="s">
        <v>5242</v>
      </c>
      <c r="D3955" s="13" t="str">
        <f>IF(RIGHT(A3955,3)="000",C3955,VLOOKUP(B3955,'Справочник ИХ'!A:C,3,0))</f>
        <v>Остальные грузы</v>
      </c>
      <c r="E3955" s="13">
        <f>IF(RIGHT(A3955,3)="000","х",VLOOKUP(B3955,'Справочник ИХ'!A:D,4,0))</f>
        <v>3</v>
      </c>
      <c r="F3955" s="14" t="s">
        <v>5203</v>
      </c>
    </row>
    <row r="3956" spans="1:6">
      <c r="A3956" s="19">
        <v>68226</v>
      </c>
      <c r="B3956" s="12" t="str">
        <f t="shared" si="61"/>
        <v>682</v>
      </c>
      <c r="C3956" s="1" t="s">
        <v>5243</v>
      </c>
      <c r="D3956" s="13" t="str">
        <f>IF(RIGHT(A3956,3)="000",C3956,VLOOKUP(B3956,'Справочник ИХ'!A:C,3,0))</f>
        <v>Остальные грузы</v>
      </c>
      <c r="E3956" s="13">
        <f>IF(RIGHT(A3956,3)="000","х",VLOOKUP(B3956,'Справочник ИХ'!A:D,4,0))</f>
        <v>3</v>
      </c>
      <c r="F3956" s="14" t="s">
        <v>5203</v>
      </c>
    </row>
    <row r="3957" spans="1:6">
      <c r="A3957" s="19">
        <v>68227</v>
      </c>
      <c r="B3957" s="12" t="str">
        <f t="shared" si="61"/>
        <v>682</v>
      </c>
      <c r="C3957" s="1" t="s">
        <v>5244</v>
      </c>
      <c r="D3957" s="13" t="str">
        <f>IF(RIGHT(A3957,3)="000",C3957,VLOOKUP(B3957,'Справочник ИХ'!A:C,3,0))</f>
        <v>Остальные грузы</v>
      </c>
      <c r="E3957" s="13">
        <f>IF(RIGHT(A3957,3)="000","х",VLOOKUP(B3957,'Справочник ИХ'!A:D,4,0))</f>
        <v>3</v>
      </c>
      <c r="F3957" s="14" t="s">
        <v>5203</v>
      </c>
    </row>
    <row r="3958" spans="1:6" ht="31.75">
      <c r="A3958" s="19">
        <v>68228</v>
      </c>
      <c r="B3958" s="12" t="str">
        <f t="shared" si="61"/>
        <v>682</v>
      </c>
      <c r="C3958" s="1" t="s">
        <v>5245</v>
      </c>
      <c r="D3958" s="13" t="str">
        <f>IF(RIGHT(A3958,3)="000",C3958,VLOOKUP(B3958,'Справочник ИХ'!A:C,3,0))</f>
        <v>Остальные грузы</v>
      </c>
      <c r="E3958" s="13">
        <f>IF(RIGHT(A3958,3)="000","х",VLOOKUP(B3958,'Справочник ИХ'!A:D,4,0))</f>
        <v>3</v>
      </c>
      <c r="F3958" s="14" t="s">
        <v>5203</v>
      </c>
    </row>
    <row r="3959" spans="1:6">
      <c r="A3959" s="19">
        <v>68229</v>
      </c>
      <c r="B3959" s="12" t="str">
        <f t="shared" si="61"/>
        <v>682</v>
      </c>
      <c r="C3959" s="1" t="s">
        <v>5246</v>
      </c>
      <c r="D3959" s="13" t="str">
        <f>IF(RIGHT(A3959,3)="000",C3959,VLOOKUP(B3959,'Справочник ИХ'!A:C,3,0))</f>
        <v>Остальные грузы</v>
      </c>
      <c r="E3959" s="13">
        <f>IF(RIGHT(A3959,3)="000","х",VLOOKUP(B3959,'Справочник ИХ'!A:D,4,0))</f>
        <v>3</v>
      </c>
      <c r="F3959" s="14" t="s">
        <v>5203</v>
      </c>
    </row>
    <row r="3960" spans="1:6">
      <c r="A3960" s="19">
        <v>68230</v>
      </c>
      <c r="B3960" s="12" t="str">
        <f t="shared" si="61"/>
        <v>682</v>
      </c>
      <c r="C3960" s="1" t="s">
        <v>5247</v>
      </c>
      <c r="D3960" s="13" t="str">
        <f>IF(RIGHT(A3960,3)="000",C3960,VLOOKUP(B3960,'Справочник ИХ'!A:C,3,0))</f>
        <v>Остальные грузы</v>
      </c>
      <c r="E3960" s="13">
        <f>IF(RIGHT(A3960,3)="000","х",VLOOKUP(B3960,'Справочник ИХ'!A:D,4,0))</f>
        <v>3</v>
      </c>
      <c r="F3960" s="14" t="s">
        <v>5203</v>
      </c>
    </row>
    <row r="3961" spans="1:6">
      <c r="A3961" s="19">
        <v>68231</v>
      </c>
      <c r="B3961" s="12" t="str">
        <f t="shared" si="61"/>
        <v>682</v>
      </c>
      <c r="C3961" s="1" t="s">
        <v>5248</v>
      </c>
      <c r="D3961" s="13" t="str">
        <f>IF(RIGHT(A3961,3)="000",C3961,VLOOKUP(B3961,'Справочник ИХ'!A:C,3,0))</f>
        <v>Остальные грузы</v>
      </c>
      <c r="E3961" s="13">
        <f>IF(RIGHT(A3961,3)="000","х",VLOOKUP(B3961,'Справочник ИХ'!A:D,4,0))</f>
        <v>3</v>
      </c>
      <c r="F3961" s="14" t="s">
        <v>5203</v>
      </c>
    </row>
    <row r="3962" spans="1:6">
      <c r="A3962" s="19">
        <v>68232</v>
      </c>
      <c r="B3962" s="12" t="str">
        <f t="shared" si="61"/>
        <v>682</v>
      </c>
      <c r="C3962" s="1" t="s">
        <v>5249</v>
      </c>
      <c r="D3962" s="13" t="str">
        <f>IF(RIGHT(A3962,3)="000",C3962,VLOOKUP(B3962,'Справочник ИХ'!A:C,3,0))</f>
        <v>Остальные грузы</v>
      </c>
      <c r="E3962" s="13">
        <f>IF(RIGHT(A3962,3)="000","х",VLOOKUP(B3962,'Справочник ИХ'!A:D,4,0))</f>
        <v>3</v>
      </c>
      <c r="F3962" s="14" t="s">
        <v>5203</v>
      </c>
    </row>
    <row r="3963" spans="1:6">
      <c r="A3963" s="19">
        <v>68233</v>
      </c>
      <c r="B3963" s="12" t="str">
        <f t="shared" si="61"/>
        <v>682</v>
      </c>
      <c r="C3963" s="1" t="s">
        <v>5250</v>
      </c>
      <c r="D3963" s="13" t="str">
        <f>IF(RIGHT(A3963,3)="000",C3963,VLOOKUP(B3963,'Справочник ИХ'!A:C,3,0))</f>
        <v>Остальные грузы</v>
      </c>
      <c r="E3963" s="13">
        <f>IF(RIGHT(A3963,3)="000","х",VLOOKUP(B3963,'Справочник ИХ'!A:D,4,0))</f>
        <v>3</v>
      </c>
      <c r="F3963" s="14" t="s">
        <v>5203</v>
      </c>
    </row>
    <row r="3964" spans="1:6">
      <c r="A3964" s="19">
        <v>68234</v>
      </c>
      <c r="B3964" s="12" t="str">
        <f t="shared" si="61"/>
        <v>682</v>
      </c>
      <c r="C3964" s="1" t="s">
        <v>5251</v>
      </c>
      <c r="D3964" s="13" t="str">
        <f>IF(RIGHT(A3964,3)="000",C3964,VLOOKUP(B3964,'Справочник ИХ'!A:C,3,0))</f>
        <v>Остальные грузы</v>
      </c>
      <c r="E3964" s="13">
        <f>IF(RIGHT(A3964,3)="000","х",VLOOKUP(B3964,'Справочник ИХ'!A:D,4,0))</f>
        <v>3</v>
      </c>
      <c r="F3964" s="14" t="s">
        <v>5203</v>
      </c>
    </row>
    <row r="3965" spans="1:6">
      <c r="A3965" s="19">
        <v>68235</v>
      </c>
      <c r="B3965" s="12" t="str">
        <f t="shared" si="61"/>
        <v>682</v>
      </c>
      <c r="C3965" s="1" t="s">
        <v>5252</v>
      </c>
      <c r="D3965" s="13" t="str">
        <f>IF(RIGHT(A3965,3)="000",C3965,VLOOKUP(B3965,'Справочник ИХ'!A:C,3,0))</f>
        <v>Остальные грузы</v>
      </c>
      <c r="E3965" s="13">
        <f>IF(RIGHT(A3965,3)="000","х",VLOOKUP(B3965,'Справочник ИХ'!A:D,4,0))</f>
        <v>3</v>
      </c>
      <c r="F3965" s="14" t="s">
        <v>5203</v>
      </c>
    </row>
    <row r="3966" spans="1:6">
      <c r="A3966" s="19">
        <v>68236</v>
      </c>
      <c r="B3966" s="12" t="str">
        <f t="shared" si="61"/>
        <v>682</v>
      </c>
      <c r="C3966" s="1" t="s">
        <v>5253</v>
      </c>
      <c r="D3966" s="13" t="str">
        <f>IF(RIGHT(A3966,3)="000",C3966,VLOOKUP(B3966,'Справочник ИХ'!A:C,3,0))</f>
        <v>Остальные грузы</v>
      </c>
      <c r="E3966" s="13">
        <f>IF(RIGHT(A3966,3)="000","х",VLOOKUP(B3966,'Справочник ИХ'!A:D,4,0))</f>
        <v>3</v>
      </c>
      <c r="F3966" s="14" t="s">
        <v>5203</v>
      </c>
    </row>
    <row r="3967" spans="1:6">
      <c r="A3967" s="19">
        <v>68237</v>
      </c>
      <c r="B3967" s="12" t="str">
        <f t="shared" si="61"/>
        <v>682</v>
      </c>
      <c r="C3967" s="1" t="s">
        <v>5254</v>
      </c>
      <c r="D3967" s="13" t="str">
        <f>IF(RIGHT(A3967,3)="000",C3967,VLOOKUP(B3967,'Справочник ИХ'!A:C,3,0))</f>
        <v>Остальные грузы</v>
      </c>
      <c r="E3967" s="13">
        <f>IF(RIGHT(A3967,3)="000","х",VLOOKUP(B3967,'Справочник ИХ'!A:D,4,0))</f>
        <v>3</v>
      </c>
      <c r="F3967" s="14" t="s">
        <v>5203</v>
      </c>
    </row>
    <row r="3968" spans="1:6">
      <c r="A3968" s="19">
        <v>68238</v>
      </c>
      <c r="B3968" s="12" t="str">
        <f t="shared" si="61"/>
        <v>682</v>
      </c>
      <c r="C3968" s="1" t="s">
        <v>5255</v>
      </c>
      <c r="D3968" s="13" t="str">
        <f>IF(RIGHT(A3968,3)="000",C3968,VLOOKUP(B3968,'Справочник ИХ'!A:C,3,0))</f>
        <v>Остальные грузы</v>
      </c>
      <c r="E3968" s="13">
        <f>IF(RIGHT(A3968,3)="000","х",VLOOKUP(B3968,'Справочник ИХ'!A:D,4,0))</f>
        <v>3</v>
      </c>
      <c r="F3968" s="14" t="s">
        <v>5203</v>
      </c>
    </row>
    <row r="3969" spans="1:6" ht="31.75">
      <c r="A3969" s="19">
        <v>68239</v>
      </c>
      <c r="B3969" s="12" t="str">
        <f t="shared" si="61"/>
        <v>682</v>
      </c>
      <c r="C3969" s="1" t="s">
        <v>5256</v>
      </c>
      <c r="D3969" s="13" t="str">
        <f>IF(RIGHT(A3969,3)="000",C3969,VLOOKUP(B3969,'Справочник ИХ'!A:C,3,0))</f>
        <v>Остальные грузы</v>
      </c>
      <c r="E3969" s="13">
        <f>IF(RIGHT(A3969,3)="000","х",VLOOKUP(B3969,'Справочник ИХ'!A:D,4,0))</f>
        <v>3</v>
      </c>
      <c r="F3969" s="14" t="s">
        <v>5203</v>
      </c>
    </row>
    <row r="3970" spans="1:6">
      <c r="A3970" s="19">
        <v>68240</v>
      </c>
      <c r="B3970" s="12" t="str">
        <f t="shared" si="61"/>
        <v>682</v>
      </c>
      <c r="C3970" s="1" t="s">
        <v>5257</v>
      </c>
      <c r="D3970" s="13" t="str">
        <f>IF(RIGHT(A3970,3)="000",C3970,VLOOKUP(B3970,'Справочник ИХ'!A:C,3,0))</f>
        <v>Остальные грузы</v>
      </c>
      <c r="E3970" s="13">
        <f>IF(RIGHT(A3970,3)="000","х",VLOOKUP(B3970,'Справочник ИХ'!A:D,4,0))</f>
        <v>3</v>
      </c>
      <c r="F3970" s="14" t="s">
        <v>5203</v>
      </c>
    </row>
    <row r="3971" spans="1:6" ht="31.75">
      <c r="A3971" s="19">
        <v>68241</v>
      </c>
      <c r="B3971" s="12" t="str">
        <f t="shared" si="61"/>
        <v>682</v>
      </c>
      <c r="C3971" s="1" t="s">
        <v>5258</v>
      </c>
      <c r="D3971" s="13" t="str">
        <f>IF(RIGHT(A3971,3)="000",C3971,VLOOKUP(B3971,'Справочник ИХ'!A:C,3,0))</f>
        <v>Остальные грузы</v>
      </c>
      <c r="E3971" s="13">
        <f>IF(RIGHT(A3971,3)="000","х",VLOOKUP(B3971,'Справочник ИХ'!A:D,4,0))</f>
        <v>3</v>
      </c>
      <c r="F3971" s="14" t="s">
        <v>5203</v>
      </c>
    </row>
    <row r="3972" spans="1:6">
      <c r="A3972" s="19">
        <v>68242</v>
      </c>
      <c r="B3972" s="12" t="str">
        <f t="shared" si="61"/>
        <v>682</v>
      </c>
      <c r="C3972" s="1" t="s">
        <v>5259</v>
      </c>
      <c r="D3972" s="13" t="str">
        <f>IF(RIGHT(A3972,3)="000",C3972,VLOOKUP(B3972,'Справочник ИХ'!A:C,3,0))</f>
        <v>Остальные грузы</v>
      </c>
      <c r="E3972" s="13">
        <f>IF(RIGHT(A3972,3)="000","х",VLOOKUP(B3972,'Справочник ИХ'!A:D,4,0))</f>
        <v>3</v>
      </c>
      <c r="F3972" s="14" t="s">
        <v>5203</v>
      </c>
    </row>
    <row r="3973" spans="1:6">
      <c r="A3973" s="19">
        <v>68243</v>
      </c>
      <c r="B3973" s="12" t="str">
        <f t="shared" ref="B3973:B4036" si="62">LEFT(A3973,3)</f>
        <v>682</v>
      </c>
      <c r="C3973" s="1" t="s">
        <v>5260</v>
      </c>
      <c r="D3973" s="13" t="str">
        <f>IF(RIGHT(A3973,3)="000",C3973,VLOOKUP(B3973,'Справочник ИХ'!A:C,3,0))</f>
        <v>Остальные грузы</v>
      </c>
      <c r="E3973" s="13">
        <f>IF(RIGHT(A3973,3)="000","х",VLOOKUP(B3973,'Справочник ИХ'!A:D,4,0))</f>
        <v>3</v>
      </c>
      <c r="F3973" s="14" t="s">
        <v>5203</v>
      </c>
    </row>
    <row r="3974" spans="1:6">
      <c r="A3974" s="19">
        <v>68244</v>
      </c>
      <c r="B3974" s="12" t="str">
        <f t="shared" si="62"/>
        <v>682</v>
      </c>
      <c r="C3974" s="1" t="s">
        <v>5261</v>
      </c>
      <c r="D3974" s="13" t="str">
        <f>IF(RIGHT(A3974,3)="000",C3974,VLOOKUP(B3974,'Справочник ИХ'!A:C,3,0))</f>
        <v>Остальные грузы</v>
      </c>
      <c r="E3974" s="13">
        <f>IF(RIGHT(A3974,3)="000","х",VLOOKUP(B3974,'Справочник ИХ'!A:D,4,0))</f>
        <v>3</v>
      </c>
      <c r="F3974" s="14" t="s">
        <v>5203</v>
      </c>
    </row>
    <row r="3975" spans="1:6">
      <c r="A3975" s="19">
        <v>68245</v>
      </c>
      <c r="B3975" s="12" t="str">
        <f t="shared" si="62"/>
        <v>682</v>
      </c>
      <c r="C3975" s="1" t="s">
        <v>5262</v>
      </c>
      <c r="D3975" s="13" t="str">
        <f>IF(RIGHT(A3975,3)="000",C3975,VLOOKUP(B3975,'Справочник ИХ'!A:C,3,0))</f>
        <v>Остальные грузы</v>
      </c>
      <c r="E3975" s="13">
        <f>IF(RIGHT(A3975,3)="000","х",VLOOKUP(B3975,'Справочник ИХ'!A:D,4,0))</f>
        <v>3</v>
      </c>
      <c r="F3975" s="14" t="s">
        <v>5203</v>
      </c>
    </row>
    <row r="3976" spans="1:6" s="18" customFormat="1" ht="31.75">
      <c r="A3976" s="16">
        <v>68300</v>
      </c>
      <c r="B3976" s="12" t="str">
        <f t="shared" si="62"/>
        <v>683</v>
      </c>
      <c r="C3976" s="17" t="s">
        <v>5263</v>
      </c>
      <c r="D3976" s="13" t="str">
        <f>IF(RIGHT(A3976,3)="000",C3976,VLOOKUP(B3976,'Справочник ИХ'!A:C,3,0))</f>
        <v>Остальные грузы</v>
      </c>
      <c r="E3976" s="13">
        <f>IF(RIGHT(A3976,3)="000","х",VLOOKUP(B3976,'Справочник ИХ'!A:D,4,0))</f>
        <v>3</v>
      </c>
      <c r="F3976" s="14" t="s">
        <v>5203</v>
      </c>
    </row>
    <row r="3977" spans="1:6">
      <c r="A3977" s="19">
        <v>68301</v>
      </c>
      <c r="B3977" s="12" t="str">
        <f t="shared" si="62"/>
        <v>683</v>
      </c>
      <c r="C3977" s="1" t="s">
        <v>5264</v>
      </c>
      <c r="D3977" s="13" t="str">
        <f>IF(RIGHT(A3977,3)="000",C3977,VLOOKUP(B3977,'Справочник ИХ'!A:C,3,0))</f>
        <v>Остальные грузы</v>
      </c>
      <c r="E3977" s="13">
        <f>IF(RIGHT(A3977,3)="000","х",VLOOKUP(B3977,'Справочник ИХ'!A:D,4,0))</f>
        <v>3</v>
      </c>
      <c r="F3977" s="14" t="s">
        <v>5203</v>
      </c>
    </row>
    <row r="3978" spans="1:6">
      <c r="A3978" s="19">
        <v>68302</v>
      </c>
      <c r="B3978" s="12" t="str">
        <f t="shared" si="62"/>
        <v>683</v>
      </c>
      <c r="C3978" s="1" t="s">
        <v>5265</v>
      </c>
      <c r="D3978" s="13" t="str">
        <f>IF(RIGHT(A3978,3)="000",C3978,VLOOKUP(B3978,'Справочник ИХ'!A:C,3,0))</f>
        <v>Остальные грузы</v>
      </c>
      <c r="E3978" s="13">
        <f>IF(RIGHT(A3978,3)="000","х",VLOOKUP(B3978,'Справочник ИХ'!A:D,4,0))</f>
        <v>3</v>
      </c>
      <c r="F3978" s="14" t="s">
        <v>5203</v>
      </c>
    </row>
    <row r="3979" spans="1:6">
      <c r="A3979" s="19">
        <v>68303</v>
      </c>
      <c r="B3979" s="12" t="str">
        <f t="shared" si="62"/>
        <v>683</v>
      </c>
      <c r="C3979" s="1" t="s">
        <v>5266</v>
      </c>
      <c r="D3979" s="13" t="str">
        <f>IF(RIGHT(A3979,3)="000",C3979,VLOOKUP(B3979,'Справочник ИХ'!A:C,3,0))</f>
        <v>Остальные грузы</v>
      </c>
      <c r="E3979" s="13">
        <f>IF(RIGHT(A3979,3)="000","х",VLOOKUP(B3979,'Справочник ИХ'!A:D,4,0))</f>
        <v>3</v>
      </c>
      <c r="F3979" s="14" t="s">
        <v>5203</v>
      </c>
    </row>
    <row r="3980" spans="1:6">
      <c r="A3980" s="19">
        <v>68304</v>
      </c>
      <c r="B3980" s="12" t="str">
        <f t="shared" si="62"/>
        <v>683</v>
      </c>
      <c r="C3980" s="1" t="s">
        <v>5267</v>
      </c>
      <c r="D3980" s="13" t="str">
        <f>IF(RIGHT(A3980,3)="000",C3980,VLOOKUP(B3980,'Справочник ИХ'!A:C,3,0))</f>
        <v>Остальные грузы</v>
      </c>
      <c r="E3980" s="13">
        <f>IF(RIGHT(A3980,3)="000","х",VLOOKUP(B3980,'Справочник ИХ'!A:D,4,0))</f>
        <v>3</v>
      </c>
      <c r="F3980" s="14" t="s">
        <v>5203</v>
      </c>
    </row>
    <row r="3981" spans="1:6">
      <c r="A3981" s="19">
        <v>68305</v>
      </c>
      <c r="B3981" s="12" t="str">
        <f t="shared" si="62"/>
        <v>683</v>
      </c>
      <c r="C3981" s="1" t="s">
        <v>5268</v>
      </c>
      <c r="D3981" s="13" t="str">
        <f>IF(RIGHT(A3981,3)="000",C3981,VLOOKUP(B3981,'Справочник ИХ'!A:C,3,0))</f>
        <v>Остальные грузы</v>
      </c>
      <c r="E3981" s="13">
        <f>IF(RIGHT(A3981,3)="000","х",VLOOKUP(B3981,'Справочник ИХ'!A:D,4,0))</f>
        <v>3</v>
      </c>
      <c r="F3981" s="14" t="s">
        <v>5203</v>
      </c>
    </row>
    <row r="3982" spans="1:6">
      <c r="A3982" s="19">
        <v>68306</v>
      </c>
      <c r="B3982" s="12" t="str">
        <f t="shared" si="62"/>
        <v>683</v>
      </c>
      <c r="C3982" s="1" t="s">
        <v>5269</v>
      </c>
      <c r="D3982" s="13" t="str">
        <f>IF(RIGHT(A3982,3)="000",C3982,VLOOKUP(B3982,'Справочник ИХ'!A:C,3,0))</f>
        <v>Остальные грузы</v>
      </c>
      <c r="E3982" s="13">
        <f>IF(RIGHT(A3982,3)="000","х",VLOOKUP(B3982,'Справочник ИХ'!A:D,4,0))</f>
        <v>3</v>
      </c>
      <c r="F3982" s="14" t="s">
        <v>5203</v>
      </c>
    </row>
    <row r="3983" spans="1:6">
      <c r="A3983" s="19">
        <v>68307</v>
      </c>
      <c r="B3983" s="12" t="str">
        <f t="shared" si="62"/>
        <v>683</v>
      </c>
      <c r="C3983" s="1" t="s">
        <v>5270</v>
      </c>
      <c r="D3983" s="13" t="str">
        <f>IF(RIGHT(A3983,3)="000",C3983,VLOOKUP(B3983,'Справочник ИХ'!A:C,3,0))</f>
        <v>Остальные грузы</v>
      </c>
      <c r="E3983" s="13">
        <f>IF(RIGHT(A3983,3)="000","х",VLOOKUP(B3983,'Справочник ИХ'!A:D,4,0))</f>
        <v>3</v>
      </c>
      <c r="F3983" s="14" t="s">
        <v>5203</v>
      </c>
    </row>
    <row r="3984" spans="1:6" ht="31.75">
      <c r="A3984" s="19">
        <v>68308</v>
      </c>
      <c r="B3984" s="12" t="str">
        <f t="shared" si="62"/>
        <v>683</v>
      </c>
      <c r="C3984" s="1" t="s">
        <v>5271</v>
      </c>
      <c r="D3984" s="13" t="str">
        <f>IF(RIGHT(A3984,3)="000",C3984,VLOOKUP(B3984,'Справочник ИХ'!A:C,3,0))</f>
        <v>Остальные грузы</v>
      </c>
      <c r="E3984" s="13">
        <f>IF(RIGHT(A3984,3)="000","х",VLOOKUP(B3984,'Справочник ИХ'!A:D,4,0))</f>
        <v>3</v>
      </c>
      <c r="F3984" s="14" t="s">
        <v>5203</v>
      </c>
    </row>
    <row r="3985" spans="1:6">
      <c r="A3985" s="19">
        <v>68309</v>
      </c>
      <c r="B3985" s="12" t="str">
        <f t="shared" si="62"/>
        <v>683</v>
      </c>
      <c r="C3985" s="1" t="s">
        <v>5272</v>
      </c>
      <c r="D3985" s="13" t="str">
        <f>IF(RIGHT(A3985,3)="000",C3985,VLOOKUP(B3985,'Справочник ИХ'!A:C,3,0))</f>
        <v>Остальные грузы</v>
      </c>
      <c r="E3985" s="13">
        <f>IF(RIGHT(A3985,3)="000","х",VLOOKUP(B3985,'Справочник ИХ'!A:D,4,0))</f>
        <v>3</v>
      </c>
      <c r="F3985" s="14" t="s">
        <v>5203</v>
      </c>
    </row>
    <row r="3986" spans="1:6" ht="31.75">
      <c r="A3986" s="19">
        <v>68310</v>
      </c>
      <c r="B3986" s="12" t="str">
        <f t="shared" si="62"/>
        <v>683</v>
      </c>
      <c r="C3986" s="1" t="s">
        <v>5273</v>
      </c>
      <c r="D3986" s="13" t="str">
        <f>IF(RIGHT(A3986,3)="000",C3986,VLOOKUP(B3986,'Справочник ИХ'!A:C,3,0))</f>
        <v>Остальные грузы</v>
      </c>
      <c r="E3986" s="13">
        <f>IF(RIGHT(A3986,3)="000","х",VLOOKUP(B3986,'Справочник ИХ'!A:D,4,0))</f>
        <v>3</v>
      </c>
      <c r="F3986" s="14" t="s">
        <v>5203</v>
      </c>
    </row>
    <row r="3987" spans="1:6">
      <c r="A3987" s="19">
        <v>68311</v>
      </c>
      <c r="B3987" s="12" t="str">
        <f t="shared" si="62"/>
        <v>683</v>
      </c>
      <c r="C3987" s="1" t="s">
        <v>5274</v>
      </c>
      <c r="D3987" s="13" t="str">
        <f>IF(RIGHT(A3987,3)="000",C3987,VLOOKUP(B3987,'Справочник ИХ'!A:C,3,0))</f>
        <v>Остальные грузы</v>
      </c>
      <c r="E3987" s="13">
        <f>IF(RIGHT(A3987,3)="000","х",VLOOKUP(B3987,'Справочник ИХ'!A:D,4,0))</f>
        <v>3</v>
      </c>
      <c r="F3987" s="14" t="s">
        <v>5203</v>
      </c>
    </row>
    <row r="3988" spans="1:6" s="18" customFormat="1" ht="31.75">
      <c r="A3988" s="16">
        <v>68400</v>
      </c>
      <c r="B3988" s="12" t="str">
        <f t="shared" si="62"/>
        <v>684</v>
      </c>
      <c r="C3988" s="17" t="s">
        <v>5275</v>
      </c>
      <c r="D3988" s="13" t="str">
        <f>IF(RIGHT(A3988,3)="000",C3988,VLOOKUP(B3988,'Справочник ИХ'!A:C,3,0))</f>
        <v>Остальные грузы</v>
      </c>
      <c r="E3988" s="13">
        <f>IF(RIGHT(A3988,3)="000","х",VLOOKUP(B3988,'Справочник ИХ'!A:D,4,0))</f>
        <v>2</v>
      </c>
      <c r="F3988" s="14" t="s">
        <v>5203</v>
      </c>
    </row>
    <row r="3989" spans="1:6">
      <c r="A3989" s="19">
        <v>68401</v>
      </c>
      <c r="B3989" s="12" t="str">
        <f t="shared" si="62"/>
        <v>684</v>
      </c>
      <c r="C3989" s="1" t="s">
        <v>5276</v>
      </c>
      <c r="D3989" s="13" t="str">
        <f>IF(RIGHT(A3989,3)="000",C3989,VLOOKUP(B3989,'Справочник ИХ'!A:C,3,0))</f>
        <v>Остальные грузы</v>
      </c>
      <c r="E3989" s="13">
        <f>IF(RIGHT(A3989,3)="000","х",VLOOKUP(B3989,'Справочник ИХ'!A:D,4,0))</f>
        <v>2</v>
      </c>
      <c r="F3989" s="14" t="s">
        <v>5203</v>
      </c>
    </row>
    <row r="3990" spans="1:6">
      <c r="A3990" s="19">
        <v>68402</v>
      </c>
      <c r="B3990" s="12" t="str">
        <f t="shared" si="62"/>
        <v>684</v>
      </c>
      <c r="C3990" s="1" t="s">
        <v>5277</v>
      </c>
      <c r="D3990" s="13" t="str">
        <f>IF(RIGHT(A3990,3)="000",C3990,VLOOKUP(B3990,'Справочник ИХ'!A:C,3,0))</f>
        <v>Остальные грузы</v>
      </c>
      <c r="E3990" s="13">
        <f>IF(RIGHT(A3990,3)="000","х",VLOOKUP(B3990,'Справочник ИХ'!A:D,4,0))</f>
        <v>2</v>
      </c>
      <c r="F3990" s="14" t="s">
        <v>5203</v>
      </c>
    </row>
    <row r="3991" spans="1:6">
      <c r="A3991" s="19">
        <v>68403</v>
      </c>
      <c r="B3991" s="12" t="str">
        <f t="shared" si="62"/>
        <v>684</v>
      </c>
      <c r="C3991" s="1" t="s">
        <v>5278</v>
      </c>
      <c r="D3991" s="13" t="str">
        <f>IF(RIGHT(A3991,3)="000",C3991,VLOOKUP(B3991,'Справочник ИХ'!A:C,3,0))</f>
        <v>Остальные грузы</v>
      </c>
      <c r="E3991" s="13">
        <f>IF(RIGHT(A3991,3)="000","х",VLOOKUP(B3991,'Справочник ИХ'!A:D,4,0))</f>
        <v>2</v>
      </c>
      <c r="F3991" s="14" t="s">
        <v>5203</v>
      </c>
    </row>
    <row r="3992" spans="1:6">
      <c r="A3992" s="19">
        <v>68404</v>
      </c>
      <c r="B3992" s="12" t="str">
        <f t="shared" si="62"/>
        <v>684</v>
      </c>
      <c r="C3992" s="1" t="s">
        <v>5279</v>
      </c>
      <c r="D3992" s="13" t="str">
        <f>IF(RIGHT(A3992,3)="000",C3992,VLOOKUP(B3992,'Справочник ИХ'!A:C,3,0))</f>
        <v>Остальные грузы</v>
      </c>
      <c r="E3992" s="13">
        <f>IF(RIGHT(A3992,3)="000","х",VLOOKUP(B3992,'Справочник ИХ'!A:D,4,0))</f>
        <v>2</v>
      </c>
      <c r="F3992" s="14" t="s">
        <v>5203</v>
      </c>
    </row>
    <row r="3993" spans="1:6">
      <c r="A3993" s="19">
        <v>68405</v>
      </c>
      <c r="B3993" s="12" t="str">
        <f t="shared" si="62"/>
        <v>684</v>
      </c>
      <c r="C3993" s="1" t="s">
        <v>5280</v>
      </c>
      <c r="D3993" s="13" t="str">
        <f>IF(RIGHT(A3993,3)="000",C3993,VLOOKUP(B3993,'Справочник ИХ'!A:C,3,0))</f>
        <v>Остальные грузы</v>
      </c>
      <c r="E3993" s="13">
        <f>IF(RIGHT(A3993,3)="000","х",VLOOKUP(B3993,'Справочник ИХ'!A:D,4,0))</f>
        <v>2</v>
      </c>
      <c r="F3993" s="14" t="s">
        <v>5203</v>
      </c>
    </row>
    <row r="3994" spans="1:6">
      <c r="A3994" s="19">
        <v>68406</v>
      </c>
      <c r="B3994" s="12" t="str">
        <f t="shared" si="62"/>
        <v>684</v>
      </c>
      <c r="C3994" s="1" t="s">
        <v>5281</v>
      </c>
      <c r="D3994" s="13" t="str">
        <f>IF(RIGHT(A3994,3)="000",C3994,VLOOKUP(B3994,'Справочник ИХ'!A:C,3,0))</f>
        <v>Остальные грузы</v>
      </c>
      <c r="E3994" s="13">
        <f>IF(RIGHT(A3994,3)="000","х",VLOOKUP(B3994,'Справочник ИХ'!A:D,4,0))</f>
        <v>2</v>
      </c>
      <c r="F3994" s="14" t="s">
        <v>5203</v>
      </c>
    </row>
    <row r="3995" spans="1:6">
      <c r="A3995" s="19">
        <v>68407</v>
      </c>
      <c r="B3995" s="12" t="str">
        <f t="shared" si="62"/>
        <v>684</v>
      </c>
      <c r="C3995" s="1" t="s">
        <v>5282</v>
      </c>
      <c r="D3995" s="13" t="str">
        <f>IF(RIGHT(A3995,3)="000",C3995,VLOOKUP(B3995,'Справочник ИХ'!A:C,3,0))</f>
        <v>Остальные грузы</v>
      </c>
      <c r="E3995" s="13">
        <f>IF(RIGHT(A3995,3)="000","х",VLOOKUP(B3995,'Справочник ИХ'!A:D,4,0))</f>
        <v>2</v>
      </c>
      <c r="F3995" s="14" t="s">
        <v>5203</v>
      </c>
    </row>
    <row r="3996" spans="1:6">
      <c r="A3996" s="19">
        <v>68408</v>
      </c>
      <c r="B3996" s="12" t="str">
        <f t="shared" si="62"/>
        <v>684</v>
      </c>
      <c r="C3996" s="1" t="s">
        <v>5283</v>
      </c>
      <c r="D3996" s="13" t="str">
        <f>IF(RIGHT(A3996,3)="000",C3996,VLOOKUP(B3996,'Справочник ИХ'!A:C,3,0))</f>
        <v>Остальные грузы</v>
      </c>
      <c r="E3996" s="13">
        <f>IF(RIGHT(A3996,3)="000","х",VLOOKUP(B3996,'Справочник ИХ'!A:D,4,0))</f>
        <v>2</v>
      </c>
      <c r="F3996" s="14" t="s">
        <v>5203</v>
      </c>
    </row>
    <row r="3997" spans="1:6" ht="47.6">
      <c r="A3997" s="19">
        <v>68409</v>
      </c>
      <c r="B3997" s="12" t="str">
        <f t="shared" si="62"/>
        <v>684</v>
      </c>
      <c r="C3997" s="1" t="s">
        <v>5284</v>
      </c>
      <c r="D3997" s="13" t="str">
        <f>IF(RIGHT(A3997,3)="000",C3997,VLOOKUP(B3997,'Справочник ИХ'!A:C,3,0))</f>
        <v>Остальные грузы</v>
      </c>
      <c r="E3997" s="13">
        <f>IF(RIGHT(A3997,3)="000","х",VLOOKUP(B3997,'Справочник ИХ'!A:D,4,0))</f>
        <v>2</v>
      </c>
      <c r="F3997" s="14" t="s">
        <v>5203</v>
      </c>
    </row>
    <row r="3998" spans="1:6">
      <c r="A3998" s="19">
        <v>68410</v>
      </c>
      <c r="B3998" s="12" t="str">
        <f t="shared" si="62"/>
        <v>684</v>
      </c>
      <c r="C3998" s="1" t="s">
        <v>5285</v>
      </c>
      <c r="D3998" s="13" t="str">
        <f>IF(RIGHT(A3998,3)="000",C3998,VLOOKUP(B3998,'Справочник ИХ'!A:C,3,0))</f>
        <v>Остальные грузы</v>
      </c>
      <c r="E3998" s="13">
        <f>IF(RIGHT(A3998,3)="000","х",VLOOKUP(B3998,'Справочник ИХ'!A:D,4,0))</f>
        <v>2</v>
      </c>
      <c r="F3998" s="14" t="s">
        <v>5203</v>
      </c>
    </row>
    <row r="3999" spans="1:6">
      <c r="A3999" s="19">
        <v>68411</v>
      </c>
      <c r="B3999" s="12" t="str">
        <f t="shared" si="62"/>
        <v>684</v>
      </c>
      <c r="C3999" s="1" t="s">
        <v>5286</v>
      </c>
      <c r="D3999" s="13" t="str">
        <f>IF(RIGHT(A3999,3)="000",C3999,VLOOKUP(B3999,'Справочник ИХ'!A:C,3,0))</f>
        <v>Остальные грузы</v>
      </c>
      <c r="E3999" s="13">
        <f>IF(RIGHT(A3999,3)="000","х",VLOOKUP(B3999,'Справочник ИХ'!A:D,4,0))</f>
        <v>2</v>
      </c>
      <c r="F3999" s="14" t="s">
        <v>5203</v>
      </c>
    </row>
    <row r="4000" spans="1:6">
      <c r="A4000" s="19">
        <v>68412</v>
      </c>
      <c r="B4000" s="12" t="str">
        <f t="shared" si="62"/>
        <v>684</v>
      </c>
      <c r="C4000" s="1" t="s">
        <v>5287</v>
      </c>
      <c r="D4000" s="13" t="str">
        <f>IF(RIGHT(A4000,3)="000",C4000,VLOOKUP(B4000,'Справочник ИХ'!A:C,3,0))</f>
        <v>Остальные грузы</v>
      </c>
      <c r="E4000" s="13">
        <f>IF(RIGHT(A4000,3)="000","х",VLOOKUP(B4000,'Справочник ИХ'!A:D,4,0))</f>
        <v>2</v>
      </c>
      <c r="F4000" s="14" t="s">
        <v>5203</v>
      </c>
    </row>
    <row r="4001" spans="1:6">
      <c r="A4001" s="19">
        <v>68413</v>
      </c>
      <c r="B4001" s="12" t="str">
        <f t="shared" si="62"/>
        <v>684</v>
      </c>
      <c r="C4001" s="1" t="s">
        <v>5288</v>
      </c>
      <c r="D4001" s="13" t="str">
        <f>IF(RIGHT(A4001,3)="000",C4001,VLOOKUP(B4001,'Справочник ИХ'!A:C,3,0))</f>
        <v>Остальные грузы</v>
      </c>
      <c r="E4001" s="13">
        <f>IF(RIGHT(A4001,3)="000","х",VLOOKUP(B4001,'Справочник ИХ'!A:D,4,0))</f>
        <v>2</v>
      </c>
      <c r="F4001" s="14" t="s">
        <v>5203</v>
      </c>
    </row>
    <row r="4002" spans="1:6">
      <c r="A4002" s="19">
        <v>68414</v>
      </c>
      <c r="B4002" s="12" t="str">
        <f t="shared" si="62"/>
        <v>684</v>
      </c>
      <c r="C4002" s="1" t="s">
        <v>5289</v>
      </c>
      <c r="D4002" s="13" t="str">
        <f>IF(RIGHT(A4002,3)="000",C4002,VLOOKUP(B4002,'Справочник ИХ'!A:C,3,0))</f>
        <v>Остальные грузы</v>
      </c>
      <c r="E4002" s="13">
        <f>IF(RIGHT(A4002,3)="000","х",VLOOKUP(B4002,'Справочник ИХ'!A:D,4,0))</f>
        <v>2</v>
      </c>
      <c r="F4002" s="14" t="s">
        <v>5203</v>
      </c>
    </row>
    <row r="4003" spans="1:6" s="18" customFormat="1" ht="31.75">
      <c r="A4003" s="16">
        <v>68500</v>
      </c>
      <c r="B4003" s="12" t="str">
        <f t="shared" si="62"/>
        <v>685</v>
      </c>
      <c r="C4003" s="17" t="s">
        <v>5290</v>
      </c>
      <c r="D4003" s="13" t="str">
        <f>IF(RIGHT(A4003,3)="000",C4003,VLOOKUP(B4003,'Справочник ИХ'!A:C,3,0))</f>
        <v>Остальные грузы</v>
      </c>
      <c r="E4003" s="13">
        <f>IF(RIGHT(A4003,3)="000","х",VLOOKUP(B4003,'Справочник ИХ'!A:D,4,0))</f>
        <v>3</v>
      </c>
      <c r="F4003" s="14" t="s">
        <v>5203</v>
      </c>
    </row>
    <row r="4004" spans="1:6">
      <c r="A4004" s="19">
        <v>68501</v>
      </c>
      <c r="B4004" s="12" t="str">
        <f t="shared" si="62"/>
        <v>685</v>
      </c>
      <c r="C4004" s="1" t="s">
        <v>5291</v>
      </c>
      <c r="D4004" s="13" t="str">
        <f>IF(RIGHT(A4004,3)="000",C4004,VLOOKUP(B4004,'Справочник ИХ'!A:C,3,0))</f>
        <v>Остальные грузы</v>
      </c>
      <c r="E4004" s="13">
        <f>IF(RIGHT(A4004,3)="000","х",VLOOKUP(B4004,'Справочник ИХ'!A:D,4,0))</f>
        <v>3</v>
      </c>
      <c r="F4004" s="14" t="s">
        <v>5203</v>
      </c>
    </row>
    <row r="4005" spans="1:6">
      <c r="A4005" s="19">
        <v>68502</v>
      </c>
      <c r="B4005" s="12" t="str">
        <f t="shared" si="62"/>
        <v>685</v>
      </c>
      <c r="C4005" s="1" t="s">
        <v>5292</v>
      </c>
      <c r="D4005" s="13" t="str">
        <f>IF(RIGHT(A4005,3)="000",C4005,VLOOKUP(B4005,'Справочник ИХ'!A:C,3,0))</f>
        <v>Остальные грузы</v>
      </c>
      <c r="E4005" s="13">
        <f>IF(RIGHT(A4005,3)="000","х",VLOOKUP(B4005,'Справочник ИХ'!A:D,4,0))</f>
        <v>3</v>
      </c>
      <c r="F4005" s="14" t="s">
        <v>5203</v>
      </c>
    </row>
    <row r="4006" spans="1:6" ht="31.75">
      <c r="A4006" s="19">
        <v>68503</v>
      </c>
      <c r="B4006" s="12" t="str">
        <f t="shared" si="62"/>
        <v>685</v>
      </c>
      <c r="C4006" s="1" t="s">
        <v>5293</v>
      </c>
      <c r="D4006" s="13" t="str">
        <f>IF(RIGHT(A4006,3)="000",C4006,VLOOKUP(B4006,'Справочник ИХ'!A:C,3,0))</f>
        <v>Остальные грузы</v>
      </c>
      <c r="E4006" s="13">
        <f>IF(RIGHT(A4006,3)="000","х",VLOOKUP(B4006,'Справочник ИХ'!A:D,4,0))</f>
        <v>3</v>
      </c>
      <c r="F4006" s="14" t="s">
        <v>5203</v>
      </c>
    </row>
    <row r="4007" spans="1:6" ht="31.75">
      <c r="A4007" s="19">
        <v>68504</v>
      </c>
      <c r="B4007" s="12" t="str">
        <f t="shared" si="62"/>
        <v>685</v>
      </c>
      <c r="C4007" s="1" t="s">
        <v>5294</v>
      </c>
      <c r="D4007" s="13" t="str">
        <f>IF(RIGHT(A4007,3)="000",C4007,VLOOKUP(B4007,'Справочник ИХ'!A:C,3,0))</f>
        <v>Остальные грузы</v>
      </c>
      <c r="E4007" s="13">
        <f>IF(RIGHT(A4007,3)="000","х",VLOOKUP(B4007,'Справочник ИХ'!A:D,4,0))</f>
        <v>3</v>
      </c>
      <c r="F4007" s="14" t="s">
        <v>5203</v>
      </c>
    </row>
    <row r="4008" spans="1:6" ht="31.75">
      <c r="A4008" s="19">
        <v>68505</v>
      </c>
      <c r="B4008" s="12" t="str">
        <f t="shared" si="62"/>
        <v>685</v>
      </c>
      <c r="C4008" s="1" t="s">
        <v>5295</v>
      </c>
      <c r="D4008" s="13" t="str">
        <f>IF(RIGHT(A4008,3)="000",C4008,VLOOKUP(B4008,'Справочник ИХ'!A:C,3,0))</f>
        <v>Остальные грузы</v>
      </c>
      <c r="E4008" s="13">
        <f>IF(RIGHT(A4008,3)="000","х",VLOOKUP(B4008,'Справочник ИХ'!A:D,4,0))</f>
        <v>3</v>
      </c>
      <c r="F4008" s="14" t="s">
        <v>5203</v>
      </c>
    </row>
    <row r="4009" spans="1:6">
      <c r="A4009" s="19">
        <v>68506</v>
      </c>
      <c r="B4009" s="12" t="str">
        <f t="shared" si="62"/>
        <v>685</v>
      </c>
      <c r="C4009" s="1" t="s">
        <v>5296</v>
      </c>
      <c r="D4009" s="13" t="str">
        <f>IF(RIGHT(A4009,3)="000",C4009,VLOOKUP(B4009,'Справочник ИХ'!A:C,3,0))</f>
        <v>Остальные грузы</v>
      </c>
      <c r="E4009" s="13">
        <f>IF(RIGHT(A4009,3)="000","х",VLOOKUP(B4009,'Справочник ИХ'!A:D,4,0))</f>
        <v>3</v>
      </c>
      <c r="F4009" s="14" t="s">
        <v>5203</v>
      </c>
    </row>
    <row r="4010" spans="1:6" ht="31.75">
      <c r="A4010" s="19">
        <v>68507</v>
      </c>
      <c r="B4010" s="12" t="str">
        <f t="shared" si="62"/>
        <v>685</v>
      </c>
      <c r="C4010" s="1" t="s">
        <v>5297</v>
      </c>
      <c r="D4010" s="13" t="str">
        <f>IF(RIGHT(A4010,3)="000",C4010,VLOOKUP(B4010,'Справочник ИХ'!A:C,3,0))</f>
        <v>Остальные грузы</v>
      </c>
      <c r="E4010" s="13">
        <f>IF(RIGHT(A4010,3)="000","х",VLOOKUP(B4010,'Справочник ИХ'!A:D,4,0))</f>
        <v>3</v>
      </c>
      <c r="F4010" s="14" t="s">
        <v>5203</v>
      </c>
    </row>
    <row r="4011" spans="1:6">
      <c r="A4011" s="19">
        <v>68508</v>
      </c>
      <c r="B4011" s="12" t="str">
        <f t="shared" si="62"/>
        <v>685</v>
      </c>
      <c r="C4011" s="1" t="s">
        <v>5298</v>
      </c>
      <c r="D4011" s="13" t="str">
        <f>IF(RIGHT(A4011,3)="000",C4011,VLOOKUP(B4011,'Справочник ИХ'!A:C,3,0))</f>
        <v>Остальные грузы</v>
      </c>
      <c r="E4011" s="13">
        <f>IF(RIGHT(A4011,3)="000","х",VLOOKUP(B4011,'Справочник ИХ'!A:D,4,0))</f>
        <v>3</v>
      </c>
      <c r="F4011" s="14" t="s">
        <v>5203</v>
      </c>
    </row>
    <row r="4012" spans="1:6">
      <c r="A4012" s="19">
        <v>68509</v>
      </c>
      <c r="B4012" s="12" t="str">
        <f t="shared" si="62"/>
        <v>685</v>
      </c>
      <c r="C4012" s="1" t="s">
        <v>5299</v>
      </c>
      <c r="D4012" s="13" t="str">
        <f>IF(RIGHT(A4012,3)="000",C4012,VLOOKUP(B4012,'Справочник ИХ'!A:C,3,0))</f>
        <v>Остальные грузы</v>
      </c>
      <c r="E4012" s="13">
        <f>IF(RIGHT(A4012,3)="000","х",VLOOKUP(B4012,'Справочник ИХ'!A:D,4,0))</f>
        <v>3</v>
      </c>
      <c r="F4012" s="14" t="s">
        <v>5203</v>
      </c>
    </row>
    <row r="4013" spans="1:6">
      <c r="A4013" s="19">
        <v>68510</v>
      </c>
      <c r="B4013" s="12" t="str">
        <f t="shared" si="62"/>
        <v>685</v>
      </c>
      <c r="C4013" s="1" t="s">
        <v>5300</v>
      </c>
      <c r="D4013" s="13" t="str">
        <f>IF(RIGHT(A4013,3)="000",C4013,VLOOKUP(B4013,'Справочник ИХ'!A:C,3,0))</f>
        <v>Остальные грузы</v>
      </c>
      <c r="E4013" s="13">
        <f>IF(RIGHT(A4013,3)="000","х",VLOOKUP(B4013,'Справочник ИХ'!A:D,4,0))</f>
        <v>3</v>
      </c>
      <c r="F4013" s="14" t="s">
        <v>5203</v>
      </c>
    </row>
    <row r="4014" spans="1:6">
      <c r="A4014" s="19">
        <v>68511</v>
      </c>
      <c r="B4014" s="12" t="str">
        <f t="shared" si="62"/>
        <v>685</v>
      </c>
      <c r="C4014" s="1" t="s">
        <v>5301</v>
      </c>
      <c r="D4014" s="13" t="str">
        <f>IF(RIGHT(A4014,3)="000",C4014,VLOOKUP(B4014,'Справочник ИХ'!A:C,3,0))</f>
        <v>Остальные грузы</v>
      </c>
      <c r="E4014" s="13">
        <f>IF(RIGHT(A4014,3)="000","х",VLOOKUP(B4014,'Справочник ИХ'!A:D,4,0))</f>
        <v>3</v>
      </c>
      <c r="F4014" s="14" t="s">
        <v>5203</v>
      </c>
    </row>
    <row r="4015" spans="1:6" ht="31.75">
      <c r="A4015" s="19">
        <v>68512</v>
      </c>
      <c r="B4015" s="12" t="str">
        <f t="shared" si="62"/>
        <v>685</v>
      </c>
      <c r="C4015" s="1" t="s">
        <v>5302</v>
      </c>
      <c r="D4015" s="13" t="str">
        <f>IF(RIGHT(A4015,3)="000",C4015,VLOOKUP(B4015,'Справочник ИХ'!A:C,3,0))</f>
        <v>Остальные грузы</v>
      </c>
      <c r="E4015" s="13">
        <f>IF(RIGHT(A4015,3)="000","х",VLOOKUP(B4015,'Справочник ИХ'!A:D,4,0))</f>
        <v>3</v>
      </c>
      <c r="F4015" s="14" t="s">
        <v>5203</v>
      </c>
    </row>
    <row r="4016" spans="1:6" ht="31.75">
      <c r="A4016" s="19">
        <v>68513</v>
      </c>
      <c r="B4016" s="12" t="str">
        <f t="shared" si="62"/>
        <v>685</v>
      </c>
      <c r="C4016" s="1" t="s">
        <v>5303</v>
      </c>
      <c r="D4016" s="13" t="str">
        <f>IF(RIGHT(A4016,3)="000",C4016,VLOOKUP(B4016,'Справочник ИХ'!A:C,3,0))</f>
        <v>Остальные грузы</v>
      </c>
      <c r="E4016" s="13">
        <f>IF(RIGHT(A4016,3)="000","х",VLOOKUP(B4016,'Справочник ИХ'!A:D,4,0))</f>
        <v>3</v>
      </c>
      <c r="F4016" s="14" t="s">
        <v>5203</v>
      </c>
    </row>
    <row r="4017" spans="1:6">
      <c r="A4017" s="19">
        <v>68514</v>
      </c>
      <c r="B4017" s="12" t="str">
        <f t="shared" si="62"/>
        <v>685</v>
      </c>
      <c r="C4017" s="1" t="s">
        <v>5304</v>
      </c>
      <c r="D4017" s="13" t="str">
        <f>IF(RIGHT(A4017,3)="000",C4017,VLOOKUP(B4017,'Справочник ИХ'!A:C,3,0))</f>
        <v>Остальные грузы</v>
      </c>
      <c r="E4017" s="13">
        <f>IF(RIGHT(A4017,3)="000","х",VLOOKUP(B4017,'Справочник ИХ'!A:D,4,0))</f>
        <v>3</v>
      </c>
      <c r="F4017" s="14" t="s">
        <v>5203</v>
      </c>
    </row>
    <row r="4018" spans="1:6">
      <c r="A4018" s="19">
        <v>68515</v>
      </c>
      <c r="B4018" s="12" t="str">
        <f t="shared" si="62"/>
        <v>685</v>
      </c>
      <c r="C4018" s="1" t="s">
        <v>5305</v>
      </c>
      <c r="D4018" s="13" t="str">
        <f>IF(RIGHT(A4018,3)="000",C4018,VLOOKUP(B4018,'Справочник ИХ'!A:C,3,0))</f>
        <v>Остальные грузы</v>
      </c>
      <c r="E4018" s="13">
        <f>IF(RIGHT(A4018,3)="000","х",VLOOKUP(B4018,'Справочник ИХ'!A:D,4,0))</f>
        <v>3</v>
      </c>
      <c r="F4018" s="14" t="s">
        <v>5203</v>
      </c>
    </row>
    <row r="4019" spans="1:6">
      <c r="A4019" s="19"/>
      <c r="B4019" s="12" t="str">
        <f t="shared" si="62"/>
        <v/>
      </c>
      <c r="C4019" s="11" t="s">
        <v>5306</v>
      </c>
      <c r="D4019" s="13" t="s">
        <v>5306</v>
      </c>
      <c r="E4019" s="13" t="s">
        <v>562</v>
      </c>
      <c r="F4019" s="14" t="s">
        <v>5203</v>
      </c>
    </row>
    <row r="4020" spans="1:6" s="15" customFormat="1">
      <c r="A4020" s="7">
        <v>69000</v>
      </c>
      <c r="B4020" s="12" t="str">
        <f t="shared" si="62"/>
        <v>690</v>
      </c>
      <c r="C4020" s="11" t="s">
        <v>5307</v>
      </c>
      <c r="D4020" s="13" t="str">
        <f>IF(RIGHT(A4020,3)="000",C4020,VLOOKUP(B4020,'Справочник ИХ'!A:C,3,0))</f>
        <v xml:space="preserve">Остальные грузы </v>
      </c>
      <c r="E4020" s="13" t="str">
        <f>IF(RIGHT(A4020,3)="000","х",VLOOKUP(B4020,'Справочник ИХ'!A:D,4,0))</f>
        <v>х</v>
      </c>
      <c r="F4020" s="14" t="s">
        <v>5307</v>
      </c>
    </row>
    <row r="4021" spans="1:6" s="18" customFormat="1">
      <c r="A4021" s="16">
        <v>69100</v>
      </c>
      <c r="B4021" s="12" t="str">
        <f t="shared" si="62"/>
        <v>691</v>
      </c>
      <c r="C4021" s="17" t="s">
        <v>5308</v>
      </c>
      <c r="D4021" s="13" t="str">
        <f>IF(RIGHT(A4021,3)="000",C4021,VLOOKUP(B4021,'Справочник ИХ'!A:C,3,0))</f>
        <v>Остальные грузы</v>
      </c>
      <c r="E4021" s="13">
        <f>IF(RIGHT(A4021,3)="000","х",VLOOKUP(B4021,'Справочник ИХ'!A:D,4,0))</f>
        <v>2</v>
      </c>
      <c r="F4021" s="14" t="s">
        <v>5307</v>
      </c>
    </row>
    <row r="4022" spans="1:6" s="18" customFormat="1">
      <c r="A4022" s="16">
        <v>69200</v>
      </c>
      <c r="B4022" s="12" t="str">
        <f t="shared" si="62"/>
        <v>692</v>
      </c>
      <c r="C4022" s="17" t="s">
        <v>5309</v>
      </c>
      <c r="D4022" s="13" t="str">
        <f>IF(RIGHT(A4022,3)="000",C4022,VLOOKUP(B4022,'Справочник ИХ'!A:C,3,0))</f>
        <v>Остальные грузы</v>
      </c>
      <c r="E4022" s="13">
        <f>IF(RIGHT(A4022,3)="000","х",VLOOKUP(B4022,'Справочник ИХ'!A:D,4,0))</f>
        <v>3</v>
      </c>
      <c r="F4022" s="14" t="s">
        <v>5307</v>
      </c>
    </row>
    <row r="4023" spans="1:6" ht="31.75">
      <c r="A4023" s="19">
        <v>69201</v>
      </c>
      <c r="B4023" s="12" t="str">
        <f t="shared" si="62"/>
        <v>692</v>
      </c>
      <c r="C4023" s="1" t="s">
        <v>5310</v>
      </c>
      <c r="D4023" s="13" t="str">
        <f>IF(RIGHT(A4023,3)="000",C4023,VLOOKUP(B4023,'Справочник ИХ'!A:C,3,0))</f>
        <v>Остальные грузы</v>
      </c>
      <c r="E4023" s="13">
        <f>IF(RIGHT(A4023,3)="000","х",VLOOKUP(B4023,'Справочник ИХ'!A:D,4,0))</f>
        <v>3</v>
      </c>
      <c r="F4023" s="14" t="s">
        <v>5307</v>
      </c>
    </row>
    <row r="4024" spans="1:6" ht="31.75">
      <c r="A4024" s="19">
        <v>69202</v>
      </c>
      <c r="B4024" s="12" t="str">
        <f t="shared" si="62"/>
        <v>692</v>
      </c>
      <c r="C4024" s="1" t="s">
        <v>5311</v>
      </c>
      <c r="D4024" s="13" t="str">
        <f>IF(RIGHT(A4024,3)="000",C4024,VLOOKUP(B4024,'Справочник ИХ'!A:C,3,0))</f>
        <v>Остальные грузы</v>
      </c>
      <c r="E4024" s="13">
        <f>IF(RIGHT(A4024,3)="000","х",VLOOKUP(B4024,'Справочник ИХ'!A:D,4,0))</f>
        <v>3</v>
      </c>
      <c r="F4024" s="14" t="s">
        <v>5307</v>
      </c>
    </row>
    <row r="4025" spans="1:6">
      <c r="A4025" s="19">
        <v>69203</v>
      </c>
      <c r="B4025" s="12" t="str">
        <f t="shared" si="62"/>
        <v>692</v>
      </c>
      <c r="C4025" s="1" t="s">
        <v>5312</v>
      </c>
      <c r="D4025" s="13" t="str">
        <f>IF(RIGHT(A4025,3)="000",C4025,VLOOKUP(B4025,'Справочник ИХ'!A:C,3,0))</f>
        <v>Остальные грузы</v>
      </c>
      <c r="E4025" s="13">
        <f>IF(RIGHT(A4025,3)="000","х",VLOOKUP(B4025,'Справочник ИХ'!A:D,4,0))</f>
        <v>3</v>
      </c>
      <c r="F4025" s="14" t="s">
        <v>5307</v>
      </c>
    </row>
    <row r="4026" spans="1:6" ht="31.75">
      <c r="A4026" s="19">
        <v>69204</v>
      </c>
      <c r="B4026" s="12" t="str">
        <f t="shared" si="62"/>
        <v>692</v>
      </c>
      <c r="C4026" s="1" t="s">
        <v>5313</v>
      </c>
      <c r="D4026" s="13" t="str">
        <f>IF(RIGHT(A4026,3)="000",C4026,VLOOKUP(B4026,'Справочник ИХ'!A:C,3,0))</f>
        <v>Остальные грузы</v>
      </c>
      <c r="E4026" s="13">
        <f>IF(RIGHT(A4026,3)="000","х",VLOOKUP(B4026,'Справочник ИХ'!A:D,4,0))</f>
        <v>3</v>
      </c>
      <c r="F4026" s="14" t="s">
        <v>5307</v>
      </c>
    </row>
    <row r="4027" spans="1:6" ht="31.75">
      <c r="A4027" s="19">
        <v>69205</v>
      </c>
      <c r="B4027" s="12" t="str">
        <f t="shared" si="62"/>
        <v>692</v>
      </c>
      <c r="C4027" s="1" t="s">
        <v>5314</v>
      </c>
      <c r="D4027" s="13" t="str">
        <f>IF(RIGHT(A4027,3)="000",C4027,VLOOKUP(B4027,'Справочник ИХ'!A:C,3,0))</f>
        <v>Остальные грузы</v>
      </c>
      <c r="E4027" s="13">
        <f>IF(RIGHT(A4027,3)="000","х",VLOOKUP(B4027,'Справочник ИХ'!A:D,4,0))</f>
        <v>3</v>
      </c>
      <c r="F4027" s="14" t="s">
        <v>5307</v>
      </c>
    </row>
    <row r="4028" spans="1:6">
      <c r="A4028" s="19">
        <v>69206</v>
      </c>
      <c r="B4028" s="12" t="str">
        <f t="shared" si="62"/>
        <v>692</v>
      </c>
      <c r="C4028" s="1" t="s">
        <v>5315</v>
      </c>
      <c r="D4028" s="13" t="str">
        <f>IF(RIGHT(A4028,3)="000",C4028,VLOOKUP(B4028,'Справочник ИХ'!A:C,3,0))</f>
        <v>Остальные грузы</v>
      </c>
      <c r="E4028" s="13">
        <f>IF(RIGHT(A4028,3)="000","х",VLOOKUP(B4028,'Справочник ИХ'!A:D,4,0))</f>
        <v>3</v>
      </c>
      <c r="F4028" s="14" t="s">
        <v>5307</v>
      </c>
    </row>
    <row r="4029" spans="1:6">
      <c r="A4029" s="19">
        <v>69207</v>
      </c>
      <c r="B4029" s="12" t="str">
        <f t="shared" si="62"/>
        <v>692</v>
      </c>
      <c r="C4029" s="1" t="s">
        <v>5316</v>
      </c>
      <c r="D4029" s="13" t="str">
        <f>IF(RIGHT(A4029,3)="000",C4029,VLOOKUP(B4029,'Справочник ИХ'!A:C,3,0))</f>
        <v>Остальные грузы</v>
      </c>
      <c r="E4029" s="13">
        <f>IF(RIGHT(A4029,3)="000","х",VLOOKUP(B4029,'Справочник ИХ'!A:D,4,0))</f>
        <v>3</v>
      </c>
      <c r="F4029" s="14" t="s">
        <v>5307</v>
      </c>
    </row>
    <row r="4030" spans="1:6">
      <c r="A4030" s="19">
        <v>69208</v>
      </c>
      <c r="B4030" s="12" t="str">
        <f t="shared" si="62"/>
        <v>692</v>
      </c>
      <c r="C4030" s="1" t="s">
        <v>5317</v>
      </c>
      <c r="D4030" s="13" t="str">
        <f>IF(RIGHT(A4030,3)="000",C4030,VLOOKUP(B4030,'Справочник ИХ'!A:C,3,0))</f>
        <v>Остальные грузы</v>
      </c>
      <c r="E4030" s="13">
        <f>IF(RIGHT(A4030,3)="000","х",VLOOKUP(B4030,'Справочник ИХ'!A:D,4,0))</f>
        <v>3</v>
      </c>
      <c r="F4030" s="14" t="s">
        <v>5307</v>
      </c>
    </row>
    <row r="4031" spans="1:6">
      <c r="A4031" s="19">
        <v>69209</v>
      </c>
      <c r="B4031" s="12" t="str">
        <f t="shared" si="62"/>
        <v>692</v>
      </c>
      <c r="C4031" s="1" t="s">
        <v>5318</v>
      </c>
      <c r="D4031" s="13" t="str">
        <f>IF(RIGHT(A4031,3)="000",C4031,VLOOKUP(B4031,'Справочник ИХ'!A:C,3,0))</f>
        <v>Остальные грузы</v>
      </c>
      <c r="E4031" s="13">
        <f>IF(RIGHT(A4031,3)="000","х",VLOOKUP(B4031,'Справочник ИХ'!A:D,4,0))</f>
        <v>3</v>
      </c>
      <c r="F4031" s="14" t="s">
        <v>5307</v>
      </c>
    </row>
    <row r="4032" spans="1:6">
      <c r="A4032" s="19">
        <v>69210</v>
      </c>
      <c r="B4032" s="12" t="str">
        <f t="shared" si="62"/>
        <v>692</v>
      </c>
      <c r="C4032" s="1" t="s">
        <v>5319</v>
      </c>
      <c r="D4032" s="13" t="str">
        <f>IF(RIGHT(A4032,3)="000",C4032,VLOOKUP(B4032,'Справочник ИХ'!A:C,3,0))</f>
        <v>Остальные грузы</v>
      </c>
      <c r="E4032" s="13">
        <f>IF(RIGHT(A4032,3)="000","х",VLOOKUP(B4032,'Справочник ИХ'!A:D,4,0))</f>
        <v>3</v>
      </c>
      <c r="F4032" s="14" t="s">
        <v>5307</v>
      </c>
    </row>
    <row r="4033" spans="1:6">
      <c r="A4033" s="19">
        <v>69211</v>
      </c>
      <c r="B4033" s="12" t="str">
        <f t="shared" si="62"/>
        <v>692</v>
      </c>
      <c r="C4033" s="1" t="s">
        <v>5320</v>
      </c>
      <c r="D4033" s="13" t="str">
        <f>IF(RIGHT(A4033,3)="000",C4033,VLOOKUP(B4033,'Справочник ИХ'!A:C,3,0))</f>
        <v>Остальные грузы</v>
      </c>
      <c r="E4033" s="13">
        <f>IF(RIGHT(A4033,3)="000","х",VLOOKUP(B4033,'Справочник ИХ'!A:D,4,0))</f>
        <v>3</v>
      </c>
      <c r="F4033" s="14" t="s">
        <v>5307</v>
      </c>
    </row>
    <row r="4034" spans="1:6">
      <c r="A4034" s="19">
        <v>69212</v>
      </c>
      <c r="B4034" s="12" t="str">
        <f t="shared" si="62"/>
        <v>692</v>
      </c>
      <c r="C4034" s="1" t="s">
        <v>5321</v>
      </c>
      <c r="D4034" s="13" t="str">
        <f>IF(RIGHT(A4034,3)="000",C4034,VLOOKUP(B4034,'Справочник ИХ'!A:C,3,0))</f>
        <v>Остальные грузы</v>
      </c>
      <c r="E4034" s="13">
        <f>IF(RIGHT(A4034,3)="000","х",VLOOKUP(B4034,'Справочник ИХ'!A:D,4,0))</f>
        <v>3</v>
      </c>
      <c r="F4034" s="14" t="s">
        <v>5307</v>
      </c>
    </row>
    <row r="4035" spans="1:6">
      <c r="A4035" s="19">
        <v>69213</v>
      </c>
      <c r="B4035" s="12" t="str">
        <f t="shared" si="62"/>
        <v>692</v>
      </c>
      <c r="C4035" s="1" t="s">
        <v>5322</v>
      </c>
      <c r="D4035" s="13" t="str">
        <f>IF(RIGHT(A4035,3)="000",C4035,VLOOKUP(B4035,'Справочник ИХ'!A:C,3,0))</f>
        <v>Остальные грузы</v>
      </c>
      <c r="E4035" s="13">
        <f>IF(RIGHT(A4035,3)="000","х",VLOOKUP(B4035,'Справочник ИХ'!A:D,4,0))</f>
        <v>3</v>
      </c>
      <c r="F4035" s="14" t="s">
        <v>5307</v>
      </c>
    </row>
    <row r="4036" spans="1:6">
      <c r="A4036" s="19">
        <v>69214</v>
      </c>
      <c r="B4036" s="12" t="str">
        <f t="shared" si="62"/>
        <v>692</v>
      </c>
      <c r="C4036" s="1" t="s">
        <v>5323</v>
      </c>
      <c r="D4036" s="13" t="str">
        <f>IF(RIGHT(A4036,3)="000",C4036,VLOOKUP(B4036,'Справочник ИХ'!A:C,3,0))</f>
        <v>Остальные грузы</v>
      </c>
      <c r="E4036" s="13">
        <f>IF(RIGHT(A4036,3)="000","х",VLOOKUP(B4036,'Справочник ИХ'!A:D,4,0))</f>
        <v>3</v>
      </c>
      <c r="F4036" s="14" t="s">
        <v>5307</v>
      </c>
    </row>
    <row r="4037" spans="1:6">
      <c r="A4037" s="19">
        <v>69215</v>
      </c>
      <c r="B4037" s="12" t="str">
        <f t="shared" ref="B4037:B4100" si="63">LEFT(A4037,3)</f>
        <v>692</v>
      </c>
      <c r="C4037" s="1" t="s">
        <v>5324</v>
      </c>
      <c r="D4037" s="13" t="str">
        <f>IF(RIGHT(A4037,3)="000",C4037,VLOOKUP(B4037,'Справочник ИХ'!A:C,3,0))</f>
        <v>Остальные грузы</v>
      </c>
      <c r="E4037" s="13">
        <f>IF(RIGHT(A4037,3)="000","х",VLOOKUP(B4037,'Справочник ИХ'!A:D,4,0))</f>
        <v>3</v>
      </c>
      <c r="F4037" s="14" t="s">
        <v>5307</v>
      </c>
    </row>
    <row r="4038" spans="1:6">
      <c r="A4038" s="19">
        <v>69216</v>
      </c>
      <c r="B4038" s="12" t="str">
        <f t="shared" si="63"/>
        <v>692</v>
      </c>
      <c r="C4038" s="1" t="s">
        <v>5325</v>
      </c>
      <c r="D4038" s="13" t="str">
        <f>IF(RIGHT(A4038,3)="000",C4038,VLOOKUP(B4038,'Справочник ИХ'!A:C,3,0))</f>
        <v>Остальные грузы</v>
      </c>
      <c r="E4038" s="13">
        <f>IF(RIGHT(A4038,3)="000","х",VLOOKUP(B4038,'Справочник ИХ'!A:D,4,0))</f>
        <v>3</v>
      </c>
      <c r="F4038" s="14" t="s">
        <v>5307</v>
      </c>
    </row>
    <row r="4039" spans="1:6">
      <c r="A4039" s="19">
        <v>69217</v>
      </c>
      <c r="B4039" s="12" t="str">
        <f t="shared" si="63"/>
        <v>692</v>
      </c>
      <c r="C4039" s="1" t="s">
        <v>5326</v>
      </c>
      <c r="D4039" s="13" t="str">
        <f>IF(RIGHT(A4039,3)="000",C4039,VLOOKUP(B4039,'Справочник ИХ'!A:C,3,0))</f>
        <v>Остальные грузы</v>
      </c>
      <c r="E4039" s="13">
        <f>IF(RIGHT(A4039,3)="000","х",VLOOKUP(B4039,'Справочник ИХ'!A:D,4,0))</f>
        <v>3</v>
      </c>
      <c r="F4039" s="14" t="s">
        <v>5307</v>
      </c>
    </row>
    <row r="4040" spans="1:6" ht="31.75">
      <c r="A4040" s="19">
        <v>69218</v>
      </c>
      <c r="B4040" s="12" t="str">
        <f t="shared" si="63"/>
        <v>692</v>
      </c>
      <c r="C4040" s="1" t="s">
        <v>5327</v>
      </c>
      <c r="D4040" s="13" t="str">
        <f>IF(RIGHT(A4040,3)="000",C4040,VLOOKUP(B4040,'Справочник ИХ'!A:C,3,0))</f>
        <v>Остальные грузы</v>
      </c>
      <c r="E4040" s="13">
        <f>IF(RIGHT(A4040,3)="000","х",VLOOKUP(B4040,'Справочник ИХ'!A:D,4,0))</f>
        <v>3</v>
      </c>
      <c r="F4040" s="14" t="s">
        <v>5307</v>
      </c>
    </row>
    <row r="4041" spans="1:6">
      <c r="A4041" s="19">
        <v>69219</v>
      </c>
      <c r="B4041" s="12" t="str">
        <f t="shared" si="63"/>
        <v>692</v>
      </c>
      <c r="C4041" s="1" t="s">
        <v>5328</v>
      </c>
      <c r="D4041" s="13" t="str">
        <f>IF(RIGHT(A4041,3)="000",C4041,VLOOKUP(B4041,'Справочник ИХ'!A:C,3,0))</f>
        <v>Остальные грузы</v>
      </c>
      <c r="E4041" s="13">
        <f>IF(RIGHT(A4041,3)="000","х",VLOOKUP(B4041,'Справочник ИХ'!A:D,4,0))</f>
        <v>3</v>
      </c>
      <c r="F4041" s="14" t="s">
        <v>5307</v>
      </c>
    </row>
    <row r="4042" spans="1:6">
      <c r="A4042" s="19">
        <v>69220</v>
      </c>
      <c r="B4042" s="12" t="str">
        <f t="shared" si="63"/>
        <v>692</v>
      </c>
      <c r="C4042" s="1" t="s">
        <v>5329</v>
      </c>
      <c r="D4042" s="13" t="str">
        <f>IF(RIGHT(A4042,3)="000",C4042,VLOOKUP(B4042,'Справочник ИХ'!A:C,3,0))</f>
        <v>Остальные грузы</v>
      </c>
      <c r="E4042" s="13">
        <f>IF(RIGHT(A4042,3)="000","х",VLOOKUP(B4042,'Справочник ИХ'!A:D,4,0))</f>
        <v>3</v>
      </c>
      <c r="F4042" s="14" t="s">
        <v>5307</v>
      </c>
    </row>
    <row r="4043" spans="1:6" ht="31.75">
      <c r="A4043" s="19">
        <v>69221</v>
      </c>
      <c r="B4043" s="12" t="str">
        <f t="shared" si="63"/>
        <v>692</v>
      </c>
      <c r="C4043" s="1" t="s">
        <v>5330</v>
      </c>
      <c r="D4043" s="13" t="str">
        <f>IF(RIGHT(A4043,3)="000",C4043,VLOOKUP(B4043,'Справочник ИХ'!A:C,3,0))</f>
        <v>Остальные грузы</v>
      </c>
      <c r="E4043" s="13">
        <f>IF(RIGHT(A4043,3)="000","х",VLOOKUP(B4043,'Справочник ИХ'!A:D,4,0))</f>
        <v>3</v>
      </c>
      <c r="F4043" s="14" t="s">
        <v>5307</v>
      </c>
    </row>
    <row r="4044" spans="1:6">
      <c r="A4044" s="19">
        <v>69222</v>
      </c>
      <c r="B4044" s="12" t="str">
        <f t="shared" si="63"/>
        <v>692</v>
      </c>
      <c r="C4044" s="1" t="s">
        <v>5331</v>
      </c>
      <c r="D4044" s="13" t="str">
        <f>IF(RIGHT(A4044,3)="000",C4044,VLOOKUP(B4044,'Справочник ИХ'!A:C,3,0))</f>
        <v>Остальные грузы</v>
      </c>
      <c r="E4044" s="13">
        <f>IF(RIGHT(A4044,3)="000","х",VLOOKUP(B4044,'Справочник ИХ'!A:D,4,0))</f>
        <v>3</v>
      </c>
      <c r="F4044" s="14" t="s">
        <v>5307</v>
      </c>
    </row>
    <row r="4045" spans="1:6">
      <c r="A4045" s="19">
        <v>69223</v>
      </c>
      <c r="B4045" s="12" t="str">
        <f t="shared" si="63"/>
        <v>692</v>
      </c>
      <c r="C4045" s="1" t="s">
        <v>5332</v>
      </c>
      <c r="D4045" s="13" t="str">
        <f>IF(RIGHT(A4045,3)="000",C4045,VLOOKUP(B4045,'Справочник ИХ'!A:C,3,0))</f>
        <v>Остальные грузы</v>
      </c>
      <c r="E4045" s="13">
        <f>IF(RIGHT(A4045,3)="000","х",VLOOKUP(B4045,'Справочник ИХ'!A:D,4,0))</f>
        <v>3</v>
      </c>
      <c r="F4045" s="14" t="s">
        <v>5307</v>
      </c>
    </row>
    <row r="4046" spans="1:6" ht="31.75">
      <c r="A4046" s="19">
        <v>69224</v>
      </c>
      <c r="B4046" s="12" t="str">
        <f t="shared" si="63"/>
        <v>692</v>
      </c>
      <c r="C4046" s="1" t="s">
        <v>5333</v>
      </c>
      <c r="D4046" s="13" t="str">
        <f>IF(RIGHT(A4046,3)="000",C4046,VLOOKUP(B4046,'Справочник ИХ'!A:C,3,0))</f>
        <v>Остальные грузы</v>
      </c>
      <c r="E4046" s="13">
        <f>IF(RIGHT(A4046,3)="000","х",VLOOKUP(B4046,'Справочник ИХ'!A:D,4,0))</f>
        <v>3</v>
      </c>
      <c r="F4046" s="14" t="s">
        <v>5307</v>
      </c>
    </row>
    <row r="4047" spans="1:6">
      <c r="A4047" s="19">
        <v>69225</v>
      </c>
      <c r="B4047" s="12" t="str">
        <f t="shared" si="63"/>
        <v>692</v>
      </c>
      <c r="C4047" s="1" t="s">
        <v>5334</v>
      </c>
      <c r="D4047" s="13" t="str">
        <f>IF(RIGHT(A4047,3)="000",C4047,VLOOKUP(B4047,'Справочник ИХ'!A:C,3,0))</f>
        <v>Остальные грузы</v>
      </c>
      <c r="E4047" s="13">
        <f>IF(RIGHT(A4047,3)="000","х",VLOOKUP(B4047,'Справочник ИХ'!A:D,4,0))</f>
        <v>3</v>
      </c>
      <c r="F4047" s="14" t="s">
        <v>5307</v>
      </c>
    </row>
    <row r="4048" spans="1:6">
      <c r="A4048" s="19">
        <v>69226</v>
      </c>
      <c r="B4048" s="12" t="str">
        <f t="shared" si="63"/>
        <v>692</v>
      </c>
      <c r="C4048" s="1" t="s">
        <v>5335</v>
      </c>
      <c r="D4048" s="13" t="str">
        <f>IF(RIGHT(A4048,3)="000",C4048,VLOOKUP(B4048,'Справочник ИХ'!A:C,3,0))</f>
        <v>Остальные грузы</v>
      </c>
      <c r="E4048" s="13">
        <f>IF(RIGHT(A4048,3)="000","х",VLOOKUP(B4048,'Справочник ИХ'!A:D,4,0))</f>
        <v>3</v>
      </c>
      <c r="F4048" s="14" t="s">
        <v>5307</v>
      </c>
    </row>
    <row r="4049" spans="1:6">
      <c r="A4049" s="19">
        <v>69227</v>
      </c>
      <c r="B4049" s="12" t="str">
        <f t="shared" si="63"/>
        <v>692</v>
      </c>
      <c r="C4049" s="1" t="s">
        <v>5336</v>
      </c>
      <c r="D4049" s="13" t="str">
        <f>IF(RIGHT(A4049,3)="000",C4049,VLOOKUP(B4049,'Справочник ИХ'!A:C,3,0))</f>
        <v>Остальные грузы</v>
      </c>
      <c r="E4049" s="13">
        <f>IF(RIGHT(A4049,3)="000","х",VLOOKUP(B4049,'Справочник ИХ'!A:D,4,0))</f>
        <v>3</v>
      </c>
      <c r="F4049" s="14" t="s">
        <v>5307</v>
      </c>
    </row>
    <row r="4050" spans="1:6" s="18" customFormat="1" ht="63.45">
      <c r="A4050" s="16">
        <v>69300</v>
      </c>
      <c r="B4050" s="12" t="str">
        <f t="shared" si="63"/>
        <v>693</v>
      </c>
      <c r="C4050" s="17" t="s">
        <v>5337</v>
      </c>
      <c r="D4050" s="13" t="str">
        <f>IF(RIGHT(A4050,3)="000",C4050,VLOOKUP(B4050,'Справочник ИХ'!A:C,3,0))</f>
        <v>Остальные грузы</v>
      </c>
      <c r="E4050" s="13">
        <f>IF(RIGHT(A4050,3)="000","х",VLOOKUP(B4050,'Справочник ИХ'!A:D,4,0))</f>
        <v>3</v>
      </c>
      <c r="F4050" s="14" t="s">
        <v>5307</v>
      </c>
    </row>
    <row r="4051" spans="1:6">
      <c r="A4051" s="19">
        <v>69301</v>
      </c>
      <c r="B4051" s="12" t="str">
        <f t="shared" si="63"/>
        <v>693</v>
      </c>
      <c r="C4051" s="1" t="s">
        <v>5338</v>
      </c>
      <c r="D4051" s="13" t="str">
        <f>IF(RIGHT(A4051,3)="000",C4051,VLOOKUP(B4051,'Справочник ИХ'!A:C,3,0))</f>
        <v>Остальные грузы</v>
      </c>
      <c r="E4051" s="13">
        <f>IF(RIGHT(A4051,3)="000","х",VLOOKUP(B4051,'Справочник ИХ'!A:D,4,0))</f>
        <v>3</v>
      </c>
      <c r="F4051" s="14" t="s">
        <v>5307</v>
      </c>
    </row>
    <row r="4052" spans="1:6">
      <c r="A4052" s="19">
        <v>69302</v>
      </c>
      <c r="B4052" s="12" t="str">
        <f t="shared" si="63"/>
        <v>693</v>
      </c>
      <c r="C4052" s="1" t="s">
        <v>5339</v>
      </c>
      <c r="D4052" s="13" t="str">
        <f>IF(RIGHT(A4052,3)="000",C4052,VLOOKUP(B4052,'Справочник ИХ'!A:C,3,0))</f>
        <v>Остальные грузы</v>
      </c>
      <c r="E4052" s="13">
        <f>IF(RIGHT(A4052,3)="000","х",VLOOKUP(B4052,'Справочник ИХ'!A:D,4,0))</f>
        <v>3</v>
      </c>
      <c r="F4052" s="14" t="s">
        <v>5307</v>
      </c>
    </row>
    <row r="4053" spans="1:6">
      <c r="A4053" s="19">
        <v>69303</v>
      </c>
      <c r="B4053" s="12" t="str">
        <f t="shared" si="63"/>
        <v>693</v>
      </c>
      <c r="C4053" s="1" t="s">
        <v>5340</v>
      </c>
      <c r="D4053" s="13" t="str">
        <f>IF(RIGHT(A4053,3)="000",C4053,VLOOKUP(B4053,'Справочник ИХ'!A:C,3,0))</f>
        <v>Остальные грузы</v>
      </c>
      <c r="E4053" s="13">
        <f>IF(RIGHT(A4053,3)="000","х",VLOOKUP(B4053,'Справочник ИХ'!A:D,4,0))</f>
        <v>3</v>
      </c>
      <c r="F4053" s="14" t="s">
        <v>5307</v>
      </c>
    </row>
    <row r="4054" spans="1:6">
      <c r="A4054" s="19">
        <v>69304</v>
      </c>
      <c r="B4054" s="12" t="str">
        <f t="shared" si="63"/>
        <v>693</v>
      </c>
      <c r="C4054" s="1" t="s">
        <v>5341</v>
      </c>
      <c r="D4054" s="13" t="str">
        <f>IF(RIGHT(A4054,3)="000",C4054,VLOOKUP(B4054,'Справочник ИХ'!A:C,3,0))</f>
        <v>Остальные грузы</v>
      </c>
      <c r="E4054" s="13">
        <f>IF(RIGHT(A4054,3)="000","х",VLOOKUP(B4054,'Справочник ИХ'!A:D,4,0))</f>
        <v>3</v>
      </c>
      <c r="F4054" s="14" t="s">
        <v>5307</v>
      </c>
    </row>
    <row r="4055" spans="1:6" ht="31.75">
      <c r="A4055" s="19">
        <v>69305</v>
      </c>
      <c r="B4055" s="12" t="str">
        <f t="shared" si="63"/>
        <v>693</v>
      </c>
      <c r="C4055" s="1" t="s">
        <v>5342</v>
      </c>
      <c r="D4055" s="13" t="str">
        <f>IF(RIGHT(A4055,3)="000",C4055,VLOOKUP(B4055,'Справочник ИХ'!A:C,3,0))</f>
        <v>Остальные грузы</v>
      </c>
      <c r="E4055" s="13">
        <f>IF(RIGHT(A4055,3)="000","х",VLOOKUP(B4055,'Справочник ИХ'!A:D,4,0))</f>
        <v>3</v>
      </c>
      <c r="F4055" s="14" t="s">
        <v>5307</v>
      </c>
    </row>
    <row r="4056" spans="1:6" ht="31.75">
      <c r="A4056" s="19">
        <v>69308</v>
      </c>
      <c r="B4056" s="12" t="str">
        <f t="shared" si="63"/>
        <v>693</v>
      </c>
      <c r="C4056" s="1" t="s">
        <v>5343</v>
      </c>
      <c r="D4056" s="13" t="str">
        <f>IF(RIGHT(A4056,3)="000",C4056,VLOOKUP(B4056,'Справочник ИХ'!A:C,3,0))</f>
        <v>Остальные грузы</v>
      </c>
      <c r="E4056" s="13">
        <f>IF(RIGHT(A4056,3)="000","х",VLOOKUP(B4056,'Справочник ИХ'!A:D,4,0))</f>
        <v>3</v>
      </c>
      <c r="F4056" s="14" t="s">
        <v>5307</v>
      </c>
    </row>
    <row r="4057" spans="1:6" ht="47.6">
      <c r="A4057" s="19">
        <v>69309</v>
      </c>
      <c r="B4057" s="12" t="str">
        <f t="shared" si="63"/>
        <v>693</v>
      </c>
      <c r="C4057" s="1" t="s">
        <v>5344</v>
      </c>
      <c r="D4057" s="13" t="str">
        <f>IF(RIGHT(A4057,3)="000",C4057,VLOOKUP(B4057,'Справочник ИХ'!A:C,3,0))</f>
        <v>Остальные грузы</v>
      </c>
      <c r="E4057" s="13">
        <f>IF(RIGHT(A4057,3)="000","х",VLOOKUP(B4057,'Справочник ИХ'!A:D,4,0))</f>
        <v>3</v>
      </c>
      <c r="F4057" s="14" t="s">
        <v>5307</v>
      </c>
    </row>
    <row r="4058" spans="1:6">
      <c r="A4058" s="19">
        <v>69310</v>
      </c>
      <c r="B4058" s="12" t="str">
        <f t="shared" si="63"/>
        <v>693</v>
      </c>
      <c r="C4058" s="1" t="s">
        <v>5345</v>
      </c>
      <c r="D4058" s="13" t="str">
        <f>IF(RIGHT(A4058,3)="000",C4058,VLOOKUP(B4058,'Справочник ИХ'!A:C,3,0))</f>
        <v>Остальные грузы</v>
      </c>
      <c r="E4058" s="13">
        <f>IF(RIGHT(A4058,3)="000","х",VLOOKUP(B4058,'Справочник ИХ'!A:D,4,0))</f>
        <v>3</v>
      </c>
      <c r="F4058" s="14" t="s">
        <v>5307</v>
      </c>
    </row>
    <row r="4059" spans="1:6">
      <c r="A4059" s="19">
        <v>69311</v>
      </c>
      <c r="B4059" s="12" t="str">
        <f t="shared" si="63"/>
        <v>693</v>
      </c>
      <c r="C4059" s="1" t="s">
        <v>5346</v>
      </c>
      <c r="D4059" s="13" t="str">
        <f>IF(RIGHT(A4059,3)="000",C4059,VLOOKUP(B4059,'Справочник ИХ'!A:C,3,0))</f>
        <v>Остальные грузы</v>
      </c>
      <c r="E4059" s="13">
        <f>IF(RIGHT(A4059,3)="000","х",VLOOKUP(B4059,'Справочник ИХ'!A:D,4,0))</f>
        <v>3</v>
      </c>
      <c r="F4059" s="14" t="s">
        <v>5307</v>
      </c>
    </row>
    <row r="4060" spans="1:6">
      <c r="A4060" s="19">
        <v>69312</v>
      </c>
      <c r="B4060" s="12" t="str">
        <f t="shared" si="63"/>
        <v>693</v>
      </c>
      <c r="C4060" s="1" t="s">
        <v>5347</v>
      </c>
      <c r="D4060" s="13" t="str">
        <f>IF(RIGHT(A4060,3)="000",C4060,VLOOKUP(B4060,'Справочник ИХ'!A:C,3,0))</f>
        <v>Остальные грузы</v>
      </c>
      <c r="E4060" s="13">
        <f>IF(RIGHT(A4060,3)="000","х",VLOOKUP(B4060,'Справочник ИХ'!A:D,4,0))</f>
        <v>3</v>
      </c>
      <c r="F4060" s="14" t="s">
        <v>5307</v>
      </c>
    </row>
    <row r="4061" spans="1:6">
      <c r="A4061" s="19">
        <v>69313</v>
      </c>
      <c r="B4061" s="12" t="str">
        <f t="shared" si="63"/>
        <v>693</v>
      </c>
      <c r="C4061" s="1" t="s">
        <v>5348</v>
      </c>
      <c r="D4061" s="13" t="str">
        <f>IF(RIGHT(A4061,3)="000",C4061,VLOOKUP(B4061,'Справочник ИХ'!A:C,3,0))</f>
        <v>Остальные грузы</v>
      </c>
      <c r="E4061" s="13">
        <f>IF(RIGHT(A4061,3)="000","х",VLOOKUP(B4061,'Справочник ИХ'!A:D,4,0))</f>
        <v>3</v>
      </c>
      <c r="F4061" s="14" t="s">
        <v>5307</v>
      </c>
    </row>
    <row r="4062" spans="1:6" s="15" customFormat="1" ht="31.75">
      <c r="A4062" s="33"/>
      <c r="B4062" s="12" t="str">
        <f t="shared" si="63"/>
        <v/>
      </c>
      <c r="C4062" s="15" t="s">
        <v>5349</v>
      </c>
      <c r="D4062" s="13" t="s">
        <v>5349</v>
      </c>
      <c r="E4062" s="13" t="s">
        <v>562</v>
      </c>
      <c r="F4062" s="14" t="s">
        <v>5307</v>
      </c>
    </row>
    <row r="4063" spans="1:6" s="15" customFormat="1" ht="31.75">
      <c r="A4063" s="7">
        <v>71000</v>
      </c>
      <c r="B4063" s="12" t="str">
        <f t="shared" si="63"/>
        <v>710</v>
      </c>
      <c r="C4063" s="15" t="s">
        <v>5350</v>
      </c>
      <c r="D4063" s="13" t="str">
        <f>IF(RIGHT(A4063,3)="000",C4063,VLOOKUP(B4063,'Справочник ИХ'!A:C,3,0))</f>
        <v>Углеводороды и их производные</v>
      </c>
      <c r="E4063" s="13" t="str">
        <f>IF(RIGHT(A4063,3)="000","х",VLOOKUP(B4063,'Справочник ИХ'!A:D,4,0))</f>
        <v>х</v>
      </c>
      <c r="F4063" s="14" t="s">
        <v>5350</v>
      </c>
    </row>
    <row r="4064" spans="1:6" s="18" customFormat="1">
      <c r="A4064" s="34">
        <v>71100</v>
      </c>
      <c r="B4064" s="12" t="str">
        <f t="shared" si="63"/>
        <v>711</v>
      </c>
      <c r="C4064" s="18" t="s">
        <v>5350</v>
      </c>
      <c r="D4064" s="13" t="str">
        <f>IF(RIGHT(A4064,3)="000",C4064,VLOOKUP(B4064,'Справочник ИХ'!A:C,3,0))</f>
        <v>Остальные грузы</v>
      </c>
      <c r="E4064" s="13">
        <f>IF(RIGHT(A4064,3)="000","х",VLOOKUP(B4064,'Справочник ИХ'!A:D,4,0))</f>
        <v>3</v>
      </c>
      <c r="F4064" s="14" t="s">
        <v>5350</v>
      </c>
    </row>
    <row r="4065" spans="1:6">
      <c r="A4065" s="23">
        <v>71101</v>
      </c>
      <c r="B4065" s="12" t="str">
        <f t="shared" si="63"/>
        <v>711</v>
      </c>
      <c r="C4065" s="14" t="s">
        <v>5351</v>
      </c>
      <c r="D4065" s="13" t="str">
        <f>IF(RIGHT(A4065,3)="000",C4065,VLOOKUP(B4065,'Справочник ИХ'!A:C,3,0))</f>
        <v>Остальные грузы</v>
      </c>
      <c r="E4065" s="13">
        <f>IF(RIGHT(A4065,3)="000","х",VLOOKUP(B4065,'Справочник ИХ'!A:D,4,0))</f>
        <v>3</v>
      </c>
      <c r="F4065" s="14" t="s">
        <v>5350</v>
      </c>
    </row>
    <row r="4066" spans="1:6">
      <c r="A4066" s="23">
        <v>71102</v>
      </c>
      <c r="B4066" s="12" t="str">
        <f t="shared" si="63"/>
        <v>711</v>
      </c>
      <c r="C4066" s="14" t="s">
        <v>5352</v>
      </c>
      <c r="D4066" s="13" t="str">
        <f>IF(RIGHT(A4066,3)="000",C4066,VLOOKUP(B4066,'Справочник ИХ'!A:C,3,0))</f>
        <v>Остальные грузы</v>
      </c>
      <c r="E4066" s="13">
        <f>IF(RIGHT(A4066,3)="000","х",VLOOKUP(B4066,'Справочник ИХ'!A:D,4,0))</f>
        <v>3</v>
      </c>
      <c r="F4066" s="14" t="s">
        <v>5350</v>
      </c>
    </row>
    <row r="4067" spans="1:6">
      <c r="A4067" s="23">
        <v>71103</v>
      </c>
      <c r="B4067" s="12" t="str">
        <f t="shared" si="63"/>
        <v>711</v>
      </c>
      <c r="C4067" s="14" t="s">
        <v>5353</v>
      </c>
      <c r="D4067" s="13" t="str">
        <f>IF(RIGHT(A4067,3)="000",C4067,VLOOKUP(B4067,'Справочник ИХ'!A:C,3,0))</f>
        <v>Остальные грузы</v>
      </c>
      <c r="E4067" s="13">
        <f>IF(RIGHT(A4067,3)="000","х",VLOOKUP(B4067,'Справочник ИХ'!A:D,4,0))</f>
        <v>3</v>
      </c>
      <c r="F4067" s="14" t="s">
        <v>5350</v>
      </c>
    </row>
    <row r="4068" spans="1:6">
      <c r="A4068" s="23">
        <v>71104</v>
      </c>
      <c r="B4068" s="12" t="str">
        <f t="shared" si="63"/>
        <v>711</v>
      </c>
      <c r="C4068" s="14" t="s">
        <v>5354</v>
      </c>
      <c r="D4068" s="13" t="str">
        <f>IF(RIGHT(A4068,3)="000",C4068,VLOOKUP(B4068,'Справочник ИХ'!A:C,3,0))</f>
        <v>Остальные грузы</v>
      </c>
      <c r="E4068" s="13">
        <f>IF(RIGHT(A4068,3)="000","х",VLOOKUP(B4068,'Справочник ИХ'!A:D,4,0))</f>
        <v>3</v>
      </c>
      <c r="F4068" s="14" t="s">
        <v>5350</v>
      </c>
    </row>
    <row r="4069" spans="1:6">
      <c r="A4069" s="23">
        <v>71105</v>
      </c>
      <c r="B4069" s="12" t="str">
        <f t="shared" si="63"/>
        <v>711</v>
      </c>
      <c r="C4069" s="14" t="s">
        <v>5355</v>
      </c>
      <c r="D4069" s="13" t="str">
        <f>IF(RIGHT(A4069,3)="000",C4069,VLOOKUP(B4069,'Справочник ИХ'!A:C,3,0))</f>
        <v>Остальные грузы</v>
      </c>
      <c r="E4069" s="13">
        <f>IF(RIGHT(A4069,3)="000","х",VLOOKUP(B4069,'Справочник ИХ'!A:D,4,0))</f>
        <v>3</v>
      </c>
      <c r="F4069" s="14" t="s">
        <v>5350</v>
      </c>
    </row>
    <row r="4070" spans="1:6">
      <c r="A4070" s="23">
        <v>71106</v>
      </c>
      <c r="B4070" s="12" t="str">
        <f t="shared" si="63"/>
        <v>711</v>
      </c>
      <c r="C4070" s="14" t="s">
        <v>5356</v>
      </c>
      <c r="D4070" s="13" t="str">
        <f>IF(RIGHT(A4070,3)="000",C4070,VLOOKUP(B4070,'Справочник ИХ'!A:C,3,0))</f>
        <v>Остальные грузы</v>
      </c>
      <c r="E4070" s="13">
        <f>IF(RIGHT(A4070,3)="000","х",VLOOKUP(B4070,'Справочник ИХ'!A:D,4,0))</f>
        <v>3</v>
      </c>
      <c r="F4070" s="14" t="s">
        <v>5350</v>
      </c>
    </row>
    <row r="4071" spans="1:6">
      <c r="A4071" s="23">
        <v>71107</v>
      </c>
      <c r="B4071" s="12" t="str">
        <f t="shared" si="63"/>
        <v>711</v>
      </c>
      <c r="C4071" s="14" t="s">
        <v>5357</v>
      </c>
      <c r="D4071" s="13" t="str">
        <f>IF(RIGHT(A4071,3)="000",C4071,VLOOKUP(B4071,'Справочник ИХ'!A:C,3,0))</f>
        <v>Остальные грузы</v>
      </c>
      <c r="E4071" s="13">
        <f>IF(RIGHT(A4071,3)="000","х",VLOOKUP(B4071,'Справочник ИХ'!A:D,4,0))</f>
        <v>3</v>
      </c>
      <c r="F4071" s="14" t="s">
        <v>5350</v>
      </c>
    </row>
    <row r="4072" spans="1:6">
      <c r="A4072" s="23">
        <v>71108</v>
      </c>
      <c r="B4072" s="12" t="str">
        <f t="shared" si="63"/>
        <v>711</v>
      </c>
      <c r="C4072" s="14" t="s">
        <v>5358</v>
      </c>
      <c r="D4072" s="13" t="str">
        <f>IF(RIGHT(A4072,3)="000",C4072,VLOOKUP(B4072,'Справочник ИХ'!A:C,3,0))</f>
        <v>Остальные грузы</v>
      </c>
      <c r="E4072" s="13">
        <f>IF(RIGHT(A4072,3)="000","х",VLOOKUP(B4072,'Справочник ИХ'!A:D,4,0))</f>
        <v>3</v>
      </c>
      <c r="F4072" s="14" t="s">
        <v>5350</v>
      </c>
    </row>
    <row r="4073" spans="1:6">
      <c r="A4073" s="23">
        <v>71109</v>
      </c>
      <c r="B4073" s="12" t="str">
        <f t="shared" si="63"/>
        <v>711</v>
      </c>
      <c r="C4073" s="14" t="s">
        <v>5359</v>
      </c>
      <c r="D4073" s="13" t="str">
        <f>IF(RIGHT(A4073,3)="000",C4073,VLOOKUP(B4073,'Справочник ИХ'!A:C,3,0))</f>
        <v>Остальные грузы</v>
      </c>
      <c r="E4073" s="13">
        <f>IF(RIGHT(A4073,3)="000","х",VLOOKUP(B4073,'Справочник ИХ'!A:D,4,0))</f>
        <v>3</v>
      </c>
      <c r="F4073" s="14" t="s">
        <v>5350</v>
      </c>
    </row>
    <row r="4074" spans="1:6">
      <c r="A4074" s="23">
        <v>71110</v>
      </c>
      <c r="B4074" s="12" t="str">
        <f t="shared" si="63"/>
        <v>711</v>
      </c>
      <c r="C4074" s="14" t="s">
        <v>5360</v>
      </c>
      <c r="D4074" s="13" t="str">
        <f>IF(RIGHT(A4074,3)="000",C4074,VLOOKUP(B4074,'Справочник ИХ'!A:C,3,0))</f>
        <v>Остальные грузы</v>
      </c>
      <c r="E4074" s="13">
        <f>IF(RIGHT(A4074,3)="000","х",VLOOKUP(B4074,'Справочник ИХ'!A:D,4,0))</f>
        <v>3</v>
      </c>
      <c r="F4074" s="14" t="s">
        <v>5350</v>
      </c>
    </row>
    <row r="4075" spans="1:6">
      <c r="A4075" s="23">
        <v>71111</v>
      </c>
      <c r="B4075" s="12" t="str">
        <f t="shared" si="63"/>
        <v>711</v>
      </c>
      <c r="C4075" s="14" t="s">
        <v>5361</v>
      </c>
      <c r="D4075" s="13" t="str">
        <f>IF(RIGHT(A4075,3)="000",C4075,VLOOKUP(B4075,'Справочник ИХ'!A:C,3,0))</f>
        <v>Остальные грузы</v>
      </c>
      <c r="E4075" s="13">
        <f>IF(RIGHT(A4075,3)="000","х",VLOOKUP(B4075,'Справочник ИХ'!A:D,4,0))</f>
        <v>3</v>
      </c>
      <c r="F4075" s="14" t="s">
        <v>5350</v>
      </c>
    </row>
    <row r="4076" spans="1:6">
      <c r="A4076" s="23">
        <v>71112</v>
      </c>
      <c r="B4076" s="12" t="str">
        <f t="shared" si="63"/>
        <v>711</v>
      </c>
      <c r="C4076" s="14" t="s">
        <v>5362</v>
      </c>
      <c r="D4076" s="13" t="str">
        <f>IF(RIGHT(A4076,3)="000",C4076,VLOOKUP(B4076,'Справочник ИХ'!A:C,3,0))</f>
        <v>Остальные грузы</v>
      </c>
      <c r="E4076" s="13">
        <f>IF(RIGHT(A4076,3)="000","х",VLOOKUP(B4076,'Справочник ИХ'!A:D,4,0))</f>
        <v>3</v>
      </c>
      <c r="F4076" s="14" t="s">
        <v>5350</v>
      </c>
    </row>
    <row r="4077" spans="1:6">
      <c r="A4077" s="23">
        <v>71113</v>
      </c>
      <c r="B4077" s="12" t="str">
        <f t="shared" si="63"/>
        <v>711</v>
      </c>
      <c r="C4077" s="14" t="s">
        <v>5363</v>
      </c>
      <c r="D4077" s="13" t="str">
        <f>IF(RIGHT(A4077,3)="000",C4077,VLOOKUP(B4077,'Справочник ИХ'!A:C,3,0))</f>
        <v>Остальные грузы</v>
      </c>
      <c r="E4077" s="13">
        <f>IF(RIGHT(A4077,3)="000","х",VLOOKUP(B4077,'Справочник ИХ'!A:D,4,0))</f>
        <v>3</v>
      </c>
      <c r="F4077" s="14" t="s">
        <v>5350</v>
      </c>
    </row>
    <row r="4078" spans="1:6">
      <c r="A4078" s="23">
        <v>71114</v>
      </c>
      <c r="B4078" s="12" t="str">
        <f t="shared" si="63"/>
        <v>711</v>
      </c>
      <c r="C4078" s="14" t="s">
        <v>5364</v>
      </c>
      <c r="D4078" s="13" t="str">
        <f>IF(RIGHT(A4078,3)="000",C4078,VLOOKUP(B4078,'Справочник ИХ'!A:C,3,0))</f>
        <v>Остальные грузы</v>
      </c>
      <c r="E4078" s="13">
        <f>IF(RIGHT(A4078,3)="000","х",VLOOKUP(B4078,'Справочник ИХ'!A:D,4,0))</f>
        <v>3</v>
      </c>
      <c r="F4078" s="14" t="s">
        <v>5350</v>
      </c>
    </row>
    <row r="4079" spans="1:6">
      <c r="A4079" s="23">
        <v>71115</v>
      </c>
      <c r="B4079" s="12" t="str">
        <f t="shared" si="63"/>
        <v>711</v>
      </c>
      <c r="C4079" s="14" t="s">
        <v>5365</v>
      </c>
      <c r="D4079" s="13" t="str">
        <f>IF(RIGHT(A4079,3)="000",C4079,VLOOKUP(B4079,'Справочник ИХ'!A:C,3,0))</f>
        <v>Остальные грузы</v>
      </c>
      <c r="E4079" s="13">
        <f>IF(RIGHT(A4079,3)="000","х",VLOOKUP(B4079,'Справочник ИХ'!A:D,4,0))</f>
        <v>3</v>
      </c>
      <c r="F4079" s="14" t="s">
        <v>5350</v>
      </c>
    </row>
    <row r="4080" spans="1:6">
      <c r="A4080" s="23">
        <v>71116</v>
      </c>
      <c r="B4080" s="12" t="str">
        <f t="shared" si="63"/>
        <v>711</v>
      </c>
      <c r="C4080" s="14" t="s">
        <v>5366</v>
      </c>
      <c r="D4080" s="13" t="str">
        <f>IF(RIGHT(A4080,3)="000",C4080,VLOOKUP(B4080,'Справочник ИХ'!A:C,3,0))</f>
        <v>Остальные грузы</v>
      </c>
      <c r="E4080" s="13">
        <f>IF(RIGHT(A4080,3)="000","х",VLOOKUP(B4080,'Справочник ИХ'!A:D,4,0))</f>
        <v>3</v>
      </c>
      <c r="F4080" s="14" t="s">
        <v>5350</v>
      </c>
    </row>
    <row r="4081" spans="1:6">
      <c r="A4081" s="23">
        <v>71117</v>
      </c>
      <c r="B4081" s="12" t="str">
        <f t="shared" si="63"/>
        <v>711</v>
      </c>
      <c r="C4081" s="14" t="s">
        <v>5367</v>
      </c>
      <c r="D4081" s="13" t="str">
        <f>IF(RIGHT(A4081,3)="000",C4081,VLOOKUP(B4081,'Справочник ИХ'!A:C,3,0))</f>
        <v>Остальные грузы</v>
      </c>
      <c r="E4081" s="13">
        <f>IF(RIGHT(A4081,3)="000","х",VLOOKUP(B4081,'Справочник ИХ'!A:D,4,0))</f>
        <v>3</v>
      </c>
      <c r="F4081" s="14" t="s">
        <v>5350</v>
      </c>
    </row>
    <row r="4082" spans="1:6">
      <c r="A4082" s="23">
        <v>71118</v>
      </c>
      <c r="B4082" s="12" t="str">
        <f t="shared" si="63"/>
        <v>711</v>
      </c>
      <c r="C4082" s="14" t="s">
        <v>5368</v>
      </c>
      <c r="D4082" s="13" t="str">
        <f>IF(RIGHT(A4082,3)="000",C4082,VLOOKUP(B4082,'Справочник ИХ'!A:C,3,0))</f>
        <v>Остальные грузы</v>
      </c>
      <c r="E4082" s="13">
        <f>IF(RIGHT(A4082,3)="000","х",VLOOKUP(B4082,'Справочник ИХ'!A:D,4,0))</f>
        <v>3</v>
      </c>
      <c r="F4082" s="14" t="s">
        <v>5350</v>
      </c>
    </row>
    <row r="4083" spans="1:6">
      <c r="A4083" s="23">
        <v>71119</v>
      </c>
      <c r="B4083" s="12" t="str">
        <f t="shared" si="63"/>
        <v>711</v>
      </c>
      <c r="C4083" s="14" t="s">
        <v>5369</v>
      </c>
      <c r="D4083" s="13" t="str">
        <f>IF(RIGHT(A4083,3)="000",C4083,VLOOKUP(B4083,'Справочник ИХ'!A:C,3,0))</f>
        <v>Остальные грузы</v>
      </c>
      <c r="E4083" s="13">
        <f>IF(RIGHT(A4083,3)="000","х",VLOOKUP(B4083,'Справочник ИХ'!A:D,4,0))</f>
        <v>3</v>
      </c>
      <c r="F4083" s="14" t="s">
        <v>5350</v>
      </c>
    </row>
    <row r="4084" spans="1:6">
      <c r="A4084" s="23">
        <v>71120</v>
      </c>
      <c r="B4084" s="12" t="str">
        <f t="shared" si="63"/>
        <v>711</v>
      </c>
      <c r="C4084" s="14" t="s">
        <v>5370</v>
      </c>
      <c r="D4084" s="13" t="str">
        <f>IF(RIGHT(A4084,3)="000",C4084,VLOOKUP(B4084,'Справочник ИХ'!A:C,3,0))</f>
        <v>Остальные грузы</v>
      </c>
      <c r="E4084" s="13">
        <f>IF(RIGHT(A4084,3)="000","х",VLOOKUP(B4084,'Справочник ИХ'!A:D,4,0))</f>
        <v>3</v>
      </c>
      <c r="F4084" s="14" t="s">
        <v>5350</v>
      </c>
    </row>
    <row r="4085" spans="1:6">
      <c r="A4085" s="23">
        <v>71121</v>
      </c>
      <c r="B4085" s="12" t="str">
        <f t="shared" si="63"/>
        <v>711</v>
      </c>
      <c r="C4085" s="14" t="s">
        <v>5371</v>
      </c>
      <c r="D4085" s="13" t="str">
        <f>IF(RIGHT(A4085,3)="000",C4085,VLOOKUP(B4085,'Справочник ИХ'!A:C,3,0))</f>
        <v>Остальные грузы</v>
      </c>
      <c r="E4085" s="13">
        <f>IF(RIGHT(A4085,3)="000","х",VLOOKUP(B4085,'Справочник ИХ'!A:D,4,0))</f>
        <v>3</v>
      </c>
      <c r="F4085" s="14" t="s">
        <v>5350</v>
      </c>
    </row>
    <row r="4086" spans="1:6">
      <c r="A4086" s="23">
        <v>71122</v>
      </c>
      <c r="B4086" s="12" t="str">
        <f t="shared" si="63"/>
        <v>711</v>
      </c>
      <c r="C4086" s="14" t="s">
        <v>5372</v>
      </c>
      <c r="D4086" s="13" t="str">
        <f>IF(RIGHT(A4086,3)="000",C4086,VLOOKUP(B4086,'Справочник ИХ'!A:C,3,0))</f>
        <v>Остальные грузы</v>
      </c>
      <c r="E4086" s="13">
        <f>IF(RIGHT(A4086,3)="000","х",VLOOKUP(B4086,'Справочник ИХ'!A:D,4,0))</f>
        <v>3</v>
      </c>
      <c r="F4086" s="14" t="s">
        <v>5350</v>
      </c>
    </row>
    <row r="4087" spans="1:6" ht="31.75">
      <c r="A4087" s="23">
        <v>71123</v>
      </c>
      <c r="B4087" s="12" t="str">
        <f t="shared" si="63"/>
        <v>711</v>
      </c>
      <c r="C4087" s="14" t="s">
        <v>5373</v>
      </c>
      <c r="D4087" s="13" t="str">
        <f>IF(RIGHT(A4087,3)="000",C4087,VLOOKUP(B4087,'Справочник ИХ'!A:C,3,0))</f>
        <v>Остальные грузы</v>
      </c>
      <c r="E4087" s="13">
        <f>IF(RIGHT(A4087,3)="000","х",VLOOKUP(B4087,'Справочник ИХ'!A:D,4,0))</f>
        <v>3</v>
      </c>
      <c r="F4087" s="14" t="s">
        <v>5350</v>
      </c>
    </row>
    <row r="4088" spans="1:6">
      <c r="A4088" s="23">
        <v>71124</v>
      </c>
      <c r="B4088" s="12" t="str">
        <f t="shared" si="63"/>
        <v>711</v>
      </c>
      <c r="C4088" s="14" t="s">
        <v>5374</v>
      </c>
      <c r="D4088" s="13" t="str">
        <f>IF(RIGHT(A4088,3)="000",C4088,VLOOKUP(B4088,'Справочник ИХ'!A:C,3,0))</f>
        <v>Остальные грузы</v>
      </c>
      <c r="E4088" s="13">
        <f>IF(RIGHT(A4088,3)="000","х",VLOOKUP(B4088,'Справочник ИХ'!A:D,4,0))</f>
        <v>3</v>
      </c>
      <c r="F4088" s="14" t="s">
        <v>5350</v>
      </c>
    </row>
    <row r="4089" spans="1:6">
      <c r="A4089" s="23">
        <v>71125</v>
      </c>
      <c r="B4089" s="12" t="str">
        <f t="shared" si="63"/>
        <v>711</v>
      </c>
      <c r="C4089" s="14" t="s">
        <v>5375</v>
      </c>
      <c r="D4089" s="13" t="str">
        <f>IF(RIGHT(A4089,3)="000",C4089,VLOOKUP(B4089,'Справочник ИХ'!A:C,3,0))</f>
        <v>Остальные грузы</v>
      </c>
      <c r="E4089" s="13">
        <f>IF(RIGHT(A4089,3)="000","х",VLOOKUP(B4089,'Справочник ИХ'!A:D,4,0))</f>
        <v>3</v>
      </c>
      <c r="F4089" s="14" t="s">
        <v>5350</v>
      </c>
    </row>
    <row r="4090" spans="1:6">
      <c r="A4090" s="23">
        <v>71126</v>
      </c>
      <c r="B4090" s="12" t="str">
        <f t="shared" si="63"/>
        <v>711</v>
      </c>
      <c r="C4090" s="14" t="s">
        <v>5376</v>
      </c>
      <c r="D4090" s="13" t="str">
        <f>IF(RIGHT(A4090,3)="000",C4090,VLOOKUP(B4090,'Справочник ИХ'!A:C,3,0))</f>
        <v>Остальные грузы</v>
      </c>
      <c r="E4090" s="13">
        <f>IF(RIGHT(A4090,3)="000","х",VLOOKUP(B4090,'Справочник ИХ'!A:D,4,0))</f>
        <v>3</v>
      </c>
      <c r="F4090" s="14" t="s">
        <v>5350</v>
      </c>
    </row>
    <row r="4091" spans="1:6">
      <c r="A4091" s="23">
        <v>71127</v>
      </c>
      <c r="B4091" s="12" t="str">
        <f t="shared" si="63"/>
        <v>711</v>
      </c>
      <c r="C4091" s="14" t="s">
        <v>5377</v>
      </c>
      <c r="D4091" s="13" t="str">
        <f>IF(RIGHT(A4091,3)="000",C4091,VLOOKUP(B4091,'Справочник ИХ'!A:C,3,0))</f>
        <v>Остальные грузы</v>
      </c>
      <c r="E4091" s="13">
        <f>IF(RIGHT(A4091,3)="000","х",VLOOKUP(B4091,'Справочник ИХ'!A:D,4,0))</f>
        <v>3</v>
      </c>
      <c r="F4091" s="14" t="s">
        <v>5350</v>
      </c>
    </row>
    <row r="4092" spans="1:6">
      <c r="A4092" s="23">
        <v>71128</v>
      </c>
      <c r="B4092" s="12" t="str">
        <f t="shared" si="63"/>
        <v>711</v>
      </c>
      <c r="C4092" s="14" t="s">
        <v>5378</v>
      </c>
      <c r="D4092" s="13" t="str">
        <f>IF(RIGHT(A4092,3)="000",C4092,VLOOKUP(B4092,'Справочник ИХ'!A:C,3,0))</f>
        <v>Остальные грузы</v>
      </c>
      <c r="E4092" s="13">
        <f>IF(RIGHT(A4092,3)="000","х",VLOOKUP(B4092,'Справочник ИХ'!A:D,4,0))</f>
        <v>3</v>
      </c>
      <c r="F4092" s="14" t="s">
        <v>5350</v>
      </c>
    </row>
    <row r="4093" spans="1:6">
      <c r="A4093" s="23">
        <v>71129</v>
      </c>
      <c r="B4093" s="12" t="str">
        <f t="shared" si="63"/>
        <v>711</v>
      </c>
      <c r="C4093" s="14" t="s">
        <v>5379</v>
      </c>
      <c r="D4093" s="13" t="str">
        <f>IF(RIGHT(A4093,3)="000",C4093,VLOOKUP(B4093,'Справочник ИХ'!A:C,3,0))</f>
        <v>Остальные грузы</v>
      </c>
      <c r="E4093" s="13">
        <f>IF(RIGHT(A4093,3)="000","х",VLOOKUP(B4093,'Справочник ИХ'!A:D,4,0))</f>
        <v>3</v>
      </c>
      <c r="F4093" s="14" t="s">
        <v>5350</v>
      </c>
    </row>
    <row r="4094" spans="1:6" ht="31.75">
      <c r="A4094" s="23">
        <v>71130</v>
      </c>
      <c r="B4094" s="12" t="str">
        <f t="shared" si="63"/>
        <v>711</v>
      </c>
      <c r="C4094" s="14" t="s">
        <v>5380</v>
      </c>
      <c r="D4094" s="13" t="str">
        <f>IF(RIGHT(A4094,3)="000",C4094,VLOOKUP(B4094,'Справочник ИХ'!A:C,3,0))</f>
        <v>Остальные грузы</v>
      </c>
      <c r="E4094" s="13">
        <f>IF(RIGHT(A4094,3)="000","х",VLOOKUP(B4094,'Справочник ИХ'!A:D,4,0))</f>
        <v>3</v>
      </c>
      <c r="F4094" s="14" t="s">
        <v>5350</v>
      </c>
    </row>
    <row r="4095" spans="1:6">
      <c r="A4095" s="23">
        <v>71131</v>
      </c>
      <c r="B4095" s="12" t="str">
        <f t="shared" si="63"/>
        <v>711</v>
      </c>
      <c r="C4095" s="14" t="s">
        <v>5381</v>
      </c>
      <c r="D4095" s="13" t="str">
        <f>IF(RIGHT(A4095,3)="000",C4095,VLOOKUP(B4095,'Справочник ИХ'!A:C,3,0))</f>
        <v>Остальные грузы</v>
      </c>
      <c r="E4095" s="13">
        <f>IF(RIGHT(A4095,3)="000","х",VLOOKUP(B4095,'Справочник ИХ'!A:D,4,0))</f>
        <v>3</v>
      </c>
      <c r="F4095" s="14" t="s">
        <v>5350</v>
      </c>
    </row>
    <row r="4096" spans="1:6">
      <c r="A4096" s="23">
        <v>71132</v>
      </c>
      <c r="B4096" s="12" t="str">
        <f t="shared" si="63"/>
        <v>711</v>
      </c>
      <c r="C4096" s="14" t="s">
        <v>5382</v>
      </c>
      <c r="D4096" s="13" t="str">
        <f>IF(RIGHT(A4096,3)="000",C4096,VLOOKUP(B4096,'Справочник ИХ'!A:C,3,0))</f>
        <v>Остальные грузы</v>
      </c>
      <c r="E4096" s="13">
        <f>IF(RIGHT(A4096,3)="000","х",VLOOKUP(B4096,'Справочник ИХ'!A:D,4,0))</f>
        <v>3</v>
      </c>
      <c r="F4096" s="14" t="s">
        <v>5350</v>
      </c>
    </row>
    <row r="4097" spans="1:6">
      <c r="A4097" s="23">
        <v>71133</v>
      </c>
      <c r="B4097" s="12" t="str">
        <f t="shared" si="63"/>
        <v>711</v>
      </c>
      <c r="C4097" s="14" t="s">
        <v>5383</v>
      </c>
      <c r="D4097" s="13" t="str">
        <f>IF(RIGHT(A4097,3)="000",C4097,VLOOKUP(B4097,'Справочник ИХ'!A:C,3,0))</f>
        <v>Остальные грузы</v>
      </c>
      <c r="E4097" s="13">
        <f>IF(RIGHT(A4097,3)="000","х",VLOOKUP(B4097,'Справочник ИХ'!A:D,4,0))</f>
        <v>3</v>
      </c>
      <c r="F4097" s="14" t="s">
        <v>5350</v>
      </c>
    </row>
    <row r="4098" spans="1:6">
      <c r="A4098" s="23">
        <v>71134</v>
      </c>
      <c r="B4098" s="12" t="str">
        <f t="shared" si="63"/>
        <v>711</v>
      </c>
      <c r="C4098" s="14" t="s">
        <v>5384</v>
      </c>
      <c r="D4098" s="13" t="str">
        <f>IF(RIGHT(A4098,3)="000",C4098,VLOOKUP(B4098,'Справочник ИХ'!A:C,3,0))</f>
        <v>Остальные грузы</v>
      </c>
      <c r="E4098" s="13">
        <f>IF(RIGHT(A4098,3)="000","х",VLOOKUP(B4098,'Справочник ИХ'!A:D,4,0))</f>
        <v>3</v>
      </c>
      <c r="F4098" s="14" t="s">
        <v>5350</v>
      </c>
    </row>
    <row r="4099" spans="1:6">
      <c r="A4099" s="23">
        <v>71135</v>
      </c>
      <c r="B4099" s="12" t="str">
        <f t="shared" si="63"/>
        <v>711</v>
      </c>
      <c r="C4099" s="14" t="s">
        <v>5385</v>
      </c>
      <c r="D4099" s="13" t="str">
        <f>IF(RIGHT(A4099,3)="000",C4099,VLOOKUP(B4099,'Справочник ИХ'!A:C,3,0))</f>
        <v>Остальные грузы</v>
      </c>
      <c r="E4099" s="13">
        <f>IF(RIGHT(A4099,3)="000","х",VLOOKUP(B4099,'Справочник ИХ'!A:D,4,0))</f>
        <v>3</v>
      </c>
      <c r="F4099" s="14" t="s">
        <v>5350</v>
      </c>
    </row>
    <row r="4100" spans="1:6">
      <c r="A4100" s="23">
        <v>71136</v>
      </c>
      <c r="B4100" s="12" t="str">
        <f t="shared" si="63"/>
        <v>711</v>
      </c>
      <c r="C4100" s="14" t="s">
        <v>5386</v>
      </c>
      <c r="D4100" s="13" t="str">
        <f>IF(RIGHT(A4100,3)="000",C4100,VLOOKUP(B4100,'Справочник ИХ'!A:C,3,0))</f>
        <v>Остальные грузы</v>
      </c>
      <c r="E4100" s="13">
        <f>IF(RIGHT(A4100,3)="000","х",VLOOKUP(B4100,'Справочник ИХ'!A:D,4,0))</f>
        <v>3</v>
      </c>
      <c r="F4100" s="14" t="s">
        <v>5350</v>
      </c>
    </row>
    <row r="4101" spans="1:6">
      <c r="A4101" s="23">
        <v>71137</v>
      </c>
      <c r="B4101" s="12" t="str">
        <f t="shared" ref="B4101:B4164" si="64">LEFT(A4101,3)</f>
        <v>711</v>
      </c>
      <c r="C4101" s="14" t="s">
        <v>5387</v>
      </c>
      <c r="D4101" s="13" t="str">
        <f>IF(RIGHT(A4101,3)="000",C4101,VLOOKUP(B4101,'Справочник ИХ'!A:C,3,0))</f>
        <v>Остальные грузы</v>
      </c>
      <c r="E4101" s="13">
        <f>IF(RIGHT(A4101,3)="000","х",VLOOKUP(B4101,'Справочник ИХ'!A:D,4,0))</f>
        <v>3</v>
      </c>
      <c r="F4101" s="14" t="s">
        <v>5350</v>
      </c>
    </row>
    <row r="4102" spans="1:6">
      <c r="A4102" s="23">
        <v>71138</v>
      </c>
      <c r="B4102" s="12" t="str">
        <f t="shared" si="64"/>
        <v>711</v>
      </c>
      <c r="C4102" s="14" t="s">
        <v>5388</v>
      </c>
      <c r="D4102" s="13" t="str">
        <f>IF(RIGHT(A4102,3)="000",C4102,VLOOKUP(B4102,'Справочник ИХ'!A:C,3,0))</f>
        <v>Остальные грузы</v>
      </c>
      <c r="E4102" s="13">
        <f>IF(RIGHT(A4102,3)="000","х",VLOOKUP(B4102,'Справочник ИХ'!A:D,4,0))</f>
        <v>3</v>
      </c>
      <c r="F4102" s="14" t="s">
        <v>5350</v>
      </c>
    </row>
    <row r="4103" spans="1:6">
      <c r="A4103" s="23">
        <v>71139</v>
      </c>
      <c r="B4103" s="12" t="str">
        <f t="shared" si="64"/>
        <v>711</v>
      </c>
      <c r="C4103" s="14" t="s">
        <v>5389</v>
      </c>
      <c r="D4103" s="13" t="str">
        <f>IF(RIGHT(A4103,3)="000",C4103,VLOOKUP(B4103,'Справочник ИХ'!A:C,3,0))</f>
        <v>Остальные грузы</v>
      </c>
      <c r="E4103" s="13">
        <f>IF(RIGHT(A4103,3)="000","х",VLOOKUP(B4103,'Справочник ИХ'!A:D,4,0))</f>
        <v>3</v>
      </c>
      <c r="F4103" s="14" t="s">
        <v>5350</v>
      </c>
    </row>
    <row r="4104" spans="1:6">
      <c r="A4104" s="23">
        <v>71140</v>
      </c>
      <c r="B4104" s="12" t="str">
        <f t="shared" si="64"/>
        <v>711</v>
      </c>
      <c r="C4104" s="14" t="s">
        <v>5390</v>
      </c>
      <c r="D4104" s="13" t="str">
        <f>IF(RIGHT(A4104,3)="000",C4104,VLOOKUP(B4104,'Справочник ИХ'!A:C,3,0))</f>
        <v>Остальные грузы</v>
      </c>
      <c r="E4104" s="13">
        <f>IF(RIGHT(A4104,3)="000","х",VLOOKUP(B4104,'Справочник ИХ'!A:D,4,0))</f>
        <v>3</v>
      </c>
      <c r="F4104" s="14" t="s">
        <v>5350</v>
      </c>
    </row>
    <row r="4105" spans="1:6">
      <c r="A4105" s="23">
        <v>71141</v>
      </c>
      <c r="B4105" s="12" t="str">
        <f t="shared" si="64"/>
        <v>711</v>
      </c>
      <c r="C4105" s="14" t="s">
        <v>5391</v>
      </c>
      <c r="D4105" s="13" t="str">
        <f>IF(RIGHT(A4105,3)="000",C4105,VLOOKUP(B4105,'Справочник ИХ'!A:C,3,0))</f>
        <v>Остальные грузы</v>
      </c>
      <c r="E4105" s="13">
        <f>IF(RIGHT(A4105,3)="000","х",VLOOKUP(B4105,'Справочник ИХ'!A:D,4,0))</f>
        <v>3</v>
      </c>
      <c r="F4105" s="14" t="s">
        <v>5350</v>
      </c>
    </row>
    <row r="4106" spans="1:6">
      <c r="A4106" s="23">
        <v>71142</v>
      </c>
      <c r="B4106" s="12" t="str">
        <f t="shared" si="64"/>
        <v>711</v>
      </c>
      <c r="C4106" s="14" t="s">
        <v>5392</v>
      </c>
      <c r="D4106" s="13" t="str">
        <f>IF(RIGHT(A4106,3)="000",C4106,VLOOKUP(B4106,'Справочник ИХ'!A:C,3,0))</f>
        <v>Остальные грузы</v>
      </c>
      <c r="E4106" s="13">
        <f>IF(RIGHT(A4106,3)="000","х",VLOOKUP(B4106,'Справочник ИХ'!A:D,4,0))</f>
        <v>3</v>
      </c>
      <c r="F4106" s="14" t="s">
        <v>5350</v>
      </c>
    </row>
    <row r="4107" spans="1:6">
      <c r="A4107" s="23">
        <v>71143</v>
      </c>
      <c r="B4107" s="12" t="str">
        <f t="shared" si="64"/>
        <v>711</v>
      </c>
      <c r="C4107" s="14" t="s">
        <v>5393</v>
      </c>
      <c r="D4107" s="13" t="str">
        <f>IF(RIGHT(A4107,3)="000",C4107,VLOOKUP(B4107,'Справочник ИХ'!A:C,3,0))</f>
        <v>Остальные грузы</v>
      </c>
      <c r="E4107" s="13">
        <f>IF(RIGHT(A4107,3)="000","х",VLOOKUP(B4107,'Справочник ИХ'!A:D,4,0))</f>
        <v>3</v>
      </c>
      <c r="F4107" s="14" t="s">
        <v>5350</v>
      </c>
    </row>
    <row r="4108" spans="1:6">
      <c r="A4108" s="23">
        <v>71144</v>
      </c>
      <c r="B4108" s="12" t="str">
        <f t="shared" si="64"/>
        <v>711</v>
      </c>
      <c r="C4108" s="14" t="s">
        <v>5394</v>
      </c>
      <c r="D4108" s="13" t="str">
        <f>IF(RIGHT(A4108,3)="000",C4108,VLOOKUP(B4108,'Справочник ИХ'!A:C,3,0))</f>
        <v>Остальные грузы</v>
      </c>
      <c r="E4108" s="13">
        <f>IF(RIGHT(A4108,3)="000","х",VLOOKUP(B4108,'Справочник ИХ'!A:D,4,0))</f>
        <v>3</v>
      </c>
      <c r="F4108" s="14" t="s">
        <v>5350</v>
      </c>
    </row>
    <row r="4109" spans="1:6">
      <c r="A4109" s="23">
        <v>71145</v>
      </c>
      <c r="B4109" s="12" t="str">
        <f t="shared" si="64"/>
        <v>711</v>
      </c>
      <c r="C4109" s="14" t="s">
        <v>5395</v>
      </c>
      <c r="D4109" s="13" t="str">
        <f>IF(RIGHT(A4109,3)="000",C4109,VLOOKUP(B4109,'Справочник ИХ'!A:C,3,0))</f>
        <v>Остальные грузы</v>
      </c>
      <c r="E4109" s="13">
        <f>IF(RIGHT(A4109,3)="000","х",VLOOKUP(B4109,'Справочник ИХ'!A:D,4,0))</f>
        <v>3</v>
      </c>
      <c r="F4109" s="14" t="s">
        <v>5350</v>
      </c>
    </row>
    <row r="4110" spans="1:6">
      <c r="A4110" s="23">
        <v>71146</v>
      </c>
      <c r="B4110" s="12" t="str">
        <f t="shared" si="64"/>
        <v>711</v>
      </c>
      <c r="C4110" s="14" t="s">
        <v>5396</v>
      </c>
      <c r="D4110" s="13" t="str">
        <f>IF(RIGHT(A4110,3)="000",C4110,VLOOKUP(B4110,'Справочник ИХ'!A:C,3,0))</f>
        <v>Остальные грузы</v>
      </c>
      <c r="E4110" s="13">
        <f>IF(RIGHT(A4110,3)="000","х",VLOOKUP(B4110,'Справочник ИХ'!A:D,4,0))</f>
        <v>3</v>
      </c>
      <c r="F4110" s="14" t="s">
        <v>5350</v>
      </c>
    </row>
    <row r="4111" spans="1:6">
      <c r="A4111" s="23">
        <v>71147</v>
      </c>
      <c r="B4111" s="12" t="str">
        <f t="shared" si="64"/>
        <v>711</v>
      </c>
      <c r="C4111" s="14" t="s">
        <v>5397</v>
      </c>
      <c r="D4111" s="13" t="str">
        <f>IF(RIGHT(A4111,3)="000",C4111,VLOOKUP(B4111,'Справочник ИХ'!A:C,3,0))</f>
        <v>Остальные грузы</v>
      </c>
      <c r="E4111" s="13">
        <f>IF(RIGHT(A4111,3)="000","х",VLOOKUP(B4111,'Справочник ИХ'!A:D,4,0))</f>
        <v>3</v>
      </c>
      <c r="F4111" s="14" t="s">
        <v>5350</v>
      </c>
    </row>
    <row r="4112" spans="1:6">
      <c r="A4112" s="23">
        <v>71148</v>
      </c>
      <c r="B4112" s="12" t="str">
        <f t="shared" si="64"/>
        <v>711</v>
      </c>
      <c r="C4112" s="14" t="s">
        <v>5398</v>
      </c>
      <c r="D4112" s="13" t="str">
        <f>IF(RIGHT(A4112,3)="000",C4112,VLOOKUP(B4112,'Справочник ИХ'!A:C,3,0))</f>
        <v>Остальные грузы</v>
      </c>
      <c r="E4112" s="13">
        <f>IF(RIGHT(A4112,3)="000","х",VLOOKUP(B4112,'Справочник ИХ'!A:D,4,0))</f>
        <v>3</v>
      </c>
      <c r="F4112" s="14" t="s">
        <v>5350</v>
      </c>
    </row>
    <row r="4113" spans="1:6">
      <c r="A4113" s="23">
        <v>71149</v>
      </c>
      <c r="B4113" s="12" t="str">
        <f t="shared" si="64"/>
        <v>711</v>
      </c>
      <c r="C4113" s="14" t="s">
        <v>5399</v>
      </c>
      <c r="D4113" s="13" t="str">
        <f>IF(RIGHT(A4113,3)="000",C4113,VLOOKUP(B4113,'Справочник ИХ'!A:C,3,0))</f>
        <v>Остальные грузы</v>
      </c>
      <c r="E4113" s="13">
        <f>IF(RIGHT(A4113,3)="000","х",VLOOKUP(B4113,'Справочник ИХ'!A:D,4,0))</f>
        <v>3</v>
      </c>
      <c r="F4113" s="14" t="s">
        <v>5350</v>
      </c>
    </row>
    <row r="4114" spans="1:6">
      <c r="A4114" s="23">
        <v>71150</v>
      </c>
      <c r="B4114" s="12" t="str">
        <f t="shared" si="64"/>
        <v>711</v>
      </c>
      <c r="C4114" s="14" t="s">
        <v>5400</v>
      </c>
      <c r="D4114" s="13" t="str">
        <f>IF(RIGHT(A4114,3)="000",C4114,VLOOKUP(B4114,'Справочник ИХ'!A:C,3,0))</f>
        <v>Остальные грузы</v>
      </c>
      <c r="E4114" s="13">
        <f>IF(RIGHT(A4114,3)="000","х",VLOOKUP(B4114,'Справочник ИХ'!A:D,4,0))</f>
        <v>3</v>
      </c>
      <c r="F4114" s="14" t="s">
        <v>5350</v>
      </c>
    </row>
    <row r="4115" spans="1:6">
      <c r="A4115" s="23">
        <v>71151</v>
      </c>
      <c r="B4115" s="12" t="str">
        <f t="shared" si="64"/>
        <v>711</v>
      </c>
      <c r="C4115" s="14" t="s">
        <v>5401</v>
      </c>
      <c r="D4115" s="13" t="str">
        <f>IF(RIGHT(A4115,3)="000",C4115,VLOOKUP(B4115,'Справочник ИХ'!A:C,3,0))</f>
        <v>Остальные грузы</v>
      </c>
      <c r="E4115" s="13">
        <f>IF(RIGHT(A4115,3)="000","х",VLOOKUP(B4115,'Справочник ИХ'!A:D,4,0))</f>
        <v>3</v>
      </c>
      <c r="F4115" s="14" t="s">
        <v>5350</v>
      </c>
    </row>
    <row r="4116" spans="1:6" ht="31.75">
      <c r="A4116" s="23">
        <v>71152</v>
      </c>
      <c r="B4116" s="12" t="str">
        <f t="shared" si="64"/>
        <v>711</v>
      </c>
      <c r="C4116" s="14" t="s">
        <v>5402</v>
      </c>
      <c r="D4116" s="13" t="str">
        <f>IF(RIGHT(A4116,3)="000",C4116,VLOOKUP(B4116,'Справочник ИХ'!A:C,3,0))</f>
        <v>Остальные грузы</v>
      </c>
      <c r="E4116" s="13">
        <f>IF(RIGHT(A4116,3)="000","х",VLOOKUP(B4116,'Справочник ИХ'!A:D,4,0))</f>
        <v>3</v>
      </c>
      <c r="F4116" s="14" t="s">
        <v>5350</v>
      </c>
    </row>
    <row r="4117" spans="1:6">
      <c r="A4117" s="23">
        <v>71153</v>
      </c>
      <c r="B4117" s="12" t="str">
        <f t="shared" si="64"/>
        <v>711</v>
      </c>
      <c r="C4117" s="14" t="s">
        <v>5403</v>
      </c>
      <c r="D4117" s="13" t="str">
        <f>IF(RIGHT(A4117,3)="000",C4117,VLOOKUP(B4117,'Справочник ИХ'!A:C,3,0))</f>
        <v>Остальные грузы</v>
      </c>
      <c r="E4117" s="13">
        <f>IF(RIGHT(A4117,3)="000","х",VLOOKUP(B4117,'Справочник ИХ'!A:D,4,0))</f>
        <v>3</v>
      </c>
      <c r="F4117" s="14" t="s">
        <v>5350</v>
      </c>
    </row>
    <row r="4118" spans="1:6">
      <c r="A4118" s="23">
        <v>71154</v>
      </c>
      <c r="B4118" s="12" t="str">
        <f t="shared" si="64"/>
        <v>711</v>
      </c>
      <c r="C4118" s="14" t="s">
        <v>5404</v>
      </c>
      <c r="D4118" s="13" t="str">
        <f>IF(RIGHT(A4118,3)="000",C4118,VLOOKUP(B4118,'Справочник ИХ'!A:C,3,0))</f>
        <v>Остальные грузы</v>
      </c>
      <c r="E4118" s="13">
        <f>IF(RIGHT(A4118,3)="000","х",VLOOKUP(B4118,'Справочник ИХ'!A:D,4,0))</f>
        <v>3</v>
      </c>
      <c r="F4118" s="14" t="s">
        <v>5350</v>
      </c>
    </row>
    <row r="4119" spans="1:6">
      <c r="A4119" s="23">
        <v>71155</v>
      </c>
      <c r="B4119" s="12" t="str">
        <f t="shared" si="64"/>
        <v>711</v>
      </c>
      <c r="C4119" s="14" t="s">
        <v>5405</v>
      </c>
      <c r="D4119" s="13" t="str">
        <f>IF(RIGHT(A4119,3)="000",C4119,VLOOKUP(B4119,'Справочник ИХ'!A:C,3,0))</f>
        <v>Остальные грузы</v>
      </c>
      <c r="E4119" s="13">
        <f>IF(RIGHT(A4119,3)="000","х",VLOOKUP(B4119,'Справочник ИХ'!A:D,4,0))</f>
        <v>3</v>
      </c>
      <c r="F4119" s="14" t="s">
        <v>5350</v>
      </c>
    </row>
    <row r="4120" spans="1:6">
      <c r="A4120" s="23">
        <v>71156</v>
      </c>
      <c r="B4120" s="12" t="str">
        <f t="shared" si="64"/>
        <v>711</v>
      </c>
      <c r="C4120" s="14" t="s">
        <v>5406</v>
      </c>
      <c r="D4120" s="13" t="str">
        <f>IF(RIGHT(A4120,3)="000",C4120,VLOOKUP(B4120,'Справочник ИХ'!A:C,3,0))</f>
        <v>Остальные грузы</v>
      </c>
      <c r="E4120" s="13">
        <f>IF(RIGHT(A4120,3)="000","х",VLOOKUP(B4120,'Справочник ИХ'!A:D,4,0))</f>
        <v>3</v>
      </c>
      <c r="F4120" s="14" t="s">
        <v>5350</v>
      </c>
    </row>
    <row r="4121" spans="1:6">
      <c r="A4121" s="23">
        <v>71157</v>
      </c>
      <c r="B4121" s="12" t="str">
        <f t="shared" si="64"/>
        <v>711</v>
      </c>
      <c r="C4121" s="14" t="s">
        <v>5407</v>
      </c>
      <c r="D4121" s="13" t="str">
        <f>IF(RIGHT(A4121,3)="000",C4121,VLOOKUP(B4121,'Справочник ИХ'!A:C,3,0))</f>
        <v>Остальные грузы</v>
      </c>
      <c r="E4121" s="13">
        <f>IF(RIGHT(A4121,3)="000","х",VLOOKUP(B4121,'Справочник ИХ'!A:D,4,0))</f>
        <v>3</v>
      </c>
      <c r="F4121" s="14" t="s">
        <v>5350</v>
      </c>
    </row>
    <row r="4122" spans="1:6" ht="31.75">
      <c r="A4122" s="23">
        <v>71158</v>
      </c>
      <c r="B4122" s="12" t="str">
        <f t="shared" si="64"/>
        <v>711</v>
      </c>
      <c r="C4122" s="14" t="s">
        <v>5408</v>
      </c>
      <c r="D4122" s="13" t="str">
        <f>IF(RIGHT(A4122,3)="000",C4122,VLOOKUP(B4122,'Справочник ИХ'!A:C,3,0))</f>
        <v>Остальные грузы</v>
      </c>
      <c r="E4122" s="13">
        <f>IF(RIGHT(A4122,3)="000","х",VLOOKUP(B4122,'Справочник ИХ'!A:D,4,0))</f>
        <v>3</v>
      </c>
      <c r="F4122" s="14" t="s">
        <v>5350</v>
      </c>
    </row>
    <row r="4123" spans="1:6">
      <c r="A4123" s="23">
        <v>71159</v>
      </c>
      <c r="B4123" s="12" t="str">
        <f t="shared" si="64"/>
        <v>711</v>
      </c>
      <c r="C4123" s="14" t="s">
        <v>5409</v>
      </c>
      <c r="D4123" s="13" t="str">
        <f>IF(RIGHT(A4123,3)="000",C4123,VLOOKUP(B4123,'Справочник ИХ'!A:C,3,0))</f>
        <v>Остальные грузы</v>
      </c>
      <c r="E4123" s="13">
        <f>IF(RIGHT(A4123,3)="000","х",VLOOKUP(B4123,'Справочник ИХ'!A:D,4,0))</f>
        <v>3</v>
      </c>
      <c r="F4123" s="14" t="s">
        <v>5350</v>
      </c>
    </row>
    <row r="4124" spans="1:6">
      <c r="A4124" s="23">
        <v>71160</v>
      </c>
      <c r="B4124" s="12" t="str">
        <f t="shared" si="64"/>
        <v>711</v>
      </c>
      <c r="C4124" s="14" t="s">
        <v>5410</v>
      </c>
      <c r="D4124" s="13" t="str">
        <f>IF(RIGHT(A4124,3)="000",C4124,VLOOKUP(B4124,'Справочник ИХ'!A:C,3,0))</f>
        <v>Остальные грузы</v>
      </c>
      <c r="E4124" s="13">
        <f>IF(RIGHT(A4124,3)="000","х",VLOOKUP(B4124,'Справочник ИХ'!A:D,4,0))</f>
        <v>3</v>
      </c>
      <c r="F4124" s="14" t="s">
        <v>5350</v>
      </c>
    </row>
    <row r="4125" spans="1:6">
      <c r="A4125" s="23">
        <v>71161</v>
      </c>
      <c r="B4125" s="12" t="str">
        <f t="shared" si="64"/>
        <v>711</v>
      </c>
      <c r="C4125" s="14" t="s">
        <v>5411</v>
      </c>
      <c r="D4125" s="13" t="str">
        <f>IF(RIGHT(A4125,3)="000",C4125,VLOOKUP(B4125,'Справочник ИХ'!A:C,3,0))</f>
        <v>Остальные грузы</v>
      </c>
      <c r="E4125" s="13">
        <f>IF(RIGHT(A4125,3)="000","х",VLOOKUP(B4125,'Справочник ИХ'!A:D,4,0))</f>
        <v>3</v>
      </c>
      <c r="F4125" s="14" t="s">
        <v>5350</v>
      </c>
    </row>
    <row r="4126" spans="1:6">
      <c r="A4126" s="23">
        <v>71162</v>
      </c>
      <c r="B4126" s="12" t="str">
        <f t="shared" si="64"/>
        <v>711</v>
      </c>
      <c r="C4126" s="14" t="s">
        <v>5412</v>
      </c>
      <c r="D4126" s="13" t="str">
        <f>IF(RIGHT(A4126,3)="000",C4126,VLOOKUP(B4126,'Справочник ИХ'!A:C,3,0))</f>
        <v>Остальные грузы</v>
      </c>
      <c r="E4126" s="13">
        <f>IF(RIGHT(A4126,3)="000","х",VLOOKUP(B4126,'Справочник ИХ'!A:D,4,0))</f>
        <v>3</v>
      </c>
      <c r="F4126" s="14" t="s">
        <v>5350</v>
      </c>
    </row>
    <row r="4127" spans="1:6">
      <c r="A4127" s="23">
        <v>71163</v>
      </c>
      <c r="B4127" s="12" t="str">
        <f t="shared" si="64"/>
        <v>711</v>
      </c>
      <c r="C4127" s="14" t="s">
        <v>5413</v>
      </c>
      <c r="D4127" s="13" t="str">
        <f>IF(RIGHT(A4127,3)="000",C4127,VLOOKUP(B4127,'Справочник ИХ'!A:C,3,0))</f>
        <v>Остальные грузы</v>
      </c>
      <c r="E4127" s="13">
        <f>IF(RIGHT(A4127,3)="000","х",VLOOKUP(B4127,'Справочник ИХ'!A:D,4,0))</f>
        <v>3</v>
      </c>
      <c r="F4127" s="14" t="s">
        <v>5350</v>
      </c>
    </row>
    <row r="4128" spans="1:6">
      <c r="A4128" s="23">
        <v>71165</v>
      </c>
      <c r="B4128" s="12" t="str">
        <f t="shared" si="64"/>
        <v>711</v>
      </c>
      <c r="C4128" s="14" t="s">
        <v>5414</v>
      </c>
      <c r="D4128" s="13" t="str">
        <f>IF(RIGHT(A4128,3)="000",C4128,VLOOKUP(B4128,'Справочник ИХ'!A:C,3,0))</f>
        <v>Остальные грузы</v>
      </c>
      <c r="E4128" s="13">
        <f>IF(RIGHT(A4128,3)="000","х",VLOOKUP(B4128,'Справочник ИХ'!A:D,4,0))</f>
        <v>3</v>
      </c>
      <c r="F4128" s="14" t="s">
        <v>5350</v>
      </c>
    </row>
    <row r="4129" spans="1:6">
      <c r="A4129" s="23">
        <v>71167</v>
      </c>
      <c r="B4129" s="12" t="str">
        <f t="shared" si="64"/>
        <v>711</v>
      </c>
      <c r="C4129" s="14" t="s">
        <v>5415</v>
      </c>
      <c r="D4129" s="13" t="str">
        <f>IF(RIGHT(A4129,3)="000",C4129,VLOOKUP(B4129,'Справочник ИХ'!A:C,3,0))</f>
        <v>Остальные грузы</v>
      </c>
      <c r="E4129" s="13">
        <f>IF(RIGHT(A4129,3)="000","х",VLOOKUP(B4129,'Справочник ИХ'!A:D,4,0))</f>
        <v>3</v>
      </c>
      <c r="F4129" s="14" t="s">
        <v>5350</v>
      </c>
    </row>
    <row r="4130" spans="1:6">
      <c r="A4130" s="23">
        <v>71168</v>
      </c>
      <c r="B4130" s="12" t="str">
        <f t="shared" si="64"/>
        <v>711</v>
      </c>
      <c r="C4130" s="14" t="s">
        <v>5416</v>
      </c>
      <c r="D4130" s="13" t="str">
        <f>IF(RIGHT(A4130,3)="000",C4130,VLOOKUP(B4130,'Справочник ИХ'!A:C,3,0))</f>
        <v>Остальные грузы</v>
      </c>
      <c r="E4130" s="13">
        <f>IF(RIGHT(A4130,3)="000","х",VLOOKUP(B4130,'Справочник ИХ'!A:D,4,0))</f>
        <v>3</v>
      </c>
      <c r="F4130" s="14" t="s">
        <v>5350</v>
      </c>
    </row>
    <row r="4131" spans="1:6" s="18" customFormat="1">
      <c r="A4131" s="34">
        <v>71200</v>
      </c>
      <c r="B4131" s="12" t="str">
        <f t="shared" si="64"/>
        <v>712</v>
      </c>
      <c r="C4131" s="18" t="s">
        <v>5417</v>
      </c>
      <c r="D4131" s="13" t="str">
        <f>IF(RIGHT(A4131,3)="000",C4131,VLOOKUP(B4131,'Справочник ИХ'!A:C,3,0))</f>
        <v>Остальные грузы</v>
      </c>
      <c r="E4131" s="13">
        <f>IF(RIGHT(A4131,3)="000","х",VLOOKUP(B4131,'Справочник ИХ'!A:D,4,0))</f>
        <v>3</v>
      </c>
      <c r="F4131" s="14" t="s">
        <v>5350</v>
      </c>
    </row>
    <row r="4132" spans="1:6">
      <c r="A4132" s="23">
        <v>71201</v>
      </c>
      <c r="B4132" s="12" t="str">
        <f t="shared" si="64"/>
        <v>712</v>
      </c>
      <c r="C4132" s="14" t="s">
        <v>5418</v>
      </c>
      <c r="D4132" s="13" t="str">
        <f>IF(RIGHT(A4132,3)="000",C4132,VLOOKUP(B4132,'Справочник ИХ'!A:C,3,0))</f>
        <v>Остальные грузы</v>
      </c>
      <c r="E4132" s="13">
        <f>IF(RIGHT(A4132,3)="000","х",VLOOKUP(B4132,'Справочник ИХ'!A:D,4,0))</f>
        <v>3</v>
      </c>
      <c r="F4132" s="14" t="s">
        <v>5350</v>
      </c>
    </row>
    <row r="4133" spans="1:6">
      <c r="A4133" s="23">
        <v>71202</v>
      </c>
      <c r="B4133" s="12" t="str">
        <f t="shared" si="64"/>
        <v>712</v>
      </c>
      <c r="C4133" s="14" t="s">
        <v>5419</v>
      </c>
      <c r="D4133" s="13" t="str">
        <f>IF(RIGHT(A4133,3)="000",C4133,VLOOKUP(B4133,'Справочник ИХ'!A:C,3,0))</f>
        <v>Остальные грузы</v>
      </c>
      <c r="E4133" s="13">
        <f>IF(RIGHT(A4133,3)="000","х",VLOOKUP(B4133,'Справочник ИХ'!A:D,4,0))</f>
        <v>3</v>
      </c>
      <c r="F4133" s="14" t="s">
        <v>5350</v>
      </c>
    </row>
    <row r="4134" spans="1:6">
      <c r="A4134" s="23">
        <v>71203</v>
      </c>
      <c r="B4134" s="12" t="str">
        <f t="shared" si="64"/>
        <v>712</v>
      </c>
      <c r="C4134" s="14" t="s">
        <v>5420</v>
      </c>
      <c r="D4134" s="13" t="str">
        <f>IF(RIGHT(A4134,3)="000",C4134,VLOOKUP(B4134,'Справочник ИХ'!A:C,3,0))</f>
        <v>Остальные грузы</v>
      </c>
      <c r="E4134" s="13">
        <f>IF(RIGHT(A4134,3)="000","х",VLOOKUP(B4134,'Справочник ИХ'!A:D,4,0))</f>
        <v>3</v>
      </c>
      <c r="F4134" s="14" t="s">
        <v>5350</v>
      </c>
    </row>
    <row r="4135" spans="1:6">
      <c r="A4135" s="23">
        <v>71204</v>
      </c>
      <c r="B4135" s="12" t="str">
        <f t="shared" si="64"/>
        <v>712</v>
      </c>
      <c r="C4135" s="14" t="s">
        <v>5421</v>
      </c>
      <c r="D4135" s="13" t="str">
        <f>IF(RIGHT(A4135,3)="000",C4135,VLOOKUP(B4135,'Справочник ИХ'!A:C,3,0))</f>
        <v>Остальные грузы</v>
      </c>
      <c r="E4135" s="13">
        <f>IF(RIGHT(A4135,3)="000","х",VLOOKUP(B4135,'Справочник ИХ'!A:D,4,0))</f>
        <v>3</v>
      </c>
      <c r="F4135" s="14" t="s">
        <v>5350</v>
      </c>
    </row>
    <row r="4136" spans="1:6">
      <c r="A4136" s="23">
        <v>71205</v>
      </c>
      <c r="B4136" s="12" t="str">
        <f t="shared" si="64"/>
        <v>712</v>
      </c>
      <c r="C4136" s="14" t="s">
        <v>5422</v>
      </c>
      <c r="D4136" s="13" t="str">
        <f>IF(RIGHT(A4136,3)="000",C4136,VLOOKUP(B4136,'Справочник ИХ'!A:C,3,0))</f>
        <v>Остальные грузы</v>
      </c>
      <c r="E4136" s="13">
        <f>IF(RIGHT(A4136,3)="000","х",VLOOKUP(B4136,'Справочник ИХ'!A:D,4,0))</f>
        <v>3</v>
      </c>
      <c r="F4136" s="14" t="s">
        <v>5350</v>
      </c>
    </row>
    <row r="4137" spans="1:6">
      <c r="A4137" s="23">
        <v>71206</v>
      </c>
      <c r="B4137" s="12" t="str">
        <f t="shared" si="64"/>
        <v>712</v>
      </c>
      <c r="C4137" s="14" t="s">
        <v>5423</v>
      </c>
      <c r="D4137" s="13" t="str">
        <f>IF(RIGHT(A4137,3)="000",C4137,VLOOKUP(B4137,'Справочник ИХ'!A:C,3,0))</f>
        <v>Остальные грузы</v>
      </c>
      <c r="E4137" s="13">
        <f>IF(RIGHT(A4137,3)="000","х",VLOOKUP(B4137,'Справочник ИХ'!A:D,4,0))</f>
        <v>3</v>
      </c>
      <c r="F4137" s="14" t="s">
        <v>5350</v>
      </c>
    </row>
    <row r="4138" spans="1:6">
      <c r="A4138" s="23">
        <v>71207</v>
      </c>
      <c r="B4138" s="12" t="str">
        <f t="shared" si="64"/>
        <v>712</v>
      </c>
      <c r="C4138" s="14" t="s">
        <v>5424</v>
      </c>
      <c r="D4138" s="13" t="str">
        <f>IF(RIGHT(A4138,3)="000",C4138,VLOOKUP(B4138,'Справочник ИХ'!A:C,3,0))</f>
        <v>Остальные грузы</v>
      </c>
      <c r="E4138" s="13">
        <f>IF(RIGHT(A4138,3)="000","х",VLOOKUP(B4138,'Справочник ИХ'!A:D,4,0))</f>
        <v>3</v>
      </c>
      <c r="F4138" s="14" t="s">
        <v>5350</v>
      </c>
    </row>
    <row r="4139" spans="1:6">
      <c r="A4139" s="23">
        <v>71208</v>
      </c>
      <c r="B4139" s="12" t="str">
        <f t="shared" si="64"/>
        <v>712</v>
      </c>
      <c r="C4139" s="14" t="s">
        <v>5425</v>
      </c>
      <c r="D4139" s="13" t="str">
        <f>IF(RIGHT(A4139,3)="000",C4139,VLOOKUP(B4139,'Справочник ИХ'!A:C,3,0))</f>
        <v>Остальные грузы</v>
      </c>
      <c r="E4139" s="13">
        <f>IF(RIGHT(A4139,3)="000","х",VLOOKUP(B4139,'Справочник ИХ'!A:D,4,0))</f>
        <v>3</v>
      </c>
      <c r="F4139" s="14" t="s">
        <v>5350</v>
      </c>
    </row>
    <row r="4140" spans="1:6" ht="31.75">
      <c r="A4140" s="23">
        <v>71209</v>
      </c>
      <c r="B4140" s="12" t="str">
        <f t="shared" si="64"/>
        <v>712</v>
      </c>
      <c r="C4140" s="14" t="s">
        <v>5426</v>
      </c>
      <c r="D4140" s="13" t="str">
        <f>IF(RIGHT(A4140,3)="000",C4140,VLOOKUP(B4140,'Справочник ИХ'!A:C,3,0))</f>
        <v>Остальные грузы</v>
      </c>
      <c r="E4140" s="13">
        <f>IF(RIGHT(A4140,3)="000","х",VLOOKUP(B4140,'Справочник ИХ'!A:D,4,0))</f>
        <v>3</v>
      </c>
      <c r="F4140" s="14" t="s">
        <v>5350</v>
      </c>
    </row>
    <row r="4141" spans="1:6" ht="31.75">
      <c r="A4141" s="23">
        <v>71210</v>
      </c>
      <c r="B4141" s="12" t="str">
        <f t="shared" si="64"/>
        <v>712</v>
      </c>
      <c r="C4141" s="14" t="s">
        <v>5427</v>
      </c>
      <c r="D4141" s="13" t="str">
        <f>IF(RIGHT(A4141,3)="000",C4141,VLOOKUP(B4141,'Справочник ИХ'!A:C,3,0))</f>
        <v>Остальные грузы</v>
      </c>
      <c r="E4141" s="13">
        <f>IF(RIGHT(A4141,3)="000","х",VLOOKUP(B4141,'Справочник ИХ'!A:D,4,0))</f>
        <v>3</v>
      </c>
      <c r="F4141" s="14" t="s">
        <v>5350</v>
      </c>
    </row>
    <row r="4142" spans="1:6">
      <c r="A4142" s="23">
        <v>71211</v>
      </c>
      <c r="B4142" s="12" t="str">
        <f t="shared" si="64"/>
        <v>712</v>
      </c>
      <c r="C4142" s="14" t="s">
        <v>5428</v>
      </c>
      <c r="D4142" s="13" t="str">
        <f>IF(RIGHT(A4142,3)="000",C4142,VLOOKUP(B4142,'Справочник ИХ'!A:C,3,0))</f>
        <v>Остальные грузы</v>
      </c>
      <c r="E4142" s="13">
        <f>IF(RIGHT(A4142,3)="000","х",VLOOKUP(B4142,'Справочник ИХ'!A:D,4,0))</f>
        <v>3</v>
      </c>
      <c r="F4142" s="14" t="s">
        <v>5350</v>
      </c>
    </row>
    <row r="4143" spans="1:6">
      <c r="A4143" s="23">
        <v>71212</v>
      </c>
      <c r="B4143" s="12" t="str">
        <f t="shared" si="64"/>
        <v>712</v>
      </c>
      <c r="C4143" s="14" t="s">
        <v>5429</v>
      </c>
      <c r="D4143" s="13" t="str">
        <f>IF(RIGHT(A4143,3)="000",C4143,VLOOKUP(B4143,'Справочник ИХ'!A:C,3,0))</f>
        <v>Остальные грузы</v>
      </c>
      <c r="E4143" s="13">
        <f>IF(RIGHT(A4143,3)="000","х",VLOOKUP(B4143,'Справочник ИХ'!A:D,4,0))</f>
        <v>3</v>
      </c>
      <c r="F4143" s="14" t="s">
        <v>5350</v>
      </c>
    </row>
    <row r="4144" spans="1:6">
      <c r="A4144" s="23">
        <v>71213</v>
      </c>
      <c r="B4144" s="12" t="str">
        <f t="shared" si="64"/>
        <v>712</v>
      </c>
      <c r="C4144" s="14" t="s">
        <v>5430</v>
      </c>
      <c r="D4144" s="13" t="str">
        <f>IF(RIGHT(A4144,3)="000",C4144,VLOOKUP(B4144,'Справочник ИХ'!A:C,3,0))</f>
        <v>Остальные грузы</v>
      </c>
      <c r="E4144" s="13">
        <f>IF(RIGHT(A4144,3)="000","х",VLOOKUP(B4144,'Справочник ИХ'!A:D,4,0))</f>
        <v>3</v>
      </c>
      <c r="F4144" s="14" t="s">
        <v>5350</v>
      </c>
    </row>
    <row r="4145" spans="1:6">
      <c r="A4145" s="23">
        <v>71214</v>
      </c>
      <c r="B4145" s="12" t="str">
        <f t="shared" si="64"/>
        <v>712</v>
      </c>
      <c r="C4145" s="14" t="s">
        <v>5431</v>
      </c>
      <c r="D4145" s="13" t="str">
        <f>IF(RIGHT(A4145,3)="000",C4145,VLOOKUP(B4145,'Справочник ИХ'!A:C,3,0))</f>
        <v>Остальные грузы</v>
      </c>
      <c r="E4145" s="13">
        <f>IF(RIGHT(A4145,3)="000","х",VLOOKUP(B4145,'Справочник ИХ'!A:D,4,0))</f>
        <v>3</v>
      </c>
      <c r="F4145" s="14" t="s">
        <v>5350</v>
      </c>
    </row>
    <row r="4146" spans="1:6">
      <c r="A4146" s="23">
        <v>71215</v>
      </c>
      <c r="B4146" s="12" t="str">
        <f t="shared" si="64"/>
        <v>712</v>
      </c>
      <c r="C4146" s="14" t="s">
        <v>5432</v>
      </c>
      <c r="D4146" s="13" t="str">
        <f>IF(RIGHT(A4146,3)="000",C4146,VLOOKUP(B4146,'Справочник ИХ'!A:C,3,0))</f>
        <v>Остальные грузы</v>
      </c>
      <c r="E4146" s="13">
        <f>IF(RIGHT(A4146,3)="000","х",VLOOKUP(B4146,'Справочник ИХ'!A:D,4,0))</f>
        <v>3</v>
      </c>
      <c r="F4146" s="14" t="s">
        <v>5350</v>
      </c>
    </row>
    <row r="4147" spans="1:6">
      <c r="A4147" s="23">
        <v>71216</v>
      </c>
      <c r="B4147" s="12" t="str">
        <f t="shared" si="64"/>
        <v>712</v>
      </c>
      <c r="C4147" s="14" t="s">
        <v>5433</v>
      </c>
      <c r="D4147" s="13" t="str">
        <f>IF(RIGHT(A4147,3)="000",C4147,VLOOKUP(B4147,'Справочник ИХ'!A:C,3,0))</f>
        <v>Остальные грузы</v>
      </c>
      <c r="E4147" s="13">
        <f>IF(RIGHT(A4147,3)="000","х",VLOOKUP(B4147,'Справочник ИХ'!A:D,4,0))</f>
        <v>3</v>
      </c>
      <c r="F4147" s="14" t="s">
        <v>5350</v>
      </c>
    </row>
    <row r="4148" spans="1:6">
      <c r="A4148" s="23">
        <v>71217</v>
      </c>
      <c r="B4148" s="12" t="str">
        <f t="shared" si="64"/>
        <v>712</v>
      </c>
      <c r="C4148" s="14" t="s">
        <v>5434</v>
      </c>
      <c r="D4148" s="13" t="str">
        <f>IF(RIGHT(A4148,3)="000",C4148,VLOOKUP(B4148,'Справочник ИХ'!A:C,3,0))</f>
        <v>Остальные грузы</v>
      </c>
      <c r="E4148" s="13">
        <f>IF(RIGHT(A4148,3)="000","х",VLOOKUP(B4148,'Справочник ИХ'!A:D,4,0))</f>
        <v>3</v>
      </c>
      <c r="F4148" s="14" t="s">
        <v>5350</v>
      </c>
    </row>
    <row r="4149" spans="1:6">
      <c r="A4149" s="23">
        <v>71218</v>
      </c>
      <c r="B4149" s="12" t="str">
        <f t="shared" si="64"/>
        <v>712</v>
      </c>
      <c r="C4149" s="14" t="s">
        <v>5435</v>
      </c>
      <c r="D4149" s="13" t="str">
        <f>IF(RIGHT(A4149,3)="000",C4149,VLOOKUP(B4149,'Справочник ИХ'!A:C,3,0))</f>
        <v>Остальные грузы</v>
      </c>
      <c r="E4149" s="13">
        <f>IF(RIGHT(A4149,3)="000","х",VLOOKUP(B4149,'Справочник ИХ'!A:D,4,0))</f>
        <v>3</v>
      </c>
      <c r="F4149" s="14" t="s">
        <v>5350</v>
      </c>
    </row>
    <row r="4150" spans="1:6">
      <c r="A4150" s="23">
        <v>71219</v>
      </c>
      <c r="B4150" s="12" t="str">
        <f t="shared" si="64"/>
        <v>712</v>
      </c>
      <c r="C4150" s="14" t="s">
        <v>5436</v>
      </c>
      <c r="D4150" s="13" t="str">
        <f>IF(RIGHT(A4150,3)="000",C4150,VLOOKUP(B4150,'Справочник ИХ'!A:C,3,0))</f>
        <v>Остальные грузы</v>
      </c>
      <c r="E4150" s="13">
        <f>IF(RIGHT(A4150,3)="000","х",VLOOKUP(B4150,'Справочник ИХ'!A:D,4,0))</f>
        <v>3</v>
      </c>
      <c r="F4150" s="14" t="s">
        <v>5350</v>
      </c>
    </row>
    <row r="4151" spans="1:6">
      <c r="A4151" s="23">
        <v>71220</v>
      </c>
      <c r="B4151" s="12" t="str">
        <f t="shared" si="64"/>
        <v>712</v>
      </c>
      <c r="C4151" s="14" t="s">
        <v>5437</v>
      </c>
      <c r="D4151" s="13" t="str">
        <f>IF(RIGHT(A4151,3)="000",C4151,VLOOKUP(B4151,'Справочник ИХ'!A:C,3,0))</f>
        <v>Остальные грузы</v>
      </c>
      <c r="E4151" s="13">
        <f>IF(RIGHT(A4151,3)="000","х",VLOOKUP(B4151,'Справочник ИХ'!A:D,4,0))</f>
        <v>3</v>
      </c>
      <c r="F4151" s="14" t="s">
        <v>5350</v>
      </c>
    </row>
    <row r="4152" spans="1:6">
      <c r="A4152" s="23">
        <v>71221</v>
      </c>
      <c r="B4152" s="12" t="str">
        <f t="shared" si="64"/>
        <v>712</v>
      </c>
      <c r="C4152" s="14" t="s">
        <v>5438</v>
      </c>
      <c r="D4152" s="13" t="str">
        <f>IF(RIGHT(A4152,3)="000",C4152,VLOOKUP(B4152,'Справочник ИХ'!A:C,3,0))</f>
        <v>Остальные грузы</v>
      </c>
      <c r="E4152" s="13">
        <f>IF(RIGHT(A4152,3)="000","х",VLOOKUP(B4152,'Справочник ИХ'!A:D,4,0))</f>
        <v>3</v>
      </c>
      <c r="F4152" s="14" t="s">
        <v>5350</v>
      </c>
    </row>
    <row r="4153" spans="1:6">
      <c r="A4153" s="23">
        <v>71222</v>
      </c>
      <c r="B4153" s="12" t="str">
        <f t="shared" si="64"/>
        <v>712</v>
      </c>
      <c r="C4153" s="14" t="s">
        <v>5439</v>
      </c>
      <c r="D4153" s="13" t="str">
        <f>IF(RIGHT(A4153,3)="000",C4153,VLOOKUP(B4153,'Справочник ИХ'!A:C,3,0))</f>
        <v>Остальные грузы</v>
      </c>
      <c r="E4153" s="13">
        <f>IF(RIGHT(A4153,3)="000","х",VLOOKUP(B4153,'Справочник ИХ'!A:D,4,0))</f>
        <v>3</v>
      </c>
      <c r="F4153" s="14" t="s">
        <v>5350</v>
      </c>
    </row>
    <row r="4154" spans="1:6">
      <c r="A4154" s="23">
        <v>71223</v>
      </c>
      <c r="B4154" s="12" t="str">
        <f t="shared" si="64"/>
        <v>712</v>
      </c>
      <c r="C4154" s="14" t="s">
        <v>5440</v>
      </c>
      <c r="D4154" s="13" t="str">
        <f>IF(RIGHT(A4154,3)="000",C4154,VLOOKUP(B4154,'Справочник ИХ'!A:C,3,0))</f>
        <v>Остальные грузы</v>
      </c>
      <c r="E4154" s="13">
        <f>IF(RIGHT(A4154,3)="000","х",VLOOKUP(B4154,'Справочник ИХ'!A:D,4,0))</f>
        <v>3</v>
      </c>
      <c r="F4154" s="14" t="s">
        <v>5350</v>
      </c>
    </row>
    <row r="4155" spans="1:6" ht="31.75">
      <c r="A4155" s="23">
        <v>71224</v>
      </c>
      <c r="B4155" s="12" t="str">
        <f t="shared" si="64"/>
        <v>712</v>
      </c>
      <c r="C4155" s="14" t="s">
        <v>5441</v>
      </c>
      <c r="D4155" s="13" t="str">
        <f>IF(RIGHT(A4155,3)="000",C4155,VLOOKUP(B4155,'Справочник ИХ'!A:C,3,0))</f>
        <v>Остальные грузы</v>
      </c>
      <c r="E4155" s="13">
        <f>IF(RIGHT(A4155,3)="000","х",VLOOKUP(B4155,'Справочник ИХ'!A:D,4,0))</f>
        <v>3</v>
      </c>
      <c r="F4155" s="14" t="s">
        <v>5350</v>
      </c>
    </row>
    <row r="4156" spans="1:6" ht="31.75">
      <c r="A4156" s="23">
        <v>71225</v>
      </c>
      <c r="B4156" s="12" t="str">
        <f t="shared" si="64"/>
        <v>712</v>
      </c>
      <c r="C4156" s="14" t="s">
        <v>5442</v>
      </c>
      <c r="D4156" s="13" t="str">
        <f>IF(RIGHT(A4156,3)="000",C4156,VLOOKUP(B4156,'Справочник ИХ'!A:C,3,0))</f>
        <v>Остальные грузы</v>
      </c>
      <c r="E4156" s="13">
        <f>IF(RIGHT(A4156,3)="000","х",VLOOKUP(B4156,'Справочник ИХ'!A:D,4,0))</f>
        <v>3</v>
      </c>
      <c r="F4156" s="14" t="s">
        <v>5350</v>
      </c>
    </row>
    <row r="4157" spans="1:6">
      <c r="A4157" s="23">
        <v>71226</v>
      </c>
      <c r="B4157" s="12" t="str">
        <f t="shared" si="64"/>
        <v>712</v>
      </c>
      <c r="C4157" s="14" t="s">
        <v>5443</v>
      </c>
      <c r="D4157" s="13" t="str">
        <f>IF(RIGHT(A4157,3)="000",C4157,VLOOKUP(B4157,'Справочник ИХ'!A:C,3,0))</f>
        <v>Остальные грузы</v>
      </c>
      <c r="E4157" s="13">
        <f>IF(RIGHT(A4157,3)="000","х",VLOOKUP(B4157,'Справочник ИХ'!A:D,4,0))</f>
        <v>3</v>
      </c>
      <c r="F4157" s="14" t="s">
        <v>5350</v>
      </c>
    </row>
    <row r="4158" spans="1:6">
      <c r="A4158" s="23">
        <v>71227</v>
      </c>
      <c r="B4158" s="12" t="str">
        <f t="shared" si="64"/>
        <v>712</v>
      </c>
      <c r="C4158" s="14" t="s">
        <v>5444</v>
      </c>
      <c r="D4158" s="13" t="str">
        <f>IF(RIGHT(A4158,3)="000",C4158,VLOOKUP(B4158,'Справочник ИХ'!A:C,3,0))</f>
        <v>Остальные грузы</v>
      </c>
      <c r="E4158" s="13">
        <f>IF(RIGHT(A4158,3)="000","х",VLOOKUP(B4158,'Справочник ИХ'!A:D,4,0))</f>
        <v>3</v>
      </c>
      <c r="F4158" s="14" t="s">
        <v>5350</v>
      </c>
    </row>
    <row r="4159" spans="1:6">
      <c r="A4159" s="23">
        <v>71228</v>
      </c>
      <c r="B4159" s="12" t="str">
        <f t="shared" si="64"/>
        <v>712</v>
      </c>
      <c r="C4159" s="14" t="s">
        <v>5445</v>
      </c>
      <c r="D4159" s="13" t="str">
        <f>IF(RIGHT(A4159,3)="000",C4159,VLOOKUP(B4159,'Справочник ИХ'!A:C,3,0))</f>
        <v>Остальные грузы</v>
      </c>
      <c r="E4159" s="13">
        <f>IF(RIGHT(A4159,3)="000","х",VLOOKUP(B4159,'Справочник ИХ'!A:D,4,0))</f>
        <v>3</v>
      </c>
      <c r="F4159" s="14" t="s">
        <v>5350</v>
      </c>
    </row>
    <row r="4160" spans="1:6">
      <c r="A4160" s="23">
        <v>71229</v>
      </c>
      <c r="B4160" s="12" t="str">
        <f t="shared" si="64"/>
        <v>712</v>
      </c>
      <c r="C4160" s="14" t="s">
        <v>5446</v>
      </c>
      <c r="D4160" s="13" t="str">
        <f>IF(RIGHT(A4160,3)="000",C4160,VLOOKUP(B4160,'Справочник ИХ'!A:C,3,0))</f>
        <v>Остальные грузы</v>
      </c>
      <c r="E4160" s="13">
        <f>IF(RIGHT(A4160,3)="000","х",VLOOKUP(B4160,'Справочник ИХ'!A:D,4,0))</f>
        <v>3</v>
      </c>
      <c r="F4160" s="14" t="s">
        <v>5350</v>
      </c>
    </row>
    <row r="4161" spans="1:6">
      <c r="A4161" s="23">
        <v>71230</v>
      </c>
      <c r="B4161" s="12" t="str">
        <f t="shared" si="64"/>
        <v>712</v>
      </c>
      <c r="C4161" s="14" t="s">
        <v>5447</v>
      </c>
      <c r="D4161" s="13" t="str">
        <f>IF(RIGHT(A4161,3)="000",C4161,VLOOKUP(B4161,'Справочник ИХ'!A:C,3,0))</f>
        <v>Остальные грузы</v>
      </c>
      <c r="E4161" s="13">
        <f>IF(RIGHT(A4161,3)="000","х",VLOOKUP(B4161,'Справочник ИХ'!A:D,4,0))</f>
        <v>3</v>
      </c>
      <c r="F4161" s="14" t="s">
        <v>5350</v>
      </c>
    </row>
    <row r="4162" spans="1:6">
      <c r="A4162" s="23">
        <v>71231</v>
      </c>
      <c r="B4162" s="12" t="str">
        <f t="shared" si="64"/>
        <v>712</v>
      </c>
      <c r="C4162" s="14" t="s">
        <v>5448</v>
      </c>
      <c r="D4162" s="13" t="str">
        <f>IF(RIGHT(A4162,3)="000",C4162,VLOOKUP(B4162,'Справочник ИХ'!A:C,3,0))</f>
        <v>Остальные грузы</v>
      </c>
      <c r="E4162" s="13">
        <f>IF(RIGHT(A4162,3)="000","х",VLOOKUP(B4162,'Справочник ИХ'!A:D,4,0))</f>
        <v>3</v>
      </c>
      <c r="F4162" s="14" t="s">
        <v>5350</v>
      </c>
    </row>
    <row r="4163" spans="1:6">
      <c r="A4163" s="23">
        <v>71232</v>
      </c>
      <c r="B4163" s="12" t="str">
        <f t="shared" si="64"/>
        <v>712</v>
      </c>
      <c r="C4163" s="14" t="s">
        <v>5449</v>
      </c>
      <c r="D4163" s="13" t="str">
        <f>IF(RIGHT(A4163,3)="000",C4163,VLOOKUP(B4163,'Справочник ИХ'!A:C,3,0))</f>
        <v>Остальные грузы</v>
      </c>
      <c r="E4163" s="13">
        <f>IF(RIGHT(A4163,3)="000","х",VLOOKUP(B4163,'Справочник ИХ'!A:D,4,0))</f>
        <v>3</v>
      </c>
      <c r="F4163" s="14" t="s">
        <v>5350</v>
      </c>
    </row>
    <row r="4164" spans="1:6">
      <c r="A4164" s="23">
        <v>71233</v>
      </c>
      <c r="B4164" s="12" t="str">
        <f t="shared" si="64"/>
        <v>712</v>
      </c>
      <c r="C4164" s="14" t="s">
        <v>5450</v>
      </c>
      <c r="D4164" s="13" t="str">
        <f>IF(RIGHT(A4164,3)="000",C4164,VLOOKUP(B4164,'Справочник ИХ'!A:C,3,0))</f>
        <v>Остальные грузы</v>
      </c>
      <c r="E4164" s="13">
        <f>IF(RIGHT(A4164,3)="000","х",VLOOKUP(B4164,'Справочник ИХ'!A:D,4,0))</f>
        <v>3</v>
      </c>
      <c r="F4164" s="14" t="s">
        <v>5350</v>
      </c>
    </row>
    <row r="4165" spans="1:6">
      <c r="A4165" s="23">
        <v>71234</v>
      </c>
      <c r="B4165" s="12" t="str">
        <f t="shared" ref="B4165:B4228" si="65">LEFT(A4165,3)</f>
        <v>712</v>
      </c>
      <c r="C4165" s="14" t="s">
        <v>5451</v>
      </c>
      <c r="D4165" s="13" t="str">
        <f>IF(RIGHT(A4165,3)="000",C4165,VLOOKUP(B4165,'Справочник ИХ'!A:C,3,0))</f>
        <v>Остальные грузы</v>
      </c>
      <c r="E4165" s="13">
        <f>IF(RIGHT(A4165,3)="000","х",VLOOKUP(B4165,'Справочник ИХ'!A:D,4,0))</f>
        <v>3</v>
      </c>
      <c r="F4165" s="14" t="s">
        <v>5350</v>
      </c>
    </row>
    <row r="4166" spans="1:6">
      <c r="A4166" s="23">
        <v>71235</v>
      </c>
      <c r="B4166" s="12" t="str">
        <f t="shared" si="65"/>
        <v>712</v>
      </c>
      <c r="C4166" s="14" t="s">
        <v>5452</v>
      </c>
      <c r="D4166" s="13" t="str">
        <f>IF(RIGHT(A4166,3)="000",C4166,VLOOKUP(B4166,'Справочник ИХ'!A:C,3,0))</f>
        <v>Остальные грузы</v>
      </c>
      <c r="E4166" s="13">
        <f>IF(RIGHT(A4166,3)="000","х",VLOOKUP(B4166,'Справочник ИХ'!A:D,4,0))</f>
        <v>3</v>
      </c>
      <c r="F4166" s="14" t="s">
        <v>5350</v>
      </c>
    </row>
    <row r="4167" spans="1:6">
      <c r="A4167" s="23">
        <v>71236</v>
      </c>
      <c r="B4167" s="12" t="str">
        <f t="shared" si="65"/>
        <v>712</v>
      </c>
      <c r="C4167" s="14" t="s">
        <v>5453</v>
      </c>
      <c r="D4167" s="13" t="str">
        <f>IF(RIGHT(A4167,3)="000",C4167,VLOOKUP(B4167,'Справочник ИХ'!A:C,3,0))</f>
        <v>Остальные грузы</v>
      </c>
      <c r="E4167" s="13">
        <f>IF(RIGHT(A4167,3)="000","х",VLOOKUP(B4167,'Справочник ИХ'!A:D,4,0))</f>
        <v>3</v>
      </c>
      <c r="F4167" s="14" t="s">
        <v>5350</v>
      </c>
    </row>
    <row r="4168" spans="1:6">
      <c r="A4168" s="23">
        <v>71237</v>
      </c>
      <c r="B4168" s="12" t="str">
        <f t="shared" si="65"/>
        <v>712</v>
      </c>
      <c r="C4168" s="14" t="s">
        <v>5454</v>
      </c>
      <c r="D4168" s="13" t="str">
        <f>IF(RIGHT(A4168,3)="000",C4168,VLOOKUP(B4168,'Справочник ИХ'!A:C,3,0))</f>
        <v>Остальные грузы</v>
      </c>
      <c r="E4168" s="13">
        <f>IF(RIGHT(A4168,3)="000","х",VLOOKUP(B4168,'Справочник ИХ'!A:D,4,0))</f>
        <v>3</v>
      </c>
      <c r="F4168" s="14" t="s">
        <v>5350</v>
      </c>
    </row>
    <row r="4169" spans="1:6">
      <c r="A4169" s="23">
        <v>71238</v>
      </c>
      <c r="B4169" s="12" t="str">
        <f t="shared" si="65"/>
        <v>712</v>
      </c>
      <c r="C4169" s="14" t="s">
        <v>5455</v>
      </c>
      <c r="D4169" s="13" t="str">
        <f>IF(RIGHT(A4169,3)="000",C4169,VLOOKUP(B4169,'Справочник ИХ'!A:C,3,0))</f>
        <v>Остальные грузы</v>
      </c>
      <c r="E4169" s="13">
        <f>IF(RIGHT(A4169,3)="000","х",VLOOKUP(B4169,'Справочник ИХ'!A:D,4,0))</f>
        <v>3</v>
      </c>
      <c r="F4169" s="14" t="s">
        <v>5350</v>
      </c>
    </row>
    <row r="4170" spans="1:6">
      <c r="A4170" s="23">
        <v>71240</v>
      </c>
      <c r="B4170" s="12" t="str">
        <f t="shared" si="65"/>
        <v>712</v>
      </c>
      <c r="C4170" s="14" t="s">
        <v>5456</v>
      </c>
      <c r="D4170" s="13" t="str">
        <f>IF(RIGHT(A4170,3)="000",C4170,VLOOKUP(B4170,'Справочник ИХ'!A:C,3,0))</f>
        <v>Остальные грузы</v>
      </c>
      <c r="E4170" s="13">
        <f>IF(RIGHT(A4170,3)="000","х",VLOOKUP(B4170,'Справочник ИХ'!A:D,4,0))</f>
        <v>3</v>
      </c>
      <c r="F4170" s="14" t="s">
        <v>5350</v>
      </c>
    </row>
    <row r="4171" spans="1:6">
      <c r="A4171" s="23">
        <v>71241</v>
      </c>
      <c r="B4171" s="12" t="str">
        <f t="shared" si="65"/>
        <v>712</v>
      </c>
      <c r="C4171" s="14" t="s">
        <v>5457</v>
      </c>
      <c r="D4171" s="13" t="str">
        <f>IF(RIGHT(A4171,3)="000",C4171,VLOOKUP(B4171,'Справочник ИХ'!A:C,3,0))</f>
        <v>Остальные грузы</v>
      </c>
      <c r="E4171" s="13">
        <f>IF(RIGHT(A4171,3)="000","х",VLOOKUP(B4171,'Справочник ИХ'!A:D,4,0))</f>
        <v>3</v>
      </c>
      <c r="F4171" s="14" t="s">
        <v>5350</v>
      </c>
    </row>
    <row r="4172" spans="1:6">
      <c r="A4172" s="23">
        <v>71242</v>
      </c>
      <c r="B4172" s="12" t="str">
        <f t="shared" si="65"/>
        <v>712</v>
      </c>
      <c r="C4172" s="14" t="s">
        <v>5458</v>
      </c>
      <c r="D4172" s="13" t="str">
        <f>IF(RIGHT(A4172,3)="000",C4172,VLOOKUP(B4172,'Справочник ИХ'!A:C,3,0))</f>
        <v>Остальные грузы</v>
      </c>
      <c r="E4172" s="13">
        <f>IF(RIGHT(A4172,3)="000","х",VLOOKUP(B4172,'Справочник ИХ'!A:D,4,0))</f>
        <v>3</v>
      </c>
      <c r="F4172" s="14" t="s">
        <v>5350</v>
      </c>
    </row>
    <row r="4173" spans="1:6">
      <c r="A4173" s="23">
        <v>71243</v>
      </c>
      <c r="B4173" s="12" t="str">
        <f t="shared" si="65"/>
        <v>712</v>
      </c>
      <c r="C4173" s="14" t="s">
        <v>5459</v>
      </c>
      <c r="D4173" s="13" t="str">
        <f>IF(RIGHT(A4173,3)="000",C4173,VLOOKUP(B4173,'Справочник ИХ'!A:C,3,0))</f>
        <v>Остальные грузы</v>
      </c>
      <c r="E4173" s="13">
        <f>IF(RIGHT(A4173,3)="000","х",VLOOKUP(B4173,'Справочник ИХ'!A:D,4,0))</f>
        <v>3</v>
      </c>
      <c r="F4173" s="14" t="s">
        <v>5350</v>
      </c>
    </row>
    <row r="4174" spans="1:6">
      <c r="A4174" s="23">
        <v>71244</v>
      </c>
      <c r="B4174" s="12" t="str">
        <f t="shared" si="65"/>
        <v>712</v>
      </c>
      <c r="C4174" s="14" t="s">
        <v>5460</v>
      </c>
      <c r="D4174" s="13" t="str">
        <f>IF(RIGHT(A4174,3)="000",C4174,VLOOKUP(B4174,'Справочник ИХ'!A:C,3,0))</f>
        <v>Остальные грузы</v>
      </c>
      <c r="E4174" s="13">
        <f>IF(RIGHT(A4174,3)="000","х",VLOOKUP(B4174,'Справочник ИХ'!A:D,4,0))</f>
        <v>3</v>
      </c>
      <c r="F4174" s="14" t="s">
        <v>5350</v>
      </c>
    </row>
    <row r="4175" spans="1:6">
      <c r="A4175" s="23">
        <v>71245</v>
      </c>
      <c r="B4175" s="12" t="str">
        <f t="shared" si="65"/>
        <v>712</v>
      </c>
      <c r="C4175" s="14" t="s">
        <v>5461</v>
      </c>
      <c r="D4175" s="13" t="str">
        <f>IF(RIGHT(A4175,3)="000",C4175,VLOOKUP(B4175,'Справочник ИХ'!A:C,3,0))</f>
        <v>Остальные грузы</v>
      </c>
      <c r="E4175" s="13">
        <f>IF(RIGHT(A4175,3)="000","х",VLOOKUP(B4175,'Справочник ИХ'!A:D,4,0))</f>
        <v>3</v>
      </c>
      <c r="F4175" s="14" t="s">
        <v>5350</v>
      </c>
    </row>
    <row r="4176" spans="1:6">
      <c r="A4176" s="23">
        <v>71246</v>
      </c>
      <c r="B4176" s="12" t="str">
        <f t="shared" si="65"/>
        <v>712</v>
      </c>
      <c r="C4176" s="14" t="s">
        <v>5462</v>
      </c>
      <c r="D4176" s="13" t="str">
        <f>IF(RIGHT(A4176,3)="000",C4176,VLOOKUP(B4176,'Справочник ИХ'!A:C,3,0))</f>
        <v>Остальные грузы</v>
      </c>
      <c r="E4176" s="13">
        <f>IF(RIGHT(A4176,3)="000","х",VLOOKUP(B4176,'Справочник ИХ'!A:D,4,0))</f>
        <v>3</v>
      </c>
      <c r="F4176" s="14" t="s">
        <v>5350</v>
      </c>
    </row>
    <row r="4177" spans="1:6" ht="31.75">
      <c r="A4177" s="23">
        <v>71247</v>
      </c>
      <c r="B4177" s="12" t="str">
        <f t="shared" si="65"/>
        <v>712</v>
      </c>
      <c r="C4177" s="14" t="s">
        <v>5463</v>
      </c>
      <c r="D4177" s="13" t="str">
        <f>IF(RIGHT(A4177,3)="000",C4177,VLOOKUP(B4177,'Справочник ИХ'!A:C,3,0))</f>
        <v>Остальные грузы</v>
      </c>
      <c r="E4177" s="13">
        <f>IF(RIGHT(A4177,3)="000","х",VLOOKUP(B4177,'Справочник ИХ'!A:D,4,0))</f>
        <v>3</v>
      </c>
      <c r="F4177" s="14" t="s">
        <v>5350</v>
      </c>
    </row>
    <row r="4178" spans="1:6" ht="31.75">
      <c r="A4178" s="23">
        <v>71248</v>
      </c>
      <c r="B4178" s="12" t="str">
        <f t="shared" si="65"/>
        <v>712</v>
      </c>
      <c r="C4178" s="14" t="s">
        <v>5464</v>
      </c>
      <c r="D4178" s="13" t="str">
        <f>IF(RIGHT(A4178,3)="000",C4178,VLOOKUP(B4178,'Справочник ИХ'!A:C,3,0))</f>
        <v>Остальные грузы</v>
      </c>
      <c r="E4178" s="13">
        <f>IF(RIGHT(A4178,3)="000","х",VLOOKUP(B4178,'Справочник ИХ'!A:D,4,0))</f>
        <v>3</v>
      </c>
      <c r="F4178" s="14" t="s">
        <v>5350</v>
      </c>
    </row>
    <row r="4179" spans="1:6">
      <c r="A4179" s="23">
        <v>71249</v>
      </c>
      <c r="B4179" s="12" t="str">
        <f t="shared" si="65"/>
        <v>712</v>
      </c>
      <c r="C4179" s="14" t="s">
        <v>5465</v>
      </c>
      <c r="D4179" s="13" t="str">
        <f>IF(RIGHT(A4179,3)="000",C4179,VLOOKUP(B4179,'Справочник ИХ'!A:C,3,0))</f>
        <v>Остальные грузы</v>
      </c>
      <c r="E4179" s="13">
        <f>IF(RIGHT(A4179,3)="000","х",VLOOKUP(B4179,'Справочник ИХ'!A:D,4,0))</f>
        <v>3</v>
      </c>
      <c r="F4179" s="14" t="s">
        <v>5350</v>
      </c>
    </row>
    <row r="4180" spans="1:6">
      <c r="A4180" s="23">
        <v>71250</v>
      </c>
      <c r="B4180" s="12" t="str">
        <f t="shared" si="65"/>
        <v>712</v>
      </c>
      <c r="C4180" s="14" t="s">
        <v>5466</v>
      </c>
      <c r="D4180" s="13" t="str">
        <f>IF(RIGHT(A4180,3)="000",C4180,VLOOKUP(B4180,'Справочник ИХ'!A:C,3,0))</f>
        <v>Остальные грузы</v>
      </c>
      <c r="E4180" s="13">
        <f>IF(RIGHT(A4180,3)="000","х",VLOOKUP(B4180,'Справочник ИХ'!A:D,4,0))</f>
        <v>3</v>
      </c>
      <c r="F4180" s="14" t="s">
        <v>5350</v>
      </c>
    </row>
    <row r="4181" spans="1:6">
      <c r="A4181" s="23">
        <v>71251</v>
      </c>
      <c r="B4181" s="12" t="str">
        <f t="shared" si="65"/>
        <v>712</v>
      </c>
      <c r="C4181" s="14" t="s">
        <v>5467</v>
      </c>
      <c r="D4181" s="13" t="str">
        <f>IF(RIGHT(A4181,3)="000",C4181,VLOOKUP(B4181,'Справочник ИХ'!A:C,3,0))</f>
        <v>Остальные грузы</v>
      </c>
      <c r="E4181" s="13">
        <f>IF(RIGHT(A4181,3)="000","х",VLOOKUP(B4181,'Справочник ИХ'!A:D,4,0))</f>
        <v>3</v>
      </c>
      <c r="F4181" s="14" t="s">
        <v>5350</v>
      </c>
    </row>
    <row r="4182" spans="1:6">
      <c r="A4182" s="23">
        <v>71252</v>
      </c>
      <c r="B4182" s="12" t="str">
        <f t="shared" si="65"/>
        <v>712</v>
      </c>
      <c r="C4182" s="14" t="s">
        <v>5468</v>
      </c>
      <c r="D4182" s="13" t="str">
        <f>IF(RIGHT(A4182,3)="000",C4182,VLOOKUP(B4182,'Справочник ИХ'!A:C,3,0))</f>
        <v>Остальные грузы</v>
      </c>
      <c r="E4182" s="13">
        <f>IF(RIGHT(A4182,3)="000","х",VLOOKUP(B4182,'Справочник ИХ'!A:D,4,0))</f>
        <v>3</v>
      </c>
      <c r="F4182" s="14" t="s">
        <v>5350</v>
      </c>
    </row>
    <row r="4183" spans="1:6">
      <c r="A4183" s="23">
        <v>71253</v>
      </c>
      <c r="B4183" s="12" t="str">
        <f t="shared" si="65"/>
        <v>712</v>
      </c>
      <c r="C4183" s="14" t="s">
        <v>5469</v>
      </c>
      <c r="D4183" s="13" t="str">
        <f>IF(RIGHT(A4183,3)="000",C4183,VLOOKUP(B4183,'Справочник ИХ'!A:C,3,0))</f>
        <v>Остальные грузы</v>
      </c>
      <c r="E4183" s="13">
        <f>IF(RIGHT(A4183,3)="000","х",VLOOKUP(B4183,'Справочник ИХ'!A:D,4,0))</f>
        <v>3</v>
      </c>
      <c r="F4183" s="14" t="s">
        <v>5350</v>
      </c>
    </row>
    <row r="4184" spans="1:6">
      <c r="A4184" s="23">
        <v>71254</v>
      </c>
      <c r="B4184" s="12" t="str">
        <f t="shared" si="65"/>
        <v>712</v>
      </c>
      <c r="C4184" s="14" t="s">
        <v>5470</v>
      </c>
      <c r="D4184" s="13" t="str">
        <f>IF(RIGHT(A4184,3)="000",C4184,VLOOKUP(B4184,'Справочник ИХ'!A:C,3,0))</f>
        <v>Остальные грузы</v>
      </c>
      <c r="E4184" s="13">
        <f>IF(RIGHT(A4184,3)="000","х",VLOOKUP(B4184,'Справочник ИХ'!A:D,4,0))</f>
        <v>3</v>
      </c>
      <c r="F4184" s="14" t="s">
        <v>5350</v>
      </c>
    </row>
    <row r="4185" spans="1:6">
      <c r="A4185" s="23">
        <v>71255</v>
      </c>
      <c r="B4185" s="12" t="str">
        <f t="shared" si="65"/>
        <v>712</v>
      </c>
      <c r="C4185" s="14" t="s">
        <v>5471</v>
      </c>
      <c r="D4185" s="13" t="str">
        <f>IF(RIGHT(A4185,3)="000",C4185,VLOOKUP(B4185,'Справочник ИХ'!A:C,3,0))</f>
        <v>Остальные грузы</v>
      </c>
      <c r="E4185" s="13">
        <f>IF(RIGHT(A4185,3)="000","х",VLOOKUP(B4185,'Справочник ИХ'!A:D,4,0))</f>
        <v>3</v>
      </c>
      <c r="F4185" s="14" t="s">
        <v>5350</v>
      </c>
    </row>
    <row r="4186" spans="1:6">
      <c r="A4186" s="23">
        <v>71256</v>
      </c>
      <c r="B4186" s="12" t="str">
        <f t="shared" si="65"/>
        <v>712</v>
      </c>
      <c r="C4186" s="14" t="s">
        <v>5472</v>
      </c>
      <c r="D4186" s="13" t="str">
        <f>IF(RIGHT(A4186,3)="000",C4186,VLOOKUP(B4186,'Справочник ИХ'!A:C,3,0))</f>
        <v>Остальные грузы</v>
      </c>
      <c r="E4186" s="13">
        <f>IF(RIGHT(A4186,3)="000","х",VLOOKUP(B4186,'Справочник ИХ'!A:D,4,0))</f>
        <v>3</v>
      </c>
      <c r="F4186" s="14" t="s">
        <v>5350</v>
      </c>
    </row>
    <row r="4187" spans="1:6">
      <c r="A4187" s="23">
        <v>71257</v>
      </c>
      <c r="B4187" s="12" t="str">
        <f t="shared" si="65"/>
        <v>712</v>
      </c>
      <c r="C4187" s="14" t="s">
        <v>5473</v>
      </c>
      <c r="D4187" s="13" t="str">
        <f>IF(RIGHT(A4187,3)="000",C4187,VLOOKUP(B4187,'Справочник ИХ'!A:C,3,0))</f>
        <v>Остальные грузы</v>
      </c>
      <c r="E4187" s="13">
        <f>IF(RIGHT(A4187,3)="000","х",VLOOKUP(B4187,'Справочник ИХ'!A:D,4,0))</f>
        <v>3</v>
      </c>
      <c r="F4187" s="14" t="s">
        <v>5350</v>
      </c>
    </row>
    <row r="4188" spans="1:6">
      <c r="A4188" s="23">
        <v>71258</v>
      </c>
      <c r="B4188" s="12" t="str">
        <f t="shared" si="65"/>
        <v>712</v>
      </c>
      <c r="C4188" s="14" t="s">
        <v>5474</v>
      </c>
      <c r="D4188" s="13" t="str">
        <f>IF(RIGHT(A4188,3)="000",C4188,VLOOKUP(B4188,'Справочник ИХ'!A:C,3,0))</f>
        <v>Остальные грузы</v>
      </c>
      <c r="E4188" s="13">
        <f>IF(RIGHT(A4188,3)="000","х",VLOOKUP(B4188,'Справочник ИХ'!A:D,4,0))</f>
        <v>3</v>
      </c>
      <c r="F4188" s="14" t="s">
        <v>5350</v>
      </c>
    </row>
    <row r="4189" spans="1:6">
      <c r="A4189" s="23">
        <v>71259</v>
      </c>
      <c r="B4189" s="12" t="str">
        <f t="shared" si="65"/>
        <v>712</v>
      </c>
      <c r="C4189" s="14" t="s">
        <v>5475</v>
      </c>
      <c r="D4189" s="13" t="str">
        <f>IF(RIGHT(A4189,3)="000",C4189,VLOOKUP(B4189,'Справочник ИХ'!A:C,3,0))</f>
        <v>Остальные грузы</v>
      </c>
      <c r="E4189" s="13">
        <f>IF(RIGHT(A4189,3)="000","х",VLOOKUP(B4189,'Справочник ИХ'!A:D,4,0))</f>
        <v>3</v>
      </c>
      <c r="F4189" s="14" t="s">
        <v>5350</v>
      </c>
    </row>
    <row r="4190" spans="1:6">
      <c r="A4190" s="23">
        <v>71260</v>
      </c>
      <c r="B4190" s="12" t="str">
        <f t="shared" si="65"/>
        <v>712</v>
      </c>
      <c r="C4190" s="14" t="s">
        <v>5476</v>
      </c>
      <c r="D4190" s="13" t="str">
        <f>IF(RIGHT(A4190,3)="000",C4190,VLOOKUP(B4190,'Справочник ИХ'!A:C,3,0))</f>
        <v>Остальные грузы</v>
      </c>
      <c r="E4190" s="13">
        <f>IF(RIGHT(A4190,3)="000","х",VLOOKUP(B4190,'Справочник ИХ'!A:D,4,0))</f>
        <v>3</v>
      </c>
      <c r="F4190" s="14" t="s">
        <v>5350</v>
      </c>
    </row>
    <row r="4191" spans="1:6">
      <c r="A4191" s="23">
        <v>71261</v>
      </c>
      <c r="B4191" s="12" t="str">
        <f t="shared" si="65"/>
        <v>712</v>
      </c>
      <c r="C4191" s="14" t="s">
        <v>5477</v>
      </c>
      <c r="D4191" s="13" t="str">
        <f>IF(RIGHT(A4191,3)="000",C4191,VLOOKUP(B4191,'Справочник ИХ'!A:C,3,0))</f>
        <v>Остальные грузы</v>
      </c>
      <c r="E4191" s="13">
        <f>IF(RIGHT(A4191,3)="000","х",VLOOKUP(B4191,'Справочник ИХ'!A:D,4,0))</f>
        <v>3</v>
      </c>
      <c r="F4191" s="14" t="s">
        <v>5350</v>
      </c>
    </row>
    <row r="4192" spans="1:6" s="18" customFormat="1">
      <c r="A4192" s="34">
        <v>71300</v>
      </c>
      <c r="B4192" s="12" t="str">
        <f t="shared" si="65"/>
        <v>713</v>
      </c>
      <c r="C4192" s="18" t="s">
        <v>5478</v>
      </c>
      <c r="D4192" s="13" t="str">
        <f>IF(RIGHT(A4192,3)="000",C4192,VLOOKUP(B4192,'Справочник ИХ'!A:C,3,0))</f>
        <v>Остальные грузы</v>
      </c>
      <c r="E4192" s="13">
        <f>IF(RIGHT(A4192,3)="000","х",VLOOKUP(B4192,'Справочник ИХ'!A:D,4,0))</f>
        <v>3</v>
      </c>
      <c r="F4192" s="14" t="s">
        <v>5350</v>
      </c>
    </row>
    <row r="4193" spans="1:6">
      <c r="A4193" s="23">
        <v>71301</v>
      </c>
      <c r="B4193" s="12" t="str">
        <f t="shared" si="65"/>
        <v>713</v>
      </c>
      <c r="C4193" s="14" t="s">
        <v>5479</v>
      </c>
      <c r="D4193" s="13" t="str">
        <f>IF(RIGHT(A4193,3)="000",C4193,VLOOKUP(B4193,'Справочник ИХ'!A:C,3,0))</f>
        <v>Остальные грузы</v>
      </c>
      <c r="E4193" s="13">
        <f>IF(RIGHT(A4193,3)="000","х",VLOOKUP(B4193,'Справочник ИХ'!A:D,4,0))</f>
        <v>3</v>
      </c>
      <c r="F4193" s="14" t="s">
        <v>5350</v>
      </c>
    </row>
    <row r="4194" spans="1:6">
      <c r="A4194" s="23">
        <v>71302</v>
      </c>
      <c r="B4194" s="12" t="str">
        <f t="shared" si="65"/>
        <v>713</v>
      </c>
      <c r="C4194" s="14" t="s">
        <v>5480</v>
      </c>
      <c r="D4194" s="13" t="str">
        <f>IF(RIGHT(A4194,3)="000",C4194,VLOOKUP(B4194,'Справочник ИХ'!A:C,3,0))</f>
        <v>Остальные грузы</v>
      </c>
      <c r="E4194" s="13">
        <f>IF(RIGHT(A4194,3)="000","х",VLOOKUP(B4194,'Справочник ИХ'!A:D,4,0))</f>
        <v>3</v>
      </c>
      <c r="F4194" s="14" t="s">
        <v>5350</v>
      </c>
    </row>
    <row r="4195" spans="1:6">
      <c r="A4195" s="23">
        <v>71303</v>
      </c>
      <c r="B4195" s="12" t="str">
        <f t="shared" si="65"/>
        <v>713</v>
      </c>
      <c r="C4195" s="14" t="s">
        <v>5481</v>
      </c>
      <c r="D4195" s="13" t="str">
        <f>IF(RIGHT(A4195,3)="000",C4195,VLOOKUP(B4195,'Справочник ИХ'!A:C,3,0))</f>
        <v>Остальные грузы</v>
      </c>
      <c r="E4195" s="13">
        <f>IF(RIGHT(A4195,3)="000","х",VLOOKUP(B4195,'Справочник ИХ'!A:D,4,0))</f>
        <v>3</v>
      </c>
      <c r="F4195" s="14" t="s">
        <v>5350</v>
      </c>
    </row>
    <row r="4196" spans="1:6">
      <c r="A4196" s="23">
        <v>71304</v>
      </c>
      <c r="B4196" s="12" t="str">
        <f t="shared" si="65"/>
        <v>713</v>
      </c>
      <c r="C4196" s="14" t="s">
        <v>5482</v>
      </c>
      <c r="D4196" s="13" t="str">
        <f>IF(RIGHT(A4196,3)="000",C4196,VLOOKUP(B4196,'Справочник ИХ'!A:C,3,0))</f>
        <v>Остальные грузы</v>
      </c>
      <c r="E4196" s="13">
        <f>IF(RIGHT(A4196,3)="000","х",VLOOKUP(B4196,'Справочник ИХ'!A:D,4,0))</f>
        <v>3</v>
      </c>
      <c r="F4196" s="14" t="s">
        <v>5350</v>
      </c>
    </row>
    <row r="4197" spans="1:6">
      <c r="A4197" s="23">
        <v>71305</v>
      </c>
      <c r="B4197" s="12" t="str">
        <f t="shared" si="65"/>
        <v>713</v>
      </c>
      <c r="C4197" s="14" t="s">
        <v>5483</v>
      </c>
      <c r="D4197" s="13" t="str">
        <f>IF(RIGHT(A4197,3)="000",C4197,VLOOKUP(B4197,'Справочник ИХ'!A:C,3,0))</f>
        <v>Остальные грузы</v>
      </c>
      <c r="E4197" s="13">
        <f>IF(RIGHT(A4197,3)="000","х",VLOOKUP(B4197,'Справочник ИХ'!A:D,4,0))</f>
        <v>3</v>
      </c>
      <c r="F4197" s="14" t="s">
        <v>5350</v>
      </c>
    </row>
    <row r="4198" spans="1:6">
      <c r="A4198" s="23">
        <v>71306</v>
      </c>
      <c r="B4198" s="12" t="str">
        <f t="shared" si="65"/>
        <v>713</v>
      </c>
      <c r="C4198" s="14" t="s">
        <v>5484</v>
      </c>
      <c r="D4198" s="13" t="str">
        <f>IF(RIGHT(A4198,3)="000",C4198,VLOOKUP(B4198,'Справочник ИХ'!A:C,3,0))</f>
        <v>Остальные грузы</v>
      </c>
      <c r="E4198" s="13">
        <f>IF(RIGHT(A4198,3)="000","х",VLOOKUP(B4198,'Справочник ИХ'!A:D,4,0))</f>
        <v>3</v>
      </c>
      <c r="F4198" s="14" t="s">
        <v>5350</v>
      </c>
    </row>
    <row r="4199" spans="1:6">
      <c r="A4199" s="23">
        <v>71307</v>
      </c>
      <c r="B4199" s="12" t="str">
        <f t="shared" si="65"/>
        <v>713</v>
      </c>
      <c r="C4199" s="14" t="s">
        <v>5485</v>
      </c>
      <c r="D4199" s="13" t="str">
        <f>IF(RIGHT(A4199,3)="000",C4199,VLOOKUP(B4199,'Справочник ИХ'!A:C,3,0))</f>
        <v>Остальные грузы</v>
      </c>
      <c r="E4199" s="13">
        <f>IF(RIGHT(A4199,3)="000","х",VLOOKUP(B4199,'Справочник ИХ'!A:D,4,0))</f>
        <v>3</v>
      </c>
      <c r="F4199" s="14" t="s">
        <v>5350</v>
      </c>
    </row>
    <row r="4200" spans="1:6">
      <c r="A4200" s="23">
        <v>71308</v>
      </c>
      <c r="B4200" s="12" t="str">
        <f t="shared" si="65"/>
        <v>713</v>
      </c>
      <c r="C4200" s="14" t="s">
        <v>5486</v>
      </c>
      <c r="D4200" s="13" t="str">
        <f>IF(RIGHT(A4200,3)="000",C4200,VLOOKUP(B4200,'Справочник ИХ'!A:C,3,0))</f>
        <v>Остальные грузы</v>
      </c>
      <c r="E4200" s="13">
        <f>IF(RIGHT(A4200,3)="000","х",VLOOKUP(B4200,'Справочник ИХ'!A:D,4,0))</f>
        <v>3</v>
      </c>
      <c r="F4200" s="14" t="s">
        <v>5350</v>
      </c>
    </row>
    <row r="4201" spans="1:6">
      <c r="A4201" s="23">
        <v>71309</v>
      </c>
      <c r="B4201" s="12" t="str">
        <f t="shared" si="65"/>
        <v>713</v>
      </c>
      <c r="C4201" s="14" t="s">
        <v>5487</v>
      </c>
      <c r="D4201" s="13" t="str">
        <f>IF(RIGHT(A4201,3)="000",C4201,VLOOKUP(B4201,'Справочник ИХ'!A:C,3,0))</f>
        <v>Остальные грузы</v>
      </c>
      <c r="E4201" s="13">
        <f>IF(RIGHT(A4201,3)="000","х",VLOOKUP(B4201,'Справочник ИХ'!A:D,4,0))</f>
        <v>3</v>
      </c>
      <c r="F4201" s="14" t="s">
        <v>5350</v>
      </c>
    </row>
    <row r="4202" spans="1:6" ht="31.75">
      <c r="A4202" s="23">
        <v>71310</v>
      </c>
      <c r="B4202" s="12" t="str">
        <f t="shared" si="65"/>
        <v>713</v>
      </c>
      <c r="C4202" s="14" t="s">
        <v>5488</v>
      </c>
      <c r="D4202" s="13" t="str">
        <f>IF(RIGHT(A4202,3)="000",C4202,VLOOKUP(B4202,'Справочник ИХ'!A:C,3,0))</f>
        <v>Остальные грузы</v>
      </c>
      <c r="E4202" s="13">
        <f>IF(RIGHT(A4202,3)="000","х",VLOOKUP(B4202,'Справочник ИХ'!A:D,4,0))</f>
        <v>3</v>
      </c>
      <c r="F4202" s="14" t="s">
        <v>5350</v>
      </c>
    </row>
    <row r="4203" spans="1:6">
      <c r="A4203" s="23">
        <v>71311</v>
      </c>
      <c r="B4203" s="12" t="str">
        <f t="shared" si="65"/>
        <v>713</v>
      </c>
      <c r="C4203" s="14" t="s">
        <v>5489</v>
      </c>
      <c r="D4203" s="13" t="str">
        <f>IF(RIGHT(A4203,3)="000",C4203,VLOOKUP(B4203,'Справочник ИХ'!A:C,3,0))</f>
        <v>Остальные грузы</v>
      </c>
      <c r="E4203" s="13">
        <f>IF(RIGHT(A4203,3)="000","х",VLOOKUP(B4203,'Справочник ИХ'!A:D,4,0))</f>
        <v>3</v>
      </c>
      <c r="F4203" s="14" t="s">
        <v>5350</v>
      </c>
    </row>
    <row r="4204" spans="1:6">
      <c r="A4204" s="23">
        <v>71312</v>
      </c>
      <c r="B4204" s="12" t="str">
        <f t="shared" si="65"/>
        <v>713</v>
      </c>
      <c r="C4204" s="14" t="s">
        <v>5490</v>
      </c>
      <c r="D4204" s="13" t="str">
        <f>IF(RIGHT(A4204,3)="000",C4204,VLOOKUP(B4204,'Справочник ИХ'!A:C,3,0))</f>
        <v>Остальные грузы</v>
      </c>
      <c r="E4204" s="13">
        <f>IF(RIGHT(A4204,3)="000","х",VLOOKUP(B4204,'Справочник ИХ'!A:D,4,0))</f>
        <v>3</v>
      </c>
      <c r="F4204" s="14" t="s">
        <v>5350</v>
      </c>
    </row>
    <row r="4205" spans="1:6">
      <c r="A4205" s="23">
        <v>71313</v>
      </c>
      <c r="B4205" s="12" t="str">
        <f t="shared" si="65"/>
        <v>713</v>
      </c>
      <c r="C4205" s="14" t="s">
        <v>5491</v>
      </c>
      <c r="D4205" s="13" t="str">
        <f>IF(RIGHT(A4205,3)="000",C4205,VLOOKUP(B4205,'Справочник ИХ'!A:C,3,0))</f>
        <v>Остальные грузы</v>
      </c>
      <c r="E4205" s="13">
        <f>IF(RIGHT(A4205,3)="000","х",VLOOKUP(B4205,'Справочник ИХ'!A:D,4,0))</f>
        <v>3</v>
      </c>
      <c r="F4205" s="14" t="s">
        <v>5350</v>
      </c>
    </row>
    <row r="4206" spans="1:6">
      <c r="A4206" s="23">
        <v>71314</v>
      </c>
      <c r="B4206" s="12" t="str">
        <f t="shared" si="65"/>
        <v>713</v>
      </c>
      <c r="C4206" s="14" t="s">
        <v>5492</v>
      </c>
      <c r="D4206" s="13" t="str">
        <f>IF(RIGHT(A4206,3)="000",C4206,VLOOKUP(B4206,'Справочник ИХ'!A:C,3,0))</f>
        <v>Остальные грузы</v>
      </c>
      <c r="E4206" s="13">
        <f>IF(RIGHT(A4206,3)="000","х",VLOOKUP(B4206,'Справочник ИХ'!A:D,4,0))</f>
        <v>3</v>
      </c>
      <c r="F4206" s="14" t="s">
        <v>5350</v>
      </c>
    </row>
    <row r="4207" spans="1:6">
      <c r="A4207" s="23">
        <v>71315</v>
      </c>
      <c r="B4207" s="12" t="str">
        <f t="shared" si="65"/>
        <v>713</v>
      </c>
      <c r="C4207" s="14" t="s">
        <v>5493</v>
      </c>
      <c r="D4207" s="13" t="str">
        <f>IF(RIGHT(A4207,3)="000",C4207,VLOOKUP(B4207,'Справочник ИХ'!A:C,3,0))</f>
        <v>Остальные грузы</v>
      </c>
      <c r="E4207" s="13">
        <f>IF(RIGHT(A4207,3)="000","х",VLOOKUP(B4207,'Справочник ИХ'!A:D,4,0))</f>
        <v>3</v>
      </c>
      <c r="F4207" s="14" t="s">
        <v>5350</v>
      </c>
    </row>
    <row r="4208" spans="1:6">
      <c r="A4208" s="23">
        <v>71316</v>
      </c>
      <c r="B4208" s="12" t="str">
        <f t="shared" si="65"/>
        <v>713</v>
      </c>
      <c r="C4208" s="14" t="s">
        <v>5494</v>
      </c>
      <c r="D4208" s="13" t="str">
        <f>IF(RIGHT(A4208,3)="000",C4208,VLOOKUP(B4208,'Справочник ИХ'!A:C,3,0))</f>
        <v>Остальные грузы</v>
      </c>
      <c r="E4208" s="13">
        <f>IF(RIGHT(A4208,3)="000","х",VLOOKUP(B4208,'Справочник ИХ'!A:D,4,0))</f>
        <v>3</v>
      </c>
      <c r="F4208" s="14" t="s">
        <v>5350</v>
      </c>
    </row>
    <row r="4209" spans="1:6" s="15" customFormat="1" ht="47.6">
      <c r="A4209" s="33">
        <v>72000</v>
      </c>
      <c r="B4209" s="12" t="str">
        <f t="shared" si="65"/>
        <v>720</v>
      </c>
      <c r="C4209" s="15" t="s">
        <v>5495</v>
      </c>
      <c r="D4209" s="13" t="str">
        <f>IF(RIGHT(A4209,3)="000",C4209,VLOOKUP(B4209,'Справочник ИХ'!A:C,3,0))</f>
        <v>КИСЛОРОДОСОДЕРЖАЩИЕ ОРГАНИЧЕСКИЕ СОЕДИНЕНИЯ</v>
      </c>
      <c r="E4209" s="13" t="str">
        <f>IF(RIGHT(A4209,3)="000","х",VLOOKUP(B4209,'Справочник ИХ'!A:D,4,0))</f>
        <v>х</v>
      </c>
      <c r="F4209" s="14" t="s">
        <v>5495</v>
      </c>
    </row>
    <row r="4210" spans="1:6" s="18" customFormat="1" ht="31.75">
      <c r="A4210" s="34">
        <v>72100</v>
      </c>
      <c r="B4210" s="12" t="str">
        <f t="shared" si="65"/>
        <v>721</v>
      </c>
      <c r="C4210" s="18" t="s">
        <v>5496</v>
      </c>
      <c r="D4210" s="13" t="str">
        <f>IF(RIGHT(A4210,3)="000",C4210,VLOOKUP(B4210,'Справочник ИХ'!A:C,3,0))</f>
        <v>Остальные грузы</v>
      </c>
      <c r="E4210" s="13">
        <f>IF(RIGHT(A4210,3)="000","х",VLOOKUP(B4210,'Справочник ИХ'!A:D,4,0))</f>
        <v>3</v>
      </c>
      <c r="F4210" s="14" t="s">
        <v>5495</v>
      </c>
    </row>
    <row r="4211" spans="1:6" ht="31.75">
      <c r="A4211" s="23">
        <v>72101</v>
      </c>
      <c r="B4211" s="12" t="str">
        <f t="shared" si="65"/>
        <v>721</v>
      </c>
      <c r="C4211" s="14" t="s">
        <v>5497</v>
      </c>
      <c r="D4211" s="13" t="str">
        <f>IF(RIGHT(A4211,3)="000",C4211,VLOOKUP(B4211,'Справочник ИХ'!A:C,3,0))</f>
        <v>Остальные грузы</v>
      </c>
      <c r="E4211" s="13">
        <f>IF(RIGHT(A4211,3)="000","х",VLOOKUP(B4211,'Справочник ИХ'!A:D,4,0))</f>
        <v>3</v>
      </c>
      <c r="F4211" s="14" t="s">
        <v>5495</v>
      </c>
    </row>
    <row r="4212" spans="1:6" ht="31.75">
      <c r="A4212" s="23">
        <v>72102</v>
      </c>
      <c r="B4212" s="12" t="str">
        <f t="shared" si="65"/>
        <v>721</v>
      </c>
      <c r="C4212" s="14" t="s">
        <v>5498</v>
      </c>
      <c r="D4212" s="13" t="str">
        <f>IF(RIGHT(A4212,3)="000",C4212,VLOOKUP(B4212,'Справочник ИХ'!A:C,3,0))</f>
        <v>Остальные грузы</v>
      </c>
      <c r="E4212" s="13">
        <f>IF(RIGHT(A4212,3)="000","х",VLOOKUP(B4212,'Справочник ИХ'!A:D,4,0))</f>
        <v>3</v>
      </c>
      <c r="F4212" s="14" t="s">
        <v>5495</v>
      </c>
    </row>
    <row r="4213" spans="1:6" ht="31.75">
      <c r="A4213" s="23">
        <v>72103</v>
      </c>
      <c r="B4213" s="12" t="str">
        <f t="shared" si="65"/>
        <v>721</v>
      </c>
      <c r="C4213" s="14" t="s">
        <v>5499</v>
      </c>
      <c r="D4213" s="13" t="str">
        <f>IF(RIGHT(A4213,3)="000",C4213,VLOOKUP(B4213,'Справочник ИХ'!A:C,3,0))</f>
        <v>Остальные грузы</v>
      </c>
      <c r="E4213" s="13">
        <f>IF(RIGHT(A4213,3)="000","х",VLOOKUP(B4213,'Справочник ИХ'!A:D,4,0))</f>
        <v>3</v>
      </c>
      <c r="F4213" s="14" t="s">
        <v>5495</v>
      </c>
    </row>
    <row r="4214" spans="1:6" ht="31.75">
      <c r="A4214" s="23">
        <v>72104</v>
      </c>
      <c r="B4214" s="12" t="str">
        <f t="shared" si="65"/>
        <v>721</v>
      </c>
      <c r="C4214" s="14" t="s">
        <v>5500</v>
      </c>
      <c r="D4214" s="13" t="str">
        <f>IF(RIGHT(A4214,3)="000",C4214,VLOOKUP(B4214,'Справочник ИХ'!A:C,3,0))</f>
        <v>Остальные грузы</v>
      </c>
      <c r="E4214" s="13">
        <f>IF(RIGHT(A4214,3)="000","х",VLOOKUP(B4214,'Справочник ИХ'!A:D,4,0))</f>
        <v>3</v>
      </c>
      <c r="F4214" s="14" t="s">
        <v>5495</v>
      </c>
    </row>
    <row r="4215" spans="1:6" ht="31.75">
      <c r="A4215" s="23">
        <v>72105</v>
      </c>
      <c r="B4215" s="12" t="str">
        <f t="shared" si="65"/>
        <v>721</v>
      </c>
      <c r="C4215" s="14" t="s">
        <v>5501</v>
      </c>
      <c r="D4215" s="13" t="str">
        <f>IF(RIGHT(A4215,3)="000",C4215,VLOOKUP(B4215,'Справочник ИХ'!A:C,3,0))</f>
        <v>Остальные грузы</v>
      </c>
      <c r="E4215" s="13">
        <f>IF(RIGHT(A4215,3)="000","х",VLOOKUP(B4215,'Справочник ИХ'!A:D,4,0))</f>
        <v>3</v>
      </c>
      <c r="F4215" s="14" t="s">
        <v>5495</v>
      </c>
    </row>
    <row r="4216" spans="1:6" ht="31.75">
      <c r="A4216" s="23">
        <v>72106</v>
      </c>
      <c r="B4216" s="12" t="str">
        <f t="shared" si="65"/>
        <v>721</v>
      </c>
      <c r="C4216" s="14" t="s">
        <v>5502</v>
      </c>
      <c r="D4216" s="13" t="str">
        <f>IF(RIGHT(A4216,3)="000",C4216,VLOOKUP(B4216,'Справочник ИХ'!A:C,3,0))</f>
        <v>Остальные грузы</v>
      </c>
      <c r="E4216" s="13">
        <f>IF(RIGHT(A4216,3)="000","х",VLOOKUP(B4216,'Справочник ИХ'!A:D,4,0))</f>
        <v>3</v>
      </c>
      <c r="F4216" s="14" t="s">
        <v>5495</v>
      </c>
    </row>
    <row r="4217" spans="1:6" ht="31.75">
      <c r="A4217" s="23">
        <v>72107</v>
      </c>
      <c r="B4217" s="12" t="str">
        <f t="shared" si="65"/>
        <v>721</v>
      </c>
      <c r="C4217" s="14" t="s">
        <v>5503</v>
      </c>
      <c r="D4217" s="13" t="str">
        <f>IF(RIGHT(A4217,3)="000",C4217,VLOOKUP(B4217,'Справочник ИХ'!A:C,3,0))</f>
        <v>Остальные грузы</v>
      </c>
      <c r="E4217" s="13">
        <f>IF(RIGHT(A4217,3)="000","х",VLOOKUP(B4217,'Справочник ИХ'!A:D,4,0))</f>
        <v>3</v>
      </c>
      <c r="F4217" s="14" t="s">
        <v>5495</v>
      </c>
    </row>
    <row r="4218" spans="1:6" ht="31.75">
      <c r="A4218" s="23">
        <v>72108</v>
      </c>
      <c r="B4218" s="12" t="str">
        <f t="shared" si="65"/>
        <v>721</v>
      </c>
      <c r="C4218" s="14" t="s">
        <v>5504</v>
      </c>
      <c r="D4218" s="13" t="str">
        <f>IF(RIGHT(A4218,3)="000",C4218,VLOOKUP(B4218,'Справочник ИХ'!A:C,3,0))</f>
        <v>Остальные грузы</v>
      </c>
      <c r="E4218" s="13">
        <f>IF(RIGHT(A4218,3)="000","х",VLOOKUP(B4218,'Справочник ИХ'!A:D,4,0))</f>
        <v>3</v>
      </c>
      <c r="F4218" s="14" t="s">
        <v>5495</v>
      </c>
    </row>
    <row r="4219" spans="1:6" ht="31.75">
      <c r="A4219" s="23">
        <v>72109</v>
      </c>
      <c r="B4219" s="12" t="str">
        <f t="shared" si="65"/>
        <v>721</v>
      </c>
      <c r="C4219" s="14" t="s">
        <v>5505</v>
      </c>
      <c r="D4219" s="13" t="str">
        <f>IF(RIGHT(A4219,3)="000",C4219,VLOOKUP(B4219,'Справочник ИХ'!A:C,3,0))</f>
        <v>Остальные грузы</v>
      </c>
      <c r="E4219" s="13">
        <f>IF(RIGHT(A4219,3)="000","х",VLOOKUP(B4219,'Справочник ИХ'!A:D,4,0))</f>
        <v>3</v>
      </c>
      <c r="F4219" s="14" t="s">
        <v>5495</v>
      </c>
    </row>
    <row r="4220" spans="1:6" ht="31.75">
      <c r="A4220" s="23">
        <v>72110</v>
      </c>
      <c r="B4220" s="12" t="str">
        <f t="shared" si="65"/>
        <v>721</v>
      </c>
      <c r="C4220" s="14" t="s">
        <v>5506</v>
      </c>
      <c r="D4220" s="13" t="str">
        <f>IF(RIGHT(A4220,3)="000",C4220,VLOOKUP(B4220,'Справочник ИХ'!A:C,3,0))</f>
        <v>Остальные грузы</v>
      </c>
      <c r="E4220" s="13">
        <f>IF(RIGHT(A4220,3)="000","х",VLOOKUP(B4220,'Справочник ИХ'!A:D,4,0))</f>
        <v>3</v>
      </c>
      <c r="F4220" s="14" t="s">
        <v>5495</v>
      </c>
    </row>
    <row r="4221" spans="1:6" ht="31.75">
      <c r="A4221" s="23">
        <v>72111</v>
      </c>
      <c r="B4221" s="12" t="str">
        <f t="shared" si="65"/>
        <v>721</v>
      </c>
      <c r="C4221" s="14" t="s">
        <v>5507</v>
      </c>
      <c r="D4221" s="13" t="str">
        <f>IF(RIGHT(A4221,3)="000",C4221,VLOOKUP(B4221,'Справочник ИХ'!A:C,3,0))</f>
        <v>Остальные грузы</v>
      </c>
      <c r="E4221" s="13">
        <f>IF(RIGHT(A4221,3)="000","х",VLOOKUP(B4221,'Справочник ИХ'!A:D,4,0))</f>
        <v>3</v>
      </c>
      <c r="F4221" s="14" t="s">
        <v>5495</v>
      </c>
    </row>
    <row r="4222" spans="1:6" ht="31.75">
      <c r="A4222" s="23">
        <v>72112</v>
      </c>
      <c r="B4222" s="12" t="str">
        <f t="shared" si="65"/>
        <v>721</v>
      </c>
      <c r="C4222" s="14" t="s">
        <v>5508</v>
      </c>
      <c r="D4222" s="13" t="str">
        <f>IF(RIGHT(A4222,3)="000",C4222,VLOOKUP(B4222,'Справочник ИХ'!A:C,3,0))</f>
        <v>Остальные грузы</v>
      </c>
      <c r="E4222" s="13">
        <f>IF(RIGHT(A4222,3)="000","х",VLOOKUP(B4222,'Справочник ИХ'!A:D,4,0))</f>
        <v>3</v>
      </c>
      <c r="F4222" s="14" t="s">
        <v>5495</v>
      </c>
    </row>
    <row r="4223" spans="1:6" ht="31.75">
      <c r="A4223" s="23">
        <v>72114</v>
      </c>
      <c r="B4223" s="12" t="str">
        <f t="shared" si="65"/>
        <v>721</v>
      </c>
      <c r="C4223" s="14" t="s">
        <v>5509</v>
      </c>
      <c r="D4223" s="13" t="str">
        <f>IF(RIGHT(A4223,3)="000",C4223,VLOOKUP(B4223,'Справочник ИХ'!A:C,3,0))</f>
        <v>Остальные грузы</v>
      </c>
      <c r="E4223" s="13">
        <f>IF(RIGHT(A4223,3)="000","х",VLOOKUP(B4223,'Справочник ИХ'!A:D,4,0))</f>
        <v>3</v>
      </c>
      <c r="F4223" s="14" t="s">
        <v>5495</v>
      </c>
    </row>
    <row r="4224" spans="1:6" ht="31.75">
      <c r="A4224" s="23">
        <v>72115</v>
      </c>
      <c r="B4224" s="12" t="str">
        <f t="shared" si="65"/>
        <v>721</v>
      </c>
      <c r="C4224" s="14" t="s">
        <v>5510</v>
      </c>
      <c r="D4224" s="13" t="str">
        <f>IF(RIGHT(A4224,3)="000",C4224,VLOOKUP(B4224,'Справочник ИХ'!A:C,3,0))</f>
        <v>Остальные грузы</v>
      </c>
      <c r="E4224" s="13">
        <f>IF(RIGHT(A4224,3)="000","х",VLOOKUP(B4224,'Справочник ИХ'!A:D,4,0))</f>
        <v>3</v>
      </c>
      <c r="F4224" s="14" t="s">
        <v>5495</v>
      </c>
    </row>
    <row r="4225" spans="1:6" ht="31.75">
      <c r="A4225" s="23">
        <v>72116</v>
      </c>
      <c r="B4225" s="12" t="str">
        <f t="shared" si="65"/>
        <v>721</v>
      </c>
      <c r="C4225" s="14" t="s">
        <v>5511</v>
      </c>
      <c r="D4225" s="13" t="str">
        <f>IF(RIGHT(A4225,3)="000",C4225,VLOOKUP(B4225,'Справочник ИХ'!A:C,3,0))</f>
        <v>Остальные грузы</v>
      </c>
      <c r="E4225" s="13">
        <f>IF(RIGHT(A4225,3)="000","х",VLOOKUP(B4225,'Справочник ИХ'!A:D,4,0))</f>
        <v>3</v>
      </c>
      <c r="F4225" s="14" t="s">
        <v>5495</v>
      </c>
    </row>
    <row r="4226" spans="1:6" ht="31.75">
      <c r="A4226" s="23">
        <v>72117</v>
      </c>
      <c r="B4226" s="12" t="str">
        <f t="shared" si="65"/>
        <v>721</v>
      </c>
      <c r="C4226" s="14" t="s">
        <v>5512</v>
      </c>
      <c r="D4226" s="13" t="str">
        <f>IF(RIGHT(A4226,3)="000",C4226,VLOOKUP(B4226,'Справочник ИХ'!A:C,3,0))</f>
        <v>Остальные грузы</v>
      </c>
      <c r="E4226" s="13">
        <f>IF(RIGHT(A4226,3)="000","х",VLOOKUP(B4226,'Справочник ИХ'!A:D,4,0))</f>
        <v>3</v>
      </c>
      <c r="F4226" s="14" t="s">
        <v>5495</v>
      </c>
    </row>
    <row r="4227" spans="1:6" ht="31.75">
      <c r="A4227" s="23">
        <v>72118</v>
      </c>
      <c r="B4227" s="12" t="str">
        <f t="shared" si="65"/>
        <v>721</v>
      </c>
      <c r="C4227" s="14" t="s">
        <v>5513</v>
      </c>
      <c r="D4227" s="13" t="str">
        <f>IF(RIGHT(A4227,3)="000",C4227,VLOOKUP(B4227,'Справочник ИХ'!A:C,3,0))</f>
        <v>Остальные грузы</v>
      </c>
      <c r="E4227" s="13">
        <f>IF(RIGHT(A4227,3)="000","х",VLOOKUP(B4227,'Справочник ИХ'!A:D,4,0))</f>
        <v>3</v>
      </c>
      <c r="F4227" s="14" t="s">
        <v>5495</v>
      </c>
    </row>
    <row r="4228" spans="1:6" ht="31.75">
      <c r="A4228" s="23">
        <v>72119</v>
      </c>
      <c r="B4228" s="12" t="str">
        <f t="shared" si="65"/>
        <v>721</v>
      </c>
      <c r="C4228" s="14" t="s">
        <v>5514</v>
      </c>
      <c r="D4228" s="13" t="str">
        <f>IF(RIGHT(A4228,3)="000",C4228,VLOOKUP(B4228,'Справочник ИХ'!A:C,3,0))</f>
        <v>Остальные грузы</v>
      </c>
      <c r="E4228" s="13">
        <f>IF(RIGHT(A4228,3)="000","х",VLOOKUP(B4228,'Справочник ИХ'!A:D,4,0))</f>
        <v>3</v>
      </c>
      <c r="F4228" s="14" t="s">
        <v>5495</v>
      </c>
    </row>
    <row r="4229" spans="1:6" ht="31.75">
      <c r="A4229" s="23">
        <v>72120</v>
      </c>
      <c r="B4229" s="12" t="str">
        <f t="shared" ref="B4229:B4292" si="66">LEFT(A4229,3)</f>
        <v>721</v>
      </c>
      <c r="C4229" s="14" t="s">
        <v>5515</v>
      </c>
      <c r="D4229" s="13" t="str">
        <f>IF(RIGHT(A4229,3)="000",C4229,VLOOKUP(B4229,'Справочник ИХ'!A:C,3,0))</f>
        <v>Остальные грузы</v>
      </c>
      <c r="E4229" s="13">
        <f>IF(RIGHT(A4229,3)="000","х",VLOOKUP(B4229,'Справочник ИХ'!A:D,4,0))</f>
        <v>3</v>
      </c>
      <c r="F4229" s="14" t="s">
        <v>5495</v>
      </c>
    </row>
    <row r="4230" spans="1:6" ht="31.75">
      <c r="A4230" s="23">
        <v>72121</v>
      </c>
      <c r="B4230" s="12" t="str">
        <f t="shared" si="66"/>
        <v>721</v>
      </c>
      <c r="C4230" s="14" t="s">
        <v>5516</v>
      </c>
      <c r="D4230" s="13" t="str">
        <f>IF(RIGHT(A4230,3)="000",C4230,VLOOKUP(B4230,'Справочник ИХ'!A:C,3,0))</f>
        <v>Остальные грузы</v>
      </c>
      <c r="E4230" s="13">
        <f>IF(RIGHT(A4230,3)="000","х",VLOOKUP(B4230,'Справочник ИХ'!A:D,4,0))</f>
        <v>3</v>
      </c>
      <c r="F4230" s="14" t="s">
        <v>5495</v>
      </c>
    </row>
    <row r="4231" spans="1:6" ht="31.75">
      <c r="A4231" s="23">
        <v>72122</v>
      </c>
      <c r="B4231" s="12" t="str">
        <f t="shared" si="66"/>
        <v>721</v>
      </c>
      <c r="C4231" s="14" t="s">
        <v>5517</v>
      </c>
      <c r="D4231" s="13" t="str">
        <f>IF(RIGHT(A4231,3)="000",C4231,VLOOKUP(B4231,'Справочник ИХ'!A:C,3,0))</f>
        <v>Остальные грузы</v>
      </c>
      <c r="E4231" s="13">
        <f>IF(RIGHT(A4231,3)="000","х",VLOOKUP(B4231,'Справочник ИХ'!A:D,4,0))</f>
        <v>3</v>
      </c>
      <c r="F4231" s="14" t="s">
        <v>5495</v>
      </c>
    </row>
    <row r="4232" spans="1:6" ht="31.75">
      <c r="A4232" s="23">
        <v>72123</v>
      </c>
      <c r="B4232" s="12" t="str">
        <f t="shared" si="66"/>
        <v>721</v>
      </c>
      <c r="C4232" s="14" t="s">
        <v>5518</v>
      </c>
      <c r="D4232" s="13" t="str">
        <f>IF(RIGHT(A4232,3)="000",C4232,VLOOKUP(B4232,'Справочник ИХ'!A:C,3,0))</f>
        <v>Остальные грузы</v>
      </c>
      <c r="E4232" s="13">
        <f>IF(RIGHT(A4232,3)="000","х",VLOOKUP(B4232,'Справочник ИХ'!A:D,4,0))</f>
        <v>3</v>
      </c>
      <c r="F4232" s="14" t="s">
        <v>5495</v>
      </c>
    </row>
    <row r="4233" spans="1:6" ht="31.75">
      <c r="A4233" s="23">
        <v>72126</v>
      </c>
      <c r="B4233" s="12" t="str">
        <f t="shared" si="66"/>
        <v>721</v>
      </c>
      <c r="C4233" s="14" t="s">
        <v>5519</v>
      </c>
      <c r="D4233" s="13" t="str">
        <f>IF(RIGHT(A4233,3)="000",C4233,VLOOKUP(B4233,'Справочник ИХ'!A:C,3,0))</f>
        <v>Остальные грузы</v>
      </c>
      <c r="E4233" s="13">
        <f>IF(RIGHT(A4233,3)="000","х",VLOOKUP(B4233,'Справочник ИХ'!A:D,4,0))</f>
        <v>3</v>
      </c>
      <c r="F4233" s="14" t="s">
        <v>5495</v>
      </c>
    </row>
    <row r="4234" spans="1:6" ht="31.75">
      <c r="A4234" s="23">
        <v>72127</v>
      </c>
      <c r="B4234" s="12" t="str">
        <f t="shared" si="66"/>
        <v>721</v>
      </c>
      <c r="C4234" s="14" t="s">
        <v>5520</v>
      </c>
      <c r="D4234" s="13" t="str">
        <f>IF(RIGHT(A4234,3)="000",C4234,VLOOKUP(B4234,'Справочник ИХ'!A:C,3,0))</f>
        <v>Остальные грузы</v>
      </c>
      <c r="E4234" s="13">
        <f>IF(RIGHT(A4234,3)="000","х",VLOOKUP(B4234,'Справочник ИХ'!A:D,4,0))</f>
        <v>3</v>
      </c>
      <c r="F4234" s="14" t="s">
        <v>5495</v>
      </c>
    </row>
    <row r="4235" spans="1:6" ht="31.75">
      <c r="A4235" s="23">
        <v>72131</v>
      </c>
      <c r="B4235" s="12" t="str">
        <f t="shared" si="66"/>
        <v>721</v>
      </c>
      <c r="C4235" s="14" t="s">
        <v>5521</v>
      </c>
      <c r="D4235" s="13" t="str">
        <f>IF(RIGHT(A4235,3)="000",C4235,VLOOKUP(B4235,'Справочник ИХ'!A:C,3,0))</f>
        <v>Остальные грузы</v>
      </c>
      <c r="E4235" s="13">
        <f>IF(RIGHT(A4235,3)="000","х",VLOOKUP(B4235,'Справочник ИХ'!A:D,4,0))</f>
        <v>3</v>
      </c>
      <c r="F4235" s="14" t="s">
        <v>5495</v>
      </c>
    </row>
    <row r="4236" spans="1:6" ht="31.75">
      <c r="A4236" s="23">
        <v>72132</v>
      </c>
      <c r="B4236" s="12" t="str">
        <f t="shared" si="66"/>
        <v>721</v>
      </c>
      <c r="C4236" s="14" t="s">
        <v>5522</v>
      </c>
      <c r="D4236" s="13" t="str">
        <f>IF(RIGHT(A4236,3)="000",C4236,VLOOKUP(B4236,'Справочник ИХ'!A:C,3,0))</f>
        <v>Остальные грузы</v>
      </c>
      <c r="E4236" s="13">
        <f>IF(RIGHT(A4236,3)="000","х",VLOOKUP(B4236,'Справочник ИХ'!A:D,4,0))</f>
        <v>3</v>
      </c>
      <c r="F4236" s="14" t="s">
        <v>5495</v>
      </c>
    </row>
    <row r="4237" spans="1:6" ht="31.75">
      <c r="A4237" s="23">
        <v>72133</v>
      </c>
      <c r="B4237" s="12" t="str">
        <f t="shared" si="66"/>
        <v>721</v>
      </c>
      <c r="C4237" s="14" t="s">
        <v>5523</v>
      </c>
      <c r="D4237" s="13" t="str">
        <f>IF(RIGHT(A4237,3)="000",C4237,VLOOKUP(B4237,'Справочник ИХ'!A:C,3,0))</f>
        <v>Остальные грузы</v>
      </c>
      <c r="E4237" s="13">
        <f>IF(RIGHT(A4237,3)="000","х",VLOOKUP(B4237,'Справочник ИХ'!A:D,4,0))</f>
        <v>3</v>
      </c>
      <c r="F4237" s="14" t="s">
        <v>5495</v>
      </c>
    </row>
    <row r="4238" spans="1:6" ht="31.75">
      <c r="A4238" s="23">
        <v>72134</v>
      </c>
      <c r="B4238" s="12" t="str">
        <f t="shared" si="66"/>
        <v>721</v>
      </c>
      <c r="C4238" s="14" t="s">
        <v>5524</v>
      </c>
      <c r="D4238" s="13" t="str">
        <f>IF(RIGHT(A4238,3)="000",C4238,VLOOKUP(B4238,'Справочник ИХ'!A:C,3,0))</f>
        <v>Остальные грузы</v>
      </c>
      <c r="E4238" s="13">
        <f>IF(RIGHT(A4238,3)="000","х",VLOOKUP(B4238,'Справочник ИХ'!A:D,4,0))</f>
        <v>3</v>
      </c>
      <c r="F4238" s="14" t="s">
        <v>5495</v>
      </c>
    </row>
    <row r="4239" spans="1:6" ht="31.75">
      <c r="A4239" s="23">
        <v>72135</v>
      </c>
      <c r="B4239" s="12" t="str">
        <f t="shared" si="66"/>
        <v>721</v>
      </c>
      <c r="C4239" s="14" t="s">
        <v>5525</v>
      </c>
      <c r="D4239" s="13" t="str">
        <f>IF(RIGHT(A4239,3)="000",C4239,VLOOKUP(B4239,'Справочник ИХ'!A:C,3,0))</f>
        <v>Остальные грузы</v>
      </c>
      <c r="E4239" s="13">
        <f>IF(RIGHT(A4239,3)="000","х",VLOOKUP(B4239,'Справочник ИХ'!A:D,4,0))</f>
        <v>3</v>
      </c>
      <c r="F4239" s="14" t="s">
        <v>5495</v>
      </c>
    </row>
    <row r="4240" spans="1:6" ht="31.75">
      <c r="A4240" s="23">
        <v>72136</v>
      </c>
      <c r="B4240" s="12" t="str">
        <f t="shared" si="66"/>
        <v>721</v>
      </c>
      <c r="C4240" s="14" t="s">
        <v>5526</v>
      </c>
      <c r="D4240" s="13" t="str">
        <f>IF(RIGHT(A4240,3)="000",C4240,VLOOKUP(B4240,'Справочник ИХ'!A:C,3,0))</f>
        <v>Остальные грузы</v>
      </c>
      <c r="E4240" s="13">
        <f>IF(RIGHT(A4240,3)="000","х",VLOOKUP(B4240,'Справочник ИХ'!A:D,4,0))</f>
        <v>3</v>
      </c>
      <c r="F4240" s="14" t="s">
        <v>5495</v>
      </c>
    </row>
    <row r="4241" spans="1:6" ht="31.75">
      <c r="A4241" s="23">
        <v>72137</v>
      </c>
      <c r="B4241" s="12" t="str">
        <f t="shared" si="66"/>
        <v>721</v>
      </c>
      <c r="C4241" s="14" t="s">
        <v>5527</v>
      </c>
      <c r="D4241" s="13" t="str">
        <f>IF(RIGHT(A4241,3)="000",C4241,VLOOKUP(B4241,'Справочник ИХ'!A:C,3,0))</f>
        <v>Остальные грузы</v>
      </c>
      <c r="E4241" s="13">
        <f>IF(RIGHT(A4241,3)="000","х",VLOOKUP(B4241,'Справочник ИХ'!A:D,4,0))</f>
        <v>3</v>
      </c>
      <c r="F4241" s="14" t="s">
        <v>5495</v>
      </c>
    </row>
    <row r="4242" spans="1:6" ht="31.75">
      <c r="A4242" s="23">
        <v>72138</v>
      </c>
      <c r="B4242" s="12" t="str">
        <f t="shared" si="66"/>
        <v>721</v>
      </c>
      <c r="C4242" s="14" t="s">
        <v>5528</v>
      </c>
      <c r="D4242" s="13" t="str">
        <f>IF(RIGHT(A4242,3)="000",C4242,VLOOKUP(B4242,'Справочник ИХ'!A:C,3,0))</f>
        <v>Остальные грузы</v>
      </c>
      <c r="E4242" s="13">
        <f>IF(RIGHT(A4242,3)="000","х",VLOOKUP(B4242,'Справочник ИХ'!A:D,4,0))</f>
        <v>3</v>
      </c>
      <c r="F4242" s="14" t="s">
        <v>5495</v>
      </c>
    </row>
    <row r="4243" spans="1:6" ht="31.75">
      <c r="A4243" s="23">
        <v>72139</v>
      </c>
      <c r="B4243" s="12" t="str">
        <f t="shared" si="66"/>
        <v>721</v>
      </c>
      <c r="C4243" s="14" t="s">
        <v>5529</v>
      </c>
      <c r="D4243" s="13" t="str">
        <f>IF(RIGHT(A4243,3)="000",C4243,VLOOKUP(B4243,'Справочник ИХ'!A:C,3,0))</f>
        <v>Остальные грузы</v>
      </c>
      <c r="E4243" s="13">
        <f>IF(RIGHT(A4243,3)="000","х",VLOOKUP(B4243,'Справочник ИХ'!A:D,4,0))</f>
        <v>3</v>
      </c>
      <c r="F4243" s="14" t="s">
        <v>5495</v>
      </c>
    </row>
    <row r="4244" spans="1:6" ht="31.75">
      <c r="A4244" s="23">
        <v>72140</v>
      </c>
      <c r="B4244" s="12" t="str">
        <f t="shared" si="66"/>
        <v>721</v>
      </c>
      <c r="C4244" s="14" t="s">
        <v>5530</v>
      </c>
      <c r="D4244" s="13" t="str">
        <f>IF(RIGHT(A4244,3)="000",C4244,VLOOKUP(B4244,'Справочник ИХ'!A:C,3,0))</f>
        <v>Остальные грузы</v>
      </c>
      <c r="E4244" s="13">
        <f>IF(RIGHT(A4244,3)="000","х",VLOOKUP(B4244,'Справочник ИХ'!A:D,4,0))</f>
        <v>3</v>
      </c>
      <c r="F4244" s="14" t="s">
        <v>5495</v>
      </c>
    </row>
    <row r="4245" spans="1:6" ht="31.75">
      <c r="A4245" s="23">
        <v>72141</v>
      </c>
      <c r="B4245" s="12" t="str">
        <f t="shared" si="66"/>
        <v>721</v>
      </c>
      <c r="C4245" s="14" t="s">
        <v>5531</v>
      </c>
      <c r="D4245" s="13" t="str">
        <f>IF(RIGHT(A4245,3)="000",C4245,VLOOKUP(B4245,'Справочник ИХ'!A:C,3,0))</f>
        <v>Остальные грузы</v>
      </c>
      <c r="E4245" s="13">
        <f>IF(RIGHT(A4245,3)="000","х",VLOOKUP(B4245,'Справочник ИХ'!A:D,4,0))</f>
        <v>3</v>
      </c>
      <c r="F4245" s="14" t="s">
        <v>5495</v>
      </c>
    </row>
    <row r="4246" spans="1:6" ht="31.75">
      <c r="A4246" s="23">
        <v>72142</v>
      </c>
      <c r="B4246" s="12" t="str">
        <f t="shared" si="66"/>
        <v>721</v>
      </c>
      <c r="C4246" s="14" t="s">
        <v>5532</v>
      </c>
      <c r="D4246" s="13" t="str">
        <f>IF(RIGHT(A4246,3)="000",C4246,VLOOKUP(B4246,'Справочник ИХ'!A:C,3,0))</f>
        <v>Остальные грузы</v>
      </c>
      <c r="E4246" s="13">
        <f>IF(RIGHT(A4246,3)="000","х",VLOOKUP(B4246,'Справочник ИХ'!A:D,4,0))</f>
        <v>3</v>
      </c>
      <c r="F4246" s="14" t="s">
        <v>5495</v>
      </c>
    </row>
    <row r="4247" spans="1:6" ht="31.75">
      <c r="A4247" s="23">
        <v>72143</v>
      </c>
      <c r="B4247" s="12" t="str">
        <f t="shared" si="66"/>
        <v>721</v>
      </c>
      <c r="C4247" s="14" t="s">
        <v>5533</v>
      </c>
      <c r="D4247" s="13" t="str">
        <f>IF(RIGHT(A4247,3)="000",C4247,VLOOKUP(B4247,'Справочник ИХ'!A:C,3,0))</f>
        <v>Остальные грузы</v>
      </c>
      <c r="E4247" s="13">
        <f>IF(RIGHT(A4247,3)="000","х",VLOOKUP(B4247,'Справочник ИХ'!A:D,4,0))</f>
        <v>3</v>
      </c>
      <c r="F4247" s="14" t="s">
        <v>5495</v>
      </c>
    </row>
    <row r="4248" spans="1:6" ht="31.75">
      <c r="A4248" s="23">
        <v>72144</v>
      </c>
      <c r="B4248" s="12" t="str">
        <f t="shared" si="66"/>
        <v>721</v>
      </c>
      <c r="C4248" s="14" t="s">
        <v>5534</v>
      </c>
      <c r="D4248" s="13" t="str">
        <f>IF(RIGHT(A4248,3)="000",C4248,VLOOKUP(B4248,'Справочник ИХ'!A:C,3,0))</f>
        <v>Остальные грузы</v>
      </c>
      <c r="E4248" s="13">
        <f>IF(RIGHT(A4248,3)="000","х",VLOOKUP(B4248,'Справочник ИХ'!A:D,4,0))</f>
        <v>3</v>
      </c>
      <c r="F4248" s="14" t="s">
        <v>5495</v>
      </c>
    </row>
    <row r="4249" spans="1:6" ht="31.75">
      <c r="A4249" s="23">
        <v>72145</v>
      </c>
      <c r="B4249" s="12" t="str">
        <f t="shared" si="66"/>
        <v>721</v>
      </c>
      <c r="C4249" s="14" t="s">
        <v>5535</v>
      </c>
      <c r="D4249" s="13" t="str">
        <f>IF(RIGHT(A4249,3)="000",C4249,VLOOKUP(B4249,'Справочник ИХ'!A:C,3,0))</f>
        <v>Остальные грузы</v>
      </c>
      <c r="E4249" s="13">
        <f>IF(RIGHT(A4249,3)="000","х",VLOOKUP(B4249,'Справочник ИХ'!A:D,4,0))</f>
        <v>3</v>
      </c>
      <c r="F4249" s="14" t="s">
        <v>5495</v>
      </c>
    </row>
    <row r="4250" spans="1:6" ht="31.75">
      <c r="A4250" s="23">
        <v>72146</v>
      </c>
      <c r="B4250" s="12" t="str">
        <f t="shared" si="66"/>
        <v>721</v>
      </c>
      <c r="C4250" s="14" t="s">
        <v>5536</v>
      </c>
      <c r="D4250" s="13" t="str">
        <f>IF(RIGHT(A4250,3)="000",C4250,VLOOKUP(B4250,'Справочник ИХ'!A:C,3,0))</f>
        <v>Остальные грузы</v>
      </c>
      <c r="E4250" s="13">
        <f>IF(RIGHT(A4250,3)="000","х",VLOOKUP(B4250,'Справочник ИХ'!A:D,4,0))</f>
        <v>3</v>
      </c>
      <c r="F4250" s="14" t="s">
        <v>5495</v>
      </c>
    </row>
    <row r="4251" spans="1:6" ht="31.75">
      <c r="A4251" s="23">
        <v>72147</v>
      </c>
      <c r="B4251" s="12" t="str">
        <f t="shared" si="66"/>
        <v>721</v>
      </c>
      <c r="C4251" s="14" t="s">
        <v>5537</v>
      </c>
      <c r="D4251" s="13" t="str">
        <f>IF(RIGHT(A4251,3)="000",C4251,VLOOKUP(B4251,'Справочник ИХ'!A:C,3,0))</f>
        <v>Остальные грузы</v>
      </c>
      <c r="E4251" s="13">
        <f>IF(RIGHT(A4251,3)="000","х",VLOOKUP(B4251,'Справочник ИХ'!A:D,4,0))</f>
        <v>3</v>
      </c>
      <c r="F4251" s="14" t="s">
        <v>5495</v>
      </c>
    </row>
    <row r="4252" spans="1:6" ht="31.75">
      <c r="A4252" s="23">
        <v>72148</v>
      </c>
      <c r="B4252" s="12" t="str">
        <f t="shared" si="66"/>
        <v>721</v>
      </c>
      <c r="C4252" s="14" t="s">
        <v>5538</v>
      </c>
      <c r="D4252" s="13" t="str">
        <f>IF(RIGHT(A4252,3)="000",C4252,VLOOKUP(B4252,'Справочник ИХ'!A:C,3,0))</f>
        <v>Остальные грузы</v>
      </c>
      <c r="E4252" s="13">
        <f>IF(RIGHT(A4252,3)="000","х",VLOOKUP(B4252,'Справочник ИХ'!A:D,4,0))</f>
        <v>3</v>
      </c>
      <c r="F4252" s="14" t="s">
        <v>5495</v>
      </c>
    </row>
    <row r="4253" spans="1:6" ht="31.75">
      <c r="A4253" s="23">
        <v>72149</v>
      </c>
      <c r="B4253" s="12" t="str">
        <f t="shared" si="66"/>
        <v>721</v>
      </c>
      <c r="C4253" s="14" t="s">
        <v>5539</v>
      </c>
      <c r="D4253" s="13" t="str">
        <f>IF(RIGHT(A4253,3)="000",C4253,VLOOKUP(B4253,'Справочник ИХ'!A:C,3,0))</f>
        <v>Остальные грузы</v>
      </c>
      <c r="E4253" s="13">
        <f>IF(RIGHT(A4253,3)="000","х",VLOOKUP(B4253,'Справочник ИХ'!A:D,4,0))</f>
        <v>3</v>
      </c>
      <c r="F4253" s="14" t="s">
        <v>5495</v>
      </c>
    </row>
    <row r="4254" spans="1:6" ht="31.75">
      <c r="A4254" s="23">
        <v>72150</v>
      </c>
      <c r="B4254" s="12" t="str">
        <f t="shared" si="66"/>
        <v>721</v>
      </c>
      <c r="C4254" s="14" t="s">
        <v>5540</v>
      </c>
      <c r="D4254" s="13" t="str">
        <f>IF(RIGHT(A4254,3)="000",C4254,VLOOKUP(B4254,'Справочник ИХ'!A:C,3,0))</f>
        <v>Остальные грузы</v>
      </c>
      <c r="E4254" s="13">
        <f>IF(RIGHT(A4254,3)="000","х",VLOOKUP(B4254,'Справочник ИХ'!A:D,4,0))</f>
        <v>3</v>
      </c>
      <c r="F4254" s="14" t="s">
        <v>5495</v>
      </c>
    </row>
    <row r="4255" spans="1:6" ht="31.75">
      <c r="A4255" s="23">
        <v>72151</v>
      </c>
      <c r="B4255" s="12" t="str">
        <f t="shared" si="66"/>
        <v>721</v>
      </c>
      <c r="C4255" s="14" t="s">
        <v>5541</v>
      </c>
      <c r="D4255" s="13" t="str">
        <f>IF(RIGHT(A4255,3)="000",C4255,VLOOKUP(B4255,'Справочник ИХ'!A:C,3,0))</f>
        <v>Остальные грузы</v>
      </c>
      <c r="E4255" s="13">
        <f>IF(RIGHT(A4255,3)="000","х",VLOOKUP(B4255,'Справочник ИХ'!A:D,4,0))</f>
        <v>3</v>
      </c>
      <c r="F4255" s="14" t="s">
        <v>5495</v>
      </c>
    </row>
    <row r="4256" spans="1:6" ht="31.75">
      <c r="A4256" s="23">
        <v>72152</v>
      </c>
      <c r="B4256" s="12" t="str">
        <f t="shared" si="66"/>
        <v>721</v>
      </c>
      <c r="C4256" s="14" t="s">
        <v>5542</v>
      </c>
      <c r="D4256" s="13" t="str">
        <f>IF(RIGHT(A4256,3)="000",C4256,VLOOKUP(B4256,'Справочник ИХ'!A:C,3,0))</f>
        <v>Остальные грузы</v>
      </c>
      <c r="E4256" s="13">
        <f>IF(RIGHT(A4256,3)="000","х",VLOOKUP(B4256,'Справочник ИХ'!A:D,4,0))</f>
        <v>3</v>
      </c>
      <c r="F4256" s="14" t="s">
        <v>5495</v>
      </c>
    </row>
    <row r="4257" spans="1:6" ht="31.75">
      <c r="A4257" s="23">
        <v>72153</v>
      </c>
      <c r="B4257" s="12" t="str">
        <f t="shared" si="66"/>
        <v>721</v>
      </c>
      <c r="C4257" s="14" t="s">
        <v>5543</v>
      </c>
      <c r="D4257" s="13" t="str">
        <f>IF(RIGHT(A4257,3)="000",C4257,VLOOKUP(B4257,'Справочник ИХ'!A:C,3,0))</f>
        <v>Остальные грузы</v>
      </c>
      <c r="E4257" s="13">
        <f>IF(RIGHT(A4257,3)="000","х",VLOOKUP(B4257,'Справочник ИХ'!A:D,4,0))</f>
        <v>3</v>
      </c>
      <c r="F4257" s="14" t="s">
        <v>5495</v>
      </c>
    </row>
    <row r="4258" spans="1:6" ht="31.75">
      <c r="A4258" s="23">
        <v>72154</v>
      </c>
      <c r="B4258" s="12" t="str">
        <f t="shared" si="66"/>
        <v>721</v>
      </c>
      <c r="C4258" s="14" t="s">
        <v>5544</v>
      </c>
      <c r="D4258" s="13" t="str">
        <f>IF(RIGHT(A4258,3)="000",C4258,VLOOKUP(B4258,'Справочник ИХ'!A:C,3,0))</f>
        <v>Остальные грузы</v>
      </c>
      <c r="E4258" s="13">
        <f>IF(RIGHT(A4258,3)="000","х",VLOOKUP(B4258,'Справочник ИХ'!A:D,4,0))</f>
        <v>3</v>
      </c>
      <c r="F4258" s="14" t="s">
        <v>5495</v>
      </c>
    </row>
    <row r="4259" spans="1:6" ht="31.75">
      <c r="A4259" s="23">
        <v>72155</v>
      </c>
      <c r="B4259" s="12" t="str">
        <f t="shared" si="66"/>
        <v>721</v>
      </c>
      <c r="C4259" s="14" t="s">
        <v>5545</v>
      </c>
      <c r="D4259" s="13" t="str">
        <f>IF(RIGHT(A4259,3)="000",C4259,VLOOKUP(B4259,'Справочник ИХ'!A:C,3,0))</f>
        <v>Остальные грузы</v>
      </c>
      <c r="E4259" s="13">
        <f>IF(RIGHT(A4259,3)="000","х",VLOOKUP(B4259,'Справочник ИХ'!A:D,4,0))</f>
        <v>3</v>
      </c>
      <c r="F4259" s="14" t="s">
        <v>5495</v>
      </c>
    </row>
    <row r="4260" spans="1:6" ht="31.75">
      <c r="A4260" s="23">
        <v>72156</v>
      </c>
      <c r="B4260" s="12" t="str">
        <f t="shared" si="66"/>
        <v>721</v>
      </c>
      <c r="C4260" s="14" t="s">
        <v>5546</v>
      </c>
      <c r="D4260" s="13" t="str">
        <f>IF(RIGHT(A4260,3)="000",C4260,VLOOKUP(B4260,'Справочник ИХ'!A:C,3,0))</f>
        <v>Остальные грузы</v>
      </c>
      <c r="E4260" s="13">
        <f>IF(RIGHT(A4260,3)="000","х",VLOOKUP(B4260,'Справочник ИХ'!A:D,4,0))</f>
        <v>3</v>
      </c>
      <c r="F4260" s="14" t="s">
        <v>5495</v>
      </c>
    </row>
    <row r="4261" spans="1:6" ht="31.75">
      <c r="A4261" s="23">
        <v>72157</v>
      </c>
      <c r="B4261" s="12" t="str">
        <f t="shared" si="66"/>
        <v>721</v>
      </c>
      <c r="C4261" s="14" t="s">
        <v>5547</v>
      </c>
      <c r="D4261" s="13" t="str">
        <f>IF(RIGHT(A4261,3)="000",C4261,VLOOKUP(B4261,'Справочник ИХ'!A:C,3,0))</f>
        <v>Остальные грузы</v>
      </c>
      <c r="E4261" s="13">
        <f>IF(RIGHT(A4261,3)="000","х",VLOOKUP(B4261,'Справочник ИХ'!A:D,4,0))</f>
        <v>3</v>
      </c>
      <c r="F4261" s="14" t="s">
        <v>5495</v>
      </c>
    </row>
    <row r="4262" spans="1:6" ht="31.75">
      <c r="A4262" s="23">
        <v>72158</v>
      </c>
      <c r="B4262" s="12" t="str">
        <f t="shared" si="66"/>
        <v>721</v>
      </c>
      <c r="C4262" s="14" t="s">
        <v>5548</v>
      </c>
      <c r="D4262" s="13" t="str">
        <f>IF(RIGHT(A4262,3)="000",C4262,VLOOKUP(B4262,'Справочник ИХ'!A:C,3,0))</f>
        <v>Остальные грузы</v>
      </c>
      <c r="E4262" s="13">
        <f>IF(RIGHT(A4262,3)="000","х",VLOOKUP(B4262,'Справочник ИХ'!A:D,4,0))</f>
        <v>3</v>
      </c>
      <c r="F4262" s="14" t="s">
        <v>5495</v>
      </c>
    </row>
    <row r="4263" spans="1:6" ht="31.75">
      <c r="A4263" s="23">
        <v>72159</v>
      </c>
      <c r="B4263" s="12" t="str">
        <f t="shared" si="66"/>
        <v>721</v>
      </c>
      <c r="C4263" s="14" t="s">
        <v>5549</v>
      </c>
      <c r="D4263" s="13" t="str">
        <f>IF(RIGHT(A4263,3)="000",C4263,VLOOKUP(B4263,'Справочник ИХ'!A:C,3,0))</f>
        <v>Остальные грузы</v>
      </c>
      <c r="E4263" s="13">
        <f>IF(RIGHT(A4263,3)="000","х",VLOOKUP(B4263,'Справочник ИХ'!A:D,4,0))</f>
        <v>3</v>
      </c>
      <c r="F4263" s="14" t="s">
        <v>5495</v>
      </c>
    </row>
    <row r="4264" spans="1:6" ht="31.75">
      <c r="A4264" s="23">
        <v>72160</v>
      </c>
      <c r="B4264" s="12" t="str">
        <f t="shared" si="66"/>
        <v>721</v>
      </c>
      <c r="C4264" s="14" t="s">
        <v>5550</v>
      </c>
      <c r="D4264" s="13" t="str">
        <f>IF(RIGHT(A4264,3)="000",C4264,VLOOKUP(B4264,'Справочник ИХ'!A:C,3,0))</f>
        <v>Остальные грузы</v>
      </c>
      <c r="E4264" s="13">
        <f>IF(RIGHT(A4264,3)="000","х",VLOOKUP(B4264,'Справочник ИХ'!A:D,4,0))</f>
        <v>3</v>
      </c>
      <c r="F4264" s="14" t="s">
        <v>5495</v>
      </c>
    </row>
    <row r="4265" spans="1:6" ht="31.75">
      <c r="A4265" s="23">
        <v>72161</v>
      </c>
      <c r="B4265" s="12" t="str">
        <f t="shared" si="66"/>
        <v>721</v>
      </c>
      <c r="C4265" s="14" t="s">
        <v>5551</v>
      </c>
      <c r="D4265" s="13" t="str">
        <f>IF(RIGHT(A4265,3)="000",C4265,VLOOKUP(B4265,'Справочник ИХ'!A:C,3,0))</f>
        <v>Остальные грузы</v>
      </c>
      <c r="E4265" s="13">
        <f>IF(RIGHT(A4265,3)="000","х",VLOOKUP(B4265,'Справочник ИХ'!A:D,4,0))</f>
        <v>3</v>
      </c>
      <c r="F4265" s="14" t="s">
        <v>5495</v>
      </c>
    </row>
    <row r="4266" spans="1:6" ht="31.75">
      <c r="A4266" s="23">
        <v>72162</v>
      </c>
      <c r="B4266" s="12" t="str">
        <f t="shared" si="66"/>
        <v>721</v>
      </c>
      <c r="C4266" s="14" t="s">
        <v>5552</v>
      </c>
      <c r="D4266" s="13" t="str">
        <f>IF(RIGHT(A4266,3)="000",C4266,VLOOKUP(B4266,'Справочник ИХ'!A:C,3,0))</f>
        <v>Остальные грузы</v>
      </c>
      <c r="E4266" s="13">
        <f>IF(RIGHT(A4266,3)="000","х",VLOOKUP(B4266,'Справочник ИХ'!A:D,4,0))</f>
        <v>3</v>
      </c>
      <c r="F4266" s="14" t="s">
        <v>5495</v>
      </c>
    </row>
    <row r="4267" spans="1:6" ht="31.75">
      <c r="A4267" s="23">
        <v>72163</v>
      </c>
      <c r="B4267" s="12" t="str">
        <f t="shared" si="66"/>
        <v>721</v>
      </c>
      <c r="C4267" s="14" t="s">
        <v>5553</v>
      </c>
      <c r="D4267" s="13" t="str">
        <f>IF(RIGHT(A4267,3)="000",C4267,VLOOKUP(B4267,'Справочник ИХ'!A:C,3,0))</f>
        <v>Остальные грузы</v>
      </c>
      <c r="E4267" s="13">
        <f>IF(RIGHT(A4267,3)="000","х",VLOOKUP(B4267,'Справочник ИХ'!A:D,4,0))</f>
        <v>3</v>
      </c>
      <c r="F4267" s="14" t="s">
        <v>5495</v>
      </c>
    </row>
    <row r="4268" spans="1:6" ht="31.75">
      <c r="A4268" s="23">
        <v>72164</v>
      </c>
      <c r="B4268" s="12" t="str">
        <f t="shared" si="66"/>
        <v>721</v>
      </c>
      <c r="C4268" s="14" t="s">
        <v>5554</v>
      </c>
      <c r="D4268" s="13" t="str">
        <f>IF(RIGHT(A4268,3)="000",C4268,VLOOKUP(B4268,'Справочник ИХ'!A:C,3,0))</f>
        <v>Остальные грузы</v>
      </c>
      <c r="E4268" s="13">
        <f>IF(RIGHT(A4268,3)="000","х",VLOOKUP(B4268,'Справочник ИХ'!A:D,4,0))</f>
        <v>3</v>
      </c>
      <c r="F4268" s="14" t="s">
        <v>5495</v>
      </c>
    </row>
    <row r="4269" spans="1:6" ht="31.75">
      <c r="A4269" s="23">
        <v>72166</v>
      </c>
      <c r="B4269" s="12" t="str">
        <f t="shared" si="66"/>
        <v>721</v>
      </c>
      <c r="C4269" s="14" t="s">
        <v>5555</v>
      </c>
      <c r="D4269" s="13" t="str">
        <f>IF(RIGHT(A4269,3)="000",C4269,VLOOKUP(B4269,'Справочник ИХ'!A:C,3,0))</f>
        <v>Остальные грузы</v>
      </c>
      <c r="E4269" s="13">
        <f>IF(RIGHT(A4269,3)="000","х",VLOOKUP(B4269,'Справочник ИХ'!A:D,4,0))</f>
        <v>3</v>
      </c>
      <c r="F4269" s="14" t="s">
        <v>5495</v>
      </c>
    </row>
    <row r="4270" spans="1:6" ht="31.75">
      <c r="A4270" s="23">
        <v>72167</v>
      </c>
      <c r="B4270" s="12" t="str">
        <f t="shared" si="66"/>
        <v>721</v>
      </c>
      <c r="C4270" s="14" t="s">
        <v>5556</v>
      </c>
      <c r="D4270" s="13" t="str">
        <f>IF(RIGHT(A4270,3)="000",C4270,VLOOKUP(B4270,'Справочник ИХ'!A:C,3,0))</f>
        <v>Остальные грузы</v>
      </c>
      <c r="E4270" s="13">
        <f>IF(RIGHT(A4270,3)="000","х",VLOOKUP(B4270,'Справочник ИХ'!A:D,4,0))</f>
        <v>3</v>
      </c>
      <c r="F4270" s="14" t="s">
        <v>5495</v>
      </c>
    </row>
    <row r="4271" spans="1:6" ht="31.75">
      <c r="A4271" s="23">
        <v>72168</v>
      </c>
      <c r="B4271" s="12" t="str">
        <f t="shared" si="66"/>
        <v>721</v>
      </c>
      <c r="C4271" s="14" t="s">
        <v>5557</v>
      </c>
      <c r="D4271" s="13" t="str">
        <f>IF(RIGHT(A4271,3)="000",C4271,VLOOKUP(B4271,'Справочник ИХ'!A:C,3,0))</f>
        <v>Остальные грузы</v>
      </c>
      <c r="E4271" s="13">
        <f>IF(RIGHT(A4271,3)="000","х",VLOOKUP(B4271,'Справочник ИХ'!A:D,4,0))</f>
        <v>3</v>
      </c>
      <c r="F4271" s="14" t="s">
        <v>5495</v>
      </c>
    </row>
    <row r="4272" spans="1:6" s="18" customFormat="1" ht="31.75">
      <c r="A4272" s="34">
        <v>72200</v>
      </c>
      <c r="B4272" s="12" t="str">
        <f t="shared" si="66"/>
        <v>722</v>
      </c>
      <c r="C4272" s="18" t="s">
        <v>5558</v>
      </c>
      <c r="D4272" s="13" t="str">
        <f>IF(RIGHT(A4272,3)="000",C4272,VLOOKUP(B4272,'Справочник ИХ'!A:C,3,0))</f>
        <v>Остальные грузы</v>
      </c>
      <c r="E4272" s="13">
        <f>IF(RIGHT(A4272,3)="000","х",VLOOKUP(B4272,'Справочник ИХ'!A:D,4,0))</f>
        <v>3</v>
      </c>
      <c r="F4272" s="14" t="s">
        <v>5495</v>
      </c>
    </row>
    <row r="4273" spans="1:6" ht="31.75">
      <c r="A4273" s="23">
        <v>72201</v>
      </c>
      <c r="B4273" s="12" t="str">
        <f t="shared" si="66"/>
        <v>722</v>
      </c>
      <c r="C4273" s="14" t="s">
        <v>5559</v>
      </c>
      <c r="D4273" s="13" t="str">
        <f>IF(RIGHT(A4273,3)="000",C4273,VLOOKUP(B4273,'Справочник ИХ'!A:C,3,0))</f>
        <v>Остальные грузы</v>
      </c>
      <c r="E4273" s="13">
        <f>IF(RIGHT(A4273,3)="000","х",VLOOKUP(B4273,'Справочник ИХ'!A:D,4,0))</f>
        <v>3</v>
      </c>
      <c r="F4273" s="14" t="s">
        <v>5495</v>
      </c>
    </row>
    <row r="4274" spans="1:6" ht="31.75">
      <c r="A4274" s="23">
        <v>72202</v>
      </c>
      <c r="B4274" s="12" t="str">
        <f t="shared" si="66"/>
        <v>722</v>
      </c>
      <c r="C4274" s="14" t="s">
        <v>5560</v>
      </c>
      <c r="D4274" s="13" t="str">
        <f>IF(RIGHT(A4274,3)="000",C4274,VLOOKUP(B4274,'Справочник ИХ'!A:C,3,0))</f>
        <v>Остальные грузы</v>
      </c>
      <c r="E4274" s="13">
        <f>IF(RIGHT(A4274,3)="000","х",VLOOKUP(B4274,'Справочник ИХ'!A:D,4,0))</f>
        <v>3</v>
      </c>
      <c r="F4274" s="14" t="s">
        <v>5495</v>
      </c>
    </row>
    <row r="4275" spans="1:6" ht="31.75">
      <c r="A4275" s="23">
        <v>72203</v>
      </c>
      <c r="B4275" s="12" t="str">
        <f t="shared" si="66"/>
        <v>722</v>
      </c>
      <c r="C4275" s="14" t="s">
        <v>5561</v>
      </c>
      <c r="D4275" s="13" t="str">
        <f>IF(RIGHT(A4275,3)="000",C4275,VLOOKUP(B4275,'Справочник ИХ'!A:C,3,0))</f>
        <v>Остальные грузы</v>
      </c>
      <c r="E4275" s="13">
        <f>IF(RIGHT(A4275,3)="000","х",VLOOKUP(B4275,'Справочник ИХ'!A:D,4,0))</f>
        <v>3</v>
      </c>
      <c r="F4275" s="14" t="s">
        <v>5495</v>
      </c>
    </row>
    <row r="4276" spans="1:6" ht="31.75">
      <c r="A4276" s="23">
        <v>72204</v>
      </c>
      <c r="B4276" s="12" t="str">
        <f t="shared" si="66"/>
        <v>722</v>
      </c>
      <c r="C4276" s="14" t="s">
        <v>5562</v>
      </c>
      <c r="D4276" s="13" t="str">
        <f>IF(RIGHT(A4276,3)="000",C4276,VLOOKUP(B4276,'Справочник ИХ'!A:C,3,0))</f>
        <v>Остальные грузы</v>
      </c>
      <c r="E4276" s="13">
        <f>IF(RIGHT(A4276,3)="000","х",VLOOKUP(B4276,'Справочник ИХ'!A:D,4,0))</f>
        <v>3</v>
      </c>
      <c r="F4276" s="14" t="s">
        <v>5495</v>
      </c>
    </row>
    <row r="4277" spans="1:6" ht="31.75">
      <c r="A4277" s="23">
        <v>72205</v>
      </c>
      <c r="B4277" s="12" t="str">
        <f t="shared" si="66"/>
        <v>722</v>
      </c>
      <c r="C4277" s="14" t="s">
        <v>5563</v>
      </c>
      <c r="D4277" s="13" t="str">
        <f>IF(RIGHT(A4277,3)="000",C4277,VLOOKUP(B4277,'Справочник ИХ'!A:C,3,0))</f>
        <v>Остальные грузы</v>
      </c>
      <c r="E4277" s="13">
        <f>IF(RIGHT(A4277,3)="000","х",VLOOKUP(B4277,'Справочник ИХ'!A:D,4,0))</f>
        <v>3</v>
      </c>
      <c r="F4277" s="14" t="s">
        <v>5495</v>
      </c>
    </row>
    <row r="4278" spans="1:6" ht="31.75">
      <c r="A4278" s="23">
        <v>72206</v>
      </c>
      <c r="B4278" s="12" t="str">
        <f t="shared" si="66"/>
        <v>722</v>
      </c>
      <c r="C4278" s="14" t="s">
        <v>5564</v>
      </c>
      <c r="D4278" s="13" t="str">
        <f>IF(RIGHT(A4278,3)="000",C4278,VLOOKUP(B4278,'Справочник ИХ'!A:C,3,0))</f>
        <v>Остальные грузы</v>
      </c>
      <c r="E4278" s="13">
        <f>IF(RIGHT(A4278,3)="000","х",VLOOKUP(B4278,'Справочник ИХ'!A:D,4,0))</f>
        <v>3</v>
      </c>
      <c r="F4278" s="14" t="s">
        <v>5495</v>
      </c>
    </row>
    <row r="4279" spans="1:6" ht="31.75">
      <c r="A4279" s="23">
        <v>72207</v>
      </c>
      <c r="B4279" s="12" t="str">
        <f t="shared" si="66"/>
        <v>722</v>
      </c>
      <c r="C4279" s="14" t="s">
        <v>5565</v>
      </c>
      <c r="D4279" s="13" t="str">
        <f>IF(RIGHT(A4279,3)="000",C4279,VLOOKUP(B4279,'Справочник ИХ'!A:C,3,0))</f>
        <v>Остальные грузы</v>
      </c>
      <c r="E4279" s="13">
        <f>IF(RIGHT(A4279,3)="000","х",VLOOKUP(B4279,'Справочник ИХ'!A:D,4,0))</f>
        <v>3</v>
      </c>
      <c r="F4279" s="14" t="s">
        <v>5495</v>
      </c>
    </row>
    <row r="4280" spans="1:6" ht="31.75">
      <c r="A4280" s="23">
        <v>72208</v>
      </c>
      <c r="B4280" s="12" t="str">
        <f t="shared" si="66"/>
        <v>722</v>
      </c>
      <c r="C4280" s="14" t="s">
        <v>5566</v>
      </c>
      <c r="D4280" s="13" t="str">
        <f>IF(RIGHT(A4280,3)="000",C4280,VLOOKUP(B4280,'Справочник ИХ'!A:C,3,0))</f>
        <v>Остальные грузы</v>
      </c>
      <c r="E4280" s="13">
        <f>IF(RIGHT(A4280,3)="000","х",VLOOKUP(B4280,'Справочник ИХ'!A:D,4,0))</f>
        <v>3</v>
      </c>
      <c r="F4280" s="14" t="s">
        <v>5495</v>
      </c>
    </row>
    <row r="4281" spans="1:6" ht="31.75">
      <c r="A4281" s="23">
        <v>72209</v>
      </c>
      <c r="B4281" s="12" t="str">
        <f t="shared" si="66"/>
        <v>722</v>
      </c>
      <c r="C4281" s="14" t="s">
        <v>5567</v>
      </c>
      <c r="D4281" s="13" t="str">
        <f>IF(RIGHT(A4281,3)="000",C4281,VLOOKUP(B4281,'Справочник ИХ'!A:C,3,0))</f>
        <v>Остальные грузы</v>
      </c>
      <c r="E4281" s="13">
        <f>IF(RIGHT(A4281,3)="000","х",VLOOKUP(B4281,'Справочник ИХ'!A:D,4,0))</f>
        <v>3</v>
      </c>
      <c r="F4281" s="14" t="s">
        <v>5495</v>
      </c>
    </row>
    <row r="4282" spans="1:6" ht="31.75">
      <c r="A4282" s="23">
        <v>72210</v>
      </c>
      <c r="B4282" s="12" t="str">
        <f t="shared" si="66"/>
        <v>722</v>
      </c>
      <c r="C4282" s="14" t="s">
        <v>5568</v>
      </c>
      <c r="D4282" s="13" t="str">
        <f>IF(RIGHT(A4282,3)="000",C4282,VLOOKUP(B4282,'Справочник ИХ'!A:C,3,0))</f>
        <v>Остальные грузы</v>
      </c>
      <c r="E4282" s="13">
        <f>IF(RIGHT(A4282,3)="000","х",VLOOKUP(B4282,'Справочник ИХ'!A:D,4,0))</f>
        <v>3</v>
      </c>
      <c r="F4282" s="14" t="s">
        <v>5495</v>
      </c>
    </row>
    <row r="4283" spans="1:6" ht="31.75">
      <c r="A4283" s="23">
        <v>72212</v>
      </c>
      <c r="B4283" s="12" t="str">
        <f t="shared" si="66"/>
        <v>722</v>
      </c>
      <c r="C4283" s="14" t="s">
        <v>5569</v>
      </c>
      <c r="D4283" s="13" t="str">
        <f>IF(RIGHT(A4283,3)="000",C4283,VLOOKUP(B4283,'Справочник ИХ'!A:C,3,0))</f>
        <v>Остальные грузы</v>
      </c>
      <c r="E4283" s="13">
        <f>IF(RIGHT(A4283,3)="000","х",VLOOKUP(B4283,'Справочник ИХ'!A:D,4,0))</f>
        <v>3</v>
      </c>
      <c r="F4283" s="14" t="s">
        <v>5495</v>
      </c>
    </row>
    <row r="4284" spans="1:6" ht="31.75">
      <c r="A4284" s="23">
        <v>72213</v>
      </c>
      <c r="B4284" s="12" t="str">
        <f t="shared" si="66"/>
        <v>722</v>
      </c>
      <c r="C4284" s="14" t="s">
        <v>5570</v>
      </c>
      <c r="D4284" s="13" t="str">
        <f>IF(RIGHT(A4284,3)="000",C4284,VLOOKUP(B4284,'Справочник ИХ'!A:C,3,0))</f>
        <v>Остальные грузы</v>
      </c>
      <c r="E4284" s="13">
        <f>IF(RIGHT(A4284,3)="000","х",VLOOKUP(B4284,'Справочник ИХ'!A:D,4,0))</f>
        <v>3</v>
      </c>
      <c r="F4284" s="14" t="s">
        <v>5495</v>
      </c>
    </row>
    <row r="4285" spans="1:6" ht="31.75">
      <c r="A4285" s="23">
        <v>72214</v>
      </c>
      <c r="B4285" s="12" t="str">
        <f t="shared" si="66"/>
        <v>722</v>
      </c>
      <c r="C4285" s="14" t="s">
        <v>5571</v>
      </c>
      <c r="D4285" s="13" t="str">
        <f>IF(RIGHT(A4285,3)="000",C4285,VLOOKUP(B4285,'Справочник ИХ'!A:C,3,0))</f>
        <v>Остальные грузы</v>
      </c>
      <c r="E4285" s="13">
        <f>IF(RIGHT(A4285,3)="000","х",VLOOKUP(B4285,'Справочник ИХ'!A:D,4,0))</f>
        <v>3</v>
      </c>
      <c r="F4285" s="14" t="s">
        <v>5495</v>
      </c>
    </row>
    <row r="4286" spans="1:6" ht="31.75">
      <c r="A4286" s="23">
        <v>72215</v>
      </c>
      <c r="B4286" s="12" t="str">
        <f t="shared" si="66"/>
        <v>722</v>
      </c>
      <c r="C4286" s="14" t="s">
        <v>5572</v>
      </c>
      <c r="D4286" s="13" t="str">
        <f>IF(RIGHT(A4286,3)="000",C4286,VLOOKUP(B4286,'Справочник ИХ'!A:C,3,0))</f>
        <v>Остальные грузы</v>
      </c>
      <c r="E4286" s="13">
        <f>IF(RIGHT(A4286,3)="000","х",VLOOKUP(B4286,'Справочник ИХ'!A:D,4,0))</f>
        <v>3</v>
      </c>
      <c r="F4286" s="14" t="s">
        <v>5495</v>
      </c>
    </row>
    <row r="4287" spans="1:6" ht="31.75">
      <c r="A4287" s="23">
        <v>72216</v>
      </c>
      <c r="B4287" s="12" t="str">
        <f t="shared" si="66"/>
        <v>722</v>
      </c>
      <c r="C4287" s="14" t="s">
        <v>5573</v>
      </c>
      <c r="D4287" s="13" t="str">
        <f>IF(RIGHT(A4287,3)="000",C4287,VLOOKUP(B4287,'Справочник ИХ'!A:C,3,0))</f>
        <v>Остальные грузы</v>
      </c>
      <c r="E4287" s="13">
        <f>IF(RIGHT(A4287,3)="000","х",VLOOKUP(B4287,'Справочник ИХ'!A:D,4,0))</f>
        <v>3</v>
      </c>
      <c r="F4287" s="14" t="s">
        <v>5495</v>
      </c>
    </row>
    <row r="4288" spans="1:6" ht="31.75">
      <c r="A4288" s="23">
        <v>72217</v>
      </c>
      <c r="B4288" s="12" t="str">
        <f t="shared" si="66"/>
        <v>722</v>
      </c>
      <c r="C4288" s="14" t="s">
        <v>5574</v>
      </c>
      <c r="D4288" s="13" t="str">
        <f>IF(RIGHT(A4288,3)="000",C4288,VLOOKUP(B4288,'Справочник ИХ'!A:C,3,0))</f>
        <v>Остальные грузы</v>
      </c>
      <c r="E4288" s="13">
        <f>IF(RIGHT(A4288,3)="000","х",VLOOKUP(B4288,'Справочник ИХ'!A:D,4,0))</f>
        <v>3</v>
      </c>
      <c r="F4288" s="14" t="s">
        <v>5495</v>
      </c>
    </row>
    <row r="4289" spans="1:6" ht="31.75">
      <c r="A4289" s="23">
        <v>72218</v>
      </c>
      <c r="B4289" s="12" t="str">
        <f t="shared" si="66"/>
        <v>722</v>
      </c>
      <c r="C4289" s="14" t="s">
        <v>5575</v>
      </c>
      <c r="D4289" s="13" t="str">
        <f>IF(RIGHT(A4289,3)="000",C4289,VLOOKUP(B4289,'Справочник ИХ'!A:C,3,0))</f>
        <v>Остальные грузы</v>
      </c>
      <c r="E4289" s="13">
        <f>IF(RIGHT(A4289,3)="000","х",VLOOKUP(B4289,'Справочник ИХ'!A:D,4,0))</f>
        <v>3</v>
      </c>
      <c r="F4289" s="14" t="s">
        <v>5495</v>
      </c>
    </row>
    <row r="4290" spans="1:6" ht="31.75">
      <c r="A4290" s="23">
        <v>72219</v>
      </c>
      <c r="B4290" s="12" t="str">
        <f t="shared" si="66"/>
        <v>722</v>
      </c>
      <c r="C4290" s="14" t="s">
        <v>5576</v>
      </c>
      <c r="D4290" s="13" t="str">
        <f>IF(RIGHT(A4290,3)="000",C4290,VLOOKUP(B4290,'Справочник ИХ'!A:C,3,0))</f>
        <v>Остальные грузы</v>
      </c>
      <c r="E4290" s="13">
        <f>IF(RIGHT(A4290,3)="000","х",VLOOKUP(B4290,'Справочник ИХ'!A:D,4,0))</f>
        <v>3</v>
      </c>
      <c r="F4290" s="14" t="s">
        <v>5495</v>
      </c>
    </row>
    <row r="4291" spans="1:6" ht="31.75">
      <c r="A4291" s="23">
        <v>72220</v>
      </c>
      <c r="B4291" s="12" t="str">
        <f t="shared" si="66"/>
        <v>722</v>
      </c>
      <c r="C4291" s="14" t="s">
        <v>5577</v>
      </c>
      <c r="D4291" s="13" t="str">
        <f>IF(RIGHT(A4291,3)="000",C4291,VLOOKUP(B4291,'Справочник ИХ'!A:C,3,0))</f>
        <v>Остальные грузы</v>
      </c>
      <c r="E4291" s="13">
        <f>IF(RIGHT(A4291,3)="000","х",VLOOKUP(B4291,'Справочник ИХ'!A:D,4,0))</f>
        <v>3</v>
      </c>
      <c r="F4291" s="14" t="s">
        <v>5495</v>
      </c>
    </row>
    <row r="4292" spans="1:6" ht="31.75">
      <c r="A4292" s="23">
        <v>72221</v>
      </c>
      <c r="B4292" s="12" t="str">
        <f t="shared" si="66"/>
        <v>722</v>
      </c>
      <c r="C4292" s="14" t="s">
        <v>5578</v>
      </c>
      <c r="D4292" s="13" t="str">
        <f>IF(RIGHT(A4292,3)="000",C4292,VLOOKUP(B4292,'Справочник ИХ'!A:C,3,0))</f>
        <v>Остальные грузы</v>
      </c>
      <c r="E4292" s="13">
        <f>IF(RIGHT(A4292,3)="000","х",VLOOKUP(B4292,'Справочник ИХ'!A:D,4,0))</f>
        <v>3</v>
      </c>
      <c r="F4292" s="14" t="s">
        <v>5495</v>
      </c>
    </row>
    <row r="4293" spans="1:6" ht="31.75">
      <c r="A4293" s="23">
        <v>72222</v>
      </c>
      <c r="B4293" s="12" t="str">
        <f t="shared" ref="B4293:B4356" si="67">LEFT(A4293,3)</f>
        <v>722</v>
      </c>
      <c r="C4293" s="14" t="s">
        <v>5579</v>
      </c>
      <c r="D4293" s="13" t="str">
        <f>IF(RIGHT(A4293,3)="000",C4293,VLOOKUP(B4293,'Справочник ИХ'!A:C,3,0))</f>
        <v>Остальные грузы</v>
      </c>
      <c r="E4293" s="13">
        <f>IF(RIGHT(A4293,3)="000","х",VLOOKUP(B4293,'Справочник ИХ'!A:D,4,0))</f>
        <v>3</v>
      </c>
      <c r="F4293" s="14" t="s">
        <v>5495</v>
      </c>
    </row>
    <row r="4294" spans="1:6" ht="31.75">
      <c r="A4294" s="23">
        <v>72223</v>
      </c>
      <c r="B4294" s="12" t="str">
        <f t="shared" si="67"/>
        <v>722</v>
      </c>
      <c r="C4294" s="14" t="s">
        <v>5580</v>
      </c>
      <c r="D4294" s="13" t="str">
        <f>IF(RIGHT(A4294,3)="000",C4294,VLOOKUP(B4294,'Справочник ИХ'!A:C,3,0))</f>
        <v>Остальные грузы</v>
      </c>
      <c r="E4294" s="13">
        <f>IF(RIGHT(A4294,3)="000","х",VLOOKUP(B4294,'Справочник ИХ'!A:D,4,0))</f>
        <v>3</v>
      </c>
      <c r="F4294" s="14" t="s">
        <v>5495</v>
      </c>
    </row>
    <row r="4295" spans="1:6" ht="31.75">
      <c r="A4295" s="23">
        <v>72224</v>
      </c>
      <c r="B4295" s="12" t="str">
        <f t="shared" si="67"/>
        <v>722</v>
      </c>
      <c r="C4295" s="14" t="s">
        <v>5581</v>
      </c>
      <c r="D4295" s="13" t="str">
        <f>IF(RIGHT(A4295,3)="000",C4295,VLOOKUP(B4295,'Справочник ИХ'!A:C,3,0))</f>
        <v>Остальные грузы</v>
      </c>
      <c r="E4295" s="13">
        <f>IF(RIGHT(A4295,3)="000","х",VLOOKUP(B4295,'Справочник ИХ'!A:D,4,0))</f>
        <v>3</v>
      </c>
      <c r="F4295" s="14" t="s">
        <v>5495</v>
      </c>
    </row>
    <row r="4296" spans="1:6" ht="31.75">
      <c r="A4296" s="23">
        <v>72225</v>
      </c>
      <c r="B4296" s="12" t="str">
        <f t="shared" si="67"/>
        <v>722</v>
      </c>
      <c r="C4296" s="14" t="s">
        <v>5582</v>
      </c>
      <c r="D4296" s="13" t="str">
        <f>IF(RIGHT(A4296,3)="000",C4296,VLOOKUP(B4296,'Справочник ИХ'!A:C,3,0))</f>
        <v>Остальные грузы</v>
      </c>
      <c r="E4296" s="13">
        <f>IF(RIGHT(A4296,3)="000","х",VLOOKUP(B4296,'Справочник ИХ'!A:D,4,0))</f>
        <v>3</v>
      </c>
      <c r="F4296" s="14" t="s">
        <v>5495</v>
      </c>
    </row>
    <row r="4297" spans="1:6" s="18" customFormat="1" ht="31.75">
      <c r="A4297" s="34" t="s">
        <v>5583</v>
      </c>
      <c r="B4297" s="12" t="str">
        <f t="shared" si="67"/>
        <v>723</v>
      </c>
      <c r="C4297" s="18" t="s">
        <v>5584</v>
      </c>
      <c r="D4297" s="13" t="str">
        <f>IF(RIGHT(A4297,3)="000",C4297,VLOOKUP(B4297,'Справочник ИХ'!A:C,3,0))</f>
        <v>Остальные грузы</v>
      </c>
      <c r="E4297" s="13">
        <f>IF(RIGHT(A4297,3)="000","х",VLOOKUP(B4297,'Справочник ИХ'!A:D,4,0))</f>
        <v>3</v>
      </c>
      <c r="F4297" s="14" t="s">
        <v>5495</v>
      </c>
    </row>
    <row r="4298" spans="1:6" ht="31.75">
      <c r="A4298" s="23">
        <v>72301</v>
      </c>
      <c r="B4298" s="12" t="str">
        <f t="shared" si="67"/>
        <v>723</v>
      </c>
      <c r="C4298" s="14" t="s">
        <v>5585</v>
      </c>
      <c r="D4298" s="13" t="str">
        <f>IF(RIGHT(A4298,3)="000",C4298,VLOOKUP(B4298,'Справочник ИХ'!A:C,3,0))</f>
        <v>Остальные грузы</v>
      </c>
      <c r="E4298" s="13">
        <f>IF(RIGHT(A4298,3)="000","х",VLOOKUP(B4298,'Справочник ИХ'!A:D,4,0))</f>
        <v>3</v>
      </c>
      <c r="F4298" s="14" t="s">
        <v>5495</v>
      </c>
    </row>
    <row r="4299" spans="1:6" ht="31.75">
      <c r="A4299" s="23">
        <v>72302</v>
      </c>
      <c r="B4299" s="12" t="str">
        <f t="shared" si="67"/>
        <v>723</v>
      </c>
      <c r="C4299" s="14" t="s">
        <v>5586</v>
      </c>
      <c r="D4299" s="13" t="str">
        <f>IF(RIGHT(A4299,3)="000",C4299,VLOOKUP(B4299,'Справочник ИХ'!A:C,3,0))</f>
        <v>Остальные грузы</v>
      </c>
      <c r="E4299" s="13">
        <f>IF(RIGHT(A4299,3)="000","х",VLOOKUP(B4299,'Справочник ИХ'!A:D,4,0))</f>
        <v>3</v>
      </c>
      <c r="F4299" s="14" t="s">
        <v>5495</v>
      </c>
    </row>
    <row r="4300" spans="1:6" ht="31.75">
      <c r="A4300" s="23">
        <v>72303</v>
      </c>
      <c r="B4300" s="12" t="str">
        <f t="shared" si="67"/>
        <v>723</v>
      </c>
      <c r="C4300" s="14" t="s">
        <v>5587</v>
      </c>
      <c r="D4300" s="13" t="str">
        <f>IF(RIGHT(A4300,3)="000",C4300,VLOOKUP(B4300,'Справочник ИХ'!A:C,3,0))</f>
        <v>Остальные грузы</v>
      </c>
      <c r="E4300" s="13">
        <f>IF(RIGHT(A4300,3)="000","х",VLOOKUP(B4300,'Справочник ИХ'!A:D,4,0))</f>
        <v>3</v>
      </c>
      <c r="F4300" s="14" t="s">
        <v>5495</v>
      </c>
    </row>
    <row r="4301" spans="1:6" ht="31.75">
      <c r="A4301" s="23">
        <v>72304</v>
      </c>
      <c r="B4301" s="12" t="str">
        <f t="shared" si="67"/>
        <v>723</v>
      </c>
      <c r="C4301" s="14" t="s">
        <v>5588</v>
      </c>
      <c r="D4301" s="13" t="str">
        <f>IF(RIGHT(A4301,3)="000",C4301,VLOOKUP(B4301,'Справочник ИХ'!A:C,3,0))</f>
        <v>Остальные грузы</v>
      </c>
      <c r="E4301" s="13">
        <f>IF(RIGHT(A4301,3)="000","х",VLOOKUP(B4301,'Справочник ИХ'!A:D,4,0))</f>
        <v>3</v>
      </c>
      <c r="F4301" s="14" t="s">
        <v>5495</v>
      </c>
    </row>
    <row r="4302" spans="1:6" ht="31.75">
      <c r="A4302" s="23">
        <v>72305</v>
      </c>
      <c r="B4302" s="12" t="str">
        <f t="shared" si="67"/>
        <v>723</v>
      </c>
      <c r="C4302" s="14" t="s">
        <v>5589</v>
      </c>
      <c r="D4302" s="13" t="str">
        <f>IF(RIGHT(A4302,3)="000",C4302,VLOOKUP(B4302,'Справочник ИХ'!A:C,3,0))</f>
        <v>Остальные грузы</v>
      </c>
      <c r="E4302" s="13">
        <f>IF(RIGHT(A4302,3)="000","х",VLOOKUP(B4302,'Справочник ИХ'!A:D,4,0))</f>
        <v>3</v>
      </c>
      <c r="F4302" s="14" t="s">
        <v>5495</v>
      </c>
    </row>
    <row r="4303" spans="1:6" ht="31.75">
      <c r="A4303" s="23">
        <v>72306</v>
      </c>
      <c r="B4303" s="12" t="str">
        <f t="shared" si="67"/>
        <v>723</v>
      </c>
      <c r="C4303" s="14" t="s">
        <v>5590</v>
      </c>
      <c r="D4303" s="13" t="str">
        <f>IF(RIGHT(A4303,3)="000",C4303,VLOOKUP(B4303,'Справочник ИХ'!A:C,3,0))</f>
        <v>Остальные грузы</v>
      </c>
      <c r="E4303" s="13">
        <f>IF(RIGHT(A4303,3)="000","х",VLOOKUP(B4303,'Справочник ИХ'!A:D,4,0))</f>
        <v>3</v>
      </c>
      <c r="F4303" s="14" t="s">
        <v>5495</v>
      </c>
    </row>
    <row r="4304" spans="1:6" ht="31.75">
      <c r="A4304" s="23">
        <v>72307</v>
      </c>
      <c r="B4304" s="12" t="str">
        <f t="shared" si="67"/>
        <v>723</v>
      </c>
      <c r="C4304" s="14" t="s">
        <v>5591</v>
      </c>
      <c r="D4304" s="13" t="str">
        <f>IF(RIGHT(A4304,3)="000",C4304,VLOOKUP(B4304,'Справочник ИХ'!A:C,3,0))</f>
        <v>Остальные грузы</v>
      </c>
      <c r="E4304" s="13">
        <f>IF(RIGHT(A4304,3)="000","х",VLOOKUP(B4304,'Справочник ИХ'!A:D,4,0))</f>
        <v>3</v>
      </c>
      <c r="F4304" s="14" t="s">
        <v>5495</v>
      </c>
    </row>
    <row r="4305" spans="1:6" ht="31.75">
      <c r="A4305" s="23">
        <v>72308</v>
      </c>
      <c r="B4305" s="12" t="str">
        <f t="shared" si="67"/>
        <v>723</v>
      </c>
      <c r="C4305" s="14" t="s">
        <v>5592</v>
      </c>
      <c r="D4305" s="13" t="str">
        <f>IF(RIGHT(A4305,3)="000",C4305,VLOOKUP(B4305,'Справочник ИХ'!A:C,3,0))</f>
        <v>Остальные грузы</v>
      </c>
      <c r="E4305" s="13">
        <f>IF(RIGHT(A4305,3)="000","х",VLOOKUP(B4305,'Справочник ИХ'!A:D,4,0))</f>
        <v>3</v>
      </c>
      <c r="F4305" s="14" t="s">
        <v>5495</v>
      </c>
    </row>
    <row r="4306" spans="1:6" ht="31.75">
      <c r="A4306" s="23">
        <v>72309</v>
      </c>
      <c r="B4306" s="12" t="str">
        <f t="shared" si="67"/>
        <v>723</v>
      </c>
      <c r="C4306" s="14" t="s">
        <v>5593</v>
      </c>
      <c r="D4306" s="13" t="str">
        <f>IF(RIGHT(A4306,3)="000",C4306,VLOOKUP(B4306,'Справочник ИХ'!A:C,3,0))</f>
        <v>Остальные грузы</v>
      </c>
      <c r="E4306" s="13">
        <f>IF(RIGHT(A4306,3)="000","х",VLOOKUP(B4306,'Справочник ИХ'!A:D,4,0))</f>
        <v>3</v>
      </c>
      <c r="F4306" s="14" t="s">
        <v>5495</v>
      </c>
    </row>
    <row r="4307" spans="1:6" ht="31.75">
      <c r="A4307" s="23">
        <v>72310</v>
      </c>
      <c r="B4307" s="12" t="str">
        <f t="shared" si="67"/>
        <v>723</v>
      </c>
      <c r="C4307" s="14" t="s">
        <v>5594</v>
      </c>
      <c r="D4307" s="13" t="str">
        <f>IF(RIGHT(A4307,3)="000",C4307,VLOOKUP(B4307,'Справочник ИХ'!A:C,3,0))</f>
        <v>Остальные грузы</v>
      </c>
      <c r="E4307" s="13">
        <f>IF(RIGHT(A4307,3)="000","х",VLOOKUP(B4307,'Справочник ИХ'!A:D,4,0))</f>
        <v>3</v>
      </c>
      <c r="F4307" s="14" t="s">
        <v>5495</v>
      </c>
    </row>
    <row r="4308" spans="1:6" ht="31.75">
      <c r="A4308" s="23">
        <v>72312</v>
      </c>
      <c r="B4308" s="12" t="str">
        <f t="shared" si="67"/>
        <v>723</v>
      </c>
      <c r="C4308" s="14" t="s">
        <v>5595</v>
      </c>
      <c r="D4308" s="13" t="str">
        <f>IF(RIGHT(A4308,3)="000",C4308,VLOOKUP(B4308,'Справочник ИХ'!A:C,3,0))</f>
        <v>Остальные грузы</v>
      </c>
      <c r="E4308" s="13">
        <f>IF(RIGHT(A4308,3)="000","х",VLOOKUP(B4308,'Справочник ИХ'!A:D,4,0))</f>
        <v>3</v>
      </c>
      <c r="F4308" s="14" t="s">
        <v>5495</v>
      </c>
    </row>
    <row r="4309" spans="1:6" ht="31.75">
      <c r="A4309" s="23">
        <v>72313</v>
      </c>
      <c r="B4309" s="12" t="str">
        <f t="shared" si="67"/>
        <v>723</v>
      </c>
      <c r="C4309" s="14" t="s">
        <v>5596</v>
      </c>
      <c r="D4309" s="13" t="str">
        <f>IF(RIGHT(A4309,3)="000",C4309,VLOOKUP(B4309,'Справочник ИХ'!A:C,3,0))</f>
        <v>Остальные грузы</v>
      </c>
      <c r="E4309" s="13">
        <f>IF(RIGHT(A4309,3)="000","х",VLOOKUP(B4309,'Справочник ИХ'!A:D,4,0))</f>
        <v>3</v>
      </c>
      <c r="F4309" s="14" t="s">
        <v>5495</v>
      </c>
    </row>
    <row r="4310" spans="1:6" ht="31.75">
      <c r="A4310" s="23">
        <v>72314</v>
      </c>
      <c r="B4310" s="12" t="str">
        <f t="shared" si="67"/>
        <v>723</v>
      </c>
      <c r="C4310" s="14" t="s">
        <v>5597</v>
      </c>
      <c r="D4310" s="13" t="str">
        <f>IF(RIGHT(A4310,3)="000",C4310,VLOOKUP(B4310,'Справочник ИХ'!A:C,3,0))</f>
        <v>Остальные грузы</v>
      </c>
      <c r="E4310" s="13">
        <f>IF(RIGHT(A4310,3)="000","х",VLOOKUP(B4310,'Справочник ИХ'!A:D,4,0))</f>
        <v>3</v>
      </c>
      <c r="F4310" s="14" t="s">
        <v>5495</v>
      </c>
    </row>
    <row r="4311" spans="1:6" ht="31.75">
      <c r="A4311" s="23">
        <v>72316</v>
      </c>
      <c r="B4311" s="12" t="str">
        <f t="shared" si="67"/>
        <v>723</v>
      </c>
      <c r="C4311" s="14" t="s">
        <v>5598</v>
      </c>
      <c r="D4311" s="13" t="str">
        <f>IF(RIGHT(A4311,3)="000",C4311,VLOOKUP(B4311,'Справочник ИХ'!A:C,3,0))</f>
        <v>Остальные грузы</v>
      </c>
      <c r="E4311" s="13">
        <f>IF(RIGHT(A4311,3)="000","х",VLOOKUP(B4311,'Справочник ИХ'!A:D,4,0))</f>
        <v>3</v>
      </c>
      <c r="F4311" s="14" t="s">
        <v>5495</v>
      </c>
    </row>
    <row r="4312" spans="1:6" ht="31.75">
      <c r="A4312" s="23">
        <v>72317</v>
      </c>
      <c r="B4312" s="12" t="str">
        <f t="shared" si="67"/>
        <v>723</v>
      </c>
      <c r="C4312" s="14" t="s">
        <v>5599</v>
      </c>
      <c r="D4312" s="13" t="str">
        <f>IF(RIGHT(A4312,3)="000",C4312,VLOOKUP(B4312,'Справочник ИХ'!A:C,3,0))</f>
        <v>Остальные грузы</v>
      </c>
      <c r="E4312" s="13">
        <f>IF(RIGHT(A4312,3)="000","х",VLOOKUP(B4312,'Справочник ИХ'!A:D,4,0))</f>
        <v>3</v>
      </c>
      <c r="F4312" s="14" t="s">
        <v>5495</v>
      </c>
    </row>
    <row r="4313" spans="1:6" ht="31.75">
      <c r="A4313" s="23">
        <v>72318</v>
      </c>
      <c r="B4313" s="12" t="str">
        <f t="shared" si="67"/>
        <v>723</v>
      </c>
      <c r="C4313" s="14" t="s">
        <v>5600</v>
      </c>
      <c r="D4313" s="13" t="str">
        <f>IF(RIGHT(A4313,3)="000",C4313,VLOOKUP(B4313,'Справочник ИХ'!A:C,3,0))</f>
        <v>Остальные грузы</v>
      </c>
      <c r="E4313" s="13">
        <f>IF(RIGHT(A4313,3)="000","х",VLOOKUP(B4313,'Справочник ИХ'!A:D,4,0))</f>
        <v>3</v>
      </c>
      <c r="F4313" s="14" t="s">
        <v>5495</v>
      </c>
    </row>
    <row r="4314" spans="1:6" ht="31.75">
      <c r="A4314" s="23">
        <v>72319</v>
      </c>
      <c r="B4314" s="12" t="str">
        <f t="shared" si="67"/>
        <v>723</v>
      </c>
      <c r="C4314" s="14" t="s">
        <v>5601</v>
      </c>
      <c r="D4314" s="13" t="str">
        <f>IF(RIGHT(A4314,3)="000",C4314,VLOOKUP(B4314,'Справочник ИХ'!A:C,3,0))</f>
        <v>Остальные грузы</v>
      </c>
      <c r="E4314" s="13">
        <f>IF(RIGHT(A4314,3)="000","х",VLOOKUP(B4314,'Справочник ИХ'!A:D,4,0))</f>
        <v>3</v>
      </c>
      <c r="F4314" s="14" t="s">
        <v>5495</v>
      </c>
    </row>
    <row r="4315" spans="1:6" ht="31.75">
      <c r="A4315" s="23">
        <v>72320</v>
      </c>
      <c r="B4315" s="12" t="str">
        <f t="shared" si="67"/>
        <v>723</v>
      </c>
      <c r="C4315" s="14" t="s">
        <v>5602</v>
      </c>
      <c r="D4315" s="13" t="str">
        <f>IF(RIGHT(A4315,3)="000",C4315,VLOOKUP(B4315,'Справочник ИХ'!A:C,3,0))</f>
        <v>Остальные грузы</v>
      </c>
      <c r="E4315" s="13">
        <f>IF(RIGHT(A4315,3)="000","х",VLOOKUP(B4315,'Справочник ИХ'!A:D,4,0))</f>
        <v>3</v>
      </c>
      <c r="F4315" s="14" t="s">
        <v>5495</v>
      </c>
    </row>
    <row r="4316" spans="1:6" ht="31.75">
      <c r="A4316" s="23">
        <v>72321</v>
      </c>
      <c r="B4316" s="12" t="str">
        <f t="shared" si="67"/>
        <v>723</v>
      </c>
      <c r="C4316" s="14" t="s">
        <v>5603</v>
      </c>
      <c r="D4316" s="13" t="str">
        <f>IF(RIGHT(A4316,3)="000",C4316,VLOOKUP(B4316,'Справочник ИХ'!A:C,3,0))</f>
        <v>Остальные грузы</v>
      </c>
      <c r="E4316" s="13">
        <f>IF(RIGHT(A4316,3)="000","х",VLOOKUP(B4316,'Справочник ИХ'!A:D,4,0))</f>
        <v>3</v>
      </c>
      <c r="F4316" s="14" t="s">
        <v>5495</v>
      </c>
    </row>
    <row r="4317" spans="1:6" ht="31.75">
      <c r="A4317" s="23">
        <v>72322</v>
      </c>
      <c r="B4317" s="12" t="str">
        <f t="shared" si="67"/>
        <v>723</v>
      </c>
      <c r="C4317" s="14" t="s">
        <v>5604</v>
      </c>
      <c r="D4317" s="13" t="str">
        <f>IF(RIGHT(A4317,3)="000",C4317,VLOOKUP(B4317,'Справочник ИХ'!A:C,3,0))</f>
        <v>Остальные грузы</v>
      </c>
      <c r="E4317" s="13">
        <f>IF(RIGHT(A4317,3)="000","х",VLOOKUP(B4317,'Справочник ИХ'!A:D,4,0))</f>
        <v>3</v>
      </c>
      <c r="F4317" s="14" t="s">
        <v>5495</v>
      </c>
    </row>
    <row r="4318" spans="1:6" ht="31.75">
      <c r="A4318" s="23">
        <v>72323</v>
      </c>
      <c r="B4318" s="12" t="str">
        <f t="shared" si="67"/>
        <v>723</v>
      </c>
      <c r="C4318" s="14" t="s">
        <v>5605</v>
      </c>
      <c r="D4318" s="13" t="str">
        <f>IF(RIGHT(A4318,3)="000",C4318,VLOOKUP(B4318,'Справочник ИХ'!A:C,3,0))</f>
        <v>Остальные грузы</v>
      </c>
      <c r="E4318" s="13">
        <f>IF(RIGHT(A4318,3)="000","х",VLOOKUP(B4318,'Справочник ИХ'!A:D,4,0))</f>
        <v>3</v>
      </c>
      <c r="F4318" s="14" t="s">
        <v>5495</v>
      </c>
    </row>
    <row r="4319" spans="1:6" ht="31.75">
      <c r="A4319" s="23">
        <v>72324</v>
      </c>
      <c r="B4319" s="12" t="str">
        <f t="shared" si="67"/>
        <v>723</v>
      </c>
      <c r="C4319" s="14" t="s">
        <v>5606</v>
      </c>
      <c r="D4319" s="13" t="str">
        <f>IF(RIGHT(A4319,3)="000",C4319,VLOOKUP(B4319,'Справочник ИХ'!A:C,3,0))</f>
        <v>Остальные грузы</v>
      </c>
      <c r="E4319" s="13">
        <f>IF(RIGHT(A4319,3)="000","х",VLOOKUP(B4319,'Справочник ИХ'!A:D,4,0))</f>
        <v>3</v>
      </c>
      <c r="F4319" s="14" t="s">
        <v>5495</v>
      </c>
    </row>
    <row r="4320" spans="1:6" ht="31.75">
      <c r="A4320" s="23">
        <v>72325</v>
      </c>
      <c r="B4320" s="12" t="str">
        <f t="shared" si="67"/>
        <v>723</v>
      </c>
      <c r="C4320" s="14" t="s">
        <v>5607</v>
      </c>
      <c r="D4320" s="13" t="str">
        <f>IF(RIGHT(A4320,3)="000",C4320,VLOOKUP(B4320,'Справочник ИХ'!A:C,3,0))</f>
        <v>Остальные грузы</v>
      </c>
      <c r="E4320" s="13">
        <f>IF(RIGHT(A4320,3)="000","х",VLOOKUP(B4320,'Справочник ИХ'!A:D,4,0))</f>
        <v>3</v>
      </c>
      <c r="F4320" s="14" t="s">
        <v>5495</v>
      </c>
    </row>
    <row r="4321" spans="1:6" ht="31.75">
      <c r="A4321" s="23">
        <v>72326</v>
      </c>
      <c r="B4321" s="12" t="str">
        <f t="shared" si="67"/>
        <v>723</v>
      </c>
      <c r="C4321" s="14" t="s">
        <v>5608</v>
      </c>
      <c r="D4321" s="13" t="str">
        <f>IF(RIGHT(A4321,3)="000",C4321,VLOOKUP(B4321,'Справочник ИХ'!A:C,3,0))</f>
        <v>Остальные грузы</v>
      </c>
      <c r="E4321" s="13">
        <f>IF(RIGHT(A4321,3)="000","х",VLOOKUP(B4321,'Справочник ИХ'!A:D,4,0))</f>
        <v>3</v>
      </c>
      <c r="F4321" s="14" t="s">
        <v>5495</v>
      </c>
    </row>
    <row r="4322" spans="1:6" ht="31.75">
      <c r="A4322" s="23">
        <v>72327</v>
      </c>
      <c r="B4322" s="12" t="str">
        <f t="shared" si="67"/>
        <v>723</v>
      </c>
      <c r="C4322" s="14" t="s">
        <v>5609</v>
      </c>
      <c r="D4322" s="13" t="str">
        <f>IF(RIGHT(A4322,3)="000",C4322,VLOOKUP(B4322,'Справочник ИХ'!A:C,3,0))</f>
        <v>Остальные грузы</v>
      </c>
      <c r="E4322" s="13">
        <f>IF(RIGHT(A4322,3)="000","х",VLOOKUP(B4322,'Справочник ИХ'!A:D,4,0))</f>
        <v>3</v>
      </c>
      <c r="F4322" s="14" t="s">
        <v>5495</v>
      </c>
    </row>
    <row r="4323" spans="1:6" ht="31.75">
      <c r="A4323" s="23">
        <v>72328</v>
      </c>
      <c r="B4323" s="12" t="str">
        <f t="shared" si="67"/>
        <v>723</v>
      </c>
      <c r="C4323" s="14" t="s">
        <v>5610</v>
      </c>
      <c r="D4323" s="13" t="str">
        <f>IF(RIGHT(A4323,3)="000",C4323,VLOOKUP(B4323,'Справочник ИХ'!A:C,3,0))</f>
        <v>Остальные грузы</v>
      </c>
      <c r="E4323" s="13">
        <f>IF(RIGHT(A4323,3)="000","х",VLOOKUP(B4323,'Справочник ИХ'!A:D,4,0))</f>
        <v>3</v>
      </c>
      <c r="F4323" s="14" t="s">
        <v>5495</v>
      </c>
    </row>
    <row r="4324" spans="1:6" ht="31.75">
      <c r="A4324" s="23">
        <v>72329</v>
      </c>
      <c r="B4324" s="12" t="str">
        <f t="shared" si="67"/>
        <v>723</v>
      </c>
      <c r="C4324" s="14" t="s">
        <v>5611</v>
      </c>
      <c r="D4324" s="13" t="str">
        <f>IF(RIGHT(A4324,3)="000",C4324,VLOOKUP(B4324,'Справочник ИХ'!A:C,3,0))</f>
        <v>Остальные грузы</v>
      </c>
      <c r="E4324" s="13">
        <f>IF(RIGHT(A4324,3)="000","х",VLOOKUP(B4324,'Справочник ИХ'!A:D,4,0))</f>
        <v>3</v>
      </c>
      <c r="F4324" s="14" t="s">
        <v>5495</v>
      </c>
    </row>
    <row r="4325" spans="1:6" ht="31.75">
      <c r="A4325" s="23">
        <v>72330</v>
      </c>
      <c r="B4325" s="12" t="str">
        <f t="shared" si="67"/>
        <v>723</v>
      </c>
      <c r="C4325" s="14" t="s">
        <v>5612</v>
      </c>
      <c r="D4325" s="13" t="str">
        <f>IF(RIGHT(A4325,3)="000",C4325,VLOOKUP(B4325,'Справочник ИХ'!A:C,3,0))</f>
        <v>Остальные грузы</v>
      </c>
      <c r="E4325" s="13">
        <f>IF(RIGHT(A4325,3)="000","х",VLOOKUP(B4325,'Справочник ИХ'!A:D,4,0))</f>
        <v>3</v>
      </c>
      <c r="F4325" s="14" t="s">
        <v>5495</v>
      </c>
    </row>
    <row r="4326" spans="1:6" ht="31.75">
      <c r="A4326" s="23">
        <v>72331</v>
      </c>
      <c r="B4326" s="12" t="str">
        <f t="shared" si="67"/>
        <v>723</v>
      </c>
      <c r="C4326" s="14" t="s">
        <v>5613</v>
      </c>
      <c r="D4326" s="13" t="str">
        <f>IF(RIGHT(A4326,3)="000",C4326,VLOOKUP(B4326,'Справочник ИХ'!A:C,3,0))</f>
        <v>Остальные грузы</v>
      </c>
      <c r="E4326" s="13">
        <f>IF(RIGHT(A4326,3)="000","х",VLOOKUP(B4326,'Справочник ИХ'!A:D,4,0))</f>
        <v>3</v>
      </c>
      <c r="F4326" s="14" t="s">
        <v>5495</v>
      </c>
    </row>
    <row r="4327" spans="1:6" s="18" customFormat="1" ht="31.75">
      <c r="A4327" s="34" t="s">
        <v>5614</v>
      </c>
      <c r="B4327" s="12" t="str">
        <f t="shared" si="67"/>
        <v>724</v>
      </c>
      <c r="C4327" s="18" t="s">
        <v>5615</v>
      </c>
      <c r="D4327" s="13" t="str">
        <f>IF(RIGHT(A4327,3)="000",C4327,VLOOKUP(B4327,'Справочник ИХ'!A:C,3,0))</f>
        <v>Остальные грузы</v>
      </c>
      <c r="E4327" s="13">
        <f>IF(RIGHT(A4327,3)="000","х",VLOOKUP(B4327,'Справочник ИХ'!A:D,4,0))</f>
        <v>3</v>
      </c>
      <c r="F4327" s="14" t="s">
        <v>5495</v>
      </c>
    </row>
    <row r="4328" spans="1:6" ht="31.75">
      <c r="A4328" s="23">
        <v>72401</v>
      </c>
      <c r="B4328" s="12" t="str">
        <f t="shared" si="67"/>
        <v>724</v>
      </c>
      <c r="C4328" s="14" t="s">
        <v>5616</v>
      </c>
      <c r="D4328" s="13" t="str">
        <f>IF(RIGHT(A4328,3)="000",C4328,VLOOKUP(B4328,'Справочник ИХ'!A:C,3,0))</f>
        <v>Остальные грузы</v>
      </c>
      <c r="E4328" s="13">
        <f>IF(RIGHT(A4328,3)="000","х",VLOOKUP(B4328,'Справочник ИХ'!A:D,4,0))</f>
        <v>3</v>
      </c>
      <c r="F4328" s="14" t="s">
        <v>5495</v>
      </c>
    </row>
    <row r="4329" spans="1:6" ht="31.75">
      <c r="A4329" s="23">
        <v>72402</v>
      </c>
      <c r="B4329" s="12" t="str">
        <f t="shared" si="67"/>
        <v>724</v>
      </c>
      <c r="C4329" s="14" t="s">
        <v>5617</v>
      </c>
      <c r="D4329" s="13" t="str">
        <f>IF(RIGHT(A4329,3)="000",C4329,VLOOKUP(B4329,'Справочник ИХ'!A:C,3,0))</f>
        <v>Остальные грузы</v>
      </c>
      <c r="E4329" s="13">
        <f>IF(RIGHT(A4329,3)="000","х",VLOOKUP(B4329,'Справочник ИХ'!A:D,4,0))</f>
        <v>3</v>
      </c>
      <c r="F4329" s="14" t="s">
        <v>5495</v>
      </c>
    </row>
    <row r="4330" spans="1:6" ht="31.75">
      <c r="A4330" s="23">
        <v>72403</v>
      </c>
      <c r="B4330" s="12" t="str">
        <f t="shared" si="67"/>
        <v>724</v>
      </c>
      <c r="C4330" s="14" t="s">
        <v>5618</v>
      </c>
      <c r="D4330" s="13" t="str">
        <f>IF(RIGHT(A4330,3)="000",C4330,VLOOKUP(B4330,'Справочник ИХ'!A:C,3,0))</f>
        <v>Остальные грузы</v>
      </c>
      <c r="E4330" s="13">
        <f>IF(RIGHT(A4330,3)="000","х",VLOOKUP(B4330,'Справочник ИХ'!A:D,4,0))</f>
        <v>3</v>
      </c>
      <c r="F4330" s="14" t="s">
        <v>5495</v>
      </c>
    </row>
    <row r="4331" spans="1:6" ht="31.75">
      <c r="A4331" s="23">
        <v>72404</v>
      </c>
      <c r="B4331" s="12" t="str">
        <f t="shared" si="67"/>
        <v>724</v>
      </c>
      <c r="C4331" s="14" t="s">
        <v>5619</v>
      </c>
      <c r="D4331" s="13" t="str">
        <f>IF(RIGHT(A4331,3)="000",C4331,VLOOKUP(B4331,'Справочник ИХ'!A:C,3,0))</f>
        <v>Остальные грузы</v>
      </c>
      <c r="E4331" s="13">
        <f>IF(RIGHT(A4331,3)="000","х",VLOOKUP(B4331,'Справочник ИХ'!A:D,4,0))</f>
        <v>3</v>
      </c>
      <c r="F4331" s="14" t="s">
        <v>5495</v>
      </c>
    </row>
    <row r="4332" spans="1:6" ht="31.75">
      <c r="A4332" s="23">
        <v>72405</v>
      </c>
      <c r="B4332" s="12" t="str">
        <f t="shared" si="67"/>
        <v>724</v>
      </c>
      <c r="C4332" s="14" t="s">
        <v>5620</v>
      </c>
      <c r="D4332" s="13" t="str">
        <f>IF(RIGHT(A4332,3)="000",C4332,VLOOKUP(B4332,'Справочник ИХ'!A:C,3,0))</f>
        <v>Остальные грузы</v>
      </c>
      <c r="E4332" s="13">
        <f>IF(RIGHT(A4332,3)="000","х",VLOOKUP(B4332,'Справочник ИХ'!A:D,4,0))</f>
        <v>3</v>
      </c>
      <c r="F4332" s="14" t="s">
        <v>5495</v>
      </c>
    </row>
    <row r="4333" spans="1:6" ht="31.75">
      <c r="A4333" s="23">
        <v>72406</v>
      </c>
      <c r="B4333" s="12" t="str">
        <f t="shared" si="67"/>
        <v>724</v>
      </c>
      <c r="C4333" s="14" t="s">
        <v>5621</v>
      </c>
      <c r="D4333" s="13" t="str">
        <f>IF(RIGHT(A4333,3)="000",C4333,VLOOKUP(B4333,'Справочник ИХ'!A:C,3,0))</f>
        <v>Остальные грузы</v>
      </c>
      <c r="E4333" s="13">
        <f>IF(RIGHT(A4333,3)="000","х",VLOOKUP(B4333,'Справочник ИХ'!A:D,4,0))</f>
        <v>3</v>
      </c>
      <c r="F4333" s="14" t="s">
        <v>5495</v>
      </c>
    </row>
    <row r="4334" spans="1:6" ht="31.75">
      <c r="A4334" s="23">
        <v>72407</v>
      </c>
      <c r="B4334" s="12" t="str">
        <f t="shared" si="67"/>
        <v>724</v>
      </c>
      <c r="C4334" s="14" t="s">
        <v>5622</v>
      </c>
      <c r="D4334" s="13" t="str">
        <f>IF(RIGHT(A4334,3)="000",C4334,VLOOKUP(B4334,'Справочник ИХ'!A:C,3,0))</f>
        <v>Остальные грузы</v>
      </c>
      <c r="E4334" s="13">
        <f>IF(RIGHT(A4334,3)="000","х",VLOOKUP(B4334,'Справочник ИХ'!A:D,4,0))</f>
        <v>3</v>
      </c>
      <c r="F4334" s="14" t="s">
        <v>5495</v>
      </c>
    </row>
    <row r="4335" spans="1:6" ht="31.75">
      <c r="A4335" s="23">
        <v>72408</v>
      </c>
      <c r="B4335" s="12" t="str">
        <f t="shared" si="67"/>
        <v>724</v>
      </c>
      <c r="C4335" s="14" t="s">
        <v>5623</v>
      </c>
      <c r="D4335" s="13" t="str">
        <f>IF(RIGHT(A4335,3)="000",C4335,VLOOKUP(B4335,'Справочник ИХ'!A:C,3,0))</f>
        <v>Остальные грузы</v>
      </c>
      <c r="E4335" s="13">
        <f>IF(RIGHT(A4335,3)="000","х",VLOOKUP(B4335,'Справочник ИХ'!A:D,4,0))</f>
        <v>3</v>
      </c>
      <c r="F4335" s="14" t="s">
        <v>5495</v>
      </c>
    </row>
    <row r="4336" spans="1:6" ht="31.75">
      <c r="A4336" s="23">
        <v>72409</v>
      </c>
      <c r="B4336" s="12" t="str">
        <f t="shared" si="67"/>
        <v>724</v>
      </c>
      <c r="C4336" s="14" t="s">
        <v>5624</v>
      </c>
      <c r="D4336" s="13" t="str">
        <f>IF(RIGHT(A4336,3)="000",C4336,VLOOKUP(B4336,'Справочник ИХ'!A:C,3,0))</f>
        <v>Остальные грузы</v>
      </c>
      <c r="E4336" s="13">
        <f>IF(RIGHT(A4336,3)="000","х",VLOOKUP(B4336,'Справочник ИХ'!A:D,4,0))</f>
        <v>3</v>
      </c>
      <c r="F4336" s="14" t="s">
        <v>5495</v>
      </c>
    </row>
    <row r="4337" spans="1:6" ht="31.75">
      <c r="A4337" s="23">
        <v>72410</v>
      </c>
      <c r="B4337" s="12" t="str">
        <f t="shared" si="67"/>
        <v>724</v>
      </c>
      <c r="C4337" s="14" t="s">
        <v>5625</v>
      </c>
      <c r="D4337" s="13" t="str">
        <f>IF(RIGHT(A4337,3)="000",C4337,VLOOKUP(B4337,'Справочник ИХ'!A:C,3,0))</f>
        <v>Остальные грузы</v>
      </c>
      <c r="E4337" s="13">
        <f>IF(RIGHT(A4337,3)="000","х",VLOOKUP(B4337,'Справочник ИХ'!A:D,4,0))</f>
        <v>3</v>
      </c>
      <c r="F4337" s="14" t="s">
        <v>5495</v>
      </c>
    </row>
    <row r="4338" spans="1:6" ht="31.75">
      <c r="A4338" s="23">
        <v>72411</v>
      </c>
      <c r="B4338" s="12" t="str">
        <f t="shared" si="67"/>
        <v>724</v>
      </c>
      <c r="C4338" s="14" t="s">
        <v>5626</v>
      </c>
      <c r="D4338" s="13" t="str">
        <f>IF(RIGHT(A4338,3)="000",C4338,VLOOKUP(B4338,'Справочник ИХ'!A:C,3,0))</f>
        <v>Остальные грузы</v>
      </c>
      <c r="E4338" s="13">
        <f>IF(RIGHT(A4338,3)="000","х",VLOOKUP(B4338,'Справочник ИХ'!A:D,4,0))</f>
        <v>3</v>
      </c>
      <c r="F4338" s="14" t="s">
        <v>5495</v>
      </c>
    </row>
    <row r="4339" spans="1:6" ht="31.75">
      <c r="A4339" s="23">
        <v>72412</v>
      </c>
      <c r="B4339" s="12" t="str">
        <f t="shared" si="67"/>
        <v>724</v>
      </c>
      <c r="C4339" s="14" t="s">
        <v>5627</v>
      </c>
      <c r="D4339" s="13" t="str">
        <f>IF(RIGHT(A4339,3)="000",C4339,VLOOKUP(B4339,'Справочник ИХ'!A:C,3,0))</f>
        <v>Остальные грузы</v>
      </c>
      <c r="E4339" s="13">
        <f>IF(RIGHT(A4339,3)="000","х",VLOOKUP(B4339,'Справочник ИХ'!A:D,4,0))</f>
        <v>3</v>
      </c>
      <c r="F4339" s="14" t="s">
        <v>5495</v>
      </c>
    </row>
    <row r="4340" spans="1:6" ht="31.75">
      <c r="A4340" s="23">
        <v>72413</v>
      </c>
      <c r="B4340" s="12" t="str">
        <f t="shared" si="67"/>
        <v>724</v>
      </c>
      <c r="C4340" s="14" t="s">
        <v>5628</v>
      </c>
      <c r="D4340" s="13" t="str">
        <f>IF(RIGHT(A4340,3)="000",C4340,VLOOKUP(B4340,'Справочник ИХ'!A:C,3,0))</f>
        <v>Остальные грузы</v>
      </c>
      <c r="E4340" s="13">
        <f>IF(RIGHT(A4340,3)="000","х",VLOOKUP(B4340,'Справочник ИХ'!A:D,4,0))</f>
        <v>3</v>
      </c>
      <c r="F4340" s="14" t="s">
        <v>5495</v>
      </c>
    </row>
    <row r="4341" spans="1:6" ht="31.75">
      <c r="A4341" s="23">
        <v>72414</v>
      </c>
      <c r="B4341" s="12" t="str">
        <f t="shared" si="67"/>
        <v>724</v>
      </c>
      <c r="C4341" s="14" t="s">
        <v>5629</v>
      </c>
      <c r="D4341" s="13" t="str">
        <f>IF(RIGHT(A4341,3)="000",C4341,VLOOKUP(B4341,'Справочник ИХ'!A:C,3,0))</f>
        <v>Остальные грузы</v>
      </c>
      <c r="E4341" s="13">
        <f>IF(RIGHT(A4341,3)="000","х",VLOOKUP(B4341,'Справочник ИХ'!A:D,4,0))</f>
        <v>3</v>
      </c>
      <c r="F4341" s="14" t="s">
        <v>5495</v>
      </c>
    </row>
    <row r="4342" spans="1:6" ht="31.75">
      <c r="A4342" s="23">
        <v>72415</v>
      </c>
      <c r="B4342" s="12" t="str">
        <f t="shared" si="67"/>
        <v>724</v>
      </c>
      <c r="C4342" s="14" t="s">
        <v>5630</v>
      </c>
      <c r="D4342" s="13" t="str">
        <f>IF(RIGHT(A4342,3)="000",C4342,VLOOKUP(B4342,'Справочник ИХ'!A:C,3,0))</f>
        <v>Остальные грузы</v>
      </c>
      <c r="E4342" s="13">
        <f>IF(RIGHT(A4342,3)="000","х",VLOOKUP(B4342,'Справочник ИХ'!A:D,4,0))</f>
        <v>3</v>
      </c>
      <c r="F4342" s="14" t="s">
        <v>5495</v>
      </c>
    </row>
    <row r="4343" spans="1:6" ht="31.75">
      <c r="A4343" s="23">
        <v>72416</v>
      </c>
      <c r="B4343" s="12" t="str">
        <f t="shared" si="67"/>
        <v>724</v>
      </c>
      <c r="C4343" s="14" t="s">
        <v>5631</v>
      </c>
      <c r="D4343" s="13" t="str">
        <f>IF(RIGHT(A4343,3)="000",C4343,VLOOKUP(B4343,'Справочник ИХ'!A:C,3,0))</f>
        <v>Остальные грузы</v>
      </c>
      <c r="E4343" s="13">
        <f>IF(RIGHT(A4343,3)="000","х",VLOOKUP(B4343,'Справочник ИХ'!A:D,4,0))</f>
        <v>3</v>
      </c>
      <c r="F4343" s="14" t="s">
        <v>5495</v>
      </c>
    </row>
    <row r="4344" spans="1:6" ht="31.75">
      <c r="A4344" s="23">
        <v>72417</v>
      </c>
      <c r="B4344" s="12" t="str">
        <f t="shared" si="67"/>
        <v>724</v>
      </c>
      <c r="C4344" s="14" t="s">
        <v>5632</v>
      </c>
      <c r="D4344" s="13" t="str">
        <f>IF(RIGHT(A4344,3)="000",C4344,VLOOKUP(B4344,'Справочник ИХ'!A:C,3,0))</f>
        <v>Остальные грузы</v>
      </c>
      <c r="E4344" s="13">
        <f>IF(RIGHT(A4344,3)="000","х",VLOOKUP(B4344,'Справочник ИХ'!A:D,4,0))</f>
        <v>3</v>
      </c>
      <c r="F4344" s="14" t="s">
        <v>5495</v>
      </c>
    </row>
    <row r="4345" spans="1:6" ht="31.75">
      <c r="A4345" s="23">
        <v>72418</v>
      </c>
      <c r="B4345" s="12" t="str">
        <f t="shared" si="67"/>
        <v>724</v>
      </c>
      <c r="C4345" s="14" t="s">
        <v>5633</v>
      </c>
      <c r="D4345" s="13" t="str">
        <f>IF(RIGHT(A4345,3)="000",C4345,VLOOKUP(B4345,'Справочник ИХ'!A:C,3,0))</f>
        <v>Остальные грузы</v>
      </c>
      <c r="E4345" s="13">
        <f>IF(RIGHT(A4345,3)="000","х",VLOOKUP(B4345,'Справочник ИХ'!A:D,4,0))</f>
        <v>3</v>
      </c>
      <c r="F4345" s="14" t="s">
        <v>5495</v>
      </c>
    </row>
    <row r="4346" spans="1:6" ht="31.75">
      <c r="A4346" s="23">
        <v>72419</v>
      </c>
      <c r="B4346" s="12" t="str">
        <f t="shared" si="67"/>
        <v>724</v>
      </c>
      <c r="C4346" s="14" t="s">
        <v>5634</v>
      </c>
      <c r="D4346" s="13" t="str">
        <f>IF(RIGHT(A4346,3)="000",C4346,VLOOKUP(B4346,'Справочник ИХ'!A:C,3,0))</f>
        <v>Остальные грузы</v>
      </c>
      <c r="E4346" s="13">
        <f>IF(RIGHT(A4346,3)="000","х",VLOOKUP(B4346,'Справочник ИХ'!A:D,4,0))</f>
        <v>3</v>
      </c>
      <c r="F4346" s="14" t="s">
        <v>5495</v>
      </c>
    </row>
    <row r="4347" spans="1:6" ht="31.75">
      <c r="A4347" s="23">
        <v>72420</v>
      </c>
      <c r="B4347" s="12" t="str">
        <f t="shared" si="67"/>
        <v>724</v>
      </c>
      <c r="C4347" s="14" t="s">
        <v>5635</v>
      </c>
      <c r="D4347" s="13" t="str">
        <f>IF(RIGHT(A4347,3)="000",C4347,VLOOKUP(B4347,'Справочник ИХ'!A:C,3,0))</f>
        <v>Остальные грузы</v>
      </c>
      <c r="E4347" s="13">
        <f>IF(RIGHT(A4347,3)="000","х",VLOOKUP(B4347,'Справочник ИХ'!A:D,4,0))</f>
        <v>3</v>
      </c>
      <c r="F4347" s="14" t="s">
        <v>5495</v>
      </c>
    </row>
    <row r="4348" spans="1:6" ht="31.75">
      <c r="A4348" s="23">
        <v>72421</v>
      </c>
      <c r="B4348" s="12" t="str">
        <f t="shared" si="67"/>
        <v>724</v>
      </c>
      <c r="C4348" s="14" t="s">
        <v>5636</v>
      </c>
      <c r="D4348" s="13" t="str">
        <f>IF(RIGHT(A4348,3)="000",C4348,VLOOKUP(B4348,'Справочник ИХ'!A:C,3,0))</f>
        <v>Остальные грузы</v>
      </c>
      <c r="E4348" s="13">
        <f>IF(RIGHT(A4348,3)="000","х",VLOOKUP(B4348,'Справочник ИХ'!A:D,4,0))</f>
        <v>3</v>
      </c>
      <c r="F4348" s="14" t="s">
        <v>5495</v>
      </c>
    </row>
    <row r="4349" spans="1:6" ht="31.75">
      <c r="A4349" s="23">
        <v>72422</v>
      </c>
      <c r="B4349" s="12" t="str">
        <f t="shared" si="67"/>
        <v>724</v>
      </c>
      <c r="C4349" s="14" t="s">
        <v>5637</v>
      </c>
      <c r="D4349" s="13" t="str">
        <f>IF(RIGHT(A4349,3)="000",C4349,VLOOKUP(B4349,'Справочник ИХ'!A:C,3,0))</f>
        <v>Остальные грузы</v>
      </c>
      <c r="E4349" s="13">
        <f>IF(RIGHT(A4349,3)="000","х",VLOOKUP(B4349,'Справочник ИХ'!A:D,4,0))</f>
        <v>3</v>
      </c>
      <c r="F4349" s="14" t="s">
        <v>5495</v>
      </c>
    </row>
    <row r="4350" spans="1:6" ht="31.75">
      <c r="A4350" s="23">
        <v>72423</v>
      </c>
      <c r="B4350" s="12" t="str">
        <f t="shared" si="67"/>
        <v>724</v>
      </c>
      <c r="C4350" s="14" t="s">
        <v>5638</v>
      </c>
      <c r="D4350" s="13" t="str">
        <f>IF(RIGHT(A4350,3)="000",C4350,VLOOKUP(B4350,'Справочник ИХ'!A:C,3,0))</f>
        <v>Остальные грузы</v>
      </c>
      <c r="E4350" s="13">
        <f>IF(RIGHT(A4350,3)="000","х",VLOOKUP(B4350,'Справочник ИХ'!A:D,4,0))</f>
        <v>3</v>
      </c>
      <c r="F4350" s="14" t="s">
        <v>5495</v>
      </c>
    </row>
    <row r="4351" spans="1:6" ht="31.75">
      <c r="A4351" s="23">
        <v>72424</v>
      </c>
      <c r="B4351" s="12" t="str">
        <f t="shared" si="67"/>
        <v>724</v>
      </c>
      <c r="C4351" s="14" t="s">
        <v>5639</v>
      </c>
      <c r="D4351" s="13" t="str">
        <f>IF(RIGHT(A4351,3)="000",C4351,VLOOKUP(B4351,'Справочник ИХ'!A:C,3,0))</f>
        <v>Остальные грузы</v>
      </c>
      <c r="E4351" s="13">
        <f>IF(RIGHT(A4351,3)="000","х",VLOOKUP(B4351,'Справочник ИХ'!A:D,4,0))</f>
        <v>3</v>
      </c>
      <c r="F4351" s="14" t="s">
        <v>5495</v>
      </c>
    </row>
    <row r="4352" spans="1:6" ht="31.75">
      <c r="A4352" s="23">
        <v>72425</v>
      </c>
      <c r="B4352" s="12" t="str">
        <f t="shared" si="67"/>
        <v>724</v>
      </c>
      <c r="C4352" s="14" t="s">
        <v>5640</v>
      </c>
      <c r="D4352" s="13" t="str">
        <f>IF(RIGHT(A4352,3)="000",C4352,VLOOKUP(B4352,'Справочник ИХ'!A:C,3,0))</f>
        <v>Остальные грузы</v>
      </c>
      <c r="E4352" s="13">
        <f>IF(RIGHT(A4352,3)="000","х",VLOOKUP(B4352,'Справочник ИХ'!A:D,4,0))</f>
        <v>3</v>
      </c>
      <c r="F4352" s="14" t="s">
        <v>5495</v>
      </c>
    </row>
    <row r="4353" spans="1:6" ht="31.75">
      <c r="A4353" s="23">
        <v>72426</v>
      </c>
      <c r="B4353" s="12" t="str">
        <f t="shared" si="67"/>
        <v>724</v>
      </c>
      <c r="C4353" s="14" t="s">
        <v>5641</v>
      </c>
      <c r="D4353" s="13" t="str">
        <f>IF(RIGHT(A4353,3)="000",C4353,VLOOKUP(B4353,'Справочник ИХ'!A:C,3,0))</f>
        <v>Остальные грузы</v>
      </c>
      <c r="E4353" s="13">
        <f>IF(RIGHT(A4353,3)="000","х",VLOOKUP(B4353,'Справочник ИХ'!A:D,4,0))</f>
        <v>3</v>
      </c>
      <c r="F4353" s="14" t="s">
        <v>5495</v>
      </c>
    </row>
    <row r="4354" spans="1:6" ht="31.75">
      <c r="A4354" s="23">
        <v>72427</v>
      </c>
      <c r="B4354" s="12" t="str">
        <f t="shared" si="67"/>
        <v>724</v>
      </c>
      <c r="C4354" s="14" t="s">
        <v>5642</v>
      </c>
      <c r="D4354" s="13" t="str">
        <f>IF(RIGHT(A4354,3)="000",C4354,VLOOKUP(B4354,'Справочник ИХ'!A:C,3,0))</f>
        <v>Остальные грузы</v>
      </c>
      <c r="E4354" s="13">
        <f>IF(RIGHT(A4354,3)="000","х",VLOOKUP(B4354,'Справочник ИХ'!A:D,4,0))</f>
        <v>3</v>
      </c>
      <c r="F4354" s="14" t="s">
        <v>5495</v>
      </c>
    </row>
    <row r="4355" spans="1:6" ht="31.75">
      <c r="A4355" s="23">
        <v>72428</v>
      </c>
      <c r="B4355" s="12" t="str">
        <f t="shared" si="67"/>
        <v>724</v>
      </c>
      <c r="C4355" s="14" t="s">
        <v>5643</v>
      </c>
      <c r="D4355" s="13" t="str">
        <f>IF(RIGHT(A4355,3)="000",C4355,VLOOKUP(B4355,'Справочник ИХ'!A:C,3,0))</f>
        <v>Остальные грузы</v>
      </c>
      <c r="E4355" s="13">
        <f>IF(RIGHT(A4355,3)="000","х",VLOOKUP(B4355,'Справочник ИХ'!A:D,4,0))</f>
        <v>3</v>
      </c>
      <c r="F4355" s="14" t="s">
        <v>5495</v>
      </c>
    </row>
    <row r="4356" spans="1:6" ht="31.75">
      <c r="A4356" s="23">
        <v>72429</v>
      </c>
      <c r="B4356" s="12" t="str">
        <f t="shared" si="67"/>
        <v>724</v>
      </c>
      <c r="C4356" s="14" t="s">
        <v>5644</v>
      </c>
      <c r="D4356" s="13" t="str">
        <f>IF(RIGHT(A4356,3)="000",C4356,VLOOKUP(B4356,'Справочник ИХ'!A:C,3,0))</f>
        <v>Остальные грузы</v>
      </c>
      <c r="E4356" s="13">
        <f>IF(RIGHT(A4356,3)="000","х",VLOOKUP(B4356,'Справочник ИХ'!A:D,4,0))</f>
        <v>3</v>
      </c>
      <c r="F4356" s="14" t="s">
        <v>5495</v>
      </c>
    </row>
    <row r="4357" spans="1:6" ht="31.75">
      <c r="A4357" s="23">
        <v>72430</v>
      </c>
      <c r="B4357" s="12" t="str">
        <f t="shared" ref="B4357:B4420" si="68">LEFT(A4357,3)</f>
        <v>724</v>
      </c>
      <c r="C4357" s="14" t="s">
        <v>5645</v>
      </c>
      <c r="D4357" s="13" t="str">
        <f>IF(RIGHT(A4357,3)="000",C4357,VLOOKUP(B4357,'Справочник ИХ'!A:C,3,0))</f>
        <v>Остальные грузы</v>
      </c>
      <c r="E4357" s="13">
        <f>IF(RIGHT(A4357,3)="000","х",VLOOKUP(B4357,'Справочник ИХ'!A:D,4,0))</f>
        <v>3</v>
      </c>
      <c r="F4357" s="14" t="s">
        <v>5495</v>
      </c>
    </row>
    <row r="4358" spans="1:6" ht="31.75">
      <c r="A4358" s="23">
        <v>72431</v>
      </c>
      <c r="B4358" s="12" t="str">
        <f t="shared" si="68"/>
        <v>724</v>
      </c>
      <c r="C4358" s="14" t="s">
        <v>5646</v>
      </c>
      <c r="D4358" s="13" t="str">
        <f>IF(RIGHT(A4358,3)="000",C4358,VLOOKUP(B4358,'Справочник ИХ'!A:C,3,0))</f>
        <v>Остальные грузы</v>
      </c>
      <c r="E4358" s="13">
        <f>IF(RIGHT(A4358,3)="000","х",VLOOKUP(B4358,'Справочник ИХ'!A:D,4,0))</f>
        <v>3</v>
      </c>
      <c r="F4358" s="14" t="s">
        <v>5495</v>
      </c>
    </row>
    <row r="4359" spans="1:6" ht="31.75">
      <c r="A4359" s="23">
        <v>72432</v>
      </c>
      <c r="B4359" s="12" t="str">
        <f t="shared" si="68"/>
        <v>724</v>
      </c>
      <c r="C4359" s="14" t="s">
        <v>5647</v>
      </c>
      <c r="D4359" s="13" t="str">
        <f>IF(RIGHT(A4359,3)="000",C4359,VLOOKUP(B4359,'Справочник ИХ'!A:C,3,0))</f>
        <v>Остальные грузы</v>
      </c>
      <c r="E4359" s="13">
        <f>IF(RIGHT(A4359,3)="000","х",VLOOKUP(B4359,'Справочник ИХ'!A:D,4,0))</f>
        <v>3</v>
      </c>
      <c r="F4359" s="14" t="s">
        <v>5495</v>
      </c>
    </row>
    <row r="4360" spans="1:6" ht="31.75">
      <c r="A4360" s="23">
        <v>72433</v>
      </c>
      <c r="B4360" s="12" t="str">
        <f t="shared" si="68"/>
        <v>724</v>
      </c>
      <c r="C4360" s="14" t="s">
        <v>5648</v>
      </c>
      <c r="D4360" s="13" t="str">
        <f>IF(RIGHT(A4360,3)="000",C4360,VLOOKUP(B4360,'Справочник ИХ'!A:C,3,0))</f>
        <v>Остальные грузы</v>
      </c>
      <c r="E4360" s="13">
        <f>IF(RIGHT(A4360,3)="000","х",VLOOKUP(B4360,'Справочник ИХ'!A:D,4,0))</f>
        <v>3</v>
      </c>
      <c r="F4360" s="14" t="s">
        <v>5495</v>
      </c>
    </row>
    <row r="4361" spans="1:6" ht="31.75">
      <c r="A4361" s="23">
        <v>72434</v>
      </c>
      <c r="B4361" s="12" t="str">
        <f t="shared" si="68"/>
        <v>724</v>
      </c>
      <c r="C4361" s="14" t="s">
        <v>5649</v>
      </c>
      <c r="D4361" s="13" t="str">
        <f>IF(RIGHT(A4361,3)="000",C4361,VLOOKUP(B4361,'Справочник ИХ'!A:C,3,0))</f>
        <v>Остальные грузы</v>
      </c>
      <c r="E4361" s="13">
        <f>IF(RIGHT(A4361,3)="000","х",VLOOKUP(B4361,'Справочник ИХ'!A:D,4,0))</f>
        <v>3</v>
      </c>
      <c r="F4361" s="14" t="s">
        <v>5495</v>
      </c>
    </row>
    <row r="4362" spans="1:6" ht="31.75">
      <c r="A4362" s="23">
        <v>72436</v>
      </c>
      <c r="B4362" s="12" t="str">
        <f t="shared" si="68"/>
        <v>724</v>
      </c>
      <c r="C4362" s="14" t="s">
        <v>5650</v>
      </c>
      <c r="D4362" s="13" t="str">
        <f>IF(RIGHT(A4362,3)="000",C4362,VLOOKUP(B4362,'Справочник ИХ'!A:C,3,0))</f>
        <v>Остальные грузы</v>
      </c>
      <c r="E4362" s="13">
        <f>IF(RIGHT(A4362,3)="000","х",VLOOKUP(B4362,'Справочник ИХ'!A:D,4,0))</f>
        <v>3</v>
      </c>
      <c r="F4362" s="14" t="s">
        <v>5495</v>
      </c>
    </row>
    <row r="4363" spans="1:6" ht="31.75">
      <c r="A4363" s="23">
        <v>72437</v>
      </c>
      <c r="B4363" s="12" t="str">
        <f t="shared" si="68"/>
        <v>724</v>
      </c>
      <c r="C4363" s="14" t="s">
        <v>5651</v>
      </c>
      <c r="D4363" s="13" t="str">
        <f>IF(RIGHT(A4363,3)="000",C4363,VLOOKUP(B4363,'Справочник ИХ'!A:C,3,0))</f>
        <v>Остальные грузы</v>
      </c>
      <c r="E4363" s="13">
        <f>IF(RIGHT(A4363,3)="000","х",VLOOKUP(B4363,'Справочник ИХ'!A:D,4,0))</f>
        <v>3</v>
      </c>
      <c r="F4363" s="14" t="s">
        <v>5495</v>
      </c>
    </row>
    <row r="4364" spans="1:6" ht="31.75">
      <c r="A4364" s="23">
        <v>72438</v>
      </c>
      <c r="B4364" s="12" t="str">
        <f t="shared" si="68"/>
        <v>724</v>
      </c>
      <c r="C4364" s="14" t="s">
        <v>5652</v>
      </c>
      <c r="D4364" s="13" t="str">
        <f>IF(RIGHT(A4364,3)="000",C4364,VLOOKUP(B4364,'Справочник ИХ'!A:C,3,0))</f>
        <v>Остальные грузы</v>
      </c>
      <c r="E4364" s="13">
        <f>IF(RIGHT(A4364,3)="000","х",VLOOKUP(B4364,'Справочник ИХ'!A:D,4,0))</f>
        <v>3</v>
      </c>
      <c r="F4364" s="14" t="s">
        <v>5495</v>
      </c>
    </row>
    <row r="4365" spans="1:6" ht="31.75">
      <c r="A4365" s="23">
        <v>72439</v>
      </c>
      <c r="B4365" s="12" t="str">
        <f t="shared" si="68"/>
        <v>724</v>
      </c>
      <c r="C4365" s="14" t="s">
        <v>5653</v>
      </c>
      <c r="D4365" s="13" t="str">
        <f>IF(RIGHT(A4365,3)="000",C4365,VLOOKUP(B4365,'Справочник ИХ'!A:C,3,0))</f>
        <v>Остальные грузы</v>
      </c>
      <c r="E4365" s="13">
        <f>IF(RIGHT(A4365,3)="000","х",VLOOKUP(B4365,'Справочник ИХ'!A:D,4,0))</f>
        <v>3</v>
      </c>
      <c r="F4365" s="14" t="s">
        <v>5495</v>
      </c>
    </row>
    <row r="4366" spans="1:6" ht="31.75">
      <c r="A4366" s="23">
        <v>72440</v>
      </c>
      <c r="B4366" s="12" t="str">
        <f t="shared" si="68"/>
        <v>724</v>
      </c>
      <c r="C4366" s="14" t="s">
        <v>5654</v>
      </c>
      <c r="D4366" s="13" t="str">
        <f>IF(RIGHT(A4366,3)="000",C4366,VLOOKUP(B4366,'Справочник ИХ'!A:C,3,0))</f>
        <v>Остальные грузы</v>
      </c>
      <c r="E4366" s="13">
        <f>IF(RIGHT(A4366,3)="000","х",VLOOKUP(B4366,'Справочник ИХ'!A:D,4,0))</f>
        <v>3</v>
      </c>
      <c r="F4366" s="14" t="s">
        <v>5495</v>
      </c>
    </row>
    <row r="4367" spans="1:6" ht="31.75">
      <c r="A4367" s="23">
        <v>72441</v>
      </c>
      <c r="B4367" s="12" t="str">
        <f t="shared" si="68"/>
        <v>724</v>
      </c>
      <c r="C4367" s="14" t="s">
        <v>5655</v>
      </c>
      <c r="D4367" s="13" t="str">
        <f>IF(RIGHT(A4367,3)="000",C4367,VLOOKUP(B4367,'Справочник ИХ'!A:C,3,0))</f>
        <v>Остальные грузы</v>
      </c>
      <c r="E4367" s="13">
        <f>IF(RIGHT(A4367,3)="000","х",VLOOKUP(B4367,'Справочник ИХ'!A:D,4,0))</f>
        <v>3</v>
      </c>
      <c r="F4367" s="14" t="s">
        <v>5495</v>
      </c>
    </row>
    <row r="4368" spans="1:6" ht="31.75">
      <c r="A4368" s="23">
        <v>72443</v>
      </c>
      <c r="B4368" s="12" t="str">
        <f t="shared" si="68"/>
        <v>724</v>
      </c>
      <c r="C4368" s="14" t="s">
        <v>5656</v>
      </c>
      <c r="D4368" s="13" t="str">
        <f>IF(RIGHT(A4368,3)="000",C4368,VLOOKUP(B4368,'Справочник ИХ'!A:C,3,0))</f>
        <v>Остальные грузы</v>
      </c>
      <c r="E4368" s="13">
        <f>IF(RIGHT(A4368,3)="000","х",VLOOKUP(B4368,'Справочник ИХ'!A:D,4,0))</f>
        <v>3</v>
      </c>
      <c r="F4368" s="14" t="s">
        <v>5495</v>
      </c>
    </row>
    <row r="4369" spans="1:6" ht="31.75">
      <c r="A4369" s="23">
        <v>72444</v>
      </c>
      <c r="B4369" s="12" t="str">
        <f t="shared" si="68"/>
        <v>724</v>
      </c>
      <c r="C4369" s="14" t="s">
        <v>5657</v>
      </c>
      <c r="D4369" s="13" t="str">
        <f>IF(RIGHT(A4369,3)="000",C4369,VLOOKUP(B4369,'Справочник ИХ'!A:C,3,0))</f>
        <v>Остальные грузы</v>
      </c>
      <c r="E4369" s="13">
        <f>IF(RIGHT(A4369,3)="000","х",VLOOKUP(B4369,'Справочник ИХ'!A:D,4,0))</f>
        <v>3</v>
      </c>
      <c r="F4369" s="14" t="s">
        <v>5495</v>
      </c>
    </row>
    <row r="4370" spans="1:6" s="18" customFormat="1" ht="31.75">
      <c r="A4370" s="34" t="s">
        <v>5658</v>
      </c>
      <c r="B4370" s="12" t="str">
        <f t="shared" si="68"/>
        <v>725</v>
      </c>
      <c r="C4370" s="18" t="s">
        <v>5659</v>
      </c>
      <c r="D4370" s="13" t="str">
        <f>IF(RIGHT(A4370,3)="000",C4370,VLOOKUP(B4370,'Справочник ИХ'!A:C,3,0))</f>
        <v>Остальные грузы</v>
      </c>
      <c r="E4370" s="13">
        <f>IF(RIGHT(A4370,3)="000","х",VLOOKUP(B4370,'Справочник ИХ'!A:D,4,0))</f>
        <v>3</v>
      </c>
      <c r="F4370" s="14" t="s">
        <v>5495</v>
      </c>
    </row>
    <row r="4371" spans="1:6" ht="31.75">
      <c r="A4371" s="23">
        <v>72501</v>
      </c>
      <c r="B4371" s="12" t="str">
        <f t="shared" si="68"/>
        <v>725</v>
      </c>
      <c r="C4371" s="14" t="s">
        <v>5660</v>
      </c>
      <c r="D4371" s="13" t="str">
        <f>IF(RIGHT(A4371,3)="000",C4371,VLOOKUP(B4371,'Справочник ИХ'!A:C,3,0))</f>
        <v>Остальные грузы</v>
      </c>
      <c r="E4371" s="13">
        <f>IF(RIGHT(A4371,3)="000","х",VLOOKUP(B4371,'Справочник ИХ'!A:D,4,0))</f>
        <v>3</v>
      </c>
      <c r="F4371" s="14" t="s">
        <v>5495</v>
      </c>
    </row>
    <row r="4372" spans="1:6" ht="31.75">
      <c r="A4372" s="23">
        <v>72502</v>
      </c>
      <c r="B4372" s="12" t="str">
        <f t="shared" si="68"/>
        <v>725</v>
      </c>
      <c r="C4372" s="14" t="s">
        <v>5661</v>
      </c>
      <c r="D4372" s="13" t="str">
        <f>IF(RIGHT(A4372,3)="000",C4372,VLOOKUP(B4372,'Справочник ИХ'!A:C,3,0))</f>
        <v>Остальные грузы</v>
      </c>
      <c r="E4372" s="13">
        <f>IF(RIGHT(A4372,3)="000","х",VLOOKUP(B4372,'Справочник ИХ'!A:D,4,0))</f>
        <v>3</v>
      </c>
      <c r="F4372" s="14" t="s">
        <v>5495</v>
      </c>
    </row>
    <row r="4373" spans="1:6" ht="31.75">
      <c r="A4373" s="23">
        <v>72503</v>
      </c>
      <c r="B4373" s="12" t="str">
        <f t="shared" si="68"/>
        <v>725</v>
      </c>
      <c r="C4373" s="14" t="s">
        <v>5662</v>
      </c>
      <c r="D4373" s="13" t="str">
        <f>IF(RIGHT(A4373,3)="000",C4373,VLOOKUP(B4373,'Справочник ИХ'!A:C,3,0))</f>
        <v>Остальные грузы</v>
      </c>
      <c r="E4373" s="13">
        <f>IF(RIGHT(A4373,3)="000","х",VLOOKUP(B4373,'Справочник ИХ'!A:D,4,0))</f>
        <v>3</v>
      </c>
      <c r="F4373" s="14" t="s">
        <v>5495</v>
      </c>
    </row>
    <row r="4374" spans="1:6" ht="31.75">
      <c r="A4374" s="23">
        <v>72504</v>
      </c>
      <c r="B4374" s="12" t="str">
        <f t="shared" si="68"/>
        <v>725</v>
      </c>
      <c r="C4374" s="14" t="s">
        <v>5663</v>
      </c>
      <c r="D4374" s="13" t="str">
        <f>IF(RIGHT(A4374,3)="000",C4374,VLOOKUP(B4374,'Справочник ИХ'!A:C,3,0))</f>
        <v>Остальные грузы</v>
      </c>
      <c r="E4374" s="13">
        <f>IF(RIGHT(A4374,3)="000","х",VLOOKUP(B4374,'Справочник ИХ'!A:D,4,0))</f>
        <v>3</v>
      </c>
      <c r="F4374" s="14" t="s">
        <v>5495</v>
      </c>
    </row>
    <row r="4375" spans="1:6" ht="31.75">
      <c r="A4375" s="23">
        <v>72505</v>
      </c>
      <c r="B4375" s="12" t="str">
        <f t="shared" si="68"/>
        <v>725</v>
      </c>
      <c r="C4375" s="14" t="s">
        <v>5664</v>
      </c>
      <c r="D4375" s="13" t="str">
        <f>IF(RIGHT(A4375,3)="000",C4375,VLOOKUP(B4375,'Справочник ИХ'!A:C,3,0))</f>
        <v>Остальные грузы</v>
      </c>
      <c r="E4375" s="13">
        <f>IF(RIGHT(A4375,3)="000","х",VLOOKUP(B4375,'Справочник ИХ'!A:D,4,0))</f>
        <v>3</v>
      </c>
      <c r="F4375" s="14" t="s">
        <v>5495</v>
      </c>
    </row>
    <row r="4376" spans="1:6" ht="31.75">
      <c r="A4376" s="23">
        <v>72506</v>
      </c>
      <c r="B4376" s="12" t="str">
        <f t="shared" si="68"/>
        <v>725</v>
      </c>
      <c r="C4376" s="14" t="s">
        <v>5665</v>
      </c>
      <c r="D4376" s="13" t="str">
        <f>IF(RIGHT(A4376,3)="000",C4376,VLOOKUP(B4376,'Справочник ИХ'!A:C,3,0))</f>
        <v>Остальные грузы</v>
      </c>
      <c r="E4376" s="13">
        <f>IF(RIGHT(A4376,3)="000","х",VLOOKUP(B4376,'Справочник ИХ'!A:D,4,0))</f>
        <v>3</v>
      </c>
      <c r="F4376" s="14" t="s">
        <v>5495</v>
      </c>
    </row>
    <row r="4377" spans="1:6" ht="31.75">
      <c r="A4377" s="23">
        <v>72507</v>
      </c>
      <c r="B4377" s="12" t="str">
        <f t="shared" si="68"/>
        <v>725</v>
      </c>
      <c r="C4377" s="14" t="s">
        <v>5666</v>
      </c>
      <c r="D4377" s="13" t="str">
        <f>IF(RIGHT(A4377,3)="000",C4377,VLOOKUP(B4377,'Справочник ИХ'!A:C,3,0))</f>
        <v>Остальные грузы</v>
      </c>
      <c r="E4377" s="13">
        <f>IF(RIGHT(A4377,3)="000","х",VLOOKUP(B4377,'Справочник ИХ'!A:D,4,0))</f>
        <v>3</v>
      </c>
      <c r="F4377" s="14" t="s">
        <v>5495</v>
      </c>
    </row>
    <row r="4378" spans="1:6" ht="31.75">
      <c r="A4378" s="23">
        <v>72508</v>
      </c>
      <c r="B4378" s="12" t="str">
        <f t="shared" si="68"/>
        <v>725</v>
      </c>
      <c r="C4378" s="14" t="s">
        <v>5667</v>
      </c>
      <c r="D4378" s="13" t="str">
        <f>IF(RIGHT(A4378,3)="000",C4378,VLOOKUP(B4378,'Справочник ИХ'!A:C,3,0))</f>
        <v>Остальные грузы</v>
      </c>
      <c r="E4378" s="13">
        <f>IF(RIGHT(A4378,3)="000","х",VLOOKUP(B4378,'Справочник ИХ'!A:D,4,0))</f>
        <v>3</v>
      </c>
      <c r="F4378" s="14" t="s">
        <v>5495</v>
      </c>
    </row>
    <row r="4379" spans="1:6" ht="31.75">
      <c r="A4379" s="23">
        <v>72509</v>
      </c>
      <c r="B4379" s="12" t="str">
        <f t="shared" si="68"/>
        <v>725</v>
      </c>
      <c r="C4379" s="14" t="s">
        <v>5668</v>
      </c>
      <c r="D4379" s="13" t="str">
        <f>IF(RIGHT(A4379,3)="000",C4379,VLOOKUP(B4379,'Справочник ИХ'!A:C,3,0))</f>
        <v>Остальные грузы</v>
      </c>
      <c r="E4379" s="13">
        <f>IF(RIGHT(A4379,3)="000","х",VLOOKUP(B4379,'Справочник ИХ'!A:D,4,0))</f>
        <v>3</v>
      </c>
      <c r="F4379" s="14" t="s">
        <v>5495</v>
      </c>
    </row>
    <row r="4380" spans="1:6" ht="31.75">
      <c r="A4380" s="23">
        <v>72510</v>
      </c>
      <c r="B4380" s="12" t="str">
        <f t="shared" si="68"/>
        <v>725</v>
      </c>
      <c r="C4380" s="14" t="s">
        <v>5669</v>
      </c>
      <c r="D4380" s="13" t="str">
        <f>IF(RIGHT(A4380,3)="000",C4380,VLOOKUP(B4380,'Справочник ИХ'!A:C,3,0))</f>
        <v>Остальные грузы</v>
      </c>
      <c r="E4380" s="13">
        <f>IF(RIGHT(A4380,3)="000","х",VLOOKUP(B4380,'Справочник ИХ'!A:D,4,0))</f>
        <v>3</v>
      </c>
      <c r="F4380" s="14" t="s">
        <v>5495</v>
      </c>
    </row>
    <row r="4381" spans="1:6" ht="31.75">
      <c r="A4381" s="23">
        <v>72511</v>
      </c>
      <c r="B4381" s="12" t="str">
        <f t="shared" si="68"/>
        <v>725</v>
      </c>
      <c r="C4381" s="14" t="s">
        <v>5670</v>
      </c>
      <c r="D4381" s="13" t="str">
        <f>IF(RIGHT(A4381,3)="000",C4381,VLOOKUP(B4381,'Справочник ИХ'!A:C,3,0))</f>
        <v>Остальные грузы</v>
      </c>
      <c r="E4381" s="13">
        <f>IF(RIGHT(A4381,3)="000","х",VLOOKUP(B4381,'Справочник ИХ'!A:D,4,0))</f>
        <v>3</v>
      </c>
      <c r="F4381" s="14" t="s">
        <v>5495</v>
      </c>
    </row>
    <row r="4382" spans="1:6" ht="31.75">
      <c r="A4382" s="23">
        <v>72512</v>
      </c>
      <c r="B4382" s="12" t="str">
        <f t="shared" si="68"/>
        <v>725</v>
      </c>
      <c r="C4382" s="14" t="s">
        <v>5671</v>
      </c>
      <c r="D4382" s="13" t="str">
        <f>IF(RIGHT(A4382,3)="000",C4382,VLOOKUP(B4382,'Справочник ИХ'!A:C,3,0))</f>
        <v>Остальные грузы</v>
      </c>
      <c r="E4382" s="13">
        <f>IF(RIGHT(A4382,3)="000","х",VLOOKUP(B4382,'Справочник ИХ'!A:D,4,0))</f>
        <v>3</v>
      </c>
      <c r="F4382" s="14" t="s">
        <v>5495</v>
      </c>
    </row>
    <row r="4383" spans="1:6" ht="31.75">
      <c r="A4383" s="23">
        <v>72513</v>
      </c>
      <c r="B4383" s="12" t="str">
        <f t="shared" si="68"/>
        <v>725</v>
      </c>
      <c r="C4383" s="14" t="s">
        <v>5672</v>
      </c>
      <c r="D4383" s="13" t="str">
        <f>IF(RIGHT(A4383,3)="000",C4383,VLOOKUP(B4383,'Справочник ИХ'!A:C,3,0))</f>
        <v>Остальные грузы</v>
      </c>
      <c r="E4383" s="13">
        <f>IF(RIGHT(A4383,3)="000","х",VLOOKUP(B4383,'Справочник ИХ'!A:D,4,0))</f>
        <v>3</v>
      </c>
      <c r="F4383" s="14" t="s">
        <v>5495</v>
      </c>
    </row>
    <row r="4384" spans="1:6" ht="31.75">
      <c r="A4384" s="23">
        <v>72514</v>
      </c>
      <c r="B4384" s="12" t="str">
        <f t="shared" si="68"/>
        <v>725</v>
      </c>
      <c r="C4384" s="14" t="s">
        <v>5673</v>
      </c>
      <c r="D4384" s="13" t="str">
        <f>IF(RIGHT(A4384,3)="000",C4384,VLOOKUP(B4384,'Справочник ИХ'!A:C,3,0))</f>
        <v>Остальные грузы</v>
      </c>
      <c r="E4384" s="13">
        <f>IF(RIGHT(A4384,3)="000","х",VLOOKUP(B4384,'Справочник ИХ'!A:D,4,0))</f>
        <v>3</v>
      </c>
      <c r="F4384" s="14" t="s">
        <v>5495</v>
      </c>
    </row>
    <row r="4385" spans="1:6" ht="31.75">
      <c r="A4385" s="23">
        <v>72515</v>
      </c>
      <c r="B4385" s="12" t="str">
        <f t="shared" si="68"/>
        <v>725</v>
      </c>
      <c r="C4385" s="14" t="s">
        <v>5674</v>
      </c>
      <c r="D4385" s="13" t="str">
        <f>IF(RIGHT(A4385,3)="000",C4385,VLOOKUP(B4385,'Справочник ИХ'!A:C,3,0))</f>
        <v>Остальные грузы</v>
      </c>
      <c r="E4385" s="13">
        <f>IF(RIGHT(A4385,3)="000","х",VLOOKUP(B4385,'Справочник ИХ'!A:D,4,0))</f>
        <v>3</v>
      </c>
      <c r="F4385" s="14" t="s">
        <v>5495</v>
      </c>
    </row>
    <row r="4386" spans="1:6" ht="31.75">
      <c r="A4386" s="23">
        <v>72516</v>
      </c>
      <c r="B4386" s="12" t="str">
        <f t="shared" si="68"/>
        <v>725</v>
      </c>
      <c r="C4386" s="14" t="s">
        <v>5675</v>
      </c>
      <c r="D4386" s="13" t="str">
        <f>IF(RIGHT(A4386,3)="000",C4386,VLOOKUP(B4386,'Справочник ИХ'!A:C,3,0))</f>
        <v>Остальные грузы</v>
      </c>
      <c r="E4386" s="13">
        <f>IF(RIGHT(A4386,3)="000","х",VLOOKUP(B4386,'Справочник ИХ'!A:D,4,0))</f>
        <v>3</v>
      </c>
      <c r="F4386" s="14" t="s">
        <v>5495</v>
      </c>
    </row>
    <row r="4387" spans="1:6" ht="31.75">
      <c r="A4387" s="23">
        <v>72517</v>
      </c>
      <c r="B4387" s="12" t="str">
        <f t="shared" si="68"/>
        <v>725</v>
      </c>
      <c r="C4387" s="14" t="s">
        <v>5676</v>
      </c>
      <c r="D4387" s="13" t="str">
        <f>IF(RIGHT(A4387,3)="000",C4387,VLOOKUP(B4387,'Справочник ИХ'!A:C,3,0))</f>
        <v>Остальные грузы</v>
      </c>
      <c r="E4387" s="13">
        <f>IF(RIGHT(A4387,3)="000","х",VLOOKUP(B4387,'Справочник ИХ'!A:D,4,0))</f>
        <v>3</v>
      </c>
      <c r="F4387" s="14" t="s">
        <v>5495</v>
      </c>
    </row>
    <row r="4388" spans="1:6" ht="31.75">
      <c r="A4388" s="23">
        <v>72518</v>
      </c>
      <c r="B4388" s="12" t="str">
        <f t="shared" si="68"/>
        <v>725</v>
      </c>
      <c r="C4388" s="14" t="s">
        <v>5677</v>
      </c>
      <c r="D4388" s="13" t="str">
        <f>IF(RIGHT(A4388,3)="000",C4388,VLOOKUP(B4388,'Справочник ИХ'!A:C,3,0))</f>
        <v>Остальные грузы</v>
      </c>
      <c r="E4388" s="13">
        <f>IF(RIGHT(A4388,3)="000","х",VLOOKUP(B4388,'Справочник ИХ'!A:D,4,0))</f>
        <v>3</v>
      </c>
      <c r="F4388" s="14" t="s">
        <v>5495</v>
      </c>
    </row>
    <row r="4389" spans="1:6" ht="31.75">
      <c r="A4389" s="23">
        <v>72519</v>
      </c>
      <c r="B4389" s="12" t="str">
        <f t="shared" si="68"/>
        <v>725</v>
      </c>
      <c r="C4389" s="14" t="s">
        <v>5678</v>
      </c>
      <c r="D4389" s="13" t="str">
        <f>IF(RIGHT(A4389,3)="000",C4389,VLOOKUP(B4389,'Справочник ИХ'!A:C,3,0))</f>
        <v>Остальные грузы</v>
      </c>
      <c r="E4389" s="13">
        <f>IF(RIGHT(A4389,3)="000","х",VLOOKUP(B4389,'Справочник ИХ'!A:D,4,0))</f>
        <v>3</v>
      </c>
      <c r="F4389" s="14" t="s">
        <v>5495</v>
      </c>
    </row>
    <row r="4390" spans="1:6" ht="31.75">
      <c r="A4390" s="23">
        <v>72520</v>
      </c>
      <c r="B4390" s="12" t="str">
        <f t="shared" si="68"/>
        <v>725</v>
      </c>
      <c r="C4390" s="14" t="s">
        <v>5679</v>
      </c>
      <c r="D4390" s="13" t="str">
        <f>IF(RIGHT(A4390,3)="000",C4390,VLOOKUP(B4390,'Справочник ИХ'!A:C,3,0))</f>
        <v>Остальные грузы</v>
      </c>
      <c r="E4390" s="13">
        <f>IF(RIGHT(A4390,3)="000","х",VLOOKUP(B4390,'Справочник ИХ'!A:D,4,0))</f>
        <v>3</v>
      </c>
      <c r="F4390" s="14" t="s">
        <v>5495</v>
      </c>
    </row>
    <row r="4391" spans="1:6" ht="31.75">
      <c r="A4391" s="23">
        <v>72521</v>
      </c>
      <c r="B4391" s="12" t="str">
        <f t="shared" si="68"/>
        <v>725</v>
      </c>
      <c r="C4391" s="14" t="s">
        <v>5680</v>
      </c>
      <c r="D4391" s="13" t="str">
        <f>IF(RIGHT(A4391,3)="000",C4391,VLOOKUP(B4391,'Справочник ИХ'!A:C,3,0))</f>
        <v>Остальные грузы</v>
      </c>
      <c r="E4391" s="13">
        <f>IF(RIGHT(A4391,3)="000","х",VLOOKUP(B4391,'Справочник ИХ'!A:D,4,0))</f>
        <v>3</v>
      </c>
      <c r="F4391" s="14" t="s">
        <v>5495</v>
      </c>
    </row>
    <row r="4392" spans="1:6" ht="31.75">
      <c r="A4392" s="23">
        <v>72522</v>
      </c>
      <c r="B4392" s="12" t="str">
        <f t="shared" si="68"/>
        <v>725</v>
      </c>
      <c r="C4392" s="14" t="s">
        <v>5681</v>
      </c>
      <c r="D4392" s="13" t="str">
        <f>IF(RIGHT(A4392,3)="000",C4392,VLOOKUP(B4392,'Справочник ИХ'!A:C,3,0))</f>
        <v>Остальные грузы</v>
      </c>
      <c r="E4392" s="13">
        <f>IF(RIGHT(A4392,3)="000","х",VLOOKUP(B4392,'Справочник ИХ'!A:D,4,0))</f>
        <v>3</v>
      </c>
      <c r="F4392" s="14" t="s">
        <v>5495</v>
      </c>
    </row>
    <row r="4393" spans="1:6" ht="31.75">
      <c r="A4393" s="23">
        <v>72523</v>
      </c>
      <c r="B4393" s="12" t="str">
        <f t="shared" si="68"/>
        <v>725</v>
      </c>
      <c r="C4393" s="14" t="s">
        <v>5682</v>
      </c>
      <c r="D4393" s="13" t="str">
        <f>IF(RIGHT(A4393,3)="000",C4393,VLOOKUP(B4393,'Справочник ИХ'!A:C,3,0))</f>
        <v>Остальные грузы</v>
      </c>
      <c r="E4393" s="13">
        <f>IF(RIGHT(A4393,3)="000","х",VLOOKUP(B4393,'Справочник ИХ'!A:D,4,0))</f>
        <v>3</v>
      </c>
      <c r="F4393" s="14" t="s">
        <v>5495</v>
      </c>
    </row>
    <row r="4394" spans="1:6" ht="31.75">
      <c r="A4394" s="23">
        <v>72524</v>
      </c>
      <c r="B4394" s="12" t="str">
        <f t="shared" si="68"/>
        <v>725</v>
      </c>
      <c r="C4394" s="14" t="s">
        <v>5683</v>
      </c>
      <c r="D4394" s="13" t="str">
        <f>IF(RIGHT(A4394,3)="000",C4394,VLOOKUP(B4394,'Справочник ИХ'!A:C,3,0))</f>
        <v>Остальные грузы</v>
      </c>
      <c r="E4394" s="13">
        <f>IF(RIGHT(A4394,3)="000","х",VLOOKUP(B4394,'Справочник ИХ'!A:D,4,0))</f>
        <v>3</v>
      </c>
      <c r="F4394" s="14" t="s">
        <v>5495</v>
      </c>
    </row>
    <row r="4395" spans="1:6" ht="31.75">
      <c r="A4395" s="23">
        <v>72525</v>
      </c>
      <c r="B4395" s="12" t="str">
        <f t="shared" si="68"/>
        <v>725</v>
      </c>
      <c r="C4395" s="14" t="s">
        <v>5684</v>
      </c>
      <c r="D4395" s="13" t="str">
        <f>IF(RIGHT(A4395,3)="000",C4395,VLOOKUP(B4395,'Справочник ИХ'!A:C,3,0))</f>
        <v>Остальные грузы</v>
      </c>
      <c r="E4395" s="13">
        <f>IF(RIGHT(A4395,3)="000","х",VLOOKUP(B4395,'Справочник ИХ'!A:D,4,0))</f>
        <v>3</v>
      </c>
      <c r="F4395" s="14" t="s">
        <v>5495</v>
      </c>
    </row>
    <row r="4396" spans="1:6" ht="31.75">
      <c r="A4396" s="23">
        <v>72526</v>
      </c>
      <c r="B4396" s="12" t="str">
        <f t="shared" si="68"/>
        <v>725</v>
      </c>
      <c r="C4396" s="14" t="s">
        <v>5685</v>
      </c>
      <c r="D4396" s="13" t="str">
        <f>IF(RIGHT(A4396,3)="000",C4396,VLOOKUP(B4396,'Справочник ИХ'!A:C,3,0))</f>
        <v>Остальные грузы</v>
      </c>
      <c r="E4396" s="13">
        <f>IF(RIGHT(A4396,3)="000","х",VLOOKUP(B4396,'Справочник ИХ'!A:D,4,0))</f>
        <v>3</v>
      </c>
      <c r="F4396" s="14" t="s">
        <v>5495</v>
      </c>
    </row>
    <row r="4397" spans="1:6" ht="31.75">
      <c r="A4397" s="23">
        <v>72527</v>
      </c>
      <c r="B4397" s="12" t="str">
        <f t="shared" si="68"/>
        <v>725</v>
      </c>
      <c r="C4397" s="14" t="s">
        <v>5686</v>
      </c>
      <c r="D4397" s="13" t="str">
        <f>IF(RIGHT(A4397,3)="000",C4397,VLOOKUP(B4397,'Справочник ИХ'!A:C,3,0))</f>
        <v>Остальные грузы</v>
      </c>
      <c r="E4397" s="13">
        <f>IF(RIGHT(A4397,3)="000","х",VLOOKUP(B4397,'Справочник ИХ'!A:D,4,0))</f>
        <v>3</v>
      </c>
      <c r="F4397" s="14" t="s">
        <v>5495</v>
      </c>
    </row>
    <row r="4398" spans="1:6" ht="31.75">
      <c r="A4398" s="23">
        <v>72528</v>
      </c>
      <c r="B4398" s="12" t="str">
        <f t="shared" si="68"/>
        <v>725</v>
      </c>
      <c r="C4398" s="14" t="s">
        <v>5687</v>
      </c>
      <c r="D4398" s="13" t="str">
        <f>IF(RIGHT(A4398,3)="000",C4398,VLOOKUP(B4398,'Справочник ИХ'!A:C,3,0))</f>
        <v>Остальные грузы</v>
      </c>
      <c r="E4398" s="13">
        <f>IF(RIGHT(A4398,3)="000","х",VLOOKUP(B4398,'Справочник ИХ'!A:D,4,0))</f>
        <v>3</v>
      </c>
      <c r="F4398" s="14" t="s">
        <v>5495</v>
      </c>
    </row>
    <row r="4399" spans="1:6" ht="31.75">
      <c r="A4399" s="23">
        <v>72529</v>
      </c>
      <c r="B4399" s="12" t="str">
        <f t="shared" si="68"/>
        <v>725</v>
      </c>
      <c r="C4399" s="14" t="s">
        <v>5688</v>
      </c>
      <c r="D4399" s="13" t="str">
        <f>IF(RIGHT(A4399,3)="000",C4399,VLOOKUP(B4399,'Справочник ИХ'!A:C,3,0))</f>
        <v>Остальные грузы</v>
      </c>
      <c r="E4399" s="13">
        <f>IF(RIGHT(A4399,3)="000","х",VLOOKUP(B4399,'Справочник ИХ'!A:D,4,0))</f>
        <v>3</v>
      </c>
      <c r="F4399" s="14" t="s">
        <v>5495</v>
      </c>
    </row>
    <row r="4400" spans="1:6" ht="31.75">
      <c r="A4400" s="23">
        <v>72530</v>
      </c>
      <c r="B4400" s="12" t="str">
        <f t="shared" si="68"/>
        <v>725</v>
      </c>
      <c r="C4400" s="14" t="s">
        <v>5689</v>
      </c>
      <c r="D4400" s="13" t="str">
        <f>IF(RIGHT(A4400,3)="000",C4400,VLOOKUP(B4400,'Справочник ИХ'!A:C,3,0))</f>
        <v>Остальные грузы</v>
      </c>
      <c r="E4400" s="13">
        <f>IF(RIGHT(A4400,3)="000","х",VLOOKUP(B4400,'Справочник ИХ'!A:D,4,0))</f>
        <v>3</v>
      </c>
      <c r="F4400" s="14" t="s">
        <v>5495</v>
      </c>
    </row>
    <row r="4401" spans="1:6" ht="31.75">
      <c r="A4401" s="23">
        <v>72531</v>
      </c>
      <c r="B4401" s="12" t="str">
        <f t="shared" si="68"/>
        <v>725</v>
      </c>
      <c r="C4401" s="14" t="s">
        <v>5690</v>
      </c>
      <c r="D4401" s="13" t="str">
        <f>IF(RIGHT(A4401,3)="000",C4401,VLOOKUP(B4401,'Справочник ИХ'!A:C,3,0))</f>
        <v>Остальные грузы</v>
      </c>
      <c r="E4401" s="13">
        <f>IF(RIGHT(A4401,3)="000","х",VLOOKUP(B4401,'Справочник ИХ'!A:D,4,0))</f>
        <v>3</v>
      </c>
      <c r="F4401" s="14" t="s">
        <v>5495</v>
      </c>
    </row>
    <row r="4402" spans="1:6" ht="31.75">
      <c r="A4402" s="23">
        <v>72532</v>
      </c>
      <c r="B4402" s="12" t="str">
        <f t="shared" si="68"/>
        <v>725</v>
      </c>
      <c r="C4402" s="14" t="s">
        <v>5691</v>
      </c>
      <c r="D4402" s="13" t="str">
        <f>IF(RIGHT(A4402,3)="000",C4402,VLOOKUP(B4402,'Справочник ИХ'!A:C,3,0))</f>
        <v>Остальные грузы</v>
      </c>
      <c r="E4402" s="13">
        <f>IF(RIGHT(A4402,3)="000","х",VLOOKUP(B4402,'Справочник ИХ'!A:D,4,0))</f>
        <v>3</v>
      </c>
      <c r="F4402" s="14" t="s">
        <v>5495</v>
      </c>
    </row>
    <row r="4403" spans="1:6" ht="31.75">
      <c r="A4403" s="23">
        <v>72533</v>
      </c>
      <c r="B4403" s="12" t="str">
        <f t="shared" si="68"/>
        <v>725</v>
      </c>
      <c r="C4403" s="14" t="s">
        <v>5692</v>
      </c>
      <c r="D4403" s="13" t="str">
        <f>IF(RIGHT(A4403,3)="000",C4403,VLOOKUP(B4403,'Справочник ИХ'!A:C,3,0))</f>
        <v>Остальные грузы</v>
      </c>
      <c r="E4403" s="13">
        <f>IF(RIGHT(A4403,3)="000","х",VLOOKUP(B4403,'Справочник ИХ'!A:D,4,0))</f>
        <v>3</v>
      </c>
      <c r="F4403" s="14" t="s">
        <v>5495</v>
      </c>
    </row>
    <row r="4404" spans="1:6" ht="31.75">
      <c r="A4404" s="23">
        <v>72534</v>
      </c>
      <c r="B4404" s="12" t="str">
        <f t="shared" si="68"/>
        <v>725</v>
      </c>
      <c r="C4404" s="14" t="s">
        <v>5693</v>
      </c>
      <c r="D4404" s="13" t="str">
        <f>IF(RIGHT(A4404,3)="000",C4404,VLOOKUP(B4404,'Справочник ИХ'!A:C,3,0))</f>
        <v>Остальные грузы</v>
      </c>
      <c r="E4404" s="13">
        <f>IF(RIGHT(A4404,3)="000","х",VLOOKUP(B4404,'Справочник ИХ'!A:D,4,0))</f>
        <v>3</v>
      </c>
      <c r="F4404" s="14" t="s">
        <v>5495</v>
      </c>
    </row>
    <row r="4405" spans="1:6" ht="31.75">
      <c r="A4405" s="23">
        <v>72536</v>
      </c>
      <c r="B4405" s="12" t="str">
        <f t="shared" si="68"/>
        <v>725</v>
      </c>
      <c r="C4405" s="14" t="s">
        <v>5694</v>
      </c>
      <c r="D4405" s="13" t="str">
        <f>IF(RIGHT(A4405,3)="000",C4405,VLOOKUP(B4405,'Справочник ИХ'!A:C,3,0))</f>
        <v>Остальные грузы</v>
      </c>
      <c r="E4405" s="13">
        <f>IF(RIGHT(A4405,3)="000","х",VLOOKUP(B4405,'Справочник ИХ'!A:D,4,0))</f>
        <v>3</v>
      </c>
      <c r="F4405" s="14" t="s">
        <v>5495</v>
      </c>
    </row>
    <row r="4406" spans="1:6" ht="31.75">
      <c r="A4406" s="23">
        <v>72537</v>
      </c>
      <c r="B4406" s="12" t="str">
        <f t="shared" si="68"/>
        <v>725</v>
      </c>
      <c r="C4406" s="14" t="s">
        <v>5695</v>
      </c>
      <c r="D4406" s="13" t="str">
        <f>IF(RIGHT(A4406,3)="000",C4406,VLOOKUP(B4406,'Справочник ИХ'!A:C,3,0))</f>
        <v>Остальные грузы</v>
      </c>
      <c r="E4406" s="13">
        <f>IF(RIGHT(A4406,3)="000","х",VLOOKUP(B4406,'Справочник ИХ'!A:D,4,0))</f>
        <v>3</v>
      </c>
      <c r="F4406" s="14" t="s">
        <v>5495</v>
      </c>
    </row>
    <row r="4407" spans="1:6" ht="31.75">
      <c r="A4407" s="23">
        <v>72538</v>
      </c>
      <c r="B4407" s="12" t="str">
        <f t="shared" si="68"/>
        <v>725</v>
      </c>
      <c r="C4407" s="14" t="s">
        <v>5696</v>
      </c>
      <c r="D4407" s="13" t="str">
        <f>IF(RIGHT(A4407,3)="000",C4407,VLOOKUP(B4407,'Справочник ИХ'!A:C,3,0))</f>
        <v>Остальные грузы</v>
      </c>
      <c r="E4407" s="13">
        <f>IF(RIGHT(A4407,3)="000","х",VLOOKUP(B4407,'Справочник ИХ'!A:D,4,0))</f>
        <v>3</v>
      </c>
      <c r="F4407" s="14" t="s">
        <v>5495</v>
      </c>
    </row>
    <row r="4408" spans="1:6" ht="31.75">
      <c r="A4408" s="23">
        <v>72539</v>
      </c>
      <c r="B4408" s="12" t="str">
        <f t="shared" si="68"/>
        <v>725</v>
      </c>
      <c r="C4408" s="14" t="s">
        <v>5697</v>
      </c>
      <c r="D4408" s="13" t="str">
        <f>IF(RIGHT(A4408,3)="000",C4408,VLOOKUP(B4408,'Справочник ИХ'!A:C,3,0))</f>
        <v>Остальные грузы</v>
      </c>
      <c r="E4408" s="13">
        <f>IF(RIGHT(A4408,3)="000","х",VLOOKUP(B4408,'Справочник ИХ'!A:D,4,0))</f>
        <v>3</v>
      </c>
      <c r="F4408" s="14" t="s">
        <v>5495</v>
      </c>
    </row>
    <row r="4409" spans="1:6" ht="31.75">
      <c r="A4409" s="23">
        <v>72540</v>
      </c>
      <c r="B4409" s="12" t="str">
        <f t="shared" si="68"/>
        <v>725</v>
      </c>
      <c r="C4409" s="14" t="s">
        <v>5698</v>
      </c>
      <c r="D4409" s="13" t="str">
        <f>IF(RIGHT(A4409,3)="000",C4409,VLOOKUP(B4409,'Справочник ИХ'!A:C,3,0))</f>
        <v>Остальные грузы</v>
      </c>
      <c r="E4409" s="13">
        <f>IF(RIGHT(A4409,3)="000","х",VLOOKUP(B4409,'Справочник ИХ'!A:D,4,0))</f>
        <v>3</v>
      </c>
      <c r="F4409" s="14" t="s">
        <v>5495</v>
      </c>
    </row>
    <row r="4410" spans="1:6" ht="31.75">
      <c r="A4410" s="23">
        <v>72541</v>
      </c>
      <c r="B4410" s="12" t="str">
        <f t="shared" si="68"/>
        <v>725</v>
      </c>
      <c r="C4410" s="14" t="s">
        <v>5699</v>
      </c>
      <c r="D4410" s="13" t="str">
        <f>IF(RIGHT(A4410,3)="000",C4410,VLOOKUP(B4410,'Справочник ИХ'!A:C,3,0))</f>
        <v>Остальные грузы</v>
      </c>
      <c r="E4410" s="13">
        <f>IF(RIGHT(A4410,3)="000","х",VLOOKUP(B4410,'Справочник ИХ'!A:D,4,0))</f>
        <v>3</v>
      </c>
      <c r="F4410" s="14" t="s">
        <v>5495</v>
      </c>
    </row>
    <row r="4411" spans="1:6" ht="31.75">
      <c r="A4411" s="23">
        <v>72542</v>
      </c>
      <c r="B4411" s="12" t="str">
        <f t="shared" si="68"/>
        <v>725</v>
      </c>
      <c r="C4411" s="14" t="s">
        <v>5700</v>
      </c>
      <c r="D4411" s="13" t="str">
        <f>IF(RIGHT(A4411,3)="000",C4411,VLOOKUP(B4411,'Справочник ИХ'!A:C,3,0))</f>
        <v>Остальные грузы</v>
      </c>
      <c r="E4411" s="13">
        <f>IF(RIGHT(A4411,3)="000","х",VLOOKUP(B4411,'Справочник ИХ'!A:D,4,0))</f>
        <v>3</v>
      </c>
      <c r="F4411" s="14" t="s">
        <v>5495</v>
      </c>
    </row>
    <row r="4412" spans="1:6" ht="31.75">
      <c r="A4412" s="23">
        <v>72543</v>
      </c>
      <c r="B4412" s="12" t="str">
        <f t="shared" si="68"/>
        <v>725</v>
      </c>
      <c r="C4412" s="14" t="s">
        <v>5701</v>
      </c>
      <c r="D4412" s="13" t="str">
        <f>IF(RIGHT(A4412,3)="000",C4412,VLOOKUP(B4412,'Справочник ИХ'!A:C,3,0))</f>
        <v>Остальные грузы</v>
      </c>
      <c r="E4412" s="13">
        <f>IF(RIGHT(A4412,3)="000","х",VLOOKUP(B4412,'Справочник ИХ'!A:D,4,0))</f>
        <v>3</v>
      </c>
      <c r="F4412" s="14" t="s">
        <v>5495</v>
      </c>
    </row>
    <row r="4413" spans="1:6" ht="31.75">
      <c r="A4413" s="23">
        <v>72544</v>
      </c>
      <c r="B4413" s="12" t="str">
        <f t="shared" si="68"/>
        <v>725</v>
      </c>
      <c r="C4413" s="14" t="s">
        <v>5702</v>
      </c>
      <c r="D4413" s="13" t="str">
        <f>IF(RIGHT(A4413,3)="000",C4413,VLOOKUP(B4413,'Справочник ИХ'!A:C,3,0))</f>
        <v>Остальные грузы</v>
      </c>
      <c r="E4413" s="13">
        <f>IF(RIGHT(A4413,3)="000","х",VLOOKUP(B4413,'Справочник ИХ'!A:D,4,0))</f>
        <v>3</v>
      </c>
      <c r="F4413" s="14" t="s">
        <v>5495</v>
      </c>
    </row>
    <row r="4414" spans="1:6" ht="31.75">
      <c r="A4414" s="23">
        <v>72545</v>
      </c>
      <c r="B4414" s="12" t="str">
        <f t="shared" si="68"/>
        <v>725</v>
      </c>
      <c r="C4414" s="14" t="s">
        <v>5703</v>
      </c>
      <c r="D4414" s="13" t="str">
        <f>IF(RIGHT(A4414,3)="000",C4414,VLOOKUP(B4414,'Справочник ИХ'!A:C,3,0))</f>
        <v>Остальные грузы</v>
      </c>
      <c r="E4414" s="13">
        <f>IF(RIGHT(A4414,3)="000","х",VLOOKUP(B4414,'Справочник ИХ'!A:D,4,0))</f>
        <v>3</v>
      </c>
      <c r="F4414" s="14" t="s">
        <v>5495</v>
      </c>
    </row>
    <row r="4415" spans="1:6" ht="31.75">
      <c r="A4415" s="23">
        <v>72546</v>
      </c>
      <c r="B4415" s="12" t="str">
        <f t="shared" si="68"/>
        <v>725</v>
      </c>
      <c r="C4415" s="14" t="s">
        <v>5704</v>
      </c>
      <c r="D4415" s="13" t="str">
        <f>IF(RIGHT(A4415,3)="000",C4415,VLOOKUP(B4415,'Справочник ИХ'!A:C,3,0))</f>
        <v>Остальные грузы</v>
      </c>
      <c r="E4415" s="13">
        <f>IF(RIGHT(A4415,3)="000","х",VLOOKUP(B4415,'Справочник ИХ'!A:D,4,0))</f>
        <v>3</v>
      </c>
      <c r="F4415" s="14" t="s">
        <v>5495</v>
      </c>
    </row>
    <row r="4416" spans="1:6" ht="31.75">
      <c r="A4416" s="23">
        <v>72547</v>
      </c>
      <c r="B4416" s="12" t="str">
        <f t="shared" si="68"/>
        <v>725</v>
      </c>
      <c r="C4416" s="14" t="s">
        <v>5705</v>
      </c>
      <c r="D4416" s="13" t="str">
        <f>IF(RIGHT(A4416,3)="000",C4416,VLOOKUP(B4416,'Справочник ИХ'!A:C,3,0))</f>
        <v>Остальные грузы</v>
      </c>
      <c r="E4416" s="13">
        <f>IF(RIGHT(A4416,3)="000","х",VLOOKUP(B4416,'Справочник ИХ'!A:D,4,0))</f>
        <v>3</v>
      </c>
      <c r="F4416" s="14" t="s">
        <v>5495</v>
      </c>
    </row>
    <row r="4417" spans="1:6" ht="31.75">
      <c r="A4417" s="23">
        <v>72548</v>
      </c>
      <c r="B4417" s="12" t="str">
        <f t="shared" si="68"/>
        <v>725</v>
      </c>
      <c r="C4417" s="14" t="s">
        <v>5706</v>
      </c>
      <c r="D4417" s="13" t="str">
        <f>IF(RIGHT(A4417,3)="000",C4417,VLOOKUP(B4417,'Справочник ИХ'!A:C,3,0))</f>
        <v>Остальные грузы</v>
      </c>
      <c r="E4417" s="13">
        <f>IF(RIGHT(A4417,3)="000","х",VLOOKUP(B4417,'Справочник ИХ'!A:D,4,0))</f>
        <v>3</v>
      </c>
      <c r="F4417" s="14" t="s">
        <v>5495</v>
      </c>
    </row>
    <row r="4418" spans="1:6" ht="31.75">
      <c r="A4418" s="23">
        <v>72549</v>
      </c>
      <c r="B4418" s="12" t="str">
        <f t="shared" si="68"/>
        <v>725</v>
      </c>
      <c r="C4418" s="14" t="s">
        <v>5707</v>
      </c>
      <c r="D4418" s="13" t="str">
        <f>IF(RIGHT(A4418,3)="000",C4418,VLOOKUP(B4418,'Справочник ИХ'!A:C,3,0))</f>
        <v>Остальные грузы</v>
      </c>
      <c r="E4418" s="13">
        <f>IF(RIGHT(A4418,3)="000","х",VLOOKUP(B4418,'Справочник ИХ'!A:D,4,0))</f>
        <v>3</v>
      </c>
      <c r="F4418" s="14" t="s">
        <v>5495</v>
      </c>
    </row>
    <row r="4419" spans="1:6" ht="31.75">
      <c r="A4419" s="23">
        <v>72550</v>
      </c>
      <c r="B4419" s="12" t="str">
        <f t="shared" si="68"/>
        <v>725</v>
      </c>
      <c r="C4419" s="14" t="s">
        <v>5708</v>
      </c>
      <c r="D4419" s="13" t="str">
        <f>IF(RIGHT(A4419,3)="000",C4419,VLOOKUP(B4419,'Справочник ИХ'!A:C,3,0))</f>
        <v>Остальные грузы</v>
      </c>
      <c r="E4419" s="13">
        <f>IF(RIGHT(A4419,3)="000","х",VLOOKUP(B4419,'Справочник ИХ'!A:D,4,0))</f>
        <v>3</v>
      </c>
      <c r="F4419" s="14" t="s">
        <v>5495</v>
      </c>
    </row>
    <row r="4420" spans="1:6" ht="31.75">
      <c r="A4420" s="23">
        <v>72551</v>
      </c>
      <c r="B4420" s="12" t="str">
        <f t="shared" si="68"/>
        <v>725</v>
      </c>
      <c r="C4420" s="14" t="s">
        <v>5709</v>
      </c>
      <c r="D4420" s="13" t="str">
        <f>IF(RIGHT(A4420,3)="000",C4420,VLOOKUP(B4420,'Справочник ИХ'!A:C,3,0))</f>
        <v>Остальные грузы</v>
      </c>
      <c r="E4420" s="13">
        <f>IF(RIGHT(A4420,3)="000","х",VLOOKUP(B4420,'Справочник ИХ'!A:D,4,0))</f>
        <v>3</v>
      </c>
      <c r="F4420" s="14" t="s">
        <v>5495</v>
      </c>
    </row>
    <row r="4421" spans="1:6" ht="31.75">
      <c r="A4421" s="23">
        <v>72552</v>
      </c>
      <c r="B4421" s="12" t="str">
        <f t="shared" ref="B4421:B4484" si="69">LEFT(A4421,3)</f>
        <v>725</v>
      </c>
      <c r="C4421" s="14" t="s">
        <v>5710</v>
      </c>
      <c r="D4421" s="13" t="str">
        <f>IF(RIGHT(A4421,3)="000",C4421,VLOOKUP(B4421,'Справочник ИХ'!A:C,3,0))</f>
        <v>Остальные грузы</v>
      </c>
      <c r="E4421" s="13">
        <f>IF(RIGHT(A4421,3)="000","х",VLOOKUP(B4421,'Справочник ИХ'!A:D,4,0))</f>
        <v>3</v>
      </c>
      <c r="F4421" s="14" t="s">
        <v>5495</v>
      </c>
    </row>
    <row r="4422" spans="1:6" ht="31.75">
      <c r="A4422" s="23">
        <v>72553</v>
      </c>
      <c r="B4422" s="12" t="str">
        <f t="shared" si="69"/>
        <v>725</v>
      </c>
      <c r="C4422" s="14" t="s">
        <v>5711</v>
      </c>
      <c r="D4422" s="13" t="str">
        <f>IF(RIGHT(A4422,3)="000",C4422,VLOOKUP(B4422,'Справочник ИХ'!A:C,3,0))</f>
        <v>Остальные грузы</v>
      </c>
      <c r="E4422" s="13">
        <f>IF(RIGHT(A4422,3)="000","х",VLOOKUP(B4422,'Справочник ИХ'!A:D,4,0))</f>
        <v>3</v>
      </c>
      <c r="F4422" s="14" t="s">
        <v>5495</v>
      </c>
    </row>
    <row r="4423" spans="1:6" ht="31.75">
      <c r="A4423" s="23">
        <v>72554</v>
      </c>
      <c r="B4423" s="12" t="str">
        <f t="shared" si="69"/>
        <v>725</v>
      </c>
      <c r="C4423" s="14" t="s">
        <v>5712</v>
      </c>
      <c r="D4423" s="13" t="str">
        <f>IF(RIGHT(A4423,3)="000",C4423,VLOOKUP(B4423,'Справочник ИХ'!A:C,3,0))</f>
        <v>Остальные грузы</v>
      </c>
      <c r="E4423" s="13">
        <f>IF(RIGHT(A4423,3)="000","х",VLOOKUP(B4423,'Справочник ИХ'!A:D,4,0))</f>
        <v>3</v>
      </c>
      <c r="F4423" s="14" t="s">
        <v>5495</v>
      </c>
    </row>
    <row r="4424" spans="1:6" ht="31.75">
      <c r="A4424" s="23">
        <v>72555</v>
      </c>
      <c r="B4424" s="12" t="str">
        <f t="shared" si="69"/>
        <v>725</v>
      </c>
      <c r="C4424" s="14" t="s">
        <v>5713</v>
      </c>
      <c r="D4424" s="13" t="str">
        <f>IF(RIGHT(A4424,3)="000",C4424,VLOOKUP(B4424,'Справочник ИХ'!A:C,3,0))</f>
        <v>Остальные грузы</v>
      </c>
      <c r="E4424" s="13">
        <f>IF(RIGHT(A4424,3)="000","х",VLOOKUP(B4424,'Справочник ИХ'!A:D,4,0))</f>
        <v>3</v>
      </c>
      <c r="F4424" s="14" t="s">
        <v>5495</v>
      </c>
    </row>
    <row r="4425" spans="1:6" ht="31.75">
      <c r="A4425" s="23">
        <v>72556</v>
      </c>
      <c r="B4425" s="12" t="str">
        <f t="shared" si="69"/>
        <v>725</v>
      </c>
      <c r="C4425" s="14" t="s">
        <v>5714</v>
      </c>
      <c r="D4425" s="13" t="str">
        <f>IF(RIGHT(A4425,3)="000",C4425,VLOOKUP(B4425,'Справочник ИХ'!A:C,3,0))</f>
        <v>Остальные грузы</v>
      </c>
      <c r="E4425" s="13">
        <f>IF(RIGHT(A4425,3)="000","х",VLOOKUP(B4425,'Справочник ИХ'!A:D,4,0))</f>
        <v>3</v>
      </c>
      <c r="F4425" s="14" t="s">
        <v>5495</v>
      </c>
    </row>
    <row r="4426" spans="1:6" ht="31.75">
      <c r="A4426" s="23">
        <v>72557</v>
      </c>
      <c r="B4426" s="12" t="str">
        <f t="shared" si="69"/>
        <v>725</v>
      </c>
      <c r="C4426" s="14" t="s">
        <v>5715</v>
      </c>
      <c r="D4426" s="13" t="str">
        <f>IF(RIGHT(A4426,3)="000",C4426,VLOOKUP(B4426,'Справочник ИХ'!A:C,3,0))</f>
        <v>Остальные грузы</v>
      </c>
      <c r="E4426" s="13">
        <f>IF(RIGHT(A4426,3)="000","х",VLOOKUP(B4426,'Справочник ИХ'!A:D,4,0))</f>
        <v>3</v>
      </c>
      <c r="F4426" s="14" t="s">
        <v>5495</v>
      </c>
    </row>
    <row r="4427" spans="1:6" ht="31.75">
      <c r="A4427" s="23">
        <v>72558</v>
      </c>
      <c r="B4427" s="12" t="str">
        <f t="shared" si="69"/>
        <v>725</v>
      </c>
      <c r="C4427" s="14" t="s">
        <v>5716</v>
      </c>
      <c r="D4427" s="13" t="str">
        <f>IF(RIGHT(A4427,3)="000",C4427,VLOOKUP(B4427,'Справочник ИХ'!A:C,3,0))</f>
        <v>Остальные грузы</v>
      </c>
      <c r="E4427" s="13">
        <f>IF(RIGHT(A4427,3)="000","х",VLOOKUP(B4427,'Справочник ИХ'!A:D,4,0))</f>
        <v>3</v>
      </c>
      <c r="F4427" s="14" t="s">
        <v>5495</v>
      </c>
    </row>
    <row r="4428" spans="1:6" ht="31.75">
      <c r="A4428" s="23">
        <v>72559</v>
      </c>
      <c r="B4428" s="12" t="str">
        <f t="shared" si="69"/>
        <v>725</v>
      </c>
      <c r="C4428" s="14" t="s">
        <v>5717</v>
      </c>
      <c r="D4428" s="13" t="str">
        <f>IF(RIGHT(A4428,3)="000",C4428,VLOOKUP(B4428,'Справочник ИХ'!A:C,3,0))</f>
        <v>Остальные грузы</v>
      </c>
      <c r="E4428" s="13">
        <f>IF(RIGHT(A4428,3)="000","х",VLOOKUP(B4428,'Справочник ИХ'!A:D,4,0))</f>
        <v>3</v>
      </c>
      <c r="F4428" s="14" t="s">
        <v>5495</v>
      </c>
    </row>
    <row r="4429" spans="1:6" ht="31.75">
      <c r="A4429" s="23">
        <v>72560</v>
      </c>
      <c r="B4429" s="12" t="str">
        <f t="shared" si="69"/>
        <v>725</v>
      </c>
      <c r="C4429" s="14" t="s">
        <v>5718</v>
      </c>
      <c r="D4429" s="13" t="str">
        <f>IF(RIGHT(A4429,3)="000",C4429,VLOOKUP(B4429,'Справочник ИХ'!A:C,3,0))</f>
        <v>Остальные грузы</v>
      </c>
      <c r="E4429" s="13">
        <f>IF(RIGHT(A4429,3)="000","х",VLOOKUP(B4429,'Справочник ИХ'!A:D,4,0))</f>
        <v>3</v>
      </c>
      <c r="F4429" s="14" t="s">
        <v>5495</v>
      </c>
    </row>
    <row r="4430" spans="1:6" ht="31.75">
      <c r="A4430" s="23">
        <v>72561</v>
      </c>
      <c r="B4430" s="12" t="str">
        <f t="shared" si="69"/>
        <v>725</v>
      </c>
      <c r="C4430" s="14" t="s">
        <v>5719</v>
      </c>
      <c r="D4430" s="13" t="str">
        <f>IF(RIGHT(A4430,3)="000",C4430,VLOOKUP(B4430,'Справочник ИХ'!A:C,3,0))</f>
        <v>Остальные грузы</v>
      </c>
      <c r="E4430" s="13">
        <f>IF(RIGHT(A4430,3)="000","х",VLOOKUP(B4430,'Справочник ИХ'!A:D,4,0))</f>
        <v>3</v>
      </c>
      <c r="F4430" s="14" t="s">
        <v>5495</v>
      </c>
    </row>
    <row r="4431" spans="1:6" ht="31.75">
      <c r="A4431" s="23">
        <v>72562</v>
      </c>
      <c r="B4431" s="12" t="str">
        <f t="shared" si="69"/>
        <v>725</v>
      </c>
      <c r="C4431" s="14" t="s">
        <v>5720</v>
      </c>
      <c r="D4431" s="13" t="str">
        <f>IF(RIGHT(A4431,3)="000",C4431,VLOOKUP(B4431,'Справочник ИХ'!A:C,3,0))</f>
        <v>Остальные грузы</v>
      </c>
      <c r="E4431" s="13">
        <f>IF(RIGHT(A4431,3)="000","х",VLOOKUP(B4431,'Справочник ИХ'!A:D,4,0))</f>
        <v>3</v>
      </c>
      <c r="F4431" s="14" t="s">
        <v>5495</v>
      </c>
    </row>
    <row r="4432" spans="1:6" ht="31.75">
      <c r="A4432" s="23">
        <v>72563</v>
      </c>
      <c r="B4432" s="12" t="str">
        <f t="shared" si="69"/>
        <v>725</v>
      </c>
      <c r="C4432" s="14" t="s">
        <v>5721</v>
      </c>
      <c r="D4432" s="13" t="str">
        <f>IF(RIGHT(A4432,3)="000",C4432,VLOOKUP(B4432,'Справочник ИХ'!A:C,3,0))</f>
        <v>Остальные грузы</v>
      </c>
      <c r="E4432" s="13">
        <f>IF(RIGHT(A4432,3)="000","х",VLOOKUP(B4432,'Справочник ИХ'!A:D,4,0))</f>
        <v>3</v>
      </c>
      <c r="F4432" s="14" t="s">
        <v>5495</v>
      </c>
    </row>
    <row r="4433" spans="1:6" ht="31.75">
      <c r="A4433" s="23">
        <v>72564</v>
      </c>
      <c r="B4433" s="12" t="str">
        <f t="shared" si="69"/>
        <v>725</v>
      </c>
      <c r="C4433" s="14" t="s">
        <v>5722</v>
      </c>
      <c r="D4433" s="13" t="str">
        <f>IF(RIGHT(A4433,3)="000",C4433,VLOOKUP(B4433,'Справочник ИХ'!A:C,3,0))</f>
        <v>Остальные грузы</v>
      </c>
      <c r="E4433" s="13">
        <f>IF(RIGHT(A4433,3)="000","х",VLOOKUP(B4433,'Справочник ИХ'!A:D,4,0))</f>
        <v>3</v>
      </c>
      <c r="F4433" s="14" t="s">
        <v>5495</v>
      </c>
    </row>
    <row r="4434" spans="1:6" ht="31.75">
      <c r="A4434" s="23">
        <v>72565</v>
      </c>
      <c r="B4434" s="12" t="str">
        <f t="shared" si="69"/>
        <v>725</v>
      </c>
      <c r="C4434" s="14" t="s">
        <v>5723</v>
      </c>
      <c r="D4434" s="13" t="str">
        <f>IF(RIGHT(A4434,3)="000",C4434,VLOOKUP(B4434,'Справочник ИХ'!A:C,3,0))</f>
        <v>Остальные грузы</v>
      </c>
      <c r="E4434" s="13">
        <f>IF(RIGHT(A4434,3)="000","х",VLOOKUP(B4434,'Справочник ИХ'!A:D,4,0))</f>
        <v>3</v>
      </c>
      <c r="F4434" s="14" t="s">
        <v>5495</v>
      </c>
    </row>
    <row r="4435" spans="1:6" ht="31.75">
      <c r="A4435" s="23">
        <v>72566</v>
      </c>
      <c r="B4435" s="12" t="str">
        <f t="shared" si="69"/>
        <v>725</v>
      </c>
      <c r="C4435" s="14" t="s">
        <v>5724</v>
      </c>
      <c r="D4435" s="13" t="str">
        <f>IF(RIGHT(A4435,3)="000",C4435,VLOOKUP(B4435,'Справочник ИХ'!A:C,3,0))</f>
        <v>Остальные грузы</v>
      </c>
      <c r="E4435" s="13">
        <f>IF(RIGHT(A4435,3)="000","х",VLOOKUP(B4435,'Справочник ИХ'!A:D,4,0))</f>
        <v>3</v>
      </c>
      <c r="F4435" s="14" t="s">
        <v>5495</v>
      </c>
    </row>
    <row r="4436" spans="1:6" ht="31.75">
      <c r="A4436" s="23">
        <v>72567</v>
      </c>
      <c r="B4436" s="12" t="str">
        <f t="shared" si="69"/>
        <v>725</v>
      </c>
      <c r="C4436" s="14" t="s">
        <v>5725</v>
      </c>
      <c r="D4436" s="13" t="str">
        <f>IF(RIGHT(A4436,3)="000",C4436,VLOOKUP(B4436,'Справочник ИХ'!A:C,3,0))</f>
        <v>Остальные грузы</v>
      </c>
      <c r="E4436" s="13">
        <f>IF(RIGHT(A4436,3)="000","х",VLOOKUP(B4436,'Справочник ИХ'!A:D,4,0))</f>
        <v>3</v>
      </c>
      <c r="F4436" s="14" t="s">
        <v>5495</v>
      </c>
    </row>
    <row r="4437" spans="1:6" ht="31.75">
      <c r="A4437" s="23">
        <v>72568</v>
      </c>
      <c r="B4437" s="12" t="str">
        <f t="shared" si="69"/>
        <v>725</v>
      </c>
      <c r="C4437" s="14" t="s">
        <v>5726</v>
      </c>
      <c r="D4437" s="13" t="str">
        <f>IF(RIGHT(A4437,3)="000",C4437,VLOOKUP(B4437,'Справочник ИХ'!A:C,3,0))</f>
        <v>Остальные грузы</v>
      </c>
      <c r="E4437" s="13">
        <f>IF(RIGHT(A4437,3)="000","х",VLOOKUP(B4437,'Справочник ИХ'!A:D,4,0))</f>
        <v>3</v>
      </c>
      <c r="F4437" s="14" t="s">
        <v>5495</v>
      </c>
    </row>
    <row r="4438" spans="1:6" ht="31.75">
      <c r="A4438" s="23">
        <v>72569</v>
      </c>
      <c r="B4438" s="12" t="str">
        <f t="shared" si="69"/>
        <v>725</v>
      </c>
      <c r="C4438" s="14" t="s">
        <v>5727</v>
      </c>
      <c r="D4438" s="13" t="str">
        <f>IF(RIGHT(A4438,3)="000",C4438,VLOOKUP(B4438,'Справочник ИХ'!A:C,3,0))</f>
        <v>Остальные грузы</v>
      </c>
      <c r="E4438" s="13">
        <f>IF(RIGHT(A4438,3)="000","х",VLOOKUP(B4438,'Справочник ИХ'!A:D,4,0))</f>
        <v>3</v>
      </c>
      <c r="F4438" s="14" t="s">
        <v>5495</v>
      </c>
    </row>
    <row r="4439" spans="1:6" ht="31.75">
      <c r="A4439" s="23">
        <v>72570</v>
      </c>
      <c r="B4439" s="12" t="str">
        <f t="shared" si="69"/>
        <v>725</v>
      </c>
      <c r="C4439" s="14" t="s">
        <v>5728</v>
      </c>
      <c r="D4439" s="13" t="str">
        <f>IF(RIGHT(A4439,3)="000",C4439,VLOOKUP(B4439,'Справочник ИХ'!A:C,3,0))</f>
        <v>Остальные грузы</v>
      </c>
      <c r="E4439" s="13">
        <f>IF(RIGHT(A4439,3)="000","х",VLOOKUP(B4439,'Справочник ИХ'!A:D,4,0))</f>
        <v>3</v>
      </c>
      <c r="F4439" s="14" t="s">
        <v>5495</v>
      </c>
    </row>
    <row r="4440" spans="1:6" s="18" customFormat="1" ht="31.75">
      <c r="A4440" s="34" t="s">
        <v>5729</v>
      </c>
      <c r="B4440" s="12" t="str">
        <f t="shared" si="69"/>
        <v>726</v>
      </c>
      <c r="C4440" s="18" t="s">
        <v>5730</v>
      </c>
      <c r="D4440" s="13" t="str">
        <f>IF(RIGHT(A4440,3)="000",C4440,VLOOKUP(B4440,'Справочник ИХ'!A:C,3,0))</f>
        <v>Остальные грузы</v>
      </c>
      <c r="E4440" s="13">
        <f>IF(RIGHT(A4440,3)="000","х",VLOOKUP(B4440,'Справочник ИХ'!A:D,4,0))</f>
        <v>3</v>
      </c>
      <c r="F4440" s="14" t="s">
        <v>5495</v>
      </c>
    </row>
    <row r="4441" spans="1:6" ht="31.75">
      <c r="A4441" s="23">
        <v>72601</v>
      </c>
      <c r="B4441" s="12" t="str">
        <f t="shared" si="69"/>
        <v>726</v>
      </c>
      <c r="C4441" s="14" t="s">
        <v>5731</v>
      </c>
      <c r="D4441" s="13" t="str">
        <f>IF(RIGHT(A4441,3)="000",C4441,VLOOKUP(B4441,'Справочник ИХ'!A:C,3,0))</f>
        <v>Остальные грузы</v>
      </c>
      <c r="E4441" s="13">
        <f>IF(RIGHT(A4441,3)="000","х",VLOOKUP(B4441,'Справочник ИХ'!A:D,4,0))</f>
        <v>3</v>
      </c>
      <c r="F4441" s="14" t="s">
        <v>5495</v>
      </c>
    </row>
    <row r="4442" spans="1:6" ht="31.75">
      <c r="A4442" s="23">
        <v>72602</v>
      </c>
      <c r="B4442" s="12" t="str">
        <f t="shared" si="69"/>
        <v>726</v>
      </c>
      <c r="C4442" s="14" t="s">
        <v>5732</v>
      </c>
      <c r="D4442" s="13" t="str">
        <f>IF(RIGHT(A4442,3)="000",C4442,VLOOKUP(B4442,'Справочник ИХ'!A:C,3,0))</f>
        <v>Остальные грузы</v>
      </c>
      <c r="E4442" s="13">
        <f>IF(RIGHT(A4442,3)="000","х",VLOOKUP(B4442,'Справочник ИХ'!A:D,4,0))</f>
        <v>3</v>
      </c>
      <c r="F4442" s="14" t="s">
        <v>5495</v>
      </c>
    </row>
    <row r="4443" spans="1:6" ht="31.75">
      <c r="A4443" s="23">
        <v>72603</v>
      </c>
      <c r="B4443" s="12" t="str">
        <f t="shared" si="69"/>
        <v>726</v>
      </c>
      <c r="C4443" s="14" t="s">
        <v>5733</v>
      </c>
      <c r="D4443" s="13" t="str">
        <f>IF(RIGHT(A4443,3)="000",C4443,VLOOKUP(B4443,'Справочник ИХ'!A:C,3,0))</f>
        <v>Остальные грузы</v>
      </c>
      <c r="E4443" s="13">
        <f>IF(RIGHT(A4443,3)="000","х",VLOOKUP(B4443,'Справочник ИХ'!A:D,4,0))</f>
        <v>3</v>
      </c>
      <c r="F4443" s="14" t="s">
        <v>5495</v>
      </c>
    </row>
    <row r="4444" spans="1:6" ht="31.75">
      <c r="A4444" s="23">
        <v>72604</v>
      </c>
      <c r="B4444" s="12" t="str">
        <f t="shared" si="69"/>
        <v>726</v>
      </c>
      <c r="C4444" s="14" t="s">
        <v>5734</v>
      </c>
      <c r="D4444" s="13" t="str">
        <f>IF(RIGHT(A4444,3)="000",C4444,VLOOKUP(B4444,'Справочник ИХ'!A:C,3,0))</f>
        <v>Остальные грузы</v>
      </c>
      <c r="E4444" s="13">
        <f>IF(RIGHT(A4444,3)="000","х",VLOOKUP(B4444,'Справочник ИХ'!A:D,4,0))</f>
        <v>3</v>
      </c>
      <c r="F4444" s="14" t="s">
        <v>5495</v>
      </c>
    </row>
    <row r="4445" spans="1:6" ht="31.75">
      <c r="A4445" s="23">
        <v>72605</v>
      </c>
      <c r="B4445" s="12" t="str">
        <f t="shared" si="69"/>
        <v>726</v>
      </c>
      <c r="C4445" s="14" t="s">
        <v>5735</v>
      </c>
      <c r="D4445" s="13" t="str">
        <f>IF(RIGHT(A4445,3)="000",C4445,VLOOKUP(B4445,'Справочник ИХ'!A:C,3,0))</f>
        <v>Остальные грузы</v>
      </c>
      <c r="E4445" s="13">
        <f>IF(RIGHT(A4445,3)="000","х",VLOOKUP(B4445,'Справочник ИХ'!A:D,4,0))</f>
        <v>3</v>
      </c>
      <c r="F4445" s="14" t="s">
        <v>5495</v>
      </c>
    </row>
    <row r="4446" spans="1:6" ht="31.75">
      <c r="A4446" s="23">
        <v>72606</v>
      </c>
      <c r="B4446" s="12" t="str">
        <f t="shared" si="69"/>
        <v>726</v>
      </c>
      <c r="C4446" s="14" t="s">
        <v>5736</v>
      </c>
      <c r="D4446" s="13" t="str">
        <f>IF(RIGHT(A4446,3)="000",C4446,VLOOKUP(B4446,'Справочник ИХ'!A:C,3,0))</f>
        <v>Остальные грузы</v>
      </c>
      <c r="E4446" s="13">
        <f>IF(RIGHT(A4446,3)="000","х",VLOOKUP(B4446,'Справочник ИХ'!A:D,4,0))</f>
        <v>3</v>
      </c>
      <c r="F4446" s="14" t="s">
        <v>5495</v>
      </c>
    </row>
    <row r="4447" spans="1:6" ht="31.75">
      <c r="A4447" s="23">
        <v>72607</v>
      </c>
      <c r="B4447" s="12" t="str">
        <f t="shared" si="69"/>
        <v>726</v>
      </c>
      <c r="C4447" s="14" t="s">
        <v>5737</v>
      </c>
      <c r="D4447" s="13" t="str">
        <f>IF(RIGHT(A4447,3)="000",C4447,VLOOKUP(B4447,'Справочник ИХ'!A:C,3,0))</f>
        <v>Остальные грузы</v>
      </c>
      <c r="E4447" s="13">
        <f>IF(RIGHT(A4447,3)="000","х",VLOOKUP(B4447,'Справочник ИХ'!A:D,4,0))</f>
        <v>3</v>
      </c>
      <c r="F4447" s="14" t="s">
        <v>5495</v>
      </c>
    </row>
    <row r="4448" spans="1:6" ht="31.75">
      <c r="A4448" s="23">
        <v>72608</v>
      </c>
      <c r="B4448" s="12" t="str">
        <f t="shared" si="69"/>
        <v>726</v>
      </c>
      <c r="C4448" s="14" t="s">
        <v>5738</v>
      </c>
      <c r="D4448" s="13" t="str">
        <f>IF(RIGHT(A4448,3)="000",C4448,VLOOKUP(B4448,'Справочник ИХ'!A:C,3,0))</f>
        <v>Остальные грузы</v>
      </c>
      <c r="E4448" s="13">
        <f>IF(RIGHT(A4448,3)="000","х",VLOOKUP(B4448,'Справочник ИХ'!A:D,4,0))</f>
        <v>3</v>
      </c>
      <c r="F4448" s="14" t="s">
        <v>5495</v>
      </c>
    </row>
    <row r="4449" spans="1:6" ht="31.75">
      <c r="A4449" s="23">
        <v>72609</v>
      </c>
      <c r="B4449" s="12" t="str">
        <f t="shared" si="69"/>
        <v>726</v>
      </c>
      <c r="C4449" s="14" t="s">
        <v>5739</v>
      </c>
      <c r="D4449" s="13" t="str">
        <f>IF(RIGHT(A4449,3)="000",C4449,VLOOKUP(B4449,'Справочник ИХ'!A:C,3,0))</f>
        <v>Остальные грузы</v>
      </c>
      <c r="E4449" s="13">
        <f>IF(RIGHT(A4449,3)="000","х",VLOOKUP(B4449,'Справочник ИХ'!A:D,4,0))</f>
        <v>3</v>
      </c>
      <c r="F4449" s="14" t="s">
        <v>5495</v>
      </c>
    </row>
    <row r="4450" spans="1:6" ht="31.75">
      <c r="A4450" s="23">
        <v>72610</v>
      </c>
      <c r="B4450" s="12" t="str">
        <f t="shared" si="69"/>
        <v>726</v>
      </c>
      <c r="C4450" s="14" t="s">
        <v>5740</v>
      </c>
      <c r="D4450" s="13" t="str">
        <f>IF(RIGHT(A4450,3)="000",C4450,VLOOKUP(B4450,'Справочник ИХ'!A:C,3,0))</f>
        <v>Остальные грузы</v>
      </c>
      <c r="E4450" s="13">
        <f>IF(RIGHT(A4450,3)="000","х",VLOOKUP(B4450,'Справочник ИХ'!A:D,4,0))</f>
        <v>3</v>
      </c>
      <c r="F4450" s="14" t="s">
        <v>5495</v>
      </c>
    </row>
    <row r="4451" spans="1:6" ht="31.75">
      <c r="A4451" s="23">
        <v>72611</v>
      </c>
      <c r="B4451" s="12" t="str">
        <f t="shared" si="69"/>
        <v>726</v>
      </c>
      <c r="C4451" s="14" t="s">
        <v>5741</v>
      </c>
      <c r="D4451" s="13" t="str">
        <f>IF(RIGHT(A4451,3)="000",C4451,VLOOKUP(B4451,'Справочник ИХ'!A:C,3,0))</f>
        <v>Остальные грузы</v>
      </c>
      <c r="E4451" s="13">
        <f>IF(RIGHT(A4451,3)="000","х",VLOOKUP(B4451,'Справочник ИХ'!A:D,4,0))</f>
        <v>3</v>
      </c>
      <c r="F4451" s="14" t="s">
        <v>5495</v>
      </c>
    </row>
    <row r="4452" spans="1:6" ht="31.75">
      <c r="A4452" s="23">
        <v>72612</v>
      </c>
      <c r="B4452" s="12" t="str">
        <f t="shared" si="69"/>
        <v>726</v>
      </c>
      <c r="C4452" s="14" t="s">
        <v>5742</v>
      </c>
      <c r="D4452" s="13" t="str">
        <f>IF(RIGHT(A4452,3)="000",C4452,VLOOKUP(B4452,'Справочник ИХ'!A:C,3,0))</f>
        <v>Остальные грузы</v>
      </c>
      <c r="E4452" s="13">
        <f>IF(RIGHT(A4452,3)="000","х",VLOOKUP(B4452,'Справочник ИХ'!A:D,4,0))</f>
        <v>3</v>
      </c>
      <c r="F4452" s="14" t="s">
        <v>5495</v>
      </c>
    </row>
    <row r="4453" spans="1:6" ht="31.75">
      <c r="A4453" s="23">
        <v>72613</v>
      </c>
      <c r="B4453" s="12" t="str">
        <f t="shared" si="69"/>
        <v>726</v>
      </c>
      <c r="C4453" s="14" t="s">
        <v>5743</v>
      </c>
      <c r="D4453" s="13" t="str">
        <f>IF(RIGHT(A4453,3)="000",C4453,VLOOKUP(B4453,'Справочник ИХ'!A:C,3,0))</f>
        <v>Остальные грузы</v>
      </c>
      <c r="E4453" s="13">
        <f>IF(RIGHT(A4453,3)="000","х",VLOOKUP(B4453,'Справочник ИХ'!A:D,4,0))</f>
        <v>3</v>
      </c>
      <c r="F4453" s="14" t="s">
        <v>5495</v>
      </c>
    </row>
    <row r="4454" spans="1:6" ht="31.75">
      <c r="A4454" s="23">
        <v>72614</v>
      </c>
      <c r="B4454" s="12" t="str">
        <f t="shared" si="69"/>
        <v>726</v>
      </c>
      <c r="C4454" s="14" t="s">
        <v>5744</v>
      </c>
      <c r="D4454" s="13" t="str">
        <f>IF(RIGHT(A4454,3)="000",C4454,VLOOKUP(B4454,'Справочник ИХ'!A:C,3,0))</f>
        <v>Остальные грузы</v>
      </c>
      <c r="E4454" s="13">
        <f>IF(RIGHT(A4454,3)="000","х",VLOOKUP(B4454,'Справочник ИХ'!A:D,4,0))</f>
        <v>3</v>
      </c>
      <c r="F4454" s="14" t="s">
        <v>5495</v>
      </c>
    </row>
    <row r="4455" spans="1:6" ht="31.75">
      <c r="A4455" s="23">
        <v>72615</v>
      </c>
      <c r="B4455" s="12" t="str">
        <f t="shared" si="69"/>
        <v>726</v>
      </c>
      <c r="C4455" s="14" t="s">
        <v>5745</v>
      </c>
      <c r="D4455" s="13" t="str">
        <f>IF(RIGHT(A4455,3)="000",C4455,VLOOKUP(B4455,'Справочник ИХ'!A:C,3,0))</f>
        <v>Остальные грузы</v>
      </c>
      <c r="E4455" s="13">
        <f>IF(RIGHT(A4455,3)="000","х",VLOOKUP(B4455,'Справочник ИХ'!A:D,4,0))</f>
        <v>3</v>
      </c>
      <c r="F4455" s="14" t="s">
        <v>5495</v>
      </c>
    </row>
    <row r="4456" spans="1:6" ht="31.75">
      <c r="A4456" s="23">
        <v>72616</v>
      </c>
      <c r="B4456" s="12" t="str">
        <f t="shared" si="69"/>
        <v>726</v>
      </c>
      <c r="C4456" s="14" t="s">
        <v>5746</v>
      </c>
      <c r="D4456" s="13" t="str">
        <f>IF(RIGHT(A4456,3)="000",C4456,VLOOKUP(B4456,'Справочник ИХ'!A:C,3,0))</f>
        <v>Остальные грузы</v>
      </c>
      <c r="E4456" s="13">
        <f>IF(RIGHT(A4456,3)="000","х",VLOOKUP(B4456,'Справочник ИХ'!A:D,4,0))</f>
        <v>3</v>
      </c>
      <c r="F4456" s="14" t="s">
        <v>5495</v>
      </c>
    </row>
    <row r="4457" spans="1:6" ht="31.75">
      <c r="A4457" s="23">
        <v>72617</v>
      </c>
      <c r="B4457" s="12" t="str">
        <f t="shared" si="69"/>
        <v>726</v>
      </c>
      <c r="C4457" s="14" t="s">
        <v>5747</v>
      </c>
      <c r="D4457" s="13" t="str">
        <f>IF(RIGHT(A4457,3)="000",C4457,VLOOKUP(B4457,'Справочник ИХ'!A:C,3,0))</f>
        <v>Остальные грузы</v>
      </c>
      <c r="E4457" s="13">
        <f>IF(RIGHT(A4457,3)="000","х",VLOOKUP(B4457,'Справочник ИХ'!A:D,4,0))</f>
        <v>3</v>
      </c>
      <c r="F4457" s="14" t="s">
        <v>5495</v>
      </c>
    </row>
    <row r="4458" spans="1:6" ht="31.75">
      <c r="A4458" s="23">
        <v>72618</v>
      </c>
      <c r="B4458" s="12" t="str">
        <f t="shared" si="69"/>
        <v>726</v>
      </c>
      <c r="C4458" s="14" t="s">
        <v>5748</v>
      </c>
      <c r="D4458" s="13" t="str">
        <f>IF(RIGHT(A4458,3)="000",C4458,VLOOKUP(B4458,'Справочник ИХ'!A:C,3,0))</f>
        <v>Остальные грузы</v>
      </c>
      <c r="E4458" s="13">
        <f>IF(RIGHT(A4458,3)="000","х",VLOOKUP(B4458,'Справочник ИХ'!A:D,4,0))</f>
        <v>3</v>
      </c>
      <c r="F4458" s="14" t="s">
        <v>5495</v>
      </c>
    </row>
    <row r="4459" spans="1:6" ht="31.75">
      <c r="A4459" s="23">
        <v>72619</v>
      </c>
      <c r="B4459" s="12" t="str">
        <f t="shared" si="69"/>
        <v>726</v>
      </c>
      <c r="C4459" s="14" t="s">
        <v>5749</v>
      </c>
      <c r="D4459" s="13" t="str">
        <f>IF(RIGHT(A4459,3)="000",C4459,VLOOKUP(B4459,'Справочник ИХ'!A:C,3,0))</f>
        <v>Остальные грузы</v>
      </c>
      <c r="E4459" s="13">
        <f>IF(RIGHT(A4459,3)="000","х",VLOOKUP(B4459,'Справочник ИХ'!A:D,4,0))</f>
        <v>3</v>
      </c>
      <c r="F4459" s="14" t="s">
        <v>5495</v>
      </c>
    </row>
    <row r="4460" spans="1:6" s="15" customFormat="1" ht="31.75">
      <c r="A4460" s="33">
        <v>73000</v>
      </c>
      <c r="B4460" s="12" t="str">
        <f t="shared" si="69"/>
        <v>730</v>
      </c>
      <c r="C4460" s="15" t="s">
        <v>5750</v>
      </c>
      <c r="D4460" s="13" t="str">
        <f>IF(RIGHT(A4460,3)="000",C4460,VLOOKUP(B4460,'Справочник ИХ'!A:C,3,0))</f>
        <v>Азотсодержащие органические соединения</v>
      </c>
      <c r="E4460" s="13" t="str">
        <f>IF(RIGHT(A4460,3)="000","х",VLOOKUP(B4460,'Справочник ИХ'!A:D,4,0))</f>
        <v>х</v>
      </c>
      <c r="F4460" s="14" t="s">
        <v>5495</v>
      </c>
    </row>
    <row r="4461" spans="1:6" s="18" customFormat="1" ht="31.75">
      <c r="A4461" s="34" t="s">
        <v>5751</v>
      </c>
      <c r="B4461" s="12" t="str">
        <f t="shared" si="69"/>
        <v>731</v>
      </c>
      <c r="C4461" s="18" t="s">
        <v>5752</v>
      </c>
      <c r="D4461" s="13" t="str">
        <f>IF(RIGHT(A4461,3)="000",C4461,VLOOKUP(B4461,'Справочник ИХ'!A:C,3,0))</f>
        <v>Остальные грузы</v>
      </c>
      <c r="E4461" s="13">
        <f>IF(RIGHT(A4461,3)="000","х",VLOOKUP(B4461,'Справочник ИХ'!A:D,4,0))</f>
        <v>3</v>
      </c>
      <c r="F4461" s="14" t="s">
        <v>5495</v>
      </c>
    </row>
    <row r="4462" spans="1:6" ht="31.75">
      <c r="A4462" s="23">
        <v>73101</v>
      </c>
      <c r="B4462" s="12" t="str">
        <f t="shared" si="69"/>
        <v>731</v>
      </c>
      <c r="C4462" s="14" t="s">
        <v>5753</v>
      </c>
      <c r="D4462" s="13" t="str">
        <f>IF(RIGHT(A4462,3)="000",C4462,VLOOKUP(B4462,'Справочник ИХ'!A:C,3,0))</f>
        <v>Остальные грузы</v>
      </c>
      <c r="E4462" s="13">
        <f>IF(RIGHT(A4462,3)="000","х",VLOOKUP(B4462,'Справочник ИХ'!A:D,4,0))</f>
        <v>3</v>
      </c>
      <c r="F4462" s="14" t="s">
        <v>5495</v>
      </c>
    </row>
    <row r="4463" spans="1:6" ht="31.75">
      <c r="A4463" s="23">
        <v>73102</v>
      </c>
      <c r="B4463" s="12" t="str">
        <f t="shared" si="69"/>
        <v>731</v>
      </c>
      <c r="C4463" s="14" t="s">
        <v>5754</v>
      </c>
      <c r="D4463" s="13" t="str">
        <f>IF(RIGHT(A4463,3)="000",C4463,VLOOKUP(B4463,'Справочник ИХ'!A:C,3,0))</f>
        <v>Остальные грузы</v>
      </c>
      <c r="E4463" s="13">
        <f>IF(RIGHT(A4463,3)="000","х",VLOOKUP(B4463,'Справочник ИХ'!A:D,4,0))</f>
        <v>3</v>
      </c>
      <c r="F4463" s="14" t="s">
        <v>5495</v>
      </c>
    </row>
    <row r="4464" spans="1:6" ht="31.75">
      <c r="A4464" s="23">
        <v>73103</v>
      </c>
      <c r="B4464" s="12" t="str">
        <f t="shared" si="69"/>
        <v>731</v>
      </c>
      <c r="C4464" s="14" t="s">
        <v>5755</v>
      </c>
      <c r="D4464" s="13" t="str">
        <f>IF(RIGHT(A4464,3)="000",C4464,VLOOKUP(B4464,'Справочник ИХ'!A:C,3,0))</f>
        <v>Остальные грузы</v>
      </c>
      <c r="E4464" s="13">
        <f>IF(RIGHT(A4464,3)="000","х",VLOOKUP(B4464,'Справочник ИХ'!A:D,4,0))</f>
        <v>3</v>
      </c>
      <c r="F4464" s="14" t="s">
        <v>5495</v>
      </c>
    </row>
    <row r="4465" spans="1:6" ht="31.75">
      <c r="A4465" s="23">
        <v>73104</v>
      </c>
      <c r="B4465" s="12" t="str">
        <f t="shared" si="69"/>
        <v>731</v>
      </c>
      <c r="C4465" s="14" t="s">
        <v>5756</v>
      </c>
      <c r="D4465" s="13" t="str">
        <f>IF(RIGHT(A4465,3)="000",C4465,VLOOKUP(B4465,'Справочник ИХ'!A:C,3,0))</f>
        <v>Остальные грузы</v>
      </c>
      <c r="E4465" s="13">
        <f>IF(RIGHT(A4465,3)="000","х",VLOOKUP(B4465,'Справочник ИХ'!A:D,4,0))</f>
        <v>3</v>
      </c>
      <c r="F4465" s="14" t="s">
        <v>5495</v>
      </c>
    </row>
    <row r="4466" spans="1:6" ht="31.75">
      <c r="A4466" s="23">
        <v>73105</v>
      </c>
      <c r="B4466" s="12" t="str">
        <f t="shared" si="69"/>
        <v>731</v>
      </c>
      <c r="C4466" s="14" t="s">
        <v>5757</v>
      </c>
      <c r="D4466" s="13" t="str">
        <f>IF(RIGHT(A4466,3)="000",C4466,VLOOKUP(B4466,'Справочник ИХ'!A:C,3,0))</f>
        <v>Остальные грузы</v>
      </c>
      <c r="E4466" s="13">
        <f>IF(RIGHT(A4466,3)="000","х",VLOOKUP(B4466,'Справочник ИХ'!A:D,4,0))</f>
        <v>3</v>
      </c>
      <c r="F4466" s="14" t="s">
        <v>5495</v>
      </c>
    </row>
    <row r="4467" spans="1:6" ht="31.75">
      <c r="A4467" s="23">
        <v>73106</v>
      </c>
      <c r="B4467" s="12" t="str">
        <f t="shared" si="69"/>
        <v>731</v>
      </c>
      <c r="C4467" s="14" t="s">
        <v>5758</v>
      </c>
      <c r="D4467" s="13" t="str">
        <f>IF(RIGHT(A4467,3)="000",C4467,VLOOKUP(B4467,'Справочник ИХ'!A:C,3,0))</f>
        <v>Остальные грузы</v>
      </c>
      <c r="E4467" s="13">
        <f>IF(RIGHT(A4467,3)="000","х",VLOOKUP(B4467,'Справочник ИХ'!A:D,4,0))</f>
        <v>3</v>
      </c>
      <c r="F4467" s="14" t="s">
        <v>5495</v>
      </c>
    </row>
    <row r="4468" spans="1:6" ht="31.75">
      <c r="A4468" s="23">
        <v>73107</v>
      </c>
      <c r="B4468" s="12" t="str">
        <f t="shared" si="69"/>
        <v>731</v>
      </c>
      <c r="C4468" s="14" t="s">
        <v>5759</v>
      </c>
      <c r="D4468" s="13" t="str">
        <f>IF(RIGHT(A4468,3)="000",C4468,VLOOKUP(B4468,'Справочник ИХ'!A:C,3,0))</f>
        <v>Остальные грузы</v>
      </c>
      <c r="E4468" s="13">
        <f>IF(RIGHT(A4468,3)="000","х",VLOOKUP(B4468,'Справочник ИХ'!A:D,4,0))</f>
        <v>3</v>
      </c>
      <c r="F4468" s="14" t="s">
        <v>5495</v>
      </c>
    </row>
    <row r="4469" spans="1:6" ht="31.75">
      <c r="A4469" s="23">
        <v>73108</v>
      </c>
      <c r="B4469" s="12" t="str">
        <f t="shared" si="69"/>
        <v>731</v>
      </c>
      <c r="C4469" s="14" t="s">
        <v>5760</v>
      </c>
      <c r="D4469" s="13" t="str">
        <f>IF(RIGHT(A4469,3)="000",C4469,VLOOKUP(B4469,'Справочник ИХ'!A:C,3,0))</f>
        <v>Остальные грузы</v>
      </c>
      <c r="E4469" s="13">
        <f>IF(RIGHT(A4469,3)="000","х",VLOOKUP(B4469,'Справочник ИХ'!A:D,4,0))</f>
        <v>3</v>
      </c>
      <c r="F4469" s="14" t="s">
        <v>5495</v>
      </c>
    </row>
    <row r="4470" spans="1:6" ht="31.75">
      <c r="A4470" s="23">
        <v>73109</v>
      </c>
      <c r="B4470" s="12" t="str">
        <f t="shared" si="69"/>
        <v>731</v>
      </c>
      <c r="C4470" s="14" t="s">
        <v>5761</v>
      </c>
      <c r="D4470" s="13" t="str">
        <f>IF(RIGHT(A4470,3)="000",C4470,VLOOKUP(B4470,'Справочник ИХ'!A:C,3,0))</f>
        <v>Остальные грузы</v>
      </c>
      <c r="E4470" s="13">
        <f>IF(RIGHT(A4470,3)="000","х",VLOOKUP(B4470,'Справочник ИХ'!A:D,4,0))</f>
        <v>3</v>
      </c>
      <c r="F4470" s="14" t="s">
        <v>5495</v>
      </c>
    </row>
    <row r="4471" spans="1:6" ht="31.75">
      <c r="A4471" s="23">
        <v>73110</v>
      </c>
      <c r="B4471" s="12" t="str">
        <f t="shared" si="69"/>
        <v>731</v>
      </c>
      <c r="C4471" s="14" t="s">
        <v>5762</v>
      </c>
      <c r="D4471" s="13" t="str">
        <f>IF(RIGHT(A4471,3)="000",C4471,VLOOKUP(B4471,'Справочник ИХ'!A:C,3,0))</f>
        <v>Остальные грузы</v>
      </c>
      <c r="E4471" s="13">
        <f>IF(RIGHT(A4471,3)="000","х",VLOOKUP(B4471,'Справочник ИХ'!A:D,4,0))</f>
        <v>3</v>
      </c>
      <c r="F4471" s="14" t="s">
        <v>5495</v>
      </c>
    </row>
    <row r="4472" spans="1:6" ht="31.75">
      <c r="A4472" s="23">
        <v>73111</v>
      </c>
      <c r="B4472" s="12" t="str">
        <f t="shared" si="69"/>
        <v>731</v>
      </c>
      <c r="C4472" s="14" t="s">
        <v>5763</v>
      </c>
      <c r="D4472" s="13" t="str">
        <f>IF(RIGHT(A4472,3)="000",C4472,VLOOKUP(B4472,'Справочник ИХ'!A:C,3,0))</f>
        <v>Остальные грузы</v>
      </c>
      <c r="E4472" s="13">
        <f>IF(RIGHT(A4472,3)="000","х",VLOOKUP(B4472,'Справочник ИХ'!A:D,4,0))</f>
        <v>3</v>
      </c>
      <c r="F4472" s="14" t="s">
        <v>5495</v>
      </c>
    </row>
    <row r="4473" spans="1:6" ht="31.75">
      <c r="A4473" s="23">
        <v>73112</v>
      </c>
      <c r="B4473" s="12" t="str">
        <f t="shared" si="69"/>
        <v>731</v>
      </c>
      <c r="C4473" s="14" t="s">
        <v>5764</v>
      </c>
      <c r="D4473" s="13" t="str">
        <f>IF(RIGHT(A4473,3)="000",C4473,VLOOKUP(B4473,'Справочник ИХ'!A:C,3,0))</f>
        <v>Остальные грузы</v>
      </c>
      <c r="E4473" s="13">
        <f>IF(RIGHT(A4473,3)="000","х",VLOOKUP(B4473,'Справочник ИХ'!A:D,4,0))</f>
        <v>3</v>
      </c>
      <c r="F4473" s="14" t="s">
        <v>5495</v>
      </c>
    </row>
    <row r="4474" spans="1:6" ht="31.75">
      <c r="A4474" s="23">
        <v>73113</v>
      </c>
      <c r="B4474" s="12" t="str">
        <f t="shared" si="69"/>
        <v>731</v>
      </c>
      <c r="C4474" s="14" t="s">
        <v>5765</v>
      </c>
      <c r="D4474" s="13" t="str">
        <f>IF(RIGHT(A4474,3)="000",C4474,VLOOKUP(B4474,'Справочник ИХ'!A:C,3,0))</f>
        <v>Остальные грузы</v>
      </c>
      <c r="E4474" s="13">
        <f>IF(RIGHT(A4474,3)="000","х",VLOOKUP(B4474,'Справочник ИХ'!A:D,4,0))</f>
        <v>3</v>
      </c>
      <c r="F4474" s="14" t="s">
        <v>5495</v>
      </c>
    </row>
    <row r="4475" spans="1:6" ht="31.75">
      <c r="A4475" s="23">
        <v>73115</v>
      </c>
      <c r="B4475" s="12" t="str">
        <f t="shared" si="69"/>
        <v>731</v>
      </c>
      <c r="C4475" s="14" t="s">
        <v>5766</v>
      </c>
      <c r="D4475" s="13" t="str">
        <f>IF(RIGHT(A4475,3)="000",C4475,VLOOKUP(B4475,'Справочник ИХ'!A:C,3,0))</f>
        <v>Остальные грузы</v>
      </c>
      <c r="E4475" s="13">
        <f>IF(RIGHT(A4475,3)="000","х",VLOOKUP(B4475,'Справочник ИХ'!A:D,4,0))</f>
        <v>3</v>
      </c>
      <c r="F4475" s="14" t="s">
        <v>5495</v>
      </c>
    </row>
    <row r="4476" spans="1:6" ht="31.75">
      <c r="A4476" s="23">
        <v>73116</v>
      </c>
      <c r="B4476" s="12" t="str">
        <f t="shared" si="69"/>
        <v>731</v>
      </c>
      <c r="C4476" s="14" t="s">
        <v>5767</v>
      </c>
      <c r="D4476" s="13" t="str">
        <f>IF(RIGHT(A4476,3)="000",C4476,VLOOKUP(B4476,'Справочник ИХ'!A:C,3,0))</f>
        <v>Остальные грузы</v>
      </c>
      <c r="E4476" s="13">
        <f>IF(RIGHT(A4476,3)="000","х",VLOOKUP(B4476,'Справочник ИХ'!A:D,4,0))</f>
        <v>3</v>
      </c>
      <c r="F4476" s="14" t="s">
        <v>5495</v>
      </c>
    </row>
    <row r="4477" spans="1:6" ht="31.75">
      <c r="A4477" s="23">
        <v>73117</v>
      </c>
      <c r="B4477" s="12" t="str">
        <f t="shared" si="69"/>
        <v>731</v>
      </c>
      <c r="C4477" s="14" t="s">
        <v>5768</v>
      </c>
      <c r="D4477" s="13" t="str">
        <f>IF(RIGHT(A4477,3)="000",C4477,VLOOKUP(B4477,'Справочник ИХ'!A:C,3,0))</f>
        <v>Остальные грузы</v>
      </c>
      <c r="E4477" s="13">
        <f>IF(RIGHT(A4477,3)="000","х",VLOOKUP(B4477,'Справочник ИХ'!A:D,4,0))</f>
        <v>3</v>
      </c>
      <c r="F4477" s="14" t="s">
        <v>5495</v>
      </c>
    </row>
    <row r="4478" spans="1:6" ht="31.75">
      <c r="A4478" s="23">
        <v>73118</v>
      </c>
      <c r="B4478" s="12" t="str">
        <f t="shared" si="69"/>
        <v>731</v>
      </c>
      <c r="C4478" s="14" t="s">
        <v>5769</v>
      </c>
      <c r="D4478" s="13" t="str">
        <f>IF(RIGHT(A4478,3)="000",C4478,VLOOKUP(B4478,'Справочник ИХ'!A:C,3,0))</f>
        <v>Остальные грузы</v>
      </c>
      <c r="E4478" s="13">
        <f>IF(RIGHT(A4478,3)="000","х",VLOOKUP(B4478,'Справочник ИХ'!A:D,4,0))</f>
        <v>3</v>
      </c>
      <c r="F4478" s="14" t="s">
        <v>5495</v>
      </c>
    </row>
    <row r="4479" spans="1:6" ht="31.75">
      <c r="A4479" s="23">
        <v>73119</v>
      </c>
      <c r="B4479" s="12" t="str">
        <f t="shared" si="69"/>
        <v>731</v>
      </c>
      <c r="C4479" s="14" t="s">
        <v>5770</v>
      </c>
      <c r="D4479" s="13" t="str">
        <f>IF(RIGHT(A4479,3)="000",C4479,VLOOKUP(B4479,'Справочник ИХ'!A:C,3,0))</f>
        <v>Остальные грузы</v>
      </c>
      <c r="E4479" s="13">
        <f>IF(RIGHT(A4479,3)="000","х",VLOOKUP(B4479,'Справочник ИХ'!A:D,4,0))</f>
        <v>3</v>
      </c>
      <c r="F4479" s="14" t="s">
        <v>5495</v>
      </c>
    </row>
    <row r="4480" spans="1:6" ht="31.75">
      <c r="A4480" s="23">
        <v>73120</v>
      </c>
      <c r="B4480" s="12" t="str">
        <f t="shared" si="69"/>
        <v>731</v>
      </c>
      <c r="C4480" s="14" t="s">
        <v>5771</v>
      </c>
      <c r="D4480" s="13" t="str">
        <f>IF(RIGHT(A4480,3)="000",C4480,VLOOKUP(B4480,'Справочник ИХ'!A:C,3,0))</f>
        <v>Остальные грузы</v>
      </c>
      <c r="E4480" s="13">
        <f>IF(RIGHT(A4480,3)="000","х",VLOOKUP(B4480,'Справочник ИХ'!A:D,4,0))</f>
        <v>3</v>
      </c>
      <c r="F4480" s="14" t="s">
        <v>5495</v>
      </c>
    </row>
    <row r="4481" spans="1:6" ht="31.75">
      <c r="A4481" s="23">
        <v>73121</v>
      </c>
      <c r="B4481" s="12" t="str">
        <f t="shared" si="69"/>
        <v>731</v>
      </c>
      <c r="C4481" s="14" t="s">
        <v>5772</v>
      </c>
      <c r="D4481" s="13" t="str">
        <f>IF(RIGHT(A4481,3)="000",C4481,VLOOKUP(B4481,'Справочник ИХ'!A:C,3,0))</f>
        <v>Остальные грузы</v>
      </c>
      <c r="E4481" s="13">
        <f>IF(RIGHT(A4481,3)="000","х",VLOOKUP(B4481,'Справочник ИХ'!A:D,4,0))</f>
        <v>3</v>
      </c>
      <c r="F4481" s="14" t="s">
        <v>5495</v>
      </c>
    </row>
    <row r="4482" spans="1:6" ht="31.75">
      <c r="A4482" s="23">
        <v>73122</v>
      </c>
      <c r="B4482" s="12" t="str">
        <f t="shared" si="69"/>
        <v>731</v>
      </c>
      <c r="C4482" s="14" t="s">
        <v>5773</v>
      </c>
      <c r="D4482" s="13" t="str">
        <f>IF(RIGHT(A4482,3)="000",C4482,VLOOKUP(B4482,'Справочник ИХ'!A:C,3,0))</f>
        <v>Остальные грузы</v>
      </c>
      <c r="E4482" s="13">
        <f>IF(RIGHT(A4482,3)="000","х",VLOOKUP(B4482,'Справочник ИХ'!A:D,4,0))</f>
        <v>3</v>
      </c>
      <c r="F4482" s="14" t="s">
        <v>5495</v>
      </c>
    </row>
    <row r="4483" spans="1:6" ht="31.75">
      <c r="A4483" s="23">
        <v>73123</v>
      </c>
      <c r="B4483" s="12" t="str">
        <f t="shared" si="69"/>
        <v>731</v>
      </c>
      <c r="C4483" s="14" t="s">
        <v>5774</v>
      </c>
      <c r="D4483" s="13" t="str">
        <f>IF(RIGHT(A4483,3)="000",C4483,VLOOKUP(B4483,'Справочник ИХ'!A:C,3,0))</f>
        <v>Остальные грузы</v>
      </c>
      <c r="E4483" s="13">
        <f>IF(RIGHT(A4483,3)="000","х",VLOOKUP(B4483,'Справочник ИХ'!A:D,4,0))</f>
        <v>3</v>
      </c>
      <c r="F4483" s="14" t="s">
        <v>5495</v>
      </c>
    </row>
    <row r="4484" spans="1:6" ht="31.75">
      <c r="A4484" s="23">
        <v>73124</v>
      </c>
      <c r="B4484" s="12" t="str">
        <f t="shared" si="69"/>
        <v>731</v>
      </c>
      <c r="C4484" s="14" t="s">
        <v>5775</v>
      </c>
      <c r="D4484" s="13" t="str">
        <f>IF(RIGHT(A4484,3)="000",C4484,VLOOKUP(B4484,'Справочник ИХ'!A:C,3,0))</f>
        <v>Остальные грузы</v>
      </c>
      <c r="E4484" s="13">
        <f>IF(RIGHT(A4484,3)="000","х",VLOOKUP(B4484,'Справочник ИХ'!A:D,4,0))</f>
        <v>3</v>
      </c>
      <c r="F4484" s="14" t="s">
        <v>5495</v>
      </c>
    </row>
    <row r="4485" spans="1:6" ht="31.75">
      <c r="A4485" s="23">
        <v>73125</v>
      </c>
      <c r="B4485" s="12" t="str">
        <f t="shared" ref="B4485:B4548" si="70">LEFT(A4485,3)</f>
        <v>731</v>
      </c>
      <c r="C4485" s="14" t="s">
        <v>5776</v>
      </c>
      <c r="D4485" s="13" t="str">
        <f>IF(RIGHT(A4485,3)="000",C4485,VLOOKUP(B4485,'Справочник ИХ'!A:C,3,0))</f>
        <v>Остальные грузы</v>
      </c>
      <c r="E4485" s="13">
        <f>IF(RIGHT(A4485,3)="000","х",VLOOKUP(B4485,'Справочник ИХ'!A:D,4,0))</f>
        <v>3</v>
      </c>
      <c r="F4485" s="14" t="s">
        <v>5495</v>
      </c>
    </row>
    <row r="4486" spans="1:6" ht="31.75">
      <c r="A4486" s="23">
        <v>73126</v>
      </c>
      <c r="B4486" s="12" t="str">
        <f t="shared" si="70"/>
        <v>731</v>
      </c>
      <c r="C4486" s="14" t="s">
        <v>5777</v>
      </c>
      <c r="D4486" s="13" t="str">
        <f>IF(RIGHT(A4486,3)="000",C4486,VLOOKUP(B4486,'Справочник ИХ'!A:C,3,0))</f>
        <v>Остальные грузы</v>
      </c>
      <c r="E4486" s="13">
        <f>IF(RIGHT(A4486,3)="000","х",VLOOKUP(B4486,'Справочник ИХ'!A:D,4,0))</f>
        <v>3</v>
      </c>
      <c r="F4486" s="14" t="s">
        <v>5495</v>
      </c>
    </row>
    <row r="4487" spans="1:6" ht="31.75">
      <c r="A4487" s="23">
        <v>73127</v>
      </c>
      <c r="B4487" s="12" t="str">
        <f t="shared" si="70"/>
        <v>731</v>
      </c>
      <c r="C4487" s="14" t="s">
        <v>5778</v>
      </c>
      <c r="D4487" s="13" t="str">
        <f>IF(RIGHT(A4487,3)="000",C4487,VLOOKUP(B4487,'Справочник ИХ'!A:C,3,0))</f>
        <v>Остальные грузы</v>
      </c>
      <c r="E4487" s="13">
        <f>IF(RIGHT(A4487,3)="000","х",VLOOKUP(B4487,'Справочник ИХ'!A:D,4,0))</f>
        <v>3</v>
      </c>
      <c r="F4487" s="14" t="s">
        <v>5495</v>
      </c>
    </row>
    <row r="4488" spans="1:6" ht="31.75">
      <c r="A4488" s="23">
        <v>73128</v>
      </c>
      <c r="B4488" s="12" t="str">
        <f t="shared" si="70"/>
        <v>731</v>
      </c>
      <c r="C4488" s="14" t="s">
        <v>5779</v>
      </c>
      <c r="D4488" s="13" t="str">
        <f>IF(RIGHT(A4488,3)="000",C4488,VLOOKUP(B4488,'Справочник ИХ'!A:C,3,0))</f>
        <v>Остальные грузы</v>
      </c>
      <c r="E4488" s="13">
        <f>IF(RIGHT(A4488,3)="000","х",VLOOKUP(B4488,'Справочник ИХ'!A:D,4,0))</f>
        <v>3</v>
      </c>
      <c r="F4488" s="14" t="s">
        <v>5495</v>
      </c>
    </row>
    <row r="4489" spans="1:6" ht="31.75">
      <c r="A4489" s="23">
        <v>73129</v>
      </c>
      <c r="B4489" s="12" t="str">
        <f t="shared" si="70"/>
        <v>731</v>
      </c>
      <c r="C4489" s="14" t="s">
        <v>5780</v>
      </c>
      <c r="D4489" s="13" t="str">
        <f>IF(RIGHT(A4489,3)="000",C4489,VLOOKUP(B4489,'Справочник ИХ'!A:C,3,0))</f>
        <v>Остальные грузы</v>
      </c>
      <c r="E4489" s="13">
        <f>IF(RIGHT(A4489,3)="000","х",VLOOKUP(B4489,'Справочник ИХ'!A:D,4,0))</f>
        <v>3</v>
      </c>
      <c r="F4489" s="14" t="s">
        <v>5495</v>
      </c>
    </row>
    <row r="4490" spans="1:6" ht="31.75">
      <c r="A4490" s="23">
        <v>73130</v>
      </c>
      <c r="B4490" s="12" t="str">
        <f t="shared" si="70"/>
        <v>731</v>
      </c>
      <c r="C4490" s="14" t="s">
        <v>5781</v>
      </c>
      <c r="D4490" s="13" t="str">
        <f>IF(RIGHT(A4490,3)="000",C4490,VLOOKUP(B4490,'Справочник ИХ'!A:C,3,0))</f>
        <v>Остальные грузы</v>
      </c>
      <c r="E4490" s="13">
        <f>IF(RIGHT(A4490,3)="000","х",VLOOKUP(B4490,'Справочник ИХ'!A:D,4,0))</f>
        <v>3</v>
      </c>
      <c r="F4490" s="14" t="s">
        <v>5495</v>
      </c>
    </row>
    <row r="4491" spans="1:6" ht="31.75">
      <c r="A4491" s="23">
        <v>73131</v>
      </c>
      <c r="B4491" s="12" t="str">
        <f t="shared" si="70"/>
        <v>731</v>
      </c>
      <c r="C4491" s="14" t="s">
        <v>5782</v>
      </c>
      <c r="D4491" s="13" t="str">
        <f>IF(RIGHT(A4491,3)="000",C4491,VLOOKUP(B4491,'Справочник ИХ'!A:C,3,0))</f>
        <v>Остальные грузы</v>
      </c>
      <c r="E4491" s="13">
        <f>IF(RIGHT(A4491,3)="000","х",VLOOKUP(B4491,'Справочник ИХ'!A:D,4,0))</f>
        <v>3</v>
      </c>
      <c r="F4491" s="14" t="s">
        <v>5495</v>
      </c>
    </row>
    <row r="4492" spans="1:6" ht="31.75">
      <c r="A4492" s="23">
        <v>73132</v>
      </c>
      <c r="B4492" s="12" t="str">
        <f t="shared" si="70"/>
        <v>731</v>
      </c>
      <c r="C4492" s="14" t="s">
        <v>5783</v>
      </c>
      <c r="D4492" s="13" t="str">
        <f>IF(RIGHT(A4492,3)="000",C4492,VLOOKUP(B4492,'Справочник ИХ'!A:C,3,0))</f>
        <v>Остальные грузы</v>
      </c>
      <c r="E4492" s="13">
        <f>IF(RIGHT(A4492,3)="000","х",VLOOKUP(B4492,'Справочник ИХ'!A:D,4,0))</f>
        <v>3</v>
      </c>
      <c r="F4492" s="14" t="s">
        <v>5495</v>
      </c>
    </row>
    <row r="4493" spans="1:6" ht="31.75">
      <c r="A4493" s="23">
        <v>73133</v>
      </c>
      <c r="B4493" s="12" t="str">
        <f t="shared" si="70"/>
        <v>731</v>
      </c>
      <c r="C4493" s="14" t="s">
        <v>5784</v>
      </c>
      <c r="D4493" s="13" t="str">
        <f>IF(RIGHT(A4493,3)="000",C4493,VLOOKUP(B4493,'Справочник ИХ'!A:C,3,0))</f>
        <v>Остальные грузы</v>
      </c>
      <c r="E4493" s="13">
        <f>IF(RIGHT(A4493,3)="000","х",VLOOKUP(B4493,'Справочник ИХ'!A:D,4,0))</f>
        <v>3</v>
      </c>
      <c r="F4493" s="14" t="s">
        <v>5495</v>
      </c>
    </row>
    <row r="4494" spans="1:6" ht="31.75">
      <c r="A4494" s="23">
        <v>73134</v>
      </c>
      <c r="B4494" s="12" t="str">
        <f t="shared" si="70"/>
        <v>731</v>
      </c>
      <c r="C4494" s="14" t="s">
        <v>5785</v>
      </c>
      <c r="D4494" s="13" t="str">
        <f>IF(RIGHT(A4494,3)="000",C4494,VLOOKUP(B4494,'Справочник ИХ'!A:C,3,0))</f>
        <v>Остальные грузы</v>
      </c>
      <c r="E4494" s="13">
        <f>IF(RIGHT(A4494,3)="000","х",VLOOKUP(B4494,'Справочник ИХ'!A:D,4,0))</f>
        <v>3</v>
      </c>
      <c r="F4494" s="14" t="s">
        <v>5495</v>
      </c>
    </row>
    <row r="4495" spans="1:6" ht="31.75">
      <c r="A4495" s="23">
        <v>73135</v>
      </c>
      <c r="B4495" s="12" t="str">
        <f t="shared" si="70"/>
        <v>731</v>
      </c>
      <c r="C4495" s="14" t="s">
        <v>5786</v>
      </c>
      <c r="D4495" s="13" t="str">
        <f>IF(RIGHT(A4495,3)="000",C4495,VLOOKUP(B4495,'Справочник ИХ'!A:C,3,0))</f>
        <v>Остальные грузы</v>
      </c>
      <c r="E4495" s="13">
        <f>IF(RIGHT(A4495,3)="000","х",VLOOKUP(B4495,'Справочник ИХ'!A:D,4,0))</f>
        <v>3</v>
      </c>
      <c r="F4495" s="14" t="s">
        <v>5495</v>
      </c>
    </row>
    <row r="4496" spans="1:6" ht="31.75">
      <c r="A4496" s="23">
        <v>73136</v>
      </c>
      <c r="B4496" s="12" t="str">
        <f t="shared" si="70"/>
        <v>731</v>
      </c>
      <c r="C4496" s="14" t="s">
        <v>5787</v>
      </c>
      <c r="D4496" s="13" t="str">
        <f>IF(RIGHT(A4496,3)="000",C4496,VLOOKUP(B4496,'Справочник ИХ'!A:C,3,0))</f>
        <v>Остальные грузы</v>
      </c>
      <c r="E4496" s="13">
        <f>IF(RIGHT(A4496,3)="000","х",VLOOKUP(B4496,'Справочник ИХ'!A:D,4,0))</f>
        <v>3</v>
      </c>
      <c r="F4496" s="14" t="s">
        <v>5495</v>
      </c>
    </row>
    <row r="4497" spans="1:6" ht="31.75">
      <c r="A4497" s="23">
        <v>73137</v>
      </c>
      <c r="B4497" s="12" t="str">
        <f t="shared" si="70"/>
        <v>731</v>
      </c>
      <c r="C4497" s="14" t="s">
        <v>5788</v>
      </c>
      <c r="D4497" s="13" t="str">
        <f>IF(RIGHT(A4497,3)="000",C4497,VLOOKUP(B4497,'Справочник ИХ'!A:C,3,0))</f>
        <v>Остальные грузы</v>
      </c>
      <c r="E4497" s="13">
        <f>IF(RIGHT(A4497,3)="000","х",VLOOKUP(B4497,'Справочник ИХ'!A:D,4,0))</f>
        <v>3</v>
      </c>
      <c r="F4497" s="14" t="s">
        <v>5495</v>
      </c>
    </row>
    <row r="4498" spans="1:6" ht="31.75">
      <c r="A4498" s="23">
        <v>73138</v>
      </c>
      <c r="B4498" s="12" t="str">
        <f t="shared" si="70"/>
        <v>731</v>
      </c>
      <c r="C4498" s="14" t="s">
        <v>5789</v>
      </c>
      <c r="D4498" s="13" t="str">
        <f>IF(RIGHT(A4498,3)="000",C4498,VLOOKUP(B4498,'Справочник ИХ'!A:C,3,0))</f>
        <v>Остальные грузы</v>
      </c>
      <c r="E4498" s="13">
        <f>IF(RIGHT(A4498,3)="000","х",VLOOKUP(B4498,'Справочник ИХ'!A:D,4,0))</f>
        <v>3</v>
      </c>
      <c r="F4498" s="14" t="s">
        <v>5495</v>
      </c>
    </row>
    <row r="4499" spans="1:6" ht="31.75">
      <c r="A4499" s="23">
        <v>73139</v>
      </c>
      <c r="B4499" s="12" t="str">
        <f t="shared" si="70"/>
        <v>731</v>
      </c>
      <c r="C4499" s="14" t="s">
        <v>5790</v>
      </c>
      <c r="D4499" s="13" t="str">
        <f>IF(RIGHT(A4499,3)="000",C4499,VLOOKUP(B4499,'Справочник ИХ'!A:C,3,0))</f>
        <v>Остальные грузы</v>
      </c>
      <c r="E4499" s="13">
        <f>IF(RIGHT(A4499,3)="000","х",VLOOKUP(B4499,'Справочник ИХ'!A:D,4,0))</f>
        <v>3</v>
      </c>
      <c r="F4499" s="14" t="s">
        <v>5495</v>
      </c>
    </row>
    <row r="4500" spans="1:6" ht="31.75">
      <c r="A4500" s="23">
        <v>73140</v>
      </c>
      <c r="B4500" s="12" t="str">
        <f t="shared" si="70"/>
        <v>731</v>
      </c>
      <c r="C4500" s="14" t="s">
        <v>5791</v>
      </c>
      <c r="D4500" s="13" t="str">
        <f>IF(RIGHT(A4500,3)="000",C4500,VLOOKUP(B4500,'Справочник ИХ'!A:C,3,0))</f>
        <v>Остальные грузы</v>
      </c>
      <c r="E4500" s="13">
        <f>IF(RIGHT(A4500,3)="000","х",VLOOKUP(B4500,'Справочник ИХ'!A:D,4,0))</f>
        <v>3</v>
      </c>
      <c r="F4500" s="14" t="s">
        <v>5495</v>
      </c>
    </row>
    <row r="4501" spans="1:6" ht="31.75">
      <c r="A4501" s="23">
        <v>73141</v>
      </c>
      <c r="B4501" s="12" t="str">
        <f t="shared" si="70"/>
        <v>731</v>
      </c>
      <c r="C4501" s="14" t="s">
        <v>5792</v>
      </c>
      <c r="D4501" s="13" t="str">
        <f>IF(RIGHT(A4501,3)="000",C4501,VLOOKUP(B4501,'Справочник ИХ'!A:C,3,0))</f>
        <v>Остальные грузы</v>
      </c>
      <c r="E4501" s="13">
        <f>IF(RIGHT(A4501,3)="000","х",VLOOKUP(B4501,'Справочник ИХ'!A:D,4,0))</f>
        <v>3</v>
      </c>
      <c r="F4501" s="14" t="s">
        <v>5495</v>
      </c>
    </row>
    <row r="4502" spans="1:6" ht="31.75">
      <c r="A4502" s="23">
        <v>73143</v>
      </c>
      <c r="B4502" s="12" t="str">
        <f t="shared" si="70"/>
        <v>731</v>
      </c>
      <c r="C4502" s="14" t="s">
        <v>5793</v>
      </c>
      <c r="D4502" s="13" t="str">
        <f>IF(RIGHT(A4502,3)="000",C4502,VLOOKUP(B4502,'Справочник ИХ'!A:C,3,0))</f>
        <v>Остальные грузы</v>
      </c>
      <c r="E4502" s="13">
        <f>IF(RIGHT(A4502,3)="000","х",VLOOKUP(B4502,'Справочник ИХ'!A:D,4,0))</f>
        <v>3</v>
      </c>
      <c r="F4502" s="14" t="s">
        <v>5495</v>
      </c>
    </row>
    <row r="4503" spans="1:6" ht="31.75">
      <c r="A4503" s="23">
        <v>73144</v>
      </c>
      <c r="B4503" s="12" t="str">
        <f t="shared" si="70"/>
        <v>731</v>
      </c>
      <c r="C4503" s="14" t="s">
        <v>5794</v>
      </c>
      <c r="D4503" s="13" t="str">
        <f>IF(RIGHT(A4503,3)="000",C4503,VLOOKUP(B4503,'Справочник ИХ'!A:C,3,0))</f>
        <v>Остальные грузы</v>
      </c>
      <c r="E4503" s="13">
        <f>IF(RIGHT(A4503,3)="000","х",VLOOKUP(B4503,'Справочник ИХ'!A:D,4,0))</f>
        <v>3</v>
      </c>
      <c r="F4503" s="14" t="s">
        <v>5495</v>
      </c>
    </row>
    <row r="4504" spans="1:6" ht="31.75">
      <c r="A4504" s="23">
        <v>73145</v>
      </c>
      <c r="B4504" s="12" t="str">
        <f t="shared" si="70"/>
        <v>731</v>
      </c>
      <c r="C4504" s="14" t="s">
        <v>5795</v>
      </c>
      <c r="D4504" s="13" t="str">
        <f>IF(RIGHT(A4504,3)="000",C4504,VLOOKUP(B4504,'Справочник ИХ'!A:C,3,0))</f>
        <v>Остальные грузы</v>
      </c>
      <c r="E4504" s="13">
        <f>IF(RIGHT(A4504,3)="000","х",VLOOKUP(B4504,'Справочник ИХ'!A:D,4,0))</f>
        <v>3</v>
      </c>
      <c r="F4504" s="14" t="s">
        <v>5495</v>
      </c>
    </row>
    <row r="4505" spans="1:6" ht="31.75">
      <c r="A4505" s="23">
        <v>73146</v>
      </c>
      <c r="B4505" s="12" t="str">
        <f t="shared" si="70"/>
        <v>731</v>
      </c>
      <c r="C4505" s="14" t="s">
        <v>5796</v>
      </c>
      <c r="D4505" s="13" t="str">
        <f>IF(RIGHT(A4505,3)="000",C4505,VLOOKUP(B4505,'Справочник ИХ'!A:C,3,0))</f>
        <v>Остальные грузы</v>
      </c>
      <c r="E4505" s="13">
        <f>IF(RIGHT(A4505,3)="000","х",VLOOKUP(B4505,'Справочник ИХ'!A:D,4,0))</f>
        <v>3</v>
      </c>
      <c r="F4505" s="14" t="s">
        <v>5495</v>
      </c>
    </row>
    <row r="4506" spans="1:6" ht="31.75">
      <c r="A4506" s="23">
        <v>73147</v>
      </c>
      <c r="B4506" s="12" t="str">
        <f t="shared" si="70"/>
        <v>731</v>
      </c>
      <c r="C4506" s="14" t="s">
        <v>5797</v>
      </c>
      <c r="D4506" s="13" t="str">
        <f>IF(RIGHT(A4506,3)="000",C4506,VLOOKUP(B4506,'Справочник ИХ'!A:C,3,0))</f>
        <v>Остальные грузы</v>
      </c>
      <c r="E4506" s="13">
        <f>IF(RIGHT(A4506,3)="000","х",VLOOKUP(B4506,'Справочник ИХ'!A:D,4,0))</f>
        <v>3</v>
      </c>
      <c r="F4506" s="14" t="s">
        <v>5495</v>
      </c>
    </row>
    <row r="4507" spans="1:6" ht="31.75">
      <c r="A4507" s="23">
        <v>73148</v>
      </c>
      <c r="B4507" s="12" t="str">
        <f t="shared" si="70"/>
        <v>731</v>
      </c>
      <c r="C4507" s="14" t="s">
        <v>5798</v>
      </c>
      <c r="D4507" s="13" t="str">
        <f>IF(RIGHT(A4507,3)="000",C4507,VLOOKUP(B4507,'Справочник ИХ'!A:C,3,0))</f>
        <v>Остальные грузы</v>
      </c>
      <c r="E4507" s="13">
        <f>IF(RIGHT(A4507,3)="000","х",VLOOKUP(B4507,'Справочник ИХ'!A:D,4,0))</f>
        <v>3</v>
      </c>
      <c r="F4507" s="14" t="s">
        <v>5495</v>
      </c>
    </row>
    <row r="4508" spans="1:6" ht="31.75">
      <c r="A4508" s="23">
        <v>73149</v>
      </c>
      <c r="B4508" s="12" t="str">
        <f t="shared" si="70"/>
        <v>731</v>
      </c>
      <c r="C4508" s="14" t="s">
        <v>5799</v>
      </c>
      <c r="D4508" s="13" t="str">
        <f>IF(RIGHT(A4508,3)="000",C4508,VLOOKUP(B4508,'Справочник ИХ'!A:C,3,0))</f>
        <v>Остальные грузы</v>
      </c>
      <c r="E4508" s="13">
        <f>IF(RIGHT(A4508,3)="000","х",VLOOKUP(B4508,'Справочник ИХ'!A:D,4,0))</f>
        <v>3</v>
      </c>
      <c r="F4508" s="14" t="s">
        <v>5495</v>
      </c>
    </row>
    <row r="4509" spans="1:6" ht="31.75">
      <c r="A4509" s="23">
        <v>73150</v>
      </c>
      <c r="B4509" s="12" t="str">
        <f t="shared" si="70"/>
        <v>731</v>
      </c>
      <c r="C4509" s="14" t="s">
        <v>5800</v>
      </c>
      <c r="D4509" s="13" t="str">
        <f>IF(RIGHT(A4509,3)="000",C4509,VLOOKUP(B4509,'Справочник ИХ'!A:C,3,0))</f>
        <v>Остальные грузы</v>
      </c>
      <c r="E4509" s="13">
        <f>IF(RIGHT(A4509,3)="000","х",VLOOKUP(B4509,'Справочник ИХ'!A:D,4,0))</f>
        <v>3</v>
      </c>
      <c r="F4509" s="14" t="s">
        <v>5495</v>
      </c>
    </row>
    <row r="4510" spans="1:6" ht="31.75">
      <c r="A4510" s="23">
        <v>73151</v>
      </c>
      <c r="B4510" s="12" t="str">
        <f t="shared" si="70"/>
        <v>731</v>
      </c>
      <c r="C4510" s="14" t="s">
        <v>5801</v>
      </c>
      <c r="D4510" s="13" t="str">
        <f>IF(RIGHT(A4510,3)="000",C4510,VLOOKUP(B4510,'Справочник ИХ'!A:C,3,0))</f>
        <v>Остальные грузы</v>
      </c>
      <c r="E4510" s="13">
        <f>IF(RIGHT(A4510,3)="000","х",VLOOKUP(B4510,'Справочник ИХ'!A:D,4,0))</f>
        <v>3</v>
      </c>
      <c r="F4510" s="14" t="s">
        <v>5495</v>
      </c>
    </row>
    <row r="4511" spans="1:6" ht="31.75">
      <c r="A4511" s="23">
        <v>73152</v>
      </c>
      <c r="B4511" s="12" t="str">
        <f t="shared" si="70"/>
        <v>731</v>
      </c>
      <c r="C4511" s="14" t="s">
        <v>5802</v>
      </c>
      <c r="D4511" s="13" t="str">
        <f>IF(RIGHT(A4511,3)="000",C4511,VLOOKUP(B4511,'Справочник ИХ'!A:C,3,0))</f>
        <v>Остальные грузы</v>
      </c>
      <c r="E4511" s="13">
        <f>IF(RIGHT(A4511,3)="000","х",VLOOKUP(B4511,'Справочник ИХ'!A:D,4,0))</f>
        <v>3</v>
      </c>
      <c r="F4511" s="14" t="s">
        <v>5495</v>
      </c>
    </row>
    <row r="4512" spans="1:6" ht="31.75">
      <c r="A4512" s="23">
        <v>73153</v>
      </c>
      <c r="B4512" s="12" t="str">
        <f t="shared" si="70"/>
        <v>731</v>
      </c>
      <c r="C4512" s="14" t="s">
        <v>5803</v>
      </c>
      <c r="D4512" s="13" t="str">
        <f>IF(RIGHT(A4512,3)="000",C4512,VLOOKUP(B4512,'Справочник ИХ'!A:C,3,0))</f>
        <v>Остальные грузы</v>
      </c>
      <c r="E4512" s="13">
        <f>IF(RIGHT(A4512,3)="000","х",VLOOKUP(B4512,'Справочник ИХ'!A:D,4,0))</f>
        <v>3</v>
      </c>
      <c r="F4512" s="14" t="s">
        <v>5495</v>
      </c>
    </row>
    <row r="4513" spans="1:6" ht="31.75">
      <c r="A4513" s="23">
        <v>73154</v>
      </c>
      <c r="B4513" s="12" t="str">
        <f t="shared" si="70"/>
        <v>731</v>
      </c>
      <c r="C4513" s="14" t="s">
        <v>5804</v>
      </c>
      <c r="D4513" s="13" t="str">
        <f>IF(RIGHT(A4513,3)="000",C4513,VLOOKUP(B4513,'Справочник ИХ'!A:C,3,0))</f>
        <v>Остальные грузы</v>
      </c>
      <c r="E4513" s="13">
        <f>IF(RIGHT(A4513,3)="000","х",VLOOKUP(B4513,'Справочник ИХ'!A:D,4,0))</f>
        <v>3</v>
      </c>
      <c r="F4513" s="14" t="s">
        <v>5495</v>
      </c>
    </row>
    <row r="4514" spans="1:6" ht="31.75">
      <c r="A4514" s="23">
        <v>73155</v>
      </c>
      <c r="B4514" s="12" t="str">
        <f t="shared" si="70"/>
        <v>731</v>
      </c>
      <c r="C4514" s="14" t="s">
        <v>5805</v>
      </c>
      <c r="D4514" s="13" t="str">
        <f>IF(RIGHT(A4514,3)="000",C4514,VLOOKUP(B4514,'Справочник ИХ'!A:C,3,0))</f>
        <v>Остальные грузы</v>
      </c>
      <c r="E4514" s="13">
        <f>IF(RIGHT(A4514,3)="000","х",VLOOKUP(B4514,'Справочник ИХ'!A:D,4,0))</f>
        <v>3</v>
      </c>
      <c r="F4514" s="14" t="s">
        <v>5495</v>
      </c>
    </row>
    <row r="4515" spans="1:6" s="18" customFormat="1" ht="31.75">
      <c r="A4515" s="34" t="s">
        <v>5806</v>
      </c>
      <c r="B4515" s="12" t="str">
        <f t="shared" si="70"/>
        <v>732</v>
      </c>
      <c r="C4515" s="18" t="s">
        <v>5807</v>
      </c>
      <c r="D4515" s="13" t="str">
        <f>IF(RIGHT(A4515,3)="000",C4515,VLOOKUP(B4515,'Справочник ИХ'!A:C,3,0))</f>
        <v>Остальные грузы</v>
      </c>
      <c r="E4515" s="13">
        <f>IF(RIGHT(A4515,3)="000","х",VLOOKUP(B4515,'Справочник ИХ'!A:D,4,0))</f>
        <v>3</v>
      </c>
      <c r="F4515" s="14" t="s">
        <v>5495</v>
      </c>
    </row>
    <row r="4516" spans="1:6" ht="31.75">
      <c r="A4516" s="23">
        <v>73201</v>
      </c>
      <c r="B4516" s="12" t="str">
        <f t="shared" si="70"/>
        <v>732</v>
      </c>
      <c r="C4516" s="14" t="s">
        <v>5808</v>
      </c>
      <c r="D4516" s="13" t="str">
        <f>IF(RIGHT(A4516,3)="000",C4516,VLOOKUP(B4516,'Справочник ИХ'!A:C,3,0))</f>
        <v>Остальные грузы</v>
      </c>
      <c r="E4516" s="13">
        <f>IF(RIGHT(A4516,3)="000","х",VLOOKUP(B4516,'Справочник ИХ'!A:D,4,0))</f>
        <v>3</v>
      </c>
      <c r="F4516" s="14" t="s">
        <v>5495</v>
      </c>
    </row>
    <row r="4517" spans="1:6" ht="31.75">
      <c r="A4517" s="23">
        <v>73202</v>
      </c>
      <c r="B4517" s="12" t="str">
        <f t="shared" si="70"/>
        <v>732</v>
      </c>
      <c r="C4517" s="14" t="s">
        <v>5809</v>
      </c>
      <c r="D4517" s="13" t="str">
        <f>IF(RIGHT(A4517,3)="000",C4517,VLOOKUP(B4517,'Справочник ИХ'!A:C,3,0))</f>
        <v>Остальные грузы</v>
      </c>
      <c r="E4517" s="13">
        <f>IF(RIGHT(A4517,3)="000","х",VLOOKUP(B4517,'Справочник ИХ'!A:D,4,0))</f>
        <v>3</v>
      </c>
      <c r="F4517" s="14" t="s">
        <v>5495</v>
      </c>
    </row>
    <row r="4518" spans="1:6" ht="31.75">
      <c r="A4518" s="23">
        <v>73203</v>
      </c>
      <c r="B4518" s="12" t="str">
        <f t="shared" si="70"/>
        <v>732</v>
      </c>
      <c r="C4518" s="14" t="s">
        <v>5810</v>
      </c>
      <c r="D4518" s="13" t="str">
        <f>IF(RIGHT(A4518,3)="000",C4518,VLOOKUP(B4518,'Справочник ИХ'!A:C,3,0))</f>
        <v>Остальные грузы</v>
      </c>
      <c r="E4518" s="13">
        <f>IF(RIGHT(A4518,3)="000","х",VLOOKUP(B4518,'Справочник ИХ'!A:D,4,0))</f>
        <v>3</v>
      </c>
      <c r="F4518" s="14" t="s">
        <v>5495</v>
      </c>
    </row>
    <row r="4519" spans="1:6" ht="31.75">
      <c r="A4519" s="23">
        <v>73204</v>
      </c>
      <c r="B4519" s="12" t="str">
        <f t="shared" si="70"/>
        <v>732</v>
      </c>
      <c r="C4519" s="14" t="s">
        <v>5811</v>
      </c>
      <c r="D4519" s="13" t="str">
        <f>IF(RIGHT(A4519,3)="000",C4519,VLOOKUP(B4519,'Справочник ИХ'!A:C,3,0))</f>
        <v>Остальные грузы</v>
      </c>
      <c r="E4519" s="13">
        <f>IF(RIGHT(A4519,3)="000","х",VLOOKUP(B4519,'Справочник ИХ'!A:D,4,0))</f>
        <v>3</v>
      </c>
      <c r="F4519" s="14" t="s">
        <v>5495</v>
      </c>
    </row>
    <row r="4520" spans="1:6" ht="31.75">
      <c r="A4520" s="23">
        <v>73205</v>
      </c>
      <c r="B4520" s="12" t="str">
        <f t="shared" si="70"/>
        <v>732</v>
      </c>
      <c r="C4520" s="14" t="s">
        <v>5812</v>
      </c>
      <c r="D4520" s="13" t="str">
        <f>IF(RIGHT(A4520,3)="000",C4520,VLOOKUP(B4520,'Справочник ИХ'!A:C,3,0))</f>
        <v>Остальные грузы</v>
      </c>
      <c r="E4520" s="13">
        <f>IF(RIGHT(A4520,3)="000","х",VLOOKUP(B4520,'Справочник ИХ'!A:D,4,0))</f>
        <v>3</v>
      </c>
      <c r="F4520" s="14" t="s">
        <v>5495</v>
      </c>
    </row>
    <row r="4521" spans="1:6" ht="31.75">
      <c r="A4521" s="23">
        <v>73206</v>
      </c>
      <c r="B4521" s="12" t="str">
        <f t="shared" si="70"/>
        <v>732</v>
      </c>
      <c r="C4521" s="14" t="s">
        <v>5813</v>
      </c>
      <c r="D4521" s="13" t="str">
        <f>IF(RIGHT(A4521,3)="000",C4521,VLOOKUP(B4521,'Справочник ИХ'!A:C,3,0))</f>
        <v>Остальные грузы</v>
      </c>
      <c r="E4521" s="13">
        <f>IF(RIGHT(A4521,3)="000","х",VLOOKUP(B4521,'Справочник ИХ'!A:D,4,0))</f>
        <v>3</v>
      </c>
      <c r="F4521" s="14" t="s">
        <v>5495</v>
      </c>
    </row>
    <row r="4522" spans="1:6" ht="31.75">
      <c r="A4522" s="23">
        <v>73207</v>
      </c>
      <c r="B4522" s="12" t="str">
        <f t="shared" si="70"/>
        <v>732</v>
      </c>
      <c r="C4522" s="14" t="s">
        <v>5814</v>
      </c>
      <c r="D4522" s="13" t="str">
        <f>IF(RIGHT(A4522,3)="000",C4522,VLOOKUP(B4522,'Справочник ИХ'!A:C,3,0))</f>
        <v>Остальные грузы</v>
      </c>
      <c r="E4522" s="13">
        <f>IF(RIGHT(A4522,3)="000","х",VLOOKUP(B4522,'Справочник ИХ'!A:D,4,0))</f>
        <v>3</v>
      </c>
      <c r="F4522" s="14" t="s">
        <v>5495</v>
      </c>
    </row>
    <row r="4523" spans="1:6" ht="31.75">
      <c r="A4523" s="23">
        <v>73208</v>
      </c>
      <c r="B4523" s="12" t="str">
        <f t="shared" si="70"/>
        <v>732</v>
      </c>
      <c r="C4523" s="14" t="s">
        <v>5815</v>
      </c>
      <c r="D4523" s="13" t="str">
        <f>IF(RIGHT(A4523,3)="000",C4523,VLOOKUP(B4523,'Справочник ИХ'!A:C,3,0))</f>
        <v>Остальные грузы</v>
      </c>
      <c r="E4523" s="13">
        <f>IF(RIGHT(A4523,3)="000","х",VLOOKUP(B4523,'Справочник ИХ'!A:D,4,0))</f>
        <v>3</v>
      </c>
      <c r="F4523" s="14" t="s">
        <v>5495</v>
      </c>
    </row>
    <row r="4524" spans="1:6" ht="31.75">
      <c r="A4524" s="23">
        <v>73209</v>
      </c>
      <c r="B4524" s="12" t="str">
        <f t="shared" si="70"/>
        <v>732</v>
      </c>
      <c r="C4524" s="14" t="s">
        <v>5816</v>
      </c>
      <c r="D4524" s="13" t="str">
        <f>IF(RIGHT(A4524,3)="000",C4524,VLOOKUP(B4524,'Справочник ИХ'!A:C,3,0))</f>
        <v>Остальные грузы</v>
      </c>
      <c r="E4524" s="13">
        <f>IF(RIGHT(A4524,3)="000","х",VLOOKUP(B4524,'Справочник ИХ'!A:D,4,0))</f>
        <v>3</v>
      </c>
      <c r="F4524" s="14" t="s">
        <v>5495</v>
      </c>
    </row>
    <row r="4525" spans="1:6" ht="31.75">
      <c r="A4525" s="23">
        <v>73210</v>
      </c>
      <c r="B4525" s="12" t="str">
        <f t="shared" si="70"/>
        <v>732</v>
      </c>
      <c r="C4525" s="14" t="s">
        <v>5817</v>
      </c>
      <c r="D4525" s="13" t="str">
        <f>IF(RIGHT(A4525,3)="000",C4525,VLOOKUP(B4525,'Справочник ИХ'!A:C,3,0))</f>
        <v>Остальные грузы</v>
      </c>
      <c r="E4525" s="13">
        <f>IF(RIGHT(A4525,3)="000","х",VLOOKUP(B4525,'Справочник ИХ'!A:D,4,0))</f>
        <v>3</v>
      </c>
      <c r="F4525" s="14" t="s">
        <v>5495</v>
      </c>
    </row>
    <row r="4526" spans="1:6" ht="31.75">
      <c r="A4526" s="23">
        <v>73211</v>
      </c>
      <c r="B4526" s="12" t="str">
        <f t="shared" si="70"/>
        <v>732</v>
      </c>
      <c r="C4526" s="14" t="s">
        <v>5818</v>
      </c>
      <c r="D4526" s="13" t="str">
        <f>IF(RIGHT(A4526,3)="000",C4526,VLOOKUP(B4526,'Справочник ИХ'!A:C,3,0))</f>
        <v>Остальные грузы</v>
      </c>
      <c r="E4526" s="13">
        <f>IF(RIGHT(A4526,3)="000","х",VLOOKUP(B4526,'Справочник ИХ'!A:D,4,0))</f>
        <v>3</v>
      </c>
      <c r="F4526" s="14" t="s">
        <v>5495</v>
      </c>
    </row>
    <row r="4527" spans="1:6" ht="31.75">
      <c r="A4527" s="23">
        <v>73212</v>
      </c>
      <c r="B4527" s="12" t="str">
        <f t="shared" si="70"/>
        <v>732</v>
      </c>
      <c r="C4527" s="14" t="s">
        <v>5819</v>
      </c>
      <c r="D4527" s="13" t="str">
        <f>IF(RIGHT(A4527,3)="000",C4527,VLOOKUP(B4527,'Справочник ИХ'!A:C,3,0))</f>
        <v>Остальные грузы</v>
      </c>
      <c r="E4527" s="13">
        <f>IF(RIGHT(A4527,3)="000","х",VLOOKUP(B4527,'Справочник ИХ'!A:D,4,0))</f>
        <v>3</v>
      </c>
      <c r="F4527" s="14" t="s">
        <v>5495</v>
      </c>
    </row>
    <row r="4528" spans="1:6" ht="31.75">
      <c r="A4528" s="23">
        <v>73213</v>
      </c>
      <c r="B4528" s="12" t="str">
        <f t="shared" si="70"/>
        <v>732</v>
      </c>
      <c r="C4528" s="14" t="s">
        <v>5820</v>
      </c>
      <c r="D4528" s="13" t="str">
        <f>IF(RIGHT(A4528,3)="000",C4528,VLOOKUP(B4528,'Справочник ИХ'!A:C,3,0))</f>
        <v>Остальные грузы</v>
      </c>
      <c r="E4528" s="13">
        <f>IF(RIGHT(A4528,3)="000","х",VLOOKUP(B4528,'Справочник ИХ'!A:D,4,0))</f>
        <v>3</v>
      </c>
      <c r="F4528" s="14" t="s">
        <v>5495</v>
      </c>
    </row>
    <row r="4529" spans="1:6" ht="31.75">
      <c r="A4529" s="23">
        <v>73214</v>
      </c>
      <c r="B4529" s="12" t="str">
        <f t="shared" si="70"/>
        <v>732</v>
      </c>
      <c r="C4529" s="14" t="s">
        <v>5821</v>
      </c>
      <c r="D4529" s="13" t="str">
        <f>IF(RIGHT(A4529,3)="000",C4529,VLOOKUP(B4529,'Справочник ИХ'!A:C,3,0))</f>
        <v>Остальные грузы</v>
      </c>
      <c r="E4529" s="13">
        <f>IF(RIGHT(A4529,3)="000","х",VLOOKUP(B4529,'Справочник ИХ'!A:D,4,0))</f>
        <v>3</v>
      </c>
      <c r="F4529" s="14" t="s">
        <v>5495</v>
      </c>
    </row>
    <row r="4530" spans="1:6" ht="31.75">
      <c r="A4530" s="23">
        <v>73215</v>
      </c>
      <c r="B4530" s="12" t="str">
        <f t="shared" si="70"/>
        <v>732</v>
      </c>
      <c r="C4530" s="14" t="s">
        <v>5822</v>
      </c>
      <c r="D4530" s="13" t="str">
        <f>IF(RIGHT(A4530,3)="000",C4530,VLOOKUP(B4530,'Справочник ИХ'!A:C,3,0))</f>
        <v>Остальные грузы</v>
      </c>
      <c r="E4530" s="13">
        <f>IF(RIGHT(A4530,3)="000","х",VLOOKUP(B4530,'Справочник ИХ'!A:D,4,0))</f>
        <v>3</v>
      </c>
      <c r="F4530" s="14" t="s">
        <v>5495</v>
      </c>
    </row>
    <row r="4531" spans="1:6" ht="31.75">
      <c r="A4531" s="23">
        <v>73216</v>
      </c>
      <c r="B4531" s="12" t="str">
        <f t="shared" si="70"/>
        <v>732</v>
      </c>
      <c r="C4531" s="14" t="s">
        <v>5823</v>
      </c>
      <c r="D4531" s="13" t="str">
        <f>IF(RIGHT(A4531,3)="000",C4531,VLOOKUP(B4531,'Справочник ИХ'!A:C,3,0))</f>
        <v>Остальные грузы</v>
      </c>
      <c r="E4531" s="13">
        <f>IF(RIGHT(A4531,3)="000","х",VLOOKUP(B4531,'Справочник ИХ'!A:D,4,0))</f>
        <v>3</v>
      </c>
      <c r="F4531" s="14" t="s">
        <v>5495</v>
      </c>
    </row>
    <row r="4532" spans="1:6" ht="31.75">
      <c r="A4532" s="23">
        <v>73217</v>
      </c>
      <c r="B4532" s="12" t="str">
        <f t="shared" si="70"/>
        <v>732</v>
      </c>
      <c r="C4532" s="14" t="s">
        <v>5824</v>
      </c>
      <c r="D4532" s="13" t="str">
        <f>IF(RIGHT(A4532,3)="000",C4532,VLOOKUP(B4532,'Справочник ИХ'!A:C,3,0))</f>
        <v>Остальные грузы</v>
      </c>
      <c r="E4532" s="13">
        <f>IF(RIGHT(A4532,3)="000","х",VLOOKUP(B4532,'Справочник ИХ'!A:D,4,0))</f>
        <v>3</v>
      </c>
      <c r="F4532" s="14" t="s">
        <v>5495</v>
      </c>
    </row>
    <row r="4533" spans="1:6" ht="31.75">
      <c r="A4533" s="23">
        <v>73218</v>
      </c>
      <c r="B4533" s="12" t="str">
        <f t="shared" si="70"/>
        <v>732</v>
      </c>
      <c r="C4533" s="14" t="s">
        <v>5825</v>
      </c>
      <c r="D4533" s="13" t="str">
        <f>IF(RIGHT(A4533,3)="000",C4533,VLOOKUP(B4533,'Справочник ИХ'!A:C,3,0))</f>
        <v>Остальные грузы</v>
      </c>
      <c r="E4533" s="13">
        <f>IF(RIGHT(A4533,3)="000","х",VLOOKUP(B4533,'Справочник ИХ'!A:D,4,0))</f>
        <v>3</v>
      </c>
      <c r="F4533" s="14" t="s">
        <v>5495</v>
      </c>
    </row>
    <row r="4534" spans="1:6" ht="31.75">
      <c r="A4534" s="23">
        <v>73219</v>
      </c>
      <c r="B4534" s="12" t="str">
        <f t="shared" si="70"/>
        <v>732</v>
      </c>
      <c r="C4534" s="14" t="s">
        <v>5826</v>
      </c>
      <c r="D4534" s="13" t="str">
        <f>IF(RIGHT(A4534,3)="000",C4534,VLOOKUP(B4534,'Справочник ИХ'!A:C,3,0))</f>
        <v>Остальные грузы</v>
      </c>
      <c r="E4534" s="13">
        <f>IF(RIGHT(A4534,3)="000","х",VLOOKUP(B4534,'Справочник ИХ'!A:D,4,0))</f>
        <v>3</v>
      </c>
      <c r="F4534" s="14" t="s">
        <v>5495</v>
      </c>
    </row>
    <row r="4535" spans="1:6" s="15" customFormat="1" ht="47.6">
      <c r="A4535" s="33">
        <v>74000</v>
      </c>
      <c r="B4535" s="12" t="str">
        <f t="shared" si="70"/>
        <v>740</v>
      </c>
      <c r="C4535" s="15" t="s">
        <v>5827</v>
      </c>
      <c r="D4535" s="13" t="str">
        <f>IF(RIGHT(A4535,3)="000",C4535,VLOOKUP(B4535,'Справочник ИХ'!A:C,3,0))</f>
        <v>Кремнийсодержащие и прочие органические соединения</v>
      </c>
      <c r="E4535" s="13" t="str">
        <f>IF(RIGHT(A4535,3)="000","х",VLOOKUP(B4535,'Справочник ИХ'!A:D,4,0))</f>
        <v>х</v>
      </c>
      <c r="F4535" s="14" t="s">
        <v>5495</v>
      </c>
    </row>
    <row r="4536" spans="1:6" s="18" customFormat="1" ht="31.75">
      <c r="A4536" s="34" t="s">
        <v>5828</v>
      </c>
      <c r="B4536" s="12" t="str">
        <f t="shared" si="70"/>
        <v>741</v>
      </c>
      <c r="C4536" s="18" t="s">
        <v>5829</v>
      </c>
      <c r="D4536" s="13" t="str">
        <f>IF(RIGHT(A4536,3)="000",C4536,VLOOKUP(B4536,'Справочник ИХ'!A:C,3,0))</f>
        <v>Остальные грузы</v>
      </c>
      <c r="E4536" s="13">
        <f>IF(RIGHT(A4536,3)="000","х",VLOOKUP(B4536,'Справочник ИХ'!A:D,4,0))</f>
        <v>3</v>
      </c>
      <c r="F4536" s="14" t="s">
        <v>5495</v>
      </c>
    </row>
    <row r="4537" spans="1:6" ht="31.75">
      <c r="A4537" s="23">
        <v>74102</v>
      </c>
      <c r="B4537" s="12" t="str">
        <f t="shared" si="70"/>
        <v>741</v>
      </c>
      <c r="C4537" s="14" t="s">
        <v>5830</v>
      </c>
      <c r="D4537" s="13" t="str">
        <f>IF(RIGHT(A4537,3)="000",C4537,VLOOKUP(B4537,'Справочник ИХ'!A:C,3,0))</f>
        <v>Остальные грузы</v>
      </c>
      <c r="E4537" s="13">
        <f>IF(RIGHT(A4537,3)="000","х",VLOOKUP(B4537,'Справочник ИХ'!A:D,4,0))</f>
        <v>3</v>
      </c>
      <c r="F4537" s="14" t="s">
        <v>5495</v>
      </c>
    </row>
    <row r="4538" spans="1:6" ht="31.75">
      <c r="A4538" s="23">
        <v>74103</v>
      </c>
      <c r="B4538" s="12" t="str">
        <f t="shared" si="70"/>
        <v>741</v>
      </c>
      <c r="C4538" s="14" t="s">
        <v>5831</v>
      </c>
      <c r="D4538" s="13" t="str">
        <f>IF(RIGHT(A4538,3)="000",C4538,VLOOKUP(B4538,'Справочник ИХ'!A:C,3,0))</f>
        <v>Остальные грузы</v>
      </c>
      <c r="E4538" s="13">
        <f>IF(RIGHT(A4538,3)="000","х",VLOOKUP(B4538,'Справочник ИХ'!A:D,4,0))</f>
        <v>3</v>
      </c>
      <c r="F4538" s="14" t="s">
        <v>5495</v>
      </c>
    </row>
    <row r="4539" spans="1:6" ht="31.75">
      <c r="A4539" s="23">
        <v>74105</v>
      </c>
      <c r="B4539" s="12" t="str">
        <f t="shared" si="70"/>
        <v>741</v>
      </c>
      <c r="C4539" s="14" t="s">
        <v>5832</v>
      </c>
      <c r="D4539" s="13" t="str">
        <f>IF(RIGHT(A4539,3)="000",C4539,VLOOKUP(B4539,'Справочник ИХ'!A:C,3,0))</f>
        <v>Остальные грузы</v>
      </c>
      <c r="E4539" s="13">
        <f>IF(RIGHT(A4539,3)="000","х",VLOOKUP(B4539,'Справочник ИХ'!A:D,4,0))</f>
        <v>3</v>
      </c>
      <c r="F4539" s="14" t="s">
        <v>5495</v>
      </c>
    </row>
    <row r="4540" spans="1:6" ht="31.75">
      <c r="A4540" s="23">
        <v>74106</v>
      </c>
      <c r="B4540" s="12" t="str">
        <f t="shared" si="70"/>
        <v>741</v>
      </c>
      <c r="C4540" s="14" t="s">
        <v>5833</v>
      </c>
      <c r="D4540" s="13" t="str">
        <f>IF(RIGHT(A4540,3)="000",C4540,VLOOKUP(B4540,'Справочник ИХ'!A:C,3,0))</f>
        <v>Остальные грузы</v>
      </c>
      <c r="E4540" s="13">
        <f>IF(RIGHT(A4540,3)="000","х",VLOOKUP(B4540,'Справочник ИХ'!A:D,4,0))</f>
        <v>3</v>
      </c>
      <c r="F4540" s="14" t="s">
        <v>5495</v>
      </c>
    </row>
    <row r="4541" spans="1:6" ht="31.75">
      <c r="A4541" s="23">
        <v>74107</v>
      </c>
      <c r="B4541" s="12" t="str">
        <f t="shared" si="70"/>
        <v>741</v>
      </c>
      <c r="C4541" s="14" t="s">
        <v>5834</v>
      </c>
      <c r="D4541" s="13" t="str">
        <f>IF(RIGHT(A4541,3)="000",C4541,VLOOKUP(B4541,'Справочник ИХ'!A:C,3,0))</f>
        <v>Остальные грузы</v>
      </c>
      <c r="E4541" s="13">
        <f>IF(RIGHT(A4541,3)="000","х",VLOOKUP(B4541,'Справочник ИХ'!A:D,4,0))</f>
        <v>3</v>
      </c>
      <c r="F4541" s="14" t="s">
        <v>5495</v>
      </c>
    </row>
    <row r="4542" spans="1:6" ht="31.75">
      <c r="A4542" s="23">
        <v>74108</v>
      </c>
      <c r="B4542" s="12" t="str">
        <f t="shared" si="70"/>
        <v>741</v>
      </c>
      <c r="C4542" s="14" t="s">
        <v>5835</v>
      </c>
      <c r="D4542" s="13" t="str">
        <f>IF(RIGHT(A4542,3)="000",C4542,VLOOKUP(B4542,'Справочник ИХ'!A:C,3,0))</f>
        <v>Остальные грузы</v>
      </c>
      <c r="E4542" s="13">
        <f>IF(RIGHT(A4542,3)="000","х",VLOOKUP(B4542,'Справочник ИХ'!A:D,4,0))</f>
        <v>3</v>
      </c>
      <c r="F4542" s="14" t="s">
        <v>5495</v>
      </c>
    </row>
    <row r="4543" spans="1:6" ht="31.75">
      <c r="A4543" s="23">
        <v>74110</v>
      </c>
      <c r="B4543" s="12" t="str">
        <f t="shared" si="70"/>
        <v>741</v>
      </c>
      <c r="C4543" s="14" t="s">
        <v>5836</v>
      </c>
      <c r="D4543" s="13" t="str">
        <f>IF(RIGHT(A4543,3)="000",C4543,VLOOKUP(B4543,'Справочник ИХ'!A:C,3,0))</f>
        <v>Остальные грузы</v>
      </c>
      <c r="E4543" s="13">
        <f>IF(RIGHT(A4543,3)="000","х",VLOOKUP(B4543,'Справочник ИХ'!A:D,4,0))</f>
        <v>3</v>
      </c>
      <c r="F4543" s="14" t="s">
        <v>5495</v>
      </c>
    </row>
    <row r="4544" spans="1:6" ht="31.75">
      <c r="A4544" s="23">
        <v>74111</v>
      </c>
      <c r="B4544" s="12" t="str">
        <f t="shared" si="70"/>
        <v>741</v>
      </c>
      <c r="C4544" s="14" t="s">
        <v>5837</v>
      </c>
      <c r="D4544" s="13" t="str">
        <f>IF(RIGHT(A4544,3)="000",C4544,VLOOKUP(B4544,'Справочник ИХ'!A:C,3,0))</f>
        <v>Остальные грузы</v>
      </c>
      <c r="E4544" s="13">
        <f>IF(RIGHT(A4544,3)="000","х",VLOOKUP(B4544,'Справочник ИХ'!A:D,4,0))</f>
        <v>3</v>
      </c>
      <c r="F4544" s="14" t="s">
        <v>5495</v>
      </c>
    </row>
    <row r="4545" spans="1:6" ht="31.75">
      <c r="A4545" s="23">
        <v>74112</v>
      </c>
      <c r="B4545" s="12" t="str">
        <f t="shared" si="70"/>
        <v>741</v>
      </c>
      <c r="C4545" s="14" t="s">
        <v>5838</v>
      </c>
      <c r="D4545" s="13" t="str">
        <f>IF(RIGHT(A4545,3)="000",C4545,VLOOKUP(B4545,'Справочник ИХ'!A:C,3,0))</f>
        <v>Остальные грузы</v>
      </c>
      <c r="E4545" s="13">
        <f>IF(RIGHT(A4545,3)="000","х",VLOOKUP(B4545,'Справочник ИХ'!A:D,4,0))</f>
        <v>3</v>
      </c>
      <c r="F4545" s="14" t="s">
        <v>5495</v>
      </c>
    </row>
    <row r="4546" spans="1:6" ht="31.75">
      <c r="A4546" s="23">
        <v>74114</v>
      </c>
      <c r="B4546" s="12" t="str">
        <f t="shared" si="70"/>
        <v>741</v>
      </c>
      <c r="C4546" s="14" t="s">
        <v>5839</v>
      </c>
      <c r="D4546" s="13" t="str">
        <f>IF(RIGHT(A4546,3)="000",C4546,VLOOKUP(B4546,'Справочник ИХ'!A:C,3,0))</f>
        <v>Остальные грузы</v>
      </c>
      <c r="E4546" s="13">
        <f>IF(RIGHT(A4546,3)="000","х",VLOOKUP(B4546,'Справочник ИХ'!A:D,4,0))</f>
        <v>3</v>
      </c>
      <c r="F4546" s="14" t="s">
        <v>5495</v>
      </c>
    </row>
    <row r="4547" spans="1:6" ht="31.75">
      <c r="A4547" s="23">
        <v>74115</v>
      </c>
      <c r="B4547" s="12" t="str">
        <f t="shared" si="70"/>
        <v>741</v>
      </c>
      <c r="C4547" s="14" t="s">
        <v>5840</v>
      </c>
      <c r="D4547" s="13" t="str">
        <f>IF(RIGHT(A4547,3)="000",C4547,VLOOKUP(B4547,'Справочник ИХ'!A:C,3,0))</f>
        <v>Остальные грузы</v>
      </c>
      <c r="E4547" s="13">
        <f>IF(RIGHT(A4547,3)="000","х",VLOOKUP(B4547,'Справочник ИХ'!A:D,4,0))</f>
        <v>3</v>
      </c>
      <c r="F4547" s="14" t="s">
        <v>5495</v>
      </c>
    </row>
    <row r="4548" spans="1:6" ht="31.75">
      <c r="A4548" s="23">
        <v>74116</v>
      </c>
      <c r="B4548" s="12" t="str">
        <f t="shared" si="70"/>
        <v>741</v>
      </c>
      <c r="C4548" s="14" t="s">
        <v>5841</v>
      </c>
      <c r="D4548" s="13" t="str">
        <f>IF(RIGHT(A4548,3)="000",C4548,VLOOKUP(B4548,'Справочник ИХ'!A:C,3,0))</f>
        <v>Остальные грузы</v>
      </c>
      <c r="E4548" s="13">
        <f>IF(RIGHT(A4548,3)="000","х",VLOOKUP(B4548,'Справочник ИХ'!A:D,4,0))</f>
        <v>3</v>
      </c>
      <c r="F4548" s="14" t="s">
        <v>5495</v>
      </c>
    </row>
    <row r="4549" spans="1:6" ht="31.75">
      <c r="A4549" s="23">
        <v>74117</v>
      </c>
      <c r="B4549" s="12" t="str">
        <f t="shared" ref="B4549:B4612" si="71">LEFT(A4549,3)</f>
        <v>741</v>
      </c>
      <c r="C4549" s="14" t="s">
        <v>5842</v>
      </c>
      <c r="D4549" s="13" t="str">
        <f>IF(RIGHT(A4549,3)="000",C4549,VLOOKUP(B4549,'Справочник ИХ'!A:C,3,0))</f>
        <v>Остальные грузы</v>
      </c>
      <c r="E4549" s="13">
        <f>IF(RIGHT(A4549,3)="000","х",VLOOKUP(B4549,'Справочник ИХ'!A:D,4,0))</f>
        <v>3</v>
      </c>
      <c r="F4549" s="14" t="s">
        <v>5495</v>
      </c>
    </row>
    <row r="4550" spans="1:6" ht="31.75">
      <c r="A4550" s="23">
        <v>74118</v>
      </c>
      <c r="B4550" s="12" t="str">
        <f t="shared" si="71"/>
        <v>741</v>
      </c>
      <c r="C4550" s="14" t="s">
        <v>5843</v>
      </c>
      <c r="D4550" s="13" t="str">
        <f>IF(RIGHT(A4550,3)="000",C4550,VLOOKUP(B4550,'Справочник ИХ'!A:C,3,0))</f>
        <v>Остальные грузы</v>
      </c>
      <c r="E4550" s="13">
        <f>IF(RIGHT(A4550,3)="000","х",VLOOKUP(B4550,'Справочник ИХ'!A:D,4,0))</f>
        <v>3</v>
      </c>
      <c r="F4550" s="14" t="s">
        <v>5495</v>
      </c>
    </row>
    <row r="4551" spans="1:6" ht="31.75">
      <c r="A4551" s="23">
        <v>74119</v>
      </c>
      <c r="B4551" s="12" t="str">
        <f t="shared" si="71"/>
        <v>741</v>
      </c>
      <c r="C4551" s="14" t="s">
        <v>5844</v>
      </c>
      <c r="D4551" s="13" t="str">
        <f>IF(RIGHT(A4551,3)="000",C4551,VLOOKUP(B4551,'Справочник ИХ'!A:C,3,0))</f>
        <v>Остальные грузы</v>
      </c>
      <c r="E4551" s="13">
        <f>IF(RIGHT(A4551,3)="000","х",VLOOKUP(B4551,'Справочник ИХ'!A:D,4,0))</f>
        <v>3</v>
      </c>
      <c r="F4551" s="14" t="s">
        <v>5495</v>
      </c>
    </row>
    <row r="4552" spans="1:6" ht="31.75">
      <c r="A4552" s="23">
        <v>74120</v>
      </c>
      <c r="B4552" s="12" t="str">
        <f t="shared" si="71"/>
        <v>741</v>
      </c>
      <c r="C4552" s="14" t="s">
        <v>5845</v>
      </c>
      <c r="D4552" s="13" t="str">
        <f>IF(RIGHT(A4552,3)="000",C4552,VLOOKUP(B4552,'Справочник ИХ'!A:C,3,0))</f>
        <v>Остальные грузы</v>
      </c>
      <c r="E4552" s="13">
        <f>IF(RIGHT(A4552,3)="000","х",VLOOKUP(B4552,'Справочник ИХ'!A:D,4,0))</f>
        <v>3</v>
      </c>
      <c r="F4552" s="14" t="s">
        <v>5495</v>
      </c>
    </row>
    <row r="4553" spans="1:6" ht="31.75">
      <c r="A4553" s="23">
        <v>74121</v>
      </c>
      <c r="B4553" s="12" t="str">
        <f t="shared" si="71"/>
        <v>741</v>
      </c>
      <c r="C4553" s="14" t="s">
        <v>5846</v>
      </c>
      <c r="D4553" s="13" t="str">
        <f>IF(RIGHT(A4553,3)="000",C4553,VLOOKUP(B4553,'Справочник ИХ'!A:C,3,0))</f>
        <v>Остальные грузы</v>
      </c>
      <c r="E4553" s="13">
        <f>IF(RIGHT(A4553,3)="000","х",VLOOKUP(B4553,'Справочник ИХ'!A:D,4,0))</f>
        <v>3</v>
      </c>
      <c r="F4553" s="14" t="s">
        <v>5495</v>
      </c>
    </row>
    <row r="4554" spans="1:6" ht="31.75">
      <c r="A4554" s="23">
        <v>74122</v>
      </c>
      <c r="B4554" s="12" t="str">
        <f t="shared" si="71"/>
        <v>741</v>
      </c>
      <c r="C4554" s="14" t="s">
        <v>5847</v>
      </c>
      <c r="D4554" s="13" t="str">
        <f>IF(RIGHT(A4554,3)="000",C4554,VLOOKUP(B4554,'Справочник ИХ'!A:C,3,0))</f>
        <v>Остальные грузы</v>
      </c>
      <c r="E4554" s="13">
        <f>IF(RIGHT(A4554,3)="000","х",VLOOKUP(B4554,'Справочник ИХ'!A:D,4,0))</f>
        <v>3</v>
      </c>
      <c r="F4554" s="14" t="s">
        <v>5495</v>
      </c>
    </row>
    <row r="4555" spans="1:6" ht="31.75">
      <c r="A4555" s="23">
        <v>74124</v>
      </c>
      <c r="B4555" s="12" t="str">
        <f t="shared" si="71"/>
        <v>741</v>
      </c>
      <c r="C4555" s="14" t="s">
        <v>5848</v>
      </c>
      <c r="D4555" s="13" t="str">
        <f>IF(RIGHT(A4555,3)="000",C4555,VLOOKUP(B4555,'Справочник ИХ'!A:C,3,0))</f>
        <v>Остальные грузы</v>
      </c>
      <c r="E4555" s="13">
        <f>IF(RIGHT(A4555,3)="000","х",VLOOKUP(B4555,'Справочник ИХ'!A:D,4,0))</f>
        <v>3</v>
      </c>
      <c r="F4555" s="14" t="s">
        <v>5495</v>
      </c>
    </row>
    <row r="4556" spans="1:6" ht="31.75">
      <c r="A4556" s="23">
        <v>74125</v>
      </c>
      <c r="B4556" s="12" t="str">
        <f t="shared" si="71"/>
        <v>741</v>
      </c>
      <c r="C4556" s="14" t="s">
        <v>5849</v>
      </c>
      <c r="D4556" s="13" t="str">
        <f>IF(RIGHT(A4556,3)="000",C4556,VLOOKUP(B4556,'Справочник ИХ'!A:C,3,0))</f>
        <v>Остальные грузы</v>
      </c>
      <c r="E4556" s="13">
        <f>IF(RIGHT(A4556,3)="000","х",VLOOKUP(B4556,'Справочник ИХ'!A:D,4,0))</f>
        <v>3</v>
      </c>
      <c r="F4556" s="14" t="s">
        <v>5495</v>
      </c>
    </row>
    <row r="4557" spans="1:6" ht="31.75">
      <c r="A4557" s="23">
        <v>74126</v>
      </c>
      <c r="B4557" s="12" t="str">
        <f t="shared" si="71"/>
        <v>741</v>
      </c>
      <c r="C4557" s="14" t="s">
        <v>5850</v>
      </c>
      <c r="D4557" s="13" t="str">
        <f>IF(RIGHT(A4557,3)="000",C4557,VLOOKUP(B4557,'Справочник ИХ'!A:C,3,0))</f>
        <v>Остальные грузы</v>
      </c>
      <c r="E4557" s="13">
        <f>IF(RIGHT(A4557,3)="000","х",VLOOKUP(B4557,'Справочник ИХ'!A:D,4,0))</f>
        <v>3</v>
      </c>
      <c r="F4557" s="14" t="s">
        <v>5495</v>
      </c>
    </row>
    <row r="4558" spans="1:6" ht="31.75">
      <c r="A4558" s="23">
        <v>74128</v>
      </c>
      <c r="B4558" s="12" t="str">
        <f t="shared" si="71"/>
        <v>741</v>
      </c>
      <c r="C4558" s="14" t="s">
        <v>5851</v>
      </c>
      <c r="D4558" s="13" t="str">
        <f>IF(RIGHT(A4558,3)="000",C4558,VLOOKUP(B4558,'Справочник ИХ'!A:C,3,0))</f>
        <v>Остальные грузы</v>
      </c>
      <c r="E4558" s="13">
        <f>IF(RIGHT(A4558,3)="000","х",VLOOKUP(B4558,'Справочник ИХ'!A:D,4,0))</f>
        <v>3</v>
      </c>
      <c r="F4558" s="14" t="s">
        <v>5495</v>
      </c>
    </row>
    <row r="4559" spans="1:6" ht="31.75">
      <c r="A4559" s="23">
        <v>74129</v>
      </c>
      <c r="B4559" s="12" t="str">
        <f t="shared" si="71"/>
        <v>741</v>
      </c>
      <c r="C4559" s="14" t="s">
        <v>5852</v>
      </c>
      <c r="D4559" s="13" t="str">
        <f>IF(RIGHT(A4559,3)="000",C4559,VLOOKUP(B4559,'Справочник ИХ'!A:C,3,0))</f>
        <v>Остальные грузы</v>
      </c>
      <c r="E4559" s="13">
        <f>IF(RIGHT(A4559,3)="000","х",VLOOKUP(B4559,'Справочник ИХ'!A:D,4,0))</f>
        <v>3</v>
      </c>
      <c r="F4559" s="14" t="s">
        <v>5495</v>
      </c>
    </row>
    <row r="4560" spans="1:6" ht="31.75">
      <c r="A4560" s="23">
        <v>74130</v>
      </c>
      <c r="B4560" s="12" t="str">
        <f t="shared" si="71"/>
        <v>741</v>
      </c>
      <c r="C4560" s="14" t="s">
        <v>5853</v>
      </c>
      <c r="D4560" s="13" t="str">
        <f>IF(RIGHT(A4560,3)="000",C4560,VLOOKUP(B4560,'Справочник ИХ'!A:C,3,0))</f>
        <v>Остальные грузы</v>
      </c>
      <c r="E4560" s="13">
        <f>IF(RIGHT(A4560,3)="000","х",VLOOKUP(B4560,'Справочник ИХ'!A:D,4,0))</f>
        <v>3</v>
      </c>
      <c r="F4560" s="14" t="s">
        <v>5495</v>
      </c>
    </row>
    <row r="4561" spans="1:6" ht="31.75">
      <c r="A4561" s="23">
        <v>74132</v>
      </c>
      <c r="B4561" s="12" t="str">
        <f t="shared" si="71"/>
        <v>741</v>
      </c>
      <c r="C4561" s="14" t="s">
        <v>5854</v>
      </c>
      <c r="D4561" s="13" t="str">
        <f>IF(RIGHT(A4561,3)="000",C4561,VLOOKUP(B4561,'Справочник ИХ'!A:C,3,0))</f>
        <v>Остальные грузы</v>
      </c>
      <c r="E4561" s="13">
        <f>IF(RIGHT(A4561,3)="000","х",VLOOKUP(B4561,'Справочник ИХ'!A:D,4,0))</f>
        <v>3</v>
      </c>
      <c r="F4561" s="14" t="s">
        <v>5495</v>
      </c>
    </row>
    <row r="4562" spans="1:6" ht="31.75">
      <c r="A4562" s="23">
        <v>74133</v>
      </c>
      <c r="B4562" s="12" t="str">
        <f t="shared" si="71"/>
        <v>741</v>
      </c>
      <c r="C4562" s="14" t="s">
        <v>5855</v>
      </c>
      <c r="D4562" s="13" t="str">
        <f>IF(RIGHT(A4562,3)="000",C4562,VLOOKUP(B4562,'Справочник ИХ'!A:C,3,0))</f>
        <v>Остальные грузы</v>
      </c>
      <c r="E4562" s="13">
        <f>IF(RIGHT(A4562,3)="000","х",VLOOKUP(B4562,'Справочник ИХ'!A:D,4,0))</f>
        <v>3</v>
      </c>
      <c r="F4562" s="14" t="s">
        <v>5495</v>
      </c>
    </row>
    <row r="4563" spans="1:6" ht="31.75">
      <c r="A4563" s="23">
        <v>74134</v>
      </c>
      <c r="B4563" s="12" t="str">
        <f t="shared" si="71"/>
        <v>741</v>
      </c>
      <c r="C4563" s="14" t="s">
        <v>5856</v>
      </c>
      <c r="D4563" s="13" t="str">
        <f>IF(RIGHT(A4563,3)="000",C4563,VLOOKUP(B4563,'Справочник ИХ'!A:C,3,0))</f>
        <v>Остальные грузы</v>
      </c>
      <c r="E4563" s="13">
        <f>IF(RIGHT(A4563,3)="000","х",VLOOKUP(B4563,'Справочник ИХ'!A:D,4,0))</f>
        <v>3</v>
      </c>
      <c r="F4563" s="14" t="s">
        <v>5495</v>
      </c>
    </row>
    <row r="4564" spans="1:6" ht="31.75">
      <c r="A4564" s="23">
        <v>74135</v>
      </c>
      <c r="B4564" s="12" t="str">
        <f t="shared" si="71"/>
        <v>741</v>
      </c>
      <c r="C4564" s="14" t="s">
        <v>5857</v>
      </c>
      <c r="D4564" s="13" t="str">
        <f>IF(RIGHT(A4564,3)="000",C4564,VLOOKUP(B4564,'Справочник ИХ'!A:C,3,0))</f>
        <v>Остальные грузы</v>
      </c>
      <c r="E4564" s="13">
        <f>IF(RIGHT(A4564,3)="000","х",VLOOKUP(B4564,'Справочник ИХ'!A:D,4,0))</f>
        <v>3</v>
      </c>
      <c r="F4564" s="14" t="s">
        <v>5495</v>
      </c>
    </row>
    <row r="4565" spans="1:6" s="18" customFormat="1" ht="31.75">
      <c r="A4565" s="34" t="s">
        <v>5858</v>
      </c>
      <c r="B4565" s="12" t="str">
        <f t="shared" si="71"/>
        <v>742</v>
      </c>
      <c r="C4565" s="18" t="s">
        <v>5859</v>
      </c>
      <c r="D4565" s="13" t="str">
        <f>IF(RIGHT(A4565,3)="000",C4565,VLOOKUP(B4565,'Справочник ИХ'!A:C,3,0))</f>
        <v>Остальные грузы</v>
      </c>
      <c r="E4565" s="13">
        <f>IF(RIGHT(A4565,3)="000","х",VLOOKUP(B4565,'Справочник ИХ'!A:D,4,0))</f>
        <v>3</v>
      </c>
      <c r="F4565" s="14" t="s">
        <v>5495</v>
      </c>
    </row>
    <row r="4566" spans="1:6" ht="31.75">
      <c r="A4566" s="23">
        <v>74201</v>
      </c>
      <c r="B4566" s="12" t="str">
        <f t="shared" si="71"/>
        <v>742</v>
      </c>
      <c r="C4566" s="14" t="s">
        <v>5860</v>
      </c>
      <c r="D4566" s="13" t="str">
        <f>IF(RIGHT(A4566,3)="000",C4566,VLOOKUP(B4566,'Справочник ИХ'!A:C,3,0))</f>
        <v>Остальные грузы</v>
      </c>
      <c r="E4566" s="13">
        <f>IF(RIGHT(A4566,3)="000","х",VLOOKUP(B4566,'Справочник ИХ'!A:D,4,0))</f>
        <v>3</v>
      </c>
      <c r="F4566" s="14" t="s">
        <v>5495</v>
      </c>
    </row>
    <row r="4567" spans="1:6" ht="31.75">
      <c r="A4567" s="23">
        <v>74202</v>
      </c>
      <c r="B4567" s="12" t="str">
        <f t="shared" si="71"/>
        <v>742</v>
      </c>
      <c r="C4567" s="14" t="s">
        <v>5861</v>
      </c>
      <c r="D4567" s="13" t="str">
        <f>IF(RIGHT(A4567,3)="000",C4567,VLOOKUP(B4567,'Справочник ИХ'!A:C,3,0))</f>
        <v>Остальные грузы</v>
      </c>
      <c r="E4567" s="13">
        <f>IF(RIGHT(A4567,3)="000","х",VLOOKUP(B4567,'Справочник ИХ'!A:D,4,0))</f>
        <v>3</v>
      </c>
      <c r="F4567" s="14" t="s">
        <v>5495</v>
      </c>
    </row>
    <row r="4568" spans="1:6" ht="31.75">
      <c r="A4568" s="23">
        <v>74203</v>
      </c>
      <c r="B4568" s="12" t="str">
        <f t="shared" si="71"/>
        <v>742</v>
      </c>
      <c r="C4568" s="14" t="s">
        <v>5862</v>
      </c>
      <c r="D4568" s="13" t="str">
        <f>IF(RIGHT(A4568,3)="000",C4568,VLOOKUP(B4568,'Справочник ИХ'!A:C,3,0))</f>
        <v>Остальные грузы</v>
      </c>
      <c r="E4568" s="13">
        <f>IF(RIGHT(A4568,3)="000","х",VLOOKUP(B4568,'Справочник ИХ'!A:D,4,0))</f>
        <v>3</v>
      </c>
      <c r="F4568" s="14" t="s">
        <v>5495</v>
      </c>
    </row>
    <row r="4569" spans="1:6" ht="31.75">
      <c r="A4569" s="23">
        <v>74204</v>
      </c>
      <c r="B4569" s="12" t="str">
        <f t="shared" si="71"/>
        <v>742</v>
      </c>
      <c r="C4569" s="14" t="s">
        <v>5863</v>
      </c>
      <c r="D4569" s="13" t="str">
        <f>IF(RIGHT(A4569,3)="000",C4569,VLOOKUP(B4569,'Справочник ИХ'!A:C,3,0))</f>
        <v>Остальные грузы</v>
      </c>
      <c r="E4569" s="13">
        <f>IF(RIGHT(A4569,3)="000","х",VLOOKUP(B4569,'Справочник ИХ'!A:D,4,0))</f>
        <v>3</v>
      </c>
      <c r="F4569" s="14" t="s">
        <v>5495</v>
      </c>
    </row>
    <row r="4570" spans="1:6" ht="31.75">
      <c r="A4570" s="23">
        <v>74205</v>
      </c>
      <c r="B4570" s="12" t="str">
        <f t="shared" si="71"/>
        <v>742</v>
      </c>
      <c r="C4570" s="14" t="s">
        <v>5864</v>
      </c>
      <c r="D4570" s="13" t="str">
        <f>IF(RIGHT(A4570,3)="000",C4570,VLOOKUP(B4570,'Справочник ИХ'!A:C,3,0))</f>
        <v>Остальные грузы</v>
      </c>
      <c r="E4570" s="13">
        <f>IF(RIGHT(A4570,3)="000","х",VLOOKUP(B4570,'Справочник ИХ'!A:D,4,0))</f>
        <v>3</v>
      </c>
      <c r="F4570" s="14" t="s">
        <v>5495</v>
      </c>
    </row>
    <row r="4571" spans="1:6" ht="31.75">
      <c r="A4571" s="23">
        <v>74206</v>
      </c>
      <c r="B4571" s="12" t="str">
        <f t="shared" si="71"/>
        <v>742</v>
      </c>
      <c r="C4571" s="14" t="s">
        <v>5865</v>
      </c>
      <c r="D4571" s="13" t="str">
        <f>IF(RIGHT(A4571,3)="000",C4571,VLOOKUP(B4571,'Справочник ИХ'!A:C,3,0))</f>
        <v>Остальные грузы</v>
      </c>
      <c r="E4571" s="13">
        <f>IF(RIGHT(A4571,3)="000","х",VLOOKUP(B4571,'Справочник ИХ'!A:D,4,0))</f>
        <v>3</v>
      </c>
      <c r="F4571" s="14" t="s">
        <v>5495</v>
      </c>
    </row>
    <row r="4572" spans="1:6" ht="31.75">
      <c r="A4572" s="23">
        <v>74208</v>
      </c>
      <c r="B4572" s="12" t="str">
        <f t="shared" si="71"/>
        <v>742</v>
      </c>
      <c r="C4572" s="14" t="s">
        <v>5866</v>
      </c>
      <c r="D4572" s="13" t="str">
        <f>IF(RIGHT(A4572,3)="000",C4572,VLOOKUP(B4572,'Справочник ИХ'!A:C,3,0))</f>
        <v>Остальные грузы</v>
      </c>
      <c r="E4572" s="13">
        <f>IF(RIGHT(A4572,3)="000","х",VLOOKUP(B4572,'Справочник ИХ'!A:D,4,0))</f>
        <v>3</v>
      </c>
      <c r="F4572" s="14" t="s">
        <v>5495</v>
      </c>
    </row>
    <row r="4573" spans="1:6" ht="31.75">
      <c r="A4573" s="23">
        <v>74209</v>
      </c>
      <c r="B4573" s="12" t="str">
        <f t="shared" si="71"/>
        <v>742</v>
      </c>
      <c r="C4573" s="14" t="s">
        <v>5867</v>
      </c>
      <c r="D4573" s="13" t="str">
        <f>IF(RIGHT(A4573,3)="000",C4573,VLOOKUP(B4573,'Справочник ИХ'!A:C,3,0))</f>
        <v>Остальные грузы</v>
      </c>
      <c r="E4573" s="13">
        <f>IF(RIGHT(A4573,3)="000","х",VLOOKUP(B4573,'Справочник ИХ'!A:D,4,0))</f>
        <v>3</v>
      </c>
      <c r="F4573" s="14" t="s">
        <v>5495</v>
      </c>
    </row>
    <row r="4574" spans="1:6" ht="31.75">
      <c r="A4574" s="23">
        <v>74211</v>
      </c>
      <c r="B4574" s="12" t="str">
        <f t="shared" si="71"/>
        <v>742</v>
      </c>
      <c r="C4574" s="14" t="s">
        <v>5868</v>
      </c>
      <c r="D4574" s="13" t="str">
        <f>IF(RIGHT(A4574,3)="000",C4574,VLOOKUP(B4574,'Справочник ИХ'!A:C,3,0))</f>
        <v>Остальные грузы</v>
      </c>
      <c r="E4574" s="13">
        <f>IF(RIGHT(A4574,3)="000","х",VLOOKUP(B4574,'Справочник ИХ'!A:D,4,0))</f>
        <v>3</v>
      </c>
      <c r="F4574" s="14" t="s">
        <v>5495</v>
      </c>
    </row>
    <row r="4575" spans="1:6" ht="31.75">
      <c r="A4575" s="23">
        <v>74212</v>
      </c>
      <c r="B4575" s="12" t="str">
        <f t="shared" si="71"/>
        <v>742</v>
      </c>
      <c r="C4575" s="14" t="s">
        <v>5869</v>
      </c>
      <c r="D4575" s="13" t="str">
        <f>IF(RIGHT(A4575,3)="000",C4575,VLOOKUP(B4575,'Справочник ИХ'!A:C,3,0))</f>
        <v>Остальные грузы</v>
      </c>
      <c r="E4575" s="13">
        <f>IF(RIGHT(A4575,3)="000","х",VLOOKUP(B4575,'Справочник ИХ'!A:D,4,0))</f>
        <v>3</v>
      </c>
      <c r="F4575" s="14" t="s">
        <v>5495</v>
      </c>
    </row>
    <row r="4576" spans="1:6" ht="31.75">
      <c r="A4576" s="23">
        <v>74213</v>
      </c>
      <c r="B4576" s="12" t="str">
        <f t="shared" si="71"/>
        <v>742</v>
      </c>
      <c r="C4576" s="14" t="s">
        <v>5870</v>
      </c>
      <c r="D4576" s="13" t="str">
        <f>IF(RIGHT(A4576,3)="000",C4576,VLOOKUP(B4576,'Справочник ИХ'!A:C,3,0))</f>
        <v>Остальные грузы</v>
      </c>
      <c r="E4576" s="13">
        <f>IF(RIGHT(A4576,3)="000","х",VLOOKUP(B4576,'Справочник ИХ'!A:D,4,0))</f>
        <v>3</v>
      </c>
      <c r="F4576" s="14" t="s">
        <v>5495</v>
      </c>
    </row>
    <row r="4577" spans="1:6" ht="31.75">
      <c r="A4577" s="23">
        <v>74215</v>
      </c>
      <c r="B4577" s="12" t="str">
        <f t="shared" si="71"/>
        <v>742</v>
      </c>
      <c r="C4577" s="14" t="s">
        <v>5871</v>
      </c>
      <c r="D4577" s="13" t="str">
        <f>IF(RIGHT(A4577,3)="000",C4577,VLOOKUP(B4577,'Справочник ИХ'!A:C,3,0))</f>
        <v>Остальные грузы</v>
      </c>
      <c r="E4577" s="13">
        <f>IF(RIGHT(A4577,3)="000","х",VLOOKUP(B4577,'Справочник ИХ'!A:D,4,0))</f>
        <v>3</v>
      </c>
      <c r="F4577" s="14" t="s">
        <v>5495</v>
      </c>
    </row>
    <row r="4578" spans="1:6" ht="31.75">
      <c r="A4578" s="23">
        <v>74217</v>
      </c>
      <c r="B4578" s="12" t="str">
        <f t="shared" si="71"/>
        <v>742</v>
      </c>
      <c r="C4578" s="14" t="s">
        <v>5872</v>
      </c>
      <c r="D4578" s="13" t="str">
        <f>IF(RIGHT(A4578,3)="000",C4578,VLOOKUP(B4578,'Справочник ИХ'!A:C,3,0))</f>
        <v>Остальные грузы</v>
      </c>
      <c r="E4578" s="13">
        <f>IF(RIGHT(A4578,3)="000","х",VLOOKUP(B4578,'Справочник ИХ'!A:D,4,0))</f>
        <v>3</v>
      </c>
      <c r="F4578" s="14" t="s">
        <v>5495</v>
      </c>
    </row>
    <row r="4579" spans="1:6" ht="31.75">
      <c r="A4579" s="23">
        <v>74218</v>
      </c>
      <c r="B4579" s="12" t="str">
        <f t="shared" si="71"/>
        <v>742</v>
      </c>
      <c r="C4579" s="14" t="s">
        <v>5873</v>
      </c>
      <c r="D4579" s="13" t="str">
        <f>IF(RIGHT(A4579,3)="000",C4579,VLOOKUP(B4579,'Справочник ИХ'!A:C,3,0))</f>
        <v>Остальные грузы</v>
      </c>
      <c r="E4579" s="13">
        <f>IF(RIGHT(A4579,3)="000","х",VLOOKUP(B4579,'Справочник ИХ'!A:D,4,0))</f>
        <v>3</v>
      </c>
      <c r="F4579" s="14" t="s">
        <v>5495</v>
      </c>
    </row>
    <row r="4580" spans="1:6" ht="31.75">
      <c r="A4580" s="23">
        <v>74219</v>
      </c>
      <c r="B4580" s="12" t="str">
        <f t="shared" si="71"/>
        <v>742</v>
      </c>
      <c r="C4580" s="14" t="s">
        <v>5874</v>
      </c>
      <c r="D4580" s="13" t="str">
        <f>IF(RIGHT(A4580,3)="000",C4580,VLOOKUP(B4580,'Справочник ИХ'!A:C,3,0))</f>
        <v>Остальные грузы</v>
      </c>
      <c r="E4580" s="13">
        <f>IF(RIGHT(A4580,3)="000","х",VLOOKUP(B4580,'Справочник ИХ'!A:D,4,0))</f>
        <v>3</v>
      </c>
      <c r="F4580" s="14" t="s">
        <v>5495</v>
      </c>
    </row>
    <row r="4581" spans="1:6" ht="31.75">
      <c r="A4581" s="23">
        <v>74220</v>
      </c>
      <c r="B4581" s="12" t="str">
        <f t="shared" si="71"/>
        <v>742</v>
      </c>
      <c r="C4581" s="14" t="s">
        <v>5875</v>
      </c>
      <c r="D4581" s="13" t="str">
        <f>IF(RIGHT(A4581,3)="000",C4581,VLOOKUP(B4581,'Справочник ИХ'!A:C,3,0))</f>
        <v>Остальные грузы</v>
      </c>
      <c r="E4581" s="13">
        <f>IF(RIGHT(A4581,3)="000","х",VLOOKUP(B4581,'Справочник ИХ'!A:D,4,0))</f>
        <v>3</v>
      </c>
      <c r="F4581" s="14" t="s">
        <v>5495</v>
      </c>
    </row>
    <row r="4582" spans="1:6" ht="31.75">
      <c r="A4582" s="23">
        <v>74221</v>
      </c>
      <c r="B4582" s="12" t="str">
        <f t="shared" si="71"/>
        <v>742</v>
      </c>
      <c r="C4582" s="14" t="s">
        <v>5876</v>
      </c>
      <c r="D4582" s="13" t="str">
        <f>IF(RIGHT(A4582,3)="000",C4582,VLOOKUP(B4582,'Справочник ИХ'!A:C,3,0))</f>
        <v>Остальные грузы</v>
      </c>
      <c r="E4582" s="13">
        <f>IF(RIGHT(A4582,3)="000","х",VLOOKUP(B4582,'Справочник ИХ'!A:D,4,0))</f>
        <v>3</v>
      </c>
      <c r="F4582" s="14" t="s">
        <v>5495</v>
      </c>
    </row>
    <row r="4583" spans="1:6" ht="31.75">
      <c r="A4583" s="23">
        <v>74222</v>
      </c>
      <c r="B4583" s="12" t="str">
        <f t="shared" si="71"/>
        <v>742</v>
      </c>
      <c r="C4583" s="14" t="s">
        <v>5877</v>
      </c>
      <c r="D4583" s="13" t="str">
        <f>IF(RIGHT(A4583,3)="000",C4583,VLOOKUP(B4583,'Справочник ИХ'!A:C,3,0))</f>
        <v>Остальные грузы</v>
      </c>
      <c r="E4583" s="13">
        <f>IF(RIGHT(A4583,3)="000","х",VLOOKUP(B4583,'Справочник ИХ'!A:D,4,0))</f>
        <v>3</v>
      </c>
      <c r="F4583" s="14" t="s">
        <v>5495</v>
      </c>
    </row>
    <row r="4584" spans="1:6" ht="31.75">
      <c r="A4584" s="23">
        <v>74223</v>
      </c>
      <c r="B4584" s="12" t="str">
        <f t="shared" si="71"/>
        <v>742</v>
      </c>
      <c r="C4584" s="14" t="s">
        <v>5878</v>
      </c>
      <c r="D4584" s="13" t="str">
        <f>IF(RIGHT(A4584,3)="000",C4584,VLOOKUP(B4584,'Справочник ИХ'!A:C,3,0))</f>
        <v>Остальные грузы</v>
      </c>
      <c r="E4584" s="13">
        <f>IF(RIGHT(A4584,3)="000","х",VLOOKUP(B4584,'Справочник ИХ'!A:D,4,0))</f>
        <v>3</v>
      </c>
      <c r="F4584" s="14" t="s">
        <v>5495</v>
      </c>
    </row>
    <row r="4585" spans="1:6" ht="31.75">
      <c r="A4585" s="23">
        <v>74224</v>
      </c>
      <c r="B4585" s="12" t="str">
        <f t="shared" si="71"/>
        <v>742</v>
      </c>
      <c r="C4585" s="14" t="s">
        <v>5879</v>
      </c>
      <c r="D4585" s="13" t="str">
        <f>IF(RIGHT(A4585,3)="000",C4585,VLOOKUP(B4585,'Справочник ИХ'!A:C,3,0))</f>
        <v>Остальные грузы</v>
      </c>
      <c r="E4585" s="13">
        <f>IF(RIGHT(A4585,3)="000","х",VLOOKUP(B4585,'Справочник ИХ'!A:D,4,0))</f>
        <v>3</v>
      </c>
      <c r="F4585" s="14" t="s">
        <v>5495</v>
      </c>
    </row>
    <row r="4586" spans="1:6" ht="31.75">
      <c r="A4586" s="23">
        <v>74225</v>
      </c>
      <c r="B4586" s="12" t="str">
        <f t="shared" si="71"/>
        <v>742</v>
      </c>
      <c r="C4586" s="14" t="s">
        <v>5880</v>
      </c>
      <c r="D4586" s="13" t="str">
        <f>IF(RIGHT(A4586,3)="000",C4586,VLOOKUP(B4586,'Справочник ИХ'!A:C,3,0))</f>
        <v>Остальные грузы</v>
      </c>
      <c r="E4586" s="13">
        <f>IF(RIGHT(A4586,3)="000","х",VLOOKUP(B4586,'Справочник ИХ'!A:D,4,0))</f>
        <v>3</v>
      </c>
      <c r="F4586" s="14" t="s">
        <v>5495</v>
      </c>
    </row>
    <row r="4587" spans="1:6" ht="31.75">
      <c r="A4587" s="23">
        <v>74226</v>
      </c>
      <c r="B4587" s="12" t="str">
        <f t="shared" si="71"/>
        <v>742</v>
      </c>
      <c r="C4587" s="14" t="s">
        <v>5881</v>
      </c>
      <c r="D4587" s="13" t="str">
        <f>IF(RIGHT(A4587,3)="000",C4587,VLOOKUP(B4587,'Справочник ИХ'!A:C,3,0))</f>
        <v>Остальные грузы</v>
      </c>
      <c r="E4587" s="13">
        <f>IF(RIGHT(A4587,3)="000","х",VLOOKUP(B4587,'Справочник ИХ'!A:D,4,0))</f>
        <v>3</v>
      </c>
      <c r="F4587" s="14" t="s">
        <v>5495</v>
      </c>
    </row>
    <row r="4588" spans="1:6" ht="31.75">
      <c r="A4588" s="23">
        <v>74227</v>
      </c>
      <c r="B4588" s="12" t="str">
        <f t="shared" si="71"/>
        <v>742</v>
      </c>
      <c r="C4588" s="14" t="s">
        <v>5882</v>
      </c>
      <c r="D4588" s="13" t="str">
        <f>IF(RIGHT(A4588,3)="000",C4588,VLOOKUP(B4588,'Справочник ИХ'!A:C,3,0))</f>
        <v>Остальные грузы</v>
      </c>
      <c r="E4588" s="13">
        <f>IF(RIGHT(A4588,3)="000","х",VLOOKUP(B4588,'Справочник ИХ'!A:D,4,0))</f>
        <v>3</v>
      </c>
      <c r="F4588" s="14" t="s">
        <v>5495</v>
      </c>
    </row>
    <row r="4589" spans="1:6" ht="31.75">
      <c r="A4589" s="23">
        <v>74230</v>
      </c>
      <c r="B4589" s="12" t="str">
        <f t="shared" si="71"/>
        <v>742</v>
      </c>
      <c r="C4589" s="14" t="s">
        <v>5883</v>
      </c>
      <c r="D4589" s="13" t="str">
        <f>IF(RIGHT(A4589,3)="000",C4589,VLOOKUP(B4589,'Справочник ИХ'!A:C,3,0))</f>
        <v>Остальные грузы</v>
      </c>
      <c r="E4589" s="13">
        <f>IF(RIGHT(A4589,3)="000","х",VLOOKUP(B4589,'Справочник ИХ'!A:D,4,0))</f>
        <v>3</v>
      </c>
      <c r="F4589" s="14" t="s">
        <v>5495</v>
      </c>
    </row>
    <row r="4590" spans="1:6" ht="31.75">
      <c r="A4590" s="23">
        <v>74231</v>
      </c>
      <c r="B4590" s="12" t="str">
        <f t="shared" si="71"/>
        <v>742</v>
      </c>
      <c r="C4590" s="14" t="s">
        <v>5884</v>
      </c>
      <c r="D4590" s="13" t="str">
        <f>IF(RIGHT(A4590,3)="000",C4590,VLOOKUP(B4590,'Справочник ИХ'!A:C,3,0))</f>
        <v>Остальные грузы</v>
      </c>
      <c r="E4590" s="13">
        <f>IF(RIGHT(A4590,3)="000","х",VLOOKUP(B4590,'Справочник ИХ'!A:D,4,0))</f>
        <v>3</v>
      </c>
      <c r="F4590" s="14" t="s">
        <v>5495</v>
      </c>
    </row>
    <row r="4591" spans="1:6" ht="31.75">
      <c r="A4591" s="23">
        <v>74232</v>
      </c>
      <c r="B4591" s="12" t="str">
        <f t="shared" si="71"/>
        <v>742</v>
      </c>
      <c r="C4591" s="14" t="s">
        <v>5885</v>
      </c>
      <c r="D4591" s="13" t="str">
        <f>IF(RIGHT(A4591,3)="000",C4591,VLOOKUP(B4591,'Справочник ИХ'!A:C,3,0))</f>
        <v>Остальные грузы</v>
      </c>
      <c r="E4591" s="13">
        <f>IF(RIGHT(A4591,3)="000","х",VLOOKUP(B4591,'Справочник ИХ'!A:D,4,0))</f>
        <v>3</v>
      </c>
      <c r="F4591" s="14" t="s">
        <v>5495</v>
      </c>
    </row>
    <row r="4592" spans="1:6" ht="31.75">
      <c r="A4592" s="23">
        <v>74233</v>
      </c>
      <c r="B4592" s="12" t="str">
        <f t="shared" si="71"/>
        <v>742</v>
      </c>
      <c r="C4592" s="14" t="s">
        <v>5886</v>
      </c>
      <c r="D4592" s="13" t="str">
        <f>IF(RIGHT(A4592,3)="000",C4592,VLOOKUP(B4592,'Справочник ИХ'!A:C,3,0))</f>
        <v>Остальные грузы</v>
      </c>
      <c r="E4592" s="13">
        <f>IF(RIGHT(A4592,3)="000","х",VLOOKUP(B4592,'Справочник ИХ'!A:D,4,0))</f>
        <v>3</v>
      </c>
      <c r="F4592" s="14" t="s">
        <v>5495</v>
      </c>
    </row>
    <row r="4593" spans="1:6" ht="31.75">
      <c r="A4593" s="23">
        <v>74234</v>
      </c>
      <c r="B4593" s="12" t="str">
        <f t="shared" si="71"/>
        <v>742</v>
      </c>
      <c r="C4593" s="14" t="s">
        <v>5887</v>
      </c>
      <c r="D4593" s="13" t="str">
        <f>IF(RIGHT(A4593,3)="000",C4593,VLOOKUP(B4593,'Справочник ИХ'!A:C,3,0))</f>
        <v>Остальные грузы</v>
      </c>
      <c r="E4593" s="13">
        <f>IF(RIGHT(A4593,3)="000","х",VLOOKUP(B4593,'Справочник ИХ'!A:D,4,0))</f>
        <v>3</v>
      </c>
      <c r="F4593" s="14" t="s">
        <v>5495</v>
      </c>
    </row>
    <row r="4594" spans="1:6" ht="31.75">
      <c r="A4594" s="23">
        <v>74235</v>
      </c>
      <c r="B4594" s="12" t="str">
        <f t="shared" si="71"/>
        <v>742</v>
      </c>
      <c r="C4594" s="14" t="s">
        <v>5888</v>
      </c>
      <c r="D4594" s="13" t="str">
        <f>IF(RIGHT(A4594,3)="000",C4594,VLOOKUP(B4594,'Справочник ИХ'!A:C,3,0))</f>
        <v>Остальные грузы</v>
      </c>
      <c r="E4594" s="13">
        <f>IF(RIGHT(A4594,3)="000","х",VLOOKUP(B4594,'Справочник ИХ'!A:D,4,0))</f>
        <v>3</v>
      </c>
      <c r="F4594" s="14" t="s">
        <v>5495</v>
      </c>
    </row>
    <row r="4595" spans="1:6" ht="31.75">
      <c r="A4595" s="23">
        <v>74236</v>
      </c>
      <c r="B4595" s="12" t="str">
        <f t="shared" si="71"/>
        <v>742</v>
      </c>
      <c r="C4595" s="14" t="s">
        <v>5889</v>
      </c>
      <c r="D4595" s="13" t="str">
        <f>IF(RIGHT(A4595,3)="000",C4595,VLOOKUP(B4595,'Справочник ИХ'!A:C,3,0))</f>
        <v>Остальные грузы</v>
      </c>
      <c r="E4595" s="13">
        <f>IF(RIGHT(A4595,3)="000","х",VLOOKUP(B4595,'Справочник ИХ'!A:D,4,0))</f>
        <v>3</v>
      </c>
      <c r="F4595" s="14" t="s">
        <v>5495</v>
      </c>
    </row>
    <row r="4596" spans="1:6" ht="31.75">
      <c r="A4596" s="23">
        <v>74238</v>
      </c>
      <c r="B4596" s="12" t="str">
        <f t="shared" si="71"/>
        <v>742</v>
      </c>
      <c r="C4596" s="14" t="s">
        <v>5890</v>
      </c>
      <c r="D4596" s="13" t="str">
        <f>IF(RIGHT(A4596,3)="000",C4596,VLOOKUP(B4596,'Справочник ИХ'!A:C,3,0))</f>
        <v>Остальные грузы</v>
      </c>
      <c r="E4596" s="13">
        <f>IF(RIGHT(A4596,3)="000","х",VLOOKUP(B4596,'Справочник ИХ'!A:D,4,0))</f>
        <v>3</v>
      </c>
      <c r="F4596" s="14" t="s">
        <v>5495</v>
      </c>
    </row>
    <row r="4597" spans="1:6" ht="31.75">
      <c r="A4597" s="23">
        <v>74239</v>
      </c>
      <c r="B4597" s="12" t="str">
        <f t="shared" si="71"/>
        <v>742</v>
      </c>
      <c r="C4597" s="14" t="s">
        <v>5891</v>
      </c>
      <c r="D4597" s="13" t="str">
        <f>IF(RIGHT(A4597,3)="000",C4597,VLOOKUP(B4597,'Справочник ИХ'!A:C,3,0))</f>
        <v>Остальные грузы</v>
      </c>
      <c r="E4597" s="13">
        <f>IF(RIGHT(A4597,3)="000","х",VLOOKUP(B4597,'Справочник ИХ'!A:D,4,0))</f>
        <v>3</v>
      </c>
      <c r="F4597" s="14" t="s">
        <v>5495</v>
      </c>
    </row>
    <row r="4598" spans="1:6" ht="31.75">
      <c r="A4598" s="23">
        <v>74240</v>
      </c>
      <c r="B4598" s="12" t="str">
        <f t="shared" si="71"/>
        <v>742</v>
      </c>
      <c r="C4598" s="14" t="s">
        <v>5892</v>
      </c>
      <c r="D4598" s="13" t="str">
        <f>IF(RIGHT(A4598,3)="000",C4598,VLOOKUP(B4598,'Справочник ИХ'!A:C,3,0))</f>
        <v>Остальные грузы</v>
      </c>
      <c r="E4598" s="13">
        <f>IF(RIGHT(A4598,3)="000","х",VLOOKUP(B4598,'Справочник ИХ'!A:D,4,0))</f>
        <v>3</v>
      </c>
      <c r="F4598" s="14" t="s">
        <v>5495</v>
      </c>
    </row>
    <row r="4599" spans="1:6" ht="31.75">
      <c r="A4599" s="23">
        <v>74241</v>
      </c>
      <c r="B4599" s="12" t="str">
        <f t="shared" si="71"/>
        <v>742</v>
      </c>
      <c r="C4599" s="14" t="s">
        <v>5893</v>
      </c>
      <c r="D4599" s="13" t="str">
        <f>IF(RIGHT(A4599,3)="000",C4599,VLOOKUP(B4599,'Справочник ИХ'!A:C,3,0))</f>
        <v>Остальные грузы</v>
      </c>
      <c r="E4599" s="13">
        <f>IF(RIGHT(A4599,3)="000","х",VLOOKUP(B4599,'Справочник ИХ'!A:D,4,0))</f>
        <v>3</v>
      </c>
      <c r="F4599" s="14" t="s">
        <v>5495</v>
      </c>
    </row>
    <row r="4600" spans="1:6" ht="31.75">
      <c r="A4600" s="23">
        <v>74242</v>
      </c>
      <c r="B4600" s="12" t="str">
        <f t="shared" si="71"/>
        <v>742</v>
      </c>
      <c r="C4600" s="14" t="s">
        <v>5894</v>
      </c>
      <c r="D4600" s="13" t="str">
        <f>IF(RIGHT(A4600,3)="000",C4600,VLOOKUP(B4600,'Справочник ИХ'!A:C,3,0))</f>
        <v>Остальные грузы</v>
      </c>
      <c r="E4600" s="13">
        <f>IF(RIGHT(A4600,3)="000","х",VLOOKUP(B4600,'Справочник ИХ'!A:D,4,0))</f>
        <v>3</v>
      </c>
      <c r="F4600" s="14" t="s">
        <v>5495</v>
      </c>
    </row>
    <row r="4601" spans="1:6" ht="31.75">
      <c r="A4601" s="23">
        <v>74243</v>
      </c>
      <c r="B4601" s="12" t="str">
        <f t="shared" si="71"/>
        <v>742</v>
      </c>
      <c r="C4601" s="14" t="s">
        <v>5895</v>
      </c>
      <c r="D4601" s="13" t="str">
        <f>IF(RIGHT(A4601,3)="000",C4601,VLOOKUP(B4601,'Справочник ИХ'!A:C,3,0))</f>
        <v>Остальные грузы</v>
      </c>
      <c r="E4601" s="13">
        <f>IF(RIGHT(A4601,3)="000","х",VLOOKUP(B4601,'Справочник ИХ'!A:D,4,0))</f>
        <v>3</v>
      </c>
      <c r="F4601" s="14" t="s">
        <v>5495</v>
      </c>
    </row>
    <row r="4602" spans="1:6" ht="31.75">
      <c r="A4602" s="23">
        <v>74244</v>
      </c>
      <c r="B4602" s="12" t="str">
        <f t="shared" si="71"/>
        <v>742</v>
      </c>
      <c r="C4602" s="14" t="s">
        <v>5896</v>
      </c>
      <c r="D4602" s="13" t="str">
        <f>IF(RIGHT(A4602,3)="000",C4602,VLOOKUP(B4602,'Справочник ИХ'!A:C,3,0))</f>
        <v>Остальные грузы</v>
      </c>
      <c r="E4602" s="13">
        <f>IF(RIGHT(A4602,3)="000","х",VLOOKUP(B4602,'Справочник ИХ'!A:D,4,0))</f>
        <v>3</v>
      </c>
      <c r="F4602" s="14" t="s">
        <v>5495</v>
      </c>
    </row>
    <row r="4603" spans="1:6" ht="31.75">
      <c r="A4603" s="23">
        <v>74245</v>
      </c>
      <c r="B4603" s="12" t="str">
        <f t="shared" si="71"/>
        <v>742</v>
      </c>
      <c r="C4603" s="14" t="s">
        <v>5897</v>
      </c>
      <c r="D4603" s="13" t="str">
        <f>IF(RIGHT(A4603,3)="000",C4603,VLOOKUP(B4603,'Справочник ИХ'!A:C,3,0))</f>
        <v>Остальные грузы</v>
      </c>
      <c r="E4603" s="13">
        <f>IF(RIGHT(A4603,3)="000","х",VLOOKUP(B4603,'Справочник ИХ'!A:D,4,0))</f>
        <v>3</v>
      </c>
      <c r="F4603" s="14" t="s">
        <v>5495</v>
      </c>
    </row>
    <row r="4604" spans="1:6" ht="31.75">
      <c r="A4604" s="23">
        <v>74246</v>
      </c>
      <c r="B4604" s="12" t="str">
        <f t="shared" si="71"/>
        <v>742</v>
      </c>
      <c r="C4604" s="14" t="s">
        <v>5898</v>
      </c>
      <c r="D4604" s="13" t="str">
        <f>IF(RIGHT(A4604,3)="000",C4604,VLOOKUP(B4604,'Справочник ИХ'!A:C,3,0))</f>
        <v>Остальные грузы</v>
      </c>
      <c r="E4604" s="13">
        <f>IF(RIGHT(A4604,3)="000","х",VLOOKUP(B4604,'Справочник ИХ'!A:D,4,0))</f>
        <v>3</v>
      </c>
      <c r="F4604" s="14" t="s">
        <v>5495</v>
      </c>
    </row>
    <row r="4605" spans="1:6" ht="31.75">
      <c r="A4605" s="23">
        <v>74247</v>
      </c>
      <c r="B4605" s="12" t="str">
        <f t="shared" si="71"/>
        <v>742</v>
      </c>
      <c r="C4605" s="14" t="s">
        <v>5899</v>
      </c>
      <c r="D4605" s="13" t="str">
        <f>IF(RIGHT(A4605,3)="000",C4605,VLOOKUP(B4605,'Справочник ИХ'!A:C,3,0))</f>
        <v>Остальные грузы</v>
      </c>
      <c r="E4605" s="13">
        <f>IF(RIGHT(A4605,3)="000","х",VLOOKUP(B4605,'Справочник ИХ'!A:D,4,0))</f>
        <v>3</v>
      </c>
      <c r="F4605" s="14" t="s">
        <v>5495</v>
      </c>
    </row>
    <row r="4606" spans="1:6" ht="31.75">
      <c r="A4606" s="23">
        <v>74248</v>
      </c>
      <c r="B4606" s="12" t="str">
        <f t="shared" si="71"/>
        <v>742</v>
      </c>
      <c r="C4606" s="14" t="s">
        <v>5900</v>
      </c>
      <c r="D4606" s="13" t="str">
        <f>IF(RIGHT(A4606,3)="000",C4606,VLOOKUP(B4606,'Справочник ИХ'!A:C,3,0))</f>
        <v>Остальные грузы</v>
      </c>
      <c r="E4606" s="13">
        <f>IF(RIGHT(A4606,3)="000","х",VLOOKUP(B4606,'Справочник ИХ'!A:D,4,0))</f>
        <v>3</v>
      </c>
      <c r="F4606" s="14" t="s">
        <v>5495</v>
      </c>
    </row>
    <row r="4607" spans="1:6" ht="31.75">
      <c r="A4607" s="23">
        <v>74249</v>
      </c>
      <c r="B4607" s="12" t="str">
        <f t="shared" si="71"/>
        <v>742</v>
      </c>
      <c r="C4607" s="14" t="s">
        <v>5901</v>
      </c>
      <c r="D4607" s="13" t="str">
        <f>IF(RIGHT(A4607,3)="000",C4607,VLOOKUP(B4607,'Справочник ИХ'!A:C,3,0))</f>
        <v>Остальные грузы</v>
      </c>
      <c r="E4607" s="13">
        <f>IF(RIGHT(A4607,3)="000","х",VLOOKUP(B4607,'Справочник ИХ'!A:D,4,0))</f>
        <v>3</v>
      </c>
      <c r="F4607" s="14" t="s">
        <v>5495</v>
      </c>
    </row>
    <row r="4608" spans="1:6" s="15" customFormat="1" ht="31.75">
      <c r="A4608" s="33">
        <v>75000</v>
      </c>
      <c r="B4608" s="12" t="str">
        <f t="shared" si="71"/>
        <v>750</v>
      </c>
      <c r="C4608" s="15" t="s">
        <v>5902</v>
      </c>
      <c r="D4608" s="13" t="str">
        <f>IF(RIGHT(A4608,3)="000",C4608,VLOOKUP(B4608,'Справочник ИХ'!A:C,3,0))</f>
        <v>Химикаты различного назначения</v>
      </c>
      <c r="E4608" s="13" t="str">
        <f>IF(RIGHT(A4608,3)="000","х",VLOOKUP(B4608,'Справочник ИХ'!A:D,4,0))</f>
        <v>х</v>
      </c>
      <c r="F4608" s="14" t="s">
        <v>5495</v>
      </c>
    </row>
    <row r="4609" spans="1:6" s="18" customFormat="1" ht="31.75">
      <c r="A4609" s="34" t="s">
        <v>5903</v>
      </c>
      <c r="B4609" s="12" t="str">
        <f t="shared" si="71"/>
        <v>751</v>
      </c>
      <c r="C4609" s="18" t="s">
        <v>5904</v>
      </c>
      <c r="D4609" s="13" t="str">
        <f>IF(RIGHT(A4609,3)="000",C4609,VLOOKUP(B4609,'Справочник ИХ'!A:C,3,0))</f>
        <v>Остальные грузы</v>
      </c>
      <c r="E4609" s="13">
        <f>IF(RIGHT(A4609,3)="000","х",VLOOKUP(B4609,'Справочник ИХ'!A:D,4,0))</f>
        <v>3</v>
      </c>
      <c r="F4609" s="14" t="s">
        <v>5495</v>
      </c>
    </row>
    <row r="4610" spans="1:6" ht="31.75">
      <c r="A4610" s="23">
        <v>75101</v>
      </c>
      <c r="B4610" s="12" t="str">
        <f t="shared" si="71"/>
        <v>751</v>
      </c>
      <c r="C4610" s="14" t="s">
        <v>5905</v>
      </c>
      <c r="D4610" s="13" t="str">
        <f>IF(RIGHT(A4610,3)="000",C4610,VLOOKUP(B4610,'Справочник ИХ'!A:C,3,0))</f>
        <v>Остальные грузы</v>
      </c>
      <c r="E4610" s="13">
        <f>IF(RIGHT(A4610,3)="000","х",VLOOKUP(B4610,'Справочник ИХ'!A:D,4,0))</f>
        <v>3</v>
      </c>
      <c r="F4610" s="14" t="s">
        <v>5495</v>
      </c>
    </row>
    <row r="4611" spans="1:6" ht="31.75">
      <c r="A4611" s="23">
        <v>75102</v>
      </c>
      <c r="B4611" s="12" t="str">
        <f t="shared" si="71"/>
        <v>751</v>
      </c>
      <c r="C4611" s="14" t="s">
        <v>5906</v>
      </c>
      <c r="D4611" s="13" t="str">
        <f>IF(RIGHT(A4611,3)="000",C4611,VLOOKUP(B4611,'Справочник ИХ'!A:C,3,0))</f>
        <v>Остальные грузы</v>
      </c>
      <c r="E4611" s="13">
        <f>IF(RIGHT(A4611,3)="000","х",VLOOKUP(B4611,'Справочник ИХ'!A:D,4,0))</f>
        <v>3</v>
      </c>
      <c r="F4611" s="14" t="s">
        <v>5495</v>
      </c>
    </row>
    <row r="4612" spans="1:6" ht="31.75">
      <c r="A4612" s="23">
        <v>75103</v>
      </c>
      <c r="B4612" s="12" t="str">
        <f t="shared" si="71"/>
        <v>751</v>
      </c>
      <c r="C4612" s="14" t="s">
        <v>5907</v>
      </c>
      <c r="D4612" s="13" t="str">
        <f>IF(RIGHT(A4612,3)="000",C4612,VLOOKUP(B4612,'Справочник ИХ'!A:C,3,0))</f>
        <v>Остальные грузы</v>
      </c>
      <c r="E4612" s="13">
        <f>IF(RIGHT(A4612,3)="000","х",VLOOKUP(B4612,'Справочник ИХ'!A:D,4,0))</f>
        <v>3</v>
      </c>
      <c r="F4612" s="14" t="s">
        <v>5495</v>
      </c>
    </row>
    <row r="4613" spans="1:6" ht="31.75">
      <c r="A4613" s="23">
        <v>75104</v>
      </c>
      <c r="B4613" s="12" t="str">
        <f t="shared" ref="B4613:B4676" si="72">LEFT(A4613,3)</f>
        <v>751</v>
      </c>
      <c r="C4613" s="14" t="s">
        <v>5908</v>
      </c>
      <c r="D4613" s="13" t="str">
        <f>IF(RIGHT(A4613,3)="000",C4613,VLOOKUP(B4613,'Справочник ИХ'!A:C,3,0))</f>
        <v>Остальные грузы</v>
      </c>
      <c r="E4613" s="13">
        <f>IF(RIGHT(A4613,3)="000","х",VLOOKUP(B4613,'Справочник ИХ'!A:D,4,0))</f>
        <v>3</v>
      </c>
      <c r="F4613" s="14" t="s">
        <v>5495</v>
      </c>
    </row>
    <row r="4614" spans="1:6" ht="31.75">
      <c r="A4614" s="23">
        <v>75105</v>
      </c>
      <c r="B4614" s="12" t="str">
        <f t="shared" si="72"/>
        <v>751</v>
      </c>
      <c r="C4614" s="14" t="s">
        <v>5909</v>
      </c>
      <c r="D4614" s="13" t="str">
        <f>IF(RIGHT(A4614,3)="000",C4614,VLOOKUP(B4614,'Справочник ИХ'!A:C,3,0))</f>
        <v>Остальные грузы</v>
      </c>
      <c r="E4614" s="13">
        <f>IF(RIGHT(A4614,3)="000","х",VLOOKUP(B4614,'Справочник ИХ'!A:D,4,0))</f>
        <v>3</v>
      </c>
      <c r="F4614" s="14" t="s">
        <v>5495</v>
      </c>
    </row>
    <row r="4615" spans="1:6" ht="31.75">
      <c r="A4615" s="23">
        <v>75106</v>
      </c>
      <c r="B4615" s="12" t="str">
        <f t="shared" si="72"/>
        <v>751</v>
      </c>
      <c r="C4615" s="14" t="s">
        <v>5910</v>
      </c>
      <c r="D4615" s="13" t="str">
        <f>IF(RIGHT(A4615,3)="000",C4615,VLOOKUP(B4615,'Справочник ИХ'!A:C,3,0))</f>
        <v>Остальные грузы</v>
      </c>
      <c r="E4615" s="13">
        <f>IF(RIGHT(A4615,3)="000","х",VLOOKUP(B4615,'Справочник ИХ'!A:D,4,0))</f>
        <v>3</v>
      </c>
      <c r="F4615" s="14" t="s">
        <v>5495</v>
      </c>
    </row>
    <row r="4616" spans="1:6" ht="31.75">
      <c r="A4616" s="23">
        <v>75107</v>
      </c>
      <c r="B4616" s="12" t="str">
        <f t="shared" si="72"/>
        <v>751</v>
      </c>
      <c r="C4616" s="14" t="s">
        <v>5911</v>
      </c>
      <c r="D4616" s="13" t="str">
        <f>IF(RIGHT(A4616,3)="000",C4616,VLOOKUP(B4616,'Справочник ИХ'!A:C,3,0))</f>
        <v>Остальные грузы</v>
      </c>
      <c r="E4616" s="13">
        <f>IF(RIGHT(A4616,3)="000","х",VLOOKUP(B4616,'Справочник ИХ'!A:D,4,0))</f>
        <v>3</v>
      </c>
      <c r="F4616" s="14" t="s">
        <v>5495</v>
      </c>
    </row>
    <row r="4617" spans="1:6" ht="31.75">
      <c r="A4617" s="23">
        <v>75108</v>
      </c>
      <c r="B4617" s="12" t="str">
        <f t="shared" si="72"/>
        <v>751</v>
      </c>
      <c r="C4617" s="14" t="s">
        <v>5912</v>
      </c>
      <c r="D4617" s="13" t="str">
        <f>IF(RIGHT(A4617,3)="000",C4617,VLOOKUP(B4617,'Справочник ИХ'!A:C,3,0))</f>
        <v>Остальные грузы</v>
      </c>
      <c r="E4617" s="13">
        <f>IF(RIGHT(A4617,3)="000","х",VLOOKUP(B4617,'Справочник ИХ'!A:D,4,0))</f>
        <v>3</v>
      </c>
      <c r="F4617" s="14" t="s">
        <v>5495</v>
      </c>
    </row>
    <row r="4618" spans="1:6" ht="31.75">
      <c r="A4618" s="23">
        <v>75109</v>
      </c>
      <c r="B4618" s="12" t="str">
        <f t="shared" si="72"/>
        <v>751</v>
      </c>
      <c r="C4618" s="14" t="s">
        <v>5913</v>
      </c>
      <c r="D4618" s="13" t="str">
        <f>IF(RIGHT(A4618,3)="000",C4618,VLOOKUP(B4618,'Справочник ИХ'!A:C,3,0))</f>
        <v>Остальные грузы</v>
      </c>
      <c r="E4618" s="13">
        <f>IF(RIGHT(A4618,3)="000","х",VLOOKUP(B4618,'Справочник ИХ'!A:D,4,0))</f>
        <v>3</v>
      </c>
      <c r="F4618" s="14" t="s">
        <v>5495</v>
      </c>
    </row>
    <row r="4619" spans="1:6" ht="31.75">
      <c r="A4619" s="23">
        <v>75110</v>
      </c>
      <c r="B4619" s="12" t="str">
        <f t="shared" si="72"/>
        <v>751</v>
      </c>
      <c r="C4619" s="14" t="s">
        <v>5914</v>
      </c>
      <c r="D4619" s="13" t="str">
        <f>IF(RIGHT(A4619,3)="000",C4619,VLOOKUP(B4619,'Справочник ИХ'!A:C,3,0))</f>
        <v>Остальные грузы</v>
      </c>
      <c r="E4619" s="13">
        <f>IF(RIGHT(A4619,3)="000","х",VLOOKUP(B4619,'Справочник ИХ'!A:D,4,0))</f>
        <v>3</v>
      </c>
      <c r="F4619" s="14" t="s">
        <v>5495</v>
      </c>
    </row>
    <row r="4620" spans="1:6" ht="31.75">
      <c r="A4620" s="23">
        <v>75111</v>
      </c>
      <c r="B4620" s="12" t="str">
        <f t="shared" si="72"/>
        <v>751</v>
      </c>
      <c r="C4620" s="14" t="s">
        <v>5915</v>
      </c>
      <c r="D4620" s="13" t="str">
        <f>IF(RIGHT(A4620,3)="000",C4620,VLOOKUP(B4620,'Справочник ИХ'!A:C,3,0))</f>
        <v>Остальные грузы</v>
      </c>
      <c r="E4620" s="13">
        <f>IF(RIGHT(A4620,3)="000","х",VLOOKUP(B4620,'Справочник ИХ'!A:D,4,0))</f>
        <v>3</v>
      </c>
      <c r="F4620" s="14" t="s">
        <v>5495</v>
      </c>
    </row>
    <row r="4621" spans="1:6" ht="31.75">
      <c r="A4621" s="23">
        <v>75112</v>
      </c>
      <c r="B4621" s="12" t="str">
        <f t="shared" si="72"/>
        <v>751</v>
      </c>
      <c r="C4621" s="14" t="s">
        <v>5916</v>
      </c>
      <c r="D4621" s="13" t="str">
        <f>IF(RIGHT(A4621,3)="000",C4621,VLOOKUP(B4621,'Справочник ИХ'!A:C,3,0))</f>
        <v>Остальные грузы</v>
      </c>
      <c r="E4621" s="13">
        <f>IF(RIGHT(A4621,3)="000","х",VLOOKUP(B4621,'Справочник ИХ'!A:D,4,0))</f>
        <v>3</v>
      </c>
      <c r="F4621" s="14" t="s">
        <v>5495</v>
      </c>
    </row>
    <row r="4622" spans="1:6" ht="31.75">
      <c r="A4622" s="23">
        <v>75113</v>
      </c>
      <c r="B4622" s="12" t="str">
        <f t="shared" si="72"/>
        <v>751</v>
      </c>
      <c r="C4622" s="14" t="s">
        <v>5917</v>
      </c>
      <c r="D4622" s="13" t="str">
        <f>IF(RIGHT(A4622,3)="000",C4622,VLOOKUP(B4622,'Справочник ИХ'!A:C,3,0))</f>
        <v>Остальные грузы</v>
      </c>
      <c r="E4622" s="13">
        <f>IF(RIGHT(A4622,3)="000","х",VLOOKUP(B4622,'Справочник ИХ'!A:D,4,0))</f>
        <v>3</v>
      </c>
      <c r="F4622" s="14" t="s">
        <v>5495</v>
      </c>
    </row>
    <row r="4623" spans="1:6" ht="31.75">
      <c r="A4623" s="23">
        <v>75114</v>
      </c>
      <c r="B4623" s="12" t="str">
        <f t="shared" si="72"/>
        <v>751</v>
      </c>
      <c r="C4623" s="14" t="s">
        <v>5918</v>
      </c>
      <c r="D4623" s="13" t="str">
        <f>IF(RIGHT(A4623,3)="000",C4623,VLOOKUP(B4623,'Справочник ИХ'!A:C,3,0))</f>
        <v>Остальные грузы</v>
      </c>
      <c r="E4623" s="13">
        <f>IF(RIGHT(A4623,3)="000","х",VLOOKUP(B4623,'Справочник ИХ'!A:D,4,0))</f>
        <v>3</v>
      </c>
      <c r="F4623" s="14" t="s">
        <v>5495</v>
      </c>
    </row>
    <row r="4624" spans="1:6" ht="31.75">
      <c r="A4624" s="23">
        <v>75115</v>
      </c>
      <c r="B4624" s="12" t="str">
        <f t="shared" si="72"/>
        <v>751</v>
      </c>
      <c r="C4624" s="14" t="s">
        <v>5919</v>
      </c>
      <c r="D4624" s="13" t="str">
        <f>IF(RIGHT(A4624,3)="000",C4624,VLOOKUP(B4624,'Справочник ИХ'!A:C,3,0))</f>
        <v>Остальные грузы</v>
      </c>
      <c r="E4624" s="13">
        <f>IF(RIGHT(A4624,3)="000","х",VLOOKUP(B4624,'Справочник ИХ'!A:D,4,0))</f>
        <v>3</v>
      </c>
      <c r="F4624" s="14" t="s">
        <v>5495</v>
      </c>
    </row>
    <row r="4625" spans="1:6" s="18" customFormat="1" ht="31.75">
      <c r="A4625" s="34" t="s">
        <v>5920</v>
      </c>
      <c r="B4625" s="12" t="str">
        <f t="shared" si="72"/>
        <v>752</v>
      </c>
      <c r="C4625" s="18" t="s">
        <v>5921</v>
      </c>
      <c r="D4625" s="13" t="str">
        <f>IF(RIGHT(A4625,3)="000",C4625,VLOOKUP(B4625,'Справочник ИХ'!A:C,3,0))</f>
        <v>Остальные грузы</v>
      </c>
      <c r="E4625" s="13">
        <f>IF(RIGHT(A4625,3)="000","х",VLOOKUP(B4625,'Справочник ИХ'!A:D,4,0))</f>
        <v>3</v>
      </c>
      <c r="F4625" s="14" t="s">
        <v>5495</v>
      </c>
    </row>
    <row r="4626" spans="1:6" ht="31.75">
      <c r="A4626" s="23">
        <v>75201</v>
      </c>
      <c r="B4626" s="12" t="str">
        <f t="shared" si="72"/>
        <v>752</v>
      </c>
      <c r="C4626" s="14" t="s">
        <v>5922</v>
      </c>
      <c r="D4626" s="13" t="str">
        <f>IF(RIGHT(A4626,3)="000",C4626,VLOOKUP(B4626,'Справочник ИХ'!A:C,3,0))</f>
        <v>Остальные грузы</v>
      </c>
      <c r="E4626" s="13">
        <f>IF(RIGHT(A4626,3)="000","х",VLOOKUP(B4626,'Справочник ИХ'!A:D,4,0))</f>
        <v>3</v>
      </c>
      <c r="F4626" s="14" t="s">
        <v>5495</v>
      </c>
    </row>
    <row r="4627" spans="1:6" ht="31.75">
      <c r="A4627" s="23">
        <v>75202</v>
      </c>
      <c r="B4627" s="12" t="str">
        <f t="shared" si="72"/>
        <v>752</v>
      </c>
      <c r="C4627" s="14" t="s">
        <v>5923</v>
      </c>
      <c r="D4627" s="13" t="str">
        <f>IF(RIGHT(A4627,3)="000",C4627,VLOOKUP(B4627,'Справочник ИХ'!A:C,3,0))</f>
        <v>Остальные грузы</v>
      </c>
      <c r="E4627" s="13">
        <f>IF(RIGHT(A4627,3)="000","х",VLOOKUP(B4627,'Справочник ИХ'!A:D,4,0))</f>
        <v>3</v>
      </c>
      <c r="F4627" s="14" t="s">
        <v>5495</v>
      </c>
    </row>
    <row r="4628" spans="1:6" ht="31.75">
      <c r="A4628" s="23">
        <v>75203</v>
      </c>
      <c r="B4628" s="12" t="str">
        <f t="shared" si="72"/>
        <v>752</v>
      </c>
      <c r="C4628" s="14" t="s">
        <v>5924</v>
      </c>
      <c r="D4628" s="13" t="str">
        <f>IF(RIGHT(A4628,3)="000",C4628,VLOOKUP(B4628,'Справочник ИХ'!A:C,3,0))</f>
        <v>Остальные грузы</v>
      </c>
      <c r="E4628" s="13">
        <f>IF(RIGHT(A4628,3)="000","х",VLOOKUP(B4628,'Справочник ИХ'!A:D,4,0))</f>
        <v>3</v>
      </c>
      <c r="F4628" s="14" t="s">
        <v>5495</v>
      </c>
    </row>
    <row r="4629" spans="1:6" ht="31.75">
      <c r="A4629" s="23">
        <v>75204</v>
      </c>
      <c r="B4629" s="12" t="str">
        <f t="shared" si="72"/>
        <v>752</v>
      </c>
      <c r="C4629" s="14" t="s">
        <v>5925</v>
      </c>
      <c r="D4629" s="13" t="str">
        <f>IF(RIGHT(A4629,3)="000",C4629,VLOOKUP(B4629,'Справочник ИХ'!A:C,3,0))</f>
        <v>Остальные грузы</v>
      </c>
      <c r="E4629" s="13">
        <f>IF(RIGHT(A4629,3)="000","х",VLOOKUP(B4629,'Справочник ИХ'!A:D,4,0))</f>
        <v>3</v>
      </c>
      <c r="F4629" s="14" t="s">
        <v>5495</v>
      </c>
    </row>
    <row r="4630" spans="1:6" ht="31.75">
      <c r="A4630" s="23">
        <v>75205</v>
      </c>
      <c r="B4630" s="12" t="str">
        <f t="shared" si="72"/>
        <v>752</v>
      </c>
      <c r="C4630" s="14" t="s">
        <v>5926</v>
      </c>
      <c r="D4630" s="13" t="str">
        <f>IF(RIGHT(A4630,3)="000",C4630,VLOOKUP(B4630,'Справочник ИХ'!A:C,3,0))</f>
        <v>Остальные грузы</v>
      </c>
      <c r="E4630" s="13">
        <f>IF(RIGHT(A4630,3)="000","х",VLOOKUP(B4630,'Справочник ИХ'!A:D,4,0))</f>
        <v>3</v>
      </c>
      <c r="F4630" s="14" t="s">
        <v>5495</v>
      </c>
    </row>
    <row r="4631" spans="1:6" ht="31.75">
      <c r="A4631" s="23">
        <v>75206</v>
      </c>
      <c r="B4631" s="12" t="str">
        <f t="shared" si="72"/>
        <v>752</v>
      </c>
      <c r="C4631" s="14" t="s">
        <v>5927</v>
      </c>
      <c r="D4631" s="13" t="str">
        <f>IF(RIGHT(A4631,3)="000",C4631,VLOOKUP(B4631,'Справочник ИХ'!A:C,3,0))</f>
        <v>Остальные грузы</v>
      </c>
      <c r="E4631" s="13">
        <f>IF(RIGHT(A4631,3)="000","х",VLOOKUP(B4631,'Справочник ИХ'!A:D,4,0))</f>
        <v>3</v>
      </c>
      <c r="F4631" s="14" t="s">
        <v>5495</v>
      </c>
    </row>
    <row r="4632" spans="1:6" ht="31.75">
      <c r="A4632" s="23">
        <v>75207</v>
      </c>
      <c r="B4632" s="12" t="str">
        <f t="shared" si="72"/>
        <v>752</v>
      </c>
      <c r="C4632" s="14" t="s">
        <v>5928</v>
      </c>
      <c r="D4632" s="13" t="str">
        <f>IF(RIGHT(A4632,3)="000",C4632,VLOOKUP(B4632,'Справочник ИХ'!A:C,3,0))</f>
        <v>Остальные грузы</v>
      </c>
      <c r="E4632" s="13">
        <f>IF(RIGHT(A4632,3)="000","х",VLOOKUP(B4632,'Справочник ИХ'!A:D,4,0))</f>
        <v>3</v>
      </c>
      <c r="F4632" s="14" t="s">
        <v>5495</v>
      </c>
    </row>
    <row r="4633" spans="1:6" ht="31.75">
      <c r="A4633" s="23">
        <v>75208</v>
      </c>
      <c r="B4633" s="12" t="str">
        <f t="shared" si="72"/>
        <v>752</v>
      </c>
      <c r="C4633" s="14" t="s">
        <v>5929</v>
      </c>
      <c r="D4633" s="13" t="str">
        <f>IF(RIGHT(A4633,3)="000",C4633,VLOOKUP(B4633,'Справочник ИХ'!A:C,3,0))</f>
        <v>Остальные грузы</v>
      </c>
      <c r="E4633" s="13">
        <f>IF(RIGHT(A4633,3)="000","х",VLOOKUP(B4633,'Справочник ИХ'!A:D,4,0))</f>
        <v>3</v>
      </c>
      <c r="F4633" s="14" t="s">
        <v>5495</v>
      </c>
    </row>
    <row r="4634" spans="1:6" ht="31.75">
      <c r="A4634" s="23">
        <v>75209</v>
      </c>
      <c r="B4634" s="12" t="str">
        <f t="shared" si="72"/>
        <v>752</v>
      </c>
      <c r="C4634" s="14" t="s">
        <v>5930</v>
      </c>
      <c r="D4634" s="13" t="str">
        <f>IF(RIGHT(A4634,3)="000",C4634,VLOOKUP(B4634,'Справочник ИХ'!A:C,3,0))</f>
        <v>Остальные грузы</v>
      </c>
      <c r="E4634" s="13">
        <f>IF(RIGHT(A4634,3)="000","х",VLOOKUP(B4634,'Справочник ИХ'!A:D,4,0))</f>
        <v>3</v>
      </c>
      <c r="F4634" s="14" t="s">
        <v>5495</v>
      </c>
    </row>
    <row r="4635" spans="1:6" ht="31.75">
      <c r="A4635" s="23">
        <v>75210</v>
      </c>
      <c r="B4635" s="12" t="str">
        <f t="shared" si="72"/>
        <v>752</v>
      </c>
      <c r="C4635" s="14" t="s">
        <v>5931</v>
      </c>
      <c r="D4635" s="13" t="str">
        <f>IF(RIGHT(A4635,3)="000",C4635,VLOOKUP(B4635,'Справочник ИХ'!A:C,3,0))</f>
        <v>Остальные грузы</v>
      </c>
      <c r="E4635" s="13">
        <f>IF(RIGHT(A4635,3)="000","х",VLOOKUP(B4635,'Справочник ИХ'!A:D,4,0))</f>
        <v>3</v>
      </c>
      <c r="F4635" s="14" t="s">
        <v>5495</v>
      </c>
    </row>
    <row r="4636" spans="1:6" ht="31.75">
      <c r="A4636" s="23">
        <v>75211</v>
      </c>
      <c r="B4636" s="12" t="str">
        <f t="shared" si="72"/>
        <v>752</v>
      </c>
      <c r="C4636" s="14" t="s">
        <v>5932</v>
      </c>
      <c r="D4636" s="13" t="str">
        <f>IF(RIGHT(A4636,3)="000",C4636,VLOOKUP(B4636,'Справочник ИХ'!A:C,3,0))</f>
        <v>Остальные грузы</v>
      </c>
      <c r="E4636" s="13">
        <f>IF(RIGHT(A4636,3)="000","х",VLOOKUP(B4636,'Справочник ИХ'!A:D,4,0))</f>
        <v>3</v>
      </c>
      <c r="F4636" s="14" t="s">
        <v>5495</v>
      </c>
    </row>
    <row r="4637" spans="1:6" ht="31.75">
      <c r="A4637" s="23">
        <v>75212</v>
      </c>
      <c r="B4637" s="12" t="str">
        <f t="shared" si="72"/>
        <v>752</v>
      </c>
      <c r="C4637" s="14" t="s">
        <v>5933</v>
      </c>
      <c r="D4637" s="13" t="str">
        <f>IF(RIGHT(A4637,3)="000",C4637,VLOOKUP(B4637,'Справочник ИХ'!A:C,3,0))</f>
        <v>Остальные грузы</v>
      </c>
      <c r="E4637" s="13">
        <f>IF(RIGHT(A4637,3)="000","х",VLOOKUP(B4637,'Справочник ИХ'!A:D,4,0))</f>
        <v>3</v>
      </c>
      <c r="F4637" s="14" t="s">
        <v>5495</v>
      </c>
    </row>
    <row r="4638" spans="1:6" ht="31.75">
      <c r="A4638" s="23">
        <v>75213</v>
      </c>
      <c r="B4638" s="12" t="str">
        <f t="shared" si="72"/>
        <v>752</v>
      </c>
      <c r="C4638" s="14" t="s">
        <v>5934</v>
      </c>
      <c r="D4638" s="13" t="str">
        <f>IF(RIGHT(A4638,3)="000",C4638,VLOOKUP(B4638,'Справочник ИХ'!A:C,3,0))</f>
        <v>Остальные грузы</v>
      </c>
      <c r="E4638" s="13">
        <f>IF(RIGHT(A4638,3)="000","х",VLOOKUP(B4638,'Справочник ИХ'!A:D,4,0))</f>
        <v>3</v>
      </c>
      <c r="F4638" s="14" t="s">
        <v>5495</v>
      </c>
    </row>
    <row r="4639" spans="1:6" ht="31.75">
      <c r="A4639" s="23">
        <v>75214</v>
      </c>
      <c r="B4639" s="12" t="str">
        <f t="shared" si="72"/>
        <v>752</v>
      </c>
      <c r="C4639" s="14" t="s">
        <v>5935</v>
      </c>
      <c r="D4639" s="13" t="str">
        <f>IF(RIGHT(A4639,3)="000",C4639,VLOOKUP(B4639,'Справочник ИХ'!A:C,3,0))</f>
        <v>Остальные грузы</v>
      </c>
      <c r="E4639" s="13">
        <f>IF(RIGHT(A4639,3)="000","х",VLOOKUP(B4639,'Справочник ИХ'!A:D,4,0))</f>
        <v>3</v>
      </c>
      <c r="F4639" s="14" t="s">
        <v>5495</v>
      </c>
    </row>
    <row r="4640" spans="1:6" ht="31.75">
      <c r="A4640" s="23">
        <v>75215</v>
      </c>
      <c r="B4640" s="12" t="str">
        <f t="shared" si="72"/>
        <v>752</v>
      </c>
      <c r="C4640" s="14" t="s">
        <v>5936</v>
      </c>
      <c r="D4640" s="13" t="str">
        <f>IF(RIGHT(A4640,3)="000",C4640,VLOOKUP(B4640,'Справочник ИХ'!A:C,3,0))</f>
        <v>Остальные грузы</v>
      </c>
      <c r="E4640" s="13">
        <f>IF(RIGHT(A4640,3)="000","х",VLOOKUP(B4640,'Справочник ИХ'!A:D,4,0))</f>
        <v>3</v>
      </c>
      <c r="F4640" s="14" t="s">
        <v>5495</v>
      </c>
    </row>
    <row r="4641" spans="1:6" ht="31.75">
      <c r="A4641" s="23">
        <v>75216</v>
      </c>
      <c r="B4641" s="12" t="str">
        <f t="shared" si="72"/>
        <v>752</v>
      </c>
      <c r="C4641" s="14" t="s">
        <v>5937</v>
      </c>
      <c r="D4641" s="13" t="str">
        <f>IF(RIGHT(A4641,3)="000",C4641,VLOOKUP(B4641,'Справочник ИХ'!A:C,3,0))</f>
        <v>Остальные грузы</v>
      </c>
      <c r="E4641" s="13">
        <f>IF(RIGHT(A4641,3)="000","х",VLOOKUP(B4641,'Справочник ИХ'!A:D,4,0))</f>
        <v>3</v>
      </c>
      <c r="F4641" s="14" t="s">
        <v>5495</v>
      </c>
    </row>
    <row r="4642" spans="1:6" ht="31.75">
      <c r="A4642" s="23">
        <v>75217</v>
      </c>
      <c r="B4642" s="12" t="str">
        <f t="shared" si="72"/>
        <v>752</v>
      </c>
      <c r="C4642" s="14" t="s">
        <v>5938</v>
      </c>
      <c r="D4642" s="13" t="str">
        <f>IF(RIGHT(A4642,3)="000",C4642,VLOOKUP(B4642,'Справочник ИХ'!A:C,3,0))</f>
        <v>Остальные грузы</v>
      </c>
      <c r="E4642" s="13">
        <f>IF(RIGHT(A4642,3)="000","х",VLOOKUP(B4642,'Справочник ИХ'!A:D,4,0))</f>
        <v>3</v>
      </c>
      <c r="F4642" s="14" t="s">
        <v>5495</v>
      </c>
    </row>
    <row r="4643" spans="1:6" ht="31.75">
      <c r="A4643" s="23">
        <v>75218</v>
      </c>
      <c r="B4643" s="12" t="str">
        <f t="shared" si="72"/>
        <v>752</v>
      </c>
      <c r="C4643" s="14" t="s">
        <v>5939</v>
      </c>
      <c r="D4643" s="13" t="str">
        <f>IF(RIGHT(A4643,3)="000",C4643,VLOOKUP(B4643,'Справочник ИХ'!A:C,3,0))</f>
        <v>Остальные грузы</v>
      </c>
      <c r="E4643" s="13">
        <f>IF(RIGHT(A4643,3)="000","х",VLOOKUP(B4643,'Справочник ИХ'!A:D,4,0))</f>
        <v>3</v>
      </c>
      <c r="F4643" s="14" t="s">
        <v>5495</v>
      </c>
    </row>
    <row r="4644" spans="1:6" ht="31.75">
      <c r="A4644" s="23">
        <v>75219</v>
      </c>
      <c r="B4644" s="12" t="str">
        <f t="shared" si="72"/>
        <v>752</v>
      </c>
      <c r="C4644" s="14" t="s">
        <v>5940</v>
      </c>
      <c r="D4644" s="13" t="str">
        <f>IF(RIGHT(A4644,3)="000",C4644,VLOOKUP(B4644,'Справочник ИХ'!A:C,3,0))</f>
        <v>Остальные грузы</v>
      </c>
      <c r="E4644" s="13">
        <f>IF(RIGHT(A4644,3)="000","х",VLOOKUP(B4644,'Справочник ИХ'!A:D,4,0))</f>
        <v>3</v>
      </c>
      <c r="F4644" s="14" t="s">
        <v>5495</v>
      </c>
    </row>
    <row r="4645" spans="1:6" ht="31.75">
      <c r="A4645" s="23">
        <v>75220</v>
      </c>
      <c r="B4645" s="12" t="str">
        <f t="shared" si="72"/>
        <v>752</v>
      </c>
      <c r="C4645" s="14" t="s">
        <v>5941</v>
      </c>
      <c r="D4645" s="13" t="str">
        <f>IF(RIGHT(A4645,3)="000",C4645,VLOOKUP(B4645,'Справочник ИХ'!A:C,3,0))</f>
        <v>Остальные грузы</v>
      </c>
      <c r="E4645" s="13">
        <f>IF(RIGHT(A4645,3)="000","х",VLOOKUP(B4645,'Справочник ИХ'!A:D,4,0))</f>
        <v>3</v>
      </c>
      <c r="F4645" s="14" t="s">
        <v>5495</v>
      </c>
    </row>
    <row r="4646" spans="1:6" ht="31.75">
      <c r="A4646" s="23">
        <v>75222</v>
      </c>
      <c r="B4646" s="12" t="str">
        <f t="shared" si="72"/>
        <v>752</v>
      </c>
      <c r="C4646" s="14" t="s">
        <v>5942</v>
      </c>
      <c r="D4646" s="13" t="str">
        <f>IF(RIGHT(A4646,3)="000",C4646,VLOOKUP(B4646,'Справочник ИХ'!A:C,3,0))</f>
        <v>Остальные грузы</v>
      </c>
      <c r="E4646" s="13">
        <f>IF(RIGHT(A4646,3)="000","х",VLOOKUP(B4646,'Справочник ИХ'!A:D,4,0))</f>
        <v>3</v>
      </c>
      <c r="F4646" s="14" t="s">
        <v>5495</v>
      </c>
    </row>
    <row r="4647" spans="1:6" ht="31.75">
      <c r="A4647" s="23">
        <v>75223</v>
      </c>
      <c r="B4647" s="12" t="str">
        <f t="shared" si="72"/>
        <v>752</v>
      </c>
      <c r="C4647" s="14" t="s">
        <v>5943</v>
      </c>
      <c r="D4647" s="13" t="str">
        <f>IF(RIGHT(A4647,3)="000",C4647,VLOOKUP(B4647,'Справочник ИХ'!A:C,3,0))</f>
        <v>Остальные грузы</v>
      </c>
      <c r="E4647" s="13">
        <f>IF(RIGHT(A4647,3)="000","х",VLOOKUP(B4647,'Справочник ИХ'!A:D,4,0))</f>
        <v>3</v>
      </c>
      <c r="F4647" s="14" t="s">
        <v>5495</v>
      </c>
    </row>
    <row r="4648" spans="1:6" ht="31.75">
      <c r="A4648" s="23">
        <v>75224</v>
      </c>
      <c r="B4648" s="12" t="str">
        <f t="shared" si="72"/>
        <v>752</v>
      </c>
      <c r="C4648" s="14" t="s">
        <v>5944</v>
      </c>
      <c r="D4648" s="13" t="str">
        <f>IF(RIGHT(A4648,3)="000",C4648,VLOOKUP(B4648,'Справочник ИХ'!A:C,3,0))</f>
        <v>Остальные грузы</v>
      </c>
      <c r="E4648" s="13">
        <f>IF(RIGHT(A4648,3)="000","х",VLOOKUP(B4648,'Справочник ИХ'!A:D,4,0))</f>
        <v>3</v>
      </c>
      <c r="F4648" s="14" t="s">
        <v>5495</v>
      </c>
    </row>
    <row r="4649" spans="1:6" ht="31.75">
      <c r="A4649" s="23">
        <v>75225</v>
      </c>
      <c r="B4649" s="12" t="str">
        <f t="shared" si="72"/>
        <v>752</v>
      </c>
      <c r="C4649" s="14" t="s">
        <v>5945</v>
      </c>
      <c r="D4649" s="13" t="str">
        <f>IF(RIGHT(A4649,3)="000",C4649,VLOOKUP(B4649,'Справочник ИХ'!A:C,3,0))</f>
        <v>Остальные грузы</v>
      </c>
      <c r="E4649" s="13">
        <f>IF(RIGHT(A4649,3)="000","х",VLOOKUP(B4649,'Справочник ИХ'!A:D,4,0))</f>
        <v>3</v>
      </c>
      <c r="F4649" s="14" t="s">
        <v>5495</v>
      </c>
    </row>
    <row r="4650" spans="1:6" ht="31.75">
      <c r="A4650" s="23">
        <v>75226</v>
      </c>
      <c r="B4650" s="12" t="str">
        <f t="shared" si="72"/>
        <v>752</v>
      </c>
      <c r="C4650" s="14" t="s">
        <v>5946</v>
      </c>
      <c r="D4650" s="13" t="str">
        <f>IF(RIGHT(A4650,3)="000",C4650,VLOOKUP(B4650,'Справочник ИХ'!A:C,3,0))</f>
        <v>Остальные грузы</v>
      </c>
      <c r="E4650" s="13">
        <f>IF(RIGHT(A4650,3)="000","х",VLOOKUP(B4650,'Справочник ИХ'!A:D,4,0))</f>
        <v>3</v>
      </c>
      <c r="F4650" s="14" t="s">
        <v>5495</v>
      </c>
    </row>
    <row r="4651" spans="1:6" ht="31.75">
      <c r="A4651" s="23">
        <v>75227</v>
      </c>
      <c r="B4651" s="12" t="str">
        <f t="shared" si="72"/>
        <v>752</v>
      </c>
      <c r="C4651" s="14" t="s">
        <v>5947</v>
      </c>
      <c r="D4651" s="13" t="str">
        <f>IF(RIGHT(A4651,3)="000",C4651,VLOOKUP(B4651,'Справочник ИХ'!A:C,3,0))</f>
        <v>Остальные грузы</v>
      </c>
      <c r="E4651" s="13">
        <f>IF(RIGHT(A4651,3)="000","х",VLOOKUP(B4651,'Справочник ИХ'!A:D,4,0))</f>
        <v>3</v>
      </c>
      <c r="F4651" s="14" t="s">
        <v>5495</v>
      </c>
    </row>
    <row r="4652" spans="1:6" ht="31.75">
      <c r="A4652" s="23">
        <v>75228</v>
      </c>
      <c r="B4652" s="12" t="str">
        <f t="shared" si="72"/>
        <v>752</v>
      </c>
      <c r="C4652" s="14" t="s">
        <v>5948</v>
      </c>
      <c r="D4652" s="13" t="str">
        <f>IF(RIGHT(A4652,3)="000",C4652,VLOOKUP(B4652,'Справочник ИХ'!A:C,3,0))</f>
        <v>Остальные грузы</v>
      </c>
      <c r="E4652" s="13">
        <f>IF(RIGHT(A4652,3)="000","х",VLOOKUP(B4652,'Справочник ИХ'!A:D,4,0))</f>
        <v>3</v>
      </c>
      <c r="F4652" s="14" t="s">
        <v>5495</v>
      </c>
    </row>
    <row r="4653" spans="1:6" ht="31.75">
      <c r="A4653" s="23">
        <v>75229</v>
      </c>
      <c r="B4653" s="12" t="str">
        <f t="shared" si="72"/>
        <v>752</v>
      </c>
      <c r="C4653" s="14" t="s">
        <v>5949</v>
      </c>
      <c r="D4653" s="13" t="str">
        <f>IF(RIGHT(A4653,3)="000",C4653,VLOOKUP(B4653,'Справочник ИХ'!A:C,3,0))</f>
        <v>Остальные грузы</v>
      </c>
      <c r="E4653" s="13">
        <f>IF(RIGHT(A4653,3)="000","х",VLOOKUP(B4653,'Справочник ИХ'!A:D,4,0))</f>
        <v>3</v>
      </c>
      <c r="F4653" s="14" t="s">
        <v>5495</v>
      </c>
    </row>
    <row r="4654" spans="1:6" s="18" customFormat="1" ht="47.6">
      <c r="A4654" s="34" t="s">
        <v>5950</v>
      </c>
      <c r="B4654" s="12" t="str">
        <f t="shared" si="72"/>
        <v>753</v>
      </c>
      <c r="C4654" s="18" t="s">
        <v>5951</v>
      </c>
      <c r="D4654" s="13" t="str">
        <f>IF(RIGHT(A4654,3)="000",C4654,VLOOKUP(B4654,'Справочник ИХ'!A:C,3,0))</f>
        <v>Остальные грузы</v>
      </c>
      <c r="E4654" s="13">
        <f>IF(RIGHT(A4654,3)="000","х",VLOOKUP(B4654,'Справочник ИХ'!A:D,4,0))</f>
        <v>3</v>
      </c>
      <c r="F4654" s="14" t="s">
        <v>5495</v>
      </c>
    </row>
    <row r="4655" spans="1:6" ht="31.75">
      <c r="A4655" s="23">
        <v>75301</v>
      </c>
      <c r="B4655" s="12" t="str">
        <f t="shared" si="72"/>
        <v>753</v>
      </c>
      <c r="C4655" s="14" t="s">
        <v>5952</v>
      </c>
      <c r="D4655" s="13" t="str">
        <f>IF(RIGHT(A4655,3)="000",C4655,VLOOKUP(B4655,'Справочник ИХ'!A:C,3,0))</f>
        <v>Остальные грузы</v>
      </c>
      <c r="E4655" s="13">
        <f>IF(RIGHT(A4655,3)="000","х",VLOOKUP(B4655,'Справочник ИХ'!A:D,4,0))</f>
        <v>3</v>
      </c>
      <c r="F4655" s="14" t="s">
        <v>5495</v>
      </c>
    </row>
    <row r="4656" spans="1:6" ht="31.75">
      <c r="A4656" s="23">
        <v>75303</v>
      </c>
      <c r="B4656" s="12" t="str">
        <f t="shared" si="72"/>
        <v>753</v>
      </c>
      <c r="C4656" s="14" t="s">
        <v>5953</v>
      </c>
      <c r="D4656" s="13" t="str">
        <f>IF(RIGHT(A4656,3)="000",C4656,VLOOKUP(B4656,'Справочник ИХ'!A:C,3,0))</f>
        <v>Остальные грузы</v>
      </c>
      <c r="E4656" s="13">
        <f>IF(RIGHT(A4656,3)="000","х",VLOOKUP(B4656,'Справочник ИХ'!A:D,4,0))</f>
        <v>3</v>
      </c>
      <c r="F4656" s="14" t="s">
        <v>5495</v>
      </c>
    </row>
    <row r="4657" spans="1:6" ht="31.75">
      <c r="A4657" s="23">
        <v>75304</v>
      </c>
      <c r="B4657" s="12" t="str">
        <f t="shared" si="72"/>
        <v>753</v>
      </c>
      <c r="C4657" s="14" t="s">
        <v>5954</v>
      </c>
      <c r="D4657" s="13" t="str">
        <f>IF(RIGHT(A4657,3)="000",C4657,VLOOKUP(B4657,'Справочник ИХ'!A:C,3,0))</f>
        <v>Остальные грузы</v>
      </c>
      <c r="E4657" s="13">
        <f>IF(RIGHT(A4657,3)="000","х",VLOOKUP(B4657,'Справочник ИХ'!A:D,4,0))</f>
        <v>3</v>
      </c>
      <c r="F4657" s="14" t="s">
        <v>5495</v>
      </c>
    </row>
    <row r="4658" spans="1:6" ht="31.75">
      <c r="A4658" s="23">
        <v>75305</v>
      </c>
      <c r="B4658" s="12" t="str">
        <f t="shared" si="72"/>
        <v>753</v>
      </c>
      <c r="C4658" s="14" t="s">
        <v>5955</v>
      </c>
      <c r="D4658" s="13" t="str">
        <f>IF(RIGHT(A4658,3)="000",C4658,VLOOKUP(B4658,'Справочник ИХ'!A:C,3,0))</f>
        <v>Остальные грузы</v>
      </c>
      <c r="E4658" s="13">
        <f>IF(RIGHT(A4658,3)="000","х",VLOOKUP(B4658,'Справочник ИХ'!A:D,4,0))</f>
        <v>3</v>
      </c>
      <c r="F4658" s="14" t="s">
        <v>5495</v>
      </c>
    </row>
    <row r="4659" spans="1:6" ht="31.75">
      <c r="A4659" s="23">
        <v>75306</v>
      </c>
      <c r="B4659" s="12" t="str">
        <f t="shared" si="72"/>
        <v>753</v>
      </c>
      <c r="C4659" s="14" t="s">
        <v>5956</v>
      </c>
      <c r="D4659" s="13" t="str">
        <f>IF(RIGHT(A4659,3)="000",C4659,VLOOKUP(B4659,'Справочник ИХ'!A:C,3,0))</f>
        <v>Остальные грузы</v>
      </c>
      <c r="E4659" s="13">
        <f>IF(RIGHT(A4659,3)="000","х",VLOOKUP(B4659,'Справочник ИХ'!A:D,4,0))</f>
        <v>3</v>
      </c>
      <c r="F4659" s="14" t="s">
        <v>5495</v>
      </c>
    </row>
    <row r="4660" spans="1:6" ht="31.75">
      <c r="A4660" s="23">
        <v>75307</v>
      </c>
      <c r="B4660" s="12" t="str">
        <f t="shared" si="72"/>
        <v>753</v>
      </c>
      <c r="C4660" s="14" t="s">
        <v>5957</v>
      </c>
      <c r="D4660" s="13" t="str">
        <f>IF(RIGHT(A4660,3)="000",C4660,VLOOKUP(B4660,'Справочник ИХ'!A:C,3,0))</f>
        <v>Остальные грузы</v>
      </c>
      <c r="E4660" s="13">
        <f>IF(RIGHT(A4660,3)="000","х",VLOOKUP(B4660,'Справочник ИХ'!A:D,4,0))</f>
        <v>3</v>
      </c>
      <c r="F4660" s="14" t="s">
        <v>5495</v>
      </c>
    </row>
    <row r="4661" spans="1:6" ht="31.75">
      <c r="A4661" s="23">
        <v>75308</v>
      </c>
      <c r="B4661" s="12" t="str">
        <f t="shared" si="72"/>
        <v>753</v>
      </c>
      <c r="C4661" s="14" t="s">
        <v>5958</v>
      </c>
      <c r="D4661" s="13" t="str">
        <f>IF(RIGHT(A4661,3)="000",C4661,VLOOKUP(B4661,'Справочник ИХ'!A:C,3,0))</f>
        <v>Остальные грузы</v>
      </c>
      <c r="E4661" s="13">
        <f>IF(RIGHT(A4661,3)="000","х",VLOOKUP(B4661,'Справочник ИХ'!A:D,4,0))</f>
        <v>3</v>
      </c>
      <c r="F4661" s="14" t="s">
        <v>5495</v>
      </c>
    </row>
    <row r="4662" spans="1:6" ht="31.75">
      <c r="A4662" s="23">
        <v>75309</v>
      </c>
      <c r="B4662" s="12" t="str">
        <f t="shared" si="72"/>
        <v>753</v>
      </c>
      <c r="C4662" s="14" t="s">
        <v>5959</v>
      </c>
      <c r="D4662" s="13" t="str">
        <f>IF(RIGHT(A4662,3)="000",C4662,VLOOKUP(B4662,'Справочник ИХ'!A:C,3,0))</f>
        <v>Остальные грузы</v>
      </c>
      <c r="E4662" s="13">
        <f>IF(RIGHT(A4662,3)="000","х",VLOOKUP(B4662,'Справочник ИХ'!A:D,4,0))</f>
        <v>3</v>
      </c>
      <c r="F4662" s="14" t="s">
        <v>5495</v>
      </c>
    </row>
    <row r="4663" spans="1:6" ht="31.75">
      <c r="A4663" s="23">
        <v>75310</v>
      </c>
      <c r="B4663" s="12" t="str">
        <f t="shared" si="72"/>
        <v>753</v>
      </c>
      <c r="C4663" s="14" t="s">
        <v>5960</v>
      </c>
      <c r="D4663" s="13" t="str">
        <f>IF(RIGHT(A4663,3)="000",C4663,VLOOKUP(B4663,'Справочник ИХ'!A:C,3,0))</f>
        <v>Остальные грузы</v>
      </c>
      <c r="E4663" s="13">
        <f>IF(RIGHT(A4663,3)="000","х",VLOOKUP(B4663,'Справочник ИХ'!A:D,4,0))</f>
        <v>3</v>
      </c>
      <c r="F4663" s="14" t="s">
        <v>5495</v>
      </c>
    </row>
    <row r="4664" spans="1:6" ht="31.75">
      <c r="A4664" s="23">
        <v>75311</v>
      </c>
      <c r="B4664" s="12" t="str">
        <f t="shared" si="72"/>
        <v>753</v>
      </c>
      <c r="C4664" s="14" t="s">
        <v>5961</v>
      </c>
      <c r="D4664" s="13" t="str">
        <f>IF(RIGHT(A4664,3)="000",C4664,VLOOKUP(B4664,'Справочник ИХ'!A:C,3,0))</f>
        <v>Остальные грузы</v>
      </c>
      <c r="E4664" s="13">
        <f>IF(RIGHT(A4664,3)="000","х",VLOOKUP(B4664,'Справочник ИХ'!A:D,4,0))</f>
        <v>3</v>
      </c>
      <c r="F4664" s="14" t="s">
        <v>5495</v>
      </c>
    </row>
    <row r="4665" spans="1:6" ht="31.75">
      <c r="A4665" s="23">
        <v>75312</v>
      </c>
      <c r="B4665" s="12" t="str">
        <f t="shared" si="72"/>
        <v>753</v>
      </c>
      <c r="C4665" s="14" t="s">
        <v>5962</v>
      </c>
      <c r="D4665" s="13" t="str">
        <f>IF(RIGHT(A4665,3)="000",C4665,VLOOKUP(B4665,'Справочник ИХ'!A:C,3,0))</f>
        <v>Остальные грузы</v>
      </c>
      <c r="E4665" s="13">
        <f>IF(RIGHT(A4665,3)="000","х",VLOOKUP(B4665,'Справочник ИХ'!A:D,4,0))</f>
        <v>3</v>
      </c>
      <c r="F4665" s="14" t="s">
        <v>5495</v>
      </c>
    </row>
    <row r="4666" spans="1:6" ht="31.75">
      <c r="A4666" s="23">
        <v>75313</v>
      </c>
      <c r="B4666" s="12" t="str">
        <f t="shared" si="72"/>
        <v>753</v>
      </c>
      <c r="C4666" s="14" t="s">
        <v>5963</v>
      </c>
      <c r="D4666" s="13" t="str">
        <f>IF(RIGHT(A4666,3)="000",C4666,VLOOKUP(B4666,'Справочник ИХ'!A:C,3,0))</f>
        <v>Остальные грузы</v>
      </c>
      <c r="E4666" s="13">
        <f>IF(RIGHT(A4666,3)="000","х",VLOOKUP(B4666,'Справочник ИХ'!A:D,4,0))</f>
        <v>3</v>
      </c>
      <c r="F4666" s="14" t="s">
        <v>5495</v>
      </c>
    </row>
    <row r="4667" spans="1:6" ht="31.75">
      <c r="A4667" s="23">
        <v>75314</v>
      </c>
      <c r="B4667" s="12" t="str">
        <f t="shared" si="72"/>
        <v>753</v>
      </c>
      <c r="C4667" s="14" t="s">
        <v>5964</v>
      </c>
      <c r="D4667" s="13" t="str">
        <f>IF(RIGHT(A4667,3)="000",C4667,VLOOKUP(B4667,'Справочник ИХ'!A:C,3,0))</f>
        <v>Остальные грузы</v>
      </c>
      <c r="E4667" s="13">
        <f>IF(RIGHT(A4667,3)="000","х",VLOOKUP(B4667,'Справочник ИХ'!A:D,4,0))</f>
        <v>3</v>
      </c>
      <c r="F4667" s="14" t="s">
        <v>5495</v>
      </c>
    </row>
    <row r="4668" spans="1:6" ht="31.75">
      <c r="A4668" s="23">
        <v>75315</v>
      </c>
      <c r="B4668" s="12" t="str">
        <f t="shared" si="72"/>
        <v>753</v>
      </c>
      <c r="C4668" s="14" t="s">
        <v>5965</v>
      </c>
      <c r="D4668" s="13" t="str">
        <f>IF(RIGHT(A4668,3)="000",C4668,VLOOKUP(B4668,'Справочник ИХ'!A:C,3,0))</f>
        <v>Остальные грузы</v>
      </c>
      <c r="E4668" s="13">
        <f>IF(RIGHT(A4668,3)="000","х",VLOOKUP(B4668,'Справочник ИХ'!A:D,4,0))</f>
        <v>3</v>
      </c>
      <c r="F4668" s="14" t="s">
        <v>5495</v>
      </c>
    </row>
    <row r="4669" spans="1:6" ht="31.75">
      <c r="A4669" s="23">
        <v>75316</v>
      </c>
      <c r="B4669" s="12" t="str">
        <f t="shared" si="72"/>
        <v>753</v>
      </c>
      <c r="C4669" s="14" t="s">
        <v>5966</v>
      </c>
      <c r="D4669" s="13" t="str">
        <f>IF(RIGHT(A4669,3)="000",C4669,VLOOKUP(B4669,'Справочник ИХ'!A:C,3,0))</f>
        <v>Остальные грузы</v>
      </c>
      <c r="E4669" s="13">
        <f>IF(RIGHT(A4669,3)="000","х",VLOOKUP(B4669,'Справочник ИХ'!A:D,4,0))</f>
        <v>3</v>
      </c>
      <c r="F4669" s="14" t="s">
        <v>5495</v>
      </c>
    </row>
    <row r="4670" spans="1:6" ht="31.75">
      <c r="A4670" s="23">
        <v>75317</v>
      </c>
      <c r="B4670" s="12" t="str">
        <f t="shared" si="72"/>
        <v>753</v>
      </c>
      <c r="C4670" s="14" t="s">
        <v>5967</v>
      </c>
      <c r="D4670" s="13" t="str">
        <f>IF(RIGHT(A4670,3)="000",C4670,VLOOKUP(B4670,'Справочник ИХ'!A:C,3,0))</f>
        <v>Остальные грузы</v>
      </c>
      <c r="E4670" s="13">
        <f>IF(RIGHT(A4670,3)="000","х",VLOOKUP(B4670,'Справочник ИХ'!A:D,4,0))</f>
        <v>3</v>
      </c>
      <c r="F4670" s="14" t="s">
        <v>5495</v>
      </c>
    </row>
    <row r="4671" spans="1:6" ht="31.75">
      <c r="A4671" s="23">
        <v>75318</v>
      </c>
      <c r="B4671" s="12" t="str">
        <f t="shared" si="72"/>
        <v>753</v>
      </c>
      <c r="C4671" s="14" t="s">
        <v>5968</v>
      </c>
      <c r="D4671" s="13" t="str">
        <f>IF(RIGHT(A4671,3)="000",C4671,VLOOKUP(B4671,'Справочник ИХ'!A:C,3,0))</f>
        <v>Остальные грузы</v>
      </c>
      <c r="E4671" s="13">
        <f>IF(RIGHT(A4671,3)="000","х",VLOOKUP(B4671,'Справочник ИХ'!A:D,4,0))</f>
        <v>3</v>
      </c>
      <c r="F4671" s="14" t="s">
        <v>5495</v>
      </c>
    </row>
    <row r="4672" spans="1:6" ht="31.75">
      <c r="A4672" s="23">
        <v>75319</v>
      </c>
      <c r="B4672" s="12" t="str">
        <f t="shared" si="72"/>
        <v>753</v>
      </c>
      <c r="C4672" s="14" t="s">
        <v>5969</v>
      </c>
      <c r="D4672" s="13" t="str">
        <f>IF(RIGHT(A4672,3)="000",C4672,VLOOKUP(B4672,'Справочник ИХ'!A:C,3,0))</f>
        <v>Остальные грузы</v>
      </c>
      <c r="E4672" s="13">
        <f>IF(RIGHT(A4672,3)="000","х",VLOOKUP(B4672,'Справочник ИХ'!A:D,4,0))</f>
        <v>3</v>
      </c>
      <c r="F4672" s="14" t="s">
        <v>5495</v>
      </c>
    </row>
    <row r="4673" spans="1:6" ht="31.75">
      <c r="A4673" s="23">
        <v>75320</v>
      </c>
      <c r="B4673" s="12" t="str">
        <f t="shared" si="72"/>
        <v>753</v>
      </c>
      <c r="C4673" s="14" t="s">
        <v>5970</v>
      </c>
      <c r="D4673" s="13" t="str">
        <f>IF(RIGHT(A4673,3)="000",C4673,VLOOKUP(B4673,'Справочник ИХ'!A:C,3,0))</f>
        <v>Остальные грузы</v>
      </c>
      <c r="E4673" s="13">
        <f>IF(RIGHT(A4673,3)="000","х",VLOOKUP(B4673,'Справочник ИХ'!A:D,4,0))</f>
        <v>3</v>
      </c>
      <c r="F4673" s="14" t="s">
        <v>5495</v>
      </c>
    </row>
    <row r="4674" spans="1:6" ht="31.75">
      <c r="A4674" s="23">
        <v>75321</v>
      </c>
      <c r="B4674" s="12" t="str">
        <f t="shared" si="72"/>
        <v>753</v>
      </c>
      <c r="C4674" s="14" t="s">
        <v>5971</v>
      </c>
      <c r="D4674" s="13" t="str">
        <f>IF(RIGHT(A4674,3)="000",C4674,VLOOKUP(B4674,'Справочник ИХ'!A:C,3,0))</f>
        <v>Остальные грузы</v>
      </c>
      <c r="E4674" s="13">
        <f>IF(RIGHT(A4674,3)="000","х",VLOOKUP(B4674,'Справочник ИХ'!A:D,4,0))</f>
        <v>3</v>
      </c>
      <c r="F4674" s="14" t="s">
        <v>5495</v>
      </c>
    </row>
    <row r="4675" spans="1:6" ht="31.75">
      <c r="A4675" s="23">
        <v>75322</v>
      </c>
      <c r="B4675" s="12" t="str">
        <f t="shared" si="72"/>
        <v>753</v>
      </c>
      <c r="C4675" s="14" t="s">
        <v>5972</v>
      </c>
      <c r="D4675" s="13" t="str">
        <f>IF(RIGHT(A4675,3)="000",C4675,VLOOKUP(B4675,'Справочник ИХ'!A:C,3,0))</f>
        <v>Остальные грузы</v>
      </c>
      <c r="E4675" s="13">
        <f>IF(RIGHT(A4675,3)="000","х",VLOOKUP(B4675,'Справочник ИХ'!A:D,4,0))</f>
        <v>3</v>
      </c>
      <c r="F4675" s="14" t="s">
        <v>5495</v>
      </c>
    </row>
    <row r="4676" spans="1:6" ht="31.75">
      <c r="A4676" s="23">
        <v>75323</v>
      </c>
      <c r="B4676" s="12" t="str">
        <f t="shared" si="72"/>
        <v>753</v>
      </c>
      <c r="C4676" s="14" t="s">
        <v>5973</v>
      </c>
      <c r="D4676" s="13" t="str">
        <f>IF(RIGHT(A4676,3)="000",C4676,VLOOKUP(B4676,'Справочник ИХ'!A:C,3,0))</f>
        <v>Остальные грузы</v>
      </c>
      <c r="E4676" s="13">
        <f>IF(RIGHT(A4676,3)="000","х",VLOOKUP(B4676,'Справочник ИХ'!A:D,4,0))</f>
        <v>3</v>
      </c>
      <c r="F4676" s="14" t="s">
        <v>5495</v>
      </c>
    </row>
    <row r="4677" spans="1:6" ht="31.75">
      <c r="A4677" s="23">
        <v>75324</v>
      </c>
      <c r="B4677" s="12" t="str">
        <f t="shared" ref="B4677:B4740" si="73">LEFT(A4677,3)</f>
        <v>753</v>
      </c>
      <c r="C4677" s="14" t="s">
        <v>5974</v>
      </c>
      <c r="D4677" s="13" t="str">
        <f>IF(RIGHT(A4677,3)="000",C4677,VLOOKUP(B4677,'Справочник ИХ'!A:C,3,0))</f>
        <v>Остальные грузы</v>
      </c>
      <c r="E4677" s="13">
        <f>IF(RIGHT(A4677,3)="000","х",VLOOKUP(B4677,'Справочник ИХ'!A:D,4,0))</f>
        <v>3</v>
      </c>
      <c r="F4677" s="14" t="s">
        <v>5495</v>
      </c>
    </row>
    <row r="4678" spans="1:6" ht="31.75">
      <c r="A4678" s="23">
        <v>75325</v>
      </c>
      <c r="B4678" s="12" t="str">
        <f t="shared" si="73"/>
        <v>753</v>
      </c>
      <c r="C4678" s="14" t="s">
        <v>5975</v>
      </c>
      <c r="D4678" s="13" t="str">
        <f>IF(RIGHT(A4678,3)="000",C4678,VLOOKUP(B4678,'Справочник ИХ'!A:C,3,0))</f>
        <v>Остальные грузы</v>
      </c>
      <c r="E4678" s="13">
        <f>IF(RIGHT(A4678,3)="000","х",VLOOKUP(B4678,'Справочник ИХ'!A:D,4,0))</f>
        <v>3</v>
      </c>
      <c r="F4678" s="14" t="s">
        <v>5495</v>
      </c>
    </row>
    <row r="4679" spans="1:6" ht="31.75">
      <c r="A4679" s="23">
        <v>75326</v>
      </c>
      <c r="B4679" s="12" t="str">
        <f t="shared" si="73"/>
        <v>753</v>
      </c>
      <c r="C4679" s="14" t="s">
        <v>5976</v>
      </c>
      <c r="D4679" s="13" t="str">
        <f>IF(RIGHT(A4679,3)="000",C4679,VLOOKUP(B4679,'Справочник ИХ'!A:C,3,0))</f>
        <v>Остальные грузы</v>
      </c>
      <c r="E4679" s="13">
        <f>IF(RIGHT(A4679,3)="000","х",VLOOKUP(B4679,'Справочник ИХ'!A:D,4,0))</f>
        <v>3</v>
      </c>
      <c r="F4679" s="14" t="s">
        <v>5495</v>
      </c>
    </row>
    <row r="4680" spans="1:6" ht="31.75">
      <c r="A4680" s="23">
        <v>75327</v>
      </c>
      <c r="B4680" s="12" t="str">
        <f t="shared" si="73"/>
        <v>753</v>
      </c>
      <c r="C4680" s="14" t="s">
        <v>5977</v>
      </c>
      <c r="D4680" s="13" t="str">
        <f>IF(RIGHT(A4680,3)="000",C4680,VLOOKUP(B4680,'Справочник ИХ'!A:C,3,0))</f>
        <v>Остальные грузы</v>
      </c>
      <c r="E4680" s="13">
        <f>IF(RIGHT(A4680,3)="000","х",VLOOKUP(B4680,'Справочник ИХ'!A:D,4,0))</f>
        <v>3</v>
      </c>
      <c r="F4680" s="14" t="s">
        <v>5495</v>
      </c>
    </row>
    <row r="4681" spans="1:6" ht="31.75">
      <c r="A4681" s="23">
        <v>75328</v>
      </c>
      <c r="B4681" s="12" t="str">
        <f t="shared" si="73"/>
        <v>753</v>
      </c>
      <c r="C4681" s="14" t="s">
        <v>5978</v>
      </c>
      <c r="D4681" s="13" t="str">
        <f>IF(RIGHT(A4681,3)="000",C4681,VLOOKUP(B4681,'Справочник ИХ'!A:C,3,0))</f>
        <v>Остальные грузы</v>
      </c>
      <c r="E4681" s="13">
        <f>IF(RIGHT(A4681,3)="000","х",VLOOKUP(B4681,'Справочник ИХ'!A:D,4,0))</f>
        <v>3</v>
      </c>
      <c r="F4681" s="14" t="s">
        <v>5495</v>
      </c>
    </row>
    <row r="4682" spans="1:6" ht="31.75">
      <c r="A4682" s="23">
        <v>75329</v>
      </c>
      <c r="B4682" s="12" t="str">
        <f t="shared" si="73"/>
        <v>753</v>
      </c>
      <c r="C4682" s="14" t="s">
        <v>5979</v>
      </c>
      <c r="D4682" s="13" t="str">
        <f>IF(RIGHT(A4682,3)="000",C4682,VLOOKUP(B4682,'Справочник ИХ'!A:C,3,0))</f>
        <v>Остальные грузы</v>
      </c>
      <c r="E4682" s="13">
        <f>IF(RIGHT(A4682,3)="000","х",VLOOKUP(B4682,'Справочник ИХ'!A:D,4,0))</f>
        <v>3</v>
      </c>
      <c r="F4682" s="14" t="s">
        <v>5495</v>
      </c>
    </row>
    <row r="4683" spans="1:6" ht="31.75">
      <c r="A4683" s="23">
        <v>75330</v>
      </c>
      <c r="B4683" s="12" t="str">
        <f t="shared" si="73"/>
        <v>753</v>
      </c>
      <c r="C4683" s="14" t="s">
        <v>5980</v>
      </c>
      <c r="D4683" s="13" t="str">
        <f>IF(RIGHT(A4683,3)="000",C4683,VLOOKUP(B4683,'Справочник ИХ'!A:C,3,0))</f>
        <v>Остальные грузы</v>
      </c>
      <c r="E4683" s="13">
        <f>IF(RIGHT(A4683,3)="000","х",VLOOKUP(B4683,'Справочник ИХ'!A:D,4,0))</f>
        <v>3</v>
      </c>
      <c r="F4683" s="14" t="s">
        <v>5495</v>
      </c>
    </row>
    <row r="4684" spans="1:6" ht="31.75">
      <c r="A4684" s="23">
        <v>75331</v>
      </c>
      <c r="B4684" s="12" t="str">
        <f t="shared" si="73"/>
        <v>753</v>
      </c>
      <c r="C4684" s="14" t="s">
        <v>5981</v>
      </c>
      <c r="D4684" s="13" t="str">
        <f>IF(RIGHT(A4684,3)="000",C4684,VLOOKUP(B4684,'Справочник ИХ'!A:C,3,0))</f>
        <v>Остальные грузы</v>
      </c>
      <c r="E4684" s="13">
        <f>IF(RIGHT(A4684,3)="000","х",VLOOKUP(B4684,'Справочник ИХ'!A:D,4,0))</f>
        <v>3</v>
      </c>
      <c r="F4684" s="14" t="s">
        <v>5495</v>
      </c>
    </row>
    <row r="4685" spans="1:6" ht="31.75">
      <c r="A4685" s="23">
        <v>75332</v>
      </c>
      <c r="B4685" s="12" t="str">
        <f t="shared" si="73"/>
        <v>753</v>
      </c>
      <c r="C4685" s="14" t="s">
        <v>5982</v>
      </c>
      <c r="D4685" s="13" t="str">
        <f>IF(RIGHT(A4685,3)="000",C4685,VLOOKUP(B4685,'Справочник ИХ'!A:C,3,0))</f>
        <v>Остальные грузы</v>
      </c>
      <c r="E4685" s="13">
        <f>IF(RIGHT(A4685,3)="000","х",VLOOKUP(B4685,'Справочник ИХ'!A:D,4,0))</f>
        <v>3</v>
      </c>
      <c r="F4685" s="14" t="s">
        <v>5495</v>
      </c>
    </row>
    <row r="4686" spans="1:6" ht="31.75">
      <c r="A4686" s="23">
        <v>75333</v>
      </c>
      <c r="B4686" s="12" t="str">
        <f t="shared" si="73"/>
        <v>753</v>
      </c>
      <c r="C4686" s="14" t="s">
        <v>5983</v>
      </c>
      <c r="D4686" s="13" t="str">
        <f>IF(RIGHT(A4686,3)="000",C4686,VLOOKUP(B4686,'Справочник ИХ'!A:C,3,0))</f>
        <v>Остальные грузы</v>
      </c>
      <c r="E4686" s="13">
        <f>IF(RIGHT(A4686,3)="000","х",VLOOKUP(B4686,'Справочник ИХ'!A:D,4,0))</f>
        <v>3</v>
      </c>
      <c r="F4686" s="14" t="s">
        <v>5495</v>
      </c>
    </row>
    <row r="4687" spans="1:6" ht="31.75">
      <c r="A4687" s="23">
        <v>75334</v>
      </c>
      <c r="B4687" s="12" t="str">
        <f t="shared" si="73"/>
        <v>753</v>
      </c>
      <c r="C4687" s="14" t="s">
        <v>5984</v>
      </c>
      <c r="D4687" s="13" t="str">
        <f>IF(RIGHT(A4687,3)="000",C4687,VLOOKUP(B4687,'Справочник ИХ'!A:C,3,0))</f>
        <v>Остальные грузы</v>
      </c>
      <c r="E4687" s="13">
        <f>IF(RIGHT(A4687,3)="000","х",VLOOKUP(B4687,'Справочник ИХ'!A:D,4,0))</f>
        <v>3</v>
      </c>
      <c r="F4687" s="14" t="s">
        <v>5495</v>
      </c>
    </row>
    <row r="4688" spans="1:6" ht="31.75">
      <c r="A4688" s="23">
        <v>75335</v>
      </c>
      <c r="B4688" s="12" t="str">
        <f t="shared" si="73"/>
        <v>753</v>
      </c>
      <c r="C4688" s="14" t="s">
        <v>5985</v>
      </c>
      <c r="D4688" s="13" t="str">
        <f>IF(RIGHT(A4688,3)="000",C4688,VLOOKUP(B4688,'Справочник ИХ'!A:C,3,0))</f>
        <v>Остальные грузы</v>
      </c>
      <c r="E4688" s="13">
        <f>IF(RIGHT(A4688,3)="000","х",VLOOKUP(B4688,'Справочник ИХ'!A:D,4,0))</f>
        <v>3</v>
      </c>
      <c r="F4688" s="14" t="s">
        <v>5495</v>
      </c>
    </row>
    <row r="4689" spans="1:6" ht="31.75">
      <c r="A4689" s="23">
        <v>75336</v>
      </c>
      <c r="B4689" s="12" t="str">
        <f t="shared" si="73"/>
        <v>753</v>
      </c>
      <c r="C4689" s="14" t="s">
        <v>5986</v>
      </c>
      <c r="D4689" s="13" t="str">
        <f>IF(RIGHT(A4689,3)="000",C4689,VLOOKUP(B4689,'Справочник ИХ'!A:C,3,0))</f>
        <v>Остальные грузы</v>
      </c>
      <c r="E4689" s="13">
        <f>IF(RIGHT(A4689,3)="000","х",VLOOKUP(B4689,'Справочник ИХ'!A:D,4,0))</f>
        <v>3</v>
      </c>
      <c r="F4689" s="14" t="s">
        <v>5495</v>
      </c>
    </row>
    <row r="4690" spans="1:6" ht="31.75">
      <c r="A4690" s="23">
        <v>75337</v>
      </c>
      <c r="B4690" s="12" t="str">
        <f t="shared" si="73"/>
        <v>753</v>
      </c>
      <c r="C4690" s="14" t="s">
        <v>5987</v>
      </c>
      <c r="D4690" s="13" t="str">
        <f>IF(RIGHT(A4690,3)="000",C4690,VLOOKUP(B4690,'Справочник ИХ'!A:C,3,0))</f>
        <v>Остальные грузы</v>
      </c>
      <c r="E4690" s="13">
        <f>IF(RIGHT(A4690,3)="000","х",VLOOKUP(B4690,'Справочник ИХ'!A:D,4,0))</f>
        <v>3</v>
      </c>
      <c r="F4690" s="14" t="s">
        <v>5495</v>
      </c>
    </row>
    <row r="4691" spans="1:6" ht="31.75">
      <c r="A4691" s="23">
        <v>75338</v>
      </c>
      <c r="B4691" s="12" t="str">
        <f t="shared" si="73"/>
        <v>753</v>
      </c>
      <c r="C4691" s="14" t="s">
        <v>5988</v>
      </c>
      <c r="D4691" s="13" t="str">
        <f>IF(RIGHT(A4691,3)="000",C4691,VLOOKUP(B4691,'Справочник ИХ'!A:C,3,0))</f>
        <v>Остальные грузы</v>
      </c>
      <c r="E4691" s="13">
        <f>IF(RIGHT(A4691,3)="000","х",VLOOKUP(B4691,'Справочник ИХ'!A:D,4,0))</f>
        <v>3</v>
      </c>
      <c r="F4691" s="14" t="s">
        <v>5495</v>
      </c>
    </row>
    <row r="4692" spans="1:6" ht="31.75">
      <c r="A4692" s="23">
        <v>75339</v>
      </c>
      <c r="B4692" s="12" t="str">
        <f t="shared" si="73"/>
        <v>753</v>
      </c>
      <c r="C4692" s="14" t="s">
        <v>5989</v>
      </c>
      <c r="D4692" s="13" t="str">
        <f>IF(RIGHT(A4692,3)="000",C4692,VLOOKUP(B4692,'Справочник ИХ'!A:C,3,0))</f>
        <v>Остальные грузы</v>
      </c>
      <c r="E4692" s="13">
        <f>IF(RIGHT(A4692,3)="000","х",VLOOKUP(B4692,'Справочник ИХ'!A:D,4,0))</f>
        <v>3</v>
      </c>
      <c r="F4692" s="14" t="s">
        <v>5495</v>
      </c>
    </row>
    <row r="4693" spans="1:6" ht="31.75">
      <c r="A4693" s="23">
        <v>75340</v>
      </c>
      <c r="B4693" s="12" t="str">
        <f t="shared" si="73"/>
        <v>753</v>
      </c>
      <c r="C4693" s="14" t="s">
        <v>5990</v>
      </c>
      <c r="D4693" s="13" t="str">
        <f>IF(RIGHT(A4693,3)="000",C4693,VLOOKUP(B4693,'Справочник ИХ'!A:C,3,0))</f>
        <v>Остальные грузы</v>
      </c>
      <c r="E4693" s="13">
        <f>IF(RIGHT(A4693,3)="000","х",VLOOKUP(B4693,'Справочник ИХ'!A:D,4,0))</f>
        <v>3</v>
      </c>
      <c r="F4693" s="14" t="s">
        <v>5495</v>
      </c>
    </row>
    <row r="4694" spans="1:6" ht="31.75">
      <c r="A4694" s="23">
        <v>75341</v>
      </c>
      <c r="B4694" s="12" t="str">
        <f t="shared" si="73"/>
        <v>753</v>
      </c>
      <c r="C4694" s="14" t="s">
        <v>5991</v>
      </c>
      <c r="D4694" s="13" t="str">
        <f>IF(RIGHT(A4694,3)="000",C4694,VLOOKUP(B4694,'Справочник ИХ'!A:C,3,0))</f>
        <v>Остальные грузы</v>
      </c>
      <c r="E4694" s="13">
        <f>IF(RIGHT(A4694,3)="000","х",VLOOKUP(B4694,'Справочник ИХ'!A:D,4,0))</f>
        <v>3</v>
      </c>
      <c r="F4694" s="14" t="s">
        <v>5495</v>
      </c>
    </row>
    <row r="4695" spans="1:6" ht="31.75">
      <c r="A4695" s="23">
        <v>75342</v>
      </c>
      <c r="B4695" s="12" t="str">
        <f t="shared" si="73"/>
        <v>753</v>
      </c>
      <c r="C4695" s="14" t="s">
        <v>5992</v>
      </c>
      <c r="D4695" s="13" t="str">
        <f>IF(RIGHT(A4695,3)="000",C4695,VLOOKUP(B4695,'Справочник ИХ'!A:C,3,0))</f>
        <v>Остальные грузы</v>
      </c>
      <c r="E4695" s="13">
        <f>IF(RIGHT(A4695,3)="000","х",VLOOKUP(B4695,'Справочник ИХ'!A:D,4,0))</f>
        <v>3</v>
      </c>
      <c r="F4695" s="14" t="s">
        <v>5495</v>
      </c>
    </row>
    <row r="4696" spans="1:6" ht="31.75">
      <c r="A4696" s="23">
        <v>75343</v>
      </c>
      <c r="B4696" s="12" t="str">
        <f t="shared" si="73"/>
        <v>753</v>
      </c>
      <c r="C4696" s="14" t="s">
        <v>5993</v>
      </c>
      <c r="D4696" s="13" t="str">
        <f>IF(RIGHT(A4696,3)="000",C4696,VLOOKUP(B4696,'Справочник ИХ'!A:C,3,0))</f>
        <v>Остальные грузы</v>
      </c>
      <c r="E4696" s="13">
        <f>IF(RIGHT(A4696,3)="000","х",VLOOKUP(B4696,'Справочник ИХ'!A:D,4,0))</f>
        <v>3</v>
      </c>
      <c r="F4696" s="14" t="s">
        <v>5495</v>
      </c>
    </row>
    <row r="4697" spans="1:6" ht="31.75">
      <c r="A4697" s="23">
        <v>75344</v>
      </c>
      <c r="B4697" s="12" t="str">
        <f t="shared" si="73"/>
        <v>753</v>
      </c>
      <c r="C4697" s="14" t="s">
        <v>5994</v>
      </c>
      <c r="D4697" s="13" t="str">
        <f>IF(RIGHT(A4697,3)="000",C4697,VLOOKUP(B4697,'Справочник ИХ'!A:C,3,0))</f>
        <v>Остальные грузы</v>
      </c>
      <c r="E4697" s="13">
        <f>IF(RIGHT(A4697,3)="000","х",VLOOKUP(B4697,'Справочник ИХ'!A:D,4,0))</f>
        <v>3</v>
      </c>
      <c r="F4697" s="14" t="s">
        <v>5495</v>
      </c>
    </row>
    <row r="4698" spans="1:6" ht="31.75">
      <c r="A4698" s="23">
        <v>75345</v>
      </c>
      <c r="B4698" s="12" t="str">
        <f t="shared" si="73"/>
        <v>753</v>
      </c>
      <c r="C4698" s="14" t="s">
        <v>5995</v>
      </c>
      <c r="D4698" s="13" t="str">
        <f>IF(RIGHT(A4698,3)="000",C4698,VLOOKUP(B4698,'Справочник ИХ'!A:C,3,0))</f>
        <v>Остальные грузы</v>
      </c>
      <c r="E4698" s="13">
        <f>IF(RIGHT(A4698,3)="000","х",VLOOKUP(B4698,'Справочник ИХ'!A:D,4,0))</f>
        <v>3</v>
      </c>
      <c r="F4698" s="14" t="s">
        <v>5495</v>
      </c>
    </row>
    <row r="4699" spans="1:6" ht="31.75">
      <c r="A4699" s="23">
        <v>75346</v>
      </c>
      <c r="B4699" s="12" t="str">
        <f t="shared" si="73"/>
        <v>753</v>
      </c>
      <c r="C4699" s="14" t="s">
        <v>5996</v>
      </c>
      <c r="D4699" s="13" t="str">
        <f>IF(RIGHT(A4699,3)="000",C4699,VLOOKUP(B4699,'Справочник ИХ'!A:C,3,0))</f>
        <v>Остальные грузы</v>
      </c>
      <c r="E4699" s="13">
        <f>IF(RIGHT(A4699,3)="000","х",VLOOKUP(B4699,'Справочник ИХ'!A:D,4,0))</f>
        <v>3</v>
      </c>
      <c r="F4699" s="14" t="s">
        <v>5495</v>
      </c>
    </row>
    <row r="4700" spans="1:6" ht="31.75">
      <c r="A4700" s="23">
        <v>75347</v>
      </c>
      <c r="B4700" s="12" t="str">
        <f t="shared" si="73"/>
        <v>753</v>
      </c>
      <c r="C4700" s="14" t="s">
        <v>5997</v>
      </c>
      <c r="D4700" s="13" t="str">
        <f>IF(RIGHT(A4700,3)="000",C4700,VLOOKUP(B4700,'Справочник ИХ'!A:C,3,0))</f>
        <v>Остальные грузы</v>
      </c>
      <c r="E4700" s="13">
        <f>IF(RIGHT(A4700,3)="000","х",VLOOKUP(B4700,'Справочник ИХ'!A:D,4,0))</f>
        <v>3</v>
      </c>
      <c r="F4700" s="14" t="s">
        <v>5495</v>
      </c>
    </row>
    <row r="4701" spans="1:6" ht="31.75">
      <c r="A4701" s="23">
        <v>75348</v>
      </c>
      <c r="B4701" s="12" t="str">
        <f t="shared" si="73"/>
        <v>753</v>
      </c>
      <c r="C4701" s="14" t="s">
        <v>5998</v>
      </c>
      <c r="D4701" s="13" t="str">
        <f>IF(RIGHT(A4701,3)="000",C4701,VLOOKUP(B4701,'Справочник ИХ'!A:C,3,0))</f>
        <v>Остальные грузы</v>
      </c>
      <c r="E4701" s="13">
        <f>IF(RIGHT(A4701,3)="000","х",VLOOKUP(B4701,'Справочник ИХ'!A:D,4,0))</f>
        <v>3</v>
      </c>
      <c r="F4701" s="14" t="s">
        <v>5495</v>
      </c>
    </row>
    <row r="4702" spans="1:6" ht="31.75">
      <c r="A4702" s="23">
        <v>75349</v>
      </c>
      <c r="B4702" s="12" t="str">
        <f t="shared" si="73"/>
        <v>753</v>
      </c>
      <c r="C4702" s="14" t="s">
        <v>5999</v>
      </c>
      <c r="D4702" s="13" t="str">
        <f>IF(RIGHT(A4702,3)="000",C4702,VLOOKUP(B4702,'Справочник ИХ'!A:C,3,0))</f>
        <v>Остальные грузы</v>
      </c>
      <c r="E4702" s="13">
        <f>IF(RIGHT(A4702,3)="000","х",VLOOKUP(B4702,'Справочник ИХ'!A:D,4,0))</f>
        <v>3</v>
      </c>
      <c r="F4702" s="14" t="s">
        <v>5495</v>
      </c>
    </row>
    <row r="4703" spans="1:6" ht="31.75">
      <c r="A4703" s="23">
        <v>75350</v>
      </c>
      <c r="B4703" s="12" t="str">
        <f t="shared" si="73"/>
        <v>753</v>
      </c>
      <c r="C4703" s="14" t="s">
        <v>6000</v>
      </c>
      <c r="D4703" s="13" t="str">
        <f>IF(RIGHT(A4703,3)="000",C4703,VLOOKUP(B4703,'Справочник ИХ'!A:C,3,0))</f>
        <v>Остальные грузы</v>
      </c>
      <c r="E4703" s="13">
        <f>IF(RIGHT(A4703,3)="000","х",VLOOKUP(B4703,'Справочник ИХ'!A:D,4,0))</f>
        <v>3</v>
      </c>
      <c r="F4703" s="14" t="s">
        <v>5495</v>
      </c>
    </row>
    <row r="4704" spans="1:6" ht="31.75">
      <c r="A4704" s="23">
        <v>75351</v>
      </c>
      <c r="B4704" s="12" t="str">
        <f t="shared" si="73"/>
        <v>753</v>
      </c>
      <c r="C4704" s="14" t="s">
        <v>6001</v>
      </c>
      <c r="D4704" s="13" t="str">
        <f>IF(RIGHT(A4704,3)="000",C4704,VLOOKUP(B4704,'Справочник ИХ'!A:C,3,0))</f>
        <v>Остальные грузы</v>
      </c>
      <c r="E4704" s="13">
        <f>IF(RIGHT(A4704,3)="000","х",VLOOKUP(B4704,'Справочник ИХ'!A:D,4,0))</f>
        <v>3</v>
      </c>
      <c r="F4704" s="14" t="s">
        <v>5495</v>
      </c>
    </row>
    <row r="4705" spans="1:6" s="18" customFormat="1" ht="31.75">
      <c r="A4705" s="34" t="s">
        <v>6002</v>
      </c>
      <c r="B4705" s="12" t="str">
        <f t="shared" si="73"/>
        <v>754</v>
      </c>
      <c r="C4705" s="18" t="s">
        <v>6003</v>
      </c>
      <c r="D4705" s="13" t="str">
        <f>IF(RIGHT(A4705,3)="000",C4705,VLOOKUP(B4705,'Справочник ИХ'!A:C,3,0))</f>
        <v>Остальные грузы</v>
      </c>
      <c r="E4705" s="13">
        <f>IF(RIGHT(A4705,3)="000","х",VLOOKUP(B4705,'Справочник ИХ'!A:D,4,0))</f>
        <v>3</v>
      </c>
      <c r="F4705" s="14" t="s">
        <v>5495</v>
      </c>
    </row>
    <row r="4706" spans="1:6" ht="31.75">
      <c r="A4706" s="23">
        <v>75401</v>
      </c>
      <c r="B4706" s="12" t="str">
        <f t="shared" si="73"/>
        <v>754</v>
      </c>
      <c r="C4706" s="14" t="s">
        <v>6004</v>
      </c>
      <c r="D4706" s="13" t="str">
        <f>IF(RIGHT(A4706,3)="000",C4706,VLOOKUP(B4706,'Справочник ИХ'!A:C,3,0))</f>
        <v>Остальные грузы</v>
      </c>
      <c r="E4706" s="13">
        <f>IF(RIGHT(A4706,3)="000","х",VLOOKUP(B4706,'Справочник ИХ'!A:D,4,0))</f>
        <v>3</v>
      </c>
      <c r="F4706" s="14" t="s">
        <v>5495</v>
      </c>
    </row>
    <row r="4707" spans="1:6" ht="31.75">
      <c r="A4707" s="23">
        <v>75402</v>
      </c>
      <c r="B4707" s="12" t="str">
        <f t="shared" si="73"/>
        <v>754</v>
      </c>
      <c r="C4707" s="14" t="s">
        <v>6005</v>
      </c>
      <c r="D4707" s="13" t="str">
        <f>IF(RIGHT(A4707,3)="000",C4707,VLOOKUP(B4707,'Справочник ИХ'!A:C,3,0))</f>
        <v>Остальные грузы</v>
      </c>
      <c r="E4707" s="13">
        <f>IF(RIGHT(A4707,3)="000","х",VLOOKUP(B4707,'Справочник ИХ'!A:D,4,0))</f>
        <v>3</v>
      </c>
      <c r="F4707" s="14" t="s">
        <v>5495</v>
      </c>
    </row>
    <row r="4708" spans="1:6" ht="31.75">
      <c r="A4708" s="23">
        <v>75403</v>
      </c>
      <c r="B4708" s="12" t="str">
        <f t="shared" si="73"/>
        <v>754</v>
      </c>
      <c r="C4708" s="14" t="s">
        <v>6006</v>
      </c>
      <c r="D4708" s="13" t="str">
        <f>IF(RIGHT(A4708,3)="000",C4708,VLOOKUP(B4708,'Справочник ИХ'!A:C,3,0))</f>
        <v>Остальные грузы</v>
      </c>
      <c r="E4708" s="13">
        <f>IF(RIGHT(A4708,3)="000","х",VLOOKUP(B4708,'Справочник ИХ'!A:D,4,0))</f>
        <v>3</v>
      </c>
      <c r="F4708" s="14" t="s">
        <v>5495</v>
      </c>
    </row>
    <row r="4709" spans="1:6" ht="31.75">
      <c r="A4709" s="23">
        <v>75404</v>
      </c>
      <c r="B4709" s="12" t="str">
        <f t="shared" si="73"/>
        <v>754</v>
      </c>
      <c r="C4709" s="14" t="s">
        <v>6007</v>
      </c>
      <c r="D4709" s="13" t="str">
        <f>IF(RIGHT(A4709,3)="000",C4709,VLOOKUP(B4709,'Справочник ИХ'!A:C,3,0))</f>
        <v>Остальные грузы</v>
      </c>
      <c r="E4709" s="13">
        <f>IF(RIGHT(A4709,3)="000","х",VLOOKUP(B4709,'Справочник ИХ'!A:D,4,0))</f>
        <v>3</v>
      </c>
      <c r="F4709" s="14" t="s">
        <v>5495</v>
      </c>
    </row>
    <row r="4710" spans="1:6" ht="31.75">
      <c r="A4710" s="23">
        <v>75405</v>
      </c>
      <c r="B4710" s="12" t="str">
        <f t="shared" si="73"/>
        <v>754</v>
      </c>
      <c r="C4710" s="14" t="s">
        <v>6008</v>
      </c>
      <c r="D4710" s="13" t="str">
        <f>IF(RIGHT(A4710,3)="000",C4710,VLOOKUP(B4710,'Справочник ИХ'!A:C,3,0))</f>
        <v>Остальные грузы</v>
      </c>
      <c r="E4710" s="13">
        <f>IF(RIGHT(A4710,3)="000","х",VLOOKUP(B4710,'Справочник ИХ'!A:D,4,0))</f>
        <v>3</v>
      </c>
      <c r="F4710" s="14" t="s">
        <v>5495</v>
      </c>
    </row>
    <row r="4711" spans="1:6" ht="31.75">
      <c r="A4711" s="23">
        <v>75407</v>
      </c>
      <c r="B4711" s="12" t="str">
        <f t="shared" si="73"/>
        <v>754</v>
      </c>
      <c r="C4711" s="14" t="s">
        <v>6009</v>
      </c>
      <c r="D4711" s="13" t="str">
        <f>IF(RIGHT(A4711,3)="000",C4711,VLOOKUP(B4711,'Справочник ИХ'!A:C,3,0))</f>
        <v>Остальные грузы</v>
      </c>
      <c r="E4711" s="13">
        <f>IF(RIGHT(A4711,3)="000","х",VLOOKUP(B4711,'Справочник ИХ'!A:D,4,0))</f>
        <v>3</v>
      </c>
      <c r="F4711" s="14" t="s">
        <v>5495</v>
      </c>
    </row>
    <row r="4712" spans="1:6" ht="31.75">
      <c r="A4712" s="23">
        <v>75408</v>
      </c>
      <c r="B4712" s="12" t="str">
        <f t="shared" si="73"/>
        <v>754</v>
      </c>
      <c r="C4712" s="14" t="s">
        <v>6010</v>
      </c>
      <c r="D4712" s="13" t="str">
        <f>IF(RIGHT(A4712,3)="000",C4712,VLOOKUP(B4712,'Справочник ИХ'!A:C,3,0))</f>
        <v>Остальные грузы</v>
      </c>
      <c r="E4712" s="13">
        <f>IF(RIGHT(A4712,3)="000","х",VLOOKUP(B4712,'Справочник ИХ'!A:D,4,0))</f>
        <v>3</v>
      </c>
      <c r="F4712" s="14" t="s">
        <v>5495</v>
      </c>
    </row>
    <row r="4713" spans="1:6" ht="31.75">
      <c r="A4713" s="23">
        <v>75409</v>
      </c>
      <c r="B4713" s="12" t="str">
        <f t="shared" si="73"/>
        <v>754</v>
      </c>
      <c r="C4713" s="14" t="s">
        <v>6011</v>
      </c>
      <c r="D4713" s="13" t="str">
        <f>IF(RIGHT(A4713,3)="000",C4713,VLOOKUP(B4713,'Справочник ИХ'!A:C,3,0))</f>
        <v>Остальные грузы</v>
      </c>
      <c r="E4713" s="13">
        <f>IF(RIGHT(A4713,3)="000","х",VLOOKUP(B4713,'Справочник ИХ'!A:D,4,0))</f>
        <v>3</v>
      </c>
      <c r="F4713" s="14" t="s">
        <v>5495</v>
      </c>
    </row>
    <row r="4714" spans="1:6" ht="31.75">
      <c r="A4714" s="23">
        <v>75410</v>
      </c>
      <c r="B4714" s="12" t="str">
        <f t="shared" si="73"/>
        <v>754</v>
      </c>
      <c r="C4714" s="14" t="s">
        <v>6012</v>
      </c>
      <c r="D4714" s="13" t="str">
        <f>IF(RIGHT(A4714,3)="000",C4714,VLOOKUP(B4714,'Справочник ИХ'!A:C,3,0))</f>
        <v>Остальные грузы</v>
      </c>
      <c r="E4714" s="13">
        <f>IF(RIGHT(A4714,3)="000","х",VLOOKUP(B4714,'Справочник ИХ'!A:D,4,0))</f>
        <v>3</v>
      </c>
      <c r="F4714" s="14" t="s">
        <v>5495</v>
      </c>
    </row>
    <row r="4715" spans="1:6" ht="31.75">
      <c r="A4715" s="23">
        <v>75411</v>
      </c>
      <c r="B4715" s="12" t="str">
        <f t="shared" si="73"/>
        <v>754</v>
      </c>
      <c r="C4715" s="14" t="s">
        <v>6013</v>
      </c>
      <c r="D4715" s="13" t="str">
        <f>IF(RIGHT(A4715,3)="000",C4715,VLOOKUP(B4715,'Справочник ИХ'!A:C,3,0))</f>
        <v>Остальные грузы</v>
      </c>
      <c r="E4715" s="13">
        <f>IF(RIGHT(A4715,3)="000","х",VLOOKUP(B4715,'Справочник ИХ'!A:D,4,0))</f>
        <v>3</v>
      </c>
      <c r="F4715" s="14" t="s">
        <v>5495</v>
      </c>
    </row>
    <row r="4716" spans="1:6" ht="31.75">
      <c r="A4716" s="23">
        <v>75412</v>
      </c>
      <c r="B4716" s="12" t="str">
        <f t="shared" si="73"/>
        <v>754</v>
      </c>
      <c r="C4716" s="14" t="s">
        <v>6014</v>
      </c>
      <c r="D4716" s="13" t="str">
        <f>IF(RIGHT(A4716,3)="000",C4716,VLOOKUP(B4716,'Справочник ИХ'!A:C,3,0))</f>
        <v>Остальные грузы</v>
      </c>
      <c r="E4716" s="13">
        <f>IF(RIGHT(A4716,3)="000","х",VLOOKUP(B4716,'Справочник ИХ'!A:D,4,0))</f>
        <v>3</v>
      </c>
      <c r="F4716" s="14" t="s">
        <v>5495</v>
      </c>
    </row>
    <row r="4717" spans="1:6" ht="31.75">
      <c r="A4717" s="23">
        <v>75413</v>
      </c>
      <c r="B4717" s="12" t="str">
        <f t="shared" si="73"/>
        <v>754</v>
      </c>
      <c r="C4717" s="14" t="s">
        <v>6015</v>
      </c>
      <c r="D4717" s="13" t="str">
        <f>IF(RIGHT(A4717,3)="000",C4717,VLOOKUP(B4717,'Справочник ИХ'!A:C,3,0))</f>
        <v>Остальные грузы</v>
      </c>
      <c r="E4717" s="13">
        <f>IF(RIGHT(A4717,3)="000","х",VLOOKUP(B4717,'Справочник ИХ'!A:D,4,0))</f>
        <v>3</v>
      </c>
      <c r="F4717" s="14" t="s">
        <v>5495</v>
      </c>
    </row>
    <row r="4718" spans="1:6" ht="31.75">
      <c r="A4718" s="23">
        <v>75414</v>
      </c>
      <c r="B4718" s="12" t="str">
        <f t="shared" si="73"/>
        <v>754</v>
      </c>
      <c r="C4718" s="14" t="s">
        <v>6016</v>
      </c>
      <c r="D4718" s="13" t="str">
        <f>IF(RIGHT(A4718,3)="000",C4718,VLOOKUP(B4718,'Справочник ИХ'!A:C,3,0))</f>
        <v>Остальные грузы</v>
      </c>
      <c r="E4718" s="13">
        <f>IF(RIGHT(A4718,3)="000","х",VLOOKUP(B4718,'Справочник ИХ'!A:D,4,0))</f>
        <v>3</v>
      </c>
      <c r="F4718" s="14" t="s">
        <v>5495</v>
      </c>
    </row>
    <row r="4719" spans="1:6" ht="31.75">
      <c r="A4719" s="23">
        <v>75417</v>
      </c>
      <c r="B4719" s="12" t="str">
        <f t="shared" si="73"/>
        <v>754</v>
      </c>
      <c r="C4719" s="14" t="s">
        <v>6017</v>
      </c>
      <c r="D4719" s="13" t="str">
        <f>IF(RIGHT(A4719,3)="000",C4719,VLOOKUP(B4719,'Справочник ИХ'!A:C,3,0))</f>
        <v>Остальные грузы</v>
      </c>
      <c r="E4719" s="13">
        <f>IF(RIGHT(A4719,3)="000","х",VLOOKUP(B4719,'Справочник ИХ'!A:D,4,0))</f>
        <v>3</v>
      </c>
      <c r="F4719" s="14" t="s">
        <v>5495</v>
      </c>
    </row>
    <row r="4720" spans="1:6" ht="31.75">
      <c r="A4720" s="23">
        <v>75418</v>
      </c>
      <c r="B4720" s="12" t="str">
        <f t="shared" si="73"/>
        <v>754</v>
      </c>
      <c r="C4720" s="14" t="s">
        <v>6018</v>
      </c>
      <c r="D4720" s="13" t="str">
        <f>IF(RIGHT(A4720,3)="000",C4720,VLOOKUP(B4720,'Справочник ИХ'!A:C,3,0))</f>
        <v>Остальные грузы</v>
      </c>
      <c r="E4720" s="13">
        <f>IF(RIGHT(A4720,3)="000","х",VLOOKUP(B4720,'Справочник ИХ'!A:D,4,0))</f>
        <v>3</v>
      </c>
      <c r="F4720" s="14" t="s">
        <v>5495</v>
      </c>
    </row>
    <row r="4721" spans="1:6" ht="31.75">
      <c r="A4721" s="23">
        <v>75419</v>
      </c>
      <c r="B4721" s="12" t="str">
        <f t="shared" si="73"/>
        <v>754</v>
      </c>
      <c r="C4721" s="14" t="s">
        <v>6019</v>
      </c>
      <c r="D4721" s="13" t="str">
        <f>IF(RIGHT(A4721,3)="000",C4721,VLOOKUP(B4721,'Справочник ИХ'!A:C,3,0))</f>
        <v>Остальные грузы</v>
      </c>
      <c r="E4721" s="13">
        <f>IF(RIGHT(A4721,3)="000","х",VLOOKUP(B4721,'Справочник ИХ'!A:D,4,0))</f>
        <v>3</v>
      </c>
      <c r="F4721" s="14" t="s">
        <v>5495</v>
      </c>
    </row>
    <row r="4722" spans="1:6" ht="31.75">
      <c r="A4722" s="23">
        <v>75420</v>
      </c>
      <c r="B4722" s="12" t="str">
        <f t="shared" si="73"/>
        <v>754</v>
      </c>
      <c r="C4722" s="14" t="s">
        <v>6020</v>
      </c>
      <c r="D4722" s="13" t="str">
        <f>IF(RIGHT(A4722,3)="000",C4722,VLOOKUP(B4722,'Справочник ИХ'!A:C,3,0))</f>
        <v>Остальные грузы</v>
      </c>
      <c r="E4722" s="13">
        <f>IF(RIGHT(A4722,3)="000","х",VLOOKUP(B4722,'Справочник ИХ'!A:D,4,0))</f>
        <v>3</v>
      </c>
      <c r="F4722" s="14" t="s">
        <v>5495</v>
      </c>
    </row>
    <row r="4723" spans="1:6" ht="31.75">
      <c r="A4723" s="23">
        <v>75421</v>
      </c>
      <c r="B4723" s="12" t="str">
        <f t="shared" si="73"/>
        <v>754</v>
      </c>
      <c r="C4723" s="14" t="s">
        <v>6021</v>
      </c>
      <c r="D4723" s="13" t="str">
        <f>IF(RIGHT(A4723,3)="000",C4723,VLOOKUP(B4723,'Справочник ИХ'!A:C,3,0))</f>
        <v>Остальные грузы</v>
      </c>
      <c r="E4723" s="13">
        <f>IF(RIGHT(A4723,3)="000","х",VLOOKUP(B4723,'Справочник ИХ'!A:D,4,0))</f>
        <v>3</v>
      </c>
      <c r="F4723" s="14" t="s">
        <v>5495</v>
      </c>
    </row>
    <row r="4724" spans="1:6" ht="31.75">
      <c r="A4724" s="23">
        <v>75422</v>
      </c>
      <c r="B4724" s="12" t="str">
        <f t="shared" si="73"/>
        <v>754</v>
      </c>
      <c r="C4724" s="14" t="s">
        <v>6022</v>
      </c>
      <c r="D4724" s="13" t="str">
        <f>IF(RIGHT(A4724,3)="000",C4724,VLOOKUP(B4724,'Справочник ИХ'!A:C,3,0))</f>
        <v>Остальные грузы</v>
      </c>
      <c r="E4724" s="13">
        <f>IF(RIGHT(A4724,3)="000","х",VLOOKUP(B4724,'Справочник ИХ'!A:D,4,0))</f>
        <v>3</v>
      </c>
      <c r="F4724" s="14" t="s">
        <v>5495</v>
      </c>
    </row>
    <row r="4725" spans="1:6" ht="31.75">
      <c r="A4725" s="23">
        <v>75423</v>
      </c>
      <c r="B4725" s="12" t="str">
        <f t="shared" si="73"/>
        <v>754</v>
      </c>
      <c r="C4725" s="14" t="s">
        <v>6023</v>
      </c>
      <c r="D4725" s="13" t="str">
        <f>IF(RIGHT(A4725,3)="000",C4725,VLOOKUP(B4725,'Справочник ИХ'!A:C,3,0))</f>
        <v>Остальные грузы</v>
      </c>
      <c r="E4725" s="13">
        <f>IF(RIGHT(A4725,3)="000","х",VLOOKUP(B4725,'Справочник ИХ'!A:D,4,0))</f>
        <v>3</v>
      </c>
      <c r="F4725" s="14" t="s">
        <v>5495</v>
      </c>
    </row>
    <row r="4726" spans="1:6" ht="31.75">
      <c r="A4726" s="23">
        <v>75424</v>
      </c>
      <c r="B4726" s="12" t="str">
        <f t="shared" si="73"/>
        <v>754</v>
      </c>
      <c r="C4726" s="14" t="s">
        <v>6024</v>
      </c>
      <c r="D4726" s="13" t="str">
        <f>IF(RIGHT(A4726,3)="000",C4726,VLOOKUP(B4726,'Справочник ИХ'!A:C,3,0))</f>
        <v>Остальные грузы</v>
      </c>
      <c r="E4726" s="13">
        <f>IF(RIGHT(A4726,3)="000","х",VLOOKUP(B4726,'Справочник ИХ'!A:D,4,0))</f>
        <v>3</v>
      </c>
      <c r="F4726" s="14" t="s">
        <v>5495</v>
      </c>
    </row>
    <row r="4727" spans="1:6" ht="31.75">
      <c r="A4727" s="23">
        <v>75425</v>
      </c>
      <c r="B4727" s="12" t="str">
        <f t="shared" si="73"/>
        <v>754</v>
      </c>
      <c r="C4727" s="14" t="s">
        <v>6025</v>
      </c>
      <c r="D4727" s="13" t="str">
        <f>IF(RIGHT(A4727,3)="000",C4727,VLOOKUP(B4727,'Справочник ИХ'!A:C,3,0))</f>
        <v>Остальные грузы</v>
      </c>
      <c r="E4727" s="13">
        <f>IF(RIGHT(A4727,3)="000","х",VLOOKUP(B4727,'Справочник ИХ'!A:D,4,0))</f>
        <v>3</v>
      </c>
      <c r="F4727" s="14" t="s">
        <v>5495</v>
      </c>
    </row>
    <row r="4728" spans="1:6" ht="31.75">
      <c r="A4728" s="23">
        <v>75426</v>
      </c>
      <c r="B4728" s="12" t="str">
        <f t="shared" si="73"/>
        <v>754</v>
      </c>
      <c r="C4728" s="14" t="s">
        <v>6026</v>
      </c>
      <c r="D4728" s="13" t="str">
        <f>IF(RIGHT(A4728,3)="000",C4728,VLOOKUP(B4728,'Справочник ИХ'!A:C,3,0))</f>
        <v>Остальные грузы</v>
      </c>
      <c r="E4728" s="13">
        <f>IF(RIGHT(A4728,3)="000","х",VLOOKUP(B4728,'Справочник ИХ'!A:D,4,0))</f>
        <v>3</v>
      </c>
      <c r="F4728" s="14" t="s">
        <v>5495</v>
      </c>
    </row>
    <row r="4729" spans="1:6" ht="31.75">
      <c r="A4729" s="23">
        <v>75427</v>
      </c>
      <c r="B4729" s="12" t="str">
        <f t="shared" si="73"/>
        <v>754</v>
      </c>
      <c r="C4729" s="14" t="s">
        <v>6027</v>
      </c>
      <c r="D4729" s="13" t="str">
        <f>IF(RIGHT(A4729,3)="000",C4729,VLOOKUP(B4729,'Справочник ИХ'!A:C,3,0))</f>
        <v>Остальные грузы</v>
      </c>
      <c r="E4729" s="13">
        <f>IF(RIGHT(A4729,3)="000","х",VLOOKUP(B4729,'Справочник ИХ'!A:D,4,0))</f>
        <v>3</v>
      </c>
      <c r="F4729" s="14" t="s">
        <v>5495</v>
      </c>
    </row>
    <row r="4730" spans="1:6" ht="31.75">
      <c r="A4730" s="23">
        <v>75428</v>
      </c>
      <c r="B4730" s="12" t="str">
        <f t="shared" si="73"/>
        <v>754</v>
      </c>
      <c r="C4730" s="14" t="s">
        <v>6028</v>
      </c>
      <c r="D4730" s="13" t="str">
        <f>IF(RIGHT(A4730,3)="000",C4730,VLOOKUP(B4730,'Справочник ИХ'!A:C,3,0))</f>
        <v>Остальные грузы</v>
      </c>
      <c r="E4730" s="13">
        <f>IF(RIGHT(A4730,3)="000","х",VLOOKUP(B4730,'Справочник ИХ'!A:D,4,0))</f>
        <v>3</v>
      </c>
      <c r="F4730" s="14" t="s">
        <v>5495</v>
      </c>
    </row>
    <row r="4731" spans="1:6" ht="31.75">
      <c r="A4731" s="23">
        <v>75429</v>
      </c>
      <c r="B4731" s="12" t="str">
        <f t="shared" si="73"/>
        <v>754</v>
      </c>
      <c r="C4731" s="14" t="s">
        <v>6029</v>
      </c>
      <c r="D4731" s="13" t="str">
        <f>IF(RIGHT(A4731,3)="000",C4731,VLOOKUP(B4731,'Справочник ИХ'!A:C,3,0))</f>
        <v>Остальные грузы</v>
      </c>
      <c r="E4731" s="13">
        <f>IF(RIGHT(A4731,3)="000","х",VLOOKUP(B4731,'Справочник ИХ'!A:D,4,0))</f>
        <v>3</v>
      </c>
      <c r="F4731" s="14" t="s">
        <v>5495</v>
      </c>
    </row>
    <row r="4732" spans="1:6" ht="31.75">
      <c r="A4732" s="23">
        <v>75430</v>
      </c>
      <c r="B4732" s="12" t="str">
        <f t="shared" si="73"/>
        <v>754</v>
      </c>
      <c r="C4732" s="14" t="s">
        <v>6030</v>
      </c>
      <c r="D4732" s="13" t="str">
        <f>IF(RIGHT(A4732,3)="000",C4732,VLOOKUP(B4732,'Справочник ИХ'!A:C,3,0))</f>
        <v>Остальные грузы</v>
      </c>
      <c r="E4732" s="13">
        <f>IF(RIGHT(A4732,3)="000","х",VLOOKUP(B4732,'Справочник ИХ'!A:D,4,0))</f>
        <v>3</v>
      </c>
      <c r="F4732" s="14" t="s">
        <v>5495</v>
      </c>
    </row>
    <row r="4733" spans="1:6" ht="31.75">
      <c r="A4733" s="23">
        <v>75431</v>
      </c>
      <c r="B4733" s="12" t="str">
        <f t="shared" si="73"/>
        <v>754</v>
      </c>
      <c r="C4733" s="14" t="s">
        <v>6031</v>
      </c>
      <c r="D4733" s="13" t="str">
        <f>IF(RIGHT(A4733,3)="000",C4733,VLOOKUP(B4733,'Справочник ИХ'!A:C,3,0))</f>
        <v>Остальные грузы</v>
      </c>
      <c r="E4733" s="13">
        <f>IF(RIGHT(A4733,3)="000","х",VLOOKUP(B4733,'Справочник ИХ'!A:D,4,0))</f>
        <v>3</v>
      </c>
      <c r="F4733" s="14" t="s">
        <v>5495</v>
      </c>
    </row>
    <row r="4734" spans="1:6" ht="31.75">
      <c r="A4734" s="23">
        <v>75432</v>
      </c>
      <c r="B4734" s="12" t="str">
        <f t="shared" si="73"/>
        <v>754</v>
      </c>
      <c r="C4734" s="14" t="s">
        <v>6032</v>
      </c>
      <c r="D4734" s="13" t="str">
        <f>IF(RIGHT(A4734,3)="000",C4734,VLOOKUP(B4734,'Справочник ИХ'!A:C,3,0))</f>
        <v>Остальные грузы</v>
      </c>
      <c r="E4734" s="13">
        <f>IF(RIGHT(A4734,3)="000","х",VLOOKUP(B4734,'Справочник ИХ'!A:D,4,0))</f>
        <v>3</v>
      </c>
      <c r="F4734" s="14" t="s">
        <v>5495</v>
      </c>
    </row>
    <row r="4735" spans="1:6" s="18" customFormat="1" ht="47.6">
      <c r="A4735" s="34" t="s">
        <v>6033</v>
      </c>
      <c r="B4735" s="12" t="str">
        <f t="shared" si="73"/>
        <v>755</v>
      </c>
      <c r="C4735" s="18" t="s">
        <v>6034</v>
      </c>
      <c r="D4735" s="13" t="str">
        <f>IF(RIGHT(A4735,3)="000",C4735,VLOOKUP(B4735,'Справочник ИХ'!A:C,3,0))</f>
        <v>Остальные грузы</v>
      </c>
      <c r="E4735" s="13">
        <f>IF(RIGHT(A4735,3)="000","х",VLOOKUP(B4735,'Справочник ИХ'!A:D,4,0))</f>
        <v>3</v>
      </c>
      <c r="F4735" s="14" t="s">
        <v>5495</v>
      </c>
    </row>
    <row r="4736" spans="1:6" ht="31.75">
      <c r="A4736" s="23">
        <v>75503</v>
      </c>
      <c r="B4736" s="12" t="str">
        <f t="shared" si="73"/>
        <v>755</v>
      </c>
      <c r="C4736" s="14" t="s">
        <v>6035</v>
      </c>
      <c r="D4736" s="13" t="str">
        <f>IF(RIGHT(A4736,3)="000",C4736,VLOOKUP(B4736,'Справочник ИХ'!A:C,3,0))</f>
        <v>Остальные грузы</v>
      </c>
      <c r="E4736" s="13">
        <f>IF(RIGHT(A4736,3)="000","х",VLOOKUP(B4736,'Справочник ИХ'!A:D,4,0))</f>
        <v>3</v>
      </c>
      <c r="F4736" s="14" t="s">
        <v>5495</v>
      </c>
    </row>
    <row r="4737" spans="1:6" s="18" customFormat="1" ht="31.75">
      <c r="A4737" s="34" t="s">
        <v>6036</v>
      </c>
      <c r="B4737" s="12" t="str">
        <f t="shared" si="73"/>
        <v>756</v>
      </c>
      <c r="C4737" s="18" t="s">
        <v>6037</v>
      </c>
      <c r="D4737" s="13" t="str">
        <f>IF(RIGHT(A4737,3)="000",C4737,VLOOKUP(B4737,'Справочник ИХ'!A:C,3,0))</f>
        <v>Остальные грузы</v>
      </c>
      <c r="E4737" s="13">
        <f>IF(RIGHT(A4737,3)="000","х",VLOOKUP(B4737,'Справочник ИХ'!A:D,4,0))</f>
        <v>3</v>
      </c>
      <c r="F4737" s="14" t="s">
        <v>5495</v>
      </c>
    </row>
    <row r="4738" spans="1:6" ht="31.75">
      <c r="A4738" s="23">
        <v>75601</v>
      </c>
      <c r="B4738" s="12" t="str">
        <f t="shared" si="73"/>
        <v>756</v>
      </c>
      <c r="C4738" s="14" t="s">
        <v>6038</v>
      </c>
      <c r="D4738" s="13" t="str">
        <f>IF(RIGHT(A4738,3)="000",C4738,VLOOKUP(B4738,'Справочник ИХ'!A:C,3,0))</f>
        <v>Остальные грузы</v>
      </c>
      <c r="E4738" s="13">
        <f>IF(RIGHT(A4738,3)="000","х",VLOOKUP(B4738,'Справочник ИХ'!A:D,4,0))</f>
        <v>3</v>
      </c>
      <c r="F4738" s="14" t="s">
        <v>5495</v>
      </c>
    </row>
    <row r="4739" spans="1:6" ht="31.75">
      <c r="A4739" s="23">
        <v>75602</v>
      </c>
      <c r="B4739" s="12" t="str">
        <f t="shared" si="73"/>
        <v>756</v>
      </c>
      <c r="C4739" s="14" t="s">
        <v>6039</v>
      </c>
      <c r="D4739" s="13" t="str">
        <f>IF(RIGHT(A4739,3)="000",C4739,VLOOKUP(B4739,'Справочник ИХ'!A:C,3,0))</f>
        <v>Остальные грузы</v>
      </c>
      <c r="E4739" s="13">
        <f>IF(RIGHT(A4739,3)="000","х",VLOOKUP(B4739,'Справочник ИХ'!A:D,4,0))</f>
        <v>3</v>
      </c>
      <c r="F4739" s="14" t="s">
        <v>5495</v>
      </c>
    </row>
    <row r="4740" spans="1:6" ht="31.75">
      <c r="A4740" s="23">
        <v>75603</v>
      </c>
      <c r="B4740" s="12" t="str">
        <f t="shared" si="73"/>
        <v>756</v>
      </c>
      <c r="C4740" s="14" t="s">
        <v>6040</v>
      </c>
      <c r="D4740" s="13" t="str">
        <f>IF(RIGHT(A4740,3)="000",C4740,VLOOKUP(B4740,'Справочник ИХ'!A:C,3,0))</f>
        <v>Остальные грузы</v>
      </c>
      <c r="E4740" s="13">
        <f>IF(RIGHT(A4740,3)="000","х",VLOOKUP(B4740,'Справочник ИХ'!A:D,4,0))</f>
        <v>3</v>
      </c>
      <c r="F4740" s="14" t="s">
        <v>5495</v>
      </c>
    </row>
    <row r="4741" spans="1:6" ht="31.75">
      <c r="A4741" s="23">
        <v>75604</v>
      </c>
      <c r="B4741" s="12" t="str">
        <f t="shared" ref="B4741:B4804" si="74">LEFT(A4741,3)</f>
        <v>756</v>
      </c>
      <c r="C4741" s="14" t="s">
        <v>6041</v>
      </c>
      <c r="D4741" s="13" t="str">
        <f>IF(RIGHT(A4741,3)="000",C4741,VLOOKUP(B4741,'Справочник ИХ'!A:C,3,0))</f>
        <v>Остальные грузы</v>
      </c>
      <c r="E4741" s="13">
        <f>IF(RIGHT(A4741,3)="000","х",VLOOKUP(B4741,'Справочник ИХ'!A:D,4,0))</f>
        <v>3</v>
      </c>
      <c r="F4741" s="14" t="s">
        <v>5495</v>
      </c>
    </row>
    <row r="4742" spans="1:6" ht="31.75">
      <c r="A4742" s="23">
        <v>75605</v>
      </c>
      <c r="B4742" s="12" t="str">
        <f t="shared" si="74"/>
        <v>756</v>
      </c>
      <c r="C4742" s="14" t="s">
        <v>6042</v>
      </c>
      <c r="D4742" s="13" t="str">
        <f>IF(RIGHT(A4742,3)="000",C4742,VLOOKUP(B4742,'Справочник ИХ'!A:C,3,0))</f>
        <v>Остальные грузы</v>
      </c>
      <c r="E4742" s="13">
        <f>IF(RIGHT(A4742,3)="000","х",VLOOKUP(B4742,'Справочник ИХ'!A:D,4,0))</f>
        <v>3</v>
      </c>
      <c r="F4742" s="14" t="s">
        <v>5495</v>
      </c>
    </row>
    <row r="4743" spans="1:6" ht="31.75">
      <c r="A4743" s="23">
        <v>75606</v>
      </c>
      <c r="B4743" s="12" t="str">
        <f t="shared" si="74"/>
        <v>756</v>
      </c>
      <c r="C4743" s="14" t="s">
        <v>6043</v>
      </c>
      <c r="D4743" s="13" t="str">
        <f>IF(RIGHT(A4743,3)="000",C4743,VLOOKUP(B4743,'Справочник ИХ'!A:C,3,0))</f>
        <v>Остальные грузы</v>
      </c>
      <c r="E4743" s="13">
        <f>IF(RIGHT(A4743,3)="000","х",VLOOKUP(B4743,'Справочник ИХ'!A:D,4,0))</f>
        <v>3</v>
      </c>
      <c r="F4743" s="14" t="s">
        <v>5495</v>
      </c>
    </row>
    <row r="4744" spans="1:6" ht="31.75">
      <c r="A4744" s="23">
        <v>75607</v>
      </c>
      <c r="B4744" s="12" t="str">
        <f t="shared" si="74"/>
        <v>756</v>
      </c>
      <c r="C4744" s="14" t="s">
        <v>6044</v>
      </c>
      <c r="D4744" s="13" t="str">
        <f>IF(RIGHT(A4744,3)="000",C4744,VLOOKUP(B4744,'Справочник ИХ'!A:C,3,0))</f>
        <v>Остальные грузы</v>
      </c>
      <c r="E4744" s="13">
        <f>IF(RIGHT(A4744,3)="000","х",VLOOKUP(B4744,'Справочник ИХ'!A:D,4,0))</f>
        <v>3</v>
      </c>
      <c r="F4744" s="14" t="s">
        <v>5495</v>
      </c>
    </row>
    <row r="4745" spans="1:6" ht="31.75">
      <c r="A4745" s="23">
        <v>75608</v>
      </c>
      <c r="B4745" s="12" t="str">
        <f t="shared" si="74"/>
        <v>756</v>
      </c>
      <c r="C4745" s="14" t="s">
        <v>6045</v>
      </c>
      <c r="D4745" s="13" t="str">
        <f>IF(RIGHT(A4745,3)="000",C4745,VLOOKUP(B4745,'Справочник ИХ'!A:C,3,0))</f>
        <v>Остальные грузы</v>
      </c>
      <c r="E4745" s="13">
        <f>IF(RIGHT(A4745,3)="000","х",VLOOKUP(B4745,'Справочник ИХ'!A:D,4,0))</f>
        <v>3</v>
      </c>
      <c r="F4745" s="14" t="s">
        <v>5495</v>
      </c>
    </row>
    <row r="4746" spans="1:6" s="18" customFormat="1" ht="31.75">
      <c r="A4746" s="34" t="s">
        <v>6046</v>
      </c>
      <c r="B4746" s="12" t="str">
        <f t="shared" si="74"/>
        <v>757</v>
      </c>
      <c r="C4746" s="18" t="s">
        <v>6047</v>
      </c>
      <c r="D4746" s="13" t="str">
        <f>IF(RIGHT(A4746,3)="000",C4746,VLOOKUP(B4746,'Справочник ИХ'!A:C,3,0))</f>
        <v>Остальные грузы</v>
      </c>
      <c r="E4746" s="13">
        <f>IF(RIGHT(A4746,3)="000","х",VLOOKUP(B4746,'Справочник ИХ'!A:D,4,0))</f>
        <v>3</v>
      </c>
      <c r="F4746" s="14" t="s">
        <v>5495</v>
      </c>
    </row>
    <row r="4747" spans="1:6" ht="31.75">
      <c r="A4747" s="23">
        <v>75701</v>
      </c>
      <c r="B4747" s="12" t="str">
        <f t="shared" si="74"/>
        <v>757</v>
      </c>
      <c r="C4747" s="14" t="s">
        <v>6048</v>
      </c>
      <c r="D4747" s="13" t="str">
        <f>IF(RIGHT(A4747,3)="000",C4747,VLOOKUP(B4747,'Справочник ИХ'!A:C,3,0))</f>
        <v>Остальные грузы</v>
      </c>
      <c r="E4747" s="13">
        <f>IF(RIGHT(A4747,3)="000","х",VLOOKUP(B4747,'Справочник ИХ'!A:D,4,0))</f>
        <v>3</v>
      </c>
      <c r="F4747" s="14" t="s">
        <v>5495</v>
      </c>
    </row>
    <row r="4748" spans="1:6" ht="31.75">
      <c r="A4748" s="23">
        <v>75702</v>
      </c>
      <c r="B4748" s="12" t="str">
        <f t="shared" si="74"/>
        <v>757</v>
      </c>
      <c r="C4748" s="14" t="s">
        <v>6049</v>
      </c>
      <c r="D4748" s="13" t="str">
        <f>IF(RIGHT(A4748,3)="000",C4748,VLOOKUP(B4748,'Справочник ИХ'!A:C,3,0))</f>
        <v>Остальные грузы</v>
      </c>
      <c r="E4748" s="13">
        <f>IF(RIGHT(A4748,3)="000","х",VLOOKUP(B4748,'Справочник ИХ'!A:D,4,0))</f>
        <v>3</v>
      </c>
      <c r="F4748" s="14" t="s">
        <v>5495</v>
      </c>
    </row>
    <row r="4749" spans="1:6" ht="31.75">
      <c r="A4749" s="23">
        <v>75703</v>
      </c>
      <c r="B4749" s="12" t="str">
        <f t="shared" si="74"/>
        <v>757</v>
      </c>
      <c r="C4749" s="14" t="s">
        <v>6050</v>
      </c>
      <c r="D4749" s="13" t="str">
        <f>IF(RIGHT(A4749,3)="000",C4749,VLOOKUP(B4749,'Справочник ИХ'!A:C,3,0))</f>
        <v>Остальные грузы</v>
      </c>
      <c r="E4749" s="13">
        <f>IF(RIGHT(A4749,3)="000","х",VLOOKUP(B4749,'Справочник ИХ'!A:D,4,0))</f>
        <v>3</v>
      </c>
      <c r="F4749" s="14" t="s">
        <v>5495</v>
      </c>
    </row>
    <row r="4750" spans="1:6" ht="31.75">
      <c r="A4750" s="23">
        <v>75704</v>
      </c>
      <c r="B4750" s="12" t="str">
        <f t="shared" si="74"/>
        <v>757</v>
      </c>
      <c r="C4750" s="14" t="s">
        <v>6051</v>
      </c>
      <c r="D4750" s="13" t="str">
        <f>IF(RIGHT(A4750,3)="000",C4750,VLOOKUP(B4750,'Справочник ИХ'!A:C,3,0))</f>
        <v>Остальные грузы</v>
      </c>
      <c r="E4750" s="13">
        <f>IF(RIGHT(A4750,3)="000","х",VLOOKUP(B4750,'Справочник ИХ'!A:D,4,0))</f>
        <v>3</v>
      </c>
      <c r="F4750" s="14" t="s">
        <v>5495</v>
      </c>
    </row>
    <row r="4751" spans="1:6" ht="31.75">
      <c r="A4751" s="23">
        <v>75705</v>
      </c>
      <c r="B4751" s="12" t="str">
        <f t="shared" si="74"/>
        <v>757</v>
      </c>
      <c r="C4751" s="14" t="s">
        <v>6052</v>
      </c>
      <c r="D4751" s="13" t="str">
        <f>IF(RIGHT(A4751,3)="000",C4751,VLOOKUP(B4751,'Справочник ИХ'!A:C,3,0))</f>
        <v>Остальные грузы</v>
      </c>
      <c r="E4751" s="13">
        <f>IF(RIGHT(A4751,3)="000","х",VLOOKUP(B4751,'Справочник ИХ'!A:D,4,0))</f>
        <v>3</v>
      </c>
      <c r="F4751" s="14" t="s">
        <v>5495</v>
      </c>
    </row>
    <row r="4752" spans="1:6" ht="31.75">
      <c r="A4752" s="23">
        <v>75706</v>
      </c>
      <c r="B4752" s="12" t="str">
        <f t="shared" si="74"/>
        <v>757</v>
      </c>
      <c r="C4752" s="14" t="s">
        <v>6053</v>
      </c>
      <c r="D4752" s="13" t="str">
        <f>IF(RIGHT(A4752,3)="000",C4752,VLOOKUP(B4752,'Справочник ИХ'!A:C,3,0))</f>
        <v>Остальные грузы</v>
      </c>
      <c r="E4752" s="13">
        <f>IF(RIGHT(A4752,3)="000","х",VLOOKUP(B4752,'Справочник ИХ'!A:D,4,0))</f>
        <v>3</v>
      </c>
      <c r="F4752" s="14" t="s">
        <v>5495</v>
      </c>
    </row>
    <row r="4753" spans="1:6" ht="31.75">
      <c r="A4753" s="23">
        <v>75707</v>
      </c>
      <c r="B4753" s="12" t="str">
        <f t="shared" si="74"/>
        <v>757</v>
      </c>
      <c r="C4753" s="14" t="s">
        <v>6054</v>
      </c>
      <c r="D4753" s="13" t="str">
        <f>IF(RIGHT(A4753,3)="000",C4753,VLOOKUP(B4753,'Справочник ИХ'!A:C,3,0))</f>
        <v>Остальные грузы</v>
      </c>
      <c r="E4753" s="13">
        <f>IF(RIGHT(A4753,3)="000","х",VLOOKUP(B4753,'Справочник ИХ'!A:D,4,0))</f>
        <v>3</v>
      </c>
      <c r="F4753" s="14" t="s">
        <v>5495</v>
      </c>
    </row>
    <row r="4754" spans="1:6" ht="31.75">
      <c r="A4754" s="23">
        <v>75708</v>
      </c>
      <c r="B4754" s="12" t="str">
        <f t="shared" si="74"/>
        <v>757</v>
      </c>
      <c r="C4754" s="14" t="s">
        <v>6055</v>
      </c>
      <c r="D4754" s="13" t="str">
        <f>IF(RIGHT(A4754,3)="000",C4754,VLOOKUP(B4754,'Справочник ИХ'!A:C,3,0))</f>
        <v>Остальные грузы</v>
      </c>
      <c r="E4754" s="13">
        <f>IF(RIGHT(A4754,3)="000","х",VLOOKUP(B4754,'Справочник ИХ'!A:D,4,0))</f>
        <v>3</v>
      </c>
      <c r="F4754" s="14" t="s">
        <v>5495</v>
      </c>
    </row>
    <row r="4755" spans="1:6" ht="31.75">
      <c r="A4755" s="23">
        <v>75709</v>
      </c>
      <c r="B4755" s="12" t="str">
        <f t="shared" si="74"/>
        <v>757</v>
      </c>
      <c r="C4755" s="14" t="s">
        <v>6056</v>
      </c>
      <c r="D4755" s="13" t="str">
        <f>IF(RIGHT(A4755,3)="000",C4755,VLOOKUP(B4755,'Справочник ИХ'!A:C,3,0))</f>
        <v>Остальные грузы</v>
      </c>
      <c r="E4755" s="13">
        <f>IF(RIGHT(A4755,3)="000","х",VLOOKUP(B4755,'Справочник ИХ'!A:D,4,0))</f>
        <v>3</v>
      </c>
      <c r="F4755" s="14" t="s">
        <v>5495</v>
      </c>
    </row>
    <row r="4756" spans="1:6" ht="31.75">
      <c r="A4756" s="23">
        <v>75710</v>
      </c>
      <c r="B4756" s="12" t="str">
        <f t="shared" si="74"/>
        <v>757</v>
      </c>
      <c r="C4756" s="14" t="s">
        <v>6057</v>
      </c>
      <c r="D4756" s="13" t="str">
        <f>IF(RIGHT(A4756,3)="000",C4756,VLOOKUP(B4756,'Справочник ИХ'!A:C,3,0))</f>
        <v>Остальные грузы</v>
      </c>
      <c r="E4756" s="13">
        <f>IF(RIGHT(A4756,3)="000","х",VLOOKUP(B4756,'Справочник ИХ'!A:D,4,0))</f>
        <v>3</v>
      </c>
      <c r="F4756" s="14" t="s">
        <v>5495</v>
      </c>
    </row>
    <row r="4757" spans="1:6" ht="31.75">
      <c r="A4757" s="23">
        <v>75711</v>
      </c>
      <c r="B4757" s="12" t="str">
        <f t="shared" si="74"/>
        <v>757</v>
      </c>
      <c r="C4757" s="14" t="s">
        <v>6058</v>
      </c>
      <c r="D4757" s="13" t="str">
        <f>IF(RIGHT(A4757,3)="000",C4757,VLOOKUP(B4757,'Справочник ИХ'!A:C,3,0))</f>
        <v>Остальные грузы</v>
      </c>
      <c r="E4757" s="13">
        <f>IF(RIGHT(A4757,3)="000","х",VLOOKUP(B4757,'Справочник ИХ'!A:D,4,0))</f>
        <v>3</v>
      </c>
      <c r="F4757" s="14" t="s">
        <v>5495</v>
      </c>
    </row>
    <row r="4758" spans="1:6" ht="31.75">
      <c r="A4758" s="23">
        <v>75712</v>
      </c>
      <c r="B4758" s="12" t="str">
        <f t="shared" si="74"/>
        <v>757</v>
      </c>
      <c r="C4758" s="14" t="s">
        <v>6059</v>
      </c>
      <c r="D4758" s="13" t="str">
        <f>IF(RIGHT(A4758,3)="000",C4758,VLOOKUP(B4758,'Справочник ИХ'!A:C,3,0))</f>
        <v>Остальные грузы</v>
      </c>
      <c r="E4758" s="13">
        <f>IF(RIGHT(A4758,3)="000","х",VLOOKUP(B4758,'Справочник ИХ'!A:D,4,0))</f>
        <v>3</v>
      </c>
      <c r="F4758" s="14" t="s">
        <v>5495</v>
      </c>
    </row>
    <row r="4759" spans="1:6" ht="31.75">
      <c r="A4759" s="23">
        <v>75713</v>
      </c>
      <c r="B4759" s="12" t="str">
        <f t="shared" si="74"/>
        <v>757</v>
      </c>
      <c r="C4759" s="14" t="s">
        <v>6060</v>
      </c>
      <c r="D4759" s="13" t="str">
        <f>IF(RIGHT(A4759,3)="000",C4759,VLOOKUP(B4759,'Справочник ИХ'!A:C,3,0))</f>
        <v>Остальные грузы</v>
      </c>
      <c r="E4759" s="13">
        <f>IF(RIGHT(A4759,3)="000","х",VLOOKUP(B4759,'Справочник ИХ'!A:D,4,0))</f>
        <v>3</v>
      </c>
      <c r="F4759" s="14" t="s">
        <v>5495</v>
      </c>
    </row>
    <row r="4760" spans="1:6" ht="31.75">
      <c r="A4760" s="23">
        <v>75714</v>
      </c>
      <c r="B4760" s="12" t="str">
        <f t="shared" si="74"/>
        <v>757</v>
      </c>
      <c r="C4760" s="14" t="s">
        <v>6061</v>
      </c>
      <c r="D4760" s="13" t="str">
        <f>IF(RIGHT(A4760,3)="000",C4760,VLOOKUP(B4760,'Справочник ИХ'!A:C,3,0))</f>
        <v>Остальные грузы</v>
      </c>
      <c r="E4760" s="13">
        <f>IF(RIGHT(A4760,3)="000","х",VLOOKUP(B4760,'Справочник ИХ'!A:D,4,0))</f>
        <v>3</v>
      </c>
      <c r="F4760" s="14" t="s">
        <v>5495</v>
      </c>
    </row>
    <row r="4761" spans="1:6" ht="31.75">
      <c r="A4761" s="23">
        <v>75715</v>
      </c>
      <c r="B4761" s="12" t="str">
        <f t="shared" si="74"/>
        <v>757</v>
      </c>
      <c r="C4761" s="14" t="s">
        <v>6062</v>
      </c>
      <c r="D4761" s="13" t="str">
        <f>IF(RIGHT(A4761,3)="000",C4761,VLOOKUP(B4761,'Справочник ИХ'!A:C,3,0))</f>
        <v>Остальные грузы</v>
      </c>
      <c r="E4761" s="13">
        <f>IF(RIGHT(A4761,3)="000","х",VLOOKUP(B4761,'Справочник ИХ'!A:D,4,0))</f>
        <v>3</v>
      </c>
      <c r="F4761" s="14" t="s">
        <v>5495</v>
      </c>
    </row>
    <row r="4762" spans="1:6" ht="31.75">
      <c r="A4762" s="23">
        <v>75716</v>
      </c>
      <c r="B4762" s="12" t="str">
        <f t="shared" si="74"/>
        <v>757</v>
      </c>
      <c r="C4762" s="14" t="s">
        <v>6063</v>
      </c>
      <c r="D4762" s="13" t="str">
        <f>IF(RIGHT(A4762,3)="000",C4762,VLOOKUP(B4762,'Справочник ИХ'!A:C,3,0))</f>
        <v>Остальные грузы</v>
      </c>
      <c r="E4762" s="13">
        <f>IF(RIGHT(A4762,3)="000","х",VLOOKUP(B4762,'Справочник ИХ'!A:D,4,0))</f>
        <v>3</v>
      </c>
      <c r="F4762" s="14" t="s">
        <v>5495</v>
      </c>
    </row>
    <row r="4763" spans="1:6" ht="31.75">
      <c r="A4763" s="23">
        <v>75717</v>
      </c>
      <c r="B4763" s="12" t="str">
        <f t="shared" si="74"/>
        <v>757</v>
      </c>
      <c r="C4763" s="14" t="s">
        <v>6064</v>
      </c>
      <c r="D4763" s="13" t="str">
        <f>IF(RIGHT(A4763,3)="000",C4763,VLOOKUP(B4763,'Справочник ИХ'!A:C,3,0))</f>
        <v>Остальные грузы</v>
      </c>
      <c r="E4763" s="13">
        <f>IF(RIGHT(A4763,3)="000","х",VLOOKUP(B4763,'Справочник ИХ'!A:D,4,0))</f>
        <v>3</v>
      </c>
      <c r="F4763" s="14" t="s">
        <v>5495</v>
      </c>
    </row>
    <row r="4764" spans="1:6" ht="31.75">
      <c r="A4764" s="23">
        <v>75718</v>
      </c>
      <c r="B4764" s="12" t="str">
        <f t="shared" si="74"/>
        <v>757</v>
      </c>
      <c r="C4764" s="14" t="s">
        <v>6065</v>
      </c>
      <c r="D4764" s="13" t="str">
        <f>IF(RIGHT(A4764,3)="000",C4764,VLOOKUP(B4764,'Справочник ИХ'!A:C,3,0))</f>
        <v>Остальные грузы</v>
      </c>
      <c r="E4764" s="13">
        <f>IF(RIGHT(A4764,3)="000","х",VLOOKUP(B4764,'Справочник ИХ'!A:D,4,0))</f>
        <v>3</v>
      </c>
      <c r="F4764" s="14" t="s">
        <v>5495</v>
      </c>
    </row>
    <row r="4765" spans="1:6" ht="31.75">
      <c r="A4765" s="23">
        <v>75719</v>
      </c>
      <c r="B4765" s="12" t="str">
        <f t="shared" si="74"/>
        <v>757</v>
      </c>
      <c r="C4765" s="14" t="s">
        <v>6066</v>
      </c>
      <c r="D4765" s="13" t="str">
        <f>IF(RIGHT(A4765,3)="000",C4765,VLOOKUP(B4765,'Справочник ИХ'!A:C,3,0))</f>
        <v>Остальные грузы</v>
      </c>
      <c r="E4765" s="13">
        <f>IF(RIGHT(A4765,3)="000","х",VLOOKUP(B4765,'Справочник ИХ'!A:D,4,0))</f>
        <v>3</v>
      </c>
      <c r="F4765" s="14" t="s">
        <v>5495</v>
      </c>
    </row>
    <row r="4766" spans="1:6" ht="31.75">
      <c r="A4766" s="23">
        <v>75720</v>
      </c>
      <c r="B4766" s="12" t="str">
        <f t="shared" si="74"/>
        <v>757</v>
      </c>
      <c r="C4766" s="14" t="s">
        <v>6067</v>
      </c>
      <c r="D4766" s="13" t="str">
        <f>IF(RIGHT(A4766,3)="000",C4766,VLOOKUP(B4766,'Справочник ИХ'!A:C,3,0))</f>
        <v>Остальные грузы</v>
      </c>
      <c r="E4766" s="13">
        <f>IF(RIGHT(A4766,3)="000","х",VLOOKUP(B4766,'Справочник ИХ'!A:D,4,0))</f>
        <v>3</v>
      </c>
      <c r="F4766" s="14" t="s">
        <v>5495</v>
      </c>
    </row>
    <row r="4767" spans="1:6" ht="31.75">
      <c r="A4767" s="23">
        <v>75721</v>
      </c>
      <c r="B4767" s="12" t="str">
        <f t="shared" si="74"/>
        <v>757</v>
      </c>
      <c r="C4767" s="14" t="s">
        <v>6068</v>
      </c>
      <c r="D4767" s="13" t="str">
        <f>IF(RIGHT(A4767,3)="000",C4767,VLOOKUP(B4767,'Справочник ИХ'!A:C,3,0))</f>
        <v>Остальные грузы</v>
      </c>
      <c r="E4767" s="13">
        <f>IF(RIGHT(A4767,3)="000","х",VLOOKUP(B4767,'Справочник ИХ'!A:D,4,0))</f>
        <v>3</v>
      </c>
      <c r="F4767" s="14" t="s">
        <v>5495</v>
      </c>
    </row>
    <row r="4768" spans="1:6" ht="31.75">
      <c r="A4768" s="23">
        <v>75722</v>
      </c>
      <c r="B4768" s="12" t="str">
        <f t="shared" si="74"/>
        <v>757</v>
      </c>
      <c r="C4768" s="14" t="s">
        <v>6069</v>
      </c>
      <c r="D4768" s="13" t="str">
        <f>IF(RIGHT(A4768,3)="000",C4768,VLOOKUP(B4768,'Справочник ИХ'!A:C,3,0))</f>
        <v>Остальные грузы</v>
      </c>
      <c r="E4768" s="13">
        <f>IF(RIGHT(A4768,3)="000","х",VLOOKUP(B4768,'Справочник ИХ'!A:D,4,0))</f>
        <v>3</v>
      </c>
      <c r="F4768" s="14" t="s">
        <v>5495</v>
      </c>
    </row>
    <row r="4769" spans="1:6" ht="31.75">
      <c r="A4769" s="23">
        <v>75723</v>
      </c>
      <c r="B4769" s="12" t="str">
        <f t="shared" si="74"/>
        <v>757</v>
      </c>
      <c r="C4769" s="14" t="s">
        <v>6070</v>
      </c>
      <c r="D4769" s="13" t="str">
        <f>IF(RIGHT(A4769,3)="000",C4769,VLOOKUP(B4769,'Справочник ИХ'!A:C,3,0))</f>
        <v>Остальные грузы</v>
      </c>
      <c r="E4769" s="13">
        <f>IF(RIGHT(A4769,3)="000","х",VLOOKUP(B4769,'Справочник ИХ'!A:D,4,0))</f>
        <v>3</v>
      </c>
      <c r="F4769" s="14" t="s">
        <v>5495</v>
      </c>
    </row>
    <row r="4770" spans="1:6" ht="31.75">
      <c r="A4770" s="23">
        <v>75724</v>
      </c>
      <c r="B4770" s="12" t="str">
        <f t="shared" si="74"/>
        <v>757</v>
      </c>
      <c r="C4770" s="14" t="s">
        <v>6071</v>
      </c>
      <c r="D4770" s="13" t="str">
        <f>IF(RIGHT(A4770,3)="000",C4770,VLOOKUP(B4770,'Справочник ИХ'!A:C,3,0))</f>
        <v>Остальные грузы</v>
      </c>
      <c r="E4770" s="13">
        <f>IF(RIGHT(A4770,3)="000","х",VLOOKUP(B4770,'Справочник ИХ'!A:D,4,0))</f>
        <v>3</v>
      </c>
      <c r="F4770" s="14" t="s">
        <v>5495</v>
      </c>
    </row>
    <row r="4771" spans="1:6" ht="31.75">
      <c r="A4771" s="23">
        <v>75725</v>
      </c>
      <c r="B4771" s="12" t="str">
        <f t="shared" si="74"/>
        <v>757</v>
      </c>
      <c r="C4771" s="14" t="s">
        <v>6072</v>
      </c>
      <c r="D4771" s="13" t="str">
        <f>IF(RIGHT(A4771,3)="000",C4771,VLOOKUP(B4771,'Справочник ИХ'!A:C,3,0))</f>
        <v>Остальные грузы</v>
      </c>
      <c r="E4771" s="13">
        <f>IF(RIGHT(A4771,3)="000","х",VLOOKUP(B4771,'Справочник ИХ'!A:D,4,0))</f>
        <v>3</v>
      </c>
      <c r="F4771" s="14" t="s">
        <v>5495</v>
      </c>
    </row>
    <row r="4772" spans="1:6" ht="31.75">
      <c r="A4772" s="23">
        <v>75726</v>
      </c>
      <c r="B4772" s="12" t="str">
        <f t="shared" si="74"/>
        <v>757</v>
      </c>
      <c r="C4772" s="14" t="s">
        <v>6073</v>
      </c>
      <c r="D4772" s="13" t="str">
        <f>IF(RIGHT(A4772,3)="000",C4772,VLOOKUP(B4772,'Справочник ИХ'!A:C,3,0))</f>
        <v>Остальные грузы</v>
      </c>
      <c r="E4772" s="13">
        <f>IF(RIGHT(A4772,3)="000","х",VLOOKUP(B4772,'Справочник ИХ'!A:D,4,0))</f>
        <v>3</v>
      </c>
      <c r="F4772" s="14" t="s">
        <v>5495</v>
      </c>
    </row>
    <row r="4773" spans="1:6" ht="31.75">
      <c r="A4773" s="23">
        <v>75727</v>
      </c>
      <c r="B4773" s="12" t="str">
        <f t="shared" si="74"/>
        <v>757</v>
      </c>
      <c r="C4773" s="14" t="s">
        <v>6074</v>
      </c>
      <c r="D4773" s="13" t="str">
        <f>IF(RIGHT(A4773,3)="000",C4773,VLOOKUP(B4773,'Справочник ИХ'!A:C,3,0))</f>
        <v>Остальные грузы</v>
      </c>
      <c r="E4773" s="13">
        <f>IF(RIGHT(A4773,3)="000","х",VLOOKUP(B4773,'Справочник ИХ'!A:D,4,0))</f>
        <v>3</v>
      </c>
      <c r="F4773" s="14" t="s">
        <v>5495</v>
      </c>
    </row>
    <row r="4774" spans="1:6" ht="31.75">
      <c r="A4774" s="23">
        <v>75728</v>
      </c>
      <c r="B4774" s="12" t="str">
        <f t="shared" si="74"/>
        <v>757</v>
      </c>
      <c r="C4774" s="14" t="s">
        <v>6075</v>
      </c>
      <c r="D4774" s="13" t="str">
        <f>IF(RIGHT(A4774,3)="000",C4774,VLOOKUP(B4774,'Справочник ИХ'!A:C,3,0))</f>
        <v>Остальные грузы</v>
      </c>
      <c r="E4774" s="13">
        <f>IF(RIGHT(A4774,3)="000","х",VLOOKUP(B4774,'Справочник ИХ'!A:D,4,0))</f>
        <v>3</v>
      </c>
      <c r="F4774" s="14" t="s">
        <v>5495</v>
      </c>
    </row>
    <row r="4775" spans="1:6" ht="31.75">
      <c r="A4775" s="23">
        <v>75729</v>
      </c>
      <c r="B4775" s="12" t="str">
        <f t="shared" si="74"/>
        <v>757</v>
      </c>
      <c r="C4775" s="14" t="s">
        <v>6076</v>
      </c>
      <c r="D4775" s="13" t="str">
        <f>IF(RIGHT(A4775,3)="000",C4775,VLOOKUP(B4775,'Справочник ИХ'!A:C,3,0))</f>
        <v>Остальные грузы</v>
      </c>
      <c r="E4775" s="13">
        <f>IF(RIGHT(A4775,3)="000","х",VLOOKUP(B4775,'Справочник ИХ'!A:D,4,0))</f>
        <v>3</v>
      </c>
      <c r="F4775" s="14" t="s">
        <v>5495</v>
      </c>
    </row>
    <row r="4776" spans="1:6" ht="31.75">
      <c r="A4776" s="23">
        <v>75730</v>
      </c>
      <c r="B4776" s="12" t="str">
        <f t="shared" si="74"/>
        <v>757</v>
      </c>
      <c r="C4776" s="14" t="s">
        <v>6077</v>
      </c>
      <c r="D4776" s="13" t="str">
        <f>IF(RIGHT(A4776,3)="000",C4776,VLOOKUP(B4776,'Справочник ИХ'!A:C,3,0))</f>
        <v>Остальные грузы</v>
      </c>
      <c r="E4776" s="13">
        <f>IF(RIGHT(A4776,3)="000","х",VLOOKUP(B4776,'Справочник ИХ'!A:D,4,0))</f>
        <v>3</v>
      </c>
      <c r="F4776" s="14" t="s">
        <v>5495</v>
      </c>
    </row>
    <row r="4777" spans="1:6" ht="31.75">
      <c r="A4777" s="23">
        <v>75731</v>
      </c>
      <c r="B4777" s="12" t="str">
        <f t="shared" si="74"/>
        <v>757</v>
      </c>
      <c r="C4777" s="14" t="s">
        <v>6078</v>
      </c>
      <c r="D4777" s="13" t="str">
        <f>IF(RIGHT(A4777,3)="000",C4777,VLOOKUP(B4777,'Справочник ИХ'!A:C,3,0))</f>
        <v>Остальные грузы</v>
      </c>
      <c r="E4777" s="13">
        <f>IF(RIGHT(A4777,3)="000","х",VLOOKUP(B4777,'Справочник ИХ'!A:D,4,0))</f>
        <v>3</v>
      </c>
      <c r="F4777" s="14" t="s">
        <v>5495</v>
      </c>
    </row>
    <row r="4778" spans="1:6" ht="31.75">
      <c r="A4778" s="23">
        <v>75732</v>
      </c>
      <c r="B4778" s="12" t="str">
        <f t="shared" si="74"/>
        <v>757</v>
      </c>
      <c r="C4778" s="14" t="s">
        <v>6079</v>
      </c>
      <c r="D4778" s="13" t="str">
        <f>IF(RIGHT(A4778,3)="000",C4778,VLOOKUP(B4778,'Справочник ИХ'!A:C,3,0))</f>
        <v>Остальные грузы</v>
      </c>
      <c r="E4778" s="13">
        <f>IF(RIGHT(A4778,3)="000","х",VLOOKUP(B4778,'Справочник ИХ'!A:D,4,0))</f>
        <v>3</v>
      </c>
      <c r="F4778" s="14" t="s">
        <v>5495</v>
      </c>
    </row>
    <row r="4779" spans="1:6" ht="31.75">
      <c r="A4779" s="23">
        <v>75733</v>
      </c>
      <c r="B4779" s="12" t="str">
        <f t="shared" si="74"/>
        <v>757</v>
      </c>
      <c r="C4779" s="14" t="s">
        <v>6080</v>
      </c>
      <c r="D4779" s="13" t="str">
        <f>IF(RIGHT(A4779,3)="000",C4779,VLOOKUP(B4779,'Справочник ИХ'!A:C,3,0))</f>
        <v>Остальные грузы</v>
      </c>
      <c r="E4779" s="13">
        <f>IF(RIGHT(A4779,3)="000","х",VLOOKUP(B4779,'Справочник ИХ'!A:D,4,0))</f>
        <v>3</v>
      </c>
      <c r="F4779" s="14" t="s">
        <v>5495</v>
      </c>
    </row>
    <row r="4780" spans="1:6" ht="31.75">
      <c r="A4780" s="23">
        <v>75734</v>
      </c>
      <c r="B4780" s="12" t="str">
        <f t="shared" si="74"/>
        <v>757</v>
      </c>
      <c r="C4780" s="14" t="s">
        <v>6081</v>
      </c>
      <c r="D4780" s="13" t="str">
        <f>IF(RIGHT(A4780,3)="000",C4780,VLOOKUP(B4780,'Справочник ИХ'!A:C,3,0))</f>
        <v>Остальные грузы</v>
      </c>
      <c r="E4780" s="13">
        <f>IF(RIGHT(A4780,3)="000","х",VLOOKUP(B4780,'Справочник ИХ'!A:D,4,0))</f>
        <v>3</v>
      </c>
      <c r="F4780" s="14" t="s">
        <v>5495</v>
      </c>
    </row>
    <row r="4781" spans="1:6" ht="31.75">
      <c r="A4781" s="23">
        <v>75735</v>
      </c>
      <c r="B4781" s="12" t="str">
        <f t="shared" si="74"/>
        <v>757</v>
      </c>
      <c r="C4781" s="14" t="s">
        <v>6082</v>
      </c>
      <c r="D4781" s="13" t="str">
        <f>IF(RIGHT(A4781,3)="000",C4781,VLOOKUP(B4781,'Справочник ИХ'!A:C,3,0))</f>
        <v>Остальные грузы</v>
      </c>
      <c r="E4781" s="13">
        <f>IF(RIGHT(A4781,3)="000","х",VLOOKUP(B4781,'Справочник ИХ'!A:D,4,0))</f>
        <v>3</v>
      </c>
      <c r="F4781" s="14" t="s">
        <v>5495</v>
      </c>
    </row>
    <row r="4782" spans="1:6" ht="31.75">
      <c r="A4782" s="23">
        <v>75736</v>
      </c>
      <c r="B4782" s="12" t="str">
        <f t="shared" si="74"/>
        <v>757</v>
      </c>
      <c r="C4782" s="14" t="s">
        <v>6083</v>
      </c>
      <c r="D4782" s="13" t="str">
        <f>IF(RIGHT(A4782,3)="000",C4782,VLOOKUP(B4782,'Справочник ИХ'!A:C,3,0))</f>
        <v>Остальные грузы</v>
      </c>
      <c r="E4782" s="13">
        <f>IF(RIGHT(A4782,3)="000","х",VLOOKUP(B4782,'Справочник ИХ'!A:D,4,0))</f>
        <v>3</v>
      </c>
      <c r="F4782" s="14" t="s">
        <v>5495</v>
      </c>
    </row>
    <row r="4783" spans="1:6" ht="31.75">
      <c r="A4783" s="23">
        <v>75737</v>
      </c>
      <c r="B4783" s="12" t="str">
        <f t="shared" si="74"/>
        <v>757</v>
      </c>
      <c r="C4783" s="14" t="s">
        <v>6084</v>
      </c>
      <c r="D4783" s="13" t="str">
        <f>IF(RIGHT(A4783,3)="000",C4783,VLOOKUP(B4783,'Справочник ИХ'!A:C,3,0))</f>
        <v>Остальные грузы</v>
      </c>
      <c r="E4783" s="13">
        <f>IF(RIGHT(A4783,3)="000","х",VLOOKUP(B4783,'Справочник ИХ'!A:D,4,0))</f>
        <v>3</v>
      </c>
      <c r="F4783" s="14" t="s">
        <v>5495</v>
      </c>
    </row>
    <row r="4784" spans="1:6" ht="31.75">
      <c r="A4784" s="23">
        <v>75738</v>
      </c>
      <c r="B4784" s="12" t="str">
        <f t="shared" si="74"/>
        <v>757</v>
      </c>
      <c r="C4784" s="14" t="s">
        <v>6085</v>
      </c>
      <c r="D4784" s="13" t="str">
        <f>IF(RIGHT(A4784,3)="000",C4784,VLOOKUP(B4784,'Справочник ИХ'!A:C,3,0))</f>
        <v>Остальные грузы</v>
      </c>
      <c r="E4784" s="13">
        <f>IF(RIGHT(A4784,3)="000","х",VLOOKUP(B4784,'Справочник ИХ'!A:D,4,0))</f>
        <v>3</v>
      </c>
      <c r="F4784" s="14" t="s">
        <v>5495</v>
      </c>
    </row>
    <row r="4785" spans="1:6" ht="31.75">
      <c r="A4785" s="23">
        <v>75739</v>
      </c>
      <c r="B4785" s="12" t="str">
        <f t="shared" si="74"/>
        <v>757</v>
      </c>
      <c r="C4785" s="14" t="s">
        <v>6086</v>
      </c>
      <c r="D4785" s="13" t="str">
        <f>IF(RIGHT(A4785,3)="000",C4785,VLOOKUP(B4785,'Справочник ИХ'!A:C,3,0))</f>
        <v>Остальные грузы</v>
      </c>
      <c r="E4785" s="13">
        <f>IF(RIGHT(A4785,3)="000","х",VLOOKUP(B4785,'Справочник ИХ'!A:D,4,0))</f>
        <v>3</v>
      </c>
      <c r="F4785" s="14" t="s">
        <v>5495</v>
      </c>
    </row>
    <row r="4786" spans="1:6" ht="31.75">
      <c r="A4786" s="23">
        <v>75740</v>
      </c>
      <c r="B4786" s="12" t="str">
        <f t="shared" si="74"/>
        <v>757</v>
      </c>
      <c r="C4786" s="14" t="s">
        <v>6087</v>
      </c>
      <c r="D4786" s="13" t="str">
        <f>IF(RIGHT(A4786,3)="000",C4786,VLOOKUP(B4786,'Справочник ИХ'!A:C,3,0))</f>
        <v>Остальные грузы</v>
      </c>
      <c r="E4786" s="13">
        <f>IF(RIGHT(A4786,3)="000","х",VLOOKUP(B4786,'Справочник ИХ'!A:D,4,0))</f>
        <v>3</v>
      </c>
      <c r="F4786" s="14" t="s">
        <v>5495</v>
      </c>
    </row>
    <row r="4787" spans="1:6" ht="31.75">
      <c r="A4787" s="23">
        <v>75741</v>
      </c>
      <c r="B4787" s="12" t="str">
        <f t="shared" si="74"/>
        <v>757</v>
      </c>
      <c r="C4787" s="14" t="s">
        <v>6088</v>
      </c>
      <c r="D4787" s="13" t="str">
        <f>IF(RIGHT(A4787,3)="000",C4787,VLOOKUP(B4787,'Справочник ИХ'!A:C,3,0))</f>
        <v>Остальные грузы</v>
      </c>
      <c r="E4787" s="13">
        <f>IF(RIGHT(A4787,3)="000","х",VLOOKUP(B4787,'Справочник ИХ'!A:D,4,0))</f>
        <v>3</v>
      </c>
      <c r="F4787" s="14" t="s">
        <v>5495</v>
      </c>
    </row>
    <row r="4788" spans="1:6" ht="31.75">
      <c r="A4788" s="23">
        <v>75742</v>
      </c>
      <c r="B4788" s="12" t="str">
        <f t="shared" si="74"/>
        <v>757</v>
      </c>
      <c r="C4788" s="14" t="s">
        <v>6089</v>
      </c>
      <c r="D4788" s="13" t="str">
        <f>IF(RIGHT(A4788,3)="000",C4788,VLOOKUP(B4788,'Справочник ИХ'!A:C,3,0))</f>
        <v>Остальные грузы</v>
      </c>
      <c r="E4788" s="13">
        <f>IF(RIGHT(A4788,3)="000","х",VLOOKUP(B4788,'Справочник ИХ'!A:D,4,0))</f>
        <v>3</v>
      </c>
      <c r="F4788" s="14" t="s">
        <v>5495</v>
      </c>
    </row>
    <row r="4789" spans="1:6" ht="31.75">
      <c r="A4789" s="23">
        <v>75743</v>
      </c>
      <c r="B4789" s="12" t="str">
        <f t="shared" si="74"/>
        <v>757</v>
      </c>
      <c r="C4789" s="14" t="s">
        <v>6090</v>
      </c>
      <c r="D4789" s="13" t="str">
        <f>IF(RIGHT(A4789,3)="000",C4789,VLOOKUP(B4789,'Справочник ИХ'!A:C,3,0))</f>
        <v>Остальные грузы</v>
      </c>
      <c r="E4789" s="13">
        <f>IF(RIGHT(A4789,3)="000","х",VLOOKUP(B4789,'Справочник ИХ'!A:D,4,0))</f>
        <v>3</v>
      </c>
      <c r="F4789" s="14" t="s">
        <v>5495</v>
      </c>
    </row>
    <row r="4790" spans="1:6" ht="31.75">
      <c r="A4790" s="23">
        <v>75744</v>
      </c>
      <c r="B4790" s="12" t="str">
        <f t="shared" si="74"/>
        <v>757</v>
      </c>
      <c r="C4790" s="14" t="s">
        <v>6091</v>
      </c>
      <c r="D4790" s="13" t="str">
        <f>IF(RIGHT(A4790,3)="000",C4790,VLOOKUP(B4790,'Справочник ИХ'!A:C,3,0))</f>
        <v>Остальные грузы</v>
      </c>
      <c r="E4790" s="13">
        <f>IF(RIGHT(A4790,3)="000","х",VLOOKUP(B4790,'Справочник ИХ'!A:D,4,0))</f>
        <v>3</v>
      </c>
      <c r="F4790" s="14" t="s">
        <v>5495</v>
      </c>
    </row>
    <row r="4791" spans="1:6" ht="31.75">
      <c r="A4791" s="23">
        <v>75745</v>
      </c>
      <c r="B4791" s="12" t="str">
        <f t="shared" si="74"/>
        <v>757</v>
      </c>
      <c r="C4791" s="14" t="s">
        <v>6092</v>
      </c>
      <c r="D4791" s="13" t="str">
        <f>IF(RIGHT(A4791,3)="000",C4791,VLOOKUP(B4791,'Справочник ИХ'!A:C,3,0))</f>
        <v>Остальные грузы</v>
      </c>
      <c r="E4791" s="13">
        <f>IF(RIGHT(A4791,3)="000","х",VLOOKUP(B4791,'Справочник ИХ'!A:D,4,0))</f>
        <v>3</v>
      </c>
      <c r="F4791" s="14" t="s">
        <v>5495</v>
      </c>
    </row>
    <row r="4792" spans="1:6" ht="31.75">
      <c r="A4792" s="23">
        <v>75746</v>
      </c>
      <c r="B4792" s="12" t="str">
        <f t="shared" si="74"/>
        <v>757</v>
      </c>
      <c r="C4792" s="14" t="s">
        <v>6093</v>
      </c>
      <c r="D4792" s="13" t="str">
        <f>IF(RIGHT(A4792,3)="000",C4792,VLOOKUP(B4792,'Справочник ИХ'!A:C,3,0))</f>
        <v>Остальные грузы</v>
      </c>
      <c r="E4792" s="13">
        <f>IF(RIGHT(A4792,3)="000","х",VLOOKUP(B4792,'Справочник ИХ'!A:D,4,0))</f>
        <v>3</v>
      </c>
      <c r="F4792" s="14" t="s">
        <v>5495</v>
      </c>
    </row>
    <row r="4793" spans="1:6" ht="31.75">
      <c r="A4793" s="23">
        <v>75747</v>
      </c>
      <c r="B4793" s="12" t="str">
        <f t="shared" si="74"/>
        <v>757</v>
      </c>
      <c r="C4793" s="14" t="s">
        <v>6094</v>
      </c>
      <c r="D4793" s="13" t="str">
        <f>IF(RIGHT(A4793,3)="000",C4793,VLOOKUP(B4793,'Справочник ИХ'!A:C,3,0))</f>
        <v>Остальные грузы</v>
      </c>
      <c r="E4793" s="13">
        <f>IF(RIGHT(A4793,3)="000","х",VLOOKUP(B4793,'Справочник ИХ'!A:D,4,0))</f>
        <v>3</v>
      </c>
      <c r="F4793" s="14" t="s">
        <v>5495</v>
      </c>
    </row>
    <row r="4794" spans="1:6" ht="31.75">
      <c r="A4794" s="23">
        <v>75748</v>
      </c>
      <c r="B4794" s="12" t="str">
        <f t="shared" si="74"/>
        <v>757</v>
      </c>
      <c r="C4794" s="14" t="s">
        <v>6095</v>
      </c>
      <c r="D4794" s="13" t="str">
        <f>IF(RIGHT(A4794,3)="000",C4794,VLOOKUP(B4794,'Справочник ИХ'!A:C,3,0))</f>
        <v>Остальные грузы</v>
      </c>
      <c r="E4794" s="13">
        <f>IF(RIGHT(A4794,3)="000","х",VLOOKUP(B4794,'Справочник ИХ'!A:D,4,0))</f>
        <v>3</v>
      </c>
      <c r="F4794" s="14" t="s">
        <v>5495</v>
      </c>
    </row>
    <row r="4795" spans="1:6" ht="31.75">
      <c r="A4795" s="23">
        <v>75749</v>
      </c>
      <c r="B4795" s="12" t="str">
        <f t="shared" si="74"/>
        <v>757</v>
      </c>
      <c r="C4795" s="14" t="s">
        <v>6096</v>
      </c>
      <c r="D4795" s="13" t="str">
        <f>IF(RIGHT(A4795,3)="000",C4795,VLOOKUP(B4795,'Справочник ИХ'!A:C,3,0))</f>
        <v>Остальные грузы</v>
      </c>
      <c r="E4795" s="13">
        <f>IF(RIGHT(A4795,3)="000","х",VLOOKUP(B4795,'Справочник ИХ'!A:D,4,0))</f>
        <v>3</v>
      </c>
      <c r="F4795" s="14" t="s">
        <v>5495</v>
      </c>
    </row>
    <row r="4796" spans="1:6" ht="31.75">
      <c r="A4796" s="23">
        <v>75750</v>
      </c>
      <c r="B4796" s="12" t="str">
        <f t="shared" si="74"/>
        <v>757</v>
      </c>
      <c r="C4796" s="14" t="s">
        <v>6097</v>
      </c>
      <c r="D4796" s="13" t="str">
        <f>IF(RIGHT(A4796,3)="000",C4796,VLOOKUP(B4796,'Справочник ИХ'!A:C,3,0))</f>
        <v>Остальные грузы</v>
      </c>
      <c r="E4796" s="13">
        <f>IF(RIGHT(A4796,3)="000","х",VLOOKUP(B4796,'Справочник ИХ'!A:D,4,0))</f>
        <v>3</v>
      </c>
      <c r="F4796" s="14" t="s">
        <v>5495</v>
      </c>
    </row>
    <row r="4797" spans="1:6" ht="31.75">
      <c r="A4797" s="23">
        <v>75751</v>
      </c>
      <c r="B4797" s="12" t="str">
        <f t="shared" si="74"/>
        <v>757</v>
      </c>
      <c r="C4797" s="14" t="s">
        <v>6098</v>
      </c>
      <c r="D4797" s="13" t="str">
        <f>IF(RIGHT(A4797,3)="000",C4797,VLOOKUP(B4797,'Справочник ИХ'!A:C,3,0))</f>
        <v>Остальные грузы</v>
      </c>
      <c r="E4797" s="13">
        <f>IF(RIGHT(A4797,3)="000","х",VLOOKUP(B4797,'Справочник ИХ'!A:D,4,0))</f>
        <v>3</v>
      </c>
      <c r="F4797" s="14" t="s">
        <v>5495</v>
      </c>
    </row>
    <row r="4798" spans="1:6" ht="31.75">
      <c r="A4798" s="23">
        <v>75752</v>
      </c>
      <c r="B4798" s="12" t="str">
        <f t="shared" si="74"/>
        <v>757</v>
      </c>
      <c r="C4798" s="14" t="s">
        <v>6099</v>
      </c>
      <c r="D4798" s="13" t="str">
        <f>IF(RIGHT(A4798,3)="000",C4798,VLOOKUP(B4798,'Справочник ИХ'!A:C,3,0))</f>
        <v>Остальные грузы</v>
      </c>
      <c r="E4798" s="13">
        <f>IF(RIGHT(A4798,3)="000","х",VLOOKUP(B4798,'Справочник ИХ'!A:D,4,0))</f>
        <v>3</v>
      </c>
      <c r="F4798" s="14" t="s">
        <v>5495</v>
      </c>
    </row>
    <row r="4799" spans="1:6" ht="31.75">
      <c r="A4799" s="23">
        <v>75753</v>
      </c>
      <c r="B4799" s="12" t="str">
        <f t="shared" si="74"/>
        <v>757</v>
      </c>
      <c r="C4799" s="14" t="s">
        <v>6100</v>
      </c>
      <c r="D4799" s="13" t="str">
        <f>IF(RIGHT(A4799,3)="000",C4799,VLOOKUP(B4799,'Справочник ИХ'!A:C,3,0))</f>
        <v>Остальные грузы</v>
      </c>
      <c r="E4799" s="13">
        <f>IF(RIGHT(A4799,3)="000","х",VLOOKUP(B4799,'Справочник ИХ'!A:D,4,0))</f>
        <v>3</v>
      </c>
      <c r="F4799" s="14" t="s">
        <v>5495</v>
      </c>
    </row>
    <row r="4800" spans="1:6" ht="31.75">
      <c r="A4800" s="23">
        <v>75754</v>
      </c>
      <c r="B4800" s="12" t="str">
        <f t="shared" si="74"/>
        <v>757</v>
      </c>
      <c r="C4800" s="14" t="s">
        <v>6101</v>
      </c>
      <c r="D4800" s="13" t="str">
        <f>IF(RIGHT(A4800,3)="000",C4800,VLOOKUP(B4800,'Справочник ИХ'!A:C,3,0))</f>
        <v>Остальные грузы</v>
      </c>
      <c r="E4800" s="13">
        <f>IF(RIGHT(A4800,3)="000","х",VLOOKUP(B4800,'Справочник ИХ'!A:D,4,0))</f>
        <v>3</v>
      </c>
      <c r="F4800" s="14" t="s">
        <v>5495</v>
      </c>
    </row>
    <row r="4801" spans="1:6" ht="31.75">
      <c r="A4801" s="23">
        <v>75755</v>
      </c>
      <c r="B4801" s="12" t="str">
        <f t="shared" si="74"/>
        <v>757</v>
      </c>
      <c r="C4801" s="14" t="s">
        <v>6102</v>
      </c>
      <c r="D4801" s="13" t="str">
        <f>IF(RIGHT(A4801,3)="000",C4801,VLOOKUP(B4801,'Справочник ИХ'!A:C,3,0))</f>
        <v>Остальные грузы</v>
      </c>
      <c r="E4801" s="13">
        <f>IF(RIGHT(A4801,3)="000","х",VLOOKUP(B4801,'Справочник ИХ'!A:D,4,0))</f>
        <v>3</v>
      </c>
      <c r="F4801" s="14" t="s">
        <v>5495</v>
      </c>
    </row>
    <row r="4802" spans="1:6" ht="31.75">
      <c r="A4802" s="23">
        <v>75756</v>
      </c>
      <c r="B4802" s="12" t="str">
        <f t="shared" si="74"/>
        <v>757</v>
      </c>
      <c r="C4802" s="14" t="s">
        <v>6103</v>
      </c>
      <c r="D4802" s="13" t="str">
        <f>IF(RIGHT(A4802,3)="000",C4802,VLOOKUP(B4802,'Справочник ИХ'!A:C,3,0))</f>
        <v>Остальные грузы</v>
      </c>
      <c r="E4802" s="13">
        <f>IF(RIGHT(A4802,3)="000","х",VLOOKUP(B4802,'Справочник ИХ'!A:D,4,0))</f>
        <v>3</v>
      </c>
      <c r="F4802" s="14" t="s">
        <v>5495</v>
      </c>
    </row>
    <row r="4803" spans="1:6" ht="31.75">
      <c r="A4803" s="23">
        <v>75757</v>
      </c>
      <c r="B4803" s="12" t="str">
        <f t="shared" si="74"/>
        <v>757</v>
      </c>
      <c r="C4803" s="14" t="s">
        <v>6104</v>
      </c>
      <c r="D4803" s="13" t="str">
        <f>IF(RIGHT(A4803,3)="000",C4803,VLOOKUP(B4803,'Справочник ИХ'!A:C,3,0))</f>
        <v>Остальные грузы</v>
      </c>
      <c r="E4803" s="13">
        <f>IF(RIGHT(A4803,3)="000","х",VLOOKUP(B4803,'Справочник ИХ'!A:D,4,0))</f>
        <v>3</v>
      </c>
      <c r="F4803" s="14" t="s">
        <v>5495</v>
      </c>
    </row>
    <row r="4804" spans="1:6" ht="31.75">
      <c r="A4804" s="23">
        <v>75758</v>
      </c>
      <c r="B4804" s="12" t="str">
        <f t="shared" si="74"/>
        <v>757</v>
      </c>
      <c r="C4804" s="14" t="s">
        <v>6105</v>
      </c>
      <c r="D4804" s="13" t="str">
        <f>IF(RIGHT(A4804,3)="000",C4804,VLOOKUP(B4804,'Справочник ИХ'!A:C,3,0))</f>
        <v>Остальные грузы</v>
      </c>
      <c r="E4804" s="13">
        <f>IF(RIGHT(A4804,3)="000","х",VLOOKUP(B4804,'Справочник ИХ'!A:D,4,0))</f>
        <v>3</v>
      </c>
      <c r="F4804" s="14" t="s">
        <v>5495</v>
      </c>
    </row>
    <row r="4805" spans="1:6" ht="31.75">
      <c r="A4805" s="23">
        <v>75759</v>
      </c>
      <c r="B4805" s="12" t="str">
        <f t="shared" ref="B4805:B4836" si="75">LEFT(A4805,3)</f>
        <v>757</v>
      </c>
      <c r="C4805" s="14" t="s">
        <v>6106</v>
      </c>
      <c r="D4805" s="13" t="str">
        <f>IF(RIGHT(A4805,3)="000",C4805,VLOOKUP(B4805,'Справочник ИХ'!A:C,3,0))</f>
        <v>Остальные грузы</v>
      </c>
      <c r="E4805" s="13">
        <f>IF(RIGHT(A4805,3)="000","х",VLOOKUP(B4805,'Справочник ИХ'!A:D,4,0))</f>
        <v>3</v>
      </c>
      <c r="F4805" s="14" t="s">
        <v>5495</v>
      </c>
    </row>
    <row r="4806" spans="1:6" ht="31.75">
      <c r="A4806" s="23">
        <v>75760</v>
      </c>
      <c r="B4806" s="12" t="str">
        <f t="shared" si="75"/>
        <v>757</v>
      </c>
      <c r="C4806" s="14" t="s">
        <v>6107</v>
      </c>
      <c r="D4806" s="13" t="str">
        <f>IF(RIGHT(A4806,3)="000",C4806,VLOOKUP(B4806,'Справочник ИХ'!A:C,3,0))</f>
        <v>Остальные грузы</v>
      </c>
      <c r="E4806" s="13">
        <f>IF(RIGHT(A4806,3)="000","х",VLOOKUP(B4806,'Справочник ИХ'!A:D,4,0))</f>
        <v>3</v>
      </c>
      <c r="F4806" s="14" t="s">
        <v>5495</v>
      </c>
    </row>
    <row r="4807" spans="1:6" ht="31.75">
      <c r="A4807" s="23">
        <v>75761</v>
      </c>
      <c r="B4807" s="12" t="str">
        <f t="shared" si="75"/>
        <v>757</v>
      </c>
      <c r="C4807" s="14" t="s">
        <v>6108</v>
      </c>
      <c r="D4807" s="13" t="str">
        <f>IF(RIGHT(A4807,3)="000",C4807,VLOOKUP(B4807,'Справочник ИХ'!A:C,3,0))</f>
        <v>Остальные грузы</v>
      </c>
      <c r="E4807" s="13">
        <f>IF(RIGHT(A4807,3)="000","х",VLOOKUP(B4807,'Справочник ИХ'!A:D,4,0))</f>
        <v>3</v>
      </c>
      <c r="F4807" s="14" t="s">
        <v>5495</v>
      </c>
    </row>
    <row r="4808" spans="1:6" ht="31.75">
      <c r="A4808" s="23">
        <v>75762</v>
      </c>
      <c r="B4808" s="12" t="str">
        <f t="shared" si="75"/>
        <v>757</v>
      </c>
      <c r="C4808" s="14" t="s">
        <v>6109</v>
      </c>
      <c r="D4808" s="13" t="str">
        <f>IF(RIGHT(A4808,3)="000",C4808,VLOOKUP(B4808,'Справочник ИХ'!A:C,3,0))</f>
        <v>Остальные грузы</v>
      </c>
      <c r="E4808" s="13">
        <f>IF(RIGHT(A4808,3)="000","х",VLOOKUP(B4808,'Справочник ИХ'!A:D,4,0))</f>
        <v>3</v>
      </c>
      <c r="F4808" s="14" t="s">
        <v>5495</v>
      </c>
    </row>
    <row r="4809" spans="1:6" ht="31.75">
      <c r="A4809" s="23">
        <v>75763</v>
      </c>
      <c r="B4809" s="12" t="str">
        <f t="shared" si="75"/>
        <v>757</v>
      </c>
      <c r="C4809" s="14" t="s">
        <v>6110</v>
      </c>
      <c r="D4809" s="13" t="str">
        <f>IF(RIGHT(A4809,3)="000",C4809,VLOOKUP(B4809,'Справочник ИХ'!A:C,3,0))</f>
        <v>Остальные грузы</v>
      </c>
      <c r="E4809" s="13">
        <f>IF(RIGHT(A4809,3)="000","х",VLOOKUP(B4809,'Справочник ИХ'!A:D,4,0))</f>
        <v>3</v>
      </c>
      <c r="F4809" s="14" t="s">
        <v>5495</v>
      </c>
    </row>
    <row r="4810" spans="1:6" ht="31.75">
      <c r="A4810" s="23">
        <v>75764</v>
      </c>
      <c r="B4810" s="12" t="str">
        <f t="shared" si="75"/>
        <v>757</v>
      </c>
      <c r="C4810" s="14" t="s">
        <v>6111</v>
      </c>
      <c r="D4810" s="13" t="str">
        <f>IF(RIGHT(A4810,3)="000",C4810,VLOOKUP(B4810,'Справочник ИХ'!A:C,3,0))</f>
        <v>Остальные грузы</v>
      </c>
      <c r="E4810" s="13">
        <f>IF(RIGHT(A4810,3)="000","х",VLOOKUP(B4810,'Справочник ИХ'!A:D,4,0))</f>
        <v>3</v>
      </c>
      <c r="F4810" s="14" t="s">
        <v>5495</v>
      </c>
    </row>
    <row r="4811" spans="1:6" ht="31.75">
      <c r="A4811" s="23">
        <v>75765</v>
      </c>
      <c r="B4811" s="12" t="str">
        <f t="shared" si="75"/>
        <v>757</v>
      </c>
      <c r="C4811" s="14" t="s">
        <v>6112</v>
      </c>
      <c r="D4811" s="13" t="str">
        <f>IF(RIGHT(A4811,3)="000",C4811,VLOOKUP(B4811,'Справочник ИХ'!A:C,3,0))</f>
        <v>Остальные грузы</v>
      </c>
      <c r="E4811" s="13">
        <f>IF(RIGHT(A4811,3)="000","х",VLOOKUP(B4811,'Справочник ИХ'!A:D,4,0))</f>
        <v>3</v>
      </c>
      <c r="F4811" s="14" t="s">
        <v>5495</v>
      </c>
    </row>
    <row r="4812" spans="1:6" ht="31.75">
      <c r="A4812" s="23">
        <v>75766</v>
      </c>
      <c r="B4812" s="12" t="str">
        <f t="shared" si="75"/>
        <v>757</v>
      </c>
      <c r="C4812" s="14" t="s">
        <v>6113</v>
      </c>
      <c r="D4812" s="13" t="str">
        <f>IF(RIGHT(A4812,3)="000",C4812,VLOOKUP(B4812,'Справочник ИХ'!A:C,3,0))</f>
        <v>Остальные грузы</v>
      </c>
      <c r="E4812" s="13">
        <f>IF(RIGHT(A4812,3)="000","х",VLOOKUP(B4812,'Справочник ИХ'!A:D,4,0))</f>
        <v>3</v>
      </c>
      <c r="F4812" s="14" t="s">
        <v>5495</v>
      </c>
    </row>
    <row r="4813" spans="1:6" ht="31.75">
      <c r="A4813" s="23">
        <v>75767</v>
      </c>
      <c r="B4813" s="12" t="str">
        <f t="shared" si="75"/>
        <v>757</v>
      </c>
      <c r="C4813" s="14" t="s">
        <v>6114</v>
      </c>
      <c r="D4813" s="13" t="str">
        <f>IF(RIGHT(A4813,3)="000",C4813,VLOOKUP(B4813,'Справочник ИХ'!A:C,3,0))</f>
        <v>Остальные грузы</v>
      </c>
      <c r="E4813" s="13">
        <f>IF(RIGHT(A4813,3)="000","х",VLOOKUP(B4813,'Справочник ИХ'!A:D,4,0))</f>
        <v>3</v>
      </c>
      <c r="F4813" s="14" t="s">
        <v>5495</v>
      </c>
    </row>
    <row r="4814" spans="1:6" ht="31.75">
      <c r="A4814" s="23">
        <v>75768</v>
      </c>
      <c r="B4814" s="12" t="str">
        <f t="shared" si="75"/>
        <v>757</v>
      </c>
      <c r="C4814" s="14" t="s">
        <v>6115</v>
      </c>
      <c r="D4814" s="13" t="str">
        <f>IF(RIGHT(A4814,3)="000",C4814,VLOOKUP(B4814,'Справочник ИХ'!A:C,3,0))</f>
        <v>Остальные грузы</v>
      </c>
      <c r="E4814" s="13">
        <f>IF(RIGHT(A4814,3)="000","х",VLOOKUP(B4814,'Справочник ИХ'!A:D,4,0))</f>
        <v>3</v>
      </c>
      <c r="F4814" s="14" t="s">
        <v>5495</v>
      </c>
    </row>
    <row r="4815" spans="1:6" ht="31.75">
      <c r="A4815" s="23">
        <v>75769</v>
      </c>
      <c r="B4815" s="12" t="str">
        <f t="shared" si="75"/>
        <v>757</v>
      </c>
      <c r="C4815" s="14" t="s">
        <v>6116</v>
      </c>
      <c r="D4815" s="13" t="str">
        <f>IF(RIGHT(A4815,3)="000",C4815,VLOOKUP(B4815,'Справочник ИХ'!A:C,3,0))</f>
        <v>Остальные грузы</v>
      </c>
      <c r="E4815" s="13">
        <f>IF(RIGHT(A4815,3)="000","х",VLOOKUP(B4815,'Справочник ИХ'!A:D,4,0))</f>
        <v>3</v>
      </c>
      <c r="F4815" s="14" t="s">
        <v>5495</v>
      </c>
    </row>
    <row r="4816" spans="1:6" ht="31.75">
      <c r="A4816" s="23">
        <v>75770</v>
      </c>
      <c r="B4816" s="12" t="str">
        <f t="shared" si="75"/>
        <v>757</v>
      </c>
      <c r="C4816" s="14" t="s">
        <v>6117</v>
      </c>
      <c r="D4816" s="13" t="str">
        <f>IF(RIGHT(A4816,3)="000",C4816,VLOOKUP(B4816,'Справочник ИХ'!A:C,3,0))</f>
        <v>Остальные грузы</v>
      </c>
      <c r="E4816" s="13">
        <f>IF(RIGHT(A4816,3)="000","х",VLOOKUP(B4816,'Справочник ИХ'!A:D,4,0))</f>
        <v>3</v>
      </c>
      <c r="F4816" s="14" t="s">
        <v>5495</v>
      </c>
    </row>
    <row r="4817" spans="1:6" ht="31.75">
      <c r="A4817" s="23">
        <v>75771</v>
      </c>
      <c r="B4817" s="12" t="str">
        <f t="shared" si="75"/>
        <v>757</v>
      </c>
      <c r="C4817" s="14" t="s">
        <v>6118</v>
      </c>
      <c r="D4817" s="13" t="str">
        <f>IF(RIGHT(A4817,3)="000",C4817,VLOOKUP(B4817,'Справочник ИХ'!A:C,3,0))</f>
        <v>Остальные грузы</v>
      </c>
      <c r="E4817" s="13">
        <f>IF(RIGHT(A4817,3)="000","х",VLOOKUP(B4817,'Справочник ИХ'!A:D,4,0))</f>
        <v>3</v>
      </c>
      <c r="F4817" s="14" t="s">
        <v>5495</v>
      </c>
    </row>
    <row r="4818" spans="1:6" ht="31.75">
      <c r="A4818" s="23">
        <v>75772</v>
      </c>
      <c r="B4818" s="12" t="str">
        <f t="shared" si="75"/>
        <v>757</v>
      </c>
      <c r="C4818" s="14" t="s">
        <v>6119</v>
      </c>
      <c r="D4818" s="13" t="str">
        <f>IF(RIGHT(A4818,3)="000",C4818,VLOOKUP(B4818,'Справочник ИХ'!A:C,3,0))</f>
        <v>Остальные грузы</v>
      </c>
      <c r="E4818" s="13">
        <f>IF(RIGHT(A4818,3)="000","х",VLOOKUP(B4818,'Справочник ИХ'!A:D,4,0))</f>
        <v>3</v>
      </c>
      <c r="F4818" s="14" t="s">
        <v>5495</v>
      </c>
    </row>
    <row r="4819" spans="1:6" s="18" customFormat="1" ht="31.75">
      <c r="A4819" s="34" t="s">
        <v>6120</v>
      </c>
      <c r="B4819" s="12" t="str">
        <f t="shared" si="75"/>
        <v>758</v>
      </c>
      <c r="C4819" s="18" t="s">
        <v>6121</v>
      </c>
      <c r="D4819" s="13" t="str">
        <f>IF(RIGHT(A4819,3)="000",C4819,VLOOKUP(B4819,'Справочник ИХ'!A:C,3,0))</f>
        <v>Остальные грузы</v>
      </c>
      <c r="E4819" s="13">
        <f>IF(RIGHT(A4819,3)="000","х",VLOOKUP(B4819,'Справочник ИХ'!A:D,4,0))</f>
        <v>3</v>
      </c>
      <c r="F4819" s="14" t="s">
        <v>5495</v>
      </c>
    </row>
    <row r="4820" spans="1:6" ht="31.75">
      <c r="A4820" s="23">
        <v>75801</v>
      </c>
      <c r="B4820" s="12" t="str">
        <f t="shared" si="75"/>
        <v>758</v>
      </c>
      <c r="C4820" s="14" t="s">
        <v>6122</v>
      </c>
      <c r="D4820" s="13" t="str">
        <f>IF(RIGHT(A4820,3)="000",C4820,VLOOKUP(B4820,'Справочник ИХ'!A:C,3,0))</f>
        <v>Остальные грузы</v>
      </c>
      <c r="E4820" s="13">
        <f>IF(RIGHT(A4820,3)="000","х",VLOOKUP(B4820,'Справочник ИХ'!A:D,4,0))</f>
        <v>3</v>
      </c>
      <c r="F4820" s="14" t="s">
        <v>5495</v>
      </c>
    </row>
    <row r="4821" spans="1:6" ht="31.75">
      <c r="A4821" s="23">
        <v>75802</v>
      </c>
      <c r="B4821" s="12" t="str">
        <f t="shared" si="75"/>
        <v>758</v>
      </c>
      <c r="C4821" s="14" t="s">
        <v>6123</v>
      </c>
      <c r="D4821" s="13" t="str">
        <f>IF(RIGHT(A4821,3)="000",C4821,VLOOKUP(B4821,'Справочник ИХ'!A:C,3,0))</f>
        <v>Остальные грузы</v>
      </c>
      <c r="E4821" s="13">
        <f>IF(RIGHT(A4821,3)="000","х",VLOOKUP(B4821,'Справочник ИХ'!A:D,4,0))</f>
        <v>3</v>
      </c>
      <c r="F4821" s="14" t="s">
        <v>5495</v>
      </c>
    </row>
    <row r="4822" spans="1:6" ht="31.75">
      <c r="A4822" s="23">
        <v>75803</v>
      </c>
      <c r="B4822" s="12" t="str">
        <f t="shared" si="75"/>
        <v>758</v>
      </c>
      <c r="C4822" s="14" t="s">
        <v>6124</v>
      </c>
      <c r="D4822" s="13" t="str">
        <f>IF(RIGHT(A4822,3)="000",C4822,VLOOKUP(B4822,'Справочник ИХ'!A:C,3,0))</f>
        <v>Остальные грузы</v>
      </c>
      <c r="E4822" s="13">
        <f>IF(RIGHT(A4822,3)="000","х",VLOOKUP(B4822,'Справочник ИХ'!A:D,4,0))</f>
        <v>3</v>
      </c>
      <c r="F4822" s="14" t="s">
        <v>5495</v>
      </c>
    </row>
    <row r="4823" spans="1:6" ht="31.75">
      <c r="A4823" s="23">
        <v>75804</v>
      </c>
      <c r="B4823" s="12" t="str">
        <f t="shared" si="75"/>
        <v>758</v>
      </c>
      <c r="C4823" s="14" t="s">
        <v>6125</v>
      </c>
      <c r="D4823" s="13" t="str">
        <f>IF(RIGHT(A4823,3)="000",C4823,VLOOKUP(B4823,'Справочник ИХ'!A:C,3,0))</f>
        <v>Остальные грузы</v>
      </c>
      <c r="E4823" s="13">
        <f>IF(RIGHT(A4823,3)="000","х",VLOOKUP(B4823,'Справочник ИХ'!A:D,4,0))</f>
        <v>3</v>
      </c>
      <c r="F4823" s="14" t="s">
        <v>5495</v>
      </c>
    </row>
    <row r="4824" spans="1:6" ht="31.75">
      <c r="A4824" s="23">
        <v>75805</v>
      </c>
      <c r="B4824" s="12" t="str">
        <f t="shared" si="75"/>
        <v>758</v>
      </c>
      <c r="C4824" s="14" t="s">
        <v>6126</v>
      </c>
      <c r="D4824" s="13" t="str">
        <f>IF(RIGHT(A4824,3)="000",C4824,VLOOKUP(B4824,'Справочник ИХ'!A:C,3,0))</f>
        <v>Остальные грузы</v>
      </c>
      <c r="E4824" s="13">
        <f>IF(RIGHT(A4824,3)="000","х",VLOOKUP(B4824,'Справочник ИХ'!A:D,4,0))</f>
        <v>3</v>
      </c>
      <c r="F4824" s="14" t="s">
        <v>5495</v>
      </c>
    </row>
    <row r="4825" spans="1:6" ht="31.75">
      <c r="A4825" s="23">
        <v>75806</v>
      </c>
      <c r="B4825" s="12" t="str">
        <f t="shared" si="75"/>
        <v>758</v>
      </c>
      <c r="C4825" s="14" t="s">
        <v>6127</v>
      </c>
      <c r="D4825" s="13" t="str">
        <f>IF(RIGHT(A4825,3)="000",C4825,VLOOKUP(B4825,'Справочник ИХ'!A:C,3,0))</f>
        <v>Остальные грузы</v>
      </c>
      <c r="E4825" s="13">
        <f>IF(RIGHT(A4825,3)="000","х",VLOOKUP(B4825,'Справочник ИХ'!A:D,4,0))</f>
        <v>3</v>
      </c>
      <c r="F4825" s="14" t="s">
        <v>5495</v>
      </c>
    </row>
    <row r="4826" spans="1:6" ht="31.75">
      <c r="A4826" s="23">
        <v>75807</v>
      </c>
      <c r="B4826" s="12" t="str">
        <f t="shared" si="75"/>
        <v>758</v>
      </c>
      <c r="C4826" s="14" t="s">
        <v>6128</v>
      </c>
      <c r="D4826" s="13" t="str">
        <f>IF(RIGHT(A4826,3)="000",C4826,VLOOKUP(B4826,'Справочник ИХ'!A:C,3,0))</f>
        <v>Остальные грузы</v>
      </c>
      <c r="E4826" s="13">
        <f>IF(RIGHT(A4826,3)="000","х",VLOOKUP(B4826,'Справочник ИХ'!A:D,4,0))</f>
        <v>3</v>
      </c>
      <c r="F4826" s="14" t="s">
        <v>5495</v>
      </c>
    </row>
    <row r="4827" spans="1:6" ht="31.75">
      <c r="A4827" s="23">
        <v>75808</v>
      </c>
      <c r="B4827" s="12" t="str">
        <f t="shared" si="75"/>
        <v>758</v>
      </c>
      <c r="C4827" s="14" t="s">
        <v>6129</v>
      </c>
      <c r="D4827" s="13" t="str">
        <f>IF(RIGHT(A4827,3)="000",C4827,VLOOKUP(B4827,'Справочник ИХ'!A:C,3,0))</f>
        <v>Остальные грузы</v>
      </c>
      <c r="E4827" s="13">
        <f>IF(RIGHT(A4827,3)="000","х",VLOOKUP(B4827,'Справочник ИХ'!A:D,4,0))</f>
        <v>3</v>
      </c>
      <c r="F4827" s="14" t="s">
        <v>5495</v>
      </c>
    </row>
    <row r="4828" spans="1:6" ht="31.75">
      <c r="A4828" s="23">
        <v>75809</v>
      </c>
      <c r="B4828" s="12" t="str">
        <f t="shared" si="75"/>
        <v>758</v>
      </c>
      <c r="C4828" s="14" t="s">
        <v>6130</v>
      </c>
      <c r="D4828" s="13" t="str">
        <f>IF(RIGHT(A4828,3)="000",C4828,VLOOKUP(B4828,'Справочник ИХ'!A:C,3,0))</f>
        <v>Остальные грузы</v>
      </c>
      <c r="E4828" s="13">
        <f>IF(RIGHT(A4828,3)="000","х",VLOOKUP(B4828,'Справочник ИХ'!A:D,4,0))</f>
        <v>3</v>
      </c>
      <c r="F4828" s="14" t="s">
        <v>5495</v>
      </c>
    </row>
    <row r="4829" spans="1:6" ht="31.75">
      <c r="A4829" s="23">
        <v>75810</v>
      </c>
      <c r="B4829" s="12" t="str">
        <f t="shared" si="75"/>
        <v>758</v>
      </c>
      <c r="C4829" s="14" t="s">
        <v>6131</v>
      </c>
      <c r="D4829" s="13" t="str">
        <f>IF(RIGHT(A4829,3)="000",C4829,VLOOKUP(B4829,'Справочник ИХ'!A:C,3,0))</f>
        <v>Остальные грузы</v>
      </c>
      <c r="E4829" s="13">
        <f>IF(RIGHT(A4829,3)="000","х",VLOOKUP(B4829,'Справочник ИХ'!A:D,4,0))</f>
        <v>3</v>
      </c>
      <c r="F4829" s="14" t="s">
        <v>5495</v>
      </c>
    </row>
    <row r="4830" spans="1:6" ht="31.75">
      <c r="A4830" s="23">
        <v>75811</v>
      </c>
      <c r="B4830" s="12" t="str">
        <f t="shared" si="75"/>
        <v>758</v>
      </c>
      <c r="C4830" s="14" t="s">
        <v>6132</v>
      </c>
      <c r="D4830" s="13" t="str">
        <f>IF(RIGHT(A4830,3)="000",C4830,VLOOKUP(B4830,'Справочник ИХ'!A:C,3,0))</f>
        <v>Остальные грузы</v>
      </c>
      <c r="E4830" s="13">
        <f>IF(RIGHT(A4830,3)="000","х",VLOOKUP(B4830,'Справочник ИХ'!A:D,4,0))</f>
        <v>3</v>
      </c>
      <c r="F4830" s="14" t="s">
        <v>5495</v>
      </c>
    </row>
    <row r="4831" spans="1:6" ht="31.75">
      <c r="A4831" s="23">
        <v>75812</v>
      </c>
      <c r="B4831" s="12" t="str">
        <f t="shared" si="75"/>
        <v>758</v>
      </c>
      <c r="C4831" s="14" t="s">
        <v>6133</v>
      </c>
      <c r="D4831" s="13" t="str">
        <f>IF(RIGHT(A4831,3)="000",C4831,VLOOKUP(B4831,'Справочник ИХ'!A:C,3,0))</f>
        <v>Остальные грузы</v>
      </c>
      <c r="E4831" s="13">
        <f>IF(RIGHT(A4831,3)="000","х",VLOOKUP(B4831,'Справочник ИХ'!A:D,4,0))</f>
        <v>3</v>
      </c>
      <c r="F4831" s="14" t="s">
        <v>5495</v>
      </c>
    </row>
    <row r="4832" spans="1:6" ht="31.75">
      <c r="A4832" s="23">
        <v>75813</v>
      </c>
      <c r="B4832" s="12" t="str">
        <f t="shared" si="75"/>
        <v>758</v>
      </c>
      <c r="C4832" s="14" t="s">
        <v>6134</v>
      </c>
      <c r="D4832" s="13" t="str">
        <f>IF(RIGHT(A4832,3)="000",C4832,VLOOKUP(B4832,'Справочник ИХ'!A:C,3,0))</f>
        <v>Остальные грузы</v>
      </c>
      <c r="E4832" s="13">
        <f>IF(RIGHT(A4832,3)="000","х",VLOOKUP(B4832,'Справочник ИХ'!A:D,4,0))</f>
        <v>3</v>
      </c>
      <c r="F4832" s="14" t="s">
        <v>5495</v>
      </c>
    </row>
    <row r="4833" spans="1:6" ht="31.75">
      <c r="A4833" s="23">
        <v>75814</v>
      </c>
      <c r="B4833" s="12" t="str">
        <f t="shared" si="75"/>
        <v>758</v>
      </c>
      <c r="C4833" s="14" t="s">
        <v>6135</v>
      </c>
      <c r="D4833" s="13" t="str">
        <f>IF(RIGHT(A4833,3)="000",C4833,VLOOKUP(B4833,'Справочник ИХ'!A:C,3,0))</f>
        <v>Остальные грузы</v>
      </c>
      <c r="E4833" s="13">
        <f>IF(RIGHT(A4833,3)="000","х",VLOOKUP(B4833,'Справочник ИХ'!A:D,4,0))</f>
        <v>3</v>
      </c>
      <c r="F4833" s="14" t="s">
        <v>5495</v>
      </c>
    </row>
    <row r="4834" spans="1:6" ht="31.75">
      <c r="A4834" s="23">
        <v>75815</v>
      </c>
      <c r="B4834" s="12" t="str">
        <f t="shared" si="75"/>
        <v>758</v>
      </c>
      <c r="C4834" s="14" t="s">
        <v>6136</v>
      </c>
      <c r="D4834" s="13" t="str">
        <f>IF(RIGHT(A4834,3)="000",C4834,VLOOKUP(B4834,'Справочник ИХ'!A:C,3,0))</f>
        <v>Остальные грузы</v>
      </c>
      <c r="E4834" s="13">
        <f>IF(RIGHT(A4834,3)="000","х",VLOOKUP(B4834,'Справочник ИХ'!A:D,4,0))</f>
        <v>3</v>
      </c>
      <c r="F4834" s="14" t="s">
        <v>5495</v>
      </c>
    </row>
    <row r="4835" spans="1:6" ht="31.75">
      <c r="A4835" s="23">
        <v>75816</v>
      </c>
      <c r="B4835" s="12" t="str">
        <f t="shared" si="75"/>
        <v>758</v>
      </c>
      <c r="C4835" s="14" t="s">
        <v>6137</v>
      </c>
      <c r="D4835" s="13" t="str">
        <f>IF(RIGHT(A4835,3)="000",C4835,VLOOKUP(B4835,'Справочник ИХ'!A:C,3,0))</f>
        <v>Остальные грузы</v>
      </c>
      <c r="E4835" s="13">
        <f>IF(RIGHT(A4835,3)="000","х",VLOOKUP(B4835,'Справочник ИХ'!A:D,4,0))</f>
        <v>3</v>
      </c>
      <c r="F4835" s="14" t="s">
        <v>5495</v>
      </c>
    </row>
    <row r="4836" spans="1:6" ht="31.75">
      <c r="A4836" s="23">
        <v>75817</v>
      </c>
      <c r="B4836" s="12" t="str">
        <f t="shared" si="75"/>
        <v>758</v>
      </c>
      <c r="C4836" s="14" t="s">
        <v>6138</v>
      </c>
      <c r="D4836" s="13" t="str">
        <f>IF(RIGHT(A4836,3)="000",C4836,VLOOKUP(B4836,'Справочник ИХ'!A:C,3,0))</f>
        <v>Остальные грузы</v>
      </c>
      <c r="E4836" s="13">
        <f>IF(RIGHT(A4836,3)="000","х",VLOOKUP(B4836,'Справочник ИХ'!A:D,4,0))</f>
        <v>3</v>
      </c>
      <c r="F4836" s="14" t="s">
        <v>5495</v>
      </c>
    </row>
  </sheetData>
  <autoFilter ref="A1:G4836"/>
  <hyperlinks>
    <hyperlink ref="C4260" r:id="rId1" display="http://www.russotrans.ru/ref/cargo/etsng/72156"/>
    <hyperlink ref="C4261" r:id="rId2" display="http://www.russotrans.ru/ref/cargo/etsng/72157"/>
    <hyperlink ref="C4262" r:id="rId3" display="http://www.russotrans.ru/ref/cargo/etsng/72158"/>
    <hyperlink ref="C4263" r:id="rId4" display="http://www.russotrans.ru/ref/cargo/etsng/72159"/>
    <hyperlink ref="C4264" r:id="rId5" display="http://www.russotrans.ru/ref/cargo/etsng/72160"/>
    <hyperlink ref="C4265" r:id="rId6" display="http://www.russotrans.ru/ref/cargo/etsng/72161"/>
    <hyperlink ref="C4266" r:id="rId7" display="http://www.russotrans.ru/ref/cargo/etsng/72162"/>
    <hyperlink ref="C4267" r:id="rId8" display="http://www.russotrans.ru/ref/cargo/etsng/72163"/>
    <hyperlink ref="C4268" r:id="rId9" display="http://www.russotrans.ru/ref/cargo/etsng/72164"/>
    <hyperlink ref="C4269" r:id="rId10" display="http://www.russotrans.ru/ref/cargo/etsng/72166"/>
    <hyperlink ref="C4270" r:id="rId11" display="http://www.russotrans.ru/ref/cargo/etsng/72167"/>
    <hyperlink ref="C4271" r:id="rId12" display="http://www.russotrans.ru/ref/cargo/etsng/72168"/>
    <hyperlink ref="C4273" r:id="rId13" display="http://www.russotrans.ru/ref/cargo/etsng/72201"/>
    <hyperlink ref="C4274" r:id="rId14" display="http://www.russotrans.ru/ref/cargo/etsng/72202"/>
    <hyperlink ref="C4275" r:id="rId15" display="http://www.russotrans.ru/ref/cargo/etsng/72203"/>
    <hyperlink ref="C4276" r:id="rId16" display="http://www.russotrans.ru/ref/cargo/etsng/72204"/>
    <hyperlink ref="C4277" r:id="rId17" display="http://www.russotrans.ru/ref/cargo/etsng/72205"/>
    <hyperlink ref="C4278" r:id="rId18" display="http://www.russotrans.ru/ref/cargo/etsng/72206"/>
    <hyperlink ref="C4279" r:id="rId19" display="http://www.russotrans.ru/ref/cargo/etsng/72207"/>
    <hyperlink ref="C4280" r:id="rId20" display="http://www.russotrans.ru/ref/cargo/etsng/72208"/>
    <hyperlink ref="C4281" r:id="rId21" display="http://www.russotrans.ru/ref/cargo/etsng/72209"/>
    <hyperlink ref="C4282" r:id="rId22" display="http://www.russotrans.ru/ref/cargo/etsng/72210"/>
    <hyperlink ref="C4283" r:id="rId23" display="http://www.russotrans.ru/ref/cargo/etsng/72212"/>
    <hyperlink ref="C4284" r:id="rId24" display="http://www.russotrans.ru/ref/cargo/etsng/72213"/>
    <hyperlink ref="C4285" r:id="rId25" display="http://www.russotrans.ru/ref/cargo/etsng/72214"/>
    <hyperlink ref="C4286" r:id="rId26" display="http://www.russotrans.ru/ref/cargo/etsng/72215"/>
    <hyperlink ref="C4287" r:id="rId27" display="http://www.russotrans.ru/ref/cargo/etsng/72216"/>
    <hyperlink ref="C4288" r:id="rId28" display="http://www.russotrans.ru/ref/cargo/etsng/72217"/>
    <hyperlink ref="C4289" r:id="rId29" display="http://www.russotrans.ru/ref/cargo/etsng/72218"/>
    <hyperlink ref="C4290" r:id="rId30" display="http://www.russotrans.ru/ref/cargo/etsng/72219"/>
    <hyperlink ref="C4291" r:id="rId31" display="http://www.russotrans.ru/ref/cargo/etsng/72220"/>
    <hyperlink ref="C4292" r:id="rId32" display="http://www.russotrans.ru/ref/cargo/etsng/72221"/>
    <hyperlink ref="C4293" r:id="rId33" display="http://www.russotrans.ru/ref/cargo/etsng/72222"/>
    <hyperlink ref="C4294" r:id="rId34" display="http://www.russotrans.ru/ref/cargo/etsng/72223"/>
    <hyperlink ref="C4295" r:id="rId35" display="http://www.russotrans.ru/ref/cargo/etsng/72224"/>
    <hyperlink ref="C4296" r:id="rId36" display="http://www.russotrans.ru/ref/cargo/etsng/72225"/>
    <hyperlink ref="C4297" r:id="rId37" display="http://www.russotrans.ru/ref/cargo/etsng/723"/>
    <hyperlink ref="C4298" r:id="rId38" display="http://www.russotrans.ru/ref/cargo/etsng/72301"/>
    <hyperlink ref="C4299" r:id="rId39" display="http://www.russotrans.ru/ref/cargo/etsng/72302"/>
    <hyperlink ref="C4300" r:id="rId40" display="http://www.russotrans.ru/ref/cargo/etsng/72303"/>
    <hyperlink ref="C4301" r:id="rId41" display="http://www.russotrans.ru/ref/cargo/etsng/72304"/>
    <hyperlink ref="C4302" r:id="rId42" display="http://www.russotrans.ru/ref/cargo/etsng/72305"/>
    <hyperlink ref="C4303" r:id="rId43" display="http://www.russotrans.ru/ref/cargo/etsng/72306"/>
    <hyperlink ref="C4304" r:id="rId44" display="http://www.russotrans.ru/ref/cargo/etsng/72307"/>
    <hyperlink ref="C4305" r:id="rId45" display="http://www.russotrans.ru/ref/cargo/etsng/72308"/>
    <hyperlink ref="C4306" r:id="rId46" display="http://www.russotrans.ru/ref/cargo/etsng/72309"/>
    <hyperlink ref="C4307" r:id="rId47" display="http://www.russotrans.ru/ref/cargo/etsng/72310"/>
    <hyperlink ref="C4308" r:id="rId48" display="http://www.russotrans.ru/ref/cargo/etsng/72312"/>
    <hyperlink ref="C4309" r:id="rId49" display="http://www.russotrans.ru/ref/cargo/etsng/72313"/>
    <hyperlink ref="C4310" r:id="rId50" display="http://www.russotrans.ru/ref/cargo/etsng/72314"/>
    <hyperlink ref="C4311" r:id="rId51" display="http://www.russotrans.ru/ref/cargo/etsng/72316"/>
    <hyperlink ref="C4312" r:id="rId52" display="http://www.russotrans.ru/ref/cargo/etsng/72317"/>
    <hyperlink ref="C4313" r:id="rId53" display="http://www.russotrans.ru/ref/cargo/etsng/72318"/>
    <hyperlink ref="C4314" r:id="rId54" display="http://www.russotrans.ru/ref/cargo/etsng/72319"/>
    <hyperlink ref="C4315" r:id="rId55" display="http://www.russotrans.ru/ref/cargo/etsng/72320"/>
    <hyperlink ref="C4316" r:id="rId56" display="http://www.russotrans.ru/ref/cargo/etsng/72321"/>
    <hyperlink ref="C4317" r:id="rId57" display="http://www.russotrans.ru/ref/cargo/etsng/72322"/>
    <hyperlink ref="C4318" r:id="rId58" display="http://www.russotrans.ru/ref/cargo/etsng/72323"/>
    <hyperlink ref="C4319" r:id="rId59" display="http://www.russotrans.ru/ref/cargo/etsng/72324"/>
    <hyperlink ref="C4320" r:id="rId60" display="http://www.russotrans.ru/ref/cargo/etsng/72325"/>
    <hyperlink ref="C4321" r:id="rId61" display="http://www.russotrans.ru/ref/cargo/etsng/72326"/>
    <hyperlink ref="C4322" r:id="rId62" display="http://www.russotrans.ru/ref/cargo/etsng/72327"/>
    <hyperlink ref="C4323" r:id="rId63" display="http://www.russotrans.ru/ref/cargo/etsng/72328"/>
    <hyperlink ref="C4324" r:id="rId64" display="http://www.russotrans.ru/ref/cargo/etsng/72329"/>
    <hyperlink ref="C4325" r:id="rId65" display="http://www.russotrans.ru/ref/cargo/etsng/72330"/>
    <hyperlink ref="C4326" r:id="rId66" display="http://www.russotrans.ru/ref/cargo/etsng/72331"/>
    <hyperlink ref="C4327" r:id="rId67" display="http://www.russotrans.ru/ref/cargo/etsng/724"/>
    <hyperlink ref="C4328" r:id="rId68" display="http://www.russotrans.ru/ref/cargo/etsng/72401"/>
    <hyperlink ref="C4329" r:id="rId69" display="http://www.russotrans.ru/ref/cargo/etsng/72402"/>
    <hyperlink ref="C4330" r:id="rId70" display="http://www.russotrans.ru/ref/cargo/etsng/72403"/>
    <hyperlink ref="C4331" r:id="rId71" display="http://www.russotrans.ru/ref/cargo/etsng/72404"/>
    <hyperlink ref="C4332" r:id="rId72" display="http://www.russotrans.ru/ref/cargo/etsng/72405"/>
    <hyperlink ref="C4333" r:id="rId73" display="http://www.russotrans.ru/ref/cargo/etsng/72406"/>
    <hyperlink ref="C4334" r:id="rId74" display="http://www.russotrans.ru/ref/cargo/etsng/72407"/>
    <hyperlink ref="C4335" r:id="rId75" display="http://www.russotrans.ru/ref/cargo/etsng/72408"/>
    <hyperlink ref="C4336" r:id="rId76" display="http://www.russotrans.ru/ref/cargo/etsng/72409"/>
    <hyperlink ref="C4337" r:id="rId77" display="http://www.russotrans.ru/ref/cargo/etsng/72410"/>
    <hyperlink ref="C4338" r:id="rId78" display="http://www.russotrans.ru/ref/cargo/etsng/72411"/>
    <hyperlink ref="C4339" r:id="rId79" display="http://www.russotrans.ru/ref/cargo/etsng/72412"/>
    <hyperlink ref="C4340" r:id="rId80" display="http://www.russotrans.ru/ref/cargo/etsng/72413"/>
    <hyperlink ref="C4341" r:id="rId81" display="http://www.russotrans.ru/ref/cargo/etsng/72414"/>
    <hyperlink ref="C4342" r:id="rId82" display="http://www.russotrans.ru/ref/cargo/etsng/72415"/>
    <hyperlink ref="C4343" r:id="rId83" display="http://www.russotrans.ru/ref/cargo/etsng/72416"/>
    <hyperlink ref="C4344" r:id="rId84" display="http://www.russotrans.ru/ref/cargo/etsng/72417"/>
    <hyperlink ref="C4345" r:id="rId85" display="http://www.russotrans.ru/ref/cargo/etsng/72418"/>
    <hyperlink ref="C4346" r:id="rId86" display="http://www.russotrans.ru/ref/cargo/etsng/72419"/>
    <hyperlink ref="C4347" r:id="rId87" display="http://www.russotrans.ru/ref/cargo/etsng/72420"/>
    <hyperlink ref="C4348" r:id="rId88" display="http://www.russotrans.ru/ref/cargo/etsng/72421"/>
    <hyperlink ref="C4349" r:id="rId89" display="http://www.russotrans.ru/ref/cargo/etsng/72422"/>
    <hyperlink ref="C4350" r:id="rId90" display="http://www.russotrans.ru/ref/cargo/etsng/72423"/>
    <hyperlink ref="C4351" r:id="rId91" display="http://www.russotrans.ru/ref/cargo/etsng/72424"/>
    <hyperlink ref="C4352" r:id="rId92" display="http://www.russotrans.ru/ref/cargo/etsng/72425"/>
    <hyperlink ref="C4353" r:id="rId93" display="http://www.russotrans.ru/ref/cargo/etsng/72426"/>
    <hyperlink ref="C4354" r:id="rId94" display="http://www.russotrans.ru/ref/cargo/etsng/72427"/>
    <hyperlink ref="C4355" r:id="rId95" display="http://www.russotrans.ru/ref/cargo/etsng/72428"/>
    <hyperlink ref="C4356" r:id="rId96" display="http://www.russotrans.ru/ref/cargo/etsng/72429"/>
    <hyperlink ref="C4357" r:id="rId97" display="http://www.russotrans.ru/ref/cargo/etsng/72430"/>
    <hyperlink ref="C4358" r:id="rId98" display="http://www.russotrans.ru/ref/cargo/etsng/72431"/>
    <hyperlink ref="C4359" r:id="rId99" display="http://www.russotrans.ru/ref/cargo/etsng/72432"/>
    <hyperlink ref="C4360" r:id="rId100" display="http://www.russotrans.ru/ref/cargo/etsng/72433"/>
    <hyperlink ref="C4361" r:id="rId101" display="http://www.russotrans.ru/ref/cargo/etsng/72434"/>
    <hyperlink ref="C4362" r:id="rId102" display="http://www.russotrans.ru/ref/cargo/etsng/72436"/>
    <hyperlink ref="C4363" r:id="rId103" display="http://www.russotrans.ru/ref/cargo/etsng/72437"/>
    <hyperlink ref="C4364" r:id="rId104" display="http://www.russotrans.ru/ref/cargo/etsng/72438"/>
    <hyperlink ref="C4365" r:id="rId105" display="http://www.russotrans.ru/ref/cargo/etsng/72439"/>
    <hyperlink ref="C4366" r:id="rId106" display="http://www.russotrans.ru/ref/cargo/etsng/72440"/>
    <hyperlink ref="C4367" r:id="rId107" display="http://www.russotrans.ru/ref/cargo/etsng/72441"/>
    <hyperlink ref="C4368" r:id="rId108" display="http://www.russotrans.ru/ref/cargo/etsng/72443"/>
    <hyperlink ref="C4369" r:id="rId109" display="http://www.russotrans.ru/ref/cargo/etsng/72444"/>
    <hyperlink ref="C4370" r:id="rId110" display="http://www.russotrans.ru/ref/cargo/etsng/725"/>
    <hyperlink ref="C4371" r:id="rId111" display="http://www.russotrans.ru/ref/cargo/etsng/72501"/>
    <hyperlink ref="C4372" r:id="rId112" display="http://www.russotrans.ru/ref/cargo/etsng/72502"/>
    <hyperlink ref="C4373" r:id="rId113" display="http://www.russotrans.ru/ref/cargo/etsng/72503"/>
    <hyperlink ref="C4374" r:id="rId114" display="http://www.russotrans.ru/ref/cargo/etsng/72504"/>
    <hyperlink ref="C4375" r:id="rId115" display="http://www.russotrans.ru/ref/cargo/etsng/72505"/>
    <hyperlink ref="C4376" r:id="rId116" display="http://www.russotrans.ru/ref/cargo/etsng/72506"/>
    <hyperlink ref="C4377" r:id="rId117" display="http://www.russotrans.ru/ref/cargo/etsng/72507"/>
    <hyperlink ref="C4378" r:id="rId118" display="http://www.russotrans.ru/ref/cargo/etsng/72508"/>
    <hyperlink ref="C4379" r:id="rId119" display="http://www.russotrans.ru/ref/cargo/etsng/72509"/>
    <hyperlink ref="C4380" r:id="rId120" display="http://www.russotrans.ru/ref/cargo/etsng/72510"/>
    <hyperlink ref="C4381" r:id="rId121" display="http://www.russotrans.ru/ref/cargo/etsng/72511"/>
    <hyperlink ref="C4382" r:id="rId122" display="http://www.russotrans.ru/ref/cargo/etsng/72512"/>
    <hyperlink ref="C4383" r:id="rId123" display="http://www.russotrans.ru/ref/cargo/etsng/72513"/>
    <hyperlink ref="C4384" r:id="rId124" display="http://www.russotrans.ru/ref/cargo/etsng/72514"/>
    <hyperlink ref="C4385" r:id="rId125" display="http://www.russotrans.ru/ref/cargo/etsng/72515"/>
    <hyperlink ref="C4386" r:id="rId126" display="http://www.russotrans.ru/ref/cargo/etsng/72516"/>
    <hyperlink ref="C4387" r:id="rId127" display="http://www.russotrans.ru/ref/cargo/etsng/72517"/>
    <hyperlink ref="C4388" r:id="rId128" display="http://www.russotrans.ru/ref/cargo/etsng/72518"/>
    <hyperlink ref="C4389" r:id="rId129" display="http://www.russotrans.ru/ref/cargo/etsng/72519"/>
    <hyperlink ref="C4390" r:id="rId130" display="http://www.russotrans.ru/ref/cargo/etsng/72520"/>
    <hyperlink ref="C4391" r:id="rId131" display="http://www.russotrans.ru/ref/cargo/etsng/72521"/>
    <hyperlink ref="C4392" r:id="rId132" display="http://www.russotrans.ru/ref/cargo/etsng/72522"/>
    <hyperlink ref="C4393" r:id="rId133" display="http://www.russotrans.ru/ref/cargo/etsng/72523"/>
    <hyperlink ref="C4394" r:id="rId134" display="http://www.russotrans.ru/ref/cargo/etsng/72524"/>
    <hyperlink ref="C4395" r:id="rId135" display="http://www.russotrans.ru/ref/cargo/etsng/72525"/>
    <hyperlink ref="C4396" r:id="rId136" display="http://www.russotrans.ru/ref/cargo/etsng/72526"/>
    <hyperlink ref="C4397" r:id="rId137" display="http://www.russotrans.ru/ref/cargo/etsng/72527"/>
    <hyperlink ref="C4398" r:id="rId138" display="http://www.russotrans.ru/ref/cargo/etsng/72528"/>
    <hyperlink ref="C4399" r:id="rId139" display="http://www.russotrans.ru/ref/cargo/etsng/72529"/>
    <hyperlink ref="C4400" r:id="rId140" display="http://www.russotrans.ru/ref/cargo/etsng/72530"/>
    <hyperlink ref="C4401" r:id="rId141" display="http://www.russotrans.ru/ref/cargo/etsng/72531"/>
    <hyperlink ref="C4402" r:id="rId142" display="http://www.russotrans.ru/ref/cargo/etsng/72532"/>
    <hyperlink ref="C4403" r:id="rId143" display="http://www.russotrans.ru/ref/cargo/etsng/72533"/>
    <hyperlink ref="C4404" r:id="rId144" display="http://www.russotrans.ru/ref/cargo/etsng/72534"/>
    <hyperlink ref="C4405" r:id="rId145" display="http://www.russotrans.ru/ref/cargo/etsng/72536"/>
    <hyperlink ref="C4406" r:id="rId146" display="http://www.russotrans.ru/ref/cargo/etsng/72537"/>
    <hyperlink ref="C4407" r:id="rId147" display="http://www.russotrans.ru/ref/cargo/etsng/72538"/>
    <hyperlink ref="C4408" r:id="rId148" display="http://www.russotrans.ru/ref/cargo/etsng/72539"/>
    <hyperlink ref="C4409" r:id="rId149" display="http://www.russotrans.ru/ref/cargo/etsng/72540"/>
    <hyperlink ref="C4410" r:id="rId150" display="http://www.russotrans.ru/ref/cargo/etsng/72541"/>
    <hyperlink ref="C4411" r:id="rId151" display="http://www.russotrans.ru/ref/cargo/etsng/72542"/>
    <hyperlink ref="C4412" r:id="rId152" display="http://www.russotrans.ru/ref/cargo/etsng/72543"/>
    <hyperlink ref="C4413" r:id="rId153" display="http://www.russotrans.ru/ref/cargo/etsng/72544"/>
    <hyperlink ref="C4414" r:id="rId154" display="http://www.russotrans.ru/ref/cargo/etsng/72545"/>
    <hyperlink ref="C4415" r:id="rId155" display="http://www.russotrans.ru/ref/cargo/etsng/72546"/>
    <hyperlink ref="C4416" r:id="rId156" display="http://www.russotrans.ru/ref/cargo/etsng/72547"/>
    <hyperlink ref="C4417" r:id="rId157" display="http://www.russotrans.ru/ref/cargo/etsng/72548"/>
    <hyperlink ref="C4418" r:id="rId158" display="http://www.russotrans.ru/ref/cargo/etsng/72549"/>
    <hyperlink ref="C4419" r:id="rId159" display="http://www.russotrans.ru/ref/cargo/etsng/72550"/>
    <hyperlink ref="C4420" r:id="rId160" display="http://www.russotrans.ru/ref/cargo/etsng/72551"/>
    <hyperlink ref="C4421" r:id="rId161" display="http://www.russotrans.ru/ref/cargo/etsng/72552"/>
    <hyperlink ref="C4422" r:id="rId162" display="http://www.russotrans.ru/ref/cargo/etsng/72553"/>
    <hyperlink ref="C4423" r:id="rId163" display="http://www.russotrans.ru/ref/cargo/etsng/72554"/>
    <hyperlink ref="C4424" r:id="rId164" display="http://www.russotrans.ru/ref/cargo/etsng/72555"/>
    <hyperlink ref="C4425" r:id="rId165" display="http://www.russotrans.ru/ref/cargo/etsng/72556"/>
    <hyperlink ref="C4426" r:id="rId166" display="http://www.russotrans.ru/ref/cargo/etsng/72557"/>
    <hyperlink ref="C4427" r:id="rId167" display="http://www.russotrans.ru/ref/cargo/etsng/72558"/>
    <hyperlink ref="C4428" r:id="rId168" display="http://www.russotrans.ru/ref/cargo/etsng/72559"/>
    <hyperlink ref="C4429" r:id="rId169" display="http://www.russotrans.ru/ref/cargo/etsng/72560"/>
    <hyperlink ref="C4430" r:id="rId170" display="http://www.russotrans.ru/ref/cargo/etsng/72561"/>
    <hyperlink ref="C4431" r:id="rId171" display="http://www.russotrans.ru/ref/cargo/etsng/72562"/>
    <hyperlink ref="C4432" r:id="rId172" display="http://www.russotrans.ru/ref/cargo/etsng/72563"/>
    <hyperlink ref="C4433" r:id="rId173" display="http://www.russotrans.ru/ref/cargo/etsng/72564"/>
    <hyperlink ref="C4434" r:id="rId174" display="http://www.russotrans.ru/ref/cargo/etsng/72565"/>
    <hyperlink ref="C4435" r:id="rId175" display="http://www.russotrans.ru/ref/cargo/etsng/72566"/>
    <hyperlink ref="C4436" r:id="rId176" display="http://www.russotrans.ru/ref/cargo/etsng/72567"/>
    <hyperlink ref="C4437" r:id="rId177" display="http://www.russotrans.ru/ref/cargo/etsng/72568"/>
    <hyperlink ref="C4438" r:id="rId178" display="http://www.russotrans.ru/ref/cargo/etsng/72569"/>
    <hyperlink ref="C4439" r:id="rId179" display="http://www.russotrans.ru/ref/cargo/etsng/72570"/>
    <hyperlink ref="C4440" r:id="rId180" display="http://www.russotrans.ru/ref/cargo/etsng/726"/>
    <hyperlink ref="C4441" r:id="rId181" display="http://www.russotrans.ru/ref/cargo/etsng/72601"/>
    <hyperlink ref="C4442" r:id="rId182" display="http://www.russotrans.ru/ref/cargo/etsng/72602"/>
    <hyperlink ref="C4443" r:id="rId183" display="http://www.russotrans.ru/ref/cargo/etsng/72603"/>
    <hyperlink ref="C4444" r:id="rId184" display="http://www.russotrans.ru/ref/cargo/etsng/72604"/>
    <hyperlink ref="C4445" r:id="rId185" display="http://www.russotrans.ru/ref/cargo/etsng/72605"/>
    <hyperlink ref="C4446" r:id="rId186" display="http://www.russotrans.ru/ref/cargo/etsng/72606"/>
    <hyperlink ref="C4447" r:id="rId187" display="http://www.russotrans.ru/ref/cargo/etsng/72607"/>
    <hyperlink ref="C4448" r:id="rId188" display="http://www.russotrans.ru/ref/cargo/etsng/72608"/>
    <hyperlink ref="C4449" r:id="rId189" display="http://www.russotrans.ru/ref/cargo/etsng/72609"/>
    <hyperlink ref="C4450" r:id="rId190" display="http://www.russotrans.ru/ref/cargo/etsng/72610"/>
    <hyperlink ref="C4451" r:id="rId191" display="http://www.russotrans.ru/ref/cargo/etsng/72611"/>
    <hyperlink ref="C4452" r:id="rId192" display="http://www.russotrans.ru/ref/cargo/etsng/72612"/>
    <hyperlink ref="C4453" r:id="rId193" display="http://www.russotrans.ru/ref/cargo/etsng/72613"/>
    <hyperlink ref="C4454" r:id="rId194" display="http://www.russotrans.ru/ref/cargo/etsng/72614"/>
    <hyperlink ref="C4455" r:id="rId195" display="http://www.russotrans.ru/ref/cargo/etsng/72615"/>
    <hyperlink ref="C4456" r:id="rId196" display="http://www.russotrans.ru/ref/cargo/etsng/72616"/>
    <hyperlink ref="C4457" r:id="rId197" display="http://www.russotrans.ru/ref/cargo/etsng/72617"/>
    <hyperlink ref="C4458" r:id="rId198" display="http://www.russotrans.ru/ref/cargo/etsng/72618"/>
    <hyperlink ref="C4459" r:id="rId199" display="http://www.russotrans.ru/ref/cargo/etsng/72619"/>
    <hyperlink ref="C4460" r:id="rId200" display="http://www.russotrans.ru/ref/cargo/etsng/730"/>
    <hyperlink ref="C4461" r:id="rId201" display="http://www.russotrans.ru/ref/cargo/etsng/731"/>
    <hyperlink ref="C4462" r:id="rId202" display="http://www.russotrans.ru/ref/cargo/etsng/73101"/>
    <hyperlink ref="C4463" r:id="rId203" display="http://www.russotrans.ru/ref/cargo/etsng/73102"/>
    <hyperlink ref="C4464" r:id="rId204" display="http://www.russotrans.ru/ref/cargo/etsng/73103"/>
    <hyperlink ref="C4465" r:id="rId205" display="http://www.russotrans.ru/ref/cargo/etsng/73104"/>
    <hyperlink ref="C4466" r:id="rId206" display="http://www.russotrans.ru/ref/cargo/etsng/73105"/>
    <hyperlink ref="C4467" r:id="rId207" display="http://www.russotrans.ru/ref/cargo/etsng/73106"/>
    <hyperlink ref="C4468" r:id="rId208" display="http://www.russotrans.ru/ref/cargo/etsng/73107"/>
    <hyperlink ref="C4469" r:id="rId209" display="http://www.russotrans.ru/ref/cargo/etsng/73108"/>
    <hyperlink ref="C4470" r:id="rId210" display="http://www.russotrans.ru/ref/cargo/etsng/73109"/>
    <hyperlink ref="C4471" r:id="rId211" display="http://www.russotrans.ru/ref/cargo/etsng/73110"/>
    <hyperlink ref="C4472" r:id="rId212" display="http://www.russotrans.ru/ref/cargo/etsng/73111"/>
    <hyperlink ref="C4473" r:id="rId213" display="http://www.russotrans.ru/ref/cargo/etsng/73112"/>
    <hyperlink ref="C4474" r:id="rId214" display="http://www.russotrans.ru/ref/cargo/etsng/73113"/>
    <hyperlink ref="C4475" r:id="rId215" display="http://www.russotrans.ru/ref/cargo/etsng/73115"/>
    <hyperlink ref="C4476" r:id="rId216" display="http://www.russotrans.ru/ref/cargo/etsng/73116"/>
    <hyperlink ref="C4477" r:id="rId217" display="http://www.russotrans.ru/ref/cargo/etsng/73117"/>
    <hyperlink ref="C4478" r:id="rId218" display="http://www.russotrans.ru/ref/cargo/etsng/73118"/>
    <hyperlink ref="C4479" r:id="rId219" display="http://www.russotrans.ru/ref/cargo/etsng/73119"/>
    <hyperlink ref="C4480" r:id="rId220" display="http://www.russotrans.ru/ref/cargo/etsng/73120"/>
    <hyperlink ref="C4481" r:id="rId221" display="http://www.russotrans.ru/ref/cargo/etsng/73121"/>
    <hyperlink ref="C4482" r:id="rId222" display="http://www.russotrans.ru/ref/cargo/etsng/73122"/>
    <hyperlink ref="C4483" r:id="rId223" display="http://www.russotrans.ru/ref/cargo/etsng/73123"/>
    <hyperlink ref="C4484" r:id="rId224" display="http://www.russotrans.ru/ref/cargo/etsng/73124"/>
    <hyperlink ref="C4485" r:id="rId225" display="http://www.russotrans.ru/ref/cargo/etsng/73125"/>
    <hyperlink ref="C4486" r:id="rId226" display="http://www.russotrans.ru/ref/cargo/etsng/73126"/>
    <hyperlink ref="C4487" r:id="rId227" display="http://www.russotrans.ru/ref/cargo/etsng/73127"/>
    <hyperlink ref="C4488" r:id="rId228" display="http://www.russotrans.ru/ref/cargo/etsng/73128"/>
    <hyperlink ref="C4489" r:id="rId229" display="http://www.russotrans.ru/ref/cargo/etsng/73129"/>
    <hyperlink ref="C4490" r:id="rId230" display="http://www.russotrans.ru/ref/cargo/etsng/73130"/>
    <hyperlink ref="C4491" r:id="rId231" display="http://www.russotrans.ru/ref/cargo/etsng/73131"/>
    <hyperlink ref="C4492" r:id="rId232" display="http://www.russotrans.ru/ref/cargo/etsng/73132"/>
    <hyperlink ref="C4493" r:id="rId233" display="http://www.russotrans.ru/ref/cargo/etsng/73133"/>
    <hyperlink ref="C4494" r:id="rId234" display="http://www.russotrans.ru/ref/cargo/etsng/73134"/>
    <hyperlink ref="C4495" r:id="rId235" display="http://www.russotrans.ru/ref/cargo/etsng/73135"/>
    <hyperlink ref="C4496" r:id="rId236" display="http://www.russotrans.ru/ref/cargo/etsng/73136"/>
    <hyperlink ref="C4497" r:id="rId237" display="http://www.russotrans.ru/ref/cargo/etsng/73137"/>
    <hyperlink ref="C4498" r:id="rId238" display="http://www.russotrans.ru/ref/cargo/etsng/73138"/>
    <hyperlink ref="C4499" r:id="rId239" display="http://www.russotrans.ru/ref/cargo/etsng/73139"/>
    <hyperlink ref="C4500" r:id="rId240" display="http://www.russotrans.ru/ref/cargo/etsng/73140"/>
    <hyperlink ref="C4501" r:id="rId241" display="http://www.russotrans.ru/ref/cargo/etsng/73141"/>
    <hyperlink ref="C4502" r:id="rId242" display="http://www.russotrans.ru/ref/cargo/etsng/73143"/>
    <hyperlink ref="C4503" r:id="rId243" display="http://www.russotrans.ru/ref/cargo/etsng/73144"/>
    <hyperlink ref="C4504" r:id="rId244" display="http://www.russotrans.ru/ref/cargo/etsng/73145"/>
    <hyperlink ref="C4505" r:id="rId245" display="http://www.russotrans.ru/ref/cargo/etsng/73146"/>
    <hyperlink ref="C4506" r:id="rId246" display="http://www.russotrans.ru/ref/cargo/etsng/73147"/>
    <hyperlink ref="C4507" r:id="rId247" display="http://www.russotrans.ru/ref/cargo/etsng/73148"/>
    <hyperlink ref="C4508" r:id="rId248" display="http://www.russotrans.ru/ref/cargo/etsng/73149"/>
    <hyperlink ref="C4509" r:id="rId249" display="http://www.russotrans.ru/ref/cargo/etsng/73150"/>
    <hyperlink ref="C4510" r:id="rId250" display="http://www.russotrans.ru/ref/cargo/etsng/73151"/>
    <hyperlink ref="C4511" r:id="rId251" display="http://www.russotrans.ru/ref/cargo/etsng/73152"/>
    <hyperlink ref="C4512" r:id="rId252" display="http://www.russotrans.ru/ref/cargo/etsng/73153"/>
    <hyperlink ref="C4513" r:id="rId253" display="http://www.russotrans.ru/ref/cargo/etsng/73154"/>
    <hyperlink ref="C4514" r:id="rId254" display="http://www.russotrans.ru/ref/cargo/etsng/73155"/>
    <hyperlink ref="C4515" r:id="rId255" display="http://www.russotrans.ru/ref/cargo/etsng/732"/>
    <hyperlink ref="C4516" r:id="rId256" display="http://www.russotrans.ru/ref/cargo/etsng/73201"/>
    <hyperlink ref="C4517" r:id="rId257" display="http://www.russotrans.ru/ref/cargo/etsng/73202"/>
    <hyperlink ref="C4518" r:id="rId258" display="http://www.russotrans.ru/ref/cargo/etsng/73203"/>
    <hyperlink ref="C4519" r:id="rId259" display="http://www.russotrans.ru/ref/cargo/etsng/73204"/>
    <hyperlink ref="C4520" r:id="rId260" display="http://www.russotrans.ru/ref/cargo/etsng/73205"/>
    <hyperlink ref="C4521" r:id="rId261" display="http://www.russotrans.ru/ref/cargo/etsng/73206"/>
    <hyperlink ref="C4522" r:id="rId262" display="http://www.russotrans.ru/ref/cargo/etsng/73207"/>
    <hyperlink ref="C4523" r:id="rId263" display="http://www.russotrans.ru/ref/cargo/etsng/73208"/>
    <hyperlink ref="C4524" r:id="rId264" display="http://www.russotrans.ru/ref/cargo/etsng/73209"/>
    <hyperlink ref="C4525" r:id="rId265" display="http://www.russotrans.ru/ref/cargo/etsng/73210"/>
    <hyperlink ref="C4526" r:id="rId266" display="http://www.russotrans.ru/ref/cargo/etsng/73211"/>
    <hyperlink ref="C4527" r:id="rId267" display="http://www.russotrans.ru/ref/cargo/etsng/73212"/>
    <hyperlink ref="C4528" r:id="rId268" display="http://www.russotrans.ru/ref/cargo/etsng/73213"/>
    <hyperlink ref="C4529" r:id="rId269" display="http://www.russotrans.ru/ref/cargo/etsng/73214"/>
    <hyperlink ref="C4530" r:id="rId270" display="http://www.russotrans.ru/ref/cargo/etsng/73215"/>
    <hyperlink ref="C4531" r:id="rId271" display="http://www.russotrans.ru/ref/cargo/etsng/73216"/>
    <hyperlink ref="C4532" r:id="rId272" display="http://www.russotrans.ru/ref/cargo/etsng/73217"/>
    <hyperlink ref="C4533" r:id="rId273" display="http://www.russotrans.ru/ref/cargo/etsng/73218"/>
    <hyperlink ref="C4534" r:id="rId274" display="http://www.russotrans.ru/ref/cargo/etsng/73219"/>
    <hyperlink ref="C4535" r:id="rId275" display="http://www.russotrans.ru/ref/cargo/etsng/740"/>
    <hyperlink ref="C4536" r:id="rId276" display="http://www.russotrans.ru/ref/cargo/etsng/741"/>
    <hyperlink ref="C4537" r:id="rId277" display="http://www.russotrans.ru/ref/cargo/etsng/74102"/>
    <hyperlink ref="C4538" r:id="rId278" display="http://www.russotrans.ru/ref/cargo/etsng/74103"/>
    <hyperlink ref="C4539" r:id="rId279" display="http://www.russotrans.ru/ref/cargo/etsng/74105"/>
    <hyperlink ref="C4540" r:id="rId280" display="http://www.russotrans.ru/ref/cargo/etsng/74106"/>
    <hyperlink ref="C4541" r:id="rId281" display="http://www.russotrans.ru/ref/cargo/etsng/74107"/>
    <hyperlink ref="C4542" r:id="rId282" display="http://www.russotrans.ru/ref/cargo/etsng/74108"/>
    <hyperlink ref="C4543" r:id="rId283" display="http://www.russotrans.ru/ref/cargo/etsng/74110"/>
    <hyperlink ref="C4544" r:id="rId284" display="http://www.russotrans.ru/ref/cargo/etsng/74111"/>
    <hyperlink ref="C4545" r:id="rId285" display="http://www.russotrans.ru/ref/cargo/etsng/74112"/>
    <hyperlink ref="C4546" r:id="rId286" display="http://www.russotrans.ru/ref/cargo/etsng/74114"/>
    <hyperlink ref="C4547" r:id="rId287" display="http://www.russotrans.ru/ref/cargo/etsng/74115"/>
    <hyperlink ref="C4548" r:id="rId288" display="http://www.russotrans.ru/ref/cargo/etsng/74116"/>
    <hyperlink ref="C4549" r:id="rId289" display="http://www.russotrans.ru/ref/cargo/etsng/74117"/>
    <hyperlink ref="C4550" r:id="rId290" display="http://www.russotrans.ru/ref/cargo/etsng/74118"/>
    <hyperlink ref="C4551" r:id="rId291" display="http://www.russotrans.ru/ref/cargo/etsng/74119"/>
    <hyperlink ref="C4552" r:id="rId292" display="http://www.russotrans.ru/ref/cargo/etsng/74120"/>
    <hyperlink ref="C4553" r:id="rId293" display="http://www.russotrans.ru/ref/cargo/etsng/74121"/>
    <hyperlink ref="C4554" r:id="rId294" display="http://www.russotrans.ru/ref/cargo/etsng/74122"/>
    <hyperlink ref="C4555" r:id="rId295" display="http://www.russotrans.ru/ref/cargo/etsng/74124"/>
    <hyperlink ref="C4556" r:id="rId296" display="http://www.russotrans.ru/ref/cargo/etsng/74125"/>
    <hyperlink ref="C4557" r:id="rId297" display="http://www.russotrans.ru/ref/cargo/etsng/74126"/>
    <hyperlink ref="C4558" r:id="rId298" display="http://www.russotrans.ru/ref/cargo/etsng/74128"/>
    <hyperlink ref="C4559" r:id="rId299" display="http://www.russotrans.ru/ref/cargo/etsng/74129"/>
    <hyperlink ref="C4560" r:id="rId300" display="http://www.russotrans.ru/ref/cargo/etsng/74130"/>
    <hyperlink ref="C4561" r:id="rId301" display="http://www.russotrans.ru/ref/cargo/etsng/74132"/>
    <hyperlink ref="C4562" r:id="rId302" display="http://www.russotrans.ru/ref/cargo/etsng/74133"/>
    <hyperlink ref="C4563" r:id="rId303" display="http://www.russotrans.ru/ref/cargo/etsng/74134"/>
    <hyperlink ref="C4564" r:id="rId304" display="http://www.russotrans.ru/ref/cargo/etsng/74135"/>
    <hyperlink ref="C4565" r:id="rId305" display="http://www.russotrans.ru/ref/cargo/etsng/742"/>
    <hyperlink ref="C4566" r:id="rId306" display="http://www.russotrans.ru/ref/cargo/etsng/74201"/>
    <hyperlink ref="C4567" r:id="rId307" display="http://www.russotrans.ru/ref/cargo/etsng/74202"/>
    <hyperlink ref="C4568" r:id="rId308" display="http://www.russotrans.ru/ref/cargo/etsng/74203"/>
    <hyperlink ref="C4569" r:id="rId309" display="http://www.russotrans.ru/ref/cargo/etsng/74204"/>
    <hyperlink ref="C4570" r:id="rId310" display="http://www.russotrans.ru/ref/cargo/etsng/74205"/>
    <hyperlink ref="C4571" r:id="rId311" display="http://www.russotrans.ru/ref/cargo/etsng/74206"/>
    <hyperlink ref="C4572" r:id="rId312" display="http://www.russotrans.ru/ref/cargo/etsng/74208"/>
    <hyperlink ref="C4573" r:id="rId313" display="http://www.russotrans.ru/ref/cargo/etsng/74209"/>
    <hyperlink ref="C4574" r:id="rId314" display="http://www.russotrans.ru/ref/cargo/etsng/74211"/>
    <hyperlink ref="C4575" r:id="rId315" display="http://www.russotrans.ru/ref/cargo/etsng/74212"/>
    <hyperlink ref="C4576" r:id="rId316" display="http://www.russotrans.ru/ref/cargo/etsng/74213"/>
    <hyperlink ref="C4577" r:id="rId317" display="http://www.russotrans.ru/ref/cargo/etsng/74215"/>
    <hyperlink ref="C4578" r:id="rId318" display="http://www.russotrans.ru/ref/cargo/etsng/74217"/>
    <hyperlink ref="C4579" r:id="rId319" display="http://www.russotrans.ru/ref/cargo/etsng/74218"/>
    <hyperlink ref="C4580" r:id="rId320" display="http://www.russotrans.ru/ref/cargo/etsng/74219"/>
    <hyperlink ref="C4581" r:id="rId321" display="http://www.russotrans.ru/ref/cargo/etsng/74220"/>
    <hyperlink ref="C4582" r:id="rId322" display="http://www.russotrans.ru/ref/cargo/etsng/74221"/>
    <hyperlink ref="C4583" r:id="rId323" display="http://www.russotrans.ru/ref/cargo/etsng/74222"/>
    <hyperlink ref="C4584" r:id="rId324" display="http://www.russotrans.ru/ref/cargo/etsng/74223"/>
    <hyperlink ref="C4585" r:id="rId325" display="http://www.russotrans.ru/ref/cargo/etsng/74224"/>
    <hyperlink ref="C4586" r:id="rId326" display="http://www.russotrans.ru/ref/cargo/etsng/74225"/>
    <hyperlink ref="C4587" r:id="rId327" display="http://www.russotrans.ru/ref/cargo/etsng/74226"/>
    <hyperlink ref="C4588" r:id="rId328" display="http://www.russotrans.ru/ref/cargo/etsng/74227"/>
    <hyperlink ref="C4589" r:id="rId329" display="http://www.russotrans.ru/ref/cargo/etsng/74230"/>
    <hyperlink ref="C4590" r:id="rId330" display="http://www.russotrans.ru/ref/cargo/etsng/74231"/>
    <hyperlink ref="C4591" r:id="rId331" display="http://www.russotrans.ru/ref/cargo/etsng/74232"/>
    <hyperlink ref="C4592" r:id="rId332" display="http://www.russotrans.ru/ref/cargo/etsng/74233"/>
    <hyperlink ref="C4593" r:id="rId333" display="http://www.russotrans.ru/ref/cargo/etsng/74234"/>
    <hyperlink ref="C4594" r:id="rId334" display="http://www.russotrans.ru/ref/cargo/etsng/74235"/>
    <hyperlink ref="C4595" r:id="rId335" display="http://www.russotrans.ru/ref/cargo/etsng/74236"/>
    <hyperlink ref="C4596" r:id="rId336" display="http://www.russotrans.ru/ref/cargo/etsng/74238"/>
    <hyperlink ref="C4597" r:id="rId337" display="http://www.russotrans.ru/ref/cargo/etsng/74239"/>
    <hyperlink ref="C4598" r:id="rId338" display="http://www.russotrans.ru/ref/cargo/etsng/74240"/>
    <hyperlink ref="C4599" r:id="rId339" display="http://www.russotrans.ru/ref/cargo/etsng/74241"/>
    <hyperlink ref="C4600" r:id="rId340" display="http://www.russotrans.ru/ref/cargo/etsng/74242"/>
    <hyperlink ref="C4601" r:id="rId341" display="http://www.russotrans.ru/ref/cargo/etsng/74243"/>
    <hyperlink ref="C4602" r:id="rId342" display="http://www.russotrans.ru/ref/cargo/etsng/74244"/>
    <hyperlink ref="C4603" r:id="rId343" display="http://www.russotrans.ru/ref/cargo/etsng/74245"/>
    <hyperlink ref="C4604" r:id="rId344" display="http://www.russotrans.ru/ref/cargo/etsng/74246"/>
    <hyperlink ref="C4605" r:id="rId345" display="http://www.russotrans.ru/ref/cargo/etsng/74247"/>
    <hyperlink ref="C4606" r:id="rId346" display="http://www.russotrans.ru/ref/cargo/etsng/74248"/>
    <hyperlink ref="C4607" r:id="rId347" display="http://www.russotrans.ru/ref/cargo/etsng/74249"/>
    <hyperlink ref="C4608" r:id="rId348" display="http://www.russotrans.ru/ref/cargo/etsng/750"/>
    <hyperlink ref="C4609" r:id="rId349" display="http://www.russotrans.ru/ref/cargo/etsng/751"/>
    <hyperlink ref="C4610" r:id="rId350" display="http://www.russotrans.ru/ref/cargo/etsng/75101"/>
    <hyperlink ref="C4611" r:id="rId351" display="http://www.russotrans.ru/ref/cargo/etsng/75102"/>
    <hyperlink ref="C4612" r:id="rId352" display="http://www.russotrans.ru/ref/cargo/etsng/75103"/>
    <hyperlink ref="C4613" r:id="rId353" display="http://www.russotrans.ru/ref/cargo/etsng/75104"/>
    <hyperlink ref="C4614" r:id="rId354" display="http://www.russotrans.ru/ref/cargo/etsng/75105"/>
    <hyperlink ref="C4615" r:id="rId355" display="http://www.russotrans.ru/ref/cargo/etsng/75106"/>
    <hyperlink ref="C4616" r:id="rId356" display="http://www.russotrans.ru/ref/cargo/etsng/75107"/>
    <hyperlink ref="C4617" r:id="rId357" display="http://www.russotrans.ru/ref/cargo/etsng/75108"/>
    <hyperlink ref="C4618" r:id="rId358" display="http://www.russotrans.ru/ref/cargo/etsng/75109"/>
    <hyperlink ref="C4619" r:id="rId359" display="http://www.russotrans.ru/ref/cargo/etsng/75110"/>
    <hyperlink ref="C4620" r:id="rId360" display="http://www.russotrans.ru/ref/cargo/etsng/75111"/>
    <hyperlink ref="C4621" r:id="rId361" display="http://www.russotrans.ru/ref/cargo/etsng/75112"/>
    <hyperlink ref="C4622" r:id="rId362" display="http://www.russotrans.ru/ref/cargo/etsng/75113"/>
    <hyperlink ref="C4623" r:id="rId363" display="http://www.russotrans.ru/ref/cargo/etsng/75114"/>
    <hyperlink ref="C4624" r:id="rId364" display="http://www.russotrans.ru/ref/cargo/etsng/75115"/>
    <hyperlink ref="C4625" r:id="rId365" display="http://www.russotrans.ru/ref/cargo/etsng/752"/>
    <hyperlink ref="C4626" r:id="rId366" display="http://www.russotrans.ru/ref/cargo/etsng/75201"/>
    <hyperlink ref="C4627" r:id="rId367" display="http://www.russotrans.ru/ref/cargo/etsng/75202"/>
    <hyperlink ref="C4628" r:id="rId368" display="http://www.russotrans.ru/ref/cargo/etsng/75203"/>
    <hyperlink ref="C4629" r:id="rId369" display="http://www.russotrans.ru/ref/cargo/etsng/75204"/>
    <hyperlink ref="C4630" r:id="rId370" display="http://www.russotrans.ru/ref/cargo/etsng/75205"/>
    <hyperlink ref="C4631" r:id="rId371" display="http://www.russotrans.ru/ref/cargo/etsng/75206"/>
    <hyperlink ref="C4632" r:id="rId372" display="http://www.russotrans.ru/ref/cargo/etsng/75207"/>
    <hyperlink ref="C4633" r:id="rId373" display="http://www.russotrans.ru/ref/cargo/etsng/75208"/>
    <hyperlink ref="C4634" r:id="rId374" display="http://www.russotrans.ru/ref/cargo/etsng/75209"/>
    <hyperlink ref="C4635" r:id="rId375" display="http://www.russotrans.ru/ref/cargo/etsng/75210"/>
    <hyperlink ref="C4636" r:id="rId376" display="http://www.russotrans.ru/ref/cargo/etsng/75211"/>
    <hyperlink ref="C4637" r:id="rId377" display="http://www.russotrans.ru/ref/cargo/etsng/75212"/>
    <hyperlink ref="C4638" r:id="rId378" display="http://www.russotrans.ru/ref/cargo/etsng/75213"/>
    <hyperlink ref="C4639" r:id="rId379" display="http://www.russotrans.ru/ref/cargo/etsng/75214"/>
    <hyperlink ref="C4640" r:id="rId380" display="http://www.russotrans.ru/ref/cargo/etsng/75215"/>
    <hyperlink ref="C4641" r:id="rId381" display="http://www.russotrans.ru/ref/cargo/etsng/75216"/>
    <hyperlink ref="C4642" r:id="rId382" display="http://www.russotrans.ru/ref/cargo/etsng/75217"/>
    <hyperlink ref="C4643" r:id="rId383" display="http://www.russotrans.ru/ref/cargo/etsng/75218"/>
    <hyperlink ref="C4644" r:id="rId384" display="http://www.russotrans.ru/ref/cargo/etsng/75219"/>
    <hyperlink ref="C4645" r:id="rId385" display="http://www.russotrans.ru/ref/cargo/etsng/75220"/>
    <hyperlink ref="C4646" r:id="rId386" display="http://www.russotrans.ru/ref/cargo/etsng/75222"/>
    <hyperlink ref="C4647" r:id="rId387" display="http://www.russotrans.ru/ref/cargo/etsng/75223"/>
    <hyperlink ref="C4648" r:id="rId388" display="http://www.russotrans.ru/ref/cargo/etsng/75224"/>
    <hyperlink ref="C4649" r:id="rId389" display="http://www.russotrans.ru/ref/cargo/etsng/75225"/>
    <hyperlink ref="C4650" r:id="rId390" display="http://www.russotrans.ru/ref/cargo/etsng/75226"/>
    <hyperlink ref="C4651" r:id="rId391" display="http://www.russotrans.ru/ref/cargo/etsng/75227"/>
    <hyperlink ref="C4652" r:id="rId392" display="http://www.russotrans.ru/ref/cargo/etsng/75228"/>
    <hyperlink ref="C4653" r:id="rId393" display="http://www.russotrans.ru/ref/cargo/etsng/75229"/>
    <hyperlink ref="C4654" r:id="rId394" display="http://www.russotrans.ru/ref/cargo/etsng/753"/>
    <hyperlink ref="C4655" r:id="rId395" display="http://www.russotrans.ru/ref/cargo/etsng/75301"/>
    <hyperlink ref="C4656" r:id="rId396" display="http://www.russotrans.ru/ref/cargo/etsng/75303"/>
    <hyperlink ref="C4657" r:id="rId397" display="http://www.russotrans.ru/ref/cargo/etsng/75304"/>
    <hyperlink ref="C4658" r:id="rId398" display="http://www.russotrans.ru/ref/cargo/etsng/75305"/>
    <hyperlink ref="C4659" r:id="rId399" display="http://www.russotrans.ru/ref/cargo/etsng/75306"/>
    <hyperlink ref="C4660" r:id="rId400" display="http://www.russotrans.ru/ref/cargo/etsng/75307"/>
    <hyperlink ref="C4661" r:id="rId401" display="http://www.russotrans.ru/ref/cargo/etsng/75308"/>
    <hyperlink ref="C4662" r:id="rId402" display="http://www.russotrans.ru/ref/cargo/etsng/75309"/>
    <hyperlink ref="C4663" r:id="rId403" display="http://www.russotrans.ru/ref/cargo/etsng/75310"/>
    <hyperlink ref="C4664" r:id="rId404" display="http://www.russotrans.ru/ref/cargo/etsng/75311"/>
    <hyperlink ref="C4665" r:id="rId405" display="http://www.russotrans.ru/ref/cargo/etsng/75312"/>
    <hyperlink ref="C4666" r:id="rId406" display="http://www.russotrans.ru/ref/cargo/etsng/75313"/>
    <hyperlink ref="C4667" r:id="rId407" display="http://www.russotrans.ru/ref/cargo/etsng/75314"/>
    <hyperlink ref="C4668" r:id="rId408" display="http://www.russotrans.ru/ref/cargo/etsng/75315"/>
    <hyperlink ref="C4669" r:id="rId409" display="http://www.russotrans.ru/ref/cargo/etsng/75316"/>
    <hyperlink ref="C4670" r:id="rId410" display="http://www.russotrans.ru/ref/cargo/etsng/75317"/>
    <hyperlink ref="C4671" r:id="rId411" display="http://www.russotrans.ru/ref/cargo/etsng/75318"/>
    <hyperlink ref="C4672" r:id="rId412" display="http://www.russotrans.ru/ref/cargo/etsng/75319"/>
    <hyperlink ref="C4673" r:id="rId413" display="http://www.russotrans.ru/ref/cargo/etsng/75320"/>
    <hyperlink ref="C4674" r:id="rId414" display="http://www.russotrans.ru/ref/cargo/etsng/75321"/>
    <hyperlink ref="C4675" r:id="rId415" display="http://www.russotrans.ru/ref/cargo/etsng/75322"/>
    <hyperlink ref="C4676" r:id="rId416" display="http://www.russotrans.ru/ref/cargo/etsng/75323"/>
    <hyperlink ref="C4677" r:id="rId417" display="http://www.russotrans.ru/ref/cargo/etsng/75324"/>
    <hyperlink ref="C4678" r:id="rId418" display="http://www.russotrans.ru/ref/cargo/etsng/75325"/>
    <hyperlink ref="C4679" r:id="rId419" display="http://www.russotrans.ru/ref/cargo/etsng/75326"/>
    <hyperlink ref="C4680" r:id="rId420" display="http://www.russotrans.ru/ref/cargo/etsng/75327"/>
    <hyperlink ref="C4681" r:id="rId421" display="http://www.russotrans.ru/ref/cargo/etsng/75328"/>
    <hyperlink ref="C4682" r:id="rId422" display="http://www.russotrans.ru/ref/cargo/etsng/75329"/>
    <hyperlink ref="C4683" r:id="rId423" display="http://www.russotrans.ru/ref/cargo/etsng/75330"/>
    <hyperlink ref="C4684" r:id="rId424" display="http://www.russotrans.ru/ref/cargo/etsng/75331"/>
    <hyperlink ref="C4685" r:id="rId425" display="http://www.russotrans.ru/ref/cargo/etsng/75332"/>
    <hyperlink ref="C4686" r:id="rId426" display="http://www.russotrans.ru/ref/cargo/etsng/75333"/>
    <hyperlink ref="C4687" r:id="rId427" display="http://www.russotrans.ru/ref/cargo/etsng/75334"/>
    <hyperlink ref="C4688" r:id="rId428" display="http://www.russotrans.ru/ref/cargo/etsng/75335"/>
    <hyperlink ref="C4689" r:id="rId429" display="http://www.russotrans.ru/ref/cargo/etsng/75336"/>
    <hyperlink ref="C4690" r:id="rId430" display="http://www.russotrans.ru/ref/cargo/etsng/75337"/>
    <hyperlink ref="C4691" r:id="rId431" display="http://www.russotrans.ru/ref/cargo/etsng/75338"/>
    <hyperlink ref="C4692" r:id="rId432" display="http://www.russotrans.ru/ref/cargo/etsng/75339"/>
    <hyperlink ref="C4693" r:id="rId433" display="http://www.russotrans.ru/ref/cargo/etsng/75340"/>
    <hyperlink ref="C4694" r:id="rId434" display="http://www.russotrans.ru/ref/cargo/etsng/75341"/>
    <hyperlink ref="C4695" r:id="rId435" display="http://www.russotrans.ru/ref/cargo/etsng/75342"/>
    <hyperlink ref="C4696" r:id="rId436" display="http://www.russotrans.ru/ref/cargo/etsng/75343"/>
    <hyperlink ref="C4697" r:id="rId437" display="http://www.russotrans.ru/ref/cargo/etsng/75344"/>
    <hyperlink ref="C4698" r:id="rId438" display="http://www.russotrans.ru/ref/cargo/etsng/75345"/>
    <hyperlink ref="C4699" r:id="rId439" display="http://www.russotrans.ru/ref/cargo/etsng/75346"/>
    <hyperlink ref="C4700" r:id="rId440" display="http://www.russotrans.ru/ref/cargo/etsng/75347"/>
    <hyperlink ref="C4701" r:id="rId441" display="http://www.russotrans.ru/ref/cargo/etsng/75348"/>
    <hyperlink ref="C4702" r:id="rId442" display="http://www.russotrans.ru/ref/cargo/etsng/75349"/>
    <hyperlink ref="C4703" r:id="rId443" display="http://www.russotrans.ru/ref/cargo/etsng/75350"/>
    <hyperlink ref="C4704" r:id="rId444" display="http://www.russotrans.ru/ref/cargo/etsng/75351"/>
    <hyperlink ref="C4705" r:id="rId445" display="http://www.russotrans.ru/ref/cargo/etsng/754"/>
    <hyperlink ref="C4706" r:id="rId446" display="http://www.russotrans.ru/ref/cargo/etsng/75401"/>
    <hyperlink ref="C4707" r:id="rId447" display="http://www.russotrans.ru/ref/cargo/etsng/75402"/>
    <hyperlink ref="C4708" r:id="rId448" display="http://www.russotrans.ru/ref/cargo/etsng/75403"/>
    <hyperlink ref="C4709" r:id="rId449" display="http://www.russotrans.ru/ref/cargo/etsng/75404"/>
    <hyperlink ref="C4710" r:id="rId450" display="http://www.russotrans.ru/ref/cargo/etsng/75405"/>
    <hyperlink ref="C4711" r:id="rId451" display="http://www.russotrans.ru/ref/cargo/etsng/75407"/>
    <hyperlink ref="C4712" r:id="rId452" display="http://www.russotrans.ru/ref/cargo/etsng/75408"/>
    <hyperlink ref="C4713" r:id="rId453" display="http://www.russotrans.ru/ref/cargo/etsng/75409"/>
    <hyperlink ref="C4714" r:id="rId454" display="http://www.russotrans.ru/ref/cargo/etsng/75410"/>
    <hyperlink ref="C4715" r:id="rId455" display="http://www.russotrans.ru/ref/cargo/etsng/75411"/>
    <hyperlink ref="C4716" r:id="rId456" display="http://www.russotrans.ru/ref/cargo/etsng/75412"/>
    <hyperlink ref="C4717" r:id="rId457" display="http://www.russotrans.ru/ref/cargo/etsng/75413"/>
    <hyperlink ref="C4718" r:id="rId458" display="http://www.russotrans.ru/ref/cargo/etsng/75414"/>
    <hyperlink ref="C4719" r:id="rId459" display="http://www.russotrans.ru/ref/cargo/etsng/75417"/>
    <hyperlink ref="C4720" r:id="rId460" display="http://www.russotrans.ru/ref/cargo/etsng/75418"/>
    <hyperlink ref="C4721" r:id="rId461" display="http://www.russotrans.ru/ref/cargo/etsng/75419"/>
    <hyperlink ref="C4722" r:id="rId462" display="http://www.russotrans.ru/ref/cargo/etsng/75420"/>
    <hyperlink ref="C4723" r:id="rId463" display="http://www.russotrans.ru/ref/cargo/etsng/75421"/>
    <hyperlink ref="C4724" r:id="rId464" display="http://www.russotrans.ru/ref/cargo/etsng/75422"/>
    <hyperlink ref="C4725" r:id="rId465" display="http://www.russotrans.ru/ref/cargo/etsng/75423"/>
    <hyperlink ref="C4726" r:id="rId466" display="http://www.russotrans.ru/ref/cargo/etsng/75424"/>
    <hyperlink ref="C4727" r:id="rId467" display="http://www.russotrans.ru/ref/cargo/etsng/75425"/>
    <hyperlink ref="C4728" r:id="rId468" display="http://www.russotrans.ru/ref/cargo/etsng/75426"/>
    <hyperlink ref="C4729" r:id="rId469" display="http://www.russotrans.ru/ref/cargo/etsng/75427"/>
    <hyperlink ref="C4730" r:id="rId470" display="http://www.russotrans.ru/ref/cargo/etsng/75428"/>
    <hyperlink ref="C4731" r:id="rId471" display="http://www.russotrans.ru/ref/cargo/etsng/75429"/>
    <hyperlink ref="C4732" r:id="rId472" display="http://www.russotrans.ru/ref/cargo/etsng/75430"/>
    <hyperlink ref="C4733" r:id="rId473" display="http://www.russotrans.ru/ref/cargo/etsng/75431"/>
    <hyperlink ref="C4734" r:id="rId474" display="http://www.russotrans.ru/ref/cargo/etsng/75432"/>
    <hyperlink ref="C4735" r:id="rId475" display="http://www.russotrans.ru/ref/cargo/etsng/755"/>
    <hyperlink ref="C4736" r:id="rId476" display="http://www.russotrans.ru/ref/cargo/etsng/75503"/>
    <hyperlink ref="C4737" r:id="rId477" display="http://www.russotrans.ru/ref/cargo/etsng/756"/>
    <hyperlink ref="C4738" r:id="rId478" display="http://www.russotrans.ru/ref/cargo/etsng/75601"/>
    <hyperlink ref="C4739" r:id="rId479" display="http://www.russotrans.ru/ref/cargo/etsng/75602"/>
    <hyperlink ref="C4740" r:id="rId480" display="http://www.russotrans.ru/ref/cargo/etsng/75603"/>
    <hyperlink ref="C4741" r:id="rId481" display="http://www.russotrans.ru/ref/cargo/etsng/75604"/>
    <hyperlink ref="C4742" r:id="rId482" display="http://www.russotrans.ru/ref/cargo/etsng/75605"/>
    <hyperlink ref="C4743" r:id="rId483" display="http://www.russotrans.ru/ref/cargo/etsng/75606"/>
    <hyperlink ref="C4744" r:id="rId484" display="http://www.russotrans.ru/ref/cargo/etsng/75607"/>
    <hyperlink ref="C4745" r:id="rId485" display="http://www.russotrans.ru/ref/cargo/etsng/75608"/>
    <hyperlink ref="C4746" r:id="rId486" display="http://www.russotrans.ru/ref/cargo/etsng/757"/>
    <hyperlink ref="C4747" r:id="rId487" display="http://www.russotrans.ru/ref/cargo/etsng/75701"/>
    <hyperlink ref="C4748" r:id="rId488" display="http://www.russotrans.ru/ref/cargo/etsng/75702"/>
    <hyperlink ref="C4749" r:id="rId489" display="http://www.russotrans.ru/ref/cargo/etsng/75703"/>
    <hyperlink ref="C4750" r:id="rId490" display="http://www.russotrans.ru/ref/cargo/etsng/75704"/>
    <hyperlink ref="C4751" r:id="rId491" display="http://www.russotrans.ru/ref/cargo/etsng/75705"/>
    <hyperlink ref="C4752" r:id="rId492" display="http://www.russotrans.ru/ref/cargo/etsng/75706"/>
    <hyperlink ref="C4753" r:id="rId493" display="http://www.russotrans.ru/ref/cargo/etsng/75707"/>
    <hyperlink ref="C4754" r:id="rId494" display="http://www.russotrans.ru/ref/cargo/etsng/75708"/>
    <hyperlink ref="C4755" r:id="rId495" display="http://www.russotrans.ru/ref/cargo/etsng/75709"/>
    <hyperlink ref="C4756" r:id="rId496" display="http://www.russotrans.ru/ref/cargo/etsng/75710"/>
    <hyperlink ref="C4757" r:id="rId497" display="http://www.russotrans.ru/ref/cargo/etsng/75711"/>
    <hyperlink ref="C4758" r:id="rId498" display="http://www.russotrans.ru/ref/cargo/etsng/75712"/>
    <hyperlink ref="C4759" r:id="rId499" display="http://www.russotrans.ru/ref/cargo/etsng/75713"/>
    <hyperlink ref="C4760" r:id="rId500" display="http://www.russotrans.ru/ref/cargo/etsng/75714"/>
    <hyperlink ref="C4761" r:id="rId501" display="http://www.russotrans.ru/ref/cargo/etsng/75715"/>
    <hyperlink ref="C4762" r:id="rId502" display="http://www.russotrans.ru/ref/cargo/etsng/75716"/>
    <hyperlink ref="C4763" r:id="rId503" display="http://www.russotrans.ru/ref/cargo/etsng/75717"/>
    <hyperlink ref="C4764" r:id="rId504" display="http://www.russotrans.ru/ref/cargo/etsng/75718"/>
    <hyperlink ref="C4765" r:id="rId505" display="http://www.russotrans.ru/ref/cargo/etsng/75719"/>
    <hyperlink ref="C4766" r:id="rId506" display="http://www.russotrans.ru/ref/cargo/etsng/75720"/>
    <hyperlink ref="C4767" r:id="rId507" display="http://www.russotrans.ru/ref/cargo/etsng/75721"/>
    <hyperlink ref="C4768" r:id="rId508" display="http://www.russotrans.ru/ref/cargo/etsng/75722"/>
    <hyperlink ref="C4769" r:id="rId509" display="http://www.russotrans.ru/ref/cargo/etsng/75723"/>
    <hyperlink ref="C4770" r:id="rId510" display="http://www.russotrans.ru/ref/cargo/etsng/75724"/>
    <hyperlink ref="C4771" r:id="rId511" display="http://www.russotrans.ru/ref/cargo/etsng/75725"/>
    <hyperlink ref="C4772" r:id="rId512" display="http://www.russotrans.ru/ref/cargo/etsng/75726"/>
    <hyperlink ref="C4773" r:id="rId513" display="http://www.russotrans.ru/ref/cargo/etsng/75727"/>
    <hyperlink ref="C4774" r:id="rId514" display="http://www.russotrans.ru/ref/cargo/etsng/75728"/>
    <hyperlink ref="C4775" r:id="rId515" display="http://www.russotrans.ru/ref/cargo/etsng/75729"/>
    <hyperlink ref="C4776" r:id="rId516" display="http://www.russotrans.ru/ref/cargo/etsng/75730"/>
    <hyperlink ref="C4777" r:id="rId517" display="http://www.russotrans.ru/ref/cargo/etsng/75731"/>
    <hyperlink ref="C4778" r:id="rId518" display="http://www.russotrans.ru/ref/cargo/etsng/75732"/>
    <hyperlink ref="C4779" r:id="rId519" display="http://www.russotrans.ru/ref/cargo/etsng/75733"/>
    <hyperlink ref="C4780" r:id="rId520" display="http://www.russotrans.ru/ref/cargo/etsng/75734"/>
    <hyperlink ref="C4781" r:id="rId521" display="http://www.russotrans.ru/ref/cargo/etsng/75735"/>
    <hyperlink ref="C4782" r:id="rId522" display="http://www.russotrans.ru/ref/cargo/etsng/75736"/>
    <hyperlink ref="C4783" r:id="rId523" display="http://www.russotrans.ru/ref/cargo/etsng/75737"/>
    <hyperlink ref="C4784" r:id="rId524" display="http://www.russotrans.ru/ref/cargo/etsng/75738"/>
    <hyperlink ref="C4785" r:id="rId525" display="http://www.russotrans.ru/ref/cargo/etsng/75739"/>
    <hyperlink ref="C4786" r:id="rId526" display="http://www.russotrans.ru/ref/cargo/etsng/75740"/>
    <hyperlink ref="C4787" r:id="rId527" display="http://www.russotrans.ru/ref/cargo/etsng/75741"/>
    <hyperlink ref="C4788" r:id="rId528" display="http://www.russotrans.ru/ref/cargo/etsng/75742"/>
    <hyperlink ref="C4789" r:id="rId529" display="http://www.russotrans.ru/ref/cargo/etsng/75743"/>
    <hyperlink ref="C4790" r:id="rId530" display="http://www.russotrans.ru/ref/cargo/etsng/75744"/>
    <hyperlink ref="C4791" r:id="rId531" display="http://www.russotrans.ru/ref/cargo/etsng/75745"/>
    <hyperlink ref="C4792" r:id="rId532" display="http://www.russotrans.ru/ref/cargo/etsng/75746"/>
    <hyperlink ref="C4793" r:id="rId533" display="http://www.russotrans.ru/ref/cargo/etsng/75747"/>
    <hyperlink ref="C4794" r:id="rId534" display="http://www.russotrans.ru/ref/cargo/etsng/75748"/>
    <hyperlink ref="C4795" r:id="rId535" display="http://www.russotrans.ru/ref/cargo/etsng/75749"/>
    <hyperlink ref="C4796" r:id="rId536" display="http://www.russotrans.ru/ref/cargo/etsng/75750"/>
    <hyperlink ref="C4797" r:id="rId537" display="http://www.russotrans.ru/ref/cargo/etsng/75751"/>
    <hyperlink ref="C4798" r:id="rId538" display="http://www.russotrans.ru/ref/cargo/etsng/75752"/>
    <hyperlink ref="C4799" r:id="rId539" display="http://www.russotrans.ru/ref/cargo/etsng/75753"/>
    <hyperlink ref="C4800" r:id="rId540" display="http://www.russotrans.ru/ref/cargo/etsng/75754"/>
    <hyperlink ref="C4801" r:id="rId541" display="http://www.russotrans.ru/ref/cargo/etsng/75755"/>
    <hyperlink ref="C4802" r:id="rId542" display="http://www.russotrans.ru/ref/cargo/etsng/75756"/>
    <hyperlink ref="C4803" r:id="rId543" display="http://www.russotrans.ru/ref/cargo/etsng/75757"/>
    <hyperlink ref="C4804" r:id="rId544" display="http://www.russotrans.ru/ref/cargo/etsng/75758"/>
    <hyperlink ref="C4805" r:id="rId545" display="http://www.russotrans.ru/ref/cargo/etsng/75759"/>
    <hyperlink ref="C4806" r:id="rId546" display="http://www.russotrans.ru/ref/cargo/etsng/75760"/>
    <hyperlink ref="C4807" r:id="rId547" display="http://www.russotrans.ru/ref/cargo/etsng/75761"/>
    <hyperlink ref="C4808" r:id="rId548" display="http://www.russotrans.ru/ref/cargo/etsng/75762"/>
    <hyperlink ref="C4809" r:id="rId549" display="http://www.russotrans.ru/ref/cargo/etsng/75763"/>
    <hyperlink ref="C4810" r:id="rId550" display="http://www.russotrans.ru/ref/cargo/etsng/75764"/>
    <hyperlink ref="C4811" r:id="rId551" display="http://www.russotrans.ru/ref/cargo/etsng/75765"/>
    <hyperlink ref="C4812" r:id="rId552" display="http://www.russotrans.ru/ref/cargo/etsng/75766"/>
    <hyperlink ref="C4813" r:id="rId553" display="http://www.russotrans.ru/ref/cargo/etsng/75767"/>
    <hyperlink ref="C4814" r:id="rId554" display="http://www.russotrans.ru/ref/cargo/etsng/75768"/>
    <hyperlink ref="C4815" r:id="rId555" display="http://www.russotrans.ru/ref/cargo/etsng/75769"/>
    <hyperlink ref="C4816" r:id="rId556" display="http://www.russotrans.ru/ref/cargo/etsng/75770"/>
    <hyperlink ref="C4817" r:id="rId557" display="http://www.russotrans.ru/ref/cargo/etsng/75771"/>
    <hyperlink ref="C4818" r:id="rId558" display="http://www.russotrans.ru/ref/cargo/etsng/75772"/>
    <hyperlink ref="C4819" r:id="rId559" display="http://www.russotrans.ru/ref/cargo/etsng/758"/>
    <hyperlink ref="C4820" r:id="rId560" display="http://www.russotrans.ru/ref/cargo/etsng/75801"/>
    <hyperlink ref="C4821" r:id="rId561" display="http://www.russotrans.ru/ref/cargo/etsng/75802"/>
    <hyperlink ref="C4822" r:id="rId562" display="http://www.russotrans.ru/ref/cargo/etsng/75803"/>
    <hyperlink ref="C4823" r:id="rId563" display="http://www.russotrans.ru/ref/cargo/etsng/75804"/>
    <hyperlink ref="C4824" r:id="rId564" display="http://www.russotrans.ru/ref/cargo/etsng/75805"/>
    <hyperlink ref="C4825" r:id="rId565" display="http://www.russotrans.ru/ref/cargo/etsng/75806"/>
    <hyperlink ref="C4826" r:id="rId566" display="http://www.russotrans.ru/ref/cargo/etsng/75807"/>
    <hyperlink ref="C4827" r:id="rId567" display="http://www.russotrans.ru/ref/cargo/etsng/75808"/>
    <hyperlink ref="C4828" r:id="rId568" display="http://www.russotrans.ru/ref/cargo/etsng/75809"/>
    <hyperlink ref="C4829" r:id="rId569" display="http://www.russotrans.ru/ref/cargo/etsng/75810"/>
    <hyperlink ref="C4830" r:id="rId570" display="http://www.russotrans.ru/ref/cargo/etsng/75811"/>
    <hyperlink ref="C4831" r:id="rId571" display="http://www.russotrans.ru/ref/cargo/etsng/75812"/>
    <hyperlink ref="C4832" r:id="rId572" display="http://www.russotrans.ru/ref/cargo/etsng/75813"/>
    <hyperlink ref="C4833" r:id="rId573" display="http://www.russotrans.ru/ref/cargo/etsng/75814"/>
    <hyperlink ref="C4834" r:id="rId574" display="http://www.russotrans.ru/ref/cargo/etsng/75815"/>
    <hyperlink ref="C4835" r:id="rId575" display="http://www.russotrans.ru/ref/cargo/etsng/75816"/>
    <hyperlink ref="C4836" r:id="rId576" display="http://www.russotrans.ru/ref/cargo/etsng/75817"/>
  </hyperlinks>
  <pageMargins left="0.75" right="0.75" top="1" bottom="1" header="0.5" footer="0.5"/>
  <pageSetup paperSize="9" orientation="portrait" horizontalDpi="360" verticalDpi="360" r:id="rId577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>
    <row r="1" spans="1:1">
      <c r="A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>
    <row r="1" spans="1:1" ht="47.6">
      <c r="A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Справочник ИХ</vt:lpstr>
      <vt:lpstr>ЕТСНГ</vt:lpstr>
      <vt:lpstr>Лист1</vt:lpstr>
      <vt:lpstr>Лист2</vt:lpstr>
      <vt:lpstr>Лист3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SuvorovaPE</dc:creator>
  <cp:lastModifiedBy>kurkinda</cp:lastModifiedBy>
  <dcterms:created xsi:type="dcterms:W3CDTF">2025-08-15T08:38:43Z</dcterms:created>
  <dcterms:modified xsi:type="dcterms:W3CDTF">2026-05-28T14:01:21Z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Книга2</vt:lpwstr>
  </property>
</Properties>
</file>